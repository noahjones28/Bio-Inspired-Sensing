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preadsheets and Logs/"/>
    </mc:Choice>
  </mc:AlternateContent>
  <xr:revisionPtr revIDLastSave="221" documentId="8_{EE1DE3EE-577D-4494-85B4-4B1C176857C8}" xr6:coauthVersionLast="47" xr6:coauthVersionMax="47" xr10:uidLastSave="{382CA285-AFA3-4CE4-A731-9BAE67DE85B6}"/>
  <bookViews>
    <workbookView xWindow="-120" yWindow="-120" windowWidth="29040" windowHeight="15720" xr2:uid="{3D16C37F-3C74-4527-A308-796C339DFE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" i="1" l="1"/>
  <c r="AC8" i="1"/>
  <c r="AD8" i="1"/>
  <c r="AF8" i="1"/>
  <c r="V9" i="1"/>
  <c r="AB9" i="1" s="1"/>
  <c r="W9" i="1"/>
  <c r="AC9" i="1" s="1"/>
  <c r="X9" i="1"/>
  <c r="Y9" i="1"/>
  <c r="AE9" i="1" s="1"/>
  <c r="Z9" i="1"/>
  <c r="AF9" i="1" s="1"/>
  <c r="AA9" i="1"/>
  <c r="AG9" i="1" s="1"/>
  <c r="W8" i="1"/>
  <c r="X8" i="1"/>
  <c r="Y8" i="1"/>
  <c r="AE8" i="1" s="1"/>
  <c r="Z8" i="1"/>
  <c r="AA8" i="1"/>
  <c r="AG8" i="1" s="1"/>
  <c r="V8" i="1"/>
  <c r="AB8" i="1" s="1"/>
  <c r="AB3" i="1"/>
  <c r="AF5" i="1"/>
  <c r="AG5" i="1"/>
  <c r="AF6" i="1"/>
  <c r="AG6" i="1"/>
  <c r="AC6" i="1"/>
  <c r="AD6" i="1"/>
  <c r="AE6" i="1"/>
  <c r="AC7" i="1"/>
  <c r="V4" i="1"/>
  <c r="AB4" i="1" s="1"/>
  <c r="W4" i="1"/>
  <c r="AC4" i="1" s="1"/>
  <c r="X4" i="1"/>
  <c r="AD4" i="1" s="1"/>
  <c r="Y4" i="1"/>
  <c r="AE4" i="1" s="1"/>
  <c r="Z4" i="1"/>
  <c r="AF4" i="1" s="1"/>
  <c r="AA4" i="1"/>
  <c r="AG4" i="1" s="1"/>
  <c r="V5" i="1"/>
  <c r="AB5" i="1" s="1"/>
  <c r="W5" i="1"/>
  <c r="AC5" i="1" s="1"/>
  <c r="X5" i="1"/>
  <c r="AD5" i="1" s="1"/>
  <c r="Y5" i="1"/>
  <c r="AE5" i="1" s="1"/>
  <c r="Z5" i="1"/>
  <c r="AA5" i="1"/>
  <c r="V6" i="1"/>
  <c r="AB6" i="1" s="1"/>
  <c r="W6" i="1"/>
  <c r="X6" i="1"/>
  <c r="Y6" i="1"/>
  <c r="Z6" i="1"/>
  <c r="AA6" i="1"/>
  <c r="V7" i="1"/>
  <c r="AB7" i="1" s="1"/>
  <c r="W7" i="1"/>
  <c r="X7" i="1"/>
  <c r="AD7" i="1" s="1"/>
  <c r="Y7" i="1"/>
  <c r="AE7" i="1" s="1"/>
  <c r="Z7" i="1"/>
  <c r="AF7" i="1" s="1"/>
  <c r="AA7" i="1"/>
  <c r="AG7" i="1" s="1"/>
  <c r="V3" i="1"/>
  <c r="W3" i="1"/>
  <c r="AC3" i="1"/>
  <c r="X3" i="1"/>
  <c r="AD3" i="1"/>
  <c r="Y3" i="1"/>
  <c r="AE3" i="1" s="1"/>
  <c r="Z3" i="1"/>
  <c r="AF3" i="1" s="1"/>
  <c r="AA3" i="1"/>
  <c r="AG3" i="1" s="1"/>
</calcChain>
</file>

<file path=xl/sharedStrings.xml><?xml version="1.0" encoding="utf-8"?>
<sst xmlns="http://schemas.openxmlformats.org/spreadsheetml/2006/main" count="40" uniqueCount="16">
  <si>
    <t>F</t>
  </si>
  <si>
    <t>s</t>
  </si>
  <si>
    <t>Fx (N)</t>
  </si>
  <si>
    <t>Fy (N)</t>
  </si>
  <si>
    <t>Fz (N)</t>
  </si>
  <si>
    <t>Tx (Nm)</t>
  </si>
  <si>
    <t>Ty (Nm)</t>
  </si>
  <si>
    <t>Tz(Nm)</t>
  </si>
  <si>
    <t>6-Axis FT Sensor</t>
  </si>
  <si>
    <t>Input</t>
  </si>
  <si>
    <t>Tendon</t>
  </si>
  <si>
    <t>Model</t>
  </si>
  <si>
    <t>Tendon Contribution</t>
  </si>
  <si>
    <t>Model + Contribution</t>
  </si>
  <si>
    <t>Tau</t>
  </si>
  <si>
    <t>Percentage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</si>
</sst>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3" borderId="1" xfId="0" applyFont="1" applyFill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1" fillId="3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11" fontId="0" fillId="0" borderId="1" xfId="0" applyNumberFormat="1" applyBorder="1"/>
    <xf numFmtId="0" fontId="2" fillId="4" borderId="1" xfId="0" applyFont="1" applyFill="1" applyBorder="1" applyAlignment="1">
      <alignment horizontal="center"/>
    </xf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416C8-6FFA-4564-9592-20AD22887E1B}">
  <dimension ref="A1:AG9"/>
  <sheetViews>
    <sheetView tabSelected="1" workbookViewId="0">
      <selection activeCell="L21" sqref="L21"/>
    </sheetView>
  </sheetViews>
  <sheetFormatPr defaultRowHeight="15" x14ac:dyDescent="0.25"/>
  <sheetData>
    <row r="1" spans="1:33" x14ac:dyDescent="0.25">
      <c r="A1" s="7" t="s">
        <v>9</v>
      </c>
      <c r="B1" s="7"/>
      <c r="C1" s="1" t="s">
        <v>8</v>
      </c>
      <c r="D1" s="1"/>
      <c r="E1" s="1"/>
      <c r="F1" s="1"/>
      <c r="G1" s="1"/>
      <c r="H1" s="1"/>
      <c r="I1" s="4" t="s">
        <v>10</v>
      </c>
      <c r="J1" s="5" t="s">
        <v>11</v>
      </c>
      <c r="K1" s="5"/>
      <c r="L1" s="5"/>
      <c r="M1" s="5"/>
      <c r="N1" s="5"/>
      <c r="O1" s="5"/>
      <c r="P1" s="6" t="s">
        <v>12</v>
      </c>
      <c r="Q1" s="6"/>
      <c r="R1" s="6"/>
      <c r="S1" s="6"/>
      <c r="T1" s="6"/>
      <c r="U1" s="6"/>
      <c r="V1" s="8" t="s">
        <v>13</v>
      </c>
      <c r="W1" s="8"/>
      <c r="X1" s="8"/>
      <c r="Y1" s="8"/>
      <c r="Z1" s="8"/>
      <c r="AA1" s="8"/>
      <c r="AB1" s="10" t="s">
        <v>15</v>
      </c>
      <c r="AC1" s="10"/>
      <c r="AD1" s="10"/>
      <c r="AE1" s="10"/>
      <c r="AF1" s="10"/>
      <c r="AG1" s="10"/>
    </row>
    <row r="2" spans="1:33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14</v>
      </c>
      <c r="J2" s="2" t="s">
        <v>2</v>
      </c>
      <c r="K2" s="2" t="s">
        <v>3</v>
      </c>
      <c r="L2" s="2" t="s">
        <v>4</v>
      </c>
      <c r="M2" s="2" t="s">
        <v>5</v>
      </c>
      <c r="N2" s="2" t="s">
        <v>6</v>
      </c>
      <c r="O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V2" s="2" t="s">
        <v>2</v>
      </c>
      <c r="W2" s="2" t="s">
        <v>3</v>
      </c>
      <c r="X2" s="2" t="s">
        <v>4</v>
      </c>
      <c r="Y2" s="2" t="s">
        <v>5</v>
      </c>
      <c r="Z2" s="2" t="s">
        <v>6</v>
      </c>
      <c r="AA2" s="2" t="s">
        <v>7</v>
      </c>
      <c r="AB2" s="2" t="s">
        <v>2</v>
      </c>
      <c r="AC2" s="2" t="s">
        <v>3</v>
      </c>
      <c r="AD2" s="2" t="s">
        <v>4</v>
      </c>
      <c r="AE2" s="2" t="s">
        <v>5</v>
      </c>
      <c r="AF2" s="2" t="s">
        <v>6</v>
      </c>
      <c r="AG2" s="2" t="s">
        <v>7</v>
      </c>
    </row>
    <row r="3" spans="1:33" x14ac:dyDescent="0.25">
      <c r="A3" s="3">
        <v>0.25</v>
      </c>
      <c r="B3" s="3"/>
      <c r="C3" s="3">
        <v>-6.5798535943031302E-3</v>
      </c>
      <c r="D3" s="3">
        <v>-4.2537473142147099E-2</v>
      </c>
      <c r="E3" s="3">
        <v>-0.88543963432312001</v>
      </c>
      <c r="F3" s="3">
        <v>5.2101269364357002E-2</v>
      </c>
      <c r="G3" s="3">
        <v>-8.4018346387893005E-4</v>
      </c>
      <c r="H3" s="3">
        <v>-1.80176668800414E-3</v>
      </c>
      <c r="I3" s="3">
        <v>0.65</v>
      </c>
      <c r="J3" s="3">
        <v>0</v>
      </c>
      <c r="K3" s="3">
        <v>-8.7900000000000006E-2</v>
      </c>
      <c r="L3" s="3">
        <v>-0.23400000000000001</v>
      </c>
      <c r="M3" s="3">
        <v>3.5200000000000002E-2</v>
      </c>
      <c r="N3" s="3">
        <v>0</v>
      </c>
      <c r="O3" s="3">
        <v>0</v>
      </c>
      <c r="P3" s="3">
        <v>-4.9516182164602452E-3</v>
      </c>
      <c r="Q3" s="3">
        <v>2.0390451276658235E-2</v>
      </c>
      <c r="R3" s="3">
        <v>-0.64486438855085326</v>
      </c>
      <c r="S3" s="3">
        <v>1.7658084081180959E-2</v>
      </c>
      <c r="T3" s="3">
        <v>4.3054458465782128E-5</v>
      </c>
      <c r="U3" s="3">
        <v>-9.1354443551002439E-4</v>
      </c>
      <c r="V3" s="3">
        <f>J3+P3</f>
        <v>-4.9516182164602452E-3</v>
      </c>
      <c r="W3" s="3">
        <f>K3+Q3</f>
        <v>-6.7509548723341778E-2</v>
      </c>
      <c r="X3" s="3">
        <f>L3+R3</f>
        <v>-0.87886438855085325</v>
      </c>
      <c r="Y3" s="3">
        <f>M3+S3</f>
        <v>5.2858084081180964E-2</v>
      </c>
      <c r="Z3" s="3">
        <f>N3+T3</f>
        <v>4.3054458465782128E-5</v>
      </c>
      <c r="AA3" s="3">
        <f>O3+U3</f>
        <v>-9.1354443551002439E-4</v>
      </c>
      <c r="AB3" s="11">
        <f>ABS(V3-C3)*100/C3</f>
        <v>-24.745769104233858</v>
      </c>
      <c r="AC3" s="11">
        <f t="shared" ref="AC3:AG3" si="0">ABS(W3-D3)*100/D3</f>
        <v>-58.706062529256769</v>
      </c>
      <c r="AD3" s="11">
        <f t="shared" si="0"/>
        <v>-0.74259673018739969</v>
      </c>
      <c r="AE3" s="11">
        <f t="shared" si="0"/>
        <v>1.4525840273321773</v>
      </c>
      <c r="AF3" s="11">
        <f t="shared" si="0"/>
        <v>-105.12441155018807</v>
      </c>
      <c r="AG3" s="11">
        <f t="shared" si="0"/>
        <v>-49.297295726896841</v>
      </c>
    </row>
    <row r="4" spans="1:33" x14ac:dyDescent="0.25">
      <c r="A4" s="3">
        <v>0.26</v>
      </c>
      <c r="B4" s="3"/>
      <c r="C4" s="3">
        <v>-7.8423619270324707E-3</v>
      </c>
      <c r="D4" s="3">
        <v>-4.0448766201734501E-2</v>
      </c>
      <c r="E4" s="3">
        <v>-0.89024901390075695</v>
      </c>
      <c r="F4" s="3">
        <v>5.3157616406679202E-2</v>
      </c>
      <c r="G4" s="3">
        <v>-8.8641978800296805E-4</v>
      </c>
      <c r="H4" s="3">
        <v>-1.7090738983824799E-3</v>
      </c>
      <c r="I4" s="3">
        <v>0.65</v>
      </c>
      <c r="J4" s="3">
        <v>0</v>
      </c>
      <c r="K4" s="3">
        <v>-8.6699999999999999E-2</v>
      </c>
      <c r="L4" s="3">
        <v>-0.24510000000000001</v>
      </c>
      <c r="M4" s="3">
        <v>3.6200000000000003E-2</v>
      </c>
      <c r="N4" s="3">
        <v>0</v>
      </c>
      <c r="O4" s="3">
        <v>0</v>
      </c>
      <c r="P4" s="3">
        <v>-4.9516182164602452E-3</v>
      </c>
      <c r="Q4" s="3">
        <v>2.0390451276658235E-2</v>
      </c>
      <c r="R4" s="3">
        <v>-0.64486438855085326</v>
      </c>
      <c r="S4" s="3">
        <v>1.7658084081180959E-2</v>
      </c>
      <c r="T4" s="3">
        <v>4.3054458465782128E-5</v>
      </c>
      <c r="U4" s="3">
        <v>-9.1354443551002439E-4</v>
      </c>
      <c r="V4" s="3">
        <f>J4+P4</f>
        <v>-4.9516182164602452E-3</v>
      </c>
      <c r="W4" s="3">
        <f>K4+Q4</f>
        <v>-6.6309548723341771E-2</v>
      </c>
      <c r="X4" s="3">
        <f>L4+R4</f>
        <v>-0.88996438855085325</v>
      </c>
      <c r="Y4" s="3">
        <f>M4+S4</f>
        <v>5.3858084081180965E-2</v>
      </c>
      <c r="Z4" s="3">
        <f>N4+T4</f>
        <v>4.3054458465782128E-5</v>
      </c>
      <c r="AA4" s="3">
        <f>O4+U4</f>
        <v>-9.1354443551002439E-4</v>
      </c>
      <c r="AB4" s="11">
        <f t="shared" ref="AB4:AB8" si="1">ABS(V4-C4)*100/C4</f>
        <v>-36.860626141314491</v>
      </c>
      <c r="AC4" s="11">
        <f t="shared" ref="AC4:AC8" si="2">ABS(W4-D4)*100/D4</f>
        <v>-63.934663402658558</v>
      </c>
      <c r="AD4" s="11">
        <f t="shared" ref="AD4:AD8" si="3">ABS(X4-E4)*100/E4</f>
        <v>-3.197143107820722E-2</v>
      </c>
      <c r="AE4" s="11">
        <f t="shared" ref="AE4:AE8" si="4">ABS(Y4-F4)*100/F4</f>
        <v>1.3177183663444889</v>
      </c>
      <c r="AF4" s="11">
        <f t="shared" ref="AF4:AF8" si="5">ABS(Z4-G4)*100/G4</f>
        <v>-104.85711838211331</v>
      </c>
      <c r="AG4" s="11">
        <f t="shared" ref="AG4:AG8" si="6">ABS(AA4-H4)*100/H4</f>
        <v>-46.547399947150858</v>
      </c>
    </row>
    <row r="5" spans="1:33" x14ac:dyDescent="0.25">
      <c r="A5" s="3">
        <v>0.14000000000000001</v>
      </c>
      <c r="B5" s="3"/>
      <c r="C5" s="3">
        <v>-4.3743401765823399E-3</v>
      </c>
      <c r="D5" s="3">
        <v>-8.9557304978370694E-2</v>
      </c>
      <c r="E5" s="3">
        <v>-0.39236700534820601</v>
      </c>
      <c r="F5" s="3">
        <v>3.4131683409213999E-2</v>
      </c>
      <c r="G5" s="3">
        <v>-4.7229923075065E-4</v>
      </c>
      <c r="H5" s="3">
        <v>-8.0380844883620696E-4</v>
      </c>
      <c r="I5" s="3">
        <v>0.29799999999999999</v>
      </c>
      <c r="J5" s="3">
        <v>0</v>
      </c>
      <c r="K5" s="3">
        <v>-0.112</v>
      </c>
      <c r="L5" s="3">
        <v>-8.4000000000000005E-2</v>
      </c>
      <c r="M5" s="3">
        <v>2.5700000000000001E-2</v>
      </c>
      <c r="N5" s="3">
        <v>0</v>
      </c>
      <c r="O5" s="3">
        <v>0</v>
      </c>
      <c r="P5" s="3">
        <v>5.655117731604457E-4</v>
      </c>
      <c r="Q5" s="3">
        <v>7.8466758472911444E-3</v>
      </c>
      <c r="R5" s="3">
        <v>-0.29504379098791456</v>
      </c>
      <c r="S5" s="3">
        <v>8.1582947986178159E-3</v>
      </c>
      <c r="T5" s="3">
        <v>-7.0903576518115808E-5</v>
      </c>
      <c r="U5" s="3">
        <v>-4.1214312126006309E-4</v>
      </c>
      <c r="V5" s="3">
        <f>J5+P5</f>
        <v>5.655117731604457E-4</v>
      </c>
      <c r="W5" s="3">
        <f>K5+Q5</f>
        <v>-0.10415332415270886</v>
      </c>
      <c r="X5" s="3">
        <f>L5+R5</f>
        <v>-0.37904379098791458</v>
      </c>
      <c r="Y5" s="3">
        <f>M5+S5</f>
        <v>3.3858294798617815E-2</v>
      </c>
      <c r="Z5" s="3">
        <f>N5+T5</f>
        <v>-7.0903576518115808E-5</v>
      </c>
      <c r="AA5" s="3">
        <f>O5+U5</f>
        <v>-4.1214312126006309E-4</v>
      </c>
      <c r="AB5" s="11">
        <f t="shared" si="1"/>
        <v>-112.92793313578731</v>
      </c>
      <c r="AC5" s="11">
        <f t="shared" si="2"/>
        <v>-16.297966065262134</v>
      </c>
      <c r="AD5" s="11">
        <f t="shared" si="3"/>
        <v>-3.3956000832607605</v>
      </c>
      <c r="AE5" s="11">
        <f t="shared" si="4"/>
        <v>0.80098191266587704</v>
      </c>
      <c r="AF5" s="11">
        <f t="shared" si="5"/>
        <v>-84.987573152421817</v>
      </c>
      <c r="AG5" s="11">
        <f t="shared" si="6"/>
        <v>-48.726201888424534</v>
      </c>
    </row>
    <row r="6" spans="1:33" x14ac:dyDescent="0.25">
      <c r="A6" s="3">
        <v>0.14000000000000001</v>
      </c>
      <c r="B6" s="3"/>
      <c r="C6" s="3">
        <v>-2.2808238863944999E-3</v>
      </c>
      <c r="D6" s="3">
        <v>-8.9417017996311202E-2</v>
      </c>
      <c r="E6" s="3">
        <v>-0.39419367909431502</v>
      </c>
      <c r="F6" s="3">
        <v>3.4392487257718998E-2</v>
      </c>
      <c r="G6" s="3">
        <v>-4.7110754530876902E-4</v>
      </c>
      <c r="H6" s="3">
        <v>-7.7367777703329899E-4</v>
      </c>
      <c r="I6" s="3">
        <v>0.29799999999999999</v>
      </c>
      <c r="J6" s="3">
        <v>0</v>
      </c>
      <c r="K6" s="3">
        <v>-0.112</v>
      </c>
      <c r="L6" s="3">
        <v>-8.4000000000000005E-2</v>
      </c>
      <c r="M6" s="3">
        <v>2.5700000000000001E-2</v>
      </c>
      <c r="N6" s="3">
        <v>0</v>
      </c>
      <c r="O6" s="3">
        <v>0</v>
      </c>
      <c r="P6" s="3">
        <v>5.655117731604457E-4</v>
      </c>
      <c r="Q6" s="3">
        <v>7.8466758472911444E-3</v>
      </c>
      <c r="R6" s="3">
        <v>-0.29504379098791456</v>
      </c>
      <c r="S6" s="3">
        <v>8.1582947986178159E-3</v>
      </c>
      <c r="T6" s="3">
        <v>-7.0903576518115808E-5</v>
      </c>
      <c r="U6" s="3">
        <v>-4.1214312126006309E-4</v>
      </c>
      <c r="V6" s="3">
        <f>J6+P6</f>
        <v>5.655117731604457E-4</v>
      </c>
      <c r="W6" s="3">
        <f>K6+Q6</f>
        <v>-0.10415332415270886</v>
      </c>
      <c r="X6" s="3">
        <f>L6+R6</f>
        <v>-0.37904379098791458</v>
      </c>
      <c r="Y6" s="3">
        <f>M6+S6</f>
        <v>3.3858294798617815E-2</v>
      </c>
      <c r="Z6" s="3">
        <f>N6+T6</f>
        <v>-7.0903576518115808E-5</v>
      </c>
      <c r="AA6" s="3">
        <f>O6+U6</f>
        <v>-4.1214312126006309E-4</v>
      </c>
      <c r="AB6" s="11">
        <f t="shared" si="1"/>
        <v>-124.79418847434118</v>
      </c>
      <c r="AC6" s="11">
        <f t="shared" si="2"/>
        <v>-16.480426753893305</v>
      </c>
      <c r="AD6" s="11">
        <f t="shared" si="3"/>
        <v>-3.8432600292344294</v>
      </c>
      <c r="AE6" s="11">
        <f t="shared" si="4"/>
        <v>1.5532242698768177</v>
      </c>
      <c r="AF6" s="11">
        <f t="shared" si="5"/>
        <v>-84.949598616246988</v>
      </c>
      <c r="AG6" s="11">
        <f t="shared" si="6"/>
        <v>-46.729357686808093</v>
      </c>
    </row>
    <row r="7" spans="1:33" x14ac:dyDescent="0.25">
      <c r="A7" s="3">
        <v>0.13</v>
      </c>
      <c r="B7" s="3"/>
      <c r="C7" s="3">
        <v>-1.48869585245848E-2</v>
      </c>
      <c r="D7" s="3">
        <v>3.9376139640808099E-2</v>
      </c>
      <c r="E7" s="3">
        <v>-1.3044650554657</v>
      </c>
      <c r="F7" s="3">
        <v>4.5608788728714003E-2</v>
      </c>
      <c r="G7" s="9">
        <v>-8.8147513451986001E-5</v>
      </c>
      <c r="H7" s="3">
        <v>-2.1949613001197598E-3</v>
      </c>
      <c r="I7" s="3">
        <v>1.175</v>
      </c>
      <c r="J7" s="3">
        <v>0</v>
      </c>
      <c r="K7" s="3">
        <v>-1.4E-2</v>
      </c>
      <c r="L7" s="3">
        <v>-0.12920000000000001</v>
      </c>
      <c r="M7" s="3">
        <v>1.38E-2</v>
      </c>
      <c r="N7" s="3">
        <v>0</v>
      </c>
      <c r="O7" s="3">
        <v>0</v>
      </c>
      <c r="P7" s="3">
        <v>-1.3306129343600146E-2</v>
      </c>
      <c r="Q7" s="3">
        <v>3.9385311212556964E-2</v>
      </c>
      <c r="R7" s="3">
        <v>-1.174592722003303</v>
      </c>
      <c r="S7" s="3">
        <v>3.2043479280490852E-2</v>
      </c>
      <c r="T7" s="3">
        <v>2.1561948286997036E-4</v>
      </c>
      <c r="U7" s="3">
        <v>-1.6728092828028228E-3</v>
      </c>
      <c r="V7" s="3">
        <f>J7+P7</f>
        <v>-1.3306129343600146E-2</v>
      </c>
      <c r="W7" s="3">
        <f>K7+Q7</f>
        <v>2.5385311212556966E-2</v>
      </c>
      <c r="X7" s="3">
        <f>L7+R7</f>
        <v>-1.303792722003303</v>
      </c>
      <c r="Y7" s="3">
        <f>M7+S7</f>
        <v>4.5843479280490852E-2</v>
      </c>
      <c r="Z7" s="3">
        <f>N7+T7</f>
        <v>2.1561948286997036E-4</v>
      </c>
      <c r="AA7" s="3">
        <f>O7+U7</f>
        <v>-1.6728092828028228E-3</v>
      </c>
      <c r="AB7" s="11">
        <f t="shared" si="1"/>
        <v>-10.618886177280746</v>
      </c>
      <c r="AC7" s="11">
        <f t="shared" si="2"/>
        <v>35.531234285220563</v>
      </c>
      <c r="AD7" s="11">
        <f t="shared" si="3"/>
        <v>-5.1540933164898647E-2</v>
      </c>
      <c r="AE7" s="11">
        <f t="shared" si="4"/>
        <v>0.51457308628127318</v>
      </c>
      <c r="AF7" s="11">
        <f t="shared" si="5"/>
        <v>-344.6120989985933</v>
      </c>
      <c r="AG7" s="11">
        <f t="shared" si="6"/>
        <v>-23.788666218782438</v>
      </c>
    </row>
    <row r="8" spans="1:33" x14ac:dyDescent="0.25">
      <c r="A8" s="11">
        <v>0.25</v>
      </c>
      <c r="C8">
        <v>-4.8822462558746303E-3</v>
      </c>
      <c r="D8">
        <v>-0.17899098992347701</v>
      </c>
      <c r="E8">
        <v>-0.143601104617119</v>
      </c>
      <c r="F8">
        <v>4.6020824462175397E-2</v>
      </c>
      <c r="G8">
        <v>-6.2039692420512405E-4</v>
      </c>
      <c r="H8">
        <v>-6.7290081642568101E-4</v>
      </c>
      <c r="I8" s="11">
        <v>0</v>
      </c>
      <c r="J8" s="11">
        <v>0</v>
      </c>
      <c r="K8">
        <v>-0.20519999999999999</v>
      </c>
      <c r="L8">
        <v>-0.14280000000000001</v>
      </c>
      <c r="M8">
        <v>4.7100000000000003E-2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f>J8+P8</f>
        <v>0</v>
      </c>
      <c r="W8" s="11">
        <f t="shared" ref="W8:AA8" si="7">K8+Q8</f>
        <v>-0.20519999999999999</v>
      </c>
      <c r="X8" s="11">
        <f t="shared" si="7"/>
        <v>-0.14280000000000001</v>
      </c>
      <c r="Y8" s="11">
        <f t="shared" si="7"/>
        <v>4.7100000000000003E-2</v>
      </c>
      <c r="Z8" s="11">
        <f t="shared" si="7"/>
        <v>0</v>
      </c>
      <c r="AA8" s="11">
        <f t="shared" si="7"/>
        <v>0</v>
      </c>
      <c r="AB8" s="11">
        <f t="shared" si="1"/>
        <v>-100</v>
      </c>
      <c r="AC8" s="11">
        <f t="shared" si="2"/>
        <v>-14.642642117197058</v>
      </c>
      <c r="AD8" s="11">
        <f t="shared" si="3"/>
        <v>-0.55786800474478404</v>
      </c>
      <c r="AE8" s="11">
        <f t="shared" si="4"/>
        <v>2.3449721956015419</v>
      </c>
      <c r="AF8" s="11">
        <f t="shared" si="5"/>
        <v>-100</v>
      </c>
      <c r="AG8" s="11">
        <f t="shared" si="6"/>
        <v>-100</v>
      </c>
    </row>
    <row r="9" spans="1:33" x14ac:dyDescent="0.25">
      <c r="A9" s="11">
        <v>0.25</v>
      </c>
      <c r="C9">
        <v>-5.0749108195304897E-3</v>
      </c>
      <c r="D9">
        <v>-0.181008040904999</v>
      </c>
      <c r="E9">
        <v>-0.15141341090202301</v>
      </c>
      <c r="F9">
        <v>4.7349274158477797E-2</v>
      </c>
      <c r="G9">
        <v>-7.1462162304669597E-4</v>
      </c>
      <c r="H9">
        <v>-6.9441180676221804E-4</v>
      </c>
      <c r="I9" s="11">
        <v>0</v>
      </c>
      <c r="J9" s="11">
        <v>0</v>
      </c>
      <c r="K9">
        <v>-0.20519999999999999</v>
      </c>
      <c r="L9">
        <v>-0.14280000000000001</v>
      </c>
      <c r="M9">
        <v>4.7100000000000003E-2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f>J9+P9</f>
        <v>0</v>
      </c>
      <c r="W9" s="11">
        <f t="shared" ref="W9" si="8">K9+Q9</f>
        <v>-0.20519999999999999</v>
      </c>
      <c r="X9" s="11">
        <f t="shared" ref="X9" si="9">L9+R9</f>
        <v>-0.14280000000000001</v>
      </c>
      <c r="Y9" s="11">
        <f t="shared" ref="Y9" si="10">M9+S9</f>
        <v>4.7100000000000003E-2</v>
      </c>
      <c r="Z9" s="11">
        <f t="shared" ref="Z9" si="11">N9+T9</f>
        <v>0</v>
      </c>
      <c r="AA9" s="11">
        <f t="shared" ref="AA9" si="12">O9+U9</f>
        <v>0</v>
      </c>
      <c r="AB9" s="11">
        <f t="shared" ref="AB9" si="13">ABS(V9-C9)*100/C9</f>
        <v>-99.999999999999986</v>
      </c>
      <c r="AC9" s="11">
        <f t="shared" ref="AC9" si="14">ABS(W9-D9)*100/D9</f>
        <v>-13.365129512504918</v>
      </c>
      <c r="AD9" s="11">
        <f t="shared" ref="AD9" si="15">ABS(X9-E9)*100/E9</f>
        <v>-5.6886710699599714</v>
      </c>
      <c r="AE9" s="11">
        <f t="shared" ref="AE9" si="16">ABS(Y9-F9)*100/F9</f>
        <v>0.52645824652659867</v>
      </c>
      <c r="AF9" s="11">
        <f t="shared" ref="AF9" si="17">ABS(Z9-G9)*100/G9</f>
        <v>-99.999999999999986</v>
      </c>
      <c r="AG9" s="11">
        <f t="shared" ref="AG9" si="18">ABS(AA9-H9)*100/H9</f>
        <v>-100</v>
      </c>
    </row>
  </sheetData>
  <mergeCells count="6">
    <mergeCell ref="AB1:AG1"/>
    <mergeCell ref="A1:B1"/>
    <mergeCell ref="C1:H1"/>
    <mergeCell ref="J1:O1"/>
    <mergeCell ref="P1:U1"/>
    <mergeCell ref="V1:AA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dcterms:created xsi:type="dcterms:W3CDTF">2025-08-20T18:12:27Z</dcterms:created>
  <dcterms:modified xsi:type="dcterms:W3CDTF">2025-08-26T03:25:38Z</dcterms:modified>
</cp:coreProperties>
</file>