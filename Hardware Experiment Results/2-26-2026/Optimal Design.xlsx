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Hardware Experiment Results/2-26-2026/"/>
    </mc:Choice>
  </mc:AlternateContent>
  <xr:revisionPtr revIDLastSave="3533" documentId="8_{DFFD6B0C-681F-42C8-B2E4-5D4B90AAE966}" xr6:coauthVersionLast="47" xr6:coauthVersionMax="47" xr10:uidLastSave="{A6F3C1F3-2E8C-400E-9814-31776B700679}"/>
  <bookViews>
    <workbookView xWindow="-120" yWindow="-120" windowWidth="29040" windowHeight="15720" xr2:uid="{3D16C37F-3C74-4527-A308-796C339DFE9F}"/>
  </bookViews>
  <sheets>
    <sheet name="Proximal Validation" sheetId="12" r:id="rId1"/>
    <sheet name="Distal Validation" sheetId="19" r:id="rId2"/>
    <sheet name="Conversion" sheetId="4" r:id="rId3"/>
    <sheet name="Sheet2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C3" i="12"/>
  <c r="O9" i="4"/>
  <c r="P9" i="4"/>
  <c r="Q9" i="4"/>
  <c r="R9" i="4"/>
  <c r="S9" i="4"/>
  <c r="T9" i="4"/>
  <c r="O10" i="4"/>
  <c r="P10" i="4"/>
  <c r="Q10" i="4"/>
  <c r="R10" i="4"/>
  <c r="S10" i="4"/>
  <c r="T10" i="4"/>
  <c r="O11" i="4"/>
  <c r="P11" i="4"/>
  <c r="Q11" i="4"/>
  <c r="R11" i="4"/>
  <c r="S11" i="4"/>
  <c r="T11" i="4"/>
  <c r="O12" i="4"/>
  <c r="P12" i="4"/>
  <c r="Q12" i="4"/>
  <c r="R12" i="4"/>
  <c r="S12" i="4"/>
  <c r="T12" i="4"/>
  <c r="O13" i="4"/>
  <c r="P13" i="4"/>
  <c r="Q13" i="4"/>
  <c r="R13" i="4"/>
  <c r="S13" i="4"/>
  <c r="T13" i="4"/>
  <c r="O14" i="4"/>
  <c r="P14" i="4"/>
  <c r="Q14" i="4"/>
  <c r="R14" i="4"/>
  <c r="S14" i="4"/>
  <c r="T14" i="4"/>
  <c r="O15" i="4"/>
  <c r="P15" i="4"/>
  <c r="Q15" i="4"/>
  <c r="R15" i="4"/>
  <c r="S15" i="4"/>
  <c r="T15" i="4"/>
  <c r="O16" i="4"/>
  <c r="P16" i="4"/>
  <c r="Q16" i="4"/>
  <c r="R16" i="4"/>
  <c r="S16" i="4"/>
  <c r="T16" i="4"/>
  <c r="O17" i="4"/>
  <c r="P17" i="4"/>
  <c r="Q17" i="4"/>
  <c r="R17" i="4"/>
  <c r="S17" i="4"/>
  <c r="T17" i="4"/>
  <c r="O18" i="4"/>
  <c r="P18" i="4"/>
  <c r="Q18" i="4"/>
  <c r="R18" i="4"/>
  <c r="S18" i="4"/>
  <c r="T18" i="4"/>
  <c r="V3" i="4"/>
  <c r="A3" i="19" l="1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A4" i="19"/>
  <c r="B4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W11" i="19" s="1"/>
  <c r="B11" i="19"/>
  <c r="C11" i="19"/>
  <c r="Y11" i="19" s="1"/>
  <c r="D11" i="19"/>
  <c r="Z11" i="19" s="1"/>
  <c r="E11" i="19"/>
  <c r="AA11" i="19" s="1"/>
  <c r="F11" i="19"/>
  <c r="G11" i="19"/>
  <c r="H11" i="19"/>
  <c r="I11" i="19"/>
  <c r="J11" i="19"/>
  <c r="K11" i="19"/>
  <c r="L11" i="19"/>
  <c r="M11" i="19"/>
  <c r="N11" i="19"/>
  <c r="O11" i="19"/>
  <c r="A12" i="19"/>
  <c r="W12" i="19" s="1"/>
  <c r="B12" i="19"/>
  <c r="X12" i="19" s="1"/>
  <c r="C12" i="19"/>
  <c r="D12" i="19"/>
  <c r="E12" i="19"/>
  <c r="F12" i="19"/>
  <c r="AB12" i="19" s="1"/>
  <c r="G12" i="19"/>
  <c r="H12" i="19"/>
  <c r="I12" i="19"/>
  <c r="J12" i="19"/>
  <c r="K12" i="19"/>
  <c r="L12" i="19"/>
  <c r="M12" i="19"/>
  <c r="N12" i="19"/>
  <c r="O12" i="19"/>
  <c r="A13" i="19"/>
  <c r="B13" i="19"/>
  <c r="C13" i="19"/>
  <c r="D13" i="19"/>
  <c r="Z13" i="19" s="1"/>
  <c r="E13" i="19"/>
  <c r="AA13" i="19" s="1"/>
  <c r="F13" i="19"/>
  <c r="AB13" i="19" s="1"/>
  <c r="G13" i="19"/>
  <c r="H13" i="19"/>
  <c r="I13" i="19"/>
  <c r="J13" i="19"/>
  <c r="K13" i="19"/>
  <c r="L13" i="19"/>
  <c r="M13" i="19"/>
  <c r="N13" i="19"/>
  <c r="O13" i="19"/>
  <c r="A14" i="19"/>
  <c r="W14" i="19" s="1"/>
  <c r="B14" i="19"/>
  <c r="X14" i="19" s="1"/>
  <c r="C14" i="19"/>
  <c r="Y14" i="19" s="1"/>
  <c r="D14" i="19"/>
  <c r="Z14" i="19" s="1"/>
  <c r="E14" i="19"/>
  <c r="F14" i="19"/>
  <c r="G14" i="19"/>
  <c r="H14" i="19"/>
  <c r="I14" i="19"/>
  <c r="J14" i="19"/>
  <c r="K14" i="19"/>
  <c r="L14" i="19"/>
  <c r="M14" i="19"/>
  <c r="N14" i="19"/>
  <c r="O14" i="19"/>
  <c r="A15" i="19"/>
  <c r="W15" i="19" s="1"/>
  <c r="B15" i="19"/>
  <c r="C15" i="19"/>
  <c r="Y15" i="19" s="1"/>
  <c r="D15" i="19"/>
  <c r="Z15" i="19" s="1"/>
  <c r="E15" i="19"/>
  <c r="AA15" i="19" s="1"/>
  <c r="F15" i="19"/>
  <c r="G15" i="19"/>
  <c r="H15" i="19"/>
  <c r="I15" i="19"/>
  <c r="J15" i="19"/>
  <c r="K15" i="19"/>
  <c r="L15" i="19"/>
  <c r="M15" i="19"/>
  <c r="N15" i="19"/>
  <c r="O15" i="19"/>
  <c r="A16" i="19"/>
  <c r="B16" i="19"/>
  <c r="X16" i="19" s="1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Z17" i="19" s="1"/>
  <c r="E17" i="19"/>
  <c r="AA17" i="19" s="1"/>
  <c r="F17" i="19"/>
  <c r="AB17" i="19" s="1"/>
  <c r="G17" i="19"/>
  <c r="H17" i="19"/>
  <c r="I17" i="19"/>
  <c r="J17" i="19"/>
  <c r="K17" i="19"/>
  <c r="L17" i="19"/>
  <c r="M17" i="19"/>
  <c r="N17" i="19"/>
  <c r="O17" i="19"/>
  <c r="V5" i="12"/>
  <c r="W5" i="12"/>
  <c r="X5" i="12"/>
  <c r="Y5" i="12"/>
  <c r="Z5" i="12"/>
  <c r="AA5" i="12"/>
  <c r="X11" i="19"/>
  <c r="AB11" i="19"/>
  <c r="Y12" i="19"/>
  <c r="AA12" i="19"/>
  <c r="Y13" i="19"/>
  <c r="AA14" i="19"/>
  <c r="AB14" i="19"/>
  <c r="X15" i="19"/>
  <c r="AB15" i="19"/>
  <c r="Y16" i="19"/>
  <c r="Z16" i="19"/>
  <c r="AA16" i="19"/>
  <c r="AB16" i="19"/>
  <c r="W17" i="19"/>
  <c r="X17" i="19"/>
  <c r="Y17" i="19"/>
  <c r="Z12" i="19"/>
  <c r="W16" i="19"/>
  <c r="W13" i="19"/>
  <c r="X13" i="19"/>
  <c r="V11" i="12"/>
  <c r="W11" i="12"/>
  <c r="X11" i="12"/>
  <c r="Y11" i="12"/>
  <c r="Z11" i="12"/>
  <c r="AA11" i="12"/>
  <c r="V12" i="12"/>
  <c r="W12" i="12"/>
  <c r="X12" i="12"/>
  <c r="Y12" i="12"/>
  <c r="Z12" i="12"/>
  <c r="AA12" i="12"/>
  <c r="V13" i="12"/>
  <c r="W13" i="12"/>
  <c r="X13" i="12"/>
  <c r="Y13" i="12"/>
  <c r="Z13" i="12"/>
  <c r="AA13" i="12"/>
  <c r="V14" i="12"/>
  <c r="W14" i="12"/>
  <c r="X14" i="12"/>
  <c r="Y14" i="12"/>
  <c r="Z14" i="12"/>
  <c r="AA14" i="12"/>
  <c r="V15" i="12"/>
  <c r="W15" i="12"/>
  <c r="X15" i="12"/>
  <c r="Y15" i="12"/>
  <c r="Z15" i="12"/>
  <c r="AA15" i="12"/>
  <c r="V16" i="12"/>
  <c r="W16" i="12"/>
  <c r="X16" i="12"/>
  <c r="Y16" i="12"/>
  <c r="Z16" i="12"/>
  <c r="AA16" i="12"/>
  <c r="V17" i="12"/>
  <c r="W17" i="12"/>
  <c r="X17" i="12"/>
  <c r="Y17" i="12"/>
  <c r="Z17" i="12"/>
  <c r="AA17" i="12"/>
  <c r="AC17" i="19" l="1"/>
  <c r="AE16" i="19"/>
  <c r="AD15" i="19"/>
  <c r="AD16" i="19"/>
  <c r="AE11" i="19"/>
  <c r="AE15" i="19"/>
  <c r="AD14" i="19"/>
  <c r="AC13" i="19"/>
  <c r="AE14" i="19"/>
  <c r="AC14" i="19"/>
  <c r="AE17" i="19"/>
  <c r="AE13" i="19"/>
  <c r="AD17" i="19"/>
  <c r="AD13" i="19"/>
  <c r="AD12" i="19"/>
  <c r="AC16" i="19"/>
  <c r="AC12" i="19"/>
  <c r="AD11" i="19"/>
  <c r="AE12" i="19"/>
  <c r="AC15" i="19"/>
  <c r="AC11" i="19"/>
  <c r="V3" i="12"/>
  <c r="V4" i="12"/>
  <c r="V6" i="12"/>
  <c r="V7" i="12"/>
  <c r="V8" i="12"/>
  <c r="V9" i="12"/>
  <c r="V10" i="12"/>
  <c r="AA10" i="12" l="1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O3" i="4" s="1"/>
  <c r="I3" i="4"/>
  <c r="J3" i="4"/>
  <c r="K3" i="4"/>
  <c r="R3" i="4" s="1"/>
  <c r="L3" i="4"/>
  <c r="S3" i="4" s="1"/>
  <c r="M3" i="4"/>
  <c r="T3" i="4" s="1"/>
  <c r="H4" i="4"/>
  <c r="O4" i="4" s="1"/>
  <c r="I4" i="4"/>
  <c r="J4" i="4"/>
  <c r="K4" i="4"/>
  <c r="R4" i="4" s="1"/>
  <c r="L4" i="4"/>
  <c r="S4" i="4" s="1"/>
  <c r="M4" i="4"/>
  <c r="T4" i="4" s="1"/>
  <c r="H5" i="4"/>
  <c r="O5" i="4" s="1"/>
  <c r="I5" i="4"/>
  <c r="J5" i="4"/>
  <c r="K5" i="4"/>
  <c r="R5" i="4" s="1"/>
  <c r="L5" i="4"/>
  <c r="S5" i="4" s="1"/>
  <c r="M5" i="4"/>
  <c r="T5" i="4" s="1"/>
  <c r="H6" i="4"/>
  <c r="O6" i="4" s="1"/>
  <c r="I6" i="4"/>
  <c r="J6" i="4"/>
  <c r="K6" i="4"/>
  <c r="R6" i="4" s="1"/>
  <c r="L6" i="4"/>
  <c r="S6" i="4" s="1"/>
  <c r="M6" i="4"/>
  <c r="T6" i="4" s="1"/>
  <c r="H7" i="4"/>
  <c r="O7" i="4" s="1"/>
  <c r="I7" i="4"/>
  <c r="J7" i="4"/>
  <c r="K7" i="4"/>
  <c r="R7" i="4" s="1"/>
  <c r="L7" i="4"/>
  <c r="S7" i="4" s="1"/>
  <c r="M7" i="4"/>
  <c r="T7" i="4" s="1"/>
  <c r="Q7" i="4" l="1"/>
  <c r="P3" i="4"/>
  <c r="Q3" i="4"/>
  <c r="Q5" i="4"/>
  <c r="P7" i="4"/>
  <c r="P5" i="4"/>
  <c r="Q6" i="4"/>
  <c r="Q4" i="4"/>
  <c r="P6" i="4"/>
  <c r="P4" i="4"/>
  <c r="AB10" i="19"/>
  <c r="AA10" i="19"/>
  <c r="Z10" i="19"/>
  <c r="Y10" i="19"/>
  <c r="X10" i="19"/>
  <c r="AB9" i="19"/>
  <c r="AA9" i="19"/>
  <c r="Z9" i="19"/>
  <c r="Y9" i="19"/>
  <c r="X9" i="19"/>
  <c r="AB8" i="19"/>
  <c r="AA8" i="19"/>
  <c r="Z8" i="19"/>
  <c r="Y8" i="19"/>
  <c r="X8" i="19"/>
  <c r="AB7" i="19"/>
  <c r="AA7" i="19"/>
  <c r="Z7" i="19"/>
  <c r="Y7" i="19"/>
  <c r="X7" i="19"/>
  <c r="AB6" i="19"/>
  <c r="AA6" i="19"/>
  <c r="Z6" i="19"/>
  <c r="Y6" i="19"/>
  <c r="X6" i="19"/>
  <c r="AB5" i="19"/>
  <c r="AA5" i="19"/>
  <c r="Z5" i="19"/>
  <c r="Y5" i="19"/>
  <c r="X5" i="19"/>
  <c r="AB4" i="19"/>
  <c r="AA4" i="19"/>
  <c r="Z4" i="19"/>
  <c r="Y4" i="19"/>
  <c r="X4" i="19"/>
  <c r="AB3" i="19"/>
  <c r="AL4" i="19" s="1" a="1"/>
  <c r="AL4" i="19" s="1"/>
  <c r="AA3" i="19"/>
  <c r="Z3" i="19"/>
  <c r="AJ4" i="19" s="1" a="1"/>
  <c r="AJ4" i="19" s="1"/>
  <c r="Y3" i="19"/>
  <c r="X3" i="19"/>
  <c r="H8" i="4"/>
  <c r="O8" i="4" s="1"/>
  <c r="I8" i="4"/>
  <c r="J8" i="4"/>
  <c r="Q8" i="4" s="1"/>
  <c r="K8" i="4"/>
  <c r="R8" i="4" s="1"/>
  <c r="L8" i="4"/>
  <c r="S8" i="4" s="1"/>
  <c r="M8" i="4"/>
  <c r="T8" i="4" s="1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K4" i="19" l="1" a="1"/>
  <c r="AK4" i="19" s="1"/>
  <c r="AH4" i="19" a="1"/>
  <c r="AH4" i="19" s="1"/>
  <c r="AI4" i="19" a="1"/>
  <c r="AI4" i="19" s="1"/>
  <c r="P8" i="4"/>
  <c r="W8" i="19"/>
  <c r="AC8" i="19" s="1"/>
  <c r="W6" i="19"/>
  <c r="AC6" i="19" s="1"/>
  <c r="W9" i="19"/>
  <c r="AC9" i="19" s="1"/>
  <c r="W3" i="19"/>
  <c r="W4" i="19"/>
  <c r="W7" i="19"/>
  <c r="AC7" i="19" s="1"/>
  <c r="W5" i="19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G4" i="19" l="1" a="1"/>
  <c r="AG4" i="19" s="1"/>
  <c r="AG7" i="19" s="1"/>
  <c r="AC5" i="19"/>
  <c r="AC4" i="19"/>
  <c r="AC3" i="19"/>
  <c r="AH7" i="19"/>
  <c r="AI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<sst xmlns="http://schemas.openxmlformats.org/spreadsheetml/2006/main" count="134" uniqueCount="44">
  <si>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</si>
  <si>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</si>
  <si>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</si>
  <si>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</si>
  <si>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</si>
  <si>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</si>
  <si>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</si>
  <si>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</si>
  <si>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</si>
  <si>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</si>
  <si>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</si>
  <si>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</si>
  <si>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</si>
  <si>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</si>
  <si>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</si>
  <si>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</si>
  <si>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</si>
  <si>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</si>
  <si>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</si>
  <si>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</si>
  <si>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</si>
  <si>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</si>
  <si>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</si>
  <si>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</si>
  <si>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</si>
  <si>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</si>
  <si>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</si>
  <si>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</si>
  <si>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</si>
  <si>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</si>
  <si>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</si>
  <si>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</si>
  <si>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</si>
  <si>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</si>
  <si>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</si>
  <si>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</si>
  <si>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theta1 (rad)</t>
  </si>
  <si>
    <t>theta2 (rad)</t>
  </si>
  <si>
    <t>{</t>
  </si>
  <si>
    <t>}</t>
  </si>
  <si>
    <t>singular values</t>
  </si>
  <si>
    <t>Axis Conversion</t>
  </si>
  <si>
    <t xml:space="preserve"> Transformation</t>
  </si>
  <si>
    <t>Sensor Offset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</si>
</sst>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8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1" fontId="4" fillId="8" borderId="1" xfId="0" applyNumberFormat="1" applyFont="1" applyFill="1" applyBorder="1"/>
    <xf numFmtId="11" fontId="4" fillId="8" borderId="13" xfId="0" applyNumberFormat="1" applyFont="1" applyFill="1" applyBorder="1"/>
    <xf numFmtId="11" fontId="4" fillId="8" borderId="0" xfId="0" applyNumberFormat="1" applyFont="1" applyFill="1"/>
    <xf numFmtId="0" fontId="3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0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B19"/>
  <sheetViews>
    <sheetView tabSelected="1" workbookViewId="0">
      <selection activeCell="J3" sqref="J3:O3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2" width="11.85546875" bestFit="1" customWidth="1"/>
    <col min="23" max="23" width="8.140625" bestFit="1" customWidth="1"/>
    <col min="24" max="24" width="7.7109375" bestFit="1" customWidth="1"/>
    <col min="25" max="27" width="7.28515625" bestFit="1" customWidth="1"/>
    <col min="28" max="28" width="14.5703125" bestFit="1" customWidth="1"/>
  </cols>
  <sheetData>
    <row r="1" spans="1:28" ht="16.5" customHeight="1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22" t="s">
        <v>12</v>
      </c>
      <c r="Q1" s="23"/>
      <c r="R1" s="23"/>
      <c r="S1" s="23"/>
      <c r="T1" s="23"/>
      <c r="U1" s="23"/>
      <c r="V1" s="24" t="s">
        <v>14</v>
      </c>
      <c r="W1" s="25"/>
      <c r="X1" s="25"/>
      <c r="Y1" s="25"/>
      <c r="Z1" s="25"/>
      <c r="AA1" s="26"/>
    </row>
    <row r="2" spans="1:28" ht="16.5" customHeight="1" x14ac:dyDescent="0.25">
      <c r="A2" s="1" t="s">
        <v>22</v>
      </c>
      <c r="B2" s="1" t="s">
        <v>23</v>
      </c>
      <c r="C2" s="1" t="s">
        <v>36</v>
      </c>
      <c r="D2" s="1" t="s">
        <v>24</v>
      </c>
      <c r="E2" s="1" t="s">
        <v>25</v>
      </c>
      <c r="F2" s="1" t="s">
        <v>37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7" t="s">
        <v>40</v>
      </c>
    </row>
    <row r="3" spans="1:28" s="5" customFormat="1" ht="16.5" customHeight="1" x14ac:dyDescent="0.25">
      <c r="A3" s="6">
        <v>1.2</v>
      </c>
      <c r="B3" s="6">
        <v>0.16</v>
      </c>
      <c r="C3" s="6">
        <f>3*PI()/2</f>
        <v>4.7123889803846897</v>
      </c>
      <c r="D3" s="6">
        <v>0.4</v>
      </c>
      <c r="E3" s="6">
        <v>0.6</v>
      </c>
      <c r="F3" s="6">
        <f>5*PI()/4</f>
        <v>3.9269908169872414</v>
      </c>
      <c r="G3" s="6">
        <v>0</v>
      </c>
      <c r="H3" s="6">
        <v>0</v>
      </c>
      <c r="I3" s="6">
        <v>0</v>
      </c>
      <c r="J3" s="9">
        <v>-6.29645027220249E-3</v>
      </c>
      <c r="K3" s="9">
        <v>0.21362902164459238</v>
      </c>
      <c r="L3" s="9">
        <v>-4.2147349715232908E-2</v>
      </c>
      <c r="M3" s="9">
        <v>-0.38565659523010298</v>
      </c>
      <c r="N3" s="9">
        <v>-0.46702080965042098</v>
      </c>
      <c r="O3" s="9">
        <v>-1.3220586776733401</v>
      </c>
      <c r="P3" s="12">
        <v>-4.0000000000000002E-4</v>
      </c>
      <c r="Q3" s="12">
        <v>0.2016</v>
      </c>
      <c r="R3" s="12">
        <v>-1.72E-2</v>
      </c>
      <c r="S3" s="12">
        <v>-0.53080000000000005</v>
      </c>
      <c r="T3" s="12">
        <v>-0.28299999999999997</v>
      </c>
      <c r="U3" s="12">
        <v>-1.3714999999999999</v>
      </c>
      <c r="V3" s="5">
        <f t="shared" ref="V3:AA3" si="0">J3-P3</f>
        <v>-5.8964502722024898E-3</v>
      </c>
      <c r="W3" s="5">
        <f t="shared" si="0"/>
        <v>1.202902164459238E-2</v>
      </c>
      <c r="X3" s="5">
        <f t="shared" si="0"/>
        <v>-2.4947349715232908E-2</v>
      </c>
      <c r="Y3" s="5">
        <f t="shared" si="0"/>
        <v>0.14514340476989707</v>
      </c>
      <c r="Z3" s="5">
        <f t="shared" si="0"/>
        <v>-0.184020809650421</v>
      </c>
      <c r="AA3" s="5">
        <f t="shared" si="0"/>
        <v>4.9441322326659876E-2</v>
      </c>
      <c r="AB3" s="14">
        <v>2.42</v>
      </c>
    </row>
    <row r="4" spans="1:28" s="5" customFormat="1" ht="16.5" customHeight="1" x14ac:dyDescent="0.25">
      <c r="J4" s="9"/>
      <c r="K4" s="9"/>
      <c r="L4" s="9"/>
      <c r="M4" s="9"/>
      <c r="N4" s="9"/>
      <c r="O4" s="9"/>
      <c r="P4" s="12"/>
      <c r="Q4" s="12"/>
      <c r="R4" s="12"/>
      <c r="S4" s="12"/>
      <c r="T4" s="12"/>
      <c r="U4" s="12"/>
      <c r="V4" s="5">
        <f t="shared" ref="V4:V10" si="1">J4-P4</f>
        <v>0</v>
      </c>
      <c r="W4" s="5">
        <f t="shared" ref="W4:W10" si="2">K4-Q4</f>
        <v>0</v>
      </c>
      <c r="X4" s="5">
        <f t="shared" ref="X4:X10" si="3">L4-R4</f>
        <v>0</v>
      </c>
      <c r="Y4" s="5">
        <f t="shared" ref="Y4:Y10" si="4">M4-S4</f>
        <v>0</v>
      </c>
      <c r="Z4" s="5">
        <f t="shared" ref="Z4:Z10" si="5">N4-T4</f>
        <v>0</v>
      </c>
      <c r="AA4" s="5">
        <f t="shared" ref="AA4:AA10" si="6">O4-U4</f>
        <v>0</v>
      </c>
      <c r="AB4" s="15">
        <v>2.2799999999999998</v>
      </c>
    </row>
    <row r="5" spans="1:28" s="5" customFormat="1" ht="16.5" customHeight="1" x14ac:dyDescent="0.25">
      <c r="J5" s="9"/>
      <c r="K5" s="9"/>
      <c r="L5" s="9"/>
      <c r="M5" s="9"/>
      <c r="N5" s="9"/>
      <c r="O5" s="9"/>
      <c r="P5" s="12"/>
      <c r="Q5" s="12"/>
      <c r="R5" s="12"/>
      <c r="S5" s="12"/>
      <c r="T5" s="12"/>
      <c r="U5" s="12"/>
      <c r="V5" s="5">
        <f t="shared" ref="V5" si="7">J5-P5</f>
        <v>0</v>
      </c>
      <c r="W5" s="5">
        <f t="shared" ref="W5" si="8">K5-Q5</f>
        <v>0</v>
      </c>
      <c r="X5" s="5">
        <f t="shared" ref="X5" si="9">L5-R5</f>
        <v>0</v>
      </c>
      <c r="Y5" s="5">
        <f t="shared" ref="Y5" si="10">M5-S5</f>
        <v>0</v>
      </c>
      <c r="Z5" s="5">
        <f t="shared" ref="Z5" si="11">N5-T5</f>
        <v>0</v>
      </c>
      <c r="AA5" s="5">
        <f t="shared" ref="AA5" si="12">O5-U5</f>
        <v>0</v>
      </c>
      <c r="AB5" s="15">
        <v>2.2132070000000001</v>
      </c>
    </row>
    <row r="6" spans="1:28" s="5" customFormat="1" ht="16.5" customHeight="1" x14ac:dyDescent="0.25">
      <c r="J6" s="9"/>
      <c r="K6" s="9"/>
      <c r="L6" s="9"/>
      <c r="M6" s="9"/>
      <c r="N6" s="9"/>
      <c r="O6" s="9"/>
      <c r="P6" s="12"/>
      <c r="Q6" s="12"/>
      <c r="R6" s="12"/>
      <c r="S6" s="12"/>
      <c r="T6" s="12"/>
      <c r="U6" s="12"/>
      <c r="V6" s="5">
        <f t="shared" ref="V6:AA7" si="13">J6-P6</f>
        <v>0</v>
      </c>
      <c r="W6" s="5">
        <f t="shared" si="13"/>
        <v>0</v>
      </c>
      <c r="X6" s="5">
        <f t="shared" si="13"/>
        <v>0</v>
      </c>
      <c r="Y6" s="5">
        <f t="shared" si="13"/>
        <v>0</v>
      </c>
      <c r="Z6" s="5">
        <f t="shared" si="13"/>
        <v>0</v>
      </c>
      <c r="AA6" s="5">
        <f t="shared" si="13"/>
        <v>0</v>
      </c>
      <c r="AB6" s="14">
        <v>1.89</v>
      </c>
    </row>
    <row r="7" spans="1:28" s="5" customFormat="1" ht="16.5" customHeight="1" x14ac:dyDescent="0.25">
      <c r="A7" s="6"/>
      <c r="B7" s="6"/>
      <c r="C7" s="6"/>
      <c r="D7" s="6"/>
      <c r="E7" s="6"/>
      <c r="F7" s="6"/>
      <c r="G7" s="6"/>
      <c r="H7" s="6"/>
      <c r="I7" s="6"/>
      <c r="J7" s="9"/>
      <c r="K7" s="9"/>
      <c r="L7" s="9"/>
      <c r="M7" s="9"/>
      <c r="N7" s="9"/>
      <c r="O7" s="9"/>
      <c r="P7" s="12"/>
      <c r="Q7" s="12"/>
      <c r="R7" s="12"/>
      <c r="S7" s="12"/>
      <c r="T7" s="12"/>
      <c r="U7" s="12"/>
      <c r="V7" s="5">
        <f t="shared" si="13"/>
        <v>0</v>
      </c>
      <c r="W7" s="5">
        <f t="shared" si="13"/>
        <v>0</v>
      </c>
      <c r="X7" s="5">
        <f t="shared" si="13"/>
        <v>0</v>
      </c>
      <c r="Y7" s="5">
        <f t="shared" si="13"/>
        <v>0</v>
      </c>
      <c r="Z7" s="5">
        <f t="shared" si="13"/>
        <v>0</v>
      </c>
      <c r="AA7" s="5">
        <f t="shared" si="13"/>
        <v>0</v>
      </c>
      <c r="AB7" s="14">
        <v>1.1000000000000001</v>
      </c>
    </row>
    <row r="8" spans="1:28" s="5" customFormat="1" ht="16.5" customHeight="1" x14ac:dyDescent="0.25">
      <c r="A8" s="6"/>
      <c r="B8" s="6"/>
      <c r="C8" s="6"/>
      <c r="D8" s="6"/>
      <c r="E8" s="6"/>
      <c r="F8" s="6"/>
      <c r="G8" s="6"/>
      <c r="H8" s="6"/>
      <c r="I8" s="6"/>
      <c r="J8" s="9"/>
      <c r="K8" s="9"/>
      <c r="L8" s="9"/>
      <c r="M8" s="9"/>
      <c r="N8" s="9"/>
      <c r="O8" s="9"/>
      <c r="P8" s="12"/>
      <c r="Q8" s="12"/>
      <c r="R8" s="12"/>
      <c r="S8" s="12"/>
      <c r="T8" s="12"/>
      <c r="U8" s="12"/>
      <c r="V8" s="5">
        <f t="shared" si="1"/>
        <v>0</v>
      </c>
      <c r="W8" s="5">
        <f t="shared" si="2"/>
        <v>0</v>
      </c>
      <c r="X8" s="5">
        <f t="shared" si="3"/>
        <v>0</v>
      </c>
      <c r="Y8" s="5">
        <f t="shared" si="4"/>
        <v>0</v>
      </c>
      <c r="Z8" s="5">
        <f t="shared" si="5"/>
        <v>0</v>
      </c>
      <c r="AA8" s="5">
        <f t="shared" si="6"/>
        <v>0</v>
      </c>
      <c r="AB8" s="16">
        <v>0.91600000000000004</v>
      </c>
    </row>
    <row r="9" spans="1:28" s="5" customFormat="1" ht="16.5" customHeight="1" x14ac:dyDescent="0.25">
      <c r="A9" s="6"/>
      <c r="B9" s="6"/>
      <c r="C9" s="6"/>
      <c r="D9" s="6"/>
      <c r="E9" s="6"/>
      <c r="F9" s="6"/>
      <c r="G9" s="6"/>
      <c r="H9" s="6"/>
      <c r="I9" s="6"/>
      <c r="J9" s="9"/>
      <c r="K9" s="9"/>
      <c r="L9" s="9"/>
      <c r="M9" s="9"/>
      <c r="N9" s="9"/>
      <c r="O9" s="9"/>
      <c r="P9" s="12"/>
      <c r="Q9" s="12"/>
      <c r="R9" s="12"/>
      <c r="S9" s="12"/>
      <c r="T9" s="12"/>
      <c r="U9" s="12"/>
      <c r="V9" s="5">
        <f t="shared" si="1"/>
        <v>0</v>
      </c>
      <c r="W9" s="5">
        <f t="shared" si="2"/>
        <v>0</v>
      </c>
      <c r="X9" s="5">
        <f t="shared" si="3"/>
        <v>0</v>
      </c>
      <c r="Y9" s="5">
        <f t="shared" si="4"/>
        <v>0</v>
      </c>
      <c r="Z9" s="5">
        <f t="shared" si="5"/>
        <v>0</v>
      </c>
      <c r="AA9" s="5">
        <f t="shared" si="6"/>
        <v>0</v>
      </c>
      <c r="AB9" s="16">
        <v>0.68600000000000005</v>
      </c>
    </row>
    <row r="10" spans="1:28" s="5" customFormat="1" ht="16.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12"/>
      <c r="Q10" s="12"/>
      <c r="R10" s="12"/>
      <c r="S10" s="12"/>
      <c r="T10" s="12"/>
      <c r="U10" s="12"/>
      <c r="V10" s="5">
        <f t="shared" si="1"/>
        <v>0</v>
      </c>
      <c r="W10" s="5">
        <f t="shared" si="2"/>
        <v>0</v>
      </c>
      <c r="X10" s="5">
        <f t="shared" si="3"/>
        <v>0</v>
      </c>
      <c r="Y10" s="5">
        <f t="shared" si="4"/>
        <v>0</v>
      </c>
      <c r="Z10" s="5">
        <f t="shared" si="5"/>
        <v>0</v>
      </c>
      <c r="AA10" s="5">
        <f t="shared" si="6"/>
        <v>0</v>
      </c>
      <c r="AB10" s="16">
        <v>0.61099999999999999</v>
      </c>
    </row>
    <row r="11" spans="1:28" ht="16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9"/>
      <c r="K11" s="9"/>
      <c r="L11" s="9"/>
      <c r="M11" s="9"/>
      <c r="N11" s="9"/>
      <c r="O11" s="9"/>
      <c r="P11" s="12"/>
      <c r="Q11" s="12"/>
      <c r="R11" s="12"/>
      <c r="S11" s="12"/>
      <c r="T11" s="12"/>
      <c r="U11" s="12"/>
      <c r="V11" s="5">
        <f t="shared" ref="V11:V17" si="14">J11-P11</f>
        <v>0</v>
      </c>
      <c r="W11" s="5">
        <f t="shared" ref="W11:W17" si="15">K11-Q11</f>
        <v>0</v>
      </c>
      <c r="X11" s="5">
        <f t="shared" ref="X11:X17" si="16">L11-R11</f>
        <v>0</v>
      </c>
      <c r="Y11" s="5">
        <f t="shared" ref="Y11:Y17" si="17">M11-S11</f>
        <v>0</v>
      </c>
      <c r="Z11" s="5">
        <f t="shared" ref="Z11:Z17" si="18">N11-T11</f>
        <v>0</v>
      </c>
      <c r="AA11" s="5">
        <f t="shared" ref="AA11:AA17" si="19">O11-U11</f>
        <v>0</v>
      </c>
      <c r="AB11" s="16">
        <v>0.58299999999999996</v>
      </c>
    </row>
    <row r="12" spans="1:28" ht="16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9"/>
      <c r="K12" s="9"/>
      <c r="L12" s="9"/>
      <c r="M12" s="9"/>
      <c r="N12" s="9"/>
      <c r="O12" s="9"/>
      <c r="P12" s="12"/>
      <c r="Q12" s="12"/>
      <c r="R12" s="12"/>
      <c r="S12" s="12"/>
      <c r="T12" s="12"/>
      <c r="U12" s="12"/>
      <c r="V12" s="5">
        <f t="shared" si="14"/>
        <v>0</v>
      </c>
      <c r="W12" s="5">
        <f t="shared" si="15"/>
        <v>0</v>
      </c>
      <c r="X12" s="5">
        <f t="shared" si="16"/>
        <v>0</v>
      </c>
      <c r="Y12" s="5">
        <f t="shared" si="17"/>
        <v>0</v>
      </c>
      <c r="Z12" s="5">
        <f t="shared" si="18"/>
        <v>0</v>
      </c>
      <c r="AA12" s="5">
        <f t="shared" si="19"/>
        <v>0</v>
      </c>
      <c r="AB12" s="16">
        <v>0.54100000000000004</v>
      </c>
    </row>
    <row r="13" spans="1:28" ht="16.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9"/>
      <c r="K13" s="9"/>
      <c r="L13" s="9"/>
      <c r="M13" s="9"/>
      <c r="N13" s="9"/>
      <c r="O13" s="9"/>
      <c r="P13" s="12"/>
      <c r="Q13" s="12"/>
      <c r="R13" s="12"/>
      <c r="S13" s="12"/>
      <c r="T13" s="12"/>
      <c r="U13" s="12"/>
      <c r="V13" s="5">
        <f t="shared" si="14"/>
        <v>0</v>
      </c>
      <c r="W13" s="5">
        <f t="shared" si="15"/>
        <v>0</v>
      </c>
      <c r="X13" s="5">
        <f t="shared" si="16"/>
        <v>0</v>
      </c>
      <c r="Y13" s="5">
        <f t="shared" si="17"/>
        <v>0</v>
      </c>
      <c r="Z13" s="5">
        <f t="shared" si="18"/>
        <v>0</v>
      </c>
      <c r="AA13" s="5">
        <f t="shared" si="19"/>
        <v>0</v>
      </c>
      <c r="AB13" s="16">
        <v>0.254</v>
      </c>
    </row>
    <row r="14" spans="1:28" ht="16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9"/>
      <c r="K14" s="9"/>
      <c r="L14" s="9"/>
      <c r="M14" s="9"/>
      <c r="N14" s="9"/>
      <c r="O14" s="9"/>
      <c r="P14" s="12"/>
      <c r="Q14" s="12"/>
      <c r="R14" s="12"/>
      <c r="S14" s="12"/>
      <c r="T14" s="12"/>
      <c r="U14" s="12"/>
      <c r="V14" s="5">
        <f t="shared" si="14"/>
        <v>0</v>
      </c>
      <c r="W14" s="5">
        <f t="shared" si="15"/>
        <v>0</v>
      </c>
      <c r="X14" s="5">
        <f t="shared" si="16"/>
        <v>0</v>
      </c>
      <c r="Y14" s="5">
        <f t="shared" si="17"/>
        <v>0</v>
      </c>
      <c r="Z14" s="5">
        <f t="shared" si="18"/>
        <v>0</v>
      </c>
      <c r="AA14" s="5">
        <f t="shared" si="19"/>
        <v>0</v>
      </c>
      <c r="AB14" s="16">
        <v>0.191</v>
      </c>
    </row>
    <row r="15" spans="1:28" ht="16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9"/>
      <c r="K15" s="9"/>
      <c r="L15" s="9"/>
      <c r="M15" s="9"/>
      <c r="N15" s="9"/>
      <c r="O15" s="9"/>
      <c r="P15" s="12"/>
      <c r="Q15" s="12"/>
      <c r="R15" s="12"/>
      <c r="S15" s="12"/>
      <c r="T15" s="12"/>
      <c r="U15" s="12"/>
      <c r="V15" s="5">
        <f t="shared" si="14"/>
        <v>0</v>
      </c>
      <c r="W15" s="5">
        <f t="shared" si="15"/>
        <v>0</v>
      </c>
      <c r="X15" s="5">
        <f t="shared" si="16"/>
        <v>0</v>
      </c>
      <c r="Y15" s="5">
        <f t="shared" si="17"/>
        <v>0</v>
      </c>
      <c r="Z15" s="5">
        <f t="shared" si="18"/>
        <v>0</v>
      </c>
      <c r="AA15" s="5">
        <f t="shared" si="19"/>
        <v>0</v>
      </c>
      <c r="AB15" s="16">
        <v>0.17499999999999999</v>
      </c>
    </row>
    <row r="16" spans="1:28" ht="16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9"/>
      <c r="K16" s="9"/>
      <c r="L16" s="9"/>
      <c r="M16" s="9"/>
      <c r="N16" s="9"/>
      <c r="O16" s="9"/>
      <c r="P16" s="12"/>
      <c r="Q16" s="12"/>
      <c r="R16" s="12"/>
      <c r="S16" s="12"/>
      <c r="T16" s="12"/>
      <c r="U16" s="12"/>
      <c r="V16" s="5">
        <f t="shared" si="14"/>
        <v>0</v>
      </c>
      <c r="W16" s="5">
        <f t="shared" si="15"/>
        <v>0</v>
      </c>
      <c r="X16" s="5">
        <f t="shared" si="16"/>
        <v>0</v>
      </c>
      <c r="Y16" s="5">
        <f t="shared" si="17"/>
        <v>0</v>
      </c>
      <c r="Z16" s="5">
        <f t="shared" si="18"/>
        <v>0</v>
      </c>
      <c r="AA16" s="5">
        <f t="shared" si="19"/>
        <v>0</v>
      </c>
      <c r="AB16" s="16">
        <v>0.159</v>
      </c>
    </row>
    <row r="17" spans="1:28" ht="16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9"/>
      <c r="K17" s="9"/>
      <c r="L17" s="9"/>
      <c r="M17" s="9"/>
      <c r="N17" s="9"/>
      <c r="O17" s="9"/>
      <c r="P17" s="12"/>
      <c r="Q17" s="12"/>
      <c r="R17" s="12"/>
      <c r="S17" s="12"/>
      <c r="T17" s="12"/>
      <c r="U17" s="12"/>
      <c r="V17" s="5">
        <f t="shared" si="14"/>
        <v>0</v>
      </c>
      <c r="W17" s="5">
        <f t="shared" si="15"/>
        <v>0</v>
      </c>
      <c r="X17" s="5">
        <f t="shared" si="16"/>
        <v>0</v>
      </c>
      <c r="Y17" s="5">
        <f t="shared" si="17"/>
        <v>0</v>
      </c>
      <c r="Z17" s="5">
        <f t="shared" si="18"/>
        <v>0</v>
      </c>
      <c r="AA17" s="5">
        <f t="shared" si="19"/>
        <v>0</v>
      </c>
      <c r="AB17" s="16">
        <v>5.8900000000000001E-2</v>
      </c>
    </row>
    <row r="19" spans="1:28" ht="16.5" customHeight="1" x14ac:dyDescent="0.25">
      <c r="V19" s="17"/>
      <c r="W19" s="17"/>
      <c r="X19" s="17"/>
      <c r="Y19" s="17"/>
      <c r="Z19" s="17"/>
      <c r="AA19" s="17"/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L17"/>
  <sheetViews>
    <sheetView workbookViewId="0">
      <pane ySplit="2" topLeftCell="A3" activePane="bottomLeft" state="frozen"/>
      <selection activeCell="K1" sqref="K1"/>
      <selection pane="bottomLeft" activeCell="I37" sqref="I3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5.140625" bestFit="1" customWidth="1"/>
    <col min="33" max="33" width="12" bestFit="1" customWidth="1"/>
    <col min="34" max="34" width="13.85546875" bestFit="1" customWidth="1"/>
    <col min="35" max="35" width="11.85546875" bestFit="1" customWidth="1"/>
    <col min="38" max="38" width="11.85546875" bestFit="1" customWidth="1"/>
  </cols>
  <sheetData>
    <row r="1" spans="1:38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32" t="s">
        <v>7</v>
      </c>
      <c r="Q1" s="33"/>
      <c r="R1" s="33"/>
      <c r="S1" s="33"/>
      <c r="T1" s="33"/>
      <c r="U1" s="33"/>
      <c r="V1" s="33"/>
      <c r="W1" s="29" t="s">
        <v>13</v>
      </c>
      <c r="X1" s="29"/>
      <c r="Y1" s="29"/>
      <c r="Z1" s="29"/>
      <c r="AA1" s="29"/>
      <c r="AB1" s="29"/>
      <c r="AC1" s="30" t="s">
        <v>31</v>
      </c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5.75" x14ac:dyDescent="0.25">
      <c r="A2" s="1" t="s">
        <v>22</v>
      </c>
      <c r="B2" s="1" t="s">
        <v>23</v>
      </c>
      <c r="C2" s="1" t="s">
        <v>36</v>
      </c>
      <c r="D2" s="1" t="s">
        <v>24</v>
      </c>
      <c r="E2" s="1" t="s">
        <v>25</v>
      </c>
      <c r="F2" s="1" t="s">
        <v>37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36</v>
      </c>
      <c r="S2" s="1" t="s">
        <v>24</v>
      </c>
      <c r="T2" s="1" t="s">
        <v>25</v>
      </c>
      <c r="U2" s="1" t="s">
        <v>37</v>
      </c>
      <c r="V2" s="2" t="s">
        <v>32</v>
      </c>
      <c r="W2" s="3" t="s">
        <v>22</v>
      </c>
      <c r="X2" s="1" t="s">
        <v>23</v>
      </c>
      <c r="Y2" s="1" t="s">
        <v>36</v>
      </c>
      <c r="Z2" s="1" t="s">
        <v>24</v>
      </c>
      <c r="AA2" s="1" t="s">
        <v>25</v>
      </c>
      <c r="AB2" s="1" t="s">
        <v>37</v>
      </c>
      <c r="AC2" s="7" t="s">
        <v>28</v>
      </c>
      <c r="AD2" s="7" t="s">
        <v>29</v>
      </c>
      <c r="AE2" s="7" t="s">
        <v>30</v>
      </c>
      <c r="AF2" s="7" t="s">
        <v>40</v>
      </c>
      <c r="AG2" s="31" t="s">
        <v>26</v>
      </c>
      <c r="AH2" s="31"/>
      <c r="AI2" s="31"/>
      <c r="AJ2" s="31"/>
      <c r="AK2" s="31"/>
      <c r="AL2" s="31"/>
    </row>
    <row r="3" spans="1:38" ht="15.75" x14ac:dyDescent="0.25">
      <c r="A3" s="5">
        <f>'Proximal Validation'!A3</f>
        <v>1.2</v>
      </c>
      <c r="B3" s="5">
        <f>'Proximal Validation'!B3</f>
        <v>0.16</v>
      </c>
      <c r="C3" s="5">
        <f>'Proximal Validation'!C3</f>
        <v>4.7123889803846897</v>
      </c>
      <c r="D3" s="5">
        <f>'Proximal Validation'!D3</f>
        <v>0.4</v>
      </c>
      <c r="E3" s="5">
        <f>'Proximal Validation'!E3</f>
        <v>0.6</v>
      </c>
      <c r="F3" s="5">
        <f>'Proximal Validation'!F3</f>
        <v>3.9269908169872414</v>
      </c>
      <c r="G3" s="5">
        <f>'Proximal Validation'!G3</f>
        <v>0</v>
      </c>
      <c r="H3" s="5">
        <f>'Proximal Validation'!H3</f>
        <v>0</v>
      </c>
      <c r="I3" s="5">
        <f>'Proximal Validation'!I3</f>
        <v>0</v>
      </c>
      <c r="J3" s="5">
        <f>'Proximal Validation'!J3</f>
        <v>-6.29645027220249E-3</v>
      </c>
      <c r="K3" s="5">
        <f>'Proximal Validation'!K3</f>
        <v>0.21362902164459238</v>
      </c>
      <c r="L3" s="5">
        <f>'Proximal Validation'!L3</f>
        <v>-4.2147349715232908E-2</v>
      </c>
      <c r="M3" s="5">
        <f>'Proximal Validation'!M3</f>
        <v>-0.38565659523010298</v>
      </c>
      <c r="N3" s="5">
        <f>'Proximal Validation'!N3</f>
        <v>-0.46702080965042098</v>
      </c>
      <c r="O3" s="5">
        <f>'Proximal Validation'!O3</f>
        <v>-1.3220586776733401</v>
      </c>
      <c r="P3" s="5"/>
      <c r="Q3" s="5"/>
      <c r="R3" s="5"/>
      <c r="S3" s="5"/>
      <c r="T3" s="5"/>
      <c r="U3" s="5"/>
      <c r="V3" s="12"/>
      <c r="W3" s="5">
        <f t="shared" ref="W3:AB10" si="0">P3-A3</f>
        <v>-1.2</v>
      </c>
      <c r="X3" s="5">
        <f t="shared" si="0"/>
        <v>-0.16</v>
      </c>
      <c r="Y3" s="5">
        <f t="shared" si="0"/>
        <v>-4.7123889803846897</v>
      </c>
      <c r="Z3" s="5">
        <f t="shared" si="0"/>
        <v>-0.4</v>
      </c>
      <c r="AA3" s="5">
        <f t="shared" si="0"/>
        <v>-0.6</v>
      </c>
      <c r="AB3" s="5">
        <f t="shared" si="0"/>
        <v>-3.9269908169872414</v>
      </c>
      <c r="AC3" s="9">
        <f t="shared" ref="AC3:AC10" si="1">AVERAGE(ABS(W3),ABS(Z3))</f>
        <v>0.8</v>
      </c>
      <c r="AD3" s="9">
        <f t="shared" ref="AD3:AD10" si="2">AVERAGE(ABS(X3),ABS(AA3))</f>
        <v>0.38</v>
      </c>
      <c r="AE3" s="9">
        <f t="shared" ref="AE3:AE10" si="3">AVERAGE(ABS(Y3),ABS(AB3))</f>
        <v>4.3196898986859651</v>
      </c>
      <c r="AF3" s="14">
        <v>2.42</v>
      </c>
      <c r="AG3" s="1" t="s">
        <v>22</v>
      </c>
      <c r="AH3" s="1" t="s">
        <v>23</v>
      </c>
      <c r="AI3" s="1" t="s">
        <v>36</v>
      </c>
      <c r="AJ3" s="1" t="s">
        <v>24</v>
      </c>
      <c r="AK3" s="1" t="s">
        <v>25</v>
      </c>
      <c r="AL3" s="1" t="s">
        <v>37</v>
      </c>
    </row>
    <row r="4" spans="1:38" x14ac:dyDescent="0.25">
      <c r="A4" s="5">
        <f>'Proximal Validation'!A4</f>
        <v>0</v>
      </c>
      <c r="B4" s="5">
        <f>'Proximal Validation'!B4</f>
        <v>0</v>
      </c>
      <c r="C4" s="5">
        <f>'Proximal Validation'!C4</f>
        <v>0</v>
      </c>
      <c r="D4" s="5">
        <f>'Proximal Validation'!D4</f>
        <v>0</v>
      </c>
      <c r="E4" s="5">
        <f>'Proximal Validation'!E4</f>
        <v>0</v>
      </c>
      <c r="F4" s="5">
        <f>'Proximal Validation'!F4</f>
        <v>0</v>
      </c>
      <c r="G4" s="5">
        <f>'Proximal Validation'!G4</f>
        <v>0</v>
      </c>
      <c r="H4" s="5">
        <f>'Proximal Validation'!H4</f>
        <v>0</v>
      </c>
      <c r="I4" s="5">
        <f>'Proximal Validation'!I4</f>
        <v>0</v>
      </c>
      <c r="J4" s="5">
        <f>'Proximal Validation'!J4</f>
        <v>0</v>
      </c>
      <c r="K4" s="5">
        <f>'Proximal Validation'!K4</f>
        <v>0</v>
      </c>
      <c r="L4" s="5">
        <f>'Proximal Validation'!L4</f>
        <v>0</v>
      </c>
      <c r="M4" s="5">
        <f>'Proximal Validation'!M4</f>
        <v>0</v>
      </c>
      <c r="N4" s="5">
        <f>'Proximal Validation'!N4</f>
        <v>0</v>
      </c>
      <c r="O4" s="5">
        <f>'Proximal Validation'!O4</f>
        <v>0</v>
      </c>
      <c r="P4" s="5"/>
      <c r="Q4" s="5"/>
      <c r="R4" s="5"/>
      <c r="S4" s="5"/>
      <c r="T4" s="5"/>
      <c r="U4" s="5"/>
      <c r="V4" s="12"/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0</v>
      </c>
      <c r="AC4" s="9">
        <f t="shared" si="1"/>
        <v>0</v>
      </c>
      <c r="AD4" s="9">
        <f t="shared" si="2"/>
        <v>0</v>
      </c>
      <c r="AE4" s="9">
        <f t="shared" si="3"/>
        <v>0</v>
      </c>
      <c r="AF4" s="14">
        <v>2.2799999999999998</v>
      </c>
      <c r="AG4" s="8" cm="1">
        <f t="array" ref="AG4">AVERAGE(ABS(W3),ABS(W7:W10))</f>
        <v>0.24</v>
      </c>
      <c r="AH4" s="8" cm="1">
        <f t="array" ref="AH4">AVERAGE(ABS(X3),ABS(X7:X10))</f>
        <v>3.2000000000000001E-2</v>
      </c>
      <c r="AI4" s="8" cm="1">
        <f t="array" ref="AI4">AVERAGE(ABS(Y3),ABS(Y7:Y10))</f>
        <v>0.94247779607693793</v>
      </c>
      <c r="AJ4" s="8" cm="1">
        <f t="array" ref="AJ4">AVERAGE(ABS(Z3),ABS(Z7:Z10))</f>
        <v>0.08</v>
      </c>
      <c r="AK4" s="8" cm="1">
        <f t="array" ref="AK4">AVERAGE(ABS(AA3),ABS(AA7:AA10))</f>
        <v>0.12</v>
      </c>
      <c r="AL4" s="8" cm="1">
        <f t="array" ref="AL4">AVERAGE(ABS(AB3),ABS(AB7:AB10))</f>
        <v>0.78539816339744828</v>
      </c>
    </row>
    <row r="5" spans="1:38" x14ac:dyDescent="0.25">
      <c r="A5" s="5">
        <f>'Proximal Validation'!A5</f>
        <v>0</v>
      </c>
      <c r="B5" s="5">
        <f>'Proximal Validation'!B5</f>
        <v>0</v>
      </c>
      <c r="C5" s="5">
        <f>'Proximal Validation'!C5</f>
        <v>0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0</v>
      </c>
      <c r="H5" s="5">
        <f>'Proximal Validation'!H5</f>
        <v>0</v>
      </c>
      <c r="I5" s="5">
        <f>'Proximal Validation'!I5</f>
        <v>0</v>
      </c>
      <c r="J5" s="5">
        <f>'Proximal Validation'!J5</f>
        <v>0</v>
      </c>
      <c r="K5" s="5">
        <f>'Proximal Validation'!K5</f>
        <v>0</v>
      </c>
      <c r="L5" s="5">
        <f>'Proximal Validation'!L5</f>
        <v>0</v>
      </c>
      <c r="M5" s="5">
        <f>'Proximal Validation'!M5</f>
        <v>0</v>
      </c>
      <c r="N5" s="5">
        <f>'Proximal Validation'!N5</f>
        <v>0</v>
      </c>
      <c r="O5" s="5">
        <f>'Proximal Validation'!O5</f>
        <v>0</v>
      </c>
      <c r="P5" s="5"/>
      <c r="Q5" s="5"/>
      <c r="R5" s="5"/>
      <c r="S5" s="5"/>
      <c r="T5" s="5"/>
      <c r="U5" s="5"/>
      <c r="V5" s="12"/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10">
        <f t="shared" si="1"/>
        <v>0</v>
      </c>
      <c r="AD5" s="10">
        <f t="shared" si="2"/>
        <v>0</v>
      </c>
      <c r="AE5" s="10">
        <f t="shared" si="3"/>
        <v>0</v>
      </c>
      <c r="AF5" s="15">
        <v>2.2132070000000001</v>
      </c>
      <c r="AG5" s="27" t="s">
        <v>27</v>
      </c>
      <c r="AH5" s="28"/>
      <c r="AI5" s="28"/>
      <c r="AJ5" s="28"/>
      <c r="AK5" s="28"/>
      <c r="AL5" s="28"/>
    </row>
    <row r="6" spans="1:38" x14ac:dyDescent="0.25">
      <c r="A6" s="5">
        <f>'Proximal Validation'!A6</f>
        <v>0</v>
      </c>
      <c r="B6" s="5">
        <f>'Proximal Validation'!B6</f>
        <v>0</v>
      </c>
      <c r="C6" s="5">
        <f>'Proximal Validation'!C6</f>
        <v>0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0</v>
      </c>
      <c r="H6" s="5">
        <f>'Proximal Validation'!H6</f>
        <v>0</v>
      </c>
      <c r="I6" s="5">
        <f>'Proximal Validation'!I6</f>
        <v>0</v>
      </c>
      <c r="J6" s="5">
        <f>'Proximal Validation'!J6</f>
        <v>0</v>
      </c>
      <c r="K6" s="5">
        <f>'Proximal Validation'!K6</f>
        <v>0</v>
      </c>
      <c r="L6" s="5">
        <f>'Proximal Validation'!L6</f>
        <v>0</v>
      </c>
      <c r="M6" s="5">
        <f>'Proximal Validation'!M6</f>
        <v>0</v>
      </c>
      <c r="N6" s="5">
        <f>'Proximal Validation'!N6</f>
        <v>0</v>
      </c>
      <c r="O6" s="5">
        <f>'Proximal Validation'!O6</f>
        <v>0</v>
      </c>
      <c r="P6" s="5"/>
      <c r="Q6" s="5"/>
      <c r="R6" s="5"/>
      <c r="S6" s="5"/>
      <c r="T6" s="5"/>
      <c r="U6" s="5"/>
      <c r="V6" s="12"/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9">
        <f t="shared" si="1"/>
        <v>0</v>
      </c>
      <c r="AD6" s="9">
        <f t="shared" si="2"/>
        <v>0</v>
      </c>
      <c r="AE6" s="9">
        <f t="shared" si="3"/>
        <v>0</v>
      </c>
      <c r="AF6" s="14">
        <v>1.89</v>
      </c>
      <c r="AG6" s="7" t="s">
        <v>28</v>
      </c>
      <c r="AH6" s="7" t="s">
        <v>29</v>
      </c>
      <c r="AI6" s="7" t="s">
        <v>30</v>
      </c>
      <c r="AJ6" s="8"/>
      <c r="AK6" s="8"/>
      <c r="AL6" s="8"/>
    </row>
    <row r="7" spans="1:38" x14ac:dyDescent="0.25">
      <c r="A7" s="5">
        <f>'Proximal Validation'!A7</f>
        <v>0</v>
      </c>
      <c r="B7" s="5">
        <f>'Proximal Validation'!B7</f>
        <v>0</v>
      </c>
      <c r="C7" s="5">
        <f>'Proximal Validation'!C7</f>
        <v>0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0</v>
      </c>
      <c r="H7" s="5">
        <f>'Proximal Validation'!H7</f>
        <v>0</v>
      </c>
      <c r="I7" s="5">
        <f>'Proximal Validation'!I7</f>
        <v>0</v>
      </c>
      <c r="J7" s="5">
        <f>'Proximal Validation'!J7</f>
        <v>0</v>
      </c>
      <c r="K7" s="5">
        <f>'Proximal Validation'!K7</f>
        <v>0</v>
      </c>
      <c r="L7" s="5">
        <f>'Proximal Validation'!L7</f>
        <v>0</v>
      </c>
      <c r="M7" s="5">
        <f>'Proximal Validation'!M7</f>
        <v>0</v>
      </c>
      <c r="N7" s="5">
        <f>'Proximal Validation'!N7</f>
        <v>0</v>
      </c>
      <c r="O7" s="5">
        <f>'Proximal Validation'!O7</f>
        <v>0</v>
      </c>
      <c r="P7" s="5"/>
      <c r="Q7" s="5"/>
      <c r="R7" s="5"/>
      <c r="S7" s="5"/>
      <c r="T7" s="5"/>
      <c r="U7" s="5"/>
      <c r="V7" s="12"/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0</v>
      </c>
      <c r="AB7" s="5">
        <f t="shared" si="0"/>
        <v>0</v>
      </c>
      <c r="AC7" s="9">
        <f t="shared" si="1"/>
        <v>0</v>
      </c>
      <c r="AD7" s="9">
        <f t="shared" si="2"/>
        <v>0</v>
      </c>
      <c r="AE7" s="9">
        <f t="shared" si="3"/>
        <v>0</v>
      </c>
      <c r="AF7" s="14">
        <v>1.1000000000000001</v>
      </c>
      <c r="AG7" s="11">
        <f>AVERAGE(AG4,AJ4)</f>
        <v>0.16</v>
      </c>
      <c r="AH7" s="11">
        <f>AVERAGE(AH4,AK4)</f>
        <v>7.5999999999999998E-2</v>
      </c>
      <c r="AI7" s="11">
        <f>AVERAGE(AI4,AL4)</f>
        <v>0.86393797973719311</v>
      </c>
      <c r="AJ7" s="8"/>
      <c r="AK7" s="8"/>
      <c r="AL7" s="8"/>
    </row>
    <row r="8" spans="1:38" x14ac:dyDescent="0.25">
      <c r="A8" s="5">
        <f>'Proximal Validation'!A8</f>
        <v>0</v>
      </c>
      <c r="B8" s="5">
        <f>'Proximal Validation'!B8</f>
        <v>0</v>
      </c>
      <c r="C8" s="5">
        <f>'Proximal Validation'!C8</f>
        <v>0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0</v>
      </c>
      <c r="H8" s="5">
        <f>'Proximal Validation'!H8</f>
        <v>0</v>
      </c>
      <c r="I8" s="5">
        <f>'Proximal Validation'!I8</f>
        <v>0</v>
      </c>
      <c r="J8" s="5">
        <f>'Proximal Validation'!J8</f>
        <v>0</v>
      </c>
      <c r="K8" s="5">
        <f>'Proximal Validation'!K8</f>
        <v>0</v>
      </c>
      <c r="L8" s="5">
        <f>'Proximal Validation'!L8</f>
        <v>0</v>
      </c>
      <c r="M8" s="5">
        <f>'Proximal Validation'!M8</f>
        <v>0</v>
      </c>
      <c r="N8" s="5">
        <f>'Proximal Validation'!N8</f>
        <v>0</v>
      </c>
      <c r="O8" s="5">
        <f>'Proximal Validation'!O8</f>
        <v>0</v>
      </c>
      <c r="P8" s="5"/>
      <c r="Q8" s="5"/>
      <c r="R8" s="5"/>
      <c r="S8" s="5"/>
      <c r="T8" s="5"/>
      <c r="U8" s="5"/>
      <c r="V8" s="12"/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9">
        <f t="shared" si="1"/>
        <v>0</v>
      </c>
      <c r="AD8" s="9">
        <f t="shared" si="2"/>
        <v>0</v>
      </c>
      <c r="AE8" s="9">
        <f t="shared" si="3"/>
        <v>0</v>
      </c>
      <c r="AF8" s="14">
        <v>0.91600000000000004</v>
      </c>
    </row>
    <row r="9" spans="1:38" x14ac:dyDescent="0.25">
      <c r="A9" s="5">
        <f>'Proximal Validation'!A9</f>
        <v>0</v>
      </c>
      <c r="B9" s="5">
        <f>'Proximal Validation'!B9</f>
        <v>0</v>
      </c>
      <c r="C9" s="5">
        <f>'Proximal Validation'!C9</f>
        <v>0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0</v>
      </c>
      <c r="H9" s="5">
        <f>'Proximal Validation'!H9</f>
        <v>0</v>
      </c>
      <c r="I9" s="5">
        <f>'Proximal Validation'!I9</f>
        <v>0</v>
      </c>
      <c r="J9" s="5">
        <f>'Proximal Validation'!J9</f>
        <v>0</v>
      </c>
      <c r="K9" s="5">
        <f>'Proximal Validation'!K9</f>
        <v>0</v>
      </c>
      <c r="L9" s="5">
        <f>'Proximal Validation'!L9</f>
        <v>0</v>
      </c>
      <c r="M9" s="5">
        <f>'Proximal Validation'!M9</f>
        <v>0</v>
      </c>
      <c r="N9" s="5">
        <f>'Proximal Validation'!N9</f>
        <v>0</v>
      </c>
      <c r="O9" s="5">
        <f>'Proximal Validation'!O9</f>
        <v>0</v>
      </c>
      <c r="P9" s="5"/>
      <c r="Q9" s="5"/>
      <c r="R9" s="5"/>
      <c r="S9" s="5"/>
      <c r="T9" s="5"/>
      <c r="U9" s="5"/>
      <c r="V9" s="12"/>
      <c r="W9" s="5">
        <f t="shared" si="0"/>
        <v>0</v>
      </c>
      <c r="X9" s="5">
        <f t="shared" si="0"/>
        <v>0</v>
      </c>
      <c r="Y9" s="5">
        <f t="shared" si="0"/>
        <v>0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9">
        <f t="shared" si="1"/>
        <v>0</v>
      </c>
      <c r="AD9" s="9">
        <f t="shared" si="2"/>
        <v>0</v>
      </c>
      <c r="AE9" s="9">
        <f t="shared" si="3"/>
        <v>0</v>
      </c>
      <c r="AF9" s="14">
        <v>0.68600000000000005</v>
      </c>
      <c r="AG9" s="13"/>
      <c r="AH9" s="13"/>
      <c r="AI9" s="13"/>
    </row>
    <row r="10" spans="1:38" x14ac:dyDescent="0.25">
      <c r="A10" s="5">
        <f>'Proximal Validation'!A10</f>
        <v>0</v>
      </c>
      <c r="B10" s="5">
        <f>'Proximal Validation'!B10</f>
        <v>0</v>
      </c>
      <c r="C10" s="5">
        <f>'Proximal Validation'!C10</f>
        <v>0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0</v>
      </c>
      <c r="H10" s="5">
        <f>'Proximal Validation'!H10</f>
        <v>0</v>
      </c>
      <c r="I10" s="5">
        <f>'Proximal Validation'!I10</f>
        <v>0</v>
      </c>
      <c r="J10" s="5">
        <f>'Proximal Validation'!J10</f>
        <v>0</v>
      </c>
      <c r="K10" s="5">
        <f>'Proximal Validation'!K10</f>
        <v>0</v>
      </c>
      <c r="L10" s="5">
        <f>'Proximal Validation'!L10</f>
        <v>0</v>
      </c>
      <c r="M10" s="5">
        <f>'Proximal Validation'!M10</f>
        <v>0</v>
      </c>
      <c r="N10" s="5">
        <f>'Proximal Validation'!N10</f>
        <v>0</v>
      </c>
      <c r="O10" s="5">
        <f>'Proximal Validation'!O10</f>
        <v>0</v>
      </c>
      <c r="P10" s="5"/>
      <c r="Q10" s="5"/>
      <c r="R10" s="5"/>
      <c r="S10" s="5"/>
      <c r="T10" s="5"/>
      <c r="U10" s="5"/>
      <c r="V10" s="12"/>
      <c r="W10" s="5">
        <f t="shared" si="0"/>
        <v>0</v>
      </c>
      <c r="X10" s="5">
        <f t="shared" si="0"/>
        <v>0</v>
      </c>
      <c r="Y10" s="5">
        <f t="shared" si="0"/>
        <v>0</v>
      </c>
      <c r="Z10" s="5">
        <f t="shared" si="0"/>
        <v>0</v>
      </c>
      <c r="AA10" s="5">
        <f t="shared" si="0"/>
        <v>0</v>
      </c>
      <c r="AB10" s="5">
        <f t="shared" si="0"/>
        <v>0</v>
      </c>
      <c r="AC10" s="9">
        <f t="shared" si="1"/>
        <v>0</v>
      </c>
      <c r="AD10" s="9">
        <f t="shared" si="2"/>
        <v>0</v>
      </c>
      <c r="AE10" s="9">
        <f t="shared" si="3"/>
        <v>0</v>
      </c>
      <c r="AF10" s="14">
        <v>0.61099999999999999</v>
      </c>
    </row>
    <row r="11" spans="1:38" x14ac:dyDescent="0.25">
      <c r="A11" s="5">
        <f>'Proximal Validation'!A11</f>
        <v>0</v>
      </c>
      <c r="B11" s="5">
        <f>'Proximal Validation'!B11</f>
        <v>0</v>
      </c>
      <c r="C11" s="5">
        <f>'Proximal Validation'!C11</f>
        <v>0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0</v>
      </c>
      <c r="H11" s="5">
        <f>'Proximal Validation'!H11</f>
        <v>0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0</v>
      </c>
      <c r="M11" s="5">
        <f>'Proximal Validation'!M11</f>
        <v>0</v>
      </c>
      <c r="N11" s="5">
        <f>'Proximal Validation'!N11</f>
        <v>0</v>
      </c>
      <c r="O11" s="5">
        <f>'Proximal Validation'!O11</f>
        <v>0</v>
      </c>
      <c r="P11" s="5"/>
      <c r="Q11" s="5"/>
      <c r="R11" s="5"/>
      <c r="S11" s="5"/>
      <c r="T11" s="5"/>
      <c r="U11" s="5"/>
      <c r="V11" s="12"/>
      <c r="W11" s="5">
        <f t="shared" ref="W11:W17" si="4">P11-A11</f>
        <v>0</v>
      </c>
      <c r="X11" s="5">
        <f t="shared" ref="X11:X17" si="5">Q11-B11</f>
        <v>0</v>
      </c>
      <c r="Y11" s="5">
        <f t="shared" ref="Y11:Y17" si="6">R11-C11</f>
        <v>0</v>
      </c>
      <c r="Z11" s="5">
        <f t="shared" ref="Z11:Z17" si="7">S11-D11</f>
        <v>0</v>
      </c>
      <c r="AA11" s="5">
        <f t="shared" ref="AA11:AA17" si="8">T11-E11</f>
        <v>0</v>
      </c>
      <c r="AB11" s="5">
        <f t="shared" ref="AB11:AB17" si="9">U11-F11</f>
        <v>0</v>
      </c>
      <c r="AC11" s="9">
        <f t="shared" ref="AC11:AC17" si="10">AVERAGE(ABS(W11),ABS(Z11))</f>
        <v>0</v>
      </c>
      <c r="AD11" s="9">
        <f t="shared" ref="AD11:AD17" si="11">AVERAGE(ABS(X11),ABS(AA11))</f>
        <v>0</v>
      </c>
      <c r="AE11" s="9">
        <f t="shared" ref="AE11:AE17" si="12">AVERAGE(ABS(Y11),ABS(AB11))</f>
        <v>0</v>
      </c>
      <c r="AF11" s="14">
        <v>0.58299999999999996</v>
      </c>
    </row>
    <row r="12" spans="1:38" x14ac:dyDescent="0.25">
      <c r="A12" s="5">
        <f>'Proximal Validation'!A12</f>
        <v>0</v>
      </c>
      <c r="B12" s="5">
        <f>'Proximal Validation'!B12</f>
        <v>0</v>
      </c>
      <c r="C12" s="5">
        <f>'Proximal Validation'!C12</f>
        <v>0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0</v>
      </c>
      <c r="H12" s="5">
        <f>'Proximal Validation'!H12</f>
        <v>0</v>
      </c>
      <c r="I12" s="5">
        <f>'Proximal Validation'!I12</f>
        <v>0</v>
      </c>
      <c r="J12" s="5">
        <f>'Proximal Validation'!J12</f>
        <v>0</v>
      </c>
      <c r="K12" s="5">
        <f>'Proximal Validation'!K12</f>
        <v>0</v>
      </c>
      <c r="L12" s="5">
        <f>'Proximal Validation'!L12</f>
        <v>0</v>
      </c>
      <c r="M12" s="5">
        <f>'Proximal Validation'!M12</f>
        <v>0</v>
      </c>
      <c r="N12" s="5">
        <f>'Proximal Validation'!N12</f>
        <v>0</v>
      </c>
      <c r="O12" s="5">
        <f>'Proximal Validation'!O12</f>
        <v>0</v>
      </c>
      <c r="P12" s="5"/>
      <c r="Q12" s="5"/>
      <c r="R12" s="5"/>
      <c r="S12" s="5"/>
      <c r="T12" s="5"/>
      <c r="U12" s="5"/>
      <c r="V12" s="12"/>
      <c r="W12" s="5">
        <f t="shared" si="4"/>
        <v>0</v>
      </c>
      <c r="X12" s="5">
        <f t="shared" si="5"/>
        <v>0</v>
      </c>
      <c r="Y12" s="5">
        <f t="shared" si="6"/>
        <v>0</v>
      </c>
      <c r="Z12" s="5">
        <f t="shared" si="7"/>
        <v>0</v>
      </c>
      <c r="AA12" s="5">
        <f t="shared" si="8"/>
        <v>0</v>
      </c>
      <c r="AB12" s="5">
        <f t="shared" si="9"/>
        <v>0</v>
      </c>
      <c r="AC12" s="9">
        <f t="shared" si="10"/>
        <v>0</v>
      </c>
      <c r="AD12" s="9">
        <f t="shared" si="11"/>
        <v>0</v>
      </c>
      <c r="AE12" s="9">
        <f t="shared" si="12"/>
        <v>0</v>
      </c>
      <c r="AF12" s="14">
        <v>0.54100000000000004</v>
      </c>
      <c r="AG12" s="13"/>
      <c r="AH12" s="13"/>
      <c r="AI12" s="13"/>
    </row>
    <row r="13" spans="1:38" x14ac:dyDescent="0.25">
      <c r="A13" s="5">
        <f>'Proximal Validation'!A13</f>
        <v>0</v>
      </c>
      <c r="B13" s="5">
        <f>'Proximal Validation'!B13</f>
        <v>0</v>
      </c>
      <c r="C13" s="5">
        <f>'Proximal Validation'!C13</f>
        <v>0</v>
      </c>
      <c r="D13" s="5">
        <f>'Proximal Validation'!D13</f>
        <v>0</v>
      </c>
      <c r="E13" s="5">
        <f>'Proximal Validation'!E13</f>
        <v>0</v>
      </c>
      <c r="F13" s="5">
        <f>'Proximal Validation'!F13</f>
        <v>0</v>
      </c>
      <c r="G13" s="5">
        <f>'Proximal Validation'!G13</f>
        <v>0</v>
      </c>
      <c r="H13" s="5">
        <f>'Proximal Validation'!H13</f>
        <v>0</v>
      </c>
      <c r="I13" s="5">
        <f>'Proximal Validation'!I13</f>
        <v>0</v>
      </c>
      <c r="J13" s="5">
        <f>'Proximal Validation'!J13</f>
        <v>0</v>
      </c>
      <c r="K13" s="5">
        <f>'Proximal Validation'!K13</f>
        <v>0</v>
      </c>
      <c r="L13" s="5">
        <f>'Proximal Validation'!L13</f>
        <v>0</v>
      </c>
      <c r="M13" s="5">
        <f>'Proximal Validation'!M13</f>
        <v>0</v>
      </c>
      <c r="N13" s="5">
        <f>'Proximal Validation'!N13</f>
        <v>0</v>
      </c>
      <c r="O13" s="5">
        <f>'Proximal Validation'!O13</f>
        <v>0</v>
      </c>
      <c r="P13" s="5"/>
      <c r="Q13" s="5"/>
      <c r="R13" s="5"/>
      <c r="S13" s="5"/>
      <c r="T13" s="5"/>
      <c r="U13" s="5"/>
      <c r="V13" s="12"/>
      <c r="W13" s="5">
        <f t="shared" si="4"/>
        <v>0</v>
      </c>
      <c r="X13" s="5">
        <f t="shared" si="5"/>
        <v>0</v>
      </c>
      <c r="Y13" s="5">
        <f t="shared" si="6"/>
        <v>0</v>
      </c>
      <c r="Z13" s="5">
        <f t="shared" si="7"/>
        <v>0</v>
      </c>
      <c r="AA13" s="5">
        <f t="shared" si="8"/>
        <v>0</v>
      </c>
      <c r="AB13" s="5">
        <f t="shared" si="9"/>
        <v>0</v>
      </c>
      <c r="AC13" s="9">
        <f t="shared" si="10"/>
        <v>0</v>
      </c>
      <c r="AD13" s="9">
        <f t="shared" si="11"/>
        <v>0</v>
      </c>
      <c r="AE13" s="9">
        <f t="shared" si="12"/>
        <v>0</v>
      </c>
      <c r="AF13" s="14">
        <v>0.254</v>
      </c>
    </row>
    <row r="14" spans="1:38" x14ac:dyDescent="0.25">
      <c r="A14" s="5">
        <f>'Proximal Validation'!A14</f>
        <v>0</v>
      </c>
      <c r="B14" s="5">
        <f>'Proximal Validation'!B14</f>
        <v>0</v>
      </c>
      <c r="C14" s="5">
        <f>'Proximal Validation'!C14</f>
        <v>0</v>
      </c>
      <c r="D14" s="5">
        <f>'Proximal Validation'!D14</f>
        <v>0</v>
      </c>
      <c r="E14" s="5">
        <f>'Proximal Validation'!E14</f>
        <v>0</v>
      </c>
      <c r="F14" s="5">
        <f>'Proximal Validation'!F14</f>
        <v>0</v>
      </c>
      <c r="G14" s="5">
        <f>'Proximal Validation'!G14</f>
        <v>0</v>
      </c>
      <c r="H14" s="5">
        <f>'Proximal Validation'!H14</f>
        <v>0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0</v>
      </c>
      <c r="M14" s="5">
        <f>'Proximal Validation'!M14</f>
        <v>0</v>
      </c>
      <c r="N14" s="5">
        <f>'Proximal Validation'!N14</f>
        <v>0</v>
      </c>
      <c r="O14" s="5">
        <f>'Proximal Validation'!O14</f>
        <v>0</v>
      </c>
      <c r="P14" s="5"/>
      <c r="Q14" s="5"/>
      <c r="R14" s="5"/>
      <c r="S14" s="5"/>
      <c r="T14" s="5"/>
      <c r="U14" s="5"/>
      <c r="V14" s="12"/>
      <c r="W14" s="5">
        <f t="shared" si="4"/>
        <v>0</v>
      </c>
      <c r="X14" s="5">
        <f t="shared" si="5"/>
        <v>0</v>
      </c>
      <c r="Y14" s="5">
        <f t="shared" si="6"/>
        <v>0</v>
      </c>
      <c r="Z14" s="5">
        <f t="shared" si="7"/>
        <v>0</v>
      </c>
      <c r="AA14" s="5">
        <f t="shared" si="8"/>
        <v>0</v>
      </c>
      <c r="AB14" s="5">
        <f t="shared" si="9"/>
        <v>0</v>
      </c>
      <c r="AC14" s="9">
        <f t="shared" si="10"/>
        <v>0</v>
      </c>
      <c r="AD14" s="9">
        <f t="shared" si="11"/>
        <v>0</v>
      </c>
      <c r="AE14" s="9">
        <f t="shared" si="12"/>
        <v>0</v>
      </c>
      <c r="AF14" s="14">
        <v>0.191</v>
      </c>
    </row>
    <row r="15" spans="1:38" x14ac:dyDescent="0.25">
      <c r="A15" s="5">
        <f>'Proximal Validation'!A15</f>
        <v>0</v>
      </c>
      <c r="B15" s="5">
        <f>'Proximal Validation'!B15</f>
        <v>0</v>
      </c>
      <c r="C15" s="5">
        <f>'Proximal Validation'!C15</f>
        <v>0</v>
      </c>
      <c r="D15" s="5">
        <f>'Proximal Validation'!D15</f>
        <v>0</v>
      </c>
      <c r="E15" s="5">
        <f>'Proximal Validation'!E15</f>
        <v>0</v>
      </c>
      <c r="F15" s="5">
        <f>'Proximal Validation'!F15</f>
        <v>0</v>
      </c>
      <c r="G15" s="5">
        <f>'Proximal Validation'!G15</f>
        <v>0</v>
      </c>
      <c r="H15" s="5">
        <f>'Proximal Validation'!H15</f>
        <v>0</v>
      </c>
      <c r="I15" s="5">
        <f>'Proximal Validation'!I15</f>
        <v>0</v>
      </c>
      <c r="J15" s="5">
        <f>'Proximal Validation'!J15</f>
        <v>0</v>
      </c>
      <c r="K15" s="5">
        <f>'Proximal Validation'!K15</f>
        <v>0</v>
      </c>
      <c r="L15" s="5">
        <f>'Proximal Validation'!L15</f>
        <v>0</v>
      </c>
      <c r="M15" s="5">
        <f>'Proximal Validation'!M15</f>
        <v>0</v>
      </c>
      <c r="N15" s="5">
        <f>'Proximal Validation'!N15</f>
        <v>0</v>
      </c>
      <c r="O15" s="5">
        <f>'Proximal Validation'!O15</f>
        <v>0</v>
      </c>
      <c r="P15" s="5"/>
      <c r="Q15" s="5"/>
      <c r="R15" s="5"/>
      <c r="S15" s="5"/>
      <c r="T15" s="5"/>
      <c r="U15" s="5"/>
      <c r="V15" s="12"/>
      <c r="W15" s="5">
        <f t="shared" si="4"/>
        <v>0</v>
      </c>
      <c r="X15" s="5">
        <f t="shared" si="5"/>
        <v>0</v>
      </c>
      <c r="Y15" s="5">
        <f t="shared" si="6"/>
        <v>0</v>
      </c>
      <c r="Z15" s="5">
        <f t="shared" si="7"/>
        <v>0</v>
      </c>
      <c r="AA15" s="5">
        <f t="shared" si="8"/>
        <v>0</v>
      </c>
      <c r="AB15" s="5">
        <f t="shared" si="9"/>
        <v>0</v>
      </c>
      <c r="AC15" s="9">
        <f t="shared" si="10"/>
        <v>0</v>
      </c>
      <c r="AD15" s="9">
        <f t="shared" si="11"/>
        <v>0</v>
      </c>
      <c r="AE15" s="9">
        <f t="shared" si="12"/>
        <v>0</v>
      </c>
      <c r="AF15" s="14">
        <v>0.17499999999999999</v>
      </c>
    </row>
    <row r="16" spans="1:38" x14ac:dyDescent="0.25">
      <c r="A16" s="5">
        <f>'Proximal Validation'!A16</f>
        <v>0</v>
      </c>
      <c r="B16" s="5">
        <f>'Proximal Validation'!B16</f>
        <v>0</v>
      </c>
      <c r="C16" s="5">
        <f>'Proximal Validation'!C16</f>
        <v>0</v>
      </c>
      <c r="D16" s="5">
        <f>'Proximal Validation'!D16</f>
        <v>0</v>
      </c>
      <c r="E16" s="5">
        <f>'Proximal Validation'!E16</f>
        <v>0</v>
      </c>
      <c r="F16" s="5">
        <f>'Proximal Validation'!F16</f>
        <v>0</v>
      </c>
      <c r="G16" s="5">
        <f>'Proximal Validation'!G16</f>
        <v>0</v>
      </c>
      <c r="H16" s="5">
        <f>'Proximal Validation'!H16</f>
        <v>0</v>
      </c>
      <c r="I16" s="5">
        <f>'Proximal Validation'!I16</f>
        <v>0</v>
      </c>
      <c r="J16" s="5">
        <f>'Proximal Validation'!J16</f>
        <v>0</v>
      </c>
      <c r="K16" s="5">
        <f>'Proximal Validation'!K16</f>
        <v>0</v>
      </c>
      <c r="L16" s="5">
        <f>'Proximal Validation'!L16</f>
        <v>0</v>
      </c>
      <c r="M16" s="5">
        <f>'Proximal Validation'!M16</f>
        <v>0</v>
      </c>
      <c r="N16" s="5">
        <f>'Proximal Validation'!N16</f>
        <v>0</v>
      </c>
      <c r="O16" s="5">
        <f>'Proximal Validation'!O16</f>
        <v>0</v>
      </c>
      <c r="P16" s="5"/>
      <c r="Q16" s="5"/>
      <c r="R16" s="5"/>
      <c r="S16" s="5"/>
      <c r="T16" s="5"/>
      <c r="U16" s="5"/>
      <c r="V16" s="12"/>
      <c r="W16" s="5">
        <f t="shared" si="4"/>
        <v>0</v>
      </c>
      <c r="X16" s="5">
        <f t="shared" si="5"/>
        <v>0</v>
      </c>
      <c r="Y16" s="5">
        <f t="shared" si="6"/>
        <v>0</v>
      </c>
      <c r="Z16" s="5">
        <f t="shared" si="7"/>
        <v>0</v>
      </c>
      <c r="AA16" s="5">
        <f t="shared" si="8"/>
        <v>0</v>
      </c>
      <c r="AB16" s="5">
        <f t="shared" si="9"/>
        <v>0</v>
      </c>
      <c r="AC16" s="9">
        <f t="shared" si="10"/>
        <v>0</v>
      </c>
      <c r="AD16" s="9">
        <f t="shared" si="11"/>
        <v>0</v>
      </c>
      <c r="AE16" s="9">
        <f t="shared" si="12"/>
        <v>0</v>
      </c>
      <c r="AF16" s="14">
        <v>0.159</v>
      </c>
    </row>
    <row r="17" spans="1:32" x14ac:dyDescent="0.25">
      <c r="A17" s="5">
        <f>'Proximal Validation'!A17</f>
        <v>0</v>
      </c>
      <c r="B17" s="5">
        <f>'Proximal Validation'!B17</f>
        <v>0</v>
      </c>
      <c r="C17" s="5">
        <f>'Proximal Validation'!C17</f>
        <v>0</v>
      </c>
      <c r="D17" s="5">
        <f>'Proximal Validation'!D17</f>
        <v>0</v>
      </c>
      <c r="E17" s="5">
        <f>'Proximal Validation'!E17</f>
        <v>0</v>
      </c>
      <c r="F17" s="5">
        <f>'Proximal Validation'!F17</f>
        <v>0</v>
      </c>
      <c r="G17" s="5">
        <f>'Proximal Validation'!G17</f>
        <v>0</v>
      </c>
      <c r="H17" s="5">
        <f>'Proximal Validation'!H17</f>
        <v>0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0</v>
      </c>
      <c r="M17" s="5">
        <f>'Proximal Validation'!M17</f>
        <v>0</v>
      </c>
      <c r="N17" s="5">
        <f>'Proximal Validation'!N17</f>
        <v>0</v>
      </c>
      <c r="O17" s="5">
        <f>'Proximal Validation'!O17</f>
        <v>0</v>
      </c>
      <c r="P17" s="5"/>
      <c r="Q17" s="5"/>
      <c r="R17" s="5"/>
      <c r="S17" s="5"/>
      <c r="T17" s="5"/>
      <c r="U17" s="5"/>
      <c r="V17" s="12"/>
      <c r="W17" s="5">
        <f t="shared" si="4"/>
        <v>0</v>
      </c>
      <c r="X17" s="5">
        <f t="shared" si="5"/>
        <v>0</v>
      </c>
      <c r="Y17" s="5">
        <f t="shared" si="6"/>
        <v>0</v>
      </c>
      <c r="Z17" s="5">
        <f t="shared" si="7"/>
        <v>0</v>
      </c>
      <c r="AA17" s="5">
        <f t="shared" si="8"/>
        <v>0</v>
      </c>
      <c r="AB17" s="5">
        <f t="shared" si="9"/>
        <v>0</v>
      </c>
      <c r="AC17" s="9">
        <f t="shared" si="10"/>
        <v>0</v>
      </c>
      <c r="AD17" s="9">
        <f t="shared" si="11"/>
        <v>0</v>
      </c>
      <c r="AE17" s="9">
        <f t="shared" si="12"/>
        <v>0</v>
      </c>
      <c r="AF17" s="14">
        <v>5.8900000000000001E-2</v>
      </c>
    </row>
  </sheetData>
  <mergeCells count="7">
    <mergeCell ref="AG5:AL5"/>
    <mergeCell ref="A1:I1"/>
    <mergeCell ref="J1:O1"/>
    <mergeCell ref="W1:AB1"/>
    <mergeCell ref="AC1:AL1"/>
    <mergeCell ref="AG2:AL2"/>
    <mergeCell ref="P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V18"/>
  <sheetViews>
    <sheetView workbookViewId="0">
      <selection activeCell="O3" sqref="O3:T3"/>
    </sheetView>
  </sheetViews>
  <sheetFormatPr defaultRowHeight="15" x14ac:dyDescent="0.25"/>
  <cols>
    <col min="22" max="22" width="17.7109375" bestFit="1" customWidth="1"/>
  </cols>
  <sheetData>
    <row r="1" spans="1:22" ht="15.75" x14ac:dyDescent="0.25">
      <c r="A1" s="34" t="s">
        <v>21</v>
      </c>
      <c r="B1" s="35"/>
      <c r="C1" s="35"/>
      <c r="D1" s="35"/>
      <c r="E1" s="35"/>
      <c r="F1" s="36"/>
      <c r="H1" s="34" t="s">
        <v>41</v>
      </c>
      <c r="I1" s="35"/>
      <c r="J1" s="35"/>
      <c r="K1" s="35"/>
      <c r="L1" s="35"/>
      <c r="M1" s="36"/>
      <c r="O1" s="34" t="s">
        <v>42</v>
      </c>
      <c r="P1" s="35"/>
      <c r="Q1" s="35"/>
      <c r="R1" s="35"/>
      <c r="S1" s="35"/>
      <c r="T1" s="36"/>
    </row>
    <row r="2" spans="1:22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T2" s="3" t="s">
        <v>17</v>
      </c>
      <c r="V2" s="37" t="s">
        <v>43</v>
      </c>
    </row>
    <row r="3" spans="1:22" x14ac:dyDescent="0.25">
      <c r="A3">
        <v>-1.3220586776733401</v>
      </c>
      <c r="B3">
        <v>0.46702080965042098</v>
      </c>
      <c r="C3">
        <v>-0.38565659523010298</v>
      </c>
      <c r="D3">
        <v>-8.4179222583770794E-2</v>
      </c>
      <c r="E3">
        <v>-0.33261430263519298</v>
      </c>
      <c r="F3" s="4">
        <v>-6.29645027220249E-3</v>
      </c>
      <c r="H3">
        <f>$F3</f>
        <v>-6.29645027220249E-3</v>
      </c>
      <c r="I3">
        <f>-1*$E3</f>
        <v>0.33261430263519298</v>
      </c>
      <c r="J3">
        <f>$D3</f>
        <v>-8.4179222583770794E-2</v>
      </c>
      <c r="K3">
        <f>$C3</f>
        <v>-0.38565659523010298</v>
      </c>
      <c r="L3">
        <f>-1*$B3</f>
        <v>-0.46702080965042098</v>
      </c>
      <c r="M3">
        <f>$A3</f>
        <v>-1.3220586776733401</v>
      </c>
      <c r="O3">
        <f>H3</f>
        <v>-6.29645027220249E-3</v>
      </c>
      <c r="P3">
        <f>I3+$V$3*M3</f>
        <v>0.21362902164459238</v>
      </c>
      <c r="Q3">
        <f>J3-$V$3*L3</f>
        <v>-4.2147349715232908E-2</v>
      </c>
      <c r="R3">
        <f>K3</f>
        <v>-0.38565659523010298</v>
      </c>
      <c r="S3">
        <f>L3</f>
        <v>-0.46702080965042098</v>
      </c>
      <c r="T3">
        <f>M3</f>
        <v>-1.3220586776733401</v>
      </c>
      <c r="V3">
        <f>0.09</f>
        <v>0.09</v>
      </c>
    </row>
    <row r="4" spans="1:22" x14ac:dyDescent="0.25">
      <c r="H4">
        <f t="shared" ref="H4:H18" si="0">$F4</f>
        <v>0</v>
      </c>
      <c r="I4">
        <f t="shared" ref="I4:I18" si="1">-1*$E4</f>
        <v>0</v>
      </c>
      <c r="J4">
        <f t="shared" ref="J4:J18" si="2">$D4</f>
        <v>0</v>
      </c>
      <c r="K4">
        <f t="shared" ref="K4:K18" si="3">$C4</f>
        <v>0</v>
      </c>
      <c r="L4">
        <f t="shared" ref="L4:L18" si="4">-1*$B4</f>
        <v>0</v>
      </c>
      <c r="M4">
        <f t="shared" ref="M4:M18" si="5">$A4</f>
        <v>0</v>
      </c>
      <c r="O4">
        <f t="shared" ref="O4:O18" si="6">H4</f>
        <v>0</v>
      </c>
      <c r="P4">
        <f t="shared" ref="P4:P18" si="7">I4+$V$3*M4</f>
        <v>0</v>
      </c>
      <c r="Q4">
        <f t="shared" ref="Q4:Q18" si="8">J4-$V$3*L4</f>
        <v>0</v>
      </c>
      <c r="R4">
        <f t="shared" ref="R4:R18" si="9">K4</f>
        <v>0</v>
      </c>
      <c r="S4">
        <f t="shared" ref="S4:S18" si="10">L4</f>
        <v>0</v>
      </c>
      <c r="T4">
        <f t="shared" ref="T4:T18" si="11">M4</f>
        <v>0</v>
      </c>
    </row>
    <row r="5" spans="1:22" x14ac:dyDescent="0.25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f t="shared" si="10"/>
        <v>0</v>
      </c>
      <c r="T5">
        <f t="shared" si="11"/>
        <v>0</v>
      </c>
    </row>
    <row r="6" spans="1:22" x14ac:dyDescent="0.25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  <c r="S6">
        <f t="shared" si="10"/>
        <v>0</v>
      </c>
      <c r="T6">
        <f t="shared" si="11"/>
        <v>0</v>
      </c>
    </row>
    <row r="7" spans="1:22" x14ac:dyDescent="0.25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f t="shared" si="10"/>
        <v>0</v>
      </c>
      <c r="T7">
        <f t="shared" si="11"/>
        <v>0</v>
      </c>
    </row>
    <row r="8" spans="1:22" x14ac:dyDescent="0.25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  <c r="S8">
        <f t="shared" si="10"/>
        <v>0</v>
      </c>
      <c r="T8">
        <f t="shared" si="11"/>
        <v>0</v>
      </c>
    </row>
    <row r="9" spans="1:22" x14ac:dyDescent="0.2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  <c r="S9">
        <f t="shared" si="10"/>
        <v>0</v>
      </c>
      <c r="T9">
        <f t="shared" si="11"/>
        <v>0</v>
      </c>
    </row>
    <row r="10" spans="1:22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  <c r="S10">
        <f t="shared" si="10"/>
        <v>0</v>
      </c>
      <c r="T10">
        <f t="shared" si="11"/>
        <v>0</v>
      </c>
    </row>
    <row r="11" spans="1:22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  <c r="S11">
        <f t="shared" si="10"/>
        <v>0</v>
      </c>
      <c r="T11">
        <f t="shared" si="11"/>
        <v>0</v>
      </c>
    </row>
    <row r="12" spans="1:22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  <c r="S12">
        <f t="shared" si="10"/>
        <v>0</v>
      </c>
      <c r="T12">
        <f t="shared" si="11"/>
        <v>0</v>
      </c>
    </row>
    <row r="13" spans="1:22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0</v>
      </c>
      <c r="T13">
        <f t="shared" si="11"/>
        <v>0</v>
      </c>
    </row>
    <row r="14" spans="1:22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f t="shared" si="10"/>
        <v>0</v>
      </c>
      <c r="T14">
        <f t="shared" si="11"/>
        <v>0</v>
      </c>
    </row>
    <row r="15" spans="1:22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f t="shared" si="10"/>
        <v>0</v>
      </c>
      <c r="T15">
        <f t="shared" si="11"/>
        <v>0</v>
      </c>
    </row>
    <row r="16" spans="1:22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f t="shared" si="11"/>
        <v>0</v>
      </c>
    </row>
    <row r="17" spans="8:20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f t="shared" si="10"/>
        <v>0</v>
      </c>
      <c r="T17">
        <f t="shared" si="11"/>
        <v>0</v>
      </c>
    </row>
    <row r="18" spans="8:20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f t="shared" si="10"/>
        <v>0</v>
      </c>
      <c r="T18">
        <f t="shared" si="11"/>
        <v>0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D2:AI16"/>
  <sheetViews>
    <sheetView topLeftCell="I1" workbookViewId="0">
      <selection activeCell="AH14" sqref="AH14"/>
    </sheetView>
  </sheetViews>
  <sheetFormatPr defaultRowHeight="15" x14ac:dyDescent="0.25"/>
  <sheetData>
    <row r="2" spans="4:35" x14ac:dyDescent="0.25">
      <c r="D2" t="s">
        <v>34</v>
      </c>
      <c r="E2">
        <v>0.7</v>
      </c>
      <c r="F2">
        <v>0.2</v>
      </c>
      <c r="G2">
        <v>2.6179999999999999</v>
      </c>
      <c r="H2">
        <v>0.8</v>
      </c>
      <c r="I2">
        <v>0.02</v>
      </c>
      <c r="J2">
        <v>2.3559999999999999</v>
      </c>
      <c r="K2">
        <v>0</v>
      </c>
      <c r="L2">
        <v>0</v>
      </c>
      <c r="M2">
        <v>0</v>
      </c>
      <c r="N2" t="s">
        <v>33</v>
      </c>
      <c r="W2" t="s">
        <v>38</v>
      </c>
      <c r="X2" t="s">
        <v>34</v>
      </c>
      <c r="Y2">
        <v>6.9695031270384797E-3</v>
      </c>
      <c r="Z2">
        <v>0.18633711338043199</v>
      </c>
      <c r="AA2">
        <v>-0.22898079454898801</v>
      </c>
      <c r="AB2">
        <v>-0.40628731250762901</v>
      </c>
      <c r="AC2">
        <v>-1.22047007083893</v>
      </c>
      <c r="AD2">
        <v>-0.89387804269790605</v>
      </c>
      <c r="AE2">
        <v>0</v>
      </c>
      <c r="AF2">
        <v>0</v>
      </c>
      <c r="AG2">
        <v>0</v>
      </c>
      <c r="AH2" t="s">
        <v>35</v>
      </c>
      <c r="AI2" t="s">
        <v>33</v>
      </c>
    </row>
    <row r="3" spans="4:35" x14ac:dyDescent="0.25">
      <c r="E3">
        <v>0.8</v>
      </c>
      <c r="F3">
        <v>0.16</v>
      </c>
      <c r="G3">
        <v>3.927</v>
      </c>
      <c r="H3">
        <v>0.8</v>
      </c>
      <c r="I3">
        <v>0.02</v>
      </c>
      <c r="J3">
        <v>3.665</v>
      </c>
      <c r="K3">
        <v>0</v>
      </c>
      <c r="L3">
        <v>0</v>
      </c>
      <c r="M3">
        <v>0</v>
      </c>
      <c r="N3" t="s">
        <v>33</v>
      </c>
      <c r="X3" t="s">
        <v>34</v>
      </c>
      <c r="Y3">
        <v>-1.3200249522924399E-3</v>
      </c>
      <c r="Z3">
        <v>-9.6287056803703294E-2</v>
      </c>
      <c r="AA3">
        <v>9.0134814381599399E-2</v>
      </c>
      <c r="AB3">
        <v>-0.28188201785087602</v>
      </c>
      <c r="AC3">
        <v>0.217425882816315</v>
      </c>
      <c r="AD3">
        <v>0.29466027021408098</v>
      </c>
      <c r="AE3">
        <v>0</v>
      </c>
      <c r="AF3">
        <v>0</v>
      </c>
      <c r="AG3">
        <v>0</v>
      </c>
      <c r="AH3" t="s">
        <v>35</v>
      </c>
      <c r="AI3" t="s">
        <v>33</v>
      </c>
    </row>
    <row r="4" spans="4:35" x14ac:dyDescent="0.25">
      <c r="E4">
        <v>0.8</v>
      </c>
      <c r="F4">
        <v>0.2</v>
      </c>
      <c r="G4">
        <v>3.927</v>
      </c>
      <c r="H4">
        <v>0.4</v>
      </c>
      <c r="I4">
        <v>0.04</v>
      </c>
      <c r="J4">
        <v>1.0469999999999999</v>
      </c>
      <c r="K4">
        <v>0</v>
      </c>
      <c r="L4">
        <v>0</v>
      </c>
      <c r="M4">
        <v>0</v>
      </c>
      <c r="N4" t="s">
        <v>33</v>
      </c>
      <c r="X4" t="s">
        <v>34</v>
      </c>
      <c r="Y4">
        <v>3.0324226245284098E-3</v>
      </c>
      <c r="Z4">
        <v>0.13038665056228599</v>
      </c>
      <c r="AA4">
        <v>-0.17296446859836601</v>
      </c>
      <c r="AB4">
        <v>-0.12506151199340801</v>
      </c>
      <c r="AC4">
        <v>-0.88299614191055298</v>
      </c>
      <c r="AD4">
        <v>-0.61048221588134799</v>
      </c>
      <c r="AE4">
        <v>0</v>
      </c>
      <c r="AF4">
        <v>0</v>
      </c>
      <c r="AG4">
        <v>0</v>
      </c>
      <c r="AH4" t="s">
        <v>35</v>
      </c>
      <c r="AI4" t="s">
        <v>33</v>
      </c>
    </row>
    <row r="5" spans="4:35" x14ac:dyDescent="0.25">
      <c r="E5">
        <v>0.8</v>
      </c>
      <c r="F5">
        <v>0.18</v>
      </c>
      <c r="G5">
        <v>2.6179999999999999</v>
      </c>
      <c r="H5">
        <v>0.7</v>
      </c>
      <c r="I5">
        <v>0.06</v>
      </c>
      <c r="J5">
        <v>2.3559999999999999</v>
      </c>
      <c r="K5">
        <v>0</v>
      </c>
      <c r="L5">
        <v>0</v>
      </c>
      <c r="M5">
        <v>0</v>
      </c>
      <c r="N5" t="s">
        <v>33</v>
      </c>
      <c r="X5" t="s">
        <v>34</v>
      </c>
      <c r="Y5">
        <v>-1.6676099039614201E-4</v>
      </c>
      <c r="Z5">
        <v>-7.9468116164207493E-3</v>
      </c>
      <c r="AA5">
        <v>-1.7586439847946202E-2</v>
      </c>
      <c r="AB5">
        <v>-6.15512244403362E-2</v>
      </c>
      <c r="AC5">
        <v>-0.44398531317710899</v>
      </c>
      <c r="AD5">
        <v>-0.18986988067627</v>
      </c>
      <c r="AE5">
        <v>0</v>
      </c>
      <c r="AF5">
        <v>0</v>
      </c>
      <c r="AG5">
        <v>0</v>
      </c>
      <c r="AH5" t="s">
        <v>35</v>
      </c>
      <c r="AI5" t="s">
        <v>33</v>
      </c>
    </row>
    <row r="6" spans="4:35" x14ac:dyDescent="0.25">
      <c r="E6">
        <v>0.7</v>
      </c>
      <c r="F6">
        <v>0.16</v>
      </c>
      <c r="G6">
        <v>0.78500000000000003</v>
      </c>
      <c r="H6">
        <v>0.3</v>
      </c>
      <c r="I6">
        <v>0.06</v>
      </c>
      <c r="J6">
        <v>3.665</v>
      </c>
      <c r="K6">
        <v>0</v>
      </c>
      <c r="L6">
        <v>0</v>
      </c>
      <c r="M6">
        <v>0</v>
      </c>
      <c r="N6" t="s">
        <v>33</v>
      </c>
      <c r="X6" t="s">
        <v>34</v>
      </c>
      <c r="Y6">
        <v>1.7961886478588E-3</v>
      </c>
      <c r="Z6">
        <v>4.7429911792278297E-2</v>
      </c>
      <c r="AA6">
        <v>-7.8928373754024506E-2</v>
      </c>
      <c r="AB6">
        <v>-0.162799403071404</v>
      </c>
      <c r="AC6">
        <v>-0.17039117217063901</v>
      </c>
      <c r="AD6">
        <v>8.3889193832874298E-2</v>
      </c>
      <c r="AE6">
        <v>0</v>
      </c>
      <c r="AF6">
        <v>0</v>
      </c>
      <c r="AG6">
        <v>0</v>
      </c>
      <c r="AH6" t="s">
        <v>35</v>
      </c>
      <c r="AI6" t="s">
        <v>39</v>
      </c>
    </row>
    <row r="7" spans="4:35" x14ac:dyDescent="0.25">
      <c r="E7">
        <v>0.4</v>
      </c>
      <c r="F7">
        <v>0.2</v>
      </c>
      <c r="G7">
        <v>3.927</v>
      </c>
      <c r="H7">
        <v>0.8</v>
      </c>
      <c r="I7">
        <v>0.06</v>
      </c>
      <c r="J7">
        <v>3.665</v>
      </c>
      <c r="K7">
        <v>0</v>
      </c>
      <c r="L7">
        <v>0</v>
      </c>
      <c r="M7">
        <v>0</v>
      </c>
      <c r="N7" t="s">
        <v>33</v>
      </c>
    </row>
    <row r="8" spans="4:35" x14ac:dyDescent="0.25">
      <c r="E8">
        <v>0.3</v>
      </c>
      <c r="F8">
        <v>0.2</v>
      </c>
      <c r="G8">
        <v>0.78500000000000003</v>
      </c>
      <c r="H8">
        <v>0.7</v>
      </c>
      <c r="I8">
        <v>0.02</v>
      </c>
      <c r="J8">
        <v>3.665</v>
      </c>
      <c r="K8">
        <v>0</v>
      </c>
      <c r="L8">
        <v>0</v>
      </c>
      <c r="M8">
        <v>0</v>
      </c>
      <c r="N8" t="s">
        <v>33</v>
      </c>
    </row>
    <row r="9" spans="4:35" x14ac:dyDescent="0.25">
      <c r="E9">
        <v>0.7</v>
      </c>
      <c r="F9">
        <v>0.12</v>
      </c>
      <c r="G9">
        <v>3.927</v>
      </c>
      <c r="H9">
        <v>0.7</v>
      </c>
      <c r="I9">
        <v>0.02</v>
      </c>
      <c r="J9">
        <v>1.0469999999999999</v>
      </c>
      <c r="K9">
        <v>0</v>
      </c>
      <c r="L9">
        <v>0</v>
      </c>
      <c r="M9">
        <v>0</v>
      </c>
      <c r="N9" t="s">
        <v>33</v>
      </c>
    </row>
    <row r="10" spans="4:35" x14ac:dyDescent="0.25">
      <c r="E10">
        <v>0.8</v>
      </c>
      <c r="F10">
        <v>0.12</v>
      </c>
      <c r="G10">
        <v>2.6179999999999999</v>
      </c>
      <c r="H10">
        <v>0.3</v>
      </c>
      <c r="I10">
        <v>0.02</v>
      </c>
      <c r="J10">
        <v>3.665</v>
      </c>
      <c r="K10">
        <v>0</v>
      </c>
      <c r="L10">
        <v>0</v>
      </c>
      <c r="M10">
        <v>0</v>
      </c>
      <c r="N10" t="s">
        <v>33</v>
      </c>
    </row>
    <row r="11" spans="4:35" x14ac:dyDescent="0.25">
      <c r="E11">
        <v>0.4</v>
      </c>
      <c r="F11">
        <v>0.18</v>
      </c>
      <c r="G11">
        <v>2.6179999999999999</v>
      </c>
      <c r="H11">
        <v>0.3</v>
      </c>
      <c r="I11">
        <v>0.02</v>
      </c>
      <c r="J11">
        <v>1.0469999999999999</v>
      </c>
      <c r="K11">
        <v>0</v>
      </c>
      <c r="L11">
        <v>0</v>
      </c>
      <c r="M11">
        <v>0</v>
      </c>
      <c r="N11" t="s">
        <v>33</v>
      </c>
    </row>
    <row r="12" spans="4:35" x14ac:dyDescent="0.25">
      <c r="E12">
        <v>0.6</v>
      </c>
      <c r="F12">
        <v>0.2</v>
      </c>
      <c r="G12">
        <v>2.6179999999999999</v>
      </c>
      <c r="H12">
        <v>0.5</v>
      </c>
      <c r="I12">
        <v>0.1</v>
      </c>
      <c r="J12">
        <v>3.665</v>
      </c>
      <c r="K12">
        <v>0</v>
      </c>
      <c r="L12">
        <v>0</v>
      </c>
      <c r="M12">
        <v>0</v>
      </c>
      <c r="N12" t="s">
        <v>33</v>
      </c>
    </row>
    <row r="13" spans="4:35" x14ac:dyDescent="0.25">
      <c r="E13">
        <v>0.3</v>
      </c>
      <c r="F13">
        <v>0.2</v>
      </c>
      <c r="G13">
        <v>3.927</v>
      </c>
      <c r="H13">
        <v>0.3</v>
      </c>
      <c r="I13">
        <v>0.1</v>
      </c>
      <c r="J13">
        <v>2.3559999999999999</v>
      </c>
      <c r="K13">
        <v>0</v>
      </c>
      <c r="L13">
        <v>0</v>
      </c>
      <c r="M13">
        <v>0</v>
      </c>
      <c r="N13" t="s">
        <v>33</v>
      </c>
    </row>
    <row r="14" spans="4:35" x14ac:dyDescent="0.25">
      <c r="E14">
        <v>0.3</v>
      </c>
      <c r="F14">
        <v>0.14000000000000001</v>
      </c>
      <c r="G14">
        <v>2.6179999999999999</v>
      </c>
      <c r="H14">
        <v>0.8</v>
      </c>
      <c r="I14">
        <v>0.04</v>
      </c>
      <c r="J14">
        <v>1.0469999999999999</v>
      </c>
      <c r="K14">
        <v>0</v>
      </c>
      <c r="L14">
        <v>0</v>
      </c>
      <c r="M14">
        <v>0</v>
      </c>
      <c r="N14" t="s">
        <v>33</v>
      </c>
    </row>
    <row r="15" spans="4:35" x14ac:dyDescent="0.25">
      <c r="E15">
        <v>0.8</v>
      </c>
      <c r="F15">
        <v>0.2</v>
      </c>
      <c r="G15">
        <v>0.78500000000000003</v>
      </c>
      <c r="H15">
        <v>0.8</v>
      </c>
      <c r="I15">
        <v>0.1</v>
      </c>
      <c r="J15">
        <v>1.0469999999999999</v>
      </c>
      <c r="K15">
        <v>0</v>
      </c>
      <c r="L15">
        <v>0</v>
      </c>
      <c r="M15">
        <v>0</v>
      </c>
      <c r="N15" t="s">
        <v>33</v>
      </c>
    </row>
    <row r="16" spans="4:35" x14ac:dyDescent="0.25">
      <c r="E16">
        <v>0.4</v>
      </c>
      <c r="F16">
        <v>0.12</v>
      </c>
      <c r="G16">
        <v>0.78500000000000003</v>
      </c>
      <c r="H16">
        <v>0.4</v>
      </c>
      <c r="I16">
        <v>0.02</v>
      </c>
      <c r="J16">
        <v>2.3559999999999999</v>
      </c>
      <c r="K16">
        <v>0</v>
      </c>
      <c r="L16">
        <v>0</v>
      </c>
      <c r="M16">
        <v>0</v>
      </c>
      <c r="N16" t="s">
        <v>35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</vt:lpstr>
      <vt:lpstr>Distal Validation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2026-02-27T02:36:11Z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