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Results/2-26-2026/Cylindrical (r=2mm) Design Hardware Results/"/>
    </mc:Choice>
  </mc:AlternateContent>
  <xr:revisionPtr revIDLastSave="3844" documentId="8_{DFFD6B0C-681F-42C8-B2E4-5D4B90AAE966}" xr6:coauthVersionLast="47" xr6:coauthVersionMax="47" xr10:uidLastSave="{5E61DEB1-AD40-40C7-8ABE-60A6CE28CE47}"/>
  <bookViews>
    <workbookView xWindow="-120" yWindow="-120" windowWidth="29040" windowHeight="15720" xr2:uid="{3D16C37F-3C74-4527-A308-796C339DFE9F}"/>
  </bookViews>
  <sheets>
    <sheet name="Proximal Validation" sheetId="12" r:id="rId1"/>
    <sheet name="Distal Validation" sheetId="19" r:id="rId2"/>
    <sheet name="Conversion" sheetId="4" r:id="rId3"/>
    <sheet name="Sheet2" sheetId="3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12" l="1" a="1"/>
  <c r="AB13" i="12" s="1"/>
  <c r="AB14" i="12" a="1"/>
  <c r="AB14" i="12" s="1"/>
  <c r="AB15" i="12" a="1"/>
  <c r="AB15" i="12" s="1"/>
  <c r="AB16" i="12" a="1"/>
  <c r="AB16" i="12" s="1"/>
  <c r="AB17" i="12" a="1"/>
  <c r="AB17" i="12" s="1"/>
  <c r="AB18" i="12" a="1"/>
  <c r="AB18" i="12" s="1"/>
  <c r="AB19" i="12" a="1"/>
  <c r="AB19" i="12" s="1"/>
  <c r="AB20" i="12" a="1"/>
  <c r="AB20" i="12" s="1"/>
  <c r="AB21" i="12" a="1"/>
  <c r="AB21" i="12" s="1"/>
  <c r="AB22" i="12" a="1"/>
  <c r="AB22" i="12" s="1"/>
  <c r="V13" i="12"/>
  <c r="W13" i="12"/>
  <c r="X13" i="12"/>
  <c r="Y13" i="12"/>
  <c r="Z13" i="12"/>
  <c r="AA13" i="12"/>
  <c r="V14" i="12"/>
  <c r="W14" i="12"/>
  <c r="X14" i="12"/>
  <c r="Y14" i="12"/>
  <c r="Z14" i="12"/>
  <c r="AA14" i="12"/>
  <c r="V15" i="12"/>
  <c r="W15" i="12"/>
  <c r="X15" i="12"/>
  <c r="Y15" i="12"/>
  <c r="Z15" i="12"/>
  <c r="AA15" i="12"/>
  <c r="V16" i="12"/>
  <c r="W16" i="12"/>
  <c r="X16" i="12"/>
  <c r="Y16" i="12"/>
  <c r="Z16" i="12"/>
  <c r="AA16" i="12"/>
  <c r="V17" i="12"/>
  <c r="W17" i="12"/>
  <c r="X17" i="12"/>
  <c r="Y17" i="12"/>
  <c r="Z17" i="12"/>
  <c r="AA17" i="12"/>
  <c r="V18" i="12"/>
  <c r="W18" i="12"/>
  <c r="X18" i="12"/>
  <c r="Y18" i="12"/>
  <c r="Z18" i="12"/>
  <c r="AA18" i="12"/>
  <c r="V19" i="12"/>
  <c r="W19" i="12"/>
  <c r="X19" i="12"/>
  <c r="Y19" i="12"/>
  <c r="Z19" i="12"/>
  <c r="AA19" i="12"/>
  <c r="V20" i="12"/>
  <c r="W20" i="12"/>
  <c r="X20" i="12"/>
  <c r="Y20" i="12"/>
  <c r="Z20" i="12"/>
  <c r="AA20" i="12"/>
  <c r="V21" i="12"/>
  <c r="W21" i="12"/>
  <c r="X21" i="12"/>
  <c r="Y21" i="12"/>
  <c r="Z21" i="12"/>
  <c r="AA21" i="12"/>
  <c r="V22" i="12"/>
  <c r="W22" i="12"/>
  <c r="X22" i="12"/>
  <c r="Y22" i="12"/>
  <c r="Z22" i="12"/>
  <c r="AA22" i="12"/>
  <c r="AH9" i="19"/>
  <c r="AB4" i="19"/>
  <c r="AB5" i="19"/>
  <c r="AB6" i="19"/>
  <c r="AB7" i="19"/>
  <c r="AB8" i="19"/>
  <c r="AB9" i="19"/>
  <c r="AB10" i="19"/>
  <c r="AB11" i="19"/>
  <c r="AB12" i="19"/>
  <c r="AB3" i="19"/>
  <c r="Y4" i="19"/>
  <c r="Y5" i="19"/>
  <c r="Y6" i="19"/>
  <c r="Y7" i="19"/>
  <c r="Y8" i="19"/>
  <c r="Y9" i="19"/>
  <c r="Y10" i="19"/>
  <c r="Y11" i="19"/>
  <c r="Y12" i="19"/>
  <c r="Y3" i="19"/>
  <c r="AB4" i="12" l="1" a="1"/>
  <c r="AB4" i="12" s="1"/>
  <c r="AB5" i="12" a="1"/>
  <c r="AB5" i="12" s="1"/>
  <c r="AB6" i="12" a="1"/>
  <c r="AB6" i="12" s="1"/>
  <c r="AB7" i="12" a="1"/>
  <c r="AB7" i="12" s="1"/>
  <c r="AB8" i="12" a="1"/>
  <c r="AB8" i="12" s="1"/>
  <c r="AB9" i="12" a="1"/>
  <c r="AB9" i="12" s="1"/>
  <c r="AB10" i="12" a="1"/>
  <c r="AB10" i="12" s="1"/>
  <c r="AB11" i="12" a="1"/>
  <c r="AB11" i="12" s="1"/>
  <c r="AB12" i="12" a="1"/>
  <c r="AB12" i="12" s="1"/>
  <c r="AB3" i="12" a="1"/>
  <c r="AB3" i="12" s="1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3" i="12"/>
  <c r="O14" i="4"/>
  <c r="P14" i="4"/>
  <c r="Q14" i="4"/>
  <c r="R14" i="4"/>
  <c r="S14" i="4"/>
  <c r="T14" i="4"/>
  <c r="O15" i="4"/>
  <c r="P15" i="4"/>
  <c r="Q15" i="4"/>
  <c r="R15" i="4"/>
  <c r="S15" i="4"/>
  <c r="T15" i="4"/>
  <c r="O16" i="4"/>
  <c r="P16" i="4"/>
  <c r="Q16" i="4"/>
  <c r="R16" i="4"/>
  <c r="S16" i="4"/>
  <c r="T16" i="4"/>
  <c r="O17" i="4"/>
  <c r="P17" i="4"/>
  <c r="Q17" i="4"/>
  <c r="R17" i="4"/>
  <c r="S17" i="4"/>
  <c r="T17" i="4"/>
  <c r="O18" i="4"/>
  <c r="P18" i="4"/>
  <c r="Q18" i="4"/>
  <c r="R18" i="4"/>
  <c r="S18" i="4"/>
  <c r="T18" i="4"/>
  <c r="V3" i="4"/>
  <c r="A3" i="19" l="1"/>
  <c r="B3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A4" i="19"/>
  <c r="B4" i="19"/>
  <c r="C4" i="19"/>
  <c r="D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A8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A9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A10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W11" i="19" s="1"/>
  <c r="B11" i="19"/>
  <c r="X11" i="19" s="1"/>
  <c r="C11" i="19"/>
  <c r="D11" i="19"/>
  <c r="Z11" i="19" s="1"/>
  <c r="E11" i="19"/>
  <c r="AA11" i="19" s="1"/>
  <c r="F11" i="19"/>
  <c r="G11" i="19"/>
  <c r="H11" i="19"/>
  <c r="I11" i="19"/>
  <c r="J11" i="19"/>
  <c r="K11" i="19"/>
  <c r="L11" i="19"/>
  <c r="M11" i="19"/>
  <c r="N11" i="19"/>
  <c r="O11" i="19"/>
  <c r="A12" i="19"/>
  <c r="W12" i="19" s="1"/>
  <c r="B12" i="19"/>
  <c r="X12" i="19" s="1"/>
  <c r="C12" i="19"/>
  <c r="D12" i="19"/>
  <c r="Z12" i="19" s="1"/>
  <c r="E12" i="19"/>
  <c r="AA12" i="19" s="1"/>
  <c r="F12" i="19"/>
  <c r="G12" i="19"/>
  <c r="H12" i="19"/>
  <c r="I12" i="19"/>
  <c r="J12" i="19"/>
  <c r="K12" i="19"/>
  <c r="L12" i="19"/>
  <c r="M12" i="19"/>
  <c r="N12" i="19"/>
  <c r="O12" i="19"/>
  <c r="V5" i="12"/>
  <c r="W5" i="12"/>
  <c r="X5" i="12"/>
  <c r="Y5" i="12"/>
  <c r="Z5" i="12"/>
  <c r="AA5" i="12"/>
  <c r="V11" i="12"/>
  <c r="W11" i="12"/>
  <c r="X11" i="12"/>
  <c r="Y11" i="12"/>
  <c r="Z11" i="12"/>
  <c r="AA11" i="12"/>
  <c r="V12" i="12"/>
  <c r="W12" i="12"/>
  <c r="X12" i="12"/>
  <c r="Y12" i="12"/>
  <c r="Z12" i="12"/>
  <c r="AA12" i="12"/>
  <c r="AE11" i="19" l="1"/>
  <c r="AD12" i="19"/>
  <c r="AC12" i="19"/>
  <c r="AD11" i="19"/>
  <c r="AE12" i="19"/>
  <c r="AC11" i="19"/>
  <c r="V3" i="12"/>
  <c r="V4" i="12"/>
  <c r="V6" i="12"/>
  <c r="V7" i="12"/>
  <c r="V8" i="12"/>
  <c r="V9" i="12"/>
  <c r="V10" i="12"/>
  <c r="AA10" i="12" l="1"/>
  <c r="Z10" i="12"/>
  <c r="Y10" i="12"/>
  <c r="X10" i="12"/>
  <c r="W10" i="12"/>
  <c r="AA9" i="12"/>
  <c r="Z9" i="12"/>
  <c r="Y9" i="12"/>
  <c r="X9" i="12"/>
  <c r="W9" i="12"/>
  <c r="AA8" i="12"/>
  <c r="Z8" i="12"/>
  <c r="Y8" i="12"/>
  <c r="X8" i="12"/>
  <c r="W8" i="12"/>
  <c r="AA7" i="12"/>
  <c r="Z7" i="12"/>
  <c r="Y7" i="12"/>
  <c r="X7" i="12"/>
  <c r="W7" i="12"/>
  <c r="AA6" i="12"/>
  <c r="Z6" i="12"/>
  <c r="Y6" i="12"/>
  <c r="X6" i="12"/>
  <c r="W6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O3" i="4" s="1"/>
  <c r="I3" i="4"/>
  <c r="J3" i="4"/>
  <c r="K3" i="4"/>
  <c r="R3" i="4" s="1"/>
  <c r="L3" i="4"/>
  <c r="S3" i="4" s="1"/>
  <c r="M3" i="4"/>
  <c r="T3" i="4" s="1"/>
  <c r="H4" i="4"/>
  <c r="O4" i="4" s="1"/>
  <c r="I4" i="4"/>
  <c r="J4" i="4"/>
  <c r="K4" i="4"/>
  <c r="R4" i="4" s="1"/>
  <c r="L4" i="4"/>
  <c r="S4" i="4" s="1"/>
  <c r="M4" i="4"/>
  <c r="T4" i="4" s="1"/>
  <c r="H5" i="4"/>
  <c r="O5" i="4" s="1"/>
  <c r="I5" i="4"/>
  <c r="J5" i="4"/>
  <c r="K5" i="4"/>
  <c r="R5" i="4" s="1"/>
  <c r="L5" i="4"/>
  <c r="S5" i="4" s="1"/>
  <c r="M5" i="4"/>
  <c r="T5" i="4" s="1"/>
  <c r="H6" i="4"/>
  <c r="O6" i="4" s="1"/>
  <c r="I6" i="4"/>
  <c r="J6" i="4"/>
  <c r="K6" i="4"/>
  <c r="R6" i="4" s="1"/>
  <c r="L6" i="4"/>
  <c r="S6" i="4" s="1"/>
  <c r="M6" i="4"/>
  <c r="T6" i="4" s="1"/>
  <c r="H7" i="4"/>
  <c r="O7" i="4" s="1"/>
  <c r="I7" i="4"/>
  <c r="J7" i="4"/>
  <c r="K7" i="4"/>
  <c r="R7" i="4" s="1"/>
  <c r="L7" i="4"/>
  <c r="S7" i="4" s="1"/>
  <c r="M7" i="4"/>
  <c r="T7" i="4" s="1"/>
  <c r="Q7" i="4" l="1"/>
  <c r="P3" i="4"/>
  <c r="Q3" i="4"/>
  <c r="Q5" i="4"/>
  <c r="P7" i="4"/>
  <c r="P5" i="4"/>
  <c r="Q6" i="4"/>
  <c r="Q4" i="4"/>
  <c r="P6" i="4"/>
  <c r="P4" i="4"/>
  <c r="AA10" i="19"/>
  <c r="Z10" i="19"/>
  <c r="X10" i="19"/>
  <c r="AA9" i="19"/>
  <c r="Z9" i="19"/>
  <c r="X9" i="19"/>
  <c r="AA8" i="19"/>
  <c r="Z8" i="19"/>
  <c r="X8" i="19"/>
  <c r="AA7" i="19"/>
  <c r="Z7" i="19"/>
  <c r="X7" i="19"/>
  <c r="AA6" i="19"/>
  <c r="Z6" i="19"/>
  <c r="X6" i="19"/>
  <c r="AA5" i="19"/>
  <c r="Z5" i="19"/>
  <c r="X5" i="19"/>
  <c r="AA4" i="19"/>
  <c r="Z4" i="19"/>
  <c r="X4" i="19"/>
  <c r="AA3" i="19"/>
  <c r="Z3" i="19"/>
  <c r="X3" i="19"/>
  <c r="H8" i="4"/>
  <c r="O8" i="4" s="1"/>
  <c r="I8" i="4"/>
  <c r="J8" i="4"/>
  <c r="K8" i="4"/>
  <c r="R8" i="4" s="1"/>
  <c r="L8" i="4"/>
  <c r="S8" i="4" s="1"/>
  <c r="M8" i="4"/>
  <c r="T8" i="4" s="1"/>
  <c r="H9" i="4"/>
  <c r="O9" i="4" s="1"/>
  <c r="I9" i="4"/>
  <c r="J9" i="4"/>
  <c r="K9" i="4"/>
  <c r="R9" i="4" s="1"/>
  <c r="L9" i="4"/>
  <c r="S9" i="4" s="1"/>
  <c r="M9" i="4"/>
  <c r="T9" i="4" s="1"/>
  <c r="H10" i="4"/>
  <c r="O10" i="4" s="1"/>
  <c r="I10" i="4"/>
  <c r="J10" i="4"/>
  <c r="K10" i="4"/>
  <c r="R10" i="4" s="1"/>
  <c r="L10" i="4"/>
  <c r="S10" i="4" s="1"/>
  <c r="M10" i="4"/>
  <c r="T10" i="4" s="1"/>
  <c r="H11" i="4"/>
  <c r="O11" i="4" s="1"/>
  <c r="I11" i="4"/>
  <c r="J11" i="4"/>
  <c r="K11" i="4"/>
  <c r="R11" i="4" s="1"/>
  <c r="L11" i="4"/>
  <c r="S11" i="4" s="1"/>
  <c r="M11" i="4"/>
  <c r="T11" i="4" s="1"/>
  <c r="H12" i="4"/>
  <c r="O12" i="4" s="1"/>
  <c r="I12" i="4"/>
  <c r="J12" i="4"/>
  <c r="K12" i="4"/>
  <c r="R12" i="4" s="1"/>
  <c r="L12" i="4"/>
  <c r="S12" i="4" s="1"/>
  <c r="M12" i="4"/>
  <c r="T12" i="4" s="1"/>
  <c r="H13" i="4"/>
  <c r="O13" i="4" s="1"/>
  <c r="I13" i="4"/>
  <c r="P13" i="4" s="1"/>
  <c r="J13" i="4"/>
  <c r="Q13" i="4" s="1"/>
  <c r="K13" i="4"/>
  <c r="R13" i="4" s="1"/>
  <c r="L13" i="4"/>
  <c r="S13" i="4" s="1"/>
  <c r="M13" i="4"/>
  <c r="T13" i="4" s="1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Q11" i="4" l="1"/>
  <c r="P11" i="4"/>
  <c r="P9" i="4"/>
  <c r="Q9" i="4"/>
  <c r="AG4" i="19" a="1"/>
  <c r="AG4" i="19" s="1"/>
  <c r="Q12" i="4"/>
  <c r="P12" i="4"/>
  <c r="Q8" i="4"/>
  <c r="P10" i="4"/>
  <c r="AH4" i="19" a="1"/>
  <c r="AH4" i="19" s="1"/>
  <c r="AI4" i="19" a="1"/>
  <c r="AI4" i="19" s="1"/>
  <c r="AK4" i="19" a="1"/>
  <c r="AK4" i="19" s="1"/>
  <c r="AJ4" i="19" a="1"/>
  <c r="AJ4" i="19" s="1"/>
  <c r="Q10" i="4"/>
  <c r="P8" i="4"/>
  <c r="W8" i="19"/>
  <c r="AC8" i="19" s="1"/>
  <c r="W6" i="19"/>
  <c r="AC6" i="19" s="1"/>
  <c r="W9" i="19"/>
  <c r="AC9" i="19" s="1"/>
  <c r="W3" i="19"/>
  <c r="W4" i="19"/>
  <c r="W7" i="19"/>
  <c r="AC7" i="19" s="1"/>
  <c r="W5" i="19"/>
  <c r="W10" i="19"/>
  <c r="AC10" i="19" s="1"/>
  <c r="AD7" i="19"/>
  <c r="AE7" i="19"/>
  <c r="AE9" i="19"/>
  <c r="AD4" i="19"/>
  <c r="AE4" i="19"/>
  <c r="AE6" i="19"/>
  <c r="AE10" i="19"/>
  <c r="AE3" i="19"/>
  <c r="AD8" i="19"/>
  <c r="AE5" i="19"/>
  <c r="AE8" i="19"/>
  <c r="AD10" i="19"/>
  <c r="AD6" i="19"/>
  <c r="AD3" i="19"/>
  <c r="AD5" i="19"/>
  <c r="AD9" i="19"/>
  <c r="AF4" i="19" l="1" a="1"/>
  <c r="AF4" i="19" s="1"/>
  <c r="AF7" i="19" s="1"/>
  <c r="AC5" i="19"/>
  <c r="AC4" i="19"/>
  <c r="AC3" i="19"/>
  <c r="AG7" i="19"/>
  <c r="AH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<sst xmlns="http://schemas.openxmlformats.org/spreadsheetml/2006/main" count="111" uniqueCount="43">
  <si>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</si>
  <si>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</si>
  <si>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</si>
  <si>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</si>
  <si>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</si>
  <si>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</si>
  <si>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</si>
  <si>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</si>
  <si>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</si>
  <si>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</si>
  <si>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</si>
  <si>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</si>
  <si>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</si>
  <si>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</si>
  <si>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</si>
  <si>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</si>
  <si>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</si>
  <si>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</si>
  <si>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</si>
  <si>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</si>
  <si>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</si>
  <si>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</si>
  <si>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</si>
  <si>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</si>
  <si>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</si>
  <si>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</si>
  <si>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</si>
  <si>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</si>
  <si>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</si>
  <si>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</si>
  <si>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</si>
  <si>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</si>
  <si>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</si>
  <si>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theta1 (rad)</t>
  </si>
  <si>
    <t>theta2 (rad)</t>
  </si>
  <si>
    <t>singular values</t>
  </si>
  <si>
    <t>Axis Conversion</t>
  </si>
  <si>
    <t xml:space="preserve"> Transformation</t>
  </si>
  <si>
    <t>Sensor Offset (m)</t>
  </si>
  <si>
    <t>abs(s1-s2)</t>
  </si>
  <si>
    <t>Extra</t>
  </si>
  <si>
    <t>Sensor Ranges</t>
  </si>
  <si>
    <t>NRMSE (%FS)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</si>
</sst>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</cellStyleXfs>
  <cellXfs count="39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2" fillId="6" borderId="1" xfId="0" applyFont="1" applyFill="1" applyBorder="1"/>
    <xf numFmtId="0" fontId="0" fillId="0" borderId="1" xfId="0" applyBorder="1"/>
    <xf numFmtId="166" fontId="3" fillId="8" borderId="1" xfId="0" applyNumberFormat="1" applyFont="1" applyFill="1" applyBorder="1"/>
    <xf numFmtId="166" fontId="3" fillId="8" borderId="12" xfId="0" applyNumberFormat="1" applyFont="1" applyFill="1" applyBorder="1"/>
    <xf numFmtId="166" fontId="0" fillId="0" borderId="1" xfId="0" applyNumberFormat="1" applyBorder="1"/>
    <xf numFmtId="165" fontId="3" fillId="8" borderId="1" xfId="0" applyNumberFormat="1" applyFont="1" applyFill="1" applyBorder="1"/>
    <xf numFmtId="166" fontId="0" fillId="0" borderId="0" xfId="0" applyNumberFormat="1"/>
    <xf numFmtId="11" fontId="3" fillId="8" borderId="1" xfId="0" applyNumberFormat="1" applyFont="1" applyFill="1" applyBorder="1"/>
    <xf numFmtId="0" fontId="1" fillId="6" borderId="0" xfId="0" applyFont="1" applyFill="1"/>
    <xf numFmtId="164" fontId="3" fillId="8" borderId="0" xfId="0" applyNumberFormat="1" applyFont="1" applyFill="1"/>
    <xf numFmtId="2" fontId="3" fillId="8" borderId="1" xfId="0" applyNumberFormat="1" applyFont="1" applyFill="1" applyBorder="1"/>
    <xf numFmtId="2" fontId="4" fillId="10" borderId="1" xfId="1" applyNumberFormat="1" applyBorder="1"/>
    <xf numFmtId="164" fontId="4" fillId="10" borderId="1" xfId="1" applyNumberFormat="1" applyBorder="1"/>
    <xf numFmtId="1" fontId="3" fillId="8" borderId="1" xfId="0" applyNumberFormat="1" applyFont="1" applyFill="1" applyBorder="1"/>
    <xf numFmtId="0" fontId="2" fillId="7" borderId="0" xfId="0" applyFont="1" applyFill="1"/>
    <xf numFmtId="2" fontId="5" fillId="11" borderId="1" xfId="2" applyNumberFormat="1" applyBorder="1"/>
    <xf numFmtId="0" fontId="1" fillId="9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6D6D"/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DX62"/>
  <sheetViews>
    <sheetView tabSelected="1" topLeftCell="E1" zoomScale="85" zoomScaleNormal="85" workbookViewId="0">
      <selection activeCell="AK17" sqref="AK17"/>
    </sheetView>
  </sheetViews>
  <sheetFormatPr defaultRowHeight="16.5" customHeight="1" x14ac:dyDescent="0.25"/>
  <cols>
    <col min="1" max="2" width="7.42578125" bestFit="1" customWidth="1"/>
    <col min="3" max="3" width="11.85546875" bestFit="1" customWidth="1"/>
    <col min="4" max="5" width="7.42578125" bestFit="1" customWidth="1"/>
    <col min="6" max="6" width="11.85546875" bestFit="1" customWidth="1"/>
    <col min="7" max="9" width="8.5703125" bestFit="1" customWidth="1"/>
    <col min="10" max="11" width="8.42578125" bestFit="1" customWidth="1"/>
    <col min="12" max="15" width="8" bestFit="1" customWidth="1"/>
    <col min="16" max="17" width="8.140625" bestFit="1" customWidth="1"/>
    <col min="18" max="18" width="7.7109375" bestFit="1" customWidth="1"/>
    <col min="19" max="21" width="7" bestFit="1" customWidth="1"/>
    <col min="22" max="23" width="8.140625" bestFit="1" customWidth="1"/>
    <col min="24" max="24" width="7.7109375" bestFit="1" customWidth="1"/>
    <col min="25" max="27" width="7.28515625" bestFit="1" customWidth="1"/>
    <col min="28" max="28" width="14" bestFit="1" customWidth="1"/>
    <col min="29" max="29" width="10.7109375" bestFit="1" customWidth="1"/>
    <col min="30" max="30" width="14.5703125" bestFit="1" customWidth="1"/>
  </cols>
  <sheetData>
    <row r="1" spans="1:128" ht="16.5" customHeight="1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4"/>
      <c r="J1" s="25" t="s">
        <v>6</v>
      </c>
      <c r="K1" s="26"/>
      <c r="L1" s="26"/>
      <c r="M1" s="26"/>
      <c r="N1" s="26"/>
      <c r="O1" s="26"/>
      <c r="P1" s="27" t="s">
        <v>12</v>
      </c>
      <c r="Q1" s="28"/>
      <c r="R1" s="28"/>
      <c r="S1" s="28"/>
      <c r="T1" s="28"/>
      <c r="U1" s="28"/>
      <c r="V1" s="29" t="s">
        <v>14</v>
      </c>
      <c r="W1" s="29"/>
      <c r="X1" s="29"/>
      <c r="Y1" s="29"/>
      <c r="Z1" s="29"/>
      <c r="AA1" s="29"/>
      <c r="AB1" s="29"/>
      <c r="AC1" s="22" t="s">
        <v>40</v>
      </c>
      <c r="AD1" s="22"/>
      <c r="AE1" s="22" t="s">
        <v>41</v>
      </c>
      <c r="AF1" s="22"/>
      <c r="AG1" s="22"/>
      <c r="AH1" s="22"/>
      <c r="AI1" s="22"/>
      <c r="AJ1" s="22"/>
    </row>
    <row r="2" spans="1:128" ht="16.5" customHeight="1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  <c r="AB2" s="1" t="s">
        <v>42</v>
      </c>
      <c r="AC2" s="1" t="s">
        <v>39</v>
      </c>
      <c r="AD2" s="6" t="s">
        <v>35</v>
      </c>
      <c r="AE2" s="1" t="s">
        <v>18</v>
      </c>
      <c r="AF2" s="1" t="s">
        <v>19</v>
      </c>
      <c r="AG2" s="1" t="s">
        <v>20</v>
      </c>
      <c r="AH2" s="1" t="s">
        <v>15</v>
      </c>
      <c r="AI2" s="1" t="s">
        <v>16</v>
      </c>
      <c r="AJ2" s="1" t="s">
        <v>17</v>
      </c>
    </row>
    <row r="3" spans="1:128" s="5" customFormat="1" ht="16.5" customHeight="1" x14ac:dyDescent="0.25">
      <c r="A3" s="17">
        <v>0.57634630980000001</v>
      </c>
      <c r="B3" s="17">
        <v>0.2</v>
      </c>
      <c r="C3" s="18">
        <v>0.78539999999999999</v>
      </c>
      <c r="D3" s="17">
        <v>1.1398024601000001</v>
      </c>
      <c r="E3" s="17">
        <v>0.02</v>
      </c>
      <c r="F3" s="18">
        <v>5.4977999999999998</v>
      </c>
      <c r="G3" s="17">
        <v>0.49272223679999999</v>
      </c>
      <c r="H3" s="17">
        <v>4.4756011583999999</v>
      </c>
      <c r="I3" s="17">
        <v>4.1915536561</v>
      </c>
      <c r="J3" s="8">
        <v>-8.3262659609317801E-4</v>
      </c>
      <c r="K3" s="8">
        <v>-5.3400582866743193E-2</v>
      </c>
      <c r="L3" s="8">
        <v>9.2854456901550309E-2</v>
      </c>
      <c r="M3" s="8">
        <v>-7.20393061637878E-2</v>
      </c>
      <c r="N3" s="8">
        <v>1.12758028507233</v>
      </c>
      <c r="O3" s="8">
        <v>-0.58665424585342396</v>
      </c>
      <c r="P3" s="11">
        <v>-3.8458680985612274E-3</v>
      </c>
      <c r="Q3" s="11">
        <v>-6.317722408774501E-2</v>
      </c>
      <c r="R3" s="11">
        <v>9.6744821319023108E-2</v>
      </c>
      <c r="S3" s="11">
        <v>-0.11890600632031255</v>
      </c>
      <c r="T3" s="11">
        <v>1.2077770968117663</v>
      </c>
      <c r="U3" s="11">
        <v>-0.41543747902546097</v>
      </c>
      <c r="V3" s="5">
        <f t="shared" ref="V3:AA3" si="0">J3-P3</f>
        <v>3.0132415024680496E-3</v>
      </c>
      <c r="W3" s="5">
        <f t="shared" si="0"/>
        <v>9.7766412210018167E-3</v>
      </c>
      <c r="X3" s="5">
        <f t="shared" si="0"/>
        <v>-3.8903644174727997E-3</v>
      </c>
      <c r="Y3" s="5">
        <f t="shared" si="0"/>
        <v>4.6866700156524749E-2</v>
      </c>
      <c r="Z3" s="5">
        <f t="shared" si="0"/>
        <v>-8.0196811739436269E-2</v>
      </c>
      <c r="AA3" s="5">
        <f t="shared" si="0"/>
        <v>-0.171216766827963</v>
      </c>
      <c r="AB3" s="16" cm="1">
        <f t="array" ref="AB3">SQRT(SUMPRODUCT(((J3:O3-P3:U3)/$AE$3:$AJ$3)^2)/6)*100</f>
        <v>0.5912898095089576</v>
      </c>
      <c r="AC3" s="5">
        <f>ABS(B3-E3)</f>
        <v>0.18000000000000002</v>
      </c>
      <c r="AD3" s="13">
        <v>5182761.4467272004</v>
      </c>
      <c r="AE3" s="19">
        <v>1</v>
      </c>
      <c r="AF3" s="19">
        <v>1</v>
      </c>
      <c r="AG3" s="19">
        <v>1</v>
      </c>
      <c r="AH3" s="19">
        <v>60</v>
      </c>
      <c r="AI3" s="19">
        <v>20</v>
      </c>
      <c r="AJ3" s="19">
        <v>20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s="5" customFormat="1" ht="16.5" customHeight="1" x14ac:dyDescent="0.25">
      <c r="A4" s="17">
        <v>1.2961945501000001</v>
      </c>
      <c r="B4" s="17">
        <v>0.2</v>
      </c>
      <c r="C4" s="18">
        <v>4.7123999999999997</v>
      </c>
      <c r="D4" s="17">
        <v>0.31907560010000002</v>
      </c>
      <c r="E4" s="17">
        <v>0.02</v>
      </c>
      <c r="F4" s="18">
        <v>1.5708</v>
      </c>
      <c r="G4" s="17">
        <v>0.53253118440000002</v>
      </c>
      <c r="H4" s="17">
        <v>1.6232893740000001</v>
      </c>
      <c r="I4" s="17">
        <v>9.6932284100000002E-2</v>
      </c>
      <c r="J4" s="8">
        <v>7.6168961822986603E-3</v>
      </c>
      <c r="K4" s="8">
        <v>0.24574007272720383</v>
      </c>
      <c r="L4" s="8">
        <v>1.0644453205168264E-3</v>
      </c>
      <c r="M4" s="8">
        <v>-0.71961438655853305</v>
      </c>
      <c r="N4" s="8">
        <v>2.90779918432236E-2</v>
      </c>
      <c r="O4" s="8">
        <v>-0.48940825462341297</v>
      </c>
      <c r="P4" s="11">
        <v>6.9366249802947713E-3</v>
      </c>
      <c r="Q4" s="11">
        <v>0.23050733579986882</v>
      </c>
      <c r="R4" s="11">
        <v>3.5083230887123402E-3</v>
      </c>
      <c r="S4" s="11">
        <v>-0.9341909924140438</v>
      </c>
      <c r="T4" s="11">
        <v>3.9420366676058034E-2</v>
      </c>
      <c r="U4" s="11">
        <v>-0.52577420925332319</v>
      </c>
      <c r="V4" s="5">
        <f t="shared" ref="V4:V10" si="1">J4-P4</f>
        <v>6.8027120200388896E-4</v>
      </c>
      <c r="W4" s="5">
        <f t="shared" ref="W4:W10" si="2">K4-Q4</f>
        <v>1.5232736927335011E-2</v>
      </c>
      <c r="X4" s="5">
        <f t="shared" ref="X4:X10" si="3">L4-R4</f>
        <v>-2.4438777681955138E-3</v>
      </c>
      <c r="Y4" s="5">
        <f t="shared" ref="Y4:Y10" si="4">M4-S4</f>
        <v>0.21457660585551075</v>
      </c>
      <c r="Z4" s="5">
        <f t="shared" ref="Z4:Z10" si="5">N4-T4</f>
        <v>-1.0342374832834435E-2</v>
      </c>
      <c r="AA4" s="5">
        <f t="shared" ref="AA4:AA10" si="6">O4-U4</f>
        <v>3.6365954629910213E-2</v>
      </c>
      <c r="AB4" s="16" cm="1">
        <f t="array" ref="AB4">SQRT(SUMPRODUCT(((J4:O4-P4:U4)/$AE$3:$AJ$3)^2)/6)*100</f>
        <v>0.65170923434642991</v>
      </c>
      <c r="AC4" s="5">
        <f t="shared" ref="AC4:AC62" si="7">ABS(B4-E4)</f>
        <v>0.18000000000000002</v>
      </c>
      <c r="AD4" s="13">
        <v>2927674.4469515202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s="5" customFormat="1" ht="16.5" customHeight="1" x14ac:dyDescent="0.25">
      <c r="A5" s="17">
        <v>0.3432844504</v>
      </c>
      <c r="B5" s="17">
        <v>0.2</v>
      </c>
      <c r="C5" s="18">
        <v>3.1415999999999999</v>
      </c>
      <c r="D5" s="17">
        <v>0.75633386430000005</v>
      </c>
      <c r="E5" s="17">
        <v>0.02</v>
      </c>
      <c r="F5" s="18">
        <v>3.1415999999999999</v>
      </c>
      <c r="G5" s="17">
        <v>3.5593988404000001</v>
      </c>
      <c r="H5" s="17">
        <v>2.6173593599</v>
      </c>
      <c r="I5" s="17">
        <v>2.7214845023000001</v>
      </c>
      <c r="J5" s="8">
        <v>-1.2985616922378499E-4</v>
      </c>
      <c r="K5" s="8">
        <v>-3.6498736031353504E-3</v>
      </c>
      <c r="L5" s="8">
        <v>-7.9183645248412218E-2</v>
      </c>
      <c r="M5" s="8">
        <v>-1.52619369328022E-2</v>
      </c>
      <c r="N5" s="8">
        <v>-1.05842244625092</v>
      </c>
      <c r="O5" s="8">
        <v>2.1189808845519999E-2</v>
      </c>
      <c r="P5" s="11">
        <v>7.5361234971426901E-4</v>
      </c>
      <c r="Q5" s="11">
        <v>1.0849884787371506E-4</v>
      </c>
      <c r="R5" s="11">
        <v>-8.2497701620539876E-2</v>
      </c>
      <c r="S5" s="11">
        <v>-0.10803651422923981</v>
      </c>
      <c r="T5" s="11">
        <v>-1.0912357889045956</v>
      </c>
      <c r="U5" s="11">
        <v>-1.8100508803492777E-3</v>
      </c>
      <c r="V5" s="5">
        <f t="shared" ref="V5" si="8">J5-P5</f>
        <v>-8.8346851893805398E-4</v>
      </c>
      <c r="W5" s="5">
        <f t="shared" ref="W5" si="9">K5-Q5</f>
        <v>-3.7583724510090654E-3</v>
      </c>
      <c r="X5" s="5">
        <f t="shared" ref="X5" si="10">L5-R5</f>
        <v>3.3140563721276578E-3</v>
      </c>
      <c r="Y5" s="5">
        <f t="shared" ref="Y5" si="11">M5-S5</f>
        <v>9.2774577296437608E-2</v>
      </c>
      <c r="Z5" s="5">
        <f t="shared" ref="Z5" si="12">N5-T5</f>
        <v>3.2813342653675637E-2</v>
      </c>
      <c r="AA5" s="5">
        <f t="shared" ref="AA5" si="13">O5-U5</f>
        <v>2.2999859725869275E-2</v>
      </c>
      <c r="AB5" s="16" cm="1">
        <f t="array" ref="AB5">SQRT(SUMPRODUCT(((J5:O5-P5:U5)/$AE$3:$AJ$3)^2)/6)*100</f>
        <v>0.23199852559371623</v>
      </c>
      <c r="AC5" s="5">
        <f t="shared" si="7"/>
        <v>0.18000000000000002</v>
      </c>
      <c r="AD5" s="13">
        <v>4273283.7574743303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s="5" customFormat="1" ht="16.5" customHeight="1" x14ac:dyDescent="0.25">
      <c r="A6" s="17">
        <v>0.83277602429999997</v>
      </c>
      <c r="B6" s="17">
        <v>0.2</v>
      </c>
      <c r="C6" s="18">
        <v>4.7123999999999997</v>
      </c>
      <c r="D6" s="17">
        <v>1.4193655153</v>
      </c>
      <c r="E6" s="17">
        <v>0.04</v>
      </c>
      <c r="F6" s="18">
        <v>5.4977999999999998</v>
      </c>
      <c r="G6" s="17">
        <v>4.2084858911999996</v>
      </c>
      <c r="H6" s="17">
        <v>0.52916698419999997</v>
      </c>
      <c r="I6" s="17">
        <v>2.5150427606000001</v>
      </c>
      <c r="J6" s="8">
        <v>-2.2600172087550201E-2</v>
      </c>
      <c r="K6" s="8">
        <v>0.2035677599906926</v>
      </c>
      <c r="L6" s="8">
        <v>1.6263059973716687E-2</v>
      </c>
      <c r="M6" s="8">
        <v>-0.76213192939758301</v>
      </c>
      <c r="N6" s="8">
        <v>0.83609861135482799</v>
      </c>
      <c r="O6" s="8">
        <v>-1.67676854133606</v>
      </c>
      <c r="P6" s="11">
        <v>-1.6056009550319005E-2</v>
      </c>
      <c r="Q6" s="11">
        <v>0.19702783445823938</v>
      </c>
      <c r="R6" s="11">
        <v>3.4234622469970354E-2</v>
      </c>
      <c r="S6" s="11">
        <v>-0.80219248645916452</v>
      </c>
      <c r="T6" s="11">
        <v>0.88645185524972003</v>
      </c>
      <c r="U6" s="11">
        <v>-1.6576023390474031</v>
      </c>
      <c r="V6" s="5">
        <f t="shared" ref="V6:AA7" si="14">J6-P6</f>
        <v>-6.5441625372311962E-3</v>
      </c>
      <c r="W6" s="5">
        <f t="shared" si="14"/>
        <v>6.5399255324532224E-3</v>
      </c>
      <c r="X6" s="5">
        <f t="shared" si="14"/>
        <v>-1.7971562496253667E-2</v>
      </c>
      <c r="Y6" s="5">
        <f t="shared" si="14"/>
        <v>4.0060557061581514E-2</v>
      </c>
      <c r="Z6" s="5">
        <f t="shared" si="14"/>
        <v>-5.0353243894892041E-2</v>
      </c>
      <c r="AA6" s="5">
        <f t="shared" si="14"/>
        <v>-1.9166202288656953E-2</v>
      </c>
      <c r="AB6" s="16" cm="1">
        <f t="array" ref="AB6">SQRT(SUMPRODUCT(((J6:O6-P6:U6)/$AE$3:$AJ$3)^2)/6)*100</f>
        <v>0.83294309551366763</v>
      </c>
      <c r="AC6" s="5">
        <f t="shared" si="7"/>
        <v>0.16</v>
      </c>
      <c r="AD6" s="13">
        <v>3505870.2146876999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s="5" customFormat="1" ht="16.5" customHeight="1" x14ac:dyDescent="0.25">
      <c r="A7" s="17">
        <v>0.3898403909</v>
      </c>
      <c r="B7" s="17">
        <v>0.2</v>
      </c>
      <c r="C7" s="18">
        <v>1.5708</v>
      </c>
      <c r="D7" s="17">
        <v>0.45028828840000001</v>
      </c>
      <c r="E7" s="21">
        <v>0.04</v>
      </c>
      <c r="F7" s="18">
        <v>2.3561999999999999</v>
      </c>
      <c r="G7" s="17">
        <v>0.34676129480000001</v>
      </c>
      <c r="H7" s="17">
        <v>0.93612470940000003</v>
      </c>
      <c r="I7" s="17">
        <v>2.0702513480000002</v>
      </c>
      <c r="J7" s="8">
        <v>-2.83843977376819E-3</v>
      </c>
      <c r="K7" s="8">
        <v>-8.2259576320647787E-2</v>
      </c>
      <c r="L7" s="8">
        <v>-3.6772690713405068E-4</v>
      </c>
      <c r="M7" s="8">
        <v>-7.1337848901748699E-2</v>
      </c>
      <c r="N7" s="8">
        <v>-0.277880519628525</v>
      </c>
      <c r="O7" s="8">
        <v>0.691084444522858</v>
      </c>
      <c r="P7" s="11">
        <v>-1.3121901393190266E-3</v>
      </c>
      <c r="Q7" s="11">
        <v>-8.9262448649607168E-2</v>
      </c>
      <c r="R7" s="11">
        <v>-1.2519858524483401E-2</v>
      </c>
      <c r="S7" s="11">
        <v>-0.11669776718578821</v>
      </c>
      <c r="T7" s="11">
        <v>-0.31464896267178544</v>
      </c>
      <c r="U7" s="11">
        <v>0.69863043590686136</v>
      </c>
      <c r="V7" s="5">
        <f t="shared" si="14"/>
        <v>-1.5262496344491635E-3</v>
      </c>
      <c r="W7" s="5">
        <f t="shared" si="14"/>
        <v>7.0028723289593808E-3</v>
      </c>
      <c r="X7" s="5">
        <f t="shared" si="14"/>
        <v>1.2152131617349351E-2</v>
      </c>
      <c r="Y7" s="5">
        <f t="shared" si="14"/>
        <v>4.5359918284039513E-2</v>
      </c>
      <c r="Z7" s="5">
        <f t="shared" si="14"/>
        <v>3.6768443043260435E-2</v>
      </c>
      <c r="AA7" s="5">
        <f t="shared" si="14"/>
        <v>-7.5459913840033588E-3</v>
      </c>
      <c r="AB7" s="16" cm="1">
        <f t="array" ref="AB7">SQRT(SUMPRODUCT(((J7:O7-P7:U7)/$AE$3:$AJ$3)^2)/6)*100</f>
        <v>0.58186144765884051</v>
      </c>
      <c r="AC7" s="5">
        <f t="shared" si="7"/>
        <v>0.16</v>
      </c>
      <c r="AD7" s="13">
        <v>8970007.7564536203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s="5" customFormat="1" ht="16.5" customHeight="1" x14ac:dyDescent="0.25">
      <c r="A8" s="17">
        <v>0.86958752539999995</v>
      </c>
      <c r="B8" s="17">
        <v>0.2</v>
      </c>
      <c r="C8" s="18">
        <v>0.78539999999999999</v>
      </c>
      <c r="D8" s="17">
        <v>0.66933871</v>
      </c>
      <c r="E8" s="21">
        <v>0.04</v>
      </c>
      <c r="F8" s="18">
        <v>0.78539999999999999</v>
      </c>
      <c r="G8" s="17">
        <v>2.0486073985000002</v>
      </c>
      <c r="H8" s="17">
        <v>1.4427408886999999</v>
      </c>
      <c r="I8" s="17">
        <v>0.53737298850000004</v>
      </c>
      <c r="J8" s="8">
        <v>4.2178397998213803E-3</v>
      </c>
      <c r="K8" s="8">
        <v>-0.1370001655817028</v>
      </c>
      <c r="L8" s="8">
        <v>0.13484285593032813</v>
      </c>
      <c r="M8" s="8">
        <v>-0.61169552803039595</v>
      </c>
      <c r="N8" s="8">
        <v>0.92778009176254295</v>
      </c>
      <c r="O8" s="8">
        <v>0.97456169128418002</v>
      </c>
      <c r="P8" s="11">
        <v>-2.5087600534579148E-3</v>
      </c>
      <c r="Q8" s="11">
        <v>-0.13295516949701597</v>
      </c>
      <c r="R8" s="11">
        <v>0.13423178464711924</v>
      </c>
      <c r="S8" s="11">
        <v>-0.7429952535801152</v>
      </c>
      <c r="T8" s="11">
        <v>0.93095245460271803</v>
      </c>
      <c r="U8" s="11">
        <v>0.90995695848074565</v>
      </c>
      <c r="V8" s="5">
        <f t="shared" si="1"/>
        <v>6.7265998532792951E-3</v>
      </c>
      <c r="W8" s="5">
        <f t="shared" si="2"/>
        <v>-4.044996084686836E-3</v>
      </c>
      <c r="X8" s="5">
        <f t="shared" si="3"/>
        <v>6.1107128320889159E-4</v>
      </c>
      <c r="Y8" s="5">
        <f t="shared" si="4"/>
        <v>0.13129972554971925</v>
      </c>
      <c r="Z8" s="5">
        <f t="shared" si="5"/>
        <v>-3.1723628401750803E-3</v>
      </c>
      <c r="AA8" s="5">
        <f t="shared" si="6"/>
        <v>6.4604732803434373E-2</v>
      </c>
      <c r="AB8" s="16" cm="1">
        <f t="array" ref="AB8">SQRT(SUMPRODUCT(((J8:O8-P8:U8)/$AE$3:$AJ$3)^2)/6)*100</f>
        <v>0.35877318333707037</v>
      </c>
      <c r="AC8" s="5">
        <f t="shared" si="7"/>
        <v>0.16</v>
      </c>
      <c r="AD8" s="13">
        <v>11472322.9176939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s="5" customFormat="1" ht="16.5" customHeight="1" x14ac:dyDescent="0.25">
      <c r="A9" s="17">
        <v>1.2260241731999999</v>
      </c>
      <c r="B9" s="17">
        <v>0.2</v>
      </c>
      <c r="C9" s="18">
        <v>3.1415999999999999</v>
      </c>
      <c r="D9" s="17">
        <v>0.53124592000000004</v>
      </c>
      <c r="E9" s="17">
        <v>0.04</v>
      </c>
      <c r="F9" s="18">
        <v>1.5708</v>
      </c>
      <c r="G9" s="17">
        <v>2.1721905802000001</v>
      </c>
      <c r="H9" s="17">
        <v>4.8592739976999999</v>
      </c>
      <c r="I9" s="17">
        <v>4.1505258277000001</v>
      </c>
      <c r="J9" s="8">
        <v>-1.05884596705437E-2</v>
      </c>
      <c r="K9" s="8">
        <v>-2.5415880382061017E-2</v>
      </c>
      <c r="L9" s="8">
        <v>-0.22906562328338606</v>
      </c>
      <c r="M9" s="8">
        <v>-0.90436720848083496</v>
      </c>
      <c r="N9" s="8">
        <v>-0.59426629543304399</v>
      </c>
      <c r="O9" s="8">
        <v>0.66323274374008201</v>
      </c>
      <c r="P9" s="11">
        <v>-4.7395531134692788E-3</v>
      </c>
      <c r="Q9" s="11">
        <v>-2.3014450386568779E-2</v>
      </c>
      <c r="R9" s="11">
        <v>-0.21593439797766101</v>
      </c>
      <c r="S9" s="11">
        <v>-1.037015551693089</v>
      </c>
      <c r="T9" s="11">
        <v>-0.65726908619504332</v>
      </c>
      <c r="U9" s="11">
        <v>0.54326312163985624</v>
      </c>
      <c r="V9" s="5">
        <f t="shared" si="1"/>
        <v>-5.8489065570744214E-3</v>
      </c>
      <c r="W9" s="5">
        <f t="shared" si="2"/>
        <v>-2.4014299954922373E-3</v>
      </c>
      <c r="X9" s="5">
        <f t="shared" si="3"/>
        <v>-1.3131225305725053E-2</v>
      </c>
      <c r="Y9" s="5">
        <f t="shared" si="4"/>
        <v>0.13264834321225405</v>
      </c>
      <c r="Z9" s="5">
        <f t="shared" si="5"/>
        <v>6.3002790761999328E-2</v>
      </c>
      <c r="AA9" s="5">
        <f t="shared" si="6"/>
        <v>0.11996962210022577</v>
      </c>
      <c r="AB9" s="16" cm="1">
        <f t="array" ref="AB9">SQRT(SUMPRODUCT(((J9:O9-P9:U9)/$AE$3:$AJ$3)^2)/6)*100</f>
        <v>0.66231723085884597</v>
      </c>
      <c r="AC9" s="5">
        <f t="shared" si="7"/>
        <v>0.16</v>
      </c>
      <c r="AD9" s="13">
        <v>1451648.22916806</v>
      </c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s="5" customFormat="1" ht="16.5" customHeight="1" x14ac:dyDescent="0.25">
      <c r="A10" s="17">
        <v>1.4922792275000001</v>
      </c>
      <c r="B10" s="17">
        <v>0.2</v>
      </c>
      <c r="C10" s="18">
        <v>2.3561999999999999</v>
      </c>
      <c r="D10" s="17">
        <v>1.2493008810999999</v>
      </c>
      <c r="E10" s="17">
        <v>0.04</v>
      </c>
      <c r="F10" s="18">
        <v>0.78539999999999999</v>
      </c>
      <c r="G10" s="17">
        <v>0.65138204079999995</v>
      </c>
      <c r="H10" s="17">
        <v>2.3960292019999998</v>
      </c>
      <c r="I10" s="17">
        <v>3.8310385232000002</v>
      </c>
      <c r="J10" s="8">
        <v>-3.3023439347744002E-2</v>
      </c>
      <c r="K10" s="8">
        <v>-0.23263156175613409</v>
      </c>
      <c r="L10" s="8">
        <v>-0.15568616658449203</v>
      </c>
      <c r="M10" s="8">
        <v>-1.0651987791061399</v>
      </c>
      <c r="N10" s="8">
        <v>0.49567955732345598</v>
      </c>
      <c r="O10" s="8">
        <v>1.5597436428070099</v>
      </c>
      <c r="P10" s="11">
        <v>-2.2463999282535608E-2</v>
      </c>
      <c r="Q10" s="11">
        <v>-0.22898279020825116</v>
      </c>
      <c r="R10" s="11">
        <v>-0.14135228945697995</v>
      </c>
      <c r="S10" s="11">
        <v>-1.2832043384030869</v>
      </c>
      <c r="T10" s="11">
        <v>0.4367814817963428</v>
      </c>
      <c r="U10" s="11">
        <v>1.4733488908332519</v>
      </c>
      <c r="V10" s="5">
        <f t="shared" si="1"/>
        <v>-1.0559440065208394E-2</v>
      </c>
      <c r="W10" s="5">
        <f t="shared" si="2"/>
        <v>-3.6487715478829286E-3</v>
      </c>
      <c r="X10" s="5">
        <f t="shared" si="3"/>
        <v>-1.4333877127512079E-2</v>
      </c>
      <c r="Y10" s="5">
        <f t="shared" si="4"/>
        <v>0.21800555929694698</v>
      </c>
      <c r="Z10" s="5">
        <f t="shared" si="5"/>
        <v>5.8898075527113181E-2</v>
      </c>
      <c r="AA10" s="5">
        <f t="shared" si="6"/>
        <v>8.6394751973758011E-2</v>
      </c>
      <c r="AB10" s="16" cm="1">
        <f t="array" ref="AB10">SQRT(SUMPRODUCT(((J10:O10-P10:U10)/$AE$3:$AJ$3)^2)/6)*100</f>
        <v>0.78614006109155499</v>
      </c>
      <c r="AC10" s="5">
        <f t="shared" si="7"/>
        <v>0.16</v>
      </c>
      <c r="AD10" s="13">
        <v>44611344.407364704</v>
      </c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  <row r="11" spans="1:128" ht="16.5" customHeight="1" x14ac:dyDescent="0.25">
      <c r="A11" s="17">
        <v>1.4258680059</v>
      </c>
      <c r="B11" s="17">
        <v>0.2</v>
      </c>
      <c r="C11" s="18">
        <v>4.7123999999999997</v>
      </c>
      <c r="D11" s="17">
        <v>0.35291314260000001</v>
      </c>
      <c r="E11" s="17">
        <v>0.04</v>
      </c>
      <c r="F11" s="18">
        <v>0</v>
      </c>
      <c r="G11" s="17">
        <v>3.4810259851000001</v>
      </c>
      <c r="H11" s="17">
        <v>1.1294030872</v>
      </c>
      <c r="I11" s="17">
        <v>4.9138255752999997</v>
      </c>
      <c r="J11" s="8">
        <v>-2.9087357223033902E-2</v>
      </c>
      <c r="K11" s="8">
        <v>0.27084197163581819</v>
      </c>
      <c r="L11" s="8">
        <v>9.3254102021455808E-3</v>
      </c>
      <c r="M11" s="8">
        <v>-1.3190960884094201</v>
      </c>
      <c r="N11" s="8">
        <v>0.140940636396408</v>
      </c>
      <c r="O11" s="8">
        <v>-0.61736321449279796</v>
      </c>
      <c r="P11" s="11">
        <v>-1.6172762322580862E-2</v>
      </c>
      <c r="Q11" s="11">
        <v>0.24188002798750988</v>
      </c>
      <c r="R11" s="11">
        <v>5.7367782769894094E-3</v>
      </c>
      <c r="S11" s="11">
        <v>-1.3042815769297911</v>
      </c>
      <c r="T11" s="11">
        <v>0.23208611270380994</v>
      </c>
      <c r="U11" s="11">
        <v>-0.59527886764220683</v>
      </c>
      <c r="V11" s="5">
        <f t="shared" ref="V11:V12" si="15">J11-P11</f>
        <v>-1.291459490045304E-2</v>
      </c>
      <c r="W11" s="5">
        <f t="shared" ref="W11:W12" si="16">K11-Q11</f>
        <v>2.8961943648308314E-2</v>
      </c>
      <c r="X11" s="5">
        <f t="shared" ref="X11:X12" si="17">L11-R11</f>
        <v>3.5886319251561714E-3</v>
      </c>
      <c r="Y11" s="5">
        <f t="shared" ref="Y11:Y12" si="18">M11-S11</f>
        <v>-1.4814511479628978E-2</v>
      </c>
      <c r="Z11" s="5">
        <f t="shared" ref="Z11:Z12" si="19">N11-T11</f>
        <v>-9.114547630740194E-2</v>
      </c>
      <c r="AA11" s="5">
        <f t="shared" ref="AA11:AA12" si="20">O11-U11</f>
        <v>-2.208434685059113E-2</v>
      </c>
      <c r="AB11" s="16" cm="1">
        <f t="array" ref="AB11">SQRT(SUMPRODUCT(((J11:O11-P11:U11)/$AE$3:$AJ$3)^2)/6)*100</f>
        <v>1.3168828249646938</v>
      </c>
      <c r="AC11" s="5">
        <f t="shared" si="7"/>
        <v>0.16</v>
      </c>
      <c r="AD11" s="13">
        <v>11612851.453590199</v>
      </c>
    </row>
    <row r="12" spans="1:128" ht="16.5" customHeight="1" x14ac:dyDescent="0.25">
      <c r="A12" s="17">
        <v>1.2847663906</v>
      </c>
      <c r="B12" s="17">
        <v>0.18</v>
      </c>
      <c r="C12" s="18">
        <v>0.78539999999999999</v>
      </c>
      <c r="D12" s="17">
        <v>0.98965387010000005</v>
      </c>
      <c r="E12" s="17">
        <v>0.04</v>
      </c>
      <c r="F12" s="18">
        <v>3.927</v>
      </c>
      <c r="G12" s="17">
        <v>3.2068327339999998</v>
      </c>
      <c r="H12" s="17">
        <v>3.5469168124000001</v>
      </c>
      <c r="I12" s="17">
        <v>1.1514404992</v>
      </c>
      <c r="J12" s="8">
        <v>-1.0062171146273601E-2</v>
      </c>
      <c r="K12" s="8">
        <v>-0.11961497262120291</v>
      </c>
      <c r="L12" s="8">
        <v>0.13679772749543156</v>
      </c>
      <c r="M12" s="8">
        <v>-0.57413351535797097</v>
      </c>
      <c r="N12" s="8">
        <v>-0.16432480514049499</v>
      </c>
      <c r="O12" s="8">
        <v>-0.195539399981499</v>
      </c>
      <c r="P12" s="11">
        <v>-1.0537619630847143E-2</v>
      </c>
      <c r="Q12" s="11">
        <v>-0.12120093343574603</v>
      </c>
      <c r="R12" s="11">
        <v>0.12685227509681399</v>
      </c>
      <c r="S12" s="11">
        <v>-0.65332836281651829</v>
      </c>
      <c r="T12" s="11">
        <v>-1.1251910742343258E-2</v>
      </c>
      <c r="U12" s="11">
        <v>-7.8499111160395735E-2</v>
      </c>
      <c r="V12" s="5">
        <f t="shared" si="15"/>
        <v>4.7544848457354259E-4</v>
      </c>
      <c r="W12" s="5">
        <f t="shared" si="16"/>
        <v>1.5859608145431248E-3</v>
      </c>
      <c r="X12" s="5">
        <f t="shared" si="17"/>
        <v>9.9454523986175769E-3</v>
      </c>
      <c r="Y12" s="5">
        <f t="shared" si="18"/>
        <v>7.9194847458547324E-2</v>
      </c>
      <c r="Z12" s="5">
        <f t="shared" si="19"/>
        <v>-0.15307289439815175</v>
      </c>
      <c r="AA12" s="5">
        <f t="shared" si="20"/>
        <v>-0.11704028882110326</v>
      </c>
      <c r="AB12" s="16" cm="1">
        <f t="array" ref="AB12">SQRT(SUMPRODUCT(((J12:O12-P12:U12)/$AE$3:$AJ$3)^2)/6)*100</f>
        <v>0.57186809404552352</v>
      </c>
      <c r="AC12" s="5">
        <f t="shared" si="7"/>
        <v>0.13999999999999999</v>
      </c>
      <c r="AD12" s="13">
        <v>15650493.6430206</v>
      </c>
    </row>
    <row r="13" spans="1:128" ht="16.5" customHeight="1" x14ac:dyDescent="0.25">
      <c r="A13" s="17">
        <v>0.82078888689999996</v>
      </c>
      <c r="B13" s="17">
        <v>0.18</v>
      </c>
      <c r="C13" s="18">
        <v>0</v>
      </c>
      <c r="D13" s="17">
        <v>1.3252826163</v>
      </c>
      <c r="E13" s="17">
        <v>0.04</v>
      </c>
      <c r="F13" s="18">
        <v>0</v>
      </c>
      <c r="G13" s="17">
        <v>3.9081993600000003E-2</v>
      </c>
      <c r="H13" s="17">
        <v>2.9262884955000001</v>
      </c>
      <c r="I13" s="17">
        <v>4.7431789933999999</v>
      </c>
      <c r="J13" s="8">
        <v>1.4371985569596299E-2</v>
      </c>
      <c r="K13" s="8">
        <v>-1.4706531241536116E-2</v>
      </c>
      <c r="L13" s="8">
        <v>0.2061504805088038</v>
      </c>
      <c r="M13" s="8">
        <v>-0.55730897188186601</v>
      </c>
      <c r="N13" s="8">
        <v>2.0565929412841801</v>
      </c>
      <c r="O13" s="8">
        <v>7.4373602867126506E-2</v>
      </c>
      <c r="P13" s="11">
        <v>1.3962415177257053E-2</v>
      </c>
      <c r="Q13" s="11">
        <v>-4.3173147657946656E-3</v>
      </c>
      <c r="R13" s="11">
        <v>0.19783539390024879</v>
      </c>
      <c r="S13" s="11">
        <v>-0.58978022518078177</v>
      </c>
      <c r="T13" s="11">
        <v>2.0513442091719258</v>
      </c>
      <c r="U13" s="11">
        <v>7.7424057484701297E-2</v>
      </c>
      <c r="V13" s="5">
        <f t="shared" ref="V13:V22" si="21">J13-P13</f>
        <v>4.0957039233924589E-4</v>
      </c>
      <c r="W13" s="5">
        <f t="shared" ref="W13:W22" si="22">K13-Q13</f>
        <v>-1.0389216475741449E-2</v>
      </c>
      <c r="X13" s="5">
        <f t="shared" ref="X13:X22" si="23">L13-R13</f>
        <v>8.3150866085550112E-3</v>
      </c>
      <c r="Y13" s="5">
        <f t="shared" ref="Y13:Y22" si="24">M13-S13</f>
        <v>3.2471253298915759E-2</v>
      </c>
      <c r="Z13" s="5">
        <f t="shared" ref="Z13:Z22" si="25">N13-T13</f>
        <v>5.2487321122542951E-3</v>
      </c>
      <c r="AA13" s="5">
        <f t="shared" ref="AA13:AA22" si="26">O13-U13</f>
        <v>-3.050454617574791E-3</v>
      </c>
      <c r="AB13" s="16" cm="1">
        <f t="array" ref="AB13">SQRT(SUMPRODUCT(((J13:O13-P13:U13)/$AE$3:$AJ$3)^2)/6)*100</f>
        <v>0.54410362419753733</v>
      </c>
      <c r="AC13" s="5">
        <f t="shared" si="7"/>
        <v>0.13999999999999999</v>
      </c>
      <c r="AD13" s="13">
        <v>203083247.26051599</v>
      </c>
    </row>
    <row r="14" spans="1:128" ht="16.5" customHeight="1" x14ac:dyDescent="0.25">
      <c r="A14" s="17">
        <v>0.51355824630000002</v>
      </c>
      <c r="B14" s="17">
        <v>0.2</v>
      </c>
      <c r="C14" s="18">
        <v>2.3561999999999999</v>
      </c>
      <c r="D14" s="17">
        <v>0.96095190770000005</v>
      </c>
      <c r="E14" s="17">
        <v>0.06</v>
      </c>
      <c r="F14" s="18">
        <v>0</v>
      </c>
      <c r="G14" s="17">
        <v>2.4382389278000001</v>
      </c>
      <c r="H14" s="17">
        <v>4.2854047354000002</v>
      </c>
      <c r="I14" s="17">
        <v>0.33901404839999999</v>
      </c>
      <c r="J14" s="8">
        <v>1.1325632221996799E-3</v>
      </c>
      <c r="K14" s="8">
        <v>-6.6681183576583883E-2</v>
      </c>
      <c r="L14" s="8">
        <v>7.4554264545442783E-4</v>
      </c>
      <c r="M14" s="8">
        <v>-6.8245917558670002E-2</v>
      </c>
      <c r="N14" s="8">
        <v>0.80465632677078203</v>
      </c>
      <c r="O14" s="8">
        <v>0.26539456844329801</v>
      </c>
      <c r="P14" s="11">
        <v>1.4116886840891455E-3</v>
      </c>
      <c r="Q14" s="11">
        <v>-6.8814437906198692E-2</v>
      </c>
      <c r="R14" s="11">
        <v>-1.1834700613937146E-2</v>
      </c>
      <c r="S14" s="11">
        <v>-0.16046156628849539</v>
      </c>
      <c r="T14" s="11">
        <v>0.6261073611513065</v>
      </c>
      <c r="U14" s="11">
        <v>0.3160520864764868</v>
      </c>
      <c r="V14" s="5">
        <f t="shared" si="21"/>
        <v>-2.7912546188946555E-4</v>
      </c>
      <c r="W14" s="5">
        <f t="shared" si="22"/>
        <v>2.1332543296148088E-3</v>
      </c>
      <c r="X14" s="5">
        <f t="shared" si="23"/>
        <v>1.2580243259391574E-2</v>
      </c>
      <c r="Y14" s="5">
        <f t="shared" si="24"/>
        <v>9.2215648729825392E-2</v>
      </c>
      <c r="Z14" s="5">
        <f t="shared" si="25"/>
        <v>0.17854896561947553</v>
      </c>
      <c r="AA14" s="5">
        <f t="shared" si="26"/>
        <v>-5.0657518033188798E-2</v>
      </c>
      <c r="AB14" s="16" cm="1">
        <f t="array" ref="AB14">SQRT(SUMPRODUCT(((J14:O14-P14:U14)/$AE$3:$AJ$3)^2)/6)*100</f>
        <v>0.64726108171486108</v>
      </c>
      <c r="AC14" s="5">
        <f t="shared" si="7"/>
        <v>0.14000000000000001</v>
      </c>
      <c r="AD14" s="13">
        <v>2977965.8202338498</v>
      </c>
    </row>
    <row r="15" spans="1:128" ht="16.5" customHeight="1" x14ac:dyDescent="0.25">
      <c r="A15" s="17">
        <v>0.35944564579999999</v>
      </c>
      <c r="B15" s="17">
        <v>0.18</v>
      </c>
      <c r="C15" s="18">
        <v>5.4977999999999998</v>
      </c>
      <c r="D15" s="17">
        <v>1.2877652723999999</v>
      </c>
      <c r="E15" s="17">
        <v>0.04</v>
      </c>
      <c r="F15" s="18">
        <v>2.3561999999999999</v>
      </c>
      <c r="G15" s="17">
        <v>2.1189458146</v>
      </c>
      <c r="H15" s="17">
        <v>2.2606748846000002</v>
      </c>
      <c r="I15" s="17">
        <v>0.94750633689999997</v>
      </c>
      <c r="J15" s="8">
        <v>-5.0011062994599299E-3</v>
      </c>
      <c r="K15" s="8">
        <v>1.905451118946036E-3</v>
      </c>
      <c r="L15" s="8">
        <v>-3.3290824294089638E-3</v>
      </c>
      <c r="M15" s="8">
        <v>1.8331240862607999E-3</v>
      </c>
      <c r="N15" s="8">
        <v>-0.756436347961426</v>
      </c>
      <c r="O15" s="8">
        <v>0.79075133800506603</v>
      </c>
      <c r="P15" s="11">
        <v>-1.1395095969386831E-3</v>
      </c>
      <c r="Q15" s="11">
        <v>9.3017485423136093E-3</v>
      </c>
      <c r="R15" s="11">
        <v>9.1659151898373648E-3</v>
      </c>
      <c r="S15" s="11">
        <v>5.7736280251303822E-4</v>
      </c>
      <c r="T15" s="11">
        <v>-0.65731655057261273</v>
      </c>
      <c r="U15" s="11">
        <v>0.65843555760734018</v>
      </c>
      <c r="V15" s="5">
        <f t="shared" si="21"/>
        <v>-3.861596702521247E-3</v>
      </c>
      <c r="W15" s="5">
        <f t="shared" si="22"/>
        <v>-7.3962974233675732E-3</v>
      </c>
      <c r="X15" s="5">
        <f t="shared" si="23"/>
        <v>-1.2494997619246329E-2</v>
      </c>
      <c r="Y15" s="5">
        <f t="shared" si="24"/>
        <v>1.2557612837477616E-3</v>
      </c>
      <c r="Z15" s="5">
        <f t="shared" si="25"/>
        <v>-9.9119797388813269E-2</v>
      </c>
      <c r="AA15" s="5">
        <f t="shared" si="26"/>
        <v>0.13231578039772585</v>
      </c>
      <c r="AB15" s="16" cm="1">
        <f t="array" ref="AB15">SQRT(SUMPRODUCT(((J15:O15-P15:U15)/$AE$3:$AJ$3)^2)/6)*100</f>
        <v>0.70008695668507748</v>
      </c>
      <c r="AC15" s="5">
        <f t="shared" si="7"/>
        <v>0.13999999999999999</v>
      </c>
      <c r="AD15" s="13">
        <v>130272515.589435</v>
      </c>
    </row>
    <row r="16" spans="1:128" ht="16.5" customHeight="1" x14ac:dyDescent="0.25">
      <c r="A16" s="17">
        <v>1.2267525763</v>
      </c>
      <c r="B16" s="17">
        <v>0.16</v>
      </c>
      <c r="C16" s="18">
        <v>5.4977999999999998</v>
      </c>
      <c r="D16" s="17">
        <v>1.4944716747</v>
      </c>
      <c r="E16" s="17">
        <v>0.04</v>
      </c>
      <c r="F16" s="18">
        <v>3.927</v>
      </c>
      <c r="G16" s="17">
        <v>0.31884207939999998</v>
      </c>
      <c r="H16" s="17">
        <v>3.8007215218999999</v>
      </c>
      <c r="I16" s="17">
        <v>0.48541647729999998</v>
      </c>
      <c r="J16" s="8">
        <v>5.6576435454189803E-3</v>
      </c>
      <c r="K16" s="8">
        <v>0.17276296734809909</v>
      </c>
      <c r="L16" s="8">
        <v>8.9440476745367051E-2</v>
      </c>
      <c r="M16" s="8">
        <v>-0.48139920830726601</v>
      </c>
      <c r="N16" s="8">
        <v>-0.48554921150207497</v>
      </c>
      <c r="O16" s="8">
        <v>-1.6963471174240099</v>
      </c>
      <c r="P16" s="11">
        <v>5.9347761331263894E-3</v>
      </c>
      <c r="Q16" s="11">
        <v>0.17749228304598175</v>
      </c>
      <c r="R16" s="11">
        <v>9.5618846428035434E-2</v>
      </c>
      <c r="S16" s="11">
        <v>-0.59606553627481251</v>
      </c>
      <c r="T16" s="11">
        <v>-0.23419289956062223</v>
      </c>
      <c r="U16" s="11">
        <v>-1.8168003737836591</v>
      </c>
      <c r="V16" s="5">
        <f t="shared" si="21"/>
        <v>-2.7713258770740903E-4</v>
      </c>
      <c r="W16" s="5">
        <f t="shared" si="22"/>
        <v>-4.7293156978826523E-3</v>
      </c>
      <c r="X16" s="5">
        <f t="shared" si="23"/>
        <v>-6.1783696826683832E-3</v>
      </c>
      <c r="Y16" s="5">
        <f t="shared" si="24"/>
        <v>0.1146663279675465</v>
      </c>
      <c r="Z16" s="5">
        <f t="shared" si="25"/>
        <v>-0.25135631194145275</v>
      </c>
      <c r="AA16" s="5">
        <f t="shared" si="26"/>
        <v>0.12045325635964921</v>
      </c>
      <c r="AB16" s="16" cm="1">
        <f t="array" ref="AB16">SQRT(SUMPRODUCT(((J16:O16-P16:U16)/$AE$3:$AJ$3)^2)/6)*100</f>
        <v>0.65636659190439062</v>
      </c>
      <c r="AC16" s="5">
        <f t="shared" si="7"/>
        <v>0.12</v>
      </c>
      <c r="AD16" s="13">
        <v>31767914.453021601</v>
      </c>
    </row>
    <row r="17" spans="1:30" ht="16.5" customHeight="1" x14ac:dyDescent="0.25">
      <c r="A17" s="17">
        <v>0.64421489080000005</v>
      </c>
      <c r="B17" s="17">
        <v>0.14000000000000001</v>
      </c>
      <c r="C17" s="18">
        <v>0</v>
      </c>
      <c r="D17" s="17">
        <v>0.8523470823</v>
      </c>
      <c r="E17" s="17">
        <v>0.02</v>
      </c>
      <c r="F17" s="18">
        <v>4.7123999999999997</v>
      </c>
      <c r="G17" s="17">
        <v>8.0437148799999997E-2</v>
      </c>
      <c r="H17" s="17">
        <v>0.35167971240000001</v>
      </c>
      <c r="I17" s="17">
        <v>1.0501461195999999</v>
      </c>
      <c r="J17" s="8">
        <v>1.9597527571022502E-3</v>
      </c>
      <c r="K17" s="8">
        <v>1.6047963500023368E-2</v>
      </c>
      <c r="L17" s="8">
        <v>8.9387370347976308E-2</v>
      </c>
      <c r="M17" s="8">
        <v>-0.110345743596554</v>
      </c>
      <c r="N17" s="8">
        <v>0.49668353796005199</v>
      </c>
      <c r="O17" s="8">
        <v>-0.96090674400329601</v>
      </c>
      <c r="P17" s="11">
        <v>1.6043554446392293E-3</v>
      </c>
      <c r="Q17" s="11">
        <v>1.6824528189446804E-2</v>
      </c>
      <c r="R17" s="11">
        <v>8.9837806860052466E-2</v>
      </c>
      <c r="S17" s="11">
        <v>-0.15546388457569038</v>
      </c>
      <c r="T17" s="11">
        <v>0.62842417045121879</v>
      </c>
      <c r="U17" s="11">
        <v>-0.84730537549267337</v>
      </c>
      <c r="V17" s="5">
        <f t="shared" si="21"/>
        <v>3.5539731246302087E-4</v>
      </c>
      <c r="W17" s="5">
        <f t="shared" si="22"/>
        <v>-7.7656468942343543E-4</v>
      </c>
      <c r="X17" s="5">
        <f t="shared" si="23"/>
        <v>-4.5043651207615776E-4</v>
      </c>
      <c r="Y17" s="5">
        <f t="shared" si="24"/>
        <v>4.5118140979136384E-2</v>
      </c>
      <c r="Z17" s="5">
        <f t="shared" si="25"/>
        <v>-0.1317406324911668</v>
      </c>
      <c r="AA17" s="5">
        <f t="shared" si="26"/>
        <v>-0.11360136851062264</v>
      </c>
      <c r="AB17" s="16" cm="1">
        <f t="array" ref="AB17">SQRT(SUMPRODUCT(((J17:O17-P17:U17)/$AE$3:$AJ$3)^2)/6)*100</f>
        <v>0.35858488851113918</v>
      </c>
      <c r="AC17" s="5">
        <f t="shared" si="7"/>
        <v>0.12000000000000001</v>
      </c>
      <c r="AD17" s="13">
        <v>2813421.4308694499</v>
      </c>
    </row>
    <row r="18" spans="1:30" ht="16.5" customHeight="1" x14ac:dyDescent="0.25">
      <c r="A18" s="17">
        <v>1.1302547975999999</v>
      </c>
      <c r="B18" s="17">
        <v>0.16</v>
      </c>
      <c r="C18" s="18">
        <v>4.7123999999999997</v>
      </c>
      <c r="D18" s="17">
        <v>1.3446433494000001</v>
      </c>
      <c r="E18" s="17">
        <v>0.04</v>
      </c>
      <c r="F18" s="18">
        <v>0</v>
      </c>
      <c r="G18" s="17">
        <v>1.0644222964000001</v>
      </c>
      <c r="H18" s="17">
        <v>1.4761094460999999</v>
      </c>
      <c r="I18" s="17">
        <v>3.5278441351000001</v>
      </c>
      <c r="J18" s="8">
        <v>1.67317176237702E-3</v>
      </c>
      <c r="K18" s="8">
        <v>0.16960764229297612</v>
      </c>
      <c r="L18" s="8">
        <v>5.4553549885749189E-2</v>
      </c>
      <c r="M18" s="8">
        <v>-0.55695748329162598</v>
      </c>
      <c r="N18" s="8">
        <v>1.32389569282532</v>
      </c>
      <c r="O18" s="8">
        <v>-0.76391577720642101</v>
      </c>
      <c r="P18" s="11">
        <v>2.2802192361894734E-3</v>
      </c>
      <c r="Q18" s="11">
        <v>0.17240240472127491</v>
      </c>
      <c r="R18" s="11">
        <v>5.3940492255324213E-2</v>
      </c>
      <c r="S18" s="11">
        <v>-0.7271109972926213</v>
      </c>
      <c r="T18" s="11">
        <v>1.3284118080573626</v>
      </c>
      <c r="U18" s="11">
        <v>-0.89561045498352509</v>
      </c>
      <c r="V18" s="5">
        <f t="shared" si="21"/>
        <v>-6.0704747381245335E-4</v>
      </c>
      <c r="W18" s="5">
        <f t="shared" si="22"/>
        <v>-2.7947624282987915E-3</v>
      </c>
      <c r="X18" s="5">
        <f t="shared" si="23"/>
        <v>6.130576304249763E-4</v>
      </c>
      <c r="Y18" s="5">
        <f t="shared" si="24"/>
        <v>0.17015351400099532</v>
      </c>
      <c r="Z18" s="5">
        <f t="shared" si="25"/>
        <v>-4.5161152320425391E-3</v>
      </c>
      <c r="AA18" s="5">
        <f t="shared" si="26"/>
        <v>0.13169467777710409</v>
      </c>
      <c r="AB18" s="16" cm="1">
        <f t="array" ref="AB18">SQRT(SUMPRODUCT(((J18:O18-P18:U18)/$AE$3:$AJ$3)^2)/6)*100</f>
        <v>0.31624630385693975</v>
      </c>
      <c r="AC18" s="5">
        <f t="shared" si="7"/>
        <v>0.12</v>
      </c>
      <c r="AD18" s="13">
        <v>10813801.541929601</v>
      </c>
    </row>
    <row r="19" spans="1:30" ht="16.5" customHeight="1" x14ac:dyDescent="0.25">
      <c r="A19" s="17">
        <v>0.44052297210000002</v>
      </c>
      <c r="B19" s="17">
        <v>0.14000000000000001</v>
      </c>
      <c r="C19" s="18">
        <v>0.78539999999999999</v>
      </c>
      <c r="D19" s="17">
        <v>1.0539703866000001</v>
      </c>
      <c r="E19" s="17">
        <v>0.02</v>
      </c>
      <c r="F19" s="18">
        <v>3.1415999999999999</v>
      </c>
      <c r="G19" s="17">
        <v>2.7027230284999999</v>
      </c>
      <c r="H19" s="17">
        <v>1.6080541686000001</v>
      </c>
      <c r="I19" s="17">
        <v>1.7094513416999999</v>
      </c>
      <c r="J19" s="8">
        <v>2.5936241727322301E-3</v>
      </c>
      <c r="K19" s="8">
        <v>-4.9032121598720613E-2</v>
      </c>
      <c r="L19" s="8">
        <v>2.3136439621448505E-2</v>
      </c>
      <c r="M19" s="8">
        <v>-4.1746888309717199E-2</v>
      </c>
      <c r="N19" s="8">
        <v>-0.86065161228179898</v>
      </c>
      <c r="O19" s="8">
        <v>0.30409139394760099</v>
      </c>
      <c r="P19" s="11">
        <v>4.9372131269200361E-4</v>
      </c>
      <c r="Q19" s="11">
        <v>-4.3488752042885076E-2</v>
      </c>
      <c r="R19" s="11">
        <v>2.2359451741048149E-2</v>
      </c>
      <c r="S19" s="11">
        <v>-5.7344336070324971E-2</v>
      </c>
      <c r="T19" s="11">
        <v>-0.74850663563563591</v>
      </c>
      <c r="U19" s="11">
        <v>0.30584487930840715</v>
      </c>
      <c r="V19" s="5">
        <f t="shared" si="21"/>
        <v>2.0999028600402264E-3</v>
      </c>
      <c r="W19" s="5">
        <f t="shared" si="22"/>
        <v>-5.5433695558355367E-3</v>
      </c>
      <c r="X19" s="5">
        <f t="shared" si="23"/>
        <v>7.769878804003566E-4</v>
      </c>
      <c r="Y19" s="5">
        <f t="shared" si="24"/>
        <v>1.5597447760607772E-2</v>
      </c>
      <c r="Z19" s="5">
        <f t="shared" si="25"/>
        <v>-0.11214497664616307</v>
      </c>
      <c r="AA19" s="5">
        <f t="shared" si="26"/>
        <v>-1.7534853608061618E-3</v>
      </c>
      <c r="AB19" s="16" cm="1">
        <f t="array" ref="AB19">SQRT(SUMPRODUCT(((J19:O19-P19:U19)/$AE$3:$AJ$3)^2)/6)*100</f>
        <v>0.33481027549832193</v>
      </c>
      <c r="AC19" s="5">
        <f t="shared" si="7"/>
        <v>0.12000000000000001</v>
      </c>
      <c r="AD19" s="13">
        <v>20307966.931888599</v>
      </c>
    </row>
    <row r="20" spans="1:30" ht="16.5" customHeight="1" x14ac:dyDescent="0.25">
      <c r="A20" s="17">
        <v>1.4424756030000001</v>
      </c>
      <c r="B20" s="17">
        <v>0.16</v>
      </c>
      <c r="C20" s="18">
        <v>0.78539999999999999</v>
      </c>
      <c r="D20" s="17">
        <v>1.1597422298</v>
      </c>
      <c r="E20" s="17">
        <v>0.04</v>
      </c>
      <c r="F20" s="18">
        <v>2.3561999999999999</v>
      </c>
      <c r="G20" s="17">
        <v>4.8092587324</v>
      </c>
      <c r="H20" s="17">
        <v>0.4784433911</v>
      </c>
      <c r="I20" s="17">
        <v>4.3446054411999997</v>
      </c>
      <c r="J20" s="8">
        <v>3.0066542327404001E-2</v>
      </c>
      <c r="K20" s="8">
        <v>-0.1960352241992957</v>
      </c>
      <c r="L20" s="8">
        <v>0.12927154690027265</v>
      </c>
      <c r="M20" s="8">
        <v>-0.77978467941284202</v>
      </c>
      <c r="N20" s="8">
        <v>-0.16298925876617401</v>
      </c>
      <c r="O20" s="8">
        <v>1.66381180286407</v>
      </c>
      <c r="P20" s="11">
        <v>2.1446306889027829E-2</v>
      </c>
      <c r="Q20" s="11">
        <v>-0.18984246126853493</v>
      </c>
      <c r="R20" s="11">
        <v>0.11404173297144221</v>
      </c>
      <c r="S20" s="11">
        <v>-0.96791074210642136</v>
      </c>
      <c r="T20" s="11">
        <v>-0.17007468351827618</v>
      </c>
      <c r="U20" s="11">
        <v>1.6141934823699975</v>
      </c>
      <c r="V20" s="5">
        <f t="shared" si="21"/>
        <v>8.6202354383761726E-3</v>
      </c>
      <c r="W20" s="5">
        <f t="shared" si="22"/>
        <v>-6.1927629307607646E-3</v>
      </c>
      <c r="X20" s="5">
        <f t="shared" si="23"/>
        <v>1.5229813928830438E-2</v>
      </c>
      <c r="Y20" s="5">
        <f t="shared" si="24"/>
        <v>0.18812606269357934</v>
      </c>
      <c r="Z20" s="5">
        <f t="shared" si="25"/>
        <v>7.0854247521021652E-3</v>
      </c>
      <c r="AA20" s="5">
        <f t="shared" si="26"/>
        <v>4.9618320494072554E-2</v>
      </c>
      <c r="AB20" s="16" cm="1">
        <f t="array" ref="AB20">SQRT(SUMPRODUCT(((J20:O20-P20:U20)/$AE$3:$AJ$3)^2)/6)*100</f>
        <v>0.77536809022986819</v>
      </c>
      <c r="AC20" s="5">
        <f t="shared" si="7"/>
        <v>0.12</v>
      </c>
      <c r="AD20" s="13">
        <v>7881556.5629868899</v>
      </c>
    </row>
    <row r="21" spans="1:30" ht="16.5" customHeight="1" x14ac:dyDescent="0.25">
      <c r="A21" s="17">
        <v>1.3085202701</v>
      </c>
      <c r="B21" s="17">
        <v>0.14000000000000001</v>
      </c>
      <c r="C21" s="18">
        <v>3.927</v>
      </c>
      <c r="D21" s="17">
        <v>1.4295469448</v>
      </c>
      <c r="E21" s="17">
        <v>0.02</v>
      </c>
      <c r="F21" s="18">
        <v>0</v>
      </c>
      <c r="G21" s="17">
        <v>4.5210753759999998</v>
      </c>
      <c r="H21" s="17">
        <v>3.0172330613999998</v>
      </c>
      <c r="I21" s="17">
        <v>0.83361274470000002</v>
      </c>
      <c r="J21" s="8">
        <v>1.3228893512859899E-3</v>
      </c>
      <c r="K21" s="8">
        <v>0.1496044099330899</v>
      </c>
      <c r="L21" s="8">
        <v>-7.6152354888617976E-2</v>
      </c>
      <c r="M21" s="8">
        <v>-0.279466062784195</v>
      </c>
      <c r="N21" s="8">
        <v>0.80540740489959695</v>
      </c>
      <c r="O21" s="8">
        <v>-0.92264562845230103</v>
      </c>
      <c r="P21" s="11">
        <v>4.1725804697991462E-3</v>
      </c>
      <c r="Q21" s="11">
        <v>0.12905105845710463</v>
      </c>
      <c r="R21" s="11">
        <v>-9.8898491159140775E-2</v>
      </c>
      <c r="S21" s="11">
        <v>-0.34576597671679044</v>
      </c>
      <c r="T21" s="11">
        <v>0.56733421562296704</v>
      </c>
      <c r="U21" s="11">
        <v>-0.87953333576736958</v>
      </c>
      <c r="V21" s="5">
        <f t="shared" si="21"/>
        <v>-2.8496911185131564E-3</v>
      </c>
      <c r="W21" s="5">
        <f t="shared" si="22"/>
        <v>2.0553351475985276E-2</v>
      </c>
      <c r="X21" s="5">
        <f t="shared" si="23"/>
        <v>2.2746136270522799E-2</v>
      </c>
      <c r="Y21" s="5">
        <f t="shared" si="24"/>
        <v>6.6299913932595433E-2</v>
      </c>
      <c r="Z21" s="5">
        <f t="shared" si="25"/>
        <v>0.2380731892766299</v>
      </c>
      <c r="AA21" s="5">
        <f t="shared" si="26"/>
        <v>-4.3112292684931441E-2</v>
      </c>
      <c r="AB21" s="16" cm="1">
        <f t="array" ref="AB21">SQRT(SUMPRODUCT(((J21:O21-P21:U21)/$AE$3:$AJ$3)^2)/6)*100</f>
        <v>1.3512417230801745</v>
      </c>
      <c r="AC21" s="5">
        <f t="shared" si="7"/>
        <v>0.12000000000000001</v>
      </c>
      <c r="AD21" s="13">
        <v>1978384.07886175</v>
      </c>
    </row>
    <row r="22" spans="1:30" ht="16.5" customHeight="1" x14ac:dyDescent="0.25">
      <c r="A22" s="17">
        <v>1.0278031490999999</v>
      </c>
      <c r="B22" s="17">
        <v>0.14000000000000001</v>
      </c>
      <c r="C22" s="18">
        <v>0</v>
      </c>
      <c r="D22" s="17">
        <v>0.3286386073</v>
      </c>
      <c r="E22" s="17">
        <v>0.04</v>
      </c>
      <c r="F22" s="18">
        <v>2.3561999999999999</v>
      </c>
      <c r="G22" s="17">
        <v>2.4776605121999999</v>
      </c>
      <c r="H22" s="17">
        <v>0.70416387319999996</v>
      </c>
      <c r="I22" s="17">
        <v>1.306033752</v>
      </c>
      <c r="J22" s="8">
        <v>-8.7352143600583098E-4</v>
      </c>
      <c r="K22" s="8">
        <v>-1.1852361112833051E-2</v>
      </c>
      <c r="L22" s="8">
        <v>0.13730413258075697</v>
      </c>
      <c r="M22" s="8">
        <v>-0.36319693922996499</v>
      </c>
      <c r="N22" s="8">
        <v>0.55491173267364502</v>
      </c>
      <c r="O22" s="8">
        <v>0.295467138290405</v>
      </c>
      <c r="P22" s="11">
        <v>-7.6137336367693707E-4</v>
      </c>
      <c r="Q22" s="11">
        <v>-9.0935109736207161E-3</v>
      </c>
      <c r="R22" s="11">
        <v>0.13184150899893357</v>
      </c>
      <c r="S22" s="11">
        <v>-0.39122918751597247</v>
      </c>
      <c r="T22" s="11">
        <v>0.70388545803472713</v>
      </c>
      <c r="U22" s="11">
        <v>0.2265004770309334</v>
      </c>
      <c r="V22" s="5">
        <f t="shared" si="21"/>
        <v>-1.1214807232889392E-4</v>
      </c>
      <c r="W22" s="5">
        <f t="shared" si="22"/>
        <v>-2.7588501392123346E-3</v>
      </c>
      <c r="X22" s="5">
        <f t="shared" si="23"/>
        <v>5.4626235818233948E-3</v>
      </c>
      <c r="Y22" s="5">
        <f t="shared" si="24"/>
        <v>2.8032248286007477E-2</v>
      </c>
      <c r="Z22" s="5">
        <f t="shared" si="25"/>
        <v>-0.14897372536108211</v>
      </c>
      <c r="AA22" s="5">
        <f t="shared" si="26"/>
        <v>6.8966661259471596E-2</v>
      </c>
      <c r="AB22" s="16" cm="1">
        <f t="array" ref="AB22">SQRT(SUMPRODUCT(((J22:O22-P22:U22)/$AE$3:$AJ$3)^2)/6)*100</f>
        <v>0.41844214139512864</v>
      </c>
      <c r="AC22" s="5">
        <f t="shared" si="7"/>
        <v>0.1</v>
      </c>
      <c r="AD22" s="13">
        <v>7682871.4189448096</v>
      </c>
    </row>
    <row r="23" spans="1:30" ht="16.5" customHeight="1" x14ac:dyDescent="0.25">
      <c r="A23" s="16">
        <v>0.8908774062</v>
      </c>
      <c r="B23" s="16">
        <v>0.18</v>
      </c>
      <c r="C23" s="5">
        <v>3.1415999999999999</v>
      </c>
      <c r="D23" s="16">
        <v>0.88440675189999995</v>
      </c>
      <c r="E23" s="16">
        <v>0.08</v>
      </c>
      <c r="F23" s="5">
        <v>3.927</v>
      </c>
      <c r="G23" s="16">
        <v>0.48462861940000002</v>
      </c>
      <c r="H23" s="16">
        <v>1.6897568487000001</v>
      </c>
      <c r="I23" s="16">
        <v>3.1701200912999998</v>
      </c>
      <c r="J23" s="8"/>
      <c r="K23" s="8"/>
      <c r="L23" s="8"/>
      <c r="M23" s="8"/>
      <c r="N23" s="8"/>
      <c r="O23" s="8"/>
      <c r="P23" s="11">
        <v>-9.5966179497232497E-3</v>
      </c>
      <c r="Q23" s="11">
        <v>4.5430593779669293E-2</v>
      </c>
      <c r="R23" s="11">
        <v>-0.20195769682955467</v>
      </c>
      <c r="S23" s="11">
        <v>-0.9025094686345162</v>
      </c>
      <c r="T23" s="11">
        <v>-1.2557204408761056</v>
      </c>
      <c r="U23" s="11">
        <v>-0.51537623674765842</v>
      </c>
      <c r="V23" s="7"/>
      <c r="W23" s="7"/>
      <c r="X23" s="7"/>
      <c r="Y23" s="7"/>
      <c r="Z23" s="7"/>
      <c r="AA23" s="7"/>
      <c r="AB23" s="7"/>
      <c r="AC23" s="5">
        <f t="shared" si="7"/>
        <v>9.9999999999999992E-2</v>
      </c>
      <c r="AD23" s="13">
        <v>3626628.6869503399</v>
      </c>
    </row>
    <row r="24" spans="1:30" ht="16.5" customHeight="1" x14ac:dyDescent="0.25">
      <c r="A24" s="16">
        <v>1.2597568109999999</v>
      </c>
      <c r="B24" s="16">
        <v>0.16</v>
      </c>
      <c r="C24" s="5">
        <v>0</v>
      </c>
      <c r="D24" s="16">
        <v>0.58841219170000003</v>
      </c>
      <c r="E24" s="16">
        <v>0.06</v>
      </c>
      <c r="F24" s="5">
        <v>5.4977999999999998</v>
      </c>
      <c r="G24" s="16">
        <v>3.9855186287</v>
      </c>
      <c r="H24" s="16">
        <v>1.0426876676000001</v>
      </c>
      <c r="I24" s="16">
        <v>0.31561411</v>
      </c>
      <c r="J24" s="8"/>
      <c r="K24" s="8"/>
      <c r="L24" s="8"/>
      <c r="M24" s="8"/>
      <c r="N24" s="8"/>
      <c r="O24" s="8"/>
      <c r="P24" s="11">
        <v>-1.1612856862799274E-2</v>
      </c>
      <c r="Q24" s="11">
        <v>2.8447603107297957E-2</v>
      </c>
      <c r="R24" s="11">
        <v>0.21340176862119706</v>
      </c>
      <c r="S24" s="11">
        <v>-1.0226344514457371</v>
      </c>
      <c r="T24" s="11">
        <v>1.2959786182729494</v>
      </c>
      <c r="U24" s="11">
        <v>-0.46920753274957339</v>
      </c>
      <c r="V24" s="7"/>
      <c r="W24" s="7"/>
      <c r="X24" s="7"/>
      <c r="Y24" s="7"/>
      <c r="Z24" s="7"/>
      <c r="AA24" s="7"/>
      <c r="AB24" s="7"/>
      <c r="AC24" s="5">
        <f t="shared" si="7"/>
        <v>0.1</v>
      </c>
      <c r="AD24" s="13">
        <v>3230206.16839039</v>
      </c>
    </row>
    <row r="25" spans="1:30" ht="16.5" customHeight="1" x14ac:dyDescent="0.25">
      <c r="A25" s="16">
        <v>0.65858340790000003</v>
      </c>
      <c r="B25" s="16">
        <v>0.18</v>
      </c>
      <c r="C25" s="5">
        <v>0</v>
      </c>
      <c r="D25" s="16">
        <v>0.498698221</v>
      </c>
      <c r="E25" s="16">
        <v>0.08</v>
      </c>
      <c r="F25" s="5">
        <v>0.78539999999999999</v>
      </c>
      <c r="G25" s="16">
        <v>4.9301628920000002</v>
      </c>
      <c r="H25" s="16">
        <v>1.8520278541999999</v>
      </c>
      <c r="I25" s="16">
        <v>4.6646910371999999</v>
      </c>
      <c r="J25" s="8"/>
      <c r="K25" s="8"/>
      <c r="L25" s="8"/>
      <c r="M25" s="8"/>
      <c r="N25" s="8"/>
      <c r="O25" s="8"/>
      <c r="P25" s="11">
        <v>5.406090172214168E-3</v>
      </c>
      <c r="Q25" s="11">
        <v>-2.892986581482572E-2</v>
      </c>
      <c r="R25" s="11">
        <v>0.14155580014376501</v>
      </c>
      <c r="S25" s="11">
        <v>-0.49709769918352043</v>
      </c>
      <c r="T25" s="11">
        <v>0.87309374195084444</v>
      </c>
      <c r="U25" s="11">
        <v>0.36065121117754234</v>
      </c>
      <c r="V25" s="7"/>
      <c r="W25" s="7"/>
      <c r="X25" s="7"/>
      <c r="Y25" s="7"/>
      <c r="Z25" s="7"/>
      <c r="AA25" s="7"/>
      <c r="AB25" s="7"/>
      <c r="AC25" s="5">
        <f t="shared" si="7"/>
        <v>9.9999999999999992E-2</v>
      </c>
      <c r="AD25" s="13">
        <v>24531446.0637099</v>
      </c>
    </row>
    <row r="26" spans="1:30" ht="16.5" customHeight="1" x14ac:dyDescent="0.25">
      <c r="A26" s="16">
        <v>0.55032038400000005</v>
      </c>
      <c r="B26" s="16">
        <v>0.16</v>
      </c>
      <c r="C26" s="5">
        <v>3.1415999999999999</v>
      </c>
      <c r="D26" s="16">
        <v>1.4487418581</v>
      </c>
      <c r="E26" s="16">
        <v>0.08</v>
      </c>
      <c r="F26" s="5">
        <v>2.3561999999999999</v>
      </c>
      <c r="G26" s="16">
        <v>4.7175867132000002</v>
      </c>
      <c r="H26" s="16">
        <v>1.3012665307</v>
      </c>
      <c r="I26" s="16">
        <v>3.3668845907999998</v>
      </c>
      <c r="J26" s="8"/>
      <c r="K26" s="8"/>
      <c r="L26" s="8"/>
      <c r="M26" s="8"/>
      <c r="N26" s="8"/>
      <c r="O26" s="8"/>
      <c r="P26" s="11">
        <v>1.8079779918805435E-3</v>
      </c>
      <c r="Q26" s="11">
        <v>-8.1155440920468447E-2</v>
      </c>
      <c r="R26" s="11">
        <v>-0.16868937797994563</v>
      </c>
      <c r="S26" s="11">
        <v>-0.50155057195473485</v>
      </c>
      <c r="T26" s="11">
        <v>-1.5152332448591543</v>
      </c>
      <c r="U26" s="11">
        <v>0.99087432047586355</v>
      </c>
      <c r="V26" s="7"/>
      <c r="W26" s="7"/>
      <c r="X26" s="7"/>
      <c r="Y26" s="7"/>
      <c r="Z26" s="7"/>
      <c r="AA26" s="7"/>
      <c r="AB26" s="7"/>
      <c r="AC26" s="5">
        <f t="shared" si="7"/>
        <v>0.08</v>
      </c>
      <c r="AD26" s="13">
        <v>6142162.4718106398</v>
      </c>
    </row>
    <row r="27" spans="1:30" ht="16.5" customHeight="1" x14ac:dyDescent="0.25">
      <c r="A27" s="16">
        <v>1.2531062278</v>
      </c>
      <c r="B27" s="16">
        <v>0.18</v>
      </c>
      <c r="C27" s="5">
        <v>5.4977999999999998</v>
      </c>
      <c r="D27" s="16">
        <v>0.4702401397</v>
      </c>
      <c r="E27" s="16">
        <v>0.1</v>
      </c>
      <c r="F27" s="5">
        <v>5.4977999999999998</v>
      </c>
      <c r="G27" s="16">
        <v>0.1483911762</v>
      </c>
      <c r="H27" s="16">
        <v>0.2167359935</v>
      </c>
      <c r="I27" s="16">
        <v>4.9349358513999997</v>
      </c>
      <c r="J27" s="8"/>
      <c r="K27" s="8"/>
      <c r="L27" s="8"/>
      <c r="M27" s="8"/>
      <c r="N27" s="8"/>
      <c r="O27" s="8"/>
      <c r="P27" s="11">
        <v>2.2705609875568411E-2</v>
      </c>
      <c r="Q27" s="11">
        <v>0.16561415397053117</v>
      </c>
      <c r="R27" s="11">
        <v>0.17981982433536556</v>
      </c>
      <c r="S27" s="11">
        <v>-1.3741934696365954</v>
      </c>
      <c r="T27" s="11">
        <v>0.83378082609271775</v>
      </c>
      <c r="U27" s="11">
        <v>-0.59533153171748276</v>
      </c>
      <c r="V27" s="7"/>
      <c r="W27" s="7"/>
      <c r="X27" s="7"/>
      <c r="Y27" s="7"/>
      <c r="Z27" s="7"/>
      <c r="AA27" s="7"/>
      <c r="AB27" s="7"/>
      <c r="AC27" s="5">
        <f t="shared" si="7"/>
        <v>7.9999999999999988E-2</v>
      </c>
      <c r="AD27" s="13">
        <v>8536199.7426392604</v>
      </c>
    </row>
    <row r="28" spans="1:30" ht="16.5" customHeight="1" x14ac:dyDescent="0.25">
      <c r="A28" s="16">
        <v>0.37674236639999997</v>
      </c>
      <c r="B28" s="16">
        <v>0.12</v>
      </c>
      <c r="C28" s="5">
        <v>5.4977999999999998</v>
      </c>
      <c r="D28" s="16">
        <v>0.55884916829999998</v>
      </c>
      <c r="E28" s="16">
        <v>0.04</v>
      </c>
      <c r="F28" s="5">
        <v>5.4977999999999998</v>
      </c>
      <c r="G28" s="16">
        <v>2.7463764360999998</v>
      </c>
      <c r="H28" s="16">
        <v>4.0783358151</v>
      </c>
      <c r="I28" s="16">
        <v>2.4827351898000001</v>
      </c>
      <c r="J28" s="8"/>
      <c r="K28" s="8"/>
      <c r="L28" s="8"/>
      <c r="M28" s="8"/>
      <c r="N28" s="8"/>
      <c r="O28" s="8"/>
      <c r="P28" s="11">
        <v>1.5129933870444169E-4</v>
      </c>
      <c r="Q28" s="11">
        <v>4.7752013762346432E-2</v>
      </c>
      <c r="R28" s="11">
        <v>4.7767972830739421E-2</v>
      </c>
      <c r="S28" s="11">
        <v>-5.6010015033827215E-2</v>
      </c>
      <c r="T28" s="11">
        <v>0.660555031249349</v>
      </c>
      <c r="U28" s="11">
        <v>-0.66017465805895592</v>
      </c>
      <c r="V28" s="7"/>
      <c r="W28" s="7"/>
      <c r="X28" s="7"/>
      <c r="Y28" s="7"/>
      <c r="Z28" s="7"/>
      <c r="AA28" s="7"/>
      <c r="AB28" s="7"/>
      <c r="AC28" s="5">
        <f t="shared" si="7"/>
        <v>7.9999999999999988E-2</v>
      </c>
      <c r="AD28" s="13">
        <v>2727131.7860678998</v>
      </c>
    </row>
    <row r="29" spans="1:30" ht="16.5" customHeight="1" x14ac:dyDescent="0.25">
      <c r="A29" s="16">
        <v>0.99744538530000004</v>
      </c>
      <c r="B29" s="16">
        <v>0.12</v>
      </c>
      <c r="C29" s="5">
        <v>2.3561999999999999</v>
      </c>
      <c r="D29" s="16">
        <v>0.63256510880000005</v>
      </c>
      <c r="E29" s="16">
        <v>0.04</v>
      </c>
      <c r="F29" s="5">
        <v>4.7123999999999997</v>
      </c>
      <c r="G29" s="16">
        <v>1.0163068775999999</v>
      </c>
      <c r="H29" s="16">
        <v>2.5468444695999999</v>
      </c>
      <c r="I29" s="16">
        <v>0.1214735909</v>
      </c>
      <c r="J29" s="8"/>
      <c r="K29" s="8"/>
      <c r="L29" s="8"/>
      <c r="M29" s="8"/>
      <c r="N29" s="8"/>
      <c r="O29" s="8"/>
      <c r="P29" s="11">
        <v>7.1737961951113757E-4</v>
      </c>
      <c r="Q29" s="11">
        <v>-5.8263090714717143E-2</v>
      </c>
      <c r="R29" s="11">
        <v>-8.3610778123364052E-2</v>
      </c>
      <c r="S29" s="11">
        <v>-0.25847111287188917</v>
      </c>
      <c r="T29" s="11">
        <v>-0.6694379152722375</v>
      </c>
      <c r="U29" s="11">
        <v>3.8804865577717784E-2</v>
      </c>
      <c r="V29" s="7"/>
      <c r="W29" s="7"/>
      <c r="X29" s="7"/>
      <c r="Y29" s="7"/>
      <c r="Z29" s="7"/>
      <c r="AA29" s="7"/>
      <c r="AB29" s="7"/>
      <c r="AC29" s="5">
        <f t="shared" si="7"/>
        <v>7.9999999999999988E-2</v>
      </c>
      <c r="AD29" s="13">
        <v>3666894.3882805398</v>
      </c>
    </row>
    <row r="30" spans="1:30" ht="16.5" customHeight="1" x14ac:dyDescent="0.25">
      <c r="A30" s="16">
        <v>0.91958396450000002</v>
      </c>
      <c r="B30" s="16">
        <v>0.18</v>
      </c>
      <c r="C30" s="5">
        <v>0</v>
      </c>
      <c r="D30" s="16">
        <v>1.2327944816</v>
      </c>
      <c r="E30" s="16">
        <v>0.1</v>
      </c>
      <c r="F30" s="5">
        <v>4.7123999999999997</v>
      </c>
      <c r="G30" s="16">
        <v>3.7350994551999999</v>
      </c>
      <c r="H30" s="16">
        <v>0.10989542820000001</v>
      </c>
      <c r="I30" s="16">
        <v>4.0041016991999996</v>
      </c>
      <c r="J30" s="8"/>
      <c r="K30" s="8"/>
      <c r="L30" s="8"/>
      <c r="M30" s="8"/>
      <c r="N30" s="8"/>
      <c r="O30" s="8"/>
      <c r="P30" s="11">
        <v>3.4636901098135994E-3</v>
      </c>
      <c r="Q30" s="11">
        <v>0.11691034281037599</v>
      </c>
      <c r="R30" s="11">
        <v>0.15488100278132594</v>
      </c>
      <c r="S30" s="11">
        <v>-0.93052126920242029</v>
      </c>
      <c r="T30" s="11">
        <v>0.63417200876405899</v>
      </c>
      <c r="U30" s="11">
        <v>-1.0406466667367222</v>
      </c>
      <c r="V30" s="7"/>
      <c r="W30" s="7"/>
      <c r="X30" s="7"/>
      <c r="Y30" s="7"/>
      <c r="Z30" s="7"/>
      <c r="AA30" s="7"/>
      <c r="AB30" s="7"/>
      <c r="AC30" s="5">
        <f t="shared" si="7"/>
        <v>7.9999999999999988E-2</v>
      </c>
      <c r="AD30" s="13">
        <v>8783509.8919786103</v>
      </c>
    </row>
    <row r="31" spans="1:30" ht="16.5" customHeight="1" x14ac:dyDescent="0.25">
      <c r="A31" s="16">
        <v>0.76015027209999997</v>
      </c>
      <c r="B31" s="16">
        <v>0.18</v>
      </c>
      <c r="C31" s="5">
        <v>2.3561999999999999</v>
      </c>
      <c r="D31" s="16">
        <v>0.80034279419999999</v>
      </c>
      <c r="E31" s="16">
        <v>0.1</v>
      </c>
      <c r="F31" s="5">
        <v>0</v>
      </c>
      <c r="G31" s="16">
        <v>4.7396783878999997</v>
      </c>
      <c r="H31" s="16">
        <v>4.9071061610999998</v>
      </c>
      <c r="I31" s="16">
        <v>1.8713340661</v>
      </c>
      <c r="J31" s="8"/>
      <c r="K31" s="8"/>
      <c r="L31" s="8"/>
      <c r="M31" s="8"/>
      <c r="N31" s="8"/>
      <c r="O31" s="8"/>
      <c r="P31" s="11">
        <v>3.7712418103830756E-3</v>
      </c>
      <c r="Q31" s="11">
        <v>-9.3430185620573286E-2</v>
      </c>
      <c r="R31" s="11">
        <v>-1.5690090805410836E-2</v>
      </c>
      <c r="S31" s="11">
        <v>-0.25350495671790924</v>
      </c>
      <c r="T31" s="11">
        <v>0.27751643789209451</v>
      </c>
      <c r="U31" s="11">
        <v>0.47080719603357685</v>
      </c>
      <c r="V31" s="7"/>
      <c r="W31" s="7"/>
      <c r="X31" s="7"/>
      <c r="Y31" s="7"/>
      <c r="Z31" s="7"/>
      <c r="AA31" s="7"/>
      <c r="AB31" s="7"/>
      <c r="AC31" s="5">
        <f t="shared" si="7"/>
        <v>7.9999999999999988E-2</v>
      </c>
      <c r="AD31" s="13">
        <v>7701109.1882492499</v>
      </c>
    </row>
    <row r="32" spans="1:30" ht="16.5" customHeight="1" x14ac:dyDescent="0.25">
      <c r="A32" s="16">
        <v>0.9040684336</v>
      </c>
      <c r="B32" s="16">
        <v>0.1</v>
      </c>
      <c r="C32" s="5">
        <v>5.4977999999999998</v>
      </c>
      <c r="D32" s="16">
        <v>0.68590239919999996</v>
      </c>
      <c r="E32" s="16">
        <v>0.02</v>
      </c>
      <c r="F32" s="5">
        <v>4.7123999999999997</v>
      </c>
      <c r="G32" s="16">
        <v>3.1050919126999998</v>
      </c>
      <c r="H32" s="16">
        <v>4.9790166179000002</v>
      </c>
      <c r="I32" s="16">
        <v>4.7088396990000003</v>
      </c>
      <c r="J32" s="8"/>
      <c r="K32" s="8"/>
      <c r="L32" s="8"/>
      <c r="M32" s="8"/>
      <c r="N32" s="8"/>
      <c r="O32" s="8"/>
      <c r="P32" s="11">
        <v>2.2810048732125284E-3</v>
      </c>
      <c r="Q32" s="11">
        <v>7.7329411490496561E-2</v>
      </c>
      <c r="R32" s="11">
        <v>6.3922272057931037E-2</v>
      </c>
      <c r="S32" s="11">
        <v>-0.17420118387655423</v>
      </c>
      <c r="T32" s="11">
        <v>0.63643739234419583</v>
      </c>
      <c r="U32" s="11">
        <v>-1.3125384144497516</v>
      </c>
      <c r="V32" s="7"/>
      <c r="W32" s="7"/>
      <c r="X32" s="7"/>
      <c r="Y32" s="7"/>
      <c r="Z32" s="7"/>
      <c r="AA32" s="7"/>
      <c r="AB32" s="7"/>
      <c r="AC32" s="5">
        <f t="shared" si="7"/>
        <v>0.08</v>
      </c>
      <c r="AD32" s="13">
        <v>4820595.9129708204</v>
      </c>
    </row>
    <row r="33" spans="1:30" ht="16.5" customHeight="1" x14ac:dyDescent="0.25">
      <c r="A33" s="16">
        <v>1.4109779404</v>
      </c>
      <c r="B33" s="16">
        <v>0.2</v>
      </c>
      <c r="C33" s="5">
        <v>3.1415999999999999</v>
      </c>
      <c r="D33" s="16">
        <v>1.3890525475</v>
      </c>
      <c r="E33" s="16">
        <v>0.12</v>
      </c>
      <c r="F33" s="5">
        <v>0</v>
      </c>
      <c r="G33" s="16">
        <v>0.24685834309999999</v>
      </c>
      <c r="H33" s="16">
        <v>4.5298125568999996</v>
      </c>
      <c r="I33" s="16">
        <v>2.6684535819000001</v>
      </c>
      <c r="J33" s="8"/>
      <c r="K33" s="8"/>
      <c r="L33" s="8"/>
      <c r="M33" s="8"/>
      <c r="N33" s="8"/>
      <c r="O33" s="8"/>
      <c r="P33" s="11">
        <v>-1.4186553097409785E-3</v>
      </c>
      <c r="Q33" s="11">
        <v>-3.8432120854730645E-4</v>
      </c>
      <c r="R33" s="11">
        <v>-9.365399877501264E-2</v>
      </c>
      <c r="S33" s="11">
        <v>-0.27023225586952893</v>
      </c>
      <c r="T33" s="11">
        <v>0.207633264808573</v>
      </c>
      <c r="U33" s="11">
        <v>3.6939033485137575E-3</v>
      </c>
      <c r="V33" s="7"/>
      <c r="W33" s="7"/>
      <c r="X33" s="7"/>
      <c r="Y33" s="7"/>
      <c r="Z33" s="7"/>
      <c r="AA33" s="7"/>
      <c r="AB33" s="7"/>
      <c r="AC33" s="5">
        <f t="shared" si="7"/>
        <v>8.0000000000000016E-2</v>
      </c>
      <c r="AD33" s="13">
        <v>223649839.57434201</v>
      </c>
    </row>
    <row r="34" spans="1:30" ht="16.5" customHeight="1" x14ac:dyDescent="0.25">
      <c r="A34" s="16">
        <v>1.4747736548999999</v>
      </c>
      <c r="B34" s="16">
        <v>0.2</v>
      </c>
      <c r="C34" s="5">
        <v>0</v>
      </c>
      <c r="D34" s="16">
        <v>1.4750904852</v>
      </c>
      <c r="E34" s="16">
        <v>0.12</v>
      </c>
      <c r="F34" s="5">
        <v>3.1415999999999999</v>
      </c>
      <c r="G34" s="16">
        <v>2.1243312033000001</v>
      </c>
      <c r="H34" s="16">
        <v>0.98146476360000001</v>
      </c>
      <c r="I34" s="16">
        <v>2.2301814902000001</v>
      </c>
      <c r="J34" s="8"/>
      <c r="K34" s="8"/>
      <c r="L34" s="8"/>
      <c r="M34" s="8"/>
      <c r="N34" s="8"/>
      <c r="O34" s="8"/>
      <c r="P34" s="11">
        <v>3.5745327670415358E-3</v>
      </c>
      <c r="Q34" s="11">
        <v>-1.0661574940039138E-3</v>
      </c>
      <c r="R34" s="11">
        <v>0.10149525722212582</v>
      </c>
      <c r="S34" s="11">
        <v>-0.22469559138357981</v>
      </c>
      <c r="T34" s="11">
        <v>-0.16086667602763052</v>
      </c>
      <c r="U34" s="11">
        <v>7.4314791276265104E-3</v>
      </c>
      <c r="V34" s="7"/>
      <c r="W34" s="7"/>
      <c r="X34" s="7"/>
      <c r="Y34" s="7"/>
      <c r="Z34" s="7"/>
      <c r="AA34" s="7"/>
      <c r="AB34" s="7"/>
      <c r="AC34" s="5">
        <f t="shared" si="7"/>
        <v>8.0000000000000016E-2</v>
      </c>
      <c r="AD34" s="13">
        <v>1983374.43151099</v>
      </c>
    </row>
    <row r="35" spans="1:30" ht="16.5" customHeight="1" x14ac:dyDescent="0.25">
      <c r="A35" s="16">
        <v>1.1341222659000001</v>
      </c>
      <c r="B35" s="16">
        <v>0.12</v>
      </c>
      <c r="C35" s="5">
        <v>0.78539999999999999</v>
      </c>
      <c r="D35" s="16">
        <v>1.3710979794</v>
      </c>
      <c r="E35" s="16">
        <v>0.04</v>
      </c>
      <c r="F35" s="5">
        <v>1.5708</v>
      </c>
      <c r="G35" s="16">
        <v>3.8924485742999999</v>
      </c>
      <c r="H35" s="16">
        <v>4.3783496642999999</v>
      </c>
      <c r="I35" s="16">
        <v>1.6360280112000001</v>
      </c>
      <c r="J35" s="8"/>
      <c r="K35" s="8"/>
      <c r="L35" s="8"/>
      <c r="M35" s="8"/>
      <c r="N35" s="8"/>
      <c r="O35" s="8"/>
      <c r="P35" s="11">
        <v>-5.2183415461642402E-3</v>
      </c>
      <c r="Q35" s="11">
        <v>-0.14857608031073474</v>
      </c>
      <c r="R35" s="11">
        <v>9.5439285776816138E-2</v>
      </c>
      <c r="S35" s="11">
        <v>-0.68863289307279918</v>
      </c>
      <c r="T35" s="11">
        <v>0.75996745744004768</v>
      </c>
      <c r="U35" s="11">
        <v>2.0653934241308147</v>
      </c>
      <c r="V35" s="7"/>
      <c r="W35" s="7"/>
      <c r="X35" s="7"/>
      <c r="Y35" s="7"/>
      <c r="Z35" s="7"/>
      <c r="AA35" s="7"/>
      <c r="AB35" s="7"/>
      <c r="AC35" s="5">
        <f t="shared" si="7"/>
        <v>7.9999999999999988E-2</v>
      </c>
      <c r="AD35" s="13">
        <v>9300034.5210802704</v>
      </c>
    </row>
    <row r="36" spans="1:30" ht="16.5" customHeight="1" x14ac:dyDescent="0.25">
      <c r="A36" s="16">
        <v>0.785852255</v>
      </c>
      <c r="B36" s="16">
        <v>0.1</v>
      </c>
      <c r="C36" s="5">
        <v>0.78539999999999999</v>
      </c>
      <c r="D36" s="16">
        <v>0.39355619479999998</v>
      </c>
      <c r="E36" s="16">
        <v>0.02</v>
      </c>
      <c r="F36" s="5">
        <v>5.4977999999999998</v>
      </c>
      <c r="G36" s="16">
        <v>4.5109081914000004</v>
      </c>
      <c r="H36" s="16">
        <v>2.9663132843</v>
      </c>
      <c r="I36" s="16">
        <v>3.8683553511</v>
      </c>
      <c r="J36" s="8"/>
      <c r="K36" s="8"/>
      <c r="L36" s="8"/>
      <c r="M36" s="8"/>
      <c r="N36" s="8"/>
      <c r="O36" s="8"/>
      <c r="P36" s="11">
        <v>1.2101445876905668E-3</v>
      </c>
      <c r="Q36" s="11">
        <v>-4.9887088715764631E-2</v>
      </c>
      <c r="R36" s="11">
        <v>6.087509468729474E-2</v>
      </c>
      <c r="S36" s="11">
        <v>-0.13946225290187084</v>
      </c>
      <c r="T36" s="11">
        <v>0.82332431759271418</v>
      </c>
      <c r="U36" s="11">
        <v>0.27169756998289812</v>
      </c>
      <c r="V36" s="7"/>
      <c r="W36" s="7"/>
      <c r="X36" s="7"/>
      <c r="Y36" s="7"/>
      <c r="Z36" s="7"/>
      <c r="AA36" s="7"/>
      <c r="AB36" s="7"/>
      <c r="AC36" s="5">
        <f t="shared" si="7"/>
        <v>0.08</v>
      </c>
      <c r="AD36" s="13">
        <v>87065665.706853896</v>
      </c>
    </row>
    <row r="37" spans="1:30" ht="16.5" customHeight="1" x14ac:dyDescent="0.25">
      <c r="A37" s="16">
        <v>0.4787670047</v>
      </c>
      <c r="B37" s="16">
        <v>0.2</v>
      </c>
      <c r="C37" s="5">
        <v>4.7123999999999997</v>
      </c>
      <c r="D37" s="16">
        <v>0.35541469809999998</v>
      </c>
      <c r="E37" s="16">
        <v>0.14000000000000001</v>
      </c>
      <c r="F37" s="5">
        <v>3.1415999999999999</v>
      </c>
      <c r="G37" s="16">
        <v>4.9350065225000002</v>
      </c>
      <c r="H37" s="16">
        <v>4.6708884390999996</v>
      </c>
      <c r="I37" s="16">
        <v>0.64099500450000002</v>
      </c>
      <c r="J37" s="8"/>
      <c r="K37" s="8"/>
      <c r="L37" s="8"/>
      <c r="M37" s="8"/>
      <c r="N37" s="8"/>
      <c r="O37" s="8"/>
      <c r="P37" s="11">
        <v>3.7306506501240265E-3</v>
      </c>
      <c r="Q37" s="11">
        <v>9.4340110463344423E-2</v>
      </c>
      <c r="R37" s="11">
        <v>-4.9267898867236433E-2</v>
      </c>
      <c r="S37" s="11">
        <v>-9.2083319617969991E-2</v>
      </c>
      <c r="T37" s="11">
        <v>-0.34732547827112586</v>
      </c>
      <c r="U37" s="11">
        <v>-0.47581799619977155</v>
      </c>
      <c r="V37" s="7"/>
      <c r="W37" s="7"/>
      <c r="X37" s="7"/>
      <c r="Y37" s="7"/>
      <c r="Z37" s="7"/>
      <c r="AA37" s="7"/>
      <c r="AB37" s="7"/>
      <c r="AC37" s="5">
        <f t="shared" si="7"/>
        <v>0.06</v>
      </c>
      <c r="AD37" s="13">
        <v>5912174.2375171399</v>
      </c>
    </row>
    <row r="38" spans="1:30" ht="16.5" customHeight="1" x14ac:dyDescent="0.25">
      <c r="A38" s="16">
        <v>1.2825258852999999</v>
      </c>
      <c r="B38" s="16">
        <v>0.14000000000000001</v>
      </c>
      <c r="C38" s="5">
        <v>2.3561999999999999</v>
      </c>
      <c r="D38" s="16">
        <v>1.1085226837</v>
      </c>
      <c r="E38" s="16">
        <v>0.08</v>
      </c>
      <c r="F38" s="5">
        <v>3.1415999999999999</v>
      </c>
      <c r="G38" s="16">
        <v>5.0541583899999999E-2</v>
      </c>
      <c r="H38" s="16">
        <v>4.9578693537999996</v>
      </c>
      <c r="I38" s="16">
        <v>3.9886280456000001</v>
      </c>
      <c r="J38" s="8"/>
      <c r="K38" s="8"/>
      <c r="L38" s="8"/>
      <c r="M38" s="8"/>
      <c r="N38" s="8"/>
      <c r="O38" s="8"/>
      <c r="P38" s="11">
        <v>-1.6841198429710529E-2</v>
      </c>
      <c r="Q38" s="11">
        <v>-0.12509283921191863</v>
      </c>
      <c r="R38" s="11">
        <v>-0.20333983507122846</v>
      </c>
      <c r="S38" s="11">
        <v>-1.2865180283604107</v>
      </c>
      <c r="T38" s="11">
        <v>-1.6026816442059901</v>
      </c>
      <c r="U38" s="11">
        <v>0.79438911347594421</v>
      </c>
      <c r="V38" s="7"/>
      <c r="W38" s="7"/>
      <c r="X38" s="7"/>
      <c r="Y38" s="7"/>
      <c r="Z38" s="7"/>
      <c r="AA38" s="7"/>
      <c r="AB38" s="7"/>
      <c r="AC38" s="5">
        <f t="shared" si="7"/>
        <v>6.0000000000000012E-2</v>
      </c>
      <c r="AD38" s="13">
        <v>3489907.1437680498</v>
      </c>
    </row>
    <row r="39" spans="1:30" ht="16.5" customHeight="1" x14ac:dyDescent="0.25">
      <c r="A39" s="16">
        <v>1.0319949839</v>
      </c>
      <c r="B39" s="16">
        <v>0.18</v>
      </c>
      <c r="C39" s="5">
        <v>3.927</v>
      </c>
      <c r="D39" s="16">
        <v>1.1733448184999999</v>
      </c>
      <c r="E39" s="16">
        <v>0.12</v>
      </c>
      <c r="F39" s="5">
        <v>0.78539999999999999</v>
      </c>
      <c r="G39" s="16">
        <v>4.3201662060999997</v>
      </c>
      <c r="H39" s="16">
        <v>3.8378352410000001</v>
      </c>
      <c r="I39" s="16">
        <v>4.8360302252</v>
      </c>
      <c r="J39" s="8"/>
      <c r="K39" s="8"/>
      <c r="L39" s="8"/>
      <c r="M39" s="8"/>
      <c r="N39" s="8"/>
      <c r="O39" s="8"/>
      <c r="P39" s="11">
        <v>-2.0555649892661384E-3</v>
      </c>
      <c r="Q39" s="11">
        <v>3.0607463372937075E-2</v>
      </c>
      <c r="R39" s="11">
        <v>-3.0974201399159591E-2</v>
      </c>
      <c r="S39" s="11">
        <v>-3.8948720429921008E-2</v>
      </c>
      <c r="T39" s="11">
        <v>0.11111342959492032</v>
      </c>
      <c r="U39" s="11">
        <v>0.1130576324582592</v>
      </c>
      <c r="V39" s="7"/>
      <c r="W39" s="7"/>
      <c r="X39" s="7"/>
      <c r="Y39" s="7"/>
      <c r="Z39" s="7"/>
      <c r="AA39" s="7"/>
      <c r="AB39" s="7"/>
      <c r="AC39" s="5">
        <f t="shared" si="7"/>
        <v>0.06</v>
      </c>
      <c r="AD39" s="13">
        <v>8380597.9200901203</v>
      </c>
    </row>
    <row r="40" spans="1:30" ht="16.5" customHeight="1" x14ac:dyDescent="0.25">
      <c r="A40" s="16">
        <v>0.54659396309999997</v>
      </c>
      <c r="B40" s="16">
        <v>0.14000000000000001</v>
      </c>
      <c r="C40" s="5">
        <v>3.927</v>
      </c>
      <c r="D40" s="16">
        <v>0.37475583969999998</v>
      </c>
      <c r="E40" s="16">
        <v>0.08</v>
      </c>
      <c r="F40" s="5">
        <v>1.5708</v>
      </c>
      <c r="G40" s="16">
        <v>1.2326114607000001</v>
      </c>
      <c r="H40" s="16">
        <v>3.5091223980000001</v>
      </c>
      <c r="I40" s="16">
        <v>2.8278096824999999</v>
      </c>
      <c r="J40" s="8"/>
      <c r="K40" s="8"/>
      <c r="L40" s="8"/>
      <c r="M40" s="8"/>
      <c r="N40" s="8"/>
      <c r="O40" s="8"/>
      <c r="P40" s="11">
        <v>1.0223965103537565E-3</v>
      </c>
      <c r="Q40" s="11">
        <v>2.4055591772901602E-2</v>
      </c>
      <c r="R40" s="11">
        <v>-5.3705103725807453E-2</v>
      </c>
      <c r="S40" s="11">
        <v>-0.10058831159438972</v>
      </c>
      <c r="T40" s="11">
        <v>-0.37388113082179791</v>
      </c>
      <c r="U40" s="11">
        <v>-6.7615693233590976E-3</v>
      </c>
      <c r="V40" s="7"/>
      <c r="W40" s="7"/>
      <c r="X40" s="7"/>
      <c r="Y40" s="7"/>
      <c r="Z40" s="7"/>
      <c r="AA40" s="7"/>
      <c r="AB40" s="7"/>
      <c r="AC40" s="5">
        <f t="shared" si="7"/>
        <v>6.0000000000000012E-2</v>
      </c>
      <c r="AD40" s="13">
        <v>1654232.33201931</v>
      </c>
    </row>
    <row r="41" spans="1:30" ht="16.5" customHeight="1" x14ac:dyDescent="0.25">
      <c r="A41" s="16">
        <v>0.62359206519999999</v>
      </c>
      <c r="B41" s="16">
        <v>0.08</v>
      </c>
      <c r="C41" s="5">
        <v>5.4977999999999998</v>
      </c>
      <c r="D41" s="16">
        <v>0.47877904049999997</v>
      </c>
      <c r="E41" s="16">
        <v>0.02</v>
      </c>
      <c r="F41" s="5">
        <v>3.927</v>
      </c>
      <c r="G41" s="16">
        <v>2.2205178402999999</v>
      </c>
      <c r="H41" s="16">
        <v>1.9827336431</v>
      </c>
      <c r="I41" s="16">
        <v>0.36676452050000002</v>
      </c>
      <c r="J41" s="8"/>
      <c r="K41" s="8"/>
      <c r="L41" s="8"/>
      <c r="M41" s="8"/>
      <c r="N41" s="8"/>
      <c r="O41" s="8"/>
      <c r="P41" s="11">
        <v>-7.9244509453941299E-4</v>
      </c>
      <c r="Q41" s="11">
        <v>4.1977292915701431E-2</v>
      </c>
      <c r="R41" s="11">
        <v>2.8388258756785342E-2</v>
      </c>
      <c r="S41" s="11">
        <v>-2.8232273354866954E-2</v>
      </c>
      <c r="T41" s="11">
        <v>0.10110794796128919</v>
      </c>
      <c r="U41" s="11">
        <v>-0.77937559051445993</v>
      </c>
      <c r="V41" s="7"/>
      <c r="W41" s="7"/>
      <c r="X41" s="7"/>
      <c r="Y41" s="7"/>
      <c r="Z41" s="7"/>
      <c r="AA41" s="7"/>
      <c r="AB41" s="7"/>
      <c r="AC41" s="5">
        <f t="shared" si="7"/>
        <v>0.06</v>
      </c>
      <c r="AD41" s="13">
        <v>4834051.5308579002</v>
      </c>
    </row>
    <row r="42" spans="1:30" ht="16.5" customHeight="1" x14ac:dyDescent="0.25">
      <c r="A42" s="16">
        <v>1.3484992293</v>
      </c>
      <c r="B42" s="16">
        <v>0.2</v>
      </c>
      <c r="C42" s="5">
        <v>0</v>
      </c>
      <c r="D42" s="16">
        <v>0.39122828500000001</v>
      </c>
      <c r="E42" s="16">
        <v>0.14000000000000001</v>
      </c>
      <c r="F42" s="5">
        <v>0.78539999999999999</v>
      </c>
      <c r="G42" s="16">
        <v>1.9402253723</v>
      </c>
      <c r="H42" s="16">
        <v>1.6478522000000001E-3</v>
      </c>
      <c r="I42" s="16">
        <v>3.2221664534999999</v>
      </c>
      <c r="J42" s="8"/>
      <c r="K42" s="8"/>
      <c r="L42" s="8"/>
      <c r="M42" s="8"/>
      <c r="N42" s="8"/>
      <c r="O42" s="8"/>
      <c r="P42" s="11">
        <v>2.0212819364791815E-2</v>
      </c>
      <c r="Q42" s="11">
        <v>-4.5804523233588995E-2</v>
      </c>
      <c r="R42" s="11">
        <v>0.26340781531813756</v>
      </c>
      <c r="S42" s="11">
        <v>-1.4605540793928036</v>
      </c>
      <c r="T42" s="11">
        <v>0.69552693635837171</v>
      </c>
      <c r="U42" s="11">
        <v>0.31330419662893449</v>
      </c>
      <c r="V42" s="7"/>
      <c r="W42" s="7"/>
      <c r="X42" s="7"/>
      <c r="Y42" s="7"/>
      <c r="Z42" s="7"/>
      <c r="AA42" s="7"/>
      <c r="AB42" s="7"/>
      <c r="AC42" s="5">
        <f t="shared" si="7"/>
        <v>0.06</v>
      </c>
      <c r="AD42" s="13">
        <v>1116809.46414849</v>
      </c>
    </row>
    <row r="43" spans="1:30" ht="16.5" customHeight="1" x14ac:dyDescent="0.25">
      <c r="A43" s="16">
        <v>0.51681038229999998</v>
      </c>
      <c r="B43" s="16">
        <v>0.08</v>
      </c>
      <c r="C43" s="5">
        <v>0</v>
      </c>
      <c r="D43" s="16">
        <v>0.91461204240000005</v>
      </c>
      <c r="E43" s="16">
        <v>0.02</v>
      </c>
      <c r="F43" s="5">
        <v>3.927</v>
      </c>
      <c r="G43" s="16">
        <v>3.7945339589999998</v>
      </c>
      <c r="H43" s="16">
        <v>3.3481721828</v>
      </c>
      <c r="I43" s="16">
        <v>3.4429632493</v>
      </c>
      <c r="J43" s="8"/>
      <c r="K43" s="8"/>
      <c r="L43" s="8"/>
      <c r="M43" s="8"/>
      <c r="N43" s="8"/>
      <c r="O43" s="8"/>
      <c r="P43" s="11">
        <v>-7.4687553042018172E-5</v>
      </c>
      <c r="Q43" s="11">
        <v>1.293567200568127E-2</v>
      </c>
      <c r="R43" s="11">
        <v>2.8299104398477954E-2</v>
      </c>
      <c r="S43" s="11">
        <v>-2.105652375047784E-2</v>
      </c>
      <c r="T43" s="11">
        <v>-0.13089393865560239</v>
      </c>
      <c r="U43" s="11">
        <v>-0.64667436053389982</v>
      </c>
      <c r="V43" s="7"/>
      <c r="W43" s="7"/>
      <c r="X43" s="7"/>
      <c r="Y43" s="7"/>
      <c r="Z43" s="7"/>
      <c r="AA43" s="7"/>
      <c r="AB43" s="7"/>
      <c r="AC43" s="5">
        <f t="shared" si="7"/>
        <v>0.06</v>
      </c>
      <c r="AD43" s="13">
        <v>1279256.9568395501</v>
      </c>
    </row>
    <row r="44" spans="1:30" ht="16.5" customHeight="1" x14ac:dyDescent="0.25">
      <c r="A44" s="16">
        <v>0.68441694529999997</v>
      </c>
      <c r="B44" s="16">
        <v>0.16</v>
      </c>
      <c r="C44" s="5">
        <v>2.3561999999999999</v>
      </c>
      <c r="D44" s="16">
        <v>1.4072090791</v>
      </c>
      <c r="E44" s="16">
        <v>0.1</v>
      </c>
      <c r="F44" s="5">
        <v>0.78539999999999999</v>
      </c>
      <c r="G44" s="16">
        <v>1.6472032243000001</v>
      </c>
      <c r="H44" s="16">
        <v>5.9795420000000002E-2</v>
      </c>
      <c r="I44" s="16">
        <v>0.1036992028</v>
      </c>
      <c r="J44" s="8"/>
      <c r="K44" s="8"/>
      <c r="L44" s="8"/>
      <c r="M44" s="8"/>
      <c r="N44" s="8"/>
      <c r="O44" s="8"/>
      <c r="P44" s="11">
        <v>4.8825385086893359E-3</v>
      </c>
      <c r="Q44" s="11">
        <v>-0.17361895097149985</v>
      </c>
      <c r="R44" s="11">
        <v>2.0979482240517357E-2</v>
      </c>
      <c r="S44" s="11">
        <v>-0.62530864122328</v>
      </c>
      <c r="T44" s="11">
        <v>0.47755694774427104</v>
      </c>
      <c r="U44" s="11">
        <v>1.3519551531670546</v>
      </c>
      <c r="V44" s="7"/>
      <c r="W44" s="7"/>
      <c r="X44" s="7"/>
      <c r="Y44" s="7"/>
      <c r="Z44" s="7"/>
      <c r="AA44" s="7"/>
      <c r="AB44" s="7"/>
      <c r="AC44" s="5">
        <f t="shared" si="7"/>
        <v>0.06</v>
      </c>
      <c r="AD44" s="13">
        <v>4676279.8016711203</v>
      </c>
    </row>
    <row r="45" spans="1:30" ht="16.5" customHeight="1" x14ac:dyDescent="0.25">
      <c r="A45" s="16">
        <v>1.3991334753</v>
      </c>
      <c r="B45" s="16">
        <v>0.12</v>
      </c>
      <c r="C45" s="5">
        <v>5.4977999999999998</v>
      </c>
      <c r="D45" s="16">
        <v>0.96266422490000003</v>
      </c>
      <c r="E45" s="16">
        <v>0.06</v>
      </c>
      <c r="F45" s="5">
        <v>5.4977999999999998</v>
      </c>
      <c r="G45" s="16">
        <v>2.0231526378</v>
      </c>
      <c r="H45" s="16">
        <v>0.50988481399999996</v>
      </c>
      <c r="I45" s="16">
        <v>0.60427768879999999</v>
      </c>
      <c r="J45" s="8"/>
      <c r="K45" s="8"/>
      <c r="L45" s="8"/>
      <c r="M45" s="8"/>
      <c r="N45" s="8"/>
      <c r="O45" s="8"/>
      <c r="P45" s="11">
        <v>-4.9555309838354685E-3</v>
      </c>
      <c r="Q45" s="11">
        <v>0.15751261389438903</v>
      </c>
      <c r="R45" s="11">
        <v>0.15572429561298759</v>
      </c>
      <c r="S45" s="11">
        <v>-0.95586223958570549</v>
      </c>
      <c r="T45" s="11">
        <v>1.5008682134761164</v>
      </c>
      <c r="U45" s="11">
        <v>-1.5481462495306588</v>
      </c>
      <c r="V45" s="7"/>
      <c r="W45" s="7"/>
      <c r="X45" s="7"/>
      <c r="Y45" s="7"/>
      <c r="Z45" s="7"/>
      <c r="AA45" s="7"/>
      <c r="AB45" s="7"/>
      <c r="AC45" s="5">
        <f t="shared" si="7"/>
        <v>0.06</v>
      </c>
      <c r="AD45" s="13">
        <v>6132280.9963331101</v>
      </c>
    </row>
    <row r="46" spans="1:30" ht="16.5" customHeight="1" x14ac:dyDescent="0.25">
      <c r="A46" s="16">
        <v>0.4668308846</v>
      </c>
      <c r="B46" s="16">
        <v>0.08</v>
      </c>
      <c r="C46" s="5">
        <v>3.1415999999999999</v>
      </c>
      <c r="D46" s="16">
        <v>1.1054712231999999</v>
      </c>
      <c r="E46" s="16">
        <v>0.04</v>
      </c>
      <c r="F46" s="5">
        <v>4.7123999999999997</v>
      </c>
      <c r="G46" s="16">
        <v>4.4838346888</v>
      </c>
      <c r="H46" s="16">
        <v>0.20145099390000001</v>
      </c>
      <c r="I46" s="16">
        <v>4.5041045776999997</v>
      </c>
      <c r="J46" s="8"/>
      <c r="K46" s="8"/>
      <c r="L46" s="8"/>
      <c r="M46" s="8"/>
      <c r="N46" s="8"/>
      <c r="O46" s="8"/>
      <c r="P46" s="11">
        <v>-1.9765840479459636E-3</v>
      </c>
      <c r="Q46" s="11">
        <v>4.4152583557777271E-2</v>
      </c>
      <c r="R46" s="11">
        <v>-3.7263284885344215E-2</v>
      </c>
      <c r="S46" s="11">
        <v>-5.0140706006746992E-2</v>
      </c>
      <c r="T46" s="11">
        <v>-0.46846712585767292</v>
      </c>
      <c r="U46" s="11">
        <v>-1.1037705137502283</v>
      </c>
      <c r="V46" s="7"/>
      <c r="W46" s="7"/>
      <c r="X46" s="7"/>
      <c r="Y46" s="7"/>
      <c r="Z46" s="7"/>
      <c r="AA46" s="7"/>
      <c r="AB46" s="7"/>
      <c r="AC46" s="5">
        <f t="shared" si="7"/>
        <v>0.04</v>
      </c>
      <c r="AD46" s="13">
        <v>5854745.0451174397</v>
      </c>
    </row>
    <row r="47" spans="1:30" ht="16.5" customHeight="1" x14ac:dyDescent="0.25">
      <c r="A47" s="16">
        <v>1.4827422800000001</v>
      </c>
      <c r="B47" s="16">
        <v>0.08</v>
      </c>
      <c r="C47" s="5">
        <v>3.1415999999999999</v>
      </c>
      <c r="D47" s="16">
        <v>0.80651000630000003</v>
      </c>
      <c r="E47" s="16">
        <v>0.04</v>
      </c>
      <c r="F47" s="5">
        <v>4.7123999999999997</v>
      </c>
      <c r="G47" s="16">
        <v>4.1839238480000001</v>
      </c>
      <c r="H47" s="16">
        <v>4.1752821560999998</v>
      </c>
      <c r="I47" s="16">
        <v>0.4978333036</v>
      </c>
      <c r="J47" s="8"/>
      <c r="K47" s="8"/>
      <c r="L47" s="8"/>
      <c r="M47" s="8"/>
      <c r="N47" s="8"/>
      <c r="O47" s="8"/>
      <c r="P47" s="11">
        <v>5.2562979595367964E-3</v>
      </c>
      <c r="Q47" s="11">
        <v>3.272235002793307E-2</v>
      </c>
      <c r="R47" s="11">
        <v>-0.11774461367960154</v>
      </c>
      <c r="S47" s="11">
        <v>-0.24569363006058004</v>
      </c>
      <c r="T47" s="11">
        <v>-1.4561222865674739</v>
      </c>
      <c r="U47" s="11">
        <v>-0.81986119135391111</v>
      </c>
      <c r="V47" s="7"/>
      <c r="W47" s="7"/>
      <c r="X47" s="7"/>
      <c r="Y47" s="7"/>
      <c r="Z47" s="7"/>
      <c r="AA47" s="7"/>
      <c r="AB47" s="7"/>
      <c r="AC47" s="5">
        <f t="shared" si="7"/>
        <v>0.04</v>
      </c>
      <c r="AD47" s="13">
        <v>11311483.3341527</v>
      </c>
    </row>
    <row r="48" spans="1:30" ht="16.5" customHeight="1" x14ac:dyDescent="0.25">
      <c r="A48" s="16">
        <v>1.4313963908</v>
      </c>
      <c r="B48" s="16">
        <v>0.2</v>
      </c>
      <c r="C48" s="5">
        <v>5.4977999999999998</v>
      </c>
      <c r="D48" s="16">
        <v>0.66088478610000001</v>
      </c>
      <c r="E48" s="16">
        <v>0.16</v>
      </c>
      <c r="F48" s="5">
        <v>5.4977999999999998</v>
      </c>
      <c r="G48" s="16">
        <v>4.6493399877000003</v>
      </c>
      <c r="H48" s="16">
        <v>1.9654430356000001</v>
      </c>
      <c r="I48" s="16">
        <v>1.6399488998</v>
      </c>
      <c r="J48" s="8"/>
      <c r="K48" s="8"/>
      <c r="L48" s="8"/>
      <c r="M48" s="8"/>
      <c r="N48" s="8"/>
      <c r="O48" s="8"/>
      <c r="P48" s="11">
        <v>-2.908352826424275E-2</v>
      </c>
      <c r="Q48" s="11">
        <v>0.24063243961443609</v>
      </c>
      <c r="R48" s="11">
        <v>0.21387202937651076</v>
      </c>
      <c r="S48" s="11">
        <v>-2.0044879156858317</v>
      </c>
      <c r="T48" s="11">
        <v>0.24336208485562857</v>
      </c>
      <c r="U48" s="11">
        <v>-0.54632979908318702</v>
      </c>
      <c r="V48" s="7"/>
      <c r="W48" s="7"/>
      <c r="X48" s="7"/>
      <c r="Y48" s="7"/>
      <c r="Z48" s="7"/>
      <c r="AA48" s="7"/>
      <c r="AB48" s="7"/>
      <c r="AC48" s="5">
        <f t="shared" si="7"/>
        <v>4.0000000000000008E-2</v>
      </c>
      <c r="AD48" s="13">
        <v>7991054.3629700998</v>
      </c>
    </row>
    <row r="49" spans="1:30" ht="16.5" customHeight="1" x14ac:dyDescent="0.25">
      <c r="A49" s="16">
        <v>1.1008731407000001</v>
      </c>
      <c r="B49" s="16">
        <v>0.12</v>
      </c>
      <c r="C49" s="5">
        <v>4.7123999999999997</v>
      </c>
      <c r="D49" s="16">
        <v>1.0118865585000001</v>
      </c>
      <c r="E49" s="16">
        <v>0.08</v>
      </c>
      <c r="F49" s="5">
        <v>0</v>
      </c>
      <c r="G49" s="16">
        <v>2.5804466663999999</v>
      </c>
      <c r="H49" s="16">
        <v>2.8020908323999998</v>
      </c>
      <c r="I49" s="16">
        <v>1.4209598912000001</v>
      </c>
      <c r="J49" s="8"/>
      <c r="K49" s="8"/>
      <c r="L49" s="8"/>
      <c r="M49" s="8"/>
      <c r="N49" s="8"/>
      <c r="O49" s="8"/>
      <c r="P49" s="11">
        <v>-7.7879849005207881E-4</v>
      </c>
      <c r="Q49" s="11">
        <v>0.13116162178588864</v>
      </c>
      <c r="R49" s="11">
        <v>8.0261095467735993E-2</v>
      </c>
      <c r="S49" s="11">
        <v>-0.39097944983116062</v>
      </c>
      <c r="T49" s="11">
        <v>0.9846262500897669</v>
      </c>
      <c r="U49" s="11">
        <v>-1.0552647976247564</v>
      </c>
      <c r="V49" s="7"/>
      <c r="W49" s="7"/>
      <c r="X49" s="7"/>
      <c r="Y49" s="7"/>
      <c r="Z49" s="7"/>
      <c r="AA49" s="7"/>
      <c r="AB49" s="7"/>
      <c r="AC49" s="5">
        <f t="shared" si="7"/>
        <v>3.9999999999999994E-2</v>
      </c>
      <c r="AD49" s="13">
        <v>3788453.0825242</v>
      </c>
    </row>
    <row r="50" spans="1:30" ht="16.5" customHeight="1" x14ac:dyDescent="0.25">
      <c r="A50" s="16">
        <v>1.1548404238000001</v>
      </c>
      <c r="B50" s="16">
        <v>0.06</v>
      </c>
      <c r="C50" s="5">
        <v>0</v>
      </c>
      <c r="D50" s="16">
        <v>0.95560731600000004</v>
      </c>
      <c r="E50" s="16">
        <v>0.02</v>
      </c>
      <c r="F50" s="5">
        <v>5.4977999999999998</v>
      </c>
      <c r="G50" s="16">
        <v>1.7445767312</v>
      </c>
      <c r="H50" s="16">
        <v>3.9458122761999999</v>
      </c>
      <c r="I50" s="16">
        <v>4.9189190299999996</v>
      </c>
      <c r="J50" s="8"/>
      <c r="K50" s="8"/>
      <c r="L50" s="8"/>
      <c r="M50" s="8"/>
      <c r="N50" s="8"/>
      <c r="O50" s="8"/>
      <c r="P50" s="11">
        <v>1.4864397060234983E-3</v>
      </c>
      <c r="Q50" s="11">
        <v>1.344448359010854E-2</v>
      </c>
      <c r="R50" s="11">
        <v>8.2959162856570165E-2</v>
      </c>
      <c r="S50" s="11">
        <v>-9.3939949300423112E-2</v>
      </c>
      <c r="T50" s="11">
        <v>1.8290840449547274</v>
      </c>
      <c r="U50" s="11">
        <v>-0.67251666268888244</v>
      </c>
      <c r="V50" s="7"/>
      <c r="W50" s="7"/>
      <c r="X50" s="7"/>
      <c r="Y50" s="7"/>
      <c r="Z50" s="7"/>
      <c r="AA50" s="7"/>
      <c r="AB50" s="7"/>
      <c r="AC50" s="5">
        <f t="shared" si="7"/>
        <v>3.9999999999999994E-2</v>
      </c>
      <c r="AD50" s="13">
        <v>5133691.9190337304</v>
      </c>
    </row>
    <row r="51" spans="1:30" ht="16.5" customHeight="1" x14ac:dyDescent="0.25">
      <c r="A51" s="16">
        <v>1.1816252039999999</v>
      </c>
      <c r="B51" s="16">
        <v>0.08</v>
      </c>
      <c r="C51" s="5">
        <v>1.5708</v>
      </c>
      <c r="D51" s="16">
        <v>0.57227119820000005</v>
      </c>
      <c r="E51" s="16">
        <v>0.04</v>
      </c>
      <c r="F51" s="5">
        <v>0.78539999999999999</v>
      </c>
      <c r="G51" s="16">
        <v>1.4076592733</v>
      </c>
      <c r="H51" s="16">
        <v>1.3192874408999999</v>
      </c>
      <c r="I51" s="16">
        <v>2.6835966308999999</v>
      </c>
      <c r="J51" s="8"/>
      <c r="K51" s="8"/>
      <c r="L51" s="8"/>
      <c r="M51" s="8"/>
      <c r="N51" s="8"/>
      <c r="O51" s="8"/>
      <c r="P51" s="11">
        <v>2.2552116716404699E-4</v>
      </c>
      <c r="Q51" s="11">
        <v>-0.11036856739259836</v>
      </c>
      <c r="R51" s="11">
        <v>1.6158208200835151E-2</v>
      </c>
      <c r="S51" s="11">
        <v>-0.19104172945412048</v>
      </c>
      <c r="T51" s="11">
        <v>0.40274093750885537</v>
      </c>
      <c r="U51" s="11">
        <v>1.5751461515966381</v>
      </c>
      <c r="V51" s="7"/>
      <c r="W51" s="7"/>
      <c r="X51" s="7"/>
      <c r="Y51" s="7"/>
      <c r="Z51" s="7"/>
      <c r="AA51" s="7"/>
      <c r="AB51" s="7"/>
      <c r="AC51" s="5">
        <f t="shared" si="7"/>
        <v>0.04</v>
      </c>
      <c r="AD51" s="13">
        <v>113032906.326867</v>
      </c>
    </row>
    <row r="52" spans="1:30" ht="16.5" customHeight="1" x14ac:dyDescent="0.25">
      <c r="A52" s="16">
        <v>0.93729510640000002</v>
      </c>
      <c r="B52" s="16">
        <v>0.14000000000000001</v>
      </c>
      <c r="C52" s="5">
        <v>0.78539999999999999</v>
      </c>
      <c r="D52" s="16">
        <v>0.49250416219999998</v>
      </c>
      <c r="E52" s="16">
        <v>0.1</v>
      </c>
      <c r="F52" s="5">
        <v>0</v>
      </c>
      <c r="G52" s="16">
        <v>0.50502447429999997</v>
      </c>
      <c r="H52" s="16">
        <v>3.7817597896000001</v>
      </c>
      <c r="I52" s="16">
        <v>0.94479070089999995</v>
      </c>
      <c r="J52" s="8"/>
      <c r="K52" s="8"/>
      <c r="L52" s="8"/>
      <c r="M52" s="8"/>
      <c r="N52" s="8"/>
      <c r="O52" s="8"/>
      <c r="P52" s="11">
        <v>-8.7639205086857581E-3</v>
      </c>
      <c r="Q52" s="11">
        <v>-8.9861777863203915E-2</v>
      </c>
      <c r="R52" s="11">
        <v>0.14152412065830333</v>
      </c>
      <c r="S52" s="11">
        <v>-0.44323031496270043</v>
      </c>
      <c r="T52" s="11">
        <v>1.111256529420463</v>
      </c>
      <c r="U52" s="11">
        <v>0.58554182457731241</v>
      </c>
      <c r="V52" s="7"/>
      <c r="W52" s="7"/>
      <c r="X52" s="7"/>
      <c r="Y52" s="7"/>
      <c r="Z52" s="7"/>
      <c r="AA52" s="7"/>
      <c r="AB52" s="7"/>
      <c r="AC52" s="5">
        <f t="shared" si="7"/>
        <v>4.0000000000000008E-2</v>
      </c>
      <c r="AD52" s="13">
        <v>4945193.9044914003</v>
      </c>
    </row>
    <row r="53" spans="1:30" ht="16.5" customHeight="1" x14ac:dyDescent="0.25">
      <c r="A53" s="16">
        <v>0.32556561499999997</v>
      </c>
      <c r="B53" s="16">
        <v>0.1</v>
      </c>
      <c r="C53" s="5">
        <v>0</v>
      </c>
      <c r="D53" s="16">
        <v>1.3745769409999999</v>
      </c>
      <c r="E53" s="16">
        <v>0.06</v>
      </c>
      <c r="F53" s="5">
        <v>0</v>
      </c>
      <c r="G53" s="16">
        <v>2.9612942246</v>
      </c>
      <c r="H53" s="16">
        <v>1.9579719759000001</v>
      </c>
      <c r="I53" s="16">
        <v>4.9734873239999997</v>
      </c>
      <c r="J53" s="8"/>
      <c r="K53" s="8"/>
      <c r="L53" s="8"/>
      <c r="M53" s="8"/>
      <c r="N53" s="8"/>
      <c r="O53" s="8"/>
      <c r="P53" s="11">
        <v>3.1320805964074427E-3</v>
      </c>
      <c r="Q53" s="11">
        <v>-2.7550427108362293E-4</v>
      </c>
      <c r="R53" s="11">
        <v>0.11484894599775432</v>
      </c>
      <c r="S53" s="11">
        <v>-0.27887463321203104</v>
      </c>
      <c r="T53" s="11">
        <v>1.6770034072880424</v>
      </c>
      <c r="U53" s="11">
        <v>1.1610988226891173E-2</v>
      </c>
      <c r="V53" s="7"/>
      <c r="W53" s="7"/>
      <c r="X53" s="7"/>
      <c r="Y53" s="7"/>
      <c r="Z53" s="7"/>
      <c r="AA53" s="7"/>
      <c r="AB53" s="7"/>
      <c r="AC53" s="5">
        <f t="shared" si="7"/>
        <v>4.0000000000000008E-2</v>
      </c>
      <c r="AD53" s="13">
        <v>3475084.30873405</v>
      </c>
    </row>
    <row r="54" spans="1:30" ht="16.5" customHeight="1" x14ac:dyDescent="0.25">
      <c r="A54" s="16">
        <v>0.34779033799999998</v>
      </c>
      <c r="B54" s="16">
        <v>0.08</v>
      </c>
      <c r="C54" s="5">
        <v>0</v>
      </c>
      <c r="D54" s="16">
        <v>1.3138897528</v>
      </c>
      <c r="E54" s="16">
        <v>0.04</v>
      </c>
      <c r="F54" s="5">
        <v>5.4977999999999998</v>
      </c>
      <c r="G54" s="16">
        <v>0.37278424939999999</v>
      </c>
      <c r="H54" s="16">
        <v>4.7468756007000001</v>
      </c>
      <c r="I54" s="16">
        <v>0.2022602889</v>
      </c>
      <c r="J54" s="8"/>
      <c r="K54" s="8"/>
      <c r="L54" s="8"/>
      <c r="M54" s="8"/>
      <c r="N54" s="8"/>
      <c r="O54" s="8"/>
      <c r="P54" s="11">
        <v>-4.6466832888433042E-4</v>
      </c>
      <c r="Q54" s="11">
        <v>3.7192486173140513E-2</v>
      </c>
      <c r="R54" s="11">
        <v>6.4885743446482388E-2</v>
      </c>
      <c r="S54" s="11">
        <v>-4.8695071907845196E-3</v>
      </c>
      <c r="T54" s="11">
        <v>1.2761039552594946</v>
      </c>
      <c r="U54" s="11">
        <v>-0.92970780320199309</v>
      </c>
      <c r="V54" s="7"/>
      <c r="W54" s="7"/>
      <c r="X54" s="7"/>
      <c r="Y54" s="7"/>
      <c r="Z54" s="7"/>
      <c r="AA54" s="7"/>
      <c r="AB54" s="7"/>
      <c r="AC54" s="5">
        <f t="shared" si="7"/>
        <v>0.04</v>
      </c>
      <c r="AD54" s="13">
        <v>1521558.8885139599</v>
      </c>
    </row>
    <row r="55" spans="1:30" ht="16.5" customHeight="1" x14ac:dyDescent="0.25">
      <c r="A55" s="16">
        <v>1.1244386973</v>
      </c>
      <c r="B55" s="16">
        <v>0.06</v>
      </c>
      <c r="C55" s="5">
        <v>2.3561999999999999</v>
      </c>
      <c r="D55" s="16">
        <v>1.2912704479999999</v>
      </c>
      <c r="E55" s="16">
        <v>0.02</v>
      </c>
      <c r="F55" s="5">
        <v>5.4977999999999998</v>
      </c>
      <c r="G55" s="16">
        <v>4.9064020905000003</v>
      </c>
      <c r="H55" s="16">
        <v>2.1650144864</v>
      </c>
      <c r="I55" s="16">
        <v>2.5559004244999999</v>
      </c>
      <c r="J55" s="8"/>
      <c r="K55" s="8"/>
      <c r="L55" s="8"/>
      <c r="M55" s="8"/>
      <c r="N55" s="8"/>
      <c r="O55" s="8"/>
      <c r="P55" s="11">
        <v>1.2684197583456311E-3</v>
      </c>
      <c r="Q55" s="11">
        <v>-2.9514191089769142E-2</v>
      </c>
      <c r="R55" s="11">
        <v>-2.9575676893435512E-2</v>
      </c>
      <c r="S55" s="11">
        <v>-2.0501361529781801E-2</v>
      </c>
      <c r="T55" s="11">
        <v>0.11797004339659124</v>
      </c>
      <c r="U55" s="11">
        <v>-0.11916984862657068</v>
      </c>
      <c r="V55" s="7"/>
      <c r="W55" s="7"/>
      <c r="X55" s="7"/>
      <c r="Y55" s="7"/>
      <c r="Z55" s="7"/>
      <c r="AA55" s="7"/>
      <c r="AB55" s="7"/>
      <c r="AC55" s="5">
        <f t="shared" si="7"/>
        <v>3.9999999999999994E-2</v>
      </c>
      <c r="AD55" s="13">
        <v>5823406.5522314496</v>
      </c>
    </row>
    <row r="56" spans="1:30" ht="16.5" customHeight="1" x14ac:dyDescent="0.25">
      <c r="A56" s="16">
        <v>0.87685121659999998</v>
      </c>
      <c r="B56" s="16">
        <v>0.08</v>
      </c>
      <c r="C56" s="5">
        <v>3.1415999999999999</v>
      </c>
      <c r="D56" s="16">
        <v>1.4399958847000001</v>
      </c>
      <c r="E56" s="16">
        <v>0.04</v>
      </c>
      <c r="F56" s="5">
        <v>4.7123999999999997</v>
      </c>
      <c r="G56" s="16">
        <v>2.3478746006</v>
      </c>
      <c r="H56" s="16">
        <v>3.5578307432999998</v>
      </c>
      <c r="I56" s="16">
        <v>1.992162325</v>
      </c>
      <c r="J56" s="8"/>
      <c r="K56" s="8"/>
      <c r="L56" s="8"/>
      <c r="M56" s="8"/>
      <c r="N56" s="8"/>
      <c r="O56" s="8"/>
      <c r="P56" s="11">
        <v>1.1818317724026316E-3</v>
      </c>
      <c r="Q56" s="11">
        <v>5.7606125992030674E-2</v>
      </c>
      <c r="R56" s="11">
        <v>-6.9808169137667991E-2</v>
      </c>
      <c r="S56" s="11">
        <v>-0.1598782977599868</v>
      </c>
      <c r="T56" s="11">
        <v>-0.86631946584874331</v>
      </c>
      <c r="U56" s="11">
        <v>-1.4377538995733186</v>
      </c>
      <c r="V56" s="7"/>
      <c r="W56" s="7"/>
      <c r="X56" s="7"/>
      <c r="Y56" s="7"/>
      <c r="Z56" s="7"/>
      <c r="AA56" s="7"/>
      <c r="AB56" s="7"/>
      <c r="AC56" s="5">
        <f t="shared" si="7"/>
        <v>0.04</v>
      </c>
      <c r="AD56" s="13">
        <v>1732541.0767262499</v>
      </c>
    </row>
    <row r="57" spans="1:30" ht="16.5" customHeight="1" x14ac:dyDescent="0.25">
      <c r="A57" s="16">
        <v>0.59547924330000002</v>
      </c>
      <c r="B57" s="16">
        <v>0.08</v>
      </c>
      <c r="C57" s="5">
        <v>4.7123999999999997</v>
      </c>
      <c r="D57" s="16">
        <v>0.70510202209999995</v>
      </c>
      <c r="E57" s="16">
        <v>0.04</v>
      </c>
      <c r="F57" s="5">
        <v>0</v>
      </c>
      <c r="G57" s="16">
        <v>0.2207304574</v>
      </c>
      <c r="H57" s="16">
        <v>1.87765064E-2</v>
      </c>
      <c r="I57" s="16">
        <v>2.3333602099999999</v>
      </c>
      <c r="J57" s="8"/>
      <c r="K57" s="8"/>
      <c r="L57" s="8"/>
      <c r="M57" s="8"/>
      <c r="N57" s="8"/>
      <c r="O57" s="8"/>
      <c r="P57" s="11">
        <v>2.8173254779919379E-4</v>
      </c>
      <c r="Q57" s="11">
        <v>4.7434697337632732E-2</v>
      </c>
      <c r="R57" s="11">
        <v>2.8185896220374932E-2</v>
      </c>
      <c r="S57" s="11">
        <v>-9.058064840135735E-2</v>
      </c>
      <c r="T57" s="11">
        <v>0.70365630763938813</v>
      </c>
      <c r="U57" s="11">
        <v>-0.5902284232860977</v>
      </c>
      <c r="V57" s="7"/>
      <c r="W57" s="7"/>
      <c r="X57" s="7"/>
      <c r="Y57" s="7"/>
      <c r="Z57" s="7"/>
      <c r="AA57" s="7"/>
      <c r="AB57" s="7"/>
      <c r="AC57" s="5">
        <f t="shared" si="7"/>
        <v>0.04</v>
      </c>
      <c r="AD57" s="13">
        <v>4790421.2053389102</v>
      </c>
    </row>
    <row r="58" spans="1:30" ht="16.5" customHeight="1" x14ac:dyDescent="0.25">
      <c r="A58" s="16">
        <v>1.3901836501</v>
      </c>
      <c r="B58" s="16">
        <v>0.08</v>
      </c>
      <c r="C58" s="5">
        <v>4.7123999999999997</v>
      </c>
      <c r="D58" s="16">
        <v>0.3079851005</v>
      </c>
      <c r="E58" s="16">
        <v>0.04</v>
      </c>
      <c r="F58" s="5">
        <v>4.7123999999999997</v>
      </c>
      <c r="G58" s="16">
        <v>0.73915014310000005</v>
      </c>
      <c r="H58" s="16">
        <v>2.9227877096000001</v>
      </c>
      <c r="I58" s="16">
        <v>4.1425655895000002</v>
      </c>
      <c r="J58" s="8"/>
      <c r="K58" s="8"/>
      <c r="L58" s="8"/>
      <c r="M58" s="8"/>
      <c r="N58" s="8"/>
      <c r="O58" s="8"/>
      <c r="P58" s="11">
        <v>2.6761915362405642E-3</v>
      </c>
      <c r="Q58" s="11">
        <v>0.12254736869336802</v>
      </c>
      <c r="R58" s="11">
        <v>2.6465845489354278E-4</v>
      </c>
      <c r="S58" s="11">
        <v>-0.36869337211353986</v>
      </c>
      <c r="T58" s="11">
        <v>1.1587165996135596E-2</v>
      </c>
      <c r="U58" s="11">
        <v>-1.6569443790459046</v>
      </c>
      <c r="V58" s="7"/>
      <c r="W58" s="7"/>
      <c r="X58" s="7"/>
      <c r="Y58" s="7"/>
      <c r="Z58" s="7"/>
      <c r="AA58" s="7"/>
      <c r="AB58" s="7"/>
      <c r="AC58" s="5">
        <f t="shared" si="7"/>
        <v>0.04</v>
      </c>
      <c r="AD58" s="13">
        <v>21109565.482386801</v>
      </c>
    </row>
    <row r="59" spans="1:30" ht="16.5" customHeight="1" x14ac:dyDescent="0.25">
      <c r="A59" s="16">
        <v>0.37261524629999998</v>
      </c>
      <c r="B59" s="16">
        <v>0.16</v>
      </c>
      <c r="C59" s="5">
        <v>1.5708</v>
      </c>
      <c r="D59" s="16">
        <v>0.85894297369999995</v>
      </c>
      <c r="E59" s="16">
        <v>0.12</v>
      </c>
      <c r="F59" s="5">
        <v>0</v>
      </c>
      <c r="G59" s="16">
        <v>1.8801242656999999</v>
      </c>
      <c r="H59" s="16">
        <v>0.57983362380000003</v>
      </c>
      <c r="I59" s="16">
        <v>4.1953380029999998</v>
      </c>
      <c r="J59" s="8"/>
      <c r="K59" s="8"/>
      <c r="L59" s="8"/>
      <c r="M59" s="8"/>
      <c r="N59" s="8"/>
      <c r="O59" s="8"/>
      <c r="P59" s="11">
        <v>7.1340528408737622E-3</v>
      </c>
      <c r="Q59" s="11">
        <v>-5.9940924921978257E-2</v>
      </c>
      <c r="R59" s="11">
        <v>0.1016752457438143</v>
      </c>
      <c r="S59" s="11">
        <v>-0.24488536044603998</v>
      </c>
      <c r="T59" s="11">
        <v>0.82168334133630572</v>
      </c>
      <c r="U59" s="11">
        <v>0.3762540366878977</v>
      </c>
      <c r="V59" s="7"/>
      <c r="W59" s="7"/>
      <c r="X59" s="7"/>
      <c r="Y59" s="7"/>
      <c r="Z59" s="7"/>
      <c r="AA59" s="7"/>
      <c r="AB59" s="7"/>
      <c r="AC59" s="5">
        <f t="shared" si="7"/>
        <v>4.0000000000000008E-2</v>
      </c>
      <c r="AD59" s="13">
        <v>1241830.12460455</v>
      </c>
    </row>
    <row r="60" spans="1:30" ht="16.5" customHeight="1" x14ac:dyDescent="0.25">
      <c r="A60" s="16">
        <v>1.4531678181000001</v>
      </c>
      <c r="B60" s="16">
        <v>0.12</v>
      </c>
      <c r="C60" s="5">
        <v>4.7123999999999997</v>
      </c>
      <c r="D60" s="16">
        <v>0.47288273930000002</v>
      </c>
      <c r="E60" s="16">
        <v>0.08</v>
      </c>
      <c r="F60" s="5">
        <v>0.78539999999999999</v>
      </c>
      <c r="G60" s="16">
        <v>3.2783510528000002</v>
      </c>
      <c r="H60" s="16">
        <v>4.7389224496000004</v>
      </c>
      <c r="I60" s="16">
        <v>3.1449469496</v>
      </c>
      <c r="J60" s="8"/>
      <c r="K60" s="8"/>
      <c r="L60" s="8"/>
      <c r="M60" s="8"/>
      <c r="N60" s="8"/>
      <c r="O60" s="8"/>
      <c r="P60" s="11">
        <v>3.2958010919105882E-3</v>
      </c>
      <c r="Q60" s="11">
        <v>0.14603497234400672</v>
      </c>
      <c r="R60" s="11">
        <v>2.7152907692793778E-2</v>
      </c>
      <c r="S60" s="11">
        <v>-0.36790711441831048</v>
      </c>
      <c r="T60" s="11">
        <v>0.33830398220620495</v>
      </c>
      <c r="U60" s="11">
        <v>-1.0558237664921832</v>
      </c>
      <c r="V60" s="7"/>
      <c r="W60" s="7"/>
      <c r="X60" s="7"/>
      <c r="Y60" s="7"/>
      <c r="Z60" s="7"/>
      <c r="AA60" s="7"/>
      <c r="AB60" s="7"/>
      <c r="AC60" s="5">
        <f t="shared" si="7"/>
        <v>3.9999999999999994E-2</v>
      </c>
      <c r="AD60" s="13">
        <v>4697800.8379984703</v>
      </c>
    </row>
    <row r="61" spans="1:30" ht="16.5" customHeight="1" x14ac:dyDescent="0.25">
      <c r="A61" s="16">
        <v>0.36590931840000002</v>
      </c>
      <c r="B61" s="16">
        <v>0.08</v>
      </c>
      <c r="C61" s="5">
        <v>2.3561999999999999</v>
      </c>
      <c r="D61" s="16">
        <v>0.32426250909999998</v>
      </c>
      <c r="E61" s="16">
        <v>0.04</v>
      </c>
      <c r="F61" s="5">
        <v>5.4977999999999998</v>
      </c>
      <c r="G61" s="16">
        <v>3.2391898345999999</v>
      </c>
      <c r="H61" s="16">
        <v>1.5107994280999999</v>
      </c>
      <c r="I61" s="16">
        <v>0.73005405469999995</v>
      </c>
      <c r="J61" s="8"/>
      <c r="K61" s="8"/>
      <c r="L61" s="8"/>
      <c r="M61" s="8"/>
      <c r="N61" s="8"/>
      <c r="O61" s="8"/>
      <c r="P61" s="11">
        <v>6.0777827391636833E-4</v>
      </c>
      <c r="Q61" s="11">
        <v>-1.1463021372867987E-2</v>
      </c>
      <c r="R61" s="11">
        <v>-1.147806189735559E-2</v>
      </c>
      <c r="S61" s="11">
        <v>-5.4771079779505384E-3</v>
      </c>
      <c r="T61" s="11">
        <v>-2.9526095287809667E-2</v>
      </c>
      <c r="U61" s="11">
        <v>2.9162959103490614E-2</v>
      </c>
      <c r="V61" s="7"/>
      <c r="W61" s="7"/>
      <c r="X61" s="7"/>
      <c r="Y61" s="7"/>
      <c r="Z61" s="7"/>
      <c r="AA61" s="7"/>
      <c r="AB61" s="7"/>
      <c r="AC61" s="5">
        <f t="shared" si="7"/>
        <v>0.04</v>
      </c>
      <c r="AD61" s="13">
        <v>1147616.35413922</v>
      </c>
    </row>
    <row r="62" spans="1:30" ht="16.5" customHeight="1" x14ac:dyDescent="0.25">
      <c r="A62" s="16">
        <v>0.71858942609999998</v>
      </c>
      <c r="B62" s="16">
        <v>0.06</v>
      </c>
      <c r="C62" s="5">
        <v>5.4977999999999998</v>
      </c>
      <c r="D62" s="16">
        <v>1.3482950081</v>
      </c>
      <c r="E62" s="16">
        <v>0.02</v>
      </c>
      <c r="F62" s="5">
        <v>1.5708</v>
      </c>
      <c r="G62" s="16">
        <v>2.7719248752999999</v>
      </c>
      <c r="H62" s="16">
        <v>4.6486855653000001</v>
      </c>
      <c r="I62" s="16">
        <v>4.0642437601000001</v>
      </c>
      <c r="J62" s="8"/>
      <c r="K62" s="8"/>
      <c r="L62" s="8"/>
      <c r="M62" s="8"/>
      <c r="N62" s="8"/>
      <c r="O62" s="8"/>
      <c r="P62" s="11">
        <v>4.1225309104056822E-4</v>
      </c>
      <c r="Q62" s="11">
        <v>3.5867125568756109E-3</v>
      </c>
      <c r="R62" s="11">
        <v>3.0566199664401501E-2</v>
      </c>
      <c r="S62" s="11">
        <v>-3.259198929228724E-3</v>
      </c>
      <c r="T62" s="11">
        <v>0.50788663806665579</v>
      </c>
      <c r="U62" s="11">
        <v>0.84052352434528244</v>
      </c>
      <c r="V62" s="7"/>
      <c r="W62" s="7"/>
      <c r="X62" s="7"/>
      <c r="Y62" s="7"/>
      <c r="Z62" s="7"/>
      <c r="AA62" s="7"/>
      <c r="AB62" s="7"/>
      <c r="AC62" s="5">
        <f t="shared" si="7"/>
        <v>3.9999999999999994E-2</v>
      </c>
      <c r="AD62" s="13">
        <v>4622956.0629072702</v>
      </c>
    </row>
  </sheetData>
  <mergeCells count="6">
    <mergeCell ref="AE1:AJ1"/>
    <mergeCell ref="A1:I1"/>
    <mergeCell ref="J1:O1"/>
    <mergeCell ref="P1:U1"/>
    <mergeCell ref="AC1:AD1"/>
    <mergeCell ref="V1:A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K12"/>
  <sheetViews>
    <sheetView topLeftCell="I1" workbookViewId="0">
      <pane ySplit="2" topLeftCell="A3" activePane="bottomLeft" state="frozen"/>
      <selection activeCell="K1" sqref="K1"/>
      <selection pane="bottomLeft" activeCell="M21" sqref="M21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8" bestFit="1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2" bestFit="1" customWidth="1"/>
    <col min="33" max="33" width="13.85546875" bestFit="1" customWidth="1"/>
    <col min="34" max="34" width="11.85546875" bestFit="1" customWidth="1"/>
    <col min="37" max="37" width="11.85546875" bestFit="1" customWidth="1"/>
  </cols>
  <sheetData>
    <row r="1" spans="1:37" ht="15.75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4"/>
      <c r="J1" s="25" t="s">
        <v>6</v>
      </c>
      <c r="K1" s="26"/>
      <c r="L1" s="26"/>
      <c r="M1" s="26"/>
      <c r="N1" s="26"/>
      <c r="O1" s="26"/>
      <c r="P1" s="33" t="s">
        <v>7</v>
      </c>
      <c r="Q1" s="34"/>
      <c r="R1" s="34"/>
      <c r="S1" s="34"/>
      <c r="T1" s="34"/>
      <c r="U1" s="34"/>
      <c r="V1" s="34"/>
      <c r="W1" s="35" t="s">
        <v>13</v>
      </c>
      <c r="X1" s="35"/>
      <c r="Y1" s="35"/>
      <c r="Z1" s="35"/>
      <c r="AA1" s="35"/>
      <c r="AB1" s="35"/>
      <c r="AC1" s="35"/>
      <c r="AD1" s="35"/>
      <c r="AE1" s="35"/>
      <c r="AF1" s="20" t="s">
        <v>31</v>
      </c>
      <c r="AG1" s="20"/>
      <c r="AH1" s="20"/>
      <c r="AI1" s="20"/>
      <c r="AJ1" s="20"/>
      <c r="AK1" s="20"/>
    </row>
    <row r="2" spans="1:37" ht="15.75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22</v>
      </c>
      <c r="Q2" s="1" t="s">
        <v>23</v>
      </c>
      <c r="R2" s="1" t="s">
        <v>33</v>
      </c>
      <c r="S2" s="1" t="s">
        <v>24</v>
      </c>
      <c r="T2" s="1" t="s">
        <v>25</v>
      </c>
      <c r="U2" s="1" t="s">
        <v>34</v>
      </c>
      <c r="V2" s="2" t="s">
        <v>32</v>
      </c>
      <c r="W2" s="3" t="s">
        <v>22</v>
      </c>
      <c r="X2" s="1" t="s">
        <v>23</v>
      </c>
      <c r="Y2" s="1" t="s">
        <v>33</v>
      </c>
      <c r="Z2" s="1" t="s">
        <v>24</v>
      </c>
      <c r="AA2" s="1" t="s">
        <v>25</v>
      </c>
      <c r="AB2" s="1" t="s">
        <v>34</v>
      </c>
      <c r="AC2" s="6" t="s">
        <v>28</v>
      </c>
      <c r="AD2" s="6" t="s">
        <v>29</v>
      </c>
      <c r="AE2" s="6" t="s">
        <v>30</v>
      </c>
      <c r="AF2" s="32" t="s">
        <v>26</v>
      </c>
      <c r="AG2" s="32"/>
      <c r="AH2" s="32"/>
      <c r="AI2" s="32"/>
      <c r="AJ2" s="32"/>
      <c r="AK2" s="32"/>
    </row>
    <row r="3" spans="1:37" ht="15.75" x14ac:dyDescent="0.25">
      <c r="A3" s="5">
        <f>'Proximal Validation'!A3</f>
        <v>0.57634630980000001</v>
      </c>
      <c r="B3" s="5">
        <f>'Proximal Validation'!B3</f>
        <v>0.2</v>
      </c>
      <c r="C3" s="5">
        <f>'Proximal Validation'!C3</f>
        <v>0.78539999999999999</v>
      </c>
      <c r="D3" s="5">
        <f>'Proximal Validation'!D3</f>
        <v>1.1398024601000001</v>
      </c>
      <c r="E3" s="5">
        <f>'Proximal Validation'!E3</f>
        <v>0.02</v>
      </c>
      <c r="F3" s="5">
        <f>'Proximal Validation'!F3</f>
        <v>5.4977999999999998</v>
      </c>
      <c r="G3" s="5">
        <f>'Proximal Validation'!G3</f>
        <v>0.49272223679999999</v>
      </c>
      <c r="H3" s="5">
        <f>'Proximal Validation'!H3</f>
        <v>4.4756011583999999</v>
      </c>
      <c r="I3" s="5">
        <f>'Proximal Validation'!I3</f>
        <v>4.1915536561</v>
      </c>
      <c r="J3" s="5">
        <f>'Proximal Validation'!J3</f>
        <v>-8.3262659609317801E-4</v>
      </c>
      <c r="K3" s="5">
        <f>'Proximal Validation'!K3</f>
        <v>-5.3400582866743193E-2</v>
      </c>
      <c r="L3" s="5">
        <f>'Proximal Validation'!L3</f>
        <v>9.2854456901550309E-2</v>
      </c>
      <c r="M3" s="5">
        <f>'Proximal Validation'!M3</f>
        <v>-7.20393061637878E-2</v>
      </c>
      <c r="N3" s="5">
        <f>'Proximal Validation'!N3</f>
        <v>1.12758028507233</v>
      </c>
      <c r="O3" s="5">
        <f>'Proximal Validation'!O3</f>
        <v>-0.58665424585342396</v>
      </c>
      <c r="P3" s="5">
        <v>1.3420502216774097</v>
      </c>
      <c r="Q3" s="5">
        <v>9.1170358288382228E-2</v>
      </c>
      <c r="R3" s="5">
        <v>0.74824388253494634</v>
      </c>
      <c r="S3" s="5">
        <v>1.4999999936937047</v>
      </c>
      <c r="T3" s="5">
        <v>2.0000000000034018E-2</v>
      </c>
      <c r="U3" s="5">
        <v>4.8109370706413284</v>
      </c>
      <c r="V3" s="13">
        <v>5.7095024783077622E-7</v>
      </c>
      <c r="W3" s="5">
        <f t="shared" ref="W3:AA10" si="0">P3-A3</f>
        <v>0.76570391187740972</v>
      </c>
      <c r="X3" s="5">
        <f t="shared" si="0"/>
        <v>-0.10882964171161778</v>
      </c>
      <c r="Y3" s="5">
        <f>MIN(ABS(R3-C3),2*PI()-ABS(R3-C3))</f>
        <v>3.7156117465053651E-2</v>
      </c>
      <c r="Z3" s="5">
        <f t="shared" si="0"/>
        <v>0.36019753359370466</v>
      </c>
      <c r="AA3" s="5">
        <f t="shared" si="0"/>
        <v>3.4017927363905187E-14</v>
      </c>
      <c r="AB3" s="5">
        <f>MIN(ABS(U3-F3),2*PI()-ABS(U3-F3))</f>
        <v>0.68686292935867144</v>
      </c>
      <c r="AC3" s="8">
        <f t="shared" ref="AC3:AC10" si="1">AVERAGE(ABS(W3),ABS(Z3))</f>
        <v>0.56295072273555724</v>
      </c>
      <c r="AD3" s="8">
        <f t="shared" ref="AD3:AD10" si="2">AVERAGE(ABS(X3),ABS(AA3))</f>
        <v>5.4414820855825899E-2</v>
      </c>
      <c r="AE3" s="8">
        <f t="shared" ref="AE3:AE10" si="3">AVERAGE(ABS(Y3),ABS(AB3))</f>
        <v>0.36200952341186254</v>
      </c>
      <c r="AF3" s="1" t="s">
        <v>22</v>
      </c>
      <c r="AG3" s="1" t="s">
        <v>23</v>
      </c>
      <c r="AH3" s="1" t="s">
        <v>33</v>
      </c>
      <c r="AI3" s="1" t="s">
        <v>24</v>
      </c>
      <c r="AJ3" s="1" t="s">
        <v>25</v>
      </c>
      <c r="AK3" s="1" t="s">
        <v>34</v>
      </c>
    </row>
    <row r="4" spans="1:37" x14ac:dyDescent="0.25">
      <c r="A4" s="5">
        <f>'Proximal Validation'!A4</f>
        <v>1.2961945501000001</v>
      </c>
      <c r="B4" s="5">
        <f>'Proximal Validation'!B4</f>
        <v>0.2</v>
      </c>
      <c r="C4" s="5">
        <f>'Proximal Validation'!C4</f>
        <v>4.7123999999999997</v>
      </c>
      <c r="D4" s="5">
        <f>'Proximal Validation'!D4</f>
        <v>0.31907560010000002</v>
      </c>
      <c r="E4" s="5">
        <f>'Proximal Validation'!E4</f>
        <v>0.02</v>
      </c>
      <c r="F4" s="5">
        <f>'Proximal Validation'!F4</f>
        <v>1.5708</v>
      </c>
      <c r="G4" s="5">
        <f>'Proximal Validation'!G4</f>
        <v>0.53253118440000002</v>
      </c>
      <c r="H4" s="5">
        <f>'Proximal Validation'!H4</f>
        <v>1.6232893740000001</v>
      </c>
      <c r="I4" s="5">
        <f>'Proximal Validation'!I4</f>
        <v>9.6932284100000002E-2</v>
      </c>
      <c r="J4" s="5">
        <f>'Proximal Validation'!J4</f>
        <v>7.6168961822986603E-3</v>
      </c>
      <c r="K4" s="5">
        <f>'Proximal Validation'!K4</f>
        <v>0.24574007272720383</v>
      </c>
      <c r="L4" s="5">
        <f>'Proximal Validation'!L4</f>
        <v>1.0644453205168264E-3</v>
      </c>
      <c r="M4" s="5">
        <f>'Proximal Validation'!M4</f>
        <v>-0.71961438655853305</v>
      </c>
      <c r="N4" s="5">
        <f>'Proximal Validation'!N4</f>
        <v>2.90779918432236E-2</v>
      </c>
      <c r="O4" s="5">
        <f>'Proximal Validation'!O4</f>
        <v>-0.48940825462341297</v>
      </c>
      <c r="P4" s="5">
        <v>1.4939044188657753</v>
      </c>
      <c r="Q4" s="5">
        <v>0.19356772997840793</v>
      </c>
      <c r="R4" s="5">
        <v>4.7018674678804011</v>
      </c>
      <c r="S4" s="5">
        <v>0.4160967438815687</v>
      </c>
      <c r="T4" s="5">
        <v>4.342700763073027E-2</v>
      </c>
      <c r="U4" s="5">
        <v>1.5841702887138036</v>
      </c>
      <c r="V4" s="13">
        <v>3.2830285552403625E-5</v>
      </c>
      <c r="W4" s="5">
        <f t="shared" si="0"/>
        <v>0.19770986876577523</v>
      </c>
      <c r="X4" s="5">
        <f t="shared" si="0"/>
        <v>-6.4322700215920792E-3</v>
      </c>
      <c r="Y4" s="5">
        <f t="shared" ref="Y4:Y12" si="4">MIN(ABS(R4-C4),2*PI()-ABS(R4-C4))</f>
        <v>1.0532532119598592E-2</v>
      </c>
      <c r="Z4" s="5">
        <f t="shared" si="0"/>
        <v>9.7021143781568675E-2</v>
      </c>
      <c r="AA4" s="5">
        <f t="shared" si="0"/>
        <v>2.342700763073027E-2</v>
      </c>
      <c r="AB4" s="5">
        <f t="shared" ref="AB4:AB12" si="5">MIN(ABS(U4-F4),2*PI()-ABS(U4-F4))</f>
        <v>1.3370288713803635E-2</v>
      </c>
      <c r="AC4" s="8">
        <f t="shared" si="1"/>
        <v>0.14736550627367195</v>
      </c>
      <c r="AD4" s="8">
        <f t="shared" si="2"/>
        <v>1.4929638826161174E-2</v>
      </c>
      <c r="AE4" s="8">
        <f t="shared" si="3"/>
        <v>1.1951410416701114E-2</v>
      </c>
      <c r="AF4" s="7" cm="1">
        <f t="array" ref="AF4">AVERAGE(ABS(W3:W12))</f>
        <v>0.28684423939715409</v>
      </c>
      <c r="AG4" s="7" cm="1">
        <f t="array" ref="AG4">AVERAGE(ABS(X3:X12))</f>
        <v>3.2578254500968018E-2</v>
      </c>
      <c r="AH4" s="7" cm="1">
        <f t="array" ref="AH4">AVERAGE(ABS(Y3:Y12))</f>
        <v>0.12436943813890751</v>
      </c>
      <c r="AI4" s="7" cm="1">
        <f t="array" ref="AI4">AVERAGE(ABS(Z3:Z12))</f>
        <v>0.27011683935676783</v>
      </c>
      <c r="AJ4" s="7" cm="1">
        <f t="array" ref="AJ4">AVERAGE(ABS(AA3:AA12))</f>
        <v>3.5309565254784639E-2</v>
      </c>
      <c r="AK4" s="7" cm="1">
        <f t="array" ref="AK4">AVERAGE(ABS(AB3:AB12))</f>
        <v>0.49119797953857347</v>
      </c>
    </row>
    <row r="5" spans="1:37" x14ac:dyDescent="0.25">
      <c r="A5" s="5">
        <f>'Proximal Validation'!A5</f>
        <v>0.3432844504</v>
      </c>
      <c r="B5" s="5">
        <f>'Proximal Validation'!B5</f>
        <v>0.2</v>
      </c>
      <c r="C5" s="5">
        <f>'Proximal Validation'!C5</f>
        <v>3.1415999999999999</v>
      </c>
      <c r="D5" s="5">
        <f>'Proximal Validation'!D5</f>
        <v>0.75633386430000005</v>
      </c>
      <c r="E5" s="5">
        <f>'Proximal Validation'!E5</f>
        <v>0.02</v>
      </c>
      <c r="F5" s="5">
        <f>'Proximal Validation'!F5</f>
        <v>3.1415999999999999</v>
      </c>
      <c r="G5" s="5">
        <f>'Proximal Validation'!G5</f>
        <v>3.5593988404000001</v>
      </c>
      <c r="H5" s="5">
        <f>'Proximal Validation'!H5</f>
        <v>2.6173593599</v>
      </c>
      <c r="I5" s="5">
        <f>'Proximal Validation'!I5</f>
        <v>2.7214845023000001</v>
      </c>
      <c r="J5" s="5">
        <f>'Proximal Validation'!J5</f>
        <v>-1.2985616922378499E-4</v>
      </c>
      <c r="K5" s="5">
        <f>'Proximal Validation'!K5</f>
        <v>-3.6498736031353504E-3</v>
      </c>
      <c r="L5" s="5">
        <f>'Proximal Validation'!L5</f>
        <v>-7.9183645248412218E-2</v>
      </c>
      <c r="M5" s="5">
        <f>'Proximal Validation'!M5</f>
        <v>-1.52619369328022E-2</v>
      </c>
      <c r="N5" s="5">
        <f>'Proximal Validation'!N5</f>
        <v>-1.05842244625092</v>
      </c>
      <c r="O5" s="5">
        <f>'Proximal Validation'!O5</f>
        <v>2.1189808845519999E-2</v>
      </c>
      <c r="P5" s="5">
        <v>1.2934543684357944</v>
      </c>
      <c r="Q5" s="5">
        <v>7.3088930887756129E-2</v>
      </c>
      <c r="R5" s="5">
        <v>2.9547942794455344</v>
      </c>
      <c r="S5" s="5">
        <v>0.30111068146442993</v>
      </c>
      <c r="T5" s="5">
        <v>6.3329339257730322E-2</v>
      </c>
      <c r="U5" s="5">
        <v>5.4741465500763367</v>
      </c>
      <c r="V5" s="13">
        <v>2.2175889095068705E-6</v>
      </c>
      <c r="W5" s="5">
        <f t="shared" si="0"/>
        <v>0.95016991803579443</v>
      </c>
      <c r="X5" s="5">
        <f t="shared" si="0"/>
        <v>-0.12691106911224387</v>
      </c>
      <c r="Y5" s="5">
        <f t="shared" si="4"/>
        <v>0.18680572055446554</v>
      </c>
      <c r="Z5" s="5">
        <f t="shared" si="0"/>
        <v>-0.45522318283557012</v>
      </c>
      <c r="AA5" s="5">
        <f t="shared" si="0"/>
        <v>4.3329339257730318E-2</v>
      </c>
      <c r="AB5" s="5">
        <f t="shared" si="5"/>
        <v>2.3325465500763367</v>
      </c>
      <c r="AC5" s="9">
        <f t="shared" si="1"/>
        <v>0.70269655043568224</v>
      </c>
      <c r="AD5" s="9">
        <f t="shared" si="2"/>
        <v>8.5120204184987086E-2</v>
      </c>
      <c r="AE5" s="9">
        <f t="shared" si="3"/>
        <v>1.2596761353154011</v>
      </c>
      <c r="AF5" s="30" t="s">
        <v>27</v>
      </c>
      <c r="AG5" s="31"/>
      <c r="AH5" s="31"/>
      <c r="AI5" s="31"/>
      <c r="AJ5" s="31"/>
      <c r="AK5" s="31"/>
    </row>
    <row r="6" spans="1:37" x14ac:dyDescent="0.25">
      <c r="A6" s="5">
        <f>'Proximal Validation'!A6</f>
        <v>0.83277602429999997</v>
      </c>
      <c r="B6" s="5">
        <f>'Proximal Validation'!B6</f>
        <v>0.2</v>
      </c>
      <c r="C6" s="5">
        <f>'Proximal Validation'!C6</f>
        <v>4.7123999999999997</v>
      </c>
      <c r="D6" s="5">
        <f>'Proximal Validation'!D6</f>
        <v>1.4193655153</v>
      </c>
      <c r="E6" s="5">
        <f>'Proximal Validation'!E6</f>
        <v>0.04</v>
      </c>
      <c r="F6" s="5">
        <f>'Proximal Validation'!F6</f>
        <v>5.4977999999999998</v>
      </c>
      <c r="G6" s="5">
        <f>'Proximal Validation'!G6</f>
        <v>4.2084858911999996</v>
      </c>
      <c r="H6" s="5">
        <f>'Proximal Validation'!H6</f>
        <v>0.52916698419999997</v>
      </c>
      <c r="I6" s="5">
        <f>'Proximal Validation'!I6</f>
        <v>2.5150427606000001</v>
      </c>
      <c r="J6" s="5">
        <f>'Proximal Validation'!J6</f>
        <v>-2.2600172087550201E-2</v>
      </c>
      <c r="K6" s="5">
        <f>'Proximal Validation'!K6</f>
        <v>0.2035677599906926</v>
      </c>
      <c r="L6" s="5">
        <f>'Proximal Validation'!L6</f>
        <v>1.6263059973716687E-2</v>
      </c>
      <c r="M6" s="5">
        <f>'Proximal Validation'!M6</f>
        <v>-0.76213192939758301</v>
      </c>
      <c r="N6" s="5">
        <f>'Proximal Validation'!N6</f>
        <v>0.83609861135482799</v>
      </c>
      <c r="O6" s="5">
        <f>'Proximal Validation'!O6</f>
        <v>-1.67676854133606</v>
      </c>
      <c r="P6" s="5">
        <v>0.99927048905470139</v>
      </c>
      <c r="Q6" s="5">
        <v>0.19999999947792041</v>
      </c>
      <c r="R6" s="5">
        <v>4.738615119427017</v>
      </c>
      <c r="S6" s="5">
        <v>1.3164401141943776</v>
      </c>
      <c r="T6" s="5">
        <v>2.0000000000022205E-2</v>
      </c>
      <c r="U6" s="5">
        <v>5.4994404230193261</v>
      </c>
      <c r="V6" s="13">
        <v>1.8576362736832633E-5</v>
      </c>
      <c r="W6" s="5">
        <f t="shared" si="0"/>
        <v>0.16649446475470142</v>
      </c>
      <c r="X6" s="5">
        <f t="shared" si="0"/>
        <v>-5.220796017724183E-10</v>
      </c>
      <c r="Y6" s="5">
        <f t="shared" si="4"/>
        <v>2.6215119427017264E-2</v>
      </c>
      <c r="Z6" s="5">
        <f t="shared" si="0"/>
        <v>-0.10292540110562243</v>
      </c>
      <c r="AA6" s="5">
        <f t="shared" si="0"/>
        <v>-1.9999999999977796E-2</v>
      </c>
      <c r="AB6" s="5">
        <f t="shared" si="5"/>
        <v>1.6404230193263203E-3</v>
      </c>
      <c r="AC6" s="8">
        <f t="shared" si="1"/>
        <v>0.13470993293016192</v>
      </c>
      <c r="AD6" s="8">
        <f t="shared" si="2"/>
        <v>1.0000000261028699E-2</v>
      </c>
      <c r="AE6" s="8">
        <f t="shared" si="3"/>
        <v>1.3927771223171792E-2</v>
      </c>
      <c r="AF6" s="6" t="s">
        <v>28</v>
      </c>
      <c r="AG6" s="6" t="s">
        <v>29</v>
      </c>
      <c r="AH6" s="6" t="s">
        <v>30</v>
      </c>
      <c r="AI6" s="7"/>
      <c r="AJ6" s="7"/>
      <c r="AK6" s="7"/>
    </row>
    <row r="7" spans="1:37" x14ac:dyDescent="0.25">
      <c r="A7" s="5">
        <f>'Proximal Validation'!A7</f>
        <v>0.3898403909</v>
      </c>
      <c r="B7" s="5">
        <f>'Proximal Validation'!B7</f>
        <v>0.2</v>
      </c>
      <c r="C7" s="5">
        <f>'Proximal Validation'!C7</f>
        <v>1.5708</v>
      </c>
      <c r="D7" s="5">
        <f>'Proximal Validation'!D7</f>
        <v>0.45028828840000001</v>
      </c>
      <c r="E7" s="5">
        <f>'Proximal Validation'!E7</f>
        <v>0.04</v>
      </c>
      <c r="F7" s="5">
        <f>'Proximal Validation'!F7</f>
        <v>2.3561999999999999</v>
      </c>
      <c r="G7" s="5">
        <f>'Proximal Validation'!G7</f>
        <v>0.34676129480000001</v>
      </c>
      <c r="H7" s="5">
        <f>'Proximal Validation'!H7</f>
        <v>0.93612470940000003</v>
      </c>
      <c r="I7" s="5">
        <f>'Proximal Validation'!I7</f>
        <v>2.0702513480000002</v>
      </c>
      <c r="J7" s="5">
        <f>'Proximal Validation'!J7</f>
        <v>-2.83843977376819E-3</v>
      </c>
      <c r="K7" s="5">
        <f>'Proximal Validation'!K7</f>
        <v>-8.2259576320647787E-2</v>
      </c>
      <c r="L7" s="5">
        <f>'Proximal Validation'!L7</f>
        <v>-3.6772690713405068E-4</v>
      </c>
      <c r="M7" s="5">
        <f>'Proximal Validation'!M7</f>
        <v>-7.1337848901748699E-2</v>
      </c>
      <c r="N7" s="5">
        <f>'Proximal Validation'!N7</f>
        <v>-0.277880519628525</v>
      </c>
      <c r="O7" s="5">
        <f>'Proximal Validation'!O7</f>
        <v>0.691084444522858</v>
      </c>
      <c r="P7" s="5">
        <v>0.38961694606935898</v>
      </c>
      <c r="Q7" s="5">
        <v>0.19882755061294116</v>
      </c>
      <c r="R7" s="5">
        <v>1.4981642745544936</v>
      </c>
      <c r="S7" s="5">
        <v>0.43646756919844121</v>
      </c>
      <c r="T7" s="5">
        <v>2.0000000000022205E-2</v>
      </c>
      <c r="U7" s="5">
        <v>2.3511488050880738</v>
      </c>
      <c r="V7" s="13">
        <v>3.6807709184073688E-6</v>
      </c>
      <c r="W7" s="5">
        <f t="shared" si="0"/>
        <v>-2.234448306410175E-4</v>
      </c>
      <c r="X7" s="5">
        <f t="shared" si="0"/>
        <v>-1.1724493870588493E-3</v>
      </c>
      <c r="Y7" s="5">
        <f t="shared" si="4"/>
        <v>7.2635725445506338E-2</v>
      </c>
      <c r="Z7" s="5">
        <f t="shared" si="0"/>
        <v>-1.3820719201558807E-2</v>
      </c>
      <c r="AA7" s="5">
        <f t="shared" si="0"/>
        <v>-1.9999999999977796E-2</v>
      </c>
      <c r="AB7" s="5">
        <f t="shared" si="5"/>
        <v>5.0511949119260713E-3</v>
      </c>
      <c r="AC7" s="8">
        <f t="shared" si="1"/>
        <v>7.022082016099912E-3</v>
      </c>
      <c r="AD7" s="8">
        <f t="shared" si="2"/>
        <v>1.0586224693518323E-2</v>
      </c>
      <c r="AE7" s="8">
        <f t="shared" si="3"/>
        <v>3.8843460178716205E-2</v>
      </c>
      <c r="AF7" s="10">
        <f>AVERAGE(AF4,AI4)</f>
        <v>0.27848053937696093</v>
      </c>
      <c r="AG7" s="10">
        <f>AVERAGE(AG4,AJ4)</f>
        <v>3.3943909877876328E-2</v>
      </c>
      <c r="AH7" s="10">
        <f>AVERAGE(AH4,AK4)</f>
        <v>0.30778370883874051</v>
      </c>
      <c r="AI7" s="7"/>
      <c r="AJ7" s="7"/>
      <c r="AK7" s="7"/>
    </row>
    <row r="8" spans="1:37" x14ac:dyDescent="0.25">
      <c r="A8" s="5">
        <f>'Proximal Validation'!A8</f>
        <v>0.86958752539999995</v>
      </c>
      <c r="B8" s="5">
        <f>'Proximal Validation'!B8</f>
        <v>0.2</v>
      </c>
      <c r="C8" s="5">
        <f>'Proximal Validation'!C8</f>
        <v>0.78539999999999999</v>
      </c>
      <c r="D8" s="5">
        <f>'Proximal Validation'!D8</f>
        <v>0.66933871</v>
      </c>
      <c r="E8" s="5">
        <f>'Proximal Validation'!E8</f>
        <v>0.04</v>
      </c>
      <c r="F8" s="5">
        <f>'Proximal Validation'!F8</f>
        <v>0.78539999999999999</v>
      </c>
      <c r="G8" s="5">
        <f>'Proximal Validation'!G8</f>
        <v>2.0486073985000002</v>
      </c>
      <c r="H8" s="5">
        <f>'Proximal Validation'!H8</f>
        <v>1.4427408886999999</v>
      </c>
      <c r="I8" s="5">
        <f>'Proximal Validation'!I8</f>
        <v>0.53737298850000004</v>
      </c>
      <c r="J8" s="5">
        <f>'Proximal Validation'!J8</f>
        <v>4.2178397998213803E-3</v>
      </c>
      <c r="K8" s="5">
        <f>'Proximal Validation'!K8</f>
        <v>-0.1370001655817028</v>
      </c>
      <c r="L8" s="5">
        <f>'Proximal Validation'!L8</f>
        <v>0.13484285593032813</v>
      </c>
      <c r="M8" s="5">
        <f>'Proximal Validation'!M8</f>
        <v>-0.61169552803039595</v>
      </c>
      <c r="N8" s="5">
        <f>'Proximal Validation'!N8</f>
        <v>0.92778009176254295</v>
      </c>
      <c r="O8" s="5">
        <f>'Proximal Validation'!O8</f>
        <v>0.97456169128418002</v>
      </c>
      <c r="P8" s="5">
        <v>1.4761880700119374</v>
      </c>
      <c r="Q8" s="5">
        <v>0.12778867831441887</v>
      </c>
      <c r="R8" s="5">
        <v>0.61787562717198252</v>
      </c>
      <c r="S8" s="5">
        <v>0.30015436694797637</v>
      </c>
      <c r="T8" s="5">
        <v>0.11832342559095986</v>
      </c>
      <c r="U8" s="5">
        <v>2.0369920511255724</v>
      </c>
      <c r="V8" s="13">
        <v>4.342518454523122E-5</v>
      </c>
      <c r="W8" s="5">
        <f t="shared" si="0"/>
        <v>0.60660054461193746</v>
      </c>
      <c r="X8" s="5">
        <f t="shared" si="0"/>
        <v>-7.2211321685581142E-2</v>
      </c>
      <c r="Y8" s="5">
        <f t="shared" si="4"/>
        <v>0.16752437282801746</v>
      </c>
      <c r="Z8" s="5">
        <f t="shared" si="0"/>
        <v>-0.36918434305202363</v>
      </c>
      <c r="AA8" s="5">
        <f t="shared" si="0"/>
        <v>7.8323425590959866E-2</v>
      </c>
      <c r="AB8" s="5">
        <f t="shared" si="5"/>
        <v>1.2515920511255723</v>
      </c>
      <c r="AC8" s="8">
        <f t="shared" si="1"/>
        <v>0.48789244383198055</v>
      </c>
      <c r="AD8" s="8">
        <f t="shared" si="2"/>
        <v>7.5267373638270504E-2</v>
      </c>
      <c r="AE8" s="8">
        <f t="shared" si="3"/>
        <v>0.70955821197679492</v>
      </c>
    </row>
    <row r="9" spans="1:37" x14ac:dyDescent="0.25">
      <c r="A9" s="5">
        <f>'Proximal Validation'!A9</f>
        <v>1.2260241731999999</v>
      </c>
      <c r="B9" s="5">
        <f>'Proximal Validation'!B9</f>
        <v>0.2</v>
      </c>
      <c r="C9" s="5">
        <f>'Proximal Validation'!C9</f>
        <v>3.1415999999999999</v>
      </c>
      <c r="D9" s="5">
        <f>'Proximal Validation'!D9</f>
        <v>0.53124592000000004</v>
      </c>
      <c r="E9" s="5">
        <f>'Proximal Validation'!E9</f>
        <v>0.04</v>
      </c>
      <c r="F9" s="5">
        <f>'Proximal Validation'!F9</f>
        <v>1.5708</v>
      </c>
      <c r="G9" s="5">
        <f>'Proximal Validation'!G9</f>
        <v>2.1721905802000001</v>
      </c>
      <c r="H9" s="5">
        <f>'Proximal Validation'!H9</f>
        <v>4.8592739976999999</v>
      </c>
      <c r="I9" s="5">
        <f>'Proximal Validation'!I9</f>
        <v>4.1505258277000001</v>
      </c>
      <c r="J9" s="5">
        <f>'Proximal Validation'!J9</f>
        <v>-1.05884596705437E-2</v>
      </c>
      <c r="K9" s="5">
        <f>'Proximal Validation'!K9</f>
        <v>-2.5415880382061017E-2</v>
      </c>
      <c r="L9" s="5">
        <f>'Proximal Validation'!L9</f>
        <v>-0.22906562328338606</v>
      </c>
      <c r="M9" s="5">
        <f>'Proximal Validation'!M9</f>
        <v>-0.90436720848083496</v>
      </c>
      <c r="N9" s="5">
        <f>'Proximal Validation'!N9</f>
        <v>-0.59426629543304399</v>
      </c>
      <c r="O9" s="5">
        <f>'Proximal Validation'!O9</f>
        <v>0.66323274374008201</v>
      </c>
      <c r="P9" s="5">
        <v>1.3233793156103</v>
      </c>
      <c r="Q9" s="5">
        <v>0.19999999999997778</v>
      </c>
      <c r="R9" s="5">
        <v>3.0930173493548194</v>
      </c>
      <c r="S9" s="5">
        <v>0.60082802610680108</v>
      </c>
      <c r="T9" s="5">
        <v>2.0000000000045003E-2</v>
      </c>
      <c r="U9" s="5">
        <v>1.4952687640056124</v>
      </c>
      <c r="V9" s="13">
        <v>4.1555070010567938E-5</v>
      </c>
      <c r="W9" s="5">
        <f t="shared" si="0"/>
        <v>9.7355142410300077E-2</v>
      </c>
      <c r="X9" s="5">
        <f t="shared" si="0"/>
        <v>-2.223221606811876E-14</v>
      </c>
      <c r="Y9" s="5">
        <f t="shared" si="4"/>
        <v>4.8582650645180525E-2</v>
      </c>
      <c r="Z9" s="5">
        <f t="shared" si="0"/>
        <v>6.9582106106801045E-2</v>
      </c>
      <c r="AA9" s="5">
        <f t="shared" si="0"/>
        <v>-1.9999999999954998E-2</v>
      </c>
      <c r="AB9" s="5">
        <f t="shared" si="5"/>
        <v>7.5531235994387602E-2</v>
      </c>
      <c r="AC9" s="8">
        <f t="shared" si="1"/>
        <v>8.3468624258550561E-2</v>
      </c>
      <c r="AD9" s="8">
        <f t="shared" si="2"/>
        <v>9.9999999999886152E-3</v>
      </c>
      <c r="AE9" s="8">
        <f t="shared" si="3"/>
        <v>6.2056943319784064E-2</v>
      </c>
      <c r="AF9" s="12"/>
      <c r="AG9" s="12"/>
      <c r="AH9" s="12">
        <f>DEGREES(AH7)</f>
        <v>17.634707519343202</v>
      </c>
    </row>
    <row r="10" spans="1:37" x14ac:dyDescent="0.25">
      <c r="A10" s="5">
        <f>'Proximal Validation'!A10</f>
        <v>1.4922792275000001</v>
      </c>
      <c r="B10" s="5">
        <f>'Proximal Validation'!B10</f>
        <v>0.2</v>
      </c>
      <c r="C10" s="5">
        <f>'Proximal Validation'!C10</f>
        <v>2.3561999999999999</v>
      </c>
      <c r="D10" s="5">
        <f>'Proximal Validation'!D10</f>
        <v>1.2493008810999999</v>
      </c>
      <c r="E10" s="5">
        <f>'Proximal Validation'!E10</f>
        <v>0.04</v>
      </c>
      <c r="F10" s="5">
        <f>'Proximal Validation'!F10</f>
        <v>0.78539999999999999</v>
      </c>
      <c r="G10" s="5">
        <f>'Proximal Validation'!G10</f>
        <v>0.65138204079999995</v>
      </c>
      <c r="H10" s="5">
        <f>'Proximal Validation'!H10</f>
        <v>2.3960292019999998</v>
      </c>
      <c r="I10" s="5">
        <f>'Proximal Validation'!I10</f>
        <v>3.8310385232000002</v>
      </c>
      <c r="J10" s="5">
        <f>'Proximal Validation'!J10</f>
        <v>-3.3023439347744002E-2</v>
      </c>
      <c r="K10" s="5">
        <f>'Proximal Validation'!K10</f>
        <v>-0.23263156175613409</v>
      </c>
      <c r="L10" s="5">
        <f>'Proximal Validation'!L10</f>
        <v>-0.15568616658449203</v>
      </c>
      <c r="M10" s="5">
        <f>'Proximal Validation'!M10</f>
        <v>-1.0651987791061399</v>
      </c>
      <c r="N10" s="5">
        <f>'Proximal Validation'!N10</f>
        <v>0.49567955732345598</v>
      </c>
      <c r="O10" s="5">
        <f>'Proximal Validation'!O10</f>
        <v>1.5597436428070099</v>
      </c>
      <c r="P10" s="5">
        <v>1.4999999999999778</v>
      </c>
      <c r="Q10" s="5">
        <v>0.19999999999997767</v>
      </c>
      <c r="R10" s="5">
        <v>2.4907858385853663</v>
      </c>
      <c r="S10" s="5">
        <v>1.4893709377123054</v>
      </c>
      <c r="T10" s="5">
        <v>5.2973932930439463E-2</v>
      </c>
      <c r="U10" s="5">
        <v>0.91012463686244438</v>
      </c>
      <c r="V10" s="13">
        <v>1.8229407922523483E-4</v>
      </c>
      <c r="W10" s="5">
        <f t="shared" si="0"/>
        <v>7.7207724999777128E-3</v>
      </c>
      <c r="X10" s="5">
        <f t="shared" si="0"/>
        <v>-2.2343238370581275E-14</v>
      </c>
      <c r="Y10" s="5">
        <f t="shared" si="4"/>
        <v>0.13458583858536644</v>
      </c>
      <c r="Z10" s="5">
        <f t="shared" si="0"/>
        <v>0.24007005661230552</v>
      </c>
      <c r="AA10" s="5">
        <f t="shared" si="0"/>
        <v>1.2973932930439462E-2</v>
      </c>
      <c r="AB10" s="5">
        <f t="shared" si="5"/>
        <v>0.12472463686244439</v>
      </c>
      <c r="AC10" s="8">
        <f t="shared" si="1"/>
        <v>0.12389541455614161</v>
      </c>
      <c r="AD10" s="8">
        <f t="shared" si="2"/>
        <v>6.4869664652309027E-3</v>
      </c>
      <c r="AE10" s="8">
        <f t="shared" si="3"/>
        <v>0.12965523772390541</v>
      </c>
    </row>
    <row r="11" spans="1:37" x14ac:dyDescent="0.25">
      <c r="A11" s="5">
        <f>'Proximal Validation'!A11</f>
        <v>1.4258680059</v>
      </c>
      <c r="B11" s="5">
        <f>'Proximal Validation'!B11</f>
        <v>0.2</v>
      </c>
      <c r="C11" s="5">
        <f>'Proximal Validation'!C11</f>
        <v>4.7123999999999997</v>
      </c>
      <c r="D11" s="5">
        <f>'Proximal Validation'!D11</f>
        <v>0.35291314260000001</v>
      </c>
      <c r="E11" s="5">
        <f>'Proximal Validation'!E11</f>
        <v>0.04</v>
      </c>
      <c r="F11" s="5">
        <f>'Proximal Validation'!F11</f>
        <v>0</v>
      </c>
      <c r="G11" s="5">
        <f>'Proximal Validation'!G11</f>
        <v>3.4810259851000001</v>
      </c>
      <c r="H11" s="5">
        <f>'Proximal Validation'!H11</f>
        <v>1.1294030872</v>
      </c>
      <c r="I11" s="5">
        <f>'Proximal Validation'!I11</f>
        <v>4.9138255752999997</v>
      </c>
      <c r="J11" s="5">
        <f>'Proximal Validation'!J11</f>
        <v>-2.9087357223033902E-2</v>
      </c>
      <c r="K11" s="5">
        <f>'Proximal Validation'!K11</f>
        <v>0.27084197163581819</v>
      </c>
      <c r="L11" s="5">
        <f>'Proximal Validation'!L11</f>
        <v>9.3254102021455808E-3</v>
      </c>
      <c r="M11" s="5">
        <f>'Proximal Validation'!M11</f>
        <v>-1.3190960884094201</v>
      </c>
      <c r="N11" s="5">
        <f>'Proximal Validation'!N11</f>
        <v>0.140940636396408</v>
      </c>
      <c r="O11" s="5">
        <f>'Proximal Validation'!O11</f>
        <v>-0.61736321449279796</v>
      </c>
      <c r="P11" s="5">
        <v>1.4999999999999558</v>
      </c>
      <c r="Q11" s="5">
        <v>0.19999999991140333</v>
      </c>
      <c r="R11" s="5">
        <v>4.2015555539747842</v>
      </c>
      <c r="S11" s="5">
        <v>1.120341416290876</v>
      </c>
      <c r="T11" s="5">
        <v>0.15505929017032893</v>
      </c>
      <c r="U11" s="5">
        <v>5.9233170077886523</v>
      </c>
      <c r="V11" s="13">
        <v>1.2638046242077408E-4</v>
      </c>
      <c r="W11" s="5">
        <f t="shared" ref="W11:W12" si="6">P11-A11</f>
        <v>7.4131994099955856E-2</v>
      </c>
      <c r="X11" s="5">
        <f t="shared" ref="X11:X12" si="7">Q11-B11</f>
        <v>-8.8596685543507192E-11</v>
      </c>
      <c r="Y11" s="5">
        <f t="shared" si="4"/>
        <v>0.5108444460252155</v>
      </c>
      <c r="Z11" s="5">
        <f t="shared" ref="Z11:Z12" si="8">S11-D11</f>
        <v>0.76742827369087596</v>
      </c>
      <c r="AA11" s="5">
        <f t="shared" ref="AA11:AA12" si="9">T11-E11</f>
        <v>0.11505929017032893</v>
      </c>
      <c r="AB11" s="5">
        <f t="shared" si="5"/>
        <v>0.3598682993909339</v>
      </c>
      <c r="AC11" s="8">
        <f t="shared" ref="AC11:AC12" si="10">AVERAGE(ABS(W11),ABS(Z11))</f>
        <v>0.42078013389541591</v>
      </c>
      <c r="AD11" s="8">
        <f t="shared" ref="AD11:AD12" si="11">AVERAGE(ABS(X11),ABS(AA11))</f>
        <v>5.7529645129462806E-2</v>
      </c>
      <c r="AE11" s="8">
        <f t="shared" ref="AE11:AE12" si="12">AVERAGE(ABS(Y11),ABS(AB11))</f>
        <v>0.4353563727080747</v>
      </c>
    </row>
    <row r="12" spans="1:37" x14ac:dyDescent="0.25">
      <c r="A12" s="5">
        <f>'Proximal Validation'!A12</f>
        <v>1.2847663906</v>
      </c>
      <c r="B12" s="5">
        <f>'Proximal Validation'!B12</f>
        <v>0.18</v>
      </c>
      <c r="C12" s="5">
        <f>'Proximal Validation'!C12</f>
        <v>0.78539999999999999</v>
      </c>
      <c r="D12" s="5">
        <f>'Proximal Validation'!D12</f>
        <v>0.98965387010000005</v>
      </c>
      <c r="E12" s="5">
        <f>'Proximal Validation'!E12</f>
        <v>0.04</v>
      </c>
      <c r="F12" s="5">
        <f>'Proximal Validation'!F12</f>
        <v>3.927</v>
      </c>
      <c r="G12" s="5">
        <f>'Proximal Validation'!G12</f>
        <v>3.2068327339999998</v>
      </c>
      <c r="H12" s="5">
        <f>'Proximal Validation'!H12</f>
        <v>3.5469168124000001</v>
      </c>
      <c r="I12" s="5">
        <f>'Proximal Validation'!I12</f>
        <v>1.1514404992</v>
      </c>
      <c r="J12" s="5">
        <f>'Proximal Validation'!J12</f>
        <v>-1.0062171146273601E-2</v>
      </c>
      <c r="K12" s="5">
        <f>'Proximal Validation'!K12</f>
        <v>-0.11961497262120291</v>
      </c>
      <c r="L12" s="5">
        <f>'Proximal Validation'!L12</f>
        <v>0.13679772749543156</v>
      </c>
      <c r="M12" s="5">
        <f>'Proximal Validation'!M12</f>
        <v>-0.57413351535797097</v>
      </c>
      <c r="N12" s="5">
        <f>'Proximal Validation'!N12</f>
        <v>-0.16432480514049499</v>
      </c>
      <c r="O12" s="5">
        <f>'Proximal Validation'!O12</f>
        <v>-0.195539399981499</v>
      </c>
      <c r="P12" s="5">
        <v>1.2870987226850488</v>
      </c>
      <c r="Q12" s="5">
        <v>0.16977420751913438</v>
      </c>
      <c r="R12" s="5">
        <v>0.73658814170634646</v>
      </c>
      <c r="S12" s="5">
        <v>1.215369503687648</v>
      </c>
      <c r="T12" s="5">
        <v>2.0017343032287069E-2</v>
      </c>
      <c r="U12" s="5">
        <v>3.8662078140676672</v>
      </c>
      <c r="V12" s="13">
        <v>3.8927899109102651E-6</v>
      </c>
      <c r="W12" s="5">
        <f t="shared" si="6"/>
        <v>2.3323320850487939E-3</v>
      </c>
      <c r="X12" s="5">
        <f t="shared" si="7"/>
        <v>-1.0225792480865609E-2</v>
      </c>
      <c r="Y12" s="5">
        <f t="shared" si="4"/>
        <v>4.8811858293653532E-2</v>
      </c>
      <c r="Z12" s="5">
        <f t="shared" si="8"/>
        <v>0.2257156335876479</v>
      </c>
      <c r="AA12" s="5">
        <f t="shared" si="9"/>
        <v>-1.9982656967712932E-2</v>
      </c>
      <c r="AB12" s="5">
        <f t="shared" si="5"/>
        <v>6.0792185932332821E-2</v>
      </c>
      <c r="AC12" s="8">
        <f t="shared" si="10"/>
        <v>0.11402398283634835</v>
      </c>
      <c r="AD12" s="8">
        <f t="shared" si="11"/>
        <v>1.510422472428927E-2</v>
      </c>
      <c r="AE12" s="8">
        <f t="shared" si="12"/>
        <v>5.4802022112993176E-2</v>
      </c>
      <c r="AF12" s="12"/>
      <c r="AG12" s="12"/>
      <c r="AH12" s="12"/>
    </row>
  </sheetData>
  <mergeCells count="6">
    <mergeCell ref="AF5:AK5"/>
    <mergeCell ref="A1:I1"/>
    <mergeCell ref="J1:O1"/>
    <mergeCell ref="AF2:AK2"/>
    <mergeCell ref="P1:V1"/>
    <mergeCell ref="W1:A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V18"/>
  <sheetViews>
    <sheetView workbookViewId="0">
      <selection activeCell="W18" sqref="W18"/>
    </sheetView>
  </sheetViews>
  <sheetFormatPr defaultRowHeight="15" x14ac:dyDescent="0.25"/>
  <cols>
    <col min="22" max="22" width="17.7109375" bestFit="1" customWidth="1"/>
  </cols>
  <sheetData>
    <row r="1" spans="1:22" ht="15.75" x14ac:dyDescent="0.25">
      <c r="A1" s="36" t="s">
        <v>21</v>
      </c>
      <c r="B1" s="37"/>
      <c r="C1" s="37"/>
      <c r="D1" s="37"/>
      <c r="E1" s="37"/>
      <c r="F1" s="38"/>
      <c r="H1" s="36" t="s">
        <v>36</v>
      </c>
      <c r="I1" s="37"/>
      <c r="J1" s="37"/>
      <c r="K1" s="37"/>
      <c r="L1" s="37"/>
      <c r="M1" s="38"/>
      <c r="O1" s="36" t="s">
        <v>37</v>
      </c>
      <c r="P1" s="37"/>
      <c r="Q1" s="37"/>
      <c r="R1" s="37"/>
      <c r="S1" s="37"/>
      <c r="T1" s="38"/>
    </row>
    <row r="2" spans="1:22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  <c r="O2" s="3" t="s">
        <v>18</v>
      </c>
      <c r="P2" s="3" t="s">
        <v>19</v>
      </c>
      <c r="Q2" s="3" t="s">
        <v>20</v>
      </c>
      <c r="R2" s="3" t="s">
        <v>15</v>
      </c>
      <c r="S2" s="3" t="s">
        <v>16</v>
      </c>
      <c r="T2" s="3" t="s">
        <v>17</v>
      </c>
      <c r="V2" s="14" t="s">
        <v>38</v>
      </c>
    </row>
    <row r="3" spans="1:22" x14ac:dyDescent="0.25">
      <c r="A3">
        <v>7.4373602867126506E-2</v>
      </c>
      <c r="B3">
        <v>-2.0565929412841801</v>
      </c>
      <c r="C3">
        <v>-0.55730897188186601</v>
      </c>
      <c r="D3">
        <v>0.39124384522437999</v>
      </c>
      <c r="E3">
        <v>2.1400155499577501E-2</v>
      </c>
      <c r="F3" s="4">
        <v>1.4371985569596299E-2</v>
      </c>
      <c r="H3">
        <f>$F3</f>
        <v>1.4371985569596299E-2</v>
      </c>
      <c r="I3">
        <f>-1*$E3</f>
        <v>-2.1400155499577501E-2</v>
      </c>
      <c r="J3">
        <f>$D3</f>
        <v>0.39124384522437999</v>
      </c>
      <c r="K3">
        <f>$C3</f>
        <v>-0.55730897188186601</v>
      </c>
      <c r="L3">
        <f>-1*$B3</f>
        <v>2.0565929412841801</v>
      </c>
      <c r="M3">
        <f>$A3</f>
        <v>7.4373602867126506E-2</v>
      </c>
      <c r="O3">
        <f>H3</f>
        <v>1.4371985569596299E-2</v>
      </c>
      <c r="P3">
        <f>I3+$V$3*M3</f>
        <v>-1.4706531241536116E-2</v>
      </c>
      <c r="Q3">
        <f>J3-$V$3*L3</f>
        <v>0.2061504805088038</v>
      </c>
      <c r="R3">
        <f>K3</f>
        <v>-0.55730897188186601</v>
      </c>
      <c r="S3">
        <f>L3</f>
        <v>2.0565929412841801</v>
      </c>
      <c r="T3">
        <f>M3</f>
        <v>7.4373602867126506E-2</v>
      </c>
      <c r="V3">
        <f>0.09</f>
        <v>0.09</v>
      </c>
    </row>
    <row r="4" spans="1:22" x14ac:dyDescent="0.25">
      <c r="A4">
        <v>0.26539456844329801</v>
      </c>
      <c r="B4">
        <v>-0.80465632677078203</v>
      </c>
      <c r="C4">
        <v>-6.8245917558670002E-2</v>
      </c>
      <c r="D4">
        <v>7.3164612054824801E-2</v>
      </c>
      <c r="E4">
        <v>9.0566694736480699E-2</v>
      </c>
      <c r="F4">
        <v>1.1325632221996799E-3</v>
      </c>
      <c r="H4">
        <f t="shared" ref="H4:H18" si="0">$F4</f>
        <v>1.1325632221996799E-3</v>
      </c>
      <c r="I4">
        <f t="shared" ref="I4:I18" si="1">-1*$E4</f>
        <v>-9.0566694736480699E-2</v>
      </c>
      <c r="J4">
        <f t="shared" ref="J4:J18" si="2">$D4</f>
        <v>7.3164612054824801E-2</v>
      </c>
      <c r="K4">
        <f t="shared" ref="K4:K18" si="3">$C4</f>
        <v>-6.8245917558670002E-2</v>
      </c>
      <c r="L4">
        <f t="shared" ref="L4:L18" si="4">-1*$B4</f>
        <v>0.80465632677078203</v>
      </c>
      <c r="M4">
        <f t="shared" ref="M4:M18" si="5">$A4</f>
        <v>0.26539456844329801</v>
      </c>
      <c r="O4">
        <f t="shared" ref="O4:O18" si="6">H4</f>
        <v>1.1325632221996799E-3</v>
      </c>
      <c r="P4">
        <f t="shared" ref="P4:P18" si="7">I4+$V$3*M4</f>
        <v>-6.6681183576583883E-2</v>
      </c>
      <c r="Q4">
        <f t="shared" ref="Q4:Q18" si="8">J4-$V$3*L4</f>
        <v>7.4554264545442783E-4</v>
      </c>
      <c r="R4">
        <f t="shared" ref="R4:R18" si="9">K4</f>
        <v>-6.8245917558670002E-2</v>
      </c>
      <c r="S4">
        <f t="shared" ref="S4:S18" si="10">L4</f>
        <v>0.80465632677078203</v>
      </c>
      <c r="T4">
        <f t="shared" ref="T4:T18" si="11">M4</f>
        <v>0.26539456844329801</v>
      </c>
    </row>
    <row r="5" spans="1:22" x14ac:dyDescent="0.25">
      <c r="A5">
        <v>0.79075133800506603</v>
      </c>
      <c r="B5">
        <v>0.756436347961426</v>
      </c>
      <c r="C5">
        <v>1.8331240862607999E-3</v>
      </c>
      <c r="D5">
        <v>-7.1408353745937306E-2</v>
      </c>
      <c r="E5">
        <v>6.9262169301509899E-2</v>
      </c>
      <c r="F5">
        <v>-5.0011062994599299E-3</v>
      </c>
      <c r="H5">
        <f t="shared" si="0"/>
        <v>-5.0011062994599299E-3</v>
      </c>
      <c r="I5">
        <f t="shared" si="1"/>
        <v>-6.9262169301509899E-2</v>
      </c>
      <c r="J5">
        <f t="shared" si="2"/>
        <v>-7.1408353745937306E-2</v>
      </c>
      <c r="K5">
        <f t="shared" si="3"/>
        <v>1.8331240862607999E-3</v>
      </c>
      <c r="L5">
        <f t="shared" si="4"/>
        <v>-0.756436347961426</v>
      </c>
      <c r="M5">
        <f t="shared" si="5"/>
        <v>0.79075133800506603</v>
      </c>
      <c r="O5">
        <f t="shared" si="6"/>
        <v>-5.0011062994599299E-3</v>
      </c>
      <c r="P5">
        <f t="shared" si="7"/>
        <v>1.905451118946036E-3</v>
      </c>
      <c r="Q5">
        <f t="shared" si="8"/>
        <v>-3.3290824294089638E-3</v>
      </c>
      <c r="R5">
        <f t="shared" si="9"/>
        <v>1.8331240862607999E-3</v>
      </c>
      <c r="S5">
        <f t="shared" si="10"/>
        <v>-0.756436347961426</v>
      </c>
      <c r="T5">
        <f t="shared" si="11"/>
        <v>0.79075133800506603</v>
      </c>
    </row>
    <row r="6" spans="1:22" x14ac:dyDescent="0.25">
      <c r="A6">
        <v>-1.6963471174240099</v>
      </c>
      <c r="B6">
        <v>0.48554921150207497</v>
      </c>
      <c r="C6">
        <v>-0.48139920830726601</v>
      </c>
      <c r="D6">
        <v>4.5741047710180303E-2</v>
      </c>
      <c r="E6">
        <v>-0.32543420791625999</v>
      </c>
      <c r="F6">
        <v>5.6576435454189803E-3</v>
      </c>
      <c r="H6">
        <f t="shared" si="0"/>
        <v>5.6576435454189803E-3</v>
      </c>
      <c r="I6">
        <f t="shared" si="1"/>
        <v>0.32543420791625999</v>
      </c>
      <c r="J6">
        <f t="shared" si="2"/>
        <v>4.5741047710180303E-2</v>
      </c>
      <c r="K6">
        <f t="shared" si="3"/>
        <v>-0.48139920830726601</v>
      </c>
      <c r="L6">
        <f t="shared" si="4"/>
        <v>-0.48554921150207497</v>
      </c>
      <c r="M6">
        <f t="shared" si="5"/>
        <v>-1.6963471174240099</v>
      </c>
      <c r="O6">
        <f t="shared" si="6"/>
        <v>5.6576435454189803E-3</v>
      </c>
      <c r="P6">
        <f t="shared" si="7"/>
        <v>0.17276296734809909</v>
      </c>
      <c r="Q6">
        <f t="shared" si="8"/>
        <v>8.9440476745367051E-2</v>
      </c>
      <c r="R6">
        <f t="shared" si="9"/>
        <v>-0.48139920830726601</v>
      </c>
      <c r="S6">
        <f t="shared" si="10"/>
        <v>-0.48554921150207497</v>
      </c>
      <c r="T6">
        <f t="shared" si="11"/>
        <v>-1.6963471174240099</v>
      </c>
    </row>
    <row r="7" spans="1:22" x14ac:dyDescent="0.25">
      <c r="A7">
        <v>-0.96090674400329601</v>
      </c>
      <c r="B7">
        <v>-0.49668353796005199</v>
      </c>
      <c r="C7">
        <v>-0.110345743596554</v>
      </c>
      <c r="D7">
        <v>0.13408888876438099</v>
      </c>
      <c r="E7">
        <v>-0.10252957046032</v>
      </c>
      <c r="F7">
        <v>1.9597527571022502E-3</v>
      </c>
      <c r="H7">
        <f t="shared" si="0"/>
        <v>1.9597527571022502E-3</v>
      </c>
      <c r="I7">
        <f t="shared" si="1"/>
        <v>0.10252957046032</v>
      </c>
      <c r="J7">
        <f t="shared" si="2"/>
        <v>0.13408888876438099</v>
      </c>
      <c r="K7">
        <f t="shared" si="3"/>
        <v>-0.110345743596554</v>
      </c>
      <c r="L7">
        <f t="shared" si="4"/>
        <v>0.49668353796005199</v>
      </c>
      <c r="M7">
        <f t="shared" si="5"/>
        <v>-0.96090674400329601</v>
      </c>
      <c r="O7">
        <f t="shared" si="6"/>
        <v>1.9597527571022502E-3</v>
      </c>
      <c r="P7">
        <f t="shared" si="7"/>
        <v>1.6047963500023368E-2</v>
      </c>
      <c r="Q7">
        <f t="shared" si="8"/>
        <v>8.9387370347976308E-2</v>
      </c>
      <c r="R7">
        <f t="shared" si="9"/>
        <v>-0.110345743596554</v>
      </c>
      <c r="S7">
        <f t="shared" si="10"/>
        <v>0.49668353796005199</v>
      </c>
      <c r="T7">
        <f t="shared" si="11"/>
        <v>-0.96090674400329601</v>
      </c>
    </row>
    <row r="8" spans="1:22" x14ac:dyDescent="0.25">
      <c r="A8">
        <v>-0.76391577720642101</v>
      </c>
      <c r="B8">
        <v>-1.32389569282532</v>
      </c>
      <c r="C8">
        <v>-0.55695748329162598</v>
      </c>
      <c r="D8">
        <v>0.17370416224002799</v>
      </c>
      <c r="E8">
        <v>-0.23836006224155401</v>
      </c>
      <c r="F8">
        <v>1.67317176237702E-3</v>
      </c>
      <c r="H8">
        <f t="shared" si="0"/>
        <v>1.67317176237702E-3</v>
      </c>
      <c r="I8">
        <f t="shared" si="1"/>
        <v>0.23836006224155401</v>
      </c>
      <c r="J8">
        <f t="shared" si="2"/>
        <v>0.17370416224002799</v>
      </c>
      <c r="K8">
        <f t="shared" si="3"/>
        <v>-0.55695748329162598</v>
      </c>
      <c r="L8">
        <f t="shared" si="4"/>
        <v>1.32389569282532</v>
      </c>
      <c r="M8">
        <f t="shared" si="5"/>
        <v>-0.76391577720642101</v>
      </c>
      <c r="O8">
        <f t="shared" si="6"/>
        <v>1.67317176237702E-3</v>
      </c>
      <c r="P8">
        <f t="shared" si="7"/>
        <v>0.16960764229297612</v>
      </c>
      <c r="Q8">
        <f t="shared" si="8"/>
        <v>5.4553549885749189E-2</v>
      </c>
      <c r="R8">
        <f t="shared" si="9"/>
        <v>-0.55695748329162598</v>
      </c>
      <c r="S8">
        <f t="shared" si="10"/>
        <v>1.32389569282532</v>
      </c>
      <c r="T8">
        <f t="shared" si="11"/>
        <v>-0.76391577720642101</v>
      </c>
    </row>
    <row r="9" spans="1:22" x14ac:dyDescent="0.25">
      <c r="A9">
        <v>0.30409139394760099</v>
      </c>
      <c r="B9">
        <v>0.86065161228179898</v>
      </c>
      <c r="C9">
        <v>-4.1746888309717199E-2</v>
      </c>
      <c r="D9">
        <v>-5.4322205483913401E-2</v>
      </c>
      <c r="E9">
        <v>7.6400347054004697E-2</v>
      </c>
      <c r="F9">
        <v>2.5936241727322301E-3</v>
      </c>
      <c r="H9">
        <f t="shared" si="0"/>
        <v>2.5936241727322301E-3</v>
      </c>
      <c r="I9">
        <f t="shared" si="1"/>
        <v>-7.6400347054004697E-2</v>
      </c>
      <c r="J9">
        <f t="shared" si="2"/>
        <v>-5.4322205483913401E-2</v>
      </c>
      <c r="K9">
        <f t="shared" si="3"/>
        <v>-4.1746888309717199E-2</v>
      </c>
      <c r="L9">
        <f t="shared" si="4"/>
        <v>-0.86065161228179898</v>
      </c>
      <c r="M9">
        <f t="shared" si="5"/>
        <v>0.30409139394760099</v>
      </c>
      <c r="O9">
        <f t="shared" si="6"/>
        <v>2.5936241727322301E-3</v>
      </c>
      <c r="P9">
        <f t="shared" si="7"/>
        <v>-4.9032121598720613E-2</v>
      </c>
      <c r="Q9">
        <f t="shared" si="8"/>
        <v>2.3136439621448505E-2</v>
      </c>
      <c r="R9">
        <f t="shared" si="9"/>
        <v>-4.1746888309717199E-2</v>
      </c>
      <c r="S9">
        <f t="shared" si="10"/>
        <v>-0.86065161228179898</v>
      </c>
      <c r="T9">
        <f t="shared" si="11"/>
        <v>0.30409139394760099</v>
      </c>
    </row>
    <row r="10" spans="1:22" x14ac:dyDescent="0.25">
      <c r="A10">
        <v>1.66381180286407</v>
      </c>
      <c r="B10">
        <v>0.16298925876617401</v>
      </c>
      <c r="C10">
        <v>-0.77978467941284202</v>
      </c>
      <c r="D10">
        <v>0.114602513611317</v>
      </c>
      <c r="E10">
        <v>0.34577828645706199</v>
      </c>
      <c r="F10">
        <v>3.0066542327404001E-2</v>
      </c>
      <c r="H10">
        <f t="shared" si="0"/>
        <v>3.0066542327404001E-2</v>
      </c>
      <c r="I10">
        <f t="shared" si="1"/>
        <v>-0.34577828645706199</v>
      </c>
      <c r="J10">
        <f t="shared" si="2"/>
        <v>0.114602513611317</v>
      </c>
      <c r="K10">
        <f t="shared" si="3"/>
        <v>-0.77978467941284202</v>
      </c>
      <c r="L10">
        <f t="shared" si="4"/>
        <v>-0.16298925876617401</v>
      </c>
      <c r="M10">
        <f t="shared" si="5"/>
        <v>1.66381180286407</v>
      </c>
      <c r="O10">
        <f t="shared" si="6"/>
        <v>3.0066542327404001E-2</v>
      </c>
      <c r="P10">
        <f t="shared" si="7"/>
        <v>-0.1960352241992957</v>
      </c>
      <c r="Q10">
        <f t="shared" si="8"/>
        <v>0.12927154690027265</v>
      </c>
      <c r="R10">
        <f t="shared" si="9"/>
        <v>-0.77978467941284202</v>
      </c>
      <c r="S10">
        <f t="shared" si="10"/>
        <v>-0.16298925876617401</v>
      </c>
      <c r="T10">
        <f t="shared" si="11"/>
        <v>1.66381180286407</v>
      </c>
    </row>
    <row r="11" spans="1:22" x14ac:dyDescent="0.25">
      <c r="A11">
        <v>-0.92264562845230103</v>
      </c>
      <c r="B11">
        <v>-0.80540740489959695</v>
      </c>
      <c r="C11">
        <v>-0.279466062784195</v>
      </c>
      <c r="D11">
        <v>-3.6656884476542499E-3</v>
      </c>
      <c r="E11">
        <v>-0.232642516493797</v>
      </c>
      <c r="F11">
        <v>1.3228893512859899E-3</v>
      </c>
      <c r="H11">
        <f t="shared" si="0"/>
        <v>1.3228893512859899E-3</v>
      </c>
      <c r="I11">
        <f t="shared" si="1"/>
        <v>0.232642516493797</v>
      </c>
      <c r="J11">
        <f t="shared" si="2"/>
        <v>-3.6656884476542499E-3</v>
      </c>
      <c r="K11">
        <f t="shared" si="3"/>
        <v>-0.279466062784195</v>
      </c>
      <c r="L11">
        <f t="shared" si="4"/>
        <v>0.80540740489959695</v>
      </c>
      <c r="M11">
        <f t="shared" si="5"/>
        <v>-0.92264562845230103</v>
      </c>
      <c r="O11">
        <f t="shared" si="6"/>
        <v>1.3228893512859899E-3</v>
      </c>
      <c r="P11">
        <f t="shared" si="7"/>
        <v>0.1496044099330899</v>
      </c>
      <c r="Q11">
        <f t="shared" si="8"/>
        <v>-7.6152354888617976E-2</v>
      </c>
      <c r="R11">
        <f t="shared" si="9"/>
        <v>-0.279466062784195</v>
      </c>
      <c r="S11">
        <f t="shared" si="10"/>
        <v>0.80540740489959695</v>
      </c>
      <c r="T11">
        <f t="shared" si="11"/>
        <v>-0.92264562845230103</v>
      </c>
    </row>
    <row r="12" spans="1:22" x14ac:dyDescent="0.25">
      <c r="A12">
        <v>0.295467138290405</v>
      </c>
      <c r="B12">
        <v>-0.55491173267364502</v>
      </c>
      <c r="C12">
        <v>-0.36319693922996499</v>
      </c>
      <c r="D12">
        <v>0.187246188521385</v>
      </c>
      <c r="E12">
        <v>3.8444403558969498E-2</v>
      </c>
      <c r="F12">
        <v>-8.7352143600583098E-4</v>
      </c>
      <c r="H12">
        <f t="shared" si="0"/>
        <v>-8.7352143600583098E-4</v>
      </c>
      <c r="I12">
        <f t="shared" si="1"/>
        <v>-3.8444403558969498E-2</v>
      </c>
      <c r="J12">
        <f t="shared" si="2"/>
        <v>0.187246188521385</v>
      </c>
      <c r="K12">
        <f t="shared" si="3"/>
        <v>-0.36319693922996499</v>
      </c>
      <c r="L12">
        <f t="shared" si="4"/>
        <v>0.55491173267364502</v>
      </c>
      <c r="M12">
        <f t="shared" si="5"/>
        <v>0.295467138290405</v>
      </c>
      <c r="O12">
        <f t="shared" si="6"/>
        <v>-8.7352143600583098E-4</v>
      </c>
      <c r="P12">
        <f t="shared" si="7"/>
        <v>-1.1852361112833051E-2</v>
      </c>
      <c r="Q12">
        <f t="shared" si="8"/>
        <v>0.13730413258075697</v>
      </c>
      <c r="R12">
        <f t="shared" si="9"/>
        <v>-0.36319693922996499</v>
      </c>
      <c r="S12">
        <f t="shared" si="10"/>
        <v>0.55491173267364502</v>
      </c>
      <c r="T12">
        <f t="shared" si="11"/>
        <v>0.295467138290405</v>
      </c>
    </row>
    <row r="13" spans="1:22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f t="shared" si="10"/>
        <v>0</v>
      </c>
      <c r="T13">
        <f t="shared" si="11"/>
        <v>0</v>
      </c>
    </row>
    <row r="14" spans="1:22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  <c r="S14">
        <f t="shared" si="10"/>
        <v>0</v>
      </c>
      <c r="T14">
        <f t="shared" si="11"/>
        <v>0</v>
      </c>
    </row>
    <row r="15" spans="1:22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  <c r="S15">
        <f t="shared" si="10"/>
        <v>0</v>
      </c>
      <c r="T15">
        <f t="shared" si="11"/>
        <v>0</v>
      </c>
    </row>
    <row r="16" spans="1:22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  <c r="S16">
        <f t="shared" si="10"/>
        <v>0</v>
      </c>
      <c r="T16">
        <f t="shared" si="11"/>
        <v>0</v>
      </c>
    </row>
    <row r="17" spans="8:20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  <c r="S17">
        <f t="shared" si="10"/>
        <v>0</v>
      </c>
      <c r="T17">
        <f t="shared" si="11"/>
        <v>0</v>
      </c>
    </row>
    <row r="18" spans="8:20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  <c r="S18">
        <f t="shared" si="10"/>
        <v>0</v>
      </c>
      <c r="T18">
        <f t="shared" si="11"/>
        <v>0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7133-1F40-42FE-857E-F1C32F431B6A}">
  <dimension ref="P20:X79"/>
  <sheetViews>
    <sheetView topLeftCell="C1" workbookViewId="0">
      <selection activeCell="M89" sqref="M89"/>
    </sheetView>
  </sheetViews>
  <sheetFormatPr defaultRowHeight="15" x14ac:dyDescent="0.25"/>
  <sheetData>
    <row r="20" spans="16:24" x14ac:dyDescent="0.25">
      <c r="P20" s="5"/>
      <c r="Q20" s="5"/>
      <c r="R20" s="5"/>
      <c r="S20" s="5"/>
      <c r="T20" s="5"/>
      <c r="U20" s="5"/>
      <c r="V20" s="5"/>
      <c r="W20" s="5"/>
      <c r="X20" s="5"/>
    </row>
    <row r="21" spans="16:24" x14ac:dyDescent="0.25">
      <c r="P21" s="5"/>
      <c r="Q21" s="5"/>
      <c r="R21" s="5"/>
      <c r="S21" s="5"/>
      <c r="T21" s="5"/>
      <c r="U21" s="5"/>
      <c r="V21" s="5"/>
      <c r="W21" s="5"/>
      <c r="X21" s="5"/>
    </row>
    <row r="22" spans="16:24" x14ac:dyDescent="0.25">
      <c r="P22" s="5"/>
      <c r="Q22" s="5"/>
      <c r="R22" s="5"/>
      <c r="S22" s="5"/>
      <c r="T22" s="5"/>
      <c r="U22" s="5"/>
      <c r="V22" s="5"/>
      <c r="W22" s="5"/>
      <c r="X22" s="5"/>
    </row>
    <row r="23" spans="16:24" x14ac:dyDescent="0.25">
      <c r="P23" s="5"/>
      <c r="Q23" s="5"/>
      <c r="R23" s="5"/>
      <c r="S23" s="5"/>
      <c r="T23" s="5"/>
      <c r="U23" s="5"/>
      <c r="V23" s="5"/>
      <c r="W23" s="5"/>
      <c r="X23" s="5"/>
    </row>
    <row r="24" spans="16:24" x14ac:dyDescent="0.25">
      <c r="P24" s="5"/>
      <c r="Q24" s="5"/>
      <c r="R24" s="5"/>
      <c r="S24" s="5"/>
      <c r="T24" s="5"/>
      <c r="U24" s="5"/>
      <c r="V24" s="5"/>
      <c r="W24" s="5"/>
      <c r="X24" s="5"/>
    </row>
    <row r="25" spans="16:24" x14ac:dyDescent="0.25">
      <c r="P25" s="5"/>
      <c r="Q25" s="5"/>
      <c r="R25" s="5"/>
      <c r="S25" s="5"/>
      <c r="T25" s="5"/>
      <c r="U25" s="5"/>
      <c r="V25" s="5"/>
      <c r="W25" s="5"/>
      <c r="X25" s="5"/>
    </row>
    <row r="26" spans="16:24" x14ac:dyDescent="0.25">
      <c r="P26" s="5"/>
      <c r="Q26" s="5"/>
      <c r="R26" s="5"/>
      <c r="S26" s="5"/>
      <c r="T26" s="5"/>
      <c r="U26" s="5"/>
      <c r="V26" s="5"/>
      <c r="W26" s="5"/>
      <c r="X26" s="5"/>
    </row>
    <row r="27" spans="16:24" x14ac:dyDescent="0.25">
      <c r="P27" s="5"/>
      <c r="Q27" s="5"/>
      <c r="R27" s="5"/>
      <c r="S27" s="5"/>
      <c r="T27" s="5"/>
      <c r="U27" s="5"/>
      <c r="V27" s="5"/>
      <c r="W27" s="5"/>
      <c r="X27" s="5"/>
    </row>
    <row r="28" spans="16:24" x14ac:dyDescent="0.25">
      <c r="P28" s="5"/>
      <c r="Q28" s="5"/>
      <c r="R28" s="5"/>
      <c r="S28" s="5"/>
      <c r="T28" s="5"/>
      <c r="U28" s="5"/>
      <c r="V28" s="5"/>
      <c r="W28" s="5"/>
      <c r="X28" s="5"/>
    </row>
    <row r="29" spans="16:24" x14ac:dyDescent="0.25">
      <c r="P29" s="5"/>
      <c r="Q29" s="5"/>
      <c r="R29" s="5"/>
      <c r="S29" s="5"/>
      <c r="T29" s="5"/>
      <c r="U29" s="5"/>
      <c r="V29" s="5"/>
      <c r="W29" s="5"/>
      <c r="X29" s="5"/>
    </row>
    <row r="30" spans="16:24" x14ac:dyDescent="0.25">
      <c r="P30" s="5"/>
      <c r="Q30" s="5"/>
      <c r="R30" s="5"/>
      <c r="S30" s="5"/>
      <c r="T30" s="5"/>
      <c r="U30" s="5"/>
      <c r="V30" s="5"/>
      <c r="W30" s="5"/>
      <c r="X30" s="5"/>
    </row>
    <row r="31" spans="16:24" x14ac:dyDescent="0.25">
      <c r="P31" s="5"/>
      <c r="Q31" s="5"/>
      <c r="R31" s="5"/>
      <c r="S31" s="5"/>
      <c r="T31" s="5"/>
      <c r="U31" s="5"/>
      <c r="V31" s="5"/>
      <c r="W31" s="5"/>
      <c r="X31" s="5"/>
    </row>
    <row r="32" spans="16:24" x14ac:dyDescent="0.25">
      <c r="P32" s="5"/>
      <c r="Q32" s="5"/>
      <c r="R32" s="5"/>
      <c r="S32" s="5"/>
      <c r="T32" s="5"/>
      <c r="U32" s="5"/>
      <c r="V32" s="5"/>
      <c r="W32" s="5"/>
      <c r="X32" s="5"/>
    </row>
    <row r="33" spans="16:24" x14ac:dyDescent="0.25">
      <c r="P33" s="5"/>
      <c r="Q33" s="5"/>
      <c r="R33" s="5"/>
      <c r="S33" s="5"/>
      <c r="T33" s="5"/>
      <c r="U33" s="5"/>
      <c r="V33" s="5"/>
      <c r="W33" s="5"/>
      <c r="X33" s="5"/>
    </row>
    <row r="34" spans="16:24" x14ac:dyDescent="0.25">
      <c r="P34" s="5"/>
      <c r="Q34" s="5"/>
      <c r="R34" s="5"/>
      <c r="S34" s="5"/>
      <c r="T34" s="5"/>
      <c r="U34" s="5"/>
      <c r="V34" s="5"/>
      <c r="W34" s="5"/>
      <c r="X34" s="5"/>
    </row>
    <row r="35" spans="16:24" x14ac:dyDescent="0.25">
      <c r="P35" s="5"/>
      <c r="Q35" s="5"/>
      <c r="R35" s="5"/>
      <c r="S35" s="5"/>
      <c r="T35" s="5"/>
      <c r="U35" s="5"/>
      <c r="V35" s="5"/>
      <c r="W35" s="5"/>
      <c r="X35" s="5"/>
    </row>
    <row r="36" spans="16:24" x14ac:dyDescent="0.25">
      <c r="P36" s="5"/>
      <c r="Q36" s="5"/>
      <c r="R36" s="5"/>
      <c r="S36" s="5"/>
      <c r="T36" s="5"/>
      <c r="U36" s="5"/>
      <c r="V36" s="5"/>
      <c r="W36" s="5"/>
      <c r="X36" s="5"/>
    </row>
    <row r="37" spans="16:24" x14ac:dyDescent="0.25">
      <c r="P37" s="5"/>
      <c r="Q37" s="5"/>
      <c r="R37" s="5"/>
      <c r="S37" s="5"/>
      <c r="T37" s="5"/>
      <c r="U37" s="5"/>
      <c r="V37" s="5"/>
      <c r="W37" s="5"/>
      <c r="X37" s="5"/>
    </row>
    <row r="38" spans="16:24" x14ac:dyDescent="0.25">
      <c r="P38" s="5"/>
      <c r="Q38" s="5"/>
      <c r="R38" s="5"/>
      <c r="S38" s="5"/>
      <c r="T38" s="5"/>
      <c r="U38" s="5"/>
      <c r="V38" s="5"/>
      <c r="W38" s="5"/>
      <c r="X38" s="5"/>
    </row>
    <row r="39" spans="16:24" x14ac:dyDescent="0.25">
      <c r="P39" s="5"/>
      <c r="Q39" s="5"/>
      <c r="R39" s="5"/>
      <c r="S39" s="5"/>
      <c r="T39" s="5"/>
      <c r="U39" s="5"/>
      <c r="V39" s="5"/>
      <c r="W39" s="5"/>
      <c r="X39" s="5"/>
    </row>
    <row r="40" spans="16:24" x14ac:dyDescent="0.25">
      <c r="P40" s="5"/>
      <c r="Q40" s="5"/>
      <c r="R40" s="5"/>
      <c r="S40" s="5"/>
      <c r="T40" s="5"/>
      <c r="U40" s="5"/>
      <c r="V40" s="5"/>
      <c r="W40" s="5"/>
      <c r="X40" s="5"/>
    </row>
    <row r="41" spans="16:24" x14ac:dyDescent="0.25">
      <c r="P41" s="5"/>
      <c r="Q41" s="5"/>
      <c r="R41" s="5"/>
      <c r="S41" s="5"/>
      <c r="T41" s="5"/>
      <c r="U41" s="5"/>
      <c r="V41" s="5"/>
      <c r="W41" s="5"/>
      <c r="X41" s="5"/>
    </row>
    <row r="42" spans="16:24" x14ac:dyDescent="0.25">
      <c r="P42" s="5"/>
      <c r="Q42" s="5"/>
      <c r="R42" s="5"/>
      <c r="S42" s="5"/>
      <c r="T42" s="5"/>
      <c r="U42" s="5"/>
      <c r="V42" s="5"/>
      <c r="W42" s="5"/>
      <c r="X42" s="5"/>
    </row>
    <row r="43" spans="16:24" x14ac:dyDescent="0.25">
      <c r="P43" s="5"/>
      <c r="Q43" s="5"/>
      <c r="R43" s="5"/>
      <c r="S43" s="5"/>
      <c r="T43" s="5"/>
      <c r="U43" s="5"/>
      <c r="V43" s="5"/>
      <c r="W43" s="5"/>
      <c r="X43" s="5"/>
    </row>
    <row r="44" spans="16:24" x14ac:dyDescent="0.25">
      <c r="P44" s="5"/>
      <c r="Q44" s="5"/>
      <c r="R44" s="5"/>
      <c r="S44" s="5"/>
      <c r="T44" s="5"/>
      <c r="U44" s="5"/>
      <c r="V44" s="5"/>
      <c r="W44" s="5"/>
      <c r="X44" s="5"/>
    </row>
    <row r="45" spans="16:24" x14ac:dyDescent="0.25">
      <c r="P45" s="5"/>
      <c r="Q45" s="5"/>
      <c r="R45" s="5"/>
      <c r="S45" s="5"/>
      <c r="T45" s="5"/>
      <c r="U45" s="5"/>
      <c r="V45" s="5"/>
      <c r="W45" s="5"/>
      <c r="X45" s="5"/>
    </row>
    <row r="46" spans="16:24" x14ac:dyDescent="0.25">
      <c r="P46" s="5"/>
      <c r="Q46" s="5"/>
      <c r="R46" s="5"/>
      <c r="S46" s="5"/>
      <c r="T46" s="5"/>
      <c r="U46" s="5"/>
      <c r="V46" s="5"/>
      <c r="W46" s="5"/>
      <c r="X46" s="5"/>
    </row>
    <row r="47" spans="16:24" x14ac:dyDescent="0.25">
      <c r="P47" s="5"/>
      <c r="Q47" s="5"/>
      <c r="R47" s="5"/>
      <c r="S47" s="5"/>
      <c r="T47" s="5"/>
      <c r="U47" s="5"/>
      <c r="V47" s="5"/>
      <c r="W47" s="5"/>
      <c r="X47" s="5"/>
    </row>
    <row r="48" spans="16:24" x14ac:dyDescent="0.25">
      <c r="P48" s="5"/>
      <c r="Q48" s="5"/>
      <c r="R48" s="5"/>
      <c r="S48" s="5"/>
      <c r="T48" s="5"/>
      <c r="U48" s="5"/>
      <c r="V48" s="5"/>
      <c r="W48" s="5"/>
      <c r="X48" s="5"/>
    </row>
    <row r="49" spans="16:24" x14ac:dyDescent="0.25">
      <c r="P49" s="5"/>
      <c r="Q49" s="5"/>
      <c r="R49" s="5"/>
      <c r="S49" s="5"/>
      <c r="T49" s="5"/>
      <c r="U49" s="5"/>
      <c r="V49" s="5"/>
      <c r="W49" s="5"/>
      <c r="X49" s="5"/>
    </row>
    <row r="50" spans="16:24" x14ac:dyDescent="0.25">
      <c r="P50" s="5"/>
      <c r="Q50" s="5"/>
      <c r="R50" s="5"/>
      <c r="S50" s="5"/>
      <c r="T50" s="5"/>
      <c r="U50" s="5"/>
      <c r="V50" s="5"/>
      <c r="W50" s="5"/>
      <c r="X50" s="5"/>
    </row>
    <row r="51" spans="16:24" x14ac:dyDescent="0.25">
      <c r="P51" s="5"/>
      <c r="Q51" s="5"/>
      <c r="R51" s="5"/>
      <c r="S51" s="5"/>
      <c r="T51" s="5"/>
      <c r="U51" s="5"/>
      <c r="V51" s="5"/>
      <c r="W51" s="5"/>
      <c r="X51" s="5"/>
    </row>
    <row r="52" spans="16:24" x14ac:dyDescent="0.25">
      <c r="P52" s="5"/>
      <c r="Q52" s="5"/>
      <c r="R52" s="5"/>
      <c r="S52" s="5"/>
      <c r="T52" s="5"/>
      <c r="U52" s="5"/>
      <c r="V52" s="5"/>
      <c r="W52" s="5"/>
      <c r="X52" s="5"/>
    </row>
    <row r="53" spans="16:24" x14ac:dyDescent="0.25">
      <c r="P53" s="5"/>
      <c r="Q53" s="5"/>
      <c r="R53" s="5"/>
      <c r="S53" s="5"/>
      <c r="T53" s="5"/>
      <c r="U53" s="5"/>
      <c r="V53" s="5"/>
      <c r="W53" s="5"/>
      <c r="X53" s="5"/>
    </row>
    <row r="54" spans="16:24" x14ac:dyDescent="0.25">
      <c r="P54" s="5"/>
      <c r="Q54" s="5"/>
      <c r="R54" s="5"/>
      <c r="S54" s="5"/>
      <c r="T54" s="5"/>
      <c r="U54" s="5"/>
      <c r="V54" s="5"/>
      <c r="W54" s="5"/>
      <c r="X54" s="5"/>
    </row>
    <row r="55" spans="16:24" x14ac:dyDescent="0.25">
      <c r="P55" s="5"/>
      <c r="Q55" s="5"/>
      <c r="R55" s="5"/>
      <c r="S55" s="5"/>
      <c r="T55" s="5"/>
      <c r="U55" s="5"/>
      <c r="V55" s="5"/>
      <c r="W55" s="5"/>
      <c r="X55" s="5"/>
    </row>
    <row r="56" spans="16:24" x14ac:dyDescent="0.25">
      <c r="P56" s="5"/>
      <c r="Q56" s="5"/>
      <c r="R56" s="5"/>
      <c r="S56" s="5"/>
      <c r="T56" s="5"/>
      <c r="U56" s="5"/>
      <c r="V56" s="5"/>
      <c r="W56" s="5"/>
      <c r="X56" s="5"/>
    </row>
    <row r="57" spans="16:24" x14ac:dyDescent="0.25">
      <c r="P57" s="5"/>
      <c r="Q57" s="5"/>
      <c r="R57" s="5"/>
      <c r="S57" s="5"/>
      <c r="T57" s="5"/>
      <c r="U57" s="5"/>
      <c r="V57" s="5"/>
      <c r="W57" s="5"/>
      <c r="X57" s="5"/>
    </row>
    <row r="58" spans="16:24" x14ac:dyDescent="0.25">
      <c r="P58" s="5"/>
      <c r="Q58" s="5"/>
      <c r="R58" s="5"/>
      <c r="S58" s="5"/>
      <c r="T58" s="5"/>
      <c r="U58" s="5"/>
      <c r="V58" s="5"/>
      <c r="W58" s="5"/>
      <c r="X58" s="5"/>
    </row>
    <row r="59" spans="16:24" x14ac:dyDescent="0.25">
      <c r="P59" s="5"/>
      <c r="Q59" s="5"/>
      <c r="R59" s="5"/>
      <c r="S59" s="5"/>
      <c r="T59" s="5"/>
      <c r="U59" s="5"/>
      <c r="V59" s="5"/>
      <c r="W59" s="5"/>
      <c r="X59" s="5"/>
    </row>
    <row r="60" spans="16:24" x14ac:dyDescent="0.25">
      <c r="P60" s="5"/>
      <c r="Q60" s="5"/>
      <c r="R60" s="5"/>
      <c r="S60" s="5"/>
      <c r="T60" s="5"/>
      <c r="U60" s="5"/>
      <c r="V60" s="5"/>
      <c r="W60" s="5"/>
      <c r="X60" s="5"/>
    </row>
    <row r="61" spans="16:24" x14ac:dyDescent="0.25">
      <c r="P61" s="5"/>
      <c r="Q61" s="5"/>
      <c r="R61" s="5"/>
      <c r="S61" s="5"/>
      <c r="T61" s="5"/>
      <c r="U61" s="5"/>
      <c r="V61" s="5"/>
      <c r="W61" s="5"/>
      <c r="X61" s="5"/>
    </row>
    <row r="62" spans="16:24" x14ac:dyDescent="0.25">
      <c r="P62" s="5"/>
      <c r="Q62" s="5"/>
      <c r="R62" s="5"/>
      <c r="S62" s="5"/>
      <c r="T62" s="5"/>
      <c r="U62" s="5"/>
      <c r="V62" s="5"/>
      <c r="W62" s="5"/>
      <c r="X62" s="5"/>
    </row>
    <row r="63" spans="16:24" x14ac:dyDescent="0.25">
      <c r="P63" s="5"/>
      <c r="Q63" s="5"/>
      <c r="R63" s="5"/>
      <c r="S63" s="5"/>
      <c r="T63" s="5"/>
      <c r="U63" s="5"/>
      <c r="V63" s="5"/>
      <c r="W63" s="5"/>
      <c r="X63" s="5"/>
    </row>
    <row r="64" spans="16:24" x14ac:dyDescent="0.25">
      <c r="P64" s="5"/>
      <c r="Q64" s="5"/>
      <c r="R64" s="5"/>
      <c r="S64" s="5"/>
      <c r="T64" s="5"/>
      <c r="U64" s="5"/>
      <c r="V64" s="5"/>
      <c r="W64" s="5"/>
      <c r="X64" s="5"/>
    </row>
    <row r="65" spans="16:24" x14ac:dyDescent="0.25">
      <c r="P65" s="5"/>
      <c r="Q65" s="5"/>
      <c r="R65" s="5"/>
      <c r="S65" s="5"/>
      <c r="T65" s="5"/>
      <c r="U65" s="5"/>
      <c r="V65" s="5"/>
      <c r="W65" s="5"/>
      <c r="X65" s="5"/>
    </row>
    <row r="66" spans="16:24" x14ac:dyDescent="0.25">
      <c r="P66" s="5"/>
      <c r="Q66" s="5"/>
      <c r="R66" s="5"/>
      <c r="S66" s="5"/>
      <c r="T66" s="5"/>
      <c r="U66" s="5"/>
      <c r="V66" s="5"/>
      <c r="W66" s="5"/>
      <c r="X66" s="5"/>
    </row>
    <row r="67" spans="16:24" x14ac:dyDescent="0.25">
      <c r="P67" s="5"/>
      <c r="Q67" s="5"/>
      <c r="R67" s="5"/>
      <c r="S67" s="5"/>
      <c r="T67" s="5"/>
      <c r="U67" s="5"/>
      <c r="V67" s="5"/>
      <c r="W67" s="5"/>
      <c r="X67" s="5"/>
    </row>
    <row r="68" spans="16:24" x14ac:dyDescent="0.25">
      <c r="P68" s="5"/>
      <c r="Q68" s="5"/>
      <c r="R68" s="5"/>
      <c r="S68" s="5"/>
      <c r="T68" s="5"/>
      <c r="U68" s="5"/>
      <c r="V68" s="5"/>
      <c r="W68" s="5"/>
      <c r="X68" s="5"/>
    </row>
    <row r="69" spans="16:24" x14ac:dyDescent="0.25">
      <c r="P69" s="5"/>
      <c r="Q69" s="5"/>
      <c r="R69" s="5"/>
      <c r="S69" s="5"/>
      <c r="T69" s="5"/>
      <c r="U69" s="5"/>
      <c r="V69" s="5"/>
      <c r="W69" s="5"/>
      <c r="X69" s="5"/>
    </row>
    <row r="70" spans="16:24" x14ac:dyDescent="0.25">
      <c r="P70" s="5"/>
      <c r="Q70" s="5"/>
      <c r="R70" s="5"/>
      <c r="S70" s="5"/>
      <c r="T70" s="5"/>
      <c r="U70" s="5"/>
      <c r="V70" s="5"/>
      <c r="W70" s="5"/>
      <c r="X70" s="5"/>
    </row>
    <row r="71" spans="16:24" x14ac:dyDescent="0.25">
      <c r="P71" s="5"/>
      <c r="Q71" s="5"/>
      <c r="R71" s="5"/>
      <c r="S71" s="5"/>
      <c r="T71" s="5"/>
      <c r="U71" s="5"/>
      <c r="V71" s="5"/>
      <c r="W71" s="5"/>
      <c r="X71" s="5"/>
    </row>
    <row r="72" spans="16:24" x14ac:dyDescent="0.25">
      <c r="P72" s="5"/>
      <c r="Q72" s="5"/>
      <c r="R72" s="5"/>
      <c r="S72" s="5"/>
      <c r="T72" s="5"/>
      <c r="U72" s="5"/>
      <c r="V72" s="5"/>
      <c r="W72" s="5"/>
      <c r="X72" s="5"/>
    </row>
    <row r="73" spans="16:24" x14ac:dyDescent="0.25">
      <c r="P73" s="5"/>
      <c r="Q73" s="5"/>
      <c r="R73" s="5"/>
      <c r="S73" s="5"/>
      <c r="T73" s="5"/>
      <c r="U73" s="5"/>
      <c r="V73" s="5"/>
      <c r="W73" s="5"/>
      <c r="X73" s="5"/>
    </row>
    <row r="74" spans="16:24" x14ac:dyDescent="0.25">
      <c r="P74" s="5"/>
      <c r="Q74" s="5"/>
      <c r="R74" s="5"/>
      <c r="S74" s="5"/>
      <c r="T74" s="5"/>
      <c r="U74" s="5"/>
      <c r="V74" s="5"/>
      <c r="W74" s="5"/>
      <c r="X74" s="5"/>
    </row>
    <row r="75" spans="16:24" x14ac:dyDescent="0.25">
      <c r="P75" s="5"/>
      <c r="Q75" s="5"/>
      <c r="R75" s="5"/>
      <c r="S75" s="5"/>
      <c r="T75" s="5"/>
      <c r="U75" s="5"/>
      <c r="V75" s="5"/>
      <c r="W75" s="5"/>
      <c r="X75" s="5"/>
    </row>
    <row r="76" spans="16:24" x14ac:dyDescent="0.25">
      <c r="P76" s="5"/>
      <c r="Q76" s="5"/>
      <c r="R76" s="5"/>
      <c r="S76" s="5"/>
      <c r="T76" s="5"/>
      <c r="U76" s="5"/>
      <c r="V76" s="5"/>
      <c r="W76" s="5"/>
      <c r="X76" s="5"/>
    </row>
    <row r="77" spans="16:24" x14ac:dyDescent="0.25">
      <c r="P77" s="5"/>
      <c r="Q77" s="5"/>
      <c r="R77" s="5"/>
      <c r="S77" s="5"/>
      <c r="T77" s="5"/>
      <c r="U77" s="5"/>
      <c r="V77" s="5"/>
      <c r="W77" s="5"/>
      <c r="X77" s="5"/>
    </row>
    <row r="78" spans="16:24" x14ac:dyDescent="0.25">
      <c r="P78" s="5"/>
      <c r="Q78" s="5"/>
      <c r="R78" s="5"/>
      <c r="S78" s="5"/>
      <c r="T78" s="5"/>
      <c r="U78" s="5"/>
      <c r="V78" s="5"/>
      <c r="W78" s="5"/>
      <c r="X78" s="5"/>
    </row>
    <row r="79" spans="16:24" x14ac:dyDescent="0.25">
      <c r="P79" s="5"/>
      <c r="Q79" s="5"/>
      <c r="R79" s="5"/>
      <c r="S79" s="5"/>
      <c r="T79" s="5"/>
      <c r="U79" s="5"/>
      <c r="V79" s="5"/>
      <c r="W79" s="5"/>
      <c r="X79" s="5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</vt:lpstr>
      <vt:lpstr>Distal Validation</vt:lpstr>
      <vt:lpstr>Conversion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2026-03-05T02:26:34Z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