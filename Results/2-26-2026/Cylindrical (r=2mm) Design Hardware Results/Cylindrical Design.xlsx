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Bio-Inspired-Sensing/Results/2-26-2026/Cylindrical (r=2mm) Design Hardware Results/"/>
    </mc:Choice>
  </mc:AlternateContent>
  <xr:revisionPtr revIDLastSave="4216" documentId="8_{DFFD6B0C-681F-42C8-B2E4-5D4B90AAE966}" xr6:coauthVersionLast="47" xr6:coauthVersionMax="47" xr10:uidLastSave="{BC807643-201A-4589-BA02-05E784885B52}"/>
  <bookViews>
    <workbookView xWindow="-120" yWindow="-120" windowWidth="29040" windowHeight="15720" firstSheet="1" activeTab="1" xr2:uid="{3D16C37F-3C74-4527-A308-796C339DFE9F}"/>
  </bookViews>
  <sheets>
    <sheet name="Proximal Validation" sheetId="12" r:id="rId1"/>
    <sheet name="Distal Vali (single hardware)" sheetId="44" r:id="rId2"/>
    <sheet name="Distal Vali (five hardware)" sheetId="42" r:id="rId3"/>
    <sheet name="Distal Vali (one truth)" sheetId="41" r:id="rId4"/>
    <sheet name="Distal Vali (five truth)" sheetId="40" r:id="rId5"/>
    <sheet name="Conversion" sheetId="4" r:id="rId6"/>
    <sheet name="Sheet2" sheetId="35" r:id="rId7"/>
    <sheet name="Sheet3" sheetId="4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2" i="44" l="1"/>
  <c r="X52" i="44"/>
  <c r="W52" i="44"/>
  <c r="O52" i="44"/>
  <c r="N52" i="44"/>
  <c r="M52" i="44"/>
  <c r="L52" i="44"/>
  <c r="K52" i="44"/>
  <c r="J52" i="44"/>
  <c r="I52" i="44"/>
  <c r="H52" i="44"/>
  <c r="G52" i="44"/>
  <c r="F52" i="44"/>
  <c r="E52" i="44"/>
  <c r="AA52" i="44" s="1"/>
  <c r="D52" i="44"/>
  <c r="Z52" i="44" s="1"/>
  <c r="C52" i="44"/>
  <c r="Y52" i="44" s="1"/>
  <c r="B52" i="44"/>
  <c r="A52" i="44"/>
  <c r="AB51" i="44"/>
  <c r="X51" i="44"/>
  <c r="W51" i="44"/>
  <c r="O51" i="44"/>
  <c r="N51" i="44"/>
  <c r="M51" i="44"/>
  <c r="L51" i="44"/>
  <c r="K51" i="44"/>
  <c r="J51" i="44"/>
  <c r="I51" i="44"/>
  <c r="H51" i="44"/>
  <c r="G51" i="44"/>
  <c r="F51" i="44"/>
  <c r="E51" i="44"/>
  <c r="AA51" i="44" s="1"/>
  <c r="D51" i="44"/>
  <c r="Z51" i="44" s="1"/>
  <c r="C51" i="44"/>
  <c r="Y51" i="44" s="1"/>
  <c r="AE51" i="44" s="1"/>
  <c r="B51" i="44"/>
  <c r="A51" i="44"/>
  <c r="AB50" i="44"/>
  <c r="X50" i="44"/>
  <c r="W50" i="44"/>
  <c r="O50" i="44"/>
  <c r="N50" i="44"/>
  <c r="M50" i="44"/>
  <c r="L50" i="44"/>
  <c r="K50" i="44"/>
  <c r="J50" i="44"/>
  <c r="I50" i="44"/>
  <c r="H50" i="44"/>
  <c r="G50" i="44"/>
  <c r="F50" i="44"/>
  <c r="E50" i="44"/>
  <c r="AA50" i="44" s="1"/>
  <c r="D50" i="44"/>
  <c r="Z50" i="44" s="1"/>
  <c r="AC50" i="44" s="1"/>
  <c r="C50" i="44"/>
  <c r="Y50" i="44" s="1"/>
  <c r="B50" i="44"/>
  <c r="A50" i="44"/>
  <c r="AB49" i="44"/>
  <c r="X49" i="44"/>
  <c r="W49" i="44"/>
  <c r="O49" i="44"/>
  <c r="N49" i="44"/>
  <c r="M49" i="44"/>
  <c r="L49" i="44"/>
  <c r="K49" i="44"/>
  <c r="J49" i="44"/>
  <c r="I49" i="44"/>
  <c r="H49" i="44"/>
  <c r="G49" i="44"/>
  <c r="F49" i="44"/>
  <c r="E49" i="44"/>
  <c r="AA49" i="44" s="1"/>
  <c r="D49" i="44"/>
  <c r="Z49" i="44" s="1"/>
  <c r="AC49" i="44" s="1"/>
  <c r="C49" i="44"/>
  <c r="Y49" i="44" s="1"/>
  <c r="AE49" i="44" s="1"/>
  <c r="B49" i="44"/>
  <c r="A49" i="44"/>
  <c r="AB48" i="44"/>
  <c r="X48" i="44"/>
  <c r="W48" i="44"/>
  <c r="O48" i="44"/>
  <c r="N48" i="44"/>
  <c r="M48" i="44"/>
  <c r="L48" i="44"/>
  <c r="K48" i="44"/>
  <c r="J48" i="44"/>
  <c r="I48" i="44"/>
  <c r="H48" i="44"/>
  <c r="G48" i="44"/>
  <c r="F48" i="44"/>
  <c r="E48" i="44"/>
  <c r="AA48" i="44" s="1"/>
  <c r="D48" i="44"/>
  <c r="Z48" i="44" s="1"/>
  <c r="C48" i="44"/>
  <c r="Y48" i="44" s="1"/>
  <c r="B48" i="44"/>
  <c r="A48" i="44"/>
  <c r="AB47" i="44"/>
  <c r="X47" i="44"/>
  <c r="W47" i="44"/>
  <c r="O47" i="44"/>
  <c r="N47" i="44"/>
  <c r="M47" i="44"/>
  <c r="L47" i="44"/>
  <c r="K47" i="44"/>
  <c r="J47" i="44"/>
  <c r="I47" i="44"/>
  <c r="H47" i="44"/>
  <c r="G47" i="44"/>
  <c r="F47" i="44"/>
  <c r="E47" i="44"/>
  <c r="AA47" i="44" s="1"/>
  <c r="D47" i="44"/>
  <c r="Z47" i="44" s="1"/>
  <c r="AC47" i="44" s="1"/>
  <c r="C47" i="44"/>
  <c r="Y47" i="44" s="1"/>
  <c r="AE47" i="44" s="1"/>
  <c r="B47" i="44"/>
  <c r="A47" i="44"/>
  <c r="AB46" i="44"/>
  <c r="X46" i="44"/>
  <c r="W46" i="44"/>
  <c r="O46" i="44"/>
  <c r="N46" i="44"/>
  <c r="M46" i="44"/>
  <c r="L46" i="44"/>
  <c r="K46" i="44"/>
  <c r="J46" i="44"/>
  <c r="I46" i="44"/>
  <c r="H46" i="44"/>
  <c r="G46" i="44"/>
  <c r="F46" i="44"/>
  <c r="E46" i="44"/>
  <c r="AA46" i="44" s="1"/>
  <c r="D46" i="44"/>
  <c r="Z46" i="44" s="1"/>
  <c r="AC46" i="44" s="1"/>
  <c r="C46" i="44"/>
  <c r="Y46" i="44" s="1"/>
  <c r="B46" i="44"/>
  <c r="A46" i="44"/>
  <c r="AB45" i="44"/>
  <c r="X45" i="44"/>
  <c r="W45" i="44"/>
  <c r="O45" i="44"/>
  <c r="N45" i="44"/>
  <c r="M45" i="44"/>
  <c r="L45" i="44"/>
  <c r="K45" i="44"/>
  <c r="J45" i="44"/>
  <c r="I45" i="44"/>
  <c r="H45" i="44"/>
  <c r="G45" i="44"/>
  <c r="F45" i="44"/>
  <c r="E45" i="44"/>
  <c r="AA45" i="44" s="1"/>
  <c r="D45" i="44"/>
  <c r="Z45" i="44" s="1"/>
  <c r="AC45" i="44" s="1"/>
  <c r="C45" i="44"/>
  <c r="Y45" i="44" s="1"/>
  <c r="AE45" i="44" s="1"/>
  <c r="B45" i="44"/>
  <c r="A45" i="44"/>
  <c r="AB44" i="44"/>
  <c r="X44" i="44"/>
  <c r="W44" i="44"/>
  <c r="O44" i="44"/>
  <c r="N44" i="44"/>
  <c r="M44" i="44"/>
  <c r="L44" i="44"/>
  <c r="K44" i="44"/>
  <c r="J44" i="44"/>
  <c r="I44" i="44"/>
  <c r="H44" i="44"/>
  <c r="G44" i="44"/>
  <c r="F44" i="44"/>
  <c r="E44" i="44"/>
  <c r="AA44" i="44" s="1"/>
  <c r="D44" i="44"/>
  <c r="Z44" i="44" s="1"/>
  <c r="AC44" i="44" s="1"/>
  <c r="C44" i="44"/>
  <c r="Y44" i="44" s="1"/>
  <c r="B44" i="44"/>
  <c r="A44" i="44"/>
  <c r="AB43" i="44"/>
  <c r="X43" i="44"/>
  <c r="W43" i="44"/>
  <c r="O43" i="44"/>
  <c r="N43" i="44"/>
  <c r="M43" i="44"/>
  <c r="L43" i="44"/>
  <c r="K43" i="44"/>
  <c r="J43" i="44"/>
  <c r="I43" i="44"/>
  <c r="H43" i="44"/>
  <c r="G43" i="44"/>
  <c r="F43" i="44"/>
  <c r="E43" i="44"/>
  <c r="AA43" i="44" s="1"/>
  <c r="D43" i="44"/>
  <c r="Z43" i="44" s="1"/>
  <c r="C43" i="44"/>
  <c r="Y43" i="44" s="1"/>
  <c r="AE43" i="44" s="1"/>
  <c r="B43" i="44"/>
  <c r="A43" i="44"/>
  <c r="AB42" i="44"/>
  <c r="X42" i="44"/>
  <c r="W42" i="44"/>
  <c r="O42" i="44"/>
  <c r="N42" i="44"/>
  <c r="M42" i="44"/>
  <c r="L42" i="44"/>
  <c r="K42" i="44"/>
  <c r="J42" i="44"/>
  <c r="I42" i="44"/>
  <c r="H42" i="44"/>
  <c r="G42" i="44"/>
  <c r="F42" i="44"/>
  <c r="E42" i="44"/>
  <c r="AA42" i="44" s="1"/>
  <c r="D42" i="44"/>
  <c r="Z42" i="44" s="1"/>
  <c r="AC42" i="44" s="1"/>
  <c r="C42" i="44"/>
  <c r="Y42" i="44" s="1"/>
  <c r="B42" i="44"/>
  <c r="A42" i="44"/>
  <c r="AB41" i="44"/>
  <c r="X41" i="44"/>
  <c r="W41" i="44"/>
  <c r="O41" i="44"/>
  <c r="N41" i="44"/>
  <c r="M41" i="44"/>
  <c r="L41" i="44"/>
  <c r="K41" i="44"/>
  <c r="J41" i="44"/>
  <c r="I41" i="44"/>
  <c r="H41" i="44"/>
  <c r="G41" i="44"/>
  <c r="F41" i="44"/>
  <c r="E41" i="44"/>
  <c r="AA41" i="44" s="1"/>
  <c r="D41" i="44"/>
  <c r="Z41" i="44" s="1"/>
  <c r="C41" i="44"/>
  <c r="Y41" i="44" s="1"/>
  <c r="AE41" i="44" s="1"/>
  <c r="B41" i="44"/>
  <c r="A41" i="44"/>
  <c r="AB40" i="44"/>
  <c r="X40" i="44"/>
  <c r="W40" i="44"/>
  <c r="O40" i="44"/>
  <c r="N40" i="44"/>
  <c r="M40" i="44"/>
  <c r="L40" i="44"/>
  <c r="K40" i="44"/>
  <c r="J40" i="44"/>
  <c r="I40" i="44"/>
  <c r="H40" i="44"/>
  <c r="G40" i="44"/>
  <c r="F40" i="44"/>
  <c r="E40" i="44"/>
  <c r="AA40" i="44" s="1"/>
  <c r="D40" i="44"/>
  <c r="Z40" i="44" s="1"/>
  <c r="AC40" i="44" s="1"/>
  <c r="C40" i="44"/>
  <c r="Y40" i="44" s="1"/>
  <c r="B40" i="44"/>
  <c r="A40" i="44"/>
  <c r="AB39" i="44"/>
  <c r="X39" i="44"/>
  <c r="W39" i="44"/>
  <c r="O39" i="44"/>
  <c r="N39" i="44"/>
  <c r="M39" i="44"/>
  <c r="L39" i="44"/>
  <c r="K39" i="44"/>
  <c r="J39" i="44"/>
  <c r="I39" i="44"/>
  <c r="H39" i="44"/>
  <c r="G39" i="44"/>
  <c r="F39" i="44"/>
  <c r="E39" i="44"/>
  <c r="AA39" i="44" s="1"/>
  <c r="D39" i="44"/>
  <c r="Z39" i="44" s="1"/>
  <c r="AC39" i="44" s="1"/>
  <c r="C39" i="44"/>
  <c r="Y39" i="44" s="1"/>
  <c r="AE39" i="44" s="1"/>
  <c r="B39" i="44"/>
  <c r="A39" i="44"/>
  <c r="AB38" i="44"/>
  <c r="X38" i="44"/>
  <c r="W38" i="44"/>
  <c r="O38" i="44"/>
  <c r="N38" i="44"/>
  <c r="M38" i="44"/>
  <c r="L38" i="44"/>
  <c r="K38" i="44"/>
  <c r="J38" i="44"/>
  <c r="I38" i="44"/>
  <c r="H38" i="44"/>
  <c r="G38" i="44"/>
  <c r="F38" i="44"/>
  <c r="E38" i="44"/>
  <c r="AA38" i="44" s="1"/>
  <c r="D38" i="44"/>
  <c r="Z38" i="44" s="1"/>
  <c r="AC38" i="44" s="1"/>
  <c r="C38" i="44"/>
  <c r="Y38" i="44" s="1"/>
  <c r="B38" i="44"/>
  <c r="A38" i="44"/>
  <c r="AB37" i="44"/>
  <c r="X37" i="44"/>
  <c r="W37" i="44"/>
  <c r="O37" i="44"/>
  <c r="N37" i="44"/>
  <c r="M37" i="44"/>
  <c r="L37" i="44"/>
  <c r="K37" i="44"/>
  <c r="J37" i="44"/>
  <c r="I37" i="44"/>
  <c r="H37" i="44"/>
  <c r="G37" i="44"/>
  <c r="F37" i="44"/>
  <c r="E37" i="44"/>
  <c r="AA37" i="44" s="1"/>
  <c r="D37" i="44"/>
  <c r="Z37" i="44" s="1"/>
  <c r="AC37" i="44" s="1"/>
  <c r="C37" i="44"/>
  <c r="Y37" i="44" s="1"/>
  <c r="AE37" i="44" s="1"/>
  <c r="B37" i="44"/>
  <c r="A37" i="44"/>
  <c r="AB36" i="44"/>
  <c r="X36" i="44"/>
  <c r="W36" i="44"/>
  <c r="O36" i="44"/>
  <c r="N36" i="44"/>
  <c r="M36" i="44"/>
  <c r="L36" i="44"/>
  <c r="K36" i="44"/>
  <c r="J36" i="44"/>
  <c r="I36" i="44"/>
  <c r="H36" i="44"/>
  <c r="G36" i="44"/>
  <c r="F36" i="44"/>
  <c r="E36" i="44"/>
  <c r="AA36" i="44" s="1"/>
  <c r="D36" i="44"/>
  <c r="Z36" i="44" s="1"/>
  <c r="AC36" i="44" s="1"/>
  <c r="C36" i="44"/>
  <c r="Y36" i="44" s="1"/>
  <c r="B36" i="44"/>
  <c r="A36" i="44"/>
  <c r="AB35" i="44"/>
  <c r="X35" i="44"/>
  <c r="W35" i="44"/>
  <c r="O35" i="44"/>
  <c r="N35" i="44"/>
  <c r="M35" i="44"/>
  <c r="L35" i="44"/>
  <c r="K35" i="44"/>
  <c r="J35" i="44"/>
  <c r="I35" i="44"/>
  <c r="H35" i="44"/>
  <c r="G35" i="44"/>
  <c r="F35" i="44"/>
  <c r="E35" i="44"/>
  <c r="AA35" i="44" s="1"/>
  <c r="D35" i="44"/>
  <c r="Z35" i="44" s="1"/>
  <c r="C35" i="44"/>
  <c r="Y35" i="44" s="1"/>
  <c r="B35" i="44"/>
  <c r="A35" i="44"/>
  <c r="AB34" i="44"/>
  <c r="X34" i="44"/>
  <c r="W34" i="44"/>
  <c r="O34" i="44"/>
  <c r="N34" i="44"/>
  <c r="M34" i="44"/>
  <c r="L34" i="44"/>
  <c r="K34" i="44"/>
  <c r="J34" i="44"/>
  <c r="I34" i="44"/>
  <c r="H34" i="44"/>
  <c r="G34" i="44"/>
  <c r="F34" i="44"/>
  <c r="E34" i="44"/>
  <c r="AA34" i="44" s="1"/>
  <c r="D34" i="44"/>
  <c r="Z34" i="44" s="1"/>
  <c r="AC34" i="44" s="1"/>
  <c r="C34" i="44"/>
  <c r="Y34" i="44" s="1"/>
  <c r="B34" i="44"/>
  <c r="A34" i="44"/>
  <c r="AB33" i="44"/>
  <c r="X33" i="44"/>
  <c r="W33" i="44"/>
  <c r="O33" i="44"/>
  <c r="N33" i="44"/>
  <c r="M33" i="44"/>
  <c r="L33" i="44"/>
  <c r="K33" i="44"/>
  <c r="J33" i="44"/>
  <c r="I33" i="44"/>
  <c r="H33" i="44"/>
  <c r="G33" i="44"/>
  <c r="F33" i="44"/>
  <c r="E33" i="44"/>
  <c r="AA33" i="44" s="1"/>
  <c r="D33" i="44"/>
  <c r="Z33" i="44" s="1"/>
  <c r="AC33" i="44" s="1"/>
  <c r="C33" i="44"/>
  <c r="Y33" i="44" s="1"/>
  <c r="AE33" i="44" s="1"/>
  <c r="B33" i="44"/>
  <c r="A33" i="44"/>
  <c r="AB32" i="44"/>
  <c r="X32" i="44"/>
  <c r="W32" i="44"/>
  <c r="O32" i="44"/>
  <c r="N32" i="44"/>
  <c r="M32" i="44"/>
  <c r="L32" i="44"/>
  <c r="K32" i="44"/>
  <c r="J32" i="44"/>
  <c r="I32" i="44"/>
  <c r="H32" i="44"/>
  <c r="G32" i="44"/>
  <c r="F32" i="44"/>
  <c r="E32" i="44"/>
  <c r="AA32" i="44" s="1"/>
  <c r="D32" i="44"/>
  <c r="Z32" i="44" s="1"/>
  <c r="AC32" i="44" s="1"/>
  <c r="C32" i="44"/>
  <c r="Y32" i="44" s="1"/>
  <c r="B32" i="44"/>
  <c r="A32" i="44"/>
  <c r="AB31" i="44"/>
  <c r="X31" i="44"/>
  <c r="W31" i="44"/>
  <c r="O31" i="44"/>
  <c r="N31" i="44"/>
  <c r="M31" i="44"/>
  <c r="L31" i="44"/>
  <c r="K31" i="44"/>
  <c r="J31" i="44"/>
  <c r="I31" i="44"/>
  <c r="H31" i="44"/>
  <c r="G31" i="44"/>
  <c r="F31" i="44"/>
  <c r="E31" i="44"/>
  <c r="AA31" i="44" s="1"/>
  <c r="D31" i="44"/>
  <c r="Z31" i="44" s="1"/>
  <c r="C31" i="44"/>
  <c r="Y31" i="44" s="1"/>
  <c r="AE31" i="44" s="1"/>
  <c r="B31" i="44"/>
  <c r="A31" i="44"/>
  <c r="AB30" i="44"/>
  <c r="X30" i="44"/>
  <c r="W30" i="44"/>
  <c r="O30" i="44"/>
  <c r="N30" i="44"/>
  <c r="M30" i="44"/>
  <c r="L30" i="44"/>
  <c r="K30" i="44"/>
  <c r="J30" i="44"/>
  <c r="I30" i="44"/>
  <c r="H30" i="44"/>
  <c r="G30" i="44"/>
  <c r="F30" i="44"/>
  <c r="E30" i="44"/>
  <c r="AA30" i="44" s="1"/>
  <c r="D30" i="44"/>
  <c r="Z30" i="44" s="1"/>
  <c r="AC30" i="44" s="1"/>
  <c r="C30" i="44"/>
  <c r="Y30" i="44" s="1"/>
  <c r="B30" i="44"/>
  <c r="A30" i="44"/>
  <c r="AB29" i="44"/>
  <c r="X29" i="44"/>
  <c r="W29" i="44"/>
  <c r="O29" i="44"/>
  <c r="N29" i="44"/>
  <c r="M29" i="44"/>
  <c r="L29" i="44"/>
  <c r="K29" i="44"/>
  <c r="J29" i="44"/>
  <c r="I29" i="44"/>
  <c r="H29" i="44"/>
  <c r="G29" i="44"/>
  <c r="F29" i="44"/>
  <c r="E29" i="44"/>
  <c r="AA29" i="44" s="1"/>
  <c r="D29" i="44"/>
  <c r="Z29" i="44" s="1"/>
  <c r="C29" i="44"/>
  <c r="Y29" i="44" s="1"/>
  <c r="AE29" i="44" s="1"/>
  <c r="B29" i="44"/>
  <c r="A29" i="44"/>
  <c r="AB28" i="44"/>
  <c r="X28" i="44"/>
  <c r="W28" i="44"/>
  <c r="O28" i="44"/>
  <c r="N28" i="44"/>
  <c r="M28" i="44"/>
  <c r="L28" i="44"/>
  <c r="K28" i="44"/>
  <c r="J28" i="44"/>
  <c r="I28" i="44"/>
  <c r="H28" i="44"/>
  <c r="G28" i="44"/>
  <c r="F28" i="44"/>
  <c r="E28" i="44"/>
  <c r="AA28" i="44" s="1"/>
  <c r="D28" i="44"/>
  <c r="Z28" i="44" s="1"/>
  <c r="AC28" i="44" s="1"/>
  <c r="C28" i="44"/>
  <c r="Y28" i="44" s="1"/>
  <c r="B28" i="44"/>
  <c r="A28" i="44"/>
  <c r="AB27" i="44"/>
  <c r="X27" i="44"/>
  <c r="W27" i="44"/>
  <c r="O27" i="44"/>
  <c r="N27" i="44"/>
  <c r="M27" i="44"/>
  <c r="L27" i="44"/>
  <c r="K27" i="44"/>
  <c r="J27" i="44"/>
  <c r="I27" i="44"/>
  <c r="H27" i="44"/>
  <c r="G27" i="44"/>
  <c r="F27" i="44"/>
  <c r="E27" i="44"/>
  <c r="AA27" i="44" s="1"/>
  <c r="D27" i="44"/>
  <c r="Z27" i="44" s="1"/>
  <c r="AC27" i="44" s="1"/>
  <c r="C27" i="44"/>
  <c r="Y27" i="44" s="1"/>
  <c r="AE27" i="44" s="1"/>
  <c r="B27" i="44"/>
  <c r="A27" i="44"/>
  <c r="AB26" i="44"/>
  <c r="X26" i="44"/>
  <c r="W26" i="44"/>
  <c r="O26" i="44"/>
  <c r="N26" i="44"/>
  <c r="M26" i="44"/>
  <c r="L26" i="44"/>
  <c r="K26" i="44"/>
  <c r="J26" i="44"/>
  <c r="I26" i="44"/>
  <c r="H26" i="44"/>
  <c r="G26" i="44"/>
  <c r="F26" i="44"/>
  <c r="E26" i="44"/>
  <c r="AA26" i="44" s="1"/>
  <c r="D26" i="44"/>
  <c r="Z26" i="44" s="1"/>
  <c r="C26" i="44"/>
  <c r="Y26" i="44" s="1"/>
  <c r="B26" i="44"/>
  <c r="A26" i="44"/>
  <c r="AB25" i="44"/>
  <c r="X25" i="44"/>
  <c r="W25" i="44"/>
  <c r="O25" i="44"/>
  <c r="N25" i="44"/>
  <c r="M25" i="44"/>
  <c r="L25" i="44"/>
  <c r="K25" i="44"/>
  <c r="J25" i="44"/>
  <c r="I25" i="44"/>
  <c r="H25" i="44"/>
  <c r="G25" i="44"/>
  <c r="F25" i="44"/>
  <c r="E25" i="44"/>
  <c r="AA25" i="44" s="1"/>
  <c r="D25" i="44"/>
  <c r="Z25" i="44" s="1"/>
  <c r="C25" i="44"/>
  <c r="Y25" i="44" s="1"/>
  <c r="AE25" i="44" s="1"/>
  <c r="B25" i="44"/>
  <c r="A25" i="44"/>
  <c r="AB24" i="44"/>
  <c r="X24" i="44"/>
  <c r="W24" i="44"/>
  <c r="O24" i="44"/>
  <c r="N24" i="44"/>
  <c r="M24" i="44"/>
  <c r="L24" i="44"/>
  <c r="K24" i="44"/>
  <c r="J24" i="44"/>
  <c r="I24" i="44"/>
  <c r="H24" i="44"/>
  <c r="G24" i="44"/>
  <c r="F24" i="44"/>
  <c r="E24" i="44"/>
  <c r="AA24" i="44" s="1"/>
  <c r="D24" i="44"/>
  <c r="Z24" i="44" s="1"/>
  <c r="C24" i="44"/>
  <c r="Y24" i="44" s="1"/>
  <c r="B24" i="44"/>
  <c r="A24" i="44"/>
  <c r="AB23" i="44"/>
  <c r="X23" i="44"/>
  <c r="W23" i="44"/>
  <c r="O23" i="44"/>
  <c r="N23" i="44"/>
  <c r="M23" i="44"/>
  <c r="L23" i="44"/>
  <c r="K23" i="44"/>
  <c r="J23" i="44"/>
  <c r="I23" i="44"/>
  <c r="H23" i="44"/>
  <c r="G23" i="44"/>
  <c r="F23" i="44"/>
  <c r="E23" i="44"/>
  <c r="AA23" i="44" s="1"/>
  <c r="D23" i="44"/>
  <c r="Z23" i="44" s="1"/>
  <c r="AC23" i="44" s="1"/>
  <c r="C23" i="44"/>
  <c r="Y23" i="44" s="1"/>
  <c r="AE23" i="44" s="1"/>
  <c r="B23" i="44"/>
  <c r="A23" i="44"/>
  <c r="AB22" i="44"/>
  <c r="AA22" i="44"/>
  <c r="X22" i="44"/>
  <c r="W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Z22" i="44" s="1"/>
  <c r="C22" i="44"/>
  <c r="Y22" i="44" s="1"/>
  <c r="B22" i="44"/>
  <c r="A22" i="44"/>
  <c r="AB21" i="44"/>
  <c r="X21" i="44"/>
  <c r="W21" i="44"/>
  <c r="O21" i="44"/>
  <c r="N21" i="44"/>
  <c r="M21" i="44"/>
  <c r="L21" i="44"/>
  <c r="K21" i="44"/>
  <c r="J21" i="44"/>
  <c r="I21" i="44"/>
  <c r="H21" i="44"/>
  <c r="G21" i="44"/>
  <c r="F21" i="44"/>
  <c r="E21" i="44"/>
  <c r="AA21" i="44" s="1"/>
  <c r="D21" i="44"/>
  <c r="Z21" i="44" s="1"/>
  <c r="C21" i="44"/>
  <c r="Y21" i="44" s="1"/>
  <c r="AE21" i="44" s="1"/>
  <c r="B21" i="44"/>
  <c r="A21" i="44"/>
  <c r="AB20" i="44"/>
  <c r="X20" i="44"/>
  <c r="W20" i="44"/>
  <c r="O20" i="44"/>
  <c r="N20" i="44"/>
  <c r="M20" i="44"/>
  <c r="L20" i="44"/>
  <c r="K20" i="44"/>
  <c r="J20" i="44"/>
  <c r="I20" i="44"/>
  <c r="H20" i="44"/>
  <c r="G20" i="44"/>
  <c r="F20" i="44"/>
  <c r="E20" i="44"/>
  <c r="AA20" i="44" s="1"/>
  <c r="D20" i="44"/>
  <c r="Z20" i="44" s="1"/>
  <c r="AC20" i="44" s="1"/>
  <c r="C20" i="44"/>
  <c r="Y20" i="44" s="1"/>
  <c r="B20" i="44"/>
  <c r="A20" i="44"/>
  <c r="AB19" i="44"/>
  <c r="X19" i="44"/>
  <c r="W19" i="44"/>
  <c r="O19" i="44"/>
  <c r="N19" i="44"/>
  <c r="M19" i="44"/>
  <c r="L19" i="44"/>
  <c r="K19" i="44"/>
  <c r="J19" i="44"/>
  <c r="I19" i="44"/>
  <c r="H19" i="44"/>
  <c r="G19" i="44"/>
  <c r="F19" i="44"/>
  <c r="E19" i="44"/>
  <c r="AA19" i="44" s="1"/>
  <c r="D19" i="44"/>
  <c r="Z19" i="44" s="1"/>
  <c r="AC19" i="44" s="1"/>
  <c r="C19" i="44"/>
  <c r="Y19" i="44" s="1"/>
  <c r="B19" i="44"/>
  <c r="A19" i="44"/>
  <c r="AB18" i="44"/>
  <c r="X18" i="44"/>
  <c r="W18" i="44"/>
  <c r="O18" i="44"/>
  <c r="N18" i="44"/>
  <c r="M18" i="44"/>
  <c r="L18" i="44"/>
  <c r="K18" i="44"/>
  <c r="J18" i="44"/>
  <c r="I18" i="44"/>
  <c r="H18" i="44"/>
  <c r="G18" i="44"/>
  <c r="F18" i="44"/>
  <c r="E18" i="44"/>
  <c r="AA18" i="44" s="1"/>
  <c r="D18" i="44"/>
  <c r="Z18" i="44" s="1"/>
  <c r="AC18" i="44" s="1"/>
  <c r="C18" i="44"/>
  <c r="Y18" i="44" s="1"/>
  <c r="B18" i="44"/>
  <c r="A18" i="44"/>
  <c r="AB17" i="44"/>
  <c r="AA17" i="44"/>
  <c r="X17" i="44"/>
  <c r="W17" i="44"/>
  <c r="O17" i="44"/>
  <c r="N17" i="44"/>
  <c r="M17" i="44"/>
  <c r="L17" i="44"/>
  <c r="K17" i="44"/>
  <c r="J17" i="44"/>
  <c r="I17" i="44"/>
  <c r="H17" i="44"/>
  <c r="G17" i="44"/>
  <c r="F17" i="44"/>
  <c r="E17" i="44"/>
  <c r="D17" i="44"/>
  <c r="Z17" i="44" s="1"/>
  <c r="AC17" i="44" s="1"/>
  <c r="C17" i="44"/>
  <c r="Y17" i="44" s="1"/>
  <c r="B17" i="44"/>
  <c r="A17" i="44"/>
  <c r="AB16" i="44"/>
  <c r="X16" i="44"/>
  <c r="W16" i="44"/>
  <c r="O16" i="44"/>
  <c r="N16" i="44"/>
  <c r="M16" i="44"/>
  <c r="L16" i="44"/>
  <c r="K16" i="44"/>
  <c r="J16" i="44"/>
  <c r="I16" i="44"/>
  <c r="H16" i="44"/>
  <c r="G16" i="44"/>
  <c r="F16" i="44"/>
  <c r="E16" i="44"/>
  <c r="AA16" i="44" s="1"/>
  <c r="D16" i="44"/>
  <c r="Z16" i="44" s="1"/>
  <c r="AC16" i="44" s="1"/>
  <c r="C16" i="44"/>
  <c r="Y16" i="44" s="1"/>
  <c r="B16" i="44"/>
  <c r="A16" i="44"/>
  <c r="AB15" i="44"/>
  <c r="X15" i="44"/>
  <c r="W15" i="44"/>
  <c r="O15" i="44"/>
  <c r="N15" i="44"/>
  <c r="M15" i="44"/>
  <c r="L15" i="44"/>
  <c r="K15" i="44"/>
  <c r="J15" i="44"/>
  <c r="I15" i="44"/>
  <c r="H15" i="44"/>
  <c r="G15" i="44"/>
  <c r="F15" i="44"/>
  <c r="E15" i="44"/>
  <c r="AA15" i="44" s="1"/>
  <c r="D15" i="44"/>
  <c r="Z15" i="44" s="1"/>
  <c r="AC15" i="44" s="1"/>
  <c r="C15" i="44"/>
  <c r="Y15" i="44" s="1"/>
  <c r="AE15" i="44" s="1"/>
  <c r="B15" i="44"/>
  <c r="A15" i="44"/>
  <c r="X14" i="44"/>
  <c r="W14" i="44"/>
  <c r="O14" i="44"/>
  <c r="N14" i="44"/>
  <c r="M14" i="44"/>
  <c r="L14" i="44"/>
  <c r="K14" i="44"/>
  <c r="J14" i="44"/>
  <c r="I14" i="44"/>
  <c r="H14" i="44"/>
  <c r="G14" i="44"/>
  <c r="F14" i="44"/>
  <c r="AB14" i="44" s="1"/>
  <c r="E14" i="44"/>
  <c r="AA14" i="44" s="1"/>
  <c r="D14" i="44"/>
  <c r="Z14" i="44" s="1"/>
  <c r="AC14" i="44" s="1"/>
  <c r="C14" i="44"/>
  <c r="Y14" i="44" s="1"/>
  <c r="B14" i="44"/>
  <c r="A14" i="44"/>
  <c r="X13" i="44"/>
  <c r="W13" i="44"/>
  <c r="O13" i="44"/>
  <c r="N13" i="44"/>
  <c r="M13" i="44"/>
  <c r="L13" i="44"/>
  <c r="K13" i="44"/>
  <c r="J13" i="44"/>
  <c r="I13" i="44"/>
  <c r="H13" i="44"/>
  <c r="G13" i="44"/>
  <c r="F13" i="44"/>
  <c r="AB13" i="44" s="1"/>
  <c r="E13" i="44"/>
  <c r="AA13" i="44" s="1"/>
  <c r="D13" i="44"/>
  <c r="Z13" i="44" s="1"/>
  <c r="C13" i="44"/>
  <c r="Y13" i="44" s="1"/>
  <c r="AE13" i="44" s="1"/>
  <c r="B13" i="44"/>
  <c r="A13" i="44"/>
  <c r="AA12" i="44"/>
  <c r="Y12" i="44"/>
  <c r="X12" i="44"/>
  <c r="W12" i="44"/>
  <c r="O12" i="44"/>
  <c r="N12" i="44"/>
  <c r="M12" i="44"/>
  <c r="L12" i="44"/>
  <c r="K12" i="44"/>
  <c r="J12" i="44"/>
  <c r="I12" i="44"/>
  <c r="H12" i="44"/>
  <c r="G12" i="44"/>
  <c r="F12" i="44"/>
  <c r="AB12" i="44" s="1"/>
  <c r="E12" i="44"/>
  <c r="D12" i="44"/>
  <c r="Z12" i="44" s="1"/>
  <c r="AC12" i="44" s="1"/>
  <c r="C12" i="44"/>
  <c r="B12" i="44"/>
  <c r="A12" i="44"/>
  <c r="AB11" i="44"/>
  <c r="AA11" i="44"/>
  <c r="X11" i="44"/>
  <c r="W11" i="44"/>
  <c r="O11" i="44"/>
  <c r="N11" i="44"/>
  <c r="M11" i="44"/>
  <c r="L11" i="44"/>
  <c r="K11" i="44"/>
  <c r="J11" i="44"/>
  <c r="I11" i="44"/>
  <c r="H11" i="44"/>
  <c r="G11" i="44"/>
  <c r="F11" i="44"/>
  <c r="E11" i="44"/>
  <c r="D11" i="44"/>
  <c r="Z11" i="44" s="1"/>
  <c r="C11" i="44"/>
  <c r="Y11" i="44" s="1"/>
  <c r="AE11" i="44" s="1"/>
  <c r="B11" i="44"/>
  <c r="A11" i="44"/>
  <c r="Y10" i="44"/>
  <c r="X10" i="44"/>
  <c r="W10" i="44"/>
  <c r="O10" i="44"/>
  <c r="N10" i="44"/>
  <c r="M10" i="44"/>
  <c r="L10" i="44"/>
  <c r="K10" i="44"/>
  <c r="J10" i="44"/>
  <c r="I10" i="44"/>
  <c r="H10" i="44"/>
  <c r="G10" i="44"/>
  <c r="F10" i="44"/>
  <c r="AB10" i="44" s="1"/>
  <c r="E10" i="44"/>
  <c r="AA10" i="44" s="1"/>
  <c r="D10" i="44"/>
  <c r="Z10" i="44" s="1"/>
  <c r="AC10" i="44" s="1"/>
  <c r="C10" i="44"/>
  <c r="B10" i="44"/>
  <c r="A10" i="44"/>
  <c r="X9" i="44"/>
  <c r="W9" i="44"/>
  <c r="O9" i="44"/>
  <c r="N9" i="44"/>
  <c r="M9" i="44"/>
  <c r="L9" i="44"/>
  <c r="K9" i="44"/>
  <c r="J9" i="44"/>
  <c r="I9" i="44"/>
  <c r="H9" i="44"/>
  <c r="G9" i="44"/>
  <c r="F9" i="44"/>
  <c r="AB9" i="44" s="1"/>
  <c r="E9" i="44"/>
  <c r="AA9" i="44" s="1"/>
  <c r="D9" i="44"/>
  <c r="Z9" i="44" s="1"/>
  <c r="C9" i="44"/>
  <c r="Y9" i="44" s="1"/>
  <c r="AE9" i="44" s="1"/>
  <c r="B9" i="44"/>
  <c r="A9" i="44"/>
  <c r="AB8" i="44"/>
  <c r="AA8" i="44"/>
  <c r="Z8" i="44"/>
  <c r="O8" i="44"/>
  <c r="N8" i="44"/>
  <c r="M8" i="44"/>
  <c r="L8" i="44"/>
  <c r="K8" i="44"/>
  <c r="J8" i="44"/>
  <c r="I8" i="44"/>
  <c r="H8" i="44"/>
  <c r="G8" i="44"/>
  <c r="F8" i="44"/>
  <c r="E8" i="44"/>
  <c r="D8" i="44"/>
  <c r="C8" i="44"/>
  <c r="Y8" i="44" s="1"/>
  <c r="B8" i="44"/>
  <c r="X8" i="44" s="1"/>
  <c r="A8" i="44"/>
  <c r="W8" i="44" s="1"/>
  <c r="Y7" i="44"/>
  <c r="AE7" i="44" s="1"/>
  <c r="W7" i="44"/>
  <c r="O7" i="44"/>
  <c r="N7" i="44"/>
  <c r="M7" i="44"/>
  <c r="L7" i="44"/>
  <c r="K7" i="44"/>
  <c r="J7" i="44"/>
  <c r="I7" i="44"/>
  <c r="H7" i="44"/>
  <c r="G7" i="44"/>
  <c r="F7" i="44"/>
  <c r="AB7" i="44" s="1"/>
  <c r="E7" i="44"/>
  <c r="AA7" i="44" s="1"/>
  <c r="D7" i="44"/>
  <c r="Z7" i="44" s="1"/>
  <c r="C7" i="44"/>
  <c r="B7" i="44"/>
  <c r="X7" i="44" s="1"/>
  <c r="AD7" i="44" s="1"/>
  <c r="A7" i="44"/>
  <c r="AB6" i="44"/>
  <c r="W6" i="44"/>
  <c r="O6" i="44"/>
  <c r="N6" i="44"/>
  <c r="M6" i="44"/>
  <c r="L6" i="44"/>
  <c r="K6" i="44"/>
  <c r="J6" i="44"/>
  <c r="I6" i="44"/>
  <c r="H6" i="44"/>
  <c r="G6" i="44"/>
  <c r="F6" i="44"/>
  <c r="E6" i="44"/>
  <c r="AA6" i="44" s="1"/>
  <c r="D6" i="44"/>
  <c r="Z6" i="44" s="1"/>
  <c r="C6" i="44"/>
  <c r="Y6" i="44" s="1"/>
  <c r="B6" i="44"/>
  <c r="X6" i="44" s="1"/>
  <c r="A6" i="44"/>
  <c r="Y5" i="44"/>
  <c r="X5" i="44"/>
  <c r="W5" i="44"/>
  <c r="O5" i="44"/>
  <c r="N5" i="44"/>
  <c r="M5" i="44"/>
  <c r="L5" i="44"/>
  <c r="K5" i="44"/>
  <c r="J5" i="44"/>
  <c r="I5" i="44"/>
  <c r="H5" i="44"/>
  <c r="G5" i="44"/>
  <c r="F5" i="44"/>
  <c r="AB5" i="44" s="1"/>
  <c r="E5" i="44"/>
  <c r="AA5" i="44" s="1"/>
  <c r="D5" i="44"/>
  <c r="Z5" i="44" s="1"/>
  <c r="C5" i="44"/>
  <c r="B5" i="44"/>
  <c r="A5" i="44"/>
  <c r="X4" i="44"/>
  <c r="W4" i="44"/>
  <c r="O4" i="44"/>
  <c r="N4" i="44"/>
  <c r="M4" i="44"/>
  <c r="L4" i="44"/>
  <c r="K4" i="44"/>
  <c r="J4" i="44"/>
  <c r="I4" i="44"/>
  <c r="H4" i="44"/>
  <c r="G4" i="44"/>
  <c r="F4" i="44"/>
  <c r="AB4" i="44" s="1"/>
  <c r="E4" i="44"/>
  <c r="AA4" i="44" s="1"/>
  <c r="D4" i="44"/>
  <c r="Z4" i="44" s="1"/>
  <c r="C4" i="44"/>
  <c r="Y4" i="44" s="1"/>
  <c r="B4" i="44"/>
  <c r="A4" i="44"/>
  <c r="AB3" i="44"/>
  <c r="Y3" i="44"/>
  <c r="W3" i="44"/>
  <c r="O3" i="44"/>
  <c r="N3" i="44"/>
  <c r="M3" i="44"/>
  <c r="L3" i="44"/>
  <c r="K3" i="44"/>
  <c r="J3" i="44"/>
  <c r="I3" i="44"/>
  <c r="H3" i="44"/>
  <c r="G3" i="44"/>
  <c r="F3" i="44"/>
  <c r="E3" i="44"/>
  <c r="AA3" i="44" s="1"/>
  <c r="D3" i="44"/>
  <c r="Z3" i="44" s="1"/>
  <c r="C3" i="44"/>
  <c r="B3" i="44"/>
  <c r="X3" i="44" s="1"/>
  <c r="A3" i="44"/>
  <c r="O3" i="43"/>
  <c r="P3" i="43"/>
  <c r="Q3" i="43"/>
  <c r="R3" i="43"/>
  <c r="S3" i="43"/>
  <c r="T3" i="43"/>
  <c r="O4" i="43"/>
  <c r="P4" i="43"/>
  <c r="Q4" i="43"/>
  <c r="R4" i="43"/>
  <c r="S4" i="43"/>
  <c r="T4" i="43"/>
  <c r="O5" i="43"/>
  <c r="P5" i="43"/>
  <c r="Q5" i="43"/>
  <c r="R5" i="43"/>
  <c r="S5" i="43"/>
  <c r="T5" i="43"/>
  <c r="O6" i="43"/>
  <c r="P6" i="43"/>
  <c r="Q6" i="43"/>
  <c r="R6" i="43"/>
  <c r="S6" i="43"/>
  <c r="T6" i="43"/>
  <c r="O7" i="43"/>
  <c r="P7" i="43"/>
  <c r="Q7" i="43"/>
  <c r="R7" i="43"/>
  <c r="S7" i="43"/>
  <c r="T7" i="43"/>
  <c r="O8" i="43"/>
  <c r="P8" i="43"/>
  <c r="Q8" i="43"/>
  <c r="R8" i="43"/>
  <c r="S8" i="43"/>
  <c r="T8" i="43"/>
  <c r="O9" i="43"/>
  <c r="P9" i="43"/>
  <c r="Q9" i="43"/>
  <c r="R9" i="43"/>
  <c r="S9" i="43"/>
  <c r="T9" i="43"/>
  <c r="O10" i="43"/>
  <c r="P10" i="43"/>
  <c r="Q10" i="43"/>
  <c r="R10" i="43"/>
  <c r="S10" i="43"/>
  <c r="T10" i="43"/>
  <c r="O11" i="43"/>
  <c r="P11" i="43"/>
  <c r="Q11" i="43"/>
  <c r="R11" i="43"/>
  <c r="S11" i="43"/>
  <c r="T11" i="43"/>
  <c r="O12" i="43"/>
  <c r="P12" i="43"/>
  <c r="Q12" i="43"/>
  <c r="R12" i="43"/>
  <c r="S12" i="43"/>
  <c r="T12" i="43"/>
  <c r="O13" i="43"/>
  <c r="P13" i="43"/>
  <c r="Q13" i="43"/>
  <c r="R13" i="43"/>
  <c r="S13" i="43"/>
  <c r="T13" i="43"/>
  <c r="O14" i="43"/>
  <c r="P14" i="43"/>
  <c r="Q14" i="43"/>
  <c r="R14" i="43"/>
  <c r="S14" i="43"/>
  <c r="T14" i="43"/>
  <c r="O15" i="43"/>
  <c r="P15" i="43"/>
  <c r="Q15" i="43"/>
  <c r="R15" i="43"/>
  <c r="S15" i="43"/>
  <c r="T15" i="43"/>
  <c r="O16" i="43"/>
  <c r="P16" i="43"/>
  <c r="Q16" i="43"/>
  <c r="R16" i="43"/>
  <c r="S16" i="43"/>
  <c r="T16" i="43"/>
  <c r="O17" i="43"/>
  <c r="P17" i="43"/>
  <c r="Q17" i="43"/>
  <c r="R17" i="43"/>
  <c r="S17" i="43"/>
  <c r="T17" i="43"/>
  <c r="O18" i="43"/>
  <c r="P18" i="43"/>
  <c r="Q18" i="43"/>
  <c r="R18" i="43"/>
  <c r="S18" i="43"/>
  <c r="T18" i="43"/>
  <c r="O19" i="43"/>
  <c r="P19" i="43"/>
  <c r="Q19" i="43"/>
  <c r="R19" i="43"/>
  <c r="S19" i="43"/>
  <c r="T19" i="43"/>
  <c r="O20" i="43"/>
  <c r="P20" i="43"/>
  <c r="Q20" i="43"/>
  <c r="R20" i="43"/>
  <c r="S20" i="43"/>
  <c r="T20" i="43"/>
  <c r="O21" i="43"/>
  <c r="P21" i="43"/>
  <c r="Q21" i="43"/>
  <c r="R21" i="43"/>
  <c r="S21" i="43"/>
  <c r="T21" i="43"/>
  <c r="O22" i="43"/>
  <c r="P22" i="43"/>
  <c r="Q22" i="43"/>
  <c r="R22" i="43"/>
  <c r="S22" i="43"/>
  <c r="T22" i="43"/>
  <c r="O23" i="43"/>
  <c r="P23" i="43"/>
  <c r="Q23" i="43"/>
  <c r="R23" i="43"/>
  <c r="S23" i="43"/>
  <c r="T23" i="43"/>
  <c r="O24" i="43"/>
  <c r="P24" i="43"/>
  <c r="Q24" i="43"/>
  <c r="R24" i="43"/>
  <c r="S24" i="43"/>
  <c r="T24" i="43"/>
  <c r="O25" i="43"/>
  <c r="P25" i="43"/>
  <c r="Q25" i="43"/>
  <c r="R25" i="43"/>
  <c r="S25" i="43"/>
  <c r="T25" i="43"/>
  <c r="O26" i="43"/>
  <c r="P26" i="43"/>
  <c r="Q26" i="43"/>
  <c r="R26" i="43"/>
  <c r="S26" i="43"/>
  <c r="T26" i="43"/>
  <c r="O27" i="43"/>
  <c r="P27" i="43"/>
  <c r="Q27" i="43"/>
  <c r="R27" i="43"/>
  <c r="S27" i="43"/>
  <c r="T27" i="43"/>
  <c r="O28" i="43"/>
  <c r="P28" i="43"/>
  <c r="Q28" i="43"/>
  <c r="R28" i="43"/>
  <c r="S28" i="43"/>
  <c r="T28" i="43"/>
  <c r="O29" i="43"/>
  <c r="P29" i="43"/>
  <c r="Q29" i="43"/>
  <c r="R29" i="43"/>
  <c r="S29" i="43"/>
  <c r="T29" i="43"/>
  <c r="O30" i="43"/>
  <c r="P30" i="43"/>
  <c r="Q30" i="43"/>
  <c r="R30" i="43"/>
  <c r="S30" i="43"/>
  <c r="T30" i="43"/>
  <c r="O31" i="43"/>
  <c r="P31" i="43"/>
  <c r="Q31" i="43"/>
  <c r="R31" i="43"/>
  <c r="S31" i="43"/>
  <c r="T31" i="43"/>
  <c r="O32" i="43"/>
  <c r="P32" i="43"/>
  <c r="Q32" i="43"/>
  <c r="R32" i="43"/>
  <c r="S32" i="43"/>
  <c r="T32" i="43"/>
  <c r="O33" i="43"/>
  <c r="P33" i="43"/>
  <c r="Q33" i="43"/>
  <c r="R33" i="43"/>
  <c r="S33" i="43"/>
  <c r="T33" i="43"/>
  <c r="O34" i="43"/>
  <c r="P34" i="43"/>
  <c r="Q34" i="43"/>
  <c r="R34" i="43"/>
  <c r="S34" i="43"/>
  <c r="T34" i="43"/>
  <c r="O35" i="43"/>
  <c r="P35" i="43"/>
  <c r="Q35" i="43"/>
  <c r="R35" i="43"/>
  <c r="S35" i="43"/>
  <c r="T35" i="43"/>
  <c r="O36" i="43"/>
  <c r="P36" i="43"/>
  <c r="Q36" i="43"/>
  <c r="R36" i="43"/>
  <c r="S36" i="43"/>
  <c r="T36" i="43"/>
  <c r="O37" i="43"/>
  <c r="P37" i="43"/>
  <c r="Q37" i="43"/>
  <c r="R37" i="43"/>
  <c r="S37" i="43"/>
  <c r="T37" i="43"/>
  <c r="O38" i="43"/>
  <c r="P38" i="43"/>
  <c r="Q38" i="43"/>
  <c r="R38" i="43"/>
  <c r="S38" i="43"/>
  <c r="T38" i="43"/>
  <c r="O39" i="43"/>
  <c r="P39" i="43"/>
  <c r="Q39" i="43"/>
  <c r="R39" i="43"/>
  <c r="S39" i="43"/>
  <c r="T39" i="43"/>
  <c r="O40" i="43"/>
  <c r="P40" i="43"/>
  <c r="Q40" i="43"/>
  <c r="R40" i="43"/>
  <c r="S40" i="43"/>
  <c r="T40" i="43"/>
  <c r="O41" i="43"/>
  <c r="P41" i="43"/>
  <c r="Q41" i="43"/>
  <c r="R41" i="43"/>
  <c r="S41" i="43"/>
  <c r="T41" i="43"/>
  <c r="O42" i="43"/>
  <c r="P42" i="43"/>
  <c r="Q42" i="43"/>
  <c r="R42" i="43"/>
  <c r="S42" i="43"/>
  <c r="T42" i="43"/>
  <c r="O43" i="43"/>
  <c r="P43" i="43"/>
  <c r="Q43" i="43"/>
  <c r="R43" i="43"/>
  <c r="S43" i="43"/>
  <c r="T43" i="43"/>
  <c r="O44" i="43"/>
  <c r="P44" i="43"/>
  <c r="Q44" i="43"/>
  <c r="R44" i="43"/>
  <c r="S44" i="43"/>
  <c r="T44" i="43"/>
  <c r="O45" i="43"/>
  <c r="P45" i="43"/>
  <c r="Q45" i="43"/>
  <c r="R45" i="43"/>
  <c r="S45" i="43"/>
  <c r="T45" i="43"/>
  <c r="O46" i="43"/>
  <c r="P46" i="43"/>
  <c r="Q46" i="43"/>
  <c r="R46" i="43"/>
  <c r="S46" i="43"/>
  <c r="T46" i="43"/>
  <c r="O47" i="43"/>
  <c r="P47" i="43"/>
  <c r="Q47" i="43"/>
  <c r="R47" i="43"/>
  <c r="S47" i="43"/>
  <c r="T47" i="43"/>
  <c r="O48" i="43"/>
  <c r="P48" i="43"/>
  <c r="Q48" i="43"/>
  <c r="R48" i="43"/>
  <c r="S48" i="43"/>
  <c r="T48" i="43"/>
  <c r="O49" i="43"/>
  <c r="P49" i="43"/>
  <c r="Q49" i="43"/>
  <c r="R49" i="43"/>
  <c r="S49" i="43"/>
  <c r="T49" i="43"/>
  <c r="O50" i="43"/>
  <c r="P50" i="43"/>
  <c r="Q50" i="43"/>
  <c r="R50" i="43"/>
  <c r="S50" i="43"/>
  <c r="T50" i="43"/>
  <c r="O51" i="43"/>
  <c r="P51" i="43"/>
  <c r="Q51" i="43"/>
  <c r="R51" i="43"/>
  <c r="S51" i="43"/>
  <c r="T51" i="43"/>
  <c r="P2" i="43"/>
  <c r="Q2" i="43"/>
  <c r="R2" i="43"/>
  <c r="S2" i="43"/>
  <c r="T2" i="43"/>
  <c r="O2" i="43"/>
  <c r="AG8" i="42"/>
  <c r="AH8" i="42"/>
  <c r="AF8" i="42"/>
  <c r="O52" i="42"/>
  <c r="N52" i="42"/>
  <c r="M52" i="42"/>
  <c r="L52" i="42"/>
  <c r="K52" i="42"/>
  <c r="J52" i="42"/>
  <c r="I52" i="42"/>
  <c r="H52" i="42"/>
  <c r="G52" i="42"/>
  <c r="F52" i="42"/>
  <c r="AB52" i="42" s="1"/>
  <c r="E52" i="42"/>
  <c r="AA52" i="42" s="1"/>
  <c r="D52" i="42"/>
  <c r="Z52" i="42" s="1"/>
  <c r="C52" i="42"/>
  <c r="Y52" i="42" s="1"/>
  <c r="B52" i="42"/>
  <c r="X52" i="42" s="1"/>
  <c r="A52" i="42"/>
  <c r="W52" i="42" s="1"/>
  <c r="O51" i="42"/>
  <c r="N51" i="42"/>
  <c r="M51" i="42"/>
  <c r="L51" i="42"/>
  <c r="K51" i="42"/>
  <c r="J51" i="42"/>
  <c r="I51" i="42"/>
  <c r="H51" i="42"/>
  <c r="G51" i="42"/>
  <c r="F51" i="42"/>
  <c r="AB51" i="42" s="1"/>
  <c r="E51" i="42"/>
  <c r="AA51" i="42" s="1"/>
  <c r="D51" i="42"/>
  <c r="Z51" i="42" s="1"/>
  <c r="C51" i="42"/>
  <c r="Y51" i="42" s="1"/>
  <c r="AE51" i="42" s="1"/>
  <c r="B51" i="42"/>
  <c r="X51" i="42" s="1"/>
  <c r="A51" i="42"/>
  <c r="W51" i="42" s="1"/>
  <c r="O50" i="42"/>
  <c r="N50" i="42"/>
  <c r="M50" i="42"/>
  <c r="L50" i="42"/>
  <c r="K50" i="42"/>
  <c r="J50" i="42"/>
  <c r="I50" i="42"/>
  <c r="H50" i="42"/>
  <c r="G50" i="42"/>
  <c r="F50" i="42"/>
  <c r="AB50" i="42" s="1"/>
  <c r="E50" i="42"/>
  <c r="AA50" i="42" s="1"/>
  <c r="D50" i="42"/>
  <c r="Z50" i="42" s="1"/>
  <c r="C50" i="42"/>
  <c r="Y50" i="42" s="1"/>
  <c r="B50" i="42"/>
  <c r="X50" i="42" s="1"/>
  <c r="AD50" i="42" s="1"/>
  <c r="A50" i="42"/>
  <c r="W50" i="42" s="1"/>
  <c r="AC50" i="42" s="1"/>
  <c r="O49" i="42"/>
  <c r="N49" i="42"/>
  <c r="M49" i="42"/>
  <c r="L49" i="42"/>
  <c r="K49" i="42"/>
  <c r="J49" i="42"/>
  <c r="I49" i="42"/>
  <c r="H49" i="42"/>
  <c r="G49" i="42"/>
  <c r="F49" i="42"/>
  <c r="AB49" i="42" s="1"/>
  <c r="E49" i="42"/>
  <c r="AA49" i="42" s="1"/>
  <c r="D49" i="42"/>
  <c r="Z49" i="42" s="1"/>
  <c r="C49" i="42"/>
  <c r="Y49" i="42" s="1"/>
  <c r="AE49" i="42" s="1"/>
  <c r="B49" i="42"/>
  <c r="X49" i="42" s="1"/>
  <c r="A49" i="42"/>
  <c r="W49" i="42" s="1"/>
  <c r="O48" i="42"/>
  <c r="N48" i="42"/>
  <c r="M48" i="42"/>
  <c r="L48" i="42"/>
  <c r="K48" i="42"/>
  <c r="J48" i="42"/>
  <c r="I48" i="42"/>
  <c r="H48" i="42"/>
  <c r="G48" i="42"/>
  <c r="F48" i="42"/>
  <c r="AB48" i="42" s="1"/>
  <c r="E48" i="42"/>
  <c r="AA48" i="42" s="1"/>
  <c r="D48" i="42"/>
  <c r="Z48" i="42" s="1"/>
  <c r="C48" i="42"/>
  <c r="Y48" i="42" s="1"/>
  <c r="B48" i="42"/>
  <c r="X48" i="42" s="1"/>
  <c r="A48" i="42"/>
  <c r="W48" i="42" s="1"/>
  <c r="O47" i="42"/>
  <c r="N47" i="42"/>
  <c r="M47" i="42"/>
  <c r="L47" i="42"/>
  <c r="K47" i="42"/>
  <c r="J47" i="42"/>
  <c r="I47" i="42"/>
  <c r="H47" i="42"/>
  <c r="G47" i="42"/>
  <c r="F47" i="42"/>
  <c r="AB47" i="42" s="1"/>
  <c r="E47" i="42"/>
  <c r="AA47" i="42" s="1"/>
  <c r="D47" i="42"/>
  <c r="Z47" i="42" s="1"/>
  <c r="C47" i="42"/>
  <c r="Y47" i="42" s="1"/>
  <c r="AE47" i="42" s="1"/>
  <c r="B47" i="42"/>
  <c r="X47" i="42" s="1"/>
  <c r="A47" i="42"/>
  <c r="W47" i="42" s="1"/>
  <c r="O46" i="42"/>
  <c r="N46" i="42"/>
  <c r="M46" i="42"/>
  <c r="L46" i="42"/>
  <c r="K46" i="42"/>
  <c r="J46" i="42"/>
  <c r="I46" i="42"/>
  <c r="H46" i="42"/>
  <c r="G46" i="42"/>
  <c r="F46" i="42"/>
  <c r="AB46" i="42" s="1"/>
  <c r="E46" i="42"/>
  <c r="AA46" i="42" s="1"/>
  <c r="D46" i="42"/>
  <c r="Z46" i="42" s="1"/>
  <c r="C46" i="42"/>
  <c r="Y46" i="42" s="1"/>
  <c r="B46" i="42"/>
  <c r="X46" i="42" s="1"/>
  <c r="AD46" i="42" s="1"/>
  <c r="A46" i="42"/>
  <c r="W46" i="42" s="1"/>
  <c r="AC46" i="42" s="1"/>
  <c r="O45" i="42"/>
  <c r="N45" i="42"/>
  <c r="M45" i="42"/>
  <c r="L45" i="42"/>
  <c r="K45" i="42"/>
  <c r="J45" i="42"/>
  <c r="I45" i="42"/>
  <c r="H45" i="42"/>
  <c r="G45" i="42"/>
  <c r="F45" i="42"/>
  <c r="AB45" i="42" s="1"/>
  <c r="E45" i="42"/>
  <c r="AA45" i="42" s="1"/>
  <c r="D45" i="42"/>
  <c r="Z45" i="42" s="1"/>
  <c r="C45" i="42"/>
  <c r="Y45" i="42" s="1"/>
  <c r="AE45" i="42" s="1"/>
  <c r="B45" i="42"/>
  <c r="X45" i="42" s="1"/>
  <c r="A45" i="42"/>
  <c r="W45" i="42" s="1"/>
  <c r="AC45" i="42" s="1"/>
  <c r="O44" i="42"/>
  <c r="N44" i="42"/>
  <c r="M44" i="42"/>
  <c r="L44" i="42"/>
  <c r="K44" i="42"/>
  <c r="J44" i="42"/>
  <c r="I44" i="42"/>
  <c r="H44" i="42"/>
  <c r="G44" i="42"/>
  <c r="F44" i="42"/>
  <c r="AB44" i="42" s="1"/>
  <c r="E44" i="42"/>
  <c r="AA44" i="42" s="1"/>
  <c r="D44" i="42"/>
  <c r="Z44" i="42" s="1"/>
  <c r="C44" i="42"/>
  <c r="Y44" i="42" s="1"/>
  <c r="B44" i="42"/>
  <c r="X44" i="42" s="1"/>
  <c r="A44" i="42"/>
  <c r="W44" i="42" s="1"/>
  <c r="O43" i="42"/>
  <c r="N43" i="42"/>
  <c r="M43" i="42"/>
  <c r="L43" i="42"/>
  <c r="K43" i="42"/>
  <c r="J43" i="42"/>
  <c r="I43" i="42"/>
  <c r="H43" i="42"/>
  <c r="G43" i="42"/>
  <c r="F43" i="42"/>
  <c r="AB43" i="42" s="1"/>
  <c r="E43" i="42"/>
  <c r="AA43" i="42" s="1"/>
  <c r="D43" i="42"/>
  <c r="Z43" i="42" s="1"/>
  <c r="C43" i="42"/>
  <c r="Y43" i="42" s="1"/>
  <c r="AE43" i="42" s="1"/>
  <c r="B43" i="42"/>
  <c r="X43" i="42" s="1"/>
  <c r="A43" i="42"/>
  <c r="W43" i="42" s="1"/>
  <c r="O42" i="42"/>
  <c r="N42" i="42"/>
  <c r="M42" i="42"/>
  <c r="L42" i="42"/>
  <c r="K42" i="42"/>
  <c r="J42" i="42"/>
  <c r="I42" i="42"/>
  <c r="H42" i="42"/>
  <c r="G42" i="42"/>
  <c r="F42" i="42"/>
  <c r="AB42" i="42" s="1"/>
  <c r="E42" i="42"/>
  <c r="AA42" i="42" s="1"/>
  <c r="D42" i="42"/>
  <c r="Z42" i="42" s="1"/>
  <c r="C42" i="42"/>
  <c r="Y42" i="42" s="1"/>
  <c r="B42" i="42"/>
  <c r="X42" i="42" s="1"/>
  <c r="AD42" i="42" s="1"/>
  <c r="A42" i="42"/>
  <c r="W42" i="42" s="1"/>
  <c r="AC42" i="42" s="1"/>
  <c r="O41" i="42"/>
  <c r="N41" i="42"/>
  <c r="M41" i="42"/>
  <c r="L41" i="42"/>
  <c r="K41" i="42"/>
  <c r="J41" i="42"/>
  <c r="I41" i="42"/>
  <c r="H41" i="42"/>
  <c r="G41" i="42"/>
  <c r="F41" i="42"/>
  <c r="AB41" i="42" s="1"/>
  <c r="E41" i="42"/>
  <c r="AA41" i="42" s="1"/>
  <c r="D41" i="42"/>
  <c r="Z41" i="42" s="1"/>
  <c r="C41" i="42"/>
  <c r="Y41" i="42" s="1"/>
  <c r="AE41" i="42" s="1"/>
  <c r="B41" i="42"/>
  <c r="X41" i="42" s="1"/>
  <c r="A41" i="42"/>
  <c r="W41" i="42" s="1"/>
  <c r="AC41" i="42" s="1"/>
  <c r="O40" i="42"/>
  <c r="N40" i="42"/>
  <c r="M40" i="42"/>
  <c r="L40" i="42"/>
  <c r="K40" i="42"/>
  <c r="J40" i="42"/>
  <c r="I40" i="42"/>
  <c r="H40" i="42"/>
  <c r="G40" i="42"/>
  <c r="F40" i="42"/>
  <c r="AB40" i="42" s="1"/>
  <c r="E40" i="42"/>
  <c r="AA40" i="42" s="1"/>
  <c r="D40" i="42"/>
  <c r="Z40" i="42" s="1"/>
  <c r="C40" i="42"/>
  <c r="Y40" i="42" s="1"/>
  <c r="B40" i="42"/>
  <c r="X40" i="42" s="1"/>
  <c r="A40" i="42"/>
  <c r="W40" i="42" s="1"/>
  <c r="O39" i="42"/>
  <c r="N39" i="42"/>
  <c r="M39" i="42"/>
  <c r="L39" i="42"/>
  <c r="K39" i="42"/>
  <c r="J39" i="42"/>
  <c r="I39" i="42"/>
  <c r="H39" i="42"/>
  <c r="G39" i="42"/>
  <c r="F39" i="42"/>
  <c r="AB39" i="42" s="1"/>
  <c r="E39" i="42"/>
  <c r="AA39" i="42" s="1"/>
  <c r="D39" i="42"/>
  <c r="Z39" i="42" s="1"/>
  <c r="C39" i="42"/>
  <c r="Y39" i="42" s="1"/>
  <c r="AE39" i="42" s="1"/>
  <c r="B39" i="42"/>
  <c r="X39" i="42" s="1"/>
  <c r="A39" i="42"/>
  <c r="W39" i="42" s="1"/>
  <c r="O38" i="42"/>
  <c r="N38" i="42"/>
  <c r="M38" i="42"/>
  <c r="L38" i="42"/>
  <c r="K38" i="42"/>
  <c r="J38" i="42"/>
  <c r="I38" i="42"/>
  <c r="H38" i="42"/>
  <c r="G38" i="42"/>
  <c r="F38" i="42"/>
  <c r="AB38" i="42" s="1"/>
  <c r="E38" i="42"/>
  <c r="AA38" i="42" s="1"/>
  <c r="D38" i="42"/>
  <c r="Z38" i="42" s="1"/>
  <c r="C38" i="42"/>
  <c r="Y38" i="42" s="1"/>
  <c r="B38" i="42"/>
  <c r="X38" i="42" s="1"/>
  <c r="AD38" i="42" s="1"/>
  <c r="A38" i="42"/>
  <c r="W38" i="42" s="1"/>
  <c r="AC38" i="42" s="1"/>
  <c r="O37" i="42"/>
  <c r="N37" i="42"/>
  <c r="M37" i="42"/>
  <c r="L37" i="42"/>
  <c r="K37" i="42"/>
  <c r="J37" i="42"/>
  <c r="I37" i="42"/>
  <c r="H37" i="42"/>
  <c r="G37" i="42"/>
  <c r="F37" i="42"/>
  <c r="AB37" i="42" s="1"/>
  <c r="E37" i="42"/>
  <c r="AA37" i="42" s="1"/>
  <c r="D37" i="42"/>
  <c r="Z37" i="42" s="1"/>
  <c r="C37" i="42"/>
  <c r="Y37" i="42" s="1"/>
  <c r="AE37" i="42" s="1"/>
  <c r="B37" i="42"/>
  <c r="X37" i="42" s="1"/>
  <c r="A37" i="42"/>
  <c r="W37" i="42" s="1"/>
  <c r="AC37" i="42" s="1"/>
  <c r="O36" i="42"/>
  <c r="N36" i="42"/>
  <c r="M36" i="42"/>
  <c r="L36" i="42"/>
  <c r="K36" i="42"/>
  <c r="J36" i="42"/>
  <c r="I36" i="42"/>
  <c r="H36" i="42"/>
  <c r="G36" i="42"/>
  <c r="F36" i="42"/>
  <c r="AB36" i="42" s="1"/>
  <c r="E36" i="42"/>
  <c r="AA36" i="42" s="1"/>
  <c r="D36" i="42"/>
  <c r="Z36" i="42" s="1"/>
  <c r="C36" i="42"/>
  <c r="Y36" i="42" s="1"/>
  <c r="B36" i="42"/>
  <c r="X36" i="42" s="1"/>
  <c r="A36" i="42"/>
  <c r="W36" i="42" s="1"/>
  <c r="O35" i="42"/>
  <c r="N35" i="42"/>
  <c r="M35" i="42"/>
  <c r="L35" i="42"/>
  <c r="K35" i="42"/>
  <c r="J35" i="42"/>
  <c r="I35" i="42"/>
  <c r="H35" i="42"/>
  <c r="G35" i="42"/>
  <c r="F35" i="42"/>
  <c r="AB35" i="42" s="1"/>
  <c r="E35" i="42"/>
  <c r="AA35" i="42" s="1"/>
  <c r="D35" i="42"/>
  <c r="Z35" i="42" s="1"/>
  <c r="C35" i="42"/>
  <c r="Y35" i="42" s="1"/>
  <c r="AE35" i="42" s="1"/>
  <c r="B35" i="42"/>
  <c r="X35" i="42" s="1"/>
  <c r="A35" i="42"/>
  <c r="W35" i="42" s="1"/>
  <c r="O34" i="42"/>
  <c r="N34" i="42"/>
  <c r="M34" i="42"/>
  <c r="L34" i="42"/>
  <c r="K34" i="42"/>
  <c r="J34" i="42"/>
  <c r="I34" i="42"/>
  <c r="H34" i="42"/>
  <c r="G34" i="42"/>
  <c r="F34" i="42"/>
  <c r="AB34" i="42" s="1"/>
  <c r="E34" i="42"/>
  <c r="AA34" i="42" s="1"/>
  <c r="D34" i="42"/>
  <c r="Z34" i="42" s="1"/>
  <c r="C34" i="42"/>
  <c r="Y34" i="42" s="1"/>
  <c r="B34" i="42"/>
  <c r="X34" i="42" s="1"/>
  <c r="AD34" i="42" s="1"/>
  <c r="A34" i="42"/>
  <c r="W34" i="42" s="1"/>
  <c r="AC34" i="42" s="1"/>
  <c r="O33" i="42"/>
  <c r="N33" i="42"/>
  <c r="M33" i="42"/>
  <c r="L33" i="42"/>
  <c r="K33" i="42"/>
  <c r="J33" i="42"/>
  <c r="I33" i="42"/>
  <c r="H33" i="42"/>
  <c r="G33" i="42"/>
  <c r="F33" i="42"/>
  <c r="AB33" i="42" s="1"/>
  <c r="E33" i="42"/>
  <c r="AA33" i="42" s="1"/>
  <c r="D33" i="42"/>
  <c r="Z33" i="42" s="1"/>
  <c r="C33" i="42"/>
  <c r="Y33" i="42" s="1"/>
  <c r="AE33" i="42" s="1"/>
  <c r="B33" i="42"/>
  <c r="X33" i="42" s="1"/>
  <c r="A33" i="42"/>
  <c r="W33" i="42" s="1"/>
  <c r="O32" i="42"/>
  <c r="N32" i="42"/>
  <c r="M32" i="42"/>
  <c r="L32" i="42"/>
  <c r="K32" i="42"/>
  <c r="J32" i="42"/>
  <c r="I32" i="42"/>
  <c r="H32" i="42"/>
  <c r="G32" i="42"/>
  <c r="F32" i="42"/>
  <c r="AB32" i="42" s="1"/>
  <c r="E32" i="42"/>
  <c r="AA32" i="42" s="1"/>
  <c r="D32" i="42"/>
  <c r="Z32" i="42" s="1"/>
  <c r="C32" i="42"/>
  <c r="Y32" i="42" s="1"/>
  <c r="B32" i="42"/>
  <c r="X32" i="42" s="1"/>
  <c r="A32" i="42"/>
  <c r="W32" i="42" s="1"/>
  <c r="O31" i="42"/>
  <c r="N31" i="42"/>
  <c r="M31" i="42"/>
  <c r="L31" i="42"/>
  <c r="K31" i="42"/>
  <c r="J31" i="42"/>
  <c r="I31" i="42"/>
  <c r="H31" i="42"/>
  <c r="G31" i="42"/>
  <c r="F31" i="42"/>
  <c r="AB31" i="42" s="1"/>
  <c r="E31" i="42"/>
  <c r="AA31" i="42" s="1"/>
  <c r="D31" i="42"/>
  <c r="Z31" i="42" s="1"/>
  <c r="C31" i="42"/>
  <c r="Y31" i="42" s="1"/>
  <c r="AE31" i="42" s="1"/>
  <c r="B31" i="42"/>
  <c r="X31" i="42" s="1"/>
  <c r="A31" i="42"/>
  <c r="W31" i="42" s="1"/>
  <c r="O30" i="42"/>
  <c r="N30" i="42"/>
  <c r="M30" i="42"/>
  <c r="L30" i="42"/>
  <c r="K30" i="42"/>
  <c r="J30" i="42"/>
  <c r="I30" i="42"/>
  <c r="H30" i="42"/>
  <c r="G30" i="42"/>
  <c r="F30" i="42"/>
  <c r="AB30" i="42" s="1"/>
  <c r="E30" i="42"/>
  <c r="AA30" i="42" s="1"/>
  <c r="D30" i="42"/>
  <c r="Z30" i="42" s="1"/>
  <c r="C30" i="42"/>
  <c r="Y30" i="42" s="1"/>
  <c r="B30" i="42"/>
  <c r="X30" i="42" s="1"/>
  <c r="AD30" i="42" s="1"/>
  <c r="A30" i="42"/>
  <c r="W30" i="42" s="1"/>
  <c r="AC30" i="42" s="1"/>
  <c r="O29" i="42"/>
  <c r="N29" i="42"/>
  <c r="M29" i="42"/>
  <c r="L29" i="42"/>
  <c r="K29" i="42"/>
  <c r="J29" i="42"/>
  <c r="I29" i="42"/>
  <c r="H29" i="42"/>
  <c r="G29" i="42"/>
  <c r="F29" i="42"/>
  <c r="AB29" i="42" s="1"/>
  <c r="E29" i="42"/>
  <c r="AA29" i="42" s="1"/>
  <c r="D29" i="42"/>
  <c r="Z29" i="42" s="1"/>
  <c r="C29" i="42"/>
  <c r="Y29" i="42" s="1"/>
  <c r="AE29" i="42" s="1"/>
  <c r="B29" i="42"/>
  <c r="X29" i="42" s="1"/>
  <c r="A29" i="42"/>
  <c r="W29" i="42" s="1"/>
  <c r="O28" i="42"/>
  <c r="N28" i="42"/>
  <c r="M28" i="42"/>
  <c r="L28" i="42"/>
  <c r="K28" i="42"/>
  <c r="J28" i="42"/>
  <c r="I28" i="42"/>
  <c r="H28" i="42"/>
  <c r="G28" i="42"/>
  <c r="F28" i="42"/>
  <c r="AB28" i="42" s="1"/>
  <c r="E28" i="42"/>
  <c r="AA28" i="42" s="1"/>
  <c r="D28" i="42"/>
  <c r="Z28" i="42" s="1"/>
  <c r="C28" i="42"/>
  <c r="Y28" i="42" s="1"/>
  <c r="B28" i="42"/>
  <c r="X28" i="42" s="1"/>
  <c r="A28" i="42"/>
  <c r="W28" i="42" s="1"/>
  <c r="O27" i="42"/>
  <c r="N27" i="42"/>
  <c r="M27" i="42"/>
  <c r="L27" i="42"/>
  <c r="K27" i="42"/>
  <c r="J27" i="42"/>
  <c r="I27" i="42"/>
  <c r="H27" i="42"/>
  <c r="G27" i="42"/>
  <c r="F27" i="42"/>
  <c r="AB27" i="42" s="1"/>
  <c r="E27" i="42"/>
  <c r="AA27" i="42" s="1"/>
  <c r="D27" i="42"/>
  <c r="Z27" i="42" s="1"/>
  <c r="C27" i="42"/>
  <c r="Y27" i="42" s="1"/>
  <c r="AE27" i="42" s="1"/>
  <c r="B27" i="42"/>
  <c r="X27" i="42" s="1"/>
  <c r="A27" i="42"/>
  <c r="W27" i="42" s="1"/>
  <c r="O26" i="42"/>
  <c r="N26" i="42"/>
  <c r="M26" i="42"/>
  <c r="L26" i="42"/>
  <c r="K26" i="42"/>
  <c r="J26" i="42"/>
  <c r="I26" i="42"/>
  <c r="H26" i="42"/>
  <c r="G26" i="42"/>
  <c r="F26" i="42"/>
  <c r="AB26" i="42" s="1"/>
  <c r="E26" i="42"/>
  <c r="AA26" i="42" s="1"/>
  <c r="D26" i="42"/>
  <c r="Z26" i="42" s="1"/>
  <c r="C26" i="42"/>
  <c r="Y26" i="42" s="1"/>
  <c r="B26" i="42"/>
  <c r="X26" i="42" s="1"/>
  <c r="AD26" i="42" s="1"/>
  <c r="A26" i="42"/>
  <c r="W26" i="42" s="1"/>
  <c r="AC26" i="42" s="1"/>
  <c r="O25" i="42"/>
  <c r="N25" i="42"/>
  <c r="M25" i="42"/>
  <c r="L25" i="42"/>
  <c r="K25" i="42"/>
  <c r="J25" i="42"/>
  <c r="I25" i="42"/>
  <c r="H25" i="42"/>
  <c r="G25" i="42"/>
  <c r="F25" i="42"/>
  <c r="AB25" i="42" s="1"/>
  <c r="E25" i="42"/>
  <c r="AA25" i="42" s="1"/>
  <c r="D25" i="42"/>
  <c r="Z25" i="42" s="1"/>
  <c r="C25" i="42"/>
  <c r="Y25" i="42" s="1"/>
  <c r="AE25" i="42" s="1"/>
  <c r="B25" i="42"/>
  <c r="X25" i="42" s="1"/>
  <c r="A25" i="42"/>
  <c r="W25" i="42" s="1"/>
  <c r="O24" i="42"/>
  <c r="N24" i="42"/>
  <c r="M24" i="42"/>
  <c r="L24" i="42"/>
  <c r="K24" i="42"/>
  <c r="J24" i="42"/>
  <c r="I24" i="42"/>
  <c r="H24" i="42"/>
  <c r="G24" i="42"/>
  <c r="F24" i="42"/>
  <c r="AB24" i="42" s="1"/>
  <c r="E24" i="42"/>
  <c r="AA24" i="42" s="1"/>
  <c r="D24" i="42"/>
  <c r="Z24" i="42" s="1"/>
  <c r="C24" i="42"/>
  <c r="Y24" i="42" s="1"/>
  <c r="B24" i="42"/>
  <c r="X24" i="42" s="1"/>
  <c r="A24" i="42"/>
  <c r="W24" i="42" s="1"/>
  <c r="O23" i="42"/>
  <c r="N23" i="42"/>
  <c r="M23" i="42"/>
  <c r="L23" i="42"/>
  <c r="K23" i="42"/>
  <c r="J23" i="42"/>
  <c r="I23" i="42"/>
  <c r="H23" i="42"/>
  <c r="G23" i="42"/>
  <c r="F23" i="42"/>
  <c r="AB23" i="42" s="1"/>
  <c r="E23" i="42"/>
  <c r="AA23" i="42" s="1"/>
  <c r="D23" i="42"/>
  <c r="Z23" i="42" s="1"/>
  <c r="C23" i="42"/>
  <c r="Y23" i="42" s="1"/>
  <c r="AE23" i="42" s="1"/>
  <c r="B23" i="42"/>
  <c r="X23" i="42" s="1"/>
  <c r="A23" i="42"/>
  <c r="W23" i="42" s="1"/>
  <c r="O22" i="42"/>
  <c r="N22" i="42"/>
  <c r="M22" i="42"/>
  <c r="L22" i="42"/>
  <c r="K22" i="42"/>
  <c r="J22" i="42"/>
  <c r="I22" i="42"/>
  <c r="H22" i="42"/>
  <c r="G22" i="42"/>
  <c r="F22" i="42"/>
  <c r="AB22" i="42" s="1"/>
  <c r="E22" i="42"/>
  <c r="AA22" i="42" s="1"/>
  <c r="D22" i="42"/>
  <c r="Z22" i="42" s="1"/>
  <c r="C22" i="42"/>
  <c r="Y22" i="42" s="1"/>
  <c r="B22" i="42"/>
  <c r="X22" i="42" s="1"/>
  <c r="AD22" i="42" s="1"/>
  <c r="A22" i="42"/>
  <c r="W22" i="42" s="1"/>
  <c r="AC22" i="42" s="1"/>
  <c r="O21" i="42"/>
  <c r="N21" i="42"/>
  <c r="M21" i="42"/>
  <c r="L21" i="42"/>
  <c r="K21" i="42"/>
  <c r="J21" i="42"/>
  <c r="I21" i="42"/>
  <c r="H21" i="42"/>
  <c r="G21" i="42"/>
  <c r="F21" i="42"/>
  <c r="AB21" i="42" s="1"/>
  <c r="E21" i="42"/>
  <c r="AA21" i="42" s="1"/>
  <c r="D21" i="42"/>
  <c r="Z21" i="42" s="1"/>
  <c r="C21" i="42"/>
  <c r="Y21" i="42" s="1"/>
  <c r="AE21" i="42" s="1"/>
  <c r="B21" i="42"/>
  <c r="X21" i="42" s="1"/>
  <c r="A21" i="42"/>
  <c r="W21" i="42" s="1"/>
  <c r="O20" i="42"/>
  <c r="N20" i="42"/>
  <c r="M20" i="42"/>
  <c r="L20" i="42"/>
  <c r="K20" i="42"/>
  <c r="J20" i="42"/>
  <c r="I20" i="42"/>
  <c r="H20" i="42"/>
  <c r="G20" i="42"/>
  <c r="F20" i="42"/>
  <c r="AB20" i="42" s="1"/>
  <c r="E20" i="42"/>
  <c r="AA20" i="42" s="1"/>
  <c r="D20" i="42"/>
  <c r="Z20" i="42" s="1"/>
  <c r="C20" i="42"/>
  <c r="Y20" i="42" s="1"/>
  <c r="B20" i="42"/>
  <c r="X20" i="42" s="1"/>
  <c r="A20" i="42"/>
  <c r="W20" i="42" s="1"/>
  <c r="O19" i="42"/>
  <c r="N19" i="42"/>
  <c r="M19" i="42"/>
  <c r="L19" i="42"/>
  <c r="K19" i="42"/>
  <c r="J19" i="42"/>
  <c r="I19" i="42"/>
  <c r="H19" i="42"/>
  <c r="G19" i="42"/>
  <c r="F19" i="42"/>
  <c r="AB19" i="42" s="1"/>
  <c r="E19" i="42"/>
  <c r="AA19" i="42" s="1"/>
  <c r="D19" i="42"/>
  <c r="Z19" i="42" s="1"/>
  <c r="C19" i="42"/>
  <c r="Y19" i="42" s="1"/>
  <c r="AE19" i="42" s="1"/>
  <c r="B19" i="42"/>
  <c r="X19" i="42" s="1"/>
  <c r="A19" i="42"/>
  <c r="W19" i="42" s="1"/>
  <c r="O18" i="42"/>
  <c r="N18" i="42"/>
  <c r="M18" i="42"/>
  <c r="L18" i="42"/>
  <c r="K18" i="42"/>
  <c r="J18" i="42"/>
  <c r="I18" i="42"/>
  <c r="H18" i="42"/>
  <c r="G18" i="42"/>
  <c r="F18" i="42"/>
  <c r="AB18" i="42" s="1"/>
  <c r="E18" i="42"/>
  <c r="AA18" i="42" s="1"/>
  <c r="D18" i="42"/>
  <c r="Z18" i="42" s="1"/>
  <c r="C18" i="42"/>
  <c r="Y18" i="42" s="1"/>
  <c r="B18" i="42"/>
  <c r="X18" i="42" s="1"/>
  <c r="AD18" i="42" s="1"/>
  <c r="A18" i="42"/>
  <c r="W18" i="42" s="1"/>
  <c r="AC18" i="42" s="1"/>
  <c r="O17" i="42"/>
  <c r="N17" i="42"/>
  <c r="M17" i="42"/>
  <c r="L17" i="42"/>
  <c r="K17" i="42"/>
  <c r="J17" i="42"/>
  <c r="I17" i="42"/>
  <c r="H17" i="42"/>
  <c r="G17" i="42"/>
  <c r="F17" i="42"/>
  <c r="AB17" i="42" s="1"/>
  <c r="E17" i="42"/>
  <c r="AA17" i="42" s="1"/>
  <c r="D17" i="42"/>
  <c r="Z17" i="42" s="1"/>
  <c r="C17" i="42"/>
  <c r="Y17" i="42" s="1"/>
  <c r="AE17" i="42" s="1"/>
  <c r="B17" i="42"/>
  <c r="X17" i="42" s="1"/>
  <c r="A17" i="42"/>
  <c r="W17" i="42" s="1"/>
  <c r="O16" i="42"/>
  <c r="N16" i="42"/>
  <c r="M16" i="42"/>
  <c r="L16" i="42"/>
  <c r="K16" i="42"/>
  <c r="J16" i="42"/>
  <c r="I16" i="42"/>
  <c r="H16" i="42"/>
  <c r="G16" i="42"/>
  <c r="F16" i="42"/>
  <c r="AB16" i="42" s="1"/>
  <c r="E16" i="42"/>
  <c r="AA16" i="42" s="1"/>
  <c r="D16" i="42"/>
  <c r="Z16" i="42" s="1"/>
  <c r="C16" i="42"/>
  <c r="Y16" i="42" s="1"/>
  <c r="B16" i="42"/>
  <c r="X16" i="42" s="1"/>
  <c r="A16" i="42"/>
  <c r="W16" i="42" s="1"/>
  <c r="O15" i="42"/>
  <c r="N15" i="42"/>
  <c r="M15" i="42"/>
  <c r="L15" i="42"/>
  <c r="K15" i="42"/>
  <c r="J15" i="42"/>
  <c r="I15" i="42"/>
  <c r="H15" i="42"/>
  <c r="G15" i="42"/>
  <c r="F15" i="42"/>
  <c r="AB15" i="42" s="1"/>
  <c r="E15" i="42"/>
  <c r="AA15" i="42" s="1"/>
  <c r="D15" i="42"/>
  <c r="Z15" i="42" s="1"/>
  <c r="C15" i="42"/>
  <c r="Y15" i="42" s="1"/>
  <c r="AE15" i="42" s="1"/>
  <c r="B15" i="42"/>
  <c r="X15" i="42" s="1"/>
  <c r="A15" i="42"/>
  <c r="W15" i="42" s="1"/>
  <c r="O14" i="42"/>
  <c r="N14" i="42"/>
  <c r="M14" i="42"/>
  <c r="L14" i="42"/>
  <c r="K14" i="42"/>
  <c r="J14" i="42"/>
  <c r="I14" i="42"/>
  <c r="H14" i="42"/>
  <c r="G14" i="42"/>
  <c r="F14" i="42"/>
  <c r="AB14" i="42" s="1"/>
  <c r="E14" i="42"/>
  <c r="AA14" i="42" s="1"/>
  <c r="D14" i="42"/>
  <c r="Z14" i="42" s="1"/>
  <c r="C14" i="42"/>
  <c r="Y14" i="42" s="1"/>
  <c r="B14" i="42"/>
  <c r="X14" i="42" s="1"/>
  <c r="AD14" i="42" s="1"/>
  <c r="A14" i="42"/>
  <c r="W14" i="42" s="1"/>
  <c r="AC14" i="42" s="1"/>
  <c r="O13" i="42"/>
  <c r="N13" i="42"/>
  <c r="M13" i="42"/>
  <c r="L13" i="42"/>
  <c r="K13" i="42"/>
  <c r="J13" i="42"/>
  <c r="I13" i="42"/>
  <c r="H13" i="42"/>
  <c r="G13" i="42"/>
  <c r="F13" i="42"/>
  <c r="AB13" i="42" s="1"/>
  <c r="E13" i="42"/>
  <c r="AA13" i="42" s="1"/>
  <c r="D13" i="42"/>
  <c r="Z13" i="42" s="1"/>
  <c r="C13" i="42"/>
  <c r="Y13" i="42" s="1"/>
  <c r="AE13" i="42" s="1"/>
  <c r="B13" i="42"/>
  <c r="X13" i="42" s="1"/>
  <c r="A13" i="42"/>
  <c r="W13" i="42" s="1"/>
  <c r="O12" i="42"/>
  <c r="N12" i="42"/>
  <c r="M12" i="42"/>
  <c r="L12" i="42"/>
  <c r="K12" i="42"/>
  <c r="J12" i="42"/>
  <c r="I12" i="42"/>
  <c r="H12" i="42"/>
  <c r="G12" i="42"/>
  <c r="F12" i="42"/>
  <c r="AB12" i="42" s="1"/>
  <c r="E12" i="42"/>
  <c r="AA12" i="42" s="1"/>
  <c r="D12" i="42"/>
  <c r="Z12" i="42" s="1"/>
  <c r="C12" i="42"/>
  <c r="Y12" i="42" s="1"/>
  <c r="B12" i="42"/>
  <c r="X12" i="42" s="1"/>
  <c r="A12" i="42"/>
  <c r="W12" i="42" s="1"/>
  <c r="O11" i="42"/>
  <c r="N11" i="42"/>
  <c r="M11" i="42"/>
  <c r="L11" i="42"/>
  <c r="K11" i="42"/>
  <c r="J11" i="42"/>
  <c r="I11" i="42"/>
  <c r="H11" i="42"/>
  <c r="G11" i="42"/>
  <c r="F11" i="42"/>
  <c r="AB11" i="42" s="1"/>
  <c r="E11" i="42"/>
  <c r="AA11" i="42" s="1"/>
  <c r="D11" i="42"/>
  <c r="Z11" i="42" s="1"/>
  <c r="C11" i="42"/>
  <c r="Y11" i="42" s="1"/>
  <c r="AE11" i="42" s="1"/>
  <c r="B11" i="42"/>
  <c r="X11" i="42" s="1"/>
  <c r="A11" i="42"/>
  <c r="W11" i="42" s="1"/>
  <c r="O10" i="42"/>
  <c r="N10" i="42"/>
  <c r="M10" i="42"/>
  <c r="L10" i="42"/>
  <c r="K10" i="42"/>
  <c r="J10" i="42"/>
  <c r="I10" i="42"/>
  <c r="H10" i="42"/>
  <c r="G10" i="42"/>
  <c r="F10" i="42"/>
  <c r="AB10" i="42" s="1"/>
  <c r="E10" i="42"/>
  <c r="AA10" i="42" s="1"/>
  <c r="D10" i="42"/>
  <c r="Z10" i="42" s="1"/>
  <c r="C10" i="42"/>
  <c r="Y10" i="42" s="1"/>
  <c r="B10" i="42"/>
  <c r="X10" i="42" s="1"/>
  <c r="AD10" i="42" s="1"/>
  <c r="A10" i="42"/>
  <c r="W10" i="42" s="1"/>
  <c r="AC10" i="42" s="1"/>
  <c r="O9" i="42"/>
  <c r="N9" i="42"/>
  <c r="M9" i="42"/>
  <c r="L9" i="42"/>
  <c r="K9" i="42"/>
  <c r="J9" i="42"/>
  <c r="I9" i="42"/>
  <c r="H9" i="42"/>
  <c r="G9" i="42"/>
  <c r="F9" i="42"/>
  <c r="AB9" i="42" s="1"/>
  <c r="E9" i="42"/>
  <c r="AA9" i="42" s="1"/>
  <c r="D9" i="42"/>
  <c r="Z9" i="42" s="1"/>
  <c r="C9" i="42"/>
  <c r="Y9" i="42" s="1"/>
  <c r="AE9" i="42" s="1"/>
  <c r="B9" i="42"/>
  <c r="X9" i="42" s="1"/>
  <c r="A9" i="42"/>
  <c r="W9" i="42" s="1"/>
  <c r="O8" i="42"/>
  <c r="N8" i="42"/>
  <c r="M8" i="42"/>
  <c r="L8" i="42"/>
  <c r="K8" i="42"/>
  <c r="J8" i="42"/>
  <c r="I8" i="42"/>
  <c r="H8" i="42"/>
  <c r="G8" i="42"/>
  <c r="F8" i="42"/>
  <c r="AB8" i="42" s="1"/>
  <c r="E8" i="42"/>
  <c r="AA8" i="42" s="1"/>
  <c r="D8" i="42"/>
  <c r="Z8" i="42" s="1"/>
  <c r="C8" i="42"/>
  <c r="Y8" i="42" s="1"/>
  <c r="B8" i="42"/>
  <c r="X8" i="42" s="1"/>
  <c r="A8" i="42"/>
  <c r="W8" i="42" s="1"/>
  <c r="Y7" i="42"/>
  <c r="X7" i="42"/>
  <c r="W7" i="42"/>
  <c r="O7" i="42"/>
  <c r="N7" i="42"/>
  <c r="M7" i="42"/>
  <c r="L7" i="42"/>
  <c r="K7" i="42"/>
  <c r="J7" i="42"/>
  <c r="I7" i="42"/>
  <c r="H7" i="42"/>
  <c r="G7" i="42"/>
  <c r="F7" i="42"/>
  <c r="AB7" i="42" s="1"/>
  <c r="E7" i="42"/>
  <c r="AA7" i="42" s="1"/>
  <c r="D7" i="42"/>
  <c r="Z7" i="42" s="1"/>
  <c r="C7" i="42"/>
  <c r="B7" i="42"/>
  <c r="A7" i="42"/>
  <c r="Y6" i="42"/>
  <c r="X6" i="42"/>
  <c r="W6" i="42"/>
  <c r="O6" i="42"/>
  <c r="N6" i="42"/>
  <c r="M6" i="42"/>
  <c r="L6" i="42"/>
  <c r="K6" i="42"/>
  <c r="J6" i="42"/>
  <c r="I6" i="42"/>
  <c r="H6" i="42"/>
  <c r="G6" i="42"/>
  <c r="F6" i="42"/>
  <c r="AB6" i="42" s="1"/>
  <c r="E6" i="42"/>
  <c r="AA6" i="42" s="1"/>
  <c r="D6" i="42"/>
  <c r="Z6" i="42" s="1"/>
  <c r="C6" i="42"/>
  <c r="B6" i="42"/>
  <c r="A6" i="42"/>
  <c r="Y5" i="42"/>
  <c r="X5" i="42"/>
  <c r="W5" i="42"/>
  <c r="O5" i="42"/>
  <c r="N5" i="42"/>
  <c r="M5" i="42"/>
  <c r="L5" i="42"/>
  <c r="K5" i="42"/>
  <c r="J5" i="42"/>
  <c r="I5" i="42"/>
  <c r="H5" i="42"/>
  <c r="G5" i="42"/>
  <c r="F5" i="42"/>
  <c r="AB5" i="42" s="1"/>
  <c r="E5" i="42"/>
  <c r="AA5" i="42" s="1"/>
  <c r="D5" i="42"/>
  <c r="Z5" i="42" s="1"/>
  <c r="C5" i="42"/>
  <c r="B5" i="42"/>
  <c r="A5" i="42"/>
  <c r="Y4" i="42"/>
  <c r="X4" i="42"/>
  <c r="W4" i="42"/>
  <c r="O4" i="42"/>
  <c r="N4" i="42"/>
  <c r="M4" i="42"/>
  <c r="L4" i="42"/>
  <c r="K4" i="42"/>
  <c r="J4" i="42"/>
  <c r="I4" i="42"/>
  <c r="H4" i="42"/>
  <c r="G4" i="42"/>
  <c r="F4" i="42"/>
  <c r="AB4" i="42" s="1"/>
  <c r="E4" i="42"/>
  <c r="AA4" i="42" s="1"/>
  <c r="D4" i="42"/>
  <c r="Z4" i="42" s="1"/>
  <c r="C4" i="42"/>
  <c r="B4" i="42"/>
  <c r="A4" i="42"/>
  <c r="Y3" i="42"/>
  <c r="X3" i="42"/>
  <c r="W3" i="42"/>
  <c r="O3" i="42"/>
  <c r="N3" i="42"/>
  <c r="M3" i="42"/>
  <c r="L3" i="42"/>
  <c r="K3" i="42"/>
  <c r="J3" i="42"/>
  <c r="I3" i="42"/>
  <c r="H3" i="42"/>
  <c r="G3" i="42"/>
  <c r="F3" i="42"/>
  <c r="AB3" i="42" s="1"/>
  <c r="E3" i="42"/>
  <c r="AA3" i="42" s="1"/>
  <c r="D3" i="42"/>
  <c r="Z3" i="42" s="1"/>
  <c r="C3" i="42"/>
  <c r="B3" i="42"/>
  <c r="A3" i="42"/>
  <c r="AB52" i="41"/>
  <c r="AA52" i="41"/>
  <c r="W52" i="41"/>
  <c r="O52" i="41"/>
  <c r="N52" i="41"/>
  <c r="M52" i="41"/>
  <c r="L52" i="41"/>
  <c r="K52" i="41"/>
  <c r="J52" i="41"/>
  <c r="I52" i="41"/>
  <c r="H52" i="41"/>
  <c r="G52" i="41"/>
  <c r="F52" i="41"/>
  <c r="E52" i="41"/>
  <c r="D52" i="41"/>
  <c r="Z52" i="41" s="1"/>
  <c r="C52" i="41"/>
  <c r="Y52" i="41" s="1"/>
  <c r="B52" i="41"/>
  <c r="X52" i="41" s="1"/>
  <c r="AD52" i="41" s="1"/>
  <c r="A52" i="41"/>
  <c r="AB51" i="41"/>
  <c r="AA51" i="41"/>
  <c r="W51" i="41"/>
  <c r="O51" i="41"/>
  <c r="N51" i="41"/>
  <c r="M51" i="41"/>
  <c r="L51" i="41"/>
  <c r="K51" i="41"/>
  <c r="J51" i="41"/>
  <c r="I51" i="41"/>
  <c r="H51" i="41"/>
  <c r="G51" i="41"/>
  <c r="F51" i="41"/>
  <c r="E51" i="41"/>
  <c r="D51" i="41"/>
  <c r="Z51" i="41" s="1"/>
  <c r="C51" i="41"/>
  <c r="Y51" i="41" s="1"/>
  <c r="AE51" i="41" s="1"/>
  <c r="B51" i="41"/>
  <c r="X51" i="41" s="1"/>
  <c r="AD51" i="41" s="1"/>
  <c r="A51" i="41"/>
  <c r="AB50" i="41"/>
  <c r="AA50" i="41"/>
  <c r="W50" i="41"/>
  <c r="O50" i="41"/>
  <c r="N50" i="41"/>
  <c r="M50" i="41"/>
  <c r="L50" i="41"/>
  <c r="K50" i="41"/>
  <c r="J50" i="41"/>
  <c r="I50" i="41"/>
  <c r="H50" i="41"/>
  <c r="G50" i="41"/>
  <c r="F50" i="41"/>
  <c r="E50" i="41"/>
  <c r="D50" i="41"/>
  <c r="Z50" i="41" s="1"/>
  <c r="C50" i="41"/>
  <c r="Y50" i="41" s="1"/>
  <c r="B50" i="41"/>
  <c r="X50" i="41" s="1"/>
  <c r="AD50" i="41" s="1"/>
  <c r="A50" i="41"/>
  <c r="AB49" i="41"/>
  <c r="AA49" i="41"/>
  <c r="W49" i="41"/>
  <c r="O49" i="41"/>
  <c r="N49" i="41"/>
  <c r="M49" i="41"/>
  <c r="L49" i="41"/>
  <c r="K49" i="41"/>
  <c r="J49" i="41"/>
  <c r="I49" i="41"/>
  <c r="H49" i="41"/>
  <c r="G49" i="41"/>
  <c r="F49" i="41"/>
  <c r="E49" i="41"/>
  <c r="D49" i="41"/>
  <c r="Z49" i="41" s="1"/>
  <c r="C49" i="41"/>
  <c r="Y49" i="41" s="1"/>
  <c r="AE49" i="41" s="1"/>
  <c r="B49" i="41"/>
  <c r="X49" i="41" s="1"/>
  <c r="AD49" i="41" s="1"/>
  <c r="A49" i="41"/>
  <c r="AB48" i="41"/>
  <c r="AA48" i="41"/>
  <c r="W48" i="41"/>
  <c r="O48" i="41"/>
  <c r="N48" i="41"/>
  <c r="M48" i="41"/>
  <c r="L48" i="41"/>
  <c r="K48" i="41"/>
  <c r="J48" i="41"/>
  <c r="I48" i="41"/>
  <c r="H48" i="41"/>
  <c r="G48" i="41"/>
  <c r="F48" i="41"/>
  <c r="E48" i="41"/>
  <c r="D48" i="41"/>
  <c r="Z48" i="41" s="1"/>
  <c r="C48" i="41"/>
  <c r="Y48" i="41" s="1"/>
  <c r="B48" i="41"/>
  <c r="X48" i="41" s="1"/>
  <c r="AD48" i="41" s="1"/>
  <c r="A48" i="41"/>
  <c r="AB47" i="41"/>
  <c r="AA47" i="41"/>
  <c r="W47" i="41"/>
  <c r="O47" i="41"/>
  <c r="N47" i="41"/>
  <c r="M47" i="41"/>
  <c r="L47" i="41"/>
  <c r="K47" i="41"/>
  <c r="J47" i="41"/>
  <c r="I47" i="41"/>
  <c r="H47" i="41"/>
  <c r="G47" i="41"/>
  <c r="F47" i="41"/>
  <c r="E47" i="41"/>
  <c r="D47" i="41"/>
  <c r="Z47" i="41" s="1"/>
  <c r="C47" i="41"/>
  <c r="Y47" i="41" s="1"/>
  <c r="AE47" i="41" s="1"/>
  <c r="B47" i="41"/>
  <c r="X47" i="41" s="1"/>
  <c r="AD47" i="41" s="1"/>
  <c r="A47" i="41"/>
  <c r="AB46" i="41"/>
  <c r="AA46" i="41"/>
  <c r="W46" i="41"/>
  <c r="O46" i="41"/>
  <c r="N46" i="41"/>
  <c r="M46" i="41"/>
  <c r="L46" i="41"/>
  <c r="K46" i="41"/>
  <c r="J46" i="41"/>
  <c r="I46" i="41"/>
  <c r="H46" i="41"/>
  <c r="G46" i="41"/>
  <c r="F46" i="41"/>
  <c r="E46" i="41"/>
  <c r="D46" i="41"/>
  <c r="Z46" i="41" s="1"/>
  <c r="C46" i="41"/>
  <c r="Y46" i="41" s="1"/>
  <c r="B46" i="41"/>
  <c r="X46" i="41" s="1"/>
  <c r="AD46" i="41" s="1"/>
  <c r="A46" i="41"/>
  <c r="AB45" i="41"/>
  <c r="AA45" i="41"/>
  <c r="W45" i="41"/>
  <c r="O45" i="41"/>
  <c r="N45" i="41"/>
  <c r="M45" i="41"/>
  <c r="L45" i="41"/>
  <c r="K45" i="41"/>
  <c r="J45" i="41"/>
  <c r="I45" i="41"/>
  <c r="H45" i="41"/>
  <c r="G45" i="41"/>
  <c r="F45" i="41"/>
  <c r="E45" i="41"/>
  <c r="D45" i="41"/>
  <c r="Z45" i="41" s="1"/>
  <c r="C45" i="41"/>
  <c r="Y45" i="41" s="1"/>
  <c r="AE45" i="41" s="1"/>
  <c r="B45" i="41"/>
  <c r="X45" i="41" s="1"/>
  <c r="AD45" i="41" s="1"/>
  <c r="A45" i="41"/>
  <c r="AB44" i="41"/>
  <c r="AA44" i="41"/>
  <c r="W44" i="41"/>
  <c r="O44" i="41"/>
  <c r="N44" i="41"/>
  <c r="M44" i="41"/>
  <c r="L44" i="41"/>
  <c r="K44" i="41"/>
  <c r="J44" i="41"/>
  <c r="I44" i="41"/>
  <c r="H44" i="41"/>
  <c r="G44" i="41"/>
  <c r="F44" i="41"/>
  <c r="E44" i="41"/>
  <c r="D44" i="41"/>
  <c r="Z44" i="41" s="1"/>
  <c r="C44" i="41"/>
  <c r="Y44" i="41" s="1"/>
  <c r="B44" i="41"/>
  <c r="X44" i="41" s="1"/>
  <c r="AD44" i="41" s="1"/>
  <c r="A44" i="41"/>
  <c r="AB43" i="41"/>
  <c r="AA43" i="41"/>
  <c r="W43" i="41"/>
  <c r="O43" i="41"/>
  <c r="N43" i="41"/>
  <c r="M43" i="41"/>
  <c r="L43" i="41"/>
  <c r="K43" i="41"/>
  <c r="J43" i="41"/>
  <c r="I43" i="41"/>
  <c r="H43" i="41"/>
  <c r="G43" i="41"/>
  <c r="F43" i="41"/>
  <c r="E43" i="41"/>
  <c r="D43" i="41"/>
  <c r="Z43" i="41" s="1"/>
  <c r="C43" i="41"/>
  <c r="Y43" i="41" s="1"/>
  <c r="AE43" i="41" s="1"/>
  <c r="B43" i="41"/>
  <c r="X43" i="41" s="1"/>
  <c r="AD43" i="41" s="1"/>
  <c r="A43" i="41"/>
  <c r="AB42" i="41"/>
  <c r="AA42" i="41"/>
  <c r="W42" i="41"/>
  <c r="O42" i="41"/>
  <c r="N42" i="41"/>
  <c r="M42" i="41"/>
  <c r="L42" i="41"/>
  <c r="K42" i="41"/>
  <c r="J42" i="41"/>
  <c r="I42" i="41"/>
  <c r="H42" i="41"/>
  <c r="G42" i="41"/>
  <c r="F42" i="41"/>
  <c r="E42" i="41"/>
  <c r="D42" i="41"/>
  <c r="Z42" i="41" s="1"/>
  <c r="C42" i="41"/>
  <c r="Y42" i="41" s="1"/>
  <c r="B42" i="41"/>
  <c r="X42" i="41" s="1"/>
  <c r="AD42" i="41" s="1"/>
  <c r="A42" i="41"/>
  <c r="AB41" i="41"/>
  <c r="AA41" i="41"/>
  <c r="W41" i="41"/>
  <c r="O41" i="41"/>
  <c r="N41" i="41"/>
  <c r="M41" i="41"/>
  <c r="L41" i="41"/>
  <c r="K41" i="41"/>
  <c r="J41" i="41"/>
  <c r="I41" i="41"/>
  <c r="H41" i="41"/>
  <c r="G41" i="41"/>
  <c r="F41" i="41"/>
  <c r="E41" i="41"/>
  <c r="D41" i="41"/>
  <c r="Z41" i="41" s="1"/>
  <c r="C41" i="41"/>
  <c r="Y41" i="41" s="1"/>
  <c r="AE41" i="41" s="1"/>
  <c r="B41" i="41"/>
  <c r="X41" i="41" s="1"/>
  <c r="AD41" i="41" s="1"/>
  <c r="A41" i="41"/>
  <c r="AB40" i="41"/>
  <c r="AA40" i="41"/>
  <c r="W40" i="41"/>
  <c r="O40" i="41"/>
  <c r="N40" i="41"/>
  <c r="M40" i="41"/>
  <c r="L40" i="41"/>
  <c r="K40" i="41"/>
  <c r="J40" i="41"/>
  <c r="I40" i="41"/>
  <c r="H40" i="41"/>
  <c r="G40" i="41"/>
  <c r="F40" i="41"/>
  <c r="E40" i="41"/>
  <c r="D40" i="41"/>
  <c r="Z40" i="41" s="1"/>
  <c r="C40" i="41"/>
  <c r="Y40" i="41" s="1"/>
  <c r="B40" i="41"/>
  <c r="X40" i="41" s="1"/>
  <c r="AD40" i="41" s="1"/>
  <c r="A40" i="41"/>
  <c r="AB39" i="41"/>
  <c r="AA39" i="41"/>
  <c r="W39" i="41"/>
  <c r="O39" i="41"/>
  <c r="N39" i="41"/>
  <c r="M39" i="41"/>
  <c r="L39" i="41"/>
  <c r="K39" i="41"/>
  <c r="J39" i="41"/>
  <c r="I39" i="41"/>
  <c r="H39" i="41"/>
  <c r="G39" i="41"/>
  <c r="F39" i="41"/>
  <c r="E39" i="41"/>
  <c r="D39" i="41"/>
  <c r="Z39" i="41" s="1"/>
  <c r="C39" i="41"/>
  <c r="Y39" i="41" s="1"/>
  <c r="AE39" i="41" s="1"/>
  <c r="B39" i="41"/>
  <c r="X39" i="41" s="1"/>
  <c r="AD39" i="41" s="1"/>
  <c r="A39" i="41"/>
  <c r="AB38" i="41"/>
  <c r="AA38" i="41"/>
  <c r="W38" i="41"/>
  <c r="O38" i="41"/>
  <c r="N38" i="41"/>
  <c r="M38" i="41"/>
  <c r="L38" i="41"/>
  <c r="K38" i="41"/>
  <c r="J38" i="41"/>
  <c r="I38" i="41"/>
  <c r="H38" i="41"/>
  <c r="G38" i="41"/>
  <c r="F38" i="41"/>
  <c r="E38" i="41"/>
  <c r="D38" i="41"/>
  <c r="Z38" i="41" s="1"/>
  <c r="C38" i="41"/>
  <c r="Y38" i="41" s="1"/>
  <c r="B38" i="41"/>
  <c r="X38" i="41" s="1"/>
  <c r="AD38" i="41" s="1"/>
  <c r="A38" i="41"/>
  <c r="AB37" i="41"/>
  <c r="AA37" i="41"/>
  <c r="W37" i="41"/>
  <c r="O37" i="41"/>
  <c r="N37" i="41"/>
  <c r="M37" i="41"/>
  <c r="L37" i="41"/>
  <c r="K37" i="41"/>
  <c r="J37" i="41"/>
  <c r="I37" i="41"/>
  <c r="H37" i="41"/>
  <c r="G37" i="41"/>
  <c r="F37" i="41"/>
  <c r="E37" i="41"/>
  <c r="D37" i="41"/>
  <c r="Z37" i="41" s="1"/>
  <c r="C37" i="41"/>
  <c r="Y37" i="41" s="1"/>
  <c r="AE37" i="41" s="1"/>
  <c r="B37" i="41"/>
  <c r="X37" i="41" s="1"/>
  <c r="AD37" i="41" s="1"/>
  <c r="A37" i="41"/>
  <c r="AB36" i="41"/>
  <c r="AA36" i="41"/>
  <c r="W36" i="41"/>
  <c r="O36" i="41"/>
  <c r="N36" i="41"/>
  <c r="M36" i="41"/>
  <c r="L36" i="41"/>
  <c r="K36" i="41"/>
  <c r="J36" i="41"/>
  <c r="I36" i="41"/>
  <c r="H36" i="41"/>
  <c r="G36" i="41"/>
  <c r="F36" i="41"/>
  <c r="E36" i="41"/>
  <c r="D36" i="41"/>
  <c r="Z36" i="41" s="1"/>
  <c r="C36" i="41"/>
  <c r="Y36" i="41" s="1"/>
  <c r="B36" i="41"/>
  <c r="X36" i="41" s="1"/>
  <c r="AD36" i="41" s="1"/>
  <c r="A36" i="41"/>
  <c r="AB35" i="41"/>
  <c r="AA35" i="41"/>
  <c r="W35" i="41"/>
  <c r="O35" i="41"/>
  <c r="N35" i="41"/>
  <c r="M35" i="41"/>
  <c r="L35" i="41"/>
  <c r="K35" i="41"/>
  <c r="J35" i="41"/>
  <c r="I35" i="41"/>
  <c r="H35" i="41"/>
  <c r="G35" i="41"/>
  <c r="F35" i="41"/>
  <c r="E35" i="41"/>
  <c r="D35" i="41"/>
  <c r="Z35" i="41" s="1"/>
  <c r="C35" i="41"/>
  <c r="Y35" i="41" s="1"/>
  <c r="AE35" i="41" s="1"/>
  <c r="B35" i="41"/>
  <c r="X35" i="41" s="1"/>
  <c r="AD35" i="41" s="1"/>
  <c r="A35" i="41"/>
  <c r="AB34" i="41"/>
  <c r="AA34" i="41"/>
  <c r="W34" i="41"/>
  <c r="O34" i="41"/>
  <c r="N34" i="41"/>
  <c r="M34" i="41"/>
  <c r="L34" i="41"/>
  <c r="K34" i="41"/>
  <c r="J34" i="41"/>
  <c r="I34" i="41"/>
  <c r="H34" i="41"/>
  <c r="G34" i="41"/>
  <c r="F34" i="41"/>
  <c r="E34" i="41"/>
  <c r="D34" i="41"/>
  <c r="Z34" i="41" s="1"/>
  <c r="C34" i="41"/>
  <c r="Y34" i="41" s="1"/>
  <c r="B34" i="41"/>
  <c r="X34" i="41" s="1"/>
  <c r="AD34" i="41" s="1"/>
  <c r="A34" i="41"/>
  <c r="AB33" i="41"/>
  <c r="AA33" i="41"/>
  <c r="W33" i="41"/>
  <c r="O33" i="41"/>
  <c r="N33" i="41"/>
  <c r="M33" i="41"/>
  <c r="L33" i="41"/>
  <c r="K33" i="41"/>
  <c r="J33" i="41"/>
  <c r="I33" i="41"/>
  <c r="H33" i="41"/>
  <c r="G33" i="41"/>
  <c r="F33" i="41"/>
  <c r="E33" i="41"/>
  <c r="D33" i="41"/>
  <c r="Z33" i="41" s="1"/>
  <c r="C33" i="41"/>
  <c r="Y33" i="41" s="1"/>
  <c r="AE33" i="41" s="1"/>
  <c r="B33" i="41"/>
  <c r="X33" i="41" s="1"/>
  <c r="AD33" i="41" s="1"/>
  <c r="A33" i="41"/>
  <c r="AB32" i="41"/>
  <c r="AA32" i="41"/>
  <c r="W32" i="41"/>
  <c r="O32" i="41"/>
  <c r="N32" i="41"/>
  <c r="M32" i="41"/>
  <c r="L32" i="41"/>
  <c r="K32" i="41"/>
  <c r="J32" i="41"/>
  <c r="I32" i="41"/>
  <c r="H32" i="41"/>
  <c r="G32" i="41"/>
  <c r="F32" i="41"/>
  <c r="E32" i="41"/>
  <c r="D32" i="41"/>
  <c r="Z32" i="41" s="1"/>
  <c r="C32" i="41"/>
  <c r="Y32" i="41" s="1"/>
  <c r="B32" i="41"/>
  <c r="X32" i="41" s="1"/>
  <c r="AD32" i="41" s="1"/>
  <c r="A32" i="41"/>
  <c r="AB31" i="41"/>
  <c r="AA31" i="41"/>
  <c r="W31" i="41"/>
  <c r="O31" i="41"/>
  <c r="N31" i="41"/>
  <c r="M31" i="41"/>
  <c r="L31" i="41"/>
  <c r="K31" i="41"/>
  <c r="J31" i="41"/>
  <c r="I31" i="41"/>
  <c r="H31" i="41"/>
  <c r="G31" i="41"/>
  <c r="F31" i="41"/>
  <c r="E31" i="41"/>
  <c r="D31" i="41"/>
  <c r="Z31" i="41" s="1"/>
  <c r="C31" i="41"/>
  <c r="Y31" i="41" s="1"/>
  <c r="AE31" i="41" s="1"/>
  <c r="B31" i="41"/>
  <c r="X31" i="41" s="1"/>
  <c r="AD31" i="41" s="1"/>
  <c r="A31" i="41"/>
  <c r="AB30" i="41"/>
  <c r="AA30" i="41"/>
  <c r="W30" i="41"/>
  <c r="O30" i="41"/>
  <c r="N30" i="41"/>
  <c r="M30" i="41"/>
  <c r="L30" i="41"/>
  <c r="K30" i="41"/>
  <c r="J30" i="41"/>
  <c r="I30" i="41"/>
  <c r="H30" i="41"/>
  <c r="G30" i="41"/>
  <c r="F30" i="41"/>
  <c r="E30" i="41"/>
  <c r="D30" i="41"/>
  <c r="Z30" i="41" s="1"/>
  <c r="C30" i="41"/>
  <c r="Y30" i="41" s="1"/>
  <c r="B30" i="41"/>
  <c r="X30" i="41" s="1"/>
  <c r="AD30" i="41" s="1"/>
  <c r="A30" i="41"/>
  <c r="AB29" i="41"/>
  <c r="AA29" i="41"/>
  <c r="W29" i="41"/>
  <c r="O29" i="41"/>
  <c r="N29" i="41"/>
  <c r="M29" i="41"/>
  <c r="L29" i="41"/>
  <c r="K29" i="41"/>
  <c r="J29" i="41"/>
  <c r="I29" i="41"/>
  <c r="H29" i="41"/>
  <c r="G29" i="41"/>
  <c r="F29" i="41"/>
  <c r="E29" i="41"/>
  <c r="D29" i="41"/>
  <c r="Z29" i="41" s="1"/>
  <c r="C29" i="41"/>
  <c r="Y29" i="41" s="1"/>
  <c r="AE29" i="41" s="1"/>
  <c r="B29" i="41"/>
  <c r="X29" i="41" s="1"/>
  <c r="AD29" i="41" s="1"/>
  <c r="A29" i="41"/>
  <c r="AB28" i="41"/>
  <c r="AA28" i="41"/>
  <c r="W28" i="41"/>
  <c r="O28" i="41"/>
  <c r="N28" i="41"/>
  <c r="M28" i="41"/>
  <c r="L28" i="41"/>
  <c r="K28" i="41"/>
  <c r="J28" i="41"/>
  <c r="I28" i="41"/>
  <c r="H28" i="41"/>
  <c r="G28" i="41"/>
  <c r="F28" i="41"/>
  <c r="E28" i="41"/>
  <c r="D28" i="41"/>
  <c r="Z28" i="41" s="1"/>
  <c r="C28" i="41"/>
  <c r="Y28" i="41" s="1"/>
  <c r="B28" i="41"/>
  <c r="X28" i="41" s="1"/>
  <c r="AD28" i="41" s="1"/>
  <c r="A28" i="41"/>
  <c r="AB27" i="41"/>
  <c r="AA27" i="41"/>
  <c r="W27" i="41"/>
  <c r="O27" i="41"/>
  <c r="N27" i="41"/>
  <c r="M27" i="41"/>
  <c r="L27" i="41"/>
  <c r="K27" i="41"/>
  <c r="J27" i="41"/>
  <c r="I27" i="41"/>
  <c r="H27" i="41"/>
  <c r="G27" i="41"/>
  <c r="F27" i="41"/>
  <c r="E27" i="41"/>
  <c r="D27" i="41"/>
  <c r="Z27" i="41" s="1"/>
  <c r="C27" i="41"/>
  <c r="Y27" i="41" s="1"/>
  <c r="AE27" i="41" s="1"/>
  <c r="B27" i="41"/>
  <c r="X27" i="41" s="1"/>
  <c r="AD27" i="41" s="1"/>
  <c r="A27" i="41"/>
  <c r="AB26" i="41"/>
  <c r="AA26" i="41"/>
  <c r="W26" i="41"/>
  <c r="O26" i="41"/>
  <c r="N26" i="41"/>
  <c r="M26" i="41"/>
  <c r="L26" i="41"/>
  <c r="K26" i="41"/>
  <c r="J26" i="41"/>
  <c r="I26" i="41"/>
  <c r="H26" i="41"/>
  <c r="G26" i="41"/>
  <c r="F26" i="41"/>
  <c r="E26" i="41"/>
  <c r="D26" i="41"/>
  <c r="Z26" i="41" s="1"/>
  <c r="C26" i="41"/>
  <c r="Y26" i="41" s="1"/>
  <c r="B26" i="41"/>
  <c r="X26" i="41" s="1"/>
  <c r="AD26" i="41" s="1"/>
  <c r="A26" i="41"/>
  <c r="AB25" i="41"/>
  <c r="AA25" i="41"/>
  <c r="W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Z25" i="41" s="1"/>
  <c r="C25" i="41"/>
  <c r="Y25" i="41" s="1"/>
  <c r="AE25" i="41" s="1"/>
  <c r="B25" i="41"/>
  <c r="X25" i="41" s="1"/>
  <c r="AD25" i="41" s="1"/>
  <c r="A25" i="41"/>
  <c r="AB24" i="41"/>
  <c r="AA24" i="41"/>
  <c r="W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Z24" i="41" s="1"/>
  <c r="C24" i="41"/>
  <c r="Y24" i="41" s="1"/>
  <c r="B24" i="41"/>
  <c r="X24" i="41" s="1"/>
  <c r="AD24" i="41" s="1"/>
  <c r="A24" i="41"/>
  <c r="AB23" i="41"/>
  <c r="AA23" i="41"/>
  <c r="W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Z23" i="41" s="1"/>
  <c r="C23" i="41"/>
  <c r="Y23" i="41" s="1"/>
  <c r="AE23" i="41" s="1"/>
  <c r="B23" i="41"/>
  <c r="X23" i="41" s="1"/>
  <c r="AD23" i="41" s="1"/>
  <c r="A23" i="41"/>
  <c r="AB22" i="41"/>
  <c r="AA22" i="41"/>
  <c r="W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Z22" i="41" s="1"/>
  <c r="C22" i="41"/>
  <c r="Y22" i="41" s="1"/>
  <c r="B22" i="41"/>
  <c r="X22" i="41" s="1"/>
  <c r="AD22" i="41" s="1"/>
  <c r="A22" i="41"/>
  <c r="AB21" i="41"/>
  <c r="AA21" i="41"/>
  <c r="W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Z21" i="41" s="1"/>
  <c r="C21" i="41"/>
  <c r="Y21" i="41" s="1"/>
  <c r="AE21" i="41" s="1"/>
  <c r="B21" i="41"/>
  <c r="X21" i="41" s="1"/>
  <c r="AD21" i="41" s="1"/>
  <c r="A21" i="41"/>
  <c r="AB20" i="41"/>
  <c r="AA20" i="41"/>
  <c r="W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Z20" i="41" s="1"/>
  <c r="C20" i="41"/>
  <c r="Y20" i="41" s="1"/>
  <c r="B20" i="41"/>
  <c r="X20" i="41" s="1"/>
  <c r="AD20" i="41" s="1"/>
  <c r="A20" i="41"/>
  <c r="AB19" i="41"/>
  <c r="AA19" i="41"/>
  <c r="W19" i="41"/>
  <c r="O19" i="41"/>
  <c r="N19" i="41"/>
  <c r="M19" i="41"/>
  <c r="L19" i="41"/>
  <c r="K19" i="41"/>
  <c r="J19" i="41"/>
  <c r="I19" i="41"/>
  <c r="H19" i="41"/>
  <c r="G19" i="41"/>
  <c r="F19" i="41"/>
  <c r="E19" i="41"/>
  <c r="D19" i="41"/>
  <c r="Z19" i="41" s="1"/>
  <c r="C19" i="41"/>
  <c r="Y19" i="41" s="1"/>
  <c r="AE19" i="41" s="1"/>
  <c r="B19" i="41"/>
  <c r="X19" i="41" s="1"/>
  <c r="AD19" i="41" s="1"/>
  <c r="A19" i="41"/>
  <c r="AB18" i="41"/>
  <c r="AA18" i="41"/>
  <c r="W18" i="41"/>
  <c r="O18" i="41"/>
  <c r="N18" i="41"/>
  <c r="M18" i="41"/>
  <c r="L18" i="41"/>
  <c r="K18" i="41"/>
  <c r="J18" i="41"/>
  <c r="I18" i="41"/>
  <c r="H18" i="41"/>
  <c r="G18" i="41"/>
  <c r="F18" i="41"/>
  <c r="E18" i="41"/>
  <c r="D18" i="41"/>
  <c r="Z18" i="41" s="1"/>
  <c r="C18" i="41"/>
  <c r="Y18" i="41" s="1"/>
  <c r="B18" i="41"/>
  <c r="X18" i="41" s="1"/>
  <c r="AD18" i="41" s="1"/>
  <c r="A18" i="41"/>
  <c r="AB17" i="41"/>
  <c r="AA17" i="41"/>
  <c r="W17" i="41"/>
  <c r="O17" i="41"/>
  <c r="N17" i="41"/>
  <c r="M17" i="41"/>
  <c r="L17" i="41"/>
  <c r="K17" i="41"/>
  <c r="J17" i="41"/>
  <c r="I17" i="41"/>
  <c r="H17" i="41"/>
  <c r="G17" i="41"/>
  <c r="F17" i="41"/>
  <c r="E17" i="41"/>
  <c r="D17" i="41"/>
  <c r="Z17" i="41" s="1"/>
  <c r="C17" i="41"/>
  <c r="Y17" i="41" s="1"/>
  <c r="AE17" i="41" s="1"/>
  <c r="B17" i="41"/>
  <c r="X17" i="41" s="1"/>
  <c r="AD17" i="41" s="1"/>
  <c r="A17" i="41"/>
  <c r="AB16" i="41"/>
  <c r="AA16" i="41"/>
  <c r="W16" i="41"/>
  <c r="O16" i="41"/>
  <c r="N16" i="41"/>
  <c r="M16" i="41"/>
  <c r="L16" i="41"/>
  <c r="K16" i="41"/>
  <c r="J16" i="41"/>
  <c r="I16" i="41"/>
  <c r="H16" i="41"/>
  <c r="G16" i="41"/>
  <c r="F16" i="41"/>
  <c r="E16" i="41"/>
  <c r="D16" i="41"/>
  <c r="Z16" i="41" s="1"/>
  <c r="C16" i="41"/>
  <c r="Y16" i="41" s="1"/>
  <c r="B16" i="41"/>
  <c r="X16" i="41" s="1"/>
  <c r="AD16" i="41" s="1"/>
  <c r="A16" i="41"/>
  <c r="AB15" i="41"/>
  <c r="AA15" i="41"/>
  <c r="W15" i="41"/>
  <c r="O15" i="41"/>
  <c r="N15" i="41"/>
  <c r="M15" i="41"/>
  <c r="L15" i="41"/>
  <c r="K15" i="41"/>
  <c r="J15" i="41"/>
  <c r="I15" i="41"/>
  <c r="H15" i="41"/>
  <c r="G15" i="41"/>
  <c r="F15" i="41"/>
  <c r="E15" i="41"/>
  <c r="D15" i="41"/>
  <c r="Z15" i="41" s="1"/>
  <c r="C15" i="41"/>
  <c r="Y15" i="41" s="1"/>
  <c r="AE15" i="41" s="1"/>
  <c r="B15" i="41"/>
  <c r="X15" i="41" s="1"/>
  <c r="AD15" i="41" s="1"/>
  <c r="A15" i="41"/>
  <c r="AB14" i="41"/>
  <c r="AA14" i="41"/>
  <c r="W14" i="41"/>
  <c r="O14" i="41"/>
  <c r="N14" i="41"/>
  <c r="M14" i="41"/>
  <c r="L14" i="41"/>
  <c r="K14" i="41"/>
  <c r="J14" i="41"/>
  <c r="I14" i="41"/>
  <c r="H14" i="41"/>
  <c r="G14" i="41"/>
  <c r="F14" i="41"/>
  <c r="E14" i="41"/>
  <c r="D14" i="41"/>
  <c r="Z14" i="41" s="1"/>
  <c r="C14" i="41"/>
  <c r="Y14" i="41" s="1"/>
  <c r="B14" i="41"/>
  <c r="X14" i="41" s="1"/>
  <c r="AD14" i="41" s="1"/>
  <c r="A14" i="41"/>
  <c r="AB13" i="41"/>
  <c r="AA13" i="41"/>
  <c r="W13" i="41"/>
  <c r="O13" i="41"/>
  <c r="N13" i="41"/>
  <c r="M13" i="41"/>
  <c r="L13" i="41"/>
  <c r="K13" i="41"/>
  <c r="J13" i="41"/>
  <c r="I13" i="41"/>
  <c r="H13" i="41"/>
  <c r="G13" i="41"/>
  <c r="F13" i="41"/>
  <c r="E13" i="41"/>
  <c r="D13" i="41"/>
  <c r="Z13" i="41" s="1"/>
  <c r="C13" i="41"/>
  <c r="Y13" i="41" s="1"/>
  <c r="AE13" i="41" s="1"/>
  <c r="B13" i="41"/>
  <c r="X13" i="41" s="1"/>
  <c r="AD13" i="41" s="1"/>
  <c r="A13" i="41"/>
  <c r="AB12" i="41"/>
  <c r="AA12" i="41"/>
  <c r="X12" i="41"/>
  <c r="AD12" i="41" s="1"/>
  <c r="W12" i="41"/>
  <c r="O12" i="41"/>
  <c r="N12" i="41"/>
  <c r="M12" i="41"/>
  <c r="L12" i="41"/>
  <c r="K12" i="41"/>
  <c r="J12" i="41"/>
  <c r="I12" i="41"/>
  <c r="H12" i="41"/>
  <c r="G12" i="41"/>
  <c r="F12" i="41"/>
  <c r="E12" i="41"/>
  <c r="D12" i="41"/>
  <c r="Z12" i="41" s="1"/>
  <c r="C12" i="41"/>
  <c r="Y12" i="41" s="1"/>
  <c r="B12" i="41"/>
  <c r="A12" i="41"/>
  <c r="AB11" i="41"/>
  <c r="AA11" i="41"/>
  <c r="X11" i="41"/>
  <c r="AD11" i="41" s="1"/>
  <c r="W11" i="41"/>
  <c r="O11" i="41"/>
  <c r="N11" i="41"/>
  <c r="M11" i="41"/>
  <c r="L11" i="41"/>
  <c r="K11" i="41"/>
  <c r="J11" i="41"/>
  <c r="I11" i="41"/>
  <c r="H11" i="41"/>
  <c r="G11" i="41"/>
  <c r="F11" i="41"/>
  <c r="E11" i="41"/>
  <c r="D11" i="41"/>
  <c r="Z11" i="41" s="1"/>
  <c r="C11" i="41"/>
  <c r="Y11" i="41" s="1"/>
  <c r="AE11" i="41" s="1"/>
  <c r="B11" i="41"/>
  <c r="A11" i="41"/>
  <c r="AB10" i="41"/>
  <c r="AA10" i="41"/>
  <c r="X10" i="41"/>
  <c r="AD10" i="41" s="1"/>
  <c r="W10" i="41"/>
  <c r="O10" i="41"/>
  <c r="N10" i="41"/>
  <c r="M10" i="41"/>
  <c r="L10" i="41"/>
  <c r="K10" i="41"/>
  <c r="J10" i="41"/>
  <c r="I10" i="41"/>
  <c r="H10" i="41"/>
  <c r="G10" i="41"/>
  <c r="F10" i="41"/>
  <c r="E10" i="41"/>
  <c r="D10" i="41"/>
  <c r="Z10" i="41" s="1"/>
  <c r="C10" i="41"/>
  <c r="Y10" i="41" s="1"/>
  <c r="B10" i="41"/>
  <c r="A10" i="41"/>
  <c r="AB9" i="41"/>
  <c r="AA9" i="41"/>
  <c r="X9" i="41"/>
  <c r="AD9" i="41" s="1"/>
  <c r="W9" i="41"/>
  <c r="O9" i="41"/>
  <c r="N9" i="41"/>
  <c r="M9" i="41"/>
  <c r="L9" i="41"/>
  <c r="K9" i="41"/>
  <c r="J9" i="41"/>
  <c r="I9" i="41"/>
  <c r="H9" i="41"/>
  <c r="G9" i="41"/>
  <c r="F9" i="41"/>
  <c r="E9" i="41"/>
  <c r="D9" i="41"/>
  <c r="Z9" i="41" s="1"/>
  <c r="C9" i="41"/>
  <c r="Y9" i="41" s="1"/>
  <c r="B9" i="41"/>
  <c r="A9" i="41"/>
  <c r="AB8" i="41"/>
  <c r="AA8" i="41"/>
  <c r="X8" i="41"/>
  <c r="AD8" i="41" s="1"/>
  <c r="W8" i="41"/>
  <c r="O8" i="41"/>
  <c r="N8" i="41"/>
  <c r="M8" i="41"/>
  <c r="L8" i="41"/>
  <c r="K8" i="41"/>
  <c r="J8" i="41"/>
  <c r="I8" i="41"/>
  <c r="H8" i="41"/>
  <c r="G8" i="41"/>
  <c r="F8" i="41"/>
  <c r="E8" i="41"/>
  <c r="D8" i="41"/>
  <c r="Z8" i="41" s="1"/>
  <c r="C8" i="41"/>
  <c r="Y8" i="41" s="1"/>
  <c r="AE8" i="41" s="1"/>
  <c r="B8" i="41"/>
  <c r="A8" i="41"/>
  <c r="AA7" i="41"/>
  <c r="Z7" i="41"/>
  <c r="O7" i="41"/>
  <c r="N7" i="41"/>
  <c r="M7" i="41"/>
  <c r="L7" i="41"/>
  <c r="K7" i="41"/>
  <c r="J7" i="41"/>
  <c r="I7" i="41"/>
  <c r="H7" i="41"/>
  <c r="G7" i="41"/>
  <c r="F7" i="41"/>
  <c r="AB7" i="41" s="1"/>
  <c r="E7" i="41"/>
  <c r="D7" i="41"/>
  <c r="C7" i="41"/>
  <c r="Y7" i="41" s="1"/>
  <c r="B7" i="41"/>
  <c r="X7" i="41" s="1"/>
  <c r="A7" i="41"/>
  <c r="W7" i="41" s="1"/>
  <c r="AA6" i="41"/>
  <c r="Z6" i="41"/>
  <c r="O6" i="41"/>
  <c r="N6" i="41"/>
  <c r="M6" i="41"/>
  <c r="L6" i="41"/>
  <c r="K6" i="41"/>
  <c r="J6" i="41"/>
  <c r="I6" i="41"/>
  <c r="H6" i="41"/>
  <c r="G6" i="41"/>
  <c r="F6" i="41"/>
  <c r="AB6" i="41" s="1"/>
  <c r="E6" i="41"/>
  <c r="D6" i="41"/>
  <c r="C6" i="41"/>
  <c r="Y6" i="41" s="1"/>
  <c r="B6" i="41"/>
  <c r="X6" i="41" s="1"/>
  <c r="AD6" i="41" s="1"/>
  <c r="A6" i="41"/>
  <c r="W6" i="41" s="1"/>
  <c r="AC6" i="41" s="1"/>
  <c r="AA5" i="41"/>
  <c r="Z5" i="41"/>
  <c r="O5" i="41"/>
  <c r="N5" i="41"/>
  <c r="M5" i="41"/>
  <c r="L5" i="41"/>
  <c r="K5" i="41"/>
  <c r="J5" i="41"/>
  <c r="I5" i="41"/>
  <c r="H5" i="41"/>
  <c r="G5" i="41"/>
  <c r="F5" i="41"/>
  <c r="AB5" i="41" s="1"/>
  <c r="E5" i="41"/>
  <c r="D5" i="41"/>
  <c r="C5" i="41"/>
  <c r="Y5" i="41" s="1"/>
  <c r="B5" i="41"/>
  <c r="X5" i="41" s="1"/>
  <c r="A5" i="41"/>
  <c r="W5" i="41" s="1"/>
  <c r="AB4" i="41"/>
  <c r="AA4" i="41"/>
  <c r="Z4" i="41"/>
  <c r="O4" i="41"/>
  <c r="N4" i="41"/>
  <c r="M4" i="41"/>
  <c r="L4" i="41"/>
  <c r="K4" i="41"/>
  <c r="J4" i="41"/>
  <c r="I4" i="41"/>
  <c r="H4" i="41"/>
  <c r="G4" i="41"/>
  <c r="F4" i="41"/>
  <c r="E4" i="41"/>
  <c r="D4" i="41"/>
  <c r="C4" i="41"/>
  <c r="Y4" i="41" s="1"/>
  <c r="B4" i="41"/>
  <c r="X4" i="41" s="1"/>
  <c r="AD4" i="41" s="1"/>
  <c r="A4" i="41"/>
  <c r="W4" i="41" s="1"/>
  <c r="AC4" i="41" s="1"/>
  <c r="AB3" i="41"/>
  <c r="AA3" i="41"/>
  <c r="Z3" i="41"/>
  <c r="O3" i="41"/>
  <c r="N3" i="41"/>
  <c r="M3" i="41"/>
  <c r="L3" i="41"/>
  <c r="K3" i="41"/>
  <c r="J3" i="41"/>
  <c r="I3" i="41"/>
  <c r="H3" i="41"/>
  <c r="G3" i="41"/>
  <c r="F3" i="41"/>
  <c r="E3" i="41"/>
  <c r="D3" i="41"/>
  <c r="C3" i="41"/>
  <c r="Y3" i="41" s="1"/>
  <c r="B3" i="41"/>
  <c r="X3" i="41" s="1"/>
  <c r="A3" i="41"/>
  <c r="W3" i="41" s="1"/>
  <c r="Y52" i="40"/>
  <c r="O52" i="40"/>
  <c r="N52" i="40"/>
  <c r="M52" i="40"/>
  <c r="L52" i="40"/>
  <c r="K52" i="40"/>
  <c r="J52" i="40"/>
  <c r="I52" i="40"/>
  <c r="H52" i="40"/>
  <c r="G52" i="40"/>
  <c r="F52" i="40"/>
  <c r="AB52" i="40" s="1"/>
  <c r="E52" i="40"/>
  <c r="AA52" i="40" s="1"/>
  <c r="D52" i="40"/>
  <c r="Z52" i="40" s="1"/>
  <c r="C52" i="40"/>
  <c r="B52" i="40"/>
  <c r="X52" i="40" s="1"/>
  <c r="A52" i="40"/>
  <c r="W52" i="40" s="1"/>
  <c r="W51" i="40"/>
  <c r="O51" i="40"/>
  <c r="N51" i="40"/>
  <c r="M51" i="40"/>
  <c r="L51" i="40"/>
  <c r="K51" i="40"/>
  <c r="J51" i="40"/>
  <c r="I51" i="40"/>
  <c r="H51" i="40"/>
  <c r="G51" i="40"/>
  <c r="F51" i="40"/>
  <c r="AB51" i="40" s="1"/>
  <c r="E51" i="40"/>
  <c r="AA51" i="40" s="1"/>
  <c r="D51" i="40"/>
  <c r="Z51" i="40" s="1"/>
  <c r="C51" i="40"/>
  <c r="Y51" i="40" s="1"/>
  <c r="B51" i="40"/>
  <c r="A51" i="40"/>
  <c r="Y50" i="40"/>
  <c r="O50" i="40"/>
  <c r="N50" i="40"/>
  <c r="M50" i="40"/>
  <c r="L50" i="40"/>
  <c r="K50" i="40"/>
  <c r="J50" i="40"/>
  <c r="I50" i="40"/>
  <c r="H50" i="40"/>
  <c r="G50" i="40"/>
  <c r="F50" i="40"/>
  <c r="AB50" i="40" s="1"/>
  <c r="E50" i="40"/>
  <c r="AA50" i="40" s="1"/>
  <c r="D50" i="40"/>
  <c r="Z50" i="40" s="1"/>
  <c r="C50" i="40"/>
  <c r="B50" i="40"/>
  <c r="X50" i="40" s="1"/>
  <c r="A50" i="40"/>
  <c r="W50" i="40" s="1"/>
  <c r="W49" i="40"/>
  <c r="O49" i="40"/>
  <c r="N49" i="40"/>
  <c r="M49" i="40"/>
  <c r="L49" i="40"/>
  <c r="K49" i="40"/>
  <c r="J49" i="40"/>
  <c r="I49" i="40"/>
  <c r="H49" i="40"/>
  <c r="G49" i="40"/>
  <c r="F49" i="40"/>
  <c r="AB49" i="40" s="1"/>
  <c r="E49" i="40"/>
  <c r="AA49" i="40" s="1"/>
  <c r="D49" i="40"/>
  <c r="Z49" i="40" s="1"/>
  <c r="C49" i="40"/>
  <c r="Y49" i="40" s="1"/>
  <c r="B49" i="40"/>
  <c r="A49" i="40"/>
  <c r="Y48" i="40"/>
  <c r="X48" i="40"/>
  <c r="O48" i="40"/>
  <c r="N48" i="40"/>
  <c r="M48" i="40"/>
  <c r="L48" i="40"/>
  <c r="K48" i="40"/>
  <c r="J48" i="40"/>
  <c r="I48" i="40"/>
  <c r="H48" i="40"/>
  <c r="G48" i="40"/>
  <c r="F48" i="40"/>
  <c r="AB48" i="40" s="1"/>
  <c r="E48" i="40"/>
  <c r="AA48" i="40" s="1"/>
  <c r="D48" i="40"/>
  <c r="Z48" i="40" s="1"/>
  <c r="C48" i="40"/>
  <c r="B48" i="40"/>
  <c r="A48" i="40"/>
  <c r="W48" i="40" s="1"/>
  <c r="W47" i="40"/>
  <c r="O47" i="40"/>
  <c r="N47" i="40"/>
  <c r="M47" i="40"/>
  <c r="L47" i="40"/>
  <c r="K47" i="40"/>
  <c r="J47" i="40"/>
  <c r="I47" i="40"/>
  <c r="H47" i="40"/>
  <c r="G47" i="40"/>
  <c r="F47" i="40"/>
  <c r="AB47" i="40" s="1"/>
  <c r="E47" i="40"/>
  <c r="AA47" i="40" s="1"/>
  <c r="D47" i="40"/>
  <c r="Z47" i="40" s="1"/>
  <c r="C47" i="40"/>
  <c r="Y47" i="40" s="1"/>
  <c r="B47" i="40"/>
  <c r="A47" i="40"/>
  <c r="Y46" i="40"/>
  <c r="X46" i="40"/>
  <c r="O46" i="40"/>
  <c r="N46" i="40"/>
  <c r="M46" i="40"/>
  <c r="L46" i="40"/>
  <c r="K46" i="40"/>
  <c r="J46" i="40"/>
  <c r="I46" i="40"/>
  <c r="H46" i="40"/>
  <c r="G46" i="40"/>
  <c r="F46" i="40"/>
  <c r="AB46" i="40" s="1"/>
  <c r="E46" i="40"/>
  <c r="AA46" i="40" s="1"/>
  <c r="D46" i="40"/>
  <c r="Z46" i="40" s="1"/>
  <c r="C46" i="40"/>
  <c r="B46" i="40"/>
  <c r="A46" i="40"/>
  <c r="W46" i="40" s="1"/>
  <c r="W45" i="40"/>
  <c r="O45" i="40"/>
  <c r="N45" i="40"/>
  <c r="M45" i="40"/>
  <c r="L45" i="40"/>
  <c r="K45" i="40"/>
  <c r="J45" i="40"/>
  <c r="I45" i="40"/>
  <c r="H45" i="40"/>
  <c r="G45" i="40"/>
  <c r="F45" i="40"/>
  <c r="AB45" i="40" s="1"/>
  <c r="E45" i="40"/>
  <c r="AA45" i="40" s="1"/>
  <c r="D45" i="40"/>
  <c r="Z45" i="40" s="1"/>
  <c r="C45" i="40"/>
  <c r="Y45" i="40" s="1"/>
  <c r="B45" i="40"/>
  <c r="A45" i="40"/>
  <c r="Y44" i="40"/>
  <c r="X44" i="40"/>
  <c r="O44" i="40"/>
  <c r="N44" i="40"/>
  <c r="M44" i="40"/>
  <c r="L44" i="40"/>
  <c r="K44" i="40"/>
  <c r="J44" i="40"/>
  <c r="I44" i="40"/>
  <c r="H44" i="40"/>
  <c r="G44" i="40"/>
  <c r="F44" i="40"/>
  <c r="AB44" i="40" s="1"/>
  <c r="E44" i="40"/>
  <c r="AA44" i="40" s="1"/>
  <c r="D44" i="40"/>
  <c r="Z44" i="40" s="1"/>
  <c r="C44" i="40"/>
  <c r="B44" i="40"/>
  <c r="A44" i="40"/>
  <c r="W44" i="40" s="1"/>
  <c r="W43" i="40"/>
  <c r="O43" i="40"/>
  <c r="N43" i="40"/>
  <c r="M43" i="40"/>
  <c r="L43" i="40"/>
  <c r="K43" i="40"/>
  <c r="J43" i="40"/>
  <c r="I43" i="40"/>
  <c r="H43" i="40"/>
  <c r="G43" i="40"/>
  <c r="F43" i="40"/>
  <c r="AB43" i="40" s="1"/>
  <c r="E43" i="40"/>
  <c r="AA43" i="40" s="1"/>
  <c r="D43" i="40"/>
  <c r="Z43" i="40" s="1"/>
  <c r="C43" i="40"/>
  <c r="Y43" i="40" s="1"/>
  <c r="B43" i="40"/>
  <c r="A43" i="40"/>
  <c r="Y42" i="40"/>
  <c r="X42" i="40"/>
  <c r="O42" i="40"/>
  <c r="N42" i="40"/>
  <c r="M42" i="40"/>
  <c r="L42" i="40"/>
  <c r="K42" i="40"/>
  <c r="J42" i="40"/>
  <c r="I42" i="40"/>
  <c r="H42" i="40"/>
  <c r="G42" i="40"/>
  <c r="F42" i="40"/>
  <c r="AB42" i="40" s="1"/>
  <c r="E42" i="40"/>
  <c r="AA42" i="40" s="1"/>
  <c r="D42" i="40"/>
  <c r="Z42" i="40" s="1"/>
  <c r="C42" i="40"/>
  <c r="B42" i="40"/>
  <c r="A42" i="40"/>
  <c r="W42" i="40" s="1"/>
  <c r="W41" i="40"/>
  <c r="O41" i="40"/>
  <c r="N41" i="40"/>
  <c r="M41" i="40"/>
  <c r="L41" i="40"/>
  <c r="K41" i="40"/>
  <c r="J41" i="40"/>
  <c r="I41" i="40"/>
  <c r="H41" i="40"/>
  <c r="G41" i="40"/>
  <c r="F41" i="40"/>
  <c r="AB41" i="40" s="1"/>
  <c r="E41" i="40"/>
  <c r="AA41" i="40" s="1"/>
  <c r="D41" i="40"/>
  <c r="Z41" i="40" s="1"/>
  <c r="C41" i="40"/>
  <c r="Y41" i="40" s="1"/>
  <c r="B41" i="40"/>
  <c r="A41" i="40"/>
  <c r="Y40" i="40"/>
  <c r="X40" i="40"/>
  <c r="O40" i="40"/>
  <c r="N40" i="40"/>
  <c r="M40" i="40"/>
  <c r="L40" i="40"/>
  <c r="K40" i="40"/>
  <c r="J40" i="40"/>
  <c r="I40" i="40"/>
  <c r="H40" i="40"/>
  <c r="G40" i="40"/>
  <c r="F40" i="40"/>
  <c r="AB40" i="40" s="1"/>
  <c r="E40" i="40"/>
  <c r="AA40" i="40" s="1"/>
  <c r="D40" i="40"/>
  <c r="Z40" i="40" s="1"/>
  <c r="C40" i="40"/>
  <c r="B40" i="40"/>
  <c r="A40" i="40"/>
  <c r="W40" i="40" s="1"/>
  <c r="W39" i="40"/>
  <c r="O39" i="40"/>
  <c r="N39" i="40"/>
  <c r="M39" i="40"/>
  <c r="L39" i="40"/>
  <c r="K39" i="40"/>
  <c r="J39" i="40"/>
  <c r="I39" i="40"/>
  <c r="H39" i="40"/>
  <c r="G39" i="40"/>
  <c r="F39" i="40"/>
  <c r="AB39" i="40" s="1"/>
  <c r="E39" i="40"/>
  <c r="AA39" i="40" s="1"/>
  <c r="D39" i="40"/>
  <c r="Z39" i="40" s="1"/>
  <c r="C39" i="40"/>
  <c r="Y39" i="40" s="1"/>
  <c r="B39" i="40"/>
  <c r="A39" i="40"/>
  <c r="Y38" i="40"/>
  <c r="X38" i="40"/>
  <c r="O38" i="40"/>
  <c r="N38" i="40"/>
  <c r="M38" i="40"/>
  <c r="L38" i="40"/>
  <c r="K38" i="40"/>
  <c r="J38" i="40"/>
  <c r="I38" i="40"/>
  <c r="H38" i="40"/>
  <c r="G38" i="40"/>
  <c r="F38" i="40"/>
  <c r="AB38" i="40" s="1"/>
  <c r="E38" i="40"/>
  <c r="AA38" i="40" s="1"/>
  <c r="D38" i="40"/>
  <c r="Z38" i="40" s="1"/>
  <c r="C38" i="40"/>
  <c r="B38" i="40"/>
  <c r="A38" i="40"/>
  <c r="W38" i="40" s="1"/>
  <c r="W37" i="40"/>
  <c r="O37" i="40"/>
  <c r="N37" i="40"/>
  <c r="M37" i="40"/>
  <c r="L37" i="40"/>
  <c r="K37" i="40"/>
  <c r="J37" i="40"/>
  <c r="I37" i="40"/>
  <c r="H37" i="40"/>
  <c r="G37" i="40"/>
  <c r="F37" i="40"/>
  <c r="AB37" i="40" s="1"/>
  <c r="E37" i="40"/>
  <c r="AA37" i="40" s="1"/>
  <c r="D37" i="40"/>
  <c r="Z37" i="40" s="1"/>
  <c r="C37" i="40"/>
  <c r="Y37" i="40" s="1"/>
  <c r="B37" i="40"/>
  <c r="A37" i="40"/>
  <c r="Y36" i="40"/>
  <c r="X36" i="40"/>
  <c r="O36" i="40"/>
  <c r="N36" i="40"/>
  <c r="M36" i="40"/>
  <c r="L36" i="40"/>
  <c r="K36" i="40"/>
  <c r="J36" i="40"/>
  <c r="I36" i="40"/>
  <c r="H36" i="40"/>
  <c r="G36" i="40"/>
  <c r="F36" i="40"/>
  <c r="AB36" i="40" s="1"/>
  <c r="E36" i="40"/>
  <c r="AA36" i="40" s="1"/>
  <c r="D36" i="40"/>
  <c r="Z36" i="40" s="1"/>
  <c r="C36" i="40"/>
  <c r="B36" i="40"/>
  <c r="A36" i="40"/>
  <c r="W36" i="40" s="1"/>
  <c r="W35" i="40"/>
  <c r="O35" i="40"/>
  <c r="N35" i="40"/>
  <c r="M35" i="40"/>
  <c r="L35" i="40"/>
  <c r="K35" i="40"/>
  <c r="J35" i="40"/>
  <c r="I35" i="40"/>
  <c r="H35" i="40"/>
  <c r="G35" i="40"/>
  <c r="F35" i="40"/>
  <c r="AB35" i="40" s="1"/>
  <c r="E35" i="40"/>
  <c r="AA35" i="40" s="1"/>
  <c r="D35" i="40"/>
  <c r="Z35" i="40" s="1"/>
  <c r="C35" i="40"/>
  <c r="Y35" i="40" s="1"/>
  <c r="B35" i="40"/>
  <c r="A35" i="40"/>
  <c r="Y34" i="40"/>
  <c r="X34" i="40"/>
  <c r="O34" i="40"/>
  <c r="N34" i="40"/>
  <c r="M34" i="40"/>
  <c r="L34" i="40"/>
  <c r="K34" i="40"/>
  <c r="J34" i="40"/>
  <c r="I34" i="40"/>
  <c r="H34" i="40"/>
  <c r="G34" i="40"/>
  <c r="F34" i="40"/>
  <c r="AB34" i="40" s="1"/>
  <c r="E34" i="40"/>
  <c r="AA34" i="40" s="1"/>
  <c r="D34" i="40"/>
  <c r="Z34" i="40" s="1"/>
  <c r="C34" i="40"/>
  <c r="B34" i="40"/>
  <c r="A34" i="40"/>
  <c r="W34" i="40" s="1"/>
  <c r="W33" i="40"/>
  <c r="O33" i="40"/>
  <c r="N33" i="40"/>
  <c r="M33" i="40"/>
  <c r="L33" i="40"/>
  <c r="K33" i="40"/>
  <c r="J33" i="40"/>
  <c r="I33" i="40"/>
  <c r="H33" i="40"/>
  <c r="G33" i="40"/>
  <c r="F33" i="40"/>
  <c r="AB33" i="40" s="1"/>
  <c r="E33" i="40"/>
  <c r="AA33" i="40" s="1"/>
  <c r="D33" i="40"/>
  <c r="Z33" i="40" s="1"/>
  <c r="C33" i="40"/>
  <c r="Y33" i="40" s="1"/>
  <c r="B33" i="40"/>
  <c r="A33" i="40"/>
  <c r="Y32" i="40"/>
  <c r="X32" i="40"/>
  <c r="O32" i="40"/>
  <c r="N32" i="40"/>
  <c r="M32" i="40"/>
  <c r="L32" i="40"/>
  <c r="K32" i="40"/>
  <c r="J32" i="40"/>
  <c r="I32" i="40"/>
  <c r="H32" i="40"/>
  <c r="G32" i="40"/>
  <c r="F32" i="40"/>
  <c r="AB32" i="40" s="1"/>
  <c r="E32" i="40"/>
  <c r="AA32" i="40" s="1"/>
  <c r="D32" i="40"/>
  <c r="Z32" i="40" s="1"/>
  <c r="C32" i="40"/>
  <c r="B32" i="40"/>
  <c r="A32" i="40"/>
  <c r="W32" i="40" s="1"/>
  <c r="W31" i="40"/>
  <c r="O31" i="40"/>
  <c r="N31" i="40"/>
  <c r="M31" i="40"/>
  <c r="L31" i="40"/>
  <c r="K31" i="40"/>
  <c r="J31" i="40"/>
  <c r="I31" i="40"/>
  <c r="H31" i="40"/>
  <c r="G31" i="40"/>
  <c r="F31" i="40"/>
  <c r="AB31" i="40" s="1"/>
  <c r="E31" i="40"/>
  <c r="AA31" i="40" s="1"/>
  <c r="D31" i="40"/>
  <c r="Z31" i="40" s="1"/>
  <c r="C31" i="40"/>
  <c r="Y31" i="40" s="1"/>
  <c r="B31" i="40"/>
  <c r="A31" i="40"/>
  <c r="Y30" i="40"/>
  <c r="X30" i="40"/>
  <c r="O30" i="40"/>
  <c r="N30" i="40"/>
  <c r="M30" i="40"/>
  <c r="L30" i="40"/>
  <c r="K30" i="40"/>
  <c r="J30" i="40"/>
  <c r="I30" i="40"/>
  <c r="H30" i="40"/>
  <c r="G30" i="40"/>
  <c r="F30" i="40"/>
  <c r="AB30" i="40" s="1"/>
  <c r="E30" i="40"/>
  <c r="AA30" i="40" s="1"/>
  <c r="D30" i="40"/>
  <c r="Z30" i="40" s="1"/>
  <c r="C30" i="40"/>
  <c r="B30" i="40"/>
  <c r="A30" i="40"/>
  <c r="W30" i="40" s="1"/>
  <c r="W29" i="40"/>
  <c r="O29" i="40"/>
  <c r="N29" i="40"/>
  <c r="M29" i="40"/>
  <c r="L29" i="40"/>
  <c r="K29" i="40"/>
  <c r="J29" i="40"/>
  <c r="I29" i="40"/>
  <c r="H29" i="40"/>
  <c r="G29" i="40"/>
  <c r="F29" i="40"/>
  <c r="AB29" i="40" s="1"/>
  <c r="E29" i="40"/>
  <c r="AA29" i="40" s="1"/>
  <c r="D29" i="40"/>
  <c r="Z29" i="40" s="1"/>
  <c r="C29" i="40"/>
  <c r="Y29" i="40" s="1"/>
  <c r="B29" i="40"/>
  <c r="A29" i="40"/>
  <c r="Y28" i="40"/>
  <c r="X28" i="40"/>
  <c r="O28" i="40"/>
  <c r="N28" i="40"/>
  <c r="M28" i="40"/>
  <c r="L28" i="40"/>
  <c r="K28" i="40"/>
  <c r="J28" i="40"/>
  <c r="I28" i="40"/>
  <c r="H28" i="40"/>
  <c r="G28" i="40"/>
  <c r="F28" i="40"/>
  <c r="AB28" i="40" s="1"/>
  <c r="E28" i="40"/>
  <c r="AA28" i="40" s="1"/>
  <c r="D28" i="40"/>
  <c r="Z28" i="40" s="1"/>
  <c r="C28" i="40"/>
  <c r="B28" i="40"/>
  <c r="A28" i="40"/>
  <c r="W28" i="40" s="1"/>
  <c r="Y27" i="40"/>
  <c r="W27" i="40"/>
  <c r="O27" i="40"/>
  <c r="N27" i="40"/>
  <c r="M27" i="40"/>
  <c r="L27" i="40"/>
  <c r="K27" i="40"/>
  <c r="J27" i="40"/>
  <c r="I27" i="40"/>
  <c r="H27" i="40"/>
  <c r="G27" i="40"/>
  <c r="F27" i="40"/>
  <c r="AB27" i="40" s="1"/>
  <c r="E27" i="40"/>
  <c r="AA27" i="40" s="1"/>
  <c r="D27" i="40"/>
  <c r="Z27" i="40" s="1"/>
  <c r="C27" i="40"/>
  <c r="B27" i="40"/>
  <c r="A27" i="40"/>
  <c r="Y26" i="40"/>
  <c r="X26" i="40"/>
  <c r="O26" i="40"/>
  <c r="N26" i="40"/>
  <c r="M26" i="40"/>
  <c r="L26" i="40"/>
  <c r="K26" i="40"/>
  <c r="J26" i="40"/>
  <c r="I26" i="40"/>
  <c r="H26" i="40"/>
  <c r="G26" i="40"/>
  <c r="F26" i="40"/>
  <c r="AB26" i="40" s="1"/>
  <c r="E26" i="40"/>
  <c r="AA26" i="40" s="1"/>
  <c r="D26" i="40"/>
  <c r="Z26" i="40" s="1"/>
  <c r="C26" i="40"/>
  <c r="B26" i="40"/>
  <c r="A26" i="40"/>
  <c r="W26" i="40" s="1"/>
  <c r="Y25" i="40"/>
  <c r="W25" i="40"/>
  <c r="O25" i="40"/>
  <c r="N25" i="40"/>
  <c r="M25" i="40"/>
  <c r="L25" i="40"/>
  <c r="K25" i="40"/>
  <c r="J25" i="40"/>
  <c r="I25" i="40"/>
  <c r="H25" i="40"/>
  <c r="G25" i="40"/>
  <c r="F25" i="40"/>
  <c r="AB25" i="40" s="1"/>
  <c r="E25" i="40"/>
  <c r="AA25" i="40" s="1"/>
  <c r="D25" i="40"/>
  <c r="Z25" i="40" s="1"/>
  <c r="C25" i="40"/>
  <c r="B25" i="40"/>
  <c r="A25" i="40"/>
  <c r="Y24" i="40"/>
  <c r="X24" i="40"/>
  <c r="O24" i="40"/>
  <c r="N24" i="40"/>
  <c r="M24" i="40"/>
  <c r="L24" i="40"/>
  <c r="K24" i="40"/>
  <c r="J24" i="40"/>
  <c r="I24" i="40"/>
  <c r="H24" i="40"/>
  <c r="G24" i="40"/>
  <c r="F24" i="40"/>
  <c r="AB24" i="40" s="1"/>
  <c r="E24" i="40"/>
  <c r="AA24" i="40" s="1"/>
  <c r="D24" i="40"/>
  <c r="Z24" i="40" s="1"/>
  <c r="C24" i="40"/>
  <c r="B24" i="40"/>
  <c r="A24" i="40"/>
  <c r="W24" i="40" s="1"/>
  <c r="Y23" i="40"/>
  <c r="W23" i="40"/>
  <c r="O23" i="40"/>
  <c r="N23" i="40"/>
  <c r="M23" i="40"/>
  <c r="L23" i="40"/>
  <c r="K23" i="40"/>
  <c r="J23" i="40"/>
  <c r="I23" i="40"/>
  <c r="H23" i="40"/>
  <c r="G23" i="40"/>
  <c r="F23" i="40"/>
  <c r="AB23" i="40" s="1"/>
  <c r="E23" i="40"/>
  <c r="AA23" i="40" s="1"/>
  <c r="D23" i="40"/>
  <c r="Z23" i="40" s="1"/>
  <c r="C23" i="40"/>
  <c r="B23" i="40"/>
  <c r="A23" i="40"/>
  <c r="Y22" i="40"/>
  <c r="X22" i="40"/>
  <c r="O22" i="40"/>
  <c r="N22" i="40"/>
  <c r="M22" i="40"/>
  <c r="L22" i="40"/>
  <c r="K22" i="40"/>
  <c r="J22" i="40"/>
  <c r="I22" i="40"/>
  <c r="H22" i="40"/>
  <c r="G22" i="40"/>
  <c r="F22" i="40"/>
  <c r="AB22" i="40" s="1"/>
  <c r="E22" i="40"/>
  <c r="AA22" i="40" s="1"/>
  <c r="D22" i="40"/>
  <c r="Z22" i="40" s="1"/>
  <c r="C22" i="40"/>
  <c r="B22" i="40"/>
  <c r="A22" i="40"/>
  <c r="W22" i="40" s="1"/>
  <c r="Y21" i="40"/>
  <c r="W21" i="40"/>
  <c r="O21" i="40"/>
  <c r="N21" i="40"/>
  <c r="M21" i="40"/>
  <c r="L21" i="40"/>
  <c r="K21" i="40"/>
  <c r="J21" i="40"/>
  <c r="I21" i="40"/>
  <c r="H21" i="40"/>
  <c r="G21" i="40"/>
  <c r="F21" i="40"/>
  <c r="AB21" i="40" s="1"/>
  <c r="E21" i="40"/>
  <c r="AA21" i="40" s="1"/>
  <c r="D21" i="40"/>
  <c r="Z21" i="40" s="1"/>
  <c r="C21" i="40"/>
  <c r="B21" i="40"/>
  <c r="A21" i="40"/>
  <c r="Z20" i="40"/>
  <c r="Y20" i="40"/>
  <c r="O20" i="40"/>
  <c r="N20" i="40"/>
  <c r="M20" i="40"/>
  <c r="L20" i="40"/>
  <c r="K20" i="40"/>
  <c r="J20" i="40"/>
  <c r="I20" i="40"/>
  <c r="H20" i="40"/>
  <c r="G20" i="40"/>
  <c r="F20" i="40"/>
  <c r="AB20" i="40" s="1"/>
  <c r="E20" i="40"/>
  <c r="AA20" i="40" s="1"/>
  <c r="D20" i="40"/>
  <c r="C20" i="40"/>
  <c r="B20" i="40"/>
  <c r="A20" i="40"/>
  <c r="W20" i="40" s="1"/>
  <c r="Y19" i="40"/>
  <c r="O19" i="40"/>
  <c r="N19" i="40"/>
  <c r="M19" i="40"/>
  <c r="L19" i="40"/>
  <c r="K19" i="40"/>
  <c r="J19" i="40"/>
  <c r="I19" i="40"/>
  <c r="H19" i="40"/>
  <c r="G19" i="40"/>
  <c r="F19" i="40"/>
  <c r="AB19" i="40" s="1"/>
  <c r="E19" i="40"/>
  <c r="AA19" i="40" s="1"/>
  <c r="D19" i="40"/>
  <c r="Z19" i="40" s="1"/>
  <c r="C19" i="40"/>
  <c r="B19" i="40"/>
  <c r="A19" i="40"/>
  <c r="W19" i="40" s="1"/>
  <c r="X18" i="40"/>
  <c r="W18" i="40"/>
  <c r="O18" i="40"/>
  <c r="N18" i="40"/>
  <c r="M18" i="40"/>
  <c r="L18" i="40"/>
  <c r="K18" i="40"/>
  <c r="J18" i="40"/>
  <c r="I18" i="40"/>
  <c r="H18" i="40"/>
  <c r="G18" i="40"/>
  <c r="F18" i="40"/>
  <c r="AB18" i="40" s="1"/>
  <c r="E18" i="40"/>
  <c r="AA18" i="40" s="1"/>
  <c r="D18" i="40"/>
  <c r="Z18" i="40" s="1"/>
  <c r="C18" i="40"/>
  <c r="Y18" i="40" s="1"/>
  <c r="B18" i="40"/>
  <c r="A18" i="40"/>
  <c r="X17" i="40"/>
  <c r="W17" i="40"/>
  <c r="O17" i="40"/>
  <c r="N17" i="40"/>
  <c r="M17" i="40"/>
  <c r="L17" i="40"/>
  <c r="K17" i="40"/>
  <c r="J17" i="40"/>
  <c r="I17" i="40"/>
  <c r="H17" i="40"/>
  <c r="G17" i="40"/>
  <c r="F17" i="40"/>
  <c r="AB17" i="40" s="1"/>
  <c r="E17" i="40"/>
  <c r="AA17" i="40" s="1"/>
  <c r="D17" i="40"/>
  <c r="Z17" i="40" s="1"/>
  <c r="C17" i="40"/>
  <c r="Y17" i="40" s="1"/>
  <c r="B17" i="40"/>
  <c r="A17" i="40"/>
  <c r="Z16" i="40"/>
  <c r="Y16" i="40"/>
  <c r="X16" i="40"/>
  <c r="O16" i="40"/>
  <c r="N16" i="40"/>
  <c r="M16" i="40"/>
  <c r="L16" i="40"/>
  <c r="K16" i="40"/>
  <c r="J16" i="40"/>
  <c r="I16" i="40"/>
  <c r="H16" i="40"/>
  <c r="G16" i="40"/>
  <c r="F16" i="40"/>
  <c r="AB16" i="40" s="1"/>
  <c r="E16" i="40"/>
  <c r="AA16" i="40" s="1"/>
  <c r="D16" i="40"/>
  <c r="C16" i="40"/>
  <c r="B16" i="40"/>
  <c r="A16" i="40"/>
  <c r="W16" i="40" s="1"/>
  <c r="AC16" i="40" s="1"/>
  <c r="Z15" i="40"/>
  <c r="Y15" i="40"/>
  <c r="X15" i="40"/>
  <c r="O15" i="40"/>
  <c r="N15" i="40"/>
  <c r="M15" i="40"/>
  <c r="L15" i="40"/>
  <c r="K15" i="40"/>
  <c r="J15" i="40"/>
  <c r="I15" i="40"/>
  <c r="H15" i="40"/>
  <c r="G15" i="40"/>
  <c r="F15" i="40"/>
  <c r="AB15" i="40" s="1"/>
  <c r="E15" i="40"/>
  <c r="AA15" i="40" s="1"/>
  <c r="D15" i="40"/>
  <c r="C15" i="40"/>
  <c r="B15" i="40"/>
  <c r="A15" i="40"/>
  <c r="W15" i="40" s="1"/>
  <c r="Z14" i="40"/>
  <c r="X14" i="40"/>
  <c r="O14" i="40"/>
  <c r="N14" i="40"/>
  <c r="M14" i="40"/>
  <c r="L14" i="40"/>
  <c r="K14" i="40"/>
  <c r="J14" i="40"/>
  <c r="I14" i="40"/>
  <c r="H14" i="40"/>
  <c r="G14" i="40"/>
  <c r="F14" i="40"/>
  <c r="AB14" i="40" s="1"/>
  <c r="E14" i="40"/>
  <c r="AA14" i="40" s="1"/>
  <c r="D14" i="40"/>
  <c r="C14" i="40"/>
  <c r="Y14" i="40" s="1"/>
  <c r="B14" i="40"/>
  <c r="A14" i="40"/>
  <c r="W14" i="40" s="1"/>
  <c r="AC14" i="40" s="1"/>
  <c r="Z13" i="40"/>
  <c r="W13" i="40"/>
  <c r="O13" i="40"/>
  <c r="N13" i="40"/>
  <c r="M13" i="40"/>
  <c r="L13" i="40"/>
  <c r="K13" i="40"/>
  <c r="J13" i="40"/>
  <c r="I13" i="40"/>
  <c r="H13" i="40"/>
  <c r="G13" i="40"/>
  <c r="F13" i="40"/>
  <c r="AB13" i="40" s="1"/>
  <c r="E13" i="40"/>
  <c r="AA13" i="40" s="1"/>
  <c r="D13" i="40"/>
  <c r="C13" i="40"/>
  <c r="Y13" i="40" s="1"/>
  <c r="B13" i="40"/>
  <c r="A13" i="40"/>
  <c r="Z12" i="40"/>
  <c r="W12" i="40"/>
  <c r="O12" i="40"/>
  <c r="N12" i="40"/>
  <c r="M12" i="40"/>
  <c r="L12" i="40"/>
  <c r="K12" i="40"/>
  <c r="J12" i="40"/>
  <c r="I12" i="40"/>
  <c r="H12" i="40"/>
  <c r="G12" i="40"/>
  <c r="F12" i="40"/>
  <c r="AB12" i="40" s="1"/>
  <c r="E12" i="40"/>
  <c r="AA12" i="40" s="1"/>
  <c r="D12" i="40"/>
  <c r="C12" i="40"/>
  <c r="Y12" i="40" s="1"/>
  <c r="B12" i="40"/>
  <c r="A12" i="40"/>
  <c r="Y11" i="40"/>
  <c r="X11" i="40"/>
  <c r="W11" i="40"/>
  <c r="O11" i="40"/>
  <c r="N11" i="40"/>
  <c r="M11" i="40"/>
  <c r="L11" i="40"/>
  <c r="K11" i="40"/>
  <c r="J11" i="40"/>
  <c r="I11" i="40"/>
  <c r="H11" i="40"/>
  <c r="G11" i="40"/>
  <c r="F11" i="40"/>
  <c r="AB11" i="40" s="1"/>
  <c r="E11" i="40"/>
  <c r="AA11" i="40" s="1"/>
  <c r="D11" i="40"/>
  <c r="Z11" i="40" s="1"/>
  <c r="C11" i="40"/>
  <c r="B11" i="40"/>
  <c r="A11" i="40"/>
  <c r="Y10" i="40"/>
  <c r="X10" i="40"/>
  <c r="W10" i="40"/>
  <c r="O10" i="40"/>
  <c r="N10" i="40"/>
  <c r="M10" i="40"/>
  <c r="L10" i="40"/>
  <c r="K10" i="40"/>
  <c r="J10" i="40"/>
  <c r="I10" i="40"/>
  <c r="H10" i="40"/>
  <c r="G10" i="40"/>
  <c r="F10" i="40"/>
  <c r="AB10" i="40" s="1"/>
  <c r="E10" i="40"/>
  <c r="AA10" i="40" s="1"/>
  <c r="D10" i="40"/>
  <c r="Z10" i="40" s="1"/>
  <c r="C10" i="40"/>
  <c r="B10" i="40"/>
  <c r="A10" i="40"/>
  <c r="Z9" i="40"/>
  <c r="Y9" i="40"/>
  <c r="W9" i="40"/>
  <c r="O9" i="40"/>
  <c r="N9" i="40"/>
  <c r="M9" i="40"/>
  <c r="L9" i="40"/>
  <c r="K9" i="40"/>
  <c r="J9" i="40"/>
  <c r="I9" i="40"/>
  <c r="H9" i="40"/>
  <c r="G9" i="40"/>
  <c r="F9" i="40"/>
  <c r="AB9" i="40" s="1"/>
  <c r="E9" i="40"/>
  <c r="AA9" i="40" s="1"/>
  <c r="D9" i="40"/>
  <c r="C9" i="40"/>
  <c r="B9" i="40"/>
  <c r="A9" i="40"/>
  <c r="Z8" i="40"/>
  <c r="Y8" i="40"/>
  <c r="O8" i="40"/>
  <c r="N8" i="40"/>
  <c r="M8" i="40"/>
  <c r="L8" i="40"/>
  <c r="K8" i="40"/>
  <c r="J8" i="40"/>
  <c r="I8" i="40"/>
  <c r="H8" i="40"/>
  <c r="G8" i="40"/>
  <c r="F8" i="40"/>
  <c r="AB8" i="40" s="1"/>
  <c r="E8" i="40"/>
  <c r="AA8" i="40" s="1"/>
  <c r="D8" i="40"/>
  <c r="C8" i="40"/>
  <c r="B8" i="40"/>
  <c r="X8" i="40" s="1"/>
  <c r="A8" i="40"/>
  <c r="W8" i="40" s="1"/>
  <c r="AB7" i="40"/>
  <c r="Y7" i="40"/>
  <c r="X7" i="40"/>
  <c r="W7" i="40"/>
  <c r="O7" i="40"/>
  <c r="N7" i="40"/>
  <c r="M7" i="40"/>
  <c r="L7" i="40"/>
  <c r="K7" i="40"/>
  <c r="J7" i="40"/>
  <c r="I7" i="40"/>
  <c r="H7" i="40"/>
  <c r="G7" i="40"/>
  <c r="F7" i="40"/>
  <c r="E7" i="40"/>
  <c r="AA7" i="40" s="1"/>
  <c r="D7" i="40"/>
  <c r="Z7" i="40" s="1"/>
  <c r="C7" i="40"/>
  <c r="B7" i="40"/>
  <c r="A7" i="40"/>
  <c r="AB6" i="40"/>
  <c r="Z6" i="40"/>
  <c r="W6" i="40"/>
  <c r="O6" i="40"/>
  <c r="N6" i="40"/>
  <c r="M6" i="40"/>
  <c r="L6" i="40"/>
  <c r="K6" i="40"/>
  <c r="J6" i="40"/>
  <c r="I6" i="40"/>
  <c r="H6" i="40"/>
  <c r="G6" i="40"/>
  <c r="F6" i="40"/>
  <c r="E6" i="40"/>
  <c r="AA6" i="40" s="1"/>
  <c r="D6" i="40"/>
  <c r="C6" i="40"/>
  <c r="Y6" i="40" s="1"/>
  <c r="B6" i="40"/>
  <c r="A6" i="40"/>
  <c r="AB5" i="40"/>
  <c r="AA5" i="40"/>
  <c r="Z5" i="40"/>
  <c r="X5" i="40"/>
  <c r="O5" i="40"/>
  <c r="N5" i="40"/>
  <c r="M5" i="40"/>
  <c r="L5" i="40"/>
  <c r="K5" i="40"/>
  <c r="J5" i="40"/>
  <c r="I5" i="40"/>
  <c r="H5" i="40"/>
  <c r="G5" i="40"/>
  <c r="F5" i="40"/>
  <c r="E5" i="40"/>
  <c r="D5" i="40"/>
  <c r="C5" i="40"/>
  <c r="Y5" i="40" s="1"/>
  <c r="B5" i="40"/>
  <c r="A5" i="40"/>
  <c r="W5" i="40" s="1"/>
  <c r="AB4" i="40"/>
  <c r="AA4" i="40"/>
  <c r="Z4" i="40"/>
  <c r="X4" i="40"/>
  <c r="W4" i="40"/>
  <c r="AC4" i="40" s="1"/>
  <c r="O4" i="40"/>
  <c r="N4" i="40"/>
  <c r="M4" i="40"/>
  <c r="L4" i="40"/>
  <c r="K4" i="40"/>
  <c r="J4" i="40"/>
  <c r="I4" i="40"/>
  <c r="H4" i="40"/>
  <c r="G4" i="40"/>
  <c r="F4" i="40"/>
  <c r="E4" i="40"/>
  <c r="D4" i="40"/>
  <c r="C4" i="40"/>
  <c r="Y4" i="40" s="1"/>
  <c r="B4" i="40"/>
  <c r="A4" i="40"/>
  <c r="Z3" i="40"/>
  <c r="Y3" i="40"/>
  <c r="X3" i="40"/>
  <c r="O3" i="40"/>
  <c r="N3" i="40"/>
  <c r="M3" i="40"/>
  <c r="L3" i="40"/>
  <c r="K3" i="40"/>
  <c r="J3" i="40"/>
  <c r="I3" i="40"/>
  <c r="H3" i="40"/>
  <c r="G3" i="40"/>
  <c r="F3" i="40"/>
  <c r="AB3" i="40" s="1"/>
  <c r="E3" i="40"/>
  <c r="AA3" i="40" s="1"/>
  <c r="D3" i="40"/>
  <c r="C3" i="40"/>
  <c r="B3" i="40"/>
  <c r="A3" i="40"/>
  <c r="W3" i="40" s="1"/>
  <c r="AJ4" i="44" l="1" a="1"/>
  <c r="AJ4" i="44" s="1"/>
  <c r="AC52" i="44"/>
  <c r="AC24" i="44"/>
  <c r="AE8" i="44"/>
  <c r="AE18" i="44"/>
  <c r="AE20" i="44"/>
  <c r="AI4" i="44" a="1"/>
  <c r="AI4" i="44" s="1"/>
  <c r="AC21" i="44"/>
  <c r="AC41" i="44"/>
  <c r="AC26" i="44"/>
  <c r="AC35" i="44"/>
  <c r="AC22" i="44"/>
  <c r="AC13" i="44"/>
  <c r="AC29" i="44"/>
  <c r="AC43" i="44"/>
  <c r="AC51" i="44"/>
  <c r="AE22" i="44"/>
  <c r="AD6" i="44"/>
  <c r="AE50" i="44"/>
  <c r="AE52" i="44"/>
  <c r="AE6" i="44"/>
  <c r="AC31" i="44"/>
  <c r="AC11" i="44"/>
  <c r="AC48" i="44"/>
  <c r="AC8" i="44"/>
  <c r="AD8" i="44"/>
  <c r="AE16" i="44"/>
  <c r="AC9" i="44"/>
  <c r="AC25" i="44"/>
  <c r="AD4" i="44"/>
  <c r="AE35" i="44"/>
  <c r="AD5" i="44"/>
  <c r="AE14" i="44"/>
  <c r="AE5" i="44"/>
  <c r="AK4" i="44" a="1"/>
  <c r="AK4" i="44" s="1"/>
  <c r="AE10" i="44"/>
  <c r="AG4" i="44" a="1"/>
  <c r="AG4" i="44" s="1"/>
  <c r="AD3" i="44"/>
  <c r="AE4" i="44"/>
  <c r="AH4" i="44" a="1"/>
  <c r="AH4" i="44" s="1"/>
  <c r="AE12" i="44"/>
  <c r="AD21" i="44"/>
  <c r="AD9" i="44"/>
  <c r="AD13" i="44"/>
  <c r="AD16" i="44"/>
  <c r="AD23" i="44"/>
  <c r="AD25" i="44"/>
  <c r="AD27" i="44"/>
  <c r="AD29" i="44"/>
  <c r="AD31" i="44"/>
  <c r="AD33" i="44"/>
  <c r="AD35" i="44"/>
  <c r="AD37" i="44"/>
  <c r="AD39" i="44"/>
  <c r="AD41" i="44"/>
  <c r="AD43" i="44"/>
  <c r="AD45" i="44"/>
  <c r="AD47" i="44"/>
  <c r="AD49" i="44"/>
  <c r="AD51" i="44"/>
  <c r="AD19" i="44"/>
  <c r="AE3" i="44"/>
  <c r="AC7" i="44"/>
  <c r="AD18" i="44"/>
  <c r="AC4" i="44"/>
  <c r="AD12" i="44"/>
  <c r="AD14" i="44"/>
  <c r="AE17" i="44"/>
  <c r="AE24" i="44"/>
  <c r="AE28" i="44"/>
  <c r="AE32" i="44"/>
  <c r="AE38" i="44"/>
  <c r="AE40" i="44"/>
  <c r="AE44" i="44"/>
  <c r="AE48" i="44"/>
  <c r="AF4" i="44" a="1"/>
  <c r="AF4" i="44" s="1"/>
  <c r="AC3" i="44"/>
  <c r="AD11" i="44"/>
  <c r="AD22" i="44"/>
  <c r="AD10" i="44"/>
  <c r="AD20" i="44"/>
  <c r="AC6" i="44"/>
  <c r="AD15" i="44"/>
  <c r="AE26" i="44"/>
  <c r="AE30" i="44"/>
  <c r="AE34" i="44"/>
  <c r="AE36" i="44"/>
  <c r="AE42" i="44"/>
  <c r="AE46" i="44"/>
  <c r="AD17" i="44"/>
  <c r="AE19" i="44"/>
  <c r="AD24" i="44"/>
  <c r="AD26" i="44"/>
  <c r="AD28" i="44"/>
  <c r="AD30" i="44"/>
  <c r="AD32" i="44"/>
  <c r="AD34" i="44"/>
  <c r="AD36" i="44"/>
  <c r="AD38" i="44"/>
  <c r="AD40" i="44"/>
  <c r="AD42" i="44"/>
  <c r="AD44" i="44"/>
  <c r="AD46" i="44"/>
  <c r="AD48" i="44"/>
  <c r="AD50" i="44"/>
  <c r="AD52" i="44"/>
  <c r="AC5" i="44"/>
  <c r="AC25" i="42"/>
  <c r="AC29" i="42"/>
  <c r="AC33" i="42"/>
  <c r="AC49" i="42"/>
  <c r="AC9" i="42"/>
  <c r="AC13" i="42"/>
  <c r="AC17" i="42"/>
  <c r="AC21" i="42"/>
  <c r="AD6" i="42"/>
  <c r="AD9" i="42"/>
  <c r="AD13" i="42"/>
  <c r="AD17" i="42"/>
  <c r="AD21" i="42"/>
  <c r="AD25" i="42"/>
  <c r="AD29" i="42"/>
  <c r="AD33" i="42"/>
  <c r="AD37" i="42"/>
  <c r="AD41" i="42"/>
  <c r="AD45" i="42"/>
  <c r="AD49" i="42"/>
  <c r="AC11" i="42"/>
  <c r="AC15" i="42"/>
  <c r="AC19" i="42"/>
  <c r="AC23" i="42"/>
  <c r="AC27" i="42"/>
  <c r="AC31" i="42"/>
  <c r="AC35" i="42"/>
  <c r="AC39" i="42"/>
  <c r="AC43" i="42"/>
  <c r="AC47" i="42"/>
  <c r="AC51" i="42"/>
  <c r="AD11" i="42"/>
  <c r="AD15" i="42"/>
  <c r="AD19" i="42"/>
  <c r="AD23" i="42"/>
  <c r="AD27" i="42"/>
  <c r="AD31" i="42"/>
  <c r="AD35" i="42"/>
  <c r="AD39" i="42"/>
  <c r="AD43" i="42"/>
  <c r="AD47" i="42"/>
  <c r="AD51" i="42"/>
  <c r="AE6" i="42"/>
  <c r="AE4" i="42"/>
  <c r="AE10" i="42"/>
  <c r="AE14" i="42"/>
  <c r="AE18" i="42"/>
  <c r="AE22" i="42"/>
  <c r="AE26" i="42"/>
  <c r="AE30" i="42"/>
  <c r="AE34" i="42"/>
  <c r="AE38" i="42"/>
  <c r="AE42" i="42"/>
  <c r="AE46" i="42"/>
  <c r="AE50" i="42"/>
  <c r="AI4" i="42" a="1"/>
  <c r="AI4" i="42" s="1"/>
  <c r="AF4" i="42" a="1"/>
  <c r="AF4" i="42" s="1"/>
  <c r="AC5" i="42"/>
  <c r="AC7" i="42"/>
  <c r="AJ4" i="42" a="1"/>
  <c r="AJ4" i="42" s="1"/>
  <c r="AG4" i="42" a="1"/>
  <c r="AG4" i="42" s="1"/>
  <c r="AD5" i="42"/>
  <c r="AD7" i="42"/>
  <c r="AD4" i="42"/>
  <c r="AK4" i="42" a="1"/>
  <c r="AK4" i="42" s="1"/>
  <c r="AC4" i="42"/>
  <c r="AC6" i="42"/>
  <c r="AC8" i="42"/>
  <c r="AC12" i="42"/>
  <c r="AC16" i="42"/>
  <c r="AC20" i="42"/>
  <c r="AC24" i="42"/>
  <c r="AC28" i="42"/>
  <c r="AC32" i="42"/>
  <c r="AC36" i="42"/>
  <c r="AC40" i="42"/>
  <c r="AC44" i="42"/>
  <c r="AC48" i="42"/>
  <c r="AC52" i="42"/>
  <c r="AE3" i="42"/>
  <c r="AE5" i="42"/>
  <c r="AE7" i="42"/>
  <c r="AD8" i="42"/>
  <c r="AD12" i="42"/>
  <c r="AD16" i="42"/>
  <c r="AD20" i="42"/>
  <c r="AD24" i="42"/>
  <c r="AD28" i="42"/>
  <c r="AD32" i="42"/>
  <c r="AD36" i="42"/>
  <c r="AD40" i="42"/>
  <c r="AD44" i="42"/>
  <c r="AD48" i="42"/>
  <c r="AD52" i="42"/>
  <c r="AE8" i="42"/>
  <c r="AH4" i="42" a="1"/>
  <c r="AH4" i="42" s="1"/>
  <c r="AE12" i="42"/>
  <c r="AE16" i="42"/>
  <c r="AE20" i="42"/>
  <c r="AE24" i="42"/>
  <c r="AE28" i="42"/>
  <c r="AE32" i="42"/>
  <c r="AE36" i="42"/>
  <c r="AE40" i="42"/>
  <c r="AE44" i="42"/>
  <c r="AE48" i="42"/>
  <c r="AE52" i="42"/>
  <c r="AC3" i="42"/>
  <c r="AD3" i="42"/>
  <c r="AE4" i="41"/>
  <c r="AJ4" i="41" a="1"/>
  <c r="AJ4" i="41" s="1"/>
  <c r="AE12" i="41"/>
  <c r="AC7" i="41"/>
  <c r="AE14" i="41"/>
  <c r="AE16" i="41"/>
  <c r="AE18" i="41"/>
  <c r="AE20" i="41"/>
  <c r="AE22" i="41"/>
  <c r="AE24" i="41"/>
  <c r="AE26" i="41"/>
  <c r="AE28" i="41"/>
  <c r="AE30" i="41"/>
  <c r="AE34" i="41"/>
  <c r="AE36" i="41"/>
  <c r="AE38" i="41"/>
  <c r="AE40" i="41"/>
  <c r="AE42" i="41"/>
  <c r="AE44" i="41"/>
  <c r="AE46" i="41"/>
  <c r="AE48" i="41"/>
  <c r="AE50" i="41"/>
  <c r="AE52" i="41"/>
  <c r="AE10" i="41"/>
  <c r="AK4" i="41" a="1"/>
  <c r="AK4" i="41" s="1"/>
  <c r="AC21" i="41"/>
  <c r="AC41" i="41"/>
  <c r="AC43" i="41"/>
  <c r="AC49" i="41"/>
  <c r="AE32" i="41"/>
  <c r="AC5" i="41"/>
  <c r="AE7" i="41"/>
  <c r="AE9" i="41"/>
  <c r="AD7" i="41"/>
  <c r="AD5" i="41"/>
  <c r="AE5" i="41"/>
  <c r="AF4" i="41" a="1"/>
  <c r="AF4" i="41" s="1"/>
  <c r="AC3" i="41"/>
  <c r="AC14" i="41"/>
  <c r="AC16" i="41"/>
  <c r="AC20" i="41"/>
  <c r="AC22" i="41"/>
  <c r="AC24" i="41"/>
  <c r="AC26" i="41"/>
  <c r="AD3" i="41"/>
  <c r="AG4" i="41" a="1"/>
  <c r="AG4" i="41" s="1"/>
  <c r="AC11" i="41"/>
  <c r="AC23" i="41"/>
  <c r="AC25" i="41"/>
  <c r="AC27" i="41"/>
  <c r="AC29" i="41"/>
  <c r="AC31" i="41"/>
  <c r="AC35" i="41"/>
  <c r="AC37" i="41"/>
  <c r="AC39" i="41"/>
  <c r="AC45" i="41"/>
  <c r="AC47" i="41"/>
  <c r="AI4" i="41" a="1"/>
  <c r="AI4" i="41" s="1"/>
  <c r="AC8" i="41"/>
  <c r="AC51" i="41"/>
  <c r="AE6" i="41"/>
  <c r="AC10" i="41"/>
  <c r="AC13" i="41"/>
  <c r="AC15" i="41"/>
  <c r="AC17" i="41"/>
  <c r="AC19" i="41"/>
  <c r="AC33" i="41"/>
  <c r="AC12" i="41"/>
  <c r="AC18" i="41"/>
  <c r="AC28" i="41"/>
  <c r="AC30" i="41"/>
  <c r="AC32" i="41"/>
  <c r="AC34" i="41"/>
  <c r="AC36" i="41"/>
  <c r="AC38" i="41"/>
  <c r="AC40" i="41"/>
  <c r="AC42" i="41"/>
  <c r="AC44" i="41"/>
  <c r="AC46" i="41"/>
  <c r="AC48" i="41"/>
  <c r="AC50" i="41"/>
  <c r="AC52" i="41"/>
  <c r="AE3" i="41"/>
  <c r="AH4" i="41" a="1"/>
  <c r="AH4" i="41" s="1"/>
  <c r="AH7" i="41" s="1"/>
  <c r="AC9" i="41"/>
  <c r="AC15" i="40"/>
  <c r="AC22" i="40"/>
  <c r="AC32" i="40"/>
  <c r="AC40" i="40"/>
  <c r="AC48" i="40"/>
  <c r="AC6" i="40"/>
  <c r="AE29" i="40"/>
  <c r="AE37" i="40"/>
  <c r="AE45" i="40"/>
  <c r="AC5" i="40"/>
  <c r="AE17" i="40"/>
  <c r="AC20" i="40"/>
  <c r="AC30" i="40"/>
  <c r="AC38" i="40"/>
  <c r="AC46" i="40"/>
  <c r="AE51" i="40"/>
  <c r="AE5" i="40"/>
  <c r="AE13" i="40"/>
  <c r="AE18" i="40"/>
  <c r="AE33" i="40"/>
  <c r="AE41" i="40"/>
  <c r="AE49" i="40"/>
  <c r="AC26" i="40"/>
  <c r="AE52" i="40"/>
  <c r="AK4" i="40" a="1"/>
  <c r="AK4" i="40" s="1"/>
  <c r="AE35" i="40"/>
  <c r="AE43" i="40"/>
  <c r="AE20" i="40"/>
  <c r="AC52" i="40"/>
  <c r="AC28" i="40"/>
  <c r="AC36" i="40"/>
  <c r="AC44" i="40"/>
  <c r="AE4" i="40"/>
  <c r="AJ4" i="40" a="1"/>
  <c r="AJ4" i="40" s="1"/>
  <c r="AE14" i="40"/>
  <c r="AC34" i="40"/>
  <c r="AC42" i="40"/>
  <c r="AC50" i="40"/>
  <c r="AE6" i="40"/>
  <c r="AC8" i="40"/>
  <c r="AC24" i="40"/>
  <c r="AE31" i="40"/>
  <c r="AE39" i="40"/>
  <c r="AE47" i="40"/>
  <c r="AD50" i="40"/>
  <c r="AD8" i="40"/>
  <c r="AE12" i="40"/>
  <c r="AH4" i="40" a="1"/>
  <c r="AH4" i="40" s="1"/>
  <c r="AH7" i="40" s="1"/>
  <c r="AC7" i="40"/>
  <c r="AI4" i="40" a="1"/>
  <c r="AI4" i="40" s="1"/>
  <c r="AC19" i="40"/>
  <c r="AC3" i="40"/>
  <c r="AF4" i="40" a="1"/>
  <c r="AF4" i="40" s="1"/>
  <c r="X9" i="40"/>
  <c r="AD9" i="40" s="1"/>
  <c r="X21" i="40"/>
  <c r="AD21" i="40" s="1"/>
  <c r="X23" i="40"/>
  <c r="AD23" i="40" s="1"/>
  <c r="X25" i="40"/>
  <c r="AD25" i="40" s="1"/>
  <c r="X27" i="40"/>
  <c r="AD27" i="40" s="1"/>
  <c r="X29" i="40"/>
  <c r="AD29" i="40" s="1"/>
  <c r="X31" i="40"/>
  <c r="AD31" i="40" s="1"/>
  <c r="X33" i="40"/>
  <c r="AD33" i="40" s="1"/>
  <c r="X35" i="40"/>
  <c r="AD35" i="40" s="1"/>
  <c r="X37" i="40"/>
  <c r="AD37" i="40" s="1"/>
  <c r="X39" i="40"/>
  <c r="AD39" i="40" s="1"/>
  <c r="X41" i="40"/>
  <c r="AD41" i="40" s="1"/>
  <c r="X43" i="40"/>
  <c r="AD43" i="40" s="1"/>
  <c r="X45" i="40"/>
  <c r="AD45" i="40" s="1"/>
  <c r="X47" i="40"/>
  <c r="AD47" i="40" s="1"/>
  <c r="X49" i="40"/>
  <c r="AD49" i="40" s="1"/>
  <c r="X51" i="40"/>
  <c r="AD51" i="40" s="1"/>
  <c r="AE9" i="40"/>
  <c r="AC11" i="40"/>
  <c r="AD16" i="40"/>
  <c r="AE21" i="40"/>
  <c r="AE23" i="40"/>
  <c r="AE25" i="40"/>
  <c r="AE27" i="40"/>
  <c r="AD11" i="40"/>
  <c r="AE16" i="40"/>
  <c r="AC18" i="40"/>
  <c r="AD4" i="40"/>
  <c r="AC13" i="40"/>
  <c r="AD52" i="40"/>
  <c r="AE11" i="40"/>
  <c r="AD18" i="40"/>
  <c r="X13" i="40"/>
  <c r="AD13" i="40" s="1"/>
  <c r="X20" i="40"/>
  <c r="AD20" i="40" s="1"/>
  <c r="AC10" i="40"/>
  <c r="AE3" i="40"/>
  <c r="AD7" i="40"/>
  <c r="AD10" i="40"/>
  <c r="AE15" i="40"/>
  <c r="AC17" i="40"/>
  <c r="AE22" i="40"/>
  <c r="AE24" i="40"/>
  <c r="AE26" i="40"/>
  <c r="AE28" i="40"/>
  <c r="AE30" i="40"/>
  <c r="AE32" i="40"/>
  <c r="AE34" i="40"/>
  <c r="AE36" i="40"/>
  <c r="AE38" i="40"/>
  <c r="AE40" i="40"/>
  <c r="AE42" i="40"/>
  <c r="AE44" i="40"/>
  <c r="AE46" i="40"/>
  <c r="AE48" i="40"/>
  <c r="AE50" i="40"/>
  <c r="AE8" i="40"/>
  <c r="AD15" i="40"/>
  <c r="AD22" i="40"/>
  <c r="AD24" i="40"/>
  <c r="AD26" i="40"/>
  <c r="AD28" i="40"/>
  <c r="AD30" i="40"/>
  <c r="AD32" i="40"/>
  <c r="AD34" i="40"/>
  <c r="AD36" i="40"/>
  <c r="AD38" i="40"/>
  <c r="AD40" i="40"/>
  <c r="AD42" i="40"/>
  <c r="AD44" i="40"/>
  <c r="AD46" i="40"/>
  <c r="AD48" i="40"/>
  <c r="AE7" i="40"/>
  <c r="AE10" i="40"/>
  <c r="AC12" i="40"/>
  <c r="AD17" i="40"/>
  <c r="X6" i="40"/>
  <c r="AD6" i="40" s="1"/>
  <c r="X12" i="40"/>
  <c r="AD12" i="40" s="1"/>
  <c r="AD3" i="40"/>
  <c r="X19" i="40"/>
  <c r="AD19" i="40" s="1"/>
  <c r="AD5" i="40"/>
  <c r="AC9" i="40"/>
  <c r="AD14" i="40"/>
  <c r="AE19" i="40"/>
  <c r="AC21" i="40"/>
  <c r="AC23" i="40"/>
  <c r="AC25" i="40"/>
  <c r="AC27" i="40"/>
  <c r="AC29" i="40"/>
  <c r="AC31" i="40"/>
  <c r="AC33" i="40"/>
  <c r="AC35" i="40"/>
  <c r="AC37" i="40"/>
  <c r="AC39" i="40"/>
  <c r="AC41" i="40"/>
  <c r="AC43" i="40"/>
  <c r="AC45" i="40"/>
  <c r="AC47" i="40"/>
  <c r="AC49" i="40"/>
  <c r="AC51" i="40"/>
  <c r="AG7" i="44" l="1"/>
  <c r="AH7" i="44"/>
  <c r="AG8" i="44"/>
  <c r="AF8" i="44"/>
  <c r="AH8" i="44"/>
  <c r="AF7" i="44"/>
  <c r="AF7" i="42"/>
  <c r="AG7" i="42"/>
  <c r="AH7" i="42"/>
  <c r="AG7" i="41"/>
  <c r="AF7" i="41"/>
  <c r="AF7" i="40"/>
  <c r="AG4" i="40" a="1"/>
  <c r="AG4" i="40" s="1"/>
  <c r="AG7" i="40" s="1"/>
  <c r="V43" i="12" l="1"/>
  <c r="W43" i="12"/>
  <c r="X43" i="12"/>
  <c r="Y43" i="12"/>
  <c r="Z43" i="12"/>
  <c r="AA43" i="12"/>
  <c r="AB43" i="12" a="1"/>
  <c r="AB43" i="12" s="1"/>
  <c r="V44" i="12"/>
  <c r="W44" i="12"/>
  <c r="X44" i="12"/>
  <c r="Y44" i="12"/>
  <c r="Z44" i="12"/>
  <c r="AA44" i="12"/>
  <c r="AB44" i="12" a="1"/>
  <c r="AB44" i="12" s="1"/>
  <c r="V45" i="12"/>
  <c r="W45" i="12"/>
  <c r="X45" i="12"/>
  <c r="Y45" i="12"/>
  <c r="Z45" i="12"/>
  <c r="AA45" i="12"/>
  <c r="AB45" i="12" a="1"/>
  <c r="AB45" i="12" s="1"/>
  <c r="V46" i="12"/>
  <c r="W46" i="12"/>
  <c r="X46" i="12"/>
  <c r="Y46" i="12"/>
  <c r="Z46" i="12"/>
  <c r="AA46" i="12"/>
  <c r="AB46" i="12" a="1"/>
  <c r="AB46" i="12" s="1"/>
  <c r="V47" i="12"/>
  <c r="W47" i="12"/>
  <c r="X47" i="12"/>
  <c r="Y47" i="12"/>
  <c r="Z47" i="12"/>
  <c r="AA47" i="12"/>
  <c r="AB47" i="12" a="1"/>
  <c r="AB47" i="12" s="1"/>
  <c r="V48" i="12"/>
  <c r="W48" i="12"/>
  <c r="X48" i="12"/>
  <c r="Y48" i="12"/>
  <c r="Z48" i="12"/>
  <c r="AA48" i="12"/>
  <c r="AB48" i="12" a="1"/>
  <c r="AB48" i="12" s="1"/>
  <c r="V49" i="12"/>
  <c r="W49" i="12"/>
  <c r="X49" i="12"/>
  <c r="Y49" i="12"/>
  <c r="Z49" i="12"/>
  <c r="AA49" i="12"/>
  <c r="AB49" i="12" a="1"/>
  <c r="AB49" i="12" s="1"/>
  <c r="V50" i="12"/>
  <c r="W50" i="12"/>
  <c r="X50" i="12"/>
  <c r="Y50" i="12"/>
  <c r="Z50" i="12"/>
  <c r="AA50" i="12"/>
  <c r="AB50" i="12" a="1"/>
  <c r="AB50" i="12" s="1"/>
  <c r="V51" i="12"/>
  <c r="W51" i="12"/>
  <c r="X51" i="12"/>
  <c r="Y51" i="12"/>
  <c r="Z51" i="12"/>
  <c r="AA51" i="12"/>
  <c r="AB51" i="12" a="1"/>
  <c r="AB51" i="12" s="1"/>
  <c r="V52" i="12"/>
  <c r="W52" i="12"/>
  <c r="X52" i="12"/>
  <c r="Y52" i="12"/>
  <c r="Z52" i="12"/>
  <c r="AA52" i="12"/>
  <c r="AB52" i="12" a="1"/>
  <c r="AB52" i="12" s="1"/>
  <c r="V33" i="12"/>
  <c r="W33" i="12"/>
  <c r="X33" i="12"/>
  <c r="Y33" i="12"/>
  <c r="Z33" i="12"/>
  <c r="AA33" i="12"/>
  <c r="AB33" i="12" a="1"/>
  <c r="AB33" i="12"/>
  <c r="V34" i="12"/>
  <c r="W34" i="12"/>
  <c r="X34" i="12"/>
  <c r="Y34" i="12"/>
  <c r="Z34" i="12"/>
  <c r="AA34" i="12"/>
  <c r="AB34" i="12" a="1"/>
  <c r="AB34" i="12" s="1"/>
  <c r="V35" i="12"/>
  <c r="W35" i="12"/>
  <c r="X35" i="12"/>
  <c r="Y35" i="12"/>
  <c r="Z35" i="12"/>
  <c r="AA35" i="12"/>
  <c r="AB35" i="12" a="1"/>
  <c r="AB35" i="12" s="1"/>
  <c r="V36" i="12"/>
  <c r="W36" i="12"/>
  <c r="X36" i="12"/>
  <c r="Y36" i="12"/>
  <c r="Z36" i="12"/>
  <c r="AA36" i="12"/>
  <c r="AB36" i="12" a="1"/>
  <c r="AB36" i="12" s="1"/>
  <c r="V37" i="12"/>
  <c r="W37" i="12"/>
  <c r="X37" i="12"/>
  <c r="Y37" i="12"/>
  <c r="Z37" i="12"/>
  <c r="AA37" i="12"/>
  <c r="AB37" i="12" a="1"/>
  <c r="AB37" i="12"/>
  <c r="V38" i="12"/>
  <c r="W38" i="12"/>
  <c r="X38" i="12"/>
  <c r="Y38" i="12"/>
  <c r="Z38" i="12"/>
  <c r="AA38" i="12"/>
  <c r="AB38" i="12" a="1"/>
  <c r="AB38" i="12" s="1"/>
  <c r="V39" i="12"/>
  <c r="W39" i="12"/>
  <c r="X39" i="12"/>
  <c r="Y39" i="12"/>
  <c r="Z39" i="12"/>
  <c r="AA39" i="12"/>
  <c r="AB39" i="12" a="1"/>
  <c r="AB39" i="12" s="1"/>
  <c r="V40" i="12"/>
  <c r="W40" i="12"/>
  <c r="X40" i="12"/>
  <c r="Y40" i="12"/>
  <c r="Z40" i="12"/>
  <c r="AA40" i="12"/>
  <c r="AB40" i="12" a="1"/>
  <c r="AB40" i="12" s="1"/>
  <c r="V41" i="12"/>
  <c r="W41" i="12"/>
  <c r="X41" i="12"/>
  <c r="Y41" i="12"/>
  <c r="Z41" i="12"/>
  <c r="AA41" i="12"/>
  <c r="AB41" i="12" a="1"/>
  <c r="AB41" i="12" s="1"/>
  <c r="V42" i="12"/>
  <c r="W42" i="12"/>
  <c r="X42" i="12"/>
  <c r="Y42" i="12"/>
  <c r="Z42" i="12"/>
  <c r="AA42" i="12"/>
  <c r="AB42" i="12" a="1"/>
  <c r="AB42" i="12" s="1"/>
  <c r="V23" i="12"/>
  <c r="W23" i="12"/>
  <c r="X23" i="12"/>
  <c r="Y23" i="12"/>
  <c r="Z23" i="12"/>
  <c r="AA23" i="12"/>
  <c r="AB23" i="12" a="1"/>
  <c r="AB23" i="12" s="1"/>
  <c r="V24" i="12"/>
  <c r="W24" i="12"/>
  <c r="X24" i="12"/>
  <c r="Y24" i="12"/>
  <c r="Z24" i="12"/>
  <c r="AA24" i="12"/>
  <c r="AB24" i="12" a="1"/>
  <c r="AB24" i="12" s="1"/>
  <c r="V25" i="12"/>
  <c r="W25" i="12"/>
  <c r="X25" i="12"/>
  <c r="Y25" i="12"/>
  <c r="Z25" i="12"/>
  <c r="AA25" i="12"/>
  <c r="AB25" i="12" a="1"/>
  <c r="AB25" i="12" s="1"/>
  <c r="V26" i="12"/>
  <c r="W26" i="12"/>
  <c r="X26" i="12"/>
  <c r="Y26" i="12"/>
  <c r="Z26" i="12"/>
  <c r="AA26" i="12"/>
  <c r="AB26" i="12" a="1"/>
  <c r="AB26" i="12" s="1"/>
  <c r="V27" i="12"/>
  <c r="W27" i="12"/>
  <c r="X27" i="12"/>
  <c r="Y27" i="12"/>
  <c r="Z27" i="12"/>
  <c r="AA27" i="12"/>
  <c r="AB27" i="12" a="1"/>
  <c r="AB27" i="12" s="1"/>
  <c r="V28" i="12"/>
  <c r="W28" i="12"/>
  <c r="X28" i="12"/>
  <c r="Y28" i="12"/>
  <c r="Z28" i="12"/>
  <c r="AA28" i="12"/>
  <c r="AB28" i="12" a="1"/>
  <c r="AB28" i="12" s="1"/>
  <c r="V29" i="12"/>
  <c r="W29" i="12"/>
  <c r="X29" i="12"/>
  <c r="Y29" i="12"/>
  <c r="Z29" i="12"/>
  <c r="AA29" i="12"/>
  <c r="AB29" i="12" a="1"/>
  <c r="AB29" i="12" s="1"/>
  <c r="V30" i="12"/>
  <c r="W30" i="12"/>
  <c r="X30" i="12"/>
  <c r="Y30" i="12"/>
  <c r="Z30" i="12"/>
  <c r="AA30" i="12"/>
  <c r="AB30" i="12" a="1"/>
  <c r="AB30" i="12" s="1"/>
  <c r="V31" i="12"/>
  <c r="W31" i="12"/>
  <c r="X31" i="12"/>
  <c r="Y31" i="12"/>
  <c r="Z31" i="12"/>
  <c r="AA31" i="12"/>
  <c r="AB31" i="12" a="1"/>
  <c r="AB31" i="12" s="1"/>
  <c r="V32" i="12"/>
  <c r="W32" i="12"/>
  <c r="X32" i="12"/>
  <c r="Y32" i="12"/>
  <c r="Z32" i="12"/>
  <c r="AA32" i="12"/>
  <c r="AB32" i="12" a="1"/>
  <c r="AB32" i="12" s="1"/>
  <c r="AB13" i="12" l="1" a="1"/>
  <c r="AB13" i="12" s="1"/>
  <c r="AB14" i="12" a="1"/>
  <c r="AB14" i="12" s="1"/>
  <c r="AB15" i="12" a="1"/>
  <c r="AB15" i="12" s="1"/>
  <c r="AB16" i="12" a="1"/>
  <c r="AB16" i="12" s="1"/>
  <c r="AB17" i="12" a="1"/>
  <c r="AB17" i="12" s="1"/>
  <c r="AB18" i="12" a="1"/>
  <c r="AB18" i="12" s="1"/>
  <c r="AB19" i="12" a="1"/>
  <c r="AB19" i="12" s="1"/>
  <c r="AB20" i="12" a="1"/>
  <c r="AB20" i="12" s="1"/>
  <c r="AB21" i="12" a="1"/>
  <c r="AB21" i="12" s="1"/>
  <c r="AB22" i="12" a="1"/>
  <c r="AB22" i="12" s="1"/>
  <c r="V13" i="12"/>
  <c r="W13" i="12"/>
  <c r="X13" i="12"/>
  <c r="Y13" i="12"/>
  <c r="Z13" i="12"/>
  <c r="AA13" i="12"/>
  <c r="V14" i="12"/>
  <c r="W14" i="12"/>
  <c r="X14" i="12"/>
  <c r="Y14" i="12"/>
  <c r="Z14" i="12"/>
  <c r="AA14" i="12"/>
  <c r="V15" i="12"/>
  <c r="W15" i="12"/>
  <c r="X15" i="12"/>
  <c r="Y15" i="12"/>
  <c r="Z15" i="12"/>
  <c r="AA15" i="12"/>
  <c r="V16" i="12"/>
  <c r="W16" i="12"/>
  <c r="X16" i="12"/>
  <c r="Y16" i="12"/>
  <c r="Z16" i="12"/>
  <c r="AA16" i="12"/>
  <c r="V17" i="12"/>
  <c r="W17" i="12"/>
  <c r="X17" i="12"/>
  <c r="Y17" i="12"/>
  <c r="Z17" i="12"/>
  <c r="AA17" i="12"/>
  <c r="V18" i="12"/>
  <c r="W18" i="12"/>
  <c r="X18" i="12"/>
  <c r="Y18" i="12"/>
  <c r="Z18" i="12"/>
  <c r="AA18" i="12"/>
  <c r="V19" i="12"/>
  <c r="W19" i="12"/>
  <c r="X19" i="12"/>
  <c r="Y19" i="12"/>
  <c r="Z19" i="12"/>
  <c r="AA19" i="12"/>
  <c r="V20" i="12"/>
  <c r="W20" i="12"/>
  <c r="X20" i="12"/>
  <c r="Y20" i="12"/>
  <c r="Z20" i="12"/>
  <c r="AA20" i="12"/>
  <c r="V21" i="12"/>
  <c r="W21" i="12"/>
  <c r="X21" i="12"/>
  <c r="Y21" i="12"/>
  <c r="Z21" i="12"/>
  <c r="AA21" i="12"/>
  <c r="V22" i="12"/>
  <c r="W22" i="12"/>
  <c r="X22" i="12"/>
  <c r="Y22" i="12"/>
  <c r="Z22" i="12"/>
  <c r="AA22" i="12"/>
  <c r="AB4" i="12" l="1" a="1"/>
  <c r="AB4" i="12" s="1"/>
  <c r="AB5" i="12" a="1"/>
  <c r="AB5" i="12" s="1"/>
  <c r="AB6" i="12" a="1"/>
  <c r="AB6" i="12" s="1"/>
  <c r="AB7" i="12" a="1"/>
  <c r="AB7" i="12" s="1"/>
  <c r="AB8" i="12" a="1"/>
  <c r="AB8" i="12" s="1"/>
  <c r="AB9" i="12" a="1"/>
  <c r="AB9" i="12" s="1"/>
  <c r="AB10" i="12" a="1"/>
  <c r="AB10" i="12" s="1"/>
  <c r="AB11" i="12" a="1"/>
  <c r="AB11" i="12" s="1"/>
  <c r="AB12" i="12" a="1"/>
  <c r="AB12" i="12" s="1"/>
  <c r="AB3" i="12" a="1"/>
  <c r="AB3" i="12" s="1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3" i="12"/>
  <c r="O14" i="4"/>
  <c r="P14" i="4"/>
  <c r="Q14" i="4"/>
  <c r="R14" i="4"/>
  <c r="S14" i="4"/>
  <c r="T14" i="4"/>
  <c r="O15" i="4"/>
  <c r="P15" i="4"/>
  <c r="Q15" i="4"/>
  <c r="R15" i="4"/>
  <c r="S15" i="4"/>
  <c r="T15" i="4"/>
  <c r="O16" i="4"/>
  <c r="P16" i="4"/>
  <c r="Q16" i="4"/>
  <c r="R16" i="4"/>
  <c r="S16" i="4"/>
  <c r="T16" i="4"/>
  <c r="O17" i="4"/>
  <c r="P17" i="4"/>
  <c r="Q17" i="4"/>
  <c r="R17" i="4"/>
  <c r="S17" i="4"/>
  <c r="T17" i="4"/>
  <c r="O18" i="4"/>
  <c r="P18" i="4"/>
  <c r="Q18" i="4"/>
  <c r="R18" i="4"/>
  <c r="S18" i="4"/>
  <c r="T18" i="4"/>
  <c r="V3" i="4"/>
  <c r="V5" i="12" l="1"/>
  <c r="W5" i="12"/>
  <c r="X5" i="12"/>
  <c r="Y5" i="12"/>
  <c r="Z5" i="12"/>
  <c r="AA5" i="12"/>
  <c r="V11" i="12"/>
  <c r="W11" i="12"/>
  <c r="X11" i="12"/>
  <c r="Y11" i="12"/>
  <c r="Z11" i="12"/>
  <c r="AA11" i="12"/>
  <c r="V12" i="12"/>
  <c r="W12" i="12"/>
  <c r="X12" i="12"/>
  <c r="Y12" i="12"/>
  <c r="Z12" i="12"/>
  <c r="AA12" i="12"/>
  <c r="V3" i="12" l="1"/>
  <c r="V4" i="12"/>
  <c r="V6" i="12"/>
  <c r="V7" i="12"/>
  <c r="V8" i="12"/>
  <c r="V9" i="12"/>
  <c r="V10" i="12"/>
  <c r="AA10" i="12" l="1"/>
  <c r="Z10" i="12"/>
  <c r="Y10" i="12"/>
  <c r="X10" i="12"/>
  <c r="W10" i="12"/>
  <c r="AA9" i="12"/>
  <c r="Z9" i="12"/>
  <c r="Y9" i="12"/>
  <c r="X9" i="12"/>
  <c r="W9" i="12"/>
  <c r="AA8" i="12"/>
  <c r="Z8" i="12"/>
  <c r="Y8" i="12"/>
  <c r="X8" i="12"/>
  <c r="W8" i="12"/>
  <c r="AA7" i="12"/>
  <c r="Z7" i="12"/>
  <c r="Y7" i="12"/>
  <c r="X7" i="12"/>
  <c r="W7" i="12"/>
  <c r="AA6" i="12"/>
  <c r="Z6" i="12"/>
  <c r="Y6" i="12"/>
  <c r="X6" i="12"/>
  <c r="W6" i="12"/>
  <c r="AA4" i="12"/>
  <c r="Z4" i="12"/>
  <c r="Y4" i="12"/>
  <c r="X4" i="12"/>
  <c r="W4" i="12"/>
  <c r="AA3" i="12"/>
  <c r="Z3" i="12"/>
  <c r="Y3" i="12"/>
  <c r="X3" i="12"/>
  <c r="W3" i="12"/>
  <c r="H18" i="4" l="1"/>
  <c r="I18" i="4"/>
  <c r="J18" i="4"/>
  <c r="K18" i="4"/>
  <c r="L18" i="4"/>
  <c r="M18" i="4"/>
  <c r="H3" i="4"/>
  <c r="O3" i="4" s="1"/>
  <c r="I3" i="4"/>
  <c r="J3" i="4"/>
  <c r="K3" i="4"/>
  <c r="R3" i="4" s="1"/>
  <c r="L3" i="4"/>
  <c r="S3" i="4" s="1"/>
  <c r="M3" i="4"/>
  <c r="T3" i="4" s="1"/>
  <c r="H4" i="4"/>
  <c r="O4" i="4" s="1"/>
  <c r="I4" i="4"/>
  <c r="J4" i="4"/>
  <c r="K4" i="4"/>
  <c r="R4" i="4" s="1"/>
  <c r="L4" i="4"/>
  <c r="S4" i="4" s="1"/>
  <c r="M4" i="4"/>
  <c r="T4" i="4" s="1"/>
  <c r="H5" i="4"/>
  <c r="O5" i="4" s="1"/>
  <c r="I5" i="4"/>
  <c r="J5" i="4"/>
  <c r="K5" i="4"/>
  <c r="R5" i="4" s="1"/>
  <c r="L5" i="4"/>
  <c r="S5" i="4" s="1"/>
  <c r="M5" i="4"/>
  <c r="T5" i="4" s="1"/>
  <c r="H6" i="4"/>
  <c r="O6" i="4" s="1"/>
  <c r="I6" i="4"/>
  <c r="J6" i="4"/>
  <c r="K6" i="4"/>
  <c r="R6" i="4" s="1"/>
  <c r="L6" i="4"/>
  <c r="S6" i="4" s="1"/>
  <c r="M6" i="4"/>
  <c r="T6" i="4" s="1"/>
  <c r="H7" i="4"/>
  <c r="O7" i="4" s="1"/>
  <c r="I7" i="4"/>
  <c r="J7" i="4"/>
  <c r="K7" i="4"/>
  <c r="R7" i="4" s="1"/>
  <c r="L7" i="4"/>
  <c r="S7" i="4" s="1"/>
  <c r="M7" i="4"/>
  <c r="T7" i="4" s="1"/>
  <c r="Q7" i="4" l="1"/>
  <c r="P3" i="4"/>
  <c r="Q3" i="4"/>
  <c r="Q5" i="4"/>
  <c r="P7" i="4"/>
  <c r="P5" i="4"/>
  <c r="Q6" i="4"/>
  <c r="Q4" i="4"/>
  <c r="P6" i="4"/>
  <c r="P4" i="4"/>
  <c r="H8" i="4"/>
  <c r="O8" i="4" s="1"/>
  <c r="I8" i="4"/>
  <c r="J8" i="4"/>
  <c r="K8" i="4"/>
  <c r="R8" i="4" s="1"/>
  <c r="L8" i="4"/>
  <c r="S8" i="4" s="1"/>
  <c r="M8" i="4"/>
  <c r="T8" i="4" s="1"/>
  <c r="H9" i="4"/>
  <c r="O9" i="4" s="1"/>
  <c r="I9" i="4"/>
  <c r="J9" i="4"/>
  <c r="K9" i="4"/>
  <c r="R9" i="4" s="1"/>
  <c r="L9" i="4"/>
  <c r="S9" i="4" s="1"/>
  <c r="M9" i="4"/>
  <c r="T9" i="4" s="1"/>
  <c r="H10" i="4"/>
  <c r="O10" i="4" s="1"/>
  <c r="I10" i="4"/>
  <c r="J10" i="4"/>
  <c r="K10" i="4"/>
  <c r="R10" i="4" s="1"/>
  <c r="L10" i="4"/>
  <c r="S10" i="4" s="1"/>
  <c r="M10" i="4"/>
  <c r="T10" i="4" s="1"/>
  <c r="H11" i="4"/>
  <c r="O11" i="4" s="1"/>
  <c r="I11" i="4"/>
  <c r="J11" i="4"/>
  <c r="K11" i="4"/>
  <c r="R11" i="4" s="1"/>
  <c r="L11" i="4"/>
  <c r="S11" i="4" s="1"/>
  <c r="M11" i="4"/>
  <c r="T11" i="4" s="1"/>
  <c r="H12" i="4"/>
  <c r="O12" i="4" s="1"/>
  <c r="I12" i="4"/>
  <c r="J12" i="4"/>
  <c r="K12" i="4"/>
  <c r="R12" i="4" s="1"/>
  <c r="L12" i="4"/>
  <c r="S12" i="4" s="1"/>
  <c r="M12" i="4"/>
  <c r="T12" i="4" s="1"/>
  <c r="H13" i="4"/>
  <c r="O13" i="4" s="1"/>
  <c r="I13" i="4"/>
  <c r="P13" i="4" s="1"/>
  <c r="J13" i="4"/>
  <c r="Q13" i="4" s="1"/>
  <c r="K13" i="4"/>
  <c r="R13" i="4" s="1"/>
  <c r="L13" i="4"/>
  <c r="S13" i="4" s="1"/>
  <c r="M13" i="4"/>
  <c r="T13" i="4" s="1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Q11" i="4" l="1"/>
  <c r="P11" i="4"/>
  <c r="P9" i="4"/>
  <c r="Q9" i="4"/>
  <c r="Q12" i="4"/>
  <c r="P12" i="4"/>
  <c r="Q8" i="4"/>
  <c r="P10" i="4"/>
  <c r="Q10" i="4"/>
  <c r="P8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<sst xmlns="http://schemas.openxmlformats.org/spreadsheetml/2006/main" count="434" uniqueCount="48">
  <si>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</si>
  <si>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</si>
  <si>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</si>
  <si>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</si>
  <si>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</si>
  <si>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</si>
  <si>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</si>
  <si>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</si>
  <si>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</si>
  <si>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</si>
  <si>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</si>
  <si>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</si>
  <si>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</si>
  <si>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</si>
  <si>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</si>
  <si>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</si>
  <si>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</si>
  <si>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</si>
  <si>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</si>
  <si>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</si>
  <si>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</si>
  <si>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</si>
  <si>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F1 (N)</t>
  </si>
  <si>
    <t>s1 (m)</t>
  </si>
  <si>
    <t>F2 (N)</t>
  </si>
  <si>
    <t>s2 (m)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</si>
  <si>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</si>
  <si>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</si>
  <si>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</si>
  <si>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</si>
  <si>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</si>
  <si>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</si>
  <si>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</si>
  <si>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theta1 (rad)</t>
  </si>
  <si>
    <t>theta2 (rad)</t>
  </si>
  <si>
    <t>singular values</t>
  </si>
  <si>
    <t>Axis Conversion</t>
  </si>
  <si>
    <t xml:space="preserve"> Transformation</t>
  </si>
  <si>
    <t>Sensor Offset (m)</t>
  </si>
  <si>
    <t>abs(s1-s2)</t>
  </si>
  <si>
    <t>Extra</t>
  </si>
  <si>
    <t>Sensor Ranges</t>
  </si>
  <si>
    <t>NRMSE (%FS)</t>
  </si>
  <si>
    <t>[</t>
  </si>
  <si>
    <t>{</t>
  </si>
  <si>
    <t>]</t>
  </si>
  <si>
    <t>;</t>
  </si>
  <si>
    <t>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</si>
</sst>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42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2" fillId="6" borderId="1" xfId="0" applyFont="1" applyFill="1" applyBorder="1"/>
    <xf numFmtId="0" fontId="0" fillId="0" borderId="1" xfId="0" applyBorder="1"/>
    <xf numFmtId="166" fontId="3" fillId="8" borderId="1" xfId="0" applyNumberFormat="1" applyFont="1" applyFill="1" applyBorder="1"/>
    <xf numFmtId="166" fontId="3" fillId="8" borderId="12" xfId="0" applyNumberFormat="1" applyFont="1" applyFill="1" applyBorder="1"/>
    <xf numFmtId="166" fontId="0" fillId="0" borderId="1" xfId="0" applyNumberFormat="1" applyBorder="1"/>
    <xf numFmtId="165" fontId="3" fillId="8" borderId="1" xfId="0" applyNumberFormat="1" applyFont="1" applyFill="1" applyBorder="1"/>
    <xf numFmtId="166" fontId="0" fillId="0" borderId="0" xfId="0" applyNumberFormat="1"/>
    <xf numFmtId="11" fontId="3" fillId="8" borderId="1" xfId="0" applyNumberFormat="1" applyFont="1" applyFill="1" applyBorder="1"/>
    <xf numFmtId="0" fontId="1" fillId="6" borderId="0" xfId="0" applyFont="1" applyFill="1"/>
    <xf numFmtId="164" fontId="3" fillId="8" borderId="0" xfId="0" applyNumberFormat="1" applyFont="1" applyFill="1"/>
    <xf numFmtId="2" fontId="3" fillId="8" borderId="1" xfId="0" applyNumberFormat="1" applyFont="1" applyFill="1" applyBorder="1"/>
    <xf numFmtId="2" fontId="4" fillId="10" borderId="1" xfId="1" applyNumberFormat="1" applyBorder="1"/>
    <xf numFmtId="164" fontId="4" fillId="10" borderId="1" xfId="1" applyNumberFormat="1" applyBorder="1"/>
    <xf numFmtId="1" fontId="3" fillId="8" borderId="1" xfId="0" applyNumberFormat="1" applyFont="1" applyFill="1" applyBorder="1"/>
    <xf numFmtId="0" fontId="2" fillId="7" borderId="0" xfId="0" applyFont="1" applyFill="1"/>
    <xf numFmtId="164" fontId="0" fillId="0" borderId="1" xfId="0" applyNumberFormat="1" applyBorder="1"/>
    <xf numFmtId="166" fontId="3" fillId="8" borderId="0" xfId="0" applyNumberFormat="1" applyFont="1" applyFill="1"/>
    <xf numFmtId="0" fontId="0" fillId="6" borderId="0" xfId="0" applyFill="1"/>
    <xf numFmtId="0" fontId="2" fillId="0" borderId="0" xfId="0" applyFont="1"/>
    <xf numFmtId="0" fontId="2" fillId="6" borderId="2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6D6D"/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DX62"/>
  <sheetViews>
    <sheetView topLeftCell="F1" zoomScaleNormal="100" workbookViewId="0">
      <pane ySplit="2" topLeftCell="A3" activePane="bottomLeft" state="frozen"/>
      <selection activeCell="J1" sqref="J1"/>
      <selection pane="bottomLeft" activeCell="J3" sqref="J3:O52"/>
    </sheetView>
  </sheetViews>
  <sheetFormatPr defaultRowHeight="16.5" customHeight="1" x14ac:dyDescent="0.25"/>
  <cols>
    <col min="1" max="2" width="7.42578125" bestFit="1" customWidth="1"/>
    <col min="3" max="3" width="11.85546875" bestFit="1" customWidth="1"/>
    <col min="4" max="5" width="7.42578125" bestFit="1" customWidth="1"/>
    <col min="6" max="6" width="11.85546875" bestFit="1" customWidth="1"/>
    <col min="7" max="9" width="8.5703125" bestFit="1" customWidth="1"/>
    <col min="10" max="11" width="8.42578125" bestFit="1" customWidth="1"/>
    <col min="12" max="15" width="8" bestFit="1" customWidth="1"/>
    <col min="16" max="17" width="8.140625" bestFit="1" customWidth="1"/>
    <col min="18" max="18" width="7.7109375" bestFit="1" customWidth="1"/>
    <col min="19" max="21" width="7" bestFit="1" customWidth="1"/>
    <col min="22" max="23" width="8.140625" bestFit="1" customWidth="1"/>
    <col min="24" max="24" width="7.7109375" bestFit="1" customWidth="1"/>
    <col min="25" max="27" width="7.28515625" bestFit="1" customWidth="1"/>
    <col min="28" max="28" width="14" bestFit="1" customWidth="1"/>
    <col min="29" max="29" width="10.7109375" bestFit="1" customWidth="1"/>
    <col min="30" max="30" width="14.5703125" bestFit="1" customWidth="1"/>
  </cols>
  <sheetData>
    <row r="1" spans="1:128" ht="16.5" customHeight="1" x14ac:dyDescent="0.25">
      <c r="A1" s="27" t="s">
        <v>11</v>
      </c>
      <c r="B1" s="27"/>
      <c r="C1" s="27"/>
      <c r="D1" s="27"/>
      <c r="E1" s="27"/>
      <c r="F1" s="27"/>
      <c r="G1" s="27"/>
      <c r="H1" s="27"/>
      <c r="I1" s="28"/>
      <c r="J1" s="29" t="s">
        <v>6</v>
      </c>
      <c r="K1" s="30"/>
      <c r="L1" s="30"/>
      <c r="M1" s="30"/>
      <c r="N1" s="30"/>
      <c r="O1" s="30"/>
      <c r="P1" s="36" t="s">
        <v>12</v>
      </c>
      <c r="Q1" s="37"/>
      <c r="R1" s="37"/>
      <c r="S1" s="37"/>
      <c r="T1" s="37"/>
      <c r="U1" s="37"/>
      <c r="V1" s="38" t="s">
        <v>14</v>
      </c>
      <c r="W1" s="38"/>
      <c r="X1" s="38"/>
      <c r="Y1" s="38"/>
      <c r="Z1" s="38"/>
      <c r="AA1" s="38"/>
      <c r="AB1" s="38"/>
      <c r="AC1" s="35" t="s">
        <v>40</v>
      </c>
      <c r="AD1" s="35"/>
      <c r="AE1" s="35" t="s">
        <v>41</v>
      </c>
      <c r="AF1" s="35"/>
      <c r="AG1" s="35"/>
      <c r="AH1" s="35"/>
      <c r="AI1" s="35"/>
      <c r="AJ1" s="35"/>
    </row>
    <row r="2" spans="1:128" ht="16.5" customHeight="1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3</v>
      </c>
      <c r="Q2" s="1" t="s">
        <v>4</v>
      </c>
      <c r="R2" s="1" t="s">
        <v>5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  <c r="X2" s="1" t="s">
        <v>5</v>
      </c>
      <c r="Y2" s="1" t="s">
        <v>0</v>
      </c>
      <c r="Z2" s="1" t="s">
        <v>1</v>
      </c>
      <c r="AA2" s="1" t="s">
        <v>2</v>
      </c>
      <c r="AB2" s="1" t="s">
        <v>42</v>
      </c>
      <c r="AC2" s="1" t="s">
        <v>39</v>
      </c>
      <c r="AD2" s="6" t="s">
        <v>35</v>
      </c>
      <c r="AE2" s="1" t="s">
        <v>18</v>
      </c>
      <c r="AF2" s="1" t="s">
        <v>19</v>
      </c>
      <c r="AG2" s="1" t="s">
        <v>20</v>
      </c>
      <c r="AH2" s="1" t="s">
        <v>15</v>
      </c>
      <c r="AI2" s="1" t="s">
        <v>16</v>
      </c>
      <c r="AJ2" s="1" t="s">
        <v>17</v>
      </c>
    </row>
    <row r="3" spans="1:128" s="5" customFormat="1" ht="16.5" customHeight="1" x14ac:dyDescent="0.25">
      <c r="A3" s="17">
        <v>0.57634630980000001</v>
      </c>
      <c r="B3" s="17">
        <v>0.2</v>
      </c>
      <c r="C3" s="18">
        <v>0.78539999999999999</v>
      </c>
      <c r="D3" s="17">
        <v>1.1398024601000001</v>
      </c>
      <c r="E3" s="17">
        <v>0.02</v>
      </c>
      <c r="F3" s="18">
        <v>5.4977999999999998</v>
      </c>
      <c r="G3" s="17">
        <v>0.49272223679999999</v>
      </c>
      <c r="H3" s="17">
        <v>4.4756011583999999</v>
      </c>
      <c r="I3" s="17">
        <v>4.1915536561</v>
      </c>
      <c r="J3" s="8">
        <v>-8.3262659609317801E-4</v>
      </c>
      <c r="K3" s="8">
        <v>-5.3400582866743193E-2</v>
      </c>
      <c r="L3" s="8">
        <v>9.2854456901550309E-2</v>
      </c>
      <c r="M3" s="8">
        <v>-7.20393061637878E-2</v>
      </c>
      <c r="N3" s="8">
        <v>1.12758028507233</v>
      </c>
      <c r="O3" s="8">
        <v>-0.58665424585342396</v>
      </c>
      <c r="P3" s="11">
        <v>-3.8458680985612274E-3</v>
      </c>
      <c r="Q3" s="11">
        <v>-6.317722408774501E-2</v>
      </c>
      <c r="R3" s="11">
        <v>9.6744821319023108E-2</v>
      </c>
      <c r="S3" s="11">
        <v>-0.11890600632031255</v>
      </c>
      <c r="T3" s="11">
        <v>1.2077770968117663</v>
      </c>
      <c r="U3" s="11">
        <v>-0.41543747902546097</v>
      </c>
      <c r="V3" s="5">
        <f t="shared" ref="V3:AA3" si="0">J3-P3</f>
        <v>3.0132415024680496E-3</v>
      </c>
      <c r="W3" s="5">
        <f t="shared" si="0"/>
        <v>9.7766412210018167E-3</v>
      </c>
      <c r="X3" s="5">
        <f t="shared" si="0"/>
        <v>-3.8903644174727997E-3</v>
      </c>
      <c r="Y3" s="5">
        <f t="shared" si="0"/>
        <v>4.6866700156524749E-2</v>
      </c>
      <c r="Z3" s="5">
        <f t="shared" si="0"/>
        <v>-8.0196811739436269E-2</v>
      </c>
      <c r="AA3" s="5">
        <f t="shared" si="0"/>
        <v>-0.171216766827963</v>
      </c>
      <c r="AB3" s="16" cm="1">
        <f t="array" ref="AB3">SQRT(SUMPRODUCT(((J3:O3-P3:U3)/$AE$3:$AJ$3)^2)/6)*100</f>
        <v>0.5912898095089576</v>
      </c>
      <c r="AC3" s="5">
        <f>ABS(B3-E3)</f>
        <v>0.18000000000000002</v>
      </c>
      <c r="AD3" s="13">
        <v>5182761.4467272004</v>
      </c>
      <c r="AE3" s="19">
        <v>1</v>
      </c>
      <c r="AF3" s="19">
        <v>1</v>
      </c>
      <c r="AG3" s="19">
        <v>1</v>
      </c>
      <c r="AH3" s="19">
        <v>60</v>
      </c>
      <c r="AI3" s="19">
        <v>20</v>
      </c>
      <c r="AJ3" s="19">
        <v>20</v>
      </c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</row>
    <row r="4" spans="1:128" s="5" customFormat="1" ht="16.5" customHeight="1" x14ac:dyDescent="0.25">
      <c r="A4" s="17">
        <v>1.2961945501000001</v>
      </c>
      <c r="B4" s="17">
        <v>0.2</v>
      </c>
      <c r="C4" s="18">
        <v>4.7123999999999997</v>
      </c>
      <c r="D4" s="17">
        <v>0.31907560010000002</v>
      </c>
      <c r="E4" s="17">
        <v>0.02</v>
      </c>
      <c r="F4" s="18">
        <v>1.5708</v>
      </c>
      <c r="G4" s="17">
        <v>0.53253118440000002</v>
      </c>
      <c r="H4" s="17">
        <v>1.6232893740000001</v>
      </c>
      <c r="I4" s="17">
        <v>9.6932284100000002E-2</v>
      </c>
      <c r="J4" s="8">
        <v>7.6168961822986603E-3</v>
      </c>
      <c r="K4" s="8">
        <v>0.24574007272720383</v>
      </c>
      <c r="L4" s="8">
        <v>1.0644453205168264E-3</v>
      </c>
      <c r="M4" s="8">
        <v>-0.71961438655853305</v>
      </c>
      <c r="N4" s="8">
        <v>2.90779918432236E-2</v>
      </c>
      <c r="O4" s="8">
        <v>-0.48940825462341297</v>
      </c>
      <c r="P4" s="11">
        <v>6.9366249802947713E-3</v>
      </c>
      <c r="Q4" s="11">
        <v>0.23050733579986882</v>
      </c>
      <c r="R4" s="11">
        <v>3.5083230887123402E-3</v>
      </c>
      <c r="S4" s="11">
        <v>-0.9341909924140438</v>
      </c>
      <c r="T4" s="11">
        <v>3.9420366676058034E-2</v>
      </c>
      <c r="U4" s="11">
        <v>-0.52577420925332319</v>
      </c>
      <c r="V4" s="5">
        <f t="shared" ref="V4:V10" si="1">J4-P4</f>
        <v>6.8027120200388896E-4</v>
      </c>
      <c r="W4" s="5">
        <f t="shared" ref="W4:W10" si="2">K4-Q4</f>
        <v>1.5232736927335011E-2</v>
      </c>
      <c r="X4" s="5">
        <f t="shared" ref="X4:X10" si="3">L4-R4</f>
        <v>-2.4438777681955138E-3</v>
      </c>
      <c r="Y4" s="5">
        <f t="shared" ref="Y4:Y10" si="4">M4-S4</f>
        <v>0.21457660585551075</v>
      </c>
      <c r="Z4" s="5">
        <f t="shared" ref="Z4:Z10" si="5">N4-T4</f>
        <v>-1.0342374832834435E-2</v>
      </c>
      <c r="AA4" s="5">
        <f t="shared" ref="AA4:AA10" si="6">O4-U4</f>
        <v>3.6365954629910213E-2</v>
      </c>
      <c r="AB4" s="16" cm="1">
        <f t="array" ref="AB4">SQRT(SUMPRODUCT(((J4:O4-P4:U4)/$AE$3:$AJ$3)^2)/6)*100</f>
        <v>0.65170923434642991</v>
      </c>
      <c r="AC4" s="5">
        <f t="shared" ref="AC4:AC62" si="7">ABS(B4-E4)</f>
        <v>0.18000000000000002</v>
      </c>
      <c r="AD4" s="13">
        <v>2927674.4469515202</v>
      </c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</row>
    <row r="5" spans="1:128" s="5" customFormat="1" ht="16.5" customHeight="1" x14ac:dyDescent="0.25">
      <c r="A5" s="17">
        <v>0.3432844504</v>
      </c>
      <c r="B5" s="17">
        <v>0.2</v>
      </c>
      <c r="C5" s="18">
        <v>3.1415999999999999</v>
      </c>
      <c r="D5" s="17">
        <v>0.75633386430000005</v>
      </c>
      <c r="E5" s="17">
        <v>0.02</v>
      </c>
      <c r="F5" s="18">
        <v>3.1415999999999999</v>
      </c>
      <c r="G5" s="17">
        <v>3.5593988404000001</v>
      </c>
      <c r="H5" s="17">
        <v>2.6173593599</v>
      </c>
      <c r="I5" s="17">
        <v>2.7214845023000001</v>
      </c>
      <c r="J5" s="8">
        <v>-1.2985616922378499E-4</v>
      </c>
      <c r="K5" s="8">
        <v>-3.6498736031353504E-3</v>
      </c>
      <c r="L5" s="8">
        <v>-7.9183645248412218E-2</v>
      </c>
      <c r="M5" s="8">
        <v>-1.52619369328022E-2</v>
      </c>
      <c r="N5" s="8">
        <v>-1.05842244625092</v>
      </c>
      <c r="O5" s="8">
        <v>2.1189808845519999E-2</v>
      </c>
      <c r="P5" s="11">
        <v>7.5361234971426901E-4</v>
      </c>
      <c r="Q5" s="11">
        <v>1.0849884787371506E-4</v>
      </c>
      <c r="R5" s="11">
        <v>-8.2497701620539876E-2</v>
      </c>
      <c r="S5" s="11">
        <v>-0.10803651422923981</v>
      </c>
      <c r="T5" s="11">
        <v>-1.0912357889045956</v>
      </c>
      <c r="U5" s="11">
        <v>-1.8100508803492777E-3</v>
      </c>
      <c r="V5" s="5">
        <f t="shared" ref="V5" si="8">J5-P5</f>
        <v>-8.8346851893805398E-4</v>
      </c>
      <c r="W5" s="5">
        <f t="shared" ref="W5" si="9">K5-Q5</f>
        <v>-3.7583724510090654E-3</v>
      </c>
      <c r="X5" s="5">
        <f t="shared" ref="X5" si="10">L5-R5</f>
        <v>3.3140563721276578E-3</v>
      </c>
      <c r="Y5" s="5">
        <f t="shared" ref="Y5" si="11">M5-S5</f>
        <v>9.2774577296437608E-2</v>
      </c>
      <c r="Z5" s="5">
        <f t="shared" ref="Z5" si="12">N5-T5</f>
        <v>3.2813342653675637E-2</v>
      </c>
      <c r="AA5" s="5">
        <f t="shared" ref="AA5" si="13">O5-U5</f>
        <v>2.2999859725869275E-2</v>
      </c>
      <c r="AB5" s="16" cm="1">
        <f t="array" ref="AB5">SQRT(SUMPRODUCT(((J5:O5-P5:U5)/$AE$3:$AJ$3)^2)/6)*100</f>
        <v>0.23199852559371623</v>
      </c>
      <c r="AC5" s="5">
        <f t="shared" si="7"/>
        <v>0.18000000000000002</v>
      </c>
      <c r="AD5" s="13">
        <v>4273283.7574743303</v>
      </c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</row>
    <row r="6" spans="1:128" s="5" customFormat="1" ht="16.5" customHeight="1" x14ac:dyDescent="0.25">
      <c r="A6" s="17">
        <v>0.83277602429999997</v>
      </c>
      <c r="B6" s="17">
        <v>0.2</v>
      </c>
      <c r="C6" s="18">
        <v>4.7123999999999997</v>
      </c>
      <c r="D6" s="17">
        <v>1.4193655153</v>
      </c>
      <c r="E6" s="17">
        <v>0.04</v>
      </c>
      <c r="F6" s="18">
        <v>5.4977999999999998</v>
      </c>
      <c r="G6" s="17">
        <v>4.2084858911999996</v>
      </c>
      <c r="H6" s="17">
        <v>0.52916698419999997</v>
      </c>
      <c r="I6" s="17">
        <v>2.5150427606000001</v>
      </c>
      <c r="J6" s="8">
        <v>-2.2600172087550201E-2</v>
      </c>
      <c r="K6" s="8">
        <v>0.2035677599906926</v>
      </c>
      <c r="L6" s="8">
        <v>1.6263059973716687E-2</v>
      </c>
      <c r="M6" s="8">
        <v>-0.76213192939758301</v>
      </c>
      <c r="N6" s="8">
        <v>0.83609861135482799</v>
      </c>
      <c r="O6" s="8">
        <v>-1.67676854133606</v>
      </c>
      <c r="P6" s="11">
        <v>-1.6056009550319005E-2</v>
      </c>
      <c r="Q6" s="11">
        <v>0.19702783445823938</v>
      </c>
      <c r="R6" s="11">
        <v>3.4234622469970354E-2</v>
      </c>
      <c r="S6" s="11">
        <v>-0.80219248645916452</v>
      </c>
      <c r="T6" s="11">
        <v>0.88645185524972003</v>
      </c>
      <c r="U6" s="11">
        <v>-1.6576023390474031</v>
      </c>
      <c r="V6" s="5">
        <f t="shared" ref="V6:AA7" si="14">J6-P6</f>
        <v>-6.5441625372311962E-3</v>
      </c>
      <c r="W6" s="5">
        <f t="shared" si="14"/>
        <v>6.5399255324532224E-3</v>
      </c>
      <c r="X6" s="5">
        <f t="shared" si="14"/>
        <v>-1.7971562496253667E-2</v>
      </c>
      <c r="Y6" s="5">
        <f t="shared" si="14"/>
        <v>4.0060557061581514E-2</v>
      </c>
      <c r="Z6" s="5">
        <f t="shared" si="14"/>
        <v>-5.0353243894892041E-2</v>
      </c>
      <c r="AA6" s="5">
        <f t="shared" si="14"/>
        <v>-1.9166202288656953E-2</v>
      </c>
      <c r="AB6" s="16" cm="1">
        <f t="array" ref="AB6">SQRT(SUMPRODUCT(((J6:O6-P6:U6)/$AE$3:$AJ$3)^2)/6)*100</f>
        <v>0.83294309551366763</v>
      </c>
      <c r="AC6" s="5">
        <f t="shared" si="7"/>
        <v>0.16</v>
      </c>
      <c r="AD6" s="13">
        <v>3505870.2146876999</v>
      </c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</row>
    <row r="7" spans="1:128" s="5" customFormat="1" ht="16.5" customHeight="1" x14ac:dyDescent="0.25">
      <c r="A7" s="17">
        <v>0.3898403909</v>
      </c>
      <c r="B7" s="17">
        <v>0.2</v>
      </c>
      <c r="C7" s="18">
        <v>1.5708</v>
      </c>
      <c r="D7" s="17">
        <v>0.45028828840000001</v>
      </c>
      <c r="E7" s="17">
        <v>0.04</v>
      </c>
      <c r="F7" s="18">
        <v>2.3561999999999999</v>
      </c>
      <c r="G7" s="17">
        <v>0.34676129480000001</v>
      </c>
      <c r="H7" s="17">
        <v>0.93612470940000003</v>
      </c>
      <c r="I7" s="17">
        <v>2.0702513480000002</v>
      </c>
      <c r="J7" s="8">
        <v>-2.83843977376819E-3</v>
      </c>
      <c r="K7" s="8">
        <v>-8.2259576320647787E-2</v>
      </c>
      <c r="L7" s="8">
        <v>-3.6772690713405068E-4</v>
      </c>
      <c r="M7" s="8">
        <v>-7.1337848901748699E-2</v>
      </c>
      <c r="N7" s="8">
        <v>-0.277880519628525</v>
      </c>
      <c r="O7" s="8">
        <v>0.691084444522858</v>
      </c>
      <c r="P7" s="11">
        <v>-1.3121901393190266E-3</v>
      </c>
      <c r="Q7" s="11">
        <v>-8.9262448649607168E-2</v>
      </c>
      <c r="R7" s="11">
        <v>-1.2519858524483401E-2</v>
      </c>
      <c r="S7" s="11">
        <v>-0.11669776718578821</v>
      </c>
      <c r="T7" s="11">
        <v>-0.31464896267178544</v>
      </c>
      <c r="U7" s="11">
        <v>0.69863043590686136</v>
      </c>
      <c r="V7" s="5">
        <f t="shared" si="14"/>
        <v>-1.5262496344491635E-3</v>
      </c>
      <c r="W7" s="5">
        <f t="shared" si="14"/>
        <v>7.0028723289593808E-3</v>
      </c>
      <c r="X7" s="5">
        <f t="shared" si="14"/>
        <v>1.2152131617349351E-2</v>
      </c>
      <c r="Y7" s="5">
        <f t="shared" si="14"/>
        <v>4.5359918284039513E-2</v>
      </c>
      <c r="Z7" s="5">
        <f t="shared" si="14"/>
        <v>3.6768443043260435E-2</v>
      </c>
      <c r="AA7" s="5">
        <f t="shared" si="14"/>
        <v>-7.5459913840033588E-3</v>
      </c>
      <c r="AB7" s="16" cm="1">
        <f t="array" ref="AB7">SQRT(SUMPRODUCT(((J7:O7-P7:U7)/$AE$3:$AJ$3)^2)/6)*100</f>
        <v>0.58186144765884051</v>
      </c>
      <c r="AC7" s="5">
        <f t="shared" si="7"/>
        <v>0.16</v>
      </c>
      <c r="AD7" s="13">
        <v>8970007.7564536203</v>
      </c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</row>
    <row r="8" spans="1:128" s="5" customFormat="1" ht="16.5" customHeight="1" x14ac:dyDescent="0.25">
      <c r="A8" s="17">
        <v>0.86958752539999995</v>
      </c>
      <c r="B8" s="17">
        <v>0.2</v>
      </c>
      <c r="C8" s="18">
        <v>0.78539999999999999</v>
      </c>
      <c r="D8" s="17">
        <v>0.66933871</v>
      </c>
      <c r="E8" s="17">
        <v>0.04</v>
      </c>
      <c r="F8" s="18">
        <v>0.78539999999999999</v>
      </c>
      <c r="G8" s="17">
        <v>2.0486073985000002</v>
      </c>
      <c r="H8" s="17">
        <v>1.4427408886999999</v>
      </c>
      <c r="I8" s="17">
        <v>0.53737298850000004</v>
      </c>
      <c r="J8" s="8">
        <v>4.2178397998213803E-3</v>
      </c>
      <c r="K8" s="8">
        <v>-0.1370001655817028</v>
      </c>
      <c r="L8" s="8">
        <v>0.13484285593032813</v>
      </c>
      <c r="M8" s="8">
        <v>-0.61169552803039595</v>
      </c>
      <c r="N8" s="8">
        <v>0.92778009176254295</v>
      </c>
      <c r="O8" s="8">
        <v>0.97456169128418002</v>
      </c>
      <c r="P8" s="11">
        <v>-2.5087600534579148E-3</v>
      </c>
      <c r="Q8" s="11">
        <v>-0.13295516949701597</v>
      </c>
      <c r="R8" s="11">
        <v>0.13423178464711924</v>
      </c>
      <c r="S8" s="11">
        <v>-0.7429952535801152</v>
      </c>
      <c r="T8" s="11">
        <v>0.93095245460271803</v>
      </c>
      <c r="U8" s="11">
        <v>0.90995695848074565</v>
      </c>
      <c r="V8" s="5">
        <f t="shared" si="1"/>
        <v>6.7265998532792951E-3</v>
      </c>
      <c r="W8" s="5">
        <f t="shared" si="2"/>
        <v>-4.044996084686836E-3</v>
      </c>
      <c r="X8" s="5">
        <f t="shared" si="3"/>
        <v>6.1107128320889159E-4</v>
      </c>
      <c r="Y8" s="5">
        <f t="shared" si="4"/>
        <v>0.13129972554971925</v>
      </c>
      <c r="Z8" s="5">
        <f t="shared" si="5"/>
        <v>-3.1723628401750803E-3</v>
      </c>
      <c r="AA8" s="5">
        <f t="shared" si="6"/>
        <v>6.4604732803434373E-2</v>
      </c>
      <c r="AB8" s="16" cm="1">
        <f t="array" ref="AB8">SQRT(SUMPRODUCT(((J8:O8-P8:U8)/$AE$3:$AJ$3)^2)/6)*100</f>
        <v>0.35877318333707037</v>
      </c>
      <c r="AC8" s="5">
        <f t="shared" si="7"/>
        <v>0.16</v>
      </c>
      <c r="AD8" s="13">
        <v>11472322.9176939</v>
      </c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</row>
    <row r="9" spans="1:128" s="5" customFormat="1" ht="16.5" customHeight="1" x14ac:dyDescent="0.25">
      <c r="A9" s="17">
        <v>1.2260241731999999</v>
      </c>
      <c r="B9" s="17">
        <v>0.2</v>
      </c>
      <c r="C9" s="18">
        <v>3.1415999999999999</v>
      </c>
      <c r="D9" s="17">
        <v>0.53124592000000004</v>
      </c>
      <c r="E9" s="17">
        <v>0.04</v>
      </c>
      <c r="F9" s="18">
        <v>1.5708</v>
      </c>
      <c r="G9" s="17">
        <v>2.1721905802000001</v>
      </c>
      <c r="H9" s="17">
        <v>4.8592739976999999</v>
      </c>
      <c r="I9" s="17">
        <v>4.1505258277000001</v>
      </c>
      <c r="J9" s="8">
        <v>-1.05884596705437E-2</v>
      </c>
      <c r="K9" s="8">
        <v>-2.5415880382061017E-2</v>
      </c>
      <c r="L9" s="8">
        <v>-0.22906562328338606</v>
      </c>
      <c r="M9" s="8">
        <v>-0.90436720848083496</v>
      </c>
      <c r="N9" s="8">
        <v>-0.59426629543304399</v>
      </c>
      <c r="O9" s="8">
        <v>0.66323274374008201</v>
      </c>
      <c r="P9" s="11">
        <v>-4.7395531134692788E-3</v>
      </c>
      <c r="Q9" s="11">
        <v>-2.3014450386568779E-2</v>
      </c>
      <c r="R9" s="11">
        <v>-0.21593439797766101</v>
      </c>
      <c r="S9" s="11">
        <v>-1.037015551693089</v>
      </c>
      <c r="T9" s="11">
        <v>-0.65726908619504332</v>
      </c>
      <c r="U9" s="11">
        <v>0.54326312163985624</v>
      </c>
      <c r="V9" s="5">
        <f t="shared" si="1"/>
        <v>-5.8489065570744214E-3</v>
      </c>
      <c r="W9" s="5">
        <f t="shared" si="2"/>
        <v>-2.4014299954922373E-3</v>
      </c>
      <c r="X9" s="5">
        <f t="shared" si="3"/>
        <v>-1.3131225305725053E-2</v>
      </c>
      <c r="Y9" s="5">
        <f t="shared" si="4"/>
        <v>0.13264834321225405</v>
      </c>
      <c r="Z9" s="5">
        <f t="shared" si="5"/>
        <v>6.3002790761999328E-2</v>
      </c>
      <c r="AA9" s="5">
        <f t="shared" si="6"/>
        <v>0.11996962210022577</v>
      </c>
      <c r="AB9" s="16" cm="1">
        <f t="array" ref="AB9">SQRT(SUMPRODUCT(((J9:O9-P9:U9)/$AE$3:$AJ$3)^2)/6)*100</f>
        <v>0.66231723085884597</v>
      </c>
      <c r="AC9" s="5">
        <f t="shared" si="7"/>
        <v>0.16</v>
      </c>
      <c r="AD9" s="13">
        <v>1451648.22916806</v>
      </c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</row>
    <row r="10" spans="1:128" s="5" customFormat="1" ht="16.5" customHeight="1" x14ac:dyDescent="0.25">
      <c r="A10" s="17">
        <v>1.4922792275000001</v>
      </c>
      <c r="B10" s="17">
        <v>0.2</v>
      </c>
      <c r="C10" s="18">
        <v>2.3561999999999999</v>
      </c>
      <c r="D10" s="17">
        <v>1.2493008810999999</v>
      </c>
      <c r="E10" s="17">
        <v>0.04</v>
      </c>
      <c r="F10" s="18">
        <v>0.78539999999999999</v>
      </c>
      <c r="G10" s="17">
        <v>0.65138204079999995</v>
      </c>
      <c r="H10" s="17">
        <v>2.3960292019999998</v>
      </c>
      <c r="I10" s="17">
        <v>3.8310385232000002</v>
      </c>
      <c r="J10" s="8">
        <v>-3.3023439347744002E-2</v>
      </c>
      <c r="K10" s="8">
        <v>-0.23263156175613409</v>
      </c>
      <c r="L10" s="8">
        <v>-0.15568616658449203</v>
      </c>
      <c r="M10" s="8">
        <v>-1.0651987791061399</v>
      </c>
      <c r="N10" s="8">
        <v>0.49567955732345598</v>
      </c>
      <c r="O10" s="8">
        <v>1.5597436428070099</v>
      </c>
      <c r="P10" s="11">
        <v>-2.2463999282535608E-2</v>
      </c>
      <c r="Q10" s="11">
        <v>-0.22898279020825116</v>
      </c>
      <c r="R10" s="11">
        <v>-0.14135228945697995</v>
      </c>
      <c r="S10" s="11">
        <v>-1.2832043384030869</v>
      </c>
      <c r="T10" s="11">
        <v>0.4367814817963428</v>
      </c>
      <c r="U10" s="11">
        <v>1.4733488908332519</v>
      </c>
      <c r="V10" s="5">
        <f t="shared" si="1"/>
        <v>-1.0559440065208394E-2</v>
      </c>
      <c r="W10" s="5">
        <f t="shared" si="2"/>
        <v>-3.6487715478829286E-3</v>
      </c>
      <c r="X10" s="5">
        <f t="shared" si="3"/>
        <v>-1.4333877127512079E-2</v>
      </c>
      <c r="Y10" s="5">
        <f t="shared" si="4"/>
        <v>0.21800555929694698</v>
      </c>
      <c r="Z10" s="5">
        <f t="shared" si="5"/>
        <v>5.8898075527113181E-2</v>
      </c>
      <c r="AA10" s="5">
        <f t="shared" si="6"/>
        <v>8.6394751973758011E-2</v>
      </c>
      <c r="AB10" s="16" cm="1">
        <f t="array" ref="AB10">SQRT(SUMPRODUCT(((J10:O10-P10:U10)/$AE$3:$AJ$3)^2)/6)*100</f>
        <v>0.78614006109155499</v>
      </c>
      <c r="AC10" s="5">
        <f t="shared" si="7"/>
        <v>0.16</v>
      </c>
      <c r="AD10" s="13">
        <v>44611344.407364704</v>
      </c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</row>
    <row r="11" spans="1:128" ht="16.5" customHeight="1" x14ac:dyDescent="0.25">
      <c r="A11" s="17">
        <v>1.4258680059</v>
      </c>
      <c r="B11" s="17">
        <v>0.2</v>
      </c>
      <c r="C11" s="18">
        <v>4.7123999999999997</v>
      </c>
      <c r="D11" s="17">
        <v>0.35291314260000001</v>
      </c>
      <c r="E11" s="17">
        <v>0.04</v>
      </c>
      <c r="F11" s="18">
        <v>0</v>
      </c>
      <c r="G11" s="17">
        <v>3.4810259851000001</v>
      </c>
      <c r="H11" s="17">
        <v>1.1294030872</v>
      </c>
      <c r="I11" s="17">
        <v>4.9138255752999997</v>
      </c>
      <c r="J11" s="8">
        <v>-2.9087357223033902E-2</v>
      </c>
      <c r="K11" s="8">
        <v>0.27084197163581819</v>
      </c>
      <c r="L11" s="8">
        <v>9.3254102021455808E-3</v>
      </c>
      <c r="M11" s="8">
        <v>-1.3190960884094201</v>
      </c>
      <c r="N11" s="8">
        <v>0.140940636396408</v>
      </c>
      <c r="O11" s="8">
        <v>-0.61736321449279796</v>
      </c>
      <c r="P11" s="11">
        <v>-1.6172762322580862E-2</v>
      </c>
      <c r="Q11" s="11">
        <v>0.24188002798750988</v>
      </c>
      <c r="R11" s="11">
        <v>5.7367782769894094E-3</v>
      </c>
      <c r="S11" s="11">
        <v>-1.3042815769297911</v>
      </c>
      <c r="T11" s="11">
        <v>0.23208611270380994</v>
      </c>
      <c r="U11" s="11">
        <v>-0.59527886764220683</v>
      </c>
      <c r="V11" s="5">
        <f t="shared" ref="V11:V12" si="15">J11-P11</f>
        <v>-1.291459490045304E-2</v>
      </c>
      <c r="W11" s="5">
        <f t="shared" ref="W11:W12" si="16">K11-Q11</f>
        <v>2.8961943648308314E-2</v>
      </c>
      <c r="X11" s="5">
        <f t="shared" ref="X11:X12" si="17">L11-R11</f>
        <v>3.5886319251561714E-3</v>
      </c>
      <c r="Y11" s="5">
        <f t="shared" ref="Y11:Y12" si="18">M11-S11</f>
        <v>-1.4814511479628978E-2</v>
      </c>
      <c r="Z11" s="5">
        <f t="shared" ref="Z11:Z12" si="19">N11-T11</f>
        <v>-9.114547630740194E-2</v>
      </c>
      <c r="AA11" s="5">
        <f t="shared" ref="AA11:AA12" si="20">O11-U11</f>
        <v>-2.208434685059113E-2</v>
      </c>
      <c r="AB11" s="16" cm="1">
        <f t="array" ref="AB11">SQRT(SUMPRODUCT(((J11:O11-P11:U11)/$AE$3:$AJ$3)^2)/6)*100</f>
        <v>1.3168828249646938</v>
      </c>
      <c r="AC11" s="5">
        <f t="shared" si="7"/>
        <v>0.16</v>
      </c>
      <c r="AD11" s="13">
        <v>11612851.453590199</v>
      </c>
    </row>
    <row r="12" spans="1:128" ht="16.5" customHeight="1" x14ac:dyDescent="0.25">
      <c r="A12" s="17">
        <v>1.2847663906</v>
      </c>
      <c r="B12" s="17">
        <v>0.18</v>
      </c>
      <c r="C12" s="18">
        <v>0.78539999999999999</v>
      </c>
      <c r="D12" s="17">
        <v>0.98965387010000005</v>
      </c>
      <c r="E12" s="17">
        <v>0.04</v>
      </c>
      <c r="F12" s="18">
        <v>3.927</v>
      </c>
      <c r="G12" s="17">
        <v>3.2068327339999998</v>
      </c>
      <c r="H12" s="17">
        <v>3.5469168124000001</v>
      </c>
      <c r="I12" s="17">
        <v>1.1514404992</v>
      </c>
      <c r="J12" s="8">
        <v>-1.0062171146273601E-2</v>
      </c>
      <c r="K12" s="8">
        <v>-0.11961497262120291</v>
      </c>
      <c r="L12" s="8">
        <v>0.13679772749543156</v>
      </c>
      <c r="M12" s="8">
        <v>-0.57413351535797097</v>
      </c>
      <c r="N12" s="8">
        <v>-0.16432480514049499</v>
      </c>
      <c r="O12" s="8">
        <v>-0.195539399981499</v>
      </c>
      <c r="P12" s="11">
        <v>-1.0537619630847143E-2</v>
      </c>
      <c r="Q12" s="11">
        <v>-0.12120093343574603</v>
      </c>
      <c r="R12" s="11">
        <v>0.12685227509681399</v>
      </c>
      <c r="S12" s="11">
        <v>-0.65332836281651829</v>
      </c>
      <c r="T12" s="11">
        <v>-1.1251910742343258E-2</v>
      </c>
      <c r="U12" s="11">
        <v>-7.8499111160395735E-2</v>
      </c>
      <c r="V12" s="5">
        <f t="shared" si="15"/>
        <v>4.7544848457354259E-4</v>
      </c>
      <c r="W12" s="5">
        <f t="shared" si="16"/>
        <v>1.5859608145431248E-3</v>
      </c>
      <c r="X12" s="5">
        <f t="shared" si="17"/>
        <v>9.9454523986175769E-3</v>
      </c>
      <c r="Y12" s="5">
        <f t="shared" si="18"/>
        <v>7.9194847458547324E-2</v>
      </c>
      <c r="Z12" s="5">
        <f t="shared" si="19"/>
        <v>-0.15307289439815175</v>
      </c>
      <c r="AA12" s="5">
        <f t="shared" si="20"/>
        <v>-0.11704028882110326</v>
      </c>
      <c r="AB12" s="16" cm="1">
        <f t="array" ref="AB12">SQRT(SUMPRODUCT(((J12:O12-P12:U12)/$AE$3:$AJ$3)^2)/6)*100</f>
        <v>0.57186809404552352</v>
      </c>
      <c r="AC12" s="5">
        <f t="shared" si="7"/>
        <v>0.13999999999999999</v>
      </c>
      <c r="AD12" s="13">
        <v>15650493.6430206</v>
      </c>
    </row>
    <row r="13" spans="1:128" ht="16.5" customHeight="1" x14ac:dyDescent="0.25">
      <c r="A13" s="17">
        <v>0.82078888689999996</v>
      </c>
      <c r="B13" s="17">
        <v>0.18</v>
      </c>
      <c r="C13" s="18">
        <v>0</v>
      </c>
      <c r="D13" s="17">
        <v>1.3252826163</v>
      </c>
      <c r="E13" s="17">
        <v>0.04</v>
      </c>
      <c r="F13" s="18">
        <v>0</v>
      </c>
      <c r="G13" s="17">
        <v>3.9081993600000003E-2</v>
      </c>
      <c r="H13" s="17">
        <v>2.9262884955000001</v>
      </c>
      <c r="I13" s="17">
        <v>4.7431789933999999</v>
      </c>
      <c r="J13" s="8">
        <v>1.4371985569596299E-2</v>
      </c>
      <c r="K13" s="8">
        <v>-1.4706531241536116E-2</v>
      </c>
      <c r="L13" s="8">
        <v>0.2061504805088038</v>
      </c>
      <c r="M13" s="8">
        <v>-0.55730897188186601</v>
      </c>
      <c r="N13" s="8">
        <v>2.0565929412841801</v>
      </c>
      <c r="O13" s="8">
        <v>7.4373602867126506E-2</v>
      </c>
      <c r="P13" s="11">
        <v>1.3962415177257053E-2</v>
      </c>
      <c r="Q13" s="11">
        <v>-4.3173147657946656E-3</v>
      </c>
      <c r="R13" s="11">
        <v>0.19783539390024879</v>
      </c>
      <c r="S13" s="11">
        <v>-0.58978022518078177</v>
      </c>
      <c r="T13" s="11">
        <v>2.0513442091719258</v>
      </c>
      <c r="U13" s="11">
        <v>7.7424057484701297E-2</v>
      </c>
      <c r="V13" s="5">
        <f t="shared" ref="V13:V22" si="21">J13-P13</f>
        <v>4.0957039233924589E-4</v>
      </c>
      <c r="W13" s="5">
        <f t="shared" ref="W13:W22" si="22">K13-Q13</f>
        <v>-1.0389216475741449E-2</v>
      </c>
      <c r="X13" s="5">
        <f t="shared" ref="X13:X22" si="23">L13-R13</f>
        <v>8.3150866085550112E-3</v>
      </c>
      <c r="Y13" s="5">
        <f t="shared" ref="Y13:Y22" si="24">M13-S13</f>
        <v>3.2471253298915759E-2</v>
      </c>
      <c r="Z13" s="5">
        <f t="shared" ref="Z13:Z22" si="25">N13-T13</f>
        <v>5.2487321122542951E-3</v>
      </c>
      <c r="AA13" s="5">
        <f t="shared" ref="AA13:AA22" si="26">O13-U13</f>
        <v>-3.050454617574791E-3</v>
      </c>
      <c r="AB13" s="16" cm="1">
        <f t="array" ref="AB13">SQRT(SUMPRODUCT(((J13:O13-P13:U13)/$AE$3:$AJ$3)^2)/6)*100</f>
        <v>0.54410362419753733</v>
      </c>
      <c r="AC13" s="5">
        <f t="shared" si="7"/>
        <v>0.13999999999999999</v>
      </c>
      <c r="AD13" s="13">
        <v>203083247.26051599</v>
      </c>
    </row>
    <row r="14" spans="1:128" ht="16.5" customHeight="1" x14ac:dyDescent="0.25">
      <c r="A14" s="17">
        <v>0.51355824630000002</v>
      </c>
      <c r="B14" s="17">
        <v>0.2</v>
      </c>
      <c r="C14" s="18">
        <v>2.3561999999999999</v>
      </c>
      <c r="D14" s="17">
        <v>0.96095190770000005</v>
      </c>
      <c r="E14" s="17">
        <v>0.06</v>
      </c>
      <c r="F14" s="18">
        <v>0</v>
      </c>
      <c r="G14" s="17">
        <v>2.4382389278000001</v>
      </c>
      <c r="H14" s="17">
        <v>4.2854047354000002</v>
      </c>
      <c r="I14" s="17">
        <v>0.33901404839999999</v>
      </c>
      <c r="J14" s="8">
        <v>1.1325632221996799E-3</v>
      </c>
      <c r="K14" s="8">
        <v>-6.6681183576583883E-2</v>
      </c>
      <c r="L14" s="8">
        <v>7.4554264545442783E-4</v>
      </c>
      <c r="M14" s="8">
        <v>-6.8245917558670002E-2</v>
      </c>
      <c r="N14" s="8">
        <v>0.80465632677078203</v>
      </c>
      <c r="O14" s="8">
        <v>0.26539456844329801</v>
      </c>
      <c r="P14" s="11">
        <v>1.4116886840891455E-3</v>
      </c>
      <c r="Q14" s="11">
        <v>-6.8814437906198692E-2</v>
      </c>
      <c r="R14" s="11">
        <v>-1.1834700613937146E-2</v>
      </c>
      <c r="S14" s="11">
        <v>-0.16046156628849539</v>
      </c>
      <c r="T14" s="11">
        <v>0.6261073611513065</v>
      </c>
      <c r="U14" s="11">
        <v>0.3160520864764868</v>
      </c>
      <c r="V14" s="5">
        <f t="shared" si="21"/>
        <v>-2.7912546188946555E-4</v>
      </c>
      <c r="W14" s="5">
        <f t="shared" si="22"/>
        <v>2.1332543296148088E-3</v>
      </c>
      <c r="X14" s="5">
        <f t="shared" si="23"/>
        <v>1.2580243259391574E-2</v>
      </c>
      <c r="Y14" s="5">
        <f t="shared" si="24"/>
        <v>9.2215648729825392E-2</v>
      </c>
      <c r="Z14" s="5">
        <f t="shared" si="25"/>
        <v>0.17854896561947553</v>
      </c>
      <c r="AA14" s="5">
        <f t="shared" si="26"/>
        <v>-5.0657518033188798E-2</v>
      </c>
      <c r="AB14" s="16" cm="1">
        <f t="array" ref="AB14">SQRT(SUMPRODUCT(((J14:O14-P14:U14)/$AE$3:$AJ$3)^2)/6)*100</f>
        <v>0.64726108171486108</v>
      </c>
      <c r="AC14" s="5">
        <f t="shared" si="7"/>
        <v>0.14000000000000001</v>
      </c>
      <c r="AD14" s="13">
        <v>2977965.8202338498</v>
      </c>
    </row>
    <row r="15" spans="1:128" ht="16.5" customHeight="1" x14ac:dyDescent="0.25">
      <c r="A15" s="17">
        <v>0.35944564579999999</v>
      </c>
      <c r="B15" s="17">
        <v>0.18</v>
      </c>
      <c r="C15" s="18">
        <v>5.4977999999999998</v>
      </c>
      <c r="D15" s="17">
        <v>1.2877652723999999</v>
      </c>
      <c r="E15" s="17">
        <v>0.04</v>
      </c>
      <c r="F15" s="18">
        <v>2.3561999999999999</v>
      </c>
      <c r="G15" s="17">
        <v>2.1189458146</v>
      </c>
      <c r="H15" s="17">
        <v>2.2606748846000002</v>
      </c>
      <c r="I15" s="17">
        <v>0.94750633689999997</v>
      </c>
      <c r="J15" s="8">
        <v>-5.0011062994599299E-3</v>
      </c>
      <c r="K15" s="8">
        <v>1.905451118946036E-3</v>
      </c>
      <c r="L15" s="8">
        <v>-3.3290824294089638E-3</v>
      </c>
      <c r="M15" s="8">
        <v>1.8331240862607999E-3</v>
      </c>
      <c r="N15" s="8">
        <v>-0.756436347961426</v>
      </c>
      <c r="O15" s="8">
        <v>0.79075133800506603</v>
      </c>
      <c r="P15" s="11">
        <v>-1.1395095969386831E-3</v>
      </c>
      <c r="Q15" s="11">
        <v>9.3017485423136093E-3</v>
      </c>
      <c r="R15" s="11">
        <v>9.1659151898373648E-3</v>
      </c>
      <c r="S15" s="11">
        <v>5.7736280251303822E-4</v>
      </c>
      <c r="T15" s="11">
        <v>-0.65731655057261273</v>
      </c>
      <c r="U15" s="11">
        <v>0.65843555760734018</v>
      </c>
      <c r="V15" s="5">
        <f t="shared" si="21"/>
        <v>-3.861596702521247E-3</v>
      </c>
      <c r="W15" s="5">
        <f t="shared" si="22"/>
        <v>-7.3962974233675732E-3</v>
      </c>
      <c r="X15" s="5">
        <f t="shared" si="23"/>
        <v>-1.2494997619246329E-2</v>
      </c>
      <c r="Y15" s="5">
        <f t="shared" si="24"/>
        <v>1.2557612837477616E-3</v>
      </c>
      <c r="Z15" s="5">
        <f t="shared" si="25"/>
        <v>-9.9119797388813269E-2</v>
      </c>
      <c r="AA15" s="5">
        <f t="shared" si="26"/>
        <v>0.13231578039772585</v>
      </c>
      <c r="AB15" s="16" cm="1">
        <f t="array" ref="AB15">SQRT(SUMPRODUCT(((J15:O15-P15:U15)/$AE$3:$AJ$3)^2)/6)*100</f>
        <v>0.70008695668507748</v>
      </c>
      <c r="AC15" s="5">
        <f t="shared" si="7"/>
        <v>0.13999999999999999</v>
      </c>
      <c r="AD15" s="13">
        <v>130272515.589435</v>
      </c>
    </row>
    <row r="16" spans="1:128" ht="16.5" customHeight="1" x14ac:dyDescent="0.25">
      <c r="A16" s="17">
        <v>1.2267525763</v>
      </c>
      <c r="B16" s="17">
        <v>0.16</v>
      </c>
      <c r="C16" s="18">
        <v>5.4977999999999998</v>
      </c>
      <c r="D16" s="17">
        <v>1.4944716747</v>
      </c>
      <c r="E16" s="17">
        <v>0.04</v>
      </c>
      <c r="F16" s="18">
        <v>3.927</v>
      </c>
      <c r="G16" s="17">
        <v>0.31884207939999998</v>
      </c>
      <c r="H16" s="17">
        <v>3.8007215218999999</v>
      </c>
      <c r="I16" s="17">
        <v>0.48541647729999998</v>
      </c>
      <c r="J16" s="8">
        <v>5.6576435454189803E-3</v>
      </c>
      <c r="K16" s="8">
        <v>0.17276296734809909</v>
      </c>
      <c r="L16" s="8">
        <v>8.9440476745367051E-2</v>
      </c>
      <c r="M16" s="8">
        <v>-0.48139920830726601</v>
      </c>
      <c r="N16" s="8">
        <v>-0.48554921150207497</v>
      </c>
      <c r="O16" s="8">
        <v>-1.6963471174240099</v>
      </c>
      <c r="P16" s="11">
        <v>5.9347761331263894E-3</v>
      </c>
      <c r="Q16" s="11">
        <v>0.17749228304598175</v>
      </c>
      <c r="R16" s="11">
        <v>9.5618846428035434E-2</v>
      </c>
      <c r="S16" s="11">
        <v>-0.59606553627481251</v>
      </c>
      <c r="T16" s="11">
        <v>-0.23419289956062223</v>
      </c>
      <c r="U16" s="11">
        <v>-1.8168003737836591</v>
      </c>
      <c r="V16" s="5">
        <f t="shared" si="21"/>
        <v>-2.7713258770740903E-4</v>
      </c>
      <c r="W16" s="5">
        <f t="shared" si="22"/>
        <v>-4.7293156978826523E-3</v>
      </c>
      <c r="X16" s="5">
        <f t="shared" si="23"/>
        <v>-6.1783696826683832E-3</v>
      </c>
      <c r="Y16" s="5">
        <f t="shared" si="24"/>
        <v>0.1146663279675465</v>
      </c>
      <c r="Z16" s="5">
        <f t="shared" si="25"/>
        <v>-0.25135631194145275</v>
      </c>
      <c r="AA16" s="5">
        <f t="shared" si="26"/>
        <v>0.12045325635964921</v>
      </c>
      <c r="AB16" s="16" cm="1">
        <f t="array" ref="AB16">SQRT(SUMPRODUCT(((J16:O16-P16:U16)/$AE$3:$AJ$3)^2)/6)*100</f>
        <v>0.65636659190439062</v>
      </c>
      <c r="AC16" s="5">
        <f t="shared" si="7"/>
        <v>0.12</v>
      </c>
      <c r="AD16" s="13">
        <v>31767914.453021601</v>
      </c>
    </row>
    <row r="17" spans="1:30" ht="16.5" customHeight="1" x14ac:dyDescent="0.25">
      <c r="A17" s="17">
        <v>0.64421489080000005</v>
      </c>
      <c r="B17" s="17">
        <v>0.14000000000000001</v>
      </c>
      <c r="C17" s="18">
        <v>0</v>
      </c>
      <c r="D17" s="17">
        <v>0.8523470823</v>
      </c>
      <c r="E17" s="17">
        <v>0.02</v>
      </c>
      <c r="F17" s="18">
        <v>4.7123999999999997</v>
      </c>
      <c r="G17" s="17">
        <v>8.0437148799999997E-2</v>
      </c>
      <c r="H17" s="17">
        <v>0.35167971240000001</v>
      </c>
      <c r="I17" s="17">
        <v>1.0501461195999999</v>
      </c>
      <c r="J17" s="8">
        <v>1.9597527571022502E-3</v>
      </c>
      <c r="K17" s="8">
        <v>1.6047963500023368E-2</v>
      </c>
      <c r="L17" s="8">
        <v>8.9387370347976308E-2</v>
      </c>
      <c r="M17" s="8">
        <v>-0.110345743596554</v>
      </c>
      <c r="N17" s="8">
        <v>0.49668353796005199</v>
      </c>
      <c r="O17" s="8">
        <v>-0.96090674400329601</v>
      </c>
      <c r="P17" s="11">
        <v>1.6043554446392293E-3</v>
      </c>
      <c r="Q17" s="11">
        <v>1.6824528189446804E-2</v>
      </c>
      <c r="R17" s="11">
        <v>8.9837806860052466E-2</v>
      </c>
      <c r="S17" s="11">
        <v>-0.15546388457569038</v>
      </c>
      <c r="T17" s="11">
        <v>0.62842417045121879</v>
      </c>
      <c r="U17" s="11">
        <v>-0.84730537549267337</v>
      </c>
      <c r="V17" s="5">
        <f t="shared" si="21"/>
        <v>3.5539731246302087E-4</v>
      </c>
      <c r="W17" s="5">
        <f t="shared" si="22"/>
        <v>-7.7656468942343543E-4</v>
      </c>
      <c r="X17" s="5">
        <f t="shared" si="23"/>
        <v>-4.5043651207615776E-4</v>
      </c>
      <c r="Y17" s="5">
        <f t="shared" si="24"/>
        <v>4.5118140979136384E-2</v>
      </c>
      <c r="Z17" s="5">
        <f t="shared" si="25"/>
        <v>-0.1317406324911668</v>
      </c>
      <c r="AA17" s="5">
        <f t="shared" si="26"/>
        <v>-0.11360136851062264</v>
      </c>
      <c r="AB17" s="16" cm="1">
        <f t="array" ref="AB17">SQRT(SUMPRODUCT(((J17:O17-P17:U17)/$AE$3:$AJ$3)^2)/6)*100</f>
        <v>0.35858488851113918</v>
      </c>
      <c r="AC17" s="5">
        <f t="shared" si="7"/>
        <v>0.12000000000000001</v>
      </c>
      <c r="AD17" s="13">
        <v>2813421.4308694499</v>
      </c>
    </row>
    <row r="18" spans="1:30" ht="16.5" customHeight="1" x14ac:dyDescent="0.25">
      <c r="A18" s="17">
        <v>1.1302547975999999</v>
      </c>
      <c r="B18" s="17">
        <v>0.16</v>
      </c>
      <c r="C18" s="18">
        <v>4.7123999999999997</v>
      </c>
      <c r="D18" s="17">
        <v>1.3446433494000001</v>
      </c>
      <c r="E18" s="17">
        <v>0.04</v>
      </c>
      <c r="F18" s="18">
        <v>0</v>
      </c>
      <c r="G18" s="17">
        <v>1.0644222964000001</v>
      </c>
      <c r="H18" s="17">
        <v>1.4761094460999999</v>
      </c>
      <c r="I18" s="17">
        <v>3.5278441351000001</v>
      </c>
      <c r="J18" s="8">
        <v>1.67317176237702E-3</v>
      </c>
      <c r="K18" s="8">
        <v>0.16960764229297612</v>
      </c>
      <c r="L18" s="8">
        <v>5.4553549885749189E-2</v>
      </c>
      <c r="M18" s="8">
        <v>-0.55695748329162598</v>
      </c>
      <c r="N18" s="8">
        <v>1.32389569282532</v>
      </c>
      <c r="O18" s="8">
        <v>-0.76391577720642101</v>
      </c>
      <c r="P18" s="11">
        <v>2.2802192361894734E-3</v>
      </c>
      <c r="Q18" s="11">
        <v>0.17240240472127491</v>
      </c>
      <c r="R18" s="11">
        <v>5.3940492255324213E-2</v>
      </c>
      <c r="S18" s="11">
        <v>-0.7271109972926213</v>
      </c>
      <c r="T18" s="11">
        <v>1.3284118080573626</v>
      </c>
      <c r="U18" s="11">
        <v>-0.89561045498352509</v>
      </c>
      <c r="V18" s="5">
        <f t="shared" si="21"/>
        <v>-6.0704747381245335E-4</v>
      </c>
      <c r="W18" s="5">
        <f t="shared" si="22"/>
        <v>-2.7947624282987915E-3</v>
      </c>
      <c r="X18" s="5">
        <f t="shared" si="23"/>
        <v>6.130576304249763E-4</v>
      </c>
      <c r="Y18" s="5">
        <f t="shared" si="24"/>
        <v>0.17015351400099532</v>
      </c>
      <c r="Z18" s="5">
        <f t="shared" si="25"/>
        <v>-4.5161152320425391E-3</v>
      </c>
      <c r="AA18" s="5">
        <f t="shared" si="26"/>
        <v>0.13169467777710409</v>
      </c>
      <c r="AB18" s="16" cm="1">
        <f t="array" ref="AB18">SQRT(SUMPRODUCT(((J18:O18-P18:U18)/$AE$3:$AJ$3)^2)/6)*100</f>
        <v>0.31624630385693975</v>
      </c>
      <c r="AC18" s="5">
        <f t="shared" si="7"/>
        <v>0.12</v>
      </c>
      <c r="AD18" s="13">
        <v>10813801.541929601</v>
      </c>
    </row>
    <row r="19" spans="1:30" ht="16.5" customHeight="1" x14ac:dyDescent="0.25">
      <c r="A19" s="17">
        <v>0.44052297210000002</v>
      </c>
      <c r="B19" s="17">
        <v>0.14000000000000001</v>
      </c>
      <c r="C19" s="18">
        <v>0.78539999999999999</v>
      </c>
      <c r="D19" s="17">
        <v>1.0539703866000001</v>
      </c>
      <c r="E19" s="17">
        <v>0.02</v>
      </c>
      <c r="F19" s="18">
        <v>3.1415999999999999</v>
      </c>
      <c r="G19" s="17">
        <v>2.7027230284999999</v>
      </c>
      <c r="H19" s="17">
        <v>1.6080541686000001</v>
      </c>
      <c r="I19" s="17">
        <v>1.7094513416999999</v>
      </c>
      <c r="J19" s="8">
        <v>2.5936241727322301E-3</v>
      </c>
      <c r="K19" s="8">
        <v>-4.9032121598720613E-2</v>
      </c>
      <c r="L19" s="8">
        <v>2.3136439621448505E-2</v>
      </c>
      <c r="M19" s="8">
        <v>-4.1746888309717199E-2</v>
      </c>
      <c r="N19" s="8">
        <v>-0.86065161228179898</v>
      </c>
      <c r="O19" s="8">
        <v>0.30409139394760099</v>
      </c>
      <c r="P19" s="11">
        <v>4.9372131269200361E-4</v>
      </c>
      <c r="Q19" s="11">
        <v>-4.3488752042885076E-2</v>
      </c>
      <c r="R19" s="11">
        <v>2.2359451741048149E-2</v>
      </c>
      <c r="S19" s="11">
        <v>-5.7344336070324971E-2</v>
      </c>
      <c r="T19" s="11">
        <v>-0.74850663563563591</v>
      </c>
      <c r="U19" s="11">
        <v>0.30584487930840715</v>
      </c>
      <c r="V19" s="5">
        <f t="shared" si="21"/>
        <v>2.0999028600402264E-3</v>
      </c>
      <c r="W19" s="5">
        <f t="shared" si="22"/>
        <v>-5.5433695558355367E-3</v>
      </c>
      <c r="X19" s="5">
        <f t="shared" si="23"/>
        <v>7.769878804003566E-4</v>
      </c>
      <c r="Y19" s="5">
        <f t="shared" si="24"/>
        <v>1.5597447760607772E-2</v>
      </c>
      <c r="Z19" s="5">
        <f t="shared" si="25"/>
        <v>-0.11214497664616307</v>
      </c>
      <c r="AA19" s="5">
        <f t="shared" si="26"/>
        <v>-1.7534853608061618E-3</v>
      </c>
      <c r="AB19" s="16" cm="1">
        <f t="array" ref="AB19">SQRT(SUMPRODUCT(((J19:O19-P19:U19)/$AE$3:$AJ$3)^2)/6)*100</f>
        <v>0.33481027549832193</v>
      </c>
      <c r="AC19" s="5">
        <f t="shared" si="7"/>
        <v>0.12000000000000001</v>
      </c>
      <c r="AD19" s="13">
        <v>20307966.931888599</v>
      </c>
    </row>
    <row r="20" spans="1:30" ht="16.5" customHeight="1" x14ac:dyDescent="0.25">
      <c r="A20" s="17">
        <v>1.4424756030000001</v>
      </c>
      <c r="B20" s="17">
        <v>0.16</v>
      </c>
      <c r="C20" s="18">
        <v>0.78539999999999999</v>
      </c>
      <c r="D20" s="17">
        <v>1.1597422298</v>
      </c>
      <c r="E20" s="17">
        <v>0.04</v>
      </c>
      <c r="F20" s="18">
        <v>2.3561999999999999</v>
      </c>
      <c r="G20" s="17">
        <v>4.8092587324</v>
      </c>
      <c r="H20" s="17">
        <v>0.4784433911</v>
      </c>
      <c r="I20" s="17">
        <v>4.3446054411999997</v>
      </c>
      <c r="J20" s="8">
        <v>3.0066542327404001E-2</v>
      </c>
      <c r="K20" s="8">
        <v>-0.1960352241992957</v>
      </c>
      <c r="L20" s="8">
        <v>0.12927154690027265</v>
      </c>
      <c r="M20" s="8">
        <v>-0.77978467941284202</v>
      </c>
      <c r="N20" s="8">
        <v>-0.16298925876617401</v>
      </c>
      <c r="O20" s="8">
        <v>1.66381180286407</v>
      </c>
      <c r="P20" s="11">
        <v>2.1446306889027829E-2</v>
      </c>
      <c r="Q20" s="11">
        <v>-0.18984246126853493</v>
      </c>
      <c r="R20" s="11">
        <v>0.11404173297144221</v>
      </c>
      <c r="S20" s="11">
        <v>-0.96791074210642136</v>
      </c>
      <c r="T20" s="11">
        <v>-0.17007468351827618</v>
      </c>
      <c r="U20" s="11">
        <v>1.6141934823699975</v>
      </c>
      <c r="V20" s="5">
        <f t="shared" si="21"/>
        <v>8.6202354383761726E-3</v>
      </c>
      <c r="W20" s="5">
        <f t="shared" si="22"/>
        <v>-6.1927629307607646E-3</v>
      </c>
      <c r="X20" s="5">
        <f t="shared" si="23"/>
        <v>1.5229813928830438E-2</v>
      </c>
      <c r="Y20" s="5">
        <f t="shared" si="24"/>
        <v>0.18812606269357934</v>
      </c>
      <c r="Z20" s="5">
        <f t="shared" si="25"/>
        <v>7.0854247521021652E-3</v>
      </c>
      <c r="AA20" s="5">
        <f t="shared" si="26"/>
        <v>4.9618320494072554E-2</v>
      </c>
      <c r="AB20" s="16" cm="1">
        <f t="array" ref="AB20">SQRT(SUMPRODUCT(((J20:O20-P20:U20)/$AE$3:$AJ$3)^2)/6)*100</f>
        <v>0.77536809022986819</v>
      </c>
      <c r="AC20" s="5">
        <f t="shared" si="7"/>
        <v>0.12</v>
      </c>
      <c r="AD20" s="13">
        <v>7881556.5629868899</v>
      </c>
    </row>
    <row r="21" spans="1:30" ht="16.5" customHeight="1" x14ac:dyDescent="0.25">
      <c r="A21" s="17">
        <v>1.3085202701</v>
      </c>
      <c r="B21" s="17">
        <v>0.14000000000000001</v>
      </c>
      <c r="C21" s="18">
        <v>3.927</v>
      </c>
      <c r="D21" s="17">
        <v>1.4295469448</v>
      </c>
      <c r="E21" s="17">
        <v>0.02</v>
      </c>
      <c r="F21" s="18">
        <v>0</v>
      </c>
      <c r="G21" s="17">
        <v>4.5210753759999998</v>
      </c>
      <c r="H21" s="17">
        <v>3.0172330613999998</v>
      </c>
      <c r="I21" s="17">
        <v>0.83361274470000002</v>
      </c>
      <c r="J21" s="8">
        <v>1.3228893512859899E-3</v>
      </c>
      <c r="K21" s="8">
        <v>0.1496044099330899</v>
      </c>
      <c r="L21" s="8">
        <v>-7.6152354888617976E-2</v>
      </c>
      <c r="M21" s="8">
        <v>-0.279466062784195</v>
      </c>
      <c r="N21" s="8">
        <v>0.80540740489959695</v>
      </c>
      <c r="O21" s="8">
        <v>-0.92264562845230103</v>
      </c>
      <c r="P21" s="11">
        <v>4.1725804697991462E-3</v>
      </c>
      <c r="Q21" s="11">
        <v>0.12905105845710463</v>
      </c>
      <c r="R21" s="11">
        <v>-9.8898491159140775E-2</v>
      </c>
      <c r="S21" s="11">
        <v>-0.34576597671679044</v>
      </c>
      <c r="T21" s="11">
        <v>0.56733421562296704</v>
      </c>
      <c r="U21" s="11">
        <v>-0.87953333576736958</v>
      </c>
      <c r="V21" s="5">
        <f t="shared" si="21"/>
        <v>-2.8496911185131564E-3</v>
      </c>
      <c r="W21" s="5">
        <f t="shared" si="22"/>
        <v>2.0553351475985276E-2</v>
      </c>
      <c r="X21" s="5">
        <f t="shared" si="23"/>
        <v>2.2746136270522799E-2</v>
      </c>
      <c r="Y21" s="5">
        <f t="shared" si="24"/>
        <v>6.6299913932595433E-2</v>
      </c>
      <c r="Z21" s="5">
        <f t="shared" si="25"/>
        <v>0.2380731892766299</v>
      </c>
      <c r="AA21" s="5">
        <f t="shared" si="26"/>
        <v>-4.3112292684931441E-2</v>
      </c>
      <c r="AB21" s="16" cm="1">
        <f t="array" ref="AB21">SQRT(SUMPRODUCT(((J21:O21-P21:U21)/$AE$3:$AJ$3)^2)/6)*100</f>
        <v>1.3512417230801745</v>
      </c>
      <c r="AC21" s="5">
        <f t="shared" si="7"/>
        <v>0.12000000000000001</v>
      </c>
      <c r="AD21" s="13">
        <v>1978384.07886175</v>
      </c>
    </row>
    <row r="22" spans="1:30" ht="16.5" customHeight="1" x14ac:dyDescent="0.25">
      <c r="A22" s="17">
        <v>1.0278031490999999</v>
      </c>
      <c r="B22" s="17">
        <v>0.14000000000000001</v>
      </c>
      <c r="C22" s="18">
        <v>0</v>
      </c>
      <c r="D22" s="17">
        <v>0.3286386073</v>
      </c>
      <c r="E22" s="17">
        <v>0.04</v>
      </c>
      <c r="F22" s="18">
        <v>2.3561999999999999</v>
      </c>
      <c r="G22" s="17">
        <v>2.4776605121999999</v>
      </c>
      <c r="H22" s="17">
        <v>0.70416387319999996</v>
      </c>
      <c r="I22" s="17">
        <v>1.306033752</v>
      </c>
      <c r="J22" s="8">
        <v>-8.7352143600583098E-4</v>
      </c>
      <c r="K22" s="8">
        <v>-1.1852361112833051E-2</v>
      </c>
      <c r="L22" s="8">
        <v>0.13730413258075697</v>
      </c>
      <c r="M22" s="8">
        <v>-0.36319693922996499</v>
      </c>
      <c r="N22" s="8">
        <v>0.55491173267364502</v>
      </c>
      <c r="O22" s="8">
        <v>0.295467138290405</v>
      </c>
      <c r="P22" s="11">
        <v>-7.6137336367693707E-4</v>
      </c>
      <c r="Q22" s="11">
        <v>-9.0935109736207161E-3</v>
      </c>
      <c r="R22" s="11">
        <v>0.13184150899893357</v>
      </c>
      <c r="S22" s="11">
        <v>-0.39122918751597247</v>
      </c>
      <c r="T22" s="11">
        <v>0.70388545803472713</v>
      </c>
      <c r="U22" s="11">
        <v>0.2265004770309334</v>
      </c>
      <c r="V22" s="5">
        <f t="shared" si="21"/>
        <v>-1.1214807232889392E-4</v>
      </c>
      <c r="W22" s="5">
        <f t="shared" si="22"/>
        <v>-2.7588501392123346E-3</v>
      </c>
      <c r="X22" s="5">
        <f t="shared" si="23"/>
        <v>5.4626235818233948E-3</v>
      </c>
      <c r="Y22" s="5">
        <f t="shared" si="24"/>
        <v>2.8032248286007477E-2</v>
      </c>
      <c r="Z22" s="5">
        <f t="shared" si="25"/>
        <v>-0.14897372536108211</v>
      </c>
      <c r="AA22" s="5">
        <f t="shared" si="26"/>
        <v>6.8966661259471596E-2</v>
      </c>
      <c r="AB22" s="16" cm="1">
        <f t="array" ref="AB22">SQRT(SUMPRODUCT(((J22:O22-P22:U22)/$AE$3:$AJ$3)^2)/6)*100</f>
        <v>0.41844214139512864</v>
      </c>
      <c r="AC22" s="5">
        <f t="shared" si="7"/>
        <v>0.1</v>
      </c>
      <c r="AD22" s="13">
        <v>7682871.4189448096</v>
      </c>
    </row>
    <row r="23" spans="1:30" ht="16.5" customHeight="1" x14ac:dyDescent="0.25">
      <c r="A23" s="17">
        <v>0.8908774062</v>
      </c>
      <c r="B23" s="17">
        <v>0.18</v>
      </c>
      <c r="C23" s="18">
        <v>3.1415999999999999</v>
      </c>
      <c r="D23" s="17">
        <v>0.88440675189999995</v>
      </c>
      <c r="E23" s="17">
        <v>0.08</v>
      </c>
      <c r="F23" s="18">
        <v>3.927</v>
      </c>
      <c r="G23" s="17">
        <v>0.48462861940000002</v>
      </c>
      <c r="H23" s="17">
        <v>1.6897568487000001</v>
      </c>
      <c r="I23" s="17">
        <v>3.1701200912999998</v>
      </c>
      <c r="J23" s="8">
        <v>-1.1769948527216899E-2</v>
      </c>
      <c r="K23" s="8">
        <v>4.8388502895832027E-2</v>
      </c>
      <c r="L23" s="8">
        <v>-0.20316620111465439</v>
      </c>
      <c r="M23" s="8">
        <v>-0.68180733919143699</v>
      </c>
      <c r="N23" s="8">
        <v>-1.2353100776672401</v>
      </c>
      <c r="O23" s="8">
        <v>-0.53501510620117199</v>
      </c>
      <c r="P23" s="11">
        <v>-9.5966179497232497E-3</v>
      </c>
      <c r="Q23" s="11">
        <v>4.5430593779669293E-2</v>
      </c>
      <c r="R23" s="11">
        <v>-0.20195769682955467</v>
      </c>
      <c r="S23" s="11">
        <v>-0.9025094686345162</v>
      </c>
      <c r="T23" s="11">
        <v>-1.2557204408761056</v>
      </c>
      <c r="U23" s="11">
        <v>-0.51537623674765842</v>
      </c>
      <c r="V23" s="5">
        <f t="shared" ref="V23:V32" si="27">J23-P23</f>
        <v>-2.1733305774936495E-3</v>
      </c>
      <c r="W23" s="5">
        <f t="shared" ref="W23:W32" si="28">K23-Q23</f>
        <v>2.9579091161627338E-3</v>
      </c>
      <c r="X23" s="5">
        <f t="shared" ref="X23:X32" si="29">L23-R23</f>
        <v>-1.2085042850997207E-3</v>
      </c>
      <c r="Y23" s="5">
        <f t="shared" ref="Y23:Y32" si="30">M23-S23</f>
        <v>0.22070212944307921</v>
      </c>
      <c r="Z23" s="5">
        <f t="shared" ref="Z23:Z32" si="31">N23-T23</f>
        <v>2.0410363208865467E-2</v>
      </c>
      <c r="AA23" s="5">
        <f t="shared" ref="AA23:AA32" si="32">O23-U23</f>
        <v>-1.9638869453513563E-2</v>
      </c>
      <c r="AB23" s="16" cm="1">
        <f t="array" ref="AB23">SQRT(SUMPRODUCT(((J23:O23-P23:U23)/$AE$3:$AJ$3)^2)/6)*100</f>
        <v>0.22534840525554151</v>
      </c>
      <c r="AC23" s="5">
        <f t="shared" si="7"/>
        <v>9.9999999999999992E-2</v>
      </c>
      <c r="AD23" s="13">
        <v>3626628.6869503399</v>
      </c>
    </row>
    <row r="24" spans="1:30" ht="16.5" customHeight="1" x14ac:dyDescent="0.25">
      <c r="A24" s="17">
        <v>1.2597568109999999</v>
      </c>
      <c r="B24" s="17">
        <v>0.16</v>
      </c>
      <c r="C24" s="18">
        <v>0</v>
      </c>
      <c r="D24" s="17">
        <v>0.58841219170000003</v>
      </c>
      <c r="E24" s="17">
        <v>0.06</v>
      </c>
      <c r="F24" s="18">
        <v>5.4977999999999998</v>
      </c>
      <c r="G24" s="17">
        <v>3.9855186287</v>
      </c>
      <c r="H24" s="17">
        <v>1.0426876676000001</v>
      </c>
      <c r="I24" s="17">
        <v>0.31561411</v>
      </c>
      <c r="J24" s="8">
        <v>-8.1258090212941204E-3</v>
      </c>
      <c r="K24" s="8">
        <v>2.480585664510726E-2</v>
      </c>
      <c r="L24" s="8">
        <v>0.22677360892295889</v>
      </c>
      <c r="M24" s="8">
        <v>-0.91120928525924705</v>
      </c>
      <c r="N24" s="8">
        <v>1.2995035648345901</v>
      </c>
      <c r="O24" s="8">
        <v>-0.469389498233795</v>
      </c>
      <c r="P24" s="11">
        <v>-1.1612856862799274E-2</v>
      </c>
      <c r="Q24" s="11">
        <v>2.8447603107297957E-2</v>
      </c>
      <c r="R24" s="11">
        <v>0.21340176862119706</v>
      </c>
      <c r="S24" s="11">
        <v>-1.0226344514457371</v>
      </c>
      <c r="T24" s="11">
        <v>1.2959786182729494</v>
      </c>
      <c r="U24" s="11">
        <v>-0.46920753274957339</v>
      </c>
      <c r="V24" s="5">
        <f t="shared" si="27"/>
        <v>3.4870478415051538E-3</v>
      </c>
      <c r="W24" s="5">
        <f t="shared" si="28"/>
        <v>-3.6417464621906967E-3</v>
      </c>
      <c r="X24" s="5">
        <f t="shared" si="29"/>
        <v>1.3371840301761834E-2</v>
      </c>
      <c r="Y24" s="5">
        <f t="shared" si="30"/>
        <v>0.11142516618649001</v>
      </c>
      <c r="Z24" s="5">
        <f t="shared" si="31"/>
        <v>3.5249465616407072E-3</v>
      </c>
      <c r="AA24" s="5">
        <f t="shared" si="32"/>
        <v>-1.819654842216134E-4</v>
      </c>
      <c r="AB24" s="16" cm="1">
        <f t="array" ref="AB24">SQRT(SUMPRODUCT(((J24:O24-P24:U24)/$AE$3:$AJ$3)^2)/6)*100</f>
        <v>0.5883704157717502</v>
      </c>
      <c r="AC24" s="5">
        <f t="shared" si="7"/>
        <v>0.1</v>
      </c>
      <c r="AD24" s="13">
        <v>3230206.16839039</v>
      </c>
    </row>
    <row r="25" spans="1:30" ht="16.5" customHeight="1" x14ac:dyDescent="0.25">
      <c r="A25" s="17">
        <v>0.65858340790000003</v>
      </c>
      <c r="B25" s="17">
        <v>0.18</v>
      </c>
      <c r="C25" s="18">
        <v>0</v>
      </c>
      <c r="D25" s="17">
        <v>0.498698221</v>
      </c>
      <c r="E25" s="17">
        <v>0.08</v>
      </c>
      <c r="F25" s="18">
        <v>0.78539999999999999</v>
      </c>
      <c r="G25" s="17">
        <v>4.9301628920000002</v>
      </c>
      <c r="H25" s="17">
        <v>1.8520278541999999</v>
      </c>
      <c r="I25" s="17">
        <v>4.6646910371999999</v>
      </c>
      <c r="J25" s="8">
        <v>8.0546755343675596E-3</v>
      </c>
      <c r="K25" s="8">
        <v>-2.5356225371360813E-2</v>
      </c>
      <c r="L25" s="8">
        <v>0.14683502078056299</v>
      </c>
      <c r="M25" s="8">
        <v>-0.44749337434768699</v>
      </c>
      <c r="N25" s="8">
        <v>0.82281804084777799</v>
      </c>
      <c r="O25" s="8">
        <v>0.33567589521408098</v>
      </c>
      <c r="P25" s="11">
        <v>5.406090172214168E-3</v>
      </c>
      <c r="Q25" s="11">
        <v>-2.892986581482572E-2</v>
      </c>
      <c r="R25" s="11">
        <v>0.14155580014376501</v>
      </c>
      <c r="S25" s="11">
        <v>-0.49709769918352043</v>
      </c>
      <c r="T25" s="11">
        <v>0.87309374195084444</v>
      </c>
      <c r="U25" s="11">
        <v>0.36065121117754234</v>
      </c>
      <c r="V25" s="5">
        <f t="shared" si="27"/>
        <v>2.6485853621533917E-3</v>
      </c>
      <c r="W25" s="5">
        <f t="shared" si="28"/>
        <v>3.5736404434649066E-3</v>
      </c>
      <c r="X25" s="5">
        <f t="shared" si="29"/>
        <v>5.2792206367979766E-3</v>
      </c>
      <c r="Y25" s="5">
        <f t="shared" si="30"/>
        <v>4.9604324835833435E-2</v>
      </c>
      <c r="Z25" s="5">
        <f t="shared" si="31"/>
        <v>-5.027570110306645E-2</v>
      </c>
      <c r="AA25" s="5">
        <f t="shared" si="32"/>
        <v>-2.4975315963461364E-2</v>
      </c>
      <c r="AB25" s="16" cm="1">
        <f t="array" ref="AB25">SQRT(SUMPRODUCT(((J25:O25-P25:U25)/$AE$3:$AJ$3)^2)/6)*100</f>
        <v>0.30609940991503992</v>
      </c>
      <c r="AC25" s="5">
        <f t="shared" si="7"/>
        <v>9.9999999999999992E-2</v>
      </c>
      <c r="AD25" s="13">
        <v>24531446.0637099</v>
      </c>
    </row>
    <row r="26" spans="1:30" ht="16.5" customHeight="1" x14ac:dyDescent="0.25">
      <c r="A26" s="17">
        <v>0.55032038400000005</v>
      </c>
      <c r="B26" s="17">
        <v>0.16</v>
      </c>
      <c r="C26" s="18">
        <v>3.1415999999999999</v>
      </c>
      <c r="D26" s="17">
        <v>1.4487418581</v>
      </c>
      <c r="E26" s="17">
        <v>0.08</v>
      </c>
      <c r="F26" s="18">
        <v>2.3561999999999999</v>
      </c>
      <c r="G26" s="17">
        <v>4.7175867132000002</v>
      </c>
      <c r="H26" s="17">
        <v>1.3012665307</v>
      </c>
      <c r="I26" s="17">
        <v>3.3668845907999998</v>
      </c>
      <c r="J26" s="8">
        <v>-1.2392895296216E-3</v>
      </c>
      <c r="K26" s="8">
        <v>-7.8764544129371977E-2</v>
      </c>
      <c r="L26" s="8">
        <v>-0.17832563519477909</v>
      </c>
      <c r="M26" s="8">
        <v>-0.389381974935532</v>
      </c>
      <c r="N26" s="8">
        <v>-1.47788345813751</v>
      </c>
      <c r="O26" s="8">
        <v>0.95994305610656705</v>
      </c>
      <c r="P26" s="11">
        <v>1.8079779918805435E-3</v>
      </c>
      <c r="Q26" s="11">
        <v>-8.1155440920468447E-2</v>
      </c>
      <c r="R26" s="11">
        <v>-0.16868937797994563</v>
      </c>
      <c r="S26" s="11">
        <v>-0.50155057195473485</v>
      </c>
      <c r="T26" s="11">
        <v>-1.5152332448591543</v>
      </c>
      <c r="U26" s="11">
        <v>0.99087432047586355</v>
      </c>
      <c r="V26" s="5">
        <f t="shared" si="27"/>
        <v>-3.0472675215021438E-3</v>
      </c>
      <c r="W26" s="5">
        <f t="shared" si="28"/>
        <v>2.3908967910964696E-3</v>
      </c>
      <c r="X26" s="5">
        <f t="shared" si="29"/>
        <v>-9.6362572148334658E-3</v>
      </c>
      <c r="Y26" s="5">
        <f t="shared" si="30"/>
        <v>0.11216859701920284</v>
      </c>
      <c r="Z26" s="5">
        <f t="shared" si="31"/>
        <v>3.7349786721644351E-2</v>
      </c>
      <c r="AA26" s="5">
        <f t="shared" si="32"/>
        <v>-3.0931264369296496E-2</v>
      </c>
      <c r="AB26" s="16" cm="1">
        <f t="array" ref="AB26">SQRT(SUMPRODUCT(((J26:O26-P26:U26)/$AE$3:$AJ$3)^2)/6)*100</f>
        <v>0.44202940504423532</v>
      </c>
      <c r="AC26" s="5">
        <f t="shared" si="7"/>
        <v>0.08</v>
      </c>
      <c r="AD26" s="13">
        <v>6142162.4718106398</v>
      </c>
    </row>
    <row r="27" spans="1:30" ht="16.5" customHeight="1" x14ac:dyDescent="0.25">
      <c r="A27" s="17">
        <v>1.2531062278</v>
      </c>
      <c r="B27" s="17">
        <v>0.18</v>
      </c>
      <c r="C27" s="18">
        <v>5.4977999999999998</v>
      </c>
      <c r="D27" s="17">
        <v>0.4702401397</v>
      </c>
      <c r="E27" s="17">
        <v>0.1</v>
      </c>
      <c r="F27" s="18">
        <v>5.4977999999999998</v>
      </c>
      <c r="G27" s="17">
        <v>0.1483911762</v>
      </c>
      <c r="H27" s="17">
        <v>0.2167359935</v>
      </c>
      <c r="I27" s="17">
        <v>4.9349358513999997</v>
      </c>
      <c r="J27" s="8">
        <v>1.3011932373046899E-2</v>
      </c>
      <c r="K27" s="8">
        <v>0.17962860584259044</v>
      </c>
      <c r="L27" s="8">
        <v>0.17774561345577244</v>
      </c>
      <c r="M27" s="8">
        <v>-1.1463577747345</v>
      </c>
      <c r="N27" s="8">
        <v>0.72932124137878396</v>
      </c>
      <c r="O27" s="8">
        <v>-0.74414980411529497</v>
      </c>
      <c r="P27" s="11">
        <v>2.2705609875568411E-2</v>
      </c>
      <c r="Q27" s="11">
        <v>0.16561415397053117</v>
      </c>
      <c r="R27" s="11">
        <v>0.17981982433536556</v>
      </c>
      <c r="S27" s="11">
        <v>-1.3741934696365954</v>
      </c>
      <c r="T27" s="11">
        <v>0.83378082609271775</v>
      </c>
      <c r="U27" s="11">
        <v>-0.59533153171748276</v>
      </c>
      <c r="V27" s="5">
        <f t="shared" si="27"/>
        <v>-9.6936775025215118E-3</v>
      </c>
      <c r="W27" s="5">
        <f t="shared" si="28"/>
        <v>1.4014451872059269E-2</v>
      </c>
      <c r="X27" s="5">
        <f t="shared" si="29"/>
        <v>-2.0742108795931136E-3</v>
      </c>
      <c r="Y27" s="5">
        <f t="shared" si="30"/>
        <v>0.22783569490209543</v>
      </c>
      <c r="Z27" s="5">
        <f t="shared" si="31"/>
        <v>-0.1044595847139338</v>
      </c>
      <c r="AA27" s="5">
        <f t="shared" si="32"/>
        <v>-0.1488182723978122</v>
      </c>
      <c r="AB27" s="16" cm="1">
        <f t="array" ref="AB27">SQRT(SUMPRODUCT(((J27:O27-P27:U27)/$AE$3:$AJ$3)^2)/6)*100</f>
        <v>0.80802279122687182</v>
      </c>
      <c r="AC27" s="5">
        <f t="shared" si="7"/>
        <v>7.9999999999999988E-2</v>
      </c>
      <c r="AD27" s="13">
        <v>8536199.7426392604</v>
      </c>
    </row>
    <row r="28" spans="1:30" ht="16.5" customHeight="1" x14ac:dyDescent="0.25">
      <c r="A28" s="17">
        <v>0.37674236639999997</v>
      </c>
      <c r="B28" s="17">
        <v>0.12</v>
      </c>
      <c r="C28" s="18">
        <v>5.4977999999999998</v>
      </c>
      <c r="D28" s="17">
        <v>0.55884916829999998</v>
      </c>
      <c r="E28" s="17">
        <v>0.04</v>
      </c>
      <c r="F28" s="18">
        <v>5.4977999999999998</v>
      </c>
      <c r="G28" s="17">
        <v>2.7463764360999998</v>
      </c>
      <c r="H28" s="17">
        <v>4.0783358151</v>
      </c>
      <c r="I28" s="17">
        <v>2.4827351898000001</v>
      </c>
      <c r="J28" s="8">
        <v>-4.1884777601808299E-4</v>
      </c>
      <c r="K28" s="8">
        <v>4.8614442646503477E-2</v>
      </c>
      <c r="L28" s="8">
        <v>4.8307788670063391E-2</v>
      </c>
      <c r="M28" s="8">
        <v>-9.7034186124801594E-2</v>
      </c>
      <c r="N28" s="8">
        <v>0.60689675807952903</v>
      </c>
      <c r="O28" s="8">
        <v>-0.63970345258712802</v>
      </c>
      <c r="P28" s="11">
        <v>1.5129933870444169E-4</v>
      </c>
      <c r="Q28" s="11">
        <v>4.7752013762346432E-2</v>
      </c>
      <c r="R28" s="11">
        <v>4.7767972830739421E-2</v>
      </c>
      <c r="S28" s="11">
        <v>-5.6010015033827215E-2</v>
      </c>
      <c r="T28" s="11">
        <v>0.660555031249349</v>
      </c>
      <c r="U28" s="11">
        <v>-0.66017465805895592</v>
      </c>
      <c r="V28" s="5">
        <f t="shared" si="27"/>
        <v>-5.7014711472252468E-4</v>
      </c>
      <c r="W28" s="5">
        <f t="shared" si="28"/>
        <v>8.6242888415704461E-4</v>
      </c>
      <c r="X28" s="5">
        <f t="shared" si="29"/>
        <v>5.3981583932397048E-4</v>
      </c>
      <c r="Y28" s="5">
        <f t="shared" si="30"/>
        <v>-4.1024171090974379E-2</v>
      </c>
      <c r="Z28" s="5">
        <f t="shared" si="31"/>
        <v>-5.365827316981997E-2</v>
      </c>
      <c r="AA28" s="5">
        <f t="shared" si="32"/>
        <v>2.0471205471827902E-2</v>
      </c>
      <c r="AB28" s="16" cm="1">
        <f t="array" ref="AB28">SQRT(SUMPRODUCT(((J28:O28-P28:U28)/$AE$3:$AJ$3)^2)/6)*100</f>
        <v>0.12957268845519698</v>
      </c>
      <c r="AC28" s="5">
        <f t="shared" si="7"/>
        <v>7.9999999999999988E-2</v>
      </c>
      <c r="AD28" s="13">
        <v>2727131.7860678998</v>
      </c>
    </row>
    <row r="29" spans="1:30" ht="16.5" customHeight="1" x14ac:dyDescent="0.25">
      <c r="A29" s="17">
        <v>0.99744538530000004</v>
      </c>
      <c r="B29" s="17">
        <v>0.12</v>
      </c>
      <c r="C29" s="18">
        <v>2.3561999999999999</v>
      </c>
      <c r="D29" s="17">
        <v>0.63256510880000005</v>
      </c>
      <c r="E29" s="17">
        <v>0.04</v>
      </c>
      <c r="F29" s="18">
        <v>4.7123999999999997</v>
      </c>
      <c r="G29" s="17">
        <v>1.0163068775999999</v>
      </c>
      <c r="H29" s="17">
        <v>2.5468444695999999</v>
      </c>
      <c r="I29" s="17">
        <v>0.1214735909</v>
      </c>
      <c r="J29" s="8">
        <v>-1.1704247444868101E-3</v>
      </c>
      <c r="K29" s="8">
        <v>-5.3023360669612919E-2</v>
      </c>
      <c r="L29" s="8">
        <v>-9.6837731003761029E-2</v>
      </c>
      <c r="M29" s="8">
        <v>-0.23891685903072399</v>
      </c>
      <c r="N29" s="8">
        <v>-0.67229318618774403</v>
      </c>
      <c r="O29" s="8">
        <v>-6.1973929405212402E-2</v>
      </c>
      <c r="P29" s="11">
        <v>7.1737961951113757E-4</v>
      </c>
      <c r="Q29" s="11">
        <v>-5.8263090714717143E-2</v>
      </c>
      <c r="R29" s="11">
        <v>-8.3610778123364052E-2</v>
      </c>
      <c r="S29" s="11">
        <v>-0.25847111287188917</v>
      </c>
      <c r="T29" s="11">
        <v>-0.6694379152722375</v>
      </c>
      <c r="U29" s="11">
        <v>3.8804865577717784E-2</v>
      </c>
      <c r="V29" s="5">
        <f t="shared" si="27"/>
        <v>-1.8878043639979475E-3</v>
      </c>
      <c r="W29" s="5">
        <f t="shared" si="28"/>
        <v>5.2397300451042239E-3</v>
      </c>
      <c r="X29" s="5">
        <f t="shared" si="29"/>
        <v>-1.3226952880396978E-2</v>
      </c>
      <c r="Y29" s="5">
        <f t="shared" si="30"/>
        <v>1.9554253841165187E-2</v>
      </c>
      <c r="Z29" s="5">
        <f t="shared" si="31"/>
        <v>-2.8552709155065248E-3</v>
      </c>
      <c r="AA29" s="5">
        <f t="shared" si="32"/>
        <v>-0.10077879498293019</v>
      </c>
      <c r="AB29" s="16" cm="1">
        <f t="array" ref="AB29">SQRT(SUMPRODUCT(((J29:O29-P29:U29)/$AE$3:$AJ$3)^2)/6)*100</f>
        <v>0.6211392323191981</v>
      </c>
      <c r="AC29" s="5">
        <f t="shared" si="7"/>
        <v>7.9999999999999988E-2</v>
      </c>
      <c r="AD29" s="13">
        <v>3666894.3882805398</v>
      </c>
    </row>
    <row r="30" spans="1:30" ht="16.5" customHeight="1" x14ac:dyDescent="0.25">
      <c r="A30" s="17">
        <v>0.91958396450000002</v>
      </c>
      <c r="B30" s="17">
        <v>0.18</v>
      </c>
      <c r="C30" s="18">
        <v>0</v>
      </c>
      <c r="D30" s="17">
        <v>1.2327944816</v>
      </c>
      <c r="E30" s="17">
        <v>0.1</v>
      </c>
      <c r="F30" s="18">
        <v>4.7123999999999997</v>
      </c>
      <c r="G30" s="17">
        <v>3.7350994551999999</v>
      </c>
      <c r="H30" s="17">
        <v>0.10989542820000001</v>
      </c>
      <c r="I30" s="17">
        <v>4.0041016991999996</v>
      </c>
      <c r="J30" s="8">
        <v>5.2949553355574599E-3</v>
      </c>
      <c r="K30" s="8">
        <v>0.1002950870990762</v>
      </c>
      <c r="L30" s="8">
        <v>0.14873841881752001</v>
      </c>
      <c r="M30" s="8">
        <v>-0.66750568151473999</v>
      </c>
      <c r="N30" s="8">
        <v>0.47792124748230003</v>
      </c>
      <c r="O30" s="8">
        <v>-1.06160187721252</v>
      </c>
      <c r="P30" s="11">
        <v>3.4636901098135994E-3</v>
      </c>
      <c r="Q30" s="11">
        <v>0.11691034281037599</v>
      </c>
      <c r="R30" s="11">
        <v>0.15488100278132594</v>
      </c>
      <c r="S30" s="11">
        <v>-0.93052126920242029</v>
      </c>
      <c r="T30" s="11">
        <v>0.63417200876405899</v>
      </c>
      <c r="U30" s="11">
        <v>-1.0406466667367222</v>
      </c>
      <c r="V30" s="5">
        <f t="shared" si="27"/>
        <v>1.8312652257438606E-3</v>
      </c>
      <c r="W30" s="5">
        <f t="shared" si="28"/>
        <v>-1.6615255711299792E-2</v>
      </c>
      <c r="X30" s="5">
        <f t="shared" si="29"/>
        <v>-6.142583963805931E-3</v>
      </c>
      <c r="Y30" s="5">
        <f t="shared" si="30"/>
        <v>0.2630155876876803</v>
      </c>
      <c r="Z30" s="5">
        <f t="shared" si="31"/>
        <v>-0.15625076128175897</v>
      </c>
      <c r="AA30" s="5">
        <f t="shared" si="32"/>
        <v>-2.0955210475797736E-2</v>
      </c>
      <c r="AB30" s="16" cm="1">
        <f t="array" ref="AB30">SQRT(SUMPRODUCT(((J30:O30-P30:U30)/$AE$3:$AJ$3)^2)/6)*100</f>
        <v>0.81496526946685621</v>
      </c>
      <c r="AC30" s="5">
        <f t="shared" si="7"/>
        <v>7.9999999999999988E-2</v>
      </c>
      <c r="AD30" s="13">
        <v>8783509.8919786103</v>
      </c>
    </row>
    <row r="31" spans="1:30" ht="16.5" customHeight="1" x14ac:dyDescent="0.25">
      <c r="A31" s="17">
        <v>0.76015027209999997</v>
      </c>
      <c r="B31" s="17">
        <v>0.18</v>
      </c>
      <c r="C31" s="18">
        <v>2.3561999999999999</v>
      </c>
      <c r="D31" s="17">
        <v>0.80034279419999999</v>
      </c>
      <c r="E31" s="17">
        <v>0.1</v>
      </c>
      <c r="F31" s="18">
        <v>0</v>
      </c>
      <c r="G31" s="17">
        <v>4.7396783878999997</v>
      </c>
      <c r="H31" s="17">
        <v>4.9071061610999998</v>
      </c>
      <c r="I31" s="17">
        <v>1.8713340661</v>
      </c>
      <c r="J31" s="8">
        <v>4.3246033601462798E-3</v>
      </c>
      <c r="K31" s="8">
        <v>-7.4664700627326969E-2</v>
      </c>
      <c r="L31" s="8">
        <v>-8.2634314894678568E-4</v>
      </c>
      <c r="M31" s="8">
        <v>-0.140251100063324</v>
      </c>
      <c r="N31" s="8">
        <v>0.45143038034439098</v>
      </c>
      <c r="O31" s="8">
        <v>0.313724786043167</v>
      </c>
      <c r="P31" s="11">
        <v>3.7712418103830756E-3</v>
      </c>
      <c r="Q31" s="11">
        <v>-9.3430185620573286E-2</v>
      </c>
      <c r="R31" s="11">
        <v>-1.5690090805410836E-2</v>
      </c>
      <c r="S31" s="11">
        <v>-0.25350495671790924</v>
      </c>
      <c r="T31" s="11">
        <v>0.27751643789209451</v>
      </c>
      <c r="U31" s="11">
        <v>0.47080719603357685</v>
      </c>
      <c r="V31" s="5">
        <f t="shared" si="27"/>
        <v>5.5336154976320419E-4</v>
      </c>
      <c r="W31" s="5">
        <f t="shared" si="28"/>
        <v>1.8765484993246317E-2</v>
      </c>
      <c r="X31" s="5">
        <f t="shared" si="29"/>
        <v>1.486374765646405E-2</v>
      </c>
      <c r="Y31" s="5">
        <f t="shared" si="30"/>
        <v>0.11325385665458523</v>
      </c>
      <c r="Z31" s="5">
        <f t="shared" si="31"/>
        <v>0.17391394245229647</v>
      </c>
      <c r="AA31" s="5">
        <f t="shared" si="32"/>
        <v>-0.15708240999040984</v>
      </c>
      <c r="AB31" s="16" cm="1">
        <f t="array" ref="AB31">SQRT(SUMPRODUCT(((J31:O31-P31:U31)/$AE$3:$AJ$3)^2)/6)*100</f>
        <v>1.0910590318606137</v>
      </c>
      <c r="AC31" s="5">
        <f t="shared" si="7"/>
        <v>7.9999999999999988E-2</v>
      </c>
      <c r="AD31" s="13">
        <v>7701109.1882492499</v>
      </c>
    </row>
    <row r="32" spans="1:30" ht="16.5" customHeight="1" x14ac:dyDescent="0.25">
      <c r="A32" s="17">
        <v>0.9040684336</v>
      </c>
      <c r="B32" s="17">
        <v>0.1</v>
      </c>
      <c r="C32" s="18">
        <v>5.4977999999999998</v>
      </c>
      <c r="D32" s="17">
        <v>0.68590239919999996</v>
      </c>
      <c r="E32" s="17">
        <v>0.02</v>
      </c>
      <c r="F32" s="18">
        <v>4.7123999999999997</v>
      </c>
      <c r="G32" s="17">
        <v>3.1050919126999998</v>
      </c>
      <c r="H32" s="17">
        <v>4.9790166179000002</v>
      </c>
      <c r="I32" s="17">
        <v>4.7088396990000003</v>
      </c>
      <c r="J32" s="8">
        <v>1.8214078154414901E-3</v>
      </c>
      <c r="K32" s="8">
        <v>8.5241996645927215E-2</v>
      </c>
      <c r="L32" s="8">
        <v>6.4217582345009017E-2</v>
      </c>
      <c r="M32" s="8">
        <v>-0.18496520817279799</v>
      </c>
      <c r="N32" s="8">
        <v>0.541345775127411</v>
      </c>
      <c r="O32" s="8">
        <v>-1.33990967273712</v>
      </c>
      <c r="P32" s="11">
        <v>2.2810048732125284E-3</v>
      </c>
      <c r="Q32" s="11">
        <v>7.7329411490496561E-2</v>
      </c>
      <c r="R32" s="11">
        <v>6.3922272057931037E-2</v>
      </c>
      <c r="S32" s="11">
        <v>-0.17420118387655423</v>
      </c>
      <c r="T32" s="11">
        <v>0.63643739234419583</v>
      </c>
      <c r="U32" s="11">
        <v>-1.3125384144497516</v>
      </c>
      <c r="V32" s="5">
        <f t="shared" si="27"/>
        <v>-4.5959705777103834E-4</v>
      </c>
      <c r="W32" s="5">
        <f t="shared" si="28"/>
        <v>7.9125851554306542E-3</v>
      </c>
      <c r="X32" s="5">
        <f t="shared" si="29"/>
        <v>2.9531028707797946E-4</v>
      </c>
      <c r="Y32" s="5">
        <f t="shared" si="30"/>
        <v>-1.0764024296243763E-2</v>
      </c>
      <c r="Z32" s="5">
        <f t="shared" si="31"/>
        <v>-9.5091617216784829E-2</v>
      </c>
      <c r="AA32" s="5">
        <f t="shared" si="32"/>
        <v>-2.7371258287368416E-2</v>
      </c>
      <c r="AB32" s="16" cm="1">
        <f t="array" ref="AB32">SQRT(SUMPRODUCT(((J32:O32-P32:U32)/$AE$3:$AJ$3)^2)/6)*100</f>
        <v>0.3817037018011975</v>
      </c>
      <c r="AC32" s="5">
        <f t="shared" si="7"/>
        <v>0.08</v>
      </c>
      <c r="AD32" s="13">
        <v>4820595.9129708204</v>
      </c>
    </row>
    <row r="33" spans="1:30" ht="16.5" customHeight="1" x14ac:dyDescent="0.25">
      <c r="A33" s="17">
        <v>1.4109779404</v>
      </c>
      <c r="B33" s="17">
        <v>0.2</v>
      </c>
      <c r="C33" s="18">
        <v>3.1415999999999999</v>
      </c>
      <c r="D33" s="17">
        <v>1.3890525475</v>
      </c>
      <c r="E33" s="17">
        <v>0.12</v>
      </c>
      <c r="F33" s="18">
        <v>0</v>
      </c>
      <c r="G33" s="17">
        <v>0.24685834309999999</v>
      </c>
      <c r="H33" s="17">
        <v>4.5298125568999996</v>
      </c>
      <c r="I33" s="17">
        <v>2.6684535819000001</v>
      </c>
      <c r="J33" s="8">
        <v>-3.3102363813668498E-3</v>
      </c>
      <c r="K33" s="8">
        <v>-9.8247682675719691E-3</v>
      </c>
      <c r="L33" s="8">
        <v>-5.8335820399224844E-2</v>
      </c>
      <c r="M33" s="8">
        <v>-0.13851435482502</v>
      </c>
      <c r="N33" s="8">
        <v>0.50596565008163497</v>
      </c>
      <c r="O33" s="8">
        <v>4.1465051472187001E-2</v>
      </c>
      <c r="P33" s="11">
        <v>-1.4186553097409785E-3</v>
      </c>
      <c r="Q33" s="11">
        <v>-3.8432120854730645E-4</v>
      </c>
      <c r="R33" s="11">
        <v>-9.365399877501264E-2</v>
      </c>
      <c r="S33" s="11">
        <v>-0.27023225586952893</v>
      </c>
      <c r="T33" s="11">
        <v>0.207633264808573</v>
      </c>
      <c r="U33" s="11">
        <v>3.6939033485137575E-3</v>
      </c>
      <c r="V33" s="5">
        <f t="shared" ref="V33:V42" si="33">J33-P33</f>
        <v>-1.8915810716258713E-3</v>
      </c>
      <c r="W33" s="5">
        <f t="shared" ref="W33:W42" si="34">K33-Q33</f>
        <v>-9.440447059024663E-3</v>
      </c>
      <c r="X33" s="5">
        <f t="shared" ref="X33:X42" si="35">L33-R33</f>
        <v>3.5318178375787795E-2</v>
      </c>
      <c r="Y33" s="5">
        <f t="shared" ref="Y33:Y42" si="36">M33-S33</f>
        <v>0.13171790104450892</v>
      </c>
      <c r="Z33" s="5">
        <f t="shared" ref="Z33:Z42" si="37">N33-T33</f>
        <v>0.29833238527306194</v>
      </c>
      <c r="AA33" s="5">
        <f t="shared" ref="AA33:AA42" si="38">O33-U33</f>
        <v>3.7771148123673243E-2</v>
      </c>
      <c r="AB33" s="16" cm="1">
        <f t="array" ref="AB33">SQRT(SUMPRODUCT(((J33:O33-P33:U33)/$AE$3:$AJ$3)^2)/6)*100</f>
        <v>1.6181086477689277</v>
      </c>
      <c r="AC33" s="5">
        <f t="shared" si="7"/>
        <v>8.0000000000000016E-2</v>
      </c>
      <c r="AD33" s="13">
        <v>223649839.57434201</v>
      </c>
    </row>
    <row r="34" spans="1:30" ht="16.5" customHeight="1" x14ac:dyDescent="0.25">
      <c r="A34" s="17">
        <v>1.4747736548999999</v>
      </c>
      <c r="B34" s="17">
        <v>0.2</v>
      </c>
      <c r="C34" s="18">
        <v>0</v>
      </c>
      <c r="D34" s="17">
        <v>1.4750904852</v>
      </c>
      <c r="E34" s="17">
        <v>0.12</v>
      </c>
      <c r="F34" s="18">
        <v>3.1415999999999999</v>
      </c>
      <c r="G34" s="17">
        <v>2.1243312033000001</v>
      </c>
      <c r="H34" s="17">
        <v>0.98146476360000001</v>
      </c>
      <c r="I34" s="17">
        <v>2.2301814902000001</v>
      </c>
      <c r="J34" s="8">
        <v>3.8138499949127401E-3</v>
      </c>
      <c r="K34" s="8">
        <v>-8.9558945968746684E-3</v>
      </c>
      <c r="L34" s="8">
        <v>6.6326448172330826E-2</v>
      </c>
      <c r="M34" s="8">
        <v>-3.0066302046179799E-2</v>
      </c>
      <c r="N34" s="8">
        <v>-0.46598353981971702</v>
      </c>
      <c r="O34" s="8">
        <v>2.87609733641148E-2</v>
      </c>
      <c r="P34" s="11">
        <v>3.5745327670415358E-3</v>
      </c>
      <c r="Q34" s="11">
        <v>-1.0661574940039138E-3</v>
      </c>
      <c r="R34" s="11">
        <v>0.10149525722212582</v>
      </c>
      <c r="S34" s="11">
        <v>-0.22469559138357981</v>
      </c>
      <c r="T34" s="11">
        <v>-0.16086667602763052</v>
      </c>
      <c r="U34" s="11">
        <v>7.4314791276265104E-3</v>
      </c>
      <c r="V34" s="5">
        <f t="shared" si="33"/>
        <v>2.3931722787120429E-4</v>
      </c>
      <c r="W34" s="5">
        <f t="shared" si="34"/>
        <v>-7.8897371028707544E-3</v>
      </c>
      <c r="X34" s="5">
        <f t="shared" si="35"/>
        <v>-3.5168809049794997E-2</v>
      </c>
      <c r="Y34" s="5">
        <f t="shared" si="36"/>
        <v>0.19462928933740001</v>
      </c>
      <c r="Z34" s="5">
        <f t="shared" si="37"/>
        <v>-0.30511686379208647</v>
      </c>
      <c r="AA34" s="5">
        <f t="shared" si="38"/>
        <v>2.1329494236488288E-2</v>
      </c>
      <c r="AB34" s="16" cm="1">
        <f t="array" ref="AB34">SQRT(SUMPRODUCT(((J34:O34-P34:U34)/$AE$3:$AJ$3)^2)/6)*100</f>
        <v>1.6039279139339402</v>
      </c>
      <c r="AC34" s="5">
        <f t="shared" si="7"/>
        <v>8.0000000000000016E-2</v>
      </c>
      <c r="AD34" s="13">
        <v>1983374.43151099</v>
      </c>
    </row>
    <row r="35" spans="1:30" ht="16.5" customHeight="1" x14ac:dyDescent="0.25">
      <c r="A35" s="17">
        <v>1.1341222659000001</v>
      </c>
      <c r="B35" s="17">
        <v>0.12</v>
      </c>
      <c r="C35" s="18">
        <v>0.78539999999999999</v>
      </c>
      <c r="D35" s="17">
        <v>1.3710979794</v>
      </c>
      <c r="E35" s="17">
        <v>0.04</v>
      </c>
      <c r="F35" s="18">
        <v>1.5708</v>
      </c>
      <c r="G35" s="17">
        <v>3.8924485742999999</v>
      </c>
      <c r="H35" s="17">
        <v>4.3783496642999999</v>
      </c>
      <c r="I35" s="17">
        <v>1.6360280112000001</v>
      </c>
      <c r="J35" s="8">
        <v>-2.8819218277931203E-4</v>
      </c>
      <c r="K35" s="8">
        <v>-0.16862541913986212</v>
      </c>
      <c r="L35" s="8">
        <v>9.6877405047416862E-2</v>
      </c>
      <c r="M35" s="8">
        <v>-0.59649485349655196</v>
      </c>
      <c r="N35" s="8">
        <v>0.69457828998565696</v>
      </c>
      <c r="O35" s="8">
        <v>2.1627001762390101</v>
      </c>
      <c r="P35" s="11">
        <v>-5.2183415461642402E-3</v>
      </c>
      <c r="Q35" s="11">
        <v>-0.14857608031073474</v>
      </c>
      <c r="R35" s="11">
        <v>9.5439285776816138E-2</v>
      </c>
      <c r="S35" s="11">
        <v>-0.68863289307279918</v>
      </c>
      <c r="T35" s="11">
        <v>0.75996745744004768</v>
      </c>
      <c r="U35" s="11">
        <v>2.0653934241308147</v>
      </c>
      <c r="V35" s="5">
        <f t="shared" si="33"/>
        <v>4.930149363384928E-3</v>
      </c>
      <c r="W35" s="5">
        <f t="shared" si="34"/>
        <v>-2.0049338829127378E-2</v>
      </c>
      <c r="X35" s="5">
        <f t="shared" si="35"/>
        <v>1.438119270600724E-3</v>
      </c>
      <c r="Y35" s="5">
        <f t="shared" si="36"/>
        <v>9.2138039576247222E-2</v>
      </c>
      <c r="Z35" s="5">
        <f t="shared" si="37"/>
        <v>-6.5389167454390718E-2</v>
      </c>
      <c r="AA35" s="5">
        <f t="shared" si="38"/>
        <v>9.7306752108195393E-2</v>
      </c>
      <c r="AB35" s="16" cm="1">
        <f t="array" ref="AB35">SQRT(SUMPRODUCT(((J35:O35-P35:U35)/$AE$3:$AJ$3)^2)/6)*100</f>
        <v>0.88040671197344744</v>
      </c>
      <c r="AC35" s="5">
        <f t="shared" si="7"/>
        <v>7.9999999999999988E-2</v>
      </c>
      <c r="AD35" s="13">
        <v>9300034.5210802704</v>
      </c>
    </row>
    <row r="36" spans="1:30" ht="16.5" customHeight="1" x14ac:dyDescent="0.25">
      <c r="A36" s="17">
        <v>0.785852255</v>
      </c>
      <c r="B36" s="17">
        <v>0.1</v>
      </c>
      <c r="C36" s="18">
        <v>0.78539999999999999</v>
      </c>
      <c r="D36" s="17">
        <v>0.39355619479999998</v>
      </c>
      <c r="E36" s="17">
        <v>0.02</v>
      </c>
      <c r="F36" s="18">
        <v>5.4977999999999998</v>
      </c>
      <c r="G36" s="17">
        <v>4.5109081914000004</v>
      </c>
      <c r="H36" s="17">
        <v>2.9663132843</v>
      </c>
      <c r="I36" s="17">
        <v>3.8683553511</v>
      </c>
      <c r="J36" s="8">
        <v>4.0220627561211603E-3</v>
      </c>
      <c r="K36" s="8">
        <v>-4.8670811653137261E-2</v>
      </c>
      <c r="L36" s="8">
        <v>6.9585041999816882E-2</v>
      </c>
      <c r="M36" s="8">
        <v>-0.13810922205448201</v>
      </c>
      <c r="N36" s="8">
        <v>0.84371614456176802</v>
      </c>
      <c r="O36" s="8">
        <v>0.228819519281387</v>
      </c>
      <c r="P36" s="11">
        <v>1.2101445876905668E-3</v>
      </c>
      <c r="Q36" s="11">
        <v>-4.9887088715764631E-2</v>
      </c>
      <c r="R36" s="11">
        <v>6.087509468729474E-2</v>
      </c>
      <c r="S36" s="11">
        <v>-0.13946225290187084</v>
      </c>
      <c r="T36" s="11">
        <v>0.82332431759271418</v>
      </c>
      <c r="U36" s="11">
        <v>0.27169756998289812</v>
      </c>
      <c r="V36" s="5">
        <f t="shared" si="33"/>
        <v>2.8119181684305933E-3</v>
      </c>
      <c r="W36" s="5">
        <f t="shared" si="34"/>
        <v>1.2162770626273703E-3</v>
      </c>
      <c r="X36" s="5">
        <f t="shared" si="35"/>
        <v>8.7099473125221427E-3</v>
      </c>
      <c r="Y36" s="5">
        <f t="shared" si="36"/>
        <v>1.3530308473888308E-3</v>
      </c>
      <c r="Z36" s="5">
        <f t="shared" si="37"/>
        <v>2.0391826969053839E-2</v>
      </c>
      <c r="AA36" s="5">
        <f t="shared" si="38"/>
        <v>-4.2878050701511128E-2</v>
      </c>
      <c r="AB36" s="16" cm="1">
        <f t="array" ref="AB36">SQRT(SUMPRODUCT(((J36:O36-P36:U36)/$AE$3:$AJ$3)^2)/6)*100</f>
        <v>0.38919958245388142</v>
      </c>
      <c r="AC36" s="5">
        <f t="shared" si="7"/>
        <v>0.08</v>
      </c>
      <c r="AD36" s="13">
        <v>87065665.706853896</v>
      </c>
    </row>
    <row r="37" spans="1:30" ht="16.5" customHeight="1" x14ac:dyDescent="0.25">
      <c r="A37" s="17">
        <v>0.4787670047</v>
      </c>
      <c r="B37" s="17">
        <v>0.2</v>
      </c>
      <c r="C37" s="18">
        <v>4.7123999999999997</v>
      </c>
      <c r="D37" s="17">
        <v>0.35541469809999998</v>
      </c>
      <c r="E37" s="17">
        <v>0.14000000000000001</v>
      </c>
      <c r="F37" s="18">
        <v>3.1415999999999999</v>
      </c>
      <c r="G37" s="17">
        <v>4.9350065225000002</v>
      </c>
      <c r="H37" s="17">
        <v>4.6708884390999996</v>
      </c>
      <c r="I37" s="17">
        <v>0.64099500450000002</v>
      </c>
      <c r="J37" s="8">
        <v>4.0480811148881904E-3</v>
      </c>
      <c r="K37" s="8">
        <v>8.1926136910915243E-2</v>
      </c>
      <c r="L37" s="8">
        <v>-3.7596840262413014E-2</v>
      </c>
      <c r="M37" s="8">
        <v>-8.3123356103897095E-2</v>
      </c>
      <c r="N37" s="8">
        <v>-0.26290214061737099</v>
      </c>
      <c r="O37" s="8">
        <v>-0.36952835321426403</v>
      </c>
      <c r="P37" s="11">
        <v>3.7306506501240265E-3</v>
      </c>
      <c r="Q37" s="11">
        <v>9.4340110463344423E-2</v>
      </c>
      <c r="R37" s="11">
        <v>-4.9267898867236433E-2</v>
      </c>
      <c r="S37" s="11">
        <v>-9.2083319617969991E-2</v>
      </c>
      <c r="T37" s="11">
        <v>-0.34732547827112586</v>
      </c>
      <c r="U37" s="11">
        <v>-0.47581799619977155</v>
      </c>
      <c r="V37" s="5">
        <f t="shared" si="33"/>
        <v>3.1743046476416384E-4</v>
      </c>
      <c r="W37" s="5">
        <f t="shared" si="34"/>
        <v>-1.2413973552429181E-2</v>
      </c>
      <c r="X37" s="5">
        <f t="shared" si="35"/>
        <v>1.1671058604823419E-2</v>
      </c>
      <c r="Y37" s="5">
        <f t="shared" si="36"/>
        <v>8.9599635140728967E-3</v>
      </c>
      <c r="Z37" s="5">
        <f t="shared" si="37"/>
        <v>8.4423337653754871E-2</v>
      </c>
      <c r="AA37" s="5">
        <f t="shared" si="38"/>
        <v>0.10628964298550753</v>
      </c>
      <c r="AB37" s="16" cm="1">
        <f t="array" ref="AB37">SQRT(SUMPRODUCT(((J37:O37-P37:U37)/$AE$3:$AJ$3)^2)/6)*100</f>
        <v>0.74889405241650253</v>
      </c>
      <c r="AC37" s="5">
        <f t="shared" si="7"/>
        <v>0.06</v>
      </c>
      <c r="AD37" s="13">
        <v>5912174.2375171399</v>
      </c>
    </row>
    <row r="38" spans="1:30" ht="16.5" customHeight="1" x14ac:dyDescent="0.25">
      <c r="A38" s="17">
        <v>1.2825258852999999</v>
      </c>
      <c r="B38" s="17">
        <v>0.14000000000000001</v>
      </c>
      <c r="C38" s="18">
        <v>2.3561999999999999</v>
      </c>
      <c r="D38" s="17">
        <v>1.1085226837</v>
      </c>
      <c r="E38" s="17">
        <v>0.08</v>
      </c>
      <c r="F38" s="18">
        <v>3.1415999999999999</v>
      </c>
      <c r="G38" s="17">
        <v>5.0541583899999999E-2</v>
      </c>
      <c r="H38" s="17">
        <v>4.9578693537999996</v>
      </c>
      <c r="I38" s="17">
        <v>3.9886280456000001</v>
      </c>
      <c r="J38" s="8">
        <v>-2.3071035742759701E-2</v>
      </c>
      <c r="K38" s="8">
        <v>-0.10596835374832156</v>
      </c>
      <c r="L38" s="8">
        <v>-0.22721113681793151</v>
      </c>
      <c r="M38" s="8">
        <v>-1.1593600511550901</v>
      </c>
      <c r="N38" s="8">
        <v>-1.6655416488647501</v>
      </c>
      <c r="O38" s="8">
        <v>0.71028804779052701</v>
      </c>
      <c r="P38" s="11">
        <v>-1.6841198429710529E-2</v>
      </c>
      <c r="Q38" s="11">
        <v>-0.12509283921191863</v>
      </c>
      <c r="R38" s="11">
        <v>-0.20333983507122846</v>
      </c>
      <c r="S38" s="11">
        <v>-1.2865180283604107</v>
      </c>
      <c r="T38" s="11">
        <v>-1.6026816442059901</v>
      </c>
      <c r="U38" s="11">
        <v>0.79438911347594421</v>
      </c>
      <c r="V38" s="5">
        <f t="shared" si="33"/>
        <v>-6.2298373130491719E-3</v>
      </c>
      <c r="W38" s="5">
        <f t="shared" si="34"/>
        <v>1.9124485463597074E-2</v>
      </c>
      <c r="X38" s="5">
        <f t="shared" si="35"/>
        <v>-2.3871301746703044E-2</v>
      </c>
      <c r="Y38" s="5">
        <f t="shared" si="36"/>
        <v>0.12715797720532063</v>
      </c>
      <c r="Z38" s="5">
        <f t="shared" si="37"/>
        <v>-6.286000465875996E-2</v>
      </c>
      <c r="AA38" s="5">
        <f t="shared" si="38"/>
        <v>-8.4101065685417198E-2</v>
      </c>
      <c r="AB38" s="16" cm="1">
        <f t="array" ref="AB38">SQRT(SUMPRODUCT(((J38:O38-P38:U38)/$AE$3:$AJ$3)^2)/6)*100</f>
        <v>1.2951500677167729</v>
      </c>
      <c r="AC38" s="5">
        <f t="shared" si="7"/>
        <v>6.0000000000000012E-2</v>
      </c>
      <c r="AD38" s="13">
        <v>3489907.1437680498</v>
      </c>
    </row>
    <row r="39" spans="1:30" ht="16.5" customHeight="1" x14ac:dyDescent="0.25">
      <c r="A39" s="17">
        <v>1.0319949839</v>
      </c>
      <c r="B39" s="17">
        <v>0.18</v>
      </c>
      <c r="C39" s="18">
        <v>3.927</v>
      </c>
      <c r="D39" s="17">
        <v>1.1733448184999999</v>
      </c>
      <c r="E39" s="17">
        <v>0.12</v>
      </c>
      <c r="F39" s="18">
        <v>0.78539999999999999</v>
      </c>
      <c r="G39" s="17">
        <v>4.3201662060999997</v>
      </c>
      <c r="H39" s="17">
        <v>3.8378352410000001</v>
      </c>
      <c r="I39" s="17">
        <v>4.8360302252</v>
      </c>
      <c r="J39" s="8">
        <v>2.0447487477213101E-3</v>
      </c>
      <c r="K39" s="8">
        <v>3.4675893932580408E-3</v>
      </c>
      <c r="L39" s="8">
        <v>-1.7182121560908849E-2</v>
      </c>
      <c r="M39" s="8">
        <v>-4.4312290847301497E-2</v>
      </c>
      <c r="N39" s="8">
        <v>0.20662721991538999</v>
      </c>
      <c r="O39" s="8">
        <v>0.34084922075271601</v>
      </c>
      <c r="P39" s="11">
        <v>-2.0555649892661384E-3</v>
      </c>
      <c r="Q39" s="11">
        <v>3.0607463372937075E-2</v>
      </c>
      <c r="R39" s="11">
        <v>-3.0974201399159591E-2</v>
      </c>
      <c r="S39" s="11">
        <v>-3.8948720429921008E-2</v>
      </c>
      <c r="T39" s="11">
        <v>0.11111342959492032</v>
      </c>
      <c r="U39" s="11">
        <v>0.1130576324582592</v>
      </c>
      <c r="V39" s="5">
        <f t="shared" si="33"/>
        <v>4.100313736987448E-3</v>
      </c>
      <c r="W39" s="5">
        <f t="shared" si="34"/>
        <v>-2.7139873979679034E-2</v>
      </c>
      <c r="X39" s="5">
        <f t="shared" si="35"/>
        <v>1.3792079838250742E-2</v>
      </c>
      <c r="Y39" s="5">
        <f t="shared" si="36"/>
        <v>-5.3635704173804893E-3</v>
      </c>
      <c r="Z39" s="5">
        <f t="shared" si="37"/>
        <v>9.5513790320469666E-2</v>
      </c>
      <c r="AA39" s="5">
        <f t="shared" si="38"/>
        <v>0.22779158829445681</v>
      </c>
      <c r="AB39" s="16" cm="1">
        <f t="array" ref="AB39">SQRT(SUMPRODUCT(((J39:O39-P39:U39)/$AE$3:$AJ$3)^2)/6)*100</f>
        <v>1.3516314335627271</v>
      </c>
      <c r="AC39" s="5">
        <f t="shared" si="7"/>
        <v>0.06</v>
      </c>
      <c r="AD39" s="13">
        <v>8380597.9200901203</v>
      </c>
    </row>
    <row r="40" spans="1:30" ht="16.5" customHeight="1" x14ac:dyDescent="0.25">
      <c r="A40" s="17">
        <v>0.54659396309999997</v>
      </c>
      <c r="B40" s="17">
        <v>0.14000000000000001</v>
      </c>
      <c r="C40" s="18">
        <v>3.927</v>
      </c>
      <c r="D40" s="17">
        <v>0.37475583969999998</v>
      </c>
      <c r="E40" s="17">
        <v>0.08</v>
      </c>
      <c r="F40" s="18">
        <v>1.5708</v>
      </c>
      <c r="G40" s="17">
        <v>1.2326114607000001</v>
      </c>
      <c r="H40" s="17">
        <v>3.5091223980000001</v>
      </c>
      <c r="I40" s="17">
        <v>2.8278096824999999</v>
      </c>
      <c r="J40" s="8">
        <v>9.2119863256812096E-4</v>
      </c>
      <c r="K40" s="8">
        <v>1.6157464738935229E-2</v>
      </c>
      <c r="L40" s="8">
        <v>-5.0630841255187964E-2</v>
      </c>
      <c r="M40" s="8">
        <v>-5.8329094201326398E-2</v>
      </c>
      <c r="N40" s="8">
        <v>-0.317890405654907</v>
      </c>
      <c r="O40" s="8">
        <v>0.108785018324852</v>
      </c>
      <c r="P40" s="11">
        <v>1.0223965103537565E-3</v>
      </c>
      <c r="Q40" s="11">
        <v>2.4055591772901602E-2</v>
      </c>
      <c r="R40" s="11">
        <v>-5.3705103725807453E-2</v>
      </c>
      <c r="S40" s="11">
        <v>-0.10058831159438972</v>
      </c>
      <c r="T40" s="11">
        <v>-0.37388113082179791</v>
      </c>
      <c r="U40" s="11">
        <v>-6.7615693233590976E-3</v>
      </c>
      <c r="V40" s="5">
        <f t="shared" si="33"/>
        <v>-1.0119787778563555E-4</v>
      </c>
      <c r="W40" s="5">
        <f t="shared" si="34"/>
        <v>-7.8981270339663727E-3</v>
      </c>
      <c r="X40" s="5">
        <f t="shared" si="35"/>
        <v>3.074262470619489E-3</v>
      </c>
      <c r="Y40" s="5">
        <f t="shared" si="36"/>
        <v>4.225921739306332E-2</v>
      </c>
      <c r="Z40" s="5">
        <f t="shared" si="37"/>
        <v>5.5990725166890909E-2</v>
      </c>
      <c r="AA40" s="5">
        <f t="shared" si="38"/>
        <v>0.1155465876482111</v>
      </c>
      <c r="AB40" s="16" cm="1">
        <f t="array" ref="AB40">SQRT(SUMPRODUCT(((J40:O40-P40:U40)/$AE$3:$AJ$3)^2)/6)*100</f>
        <v>0.43503399583402508</v>
      </c>
      <c r="AC40" s="5">
        <f t="shared" si="7"/>
        <v>6.0000000000000012E-2</v>
      </c>
      <c r="AD40" s="13">
        <v>1654232.33201931</v>
      </c>
    </row>
    <row r="41" spans="1:30" ht="16.5" customHeight="1" x14ac:dyDescent="0.25">
      <c r="A41" s="17">
        <v>0.62359206519999999</v>
      </c>
      <c r="B41" s="17">
        <v>0.08</v>
      </c>
      <c r="C41" s="18">
        <v>5.4977999999999998</v>
      </c>
      <c r="D41" s="17">
        <v>0.47877904049999997</v>
      </c>
      <c r="E41" s="17">
        <v>0.02</v>
      </c>
      <c r="F41" s="18">
        <v>3.927</v>
      </c>
      <c r="G41" s="17">
        <v>2.2205178402999999</v>
      </c>
      <c r="H41" s="17">
        <v>1.9827336431</v>
      </c>
      <c r="I41" s="17">
        <v>0.36676452050000002</v>
      </c>
      <c r="J41" s="8">
        <v>-1.47967482917011E-3</v>
      </c>
      <c r="K41" s="8">
        <v>4.5280347466468848E-2</v>
      </c>
      <c r="L41" s="8">
        <v>2.6666867956519166E-2</v>
      </c>
      <c r="M41" s="8">
        <v>-4.8165880143642398E-2</v>
      </c>
      <c r="N41" s="8">
        <v>-2.6211343705654099E-2</v>
      </c>
      <c r="O41" s="8">
        <v>-0.78379583358764604</v>
      </c>
      <c r="P41" s="11">
        <v>-7.9244509453941299E-4</v>
      </c>
      <c r="Q41" s="11">
        <v>4.1977292915701431E-2</v>
      </c>
      <c r="R41" s="11">
        <v>2.8388258756785342E-2</v>
      </c>
      <c r="S41" s="11">
        <v>-2.8232273354866954E-2</v>
      </c>
      <c r="T41" s="11">
        <v>0.10110794796128919</v>
      </c>
      <c r="U41" s="11">
        <v>-0.77937559051445993</v>
      </c>
      <c r="V41" s="5">
        <f t="shared" si="33"/>
        <v>-6.8722973463069702E-4</v>
      </c>
      <c r="W41" s="5">
        <f t="shared" si="34"/>
        <v>3.3030545507674175E-3</v>
      </c>
      <c r="X41" s="5">
        <f t="shared" si="35"/>
        <v>-1.721390800266176E-3</v>
      </c>
      <c r="Y41" s="5">
        <f t="shared" si="36"/>
        <v>-1.9933606788775444E-2</v>
      </c>
      <c r="Z41" s="5">
        <f t="shared" si="37"/>
        <v>-0.12731929166694328</v>
      </c>
      <c r="AA41" s="5">
        <f t="shared" si="38"/>
        <v>-4.4202430731861142E-3</v>
      </c>
      <c r="AB41" s="16" cm="1">
        <f t="array" ref="AB41">SQRT(SUMPRODUCT(((J41:O41-P41:U41)/$AE$3:$AJ$3)^2)/6)*100</f>
        <v>0.30284860475840447</v>
      </c>
      <c r="AC41" s="5">
        <f t="shared" si="7"/>
        <v>0.06</v>
      </c>
      <c r="AD41" s="13">
        <v>4834051.5308579002</v>
      </c>
    </row>
    <row r="42" spans="1:30" ht="16.5" customHeight="1" x14ac:dyDescent="0.25">
      <c r="A42" s="17">
        <v>1.3484992293</v>
      </c>
      <c r="B42" s="17">
        <v>0.2</v>
      </c>
      <c r="C42" s="18">
        <v>0</v>
      </c>
      <c r="D42" s="17">
        <v>0.39122828500000001</v>
      </c>
      <c r="E42" s="17">
        <v>0.14000000000000001</v>
      </c>
      <c r="F42" s="18">
        <v>0.78539999999999999</v>
      </c>
      <c r="G42" s="17">
        <v>1.9402253723</v>
      </c>
      <c r="H42" s="17">
        <v>1.6478522000000001E-3</v>
      </c>
      <c r="I42" s="17">
        <v>3.2221664534999999</v>
      </c>
      <c r="J42" s="8">
        <v>2.92359739542007E-2</v>
      </c>
      <c r="K42" s="8">
        <v>-4.2003208994865412E-2</v>
      </c>
      <c r="L42" s="8">
        <v>0.28241620004177093</v>
      </c>
      <c r="M42" s="8">
        <v>-1.3672847747802701</v>
      </c>
      <c r="N42" s="8">
        <v>0.75280958414077803</v>
      </c>
      <c r="O42" s="8">
        <v>0.313927292823792</v>
      </c>
      <c r="P42" s="11">
        <v>2.0212819364791815E-2</v>
      </c>
      <c r="Q42" s="11">
        <v>-4.5804523233588995E-2</v>
      </c>
      <c r="R42" s="11">
        <v>0.26340781531813756</v>
      </c>
      <c r="S42" s="11">
        <v>-1.4605540793928036</v>
      </c>
      <c r="T42" s="11">
        <v>0.69552693635837171</v>
      </c>
      <c r="U42" s="11">
        <v>0.31330419662893449</v>
      </c>
      <c r="V42" s="5">
        <f t="shared" si="33"/>
        <v>9.0231545894088848E-3</v>
      </c>
      <c r="W42" s="5">
        <f t="shared" si="34"/>
        <v>3.8013142387235827E-3</v>
      </c>
      <c r="X42" s="5">
        <f t="shared" si="35"/>
        <v>1.9008384723633365E-2</v>
      </c>
      <c r="Y42" s="5">
        <f t="shared" si="36"/>
        <v>9.3269304612533466E-2</v>
      </c>
      <c r="Z42" s="5">
        <f t="shared" si="37"/>
        <v>5.7282647782406326E-2</v>
      </c>
      <c r="AA42" s="5">
        <f t="shared" si="38"/>
        <v>6.2309619485750867E-4</v>
      </c>
      <c r="AB42" s="16" cm="1">
        <f t="array" ref="AB42">SQRT(SUMPRODUCT(((J42:O42-P42:U42)/$AE$3:$AJ$3)^2)/6)*100</f>
        <v>0.88299363688685351</v>
      </c>
      <c r="AC42" s="5">
        <f t="shared" si="7"/>
        <v>0.06</v>
      </c>
      <c r="AD42" s="13">
        <v>1116809.46414849</v>
      </c>
    </row>
    <row r="43" spans="1:30" ht="16.5" customHeight="1" x14ac:dyDescent="0.25">
      <c r="A43" s="17">
        <v>0.51681038229999998</v>
      </c>
      <c r="B43" s="17">
        <v>0.08</v>
      </c>
      <c r="C43" s="18">
        <v>0</v>
      </c>
      <c r="D43" s="17">
        <v>0.91461204240000005</v>
      </c>
      <c r="E43" s="17">
        <v>0.02</v>
      </c>
      <c r="F43" s="18">
        <v>3.927</v>
      </c>
      <c r="G43" s="17">
        <v>3.7945339589999998</v>
      </c>
      <c r="H43" s="17">
        <v>3.3481721828</v>
      </c>
      <c r="I43" s="17">
        <v>3.4429632493</v>
      </c>
      <c r="J43" s="8">
        <v>6.0794455930590597E-4</v>
      </c>
      <c r="K43" s="8">
        <v>1.5098237991333044E-2</v>
      </c>
      <c r="L43" s="8">
        <v>2.8885395154356931E-2</v>
      </c>
      <c r="M43" s="8">
        <v>-5.19313141703606E-2</v>
      </c>
      <c r="N43" s="8">
        <v>-0.227550074458122</v>
      </c>
      <c r="O43" s="8">
        <v>-0.74169278144836404</v>
      </c>
      <c r="P43" s="11">
        <v>-7.4687553042018172E-5</v>
      </c>
      <c r="Q43" s="11">
        <v>1.293567200568127E-2</v>
      </c>
      <c r="R43" s="11">
        <v>2.8299104398477954E-2</v>
      </c>
      <c r="S43" s="11">
        <v>-2.105652375047784E-2</v>
      </c>
      <c r="T43" s="11">
        <v>-0.13089393865560239</v>
      </c>
      <c r="U43" s="11">
        <v>-0.64667436053389982</v>
      </c>
      <c r="V43" s="5">
        <f t="shared" ref="V43:V52" si="39">J43-P43</f>
        <v>6.8263211234792411E-4</v>
      </c>
      <c r="W43" s="5">
        <f t="shared" ref="W43:W52" si="40">K43-Q43</f>
        <v>2.1625659856517737E-3</v>
      </c>
      <c r="X43" s="5">
        <f t="shared" ref="X43:X52" si="41">L43-R43</f>
        <v>5.8629075587897719E-4</v>
      </c>
      <c r="Y43" s="5">
        <f t="shared" ref="Y43:Y52" si="42">M43-S43</f>
        <v>-3.087479041988276E-2</v>
      </c>
      <c r="Z43" s="5">
        <f t="shared" ref="Z43:Z52" si="43">N43-T43</f>
        <v>-9.665613580251961E-2</v>
      </c>
      <c r="AA43" s="5">
        <f t="shared" ref="AA43:AA52" si="44">O43-U43</f>
        <v>-9.5018420914464219E-2</v>
      </c>
      <c r="AB43" s="16" cm="1">
        <f t="array" ref="AB43">SQRT(SUMPRODUCT(((J43:O43-P43:U43)/$AE$3:$AJ$3)^2)/6)*100</f>
        <v>0.29348049270492332</v>
      </c>
      <c r="AC43" s="5">
        <f t="shared" si="7"/>
        <v>0.06</v>
      </c>
      <c r="AD43" s="13">
        <v>1279256.9568395501</v>
      </c>
    </row>
    <row r="44" spans="1:30" ht="16.5" customHeight="1" x14ac:dyDescent="0.25">
      <c r="A44" s="17">
        <v>0.68441694529999997</v>
      </c>
      <c r="B44" s="17">
        <v>0.16</v>
      </c>
      <c r="C44" s="18">
        <v>2.3561999999999999</v>
      </c>
      <c r="D44" s="17">
        <v>1.4072090791</v>
      </c>
      <c r="E44" s="17">
        <v>0.1</v>
      </c>
      <c r="F44" s="18">
        <v>0.78539999999999999</v>
      </c>
      <c r="G44" s="17">
        <v>1.6472032243000001</v>
      </c>
      <c r="H44" s="17">
        <v>5.9795420000000002E-2</v>
      </c>
      <c r="I44" s="17">
        <v>0.1036992028</v>
      </c>
      <c r="J44" s="8">
        <v>1.05409817770123E-2</v>
      </c>
      <c r="K44" s="8">
        <v>-0.15412576675415074</v>
      </c>
      <c r="L44" s="8">
        <v>2.3715965151786811E-2</v>
      </c>
      <c r="M44" s="8">
        <v>-0.46214094758033802</v>
      </c>
      <c r="N44" s="8">
        <v>0.52779358625411998</v>
      </c>
      <c r="O44" s="8">
        <v>1.1965517997741699</v>
      </c>
      <c r="P44" s="11">
        <v>4.8825385086893359E-3</v>
      </c>
      <c r="Q44" s="11">
        <v>-0.17361895097149985</v>
      </c>
      <c r="R44" s="11">
        <v>2.0979482240517357E-2</v>
      </c>
      <c r="S44" s="11">
        <v>-0.62530864122328</v>
      </c>
      <c r="T44" s="11">
        <v>0.47755694774427104</v>
      </c>
      <c r="U44" s="11">
        <v>1.3519551531670546</v>
      </c>
      <c r="V44" s="5">
        <f t="shared" si="39"/>
        <v>5.6584432683229637E-3</v>
      </c>
      <c r="W44" s="5">
        <f t="shared" si="40"/>
        <v>1.9493184217349108E-2</v>
      </c>
      <c r="X44" s="5">
        <f t="shared" si="41"/>
        <v>2.7364829112694541E-3</v>
      </c>
      <c r="Y44" s="5">
        <f t="shared" si="42"/>
        <v>0.16316769364294198</v>
      </c>
      <c r="Z44" s="5">
        <f t="shared" si="43"/>
        <v>5.0236638509848941E-2</v>
      </c>
      <c r="AA44" s="5">
        <f t="shared" si="44"/>
        <v>-0.15540335339288469</v>
      </c>
      <c r="AB44" s="16" cm="1">
        <f t="array" ref="AB44">SQRT(SUMPRODUCT(((J44:O44-P44:U44)/$AE$3:$AJ$3)^2)/6)*100</f>
        <v>0.90698293469109759</v>
      </c>
      <c r="AC44" s="5">
        <f t="shared" si="7"/>
        <v>0.06</v>
      </c>
      <c r="AD44" s="13">
        <v>4676279.8016711203</v>
      </c>
    </row>
    <row r="45" spans="1:30" ht="16.5" customHeight="1" x14ac:dyDescent="0.25">
      <c r="A45" s="17">
        <v>1.3991334753</v>
      </c>
      <c r="B45" s="17">
        <v>0.12</v>
      </c>
      <c r="C45" s="18">
        <v>5.4977999999999998</v>
      </c>
      <c r="D45" s="17">
        <v>0.96266422490000003</v>
      </c>
      <c r="E45" s="17">
        <v>0.06</v>
      </c>
      <c r="F45" s="18">
        <v>5.4977999999999998</v>
      </c>
      <c r="G45" s="17">
        <v>2.0231526378</v>
      </c>
      <c r="H45" s="17">
        <v>0.50988481399999996</v>
      </c>
      <c r="I45" s="17">
        <v>0.60427768879999999</v>
      </c>
      <c r="J45" s="8">
        <v>-3.9675664156675304E-3</v>
      </c>
      <c r="K45" s="8">
        <v>0.18592015862464931</v>
      </c>
      <c r="L45" s="8">
        <v>0.1597622621059421</v>
      </c>
      <c r="M45" s="8">
        <v>-0.87976008653640703</v>
      </c>
      <c r="N45" s="8">
        <v>1.1610733270645099</v>
      </c>
      <c r="O45" s="8">
        <v>-1.7950013875961299</v>
      </c>
      <c r="P45" s="11">
        <v>-4.9555309838354685E-3</v>
      </c>
      <c r="Q45" s="11">
        <v>0.15751261389438903</v>
      </c>
      <c r="R45" s="11">
        <v>0.15572429561298759</v>
      </c>
      <c r="S45" s="11">
        <v>-0.95586223958570549</v>
      </c>
      <c r="T45" s="11">
        <v>1.5008682134761164</v>
      </c>
      <c r="U45" s="11">
        <v>-1.5481462495306588</v>
      </c>
      <c r="V45" s="5">
        <f t="shared" si="39"/>
        <v>9.8796456816793807E-4</v>
      </c>
      <c r="W45" s="5">
        <f t="shared" si="40"/>
        <v>2.8407544730260276E-2</v>
      </c>
      <c r="X45" s="5">
        <f t="shared" si="41"/>
        <v>4.0379664929545145E-3</v>
      </c>
      <c r="Y45" s="5">
        <f t="shared" si="42"/>
        <v>7.610215304929846E-2</v>
      </c>
      <c r="Z45" s="5">
        <f t="shared" si="43"/>
        <v>-0.33979488641160649</v>
      </c>
      <c r="AA45" s="5">
        <f t="shared" si="44"/>
        <v>-0.2468551380654711</v>
      </c>
      <c r="AB45" s="16" cm="1">
        <f t="array" ref="AB45">SQRT(SUMPRODUCT(((J45:O45-P45:U45)/$AE$3:$AJ$3)^2)/6)*100</f>
        <v>1.4530850316434729</v>
      </c>
      <c r="AC45" s="5">
        <f t="shared" si="7"/>
        <v>0.06</v>
      </c>
      <c r="AD45" s="13">
        <v>6132280.9963331101</v>
      </c>
    </row>
    <row r="46" spans="1:30" ht="16.5" customHeight="1" x14ac:dyDescent="0.25">
      <c r="A46" s="17">
        <v>0.4668308846</v>
      </c>
      <c r="B46" s="17">
        <v>0.08</v>
      </c>
      <c r="C46" s="18">
        <v>3.1415999999999999</v>
      </c>
      <c r="D46" s="17">
        <v>1.1054712231999999</v>
      </c>
      <c r="E46" s="17">
        <v>0.04</v>
      </c>
      <c r="F46" s="18">
        <v>4.7123999999999997</v>
      </c>
      <c r="G46" s="17">
        <v>4.4838346888</v>
      </c>
      <c r="H46" s="17">
        <v>0.20145099390000001</v>
      </c>
      <c r="I46" s="17">
        <v>4.5041045776999997</v>
      </c>
      <c r="J46" s="8">
        <v>-3.2952348701655899E-3</v>
      </c>
      <c r="K46" s="8">
        <v>4.5224753618240493E-2</v>
      </c>
      <c r="L46" s="8">
        <v>-3.975314408540729E-2</v>
      </c>
      <c r="M46" s="8">
        <v>-6.3384123146533994E-2</v>
      </c>
      <c r="N46" s="8">
        <v>-0.49019342660903897</v>
      </c>
      <c r="O46" s="8">
        <v>-1.07537841796875</v>
      </c>
      <c r="P46" s="11">
        <v>-1.9765840479459636E-3</v>
      </c>
      <c r="Q46" s="11">
        <v>4.4152583557777271E-2</v>
      </c>
      <c r="R46" s="11">
        <v>-3.7263284885344215E-2</v>
      </c>
      <c r="S46" s="11">
        <v>-5.0140706006746992E-2</v>
      </c>
      <c r="T46" s="11">
        <v>-0.46846712585767292</v>
      </c>
      <c r="U46" s="11">
        <v>-1.1037705137502283</v>
      </c>
      <c r="V46" s="5">
        <f t="shared" si="39"/>
        <v>-1.3186508222196264E-3</v>
      </c>
      <c r="W46" s="5">
        <f t="shared" si="40"/>
        <v>1.072170060463222E-3</v>
      </c>
      <c r="X46" s="5">
        <f t="shared" si="41"/>
        <v>-2.4898592000630743E-3</v>
      </c>
      <c r="Y46" s="5">
        <f t="shared" si="42"/>
        <v>-1.3243417139787002E-2</v>
      </c>
      <c r="Z46" s="5">
        <f t="shared" si="43"/>
        <v>-2.1726300751366057E-2</v>
      </c>
      <c r="AA46" s="5">
        <f t="shared" si="44"/>
        <v>2.8392095781478277E-2</v>
      </c>
      <c r="AB46" s="16" cm="1">
        <f t="array" ref="AB46">SQRT(SUMPRODUCT(((J46:O46-P46:U46)/$AE$3:$AJ$3)^2)/6)*100</f>
        <v>0.14336355010732008</v>
      </c>
      <c r="AC46" s="5">
        <f t="shared" si="7"/>
        <v>0.04</v>
      </c>
      <c r="AD46" s="13">
        <v>5854745.0451174397</v>
      </c>
    </row>
    <row r="47" spans="1:30" ht="16.5" customHeight="1" x14ac:dyDescent="0.25">
      <c r="A47" s="17">
        <v>1.4827422800000001</v>
      </c>
      <c r="B47" s="17">
        <v>0.08</v>
      </c>
      <c r="C47" s="18">
        <v>3.1415999999999999</v>
      </c>
      <c r="D47" s="17">
        <v>0.80651000630000003</v>
      </c>
      <c r="E47" s="17">
        <v>0.04</v>
      </c>
      <c r="F47" s="18">
        <v>4.7123999999999997</v>
      </c>
      <c r="G47" s="17">
        <v>4.1839238480000001</v>
      </c>
      <c r="H47" s="17">
        <v>4.1752821560999998</v>
      </c>
      <c r="I47" s="17">
        <v>0.4978333036</v>
      </c>
      <c r="J47" s="8">
        <v>5.8683929964899999E-3</v>
      </c>
      <c r="K47" s="8">
        <v>3.442031055688817E-2</v>
      </c>
      <c r="L47" s="8">
        <v>-0.12324651420116389</v>
      </c>
      <c r="M47" s="8">
        <v>-0.22302415966987599</v>
      </c>
      <c r="N47" s="8">
        <v>-1.34484195709229</v>
      </c>
      <c r="O47" s="8">
        <v>-0.84396576881408703</v>
      </c>
      <c r="P47" s="11">
        <v>5.2562979595367964E-3</v>
      </c>
      <c r="Q47" s="11">
        <v>3.272235002793307E-2</v>
      </c>
      <c r="R47" s="11">
        <v>-0.11774461367960154</v>
      </c>
      <c r="S47" s="11">
        <v>-0.24569363006058004</v>
      </c>
      <c r="T47" s="11">
        <v>-1.4561222865674739</v>
      </c>
      <c r="U47" s="11">
        <v>-0.81986119135391111</v>
      </c>
      <c r="V47" s="5">
        <f t="shared" si="39"/>
        <v>6.1209503695320352E-4</v>
      </c>
      <c r="W47" s="5">
        <f t="shared" si="40"/>
        <v>1.6979605289551003E-3</v>
      </c>
      <c r="X47" s="5">
        <f t="shared" si="41"/>
        <v>-5.5019005215623529E-3</v>
      </c>
      <c r="Y47" s="5">
        <f t="shared" si="42"/>
        <v>2.266947039070405E-2</v>
      </c>
      <c r="Z47" s="5">
        <f t="shared" si="43"/>
        <v>0.11128032947518385</v>
      </c>
      <c r="AA47" s="5">
        <f t="shared" si="44"/>
        <v>-2.4104577460175913E-2</v>
      </c>
      <c r="AB47" s="16" cm="1">
        <f t="array" ref="AB47">SQRT(SUMPRODUCT(((J47:O47-P47:U47)/$AE$3:$AJ$3)^2)/6)*100</f>
        <v>0.33186906794607735</v>
      </c>
      <c r="AC47" s="5">
        <f t="shared" si="7"/>
        <v>0.04</v>
      </c>
      <c r="AD47" s="13">
        <v>11311483.3341527</v>
      </c>
    </row>
    <row r="48" spans="1:30" ht="16.5" customHeight="1" x14ac:dyDescent="0.25">
      <c r="A48" s="17">
        <v>1.4313963908</v>
      </c>
      <c r="B48" s="17">
        <v>0.2</v>
      </c>
      <c r="C48" s="18">
        <v>5.4977999999999998</v>
      </c>
      <c r="D48" s="17">
        <v>0.66088478610000001</v>
      </c>
      <c r="E48" s="17">
        <v>0.16</v>
      </c>
      <c r="F48" s="18">
        <v>5.4977999999999998</v>
      </c>
      <c r="G48" s="17">
        <v>4.6493399877000003</v>
      </c>
      <c r="H48" s="17">
        <v>1.9654430356000001</v>
      </c>
      <c r="I48" s="17">
        <v>1.6399488998</v>
      </c>
      <c r="J48" s="8">
        <v>-2.84721739590168E-2</v>
      </c>
      <c r="K48" s="8">
        <v>0.24718735218048088</v>
      </c>
      <c r="L48" s="8">
        <v>0.24951086610555628</v>
      </c>
      <c r="M48" s="8">
        <v>-1.72224581241608</v>
      </c>
      <c r="N48" s="8">
        <v>0.49334552884101901</v>
      </c>
      <c r="O48" s="8">
        <v>-0.76049625873565696</v>
      </c>
      <c r="P48" s="11">
        <v>-2.908352826424275E-2</v>
      </c>
      <c r="Q48" s="11">
        <v>0.24063243961443609</v>
      </c>
      <c r="R48" s="11">
        <v>0.21387202937651076</v>
      </c>
      <c r="S48" s="11">
        <v>-2.0044879156858317</v>
      </c>
      <c r="T48" s="11">
        <v>0.24336208485562857</v>
      </c>
      <c r="U48" s="11">
        <v>-0.54632979908318702</v>
      </c>
      <c r="V48" s="5">
        <f t="shared" si="39"/>
        <v>6.1135430522595013E-4</v>
      </c>
      <c r="W48" s="5">
        <f t="shared" si="40"/>
        <v>6.5549125660447904E-3</v>
      </c>
      <c r="X48" s="5">
        <f t="shared" si="41"/>
        <v>3.5638836729045525E-2</v>
      </c>
      <c r="Y48" s="5">
        <f t="shared" si="42"/>
        <v>0.28224210326975174</v>
      </c>
      <c r="Z48" s="5">
        <f t="shared" si="43"/>
        <v>0.24998344398539044</v>
      </c>
      <c r="AA48" s="5">
        <f t="shared" si="44"/>
        <v>-0.21416645965246994</v>
      </c>
      <c r="AB48" s="16" cm="1">
        <f t="array" ref="AB48">SQRT(SUMPRODUCT(((J48:O48-P48:U48)/$AE$3:$AJ$3)^2)/6)*100</f>
        <v>1.6363031243200199</v>
      </c>
      <c r="AC48" s="5">
        <f t="shared" si="7"/>
        <v>4.0000000000000008E-2</v>
      </c>
      <c r="AD48" s="13">
        <v>7991054.3629700998</v>
      </c>
    </row>
    <row r="49" spans="1:30" ht="16.5" customHeight="1" x14ac:dyDescent="0.25">
      <c r="A49" s="17">
        <v>1.1008731407000001</v>
      </c>
      <c r="B49" s="17">
        <v>0.12</v>
      </c>
      <c r="C49" s="18">
        <v>4.7123999999999997</v>
      </c>
      <c r="D49" s="17">
        <v>1.0118865585000001</v>
      </c>
      <c r="E49" s="17">
        <v>0.08</v>
      </c>
      <c r="F49" s="18">
        <v>0</v>
      </c>
      <c r="G49" s="17">
        <v>2.5804466663999999</v>
      </c>
      <c r="H49" s="17">
        <v>2.8020908323999998</v>
      </c>
      <c r="I49" s="17">
        <v>1.4209598912000001</v>
      </c>
      <c r="J49" s="8">
        <v>-2.18501593917608E-3</v>
      </c>
      <c r="K49" s="8">
        <v>0.11094302952289556</v>
      </c>
      <c r="L49" s="8">
        <v>0.1318884277343752</v>
      </c>
      <c r="M49" s="8">
        <v>-0.42062535881996199</v>
      </c>
      <c r="N49" s="8">
        <v>1.5282573699951201</v>
      </c>
      <c r="O49" s="8">
        <v>-0.81598681211471602</v>
      </c>
      <c r="P49" s="11">
        <v>-7.7879849005207881E-4</v>
      </c>
      <c r="Q49" s="11">
        <v>0.13116162178588864</v>
      </c>
      <c r="R49" s="11">
        <v>8.0261095467735993E-2</v>
      </c>
      <c r="S49" s="11">
        <v>-0.39097944983116062</v>
      </c>
      <c r="T49" s="11">
        <v>0.9846262500897669</v>
      </c>
      <c r="U49" s="11">
        <v>-1.0552647976247564</v>
      </c>
      <c r="V49" s="5">
        <f t="shared" si="39"/>
        <v>-1.4062174491240012E-3</v>
      </c>
      <c r="W49" s="5">
        <f t="shared" si="40"/>
        <v>-2.0218592262993079E-2</v>
      </c>
      <c r="X49" s="5">
        <f t="shared" si="41"/>
        <v>5.1627332266639209E-2</v>
      </c>
      <c r="Y49" s="5">
        <f t="shared" si="42"/>
        <v>-2.9645908988801373E-2</v>
      </c>
      <c r="Z49" s="5">
        <f t="shared" si="43"/>
        <v>0.54363111990535318</v>
      </c>
      <c r="AA49" s="5">
        <f t="shared" si="44"/>
        <v>0.23927798551004043</v>
      </c>
      <c r="AB49" s="16" cm="1">
        <f t="array" ref="AB49">SQRT(SUMPRODUCT(((J49:O49-P49:U49)/$AE$3:$AJ$3)^2)/6)*100</f>
        <v>2.5685165508163874</v>
      </c>
      <c r="AC49" s="5">
        <f t="shared" si="7"/>
        <v>3.9999999999999994E-2</v>
      </c>
      <c r="AD49" s="13">
        <v>3788453.0825242</v>
      </c>
    </row>
    <row r="50" spans="1:30" ht="16.5" customHeight="1" x14ac:dyDescent="0.25">
      <c r="A50" s="17">
        <v>1.1548404238000001</v>
      </c>
      <c r="B50" s="17">
        <v>0.06</v>
      </c>
      <c r="C50" s="18">
        <v>0</v>
      </c>
      <c r="D50" s="17">
        <v>0.95560731600000004</v>
      </c>
      <c r="E50" s="17">
        <v>0.02</v>
      </c>
      <c r="F50" s="18">
        <v>5.4977999999999998</v>
      </c>
      <c r="G50" s="17">
        <v>1.7445767312</v>
      </c>
      <c r="H50" s="17">
        <v>3.9458122761999999</v>
      </c>
      <c r="I50" s="17">
        <v>4.9189190299999996</v>
      </c>
      <c r="J50" s="8">
        <v>1.8196115270257E-3</v>
      </c>
      <c r="K50" s="8">
        <v>4.7905400395393469E-3</v>
      </c>
      <c r="L50" s="8">
        <v>8.9655218124389202E-2</v>
      </c>
      <c r="M50" s="8">
        <v>-6.4179420471191406E-2</v>
      </c>
      <c r="N50" s="8">
        <v>1.8967602252960201</v>
      </c>
      <c r="O50" s="8">
        <v>-0.51140964031219505</v>
      </c>
      <c r="P50" s="11">
        <v>1.4864397060234983E-3</v>
      </c>
      <c r="Q50" s="11">
        <v>1.344448359010854E-2</v>
      </c>
      <c r="R50" s="11">
        <v>8.2959162856570165E-2</v>
      </c>
      <c r="S50" s="11">
        <v>-9.3939949300423112E-2</v>
      </c>
      <c r="T50" s="11">
        <v>1.8290840449547274</v>
      </c>
      <c r="U50" s="11">
        <v>-0.67251666268888244</v>
      </c>
      <c r="V50" s="5">
        <f t="shared" si="39"/>
        <v>3.3317182100220171E-4</v>
      </c>
      <c r="W50" s="5">
        <f t="shared" si="40"/>
        <v>-8.6539435505691934E-3</v>
      </c>
      <c r="X50" s="5">
        <f t="shared" si="41"/>
        <v>6.6960552678190371E-3</v>
      </c>
      <c r="Y50" s="5">
        <f t="shared" si="42"/>
        <v>2.9760528829231706E-2</v>
      </c>
      <c r="Z50" s="5">
        <f t="shared" si="43"/>
        <v>6.7676180341292635E-2</v>
      </c>
      <c r="AA50" s="5">
        <f t="shared" si="44"/>
        <v>0.16110702237668739</v>
      </c>
      <c r="AB50" s="16" cm="1">
        <f t="array" ref="AB50">SQRT(SUMPRODUCT(((J50:O50-P50:U50)/$AE$3:$AJ$3)^2)/6)*100</f>
        <v>0.57216513997781104</v>
      </c>
      <c r="AC50" s="5">
        <f t="shared" si="7"/>
        <v>3.9999999999999994E-2</v>
      </c>
      <c r="AD50" s="13">
        <v>5133691.9190337304</v>
      </c>
    </row>
    <row r="51" spans="1:30" ht="16.5" customHeight="1" x14ac:dyDescent="0.25">
      <c r="A51" s="17">
        <v>1.1816252039999999</v>
      </c>
      <c r="B51" s="17">
        <v>0.08</v>
      </c>
      <c r="C51" s="18">
        <v>1.5708</v>
      </c>
      <c r="D51" s="17">
        <v>0.57227119820000005</v>
      </c>
      <c r="E51" s="17">
        <v>0.04</v>
      </c>
      <c r="F51" s="18">
        <v>0.78539999999999999</v>
      </c>
      <c r="G51" s="17">
        <v>1.4076592733</v>
      </c>
      <c r="H51" s="17">
        <v>1.3192874408999999</v>
      </c>
      <c r="I51" s="17">
        <v>2.6835966308999999</v>
      </c>
      <c r="J51" s="8">
        <v>5.0261407159268899E-3</v>
      </c>
      <c r="K51" s="8">
        <v>-0.11670223593711854</v>
      </c>
      <c r="L51" s="8">
        <v>1.3623089045286231E-2</v>
      </c>
      <c r="M51" s="8">
        <v>-0.14642003178596499</v>
      </c>
      <c r="N51" s="8">
        <v>0.36419194936752303</v>
      </c>
      <c r="O51" s="8">
        <v>1.55786764621735</v>
      </c>
      <c r="P51" s="11">
        <v>2.2552116716404699E-4</v>
      </c>
      <c r="Q51" s="11">
        <v>-0.11036856739259836</v>
      </c>
      <c r="R51" s="11">
        <v>1.6158208200835151E-2</v>
      </c>
      <c r="S51" s="11">
        <v>-0.19104172945412048</v>
      </c>
      <c r="T51" s="11">
        <v>0.40274093750885537</v>
      </c>
      <c r="U51" s="11">
        <v>1.5751461515966381</v>
      </c>
      <c r="V51" s="5">
        <f t="shared" si="39"/>
        <v>4.8006195487628432E-3</v>
      </c>
      <c r="W51" s="5">
        <f t="shared" si="40"/>
        <v>-6.3336685445201796E-3</v>
      </c>
      <c r="X51" s="5">
        <f t="shared" si="41"/>
        <v>-2.5351191555489198E-3</v>
      </c>
      <c r="Y51" s="5">
        <f t="shared" si="42"/>
        <v>4.4621697668155491E-2</v>
      </c>
      <c r="Z51" s="5">
        <f t="shared" si="43"/>
        <v>-3.8548988141332341E-2</v>
      </c>
      <c r="AA51" s="5">
        <f t="shared" si="44"/>
        <v>-1.72785053792881E-2</v>
      </c>
      <c r="AB51" s="16" cm="1">
        <f t="array" ref="AB51">SQRT(SUMPRODUCT(((J51:O51-P51:U51)/$AE$3:$AJ$3)^2)/6)*100</f>
        <v>0.35261557135927091</v>
      </c>
      <c r="AC51" s="5">
        <f t="shared" si="7"/>
        <v>0.04</v>
      </c>
      <c r="AD51" s="13">
        <v>113032906.326867</v>
      </c>
    </row>
    <row r="52" spans="1:30" ht="16.5" customHeight="1" x14ac:dyDescent="0.25">
      <c r="A52" s="17">
        <v>0.93729510640000002</v>
      </c>
      <c r="B52" s="17">
        <v>0.14000000000000001</v>
      </c>
      <c r="C52" s="18">
        <v>0.78539999999999999</v>
      </c>
      <c r="D52" s="17">
        <v>0.49250416219999998</v>
      </c>
      <c r="E52" s="17">
        <v>0.1</v>
      </c>
      <c r="F52" s="18">
        <v>0</v>
      </c>
      <c r="G52" s="17">
        <v>0.50502447429999997</v>
      </c>
      <c r="H52" s="17">
        <v>3.7817597896000001</v>
      </c>
      <c r="I52" s="17">
        <v>0.94479070089999995</v>
      </c>
      <c r="J52" s="8">
        <v>-5.5614840239286397E-3</v>
      </c>
      <c r="K52" s="8">
        <v>-9.2361005544662145E-2</v>
      </c>
      <c r="L52" s="8">
        <v>0.14423409759998271</v>
      </c>
      <c r="M52" s="8">
        <v>-0.32296690344810502</v>
      </c>
      <c r="N52" s="8">
        <v>1.0704246759414699</v>
      </c>
      <c r="O52" s="8">
        <v>0.568997502326965</v>
      </c>
      <c r="P52" s="11">
        <v>-8.7639205086857581E-3</v>
      </c>
      <c r="Q52" s="11">
        <v>-8.9861777863203915E-2</v>
      </c>
      <c r="R52" s="11">
        <v>0.14152412065830333</v>
      </c>
      <c r="S52" s="11">
        <v>-0.44323031496270043</v>
      </c>
      <c r="T52" s="11">
        <v>1.111256529420463</v>
      </c>
      <c r="U52" s="11">
        <v>0.58554182457731241</v>
      </c>
      <c r="V52" s="5">
        <f t="shared" si="39"/>
        <v>3.2024364847571185E-3</v>
      </c>
      <c r="W52" s="5">
        <f t="shared" si="40"/>
        <v>-2.4992276814582298E-3</v>
      </c>
      <c r="X52" s="5">
        <f t="shared" si="41"/>
        <v>2.7099769416793762E-3</v>
      </c>
      <c r="Y52" s="5">
        <f t="shared" si="42"/>
        <v>0.12026341151459541</v>
      </c>
      <c r="Z52" s="5">
        <f t="shared" si="43"/>
        <v>-4.0831853478993096E-2</v>
      </c>
      <c r="AA52" s="5">
        <f t="shared" si="44"/>
        <v>-1.654432225034741E-2</v>
      </c>
      <c r="AB52" s="16" cm="1">
        <f t="array" ref="AB52">SQRT(SUMPRODUCT(((J52:O52-P52:U52)/$AE$3:$AJ$3)^2)/6)*100</f>
        <v>0.23350831766649652</v>
      </c>
      <c r="AC52" s="5">
        <f t="shared" si="7"/>
        <v>4.0000000000000008E-2</v>
      </c>
      <c r="AD52" s="13">
        <v>4945193.9044914003</v>
      </c>
    </row>
    <row r="53" spans="1:30" ht="16.5" customHeight="1" x14ac:dyDescent="0.25">
      <c r="A53" s="16">
        <v>0.32556561499999997</v>
      </c>
      <c r="B53" s="16">
        <v>0.1</v>
      </c>
      <c r="C53" s="5">
        <v>0</v>
      </c>
      <c r="D53" s="16">
        <v>1.3745769409999999</v>
      </c>
      <c r="E53" s="16">
        <v>0.06</v>
      </c>
      <c r="F53" s="5">
        <v>0</v>
      </c>
      <c r="G53" s="16">
        <v>2.9612942246</v>
      </c>
      <c r="H53" s="16">
        <v>1.9579719759000001</v>
      </c>
      <c r="I53" s="16">
        <v>4.9734873239999997</v>
      </c>
      <c r="J53" s="8"/>
      <c r="K53" s="8"/>
      <c r="L53" s="8"/>
      <c r="M53" s="8"/>
      <c r="N53" s="8"/>
      <c r="O53" s="8"/>
      <c r="P53" s="11">
        <v>3.1320805964074427E-3</v>
      </c>
      <c r="Q53" s="11">
        <v>-2.7550427108362293E-4</v>
      </c>
      <c r="R53" s="11">
        <v>0.11484894599775432</v>
      </c>
      <c r="S53" s="11">
        <v>-0.27887463321203104</v>
      </c>
      <c r="T53" s="11">
        <v>1.6770034072880424</v>
      </c>
      <c r="U53" s="11">
        <v>1.1610988226891173E-2</v>
      </c>
      <c r="V53" s="21"/>
      <c r="W53" s="7"/>
      <c r="X53" s="7"/>
      <c r="Y53" s="7"/>
      <c r="Z53" s="7"/>
      <c r="AA53" s="7"/>
      <c r="AB53" s="7"/>
      <c r="AC53" s="5">
        <f t="shared" si="7"/>
        <v>4.0000000000000008E-2</v>
      </c>
      <c r="AD53" s="13">
        <v>3475084.30873405</v>
      </c>
    </row>
    <row r="54" spans="1:30" ht="16.5" customHeight="1" x14ac:dyDescent="0.25">
      <c r="A54" s="16">
        <v>0.34779033799999998</v>
      </c>
      <c r="B54" s="16">
        <v>0.08</v>
      </c>
      <c r="C54" s="5">
        <v>0</v>
      </c>
      <c r="D54" s="16">
        <v>1.3138897528</v>
      </c>
      <c r="E54" s="16">
        <v>0.04</v>
      </c>
      <c r="F54" s="5">
        <v>5.4977999999999998</v>
      </c>
      <c r="G54" s="16">
        <v>0.37278424939999999</v>
      </c>
      <c r="H54" s="16">
        <v>4.7468756007000001</v>
      </c>
      <c r="I54" s="16">
        <v>0.2022602889</v>
      </c>
      <c r="J54" s="8"/>
      <c r="K54" s="8"/>
      <c r="L54" s="8"/>
      <c r="M54" s="8"/>
      <c r="N54" s="8"/>
      <c r="O54" s="8"/>
      <c r="P54" s="11">
        <v>-4.6466832888433042E-4</v>
      </c>
      <c r="Q54" s="11">
        <v>3.7192486173140513E-2</v>
      </c>
      <c r="R54" s="11">
        <v>6.4885743446482388E-2</v>
      </c>
      <c r="S54" s="11">
        <v>-4.8695071907845196E-3</v>
      </c>
      <c r="T54" s="11">
        <v>1.2761039552594946</v>
      </c>
      <c r="U54" s="11">
        <v>-0.92970780320199309</v>
      </c>
      <c r="V54" s="7"/>
      <c r="W54" s="7"/>
      <c r="X54" s="7"/>
      <c r="Y54" s="7"/>
      <c r="Z54" s="7"/>
      <c r="AA54" s="7"/>
      <c r="AB54" s="7"/>
      <c r="AC54" s="5">
        <f t="shared" si="7"/>
        <v>0.04</v>
      </c>
      <c r="AD54" s="13">
        <v>1521558.8885139599</v>
      </c>
    </row>
    <row r="55" spans="1:30" ht="16.5" customHeight="1" x14ac:dyDescent="0.25">
      <c r="A55" s="16">
        <v>1.1244386973</v>
      </c>
      <c r="B55" s="16">
        <v>0.06</v>
      </c>
      <c r="C55" s="5">
        <v>2.3561999999999999</v>
      </c>
      <c r="D55" s="16">
        <v>1.2912704479999999</v>
      </c>
      <c r="E55" s="16">
        <v>0.02</v>
      </c>
      <c r="F55" s="5">
        <v>5.4977999999999998</v>
      </c>
      <c r="G55" s="16">
        <v>4.9064020905000003</v>
      </c>
      <c r="H55" s="16">
        <v>2.1650144864</v>
      </c>
      <c r="I55" s="16">
        <v>2.5559004244999999</v>
      </c>
      <c r="J55" s="8"/>
      <c r="K55" s="8"/>
      <c r="L55" s="8"/>
      <c r="M55" s="8"/>
      <c r="N55" s="8"/>
      <c r="O55" s="8"/>
      <c r="P55" s="11">
        <v>1.2684197583456311E-3</v>
      </c>
      <c r="Q55" s="11">
        <v>-2.9514191089769142E-2</v>
      </c>
      <c r="R55" s="11">
        <v>-2.9575676893435512E-2</v>
      </c>
      <c r="S55" s="11">
        <v>-2.0501361529781801E-2</v>
      </c>
      <c r="T55" s="11">
        <v>0.11797004339659124</v>
      </c>
      <c r="U55" s="11">
        <v>-0.11916984862657068</v>
      </c>
      <c r="V55" s="7"/>
      <c r="W55" s="7"/>
      <c r="X55" s="7"/>
      <c r="Y55" s="7"/>
      <c r="Z55" s="7"/>
      <c r="AA55" s="7"/>
      <c r="AB55" s="7"/>
      <c r="AC55" s="5">
        <f t="shared" si="7"/>
        <v>3.9999999999999994E-2</v>
      </c>
      <c r="AD55" s="13">
        <v>5823406.5522314496</v>
      </c>
    </row>
    <row r="56" spans="1:30" ht="16.5" customHeight="1" x14ac:dyDescent="0.25">
      <c r="A56" s="16">
        <v>0.87685121659999998</v>
      </c>
      <c r="B56" s="16">
        <v>0.08</v>
      </c>
      <c r="C56" s="5">
        <v>3.1415999999999999</v>
      </c>
      <c r="D56" s="16">
        <v>1.4399958847000001</v>
      </c>
      <c r="E56" s="16">
        <v>0.04</v>
      </c>
      <c r="F56" s="5">
        <v>4.7123999999999997</v>
      </c>
      <c r="G56" s="16">
        <v>2.3478746006</v>
      </c>
      <c r="H56" s="16">
        <v>3.5578307432999998</v>
      </c>
      <c r="I56" s="16">
        <v>1.992162325</v>
      </c>
      <c r="J56" s="8"/>
      <c r="K56" s="8"/>
      <c r="L56" s="8"/>
      <c r="M56" s="8"/>
      <c r="N56" s="8"/>
      <c r="O56" s="8"/>
      <c r="P56" s="11">
        <v>1.1818317724026316E-3</v>
      </c>
      <c r="Q56" s="11">
        <v>5.7606125992030674E-2</v>
      </c>
      <c r="R56" s="11">
        <v>-6.9808169137667991E-2</v>
      </c>
      <c r="S56" s="11">
        <v>-0.1598782977599868</v>
      </c>
      <c r="T56" s="11">
        <v>-0.86631946584874331</v>
      </c>
      <c r="U56" s="11">
        <v>-1.4377538995733186</v>
      </c>
      <c r="V56" s="7"/>
      <c r="W56" s="7"/>
      <c r="X56" s="7"/>
      <c r="Y56" s="7"/>
      <c r="Z56" s="7"/>
      <c r="AA56" s="7"/>
      <c r="AB56" s="7"/>
      <c r="AC56" s="5">
        <f t="shared" si="7"/>
        <v>0.04</v>
      </c>
      <c r="AD56" s="13">
        <v>1732541.0767262499</v>
      </c>
    </row>
    <row r="57" spans="1:30" ht="16.5" customHeight="1" x14ac:dyDescent="0.25">
      <c r="A57" s="16">
        <v>0.59547924330000002</v>
      </c>
      <c r="B57" s="16">
        <v>0.08</v>
      </c>
      <c r="C57" s="5">
        <v>4.7123999999999997</v>
      </c>
      <c r="D57" s="16">
        <v>0.70510202209999995</v>
      </c>
      <c r="E57" s="16">
        <v>0.04</v>
      </c>
      <c r="F57" s="5">
        <v>0</v>
      </c>
      <c r="G57" s="16">
        <v>0.2207304574</v>
      </c>
      <c r="H57" s="16">
        <v>1.87765064E-2</v>
      </c>
      <c r="I57" s="16">
        <v>2.3333602099999999</v>
      </c>
      <c r="J57" s="8"/>
      <c r="K57" s="8"/>
      <c r="L57" s="8"/>
      <c r="M57" s="8"/>
      <c r="N57" s="8"/>
      <c r="O57" s="8"/>
      <c r="P57" s="11">
        <v>2.8173254779919379E-4</v>
      </c>
      <c r="Q57" s="11">
        <v>4.7434697337632732E-2</v>
      </c>
      <c r="R57" s="11">
        <v>2.8185896220374932E-2</v>
      </c>
      <c r="S57" s="11">
        <v>-9.058064840135735E-2</v>
      </c>
      <c r="T57" s="11">
        <v>0.70365630763938813</v>
      </c>
      <c r="U57" s="11">
        <v>-0.5902284232860977</v>
      </c>
      <c r="V57" s="7"/>
      <c r="W57" s="7"/>
      <c r="X57" s="7"/>
      <c r="Y57" s="7"/>
      <c r="Z57" s="7"/>
      <c r="AA57" s="7"/>
      <c r="AB57" s="7"/>
      <c r="AC57" s="5">
        <f t="shared" si="7"/>
        <v>0.04</v>
      </c>
      <c r="AD57" s="13">
        <v>4790421.2053389102</v>
      </c>
    </row>
    <row r="58" spans="1:30" ht="16.5" customHeight="1" x14ac:dyDescent="0.25">
      <c r="A58" s="16">
        <v>1.3901836501</v>
      </c>
      <c r="B58" s="16">
        <v>0.08</v>
      </c>
      <c r="C58" s="5">
        <v>4.7123999999999997</v>
      </c>
      <c r="D58" s="16">
        <v>0.3079851005</v>
      </c>
      <c r="E58" s="16">
        <v>0.04</v>
      </c>
      <c r="F58" s="5">
        <v>4.7123999999999997</v>
      </c>
      <c r="G58" s="16">
        <v>0.73915014310000005</v>
      </c>
      <c r="H58" s="16">
        <v>2.9227877096000001</v>
      </c>
      <c r="I58" s="16">
        <v>4.1425655895000002</v>
      </c>
      <c r="J58" s="8"/>
      <c r="K58" s="8"/>
      <c r="L58" s="8"/>
      <c r="M58" s="8"/>
      <c r="N58" s="8"/>
      <c r="O58" s="8"/>
      <c r="P58" s="11">
        <v>2.6761915362405642E-3</v>
      </c>
      <c r="Q58" s="11">
        <v>0.12254736869336802</v>
      </c>
      <c r="R58" s="11">
        <v>2.6465845489354278E-4</v>
      </c>
      <c r="S58" s="11">
        <v>-0.36869337211353986</v>
      </c>
      <c r="T58" s="11">
        <v>1.1587165996135596E-2</v>
      </c>
      <c r="U58" s="11">
        <v>-1.6569443790459046</v>
      </c>
      <c r="V58" s="7"/>
      <c r="W58" s="7"/>
      <c r="X58" s="7"/>
      <c r="Y58" s="7"/>
      <c r="Z58" s="7"/>
      <c r="AA58" s="7"/>
      <c r="AB58" s="7"/>
      <c r="AC58" s="5">
        <f t="shared" si="7"/>
        <v>0.04</v>
      </c>
      <c r="AD58" s="13">
        <v>21109565.482386801</v>
      </c>
    </row>
    <row r="59" spans="1:30" ht="16.5" customHeight="1" x14ac:dyDescent="0.25">
      <c r="A59" s="16">
        <v>0.37261524629999998</v>
      </c>
      <c r="B59" s="16">
        <v>0.16</v>
      </c>
      <c r="C59" s="5">
        <v>1.5708</v>
      </c>
      <c r="D59" s="16">
        <v>0.85894297369999995</v>
      </c>
      <c r="E59" s="16">
        <v>0.12</v>
      </c>
      <c r="F59" s="5">
        <v>0</v>
      </c>
      <c r="G59" s="16">
        <v>1.8801242656999999</v>
      </c>
      <c r="H59" s="16">
        <v>0.57983362380000003</v>
      </c>
      <c r="I59" s="16">
        <v>4.1953380029999998</v>
      </c>
      <c r="J59" s="8"/>
      <c r="K59" s="8"/>
      <c r="L59" s="8"/>
      <c r="M59" s="8"/>
      <c r="N59" s="8"/>
      <c r="O59" s="8"/>
      <c r="P59" s="11">
        <v>7.1340528408737622E-3</v>
      </c>
      <c r="Q59" s="11">
        <v>-5.9940924921978257E-2</v>
      </c>
      <c r="R59" s="11">
        <v>0.1016752457438143</v>
      </c>
      <c r="S59" s="11">
        <v>-0.24488536044603998</v>
      </c>
      <c r="T59" s="11">
        <v>0.82168334133630572</v>
      </c>
      <c r="U59" s="11">
        <v>0.3762540366878977</v>
      </c>
      <c r="V59" s="7"/>
      <c r="W59" s="7"/>
      <c r="X59" s="7"/>
      <c r="Y59" s="7"/>
      <c r="Z59" s="7"/>
      <c r="AA59" s="7"/>
      <c r="AB59" s="7"/>
      <c r="AC59" s="5">
        <f t="shared" si="7"/>
        <v>4.0000000000000008E-2</v>
      </c>
      <c r="AD59" s="13">
        <v>1241830.12460455</v>
      </c>
    </row>
    <row r="60" spans="1:30" ht="16.5" customHeight="1" x14ac:dyDescent="0.25">
      <c r="A60" s="16">
        <v>1.4531678181000001</v>
      </c>
      <c r="B60" s="16">
        <v>0.12</v>
      </c>
      <c r="C60" s="5">
        <v>4.7123999999999997</v>
      </c>
      <c r="D60" s="16">
        <v>0.47288273930000002</v>
      </c>
      <c r="E60" s="16">
        <v>0.08</v>
      </c>
      <c r="F60" s="5">
        <v>0.78539999999999999</v>
      </c>
      <c r="G60" s="16">
        <v>3.2783510528000002</v>
      </c>
      <c r="H60" s="16">
        <v>4.7389224496000004</v>
      </c>
      <c r="I60" s="16">
        <v>3.1449469496</v>
      </c>
      <c r="J60" s="8"/>
      <c r="K60" s="8"/>
      <c r="L60" s="8"/>
      <c r="M60" s="8"/>
      <c r="N60" s="8"/>
      <c r="O60" s="8"/>
      <c r="P60" s="11">
        <v>3.2958010919105882E-3</v>
      </c>
      <c r="Q60" s="11">
        <v>0.14603497234400672</v>
      </c>
      <c r="R60" s="11">
        <v>2.7152907692793778E-2</v>
      </c>
      <c r="S60" s="11">
        <v>-0.36790711441831048</v>
      </c>
      <c r="T60" s="11">
        <v>0.33830398220620495</v>
      </c>
      <c r="U60" s="11">
        <v>-1.0558237664921832</v>
      </c>
      <c r="V60" s="7"/>
      <c r="W60" s="7"/>
      <c r="X60" s="7"/>
      <c r="Y60" s="7"/>
      <c r="Z60" s="7"/>
      <c r="AA60" s="7"/>
      <c r="AB60" s="7"/>
      <c r="AC60" s="5">
        <f t="shared" si="7"/>
        <v>3.9999999999999994E-2</v>
      </c>
      <c r="AD60" s="13">
        <v>4697800.8379984703</v>
      </c>
    </row>
    <row r="61" spans="1:30" ht="16.5" customHeight="1" x14ac:dyDescent="0.25">
      <c r="A61" s="16">
        <v>0.36590931840000002</v>
      </c>
      <c r="B61" s="16">
        <v>0.08</v>
      </c>
      <c r="C61" s="5">
        <v>2.3561999999999999</v>
      </c>
      <c r="D61" s="16">
        <v>0.32426250909999998</v>
      </c>
      <c r="E61" s="16">
        <v>0.04</v>
      </c>
      <c r="F61" s="5">
        <v>5.4977999999999998</v>
      </c>
      <c r="G61" s="16">
        <v>3.2391898345999999</v>
      </c>
      <c r="H61" s="16">
        <v>1.5107994280999999</v>
      </c>
      <c r="I61" s="16">
        <v>0.73005405469999995</v>
      </c>
      <c r="J61" s="8"/>
      <c r="K61" s="8"/>
      <c r="L61" s="8"/>
      <c r="M61" s="8"/>
      <c r="N61" s="8"/>
      <c r="O61" s="8"/>
      <c r="P61" s="11">
        <v>6.0777827391636833E-4</v>
      </c>
      <c r="Q61" s="11">
        <v>-1.1463021372867987E-2</v>
      </c>
      <c r="R61" s="11">
        <v>-1.147806189735559E-2</v>
      </c>
      <c r="S61" s="11">
        <v>-5.4771079779505384E-3</v>
      </c>
      <c r="T61" s="11">
        <v>-2.9526095287809667E-2</v>
      </c>
      <c r="U61" s="11">
        <v>2.9162959103490614E-2</v>
      </c>
      <c r="V61" s="7"/>
      <c r="W61" s="7"/>
      <c r="X61" s="7"/>
      <c r="Y61" s="7"/>
      <c r="Z61" s="7"/>
      <c r="AA61" s="7"/>
      <c r="AB61" s="7"/>
      <c r="AC61" s="5">
        <f t="shared" si="7"/>
        <v>0.04</v>
      </c>
      <c r="AD61" s="13">
        <v>1147616.35413922</v>
      </c>
    </row>
    <row r="62" spans="1:30" ht="16.5" customHeight="1" x14ac:dyDescent="0.25">
      <c r="A62" s="16">
        <v>0.71858942609999998</v>
      </c>
      <c r="B62" s="16">
        <v>0.06</v>
      </c>
      <c r="C62" s="5">
        <v>5.4977999999999998</v>
      </c>
      <c r="D62" s="16">
        <v>1.3482950081</v>
      </c>
      <c r="E62" s="16">
        <v>0.02</v>
      </c>
      <c r="F62" s="5">
        <v>1.5708</v>
      </c>
      <c r="G62" s="16">
        <v>2.7719248752999999</v>
      </c>
      <c r="H62" s="16">
        <v>4.6486855653000001</v>
      </c>
      <c r="I62" s="16">
        <v>4.0642437601000001</v>
      </c>
      <c r="J62" s="8"/>
      <c r="K62" s="8"/>
      <c r="L62" s="8"/>
      <c r="M62" s="8"/>
      <c r="N62" s="8"/>
      <c r="O62" s="8"/>
      <c r="P62" s="11">
        <v>4.1225309104056822E-4</v>
      </c>
      <c r="Q62" s="11">
        <v>3.5867125568756109E-3</v>
      </c>
      <c r="R62" s="11">
        <v>3.0566199664401501E-2</v>
      </c>
      <c r="S62" s="11">
        <v>-3.259198929228724E-3</v>
      </c>
      <c r="T62" s="11">
        <v>0.50788663806665579</v>
      </c>
      <c r="U62" s="11">
        <v>0.84052352434528244</v>
      </c>
      <c r="V62" s="7"/>
      <c r="W62" s="7"/>
      <c r="X62" s="7"/>
      <c r="Y62" s="7"/>
      <c r="Z62" s="7"/>
      <c r="AA62" s="7"/>
      <c r="AB62" s="7"/>
      <c r="AC62" s="5">
        <f t="shared" si="7"/>
        <v>3.9999999999999994E-2</v>
      </c>
      <c r="AD62" s="13">
        <v>4622956.0629072702</v>
      </c>
    </row>
  </sheetData>
  <mergeCells count="6">
    <mergeCell ref="AE1:AJ1"/>
    <mergeCell ref="A1:I1"/>
    <mergeCell ref="J1:O1"/>
    <mergeCell ref="P1:U1"/>
    <mergeCell ref="AC1:AD1"/>
    <mergeCell ref="V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8DDF-E79F-463F-9FA7-F8F56273B4BC}">
  <dimension ref="A1:AK54"/>
  <sheetViews>
    <sheetView tabSelected="1" topLeftCell="I1" zoomScaleNormal="100" workbookViewId="0">
      <pane ySplit="2" topLeftCell="A3" activePane="bottomLeft" state="frozen"/>
      <selection activeCell="K1" sqref="K1"/>
      <selection pane="bottomLeft" activeCell="AG15" sqref="AG15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8" bestFit="1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85546875" bestFit="1" customWidth="1"/>
    <col min="37" max="37" width="11.85546875" bestFit="1" customWidth="1"/>
  </cols>
  <sheetData>
    <row r="1" spans="1:37" ht="15.75" x14ac:dyDescent="0.25">
      <c r="A1" s="27" t="s">
        <v>11</v>
      </c>
      <c r="B1" s="27"/>
      <c r="C1" s="27"/>
      <c r="D1" s="27"/>
      <c r="E1" s="27"/>
      <c r="F1" s="27"/>
      <c r="G1" s="27"/>
      <c r="H1" s="27"/>
      <c r="I1" s="28"/>
      <c r="J1" s="29" t="s">
        <v>6</v>
      </c>
      <c r="K1" s="30"/>
      <c r="L1" s="30"/>
      <c r="M1" s="30"/>
      <c r="N1" s="30"/>
      <c r="O1" s="30"/>
      <c r="P1" s="31" t="s">
        <v>7</v>
      </c>
      <c r="Q1" s="32"/>
      <c r="R1" s="32"/>
      <c r="S1" s="32"/>
      <c r="T1" s="32"/>
      <c r="U1" s="32"/>
      <c r="V1" s="32"/>
      <c r="W1" s="33" t="s">
        <v>13</v>
      </c>
      <c r="X1" s="33"/>
      <c r="Y1" s="33"/>
      <c r="Z1" s="33"/>
      <c r="AA1" s="33"/>
      <c r="AB1" s="33"/>
      <c r="AC1" s="33"/>
      <c r="AD1" s="33"/>
      <c r="AE1" s="33"/>
      <c r="AF1" s="20" t="s">
        <v>31</v>
      </c>
      <c r="AG1" s="20"/>
      <c r="AH1" s="20"/>
      <c r="AI1" s="20"/>
      <c r="AJ1" s="20"/>
      <c r="AK1" s="20"/>
    </row>
    <row r="2" spans="1:37" ht="15.75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22</v>
      </c>
      <c r="Q2" s="1" t="s">
        <v>23</v>
      </c>
      <c r="R2" s="1" t="s">
        <v>33</v>
      </c>
      <c r="S2" s="1" t="s">
        <v>24</v>
      </c>
      <c r="T2" s="1" t="s">
        <v>25</v>
      </c>
      <c r="U2" s="1" t="s">
        <v>34</v>
      </c>
      <c r="V2" s="2" t="s">
        <v>32</v>
      </c>
      <c r="W2" s="3" t="s">
        <v>22</v>
      </c>
      <c r="X2" s="1" t="s">
        <v>23</v>
      </c>
      <c r="Y2" s="1" t="s">
        <v>33</v>
      </c>
      <c r="Z2" s="1" t="s">
        <v>24</v>
      </c>
      <c r="AA2" s="1" t="s">
        <v>25</v>
      </c>
      <c r="AB2" s="1" t="s">
        <v>34</v>
      </c>
      <c r="AC2" s="6" t="s">
        <v>28</v>
      </c>
      <c r="AD2" s="6" t="s">
        <v>29</v>
      </c>
      <c r="AE2" s="6" t="s">
        <v>30</v>
      </c>
      <c r="AF2" s="34" t="s">
        <v>26</v>
      </c>
      <c r="AG2" s="34"/>
      <c r="AH2" s="34"/>
      <c r="AI2" s="34"/>
      <c r="AJ2" s="34"/>
      <c r="AK2" s="34"/>
    </row>
    <row r="3" spans="1:37" ht="15.75" x14ac:dyDescent="0.25">
      <c r="A3" s="5">
        <f>'Proximal Validation'!A3</f>
        <v>0.57634630980000001</v>
      </c>
      <c r="B3" s="5">
        <f>'Proximal Validation'!B3</f>
        <v>0.2</v>
      </c>
      <c r="C3" s="5">
        <f>'Proximal Validation'!C3</f>
        <v>0.78539999999999999</v>
      </c>
      <c r="D3" s="5">
        <f>'Proximal Validation'!D3</f>
        <v>1.1398024601000001</v>
      </c>
      <c r="E3" s="5">
        <f>'Proximal Validation'!E3</f>
        <v>0.02</v>
      </c>
      <c r="F3" s="5">
        <f>'Proximal Validation'!F3</f>
        <v>5.4977999999999998</v>
      </c>
      <c r="G3" s="5">
        <f>'Proximal Validation'!G3</f>
        <v>0.49272223679999999</v>
      </c>
      <c r="H3" s="5">
        <f>'Proximal Validation'!H3</f>
        <v>4.4756011583999999</v>
      </c>
      <c r="I3" s="5">
        <f>'Proximal Validation'!I3</f>
        <v>4.1915536561</v>
      </c>
      <c r="J3" s="5">
        <f>'Proximal Validation'!J3</f>
        <v>-8.3262659609317801E-4</v>
      </c>
      <c r="K3" s="5">
        <f>'Proximal Validation'!K3</f>
        <v>-5.3400582866743193E-2</v>
      </c>
      <c r="L3" s="5">
        <f>'Proximal Validation'!L3</f>
        <v>9.2854456901550309E-2</v>
      </c>
      <c r="M3" s="5">
        <f>'Proximal Validation'!M3</f>
        <v>-7.20393061637878E-2</v>
      </c>
      <c r="N3" s="5">
        <f>'Proximal Validation'!N3</f>
        <v>1.12758028507233</v>
      </c>
      <c r="O3" s="5">
        <f>'Proximal Validation'!O3</f>
        <v>-0.58665424585342396</v>
      </c>
      <c r="P3" s="5">
        <v>0.3000000000000812</v>
      </c>
      <c r="Q3" s="5">
        <v>0.19999999999997575</v>
      </c>
      <c r="R3" s="5">
        <v>0.84432434681922341</v>
      </c>
      <c r="S3" s="5">
        <v>0.9308892481367107</v>
      </c>
      <c r="T3" s="5">
        <v>5.7202416404039738E-2</v>
      </c>
      <c r="U3" s="5">
        <v>2.414695484015502E-14</v>
      </c>
      <c r="V3" s="13">
        <v>1.7108104214073297E-3</v>
      </c>
      <c r="W3" s="5">
        <f t="shared" ref="W3:AA18" si="0">P3-A3</f>
        <v>-0.27634630979991881</v>
      </c>
      <c r="X3" s="5">
        <f t="shared" si="0"/>
        <v>-2.425837308805967E-14</v>
      </c>
      <c r="Y3" s="5">
        <f>MIN(ABS(R3-C3),2*PI()-ABS(R3-C3))</f>
        <v>5.8924346819223428E-2</v>
      </c>
      <c r="Z3" s="5">
        <f t="shared" si="0"/>
        <v>-0.20891321196328938</v>
      </c>
      <c r="AA3" s="5">
        <f t="shared" si="0"/>
        <v>3.7202416404039734E-2</v>
      </c>
      <c r="AB3" s="5">
        <f>MIN(ABS(U3-F3),2*PI()-ABS(U3-F3))</f>
        <v>0.78538530717961041</v>
      </c>
      <c r="AC3" s="8">
        <f t="shared" ref="AC3:AE18" si="1">AVERAGE(ABS(W3),ABS(Z3))</f>
        <v>0.2426297608816041</v>
      </c>
      <c r="AD3" s="8">
        <f t="shared" si="1"/>
        <v>1.8601208202031996E-2</v>
      </c>
      <c r="AE3" s="8">
        <f t="shared" si="1"/>
        <v>0.42215482699941692</v>
      </c>
      <c r="AF3" s="1" t="s">
        <v>22</v>
      </c>
      <c r="AG3" s="1" t="s">
        <v>23</v>
      </c>
      <c r="AH3" s="1" t="s">
        <v>33</v>
      </c>
      <c r="AI3" s="1" t="s">
        <v>24</v>
      </c>
      <c r="AJ3" s="1" t="s">
        <v>25</v>
      </c>
      <c r="AK3" s="1" t="s">
        <v>34</v>
      </c>
    </row>
    <row r="4" spans="1:37" x14ac:dyDescent="0.25">
      <c r="A4" s="5">
        <f>'Proximal Validation'!A4</f>
        <v>1.2961945501000001</v>
      </c>
      <c r="B4" s="5">
        <f>'Proximal Validation'!B4</f>
        <v>0.2</v>
      </c>
      <c r="C4" s="5">
        <f>'Proximal Validation'!C4</f>
        <v>4.7123999999999997</v>
      </c>
      <c r="D4" s="5">
        <f>'Proximal Validation'!D4</f>
        <v>0.31907560010000002</v>
      </c>
      <c r="E4" s="5">
        <f>'Proximal Validation'!E4</f>
        <v>0.02</v>
      </c>
      <c r="F4" s="5">
        <f>'Proximal Validation'!F4</f>
        <v>1.5708</v>
      </c>
      <c r="G4" s="5">
        <f>'Proximal Validation'!G4</f>
        <v>0.53253118440000002</v>
      </c>
      <c r="H4" s="5">
        <f>'Proximal Validation'!H4</f>
        <v>1.6232893740000001</v>
      </c>
      <c r="I4" s="5">
        <f>'Proximal Validation'!I4</f>
        <v>9.6932284100000002E-2</v>
      </c>
      <c r="J4" s="5">
        <f>'Proximal Validation'!J4</f>
        <v>7.6168961822986603E-3</v>
      </c>
      <c r="K4" s="5">
        <f>'Proximal Validation'!K4</f>
        <v>0.24574007272720383</v>
      </c>
      <c r="L4" s="5">
        <f>'Proximal Validation'!L4</f>
        <v>1.0644453205168264E-3</v>
      </c>
      <c r="M4" s="5">
        <f>'Proximal Validation'!M4</f>
        <v>-0.71961438655853305</v>
      </c>
      <c r="N4" s="5">
        <f>'Proximal Validation'!N4</f>
        <v>2.90779918432236E-2</v>
      </c>
      <c r="O4" s="5">
        <f>'Proximal Validation'!O4</f>
        <v>-0.48940825462341297</v>
      </c>
      <c r="P4" s="5">
        <v>1.4457170715765464</v>
      </c>
      <c r="Q4" s="5">
        <v>0.19630157719309774</v>
      </c>
      <c r="R4" s="5">
        <v>4.7014840925914196</v>
      </c>
      <c r="S4" s="5">
        <v>0.3795952922873771</v>
      </c>
      <c r="T4" s="5">
        <v>3.3240861573459096E-2</v>
      </c>
      <c r="U4" s="5">
        <v>1.586065509334919</v>
      </c>
      <c r="V4" s="13">
        <v>3.2832500669586634E-5</v>
      </c>
      <c r="W4" s="5">
        <f t="shared" si="0"/>
        <v>0.14952252147654632</v>
      </c>
      <c r="X4" s="5">
        <f t="shared" si="0"/>
        <v>-3.698422806902274E-3</v>
      </c>
      <c r="Y4" s="5">
        <f t="shared" ref="Y4:Y52" si="2">MIN(ABS(R4-C4),2*PI()-ABS(R4-C4))</f>
        <v>1.0915907408580061E-2</v>
      </c>
      <c r="Z4" s="5">
        <f t="shared" si="0"/>
        <v>6.0519692187377072E-2</v>
      </c>
      <c r="AA4" s="5">
        <f t="shared" si="0"/>
        <v>1.3240861573459096E-2</v>
      </c>
      <c r="AB4" s="5">
        <f t="shared" ref="AB4:AB52" si="3">MIN(ABS(U4-F4),2*PI()-ABS(U4-F4))</f>
        <v>1.5265509334918992E-2</v>
      </c>
      <c r="AC4" s="8">
        <f t="shared" si="1"/>
        <v>0.1050211068319617</v>
      </c>
      <c r="AD4" s="8">
        <f t="shared" si="1"/>
        <v>8.4696421901806849E-3</v>
      </c>
      <c r="AE4" s="8">
        <f t="shared" si="1"/>
        <v>1.3090708371749527E-2</v>
      </c>
      <c r="AF4" s="7" cm="1">
        <f t="array" ref="AF4">AVERAGE(ABS(W3:W52))</f>
        <v>0.16441885770197626</v>
      </c>
      <c r="AG4" s="7" cm="1">
        <f t="array" ref="AG4">AVERAGE(ABS(X3:X52))</f>
        <v>2.5909564689668568E-2</v>
      </c>
      <c r="AH4" s="7" cm="1">
        <f t="array" ref="AH4">AVERAGE(ABS(Y3:Y52))</f>
        <v>0.26115826722551339</v>
      </c>
      <c r="AI4" s="7" cm="1">
        <f t="array" ref="AI4">AVERAGE(ABS(Z3:Z52))</f>
        <v>0.22513331133285977</v>
      </c>
      <c r="AJ4" s="7" cm="1">
        <f t="array" ref="AJ4">AVERAGE(ABS(AA3:AA52))</f>
        <v>3.3263707944227283E-2</v>
      </c>
      <c r="AK4" s="7" cm="1">
        <f t="array" ref="AK4">AVERAGE(ABS(AB3:AB52))</f>
        <v>0.31052459672185867</v>
      </c>
    </row>
    <row r="5" spans="1:37" x14ac:dyDescent="0.25">
      <c r="A5" s="5">
        <f>'Proximal Validation'!A5</f>
        <v>0.3432844504</v>
      </c>
      <c r="B5" s="5">
        <f>'Proximal Validation'!B5</f>
        <v>0.2</v>
      </c>
      <c r="C5" s="5">
        <f>'Proximal Validation'!C5</f>
        <v>3.1415999999999999</v>
      </c>
      <c r="D5" s="5">
        <f>'Proximal Validation'!D5</f>
        <v>0.75633386430000005</v>
      </c>
      <c r="E5" s="5">
        <f>'Proximal Validation'!E5</f>
        <v>0.02</v>
      </c>
      <c r="F5" s="5">
        <f>'Proximal Validation'!F5</f>
        <v>3.1415999999999999</v>
      </c>
      <c r="G5" s="5">
        <f>'Proximal Validation'!G5</f>
        <v>3.5593988404000001</v>
      </c>
      <c r="H5" s="5">
        <f>'Proximal Validation'!H5</f>
        <v>2.6173593599</v>
      </c>
      <c r="I5" s="5">
        <f>'Proximal Validation'!I5</f>
        <v>2.7214845023000001</v>
      </c>
      <c r="J5" s="5">
        <f>'Proximal Validation'!J5</f>
        <v>-1.2985616922378499E-4</v>
      </c>
      <c r="K5" s="5">
        <f>'Proximal Validation'!K5</f>
        <v>-3.6498736031353504E-3</v>
      </c>
      <c r="L5" s="5">
        <f>'Proximal Validation'!L5</f>
        <v>-7.9183645248412218E-2</v>
      </c>
      <c r="M5" s="5">
        <f>'Proximal Validation'!M5</f>
        <v>-1.52619369328022E-2</v>
      </c>
      <c r="N5" s="5">
        <f>'Proximal Validation'!N5</f>
        <v>-1.05842244625092</v>
      </c>
      <c r="O5" s="5">
        <f>'Proximal Validation'!O5</f>
        <v>2.1189808845519999E-2</v>
      </c>
      <c r="P5" s="5">
        <v>0.40483519831571618</v>
      </c>
      <c r="Q5" s="5">
        <v>9.9035373009460442E-2</v>
      </c>
      <c r="R5" s="5">
        <v>2.9968828132585101</v>
      </c>
      <c r="S5" s="5">
        <v>0.66344916516985941</v>
      </c>
      <c r="T5" s="5">
        <v>5.929653396406815E-2</v>
      </c>
      <c r="U5" s="5">
        <v>3.195720361295221</v>
      </c>
      <c r="V5" s="13">
        <v>2.2485507721056086E-6</v>
      </c>
      <c r="W5" s="5">
        <f t="shared" si="0"/>
        <v>6.1550747915716186E-2</v>
      </c>
      <c r="X5" s="5">
        <f t="shared" si="0"/>
        <v>-0.10096462699053957</v>
      </c>
      <c r="Y5" s="5">
        <f t="shared" si="2"/>
        <v>0.14471718674148981</v>
      </c>
      <c r="Z5" s="5">
        <f t="shared" si="0"/>
        <v>-9.2884699130140636E-2</v>
      </c>
      <c r="AA5" s="5">
        <f t="shared" si="0"/>
        <v>3.9296533964068153E-2</v>
      </c>
      <c r="AB5" s="5">
        <f t="shared" si="3"/>
        <v>5.412036129522102E-2</v>
      </c>
      <c r="AC5" s="9">
        <f t="shared" si="1"/>
        <v>7.7217723522928411E-2</v>
      </c>
      <c r="AD5" s="9">
        <f t="shared" si="1"/>
        <v>7.0130580477303861E-2</v>
      </c>
      <c r="AE5" s="9">
        <f t="shared" si="1"/>
        <v>9.9418774018355416E-2</v>
      </c>
      <c r="AF5" s="25" t="s">
        <v>27</v>
      </c>
      <c r="AG5" s="26"/>
      <c r="AH5" s="26"/>
      <c r="AI5" s="26"/>
      <c r="AJ5" s="26"/>
      <c r="AK5" s="26"/>
    </row>
    <row r="6" spans="1:37" x14ac:dyDescent="0.25">
      <c r="A6" s="5">
        <f>'Proximal Validation'!A6</f>
        <v>0.83277602429999997</v>
      </c>
      <c r="B6" s="5">
        <f>'Proximal Validation'!B6</f>
        <v>0.2</v>
      </c>
      <c r="C6" s="5">
        <f>'Proximal Validation'!C6</f>
        <v>4.7123999999999997</v>
      </c>
      <c r="D6" s="5">
        <f>'Proximal Validation'!D6</f>
        <v>1.4193655153</v>
      </c>
      <c r="E6" s="5">
        <f>'Proximal Validation'!E6</f>
        <v>0.04</v>
      </c>
      <c r="F6" s="5">
        <f>'Proximal Validation'!F6</f>
        <v>5.4977999999999998</v>
      </c>
      <c r="G6" s="5">
        <f>'Proximal Validation'!G6</f>
        <v>4.2084858911999996</v>
      </c>
      <c r="H6" s="5">
        <f>'Proximal Validation'!H6</f>
        <v>0.52916698419999997</v>
      </c>
      <c r="I6" s="5">
        <f>'Proximal Validation'!I6</f>
        <v>2.5150427606000001</v>
      </c>
      <c r="J6" s="5">
        <f>'Proximal Validation'!J6</f>
        <v>-2.2600172087550201E-2</v>
      </c>
      <c r="K6" s="5">
        <f>'Proximal Validation'!K6</f>
        <v>0.2035677599906926</v>
      </c>
      <c r="L6" s="5">
        <f>'Proximal Validation'!L6</f>
        <v>1.6263059973716687E-2</v>
      </c>
      <c r="M6" s="5">
        <f>'Proximal Validation'!M6</f>
        <v>-0.76213192939758301</v>
      </c>
      <c r="N6" s="5">
        <f>'Proximal Validation'!N6</f>
        <v>0.83609861135482799</v>
      </c>
      <c r="O6" s="5">
        <f>'Proximal Validation'!O6</f>
        <v>-1.67676854133606</v>
      </c>
      <c r="P6" s="5">
        <v>0.99927048581877842</v>
      </c>
      <c r="Q6" s="5">
        <v>0.1999999986007471</v>
      </c>
      <c r="R6" s="5">
        <v>4.7386151198478119</v>
      </c>
      <c r="S6" s="5">
        <v>1.3164401140263084</v>
      </c>
      <c r="T6" s="5">
        <v>2.0000000000022205E-2</v>
      </c>
      <c r="U6" s="5">
        <v>5.4994404185965839</v>
      </c>
      <c r="V6" s="13">
        <v>1.8576363036281643E-5</v>
      </c>
      <c r="W6" s="5">
        <f t="shared" si="0"/>
        <v>0.16649446151877845</v>
      </c>
      <c r="X6" s="5">
        <f t="shared" si="0"/>
        <v>-1.3992529079853711E-9</v>
      </c>
      <c r="Y6" s="5">
        <f t="shared" si="2"/>
        <v>2.6215119847812218E-2</v>
      </c>
      <c r="Z6" s="5">
        <f t="shared" si="0"/>
        <v>-0.10292540127369154</v>
      </c>
      <c r="AA6" s="5">
        <f t="shared" si="0"/>
        <v>-1.9999999999977796E-2</v>
      </c>
      <c r="AB6" s="5">
        <f t="shared" si="3"/>
        <v>1.6404185965841478E-3</v>
      </c>
      <c r="AC6" s="8">
        <f t="shared" si="1"/>
        <v>0.13470993139623499</v>
      </c>
      <c r="AD6" s="8">
        <f t="shared" si="1"/>
        <v>1.0000000699615352E-2</v>
      </c>
      <c r="AE6" s="8">
        <f t="shared" si="1"/>
        <v>1.3927769222198183E-2</v>
      </c>
      <c r="AF6" s="6" t="s">
        <v>28</v>
      </c>
      <c r="AG6" s="6" t="s">
        <v>29</v>
      </c>
      <c r="AH6" s="6" t="s">
        <v>30</v>
      </c>
      <c r="AI6" s="7"/>
      <c r="AJ6" s="7"/>
      <c r="AK6" s="7"/>
    </row>
    <row r="7" spans="1:37" x14ac:dyDescent="0.25">
      <c r="A7" s="5">
        <f>'Proximal Validation'!A7</f>
        <v>0.3898403909</v>
      </c>
      <c r="B7" s="5">
        <f>'Proximal Validation'!B7</f>
        <v>0.2</v>
      </c>
      <c r="C7" s="5">
        <f>'Proximal Validation'!C7</f>
        <v>1.5708</v>
      </c>
      <c r="D7" s="5">
        <f>'Proximal Validation'!D7</f>
        <v>0.45028828840000001</v>
      </c>
      <c r="E7" s="5">
        <f>'Proximal Validation'!E7</f>
        <v>0.04</v>
      </c>
      <c r="F7" s="5">
        <f>'Proximal Validation'!F7</f>
        <v>2.3561999999999999</v>
      </c>
      <c r="G7" s="5">
        <f>'Proximal Validation'!G7</f>
        <v>0.34676129480000001</v>
      </c>
      <c r="H7" s="5">
        <f>'Proximal Validation'!H7</f>
        <v>0.93612470940000003</v>
      </c>
      <c r="I7" s="5">
        <f>'Proximal Validation'!I7</f>
        <v>2.0702513480000002</v>
      </c>
      <c r="J7" s="5">
        <f>'Proximal Validation'!J7</f>
        <v>-2.83843977376819E-3</v>
      </c>
      <c r="K7" s="5">
        <f>'Proximal Validation'!K7</f>
        <v>-8.2259576320647787E-2</v>
      </c>
      <c r="L7" s="5">
        <f>'Proximal Validation'!L7</f>
        <v>-3.6772690713405068E-4</v>
      </c>
      <c r="M7" s="5">
        <f>'Proximal Validation'!M7</f>
        <v>-7.1337848901748699E-2</v>
      </c>
      <c r="N7" s="5">
        <f>'Proximal Validation'!N7</f>
        <v>-0.277880519628525</v>
      </c>
      <c r="O7" s="5">
        <f>'Proximal Validation'!O7</f>
        <v>0.691084444522858</v>
      </c>
      <c r="P7" s="5">
        <v>0.39199613915568399</v>
      </c>
      <c r="Q7" s="5">
        <v>0.19703113942269893</v>
      </c>
      <c r="R7" s="5">
        <v>1.4981392313361566</v>
      </c>
      <c r="S7" s="5">
        <v>0.4348843497561784</v>
      </c>
      <c r="T7" s="5">
        <v>2.0000000000022906E-2</v>
      </c>
      <c r="U7" s="5">
        <v>2.3552581466581097</v>
      </c>
      <c r="V7" s="13">
        <v>3.6992558050221461E-6</v>
      </c>
      <c r="W7" s="5">
        <f t="shared" si="0"/>
        <v>2.1557482556839869E-3</v>
      </c>
      <c r="X7" s="5">
        <f t="shared" si="0"/>
        <v>-2.9688605773010857E-3</v>
      </c>
      <c r="Y7" s="5">
        <f t="shared" si="2"/>
        <v>7.2660768663843411E-2</v>
      </c>
      <c r="Z7" s="5">
        <f t="shared" si="0"/>
        <v>-1.5403938643821613E-2</v>
      </c>
      <c r="AA7" s="5">
        <f t="shared" si="0"/>
        <v>-1.9999999999977095E-2</v>
      </c>
      <c r="AB7" s="5">
        <f t="shared" si="3"/>
        <v>9.4185334189011982E-4</v>
      </c>
      <c r="AC7" s="8">
        <f t="shared" si="1"/>
        <v>8.7798434497528E-3</v>
      </c>
      <c r="AD7" s="8">
        <f t="shared" si="1"/>
        <v>1.148443028863909E-2</v>
      </c>
      <c r="AE7" s="8">
        <f t="shared" si="1"/>
        <v>3.6801311002866766E-2</v>
      </c>
      <c r="AF7" s="10">
        <f>AVERAGE(AF4,AI4)</f>
        <v>0.19477608451741801</v>
      </c>
      <c r="AG7" s="10">
        <f>AVERAGE(AG4,AJ4)</f>
        <v>2.9586636316947926E-2</v>
      </c>
      <c r="AH7" s="10">
        <f>AVERAGE(AH4,AK4)</f>
        <v>0.28584143197368606</v>
      </c>
      <c r="AI7" s="7"/>
      <c r="AJ7" s="7"/>
      <c r="AK7" s="7"/>
    </row>
    <row r="8" spans="1:37" x14ac:dyDescent="0.25">
      <c r="A8" s="5">
        <f>'Proximal Validation'!A8</f>
        <v>0.86958752539999995</v>
      </c>
      <c r="B8" s="5">
        <f>'Proximal Validation'!B8</f>
        <v>0.2</v>
      </c>
      <c r="C8" s="5">
        <f>'Proximal Validation'!C8</f>
        <v>0.78539999999999999</v>
      </c>
      <c r="D8" s="5">
        <f>'Proximal Validation'!D8</f>
        <v>0.66933871</v>
      </c>
      <c r="E8" s="5">
        <f>'Proximal Validation'!E8</f>
        <v>0.04</v>
      </c>
      <c r="F8" s="5">
        <f>'Proximal Validation'!F8</f>
        <v>0.78539999999999999</v>
      </c>
      <c r="G8" s="5">
        <f>'Proximal Validation'!G8</f>
        <v>2.0486073985000002</v>
      </c>
      <c r="H8" s="5">
        <f>'Proximal Validation'!H8</f>
        <v>1.4427408886999999</v>
      </c>
      <c r="I8" s="5">
        <f>'Proximal Validation'!I8</f>
        <v>0.53737298850000004</v>
      </c>
      <c r="J8" s="5">
        <f>'Proximal Validation'!J8</f>
        <v>4.2178397998213803E-3</v>
      </c>
      <c r="K8" s="5">
        <f>'Proximal Validation'!K8</f>
        <v>-0.1370001655817028</v>
      </c>
      <c r="L8" s="5">
        <f>'Proximal Validation'!L8</f>
        <v>0.13484285593032813</v>
      </c>
      <c r="M8" s="5">
        <f>'Proximal Validation'!M8</f>
        <v>-0.61169552803039595</v>
      </c>
      <c r="N8" s="5">
        <f>'Proximal Validation'!N8</f>
        <v>0.92778009176254295</v>
      </c>
      <c r="O8" s="5">
        <f>'Proximal Validation'!O8</f>
        <v>0.97456169128418002</v>
      </c>
      <c r="P8" s="5">
        <v>0.86349066020957588</v>
      </c>
      <c r="Q8" s="5">
        <v>0.1332294319227921</v>
      </c>
      <c r="R8" s="5">
        <v>0.59831494345581637</v>
      </c>
      <c r="S8" s="5">
        <v>0.72819372859494613</v>
      </c>
      <c r="T8" s="5">
        <v>0.12027682626187383</v>
      </c>
      <c r="U8" s="5">
        <v>1.0596488354235638</v>
      </c>
      <c r="V8" s="13">
        <v>4.3521807504221488E-5</v>
      </c>
      <c r="W8" s="5">
        <f t="shared" si="0"/>
        <v>-6.0968651904240723E-3</v>
      </c>
      <c r="X8" s="5">
        <f t="shared" si="0"/>
        <v>-6.6770568077207909E-2</v>
      </c>
      <c r="Y8" s="5">
        <f t="shared" si="2"/>
        <v>0.18708505654418361</v>
      </c>
      <c r="Z8" s="5">
        <f t="shared" si="0"/>
        <v>5.8855018594946129E-2</v>
      </c>
      <c r="AA8" s="5">
        <f t="shared" si="0"/>
        <v>8.0276826261873824E-2</v>
      </c>
      <c r="AB8" s="5">
        <f t="shared" si="3"/>
        <v>0.27424883542356382</v>
      </c>
      <c r="AC8" s="8">
        <f t="shared" si="1"/>
        <v>3.2475941892685101E-2</v>
      </c>
      <c r="AD8" s="8">
        <f t="shared" si="1"/>
        <v>7.3523697169540866E-2</v>
      </c>
      <c r="AE8" s="8">
        <f t="shared" si="1"/>
        <v>0.23066694598387372</v>
      </c>
      <c r="AF8" s="12">
        <f>MEDIAN(AC3:AC52)</f>
        <v>0.13455107729376728</v>
      </c>
      <c r="AG8" s="12">
        <f t="shared" ref="AG8:AH8" si="4">MEDIAN(AD3:AD52)</f>
        <v>1.9300580505087473E-2</v>
      </c>
      <c r="AH8" s="12">
        <f t="shared" si="4"/>
        <v>0.21242758620353761</v>
      </c>
    </row>
    <row r="9" spans="1:37" x14ac:dyDescent="0.25">
      <c r="A9" s="5">
        <f>'Proximal Validation'!A9</f>
        <v>1.2260241731999999</v>
      </c>
      <c r="B9" s="5">
        <f>'Proximal Validation'!B9</f>
        <v>0.2</v>
      </c>
      <c r="C9" s="5">
        <f>'Proximal Validation'!C9</f>
        <v>3.1415999999999999</v>
      </c>
      <c r="D9" s="5">
        <f>'Proximal Validation'!D9</f>
        <v>0.53124592000000004</v>
      </c>
      <c r="E9" s="5">
        <f>'Proximal Validation'!E9</f>
        <v>0.04</v>
      </c>
      <c r="F9" s="5">
        <f>'Proximal Validation'!F9</f>
        <v>1.5708</v>
      </c>
      <c r="G9" s="5">
        <f>'Proximal Validation'!G9</f>
        <v>2.1721905802000001</v>
      </c>
      <c r="H9" s="5">
        <f>'Proximal Validation'!H9</f>
        <v>4.8592739976999999</v>
      </c>
      <c r="I9" s="5">
        <f>'Proximal Validation'!I9</f>
        <v>4.1505258277000001</v>
      </c>
      <c r="J9" s="5">
        <f>'Proximal Validation'!J9</f>
        <v>-1.05884596705437E-2</v>
      </c>
      <c r="K9" s="5">
        <f>'Proximal Validation'!K9</f>
        <v>-2.5415880382061017E-2</v>
      </c>
      <c r="L9" s="5">
        <f>'Proximal Validation'!L9</f>
        <v>-0.22906562328338606</v>
      </c>
      <c r="M9" s="5">
        <f>'Proximal Validation'!M9</f>
        <v>-0.90436720848083496</v>
      </c>
      <c r="N9" s="5">
        <f>'Proximal Validation'!N9</f>
        <v>-0.59426629543304399</v>
      </c>
      <c r="O9" s="5">
        <f>'Proximal Validation'!O9</f>
        <v>0.66323274374008201</v>
      </c>
      <c r="P9" s="5">
        <v>1.3233792956688648</v>
      </c>
      <c r="Q9" s="5">
        <v>0.19999999293132562</v>
      </c>
      <c r="R9" s="5">
        <v>3.0930173556550589</v>
      </c>
      <c r="S9" s="5">
        <v>0.60082803579264343</v>
      </c>
      <c r="T9" s="5">
        <v>2.0000000000022319E-2</v>
      </c>
      <c r="U9" s="5">
        <v>1.4952689155280376</v>
      </c>
      <c r="V9" s="13">
        <v>4.1555070910442948E-5</v>
      </c>
      <c r="W9" s="5">
        <f t="shared" si="0"/>
        <v>9.7355122468864908E-2</v>
      </c>
      <c r="X9" s="5">
        <f t="shared" si="0"/>
        <v>-7.0686743958159326E-9</v>
      </c>
      <c r="Y9" s="5">
        <f t="shared" si="2"/>
        <v>4.8582644344941084E-2</v>
      </c>
      <c r="Z9" s="5">
        <f t="shared" si="0"/>
        <v>6.9582115792643395E-2</v>
      </c>
      <c r="AA9" s="5">
        <f t="shared" si="0"/>
        <v>-1.9999999999977681E-2</v>
      </c>
      <c r="AB9" s="5">
        <f t="shared" si="3"/>
        <v>7.5531084471962329E-2</v>
      </c>
      <c r="AC9" s="8">
        <f t="shared" si="1"/>
        <v>8.3468619130754151E-2</v>
      </c>
      <c r="AD9" s="8">
        <f t="shared" si="1"/>
        <v>1.0000003534326039E-2</v>
      </c>
      <c r="AE9" s="8">
        <f t="shared" si="1"/>
        <v>6.2056864408451706E-2</v>
      </c>
      <c r="AF9" s="12"/>
      <c r="AG9" s="12"/>
      <c r="AH9" s="12"/>
    </row>
    <row r="10" spans="1:37" x14ac:dyDescent="0.25">
      <c r="A10" s="5">
        <f>'Proximal Validation'!A10</f>
        <v>1.4922792275000001</v>
      </c>
      <c r="B10" s="5">
        <f>'Proximal Validation'!B10</f>
        <v>0.2</v>
      </c>
      <c r="C10" s="5">
        <f>'Proximal Validation'!C10</f>
        <v>2.3561999999999999</v>
      </c>
      <c r="D10" s="5">
        <f>'Proximal Validation'!D10</f>
        <v>1.2493008810999999</v>
      </c>
      <c r="E10" s="5">
        <f>'Proximal Validation'!E10</f>
        <v>0.04</v>
      </c>
      <c r="F10" s="5">
        <f>'Proximal Validation'!F10</f>
        <v>0.78539999999999999</v>
      </c>
      <c r="G10" s="5">
        <f>'Proximal Validation'!G10</f>
        <v>0.65138204079999995</v>
      </c>
      <c r="H10" s="5">
        <f>'Proximal Validation'!H10</f>
        <v>2.3960292019999998</v>
      </c>
      <c r="I10" s="5">
        <f>'Proximal Validation'!I10</f>
        <v>3.8310385232000002</v>
      </c>
      <c r="J10" s="5">
        <f>'Proximal Validation'!J10</f>
        <v>-3.3023439347744002E-2</v>
      </c>
      <c r="K10" s="5">
        <f>'Proximal Validation'!K10</f>
        <v>-0.23263156175613409</v>
      </c>
      <c r="L10" s="5">
        <f>'Proximal Validation'!L10</f>
        <v>-0.15568616658449203</v>
      </c>
      <c r="M10" s="5">
        <f>'Proximal Validation'!M10</f>
        <v>-1.0651987791061399</v>
      </c>
      <c r="N10" s="5">
        <f>'Proximal Validation'!N10</f>
        <v>0.49567955732345598</v>
      </c>
      <c r="O10" s="5">
        <f>'Proximal Validation'!O10</f>
        <v>1.5597436428070099</v>
      </c>
      <c r="P10" s="5">
        <v>1.4999999998682942</v>
      </c>
      <c r="Q10" s="5">
        <v>0.19999999999382562</v>
      </c>
      <c r="R10" s="5">
        <v>2.4887828829028265</v>
      </c>
      <c r="S10" s="5">
        <v>1.4869766011769157</v>
      </c>
      <c r="T10" s="5">
        <v>5.2700595792039888E-2</v>
      </c>
      <c r="U10" s="5">
        <v>0.90991350739663068</v>
      </c>
      <c r="V10" s="13">
        <v>1.8229860644767532E-4</v>
      </c>
      <c r="W10" s="5">
        <f t="shared" si="0"/>
        <v>7.7207723682941598E-3</v>
      </c>
      <c r="X10" s="5">
        <f t="shared" si="0"/>
        <v>-6.1743943291503456E-12</v>
      </c>
      <c r="Y10" s="5">
        <f t="shared" si="2"/>
        <v>0.1325828829028266</v>
      </c>
      <c r="Z10" s="5">
        <f t="shared" si="0"/>
        <v>0.23767572007691573</v>
      </c>
      <c r="AA10" s="5">
        <f t="shared" si="0"/>
        <v>1.2700595792039887E-2</v>
      </c>
      <c r="AB10" s="5">
        <f t="shared" si="3"/>
        <v>0.1245135073966307</v>
      </c>
      <c r="AC10" s="8">
        <f t="shared" si="1"/>
        <v>0.12269824622260495</v>
      </c>
      <c r="AD10" s="8">
        <f t="shared" si="1"/>
        <v>6.3502978991071407E-3</v>
      </c>
      <c r="AE10" s="8">
        <f t="shared" si="1"/>
        <v>0.12854819514972865</v>
      </c>
    </row>
    <row r="11" spans="1:37" x14ac:dyDescent="0.25">
      <c r="A11" s="5">
        <f>'Proximal Validation'!A11</f>
        <v>1.4258680059</v>
      </c>
      <c r="B11" s="5">
        <f>'Proximal Validation'!B11</f>
        <v>0.2</v>
      </c>
      <c r="C11" s="5">
        <f>'Proximal Validation'!C11</f>
        <v>4.7123999999999997</v>
      </c>
      <c r="D11" s="5">
        <f>'Proximal Validation'!D11</f>
        <v>0.35291314260000001</v>
      </c>
      <c r="E11" s="5">
        <f>'Proximal Validation'!E11</f>
        <v>0.04</v>
      </c>
      <c r="F11" s="5">
        <f>'Proximal Validation'!F11</f>
        <v>0</v>
      </c>
      <c r="G11" s="5">
        <f>'Proximal Validation'!G11</f>
        <v>3.4810259851000001</v>
      </c>
      <c r="H11" s="5">
        <f>'Proximal Validation'!H11</f>
        <v>1.1294030872</v>
      </c>
      <c r="I11" s="5">
        <f>'Proximal Validation'!I11</f>
        <v>4.9138255752999997</v>
      </c>
      <c r="J11" s="5">
        <f>'Proximal Validation'!J11</f>
        <v>-2.9087357223033902E-2</v>
      </c>
      <c r="K11" s="5">
        <f>'Proximal Validation'!K11</f>
        <v>0.27084197163581819</v>
      </c>
      <c r="L11" s="5">
        <f>'Proximal Validation'!L11</f>
        <v>9.3254102021455808E-3</v>
      </c>
      <c r="M11" s="5">
        <f>'Proximal Validation'!M11</f>
        <v>-1.3190960884094201</v>
      </c>
      <c r="N11" s="5">
        <f>'Proximal Validation'!N11</f>
        <v>0.140940636396408</v>
      </c>
      <c r="O11" s="5">
        <f>'Proximal Validation'!O11</f>
        <v>-0.61736321449279796</v>
      </c>
      <c r="P11" s="5">
        <v>1.499999979233084</v>
      </c>
      <c r="Q11" s="5">
        <v>0.19999993879780986</v>
      </c>
      <c r="R11" s="5">
        <v>4.2048324220886606</v>
      </c>
      <c r="S11" s="5">
        <v>1.1157228293272108</v>
      </c>
      <c r="T11" s="5">
        <v>0.15487660368888803</v>
      </c>
      <c r="U11" s="5">
        <v>5.9240507627578669</v>
      </c>
      <c r="V11" s="13">
        <v>1.2638090369478669E-4</v>
      </c>
      <c r="W11" s="5">
        <f t="shared" si="0"/>
        <v>7.4131973333084078E-2</v>
      </c>
      <c r="X11" s="5">
        <f t="shared" si="0"/>
        <v>-6.1202190149156621E-8</v>
      </c>
      <c r="Y11" s="5">
        <f t="shared" si="2"/>
        <v>0.50756757791133911</v>
      </c>
      <c r="Z11" s="5">
        <f t="shared" si="0"/>
        <v>0.76280968672721072</v>
      </c>
      <c r="AA11" s="5">
        <f t="shared" si="0"/>
        <v>0.11487660368888802</v>
      </c>
      <c r="AB11" s="5">
        <f t="shared" si="3"/>
        <v>0.35913454442171933</v>
      </c>
      <c r="AC11" s="8">
        <f t="shared" si="1"/>
        <v>0.4184708300301474</v>
      </c>
      <c r="AD11" s="8">
        <f t="shared" si="1"/>
        <v>5.7438332445539086E-2</v>
      </c>
      <c r="AE11" s="8">
        <f t="shared" si="1"/>
        <v>0.43335106116652922</v>
      </c>
    </row>
    <row r="12" spans="1:37" x14ac:dyDescent="0.25">
      <c r="A12" s="5">
        <f>'Proximal Validation'!A12</f>
        <v>1.2847663906</v>
      </c>
      <c r="B12" s="5">
        <f>'Proximal Validation'!B12</f>
        <v>0.18</v>
      </c>
      <c r="C12" s="5">
        <f>'Proximal Validation'!C12</f>
        <v>0.78539999999999999</v>
      </c>
      <c r="D12" s="5">
        <f>'Proximal Validation'!D12</f>
        <v>0.98965387010000005</v>
      </c>
      <c r="E12" s="5">
        <f>'Proximal Validation'!E12</f>
        <v>0.04</v>
      </c>
      <c r="F12" s="5">
        <f>'Proximal Validation'!F12</f>
        <v>3.927</v>
      </c>
      <c r="G12" s="5">
        <f>'Proximal Validation'!G12</f>
        <v>3.2068327339999998</v>
      </c>
      <c r="H12" s="5">
        <f>'Proximal Validation'!H12</f>
        <v>3.5469168124000001</v>
      </c>
      <c r="I12" s="5">
        <f>'Proximal Validation'!I12</f>
        <v>1.1514404992</v>
      </c>
      <c r="J12" s="5">
        <f>'Proximal Validation'!J12</f>
        <v>-1.0062171146273601E-2</v>
      </c>
      <c r="K12" s="5">
        <f>'Proximal Validation'!K12</f>
        <v>-0.11961497262120291</v>
      </c>
      <c r="L12" s="5">
        <f>'Proximal Validation'!L12</f>
        <v>0.13679772749543156</v>
      </c>
      <c r="M12" s="5">
        <f>'Proximal Validation'!M12</f>
        <v>-0.57413351535797097</v>
      </c>
      <c r="N12" s="5">
        <f>'Proximal Validation'!N12</f>
        <v>-0.16432480514049499</v>
      </c>
      <c r="O12" s="5">
        <f>'Proximal Validation'!O12</f>
        <v>-0.195539399981499</v>
      </c>
      <c r="P12" s="5">
        <v>1.2878034015876936</v>
      </c>
      <c r="Q12" s="5">
        <v>0.16970535821803817</v>
      </c>
      <c r="R12" s="5">
        <v>0.7365812954098705</v>
      </c>
      <c r="S12" s="5">
        <v>1.2159941716795004</v>
      </c>
      <c r="T12" s="5">
        <v>2.0059689628362184E-2</v>
      </c>
      <c r="U12" s="5">
        <v>3.8662208407769323</v>
      </c>
      <c r="V12" s="13">
        <v>3.8933995533009875E-6</v>
      </c>
      <c r="W12" s="5">
        <f t="shared" si="0"/>
        <v>3.0370109876936002E-3</v>
      </c>
      <c r="X12" s="5">
        <f t="shared" si="0"/>
        <v>-1.0294641781961822E-2</v>
      </c>
      <c r="Y12" s="5">
        <f t="shared" si="2"/>
        <v>4.8818704590129491E-2</v>
      </c>
      <c r="Z12" s="5">
        <f t="shared" si="0"/>
        <v>0.22634030157950036</v>
      </c>
      <c r="AA12" s="5">
        <f t="shared" si="0"/>
        <v>-1.9940310371637817E-2</v>
      </c>
      <c r="AB12" s="5">
        <f t="shared" si="3"/>
        <v>6.0779159223067758E-2</v>
      </c>
      <c r="AC12" s="8">
        <f t="shared" si="1"/>
        <v>0.11468865628359698</v>
      </c>
      <c r="AD12" s="8">
        <f t="shared" si="1"/>
        <v>1.5117476076799819E-2</v>
      </c>
      <c r="AE12" s="8">
        <f t="shared" si="1"/>
        <v>5.4798931906598625E-2</v>
      </c>
      <c r="AF12" s="12"/>
      <c r="AG12" s="12"/>
      <c r="AH12" s="12"/>
    </row>
    <row r="13" spans="1:37" x14ac:dyDescent="0.25">
      <c r="A13" s="5">
        <f>'Proximal Validation'!A13</f>
        <v>0.82078888689999996</v>
      </c>
      <c r="B13" s="5">
        <f>'Proximal Validation'!B13</f>
        <v>0.18</v>
      </c>
      <c r="C13" s="5">
        <f>'Proximal Validation'!C13</f>
        <v>0</v>
      </c>
      <c r="D13" s="5">
        <f>'Proximal Validation'!D13</f>
        <v>1.3252826163</v>
      </c>
      <c r="E13" s="5">
        <f>'Proximal Validation'!E13</f>
        <v>0.04</v>
      </c>
      <c r="F13" s="5">
        <f>'Proximal Validation'!F13</f>
        <v>0</v>
      </c>
      <c r="G13" s="5">
        <f>'Proximal Validation'!G13</f>
        <v>3.9081993600000003E-2</v>
      </c>
      <c r="H13" s="5">
        <f>'Proximal Validation'!H13</f>
        <v>2.9262884955000001</v>
      </c>
      <c r="I13" s="5">
        <f>'Proximal Validation'!I13</f>
        <v>4.7431789933999999</v>
      </c>
      <c r="J13" s="5">
        <f>'Proximal Validation'!J13</f>
        <v>1.4371985569596299E-2</v>
      </c>
      <c r="K13" s="5">
        <f>'Proximal Validation'!K13</f>
        <v>-1.4706531241536116E-2</v>
      </c>
      <c r="L13" s="5">
        <f>'Proximal Validation'!L13</f>
        <v>0.2061504805088038</v>
      </c>
      <c r="M13" s="5">
        <f>'Proximal Validation'!M13</f>
        <v>-0.55730897188186601</v>
      </c>
      <c r="N13" s="5">
        <f>'Proximal Validation'!N13</f>
        <v>2.0565929412841801</v>
      </c>
      <c r="O13" s="5">
        <f>'Proximal Validation'!O13</f>
        <v>7.4373602867126506E-2</v>
      </c>
      <c r="P13" s="5">
        <v>0.69153313698235364</v>
      </c>
      <c r="Q13" s="5">
        <v>0.19999999979381292</v>
      </c>
      <c r="R13" s="5">
        <v>7.1109918704588784E-2</v>
      </c>
      <c r="S13" s="5">
        <v>1.4737439368479979</v>
      </c>
      <c r="T13" s="5">
        <v>4.9550236918886575E-2</v>
      </c>
      <c r="U13" s="5">
        <v>2.5484429272196424E-14</v>
      </c>
      <c r="V13" s="13">
        <v>8.8703659447181975E-6</v>
      </c>
      <c r="W13" s="5">
        <f t="shared" si="0"/>
        <v>-0.12925574991764632</v>
      </c>
      <c r="X13" s="5">
        <f t="shared" si="0"/>
        <v>1.9999999793812923E-2</v>
      </c>
      <c r="Y13" s="5">
        <f t="shared" si="2"/>
        <v>7.1109918704588784E-2</v>
      </c>
      <c r="Z13" s="5">
        <f t="shared" si="0"/>
        <v>0.14846132054799788</v>
      </c>
      <c r="AA13" s="5">
        <f t="shared" si="0"/>
        <v>9.5502369188865746E-3</v>
      </c>
      <c r="AB13" s="5">
        <f t="shared" si="3"/>
        <v>2.5484429272196424E-14</v>
      </c>
      <c r="AC13" s="8">
        <f t="shared" si="1"/>
        <v>0.1388585352328221</v>
      </c>
      <c r="AD13" s="8">
        <f t="shared" si="1"/>
        <v>1.4775118356349749E-2</v>
      </c>
      <c r="AE13" s="8">
        <f t="shared" si="1"/>
        <v>3.5554959352307132E-2</v>
      </c>
    </row>
    <row r="14" spans="1:37" x14ac:dyDescent="0.25">
      <c r="A14" s="5">
        <f>'Proximal Validation'!A14</f>
        <v>0.51355824630000002</v>
      </c>
      <c r="B14" s="5">
        <f>'Proximal Validation'!B14</f>
        <v>0.2</v>
      </c>
      <c r="C14" s="5">
        <f>'Proximal Validation'!C14</f>
        <v>2.3561999999999999</v>
      </c>
      <c r="D14" s="5">
        <f>'Proximal Validation'!D14</f>
        <v>0.96095190770000005</v>
      </c>
      <c r="E14" s="5">
        <f>'Proximal Validation'!E14</f>
        <v>0.06</v>
      </c>
      <c r="F14" s="5">
        <f>'Proximal Validation'!F14</f>
        <v>0</v>
      </c>
      <c r="G14" s="5">
        <f>'Proximal Validation'!G14</f>
        <v>2.4382389278000001</v>
      </c>
      <c r="H14" s="5">
        <f>'Proximal Validation'!H14</f>
        <v>4.2854047354000002</v>
      </c>
      <c r="I14" s="5">
        <f>'Proximal Validation'!I14</f>
        <v>0.33901404839999999</v>
      </c>
      <c r="J14" s="5">
        <f>'Proximal Validation'!J14</f>
        <v>1.1325632221996799E-3</v>
      </c>
      <c r="K14" s="5">
        <f>'Proximal Validation'!K14</f>
        <v>-6.6681183576583883E-2</v>
      </c>
      <c r="L14" s="5">
        <f>'Proximal Validation'!L14</f>
        <v>7.4554264545442783E-4</v>
      </c>
      <c r="M14" s="5">
        <f>'Proximal Validation'!M14</f>
        <v>-6.8245917558670002E-2</v>
      </c>
      <c r="N14" s="5">
        <f>'Proximal Validation'!N14</f>
        <v>0.80465632677078203</v>
      </c>
      <c r="O14" s="5">
        <f>'Proximal Validation'!O14</f>
        <v>0.26539456844329801</v>
      </c>
      <c r="P14" s="5">
        <v>0.5011896024751028</v>
      </c>
      <c r="Q14" s="5">
        <v>0.19999979263363254</v>
      </c>
      <c r="R14" s="5">
        <v>2.3728929497114404</v>
      </c>
      <c r="S14" s="5">
        <v>1.141143395200553</v>
      </c>
      <c r="T14" s="5">
        <v>6.1299835820919572E-2</v>
      </c>
      <c r="U14" s="5">
        <v>2.2204548804595406E-14</v>
      </c>
      <c r="V14" s="13">
        <v>6.1733604886905401E-6</v>
      </c>
      <c r="W14" s="5">
        <f t="shared" si="0"/>
        <v>-1.2368643824897219E-2</v>
      </c>
      <c r="X14" s="5">
        <f t="shared" si="0"/>
        <v>-2.0736636746621073E-7</v>
      </c>
      <c r="Y14" s="5">
        <f t="shared" si="2"/>
        <v>1.669294971144053E-2</v>
      </c>
      <c r="Z14" s="5">
        <f t="shared" si="0"/>
        <v>0.18019148750055292</v>
      </c>
      <c r="AA14" s="5">
        <f t="shared" si="0"/>
        <v>1.2998358209195746E-3</v>
      </c>
      <c r="AB14" s="5">
        <f t="shared" si="3"/>
        <v>2.2204548804595406E-14</v>
      </c>
      <c r="AC14" s="8">
        <f t="shared" si="1"/>
        <v>9.6280065662725067E-2</v>
      </c>
      <c r="AD14" s="8">
        <f t="shared" si="1"/>
        <v>6.5002159364352038E-4</v>
      </c>
      <c r="AE14" s="8">
        <f t="shared" si="1"/>
        <v>8.3464748557313673E-3</v>
      </c>
    </row>
    <row r="15" spans="1:37" x14ac:dyDescent="0.25">
      <c r="A15" s="5">
        <f>'Proximal Validation'!A15</f>
        <v>0.35944564579999999</v>
      </c>
      <c r="B15" s="5">
        <f>'Proximal Validation'!B15</f>
        <v>0.18</v>
      </c>
      <c r="C15" s="5">
        <f>'Proximal Validation'!C15</f>
        <v>5.4977999999999998</v>
      </c>
      <c r="D15" s="5">
        <f>'Proximal Validation'!D15</f>
        <v>1.2877652723999999</v>
      </c>
      <c r="E15" s="5">
        <f>'Proximal Validation'!E15</f>
        <v>0.04</v>
      </c>
      <c r="F15" s="5">
        <f>'Proximal Validation'!F15</f>
        <v>2.3561999999999999</v>
      </c>
      <c r="G15" s="5">
        <f>'Proximal Validation'!G15</f>
        <v>2.1189458146</v>
      </c>
      <c r="H15" s="5">
        <f>'Proximal Validation'!H15</f>
        <v>2.2606748846000002</v>
      </c>
      <c r="I15" s="5">
        <f>'Proximal Validation'!I15</f>
        <v>0.94750633689999997</v>
      </c>
      <c r="J15" s="5">
        <f>'Proximal Validation'!J15</f>
        <v>-5.0011062994599299E-3</v>
      </c>
      <c r="K15" s="5">
        <f>'Proximal Validation'!K15</f>
        <v>1.905451118946036E-3</v>
      </c>
      <c r="L15" s="5">
        <f>'Proximal Validation'!L15</f>
        <v>-3.3290824294089638E-3</v>
      </c>
      <c r="M15" s="5">
        <f>'Proximal Validation'!M15</f>
        <v>1.8331240862607999E-3</v>
      </c>
      <c r="N15" s="5">
        <f>'Proximal Validation'!N15</f>
        <v>-0.756436347961426</v>
      </c>
      <c r="O15" s="5">
        <f>'Proximal Validation'!O15</f>
        <v>0.79075133800506603</v>
      </c>
      <c r="P15" s="5">
        <v>0.40924375484080872</v>
      </c>
      <c r="Q15" s="5">
        <v>0.17963924027413647</v>
      </c>
      <c r="R15" s="5">
        <v>5.4132156651375318</v>
      </c>
      <c r="S15" s="5">
        <v>1.4999922649492148</v>
      </c>
      <c r="T15" s="5">
        <v>4.9226967332397543E-2</v>
      </c>
      <c r="U15" s="5">
        <v>2.3195337695646954</v>
      </c>
      <c r="V15" s="13">
        <v>1.6155577541449019E-5</v>
      </c>
      <c r="W15" s="5">
        <f t="shared" si="0"/>
        <v>4.9798109040808725E-2</v>
      </c>
      <c r="X15" s="5">
        <f t="shared" si="0"/>
        <v>-3.6075972586352423E-4</v>
      </c>
      <c r="Y15" s="5">
        <f t="shared" si="2"/>
        <v>8.4584334862467969E-2</v>
      </c>
      <c r="Z15" s="5">
        <f t="shared" si="0"/>
        <v>0.21222699254921484</v>
      </c>
      <c r="AA15" s="5">
        <f t="shared" si="0"/>
        <v>9.2269673323975426E-3</v>
      </c>
      <c r="AB15" s="5">
        <f t="shared" si="3"/>
        <v>3.6666230435304481E-2</v>
      </c>
      <c r="AC15" s="8">
        <f t="shared" si="1"/>
        <v>0.13101255079501178</v>
      </c>
      <c r="AD15" s="8">
        <f t="shared" si="1"/>
        <v>4.7938635291305334E-3</v>
      </c>
      <c r="AE15" s="8">
        <f t="shared" si="1"/>
        <v>6.0625282648886225E-2</v>
      </c>
    </row>
    <row r="16" spans="1:37" x14ac:dyDescent="0.25">
      <c r="A16" s="5">
        <f>'Proximal Validation'!A16</f>
        <v>1.2267525763</v>
      </c>
      <c r="B16" s="5">
        <f>'Proximal Validation'!B16</f>
        <v>0.16</v>
      </c>
      <c r="C16" s="5">
        <f>'Proximal Validation'!C16</f>
        <v>5.4977999999999998</v>
      </c>
      <c r="D16" s="5">
        <f>'Proximal Validation'!D16</f>
        <v>1.4944716747</v>
      </c>
      <c r="E16" s="5">
        <f>'Proximal Validation'!E16</f>
        <v>0.04</v>
      </c>
      <c r="F16" s="5">
        <f>'Proximal Validation'!F16</f>
        <v>3.927</v>
      </c>
      <c r="G16" s="5">
        <f>'Proximal Validation'!G16</f>
        <v>0.31884207939999998</v>
      </c>
      <c r="H16" s="5">
        <f>'Proximal Validation'!H16</f>
        <v>3.8007215218999999</v>
      </c>
      <c r="I16" s="5">
        <f>'Proximal Validation'!I16</f>
        <v>0.48541647729999998</v>
      </c>
      <c r="J16" s="5">
        <f>'Proximal Validation'!J16</f>
        <v>5.6576435454189803E-3</v>
      </c>
      <c r="K16" s="5">
        <f>'Proximal Validation'!K16</f>
        <v>0.17276296734809909</v>
      </c>
      <c r="L16" s="5">
        <f>'Proximal Validation'!L16</f>
        <v>8.9440476745367051E-2</v>
      </c>
      <c r="M16" s="5">
        <f>'Proximal Validation'!M16</f>
        <v>-0.48139920830726601</v>
      </c>
      <c r="N16" s="5">
        <f>'Proximal Validation'!N16</f>
        <v>-0.48554921150207497</v>
      </c>
      <c r="O16" s="5">
        <f>'Proximal Validation'!O16</f>
        <v>-1.6963471174240099</v>
      </c>
      <c r="P16" s="5">
        <v>1.3920547964871113</v>
      </c>
      <c r="Q16" s="5">
        <v>0.14383326377354366</v>
      </c>
      <c r="R16" s="5">
        <v>5.3882260449205059</v>
      </c>
      <c r="S16" s="5">
        <v>1.499999999999553</v>
      </c>
      <c r="T16" s="5">
        <v>2.7099645394505462E-2</v>
      </c>
      <c r="U16" s="5">
        <v>3.6362957377489482</v>
      </c>
      <c r="V16" s="13">
        <v>1.8850229947554453E-6</v>
      </c>
      <c r="W16" s="5">
        <f t="shared" si="0"/>
        <v>0.16530222018711127</v>
      </c>
      <c r="X16" s="5">
        <f t="shared" si="0"/>
        <v>-1.6166736226456341E-2</v>
      </c>
      <c r="Y16" s="5">
        <f t="shared" si="2"/>
        <v>0.10957395507949386</v>
      </c>
      <c r="Z16" s="5">
        <f t="shared" si="0"/>
        <v>5.5283252995530496E-3</v>
      </c>
      <c r="AA16" s="5">
        <f t="shared" si="0"/>
        <v>-1.2900354605494539E-2</v>
      </c>
      <c r="AB16" s="5">
        <f t="shared" si="3"/>
        <v>0.29070426225105184</v>
      </c>
      <c r="AC16" s="8">
        <f t="shared" si="1"/>
        <v>8.541527274333216E-2</v>
      </c>
      <c r="AD16" s="8">
        <f t="shared" si="1"/>
        <v>1.453354541597544E-2</v>
      </c>
      <c r="AE16" s="8">
        <f t="shared" si="1"/>
        <v>0.20013910866527285</v>
      </c>
    </row>
    <row r="17" spans="1:31" x14ac:dyDescent="0.25">
      <c r="A17" s="5">
        <f>'Proximal Validation'!A17</f>
        <v>0.64421489080000005</v>
      </c>
      <c r="B17" s="5">
        <f>'Proximal Validation'!B17</f>
        <v>0.14000000000000001</v>
      </c>
      <c r="C17" s="5">
        <f>'Proximal Validation'!C17</f>
        <v>0</v>
      </c>
      <c r="D17" s="5">
        <f>'Proximal Validation'!D17</f>
        <v>0.8523470823</v>
      </c>
      <c r="E17" s="5">
        <f>'Proximal Validation'!E17</f>
        <v>0.02</v>
      </c>
      <c r="F17" s="5">
        <f>'Proximal Validation'!F17</f>
        <v>4.7123999999999997</v>
      </c>
      <c r="G17" s="5">
        <f>'Proximal Validation'!G17</f>
        <v>8.0437148799999997E-2</v>
      </c>
      <c r="H17" s="5">
        <f>'Proximal Validation'!H17</f>
        <v>0.35167971240000001</v>
      </c>
      <c r="I17" s="5">
        <f>'Proximal Validation'!I17</f>
        <v>1.0501461195999999</v>
      </c>
      <c r="J17" s="5">
        <f>'Proximal Validation'!J17</f>
        <v>1.9597527571022502E-3</v>
      </c>
      <c r="K17" s="5">
        <f>'Proximal Validation'!K17</f>
        <v>1.6047963500023368E-2</v>
      </c>
      <c r="L17" s="5">
        <f>'Proximal Validation'!L17</f>
        <v>8.9387370347976308E-2</v>
      </c>
      <c r="M17" s="5">
        <f>'Proximal Validation'!M17</f>
        <v>-0.110345743596554</v>
      </c>
      <c r="N17" s="5">
        <f>'Proximal Validation'!N17</f>
        <v>0.49668353796005199</v>
      </c>
      <c r="O17" s="5">
        <f>'Proximal Validation'!O17</f>
        <v>-0.96090674400329601</v>
      </c>
      <c r="P17" s="5">
        <v>0.65019625331472686</v>
      </c>
      <c r="Q17" s="5">
        <v>0.14635279587893588</v>
      </c>
      <c r="R17" s="5">
        <v>0.18338009001799849</v>
      </c>
      <c r="S17" s="5">
        <v>1.0896545883747712</v>
      </c>
      <c r="T17" s="5">
        <v>3.109637927362285E-2</v>
      </c>
      <c r="U17" s="5">
        <v>4.5967145120432154</v>
      </c>
      <c r="V17" s="13">
        <v>5.9982820067727397E-7</v>
      </c>
      <c r="W17" s="5">
        <f t="shared" si="0"/>
        <v>5.9813625147268068E-3</v>
      </c>
      <c r="X17" s="5">
        <f t="shared" si="0"/>
        <v>6.3527958789358629E-3</v>
      </c>
      <c r="Y17" s="5">
        <f t="shared" si="2"/>
        <v>0.18338009001799849</v>
      </c>
      <c r="Z17" s="5">
        <f t="shared" si="0"/>
        <v>0.23730750607477125</v>
      </c>
      <c r="AA17" s="5">
        <f t="shared" si="0"/>
        <v>1.109637927362285E-2</v>
      </c>
      <c r="AB17" s="5">
        <f t="shared" si="3"/>
        <v>0.11568548795678435</v>
      </c>
      <c r="AC17" s="8">
        <f t="shared" si="1"/>
        <v>0.12164443429474903</v>
      </c>
      <c r="AD17" s="8">
        <f t="shared" si="1"/>
        <v>8.7245875762793565E-3</v>
      </c>
      <c r="AE17" s="8">
        <f t="shared" si="1"/>
        <v>0.14953278898739142</v>
      </c>
    </row>
    <row r="18" spans="1:31" x14ac:dyDescent="0.25">
      <c r="A18" s="5">
        <f>'Proximal Validation'!A18</f>
        <v>1.1302547975999999</v>
      </c>
      <c r="B18" s="5">
        <f>'Proximal Validation'!B18</f>
        <v>0.16</v>
      </c>
      <c r="C18" s="5">
        <f>'Proximal Validation'!C18</f>
        <v>4.7123999999999997</v>
      </c>
      <c r="D18" s="5">
        <f>'Proximal Validation'!D18</f>
        <v>1.3446433494000001</v>
      </c>
      <c r="E18" s="5">
        <f>'Proximal Validation'!E18</f>
        <v>0.04</v>
      </c>
      <c r="F18" s="5">
        <f>'Proximal Validation'!F18</f>
        <v>0</v>
      </c>
      <c r="G18" s="5">
        <f>'Proximal Validation'!G18</f>
        <v>1.0644222964000001</v>
      </c>
      <c r="H18" s="5">
        <f>'Proximal Validation'!H18</f>
        <v>1.4761094460999999</v>
      </c>
      <c r="I18" s="5">
        <f>'Proximal Validation'!I18</f>
        <v>3.5278441351000001</v>
      </c>
      <c r="J18" s="5">
        <f>'Proximal Validation'!J18</f>
        <v>1.67317176237702E-3</v>
      </c>
      <c r="K18" s="5">
        <f>'Proximal Validation'!K18</f>
        <v>0.16960764229297612</v>
      </c>
      <c r="L18" s="5">
        <f>'Proximal Validation'!L18</f>
        <v>5.4553549885749189E-2</v>
      </c>
      <c r="M18" s="5">
        <f>'Proximal Validation'!M18</f>
        <v>-0.55695748329162598</v>
      </c>
      <c r="N18" s="5">
        <f>'Proximal Validation'!N18</f>
        <v>1.32389569282532</v>
      </c>
      <c r="O18" s="5">
        <f>'Proximal Validation'!O18</f>
        <v>-0.76391577720642101</v>
      </c>
      <c r="P18" s="5">
        <v>1.300003862050934</v>
      </c>
      <c r="Q18" s="5">
        <v>0.1484282903750957</v>
      </c>
      <c r="R18" s="5">
        <v>4.6096742735863643</v>
      </c>
      <c r="S18" s="5">
        <v>1.4999999225785721</v>
      </c>
      <c r="T18" s="5">
        <v>5.0105362855339231E-2</v>
      </c>
      <c r="U18" s="5">
        <v>0.19966149290414989</v>
      </c>
      <c r="V18" s="13">
        <v>6.2795345826457797E-6</v>
      </c>
      <c r="W18" s="5">
        <f t="shared" si="0"/>
        <v>0.16974906445093407</v>
      </c>
      <c r="X18" s="5">
        <f t="shared" si="0"/>
        <v>-1.1571709624904308E-2</v>
      </c>
      <c r="Y18" s="5">
        <f t="shared" si="2"/>
        <v>0.10272572641363542</v>
      </c>
      <c r="Z18" s="5">
        <f t="shared" si="0"/>
        <v>0.15535657317857199</v>
      </c>
      <c r="AA18" s="5">
        <f t="shared" si="0"/>
        <v>1.010536285533923E-2</v>
      </c>
      <c r="AB18" s="5">
        <f t="shared" si="3"/>
        <v>0.19966149290414989</v>
      </c>
      <c r="AC18" s="8">
        <f t="shared" si="1"/>
        <v>0.16255281881475303</v>
      </c>
      <c r="AD18" s="8">
        <f t="shared" si="1"/>
        <v>1.0838536240121769E-2</v>
      </c>
      <c r="AE18" s="8">
        <f t="shared" si="1"/>
        <v>0.15119360965889267</v>
      </c>
    </row>
    <row r="19" spans="1:31" x14ac:dyDescent="0.25">
      <c r="A19" s="5">
        <f>'Proximal Validation'!A19</f>
        <v>0.44052297210000002</v>
      </c>
      <c r="B19" s="5">
        <f>'Proximal Validation'!B19</f>
        <v>0.14000000000000001</v>
      </c>
      <c r="C19" s="5">
        <f>'Proximal Validation'!C19</f>
        <v>0.78539999999999999</v>
      </c>
      <c r="D19" s="5">
        <f>'Proximal Validation'!D19</f>
        <v>1.0539703866000001</v>
      </c>
      <c r="E19" s="5">
        <f>'Proximal Validation'!E19</f>
        <v>0.02</v>
      </c>
      <c r="F19" s="5">
        <f>'Proximal Validation'!F19</f>
        <v>3.1415999999999999</v>
      </c>
      <c r="G19" s="5">
        <f>'Proximal Validation'!G19</f>
        <v>2.7027230284999999</v>
      </c>
      <c r="H19" s="5">
        <f>'Proximal Validation'!H19</f>
        <v>1.6080541686000001</v>
      </c>
      <c r="I19" s="5">
        <f>'Proximal Validation'!I19</f>
        <v>1.7094513416999999</v>
      </c>
      <c r="J19" s="5">
        <f>'Proximal Validation'!J19</f>
        <v>2.5936241727322301E-3</v>
      </c>
      <c r="K19" s="5">
        <f>'Proximal Validation'!K19</f>
        <v>-4.9032121598720613E-2</v>
      </c>
      <c r="L19" s="5">
        <f>'Proximal Validation'!L19</f>
        <v>2.3136439621448505E-2</v>
      </c>
      <c r="M19" s="5">
        <f>'Proximal Validation'!M19</f>
        <v>-4.1746888309717199E-2</v>
      </c>
      <c r="N19" s="5">
        <f>'Proximal Validation'!N19</f>
        <v>-0.86065161228179898</v>
      </c>
      <c r="O19" s="5">
        <f>'Proximal Validation'!O19</f>
        <v>0.30409139394760099</v>
      </c>
      <c r="P19" s="5">
        <v>0.50486920120881873</v>
      </c>
      <c r="Q19" s="5">
        <v>0.13691354490223401</v>
      </c>
      <c r="R19" s="5">
        <v>0.81707671346021116</v>
      </c>
      <c r="S19" s="5">
        <v>1.1989124486390952</v>
      </c>
      <c r="T19" s="5">
        <v>2.0000001841696195E-2</v>
      </c>
      <c r="U19" s="5">
        <v>3.1887882754106225</v>
      </c>
      <c r="V19" s="13">
        <v>4.2514489573223021E-6</v>
      </c>
      <c r="W19" s="5">
        <f t="shared" ref="W19:X38" si="5">P19-A19</f>
        <v>6.4346229108818709E-2</v>
      </c>
      <c r="X19" s="5">
        <f t="shared" si="5"/>
        <v>-3.0864550977660055E-3</v>
      </c>
      <c r="Y19" s="5">
        <f t="shared" si="2"/>
        <v>3.167671346021117E-2</v>
      </c>
      <c r="Z19" s="5">
        <f t="shared" ref="Z19:AA38" si="6">S19-D19</f>
        <v>0.1449420620390951</v>
      </c>
      <c r="AA19" s="5">
        <f t="shared" si="6"/>
        <v>1.8416961948541921E-9</v>
      </c>
      <c r="AB19" s="5">
        <f t="shared" si="3"/>
        <v>4.7188275410622538E-2</v>
      </c>
      <c r="AC19" s="8">
        <f t="shared" ref="AC19:AE38" si="7">AVERAGE(ABS(W19),ABS(Z19))</f>
        <v>0.1046441455739569</v>
      </c>
      <c r="AD19" s="8">
        <f t="shared" si="7"/>
        <v>1.5432284697311002E-3</v>
      </c>
      <c r="AE19" s="8">
        <f t="shared" si="7"/>
        <v>3.9432494435416854E-2</v>
      </c>
    </row>
    <row r="20" spans="1:31" x14ac:dyDescent="0.25">
      <c r="A20" s="5">
        <f>'Proximal Validation'!A20</f>
        <v>1.4424756030000001</v>
      </c>
      <c r="B20" s="5">
        <f>'Proximal Validation'!B20</f>
        <v>0.16</v>
      </c>
      <c r="C20" s="5">
        <f>'Proximal Validation'!C20</f>
        <v>0.78539999999999999</v>
      </c>
      <c r="D20" s="5">
        <f>'Proximal Validation'!D20</f>
        <v>1.1597422298</v>
      </c>
      <c r="E20" s="5">
        <f>'Proximal Validation'!E20</f>
        <v>0.04</v>
      </c>
      <c r="F20" s="5">
        <f>'Proximal Validation'!F20</f>
        <v>2.3561999999999999</v>
      </c>
      <c r="G20" s="5">
        <f>'Proximal Validation'!G20</f>
        <v>4.8092587324</v>
      </c>
      <c r="H20" s="5">
        <f>'Proximal Validation'!H20</f>
        <v>0.4784433911</v>
      </c>
      <c r="I20" s="5">
        <f>'Proximal Validation'!I20</f>
        <v>4.3446054411999997</v>
      </c>
      <c r="J20" s="5">
        <f>'Proximal Validation'!J20</f>
        <v>3.0066542327404001E-2</v>
      </c>
      <c r="K20" s="5">
        <f>'Proximal Validation'!K20</f>
        <v>-0.1960352241992957</v>
      </c>
      <c r="L20" s="5">
        <f>'Proximal Validation'!L20</f>
        <v>0.12927154690027265</v>
      </c>
      <c r="M20" s="5">
        <f>'Proximal Validation'!M20</f>
        <v>-0.77978467941284202</v>
      </c>
      <c r="N20" s="5">
        <f>'Proximal Validation'!N20</f>
        <v>-0.16298925876617401</v>
      </c>
      <c r="O20" s="5">
        <f>'Proximal Validation'!O20</f>
        <v>1.66381180286407</v>
      </c>
      <c r="P20" s="5">
        <v>1.2672054211660186</v>
      </c>
      <c r="Q20" s="5">
        <v>0.19899680079770282</v>
      </c>
      <c r="R20" s="5">
        <v>0.84199087698112363</v>
      </c>
      <c r="S20" s="5">
        <v>1.1457012864723206</v>
      </c>
      <c r="T20" s="5">
        <v>2.0016089265960432E-2</v>
      </c>
      <c r="U20" s="5">
        <v>2.0106495868906444</v>
      </c>
      <c r="V20" s="13">
        <v>3.1924348422232426E-5</v>
      </c>
      <c r="W20" s="5">
        <f t="shared" si="5"/>
        <v>-0.17527018183398146</v>
      </c>
      <c r="X20" s="5">
        <f t="shared" si="5"/>
        <v>3.8996800797702819E-2</v>
      </c>
      <c r="Y20" s="5">
        <f t="shared" si="2"/>
        <v>5.6590876981123639E-2</v>
      </c>
      <c r="Z20" s="5">
        <f t="shared" si="6"/>
        <v>-1.4040943327679356E-2</v>
      </c>
      <c r="AA20" s="5">
        <f t="shared" si="6"/>
        <v>-1.9983910734039569E-2</v>
      </c>
      <c r="AB20" s="5">
        <f t="shared" si="3"/>
        <v>0.34555041310935541</v>
      </c>
      <c r="AC20" s="8">
        <f t="shared" si="7"/>
        <v>9.465556258083041E-2</v>
      </c>
      <c r="AD20" s="8">
        <f t="shared" si="7"/>
        <v>2.9490355765871196E-2</v>
      </c>
      <c r="AE20" s="8">
        <f t="shared" si="7"/>
        <v>0.20107064504523953</v>
      </c>
    </row>
    <row r="21" spans="1:31" x14ac:dyDescent="0.25">
      <c r="A21" s="5">
        <f>'Proximal Validation'!A21</f>
        <v>1.3085202701</v>
      </c>
      <c r="B21" s="5">
        <f>'Proximal Validation'!B21</f>
        <v>0.14000000000000001</v>
      </c>
      <c r="C21" s="5">
        <f>'Proximal Validation'!C21</f>
        <v>3.927</v>
      </c>
      <c r="D21" s="5">
        <f>'Proximal Validation'!D21</f>
        <v>1.4295469448</v>
      </c>
      <c r="E21" s="5">
        <f>'Proximal Validation'!E21</f>
        <v>0.02</v>
      </c>
      <c r="F21" s="5">
        <f>'Proximal Validation'!F21</f>
        <v>0</v>
      </c>
      <c r="G21" s="5">
        <f>'Proximal Validation'!G21</f>
        <v>4.5210753759999998</v>
      </c>
      <c r="H21" s="5">
        <f>'Proximal Validation'!H21</f>
        <v>3.0172330613999998</v>
      </c>
      <c r="I21" s="5">
        <f>'Proximal Validation'!I21</f>
        <v>0.83361274470000002</v>
      </c>
      <c r="J21" s="5">
        <f>'Proximal Validation'!J21</f>
        <v>1.3228893512859899E-3</v>
      </c>
      <c r="K21" s="5">
        <f>'Proximal Validation'!K21</f>
        <v>0.1496044099330899</v>
      </c>
      <c r="L21" s="5">
        <f>'Proximal Validation'!L21</f>
        <v>-7.6152354888617976E-2</v>
      </c>
      <c r="M21" s="5">
        <f>'Proximal Validation'!M21</f>
        <v>-0.279466062784195</v>
      </c>
      <c r="N21" s="5">
        <f>'Proximal Validation'!N21</f>
        <v>0.80540740489959695</v>
      </c>
      <c r="O21" s="5">
        <f>'Proximal Validation'!O21</f>
        <v>-0.92264562845230103</v>
      </c>
      <c r="P21" s="5">
        <v>1.21012655290952</v>
      </c>
      <c r="Q21" s="5">
        <v>0.15327351451586857</v>
      </c>
      <c r="R21" s="5">
        <v>4.0961582516991841</v>
      </c>
      <c r="S21" s="5">
        <v>1.4504256553875616</v>
      </c>
      <c r="T21" s="5">
        <v>2.0000609099752483E-2</v>
      </c>
      <c r="U21" s="5">
        <v>6.2830179790688128</v>
      </c>
      <c r="V21" s="13">
        <v>3.3943576185373855E-6</v>
      </c>
      <c r="W21" s="5">
        <f t="shared" si="5"/>
        <v>-9.8393717190480068E-2</v>
      </c>
      <c r="X21" s="5">
        <f t="shared" si="5"/>
        <v>1.3273514515868556E-2</v>
      </c>
      <c r="Y21" s="5">
        <f t="shared" si="2"/>
        <v>0.16915825169918408</v>
      </c>
      <c r="Z21" s="5">
        <f t="shared" si="6"/>
        <v>2.0878710587561633E-2</v>
      </c>
      <c r="AA21" s="5">
        <f t="shared" si="6"/>
        <v>6.0909975248268911E-7</v>
      </c>
      <c r="AB21" s="5">
        <f t="shared" si="3"/>
        <v>1.673281107734681E-4</v>
      </c>
      <c r="AC21" s="8">
        <f t="shared" si="7"/>
        <v>5.963621388902085E-2</v>
      </c>
      <c r="AD21" s="8">
        <f t="shared" si="7"/>
        <v>6.6370618078105195E-3</v>
      </c>
      <c r="AE21" s="8">
        <f t="shared" si="7"/>
        <v>8.4662789904978775E-2</v>
      </c>
    </row>
    <row r="22" spans="1:31" x14ac:dyDescent="0.25">
      <c r="A22" s="5">
        <f>'Proximal Validation'!A22</f>
        <v>1.0278031490999999</v>
      </c>
      <c r="B22" s="5">
        <f>'Proximal Validation'!B22</f>
        <v>0.14000000000000001</v>
      </c>
      <c r="C22" s="5">
        <f>'Proximal Validation'!C22</f>
        <v>0</v>
      </c>
      <c r="D22" s="5">
        <f>'Proximal Validation'!D22</f>
        <v>0.3286386073</v>
      </c>
      <c r="E22" s="5">
        <f>'Proximal Validation'!E22</f>
        <v>0.04</v>
      </c>
      <c r="F22" s="5">
        <f>'Proximal Validation'!F22</f>
        <v>2.3561999999999999</v>
      </c>
      <c r="G22" s="5">
        <f>'Proximal Validation'!G22</f>
        <v>2.4776605121999999</v>
      </c>
      <c r="H22" s="5">
        <f>'Proximal Validation'!H22</f>
        <v>0.70416387319999996</v>
      </c>
      <c r="I22" s="5">
        <f>'Proximal Validation'!I22</f>
        <v>1.306033752</v>
      </c>
      <c r="J22" s="5">
        <f>'Proximal Validation'!J22</f>
        <v>-8.7352143600583098E-4</v>
      </c>
      <c r="K22" s="5">
        <f>'Proximal Validation'!K22</f>
        <v>-1.1852361112833051E-2</v>
      </c>
      <c r="L22" s="5">
        <f>'Proximal Validation'!L22</f>
        <v>0.13730413258075697</v>
      </c>
      <c r="M22" s="5">
        <f>'Proximal Validation'!M22</f>
        <v>-0.36319693922996499</v>
      </c>
      <c r="N22" s="5">
        <f>'Proximal Validation'!N22</f>
        <v>0.55491173267364502</v>
      </c>
      <c r="O22" s="5">
        <f>'Proximal Validation'!O22</f>
        <v>0.295467138290405</v>
      </c>
      <c r="P22" s="5">
        <v>0.46876325824297427</v>
      </c>
      <c r="Q22" s="5">
        <v>0.19999999999966636</v>
      </c>
      <c r="R22" s="5">
        <v>3.0056778350850421E-8</v>
      </c>
      <c r="S22" s="5">
        <v>0.30000000000002219</v>
      </c>
      <c r="T22" s="5">
        <v>0.17237520020743238</v>
      </c>
      <c r="U22" s="5">
        <v>0.30320876457513224</v>
      </c>
      <c r="V22" s="13">
        <v>1.465863824496361E-4</v>
      </c>
      <c r="W22" s="5">
        <f t="shared" si="5"/>
        <v>-0.55903989085702566</v>
      </c>
      <c r="X22" s="5">
        <f t="shared" si="5"/>
        <v>5.9999999999666348E-2</v>
      </c>
      <c r="Y22" s="5">
        <f t="shared" si="2"/>
        <v>3.0056778350850421E-8</v>
      </c>
      <c r="Z22" s="5">
        <f t="shared" si="6"/>
        <v>-2.8638607299977803E-2</v>
      </c>
      <c r="AA22" s="5">
        <f t="shared" si="6"/>
        <v>0.13237520020743238</v>
      </c>
      <c r="AB22" s="5">
        <f t="shared" si="3"/>
        <v>2.0529912354248676</v>
      </c>
      <c r="AC22" s="8">
        <f t="shared" si="7"/>
        <v>0.29383924907850173</v>
      </c>
      <c r="AD22" s="8">
        <f t="shared" si="7"/>
        <v>9.6187600103549362E-2</v>
      </c>
      <c r="AE22" s="8">
        <f t="shared" si="7"/>
        <v>1.026495632740823</v>
      </c>
    </row>
    <row r="23" spans="1:31" x14ac:dyDescent="0.25">
      <c r="A23" s="5">
        <f>'Proximal Validation'!A23</f>
        <v>0.8908774062</v>
      </c>
      <c r="B23" s="5">
        <f>'Proximal Validation'!B23</f>
        <v>0.18</v>
      </c>
      <c r="C23" s="5">
        <f>'Proximal Validation'!C23</f>
        <v>3.1415999999999999</v>
      </c>
      <c r="D23" s="5">
        <f>'Proximal Validation'!D23</f>
        <v>0.88440675189999995</v>
      </c>
      <c r="E23" s="5">
        <f>'Proximal Validation'!E23</f>
        <v>0.08</v>
      </c>
      <c r="F23" s="5">
        <f>'Proximal Validation'!F23</f>
        <v>3.927</v>
      </c>
      <c r="G23" s="5">
        <f>'Proximal Validation'!G23</f>
        <v>0.48462861940000002</v>
      </c>
      <c r="H23" s="5">
        <f>'Proximal Validation'!H23</f>
        <v>1.6897568487000001</v>
      </c>
      <c r="I23" s="5">
        <f>'Proximal Validation'!I23</f>
        <v>3.1701200912999998</v>
      </c>
      <c r="J23" s="5">
        <f>'Proximal Validation'!J23</f>
        <v>-1.1769948527216899E-2</v>
      </c>
      <c r="K23" s="5">
        <f>'Proximal Validation'!K23</f>
        <v>4.8388502895832027E-2</v>
      </c>
      <c r="L23" s="5">
        <f>'Proximal Validation'!L23</f>
        <v>-0.20316620111465439</v>
      </c>
      <c r="M23" s="5">
        <f>'Proximal Validation'!M23</f>
        <v>-0.68180733919143699</v>
      </c>
      <c r="N23" s="5">
        <f>'Proximal Validation'!N23</f>
        <v>-1.2353100776672401</v>
      </c>
      <c r="O23" s="5">
        <f>'Proximal Validation'!O23</f>
        <v>-0.53501510620117199</v>
      </c>
      <c r="P23" s="5">
        <v>1.0132147721593958</v>
      </c>
      <c r="Q23" s="5">
        <v>0.19999095650542387</v>
      </c>
      <c r="R23" s="5">
        <v>3.334451316249452</v>
      </c>
      <c r="S23" s="5">
        <v>0.73795967147679664</v>
      </c>
      <c r="T23" s="5">
        <v>3.5576413494055756E-2</v>
      </c>
      <c r="U23" s="5">
        <v>3.8510351878388951</v>
      </c>
      <c r="V23" s="13">
        <v>1.6273255448014343E-5</v>
      </c>
      <c r="W23" s="5">
        <f t="shared" si="5"/>
        <v>0.12233736595939582</v>
      </c>
      <c r="X23" s="5">
        <f t="shared" si="5"/>
        <v>1.9990956505423874E-2</v>
      </c>
      <c r="Y23" s="5">
        <f t="shared" si="2"/>
        <v>0.19285131624945206</v>
      </c>
      <c r="Z23" s="5">
        <f t="shared" si="6"/>
        <v>-0.14644708042320331</v>
      </c>
      <c r="AA23" s="5">
        <f t="shared" si="6"/>
        <v>-4.4423586505944246E-2</v>
      </c>
      <c r="AB23" s="5">
        <f t="shared" si="3"/>
        <v>7.5964812161104955E-2</v>
      </c>
      <c r="AC23" s="8">
        <f t="shared" si="7"/>
        <v>0.13439222319129956</v>
      </c>
      <c r="AD23" s="8">
        <f t="shared" si="7"/>
        <v>3.220727150568406E-2</v>
      </c>
      <c r="AE23" s="8">
        <f t="shared" si="7"/>
        <v>0.13440806420527851</v>
      </c>
    </row>
    <row r="24" spans="1:31" x14ac:dyDescent="0.25">
      <c r="A24" s="5">
        <f>'Proximal Validation'!A24</f>
        <v>1.2597568109999999</v>
      </c>
      <c r="B24" s="5">
        <f>'Proximal Validation'!B24</f>
        <v>0.16</v>
      </c>
      <c r="C24" s="5">
        <f>'Proximal Validation'!C24</f>
        <v>0</v>
      </c>
      <c r="D24" s="5">
        <f>'Proximal Validation'!D24</f>
        <v>0.58841219170000003</v>
      </c>
      <c r="E24" s="5">
        <f>'Proximal Validation'!E24</f>
        <v>0.06</v>
      </c>
      <c r="F24" s="5">
        <f>'Proximal Validation'!F24</f>
        <v>5.4977999999999998</v>
      </c>
      <c r="G24" s="5">
        <f>'Proximal Validation'!G24</f>
        <v>3.9855186287</v>
      </c>
      <c r="H24" s="5">
        <f>'Proximal Validation'!H24</f>
        <v>1.0426876676000001</v>
      </c>
      <c r="I24" s="5">
        <f>'Proximal Validation'!I24</f>
        <v>0.31561411</v>
      </c>
      <c r="J24" s="5">
        <f>'Proximal Validation'!J24</f>
        <v>-8.1258090212941204E-3</v>
      </c>
      <c r="K24" s="5">
        <f>'Proximal Validation'!K24</f>
        <v>2.480585664510726E-2</v>
      </c>
      <c r="L24" s="5">
        <f>'Proximal Validation'!L24</f>
        <v>0.22677360892295889</v>
      </c>
      <c r="M24" s="5">
        <f>'Proximal Validation'!M24</f>
        <v>-0.91120928525924705</v>
      </c>
      <c r="N24" s="5">
        <f>'Proximal Validation'!N24</f>
        <v>1.2995035648345901</v>
      </c>
      <c r="O24" s="5">
        <f>'Proximal Validation'!O24</f>
        <v>-0.469389498233795</v>
      </c>
      <c r="P24" s="5">
        <v>1.2246739926429746</v>
      </c>
      <c r="Q24" s="5">
        <v>0.19999998622747292</v>
      </c>
      <c r="R24" s="5">
        <v>2.2795685707364555E-14</v>
      </c>
      <c r="S24" s="5">
        <v>0.66173320100511568</v>
      </c>
      <c r="T24" s="5">
        <v>2.0000000000022205E-2</v>
      </c>
      <c r="U24" s="5">
        <v>3.7301378645051077E-14</v>
      </c>
      <c r="V24" s="13">
        <v>7.1793925820876721E-4</v>
      </c>
      <c r="W24" s="5">
        <f t="shared" si="5"/>
        <v>-3.5082818357025314E-2</v>
      </c>
      <c r="X24" s="5">
        <f t="shared" si="5"/>
        <v>3.9999986227472917E-2</v>
      </c>
      <c r="Y24" s="5">
        <f t="shared" si="2"/>
        <v>2.2795685707364555E-14</v>
      </c>
      <c r="Z24" s="5">
        <f t="shared" si="6"/>
        <v>7.3321009305115648E-2</v>
      </c>
      <c r="AA24" s="5">
        <f t="shared" si="6"/>
        <v>-3.9999999999977789E-2</v>
      </c>
      <c r="AB24" s="5">
        <f t="shared" si="3"/>
        <v>0.78538530717962374</v>
      </c>
      <c r="AC24" s="8">
        <f t="shared" si="7"/>
        <v>5.4201913831070481E-2</v>
      </c>
      <c r="AD24" s="8">
        <f t="shared" si="7"/>
        <v>3.9999993113725353E-2</v>
      </c>
      <c r="AE24" s="8">
        <f t="shared" si="7"/>
        <v>0.39269265358982325</v>
      </c>
    </row>
    <row r="25" spans="1:31" x14ac:dyDescent="0.25">
      <c r="A25" s="5">
        <f>'Proximal Validation'!A25</f>
        <v>0.65858340790000003</v>
      </c>
      <c r="B25" s="5">
        <f>'Proximal Validation'!B25</f>
        <v>0.18</v>
      </c>
      <c r="C25" s="5">
        <f>'Proximal Validation'!C25</f>
        <v>0</v>
      </c>
      <c r="D25" s="5">
        <f>'Proximal Validation'!D25</f>
        <v>0.498698221</v>
      </c>
      <c r="E25" s="5">
        <f>'Proximal Validation'!E25</f>
        <v>0.08</v>
      </c>
      <c r="F25" s="5">
        <f>'Proximal Validation'!F25</f>
        <v>0.78539999999999999</v>
      </c>
      <c r="G25" s="5">
        <f>'Proximal Validation'!G25</f>
        <v>4.9301628920000002</v>
      </c>
      <c r="H25" s="5">
        <f>'Proximal Validation'!H25</f>
        <v>1.8520278541999999</v>
      </c>
      <c r="I25" s="5">
        <f>'Proximal Validation'!I25</f>
        <v>4.6646910371999999</v>
      </c>
      <c r="J25" s="5">
        <f>'Proximal Validation'!J25</f>
        <v>8.0546755343675596E-3</v>
      </c>
      <c r="K25" s="5">
        <f>'Proximal Validation'!K25</f>
        <v>-2.5356225371360813E-2</v>
      </c>
      <c r="L25" s="5">
        <f>'Proximal Validation'!L25</f>
        <v>0.14683502078056299</v>
      </c>
      <c r="M25" s="5">
        <f>'Proximal Validation'!M25</f>
        <v>-0.44749337434768699</v>
      </c>
      <c r="N25" s="5">
        <f>'Proximal Validation'!N25</f>
        <v>0.82281804084777799</v>
      </c>
      <c r="O25" s="5">
        <f>'Proximal Validation'!O25</f>
        <v>0.33567589521408098</v>
      </c>
      <c r="P25" s="5">
        <v>0.77029983945422409</v>
      </c>
      <c r="Q25" s="5">
        <v>0.19999930307185762</v>
      </c>
      <c r="R25" s="5">
        <v>0.13190965880447875</v>
      </c>
      <c r="S25" s="5">
        <v>0.33350322748999167</v>
      </c>
      <c r="T25" s="5">
        <v>2.0000000058431031E-2</v>
      </c>
      <c r="U25" s="5">
        <v>0.73628940955879241</v>
      </c>
      <c r="V25" s="13">
        <v>2.4547067056351456E-6</v>
      </c>
      <c r="W25" s="5">
        <f t="shared" si="5"/>
        <v>0.11171643155422406</v>
      </c>
      <c r="X25" s="5">
        <f t="shared" si="5"/>
        <v>1.9999303071857627E-2</v>
      </c>
      <c r="Y25" s="5">
        <f t="shared" si="2"/>
        <v>0.13190965880447875</v>
      </c>
      <c r="Z25" s="5">
        <f t="shared" si="6"/>
        <v>-0.16519499351000833</v>
      </c>
      <c r="AA25" s="5">
        <f t="shared" si="6"/>
        <v>-5.9999999941568974E-2</v>
      </c>
      <c r="AB25" s="5">
        <f t="shared" si="3"/>
        <v>4.911059044120758E-2</v>
      </c>
      <c r="AC25" s="9">
        <f t="shared" si="7"/>
        <v>0.13845571253211619</v>
      </c>
      <c r="AD25" s="9">
        <f t="shared" si="7"/>
        <v>3.99996515067133E-2</v>
      </c>
      <c r="AE25" s="9">
        <f t="shared" si="7"/>
        <v>9.0510124622843163E-2</v>
      </c>
    </row>
    <row r="26" spans="1:31" x14ac:dyDescent="0.25">
      <c r="A26" s="5">
        <f>'Proximal Validation'!A26</f>
        <v>0.55032038400000005</v>
      </c>
      <c r="B26" s="5">
        <f>'Proximal Validation'!B26</f>
        <v>0.16</v>
      </c>
      <c r="C26" s="5">
        <f>'Proximal Validation'!C26</f>
        <v>3.1415999999999999</v>
      </c>
      <c r="D26" s="5">
        <f>'Proximal Validation'!D26</f>
        <v>1.4487418581</v>
      </c>
      <c r="E26" s="5">
        <f>'Proximal Validation'!E26</f>
        <v>0.08</v>
      </c>
      <c r="F26" s="5">
        <f>'Proximal Validation'!F26</f>
        <v>2.3561999999999999</v>
      </c>
      <c r="G26" s="5">
        <f>'Proximal Validation'!G26</f>
        <v>4.7175867132000002</v>
      </c>
      <c r="H26" s="5">
        <f>'Proximal Validation'!H26</f>
        <v>1.3012665307</v>
      </c>
      <c r="I26" s="5">
        <f>'Proximal Validation'!I26</f>
        <v>3.3668845907999998</v>
      </c>
      <c r="J26" s="5">
        <f>'Proximal Validation'!J26</f>
        <v>-1.2392895296216E-3</v>
      </c>
      <c r="K26" s="5">
        <f>'Proximal Validation'!K26</f>
        <v>-7.8764544129371977E-2</v>
      </c>
      <c r="L26" s="5">
        <f>'Proximal Validation'!L26</f>
        <v>-0.17832563519477909</v>
      </c>
      <c r="M26" s="5">
        <f>'Proximal Validation'!M26</f>
        <v>-0.389381974935532</v>
      </c>
      <c r="N26" s="5">
        <f>'Proximal Validation'!N26</f>
        <v>-1.47788345813751</v>
      </c>
      <c r="O26" s="5">
        <f>'Proximal Validation'!O26</f>
        <v>0.95994305610656705</v>
      </c>
      <c r="P26" s="5">
        <v>0.60710817285089036</v>
      </c>
      <c r="Q26" s="5">
        <v>0.1588510908692996</v>
      </c>
      <c r="R26" s="5">
        <v>3.3928351350024837</v>
      </c>
      <c r="S26" s="5">
        <v>1.4988001671585189</v>
      </c>
      <c r="T26" s="5">
        <v>8.9387751153877815E-2</v>
      </c>
      <c r="U26" s="5">
        <v>2.2695434670690195</v>
      </c>
      <c r="V26" s="13">
        <v>1.3110308969648848E-5</v>
      </c>
      <c r="W26" s="5">
        <f t="shared" si="5"/>
        <v>5.6787788850890308E-2</v>
      </c>
      <c r="X26" s="5">
        <f t="shared" si="5"/>
        <v>-1.1489091307003985E-3</v>
      </c>
      <c r="Y26" s="5">
        <f t="shared" si="2"/>
        <v>0.25123513500248373</v>
      </c>
      <c r="Z26" s="5">
        <f t="shared" si="6"/>
        <v>5.0058309058518935E-2</v>
      </c>
      <c r="AA26" s="5">
        <f t="shared" si="6"/>
        <v>9.387751153877813E-3</v>
      </c>
      <c r="AB26" s="5">
        <f t="shared" si="3"/>
        <v>8.6656532930980301E-2</v>
      </c>
      <c r="AC26" s="8">
        <f t="shared" si="7"/>
        <v>5.3423048954704622E-2</v>
      </c>
      <c r="AD26" s="8">
        <f t="shared" si="7"/>
        <v>5.2683301422891057E-3</v>
      </c>
      <c r="AE26" s="8">
        <f t="shared" si="7"/>
        <v>0.16894583396673202</v>
      </c>
    </row>
    <row r="27" spans="1:31" x14ac:dyDescent="0.25">
      <c r="A27" s="5">
        <f>'Proximal Validation'!A27</f>
        <v>1.2531062278</v>
      </c>
      <c r="B27" s="5">
        <f>'Proximal Validation'!B27</f>
        <v>0.18</v>
      </c>
      <c r="C27" s="5">
        <f>'Proximal Validation'!C27</f>
        <v>5.4977999999999998</v>
      </c>
      <c r="D27" s="5">
        <f>'Proximal Validation'!D27</f>
        <v>0.4702401397</v>
      </c>
      <c r="E27" s="5">
        <f>'Proximal Validation'!E27</f>
        <v>0.1</v>
      </c>
      <c r="F27" s="5">
        <f>'Proximal Validation'!F27</f>
        <v>5.4977999999999998</v>
      </c>
      <c r="G27" s="5">
        <f>'Proximal Validation'!G27</f>
        <v>0.1483911762</v>
      </c>
      <c r="H27" s="5">
        <f>'Proximal Validation'!H27</f>
        <v>0.2167359935</v>
      </c>
      <c r="I27" s="5">
        <f>'Proximal Validation'!I27</f>
        <v>4.9349358513999997</v>
      </c>
      <c r="J27" s="5">
        <f>'Proximal Validation'!J27</f>
        <v>1.3011932373046899E-2</v>
      </c>
      <c r="K27" s="5">
        <f>'Proximal Validation'!K27</f>
        <v>0.17962860584259044</v>
      </c>
      <c r="L27" s="5">
        <f>'Proximal Validation'!L27</f>
        <v>0.17774561345577244</v>
      </c>
      <c r="M27" s="5">
        <f>'Proximal Validation'!M27</f>
        <v>-1.1463577747345</v>
      </c>
      <c r="N27" s="5">
        <f>'Proximal Validation'!N27</f>
        <v>0.72932124137878396</v>
      </c>
      <c r="O27" s="5">
        <f>'Proximal Validation'!O27</f>
        <v>-0.74414980411529497</v>
      </c>
      <c r="P27" s="5">
        <v>1.4999999999999085</v>
      </c>
      <c r="Q27" s="5">
        <v>0.15810849755525699</v>
      </c>
      <c r="R27" s="5">
        <v>1.4270345215459838E-2</v>
      </c>
      <c r="S27" s="5">
        <v>1.4421651880509572</v>
      </c>
      <c r="T27" s="5">
        <v>0.14785289615460701</v>
      </c>
      <c r="U27" s="5">
        <v>4.4810541189710262</v>
      </c>
      <c r="V27" s="13">
        <v>1.0912745799894705E-4</v>
      </c>
      <c r="W27" s="5">
        <f t="shared" si="5"/>
        <v>0.24689377219990849</v>
      </c>
      <c r="X27" s="5">
        <f t="shared" si="5"/>
        <v>-2.1891502444743E-2</v>
      </c>
      <c r="Y27" s="5">
        <f t="shared" si="2"/>
        <v>0.79965565239504599</v>
      </c>
      <c r="Z27" s="5">
        <f t="shared" si="6"/>
        <v>0.97192504835095717</v>
      </c>
      <c r="AA27" s="5">
        <f t="shared" si="6"/>
        <v>4.7852896154607E-2</v>
      </c>
      <c r="AB27" s="5">
        <f t="shared" si="3"/>
        <v>1.0167458810289736</v>
      </c>
      <c r="AC27" s="8">
        <f t="shared" si="7"/>
        <v>0.60940941027543283</v>
      </c>
      <c r="AD27" s="8">
        <f t="shared" si="7"/>
        <v>3.4872199299675E-2</v>
      </c>
      <c r="AE27" s="8">
        <f t="shared" si="7"/>
        <v>0.90820076671200978</v>
      </c>
    </row>
    <row r="28" spans="1:31" x14ac:dyDescent="0.25">
      <c r="A28" s="5">
        <f>'Proximal Validation'!A28</f>
        <v>0.37674236639999997</v>
      </c>
      <c r="B28" s="5">
        <f>'Proximal Validation'!B28</f>
        <v>0.12</v>
      </c>
      <c r="C28" s="5">
        <f>'Proximal Validation'!C28</f>
        <v>5.4977999999999998</v>
      </c>
      <c r="D28" s="5">
        <f>'Proximal Validation'!D28</f>
        <v>0.55884916829999998</v>
      </c>
      <c r="E28" s="5">
        <f>'Proximal Validation'!E28</f>
        <v>0.04</v>
      </c>
      <c r="F28" s="5">
        <f>'Proximal Validation'!F28</f>
        <v>5.4977999999999998</v>
      </c>
      <c r="G28" s="5">
        <f>'Proximal Validation'!G28</f>
        <v>2.7463764360999998</v>
      </c>
      <c r="H28" s="5">
        <f>'Proximal Validation'!H28</f>
        <v>4.0783358151</v>
      </c>
      <c r="I28" s="5">
        <f>'Proximal Validation'!I28</f>
        <v>2.4827351898000001</v>
      </c>
      <c r="J28" s="5">
        <f>'Proximal Validation'!J28</f>
        <v>-4.1884777601808299E-4</v>
      </c>
      <c r="K28" s="5">
        <f>'Proximal Validation'!K28</f>
        <v>4.8614442646503477E-2</v>
      </c>
      <c r="L28" s="5">
        <f>'Proximal Validation'!L28</f>
        <v>4.8307788670063391E-2</v>
      </c>
      <c r="M28" s="5">
        <f>'Proximal Validation'!M28</f>
        <v>-9.7034186124801594E-2</v>
      </c>
      <c r="N28" s="5">
        <f>'Proximal Validation'!N28</f>
        <v>0.60689675807952903</v>
      </c>
      <c r="O28" s="5">
        <f>'Proximal Validation'!O28</f>
        <v>-0.63970345258712802</v>
      </c>
      <c r="P28" s="5">
        <v>0.4130126631373901</v>
      </c>
      <c r="Q28" s="5">
        <v>8.1249105694988263E-2</v>
      </c>
      <c r="R28" s="5">
        <v>0.28147373403628079</v>
      </c>
      <c r="S28" s="5">
        <v>0.78503591817382845</v>
      </c>
      <c r="T28" s="5">
        <v>7.6874436814859809E-2</v>
      </c>
      <c r="U28" s="5">
        <v>4.9847771138387866</v>
      </c>
      <c r="V28" s="13">
        <v>6.9231276880814807E-7</v>
      </c>
      <c r="W28" s="5">
        <f t="shared" si="5"/>
        <v>3.6270296737390129E-2</v>
      </c>
      <c r="X28" s="5">
        <f t="shared" si="5"/>
        <v>-3.8750894305011732E-2</v>
      </c>
      <c r="Y28" s="5">
        <f t="shared" si="2"/>
        <v>1.0668590412158672</v>
      </c>
      <c r="Z28" s="5">
        <f t="shared" si="6"/>
        <v>0.22618674987382847</v>
      </c>
      <c r="AA28" s="5">
        <f t="shared" si="6"/>
        <v>3.6874436814859808E-2</v>
      </c>
      <c r="AB28" s="5">
        <f t="shared" si="3"/>
        <v>0.51302288616121317</v>
      </c>
      <c r="AC28" s="8">
        <f t="shared" si="7"/>
        <v>0.1312285233056093</v>
      </c>
      <c r="AD28" s="8">
        <f t="shared" si="7"/>
        <v>3.7812665559935774E-2</v>
      </c>
      <c r="AE28" s="8">
        <f t="shared" si="7"/>
        <v>0.78994096368854017</v>
      </c>
    </row>
    <row r="29" spans="1:31" x14ac:dyDescent="0.25">
      <c r="A29" s="5">
        <f>'Proximal Validation'!A29</f>
        <v>0.99744538530000004</v>
      </c>
      <c r="B29" s="5">
        <f>'Proximal Validation'!B29</f>
        <v>0.12</v>
      </c>
      <c r="C29" s="5">
        <f>'Proximal Validation'!C29</f>
        <v>2.3561999999999999</v>
      </c>
      <c r="D29" s="5">
        <f>'Proximal Validation'!D29</f>
        <v>0.63256510880000005</v>
      </c>
      <c r="E29" s="5">
        <f>'Proximal Validation'!E29</f>
        <v>0.04</v>
      </c>
      <c r="F29" s="5">
        <f>'Proximal Validation'!F29</f>
        <v>4.7123999999999997</v>
      </c>
      <c r="G29" s="5">
        <f>'Proximal Validation'!G29</f>
        <v>1.0163068775999999</v>
      </c>
      <c r="H29" s="5">
        <f>'Proximal Validation'!H29</f>
        <v>2.5468444695999999</v>
      </c>
      <c r="I29" s="5">
        <f>'Proximal Validation'!I29</f>
        <v>0.1214735909</v>
      </c>
      <c r="J29" s="5">
        <f>'Proximal Validation'!J29</f>
        <v>-1.1704247444868101E-3</v>
      </c>
      <c r="K29" s="5">
        <f>'Proximal Validation'!K29</f>
        <v>-5.3023360669612919E-2</v>
      </c>
      <c r="L29" s="5">
        <f>'Proximal Validation'!L29</f>
        <v>-9.6837731003761029E-2</v>
      </c>
      <c r="M29" s="5">
        <f>'Proximal Validation'!M29</f>
        <v>-0.23891685903072399</v>
      </c>
      <c r="N29" s="5">
        <f>'Proximal Validation'!N29</f>
        <v>-0.67229318618774403</v>
      </c>
      <c r="O29" s="5">
        <f>'Proximal Validation'!O29</f>
        <v>-6.1973929405212402E-2</v>
      </c>
      <c r="P29" s="5">
        <v>1.151807693646496</v>
      </c>
      <c r="Q29" s="5">
        <v>0.19981863202008573</v>
      </c>
      <c r="R29" s="5">
        <v>1.4271623752142193</v>
      </c>
      <c r="S29" s="5">
        <v>1.4557656178795619</v>
      </c>
      <c r="T29" s="5">
        <v>0.14621747184053782</v>
      </c>
      <c r="U29" s="5">
        <v>4.0473323874799467</v>
      </c>
      <c r="V29" s="13">
        <v>1.1533539473267747E-6</v>
      </c>
      <c r="W29" s="5">
        <f t="shared" si="5"/>
        <v>0.154362308346496</v>
      </c>
      <c r="X29" s="5">
        <f t="shared" si="5"/>
        <v>7.9818632020085739E-2</v>
      </c>
      <c r="Y29" s="5">
        <f t="shared" si="2"/>
        <v>0.92903762478578056</v>
      </c>
      <c r="Z29" s="5">
        <f t="shared" si="6"/>
        <v>0.82320050907956188</v>
      </c>
      <c r="AA29" s="5">
        <f t="shared" si="6"/>
        <v>0.10621747184053781</v>
      </c>
      <c r="AB29" s="5">
        <f t="shared" si="3"/>
        <v>0.66506761252005298</v>
      </c>
      <c r="AC29" s="8">
        <f t="shared" si="7"/>
        <v>0.48878140871302894</v>
      </c>
      <c r="AD29" s="8">
        <f t="shared" si="7"/>
        <v>9.3018051930311776E-2</v>
      </c>
      <c r="AE29" s="8">
        <f t="shared" si="7"/>
        <v>0.79705261865291677</v>
      </c>
    </row>
    <row r="30" spans="1:31" x14ac:dyDescent="0.25">
      <c r="A30" s="5">
        <f>'Proximal Validation'!A30</f>
        <v>0.91958396450000002</v>
      </c>
      <c r="B30" s="5">
        <f>'Proximal Validation'!B30</f>
        <v>0.18</v>
      </c>
      <c r="C30" s="5">
        <f>'Proximal Validation'!C30</f>
        <v>0</v>
      </c>
      <c r="D30" s="5">
        <f>'Proximal Validation'!D30</f>
        <v>1.2327944816</v>
      </c>
      <c r="E30" s="5">
        <f>'Proximal Validation'!E30</f>
        <v>0.1</v>
      </c>
      <c r="F30" s="5">
        <f>'Proximal Validation'!F30</f>
        <v>4.7123999999999997</v>
      </c>
      <c r="G30" s="5">
        <f>'Proximal Validation'!G30</f>
        <v>3.7350994551999999</v>
      </c>
      <c r="H30" s="5">
        <f>'Proximal Validation'!H30</f>
        <v>0.10989542820000001</v>
      </c>
      <c r="I30" s="5">
        <f>'Proximal Validation'!I30</f>
        <v>4.0041016991999996</v>
      </c>
      <c r="J30" s="5">
        <f>'Proximal Validation'!J30</f>
        <v>5.2949553355574599E-3</v>
      </c>
      <c r="K30" s="5">
        <f>'Proximal Validation'!K30</f>
        <v>0.1002950870990762</v>
      </c>
      <c r="L30" s="5">
        <f>'Proximal Validation'!L30</f>
        <v>0.14873841881752001</v>
      </c>
      <c r="M30" s="5">
        <f>'Proximal Validation'!M30</f>
        <v>-0.66750568151473999</v>
      </c>
      <c r="N30" s="5">
        <f>'Proximal Validation'!N30</f>
        <v>0.47792124748230003</v>
      </c>
      <c r="O30" s="5">
        <f>'Proximal Validation'!O30</f>
        <v>-1.06160187721252</v>
      </c>
      <c r="P30" s="5">
        <v>0.98872594987648288</v>
      </c>
      <c r="Q30" s="5">
        <v>0.18361747255503091</v>
      </c>
      <c r="R30" s="5">
        <v>7.1960140370576933E-5</v>
      </c>
      <c r="S30" s="5">
        <v>1.2363529256604686</v>
      </c>
      <c r="T30" s="5">
        <v>8.6915782725414309E-2</v>
      </c>
      <c r="U30" s="5">
        <v>4.5118714494085861</v>
      </c>
      <c r="V30" s="13">
        <v>5.6664218259814566E-6</v>
      </c>
      <c r="W30" s="5">
        <f t="shared" si="5"/>
        <v>6.9141985376482862E-2</v>
      </c>
      <c r="X30" s="5">
        <f t="shared" si="5"/>
        <v>3.6174725550309206E-3</v>
      </c>
      <c r="Y30" s="5">
        <f t="shared" si="2"/>
        <v>7.1960140370576933E-5</v>
      </c>
      <c r="Z30" s="5">
        <f t="shared" si="6"/>
        <v>3.5584440604685685E-3</v>
      </c>
      <c r="AA30" s="5">
        <f t="shared" si="6"/>
        <v>-1.3084217274585697E-2</v>
      </c>
      <c r="AB30" s="5">
        <f t="shared" si="3"/>
        <v>0.20052855059141361</v>
      </c>
      <c r="AC30" s="8">
        <f t="shared" si="7"/>
        <v>3.6350214718475715E-2</v>
      </c>
      <c r="AD30" s="8">
        <f t="shared" si="7"/>
        <v>8.3508449148083086E-3</v>
      </c>
      <c r="AE30" s="8">
        <f t="shared" si="7"/>
        <v>0.1003002553658921</v>
      </c>
    </row>
    <row r="31" spans="1:31" x14ac:dyDescent="0.25">
      <c r="A31" s="5">
        <f>'Proximal Validation'!A31</f>
        <v>0.76015027209999997</v>
      </c>
      <c r="B31" s="5">
        <f>'Proximal Validation'!B31</f>
        <v>0.18</v>
      </c>
      <c r="C31" s="5">
        <f>'Proximal Validation'!C31</f>
        <v>2.3561999999999999</v>
      </c>
      <c r="D31" s="5">
        <f>'Proximal Validation'!D31</f>
        <v>0.80034279419999999</v>
      </c>
      <c r="E31" s="5">
        <f>'Proximal Validation'!E31</f>
        <v>0.1</v>
      </c>
      <c r="F31" s="5">
        <f>'Proximal Validation'!F31</f>
        <v>0</v>
      </c>
      <c r="G31" s="5">
        <f>'Proximal Validation'!G31</f>
        <v>4.7396783878999997</v>
      </c>
      <c r="H31" s="5">
        <f>'Proximal Validation'!H31</f>
        <v>4.9071061610999998</v>
      </c>
      <c r="I31" s="5">
        <f>'Proximal Validation'!I31</f>
        <v>1.8713340661</v>
      </c>
      <c r="J31" s="5">
        <f>'Proximal Validation'!J31</f>
        <v>4.3246033601462798E-3</v>
      </c>
      <c r="K31" s="5">
        <f>'Proximal Validation'!K31</f>
        <v>-7.4664700627326969E-2</v>
      </c>
      <c r="L31" s="5">
        <f>'Proximal Validation'!L31</f>
        <v>-8.2634314894678568E-4</v>
      </c>
      <c r="M31" s="5">
        <f>'Proximal Validation'!M31</f>
        <v>-0.140251100063324</v>
      </c>
      <c r="N31" s="5">
        <f>'Proximal Validation'!N31</f>
        <v>0.45143038034439098</v>
      </c>
      <c r="O31" s="5">
        <f>'Proximal Validation'!O31</f>
        <v>0.313724786043167</v>
      </c>
      <c r="P31" s="5">
        <v>0.69962565903689311</v>
      </c>
      <c r="Q31" s="5">
        <v>0.1999997264960445</v>
      </c>
      <c r="R31" s="5">
        <v>2.5505755225909499</v>
      </c>
      <c r="S31" s="5">
        <v>1.0230268112894805</v>
      </c>
      <c r="T31" s="5">
        <v>0.11014166115013027</v>
      </c>
      <c r="U31" s="5">
        <v>2.220463599521555E-14</v>
      </c>
      <c r="V31" s="13">
        <v>3.6613497590810523E-6</v>
      </c>
      <c r="W31" s="5">
        <f t="shared" si="5"/>
        <v>-6.0524613063106858E-2</v>
      </c>
      <c r="X31" s="5">
        <f t="shared" si="5"/>
        <v>1.9999726496044506E-2</v>
      </c>
      <c r="Y31" s="5">
        <f t="shared" si="2"/>
        <v>0.19437552259095003</v>
      </c>
      <c r="Z31" s="5">
        <f t="shared" si="6"/>
        <v>0.22268401708948049</v>
      </c>
      <c r="AA31" s="5">
        <f t="shared" si="6"/>
        <v>1.0141661150130266E-2</v>
      </c>
      <c r="AB31" s="5">
        <f t="shared" si="3"/>
        <v>2.220463599521555E-14</v>
      </c>
      <c r="AC31" s="8">
        <f t="shared" si="7"/>
        <v>0.14160431507629367</v>
      </c>
      <c r="AD31" s="8">
        <f t="shared" si="7"/>
        <v>1.5070693823087386E-2</v>
      </c>
      <c r="AE31" s="8">
        <f t="shared" si="7"/>
        <v>9.7187761295486119E-2</v>
      </c>
    </row>
    <row r="32" spans="1:31" x14ac:dyDescent="0.25">
      <c r="A32" s="5">
        <f>'Proximal Validation'!A32</f>
        <v>0.9040684336</v>
      </c>
      <c r="B32" s="5">
        <f>'Proximal Validation'!B32</f>
        <v>0.1</v>
      </c>
      <c r="C32" s="5">
        <f>'Proximal Validation'!C32</f>
        <v>5.4977999999999998</v>
      </c>
      <c r="D32" s="5">
        <f>'Proximal Validation'!D32</f>
        <v>0.68590239919999996</v>
      </c>
      <c r="E32" s="5">
        <f>'Proximal Validation'!E32</f>
        <v>0.02</v>
      </c>
      <c r="F32" s="5">
        <f>'Proximal Validation'!F32</f>
        <v>4.7123999999999997</v>
      </c>
      <c r="G32" s="5">
        <f>'Proximal Validation'!G32</f>
        <v>3.1050919126999998</v>
      </c>
      <c r="H32" s="5">
        <f>'Proximal Validation'!H32</f>
        <v>4.9790166179000002</v>
      </c>
      <c r="I32" s="5">
        <f>'Proximal Validation'!I32</f>
        <v>4.7088396990000003</v>
      </c>
      <c r="J32" s="5">
        <f>'Proximal Validation'!J32</f>
        <v>1.8214078154414901E-3</v>
      </c>
      <c r="K32" s="5">
        <f>'Proximal Validation'!K32</f>
        <v>8.5241996645927215E-2</v>
      </c>
      <c r="L32" s="5">
        <f>'Proximal Validation'!L32</f>
        <v>6.4217582345009017E-2</v>
      </c>
      <c r="M32" s="5">
        <f>'Proximal Validation'!M32</f>
        <v>-0.18496520817279799</v>
      </c>
      <c r="N32" s="5">
        <f>'Proximal Validation'!N32</f>
        <v>0.541345775127411</v>
      </c>
      <c r="O32" s="5">
        <f>'Proximal Validation'!O32</f>
        <v>-1.33990967273712</v>
      </c>
      <c r="P32" s="5">
        <v>0.30003387045346863</v>
      </c>
      <c r="Q32" s="5">
        <v>0.16354659464489577</v>
      </c>
      <c r="R32" s="5">
        <v>0.41824341614755867</v>
      </c>
      <c r="S32" s="5">
        <v>1.4894241685047505</v>
      </c>
      <c r="T32" s="5">
        <v>7.2344435871559143E-2</v>
      </c>
      <c r="U32" s="5">
        <v>4.8943149151434131</v>
      </c>
      <c r="V32" s="13">
        <v>3.5473304911240333E-7</v>
      </c>
      <c r="W32" s="5">
        <f t="shared" si="5"/>
        <v>-0.60403456314653137</v>
      </c>
      <c r="X32" s="5">
        <f t="shared" si="5"/>
        <v>6.354659464489576E-2</v>
      </c>
      <c r="Y32" s="5">
        <f t="shared" si="2"/>
        <v>1.203628723327145</v>
      </c>
      <c r="Z32" s="5">
        <f t="shared" si="6"/>
        <v>0.8035217693047505</v>
      </c>
      <c r="AA32" s="5">
        <f t="shared" si="6"/>
        <v>5.2344435871559139E-2</v>
      </c>
      <c r="AB32" s="5">
        <f t="shared" si="3"/>
        <v>0.1819149151434134</v>
      </c>
      <c r="AC32" s="8">
        <f t="shared" si="7"/>
        <v>0.70377816622564093</v>
      </c>
      <c r="AD32" s="8">
        <f t="shared" si="7"/>
        <v>5.7945515258227449E-2</v>
      </c>
      <c r="AE32" s="8">
        <f t="shared" si="7"/>
        <v>0.6927718192352792</v>
      </c>
    </row>
    <row r="33" spans="1:31" x14ac:dyDescent="0.25">
      <c r="A33" s="5">
        <f>'Proximal Validation'!A33</f>
        <v>1.4109779404</v>
      </c>
      <c r="B33" s="5">
        <f>'Proximal Validation'!B33</f>
        <v>0.2</v>
      </c>
      <c r="C33" s="5">
        <f>'Proximal Validation'!C33</f>
        <v>3.1415999999999999</v>
      </c>
      <c r="D33" s="5">
        <f>'Proximal Validation'!D33</f>
        <v>1.3890525475</v>
      </c>
      <c r="E33" s="5">
        <f>'Proximal Validation'!E33</f>
        <v>0.12</v>
      </c>
      <c r="F33" s="5">
        <f>'Proximal Validation'!F33</f>
        <v>0</v>
      </c>
      <c r="G33" s="5">
        <f>'Proximal Validation'!G33</f>
        <v>0.24685834309999999</v>
      </c>
      <c r="H33" s="5">
        <f>'Proximal Validation'!H33</f>
        <v>4.5298125568999996</v>
      </c>
      <c r="I33" s="5">
        <f>'Proximal Validation'!I33</f>
        <v>2.6684535819000001</v>
      </c>
      <c r="J33" s="5">
        <f>'Proximal Validation'!J33</f>
        <v>-3.3102363813668498E-3</v>
      </c>
      <c r="K33" s="5">
        <f>'Proximal Validation'!K33</f>
        <v>-9.8247682675719691E-3</v>
      </c>
      <c r="L33" s="5">
        <f>'Proximal Validation'!L33</f>
        <v>-5.8335820399224844E-2</v>
      </c>
      <c r="M33" s="5">
        <f>'Proximal Validation'!M33</f>
        <v>-0.13851435482502</v>
      </c>
      <c r="N33" s="5">
        <f>'Proximal Validation'!N33</f>
        <v>0.50596565008163497</v>
      </c>
      <c r="O33" s="5">
        <f>'Proximal Validation'!O33</f>
        <v>4.1465051472187001E-2</v>
      </c>
      <c r="P33" s="5">
        <v>1.0138836777140232</v>
      </c>
      <c r="Q33" s="5">
        <v>0.19999999999997331</v>
      </c>
      <c r="R33" s="5">
        <v>3.0906290097722735</v>
      </c>
      <c r="S33" s="5">
        <v>1.3800647166279936</v>
      </c>
      <c r="T33" s="5">
        <v>9.4019111754568813E-2</v>
      </c>
      <c r="U33" s="5">
        <v>3.1732832369490327E-14</v>
      </c>
      <c r="V33" s="13">
        <v>1.2603000384379016E-6</v>
      </c>
      <c r="W33" s="5">
        <f t="shared" si="5"/>
        <v>-0.39709426268597681</v>
      </c>
      <c r="X33" s="5">
        <f t="shared" si="5"/>
        <v>-2.6700863742235015E-14</v>
      </c>
      <c r="Y33" s="5">
        <f t="shared" si="2"/>
        <v>5.0970990227726443E-2</v>
      </c>
      <c r="Z33" s="5">
        <f t="shared" si="6"/>
        <v>-8.987830872006386E-3</v>
      </c>
      <c r="AA33" s="5">
        <f t="shared" si="6"/>
        <v>-2.5980888245431183E-2</v>
      </c>
      <c r="AB33" s="5">
        <f t="shared" si="3"/>
        <v>3.1732832369490327E-14</v>
      </c>
      <c r="AC33" s="8">
        <f t="shared" si="7"/>
        <v>0.2030410467789916</v>
      </c>
      <c r="AD33" s="8">
        <f t="shared" si="7"/>
        <v>1.2990444122728942E-2</v>
      </c>
      <c r="AE33" s="8">
        <f t="shared" si="7"/>
        <v>2.5485495113879087E-2</v>
      </c>
    </row>
    <row r="34" spans="1:31" x14ac:dyDescent="0.25">
      <c r="A34" s="5">
        <f>'Proximal Validation'!A34</f>
        <v>1.4747736548999999</v>
      </c>
      <c r="B34" s="5">
        <f>'Proximal Validation'!B34</f>
        <v>0.2</v>
      </c>
      <c r="C34" s="5">
        <f>'Proximal Validation'!C34</f>
        <v>0</v>
      </c>
      <c r="D34" s="5">
        <f>'Proximal Validation'!D34</f>
        <v>1.4750904852</v>
      </c>
      <c r="E34" s="5">
        <f>'Proximal Validation'!E34</f>
        <v>0.12</v>
      </c>
      <c r="F34" s="5">
        <f>'Proximal Validation'!F34</f>
        <v>3.1415999999999999</v>
      </c>
      <c r="G34" s="5">
        <f>'Proximal Validation'!G34</f>
        <v>2.1243312033000001</v>
      </c>
      <c r="H34" s="5">
        <f>'Proximal Validation'!H34</f>
        <v>0.98146476360000001</v>
      </c>
      <c r="I34" s="5">
        <f>'Proximal Validation'!I34</f>
        <v>2.2301814902000001</v>
      </c>
      <c r="J34" s="5">
        <f>'Proximal Validation'!J34</f>
        <v>3.8138499949127401E-3</v>
      </c>
      <c r="K34" s="5">
        <f>'Proximal Validation'!K34</f>
        <v>-8.9558945968746684E-3</v>
      </c>
      <c r="L34" s="5">
        <f>'Proximal Validation'!L34</f>
        <v>6.6326448172330826E-2</v>
      </c>
      <c r="M34" s="5">
        <f>'Proximal Validation'!M34</f>
        <v>-3.0066302046179799E-2</v>
      </c>
      <c r="N34" s="5">
        <f>'Proximal Validation'!N34</f>
        <v>-0.46598353981971702</v>
      </c>
      <c r="O34" s="5">
        <f>'Proximal Validation'!O34</f>
        <v>2.87609733641148E-2</v>
      </c>
      <c r="P34" s="5">
        <v>0.69175621681190935</v>
      </c>
      <c r="Q34" s="5">
        <v>0.19999203150875294</v>
      </c>
      <c r="R34" s="5">
        <v>7.374809822717418E-2</v>
      </c>
      <c r="S34" s="5">
        <v>1.0992484837836374</v>
      </c>
      <c r="T34" s="5">
        <v>5.9961932788032718E-2</v>
      </c>
      <c r="U34" s="5">
        <v>3.1613646496685566</v>
      </c>
      <c r="V34" s="13">
        <v>2.9664076163557252E-6</v>
      </c>
      <c r="W34" s="5">
        <f t="shared" si="5"/>
        <v>-0.78301743808809054</v>
      </c>
      <c r="X34" s="5">
        <f t="shared" si="5"/>
        <v>-7.9684912470678881E-6</v>
      </c>
      <c r="Y34" s="5">
        <f t="shared" si="2"/>
        <v>7.374809822717418E-2</v>
      </c>
      <c r="Z34" s="5">
        <f t="shared" si="6"/>
        <v>-0.37584200141636259</v>
      </c>
      <c r="AA34" s="5">
        <f t="shared" si="6"/>
        <v>-6.0038067211967278E-2</v>
      </c>
      <c r="AB34" s="5">
        <f t="shared" si="3"/>
        <v>1.9764649668556622E-2</v>
      </c>
      <c r="AC34" s="8">
        <f t="shared" si="7"/>
        <v>0.57942971975222657</v>
      </c>
      <c r="AD34" s="8">
        <f t="shared" si="7"/>
        <v>3.0023017851607173E-2</v>
      </c>
      <c r="AE34" s="8">
        <f t="shared" si="7"/>
        <v>4.6756373947865401E-2</v>
      </c>
    </row>
    <row r="35" spans="1:31" x14ac:dyDescent="0.25">
      <c r="A35" s="5">
        <f>'Proximal Validation'!A35</f>
        <v>1.1341222659000001</v>
      </c>
      <c r="B35" s="5">
        <f>'Proximal Validation'!B35</f>
        <v>0.12</v>
      </c>
      <c r="C35" s="5">
        <f>'Proximal Validation'!C35</f>
        <v>0.78539999999999999</v>
      </c>
      <c r="D35" s="5">
        <f>'Proximal Validation'!D35</f>
        <v>1.3710979794</v>
      </c>
      <c r="E35" s="5">
        <f>'Proximal Validation'!E35</f>
        <v>0.04</v>
      </c>
      <c r="F35" s="5">
        <f>'Proximal Validation'!F35</f>
        <v>1.5708</v>
      </c>
      <c r="G35" s="5">
        <f>'Proximal Validation'!G35</f>
        <v>3.8924485742999999</v>
      </c>
      <c r="H35" s="5">
        <f>'Proximal Validation'!H35</f>
        <v>4.3783496642999999</v>
      </c>
      <c r="I35" s="5">
        <f>'Proximal Validation'!I35</f>
        <v>1.6360280112000001</v>
      </c>
      <c r="J35" s="5">
        <f>'Proximal Validation'!J35</f>
        <v>-2.8819218277931203E-4</v>
      </c>
      <c r="K35" s="5">
        <f>'Proximal Validation'!K35</f>
        <v>-0.16862541913986212</v>
      </c>
      <c r="L35" s="5">
        <f>'Proximal Validation'!L35</f>
        <v>9.6877405047416862E-2</v>
      </c>
      <c r="M35" s="5">
        <f>'Proximal Validation'!M35</f>
        <v>-0.59649485349655196</v>
      </c>
      <c r="N35" s="5">
        <f>'Proximal Validation'!N35</f>
        <v>0.69457828998565696</v>
      </c>
      <c r="O35" s="5">
        <f>'Proximal Validation'!O35</f>
        <v>2.1627001762390101</v>
      </c>
      <c r="P35" s="5">
        <v>1.4999999881127468</v>
      </c>
      <c r="Q35" s="5">
        <v>0.10198219134958492</v>
      </c>
      <c r="R35" s="5">
        <v>0.62271655428232398</v>
      </c>
      <c r="S35" s="5">
        <v>1.4997838387246629</v>
      </c>
      <c r="T35" s="5">
        <v>5.6985997513901016E-2</v>
      </c>
      <c r="U35" s="5">
        <v>1.8859908695893053</v>
      </c>
      <c r="V35" s="13">
        <v>3.7475147071796408E-5</v>
      </c>
      <c r="W35" s="5">
        <f t="shared" si="5"/>
        <v>0.36587772221274673</v>
      </c>
      <c r="X35" s="5">
        <f t="shared" si="5"/>
        <v>-1.8017808650415079E-2</v>
      </c>
      <c r="Y35" s="5">
        <f t="shared" si="2"/>
        <v>0.16268344571767601</v>
      </c>
      <c r="Z35" s="5">
        <f t="shared" si="6"/>
        <v>0.12868585932466292</v>
      </c>
      <c r="AA35" s="5">
        <f t="shared" si="6"/>
        <v>1.6985997513901015E-2</v>
      </c>
      <c r="AB35" s="5">
        <f t="shared" si="3"/>
        <v>0.31519086958930531</v>
      </c>
      <c r="AC35" s="8">
        <f t="shared" si="7"/>
        <v>0.24728179076870482</v>
      </c>
      <c r="AD35" s="8">
        <f t="shared" si="7"/>
        <v>1.7501903082158047E-2</v>
      </c>
      <c r="AE35" s="8">
        <f t="shared" si="7"/>
        <v>0.23893715765349066</v>
      </c>
    </row>
    <row r="36" spans="1:31" x14ac:dyDescent="0.25">
      <c r="A36" s="5">
        <f>'Proximal Validation'!A36</f>
        <v>0.785852255</v>
      </c>
      <c r="B36" s="5">
        <f>'Proximal Validation'!B36</f>
        <v>0.1</v>
      </c>
      <c r="C36" s="5">
        <f>'Proximal Validation'!C36</f>
        <v>0.78539999999999999</v>
      </c>
      <c r="D36" s="5">
        <f>'Proximal Validation'!D36</f>
        <v>0.39355619479999998</v>
      </c>
      <c r="E36" s="5">
        <f>'Proximal Validation'!E36</f>
        <v>0.02</v>
      </c>
      <c r="F36" s="5">
        <f>'Proximal Validation'!F36</f>
        <v>5.4977999999999998</v>
      </c>
      <c r="G36" s="5">
        <f>'Proximal Validation'!G36</f>
        <v>4.5109081914000004</v>
      </c>
      <c r="H36" s="5">
        <f>'Proximal Validation'!H36</f>
        <v>2.9663132843</v>
      </c>
      <c r="I36" s="5">
        <f>'Proximal Validation'!I36</f>
        <v>3.8683553511</v>
      </c>
      <c r="J36" s="5">
        <f>'Proximal Validation'!J36</f>
        <v>4.0220627561211603E-3</v>
      </c>
      <c r="K36" s="5">
        <f>'Proximal Validation'!K36</f>
        <v>-4.8670811653137261E-2</v>
      </c>
      <c r="L36" s="5">
        <f>'Proximal Validation'!L36</f>
        <v>6.9585041999816882E-2</v>
      </c>
      <c r="M36" s="5">
        <f>'Proximal Validation'!M36</f>
        <v>-0.13810922205448201</v>
      </c>
      <c r="N36" s="5">
        <f>'Proximal Validation'!N36</f>
        <v>0.84371614456176802</v>
      </c>
      <c r="O36" s="5">
        <f>'Proximal Validation'!O36</f>
        <v>0.228819519281387</v>
      </c>
      <c r="P36" s="5">
        <v>0.3903476221930261</v>
      </c>
      <c r="Q36" s="5">
        <v>0.19999550835606761</v>
      </c>
      <c r="R36" s="5">
        <v>0.69062399895265647</v>
      </c>
      <c r="S36" s="5">
        <v>0.56485310201577665</v>
      </c>
      <c r="T36" s="5">
        <v>2.0000000000025886E-2</v>
      </c>
      <c r="U36" s="5">
        <v>5.8693739612493432E-14</v>
      </c>
      <c r="V36" s="13">
        <v>3.8359104588677467E-6</v>
      </c>
      <c r="W36" s="5">
        <f t="shared" si="5"/>
        <v>-0.3955046328069739</v>
      </c>
      <c r="X36" s="5">
        <f t="shared" si="5"/>
        <v>9.9995508356067603E-2</v>
      </c>
      <c r="Y36" s="5">
        <f t="shared" si="2"/>
        <v>9.4776001047343517E-2</v>
      </c>
      <c r="Z36" s="5">
        <f t="shared" si="6"/>
        <v>0.17129690721577667</v>
      </c>
      <c r="AA36" s="5">
        <f t="shared" si="6"/>
        <v>2.5885543708525915E-14</v>
      </c>
      <c r="AB36" s="5">
        <f t="shared" si="3"/>
        <v>0.78538530717964505</v>
      </c>
      <c r="AC36" s="8">
        <f t="shared" si="7"/>
        <v>0.28340077001137531</v>
      </c>
      <c r="AD36" s="8">
        <f t="shared" si="7"/>
        <v>4.9997754178046742E-2</v>
      </c>
      <c r="AE36" s="8">
        <f t="shared" si="7"/>
        <v>0.44008065411349429</v>
      </c>
    </row>
    <row r="37" spans="1:31" x14ac:dyDescent="0.25">
      <c r="A37" s="5">
        <f>'Proximal Validation'!A37</f>
        <v>0.4787670047</v>
      </c>
      <c r="B37" s="5">
        <f>'Proximal Validation'!B37</f>
        <v>0.2</v>
      </c>
      <c r="C37" s="5">
        <f>'Proximal Validation'!C37</f>
        <v>4.7123999999999997</v>
      </c>
      <c r="D37" s="5">
        <f>'Proximal Validation'!D37</f>
        <v>0.35541469809999998</v>
      </c>
      <c r="E37" s="5">
        <f>'Proximal Validation'!E37</f>
        <v>0.14000000000000001</v>
      </c>
      <c r="F37" s="5">
        <f>'Proximal Validation'!F37</f>
        <v>3.1415999999999999</v>
      </c>
      <c r="G37" s="5">
        <f>'Proximal Validation'!G37</f>
        <v>4.9350065225000002</v>
      </c>
      <c r="H37" s="5">
        <f>'Proximal Validation'!H37</f>
        <v>4.6708884390999996</v>
      </c>
      <c r="I37" s="5">
        <f>'Proximal Validation'!I37</f>
        <v>0.64099500450000002</v>
      </c>
      <c r="J37" s="5">
        <f>'Proximal Validation'!J37</f>
        <v>4.0480811148881904E-3</v>
      </c>
      <c r="K37" s="5">
        <f>'Proximal Validation'!K37</f>
        <v>8.1926136910915243E-2</v>
      </c>
      <c r="L37" s="5">
        <f>'Proximal Validation'!L37</f>
        <v>-3.7596840262413014E-2</v>
      </c>
      <c r="M37" s="5">
        <f>'Proximal Validation'!M37</f>
        <v>-8.3123356103897095E-2</v>
      </c>
      <c r="N37" s="5">
        <f>'Proximal Validation'!N37</f>
        <v>-0.26290214061737099</v>
      </c>
      <c r="O37" s="5">
        <f>'Proximal Validation'!O37</f>
        <v>-0.36952835321426403</v>
      </c>
      <c r="P37" s="5">
        <v>0.67188080741722156</v>
      </c>
      <c r="Q37" s="5">
        <v>0.17023209233192077</v>
      </c>
      <c r="R37" s="5">
        <v>4.4686165236764417</v>
      </c>
      <c r="S37" s="5">
        <v>0.30000001823054262</v>
      </c>
      <c r="T37" s="5">
        <v>0.10407335700749823</v>
      </c>
      <c r="U37" s="5">
        <v>1.9171045665491955</v>
      </c>
      <c r="V37" s="13">
        <v>1.3233596965171695E-6</v>
      </c>
      <c r="W37" s="5">
        <f t="shared" si="5"/>
        <v>0.19311380271722156</v>
      </c>
      <c r="X37" s="5">
        <f t="shared" si="5"/>
        <v>-2.9767907668079241E-2</v>
      </c>
      <c r="Y37" s="5">
        <f t="shared" si="2"/>
        <v>0.24378347632355801</v>
      </c>
      <c r="Z37" s="5">
        <f t="shared" si="6"/>
        <v>-5.5414679869457362E-2</v>
      </c>
      <c r="AA37" s="5">
        <f t="shared" si="6"/>
        <v>-3.5926642992501784E-2</v>
      </c>
      <c r="AB37" s="5">
        <f t="shared" si="3"/>
        <v>1.2244954334508045</v>
      </c>
      <c r="AC37" s="8">
        <f t="shared" si="7"/>
        <v>0.12426424129333946</v>
      </c>
      <c r="AD37" s="8">
        <f t="shared" si="7"/>
        <v>3.2847275330290512E-2</v>
      </c>
      <c r="AE37" s="8">
        <f t="shared" si="7"/>
        <v>0.73413945488718124</v>
      </c>
    </row>
    <row r="38" spans="1:31" x14ac:dyDescent="0.25">
      <c r="A38" s="5">
        <f>'Proximal Validation'!A38</f>
        <v>1.2825258852999999</v>
      </c>
      <c r="B38" s="5">
        <f>'Proximal Validation'!B38</f>
        <v>0.14000000000000001</v>
      </c>
      <c r="C38" s="5">
        <f>'Proximal Validation'!C38</f>
        <v>2.3561999999999999</v>
      </c>
      <c r="D38" s="5">
        <f>'Proximal Validation'!D38</f>
        <v>1.1085226837</v>
      </c>
      <c r="E38" s="5">
        <f>'Proximal Validation'!E38</f>
        <v>0.08</v>
      </c>
      <c r="F38" s="5">
        <f>'Proximal Validation'!F38</f>
        <v>3.1415999999999999</v>
      </c>
      <c r="G38" s="5">
        <f>'Proximal Validation'!G38</f>
        <v>5.0541583899999999E-2</v>
      </c>
      <c r="H38" s="5">
        <f>'Proximal Validation'!H38</f>
        <v>4.9578693537999996</v>
      </c>
      <c r="I38" s="5">
        <f>'Proximal Validation'!I38</f>
        <v>3.9886280456000001</v>
      </c>
      <c r="J38" s="5">
        <f>'Proximal Validation'!J38</f>
        <v>-2.3071035742759701E-2</v>
      </c>
      <c r="K38" s="5">
        <f>'Proximal Validation'!K38</f>
        <v>-0.10596835374832156</v>
      </c>
      <c r="L38" s="5">
        <f>'Proximal Validation'!L38</f>
        <v>-0.22721113681793151</v>
      </c>
      <c r="M38" s="5">
        <f>'Proximal Validation'!M38</f>
        <v>-1.1593600511550901</v>
      </c>
      <c r="N38" s="5">
        <f>'Proximal Validation'!N38</f>
        <v>-1.6655416488647501</v>
      </c>
      <c r="O38" s="5">
        <f>'Proximal Validation'!O38</f>
        <v>0.71028804779052701</v>
      </c>
      <c r="P38" s="5">
        <v>1.3313790120548008</v>
      </c>
      <c r="Q38" s="5">
        <v>0.19794483324268314</v>
      </c>
      <c r="R38" s="5">
        <v>2.7338302193567472</v>
      </c>
      <c r="S38" s="5">
        <v>1.2670870278963289</v>
      </c>
      <c r="T38" s="5">
        <v>2.0000000901610634E-2</v>
      </c>
      <c r="U38" s="5">
        <v>2.8798715152350716</v>
      </c>
      <c r="V38" s="13">
        <v>2.1589560734556806E-5</v>
      </c>
      <c r="W38" s="5">
        <f t="shared" si="5"/>
        <v>4.8853126754800913E-2</v>
      </c>
      <c r="X38" s="5">
        <f t="shared" si="5"/>
        <v>5.7944833242683125E-2</v>
      </c>
      <c r="Y38" s="5">
        <f t="shared" si="2"/>
        <v>0.37763021935674734</v>
      </c>
      <c r="Z38" s="5">
        <f t="shared" si="6"/>
        <v>0.15856434419632892</v>
      </c>
      <c r="AA38" s="5">
        <f t="shared" si="6"/>
        <v>-5.9999999098389364E-2</v>
      </c>
      <c r="AB38" s="5">
        <f t="shared" si="3"/>
        <v>0.26172848476492838</v>
      </c>
      <c r="AC38" s="8">
        <f t="shared" si="7"/>
        <v>0.10370873547556492</v>
      </c>
      <c r="AD38" s="8">
        <f t="shared" si="7"/>
        <v>5.8972416170536245E-2</v>
      </c>
      <c r="AE38" s="8">
        <f t="shared" si="7"/>
        <v>0.31967935206083786</v>
      </c>
    </row>
    <row r="39" spans="1:31" x14ac:dyDescent="0.25">
      <c r="A39" s="5">
        <f>'Proximal Validation'!A39</f>
        <v>1.0319949839</v>
      </c>
      <c r="B39" s="5">
        <f>'Proximal Validation'!B39</f>
        <v>0.18</v>
      </c>
      <c r="C39" s="5">
        <f>'Proximal Validation'!C39</f>
        <v>3.927</v>
      </c>
      <c r="D39" s="5">
        <f>'Proximal Validation'!D39</f>
        <v>1.1733448184999999</v>
      </c>
      <c r="E39" s="5">
        <f>'Proximal Validation'!E39</f>
        <v>0.12</v>
      </c>
      <c r="F39" s="5">
        <f>'Proximal Validation'!F39</f>
        <v>0.78539999999999999</v>
      </c>
      <c r="G39" s="5">
        <f>'Proximal Validation'!G39</f>
        <v>4.3201662060999997</v>
      </c>
      <c r="H39" s="5">
        <f>'Proximal Validation'!H39</f>
        <v>3.8378352410000001</v>
      </c>
      <c r="I39" s="5">
        <f>'Proximal Validation'!I39</f>
        <v>4.8360302252</v>
      </c>
      <c r="J39" s="5">
        <f>'Proximal Validation'!J39</f>
        <v>2.0447487477213101E-3</v>
      </c>
      <c r="K39" s="5">
        <f>'Proximal Validation'!K39</f>
        <v>3.4675893932580408E-3</v>
      </c>
      <c r="L39" s="5">
        <f>'Proximal Validation'!L39</f>
        <v>-1.7182121560908849E-2</v>
      </c>
      <c r="M39" s="5">
        <f>'Proximal Validation'!M39</f>
        <v>-4.4312290847301497E-2</v>
      </c>
      <c r="N39" s="5">
        <f>'Proximal Validation'!N39</f>
        <v>0.20662721991538999</v>
      </c>
      <c r="O39" s="5">
        <f>'Proximal Validation'!O39</f>
        <v>0.34084922075271601</v>
      </c>
      <c r="P39" s="5">
        <v>0.89561618341439075</v>
      </c>
      <c r="Q39" s="5">
        <v>4.6413694448333168E-2</v>
      </c>
      <c r="R39" s="5">
        <v>3.5922643121713085</v>
      </c>
      <c r="S39" s="5">
        <v>1.2486361555906165</v>
      </c>
      <c r="T39" s="5">
        <v>2.0126768237375529E-2</v>
      </c>
      <c r="U39" s="5">
        <v>0.62508306642862232</v>
      </c>
      <c r="V39" s="13">
        <v>5.4222647030312362E-6</v>
      </c>
      <c r="W39" s="5">
        <f t="shared" ref="W39:X52" si="8">P39-A39</f>
        <v>-0.13637880048560924</v>
      </c>
      <c r="X39" s="5">
        <f t="shared" si="8"/>
        <v>-0.13358630555166684</v>
      </c>
      <c r="Y39" s="5">
        <f t="shared" si="2"/>
        <v>0.33473568782869156</v>
      </c>
      <c r="Z39" s="5">
        <f t="shared" ref="Z39:AA52" si="9">S39-D39</f>
        <v>7.5291337090616528E-2</v>
      </c>
      <c r="AA39" s="5">
        <f t="shared" si="9"/>
        <v>-9.987323176262447E-2</v>
      </c>
      <c r="AB39" s="5">
        <f t="shared" si="3"/>
        <v>0.16031693357137766</v>
      </c>
      <c r="AC39" s="8">
        <f t="shared" ref="AC39:AE52" si="10">AVERAGE(ABS(W39),ABS(Z39))</f>
        <v>0.10583506878811288</v>
      </c>
      <c r="AD39" s="8">
        <f t="shared" si="10"/>
        <v>0.11672976865714565</v>
      </c>
      <c r="AE39" s="8">
        <f t="shared" si="10"/>
        <v>0.24752631070003461</v>
      </c>
    </row>
    <row r="40" spans="1:31" x14ac:dyDescent="0.25">
      <c r="A40" s="5">
        <f>'Proximal Validation'!A40</f>
        <v>0.54659396309999997</v>
      </c>
      <c r="B40" s="5">
        <f>'Proximal Validation'!B40</f>
        <v>0.14000000000000001</v>
      </c>
      <c r="C40" s="5">
        <f>'Proximal Validation'!C40</f>
        <v>3.927</v>
      </c>
      <c r="D40" s="5">
        <f>'Proximal Validation'!D40</f>
        <v>0.37475583969999998</v>
      </c>
      <c r="E40" s="5">
        <f>'Proximal Validation'!E40</f>
        <v>0.08</v>
      </c>
      <c r="F40" s="5">
        <f>'Proximal Validation'!F40</f>
        <v>1.5708</v>
      </c>
      <c r="G40" s="5">
        <f>'Proximal Validation'!G40</f>
        <v>1.2326114607000001</v>
      </c>
      <c r="H40" s="5">
        <f>'Proximal Validation'!H40</f>
        <v>3.5091223980000001</v>
      </c>
      <c r="I40" s="5">
        <f>'Proximal Validation'!I40</f>
        <v>2.8278096824999999</v>
      </c>
      <c r="J40" s="5">
        <f>'Proximal Validation'!J40</f>
        <v>9.2119863256812096E-4</v>
      </c>
      <c r="K40" s="5">
        <f>'Proximal Validation'!K40</f>
        <v>1.6157464738935229E-2</v>
      </c>
      <c r="L40" s="5">
        <f>'Proximal Validation'!L40</f>
        <v>-5.0630841255187964E-2</v>
      </c>
      <c r="M40" s="5">
        <f>'Proximal Validation'!M40</f>
        <v>-5.8329094201326398E-2</v>
      </c>
      <c r="N40" s="5">
        <f>'Proximal Validation'!N40</f>
        <v>-0.317890405654907</v>
      </c>
      <c r="O40" s="5">
        <f>'Proximal Validation'!O40</f>
        <v>0.108785018324852</v>
      </c>
      <c r="P40" s="5">
        <v>0.46775678012173305</v>
      </c>
      <c r="Q40" s="5">
        <v>0.14329578009294952</v>
      </c>
      <c r="R40" s="5">
        <v>3.7798866272836218</v>
      </c>
      <c r="S40" s="5">
        <v>0.38659882502835979</v>
      </c>
      <c r="T40" s="5">
        <v>6.1755770537335788E-2</v>
      </c>
      <c r="U40" s="5">
        <v>1.4498512136391812</v>
      </c>
      <c r="V40" s="13">
        <v>2.3627212569405164E-7</v>
      </c>
      <c r="W40" s="5">
        <f t="shared" si="8"/>
        <v>-7.8837182978266918E-2</v>
      </c>
      <c r="X40" s="5">
        <f t="shared" si="8"/>
        <v>3.2957800929495074E-3</v>
      </c>
      <c r="Y40" s="5">
        <f t="shared" si="2"/>
        <v>0.14711337271637825</v>
      </c>
      <c r="Z40" s="5">
        <f t="shared" si="9"/>
        <v>1.1842985328359812E-2</v>
      </c>
      <c r="AA40" s="5">
        <f t="shared" si="9"/>
        <v>-1.8244229462664213E-2</v>
      </c>
      <c r="AB40" s="5">
        <f t="shared" si="3"/>
        <v>0.12094878636081874</v>
      </c>
      <c r="AC40" s="8">
        <f t="shared" si="10"/>
        <v>4.5340084153313365E-2</v>
      </c>
      <c r="AD40" s="8">
        <f t="shared" si="10"/>
        <v>1.077000477780686E-2</v>
      </c>
      <c r="AE40" s="8">
        <f t="shared" si="10"/>
        <v>0.1340310795385985</v>
      </c>
    </row>
    <row r="41" spans="1:31" x14ac:dyDescent="0.25">
      <c r="A41" s="5">
        <f>'Proximal Validation'!A41</f>
        <v>0.62359206519999999</v>
      </c>
      <c r="B41" s="5">
        <f>'Proximal Validation'!B41</f>
        <v>0.08</v>
      </c>
      <c r="C41" s="5">
        <f>'Proximal Validation'!C41</f>
        <v>5.4977999999999998</v>
      </c>
      <c r="D41" s="5">
        <f>'Proximal Validation'!D41</f>
        <v>0.47877904049999997</v>
      </c>
      <c r="E41" s="5">
        <f>'Proximal Validation'!E41</f>
        <v>0.02</v>
      </c>
      <c r="F41" s="5">
        <f>'Proximal Validation'!F41</f>
        <v>3.927</v>
      </c>
      <c r="G41" s="5">
        <f>'Proximal Validation'!G41</f>
        <v>2.2205178402999999</v>
      </c>
      <c r="H41" s="5">
        <f>'Proximal Validation'!H41</f>
        <v>1.9827336431</v>
      </c>
      <c r="I41" s="5">
        <f>'Proximal Validation'!I41</f>
        <v>0.36676452050000002</v>
      </c>
      <c r="J41" s="5">
        <f>'Proximal Validation'!J41</f>
        <v>-1.47967482917011E-3</v>
      </c>
      <c r="K41" s="5">
        <f>'Proximal Validation'!K41</f>
        <v>4.5280347466468848E-2</v>
      </c>
      <c r="L41" s="5">
        <f>'Proximal Validation'!L41</f>
        <v>2.6666867956519166E-2</v>
      </c>
      <c r="M41" s="5">
        <f>'Proximal Validation'!M41</f>
        <v>-4.8165880143642398E-2</v>
      </c>
      <c r="N41" s="5">
        <f>'Proximal Validation'!N41</f>
        <v>-2.6211343705654099E-2</v>
      </c>
      <c r="O41" s="5">
        <f>'Proximal Validation'!O41</f>
        <v>-0.78379583358764604</v>
      </c>
      <c r="P41" s="5">
        <v>0.35586396807112675</v>
      </c>
      <c r="Q41" s="5">
        <v>0.12726994708454634</v>
      </c>
      <c r="R41" s="5">
        <v>5.7082891789136561</v>
      </c>
      <c r="S41" s="5">
        <v>0.67246972362176682</v>
      </c>
      <c r="T41" s="5">
        <v>3.4930960394213166E-2</v>
      </c>
      <c r="U41" s="5">
        <v>4.212751560002677</v>
      </c>
      <c r="V41" s="13">
        <v>1.2938449123387336E-7</v>
      </c>
      <c r="W41" s="5">
        <f t="shared" si="8"/>
        <v>-0.26772809712887324</v>
      </c>
      <c r="X41" s="5">
        <f t="shared" si="8"/>
        <v>4.7269947084546335E-2</v>
      </c>
      <c r="Y41" s="5">
        <f t="shared" si="2"/>
        <v>0.21048917891365626</v>
      </c>
      <c r="Z41" s="5">
        <f t="shared" si="9"/>
        <v>0.19369068312176685</v>
      </c>
      <c r="AA41" s="5">
        <f t="shared" si="9"/>
        <v>1.4930960394213166E-2</v>
      </c>
      <c r="AB41" s="5">
        <f t="shared" si="3"/>
        <v>0.28575156000267699</v>
      </c>
      <c r="AC41" s="8">
        <f t="shared" si="10"/>
        <v>0.23070939012532005</v>
      </c>
      <c r="AD41" s="8">
        <f t="shared" si="10"/>
        <v>3.1100453739379752E-2</v>
      </c>
      <c r="AE41" s="8">
        <f t="shared" si="10"/>
        <v>0.24812036945816662</v>
      </c>
    </row>
    <row r="42" spans="1:31" x14ac:dyDescent="0.25">
      <c r="A42" s="5">
        <f>'Proximal Validation'!A42</f>
        <v>1.3484992293</v>
      </c>
      <c r="B42" s="5">
        <f>'Proximal Validation'!B42</f>
        <v>0.2</v>
      </c>
      <c r="C42" s="5">
        <f>'Proximal Validation'!C42</f>
        <v>0</v>
      </c>
      <c r="D42" s="5">
        <f>'Proximal Validation'!D42</f>
        <v>0.39122828500000001</v>
      </c>
      <c r="E42" s="5">
        <f>'Proximal Validation'!E42</f>
        <v>0.14000000000000001</v>
      </c>
      <c r="F42" s="5">
        <f>'Proximal Validation'!F42</f>
        <v>0.78539999999999999</v>
      </c>
      <c r="G42" s="5">
        <f>'Proximal Validation'!G42</f>
        <v>1.9402253723</v>
      </c>
      <c r="H42" s="5">
        <f>'Proximal Validation'!H42</f>
        <v>1.6478522000000001E-3</v>
      </c>
      <c r="I42" s="5">
        <f>'Proximal Validation'!I42</f>
        <v>3.2221664534999999</v>
      </c>
      <c r="J42" s="5">
        <f>'Proximal Validation'!J42</f>
        <v>2.92359739542007E-2</v>
      </c>
      <c r="K42" s="5">
        <f>'Proximal Validation'!K42</f>
        <v>-4.2003208994865412E-2</v>
      </c>
      <c r="L42" s="5">
        <f>'Proximal Validation'!L42</f>
        <v>0.28241620004177093</v>
      </c>
      <c r="M42" s="5">
        <f>'Proximal Validation'!M42</f>
        <v>-1.3672847747802701</v>
      </c>
      <c r="N42" s="5">
        <f>'Proximal Validation'!N42</f>
        <v>0.75280958414077803</v>
      </c>
      <c r="O42" s="5">
        <f>'Proximal Validation'!O42</f>
        <v>0.313927292823792</v>
      </c>
      <c r="P42" s="5">
        <v>1.4999999999999778</v>
      </c>
      <c r="Q42" s="5">
        <v>0.19999999999997781</v>
      </c>
      <c r="R42" s="5">
        <v>6.5931476209244305E-2</v>
      </c>
      <c r="S42" s="5">
        <v>0.37165026394024353</v>
      </c>
      <c r="T42" s="5">
        <v>9.9934475482541515E-2</v>
      </c>
      <c r="U42" s="5">
        <v>0.40376242148557295</v>
      </c>
      <c r="V42" s="13">
        <v>8.69494768351688E-5</v>
      </c>
      <c r="W42" s="5">
        <f t="shared" si="8"/>
        <v>0.1515007706999778</v>
      </c>
      <c r="X42" s="5">
        <f t="shared" si="8"/>
        <v>-2.2204460492503131E-14</v>
      </c>
      <c r="Y42" s="5">
        <f t="shared" si="2"/>
        <v>6.5931476209244305E-2</v>
      </c>
      <c r="Z42" s="5">
        <f t="shared" si="9"/>
        <v>-1.9578021059756479E-2</v>
      </c>
      <c r="AA42" s="5">
        <f t="shared" si="9"/>
        <v>-4.0065524517458498E-2</v>
      </c>
      <c r="AB42" s="5">
        <f t="shared" si="3"/>
        <v>0.38163757851442703</v>
      </c>
      <c r="AC42" s="8">
        <f t="shared" si="10"/>
        <v>8.5539395879867142E-2</v>
      </c>
      <c r="AD42" s="8">
        <f t="shared" si="10"/>
        <v>2.0032762258740351E-2</v>
      </c>
      <c r="AE42" s="8">
        <f t="shared" si="10"/>
        <v>0.22378452736183568</v>
      </c>
    </row>
    <row r="43" spans="1:31" x14ac:dyDescent="0.25">
      <c r="A43" s="5">
        <f>'Proximal Validation'!A43</f>
        <v>0.51681038229999998</v>
      </c>
      <c r="B43" s="5">
        <f>'Proximal Validation'!B43</f>
        <v>0.08</v>
      </c>
      <c r="C43" s="5">
        <f>'Proximal Validation'!C43</f>
        <v>0</v>
      </c>
      <c r="D43" s="5">
        <f>'Proximal Validation'!D43</f>
        <v>0.91461204240000005</v>
      </c>
      <c r="E43" s="5">
        <f>'Proximal Validation'!E43</f>
        <v>0.02</v>
      </c>
      <c r="F43" s="5">
        <f>'Proximal Validation'!F43</f>
        <v>3.927</v>
      </c>
      <c r="G43" s="5">
        <f>'Proximal Validation'!G43</f>
        <v>3.7945339589999998</v>
      </c>
      <c r="H43" s="5">
        <f>'Proximal Validation'!H43</f>
        <v>3.3481721828</v>
      </c>
      <c r="I43" s="5">
        <f>'Proximal Validation'!I43</f>
        <v>3.4429632493</v>
      </c>
      <c r="J43" s="5">
        <f>'Proximal Validation'!J43</f>
        <v>6.0794455930590597E-4</v>
      </c>
      <c r="K43" s="5">
        <f>'Proximal Validation'!K43</f>
        <v>1.5098237991333044E-2</v>
      </c>
      <c r="L43" s="5">
        <f>'Proximal Validation'!L43</f>
        <v>2.8885395154356931E-2</v>
      </c>
      <c r="M43" s="5">
        <f>'Proximal Validation'!M43</f>
        <v>-5.19313141703606E-2</v>
      </c>
      <c r="N43" s="5">
        <f>'Proximal Validation'!N43</f>
        <v>-0.227550074458122</v>
      </c>
      <c r="O43" s="5">
        <f>'Proximal Validation'!O43</f>
        <v>-0.74169278144836404</v>
      </c>
      <c r="P43" s="5">
        <v>0.43367117658645821</v>
      </c>
      <c r="Q43" s="5">
        <v>0.14716493070316544</v>
      </c>
      <c r="R43" s="5">
        <v>0.45471228174691025</v>
      </c>
      <c r="S43" s="5">
        <v>1.1149657785980167</v>
      </c>
      <c r="T43" s="5">
        <v>4.6217399201604267E-2</v>
      </c>
      <c r="U43" s="5">
        <v>4.1297767020238911</v>
      </c>
      <c r="V43" s="13">
        <v>6.2308028514794158E-7</v>
      </c>
      <c r="W43" s="5">
        <f t="shared" si="8"/>
        <v>-8.3139205713541775E-2</v>
      </c>
      <c r="X43" s="5">
        <f t="shared" si="8"/>
        <v>6.716493070316544E-2</v>
      </c>
      <c r="Y43" s="5">
        <f t="shared" si="2"/>
        <v>0.45471228174691025</v>
      </c>
      <c r="Z43" s="5">
        <f t="shared" si="9"/>
        <v>0.20035373619801666</v>
      </c>
      <c r="AA43" s="5">
        <f t="shared" si="9"/>
        <v>2.6217399201604267E-2</v>
      </c>
      <c r="AB43" s="5">
        <f t="shared" si="3"/>
        <v>0.20277670202389109</v>
      </c>
      <c r="AC43" s="8">
        <f t="shared" si="10"/>
        <v>0.14174647095577922</v>
      </c>
      <c r="AD43" s="8">
        <f t="shared" si="10"/>
        <v>4.6691164952384852E-2</v>
      </c>
      <c r="AE43" s="8">
        <f t="shared" si="10"/>
        <v>0.32874449188540067</v>
      </c>
    </row>
    <row r="44" spans="1:31" x14ac:dyDescent="0.25">
      <c r="A44" s="5">
        <f>'Proximal Validation'!A44</f>
        <v>0.68441694529999997</v>
      </c>
      <c r="B44" s="5">
        <f>'Proximal Validation'!B44</f>
        <v>0.16</v>
      </c>
      <c r="C44" s="5">
        <f>'Proximal Validation'!C44</f>
        <v>2.3561999999999999</v>
      </c>
      <c r="D44" s="5">
        <f>'Proximal Validation'!D44</f>
        <v>1.4072090791</v>
      </c>
      <c r="E44" s="5">
        <f>'Proximal Validation'!E44</f>
        <v>0.1</v>
      </c>
      <c r="F44" s="5">
        <f>'Proximal Validation'!F44</f>
        <v>0.78539999999999999</v>
      </c>
      <c r="G44" s="5">
        <f>'Proximal Validation'!G44</f>
        <v>1.6472032243000001</v>
      </c>
      <c r="H44" s="5">
        <f>'Proximal Validation'!H44</f>
        <v>5.9795420000000002E-2</v>
      </c>
      <c r="I44" s="5">
        <f>'Proximal Validation'!I44</f>
        <v>0.1036992028</v>
      </c>
      <c r="J44" s="5">
        <f>'Proximal Validation'!J44</f>
        <v>1.05409817770123E-2</v>
      </c>
      <c r="K44" s="5">
        <f>'Proximal Validation'!K44</f>
        <v>-0.15412576675415074</v>
      </c>
      <c r="L44" s="5">
        <f>'Proximal Validation'!L44</f>
        <v>2.3715965151786811E-2</v>
      </c>
      <c r="M44" s="5">
        <f>'Proximal Validation'!M44</f>
        <v>-0.46214094758033802</v>
      </c>
      <c r="N44" s="5">
        <f>'Proximal Validation'!N44</f>
        <v>0.52779358625411998</v>
      </c>
      <c r="O44" s="5">
        <f>'Proximal Validation'!O44</f>
        <v>1.1965517997741699</v>
      </c>
      <c r="P44" s="5">
        <v>0.75719464516456814</v>
      </c>
      <c r="Q44" s="5">
        <v>0.19999999842514873</v>
      </c>
      <c r="R44" s="5">
        <v>1.4622906402031357</v>
      </c>
      <c r="S44" s="5">
        <v>0.7557316699155362</v>
      </c>
      <c r="T44" s="5">
        <v>2.0000000000022212E-2</v>
      </c>
      <c r="U44" s="5">
        <v>0.86436079786507958</v>
      </c>
      <c r="V44" s="13">
        <v>2.4294232292353486E-5</v>
      </c>
      <c r="W44" s="5">
        <f t="shared" si="8"/>
        <v>7.2777699864568168E-2</v>
      </c>
      <c r="X44" s="5">
        <f t="shared" si="8"/>
        <v>3.9999998425148731E-2</v>
      </c>
      <c r="Y44" s="5">
        <f t="shared" si="2"/>
        <v>0.89390935979686414</v>
      </c>
      <c r="Z44" s="5">
        <f t="shared" si="9"/>
        <v>-0.65147740918446384</v>
      </c>
      <c r="AA44" s="5">
        <f t="shared" si="9"/>
        <v>-7.9999999999977797E-2</v>
      </c>
      <c r="AB44" s="5">
        <f t="shared" si="3"/>
        <v>7.8960797865079591E-2</v>
      </c>
      <c r="AC44" s="8">
        <f t="shared" si="10"/>
        <v>0.362127554524516</v>
      </c>
      <c r="AD44" s="8">
        <f t="shared" si="10"/>
        <v>5.9999999212563264E-2</v>
      </c>
      <c r="AE44" s="8">
        <f t="shared" si="10"/>
        <v>0.48643507883097187</v>
      </c>
    </row>
    <row r="45" spans="1:31" x14ac:dyDescent="0.25">
      <c r="A45" s="5">
        <f>'Proximal Validation'!A45</f>
        <v>1.3991334753</v>
      </c>
      <c r="B45" s="5">
        <f>'Proximal Validation'!B45</f>
        <v>0.12</v>
      </c>
      <c r="C45" s="5">
        <f>'Proximal Validation'!C45</f>
        <v>5.4977999999999998</v>
      </c>
      <c r="D45" s="5">
        <f>'Proximal Validation'!D45</f>
        <v>0.96266422490000003</v>
      </c>
      <c r="E45" s="5">
        <f>'Proximal Validation'!E45</f>
        <v>0.06</v>
      </c>
      <c r="F45" s="5">
        <f>'Proximal Validation'!F45</f>
        <v>5.4977999999999998</v>
      </c>
      <c r="G45" s="5">
        <f>'Proximal Validation'!G45</f>
        <v>2.0231526378</v>
      </c>
      <c r="H45" s="5">
        <f>'Proximal Validation'!H45</f>
        <v>0.50988481399999996</v>
      </c>
      <c r="I45" s="5">
        <f>'Proximal Validation'!I45</f>
        <v>0.60427768879999999</v>
      </c>
      <c r="J45" s="5">
        <f>'Proximal Validation'!J45</f>
        <v>-3.9675664156675304E-3</v>
      </c>
      <c r="K45" s="5">
        <f>'Proximal Validation'!K45</f>
        <v>0.18592015862464931</v>
      </c>
      <c r="L45" s="5">
        <f>'Proximal Validation'!L45</f>
        <v>0.1597622621059421</v>
      </c>
      <c r="M45" s="5">
        <f>'Proximal Validation'!M45</f>
        <v>-0.87976008653640703</v>
      </c>
      <c r="N45" s="5">
        <f>'Proximal Validation'!N45</f>
        <v>1.1610733270645099</v>
      </c>
      <c r="O45" s="5">
        <f>'Proximal Validation'!O45</f>
        <v>-1.7950013875961299</v>
      </c>
      <c r="P45" s="5">
        <v>1.4999953328128435</v>
      </c>
      <c r="Q45" s="5">
        <v>0.12388786962706057</v>
      </c>
      <c r="R45" s="5">
        <v>4.7131024342523995</v>
      </c>
      <c r="S45" s="5">
        <v>1.4333718586347222</v>
      </c>
      <c r="T45" s="5">
        <v>0.11427454684168611</v>
      </c>
      <c r="U45" s="5">
        <v>2.4233420304370927E-6</v>
      </c>
      <c r="V45" s="13">
        <v>7.0350492778109032E-4</v>
      </c>
      <c r="W45" s="5">
        <f t="shared" si="8"/>
        <v>0.10086185751284349</v>
      </c>
      <c r="X45" s="5">
        <f t="shared" si="8"/>
        <v>3.8878696270605723E-3</v>
      </c>
      <c r="Y45" s="5">
        <f t="shared" si="2"/>
        <v>0.7846975657476003</v>
      </c>
      <c r="Z45" s="5">
        <f t="shared" si="9"/>
        <v>0.47070763373472213</v>
      </c>
      <c r="AA45" s="5">
        <f t="shared" si="9"/>
        <v>5.4274546841686117E-2</v>
      </c>
      <c r="AB45" s="5">
        <f t="shared" si="3"/>
        <v>0.78538773052161659</v>
      </c>
      <c r="AC45" s="9">
        <f t="shared" si="10"/>
        <v>0.28578474562378281</v>
      </c>
      <c r="AD45" s="9">
        <f t="shared" si="10"/>
        <v>2.9081208234373344E-2</v>
      </c>
      <c r="AE45" s="9">
        <f t="shared" si="10"/>
        <v>0.78504264813460845</v>
      </c>
    </row>
    <row r="46" spans="1:31" x14ac:dyDescent="0.25">
      <c r="A46" s="5">
        <f>'Proximal Validation'!A46</f>
        <v>0.4668308846</v>
      </c>
      <c r="B46" s="5">
        <f>'Proximal Validation'!B46</f>
        <v>0.08</v>
      </c>
      <c r="C46" s="5">
        <f>'Proximal Validation'!C46</f>
        <v>3.1415999999999999</v>
      </c>
      <c r="D46" s="5">
        <f>'Proximal Validation'!D46</f>
        <v>1.1054712231999999</v>
      </c>
      <c r="E46" s="5">
        <f>'Proximal Validation'!E46</f>
        <v>0.04</v>
      </c>
      <c r="F46" s="5">
        <f>'Proximal Validation'!F46</f>
        <v>4.7123999999999997</v>
      </c>
      <c r="G46" s="5">
        <f>'Proximal Validation'!G46</f>
        <v>4.4838346888</v>
      </c>
      <c r="H46" s="5">
        <f>'Proximal Validation'!H46</f>
        <v>0.20145099390000001</v>
      </c>
      <c r="I46" s="5">
        <f>'Proximal Validation'!I46</f>
        <v>4.5041045776999997</v>
      </c>
      <c r="J46" s="5">
        <f>'Proximal Validation'!J46</f>
        <v>-3.2952348701655899E-3</v>
      </c>
      <c r="K46" s="5">
        <f>'Proximal Validation'!K46</f>
        <v>4.5224753618240493E-2</v>
      </c>
      <c r="L46" s="5">
        <f>'Proximal Validation'!L46</f>
        <v>-3.975314408540729E-2</v>
      </c>
      <c r="M46" s="5">
        <f>'Proximal Validation'!M46</f>
        <v>-6.3384123146533994E-2</v>
      </c>
      <c r="N46" s="5">
        <f>'Proximal Validation'!N46</f>
        <v>-0.49019342660903897</v>
      </c>
      <c r="O46" s="5">
        <f>'Proximal Validation'!O46</f>
        <v>-1.07537841796875</v>
      </c>
      <c r="P46" s="5">
        <v>0.43546709816345758</v>
      </c>
      <c r="Q46" s="5">
        <v>0.10813666961838833</v>
      </c>
      <c r="R46" s="5">
        <v>3.8129972070474194</v>
      </c>
      <c r="S46" s="5">
        <v>0.82110476340061622</v>
      </c>
      <c r="T46" s="5">
        <v>2.005985665062061E-2</v>
      </c>
      <c r="U46" s="5">
        <v>4.5336690815210021</v>
      </c>
      <c r="V46" s="13">
        <v>2.6875521102760947E-8</v>
      </c>
      <c r="W46" s="5">
        <f t="shared" si="8"/>
        <v>-3.1363786436542418E-2</v>
      </c>
      <c r="X46" s="5">
        <f t="shared" si="8"/>
        <v>2.813666961838833E-2</v>
      </c>
      <c r="Y46" s="5">
        <f t="shared" si="2"/>
        <v>0.67139720704741945</v>
      </c>
      <c r="Z46" s="5">
        <f t="shared" si="9"/>
        <v>-0.28436645979938369</v>
      </c>
      <c r="AA46" s="5">
        <f t="shared" si="9"/>
        <v>-1.994014334937939E-2</v>
      </c>
      <c r="AB46" s="5">
        <f t="shared" si="3"/>
        <v>0.17873091847899758</v>
      </c>
      <c r="AC46" s="8">
        <f t="shared" si="10"/>
        <v>0.15786512311796305</v>
      </c>
      <c r="AD46" s="8">
        <f t="shared" si="10"/>
        <v>2.4038406483883862E-2</v>
      </c>
      <c r="AE46" s="8">
        <f t="shared" si="10"/>
        <v>0.42506406276320852</v>
      </c>
    </row>
    <row r="47" spans="1:31" x14ac:dyDescent="0.25">
      <c r="A47" s="5">
        <f>'Proximal Validation'!A47</f>
        <v>1.4827422800000001</v>
      </c>
      <c r="B47" s="5">
        <f>'Proximal Validation'!B47</f>
        <v>0.08</v>
      </c>
      <c r="C47" s="5">
        <f>'Proximal Validation'!C47</f>
        <v>3.1415999999999999</v>
      </c>
      <c r="D47" s="5">
        <f>'Proximal Validation'!D47</f>
        <v>0.80651000630000003</v>
      </c>
      <c r="E47" s="5">
        <f>'Proximal Validation'!E47</f>
        <v>0.04</v>
      </c>
      <c r="F47" s="5">
        <f>'Proximal Validation'!F47</f>
        <v>4.7123999999999997</v>
      </c>
      <c r="G47" s="5">
        <f>'Proximal Validation'!G47</f>
        <v>4.1839238480000001</v>
      </c>
      <c r="H47" s="5">
        <f>'Proximal Validation'!H47</f>
        <v>4.1752821560999998</v>
      </c>
      <c r="I47" s="5">
        <f>'Proximal Validation'!I47</f>
        <v>0.4978333036</v>
      </c>
      <c r="J47" s="5">
        <f>'Proximal Validation'!J47</f>
        <v>5.8683929964899999E-3</v>
      </c>
      <c r="K47" s="5">
        <f>'Proximal Validation'!K47</f>
        <v>3.442031055688817E-2</v>
      </c>
      <c r="L47" s="5">
        <f>'Proximal Validation'!L47</f>
        <v>-0.12324651420116389</v>
      </c>
      <c r="M47" s="5">
        <f>'Proximal Validation'!M47</f>
        <v>-0.22302415966987599</v>
      </c>
      <c r="N47" s="5">
        <f>'Proximal Validation'!N47</f>
        <v>-1.34484195709229</v>
      </c>
      <c r="O47" s="5">
        <f>'Proximal Validation'!O47</f>
        <v>-0.84396576881408703</v>
      </c>
      <c r="P47" s="5">
        <v>1.1542953019526656</v>
      </c>
      <c r="Q47" s="5">
        <v>9.7788859857094623E-2</v>
      </c>
      <c r="R47" s="5">
        <v>2.7928077714640613</v>
      </c>
      <c r="S47" s="5">
        <v>1.2551957404956358</v>
      </c>
      <c r="T47" s="5">
        <v>5.907367456586831E-2</v>
      </c>
      <c r="U47" s="5">
        <v>4.4729771478865299</v>
      </c>
      <c r="V47" s="13">
        <v>9.1037268787249256E-7</v>
      </c>
      <c r="W47" s="5">
        <f t="shared" si="8"/>
        <v>-0.32844697804733447</v>
      </c>
      <c r="X47" s="5">
        <f t="shared" si="8"/>
        <v>1.7788859857094622E-2</v>
      </c>
      <c r="Y47" s="5">
        <f t="shared" si="2"/>
        <v>0.34879222853593861</v>
      </c>
      <c r="Z47" s="5">
        <f t="shared" si="9"/>
        <v>0.44868573419563573</v>
      </c>
      <c r="AA47" s="5">
        <f t="shared" si="9"/>
        <v>1.9073674565868309E-2</v>
      </c>
      <c r="AB47" s="5">
        <f t="shared" si="3"/>
        <v>0.23942285211346981</v>
      </c>
      <c r="AC47" s="8">
        <f t="shared" si="10"/>
        <v>0.3885663561214851</v>
      </c>
      <c r="AD47" s="8">
        <f t="shared" si="10"/>
        <v>1.8431267211481465E-2</v>
      </c>
      <c r="AE47" s="8">
        <f t="shared" si="10"/>
        <v>0.29410754032470421</v>
      </c>
    </row>
    <row r="48" spans="1:31" x14ac:dyDescent="0.25">
      <c r="A48" s="5">
        <f>'Proximal Validation'!A48</f>
        <v>1.4313963908</v>
      </c>
      <c r="B48" s="5">
        <f>'Proximal Validation'!B48</f>
        <v>0.2</v>
      </c>
      <c r="C48" s="5">
        <f>'Proximal Validation'!C48</f>
        <v>5.4977999999999998</v>
      </c>
      <c r="D48" s="5">
        <f>'Proximal Validation'!D48</f>
        <v>0.66088478610000001</v>
      </c>
      <c r="E48" s="5">
        <f>'Proximal Validation'!E48</f>
        <v>0.16</v>
      </c>
      <c r="F48" s="5">
        <f>'Proximal Validation'!F48</f>
        <v>5.4977999999999998</v>
      </c>
      <c r="G48" s="5">
        <f>'Proximal Validation'!G48</f>
        <v>4.6493399877000003</v>
      </c>
      <c r="H48" s="5">
        <f>'Proximal Validation'!H48</f>
        <v>1.9654430356000001</v>
      </c>
      <c r="I48" s="5">
        <f>'Proximal Validation'!I48</f>
        <v>1.6399488998</v>
      </c>
      <c r="J48" s="5">
        <f>'Proximal Validation'!J48</f>
        <v>-2.84721739590168E-2</v>
      </c>
      <c r="K48" s="5">
        <f>'Proximal Validation'!K48</f>
        <v>0.24718735218048088</v>
      </c>
      <c r="L48" s="5">
        <f>'Proximal Validation'!L48</f>
        <v>0.24951086610555628</v>
      </c>
      <c r="M48" s="5">
        <f>'Proximal Validation'!M48</f>
        <v>-1.72224581241608</v>
      </c>
      <c r="N48" s="5">
        <f>'Proximal Validation'!N48</f>
        <v>0.49334552884101901</v>
      </c>
      <c r="O48" s="5">
        <f>'Proximal Validation'!O48</f>
        <v>-0.76049625873565696</v>
      </c>
      <c r="P48" s="5">
        <v>1.4999999114709064</v>
      </c>
      <c r="Q48" s="5">
        <v>0.18449695957182335</v>
      </c>
      <c r="R48" s="5">
        <v>4.957039656259993</v>
      </c>
      <c r="S48" s="5">
        <v>1.4999999999999767</v>
      </c>
      <c r="T48" s="5">
        <v>0.15527586865884732</v>
      </c>
      <c r="U48" s="5">
        <v>6.6729537430799161E-8</v>
      </c>
      <c r="V48" s="13">
        <v>3.6870270488206737E-4</v>
      </c>
      <c r="W48" s="5">
        <f t="shared" si="8"/>
        <v>6.8603520670906359E-2</v>
      </c>
      <c r="X48" s="5">
        <f t="shared" si="8"/>
        <v>-1.5503040428176657E-2</v>
      </c>
      <c r="Y48" s="5">
        <f t="shared" si="2"/>
        <v>0.54076034374000681</v>
      </c>
      <c r="Z48" s="5">
        <f t="shared" si="9"/>
        <v>0.83911521389997668</v>
      </c>
      <c r="AA48" s="5">
        <f t="shared" si="9"/>
        <v>-4.724131341152682E-3</v>
      </c>
      <c r="AB48" s="5">
        <f t="shared" si="3"/>
        <v>0.78538537390912389</v>
      </c>
      <c r="AC48" s="8">
        <f t="shared" si="10"/>
        <v>0.45385936728544152</v>
      </c>
      <c r="AD48" s="8">
        <f t="shared" si="10"/>
        <v>1.0113585884664669E-2</v>
      </c>
      <c r="AE48" s="8">
        <f t="shared" si="10"/>
        <v>0.66307285882456535</v>
      </c>
    </row>
    <row r="49" spans="1:31" x14ac:dyDescent="0.25">
      <c r="A49" s="5">
        <f>'Proximal Validation'!A49</f>
        <v>1.1008731407000001</v>
      </c>
      <c r="B49" s="5">
        <f>'Proximal Validation'!B49</f>
        <v>0.12</v>
      </c>
      <c r="C49" s="5">
        <f>'Proximal Validation'!C49</f>
        <v>4.7123999999999997</v>
      </c>
      <c r="D49" s="5">
        <f>'Proximal Validation'!D49</f>
        <v>1.0118865585000001</v>
      </c>
      <c r="E49" s="5">
        <f>'Proximal Validation'!E49</f>
        <v>0.08</v>
      </c>
      <c r="F49" s="5">
        <f>'Proximal Validation'!F49</f>
        <v>0</v>
      </c>
      <c r="G49" s="5">
        <f>'Proximal Validation'!G49</f>
        <v>2.5804466663999999</v>
      </c>
      <c r="H49" s="5">
        <f>'Proximal Validation'!H49</f>
        <v>2.8020908323999998</v>
      </c>
      <c r="I49" s="5">
        <f>'Proximal Validation'!I49</f>
        <v>1.4209598912000001</v>
      </c>
      <c r="J49" s="5">
        <f>'Proximal Validation'!J49</f>
        <v>-2.18501593917608E-3</v>
      </c>
      <c r="K49" s="5">
        <f>'Proximal Validation'!K49</f>
        <v>0.11094302952289556</v>
      </c>
      <c r="L49" s="5">
        <f>'Proximal Validation'!L49</f>
        <v>0.1318884277343752</v>
      </c>
      <c r="M49" s="5">
        <f>'Proximal Validation'!M49</f>
        <v>-0.42062535881996199</v>
      </c>
      <c r="N49" s="5">
        <f>'Proximal Validation'!N49</f>
        <v>1.5282573699951201</v>
      </c>
      <c r="O49" s="5">
        <f>'Proximal Validation'!O49</f>
        <v>-0.81598681211471602</v>
      </c>
      <c r="P49" s="5">
        <v>1.0818959826936161</v>
      </c>
      <c r="Q49" s="5">
        <v>0.12396106019548223</v>
      </c>
      <c r="R49" s="5">
        <v>5.2212280178204518</v>
      </c>
      <c r="S49" s="5">
        <v>1.0643548838733945</v>
      </c>
      <c r="T49" s="5">
        <v>6.3869530371254243E-2</v>
      </c>
      <c r="U49" s="5">
        <v>7.9550885432000493E-2</v>
      </c>
      <c r="V49" s="13">
        <v>2.2453310326912435E-6</v>
      </c>
      <c r="W49" s="5">
        <f t="shared" si="8"/>
        <v>-1.8977158006383998E-2</v>
      </c>
      <c r="X49" s="5">
        <f t="shared" si="8"/>
        <v>3.96106019548223E-3</v>
      </c>
      <c r="Y49" s="5">
        <f t="shared" si="2"/>
        <v>0.50882801782045206</v>
      </c>
      <c r="Z49" s="5">
        <f t="shared" si="9"/>
        <v>5.2468325373394409E-2</v>
      </c>
      <c r="AA49" s="5">
        <f t="shared" si="9"/>
        <v>-1.6130469628745758E-2</v>
      </c>
      <c r="AB49" s="5">
        <f t="shared" si="3"/>
        <v>7.9550885432000493E-2</v>
      </c>
      <c r="AC49" s="8">
        <f t="shared" si="10"/>
        <v>3.5722741689889204E-2</v>
      </c>
      <c r="AD49" s="8">
        <f t="shared" si="10"/>
        <v>1.0045764912113994E-2</v>
      </c>
      <c r="AE49" s="8">
        <f t="shared" si="10"/>
        <v>0.29418945162622628</v>
      </c>
    </row>
    <row r="50" spans="1:31" x14ac:dyDescent="0.25">
      <c r="A50" s="5">
        <f>'Proximal Validation'!A50</f>
        <v>1.1548404238000001</v>
      </c>
      <c r="B50" s="5">
        <f>'Proximal Validation'!B50</f>
        <v>0.06</v>
      </c>
      <c r="C50" s="5">
        <f>'Proximal Validation'!C50</f>
        <v>0</v>
      </c>
      <c r="D50" s="5">
        <f>'Proximal Validation'!D50</f>
        <v>0.95560731600000004</v>
      </c>
      <c r="E50" s="5">
        <f>'Proximal Validation'!E50</f>
        <v>0.02</v>
      </c>
      <c r="F50" s="5">
        <f>'Proximal Validation'!F50</f>
        <v>5.4977999999999998</v>
      </c>
      <c r="G50" s="5">
        <f>'Proximal Validation'!G50</f>
        <v>1.7445767312</v>
      </c>
      <c r="H50" s="5">
        <f>'Proximal Validation'!H50</f>
        <v>3.9458122761999999</v>
      </c>
      <c r="I50" s="5">
        <f>'Proximal Validation'!I50</f>
        <v>4.9189190299999996</v>
      </c>
      <c r="J50" s="5">
        <f>'Proximal Validation'!J50</f>
        <v>1.8196115270257E-3</v>
      </c>
      <c r="K50" s="5">
        <f>'Proximal Validation'!K50</f>
        <v>4.7905400395393469E-3</v>
      </c>
      <c r="L50" s="5">
        <f>'Proximal Validation'!L50</f>
        <v>8.9655218124389202E-2</v>
      </c>
      <c r="M50" s="5">
        <f>'Proximal Validation'!M50</f>
        <v>-6.4179420471191406E-2</v>
      </c>
      <c r="N50" s="5">
        <f>'Proximal Validation'!N50</f>
        <v>1.8967602252960201</v>
      </c>
      <c r="O50" s="5">
        <f>'Proximal Validation'!O50</f>
        <v>-0.51140964031219505</v>
      </c>
      <c r="P50" s="5">
        <v>0.76091104978543422</v>
      </c>
      <c r="Q50" s="5">
        <v>4.6969054135220623E-2</v>
      </c>
      <c r="R50" s="5">
        <v>6.3426225777184971E-13</v>
      </c>
      <c r="S50" s="5">
        <v>1.1391476819150244</v>
      </c>
      <c r="T50" s="5">
        <v>4.6968959751506521E-2</v>
      </c>
      <c r="U50" s="5">
        <v>1.5465084266737344E-13</v>
      </c>
      <c r="V50" s="13">
        <v>6.8497077919653967E-4</v>
      </c>
      <c r="W50" s="5">
        <f t="shared" si="8"/>
        <v>-0.39392937401456585</v>
      </c>
      <c r="X50" s="5">
        <f t="shared" si="8"/>
        <v>-1.3030945864779375E-2</v>
      </c>
      <c r="Y50" s="5">
        <f t="shared" si="2"/>
        <v>6.3426225777184971E-13</v>
      </c>
      <c r="Z50" s="5">
        <f t="shared" si="9"/>
        <v>0.18354036591502432</v>
      </c>
      <c r="AA50" s="5">
        <f t="shared" si="9"/>
        <v>2.6968959751506521E-2</v>
      </c>
      <c r="AB50" s="5">
        <f t="shared" si="3"/>
        <v>0.78538530717974098</v>
      </c>
      <c r="AC50" s="8">
        <f t="shared" si="10"/>
        <v>0.28873486996479508</v>
      </c>
      <c r="AD50" s="8">
        <f t="shared" si="10"/>
        <v>1.999995280814295E-2</v>
      </c>
      <c r="AE50" s="8">
        <f t="shared" si="10"/>
        <v>0.39269265359018762</v>
      </c>
    </row>
    <row r="51" spans="1:31" x14ac:dyDescent="0.25">
      <c r="A51" s="5">
        <f>'Proximal Validation'!A51</f>
        <v>1.1816252039999999</v>
      </c>
      <c r="B51" s="5">
        <f>'Proximal Validation'!B51</f>
        <v>0.08</v>
      </c>
      <c r="C51" s="5">
        <f>'Proximal Validation'!C51</f>
        <v>1.5708</v>
      </c>
      <c r="D51" s="5">
        <f>'Proximal Validation'!D51</f>
        <v>0.57227119820000005</v>
      </c>
      <c r="E51" s="5">
        <f>'Proximal Validation'!E51</f>
        <v>0.04</v>
      </c>
      <c r="F51" s="5">
        <f>'Proximal Validation'!F51</f>
        <v>0.78539999999999999</v>
      </c>
      <c r="G51" s="5">
        <f>'Proximal Validation'!G51</f>
        <v>1.4076592733</v>
      </c>
      <c r="H51" s="5">
        <f>'Proximal Validation'!H51</f>
        <v>1.3192874408999999</v>
      </c>
      <c r="I51" s="5">
        <f>'Proximal Validation'!I51</f>
        <v>2.6835966308999999</v>
      </c>
      <c r="J51" s="5">
        <f>'Proximal Validation'!J51</f>
        <v>5.0261407159268899E-3</v>
      </c>
      <c r="K51" s="5">
        <f>'Proximal Validation'!K51</f>
        <v>-0.11670223593711854</v>
      </c>
      <c r="L51" s="5">
        <f>'Proximal Validation'!L51</f>
        <v>1.3623089045286231E-2</v>
      </c>
      <c r="M51" s="5">
        <f>'Proximal Validation'!M51</f>
        <v>-0.14642003178596499</v>
      </c>
      <c r="N51" s="5">
        <f>'Proximal Validation'!N51</f>
        <v>0.36419194936752303</v>
      </c>
      <c r="O51" s="5">
        <f>'Proximal Validation'!O51</f>
        <v>1.55786764621735</v>
      </c>
      <c r="P51" s="5">
        <v>0.77675452873429207</v>
      </c>
      <c r="Q51" s="5">
        <v>0.13031424504875086</v>
      </c>
      <c r="R51" s="5">
        <v>1.4945177446773841</v>
      </c>
      <c r="S51" s="5">
        <v>0.85764144783858021</v>
      </c>
      <c r="T51" s="5">
        <v>2.0051017141250922E-2</v>
      </c>
      <c r="U51" s="5">
        <v>1.2059320180553093</v>
      </c>
      <c r="V51" s="13">
        <v>2.2874595654719571E-5</v>
      </c>
      <c r="W51" s="5">
        <f t="shared" si="8"/>
        <v>-0.40487067526570786</v>
      </c>
      <c r="X51" s="5">
        <f t="shared" si="8"/>
        <v>5.0314245048750858E-2</v>
      </c>
      <c r="Y51" s="5">
        <f t="shared" si="2"/>
        <v>7.6282255322615899E-2</v>
      </c>
      <c r="Z51" s="5">
        <f t="shared" si="9"/>
        <v>0.28537024963858015</v>
      </c>
      <c r="AA51" s="5">
        <f t="shared" si="9"/>
        <v>-1.9948982858749079E-2</v>
      </c>
      <c r="AB51" s="5">
        <f t="shared" si="3"/>
        <v>0.42053201805530926</v>
      </c>
      <c r="AC51" s="8">
        <f t="shared" si="10"/>
        <v>0.34512046245214401</v>
      </c>
      <c r="AD51" s="8">
        <f t="shared" si="10"/>
        <v>3.5131613953749967E-2</v>
      </c>
      <c r="AE51" s="8">
        <f t="shared" si="10"/>
        <v>0.24840713668896258</v>
      </c>
    </row>
    <row r="52" spans="1:31" x14ac:dyDescent="0.25">
      <c r="A52" s="5">
        <f>'Proximal Validation'!A52</f>
        <v>0.93729510640000002</v>
      </c>
      <c r="B52" s="5">
        <f>'Proximal Validation'!B52</f>
        <v>0.14000000000000001</v>
      </c>
      <c r="C52" s="5">
        <f>'Proximal Validation'!C52</f>
        <v>0.78539999999999999</v>
      </c>
      <c r="D52" s="5">
        <f>'Proximal Validation'!D52</f>
        <v>0.49250416219999998</v>
      </c>
      <c r="E52" s="5">
        <f>'Proximal Validation'!E52</f>
        <v>0.1</v>
      </c>
      <c r="F52" s="5">
        <f>'Proximal Validation'!F52</f>
        <v>0</v>
      </c>
      <c r="G52" s="5">
        <f>'Proximal Validation'!G52</f>
        <v>0.50502447429999997</v>
      </c>
      <c r="H52" s="5">
        <f>'Proximal Validation'!H52</f>
        <v>3.7817597896000001</v>
      </c>
      <c r="I52" s="5">
        <f>'Proximal Validation'!I52</f>
        <v>0.94479070089999995</v>
      </c>
      <c r="J52" s="5">
        <f>'Proximal Validation'!J52</f>
        <v>-5.5614840239286397E-3</v>
      </c>
      <c r="K52" s="5">
        <f>'Proximal Validation'!K52</f>
        <v>-9.2361005544662145E-2</v>
      </c>
      <c r="L52" s="5">
        <f>'Proximal Validation'!L52</f>
        <v>0.14423409759998271</v>
      </c>
      <c r="M52" s="5">
        <f>'Proximal Validation'!M52</f>
        <v>-0.32296690344810502</v>
      </c>
      <c r="N52" s="5">
        <f>'Proximal Validation'!N52</f>
        <v>1.0704246759414699</v>
      </c>
      <c r="O52" s="5">
        <f>'Proximal Validation'!O52</f>
        <v>0.568997502326965</v>
      </c>
      <c r="P52" s="5">
        <v>0.80829695922500711</v>
      </c>
      <c r="Q52" s="5">
        <v>0.1425344092388387</v>
      </c>
      <c r="R52" s="5">
        <v>0.9688844776761445</v>
      </c>
      <c r="S52" s="5">
        <v>0.66430970697829028</v>
      </c>
      <c r="T52" s="5">
        <v>0.11946208502034843</v>
      </c>
      <c r="U52" s="5">
        <v>3.0525296499960496E-4</v>
      </c>
      <c r="V52" s="13">
        <v>1.9139176645318663E-5</v>
      </c>
      <c r="W52" s="5">
        <f t="shared" si="8"/>
        <v>-0.12899814717499292</v>
      </c>
      <c r="X52" s="5">
        <f t="shared" si="8"/>
        <v>2.5344092388386863E-3</v>
      </c>
      <c r="Y52" s="5">
        <f t="shared" si="2"/>
        <v>0.18348447767614451</v>
      </c>
      <c r="Z52" s="5">
        <f t="shared" si="9"/>
        <v>0.1718055447782903</v>
      </c>
      <c r="AA52" s="5">
        <f t="shared" si="9"/>
        <v>1.9462085020348421E-2</v>
      </c>
      <c r="AB52" s="5">
        <f t="shared" si="3"/>
        <v>3.0525296499960496E-4</v>
      </c>
      <c r="AC52" s="8">
        <f t="shared" si="10"/>
        <v>0.15040184597664161</v>
      </c>
      <c r="AD52" s="8">
        <f t="shared" si="10"/>
        <v>1.0998247129593554E-2</v>
      </c>
      <c r="AE52" s="8">
        <f t="shared" si="10"/>
        <v>9.1894865320572061E-2</v>
      </c>
    </row>
    <row r="54" spans="1:31" x14ac:dyDescent="0.25">
      <c r="AC54" s="22"/>
      <c r="AD54" s="22"/>
      <c r="AE54" s="22"/>
    </row>
  </sheetData>
  <mergeCells count="6">
    <mergeCell ref="AF5:AK5"/>
    <mergeCell ref="A1:I1"/>
    <mergeCell ref="J1:O1"/>
    <mergeCell ref="P1:V1"/>
    <mergeCell ref="W1:AE1"/>
    <mergeCell ref="AF2:AK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4BA76-E9A2-4B49-ACEC-BD384DA7CEE4}">
  <dimension ref="A1:AK54"/>
  <sheetViews>
    <sheetView topLeftCell="P1" zoomScaleNormal="100" workbookViewId="0">
      <pane ySplit="2" topLeftCell="A3" activePane="bottomLeft" state="frozen"/>
      <selection activeCell="K1" sqref="K1"/>
      <selection pane="bottomLeft" activeCell="AI20" sqref="AI20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8" bestFit="1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85546875" bestFit="1" customWidth="1"/>
    <col min="37" max="37" width="11.85546875" bestFit="1" customWidth="1"/>
  </cols>
  <sheetData>
    <row r="1" spans="1:37" ht="15.75" x14ac:dyDescent="0.25">
      <c r="A1" s="27" t="s">
        <v>11</v>
      </c>
      <c r="B1" s="27"/>
      <c r="C1" s="27"/>
      <c r="D1" s="27"/>
      <c r="E1" s="27"/>
      <c r="F1" s="27"/>
      <c r="G1" s="27"/>
      <c r="H1" s="27"/>
      <c r="I1" s="28"/>
      <c r="J1" s="29" t="s">
        <v>6</v>
      </c>
      <c r="K1" s="30"/>
      <c r="L1" s="30"/>
      <c r="M1" s="30"/>
      <c r="N1" s="30"/>
      <c r="O1" s="30"/>
      <c r="P1" s="31" t="s">
        <v>7</v>
      </c>
      <c r="Q1" s="32"/>
      <c r="R1" s="32"/>
      <c r="S1" s="32"/>
      <c r="T1" s="32"/>
      <c r="U1" s="32"/>
      <c r="V1" s="32"/>
      <c r="W1" s="33" t="s">
        <v>13</v>
      </c>
      <c r="X1" s="33"/>
      <c r="Y1" s="33"/>
      <c r="Z1" s="33"/>
      <c r="AA1" s="33"/>
      <c r="AB1" s="33"/>
      <c r="AC1" s="33"/>
      <c r="AD1" s="33"/>
      <c r="AE1" s="33"/>
      <c r="AF1" s="20" t="s">
        <v>31</v>
      </c>
      <c r="AG1" s="20"/>
      <c r="AH1" s="20"/>
      <c r="AI1" s="20"/>
      <c r="AJ1" s="20"/>
      <c r="AK1" s="20"/>
    </row>
    <row r="2" spans="1:37" ht="15.75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22</v>
      </c>
      <c r="Q2" s="1" t="s">
        <v>23</v>
      </c>
      <c r="R2" s="1" t="s">
        <v>33</v>
      </c>
      <c r="S2" s="1" t="s">
        <v>24</v>
      </c>
      <c r="T2" s="1" t="s">
        <v>25</v>
      </c>
      <c r="U2" s="1" t="s">
        <v>34</v>
      </c>
      <c r="V2" s="2" t="s">
        <v>32</v>
      </c>
      <c r="W2" s="3" t="s">
        <v>22</v>
      </c>
      <c r="X2" s="1" t="s">
        <v>23</v>
      </c>
      <c r="Y2" s="1" t="s">
        <v>33</v>
      </c>
      <c r="Z2" s="1" t="s">
        <v>24</v>
      </c>
      <c r="AA2" s="1" t="s">
        <v>25</v>
      </c>
      <c r="AB2" s="1" t="s">
        <v>34</v>
      </c>
      <c r="AC2" s="6" t="s">
        <v>28</v>
      </c>
      <c r="AD2" s="6" t="s">
        <v>29</v>
      </c>
      <c r="AE2" s="6" t="s">
        <v>30</v>
      </c>
      <c r="AF2" s="34" t="s">
        <v>26</v>
      </c>
      <c r="AG2" s="34"/>
      <c r="AH2" s="34"/>
      <c r="AI2" s="34"/>
      <c r="AJ2" s="34"/>
      <c r="AK2" s="34"/>
    </row>
    <row r="3" spans="1:37" ht="15.75" x14ac:dyDescent="0.25">
      <c r="A3" s="5">
        <f>'Proximal Validation'!A3</f>
        <v>0.57634630980000001</v>
      </c>
      <c r="B3" s="5">
        <f>'Proximal Validation'!B3</f>
        <v>0.2</v>
      </c>
      <c r="C3" s="5">
        <f>'Proximal Validation'!C3</f>
        <v>0.78539999999999999</v>
      </c>
      <c r="D3" s="5">
        <f>'Proximal Validation'!D3</f>
        <v>1.1398024601000001</v>
      </c>
      <c r="E3" s="5">
        <f>'Proximal Validation'!E3</f>
        <v>0.02</v>
      </c>
      <c r="F3" s="5">
        <f>'Proximal Validation'!F3</f>
        <v>5.4977999999999998</v>
      </c>
      <c r="G3" s="5">
        <f>'Proximal Validation'!G3</f>
        <v>0.49272223679999999</v>
      </c>
      <c r="H3" s="5">
        <f>'Proximal Validation'!H3</f>
        <v>4.4756011583999999</v>
      </c>
      <c r="I3" s="5">
        <f>'Proximal Validation'!I3</f>
        <v>4.1915536561</v>
      </c>
      <c r="J3" s="5">
        <f>'Proximal Validation'!J3</f>
        <v>-8.3262659609317801E-4</v>
      </c>
      <c r="K3" s="5">
        <f>'Proximal Validation'!K3</f>
        <v>-5.3400582866743193E-2</v>
      </c>
      <c r="L3" s="5">
        <f>'Proximal Validation'!L3</f>
        <v>9.2854456901550309E-2</v>
      </c>
      <c r="M3" s="5">
        <f>'Proximal Validation'!M3</f>
        <v>-7.20393061637878E-2</v>
      </c>
      <c r="N3" s="5">
        <f>'Proximal Validation'!N3</f>
        <v>1.12758028507233</v>
      </c>
      <c r="O3" s="5">
        <f>'Proximal Validation'!O3</f>
        <v>-0.58665424585342396</v>
      </c>
      <c r="P3" s="5">
        <v>1.3421105066374017</v>
      </c>
      <c r="Q3" s="5">
        <v>9.1168074323499645E-2</v>
      </c>
      <c r="R3" s="5">
        <v>0.74822698035442381</v>
      </c>
      <c r="S3" s="5">
        <v>1.499999989708372</v>
      </c>
      <c r="T3" s="5">
        <v>2.0000000004779177E-2</v>
      </c>
      <c r="U3" s="5">
        <v>4.8109127273682626</v>
      </c>
      <c r="V3" s="13">
        <v>5.7082801594313062E-7</v>
      </c>
      <c r="W3" s="5">
        <f t="shared" ref="W3:AA18" si="0">P3-A3</f>
        <v>0.76576419683740171</v>
      </c>
      <c r="X3" s="5">
        <f t="shared" si="0"/>
        <v>-0.10883192567650037</v>
      </c>
      <c r="Y3" s="5">
        <f>MIN(ABS(R3-C3),2*PI()-ABS(R3-C3))</f>
        <v>3.7173019645576177E-2</v>
      </c>
      <c r="Z3" s="5">
        <f t="shared" si="0"/>
        <v>0.36019752960837192</v>
      </c>
      <c r="AA3" s="5">
        <f t="shared" si="0"/>
        <v>4.7791770541039114E-12</v>
      </c>
      <c r="AB3" s="5">
        <f>MIN(ABS(U3-F3),2*PI()-ABS(U3-F3))</f>
        <v>0.68688727263173721</v>
      </c>
      <c r="AC3" s="8">
        <f t="shared" ref="AC3:AE18" si="1">AVERAGE(ABS(W3),ABS(Z3))</f>
        <v>0.56298086322288676</v>
      </c>
      <c r="AD3" s="8">
        <f t="shared" si="1"/>
        <v>5.4415962840639771E-2</v>
      </c>
      <c r="AE3" s="8">
        <f t="shared" si="1"/>
        <v>0.36203014613865669</v>
      </c>
      <c r="AF3" s="1" t="s">
        <v>22</v>
      </c>
      <c r="AG3" s="1" t="s">
        <v>23</v>
      </c>
      <c r="AH3" s="1" t="s">
        <v>33</v>
      </c>
      <c r="AI3" s="1" t="s">
        <v>24</v>
      </c>
      <c r="AJ3" s="1" t="s">
        <v>25</v>
      </c>
      <c r="AK3" s="1" t="s">
        <v>34</v>
      </c>
    </row>
    <row r="4" spans="1:37" x14ac:dyDescent="0.25">
      <c r="A4" s="5">
        <f>'Proximal Validation'!A4</f>
        <v>1.2961945501000001</v>
      </c>
      <c r="B4" s="5">
        <f>'Proximal Validation'!B4</f>
        <v>0.2</v>
      </c>
      <c r="C4" s="5">
        <f>'Proximal Validation'!C4</f>
        <v>4.7123999999999997</v>
      </c>
      <c r="D4" s="5">
        <f>'Proximal Validation'!D4</f>
        <v>0.31907560010000002</v>
      </c>
      <c r="E4" s="5">
        <f>'Proximal Validation'!E4</f>
        <v>0.02</v>
      </c>
      <c r="F4" s="5">
        <f>'Proximal Validation'!F4</f>
        <v>1.5708</v>
      </c>
      <c r="G4" s="5">
        <f>'Proximal Validation'!G4</f>
        <v>0.53253118440000002</v>
      </c>
      <c r="H4" s="5">
        <f>'Proximal Validation'!H4</f>
        <v>1.6232893740000001</v>
      </c>
      <c r="I4" s="5">
        <f>'Proximal Validation'!I4</f>
        <v>9.6932284100000002E-2</v>
      </c>
      <c r="J4" s="5">
        <f>'Proximal Validation'!J4</f>
        <v>7.6168961822986603E-3</v>
      </c>
      <c r="K4" s="5">
        <f>'Proximal Validation'!K4</f>
        <v>0.24574007272720383</v>
      </c>
      <c r="L4" s="5">
        <f>'Proximal Validation'!L4</f>
        <v>1.0644453205168264E-3</v>
      </c>
      <c r="M4" s="5">
        <f>'Proximal Validation'!M4</f>
        <v>-0.71961438655853305</v>
      </c>
      <c r="N4" s="5">
        <f>'Proximal Validation'!N4</f>
        <v>2.90779918432236E-2</v>
      </c>
      <c r="O4" s="5">
        <f>'Proximal Validation'!O4</f>
        <v>-0.48940825462341297</v>
      </c>
      <c r="P4" s="5">
        <v>1.4895006039342948</v>
      </c>
      <c r="Q4" s="5">
        <v>0.1956239282943216</v>
      </c>
      <c r="R4" s="5">
        <v>4.7017384148871422</v>
      </c>
      <c r="S4" s="5">
        <v>0.40334588792057774</v>
      </c>
      <c r="T4" s="5">
        <v>4.6932317892452925E-2</v>
      </c>
      <c r="U4" s="5">
        <v>1.5857444360000417</v>
      </c>
      <c r="V4" s="13">
        <v>3.2839896324872046E-5</v>
      </c>
      <c r="W4" s="5">
        <f t="shared" si="0"/>
        <v>0.19330605383429478</v>
      </c>
      <c r="X4" s="5">
        <f t="shared" si="0"/>
        <v>-4.3760717056784137E-3</v>
      </c>
      <c r="Y4" s="5">
        <f t="shared" ref="Y4:Y52" si="2">MIN(ABS(R4-C4),2*PI()-ABS(R4-C4))</f>
        <v>1.066158511285753E-2</v>
      </c>
      <c r="Z4" s="5">
        <f t="shared" si="0"/>
        <v>8.4270287820577716E-2</v>
      </c>
      <c r="AA4" s="5">
        <f t="shared" si="0"/>
        <v>2.6932317892452925E-2</v>
      </c>
      <c r="AB4" s="5">
        <f t="shared" ref="AB4:AB52" si="3">MIN(ABS(U4-F4),2*PI()-ABS(U4-F4))</f>
        <v>1.4944436000041694E-2</v>
      </c>
      <c r="AC4" s="8">
        <f t="shared" si="1"/>
        <v>0.13878817082743625</v>
      </c>
      <c r="AD4" s="8">
        <f t="shared" si="1"/>
        <v>1.5654194799065671E-2</v>
      </c>
      <c r="AE4" s="8">
        <f t="shared" si="1"/>
        <v>1.2803010556449612E-2</v>
      </c>
      <c r="AF4" s="7" cm="1">
        <f t="array" ref="AF4">AVERAGE(ABS(W3:W52))</f>
        <v>0.19660829997830201</v>
      </c>
      <c r="AG4" s="7" cm="1">
        <f t="array" ref="AG4">AVERAGE(ABS(X3:X52))</f>
        <v>2.7901172657866177E-2</v>
      </c>
      <c r="AH4" s="7" cm="1">
        <f t="array" ref="AH4">AVERAGE(ABS(Y3:Y52))</f>
        <v>0.40132493474580266</v>
      </c>
      <c r="AI4" s="7" cm="1">
        <f t="array" ref="AI4">AVERAGE(ABS(Z3:Z52))</f>
        <v>0.31359666816872311</v>
      </c>
      <c r="AJ4" s="7" cm="1">
        <f t="array" ref="AJ4">AVERAGE(ABS(AA3:AA52))</f>
        <v>3.3583785941664911E-2</v>
      </c>
      <c r="AK4" s="7" cm="1">
        <f t="array" ref="AK4">AVERAGE(ABS(AB3:AB52))</f>
        <v>0.27404897985183102</v>
      </c>
    </row>
    <row r="5" spans="1:37" x14ac:dyDescent="0.25">
      <c r="A5" s="5">
        <f>'Proximal Validation'!A5</f>
        <v>0.3432844504</v>
      </c>
      <c r="B5" s="5">
        <f>'Proximal Validation'!B5</f>
        <v>0.2</v>
      </c>
      <c r="C5" s="5">
        <f>'Proximal Validation'!C5</f>
        <v>3.1415999999999999</v>
      </c>
      <c r="D5" s="5">
        <f>'Proximal Validation'!D5</f>
        <v>0.75633386430000005</v>
      </c>
      <c r="E5" s="5">
        <f>'Proximal Validation'!E5</f>
        <v>0.02</v>
      </c>
      <c r="F5" s="5">
        <f>'Proximal Validation'!F5</f>
        <v>3.1415999999999999</v>
      </c>
      <c r="G5" s="5">
        <f>'Proximal Validation'!G5</f>
        <v>3.5593988404000001</v>
      </c>
      <c r="H5" s="5">
        <f>'Proximal Validation'!H5</f>
        <v>2.6173593599</v>
      </c>
      <c r="I5" s="5">
        <f>'Proximal Validation'!I5</f>
        <v>2.7214845023000001</v>
      </c>
      <c r="J5" s="5">
        <f>'Proximal Validation'!J5</f>
        <v>-1.2985616922378499E-4</v>
      </c>
      <c r="K5" s="5">
        <f>'Proximal Validation'!K5</f>
        <v>-3.6498736031353504E-3</v>
      </c>
      <c r="L5" s="5">
        <f>'Proximal Validation'!L5</f>
        <v>-7.9183645248412218E-2</v>
      </c>
      <c r="M5" s="5">
        <f>'Proximal Validation'!M5</f>
        <v>-1.52619369328022E-2</v>
      </c>
      <c r="N5" s="5">
        <f>'Proximal Validation'!N5</f>
        <v>-1.05842244625092</v>
      </c>
      <c r="O5" s="5">
        <f>'Proximal Validation'!O5</f>
        <v>2.1189808845519999E-2</v>
      </c>
      <c r="P5" s="5">
        <v>0.30914315170851875</v>
      </c>
      <c r="Q5" s="5">
        <v>0.14561507651742805</v>
      </c>
      <c r="R5" s="5">
        <v>0.10016882809714507</v>
      </c>
      <c r="S5" s="5">
        <v>1.3705662728122963</v>
      </c>
      <c r="T5" s="5">
        <v>9.0342826300673057E-2</v>
      </c>
      <c r="U5" s="5">
        <v>3.1483883755817055</v>
      </c>
      <c r="V5" s="13">
        <v>2.1767817182087229E-6</v>
      </c>
      <c r="W5" s="5">
        <f t="shared" si="0"/>
        <v>-3.4141298691481248E-2</v>
      </c>
      <c r="X5" s="5">
        <f t="shared" si="0"/>
        <v>-5.4384923482571956E-2</v>
      </c>
      <c r="Y5" s="5">
        <f t="shared" si="2"/>
        <v>3.0414311719028548</v>
      </c>
      <c r="Z5" s="5">
        <f t="shared" si="0"/>
        <v>0.61423240851229621</v>
      </c>
      <c r="AA5" s="5">
        <f t="shared" si="0"/>
        <v>7.0342826300673053E-2</v>
      </c>
      <c r="AB5" s="5">
        <f t="shared" si="3"/>
        <v>6.7883755817055302E-3</v>
      </c>
      <c r="AC5" s="9">
        <f t="shared" si="1"/>
        <v>0.3241868536018887</v>
      </c>
      <c r="AD5" s="9">
        <f t="shared" si="1"/>
        <v>6.2363874891622505E-2</v>
      </c>
      <c r="AE5" s="9">
        <f t="shared" si="1"/>
        <v>1.5241097737422802</v>
      </c>
      <c r="AF5" s="25" t="s">
        <v>27</v>
      </c>
      <c r="AG5" s="26"/>
      <c r="AH5" s="26"/>
      <c r="AI5" s="26"/>
      <c r="AJ5" s="26"/>
      <c r="AK5" s="26"/>
    </row>
    <row r="6" spans="1:37" x14ac:dyDescent="0.25">
      <c r="A6" s="5">
        <f>'Proximal Validation'!A6</f>
        <v>0.83277602429999997</v>
      </c>
      <c r="B6" s="5">
        <f>'Proximal Validation'!B6</f>
        <v>0.2</v>
      </c>
      <c r="C6" s="5">
        <f>'Proximal Validation'!C6</f>
        <v>4.7123999999999997</v>
      </c>
      <c r="D6" s="5">
        <f>'Proximal Validation'!D6</f>
        <v>1.4193655153</v>
      </c>
      <c r="E6" s="5">
        <f>'Proximal Validation'!E6</f>
        <v>0.04</v>
      </c>
      <c r="F6" s="5">
        <f>'Proximal Validation'!F6</f>
        <v>5.4977999999999998</v>
      </c>
      <c r="G6" s="5">
        <f>'Proximal Validation'!G6</f>
        <v>4.2084858911999996</v>
      </c>
      <c r="H6" s="5">
        <f>'Proximal Validation'!H6</f>
        <v>0.52916698419999997</v>
      </c>
      <c r="I6" s="5">
        <f>'Proximal Validation'!I6</f>
        <v>2.5150427606000001</v>
      </c>
      <c r="J6" s="5">
        <f>'Proximal Validation'!J6</f>
        <v>-2.2600172087550201E-2</v>
      </c>
      <c r="K6" s="5">
        <f>'Proximal Validation'!K6</f>
        <v>0.2035677599906926</v>
      </c>
      <c r="L6" s="5">
        <f>'Proximal Validation'!L6</f>
        <v>1.6263059973716687E-2</v>
      </c>
      <c r="M6" s="5">
        <f>'Proximal Validation'!M6</f>
        <v>-0.76213192939758301</v>
      </c>
      <c r="N6" s="5">
        <f>'Proximal Validation'!N6</f>
        <v>0.83609861135482799</v>
      </c>
      <c r="O6" s="5">
        <f>'Proximal Validation'!O6</f>
        <v>-1.67676854133606</v>
      </c>
      <c r="P6" s="5">
        <v>0.99926856209839332</v>
      </c>
      <c r="Q6" s="5">
        <v>0.19999999999997575</v>
      </c>
      <c r="R6" s="5">
        <v>4.7386159966074004</v>
      </c>
      <c r="S6" s="5">
        <v>1.3164360168517202</v>
      </c>
      <c r="T6" s="5">
        <v>2.0000000001834922E-2</v>
      </c>
      <c r="U6" s="5">
        <v>5.4994389424816275</v>
      </c>
      <c r="V6" s="13">
        <v>1.8576362735382993E-5</v>
      </c>
      <c r="W6" s="5">
        <f t="shared" si="0"/>
        <v>0.16649253779839335</v>
      </c>
      <c r="X6" s="5">
        <f t="shared" si="0"/>
        <v>-2.425837308805967E-14</v>
      </c>
      <c r="Y6" s="5">
        <f t="shared" si="2"/>
        <v>2.6215996607400704E-2</v>
      </c>
      <c r="Z6" s="5">
        <f t="shared" si="0"/>
        <v>-0.10292949844827981</v>
      </c>
      <c r="AA6" s="5">
        <f t="shared" si="0"/>
        <v>-1.9999999998165079E-2</v>
      </c>
      <c r="AB6" s="5">
        <f t="shared" si="3"/>
        <v>1.6389424816276588E-3</v>
      </c>
      <c r="AC6" s="8">
        <f t="shared" si="1"/>
        <v>0.13471101812333658</v>
      </c>
      <c r="AD6" s="8">
        <f t="shared" si="1"/>
        <v>9.9999999990946688E-3</v>
      </c>
      <c r="AE6" s="8">
        <f t="shared" si="1"/>
        <v>1.3927469544514182E-2</v>
      </c>
      <c r="AF6" s="6" t="s">
        <v>28</v>
      </c>
      <c r="AG6" s="6" t="s">
        <v>29</v>
      </c>
      <c r="AH6" s="6" t="s">
        <v>30</v>
      </c>
      <c r="AI6" s="7"/>
      <c r="AJ6" s="7"/>
      <c r="AK6" s="7"/>
    </row>
    <row r="7" spans="1:37" x14ac:dyDescent="0.25">
      <c r="A7" s="5">
        <f>'Proximal Validation'!A7</f>
        <v>0.3898403909</v>
      </c>
      <c r="B7" s="5">
        <f>'Proximal Validation'!B7</f>
        <v>0.2</v>
      </c>
      <c r="C7" s="5">
        <f>'Proximal Validation'!C7</f>
        <v>1.5708</v>
      </c>
      <c r="D7" s="5">
        <f>'Proximal Validation'!D7</f>
        <v>0.45028828840000001</v>
      </c>
      <c r="E7" s="5">
        <f>'Proximal Validation'!E7</f>
        <v>0.04</v>
      </c>
      <c r="F7" s="5">
        <f>'Proximal Validation'!F7</f>
        <v>2.3561999999999999</v>
      </c>
      <c r="G7" s="5">
        <f>'Proximal Validation'!G7</f>
        <v>0.34676129480000001</v>
      </c>
      <c r="H7" s="5">
        <f>'Proximal Validation'!H7</f>
        <v>0.93612470940000003</v>
      </c>
      <c r="I7" s="5">
        <f>'Proximal Validation'!I7</f>
        <v>2.0702513480000002</v>
      </c>
      <c r="J7" s="5">
        <f>'Proximal Validation'!J7</f>
        <v>-2.83843977376819E-3</v>
      </c>
      <c r="K7" s="5">
        <f>'Proximal Validation'!K7</f>
        <v>-8.2259576320647787E-2</v>
      </c>
      <c r="L7" s="5">
        <f>'Proximal Validation'!L7</f>
        <v>-3.6772690713405068E-4</v>
      </c>
      <c r="M7" s="5">
        <f>'Proximal Validation'!M7</f>
        <v>-7.1337848901748699E-2</v>
      </c>
      <c r="N7" s="5">
        <f>'Proximal Validation'!N7</f>
        <v>-0.277880519628525</v>
      </c>
      <c r="O7" s="5">
        <f>'Proximal Validation'!O7</f>
        <v>0.691084444522858</v>
      </c>
      <c r="P7" s="5">
        <v>1.0568829718609132</v>
      </c>
      <c r="Q7" s="5">
        <v>0.14696750582155405</v>
      </c>
      <c r="R7" s="5">
        <v>6.2831852742454783</v>
      </c>
      <c r="S7" s="5">
        <v>1.499996283231767</v>
      </c>
      <c r="T7" s="5">
        <v>0.11755251440311208</v>
      </c>
      <c r="U7" s="5">
        <v>2.6561004171747111</v>
      </c>
      <c r="V7" s="13">
        <v>9.698395460875878E-6</v>
      </c>
      <c r="W7" s="5">
        <f t="shared" si="0"/>
        <v>0.66704258096091318</v>
      </c>
      <c r="X7" s="5">
        <f t="shared" si="0"/>
        <v>-5.3032494178445966E-2</v>
      </c>
      <c r="Y7" s="5">
        <f t="shared" si="2"/>
        <v>1.5708000329341081</v>
      </c>
      <c r="Z7" s="5">
        <f t="shared" si="0"/>
        <v>1.0497079948317669</v>
      </c>
      <c r="AA7" s="5">
        <f t="shared" si="0"/>
        <v>7.7552514403112088E-2</v>
      </c>
      <c r="AB7" s="5">
        <f t="shared" si="3"/>
        <v>0.29990041717471128</v>
      </c>
      <c r="AC7" s="8">
        <f t="shared" si="1"/>
        <v>0.85837528789633999</v>
      </c>
      <c r="AD7" s="8">
        <f t="shared" si="1"/>
        <v>6.5292504290779027E-2</v>
      </c>
      <c r="AE7" s="8">
        <f t="shared" si="1"/>
        <v>0.93535022505440968</v>
      </c>
      <c r="AF7" s="10">
        <f>AVERAGE(AF4,AI4)</f>
        <v>0.25510248407351255</v>
      </c>
      <c r="AG7" s="10">
        <f>AVERAGE(AG4,AJ4)</f>
        <v>3.0742479299765542E-2</v>
      </c>
      <c r="AH7" s="10">
        <f>AVERAGE(AH4,AK4)</f>
        <v>0.33768695729881681</v>
      </c>
      <c r="AI7" s="7"/>
      <c r="AJ7" s="7"/>
      <c r="AK7" s="7"/>
    </row>
    <row r="8" spans="1:37" x14ac:dyDescent="0.25">
      <c r="A8" s="5">
        <f>'Proximal Validation'!A8</f>
        <v>0.86958752539999995</v>
      </c>
      <c r="B8" s="5">
        <f>'Proximal Validation'!B8</f>
        <v>0.2</v>
      </c>
      <c r="C8" s="5">
        <f>'Proximal Validation'!C8</f>
        <v>0.78539999999999999</v>
      </c>
      <c r="D8" s="5">
        <f>'Proximal Validation'!D8</f>
        <v>0.66933871</v>
      </c>
      <c r="E8" s="5">
        <f>'Proximal Validation'!E8</f>
        <v>0.04</v>
      </c>
      <c r="F8" s="5">
        <f>'Proximal Validation'!F8</f>
        <v>0.78539999999999999</v>
      </c>
      <c r="G8" s="5">
        <f>'Proximal Validation'!G8</f>
        <v>2.0486073985000002</v>
      </c>
      <c r="H8" s="5">
        <f>'Proximal Validation'!H8</f>
        <v>1.4427408886999999</v>
      </c>
      <c r="I8" s="5">
        <f>'Proximal Validation'!I8</f>
        <v>0.53737298850000004</v>
      </c>
      <c r="J8" s="5">
        <f>'Proximal Validation'!J8</f>
        <v>4.2178397998213803E-3</v>
      </c>
      <c r="K8" s="5">
        <f>'Proximal Validation'!K8</f>
        <v>-0.1370001655817028</v>
      </c>
      <c r="L8" s="5">
        <f>'Proximal Validation'!L8</f>
        <v>0.13484285593032813</v>
      </c>
      <c r="M8" s="5">
        <f>'Proximal Validation'!M8</f>
        <v>-0.61169552803039595</v>
      </c>
      <c r="N8" s="5">
        <f>'Proximal Validation'!N8</f>
        <v>0.92778009176254295</v>
      </c>
      <c r="O8" s="5">
        <f>'Proximal Validation'!O8</f>
        <v>0.97456169128418002</v>
      </c>
      <c r="P8" s="5">
        <v>1.2947776787617564</v>
      </c>
      <c r="Q8" s="5">
        <v>0.13256515795555024</v>
      </c>
      <c r="R8" s="5">
        <v>0.70333116088913272</v>
      </c>
      <c r="S8" s="5">
        <v>0.30017967538755624</v>
      </c>
      <c r="T8" s="5">
        <v>0.10345535204335063</v>
      </c>
      <c r="U8" s="5">
        <v>1.3348260702072401</v>
      </c>
      <c r="V8" s="13">
        <v>4.3926102021942231E-5</v>
      </c>
      <c r="W8" s="5">
        <f t="shared" si="0"/>
        <v>0.42519015336175647</v>
      </c>
      <c r="X8" s="5">
        <f t="shared" si="0"/>
        <v>-6.7434842044449772E-2</v>
      </c>
      <c r="Y8" s="5">
        <f t="shared" si="2"/>
        <v>8.2068839110867264E-2</v>
      </c>
      <c r="Z8" s="5">
        <f t="shared" si="0"/>
        <v>-0.36915903461244376</v>
      </c>
      <c r="AA8" s="5">
        <f t="shared" si="0"/>
        <v>6.3455352043350621E-2</v>
      </c>
      <c r="AB8" s="5">
        <f t="shared" si="3"/>
        <v>0.5494260702072401</v>
      </c>
      <c r="AC8" s="8">
        <f t="shared" si="1"/>
        <v>0.39717459398710009</v>
      </c>
      <c r="AD8" s="8">
        <f t="shared" si="1"/>
        <v>6.5445097043900197E-2</v>
      </c>
      <c r="AE8" s="8">
        <f t="shared" si="1"/>
        <v>0.31574745465905368</v>
      </c>
      <c r="AF8" s="12">
        <f>MEDIAN(AC3:AC52)</f>
        <v>0.19366107196792509</v>
      </c>
      <c r="AG8" s="12">
        <f t="shared" ref="AG8:AH8" si="4">MEDIAN(AD3:AD52)</f>
        <v>2.1046613769783656E-2</v>
      </c>
      <c r="AH8" s="12">
        <f t="shared" si="4"/>
        <v>0.22458718247609299</v>
      </c>
    </row>
    <row r="9" spans="1:37" x14ac:dyDescent="0.25">
      <c r="A9" s="5">
        <f>'Proximal Validation'!A9</f>
        <v>1.2260241731999999</v>
      </c>
      <c r="B9" s="5">
        <f>'Proximal Validation'!B9</f>
        <v>0.2</v>
      </c>
      <c r="C9" s="5">
        <f>'Proximal Validation'!C9</f>
        <v>3.1415999999999999</v>
      </c>
      <c r="D9" s="5">
        <f>'Proximal Validation'!D9</f>
        <v>0.53124592000000004</v>
      </c>
      <c r="E9" s="5">
        <f>'Proximal Validation'!E9</f>
        <v>0.04</v>
      </c>
      <c r="F9" s="5">
        <f>'Proximal Validation'!F9</f>
        <v>1.5708</v>
      </c>
      <c r="G9" s="5">
        <f>'Proximal Validation'!G9</f>
        <v>2.1721905802000001</v>
      </c>
      <c r="H9" s="5">
        <f>'Proximal Validation'!H9</f>
        <v>4.8592739976999999</v>
      </c>
      <c r="I9" s="5">
        <f>'Proximal Validation'!I9</f>
        <v>4.1505258277000001</v>
      </c>
      <c r="J9" s="5">
        <f>'Proximal Validation'!J9</f>
        <v>-1.05884596705437E-2</v>
      </c>
      <c r="K9" s="5">
        <f>'Proximal Validation'!K9</f>
        <v>-2.5415880382061017E-2</v>
      </c>
      <c r="L9" s="5">
        <f>'Proximal Validation'!L9</f>
        <v>-0.22906562328338606</v>
      </c>
      <c r="M9" s="5">
        <f>'Proximal Validation'!M9</f>
        <v>-0.90436720848083496</v>
      </c>
      <c r="N9" s="5">
        <f>'Proximal Validation'!N9</f>
        <v>-0.59426629543304399</v>
      </c>
      <c r="O9" s="5">
        <f>'Proximal Validation'!O9</f>
        <v>0.66323274374008201</v>
      </c>
      <c r="P9" s="5">
        <v>1.323379420744575</v>
      </c>
      <c r="Q9" s="5">
        <v>0.19999994707135499</v>
      </c>
      <c r="R9" s="5">
        <v>3.0930173964136536</v>
      </c>
      <c r="S9" s="5">
        <v>0.60082816236396774</v>
      </c>
      <c r="T9" s="5">
        <v>2.0000000000022205E-2</v>
      </c>
      <c r="U9" s="5">
        <v>1.4952684898793636</v>
      </c>
      <c r="V9" s="13">
        <v>4.1555076748485345E-5</v>
      </c>
      <c r="W9" s="5">
        <f t="shared" si="0"/>
        <v>9.7355247544575141E-2</v>
      </c>
      <c r="X9" s="5">
        <f t="shared" si="0"/>
        <v>-5.2928645022376486E-8</v>
      </c>
      <c r="Y9" s="5">
        <f t="shared" si="2"/>
        <v>4.8582603586346362E-2</v>
      </c>
      <c r="Z9" s="5">
        <f t="shared" si="0"/>
        <v>6.9582242363967706E-2</v>
      </c>
      <c r="AA9" s="5">
        <f t="shared" si="0"/>
        <v>-1.9999999999977796E-2</v>
      </c>
      <c r="AB9" s="5">
        <f t="shared" si="3"/>
        <v>7.5531510120636414E-2</v>
      </c>
      <c r="AC9" s="8">
        <f t="shared" si="1"/>
        <v>8.3468744954271423E-2</v>
      </c>
      <c r="AD9" s="8">
        <f t="shared" si="1"/>
        <v>1.0000026464311409E-2</v>
      </c>
      <c r="AE9" s="8">
        <f t="shared" si="1"/>
        <v>6.2057056853491388E-2</v>
      </c>
      <c r="AF9" s="12"/>
      <c r="AG9" s="12"/>
      <c r="AH9" s="12"/>
    </row>
    <row r="10" spans="1:37" x14ac:dyDescent="0.25">
      <c r="A10" s="5">
        <f>'Proximal Validation'!A10</f>
        <v>1.4922792275000001</v>
      </c>
      <c r="B10" s="5">
        <f>'Proximal Validation'!B10</f>
        <v>0.2</v>
      </c>
      <c r="C10" s="5">
        <f>'Proximal Validation'!C10</f>
        <v>2.3561999999999999</v>
      </c>
      <c r="D10" s="5">
        <f>'Proximal Validation'!D10</f>
        <v>1.2493008810999999</v>
      </c>
      <c r="E10" s="5">
        <f>'Proximal Validation'!E10</f>
        <v>0.04</v>
      </c>
      <c r="F10" s="5">
        <f>'Proximal Validation'!F10</f>
        <v>0.78539999999999999</v>
      </c>
      <c r="G10" s="5">
        <f>'Proximal Validation'!G10</f>
        <v>0.65138204079999995</v>
      </c>
      <c r="H10" s="5">
        <f>'Proximal Validation'!H10</f>
        <v>2.3960292019999998</v>
      </c>
      <c r="I10" s="5">
        <f>'Proximal Validation'!I10</f>
        <v>3.8310385232000002</v>
      </c>
      <c r="J10" s="5">
        <f>'Proximal Validation'!J10</f>
        <v>-3.3023439347744002E-2</v>
      </c>
      <c r="K10" s="5">
        <f>'Proximal Validation'!K10</f>
        <v>-0.23263156175613409</v>
      </c>
      <c r="L10" s="5">
        <f>'Proximal Validation'!L10</f>
        <v>-0.15568616658449203</v>
      </c>
      <c r="M10" s="5">
        <f>'Proximal Validation'!M10</f>
        <v>-1.0651987791061399</v>
      </c>
      <c r="N10" s="5">
        <f>'Proximal Validation'!N10</f>
        <v>0.49567955732345598</v>
      </c>
      <c r="O10" s="5">
        <f>'Proximal Validation'!O10</f>
        <v>1.5597436428070099</v>
      </c>
      <c r="P10" s="5">
        <v>1.4999999999999778</v>
      </c>
      <c r="Q10" s="5">
        <v>0.19999999999997775</v>
      </c>
      <c r="R10" s="5">
        <v>2.490571169927005</v>
      </c>
      <c r="S10" s="5">
        <v>1.4890287092911936</v>
      </c>
      <c r="T10" s="5">
        <v>5.2945915720388245E-2</v>
      </c>
      <c r="U10" s="5">
        <v>0.91002826323702979</v>
      </c>
      <c r="V10" s="13">
        <v>1.8229413874200083E-4</v>
      </c>
      <c r="W10" s="5">
        <f t="shared" si="0"/>
        <v>7.7207724999777128E-3</v>
      </c>
      <c r="X10" s="5">
        <f t="shared" si="0"/>
        <v>-2.2259971643734389E-14</v>
      </c>
      <c r="Y10" s="5">
        <f t="shared" si="2"/>
        <v>0.13437116992700515</v>
      </c>
      <c r="Z10" s="5">
        <f t="shared" si="0"/>
        <v>0.23972782819119365</v>
      </c>
      <c r="AA10" s="5">
        <f t="shared" si="0"/>
        <v>1.2945915720388244E-2</v>
      </c>
      <c r="AB10" s="5">
        <f t="shared" si="3"/>
        <v>0.1246282632370298</v>
      </c>
      <c r="AC10" s="8">
        <f t="shared" si="1"/>
        <v>0.12372430034558568</v>
      </c>
      <c r="AD10" s="8">
        <f t="shared" si="1"/>
        <v>6.4729578602052522E-3</v>
      </c>
      <c r="AE10" s="8">
        <f t="shared" si="1"/>
        <v>0.12949971658201748</v>
      </c>
    </row>
    <row r="11" spans="1:37" x14ac:dyDescent="0.25">
      <c r="A11" s="5">
        <f>'Proximal Validation'!A11</f>
        <v>1.4258680059</v>
      </c>
      <c r="B11" s="5">
        <f>'Proximal Validation'!B11</f>
        <v>0.2</v>
      </c>
      <c r="C11" s="5">
        <f>'Proximal Validation'!C11</f>
        <v>4.7123999999999997</v>
      </c>
      <c r="D11" s="5">
        <f>'Proximal Validation'!D11</f>
        <v>0.35291314260000001</v>
      </c>
      <c r="E11" s="5">
        <f>'Proximal Validation'!E11</f>
        <v>0.04</v>
      </c>
      <c r="F11" s="5">
        <f>'Proximal Validation'!F11</f>
        <v>0</v>
      </c>
      <c r="G11" s="5">
        <f>'Proximal Validation'!G11</f>
        <v>3.4810259851000001</v>
      </c>
      <c r="H11" s="5">
        <f>'Proximal Validation'!H11</f>
        <v>1.1294030872</v>
      </c>
      <c r="I11" s="5">
        <f>'Proximal Validation'!I11</f>
        <v>4.9138255752999997</v>
      </c>
      <c r="J11" s="5">
        <f>'Proximal Validation'!J11</f>
        <v>-2.9087357223033902E-2</v>
      </c>
      <c r="K11" s="5">
        <f>'Proximal Validation'!K11</f>
        <v>0.27084197163581819</v>
      </c>
      <c r="L11" s="5">
        <f>'Proximal Validation'!L11</f>
        <v>9.3254102021455808E-3</v>
      </c>
      <c r="M11" s="5">
        <f>'Proximal Validation'!M11</f>
        <v>-1.3190960884094201</v>
      </c>
      <c r="N11" s="5">
        <f>'Proximal Validation'!N11</f>
        <v>0.140940636396408</v>
      </c>
      <c r="O11" s="5">
        <f>'Proximal Validation'!O11</f>
        <v>-0.61736321449279796</v>
      </c>
      <c r="P11" s="5">
        <v>1.499998592502626</v>
      </c>
      <c r="Q11" s="5">
        <v>0.19999999994296758</v>
      </c>
      <c r="R11" s="5">
        <v>4.2039290859385385</v>
      </c>
      <c r="S11" s="5">
        <v>1.117086365214659</v>
      </c>
      <c r="T11" s="5">
        <v>0.15492236490833167</v>
      </c>
      <c r="U11" s="5">
        <v>5.9238532002749453</v>
      </c>
      <c r="V11" s="13">
        <v>1.26380673353665E-4</v>
      </c>
      <c r="W11" s="5">
        <f t="shared" si="0"/>
        <v>7.4130586602626058E-2</v>
      </c>
      <c r="X11" s="5">
        <f t="shared" si="0"/>
        <v>-5.7032434330750448E-11</v>
      </c>
      <c r="Y11" s="5">
        <f t="shared" si="2"/>
        <v>0.50847091406146117</v>
      </c>
      <c r="Z11" s="5">
        <f t="shared" si="0"/>
        <v>0.76417322261465892</v>
      </c>
      <c r="AA11" s="5">
        <f t="shared" si="0"/>
        <v>0.11492236490833166</v>
      </c>
      <c r="AB11" s="5">
        <f t="shared" si="3"/>
        <v>0.3593321069046409</v>
      </c>
      <c r="AC11" s="8">
        <f t="shared" si="1"/>
        <v>0.41915190460864249</v>
      </c>
      <c r="AD11" s="8">
        <f t="shared" si="1"/>
        <v>5.7461182482682047E-2</v>
      </c>
      <c r="AE11" s="8">
        <f t="shared" si="1"/>
        <v>0.43390151048305103</v>
      </c>
    </row>
    <row r="12" spans="1:37" x14ac:dyDescent="0.25">
      <c r="A12" s="5">
        <f>'Proximal Validation'!A12</f>
        <v>1.2847663906</v>
      </c>
      <c r="B12" s="5">
        <f>'Proximal Validation'!B12</f>
        <v>0.18</v>
      </c>
      <c r="C12" s="5">
        <f>'Proximal Validation'!C12</f>
        <v>0.78539999999999999</v>
      </c>
      <c r="D12" s="5">
        <f>'Proximal Validation'!D12</f>
        <v>0.98965387010000005</v>
      </c>
      <c r="E12" s="5">
        <f>'Proximal Validation'!E12</f>
        <v>0.04</v>
      </c>
      <c r="F12" s="5">
        <f>'Proximal Validation'!F12</f>
        <v>3.927</v>
      </c>
      <c r="G12" s="5">
        <f>'Proximal Validation'!G12</f>
        <v>3.2068327339999998</v>
      </c>
      <c r="H12" s="5">
        <f>'Proximal Validation'!H12</f>
        <v>3.5469168124000001</v>
      </c>
      <c r="I12" s="5">
        <f>'Proximal Validation'!I12</f>
        <v>1.1514404992</v>
      </c>
      <c r="J12" s="5">
        <f>'Proximal Validation'!J12</f>
        <v>-1.0062171146273601E-2</v>
      </c>
      <c r="K12" s="5">
        <f>'Proximal Validation'!K12</f>
        <v>-0.11961497262120291</v>
      </c>
      <c r="L12" s="5">
        <f>'Proximal Validation'!L12</f>
        <v>0.13679772749543156</v>
      </c>
      <c r="M12" s="5">
        <f>'Proximal Validation'!M12</f>
        <v>-0.57413351535797097</v>
      </c>
      <c r="N12" s="5">
        <f>'Proximal Validation'!N12</f>
        <v>-0.16432480514049499</v>
      </c>
      <c r="O12" s="5">
        <f>'Proximal Validation'!O12</f>
        <v>-0.195539399981499</v>
      </c>
      <c r="P12" s="5">
        <v>1.2860659894440993</v>
      </c>
      <c r="Q12" s="5">
        <v>0.16986753360114717</v>
      </c>
      <c r="R12" s="5">
        <v>0.73660425268144458</v>
      </c>
      <c r="S12" s="5">
        <v>1.2142379025908294</v>
      </c>
      <c r="T12" s="5">
        <v>2.0000034886294076E-2</v>
      </c>
      <c r="U12" s="5">
        <v>3.8661951327098922</v>
      </c>
      <c r="V12" s="13">
        <v>3.8932339495277689E-6</v>
      </c>
      <c r="W12" s="5">
        <f t="shared" si="0"/>
        <v>1.2995988440993589E-3</v>
      </c>
      <c r="X12" s="5">
        <f t="shared" si="0"/>
        <v>-1.0132466398852819E-2</v>
      </c>
      <c r="Y12" s="5">
        <f t="shared" si="2"/>
        <v>4.8795747318555405E-2</v>
      </c>
      <c r="Z12" s="5">
        <f t="shared" si="0"/>
        <v>0.22458403249082937</v>
      </c>
      <c r="AA12" s="5">
        <f t="shared" si="0"/>
        <v>-1.9999965113705925E-2</v>
      </c>
      <c r="AB12" s="5">
        <f t="shared" si="3"/>
        <v>6.0804867290107811E-2</v>
      </c>
      <c r="AC12" s="8">
        <f t="shared" si="1"/>
        <v>0.11294181566746436</v>
      </c>
      <c r="AD12" s="8">
        <f t="shared" si="1"/>
        <v>1.5066215756279372E-2</v>
      </c>
      <c r="AE12" s="8">
        <f t="shared" si="1"/>
        <v>5.4800307304331608E-2</v>
      </c>
      <c r="AF12" s="12"/>
      <c r="AG12" s="12"/>
      <c r="AH12" s="12"/>
    </row>
    <row r="13" spans="1:37" x14ac:dyDescent="0.25">
      <c r="A13" s="5">
        <f>'Proximal Validation'!A13</f>
        <v>0.82078888689999996</v>
      </c>
      <c r="B13" s="5">
        <f>'Proximal Validation'!B13</f>
        <v>0.18</v>
      </c>
      <c r="C13" s="5">
        <f>'Proximal Validation'!C13</f>
        <v>0</v>
      </c>
      <c r="D13" s="5">
        <f>'Proximal Validation'!D13</f>
        <v>1.3252826163</v>
      </c>
      <c r="E13" s="5">
        <f>'Proximal Validation'!E13</f>
        <v>0.04</v>
      </c>
      <c r="F13" s="5">
        <f>'Proximal Validation'!F13</f>
        <v>0</v>
      </c>
      <c r="G13" s="5">
        <f>'Proximal Validation'!G13</f>
        <v>3.9081993600000003E-2</v>
      </c>
      <c r="H13" s="5">
        <f>'Proximal Validation'!H13</f>
        <v>2.9262884955000001</v>
      </c>
      <c r="I13" s="5">
        <f>'Proximal Validation'!I13</f>
        <v>4.7431789933999999</v>
      </c>
      <c r="J13" s="5">
        <f>'Proximal Validation'!J13</f>
        <v>1.4371985569596299E-2</v>
      </c>
      <c r="K13" s="5">
        <f>'Proximal Validation'!K13</f>
        <v>-1.4706531241536116E-2</v>
      </c>
      <c r="L13" s="5">
        <f>'Proximal Validation'!L13</f>
        <v>0.2061504805088038</v>
      </c>
      <c r="M13" s="5">
        <f>'Proximal Validation'!M13</f>
        <v>-0.55730897188186601</v>
      </c>
      <c r="N13" s="5">
        <f>'Proximal Validation'!N13</f>
        <v>2.0565929412841801</v>
      </c>
      <c r="O13" s="5">
        <f>'Proximal Validation'!O13</f>
        <v>7.4373602867126506E-2</v>
      </c>
      <c r="P13" s="5">
        <v>1.0186775299521666</v>
      </c>
      <c r="Q13" s="5">
        <v>0.17193094237967937</v>
      </c>
      <c r="R13" s="5">
        <v>7.0663532945455215E-2</v>
      </c>
      <c r="S13" s="5">
        <v>1.1633050084464776</v>
      </c>
      <c r="T13" s="5">
        <v>3.0233364187027833E-2</v>
      </c>
      <c r="U13" s="5">
        <v>6.2228412050857784</v>
      </c>
      <c r="V13" s="13">
        <v>1.9029197263899786E-6</v>
      </c>
      <c r="W13" s="5">
        <f t="shared" si="0"/>
        <v>0.19788864305216669</v>
      </c>
      <c r="X13" s="5">
        <f t="shared" si="0"/>
        <v>-8.0690576203206188E-3</v>
      </c>
      <c r="Y13" s="5">
        <f t="shared" si="2"/>
        <v>7.0663532945455215E-2</v>
      </c>
      <c r="Z13" s="5">
        <f t="shared" si="0"/>
        <v>-0.16197760785352244</v>
      </c>
      <c r="AA13" s="5">
        <f t="shared" si="0"/>
        <v>-9.766635812972168E-3</v>
      </c>
      <c r="AB13" s="5">
        <f t="shared" si="3"/>
        <v>6.0344102093807805E-2</v>
      </c>
      <c r="AC13" s="8">
        <f t="shared" si="1"/>
        <v>0.17993312545284457</v>
      </c>
      <c r="AD13" s="8">
        <f t="shared" si="1"/>
        <v>8.9178467166463934E-3</v>
      </c>
      <c r="AE13" s="8">
        <f t="shared" si="1"/>
        <v>6.550381751963151E-2</v>
      </c>
    </row>
    <row r="14" spans="1:37" x14ac:dyDescent="0.25">
      <c r="A14" s="5">
        <f>'Proximal Validation'!A14</f>
        <v>0.51355824630000002</v>
      </c>
      <c r="B14" s="5">
        <f>'Proximal Validation'!B14</f>
        <v>0.2</v>
      </c>
      <c r="C14" s="5">
        <f>'Proximal Validation'!C14</f>
        <v>2.3561999999999999</v>
      </c>
      <c r="D14" s="5">
        <f>'Proximal Validation'!D14</f>
        <v>0.96095190770000005</v>
      </c>
      <c r="E14" s="5">
        <f>'Proximal Validation'!E14</f>
        <v>0.06</v>
      </c>
      <c r="F14" s="5">
        <f>'Proximal Validation'!F14</f>
        <v>0</v>
      </c>
      <c r="G14" s="5">
        <f>'Proximal Validation'!G14</f>
        <v>2.4382389278000001</v>
      </c>
      <c r="H14" s="5">
        <f>'Proximal Validation'!H14</f>
        <v>4.2854047354000002</v>
      </c>
      <c r="I14" s="5">
        <f>'Proximal Validation'!I14</f>
        <v>0.33901404839999999</v>
      </c>
      <c r="J14" s="5">
        <f>'Proximal Validation'!J14</f>
        <v>1.1325632221996799E-3</v>
      </c>
      <c r="K14" s="5">
        <f>'Proximal Validation'!K14</f>
        <v>-6.6681183576583883E-2</v>
      </c>
      <c r="L14" s="5">
        <f>'Proximal Validation'!L14</f>
        <v>7.4554264545442783E-4</v>
      </c>
      <c r="M14" s="5">
        <f>'Proximal Validation'!M14</f>
        <v>-6.8245917558670002E-2</v>
      </c>
      <c r="N14" s="5">
        <f>'Proximal Validation'!N14</f>
        <v>0.80465632677078203</v>
      </c>
      <c r="O14" s="5">
        <f>'Proximal Validation'!O14</f>
        <v>0.26539456844329801</v>
      </c>
      <c r="P14" s="5">
        <v>0.82210531306705681</v>
      </c>
      <c r="Q14" s="5">
        <v>0.16081026904937701</v>
      </c>
      <c r="R14" s="5">
        <v>2.4472266365932254</v>
      </c>
      <c r="S14" s="5">
        <v>1.4275681549358759</v>
      </c>
      <c r="T14" s="5">
        <v>7.1576785048059838E-2</v>
      </c>
      <c r="U14" s="5">
        <v>6.1291733352689119</v>
      </c>
      <c r="V14" s="13">
        <v>1.6032356597544751E-6</v>
      </c>
      <c r="W14" s="5">
        <f t="shared" si="0"/>
        <v>0.30854706676705679</v>
      </c>
      <c r="X14" s="5">
        <f t="shared" si="0"/>
        <v>-3.9189730950623003E-2</v>
      </c>
      <c r="Y14" s="5">
        <f t="shared" si="2"/>
        <v>9.1026636593225518E-2</v>
      </c>
      <c r="Z14" s="5">
        <f t="shared" si="0"/>
        <v>0.4666162472358758</v>
      </c>
      <c r="AA14" s="5">
        <f t="shared" si="0"/>
        <v>1.157678504805984E-2</v>
      </c>
      <c r="AB14" s="5">
        <f t="shared" si="3"/>
        <v>0.15401197191067428</v>
      </c>
      <c r="AC14" s="8">
        <f t="shared" si="1"/>
        <v>0.3875816570014663</v>
      </c>
      <c r="AD14" s="8">
        <f t="shared" si="1"/>
        <v>2.5383257999341421E-2</v>
      </c>
      <c r="AE14" s="8">
        <f t="shared" si="1"/>
        <v>0.1225193042519499</v>
      </c>
    </row>
    <row r="15" spans="1:37" x14ac:dyDescent="0.25">
      <c r="A15" s="5">
        <f>'Proximal Validation'!A15</f>
        <v>0.35944564579999999</v>
      </c>
      <c r="B15" s="5">
        <f>'Proximal Validation'!B15</f>
        <v>0.18</v>
      </c>
      <c r="C15" s="5">
        <f>'Proximal Validation'!C15</f>
        <v>5.4977999999999998</v>
      </c>
      <c r="D15" s="5">
        <f>'Proximal Validation'!D15</f>
        <v>1.2877652723999999</v>
      </c>
      <c r="E15" s="5">
        <f>'Proximal Validation'!E15</f>
        <v>0.04</v>
      </c>
      <c r="F15" s="5">
        <f>'Proximal Validation'!F15</f>
        <v>2.3561999999999999</v>
      </c>
      <c r="G15" s="5">
        <f>'Proximal Validation'!G15</f>
        <v>2.1189458146</v>
      </c>
      <c r="H15" s="5">
        <f>'Proximal Validation'!H15</f>
        <v>2.2606748846000002</v>
      </c>
      <c r="I15" s="5">
        <f>'Proximal Validation'!I15</f>
        <v>0.94750633689999997</v>
      </c>
      <c r="J15" s="5">
        <f>'Proximal Validation'!J15</f>
        <v>-5.0011062994599299E-3</v>
      </c>
      <c r="K15" s="5">
        <f>'Proximal Validation'!K15</f>
        <v>1.905451118946036E-3</v>
      </c>
      <c r="L15" s="5">
        <f>'Proximal Validation'!L15</f>
        <v>-3.3290824294089638E-3</v>
      </c>
      <c r="M15" s="5">
        <f>'Proximal Validation'!M15</f>
        <v>1.8331240862607999E-3</v>
      </c>
      <c r="N15" s="5">
        <f>'Proximal Validation'!N15</f>
        <v>-0.756436347961426</v>
      </c>
      <c r="O15" s="5">
        <f>'Proximal Validation'!O15</f>
        <v>0.79075133800506603</v>
      </c>
      <c r="P15" s="5">
        <v>0.41281631039207889</v>
      </c>
      <c r="Q15" s="5">
        <v>0.19999997546823037</v>
      </c>
      <c r="R15" s="5">
        <v>5.4205803141758526</v>
      </c>
      <c r="S15" s="5">
        <v>1.4999999992326836</v>
      </c>
      <c r="T15" s="5">
        <v>5.4217493837532042E-2</v>
      </c>
      <c r="U15" s="5">
        <v>2.3219476479136034</v>
      </c>
      <c r="V15" s="13">
        <v>1.4441497713194797E-5</v>
      </c>
      <c r="W15" s="5">
        <f t="shared" si="0"/>
        <v>5.3370664592078898E-2</v>
      </c>
      <c r="X15" s="5">
        <f t="shared" si="0"/>
        <v>1.9999975468230374E-2</v>
      </c>
      <c r="Y15" s="5">
        <f t="shared" si="2"/>
        <v>7.7219685824147177E-2</v>
      </c>
      <c r="Z15" s="5">
        <f t="shared" si="0"/>
        <v>0.21223472683268363</v>
      </c>
      <c r="AA15" s="5">
        <f t="shared" si="0"/>
        <v>1.4217493837532041E-2</v>
      </c>
      <c r="AB15" s="5">
        <f t="shared" si="3"/>
        <v>3.4252352086396431E-2</v>
      </c>
      <c r="AC15" s="8">
        <f t="shared" si="1"/>
        <v>0.13280269571238126</v>
      </c>
      <c r="AD15" s="8">
        <f t="shared" si="1"/>
        <v>1.7108734652881208E-2</v>
      </c>
      <c r="AE15" s="8">
        <f t="shared" si="1"/>
        <v>5.5736018955271804E-2</v>
      </c>
    </row>
    <row r="16" spans="1:37" x14ac:dyDescent="0.25">
      <c r="A16" s="5">
        <f>'Proximal Validation'!A16</f>
        <v>1.2267525763</v>
      </c>
      <c r="B16" s="5">
        <f>'Proximal Validation'!B16</f>
        <v>0.16</v>
      </c>
      <c r="C16" s="5">
        <f>'Proximal Validation'!C16</f>
        <v>5.4977999999999998</v>
      </c>
      <c r="D16" s="5">
        <f>'Proximal Validation'!D16</f>
        <v>1.4944716747</v>
      </c>
      <c r="E16" s="5">
        <f>'Proximal Validation'!E16</f>
        <v>0.04</v>
      </c>
      <c r="F16" s="5">
        <f>'Proximal Validation'!F16</f>
        <v>3.927</v>
      </c>
      <c r="G16" s="5">
        <f>'Proximal Validation'!G16</f>
        <v>0.31884207939999998</v>
      </c>
      <c r="H16" s="5">
        <f>'Proximal Validation'!H16</f>
        <v>3.8007215218999999</v>
      </c>
      <c r="I16" s="5">
        <f>'Proximal Validation'!I16</f>
        <v>0.48541647729999998</v>
      </c>
      <c r="J16" s="5">
        <f>'Proximal Validation'!J16</f>
        <v>5.6576435454189803E-3</v>
      </c>
      <c r="K16" s="5">
        <f>'Proximal Validation'!K16</f>
        <v>0.17276296734809909</v>
      </c>
      <c r="L16" s="5">
        <f>'Proximal Validation'!L16</f>
        <v>8.9440476745367051E-2</v>
      </c>
      <c r="M16" s="5">
        <f>'Proximal Validation'!M16</f>
        <v>-0.48139920830726601</v>
      </c>
      <c r="N16" s="5">
        <f>'Proximal Validation'!N16</f>
        <v>-0.48554921150207497</v>
      </c>
      <c r="O16" s="5">
        <f>'Proximal Validation'!O16</f>
        <v>-1.6963471174240099</v>
      </c>
      <c r="P16" s="5">
        <v>1.4999833920737768</v>
      </c>
      <c r="Q16" s="5">
        <v>0.13515488746708851</v>
      </c>
      <c r="R16" s="5">
        <v>5.3718051806174563</v>
      </c>
      <c r="S16" s="5">
        <v>1.4999999999999778</v>
      </c>
      <c r="T16" s="5">
        <v>2.5252147188747923E-2</v>
      </c>
      <c r="U16" s="5">
        <v>3.560586145665523</v>
      </c>
      <c r="V16" s="13">
        <v>1.6475330338168972E-6</v>
      </c>
      <c r="W16" s="5">
        <f t="shared" si="0"/>
        <v>0.27323081577377684</v>
      </c>
      <c r="X16" s="5">
        <f t="shared" si="0"/>
        <v>-2.4845112532911495E-2</v>
      </c>
      <c r="Y16" s="5">
        <f t="shared" si="2"/>
        <v>0.12599481938254353</v>
      </c>
      <c r="Z16" s="5">
        <f t="shared" si="0"/>
        <v>5.528325299977821E-3</v>
      </c>
      <c r="AA16" s="5">
        <f t="shared" si="0"/>
        <v>-1.4747852811252078E-2</v>
      </c>
      <c r="AB16" s="5">
        <f t="shared" si="3"/>
        <v>0.36641385433447704</v>
      </c>
      <c r="AC16" s="8">
        <f t="shared" si="1"/>
        <v>0.13937957053687733</v>
      </c>
      <c r="AD16" s="8">
        <f t="shared" si="1"/>
        <v>1.9796482672081787E-2</v>
      </c>
      <c r="AE16" s="8">
        <f t="shared" si="1"/>
        <v>0.24620433685851029</v>
      </c>
    </row>
    <row r="17" spans="1:31" x14ac:dyDescent="0.25">
      <c r="A17" s="5">
        <f>'Proximal Validation'!A17</f>
        <v>0.64421489080000005</v>
      </c>
      <c r="B17" s="5">
        <f>'Proximal Validation'!B17</f>
        <v>0.14000000000000001</v>
      </c>
      <c r="C17" s="5">
        <f>'Proximal Validation'!C17</f>
        <v>0</v>
      </c>
      <c r="D17" s="5">
        <f>'Proximal Validation'!D17</f>
        <v>0.8523470823</v>
      </c>
      <c r="E17" s="5">
        <f>'Proximal Validation'!E17</f>
        <v>0.02</v>
      </c>
      <c r="F17" s="5">
        <f>'Proximal Validation'!F17</f>
        <v>4.7123999999999997</v>
      </c>
      <c r="G17" s="5">
        <f>'Proximal Validation'!G17</f>
        <v>8.0437148799999997E-2</v>
      </c>
      <c r="H17" s="5">
        <f>'Proximal Validation'!H17</f>
        <v>0.35167971240000001</v>
      </c>
      <c r="I17" s="5">
        <f>'Proximal Validation'!I17</f>
        <v>1.0501461195999999</v>
      </c>
      <c r="J17" s="5">
        <f>'Proximal Validation'!J17</f>
        <v>1.9597527571022502E-3</v>
      </c>
      <c r="K17" s="5">
        <f>'Proximal Validation'!K17</f>
        <v>1.6047963500023368E-2</v>
      </c>
      <c r="L17" s="5">
        <f>'Proximal Validation'!L17</f>
        <v>8.9387370347976308E-2</v>
      </c>
      <c r="M17" s="5">
        <f>'Proximal Validation'!M17</f>
        <v>-0.110345743596554</v>
      </c>
      <c r="N17" s="5">
        <f>'Proximal Validation'!N17</f>
        <v>0.49668353796005199</v>
      </c>
      <c r="O17" s="5">
        <f>'Proximal Validation'!O17</f>
        <v>-0.96090674400329601</v>
      </c>
      <c r="P17" s="5">
        <v>0.59460879632197872</v>
      </c>
      <c r="Q17" s="5">
        <v>0.16709038283234209</v>
      </c>
      <c r="R17" s="5">
        <v>0.40074461162972286</v>
      </c>
      <c r="S17" s="5">
        <v>1.1946361900802673</v>
      </c>
      <c r="T17" s="5">
        <v>4.5885920431392592E-2</v>
      </c>
      <c r="U17" s="5">
        <v>4.6851968212395692</v>
      </c>
      <c r="V17" s="13">
        <v>5.4575368451709609E-7</v>
      </c>
      <c r="W17" s="5">
        <f t="shared" si="0"/>
        <v>-4.9606094478021334E-2</v>
      </c>
      <c r="X17" s="5">
        <f t="shared" si="0"/>
        <v>2.709038283234208E-2</v>
      </c>
      <c r="Y17" s="5">
        <f t="shared" si="2"/>
        <v>0.40074461162972286</v>
      </c>
      <c r="Z17" s="5">
        <f t="shared" si="0"/>
        <v>0.34228910778026733</v>
      </c>
      <c r="AA17" s="5">
        <f t="shared" si="0"/>
        <v>2.5885920431392592E-2</v>
      </c>
      <c r="AB17" s="5">
        <f t="shared" si="3"/>
        <v>2.7203178760430546E-2</v>
      </c>
      <c r="AC17" s="8">
        <f t="shared" si="1"/>
        <v>0.19594760112914433</v>
      </c>
      <c r="AD17" s="8">
        <f t="shared" si="1"/>
        <v>2.6488151631867338E-2</v>
      </c>
      <c r="AE17" s="8">
        <f t="shared" si="1"/>
        <v>0.2139738951950767</v>
      </c>
    </row>
    <row r="18" spans="1:31" x14ac:dyDescent="0.25">
      <c r="A18" s="5">
        <f>'Proximal Validation'!A18</f>
        <v>1.1302547975999999</v>
      </c>
      <c r="B18" s="5">
        <f>'Proximal Validation'!B18</f>
        <v>0.16</v>
      </c>
      <c r="C18" s="5">
        <f>'Proximal Validation'!C18</f>
        <v>4.7123999999999997</v>
      </c>
      <c r="D18" s="5">
        <f>'Proximal Validation'!D18</f>
        <v>1.3446433494000001</v>
      </c>
      <c r="E18" s="5">
        <f>'Proximal Validation'!E18</f>
        <v>0.04</v>
      </c>
      <c r="F18" s="5">
        <f>'Proximal Validation'!F18</f>
        <v>0</v>
      </c>
      <c r="G18" s="5">
        <f>'Proximal Validation'!G18</f>
        <v>1.0644222964000001</v>
      </c>
      <c r="H18" s="5">
        <f>'Proximal Validation'!H18</f>
        <v>1.4761094460999999</v>
      </c>
      <c r="I18" s="5">
        <f>'Proximal Validation'!I18</f>
        <v>3.5278441351000001</v>
      </c>
      <c r="J18" s="5">
        <f>'Proximal Validation'!J18</f>
        <v>1.67317176237702E-3</v>
      </c>
      <c r="K18" s="5">
        <f>'Proximal Validation'!K18</f>
        <v>0.16960764229297612</v>
      </c>
      <c r="L18" s="5">
        <f>'Proximal Validation'!L18</f>
        <v>5.4553549885749189E-2</v>
      </c>
      <c r="M18" s="5">
        <f>'Proximal Validation'!M18</f>
        <v>-0.55695748329162598</v>
      </c>
      <c r="N18" s="5">
        <f>'Proximal Validation'!N18</f>
        <v>1.32389569282532</v>
      </c>
      <c r="O18" s="5">
        <f>'Proximal Validation'!O18</f>
        <v>-0.76391577720642101</v>
      </c>
      <c r="P18" s="5">
        <v>1.1240766502751123</v>
      </c>
      <c r="Q18" s="5">
        <v>0.16513073999867953</v>
      </c>
      <c r="R18" s="5">
        <v>4.5830758766226953</v>
      </c>
      <c r="S18" s="5">
        <v>1.4834308978246817</v>
      </c>
      <c r="T18" s="5">
        <v>5.2378067121200002E-2</v>
      </c>
      <c r="U18" s="5">
        <v>7.2916254183930426E-2</v>
      </c>
      <c r="V18" s="13">
        <v>6.2694829161710949E-6</v>
      </c>
      <c r="W18" s="5">
        <f t="shared" si="0"/>
        <v>-6.1781473248876395E-3</v>
      </c>
      <c r="X18" s="5">
        <f t="shared" si="0"/>
        <v>5.1307399986795232E-3</v>
      </c>
      <c r="Y18" s="5">
        <f t="shared" si="2"/>
        <v>0.12932412337730437</v>
      </c>
      <c r="Z18" s="5">
        <f t="shared" si="0"/>
        <v>0.13878754842468166</v>
      </c>
      <c r="AA18" s="5">
        <f t="shared" si="0"/>
        <v>1.2378067121200001E-2</v>
      </c>
      <c r="AB18" s="5">
        <f t="shared" si="3"/>
        <v>7.2916254183930426E-2</v>
      </c>
      <c r="AC18" s="8">
        <f t="shared" si="1"/>
        <v>7.2482847874784651E-2</v>
      </c>
      <c r="AD18" s="8">
        <f t="shared" si="1"/>
        <v>8.7544035599397621E-3</v>
      </c>
      <c r="AE18" s="8">
        <f t="shared" si="1"/>
        <v>0.1011201887806174</v>
      </c>
    </row>
    <row r="19" spans="1:31" x14ac:dyDescent="0.25">
      <c r="A19" s="5">
        <f>'Proximal Validation'!A19</f>
        <v>0.44052297210000002</v>
      </c>
      <c r="B19" s="5">
        <f>'Proximal Validation'!B19</f>
        <v>0.14000000000000001</v>
      </c>
      <c r="C19" s="5">
        <f>'Proximal Validation'!C19</f>
        <v>0.78539999999999999</v>
      </c>
      <c r="D19" s="5">
        <f>'Proximal Validation'!D19</f>
        <v>1.0539703866000001</v>
      </c>
      <c r="E19" s="5">
        <f>'Proximal Validation'!E19</f>
        <v>0.02</v>
      </c>
      <c r="F19" s="5">
        <f>'Proximal Validation'!F19</f>
        <v>3.1415999999999999</v>
      </c>
      <c r="G19" s="5">
        <f>'Proximal Validation'!G19</f>
        <v>2.7027230284999999</v>
      </c>
      <c r="H19" s="5">
        <f>'Proximal Validation'!H19</f>
        <v>1.6080541686000001</v>
      </c>
      <c r="I19" s="5">
        <f>'Proximal Validation'!I19</f>
        <v>1.7094513416999999</v>
      </c>
      <c r="J19" s="5">
        <f>'Proximal Validation'!J19</f>
        <v>2.5936241727322301E-3</v>
      </c>
      <c r="K19" s="5">
        <f>'Proximal Validation'!K19</f>
        <v>-4.9032121598720613E-2</v>
      </c>
      <c r="L19" s="5">
        <f>'Proximal Validation'!L19</f>
        <v>2.3136439621448505E-2</v>
      </c>
      <c r="M19" s="5">
        <f>'Proximal Validation'!M19</f>
        <v>-4.1746888309717199E-2</v>
      </c>
      <c r="N19" s="5">
        <f>'Proximal Validation'!N19</f>
        <v>-0.86065161228179898</v>
      </c>
      <c r="O19" s="5">
        <f>'Proximal Validation'!O19</f>
        <v>0.30409139394760099</v>
      </c>
      <c r="P19" s="5">
        <v>0.4258341356671978</v>
      </c>
      <c r="Q19" s="5">
        <v>0.15937814561050842</v>
      </c>
      <c r="R19" s="5">
        <v>0.81663719497473963</v>
      </c>
      <c r="S19" s="5">
        <v>1.1432905781118432</v>
      </c>
      <c r="T19" s="5">
        <v>2.0070516857074897E-2</v>
      </c>
      <c r="U19" s="5">
        <v>3.1404330123408735</v>
      </c>
      <c r="V19" s="13">
        <v>3.9560761309334097E-6</v>
      </c>
      <c r="W19" s="5">
        <f t="shared" ref="W19:X38" si="5">P19-A19</f>
        <v>-1.4688836432802221E-2</v>
      </c>
      <c r="X19" s="5">
        <f t="shared" si="5"/>
        <v>1.9378145610508407E-2</v>
      </c>
      <c r="Y19" s="5">
        <f t="shared" si="2"/>
        <v>3.1237194974739646E-2</v>
      </c>
      <c r="Z19" s="5">
        <f t="shared" ref="Z19:AA38" si="6">S19-D19</f>
        <v>8.9320191511843117E-2</v>
      </c>
      <c r="AA19" s="5">
        <f t="shared" si="6"/>
        <v>7.0516857074896799E-5</v>
      </c>
      <c r="AB19" s="5">
        <f t="shared" si="3"/>
        <v>1.1669876591264838E-3</v>
      </c>
      <c r="AC19" s="8">
        <f t="shared" ref="AC19:AE38" si="7">AVERAGE(ABS(W19),ABS(Z19))</f>
        <v>5.2004513972322669E-2</v>
      </c>
      <c r="AD19" s="8">
        <f t="shared" si="7"/>
        <v>9.724331233791652E-3</v>
      </c>
      <c r="AE19" s="8">
        <f t="shared" si="7"/>
        <v>1.6202091316933065E-2</v>
      </c>
    </row>
    <row r="20" spans="1:31" x14ac:dyDescent="0.25">
      <c r="A20" s="5">
        <f>'Proximal Validation'!A20</f>
        <v>1.4424756030000001</v>
      </c>
      <c r="B20" s="5">
        <f>'Proximal Validation'!B20</f>
        <v>0.16</v>
      </c>
      <c r="C20" s="5">
        <f>'Proximal Validation'!C20</f>
        <v>0.78539999999999999</v>
      </c>
      <c r="D20" s="5">
        <f>'Proximal Validation'!D20</f>
        <v>1.1597422298</v>
      </c>
      <c r="E20" s="5">
        <f>'Proximal Validation'!E20</f>
        <v>0.04</v>
      </c>
      <c r="F20" s="5">
        <f>'Proximal Validation'!F20</f>
        <v>2.3561999999999999</v>
      </c>
      <c r="G20" s="5">
        <f>'Proximal Validation'!G20</f>
        <v>4.8092587324</v>
      </c>
      <c r="H20" s="5">
        <f>'Proximal Validation'!H20</f>
        <v>0.4784433911</v>
      </c>
      <c r="I20" s="5">
        <f>'Proximal Validation'!I20</f>
        <v>4.3446054411999997</v>
      </c>
      <c r="J20" s="5">
        <f>'Proximal Validation'!J20</f>
        <v>3.0066542327404001E-2</v>
      </c>
      <c r="K20" s="5">
        <f>'Proximal Validation'!K20</f>
        <v>-0.1960352241992957</v>
      </c>
      <c r="L20" s="5">
        <f>'Proximal Validation'!L20</f>
        <v>0.12927154690027265</v>
      </c>
      <c r="M20" s="5">
        <f>'Proximal Validation'!M20</f>
        <v>-0.77978467941284202</v>
      </c>
      <c r="N20" s="5">
        <f>'Proximal Validation'!N20</f>
        <v>-0.16298925876617401</v>
      </c>
      <c r="O20" s="5">
        <f>'Proximal Validation'!O20</f>
        <v>1.66381180286407</v>
      </c>
      <c r="P20" s="5">
        <v>1.2658675219326867</v>
      </c>
      <c r="Q20" s="5">
        <v>0.19999999999973359</v>
      </c>
      <c r="R20" s="5">
        <v>0.84159027548476528</v>
      </c>
      <c r="S20" s="5">
        <v>1.1466212840224019</v>
      </c>
      <c r="T20" s="5">
        <v>2.000000728063079E-2</v>
      </c>
      <c r="U20" s="5">
        <v>2.0089972798765907</v>
      </c>
      <c r="V20" s="13">
        <v>3.1635526036022939E-5</v>
      </c>
      <c r="W20" s="5">
        <f t="shared" si="5"/>
        <v>-0.1766080810673134</v>
      </c>
      <c r="X20" s="5">
        <f t="shared" si="5"/>
        <v>3.9999999999733582E-2</v>
      </c>
      <c r="Y20" s="5">
        <f t="shared" si="2"/>
        <v>5.6190275484765295E-2</v>
      </c>
      <c r="Z20" s="5">
        <f t="shared" si="6"/>
        <v>-1.3120945777598036E-2</v>
      </c>
      <c r="AA20" s="5">
        <f t="shared" si="6"/>
        <v>-1.9999992719369211E-2</v>
      </c>
      <c r="AB20" s="5">
        <f t="shared" si="3"/>
        <v>0.34720272012340914</v>
      </c>
      <c r="AC20" s="8">
        <f t="shared" si="7"/>
        <v>9.4864513422455721E-2</v>
      </c>
      <c r="AD20" s="8">
        <f t="shared" si="7"/>
        <v>2.9999996359551397E-2</v>
      </c>
      <c r="AE20" s="8">
        <f t="shared" si="7"/>
        <v>0.20169649780408722</v>
      </c>
    </row>
    <row r="21" spans="1:31" x14ac:dyDescent="0.25">
      <c r="A21" s="5">
        <f>'Proximal Validation'!A21</f>
        <v>1.3085202701</v>
      </c>
      <c r="B21" s="5">
        <f>'Proximal Validation'!B21</f>
        <v>0.14000000000000001</v>
      </c>
      <c r="C21" s="5">
        <f>'Proximal Validation'!C21</f>
        <v>3.927</v>
      </c>
      <c r="D21" s="5">
        <f>'Proximal Validation'!D21</f>
        <v>1.4295469448</v>
      </c>
      <c r="E21" s="5">
        <f>'Proximal Validation'!E21</f>
        <v>0.02</v>
      </c>
      <c r="F21" s="5">
        <f>'Proximal Validation'!F21</f>
        <v>0</v>
      </c>
      <c r="G21" s="5">
        <f>'Proximal Validation'!G21</f>
        <v>4.5210753759999998</v>
      </c>
      <c r="H21" s="5">
        <f>'Proximal Validation'!H21</f>
        <v>3.0172330613999998</v>
      </c>
      <c r="I21" s="5">
        <f>'Proximal Validation'!I21</f>
        <v>0.83361274470000002</v>
      </c>
      <c r="J21" s="5">
        <f>'Proximal Validation'!J21</f>
        <v>1.3228893512859899E-3</v>
      </c>
      <c r="K21" s="5">
        <f>'Proximal Validation'!K21</f>
        <v>0.1496044099330899</v>
      </c>
      <c r="L21" s="5">
        <f>'Proximal Validation'!L21</f>
        <v>-7.6152354888617976E-2</v>
      </c>
      <c r="M21" s="5">
        <f>'Proximal Validation'!M21</f>
        <v>-0.279466062784195</v>
      </c>
      <c r="N21" s="5">
        <f>'Proximal Validation'!N21</f>
        <v>0.80540740489959695</v>
      </c>
      <c r="O21" s="5">
        <f>'Proximal Validation'!O21</f>
        <v>-0.92264562845230103</v>
      </c>
      <c r="P21" s="5">
        <v>1.2900359325019557</v>
      </c>
      <c r="Q21" s="5">
        <v>0.14422601604832408</v>
      </c>
      <c r="R21" s="5">
        <v>4.0964390738212488</v>
      </c>
      <c r="S21" s="5">
        <v>1.4999999993088216</v>
      </c>
      <c r="T21" s="5">
        <v>2.0000000000030327E-2</v>
      </c>
      <c r="U21" s="5">
        <v>4.49672966429834E-2</v>
      </c>
      <c r="V21" s="13">
        <v>3.128884183910425E-6</v>
      </c>
      <c r="W21" s="5">
        <f t="shared" si="5"/>
        <v>-1.8484337598044354E-2</v>
      </c>
      <c r="X21" s="5">
        <f t="shared" si="5"/>
        <v>4.2260160483240661E-3</v>
      </c>
      <c r="Y21" s="5">
        <f t="shared" si="2"/>
        <v>0.16943907382124879</v>
      </c>
      <c r="Z21" s="5">
        <f t="shared" si="6"/>
        <v>7.0453054508821555E-2</v>
      </c>
      <c r="AA21" s="5">
        <f t="shared" si="6"/>
        <v>3.0326435807026542E-14</v>
      </c>
      <c r="AB21" s="5">
        <f t="shared" si="3"/>
        <v>4.49672966429834E-2</v>
      </c>
      <c r="AC21" s="8">
        <f t="shared" si="7"/>
        <v>4.4468696053432955E-2</v>
      </c>
      <c r="AD21" s="8">
        <f t="shared" si="7"/>
        <v>2.1130080241771963E-3</v>
      </c>
      <c r="AE21" s="8">
        <f t="shared" si="7"/>
        <v>0.1072031852321161</v>
      </c>
    </row>
    <row r="22" spans="1:31" x14ac:dyDescent="0.25">
      <c r="A22" s="5">
        <f>'Proximal Validation'!A22</f>
        <v>1.0278031490999999</v>
      </c>
      <c r="B22" s="5">
        <f>'Proximal Validation'!B22</f>
        <v>0.14000000000000001</v>
      </c>
      <c r="C22" s="5">
        <f>'Proximal Validation'!C22</f>
        <v>0</v>
      </c>
      <c r="D22" s="5">
        <f>'Proximal Validation'!D22</f>
        <v>0.3286386073</v>
      </c>
      <c r="E22" s="5">
        <f>'Proximal Validation'!E22</f>
        <v>0.04</v>
      </c>
      <c r="F22" s="5">
        <f>'Proximal Validation'!F22</f>
        <v>2.3561999999999999</v>
      </c>
      <c r="G22" s="5">
        <f>'Proximal Validation'!G22</f>
        <v>2.4776605121999999</v>
      </c>
      <c r="H22" s="5">
        <f>'Proximal Validation'!H22</f>
        <v>0.70416387319999996</v>
      </c>
      <c r="I22" s="5">
        <f>'Proximal Validation'!I22</f>
        <v>1.306033752</v>
      </c>
      <c r="J22" s="5">
        <f>'Proximal Validation'!J22</f>
        <v>-8.7352143600583098E-4</v>
      </c>
      <c r="K22" s="5">
        <f>'Proximal Validation'!K22</f>
        <v>-1.1852361112833051E-2</v>
      </c>
      <c r="L22" s="5">
        <f>'Proximal Validation'!L22</f>
        <v>0.13730413258075697</v>
      </c>
      <c r="M22" s="5">
        <f>'Proximal Validation'!M22</f>
        <v>-0.36319693922996499</v>
      </c>
      <c r="N22" s="5">
        <f>'Proximal Validation'!N22</f>
        <v>0.55491173267364502</v>
      </c>
      <c r="O22" s="5">
        <f>'Proximal Validation'!O22</f>
        <v>0.295467138290405</v>
      </c>
      <c r="P22" s="5">
        <v>1.0988150139213957</v>
      </c>
      <c r="Q22" s="5">
        <v>0.13971867206073077</v>
      </c>
      <c r="R22" s="5">
        <v>2.5460743206738922E-2</v>
      </c>
      <c r="S22" s="5">
        <v>0.51486630599757144</v>
      </c>
      <c r="T22" s="5">
        <v>2.9746073182853487E-2</v>
      </c>
      <c r="U22" s="5">
        <v>2.5774436568434096</v>
      </c>
      <c r="V22" s="13">
        <v>1.0030045584080579E-6</v>
      </c>
      <c r="W22" s="5">
        <f t="shared" si="5"/>
        <v>7.1011864821395765E-2</v>
      </c>
      <c r="X22" s="5">
        <f t="shared" si="5"/>
        <v>-2.813279392692436E-4</v>
      </c>
      <c r="Y22" s="5">
        <f t="shared" si="2"/>
        <v>2.5460743206738922E-2</v>
      </c>
      <c r="Z22" s="5">
        <f t="shared" si="6"/>
        <v>0.18622769869757144</v>
      </c>
      <c r="AA22" s="5">
        <f t="shared" si="6"/>
        <v>-1.0253926817146514E-2</v>
      </c>
      <c r="AB22" s="5">
        <f t="shared" si="3"/>
        <v>0.22124365684340974</v>
      </c>
      <c r="AC22" s="8">
        <f t="shared" si="7"/>
        <v>0.1286197817594836</v>
      </c>
      <c r="AD22" s="8">
        <f t="shared" si="7"/>
        <v>5.2676273782078786E-3</v>
      </c>
      <c r="AE22" s="8">
        <f t="shared" si="7"/>
        <v>0.12335220002507433</v>
      </c>
    </row>
    <row r="23" spans="1:31" x14ac:dyDescent="0.25">
      <c r="A23" s="5">
        <f>'Proximal Validation'!A23</f>
        <v>0.8908774062</v>
      </c>
      <c r="B23" s="5">
        <f>'Proximal Validation'!B23</f>
        <v>0.18</v>
      </c>
      <c r="C23" s="5">
        <f>'Proximal Validation'!C23</f>
        <v>3.1415999999999999</v>
      </c>
      <c r="D23" s="5">
        <f>'Proximal Validation'!D23</f>
        <v>0.88440675189999995</v>
      </c>
      <c r="E23" s="5">
        <f>'Proximal Validation'!E23</f>
        <v>0.08</v>
      </c>
      <c r="F23" s="5">
        <f>'Proximal Validation'!F23</f>
        <v>3.927</v>
      </c>
      <c r="G23" s="5">
        <f>'Proximal Validation'!G23</f>
        <v>0.48462861940000002</v>
      </c>
      <c r="H23" s="5">
        <f>'Proximal Validation'!H23</f>
        <v>1.6897568487000001</v>
      </c>
      <c r="I23" s="5">
        <f>'Proximal Validation'!I23</f>
        <v>3.1701200912999998</v>
      </c>
      <c r="J23" s="5">
        <f>'Proximal Validation'!J23</f>
        <v>-1.1769948527216899E-2</v>
      </c>
      <c r="K23" s="5">
        <f>'Proximal Validation'!K23</f>
        <v>4.8388502895832027E-2</v>
      </c>
      <c r="L23" s="5">
        <f>'Proximal Validation'!L23</f>
        <v>-0.20316620111465439</v>
      </c>
      <c r="M23" s="5">
        <f>'Proximal Validation'!M23</f>
        <v>-0.68180733919143699</v>
      </c>
      <c r="N23" s="5">
        <f>'Proximal Validation'!N23</f>
        <v>-1.2353100776672401</v>
      </c>
      <c r="O23" s="5">
        <f>'Proximal Validation'!O23</f>
        <v>-0.53501510620117199</v>
      </c>
      <c r="P23" s="5">
        <v>1.0784404097408473</v>
      </c>
      <c r="Q23" s="5">
        <v>0.19999999940588953</v>
      </c>
      <c r="R23" s="5">
        <v>3.3671098751463928</v>
      </c>
      <c r="S23" s="5">
        <v>0.70135104384267799</v>
      </c>
      <c r="T23" s="5">
        <v>2.0000000012484462E-2</v>
      </c>
      <c r="U23" s="5">
        <v>3.8357938771185407</v>
      </c>
      <c r="V23" s="13">
        <v>1.5846500780868546E-5</v>
      </c>
      <c r="W23" s="5">
        <f t="shared" si="5"/>
        <v>0.18756300354084732</v>
      </c>
      <c r="X23" s="5">
        <f t="shared" si="5"/>
        <v>1.9999999405889535E-2</v>
      </c>
      <c r="Y23" s="5">
        <f t="shared" si="2"/>
        <v>0.22550987514639287</v>
      </c>
      <c r="Z23" s="5">
        <f t="shared" si="6"/>
        <v>-0.18305570805732196</v>
      </c>
      <c r="AA23" s="5">
        <f t="shared" si="6"/>
        <v>-5.999999998751554E-2</v>
      </c>
      <c r="AB23" s="5">
        <f t="shared" si="3"/>
        <v>9.1206122881459351E-2</v>
      </c>
      <c r="AC23" s="8">
        <f t="shared" si="7"/>
        <v>0.18530935579908464</v>
      </c>
      <c r="AD23" s="8">
        <f t="shared" si="7"/>
        <v>3.9999999696702537E-2</v>
      </c>
      <c r="AE23" s="8">
        <f t="shared" si="7"/>
        <v>0.15835799901392611</v>
      </c>
    </row>
    <row r="24" spans="1:31" x14ac:dyDescent="0.25">
      <c r="A24" s="5">
        <f>'Proximal Validation'!A24</f>
        <v>1.2597568109999999</v>
      </c>
      <c r="B24" s="5">
        <f>'Proximal Validation'!B24</f>
        <v>0.16</v>
      </c>
      <c r="C24" s="5">
        <f>'Proximal Validation'!C24</f>
        <v>0</v>
      </c>
      <c r="D24" s="5">
        <f>'Proximal Validation'!D24</f>
        <v>0.58841219170000003</v>
      </c>
      <c r="E24" s="5">
        <f>'Proximal Validation'!E24</f>
        <v>0.06</v>
      </c>
      <c r="F24" s="5">
        <f>'Proximal Validation'!F24</f>
        <v>5.4977999999999998</v>
      </c>
      <c r="G24" s="5">
        <f>'Proximal Validation'!G24</f>
        <v>3.9855186287</v>
      </c>
      <c r="H24" s="5">
        <f>'Proximal Validation'!H24</f>
        <v>1.0426876676000001</v>
      </c>
      <c r="I24" s="5">
        <f>'Proximal Validation'!I24</f>
        <v>0.31561411</v>
      </c>
      <c r="J24" s="5">
        <f>'Proximal Validation'!J24</f>
        <v>-8.1258090212941204E-3</v>
      </c>
      <c r="K24" s="5">
        <f>'Proximal Validation'!K24</f>
        <v>2.480585664510726E-2</v>
      </c>
      <c r="L24" s="5">
        <f>'Proximal Validation'!L24</f>
        <v>0.22677360892295889</v>
      </c>
      <c r="M24" s="5">
        <f>'Proximal Validation'!M24</f>
        <v>-0.91120928525924705</v>
      </c>
      <c r="N24" s="5">
        <f>'Proximal Validation'!N24</f>
        <v>1.2995035648345901</v>
      </c>
      <c r="O24" s="5">
        <f>'Proximal Validation'!O24</f>
        <v>-0.469389498233795</v>
      </c>
      <c r="P24" s="5">
        <v>0.88990726502243367</v>
      </c>
      <c r="Q24" s="5">
        <v>0.16764948945746574</v>
      </c>
      <c r="R24" s="5">
        <v>0.75453682355796137</v>
      </c>
      <c r="S24" s="5">
        <v>1.4996643896036037</v>
      </c>
      <c r="T24" s="5">
        <v>0.12018455035545089</v>
      </c>
      <c r="U24" s="5">
        <v>5.5305794016679659</v>
      </c>
      <c r="V24" s="13">
        <v>1.9099937596698358E-5</v>
      </c>
      <c r="W24" s="5">
        <f t="shared" si="5"/>
        <v>-0.36984954597756625</v>
      </c>
      <c r="X24" s="5">
        <f t="shared" si="5"/>
        <v>7.6494894574657413E-3</v>
      </c>
      <c r="Y24" s="5">
        <f t="shared" si="2"/>
        <v>0.75453682355796137</v>
      </c>
      <c r="Z24" s="5">
        <f t="shared" si="6"/>
        <v>0.91125219790360368</v>
      </c>
      <c r="AA24" s="5">
        <f t="shared" si="6"/>
        <v>6.0184550355450894E-2</v>
      </c>
      <c r="AB24" s="5">
        <f t="shared" si="3"/>
        <v>3.2779401667966113E-2</v>
      </c>
      <c r="AC24" s="8">
        <f t="shared" si="7"/>
        <v>0.64055087194058502</v>
      </c>
      <c r="AD24" s="8">
        <f t="shared" si="7"/>
        <v>3.3917019906458318E-2</v>
      </c>
      <c r="AE24" s="8">
        <f t="shared" si="7"/>
        <v>0.39365811261296374</v>
      </c>
    </row>
    <row r="25" spans="1:31" x14ac:dyDescent="0.25">
      <c r="A25" s="5">
        <f>'Proximal Validation'!A25</f>
        <v>0.65858340790000003</v>
      </c>
      <c r="B25" s="5">
        <f>'Proximal Validation'!B25</f>
        <v>0.18</v>
      </c>
      <c r="C25" s="5">
        <f>'Proximal Validation'!C25</f>
        <v>0</v>
      </c>
      <c r="D25" s="5">
        <f>'Proximal Validation'!D25</f>
        <v>0.498698221</v>
      </c>
      <c r="E25" s="5">
        <f>'Proximal Validation'!E25</f>
        <v>0.08</v>
      </c>
      <c r="F25" s="5">
        <f>'Proximal Validation'!F25</f>
        <v>0.78539999999999999</v>
      </c>
      <c r="G25" s="5">
        <f>'Proximal Validation'!G25</f>
        <v>4.9301628920000002</v>
      </c>
      <c r="H25" s="5">
        <f>'Proximal Validation'!H25</f>
        <v>1.8520278541999999</v>
      </c>
      <c r="I25" s="5">
        <f>'Proximal Validation'!I25</f>
        <v>4.6646910371999999</v>
      </c>
      <c r="J25" s="5">
        <f>'Proximal Validation'!J25</f>
        <v>8.0546755343675596E-3</v>
      </c>
      <c r="K25" s="5">
        <f>'Proximal Validation'!K25</f>
        <v>-2.5356225371360813E-2</v>
      </c>
      <c r="L25" s="5">
        <f>'Proximal Validation'!L25</f>
        <v>0.14683502078056299</v>
      </c>
      <c r="M25" s="5">
        <f>'Proximal Validation'!M25</f>
        <v>-0.44749337434768699</v>
      </c>
      <c r="N25" s="5">
        <f>'Proximal Validation'!N25</f>
        <v>0.82281804084777799</v>
      </c>
      <c r="O25" s="5">
        <f>'Proximal Validation'!O25</f>
        <v>0.33567589521408098</v>
      </c>
      <c r="P25" s="5">
        <v>0.65172744121122883</v>
      </c>
      <c r="Q25" s="5">
        <v>0.19999999977382119</v>
      </c>
      <c r="R25" s="5">
        <v>6.2831853071795631</v>
      </c>
      <c r="S25" s="5">
        <v>0.46480589481447854</v>
      </c>
      <c r="T25" s="5">
        <v>7.5654336972823574E-2</v>
      </c>
      <c r="U25" s="5">
        <v>0.76599153459890823</v>
      </c>
      <c r="V25" s="13">
        <v>6.3868533975547473E-6</v>
      </c>
      <c r="W25" s="5">
        <f t="shared" si="5"/>
        <v>-6.8559666887711979E-3</v>
      </c>
      <c r="X25" s="5">
        <f t="shared" si="5"/>
        <v>1.9999999773821192E-2</v>
      </c>
      <c r="Y25" s="5">
        <f t="shared" si="2"/>
        <v>2.3092638912203256E-14</v>
      </c>
      <c r="Z25" s="5">
        <f t="shared" si="6"/>
        <v>-3.389232618552146E-2</v>
      </c>
      <c r="AA25" s="5">
        <f t="shared" si="6"/>
        <v>-4.3456630271764274E-3</v>
      </c>
      <c r="AB25" s="5">
        <f t="shared" si="3"/>
        <v>1.9408465401091757E-2</v>
      </c>
      <c r="AC25" s="9">
        <f t="shared" si="7"/>
        <v>2.0374146437146329E-2</v>
      </c>
      <c r="AD25" s="9">
        <f t="shared" si="7"/>
        <v>1.217283140049881E-2</v>
      </c>
      <c r="AE25" s="9">
        <f t="shared" si="7"/>
        <v>9.7042327005574247E-3</v>
      </c>
    </row>
    <row r="26" spans="1:31" x14ac:dyDescent="0.25">
      <c r="A26" s="5">
        <f>'Proximal Validation'!A26</f>
        <v>0.55032038400000005</v>
      </c>
      <c r="B26" s="5">
        <f>'Proximal Validation'!B26</f>
        <v>0.16</v>
      </c>
      <c r="C26" s="5">
        <f>'Proximal Validation'!C26</f>
        <v>3.1415999999999999</v>
      </c>
      <c r="D26" s="5">
        <f>'Proximal Validation'!D26</f>
        <v>1.4487418581</v>
      </c>
      <c r="E26" s="5">
        <f>'Proximal Validation'!E26</f>
        <v>0.08</v>
      </c>
      <c r="F26" s="5">
        <f>'Proximal Validation'!F26</f>
        <v>2.3561999999999999</v>
      </c>
      <c r="G26" s="5">
        <f>'Proximal Validation'!G26</f>
        <v>4.7175867132000002</v>
      </c>
      <c r="H26" s="5">
        <f>'Proximal Validation'!H26</f>
        <v>1.3012665307</v>
      </c>
      <c r="I26" s="5">
        <f>'Proximal Validation'!I26</f>
        <v>3.3668845907999998</v>
      </c>
      <c r="J26" s="5">
        <f>'Proximal Validation'!J26</f>
        <v>-1.2392895296216E-3</v>
      </c>
      <c r="K26" s="5">
        <f>'Proximal Validation'!K26</f>
        <v>-7.8764544129371977E-2</v>
      </c>
      <c r="L26" s="5">
        <f>'Proximal Validation'!L26</f>
        <v>-0.17832563519477909</v>
      </c>
      <c r="M26" s="5">
        <f>'Proximal Validation'!M26</f>
        <v>-0.389381974935532</v>
      </c>
      <c r="N26" s="5">
        <f>'Proximal Validation'!N26</f>
        <v>-1.47788345813751</v>
      </c>
      <c r="O26" s="5">
        <f>'Proximal Validation'!O26</f>
        <v>0.95994305610656705</v>
      </c>
      <c r="P26" s="5">
        <v>0.56800144463312552</v>
      </c>
      <c r="Q26" s="5">
        <v>0.16476293975157391</v>
      </c>
      <c r="R26" s="5">
        <v>3.3611823588767789</v>
      </c>
      <c r="S26" s="5">
        <v>1.4999968684118756</v>
      </c>
      <c r="T26" s="5">
        <v>8.8381066593145888E-2</v>
      </c>
      <c r="U26" s="5">
        <v>2.2984200302486353</v>
      </c>
      <c r="V26" s="13">
        <v>1.3078625936208334E-5</v>
      </c>
      <c r="W26" s="5">
        <f t="shared" si="5"/>
        <v>1.7681060633125467E-2</v>
      </c>
      <c r="X26" s="5">
        <f t="shared" si="5"/>
        <v>4.762939751573908E-3</v>
      </c>
      <c r="Y26" s="5">
        <f t="shared" si="2"/>
        <v>0.2195823588767789</v>
      </c>
      <c r="Z26" s="5">
        <f t="shared" si="6"/>
        <v>5.1255010311875626E-2</v>
      </c>
      <c r="AA26" s="5">
        <f t="shared" si="6"/>
        <v>8.3810665931458861E-3</v>
      </c>
      <c r="AB26" s="5">
        <f t="shared" si="3"/>
        <v>5.7779969751364568E-2</v>
      </c>
      <c r="AC26" s="8">
        <f t="shared" si="7"/>
        <v>3.4468035472500547E-2</v>
      </c>
      <c r="AD26" s="8">
        <f t="shared" si="7"/>
        <v>6.5720031723598971E-3</v>
      </c>
      <c r="AE26" s="8">
        <f t="shared" si="7"/>
        <v>0.13868116431407174</v>
      </c>
    </row>
    <row r="27" spans="1:31" x14ac:dyDescent="0.25">
      <c r="A27" s="5">
        <f>'Proximal Validation'!A27</f>
        <v>1.2531062278</v>
      </c>
      <c r="B27" s="5">
        <f>'Proximal Validation'!B27</f>
        <v>0.18</v>
      </c>
      <c r="C27" s="5">
        <f>'Proximal Validation'!C27</f>
        <v>5.4977999999999998</v>
      </c>
      <c r="D27" s="5">
        <f>'Proximal Validation'!D27</f>
        <v>0.4702401397</v>
      </c>
      <c r="E27" s="5">
        <f>'Proximal Validation'!E27</f>
        <v>0.1</v>
      </c>
      <c r="F27" s="5">
        <f>'Proximal Validation'!F27</f>
        <v>5.4977999999999998</v>
      </c>
      <c r="G27" s="5">
        <f>'Proximal Validation'!G27</f>
        <v>0.1483911762</v>
      </c>
      <c r="H27" s="5">
        <f>'Proximal Validation'!H27</f>
        <v>0.2167359935</v>
      </c>
      <c r="I27" s="5">
        <f>'Proximal Validation'!I27</f>
        <v>4.9349358513999997</v>
      </c>
      <c r="J27" s="5">
        <f>'Proximal Validation'!J27</f>
        <v>1.3011932373046899E-2</v>
      </c>
      <c r="K27" s="5">
        <f>'Proximal Validation'!K27</f>
        <v>0.17962860584259044</v>
      </c>
      <c r="L27" s="5">
        <f>'Proximal Validation'!L27</f>
        <v>0.17774561345577244</v>
      </c>
      <c r="M27" s="5">
        <f>'Proximal Validation'!M27</f>
        <v>-1.1463577747345</v>
      </c>
      <c r="N27" s="5">
        <f>'Proximal Validation'!N27</f>
        <v>0.72932124137878396</v>
      </c>
      <c r="O27" s="5">
        <f>'Proximal Validation'!O27</f>
        <v>-0.74414980411529497</v>
      </c>
      <c r="P27" s="5">
        <v>1.4999984250019278</v>
      </c>
      <c r="Q27" s="5">
        <v>0.15803548824278654</v>
      </c>
      <c r="R27" s="5">
        <v>5.858089963138994</v>
      </c>
      <c r="S27" s="5">
        <v>0.79017265984186902</v>
      </c>
      <c r="T27" s="5">
        <v>0.13970574761904536</v>
      </c>
      <c r="U27" s="5">
        <v>4.4579006989237522</v>
      </c>
      <c r="V27" s="13">
        <v>1.0873414042675069E-4</v>
      </c>
      <c r="W27" s="5">
        <f t="shared" si="5"/>
        <v>0.24689219720192779</v>
      </c>
      <c r="X27" s="5">
        <f t="shared" si="5"/>
        <v>-2.1964511757213451E-2</v>
      </c>
      <c r="Y27" s="5">
        <f t="shared" si="2"/>
        <v>0.3602899631389942</v>
      </c>
      <c r="Z27" s="5">
        <f t="shared" si="6"/>
        <v>0.31993252014186901</v>
      </c>
      <c r="AA27" s="5">
        <f t="shared" si="6"/>
        <v>3.9705747619045356E-2</v>
      </c>
      <c r="AB27" s="5">
        <f t="shared" si="3"/>
        <v>1.0398993010762476</v>
      </c>
      <c r="AC27" s="8">
        <f t="shared" si="7"/>
        <v>0.2834123586718984</v>
      </c>
      <c r="AD27" s="8">
        <f t="shared" si="7"/>
        <v>3.0835129688129403E-2</v>
      </c>
      <c r="AE27" s="8">
        <f t="shared" si="7"/>
        <v>0.70009463210762091</v>
      </c>
    </row>
    <row r="28" spans="1:31" x14ac:dyDescent="0.25">
      <c r="A28" s="5">
        <f>'Proximal Validation'!A28</f>
        <v>0.37674236639999997</v>
      </c>
      <c r="B28" s="5">
        <f>'Proximal Validation'!B28</f>
        <v>0.12</v>
      </c>
      <c r="C28" s="5">
        <f>'Proximal Validation'!C28</f>
        <v>5.4977999999999998</v>
      </c>
      <c r="D28" s="5">
        <f>'Proximal Validation'!D28</f>
        <v>0.55884916829999998</v>
      </c>
      <c r="E28" s="5">
        <f>'Proximal Validation'!E28</f>
        <v>0.04</v>
      </c>
      <c r="F28" s="5">
        <f>'Proximal Validation'!F28</f>
        <v>5.4977999999999998</v>
      </c>
      <c r="G28" s="5">
        <f>'Proximal Validation'!G28</f>
        <v>2.7463764360999998</v>
      </c>
      <c r="H28" s="5">
        <f>'Proximal Validation'!H28</f>
        <v>4.0783358151</v>
      </c>
      <c r="I28" s="5">
        <f>'Proximal Validation'!I28</f>
        <v>2.4827351898000001</v>
      </c>
      <c r="J28" s="5">
        <f>'Proximal Validation'!J28</f>
        <v>-4.1884777601808299E-4</v>
      </c>
      <c r="K28" s="5">
        <f>'Proximal Validation'!K28</f>
        <v>4.8614442646503477E-2</v>
      </c>
      <c r="L28" s="5">
        <f>'Proximal Validation'!L28</f>
        <v>4.8307788670063391E-2</v>
      </c>
      <c r="M28" s="5">
        <f>'Proximal Validation'!M28</f>
        <v>-9.7034186124801594E-2</v>
      </c>
      <c r="N28" s="5">
        <f>'Proximal Validation'!N28</f>
        <v>0.60689675807952903</v>
      </c>
      <c r="O28" s="5">
        <f>'Proximal Validation'!O28</f>
        <v>-0.63970345258712802</v>
      </c>
      <c r="P28" s="5">
        <v>0.39460577595589807</v>
      </c>
      <c r="Q28" s="5">
        <v>8.4538483104813975E-2</v>
      </c>
      <c r="R28" s="5">
        <v>1.4508931921745496</v>
      </c>
      <c r="S28" s="5">
        <v>1.175520152919284</v>
      </c>
      <c r="T28" s="5">
        <v>7.9290596679070471E-2</v>
      </c>
      <c r="U28" s="5">
        <v>5.2096178380810239</v>
      </c>
      <c r="V28" s="13">
        <v>6.8961654679093493E-7</v>
      </c>
      <c r="W28" s="5">
        <f t="shared" si="5"/>
        <v>1.7863409555898102E-2</v>
      </c>
      <c r="X28" s="5">
        <f t="shared" si="5"/>
        <v>-3.5461516895186021E-2</v>
      </c>
      <c r="Y28" s="5">
        <f t="shared" si="2"/>
        <v>2.2362784993541363</v>
      </c>
      <c r="Z28" s="5">
        <f t="shared" si="6"/>
        <v>0.61667098461928405</v>
      </c>
      <c r="AA28" s="5">
        <f t="shared" si="6"/>
        <v>3.9290596679070471E-2</v>
      </c>
      <c r="AB28" s="5">
        <f t="shared" si="3"/>
        <v>0.28818216191897594</v>
      </c>
      <c r="AC28" s="8">
        <f t="shared" si="7"/>
        <v>0.3172671970875911</v>
      </c>
      <c r="AD28" s="8">
        <f t="shared" si="7"/>
        <v>3.7376056787128242E-2</v>
      </c>
      <c r="AE28" s="8">
        <f t="shared" si="7"/>
        <v>1.2622303306365561</v>
      </c>
    </row>
    <row r="29" spans="1:31" x14ac:dyDescent="0.25">
      <c r="A29" s="5">
        <f>'Proximal Validation'!A29</f>
        <v>0.99744538530000004</v>
      </c>
      <c r="B29" s="5">
        <f>'Proximal Validation'!B29</f>
        <v>0.12</v>
      </c>
      <c r="C29" s="5">
        <f>'Proximal Validation'!C29</f>
        <v>2.3561999999999999</v>
      </c>
      <c r="D29" s="5">
        <f>'Proximal Validation'!D29</f>
        <v>0.63256510880000005</v>
      </c>
      <c r="E29" s="5">
        <f>'Proximal Validation'!E29</f>
        <v>0.04</v>
      </c>
      <c r="F29" s="5">
        <f>'Proximal Validation'!F29</f>
        <v>4.7123999999999997</v>
      </c>
      <c r="G29" s="5">
        <f>'Proximal Validation'!G29</f>
        <v>1.0163068775999999</v>
      </c>
      <c r="H29" s="5">
        <f>'Proximal Validation'!H29</f>
        <v>2.5468444695999999</v>
      </c>
      <c r="I29" s="5">
        <f>'Proximal Validation'!I29</f>
        <v>0.1214735909</v>
      </c>
      <c r="J29" s="5">
        <f>'Proximal Validation'!J29</f>
        <v>-1.1704247444868101E-3</v>
      </c>
      <c r="K29" s="5">
        <f>'Proximal Validation'!K29</f>
        <v>-5.3023360669612919E-2</v>
      </c>
      <c r="L29" s="5">
        <f>'Proximal Validation'!L29</f>
        <v>-9.6837731003761029E-2</v>
      </c>
      <c r="M29" s="5">
        <f>'Proximal Validation'!M29</f>
        <v>-0.23891685903072399</v>
      </c>
      <c r="N29" s="5">
        <f>'Proximal Validation'!N29</f>
        <v>-0.67229318618774403</v>
      </c>
      <c r="O29" s="5">
        <f>'Proximal Validation'!O29</f>
        <v>-6.1973929405212402E-2</v>
      </c>
      <c r="P29" s="5">
        <v>1.1903921734919787</v>
      </c>
      <c r="Q29" s="5">
        <v>0.19985673830948897</v>
      </c>
      <c r="R29" s="5">
        <v>1.4084915265842335</v>
      </c>
      <c r="S29" s="5">
        <v>1.4999836665887232</v>
      </c>
      <c r="T29" s="5">
        <v>0.14781012999099144</v>
      </c>
      <c r="U29" s="5">
        <v>4.0471747050995415</v>
      </c>
      <c r="V29" s="13">
        <v>1.1179463539378893E-6</v>
      </c>
      <c r="W29" s="5">
        <f t="shared" si="5"/>
        <v>0.19294678819197864</v>
      </c>
      <c r="X29" s="5">
        <f t="shared" si="5"/>
        <v>7.9856738309488973E-2</v>
      </c>
      <c r="Y29" s="5">
        <f t="shared" si="2"/>
        <v>0.94770847341576636</v>
      </c>
      <c r="Z29" s="5">
        <f t="shared" si="6"/>
        <v>0.86741855778872312</v>
      </c>
      <c r="AA29" s="5">
        <f t="shared" si="6"/>
        <v>0.10781012999099143</v>
      </c>
      <c r="AB29" s="5">
        <f t="shared" si="3"/>
        <v>0.66522529490045823</v>
      </c>
      <c r="AC29" s="8">
        <f t="shared" si="7"/>
        <v>0.53018267299035093</v>
      </c>
      <c r="AD29" s="8">
        <f t="shared" si="7"/>
        <v>9.3833434150240203E-2</v>
      </c>
      <c r="AE29" s="8">
        <f t="shared" si="7"/>
        <v>0.8064668841581123</v>
      </c>
    </row>
    <row r="30" spans="1:31" x14ac:dyDescent="0.25">
      <c r="A30" s="5">
        <f>'Proximal Validation'!A30</f>
        <v>0.91958396450000002</v>
      </c>
      <c r="B30" s="5">
        <f>'Proximal Validation'!B30</f>
        <v>0.18</v>
      </c>
      <c r="C30" s="5">
        <f>'Proximal Validation'!C30</f>
        <v>0</v>
      </c>
      <c r="D30" s="5">
        <f>'Proximal Validation'!D30</f>
        <v>1.2327944816</v>
      </c>
      <c r="E30" s="5">
        <f>'Proximal Validation'!E30</f>
        <v>0.1</v>
      </c>
      <c r="F30" s="5">
        <f>'Proximal Validation'!F30</f>
        <v>4.7123999999999997</v>
      </c>
      <c r="G30" s="5">
        <f>'Proximal Validation'!G30</f>
        <v>3.7350994551999999</v>
      </c>
      <c r="H30" s="5">
        <f>'Proximal Validation'!H30</f>
        <v>0.10989542820000001</v>
      </c>
      <c r="I30" s="5">
        <f>'Proximal Validation'!I30</f>
        <v>4.0041016991999996</v>
      </c>
      <c r="J30" s="5">
        <f>'Proximal Validation'!J30</f>
        <v>5.2949553355574599E-3</v>
      </c>
      <c r="K30" s="5">
        <f>'Proximal Validation'!K30</f>
        <v>0.1002950870990762</v>
      </c>
      <c r="L30" s="5">
        <f>'Proximal Validation'!L30</f>
        <v>0.14873841881752001</v>
      </c>
      <c r="M30" s="5">
        <f>'Proximal Validation'!M30</f>
        <v>-0.66750568151473999</v>
      </c>
      <c r="N30" s="5">
        <f>'Proximal Validation'!N30</f>
        <v>0.47792124748230003</v>
      </c>
      <c r="O30" s="5">
        <f>'Proximal Validation'!O30</f>
        <v>-1.06160187721252</v>
      </c>
      <c r="P30" s="5">
        <v>0.86802036357594958</v>
      </c>
      <c r="Q30" s="5">
        <v>0.19864258829217443</v>
      </c>
      <c r="R30" s="5">
        <v>6.1927773654839582</v>
      </c>
      <c r="S30" s="5">
        <v>1.1426867812572363</v>
      </c>
      <c r="T30" s="5">
        <v>7.9821170747325323E-2</v>
      </c>
      <c r="U30" s="5">
        <v>4.6108940250068908</v>
      </c>
      <c r="V30" s="13">
        <v>5.6578313175767577E-6</v>
      </c>
      <c r="W30" s="5">
        <f t="shared" si="5"/>
        <v>-5.1563600924050434E-2</v>
      </c>
      <c r="X30" s="5">
        <f t="shared" si="5"/>
        <v>1.8642588292174439E-2</v>
      </c>
      <c r="Y30" s="5">
        <f t="shared" si="2"/>
        <v>9.0407941695628047E-2</v>
      </c>
      <c r="Z30" s="5">
        <f t="shared" si="6"/>
        <v>-9.0107700342763719E-2</v>
      </c>
      <c r="AA30" s="5">
        <f t="shared" si="6"/>
        <v>-2.0178829252674682E-2</v>
      </c>
      <c r="AB30" s="5">
        <f t="shared" si="3"/>
        <v>0.10150597499310887</v>
      </c>
      <c r="AC30" s="8">
        <f t="shared" si="7"/>
        <v>7.0835650633407077E-2</v>
      </c>
      <c r="AD30" s="8">
        <f t="shared" si="7"/>
        <v>1.9410708772424561E-2</v>
      </c>
      <c r="AE30" s="8">
        <f t="shared" si="7"/>
        <v>9.5956958344368459E-2</v>
      </c>
    </row>
    <row r="31" spans="1:31" x14ac:dyDescent="0.25">
      <c r="A31" s="5">
        <f>'Proximal Validation'!A31</f>
        <v>0.76015027209999997</v>
      </c>
      <c r="B31" s="5">
        <f>'Proximal Validation'!B31</f>
        <v>0.18</v>
      </c>
      <c r="C31" s="5">
        <f>'Proximal Validation'!C31</f>
        <v>2.3561999999999999</v>
      </c>
      <c r="D31" s="5">
        <f>'Proximal Validation'!D31</f>
        <v>0.80034279419999999</v>
      </c>
      <c r="E31" s="5">
        <f>'Proximal Validation'!E31</f>
        <v>0.1</v>
      </c>
      <c r="F31" s="5">
        <f>'Proximal Validation'!F31</f>
        <v>0</v>
      </c>
      <c r="G31" s="5">
        <f>'Proximal Validation'!G31</f>
        <v>4.7396783878999997</v>
      </c>
      <c r="H31" s="5">
        <f>'Proximal Validation'!H31</f>
        <v>4.9071061610999998</v>
      </c>
      <c r="I31" s="5">
        <f>'Proximal Validation'!I31</f>
        <v>1.8713340661</v>
      </c>
      <c r="J31" s="5">
        <f>'Proximal Validation'!J31</f>
        <v>4.3246033601462798E-3</v>
      </c>
      <c r="K31" s="5">
        <f>'Proximal Validation'!K31</f>
        <v>-7.4664700627326969E-2</v>
      </c>
      <c r="L31" s="5">
        <f>'Proximal Validation'!L31</f>
        <v>-8.2634314894678568E-4</v>
      </c>
      <c r="M31" s="5">
        <f>'Proximal Validation'!M31</f>
        <v>-0.140251100063324</v>
      </c>
      <c r="N31" s="5">
        <f>'Proximal Validation'!N31</f>
        <v>0.45143038034439098</v>
      </c>
      <c r="O31" s="5">
        <f>'Proximal Validation'!O31</f>
        <v>0.313724786043167</v>
      </c>
      <c r="P31" s="5">
        <v>0.91237986888056799</v>
      </c>
      <c r="Q31" s="5">
        <v>0.19040447608917238</v>
      </c>
      <c r="R31" s="5">
        <v>2.5712139454762153</v>
      </c>
      <c r="S31" s="5">
        <v>1.2146326511674661</v>
      </c>
      <c r="T31" s="5">
        <v>0.11892602854259259</v>
      </c>
      <c r="U31" s="5">
        <v>6.1721790858394172</v>
      </c>
      <c r="V31" s="13">
        <v>2.8162177035416032E-7</v>
      </c>
      <c r="W31" s="5">
        <f t="shared" si="5"/>
        <v>0.15222959678056802</v>
      </c>
      <c r="X31" s="5">
        <f t="shared" si="5"/>
        <v>1.0404476089172388E-2</v>
      </c>
      <c r="Y31" s="5">
        <f t="shared" si="2"/>
        <v>0.21501394547621544</v>
      </c>
      <c r="Z31" s="5">
        <f t="shared" si="6"/>
        <v>0.41428985696746612</v>
      </c>
      <c r="AA31" s="5">
        <f t="shared" si="6"/>
        <v>1.8926028542592579E-2</v>
      </c>
      <c r="AB31" s="5">
        <f t="shared" si="3"/>
        <v>0.11100622134016902</v>
      </c>
      <c r="AC31" s="8">
        <f t="shared" si="7"/>
        <v>0.28325972687401707</v>
      </c>
      <c r="AD31" s="8">
        <f t="shared" si="7"/>
        <v>1.4665252315882484E-2</v>
      </c>
      <c r="AE31" s="8">
        <f t="shared" si="7"/>
        <v>0.16301008340819223</v>
      </c>
    </row>
    <row r="32" spans="1:31" x14ac:dyDescent="0.25">
      <c r="A32" s="5">
        <f>'Proximal Validation'!A32</f>
        <v>0.9040684336</v>
      </c>
      <c r="B32" s="5">
        <f>'Proximal Validation'!B32</f>
        <v>0.1</v>
      </c>
      <c r="C32" s="5">
        <f>'Proximal Validation'!C32</f>
        <v>5.4977999999999998</v>
      </c>
      <c r="D32" s="5">
        <f>'Proximal Validation'!D32</f>
        <v>0.68590239919999996</v>
      </c>
      <c r="E32" s="5">
        <f>'Proximal Validation'!E32</f>
        <v>0.02</v>
      </c>
      <c r="F32" s="5">
        <f>'Proximal Validation'!F32</f>
        <v>4.7123999999999997</v>
      </c>
      <c r="G32" s="5">
        <f>'Proximal Validation'!G32</f>
        <v>3.1050919126999998</v>
      </c>
      <c r="H32" s="5">
        <f>'Proximal Validation'!H32</f>
        <v>4.9790166179000002</v>
      </c>
      <c r="I32" s="5">
        <f>'Proximal Validation'!I32</f>
        <v>4.7088396990000003</v>
      </c>
      <c r="J32" s="5">
        <f>'Proximal Validation'!J32</f>
        <v>1.8214078154414901E-3</v>
      </c>
      <c r="K32" s="5">
        <f>'Proximal Validation'!K32</f>
        <v>8.5241996645927215E-2</v>
      </c>
      <c r="L32" s="5">
        <f>'Proximal Validation'!L32</f>
        <v>6.4217582345009017E-2</v>
      </c>
      <c r="M32" s="5">
        <f>'Proximal Validation'!M32</f>
        <v>-0.18496520817279799</v>
      </c>
      <c r="N32" s="5">
        <f>'Proximal Validation'!N32</f>
        <v>0.541345775127411</v>
      </c>
      <c r="O32" s="5">
        <f>'Proximal Validation'!O32</f>
        <v>-1.33990967273712</v>
      </c>
      <c r="P32" s="5">
        <v>0.57950902264265503</v>
      </c>
      <c r="Q32" s="5">
        <v>0.11458283720363861</v>
      </c>
      <c r="R32" s="5">
        <v>8.371735028506734E-4</v>
      </c>
      <c r="S32" s="5">
        <v>1.3542874008155976</v>
      </c>
      <c r="T32" s="5">
        <v>6.3237984652552953E-2</v>
      </c>
      <c r="U32" s="5">
        <v>4.6871307575153995</v>
      </c>
      <c r="V32" s="13">
        <v>1.3490707675738855E-7</v>
      </c>
      <c r="W32" s="5">
        <f t="shared" si="5"/>
        <v>-0.32455941095734497</v>
      </c>
      <c r="X32" s="5">
        <f t="shared" si="5"/>
        <v>1.4582837203638607E-2</v>
      </c>
      <c r="Y32" s="5">
        <f t="shared" si="2"/>
        <v>0.78622248068243739</v>
      </c>
      <c r="Z32" s="5">
        <f t="shared" si="6"/>
        <v>0.66838500161559766</v>
      </c>
      <c r="AA32" s="5">
        <f t="shared" si="6"/>
        <v>4.3237984652552949E-2</v>
      </c>
      <c r="AB32" s="5">
        <f t="shared" si="3"/>
        <v>2.5269242484600163E-2</v>
      </c>
      <c r="AC32" s="8">
        <f t="shared" si="7"/>
        <v>0.49647220628647132</v>
      </c>
      <c r="AD32" s="8">
        <f t="shared" si="7"/>
        <v>2.8910410928095778E-2</v>
      </c>
      <c r="AE32" s="8">
        <f t="shared" si="7"/>
        <v>0.40574586158351877</v>
      </c>
    </row>
    <row r="33" spans="1:31" x14ac:dyDescent="0.25">
      <c r="A33" s="5">
        <f>'Proximal Validation'!A33</f>
        <v>1.4109779404</v>
      </c>
      <c r="B33" s="5">
        <f>'Proximal Validation'!B33</f>
        <v>0.2</v>
      </c>
      <c r="C33" s="5">
        <f>'Proximal Validation'!C33</f>
        <v>3.1415999999999999</v>
      </c>
      <c r="D33" s="5">
        <f>'Proximal Validation'!D33</f>
        <v>1.3890525475</v>
      </c>
      <c r="E33" s="5">
        <f>'Proximal Validation'!E33</f>
        <v>0.12</v>
      </c>
      <c r="F33" s="5">
        <f>'Proximal Validation'!F33</f>
        <v>0</v>
      </c>
      <c r="G33" s="5">
        <f>'Proximal Validation'!G33</f>
        <v>0.24685834309999999</v>
      </c>
      <c r="H33" s="5">
        <f>'Proximal Validation'!H33</f>
        <v>4.5298125568999996</v>
      </c>
      <c r="I33" s="5">
        <f>'Proximal Validation'!I33</f>
        <v>2.6684535819000001</v>
      </c>
      <c r="J33" s="5">
        <f>'Proximal Validation'!J33</f>
        <v>-3.3102363813668498E-3</v>
      </c>
      <c r="K33" s="5">
        <f>'Proximal Validation'!K33</f>
        <v>-9.8247682675719691E-3</v>
      </c>
      <c r="L33" s="5">
        <f>'Proximal Validation'!L33</f>
        <v>-5.8335820399224844E-2</v>
      </c>
      <c r="M33" s="5">
        <f>'Proximal Validation'!M33</f>
        <v>-0.13851435482502</v>
      </c>
      <c r="N33" s="5">
        <f>'Proximal Validation'!N33</f>
        <v>0.50596565008163497</v>
      </c>
      <c r="O33" s="5">
        <f>'Proximal Validation'!O33</f>
        <v>4.1465051472187001E-2</v>
      </c>
      <c r="P33" s="5">
        <v>1.0601153259152511</v>
      </c>
      <c r="Q33" s="5">
        <v>0.19999999999997781</v>
      </c>
      <c r="R33" s="5">
        <v>3.0854222397118649</v>
      </c>
      <c r="S33" s="5">
        <v>1.4209390186286628</v>
      </c>
      <c r="T33" s="5">
        <v>9.7154989355954291E-2</v>
      </c>
      <c r="U33" s="5">
        <v>6.2729833947184908</v>
      </c>
      <c r="V33" s="13">
        <v>1.0591193934908652E-6</v>
      </c>
      <c r="W33" s="5">
        <f t="shared" si="5"/>
        <v>-0.35086261448474887</v>
      </c>
      <c r="X33" s="5">
        <f t="shared" si="5"/>
        <v>-2.2204460492503131E-14</v>
      </c>
      <c r="Y33" s="5">
        <f t="shared" si="2"/>
        <v>5.6177760288135037E-2</v>
      </c>
      <c r="Z33" s="5">
        <f t="shared" si="6"/>
        <v>3.188647112866283E-2</v>
      </c>
      <c r="AA33" s="5">
        <f t="shared" si="6"/>
        <v>-2.2845010644045705E-2</v>
      </c>
      <c r="AB33" s="5">
        <f t="shared" si="3"/>
        <v>1.0201912461095475E-2</v>
      </c>
      <c r="AC33" s="8">
        <f t="shared" si="7"/>
        <v>0.19137454280670585</v>
      </c>
      <c r="AD33" s="8">
        <f t="shared" si="7"/>
        <v>1.1422505322033955E-2</v>
      </c>
      <c r="AE33" s="8">
        <f t="shared" si="7"/>
        <v>3.3189836374615256E-2</v>
      </c>
    </row>
    <row r="34" spans="1:31" x14ac:dyDescent="0.25">
      <c r="A34" s="5">
        <f>'Proximal Validation'!A34</f>
        <v>1.4747736548999999</v>
      </c>
      <c r="B34" s="5">
        <f>'Proximal Validation'!B34</f>
        <v>0.2</v>
      </c>
      <c r="C34" s="5">
        <f>'Proximal Validation'!C34</f>
        <v>0</v>
      </c>
      <c r="D34" s="5">
        <f>'Proximal Validation'!D34</f>
        <v>1.4750904852</v>
      </c>
      <c r="E34" s="5">
        <f>'Proximal Validation'!E34</f>
        <v>0.12</v>
      </c>
      <c r="F34" s="5">
        <f>'Proximal Validation'!F34</f>
        <v>3.1415999999999999</v>
      </c>
      <c r="G34" s="5">
        <f>'Proximal Validation'!G34</f>
        <v>2.1243312033000001</v>
      </c>
      <c r="H34" s="5">
        <f>'Proximal Validation'!H34</f>
        <v>0.98146476360000001</v>
      </c>
      <c r="I34" s="5">
        <f>'Proximal Validation'!I34</f>
        <v>2.2301814902000001</v>
      </c>
      <c r="J34" s="5">
        <f>'Proximal Validation'!J34</f>
        <v>3.8138499949127401E-3</v>
      </c>
      <c r="K34" s="5">
        <f>'Proximal Validation'!K34</f>
        <v>-8.9558945968746684E-3</v>
      </c>
      <c r="L34" s="5">
        <f>'Proximal Validation'!L34</f>
        <v>6.6326448172330826E-2</v>
      </c>
      <c r="M34" s="5">
        <f>'Proximal Validation'!M34</f>
        <v>-3.0066302046179799E-2</v>
      </c>
      <c r="N34" s="5">
        <f>'Proximal Validation'!N34</f>
        <v>-0.46598353981971702</v>
      </c>
      <c r="O34" s="5">
        <f>'Proximal Validation'!O34</f>
        <v>2.87609733641148E-2</v>
      </c>
      <c r="P34" s="5">
        <v>1.1105026548534276</v>
      </c>
      <c r="Q34" s="5">
        <v>0.19999935313120101</v>
      </c>
      <c r="R34" s="5">
        <v>5.0983969717799241E-2</v>
      </c>
      <c r="S34" s="5">
        <v>1.48037515912085</v>
      </c>
      <c r="T34" s="5">
        <v>9.7399456977902296E-2</v>
      </c>
      <c r="U34" s="5">
        <v>3.1585466163490787</v>
      </c>
      <c r="V34" s="13">
        <v>1.8699071077684386E-6</v>
      </c>
      <c r="W34" s="5">
        <f t="shared" si="5"/>
        <v>-0.36427100004657231</v>
      </c>
      <c r="X34" s="5">
        <f t="shared" si="5"/>
        <v>-6.4686879899800154E-7</v>
      </c>
      <c r="Y34" s="5">
        <f t="shared" si="2"/>
        <v>5.0983969717799241E-2</v>
      </c>
      <c r="Z34" s="5">
        <f t="shared" si="6"/>
        <v>5.2846739208500804E-3</v>
      </c>
      <c r="AA34" s="5">
        <f t="shared" si="6"/>
        <v>-2.2600543022097699E-2</v>
      </c>
      <c r="AB34" s="5">
        <f t="shared" si="3"/>
        <v>1.6946616349078791E-2</v>
      </c>
      <c r="AC34" s="8">
        <f t="shared" si="7"/>
        <v>0.1847778369837112</v>
      </c>
      <c r="AD34" s="8">
        <f t="shared" si="7"/>
        <v>1.1300594945448349E-2</v>
      </c>
      <c r="AE34" s="8">
        <f t="shared" si="7"/>
        <v>3.3965293033439016E-2</v>
      </c>
    </row>
    <row r="35" spans="1:31" x14ac:dyDescent="0.25">
      <c r="A35" s="5">
        <f>'Proximal Validation'!A35</f>
        <v>1.1341222659000001</v>
      </c>
      <c r="B35" s="5">
        <f>'Proximal Validation'!B35</f>
        <v>0.12</v>
      </c>
      <c r="C35" s="5">
        <f>'Proximal Validation'!C35</f>
        <v>0.78539999999999999</v>
      </c>
      <c r="D35" s="5">
        <f>'Proximal Validation'!D35</f>
        <v>1.3710979794</v>
      </c>
      <c r="E35" s="5">
        <f>'Proximal Validation'!E35</f>
        <v>0.04</v>
      </c>
      <c r="F35" s="5">
        <f>'Proximal Validation'!F35</f>
        <v>1.5708</v>
      </c>
      <c r="G35" s="5">
        <f>'Proximal Validation'!G35</f>
        <v>3.8924485742999999</v>
      </c>
      <c r="H35" s="5">
        <f>'Proximal Validation'!H35</f>
        <v>4.3783496642999999</v>
      </c>
      <c r="I35" s="5">
        <f>'Proximal Validation'!I35</f>
        <v>1.6360280112000001</v>
      </c>
      <c r="J35" s="5">
        <f>'Proximal Validation'!J35</f>
        <v>-2.8819218277931203E-4</v>
      </c>
      <c r="K35" s="5">
        <f>'Proximal Validation'!K35</f>
        <v>-0.16862541913986212</v>
      </c>
      <c r="L35" s="5">
        <f>'Proximal Validation'!L35</f>
        <v>9.6877405047416862E-2</v>
      </c>
      <c r="M35" s="5">
        <f>'Proximal Validation'!M35</f>
        <v>-0.59649485349655196</v>
      </c>
      <c r="N35" s="5">
        <f>'Proximal Validation'!N35</f>
        <v>0.69457828998565696</v>
      </c>
      <c r="O35" s="5">
        <f>'Proximal Validation'!O35</f>
        <v>2.1627001762390101</v>
      </c>
      <c r="P35" s="5">
        <v>1.4999996180063888</v>
      </c>
      <c r="Q35" s="5">
        <v>0.10197945534083722</v>
      </c>
      <c r="R35" s="5">
        <v>0.62256341063522003</v>
      </c>
      <c r="S35" s="5">
        <v>1.4999999995679261</v>
      </c>
      <c r="T35" s="5">
        <v>5.6993586292760703E-2</v>
      </c>
      <c r="U35" s="5">
        <v>1.8860377047101957</v>
      </c>
      <c r="V35" s="13">
        <v>3.74749291024983E-5</v>
      </c>
      <c r="W35" s="5">
        <f t="shared" si="5"/>
        <v>0.36587735210638872</v>
      </c>
      <c r="X35" s="5">
        <f t="shared" si="5"/>
        <v>-1.8020544659162779E-2</v>
      </c>
      <c r="Y35" s="5">
        <f t="shared" si="2"/>
        <v>0.16283658936477996</v>
      </c>
      <c r="Z35" s="5">
        <f t="shared" si="6"/>
        <v>0.12890202016792607</v>
      </c>
      <c r="AA35" s="5">
        <f t="shared" si="6"/>
        <v>1.6993586292760703E-2</v>
      </c>
      <c r="AB35" s="5">
        <f t="shared" si="3"/>
        <v>0.31523770471019574</v>
      </c>
      <c r="AC35" s="8">
        <f t="shared" si="7"/>
        <v>0.24738968613715739</v>
      </c>
      <c r="AD35" s="8">
        <f t="shared" si="7"/>
        <v>1.7507065475961741E-2</v>
      </c>
      <c r="AE35" s="8">
        <f t="shared" si="7"/>
        <v>0.23903714703748785</v>
      </c>
    </row>
    <row r="36" spans="1:31" x14ac:dyDescent="0.25">
      <c r="A36" s="5">
        <f>'Proximal Validation'!A36</f>
        <v>0.785852255</v>
      </c>
      <c r="B36" s="5">
        <f>'Proximal Validation'!B36</f>
        <v>0.1</v>
      </c>
      <c r="C36" s="5">
        <f>'Proximal Validation'!C36</f>
        <v>0.78539999999999999</v>
      </c>
      <c r="D36" s="5">
        <f>'Proximal Validation'!D36</f>
        <v>0.39355619479999998</v>
      </c>
      <c r="E36" s="5">
        <f>'Proximal Validation'!E36</f>
        <v>0.02</v>
      </c>
      <c r="F36" s="5">
        <f>'Proximal Validation'!F36</f>
        <v>5.4977999999999998</v>
      </c>
      <c r="G36" s="5">
        <f>'Proximal Validation'!G36</f>
        <v>4.5109081914000004</v>
      </c>
      <c r="H36" s="5">
        <f>'Proximal Validation'!H36</f>
        <v>2.9663132843</v>
      </c>
      <c r="I36" s="5">
        <f>'Proximal Validation'!I36</f>
        <v>3.8683553511</v>
      </c>
      <c r="J36" s="5">
        <f>'Proximal Validation'!J36</f>
        <v>4.0220627561211603E-3</v>
      </c>
      <c r="K36" s="5">
        <f>'Proximal Validation'!K36</f>
        <v>-4.8670811653137261E-2</v>
      </c>
      <c r="L36" s="5">
        <f>'Proximal Validation'!L36</f>
        <v>6.9585041999816882E-2</v>
      </c>
      <c r="M36" s="5">
        <f>'Proximal Validation'!M36</f>
        <v>-0.13810922205448201</v>
      </c>
      <c r="N36" s="5">
        <f>'Proximal Validation'!N36</f>
        <v>0.84371614456176802</v>
      </c>
      <c r="O36" s="5">
        <f>'Proximal Validation'!O36</f>
        <v>0.228819519281387</v>
      </c>
      <c r="P36" s="5">
        <v>0.39079180206369679</v>
      </c>
      <c r="Q36" s="5">
        <v>0.19891880951012478</v>
      </c>
      <c r="R36" s="5">
        <v>2.3700140170102038</v>
      </c>
      <c r="S36" s="5">
        <v>1.1385313058510012</v>
      </c>
      <c r="T36" s="5">
        <v>0.1100482232205927</v>
      </c>
      <c r="U36" s="5">
        <v>6.2458513284790609</v>
      </c>
      <c r="V36" s="13">
        <v>3.9986624508801328E-6</v>
      </c>
      <c r="W36" s="5">
        <f t="shared" si="5"/>
        <v>-0.39506045293630321</v>
      </c>
      <c r="X36" s="5">
        <f t="shared" si="5"/>
        <v>9.8918809510124772E-2</v>
      </c>
      <c r="Y36" s="5">
        <f t="shared" si="2"/>
        <v>1.5846140170102037</v>
      </c>
      <c r="Z36" s="5">
        <f t="shared" si="6"/>
        <v>0.74497511105100123</v>
      </c>
      <c r="AA36" s="5">
        <f t="shared" si="6"/>
        <v>9.0048223220592694E-2</v>
      </c>
      <c r="AB36" s="5">
        <f t="shared" si="3"/>
        <v>0.74805132847906108</v>
      </c>
      <c r="AC36" s="8">
        <f t="shared" si="7"/>
        <v>0.57001778199365227</v>
      </c>
      <c r="AD36" s="8">
        <f t="shared" si="7"/>
        <v>9.4483516365358733E-2</v>
      </c>
      <c r="AE36" s="8">
        <f t="shared" si="7"/>
        <v>1.1663326727446324</v>
      </c>
    </row>
    <row r="37" spans="1:31" x14ac:dyDescent="0.25">
      <c r="A37" s="5">
        <f>'Proximal Validation'!A37</f>
        <v>0.4787670047</v>
      </c>
      <c r="B37" s="5">
        <f>'Proximal Validation'!B37</f>
        <v>0.2</v>
      </c>
      <c r="C37" s="5">
        <f>'Proximal Validation'!C37</f>
        <v>4.7123999999999997</v>
      </c>
      <c r="D37" s="5">
        <f>'Proximal Validation'!D37</f>
        <v>0.35541469809999998</v>
      </c>
      <c r="E37" s="5">
        <f>'Proximal Validation'!E37</f>
        <v>0.14000000000000001</v>
      </c>
      <c r="F37" s="5">
        <f>'Proximal Validation'!F37</f>
        <v>3.1415999999999999</v>
      </c>
      <c r="G37" s="5">
        <f>'Proximal Validation'!G37</f>
        <v>4.9350065225000002</v>
      </c>
      <c r="H37" s="5">
        <f>'Proximal Validation'!H37</f>
        <v>4.6708884390999996</v>
      </c>
      <c r="I37" s="5">
        <f>'Proximal Validation'!I37</f>
        <v>0.64099500450000002</v>
      </c>
      <c r="J37" s="5">
        <f>'Proximal Validation'!J37</f>
        <v>4.0480811148881904E-3</v>
      </c>
      <c r="K37" s="5">
        <f>'Proximal Validation'!K37</f>
        <v>8.1926136910915243E-2</v>
      </c>
      <c r="L37" s="5">
        <f>'Proximal Validation'!L37</f>
        <v>-3.7596840262413014E-2</v>
      </c>
      <c r="M37" s="5">
        <f>'Proximal Validation'!M37</f>
        <v>-8.3123356103897095E-2</v>
      </c>
      <c r="N37" s="5">
        <f>'Proximal Validation'!N37</f>
        <v>-0.26290214061737099</v>
      </c>
      <c r="O37" s="5">
        <f>'Proximal Validation'!O37</f>
        <v>-0.36952835321426403</v>
      </c>
      <c r="P37" s="5">
        <v>0.70388564662392739</v>
      </c>
      <c r="Q37" s="5">
        <v>0.15740453608907767</v>
      </c>
      <c r="R37" s="5">
        <v>4.3884246395003714</v>
      </c>
      <c r="S37" s="5">
        <v>0.30026099918309196</v>
      </c>
      <c r="T37" s="5">
        <v>7.7531609297993589E-2</v>
      </c>
      <c r="U37" s="5">
        <v>1.700756927080326</v>
      </c>
      <c r="V37" s="13">
        <v>1.3158051531074672E-6</v>
      </c>
      <c r="W37" s="5">
        <f t="shared" si="5"/>
        <v>0.22511864192392739</v>
      </c>
      <c r="X37" s="5">
        <f t="shared" si="5"/>
        <v>-4.2595463910922338E-2</v>
      </c>
      <c r="Y37" s="5">
        <f t="shared" si="2"/>
        <v>0.32397536049962827</v>
      </c>
      <c r="Z37" s="5">
        <f t="shared" si="6"/>
        <v>-5.5153698916908023E-2</v>
      </c>
      <c r="AA37" s="5">
        <f t="shared" si="6"/>
        <v>-6.2468390702006424E-2</v>
      </c>
      <c r="AB37" s="5">
        <f t="shared" si="3"/>
        <v>1.440843072919674</v>
      </c>
      <c r="AC37" s="8">
        <f t="shared" si="7"/>
        <v>0.1401361704204177</v>
      </c>
      <c r="AD37" s="8">
        <f t="shared" si="7"/>
        <v>5.2531927306464381E-2</v>
      </c>
      <c r="AE37" s="8">
        <f t="shared" si="7"/>
        <v>0.88240921670965111</v>
      </c>
    </row>
    <row r="38" spans="1:31" x14ac:dyDescent="0.25">
      <c r="A38" s="5">
        <f>'Proximal Validation'!A38</f>
        <v>1.2825258852999999</v>
      </c>
      <c r="B38" s="5">
        <f>'Proximal Validation'!B38</f>
        <v>0.14000000000000001</v>
      </c>
      <c r="C38" s="5">
        <f>'Proximal Validation'!C38</f>
        <v>2.3561999999999999</v>
      </c>
      <c r="D38" s="5">
        <f>'Proximal Validation'!D38</f>
        <v>1.1085226837</v>
      </c>
      <c r="E38" s="5">
        <f>'Proximal Validation'!E38</f>
        <v>0.08</v>
      </c>
      <c r="F38" s="5">
        <f>'Proximal Validation'!F38</f>
        <v>3.1415999999999999</v>
      </c>
      <c r="G38" s="5">
        <f>'Proximal Validation'!G38</f>
        <v>5.0541583899999999E-2</v>
      </c>
      <c r="H38" s="5">
        <f>'Proximal Validation'!H38</f>
        <v>4.9578693537999996</v>
      </c>
      <c r="I38" s="5">
        <f>'Proximal Validation'!I38</f>
        <v>3.9886280456000001</v>
      </c>
      <c r="J38" s="5">
        <f>'Proximal Validation'!J38</f>
        <v>-2.3071035742759701E-2</v>
      </c>
      <c r="K38" s="5">
        <f>'Proximal Validation'!K38</f>
        <v>-0.10596835374832156</v>
      </c>
      <c r="L38" s="5">
        <f>'Proximal Validation'!L38</f>
        <v>-0.22721113681793151</v>
      </c>
      <c r="M38" s="5">
        <f>'Proximal Validation'!M38</f>
        <v>-1.1593600511550901</v>
      </c>
      <c r="N38" s="5">
        <f>'Proximal Validation'!N38</f>
        <v>-1.6655416488647501</v>
      </c>
      <c r="O38" s="5">
        <f>'Proximal Validation'!O38</f>
        <v>0.71028804779052701</v>
      </c>
      <c r="P38" s="5">
        <v>1.3386484056333117</v>
      </c>
      <c r="Q38" s="5">
        <v>0.19613052246099044</v>
      </c>
      <c r="R38" s="5">
        <v>2.7332373387685696</v>
      </c>
      <c r="S38" s="5">
        <v>1.2542805565360751</v>
      </c>
      <c r="T38" s="5">
        <v>2.0013165292947738E-2</v>
      </c>
      <c r="U38" s="5">
        <v>2.8810167215355786</v>
      </c>
      <c r="V38" s="13">
        <v>2.1630009744434068E-5</v>
      </c>
      <c r="W38" s="5">
        <f t="shared" si="5"/>
        <v>5.6122520333311776E-2</v>
      </c>
      <c r="X38" s="5">
        <f t="shared" si="5"/>
        <v>5.6130522460990429E-2</v>
      </c>
      <c r="Y38" s="5">
        <f t="shared" si="2"/>
        <v>0.37703733876856971</v>
      </c>
      <c r="Z38" s="5">
        <f t="shared" si="6"/>
        <v>0.14575787283607511</v>
      </c>
      <c r="AA38" s="5">
        <f t="shared" si="6"/>
        <v>-5.9986834707052267E-2</v>
      </c>
      <c r="AB38" s="5">
        <f t="shared" si="3"/>
        <v>0.26058327846442131</v>
      </c>
      <c r="AC38" s="8">
        <f t="shared" si="7"/>
        <v>0.10094019658469344</v>
      </c>
      <c r="AD38" s="8">
        <f t="shared" si="7"/>
        <v>5.8058678584021348E-2</v>
      </c>
      <c r="AE38" s="8">
        <f t="shared" si="7"/>
        <v>0.31881030861649551</v>
      </c>
    </row>
    <row r="39" spans="1:31" x14ac:dyDescent="0.25">
      <c r="A39" s="5">
        <f>'Proximal Validation'!A39</f>
        <v>1.0319949839</v>
      </c>
      <c r="B39" s="5">
        <f>'Proximal Validation'!B39</f>
        <v>0.18</v>
      </c>
      <c r="C39" s="5">
        <f>'Proximal Validation'!C39</f>
        <v>3.927</v>
      </c>
      <c r="D39" s="5">
        <f>'Proximal Validation'!D39</f>
        <v>1.1733448184999999</v>
      </c>
      <c r="E39" s="5">
        <f>'Proximal Validation'!E39</f>
        <v>0.12</v>
      </c>
      <c r="F39" s="5">
        <f>'Proximal Validation'!F39</f>
        <v>0.78539999999999999</v>
      </c>
      <c r="G39" s="5">
        <f>'Proximal Validation'!G39</f>
        <v>4.3201662060999997</v>
      </c>
      <c r="H39" s="5">
        <f>'Proximal Validation'!H39</f>
        <v>3.8378352410000001</v>
      </c>
      <c r="I39" s="5">
        <f>'Proximal Validation'!I39</f>
        <v>4.8360302252</v>
      </c>
      <c r="J39" s="5">
        <f>'Proximal Validation'!J39</f>
        <v>2.0447487477213101E-3</v>
      </c>
      <c r="K39" s="5">
        <f>'Proximal Validation'!K39</f>
        <v>3.4675893932580408E-3</v>
      </c>
      <c r="L39" s="5">
        <f>'Proximal Validation'!L39</f>
        <v>-1.7182121560908849E-2</v>
      </c>
      <c r="M39" s="5">
        <f>'Proximal Validation'!M39</f>
        <v>-4.4312290847301497E-2</v>
      </c>
      <c r="N39" s="5">
        <f>'Proximal Validation'!N39</f>
        <v>0.20662721991538999</v>
      </c>
      <c r="O39" s="5">
        <f>'Proximal Validation'!O39</f>
        <v>0.34084922075271601</v>
      </c>
      <c r="P39" s="5">
        <v>0.88996420592691661</v>
      </c>
      <c r="Q39" s="5">
        <v>4.6413742225875874E-2</v>
      </c>
      <c r="R39" s="5">
        <v>3.5911724167125554</v>
      </c>
      <c r="S39" s="5">
        <v>1.242903656554581</v>
      </c>
      <c r="T39" s="5">
        <v>2.0000051582518625E-2</v>
      </c>
      <c r="U39" s="5">
        <v>0.62509466487264453</v>
      </c>
      <c r="V39" s="13">
        <v>5.4202131209235475E-6</v>
      </c>
      <c r="W39" s="5">
        <f t="shared" ref="W39:X52" si="8">P39-A39</f>
        <v>-0.14203077797308339</v>
      </c>
      <c r="X39" s="5">
        <f t="shared" si="8"/>
        <v>-0.13358625777412411</v>
      </c>
      <c r="Y39" s="5">
        <f t="shared" si="2"/>
        <v>0.33582758328744466</v>
      </c>
      <c r="Z39" s="5">
        <f t="shared" ref="Z39:AA52" si="9">S39-D39</f>
        <v>6.9558838054581074E-2</v>
      </c>
      <c r="AA39" s="5">
        <f t="shared" si="9"/>
        <v>-9.9999948417481374E-2</v>
      </c>
      <c r="AB39" s="5">
        <f t="shared" si="3"/>
        <v>0.16030533512735545</v>
      </c>
      <c r="AC39" s="8">
        <f t="shared" ref="AC39:AE52" si="10">AVERAGE(ABS(W39),ABS(Z39))</f>
        <v>0.10579480801383223</v>
      </c>
      <c r="AD39" s="8">
        <f t="shared" si="10"/>
        <v>0.11679310309580274</v>
      </c>
      <c r="AE39" s="8">
        <f t="shared" si="10"/>
        <v>0.24806645920740006</v>
      </c>
    </row>
    <row r="40" spans="1:31" x14ac:dyDescent="0.25">
      <c r="A40" s="5">
        <f>'Proximal Validation'!A40</f>
        <v>0.54659396309999997</v>
      </c>
      <c r="B40" s="5">
        <f>'Proximal Validation'!B40</f>
        <v>0.14000000000000001</v>
      </c>
      <c r="C40" s="5">
        <f>'Proximal Validation'!C40</f>
        <v>3.927</v>
      </c>
      <c r="D40" s="5">
        <f>'Proximal Validation'!D40</f>
        <v>0.37475583969999998</v>
      </c>
      <c r="E40" s="5">
        <f>'Proximal Validation'!E40</f>
        <v>0.08</v>
      </c>
      <c r="F40" s="5">
        <f>'Proximal Validation'!F40</f>
        <v>1.5708</v>
      </c>
      <c r="G40" s="5">
        <f>'Proximal Validation'!G40</f>
        <v>1.2326114607000001</v>
      </c>
      <c r="H40" s="5">
        <f>'Proximal Validation'!H40</f>
        <v>3.5091223980000001</v>
      </c>
      <c r="I40" s="5">
        <f>'Proximal Validation'!I40</f>
        <v>2.8278096824999999</v>
      </c>
      <c r="J40" s="5">
        <f>'Proximal Validation'!J40</f>
        <v>9.2119863256812096E-4</v>
      </c>
      <c r="K40" s="5">
        <f>'Proximal Validation'!K40</f>
        <v>1.6157464738935229E-2</v>
      </c>
      <c r="L40" s="5">
        <f>'Proximal Validation'!L40</f>
        <v>-5.0630841255187964E-2</v>
      </c>
      <c r="M40" s="5">
        <f>'Proximal Validation'!M40</f>
        <v>-5.8329094201326398E-2</v>
      </c>
      <c r="N40" s="5">
        <f>'Proximal Validation'!N40</f>
        <v>-0.317890405654907</v>
      </c>
      <c r="O40" s="5">
        <f>'Proximal Validation'!O40</f>
        <v>0.108785018324852</v>
      </c>
      <c r="P40" s="5">
        <v>0.94501752574642317</v>
      </c>
      <c r="Q40" s="5">
        <v>0.12485463084868746</v>
      </c>
      <c r="R40" s="5">
        <v>4.0108404852782629</v>
      </c>
      <c r="S40" s="5">
        <v>0.87291423943424318</v>
      </c>
      <c r="T40" s="5">
        <v>8.9013702010313583E-2</v>
      </c>
      <c r="U40" s="5">
        <v>1.2431723621823292</v>
      </c>
      <c r="V40" s="13">
        <v>2.1242999709729716E-7</v>
      </c>
      <c r="W40" s="5">
        <f t="shared" si="8"/>
        <v>0.3984235626464232</v>
      </c>
      <c r="X40" s="5">
        <f t="shared" si="8"/>
        <v>-1.5145369151312552E-2</v>
      </c>
      <c r="Y40" s="5">
        <f t="shared" si="2"/>
        <v>8.3840485278262822E-2</v>
      </c>
      <c r="Z40" s="5">
        <f t="shared" si="9"/>
        <v>0.4981583997342432</v>
      </c>
      <c r="AA40" s="5">
        <f t="shared" si="9"/>
        <v>9.0137020103135818E-3</v>
      </c>
      <c r="AB40" s="5">
        <f t="shared" si="3"/>
        <v>0.32762763781767079</v>
      </c>
      <c r="AC40" s="8">
        <f t="shared" si="10"/>
        <v>0.44829098119033317</v>
      </c>
      <c r="AD40" s="8">
        <f t="shared" si="10"/>
        <v>1.2079535580813067E-2</v>
      </c>
      <c r="AE40" s="8">
        <f t="shared" si="10"/>
        <v>0.20573406154796681</v>
      </c>
    </row>
    <row r="41" spans="1:31" x14ac:dyDescent="0.25">
      <c r="A41" s="5">
        <f>'Proximal Validation'!A41</f>
        <v>0.62359206519999999</v>
      </c>
      <c r="B41" s="5">
        <f>'Proximal Validation'!B41</f>
        <v>0.08</v>
      </c>
      <c r="C41" s="5">
        <f>'Proximal Validation'!C41</f>
        <v>5.4977999999999998</v>
      </c>
      <c r="D41" s="5">
        <f>'Proximal Validation'!D41</f>
        <v>0.47877904049999997</v>
      </c>
      <c r="E41" s="5">
        <f>'Proximal Validation'!E41</f>
        <v>0.02</v>
      </c>
      <c r="F41" s="5">
        <f>'Proximal Validation'!F41</f>
        <v>3.927</v>
      </c>
      <c r="G41" s="5">
        <f>'Proximal Validation'!G41</f>
        <v>2.2205178402999999</v>
      </c>
      <c r="H41" s="5">
        <f>'Proximal Validation'!H41</f>
        <v>1.9827336431</v>
      </c>
      <c r="I41" s="5">
        <f>'Proximal Validation'!I41</f>
        <v>0.36676452050000002</v>
      </c>
      <c r="J41" s="5">
        <f>'Proximal Validation'!J41</f>
        <v>-1.47967482917011E-3</v>
      </c>
      <c r="K41" s="5">
        <f>'Proximal Validation'!K41</f>
        <v>4.5280347466468848E-2</v>
      </c>
      <c r="L41" s="5">
        <f>'Proximal Validation'!L41</f>
        <v>2.6666867956519166E-2</v>
      </c>
      <c r="M41" s="5">
        <f>'Proximal Validation'!M41</f>
        <v>-4.8165880143642398E-2</v>
      </c>
      <c r="N41" s="5">
        <f>'Proximal Validation'!N41</f>
        <v>-2.6211343705654099E-2</v>
      </c>
      <c r="O41" s="5">
        <f>'Proximal Validation'!O41</f>
        <v>-0.78379583358764604</v>
      </c>
      <c r="P41" s="5">
        <v>0.5837558193252711</v>
      </c>
      <c r="Q41" s="5">
        <v>0.11318546946311459</v>
      </c>
      <c r="R41" s="5">
        <v>0.16877571075714334</v>
      </c>
      <c r="S41" s="5">
        <v>1.065801161189653</v>
      </c>
      <c r="T41" s="5">
        <v>6.3951057487477786E-2</v>
      </c>
      <c r="U41" s="5">
        <v>4.1164494176143762</v>
      </c>
      <c r="V41" s="13">
        <v>1.069555528517626E-7</v>
      </c>
      <c r="W41" s="5">
        <f t="shared" si="8"/>
        <v>-3.9836245874728893E-2</v>
      </c>
      <c r="X41" s="5">
        <f t="shared" si="8"/>
        <v>3.3185469463114584E-2</v>
      </c>
      <c r="Y41" s="5">
        <f t="shared" si="2"/>
        <v>0.95416101793672947</v>
      </c>
      <c r="Z41" s="5">
        <f t="shared" si="9"/>
        <v>0.58702212068965298</v>
      </c>
      <c r="AA41" s="5">
        <f t="shared" si="9"/>
        <v>4.3951057487477782E-2</v>
      </c>
      <c r="AB41" s="5">
        <f t="shared" si="3"/>
        <v>0.18944941761437617</v>
      </c>
      <c r="AC41" s="8">
        <f t="shared" si="10"/>
        <v>0.31342918328219094</v>
      </c>
      <c r="AD41" s="8">
        <f t="shared" si="10"/>
        <v>3.8568263475296183E-2</v>
      </c>
      <c r="AE41" s="8">
        <f t="shared" si="10"/>
        <v>0.57180521777555282</v>
      </c>
    </row>
    <row r="42" spans="1:31" x14ac:dyDescent="0.25">
      <c r="A42" s="5">
        <f>'Proximal Validation'!A42</f>
        <v>1.3484992293</v>
      </c>
      <c r="B42" s="5">
        <f>'Proximal Validation'!B42</f>
        <v>0.2</v>
      </c>
      <c r="C42" s="5">
        <f>'Proximal Validation'!C42</f>
        <v>0</v>
      </c>
      <c r="D42" s="5">
        <f>'Proximal Validation'!D42</f>
        <v>0.39122828500000001</v>
      </c>
      <c r="E42" s="5">
        <f>'Proximal Validation'!E42</f>
        <v>0.14000000000000001</v>
      </c>
      <c r="F42" s="5">
        <f>'Proximal Validation'!F42</f>
        <v>0.78539999999999999</v>
      </c>
      <c r="G42" s="5">
        <f>'Proximal Validation'!G42</f>
        <v>1.9402253723</v>
      </c>
      <c r="H42" s="5">
        <f>'Proximal Validation'!H42</f>
        <v>1.6478522000000001E-3</v>
      </c>
      <c r="I42" s="5">
        <f>'Proximal Validation'!I42</f>
        <v>3.2221664534999999</v>
      </c>
      <c r="J42" s="5">
        <f>'Proximal Validation'!J42</f>
        <v>2.92359739542007E-2</v>
      </c>
      <c r="K42" s="5">
        <f>'Proximal Validation'!K42</f>
        <v>-4.2003208994865412E-2</v>
      </c>
      <c r="L42" s="5">
        <f>'Proximal Validation'!L42</f>
        <v>0.28241620004177093</v>
      </c>
      <c r="M42" s="5">
        <f>'Proximal Validation'!M42</f>
        <v>-1.3672847747802701</v>
      </c>
      <c r="N42" s="5">
        <f>'Proximal Validation'!N42</f>
        <v>0.75280958414077803</v>
      </c>
      <c r="O42" s="5">
        <f>'Proximal Validation'!O42</f>
        <v>0.313927292823792</v>
      </c>
      <c r="P42" s="5">
        <v>1.4999999999999647</v>
      </c>
      <c r="Q42" s="5">
        <v>0.19999970368935663</v>
      </c>
      <c r="R42" s="5">
        <v>6.5937090707182192E-2</v>
      </c>
      <c r="S42" s="5">
        <v>0.37154141817663239</v>
      </c>
      <c r="T42" s="5">
        <v>0.10002416705337362</v>
      </c>
      <c r="U42" s="5">
        <v>0.40367208448602121</v>
      </c>
      <c r="V42" s="13">
        <v>8.69500571052682E-5</v>
      </c>
      <c r="W42" s="5">
        <f t="shared" si="8"/>
        <v>0.1515007706999647</v>
      </c>
      <c r="X42" s="5">
        <f t="shared" si="8"/>
        <v>-2.9631064338286883E-7</v>
      </c>
      <c r="Y42" s="5">
        <f t="shared" si="2"/>
        <v>6.5937090707182192E-2</v>
      </c>
      <c r="Z42" s="5">
        <f t="shared" si="9"/>
        <v>-1.9686866823367621E-2</v>
      </c>
      <c r="AA42" s="5">
        <f t="shared" si="9"/>
        <v>-3.9975832946626391E-2</v>
      </c>
      <c r="AB42" s="5">
        <f t="shared" si="3"/>
        <v>0.38172791551397878</v>
      </c>
      <c r="AC42" s="8">
        <f t="shared" si="10"/>
        <v>8.5593818761666163E-2</v>
      </c>
      <c r="AD42" s="8">
        <f t="shared" si="10"/>
        <v>1.9988064628634887E-2</v>
      </c>
      <c r="AE42" s="8">
        <f t="shared" si="10"/>
        <v>0.22383250311058048</v>
      </c>
    </row>
    <row r="43" spans="1:31" x14ac:dyDescent="0.25">
      <c r="A43" s="5">
        <f>'Proximal Validation'!A43</f>
        <v>0.51681038229999998</v>
      </c>
      <c r="B43" s="5">
        <f>'Proximal Validation'!B43</f>
        <v>0.08</v>
      </c>
      <c r="C43" s="5">
        <f>'Proximal Validation'!C43</f>
        <v>0</v>
      </c>
      <c r="D43" s="5">
        <f>'Proximal Validation'!D43</f>
        <v>0.91461204240000005</v>
      </c>
      <c r="E43" s="5">
        <f>'Proximal Validation'!E43</f>
        <v>0.02</v>
      </c>
      <c r="F43" s="5">
        <f>'Proximal Validation'!F43</f>
        <v>3.927</v>
      </c>
      <c r="G43" s="5">
        <f>'Proximal Validation'!G43</f>
        <v>3.7945339589999998</v>
      </c>
      <c r="H43" s="5">
        <f>'Proximal Validation'!H43</f>
        <v>3.3481721828</v>
      </c>
      <c r="I43" s="5">
        <f>'Proximal Validation'!I43</f>
        <v>3.4429632493</v>
      </c>
      <c r="J43" s="5">
        <f>'Proximal Validation'!J43</f>
        <v>6.0794455930590597E-4</v>
      </c>
      <c r="K43" s="5">
        <f>'Proximal Validation'!K43</f>
        <v>1.5098237991333044E-2</v>
      </c>
      <c r="L43" s="5">
        <f>'Proximal Validation'!L43</f>
        <v>2.8885395154356931E-2</v>
      </c>
      <c r="M43" s="5">
        <f>'Proximal Validation'!M43</f>
        <v>-5.19313141703606E-2</v>
      </c>
      <c r="N43" s="5">
        <f>'Proximal Validation'!N43</f>
        <v>-0.227550074458122</v>
      </c>
      <c r="O43" s="5">
        <f>'Proximal Validation'!O43</f>
        <v>-0.74169278144836404</v>
      </c>
      <c r="P43" s="5">
        <v>0.60712151699103345</v>
      </c>
      <c r="Q43" s="5">
        <v>0.12431855662601064</v>
      </c>
      <c r="R43" s="5">
        <v>0.49179967637543465</v>
      </c>
      <c r="S43" s="5">
        <v>1.2775439162350659</v>
      </c>
      <c r="T43" s="5">
        <v>4.9136000489015792E-2</v>
      </c>
      <c r="U43" s="5">
        <v>4.0759463346332332</v>
      </c>
      <c r="V43" s="13">
        <v>6.210170205305037E-7</v>
      </c>
      <c r="W43" s="5">
        <f t="shared" si="8"/>
        <v>9.0311134691033468E-2</v>
      </c>
      <c r="X43" s="5">
        <f t="shared" si="8"/>
        <v>4.4318556626010641E-2</v>
      </c>
      <c r="Y43" s="5">
        <f t="shared" si="2"/>
        <v>0.49179967637543465</v>
      </c>
      <c r="Z43" s="5">
        <f t="shared" si="9"/>
        <v>0.36293187383506587</v>
      </c>
      <c r="AA43" s="5">
        <f t="shared" si="9"/>
        <v>2.9136000489015792E-2</v>
      </c>
      <c r="AB43" s="5">
        <f t="shared" si="3"/>
        <v>0.14894633463323315</v>
      </c>
      <c r="AC43" s="8">
        <f t="shared" si="10"/>
        <v>0.22662150426304967</v>
      </c>
      <c r="AD43" s="8">
        <f t="shared" si="10"/>
        <v>3.6727278557513218E-2</v>
      </c>
      <c r="AE43" s="8">
        <f t="shared" si="10"/>
        <v>0.3203730055043339</v>
      </c>
    </row>
    <row r="44" spans="1:31" x14ac:dyDescent="0.25">
      <c r="A44" s="5">
        <f>'Proximal Validation'!A44</f>
        <v>0.68441694529999997</v>
      </c>
      <c r="B44" s="5">
        <f>'Proximal Validation'!B44</f>
        <v>0.16</v>
      </c>
      <c r="C44" s="5">
        <f>'Proximal Validation'!C44</f>
        <v>2.3561999999999999</v>
      </c>
      <c r="D44" s="5">
        <f>'Proximal Validation'!D44</f>
        <v>1.4072090791</v>
      </c>
      <c r="E44" s="5">
        <f>'Proximal Validation'!E44</f>
        <v>0.1</v>
      </c>
      <c r="F44" s="5">
        <f>'Proximal Validation'!F44</f>
        <v>0.78539999999999999</v>
      </c>
      <c r="G44" s="5">
        <f>'Proximal Validation'!G44</f>
        <v>1.6472032243000001</v>
      </c>
      <c r="H44" s="5">
        <f>'Proximal Validation'!H44</f>
        <v>5.9795420000000002E-2</v>
      </c>
      <c r="I44" s="5">
        <f>'Proximal Validation'!I44</f>
        <v>0.1036992028</v>
      </c>
      <c r="J44" s="5">
        <f>'Proximal Validation'!J44</f>
        <v>1.05409817770123E-2</v>
      </c>
      <c r="K44" s="5">
        <f>'Proximal Validation'!K44</f>
        <v>-0.15412576675415074</v>
      </c>
      <c r="L44" s="5">
        <f>'Proximal Validation'!L44</f>
        <v>2.3715965151786811E-2</v>
      </c>
      <c r="M44" s="5">
        <f>'Proximal Validation'!M44</f>
        <v>-0.46214094758033802</v>
      </c>
      <c r="N44" s="5">
        <f>'Proximal Validation'!N44</f>
        <v>0.52779358625411998</v>
      </c>
      <c r="O44" s="5">
        <f>'Proximal Validation'!O44</f>
        <v>1.1965517997741699</v>
      </c>
      <c r="P44" s="5">
        <v>0.75719236854185978</v>
      </c>
      <c r="Q44" s="5">
        <v>0.19999999999997747</v>
      </c>
      <c r="R44" s="5">
        <v>1.4622953387792976</v>
      </c>
      <c r="S44" s="5">
        <v>0.75577783273953181</v>
      </c>
      <c r="T44" s="5">
        <v>2.0000000000022305E-2</v>
      </c>
      <c r="U44" s="5">
        <v>0.86436767166709827</v>
      </c>
      <c r="V44" s="13">
        <v>2.4294227042816461E-5</v>
      </c>
      <c r="W44" s="5">
        <f t="shared" si="8"/>
        <v>7.2775423241859816E-2</v>
      </c>
      <c r="X44" s="5">
        <f t="shared" si="8"/>
        <v>3.999999999997747E-2</v>
      </c>
      <c r="Y44" s="5">
        <f t="shared" si="2"/>
        <v>0.89390466122070222</v>
      </c>
      <c r="Z44" s="5">
        <f t="shared" si="9"/>
        <v>-0.65143124636046823</v>
      </c>
      <c r="AA44" s="5">
        <f t="shared" si="9"/>
        <v>-7.99999999999777E-2</v>
      </c>
      <c r="AB44" s="5">
        <f t="shared" si="3"/>
        <v>7.8967671667098283E-2</v>
      </c>
      <c r="AC44" s="8">
        <f t="shared" si="10"/>
        <v>0.36210333480116402</v>
      </c>
      <c r="AD44" s="8">
        <f t="shared" si="10"/>
        <v>5.9999999999977585E-2</v>
      </c>
      <c r="AE44" s="8">
        <f t="shared" si="10"/>
        <v>0.48643616644390025</v>
      </c>
    </row>
    <row r="45" spans="1:31" x14ac:dyDescent="0.25">
      <c r="A45" s="5">
        <f>'Proximal Validation'!A45</f>
        <v>1.3991334753</v>
      </c>
      <c r="B45" s="5">
        <f>'Proximal Validation'!B45</f>
        <v>0.12</v>
      </c>
      <c r="C45" s="5">
        <f>'Proximal Validation'!C45</f>
        <v>5.4977999999999998</v>
      </c>
      <c r="D45" s="5">
        <f>'Proximal Validation'!D45</f>
        <v>0.96266422490000003</v>
      </c>
      <c r="E45" s="5">
        <f>'Proximal Validation'!E45</f>
        <v>0.06</v>
      </c>
      <c r="F45" s="5">
        <f>'Proximal Validation'!F45</f>
        <v>5.4977999999999998</v>
      </c>
      <c r="G45" s="5">
        <f>'Proximal Validation'!G45</f>
        <v>2.0231526378</v>
      </c>
      <c r="H45" s="5">
        <f>'Proximal Validation'!H45</f>
        <v>0.50988481399999996</v>
      </c>
      <c r="I45" s="5">
        <f>'Proximal Validation'!I45</f>
        <v>0.60427768879999999</v>
      </c>
      <c r="J45" s="5">
        <f>'Proximal Validation'!J45</f>
        <v>-3.9675664156675304E-3</v>
      </c>
      <c r="K45" s="5">
        <f>'Proximal Validation'!K45</f>
        <v>0.18592015862464931</v>
      </c>
      <c r="L45" s="5">
        <f>'Proximal Validation'!L45</f>
        <v>0.1597622621059421</v>
      </c>
      <c r="M45" s="5">
        <f>'Proximal Validation'!M45</f>
        <v>-0.87976008653640703</v>
      </c>
      <c r="N45" s="5">
        <f>'Proximal Validation'!N45</f>
        <v>1.1610733270645099</v>
      </c>
      <c r="O45" s="5">
        <f>'Proximal Validation'!O45</f>
        <v>-1.7950013875961299</v>
      </c>
      <c r="P45" s="5">
        <v>1.4646647294248729</v>
      </c>
      <c r="Q45" s="5">
        <v>0.11846030907821586</v>
      </c>
      <c r="R45" s="5">
        <v>5.943590818950871</v>
      </c>
      <c r="S45" s="5">
        <v>1.4999999799486992</v>
      </c>
      <c r="T45" s="5">
        <v>8.7270885658453867E-2</v>
      </c>
      <c r="U45" s="5">
        <v>4.7233072213310257</v>
      </c>
      <c r="V45" s="13">
        <v>2.3768431656088847E-5</v>
      </c>
      <c r="W45" s="5">
        <f t="shared" si="8"/>
        <v>6.5531254124872929E-2</v>
      </c>
      <c r="X45" s="5">
        <f t="shared" si="8"/>
        <v>-1.5396909217841315E-3</v>
      </c>
      <c r="Y45" s="5">
        <f t="shared" si="2"/>
        <v>0.44579081895087125</v>
      </c>
      <c r="Z45" s="5">
        <f t="shared" si="9"/>
        <v>0.53733575504869913</v>
      </c>
      <c r="AA45" s="5">
        <f t="shared" si="9"/>
        <v>2.7270885658453869E-2</v>
      </c>
      <c r="AB45" s="5">
        <f t="shared" si="3"/>
        <v>0.77449277866897415</v>
      </c>
      <c r="AC45" s="9">
        <f t="shared" si="10"/>
        <v>0.30143350458678603</v>
      </c>
      <c r="AD45" s="9">
        <f t="shared" si="10"/>
        <v>1.4405288290119E-2</v>
      </c>
      <c r="AE45" s="9">
        <f t="shared" si="10"/>
        <v>0.6101417988099227</v>
      </c>
    </row>
    <row r="46" spans="1:31" x14ac:dyDescent="0.25">
      <c r="A46" s="5">
        <f>'Proximal Validation'!A46</f>
        <v>0.4668308846</v>
      </c>
      <c r="B46" s="5">
        <f>'Proximal Validation'!B46</f>
        <v>0.08</v>
      </c>
      <c r="C46" s="5">
        <f>'Proximal Validation'!C46</f>
        <v>3.1415999999999999</v>
      </c>
      <c r="D46" s="5">
        <f>'Proximal Validation'!D46</f>
        <v>1.1054712231999999</v>
      </c>
      <c r="E46" s="5">
        <f>'Proximal Validation'!E46</f>
        <v>0.04</v>
      </c>
      <c r="F46" s="5">
        <f>'Proximal Validation'!F46</f>
        <v>4.7123999999999997</v>
      </c>
      <c r="G46" s="5">
        <f>'Proximal Validation'!G46</f>
        <v>4.4838346888</v>
      </c>
      <c r="H46" s="5">
        <f>'Proximal Validation'!H46</f>
        <v>0.20145099390000001</v>
      </c>
      <c r="I46" s="5">
        <f>'Proximal Validation'!I46</f>
        <v>4.5041045776999997</v>
      </c>
      <c r="J46" s="5">
        <f>'Proximal Validation'!J46</f>
        <v>-3.2952348701655899E-3</v>
      </c>
      <c r="K46" s="5">
        <f>'Proximal Validation'!K46</f>
        <v>4.5224753618240493E-2</v>
      </c>
      <c r="L46" s="5">
        <f>'Proximal Validation'!L46</f>
        <v>-3.975314408540729E-2</v>
      </c>
      <c r="M46" s="5">
        <f>'Proximal Validation'!M46</f>
        <v>-6.3384123146533994E-2</v>
      </c>
      <c r="N46" s="5">
        <f>'Proximal Validation'!N46</f>
        <v>-0.49019342660903897</v>
      </c>
      <c r="O46" s="5">
        <f>'Proximal Validation'!O46</f>
        <v>-1.07537841796875</v>
      </c>
      <c r="P46" s="5">
        <v>0.382153242723903</v>
      </c>
      <c r="Q46" s="5">
        <v>0.11517784018516322</v>
      </c>
      <c r="R46" s="5">
        <v>3.7671326500404883</v>
      </c>
      <c r="S46" s="5">
        <v>0.8731733149865194</v>
      </c>
      <c r="T46" s="5">
        <v>2.3127902371522065E-2</v>
      </c>
      <c r="U46" s="5">
        <v>4.508281613645325</v>
      </c>
      <c r="V46" s="13">
        <v>2.6604842058497142E-8</v>
      </c>
      <c r="W46" s="5">
        <f t="shared" si="8"/>
        <v>-8.4677641876096998E-2</v>
      </c>
      <c r="X46" s="5">
        <f t="shared" si="8"/>
        <v>3.517784018516322E-2</v>
      </c>
      <c r="Y46" s="5">
        <f t="shared" si="2"/>
        <v>0.6255326500404883</v>
      </c>
      <c r="Z46" s="5">
        <f t="shared" si="9"/>
        <v>-0.23229790821348051</v>
      </c>
      <c r="AA46" s="5">
        <f t="shared" si="9"/>
        <v>-1.6872097628477935E-2</v>
      </c>
      <c r="AB46" s="5">
        <f t="shared" si="3"/>
        <v>0.20411838635467472</v>
      </c>
      <c r="AC46" s="8">
        <f t="shared" si="10"/>
        <v>0.15848777504478875</v>
      </c>
      <c r="AD46" s="8">
        <f t="shared" si="10"/>
        <v>2.6024968906820579E-2</v>
      </c>
      <c r="AE46" s="8">
        <f t="shared" si="10"/>
        <v>0.41482551819758151</v>
      </c>
    </row>
    <row r="47" spans="1:31" x14ac:dyDescent="0.25">
      <c r="A47" s="5">
        <f>'Proximal Validation'!A47</f>
        <v>1.4827422800000001</v>
      </c>
      <c r="B47" s="5">
        <f>'Proximal Validation'!B47</f>
        <v>0.08</v>
      </c>
      <c r="C47" s="5">
        <f>'Proximal Validation'!C47</f>
        <v>3.1415999999999999</v>
      </c>
      <c r="D47" s="5">
        <f>'Proximal Validation'!D47</f>
        <v>0.80651000630000003</v>
      </c>
      <c r="E47" s="5">
        <f>'Proximal Validation'!E47</f>
        <v>0.04</v>
      </c>
      <c r="F47" s="5">
        <f>'Proximal Validation'!F47</f>
        <v>4.7123999999999997</v>
      </c>
      <c r="G47" s="5">
        <f>'Proximal Validation'!G47</f>
        <v>4.1839238480000001</v>
      </c>
      <c r="H47" s="5">
        <f>'Proximal Validation'!H47</f>
        <v>4.1752821560999998</v>
      </c>
      <c r="I47" s="5">
        <f>'Proximal Validation'!I47</f>
        <v>0.4978333036</v>
      </c>
      <c r="J47" s="5">
        <f>'Proximal Validation'!J47</f>
        <v>5.8683929964899999E-3</v>
      </c>
      <c r="K47" s="5">
        <f>'Proximal Validation'!K47</f>
        <v>3.442031055688817E-2</v>
      </c>
      <c r="L47" s="5">
        <f>'Proximal Validation'!L47</f>
        <v>-0.12324651420116389</v>
      </c>
      <c r="M47" s="5">
        <f>'Proximal Validation'!M47</f>
        <v>-0.22302415966987599</v>
      </c>
      <c r="N47" s="5">
        <f>'Proximal Validation'!N47</f>
        <v>-1.34484195709229</v>
      </c>
      <c r="O47" s="5">
        <f>'Proximal Validation'!O47</f>
        <v>-0.84396576881408703</v>
      </c>
      <c r="P47" s="5">
        <v>1.4838337642591806</v>
      </c>
      <c r="Q47" s="5">
        <v>8.5891320184137102E-2</v>
      </c>
      <c r="R47" s="5">
        <v>3.3189672183224026</v>
      </c>
      <c r="S47" s="5">
        <v>0.57365970342688832</v>
      </c>
      <c r="T47" s="5">
        <v>2.0000505683851984E-2</v>
      </c>
      <c r="U47" s="5">
        <v>4.8586938060141796</v>
      </c>
      <c r="V47" s="13">
        <v>6.5425610684551596E-7</v>
      </c>
      <c r="W47" s="5">
        <f t="shared" si="8"/>
        <v>1.0914842591804863E-3</v>
      </c>
      <c r="X47" s="5">
        <f t="shared" si="8"/>
        <v>5.8913201841370999E-3</v>
      </c>
      <c r="Y47" s="5">
        <f t="shared" si="2"/>
        <v>0.17736721832240265</v>
      </c>
      <c r="Z47" s="5">
        <f t="shared" si="9"/>
        <v>-0.2328503028731117</v>
      </c>
      <c r="AA47" s="5">
        <f t="shared" si="9"/>
        <v>-1.9999494316148017E-2</v>
      </c>
      <c r="AB47" s="5">
        <f t="shared" si="3"/>
        <v>0.14629380601417985</v>
      </c>
      <c r="AC47" s="8">
        <f t="shared" si="10"/>
        <v>0.11697089356614609</v>
      </c>
      <c r="AD47" s="8">
        <f t="shared" si="10"/>
        <v>1.2945407250142558E-2</v>
      </c>
      <c r="AE47" s="8">
        <f t="shared" si="10"/>
        <v>0.16183051216829125</v>
      </c>
    </row>
    <row r="48" spans="1:31" x14ac:dyDescent="0.25">
      <c r="A48" s="5">
        <f>'Proximal Validation'!A48</f>
        <v>1.4313963908</v>
      </c>
      <c r="B48" s="5">
        <f>'Proximal Validation'!B48</f>
        <v>0.2</v>
      </c>
      <c r="C48" s="5">
        <f>'Proximal Validation'!C48</f>
        <v>5.4977999999999998</v>
      </c>
      <c r="D48" s="5">
        <f>'Proximal Validation'!D48</f>
        <v>0.66088478610000001</v>
      </c>
      <c r="E48" s="5">
        <f>'Proximal Validation'!E48</f>
        <v>0.16</v>
      </c>
      <c r="F48" s="5">
        <f>'Proximal Validation'!F48</f>
        <v>5.4977999999999998</v>
      </c>
      <c r="G48" s="5">
        <f>'Proximal Validation'!G48</f>
        <v>4.6493399877000003</v>
      </c>
      <c r="H48" s="5">
        <f>'Proximal Validation'!H48</f>
        <v>1.9654430356000001</v>
      </c>
      <c r="I48" s="5">
        <f>'Proximal Validation'!I48</f>
        <v>1.6399488998</v>
      </c>
      <c r="J48" s="5">
        <f>'Proximal Validation'!J48</f>
        <v>-2.84721739590168E-2</v>
      </c>
      <c r="K48" s="5">
        <f>'Proximal Validation'!K48</f>
        <v>0.24718735218048088</v>
      </c>
      <c r="L48" s="5">
        <f>'Proximal Validation'!L48</f>
        <v>0.24951086610555628</v>
      </c>
      <c r="M48" s="5">
        <f>'Proximal Validation'!M48</f>
        <v>-1.72224581241608</v>
      </c>
      <c r="N48" s="5">
        <f>'Proximal Validation'!N48</f>
        <v>0.49334552884101901</v>
      </c>
      <c r="O48" s="5">
        <f>'Proximal Validation'!O48</f>
        <v>-0.76049625873565696</v>
      </c>
      <c r="P48" s="5">
        <v>1.4313238616877579</v>
      </c>
      <c r="Q48" s="5">
        <v>0.19617027535835024</v>
      </c>
      <c r="R48" s="5">
        <v>5.5575844342334442</v>
      </c>
      <c r="S48" s="5">
        <v>1.1099465850934185</v>
      </c>
      <c r="T48" s="5">
        <v>0.11961939881978492</v>
      </c>
      <c r="U48" s="5">
        <v>5.5485146632440649</v>
      </c>
      <c r="V48" s="13">
        <v>1.2044483210110924E-4</v>
      </c>
      <c r="W48" s="5">
        <f t="shared" si="8"/>
        <v>-7.2529112242092353E-5</v>
      </c>
      <c r="X48" s="5">
        <f t="shared" si="8"/>
        <v>-3.8297246416497677E-3</v>
      </c>
      <c r="Y48" s="5">
        <f t="shared" si="2"/>
        <v>5.9784434233444372E-2</v>
      </c>
      <c r="Z48" s="5">
        <f t="shared" si="9"/>
        <v>0.44906179899341847</v>
      </c>
      <c r="AA48" s="5">
        <f t="shared" si="9"/>
        <v>-4.0380601180215081E-2</v>
      </c>
      <c r="AB48" s="5">
        <f t="shared" si="3"/>
        <v>5.071466324406515E-2</v>
      </c>
      <c r="AC48" s="8">
        <f t="shared" si="10"/>
        <v>0.22456716405283028</v>
      </c>
      <c r="AD48" s="8">
        <f t="shared" si="10"/>
        <v>2.2105162910932424E-2</v>
      </c>
      <c r="AE48" s="8">
        <f t="shared" si="10"/>
        <v>5.5249548738754761E-2</v>
      </c>
    </row>
    <row r="49" spans="1:31" x14ac:dyDescent="0.25">
      <c r="A49" s="5">
        <f>'Proximal Validation'!A49</f>
        <v>1.1008731407000001</v>
      </c>
      <c r="B49" s="5">
        <f>'Proximal Validation'!B49</f>
        <v>0.12</v>
      </c>
      <c r="C49" s="5">
        <f>'Proximal Validation'!C49</f>
        <v>4.7123999999999997</v>
      </c>
      <c r="D49" s="5">
        <f>'Proximal Validation'!D49</f>
        <v>1.0118865585000001</v>
      </c>
      <c r="E49" s="5">
        <f>'Proximal Validation'!E49</f>
        <v>0.08</v>
      </c>
      <c r="F49" s="5">
        <f>'Proximal Validation'!F49</f>
        <v>0</v>
      </c>
      <c r="G49" s="5">
        <f>'Proximal Validation'!G49</f>
        <v>2.5804466663999999</v>
      </c>
      <c r="H49" s="5">
        <f>'Proximal Validation'!H49</f>
        <v>2.8020908323999998</v>
      </c>
      <c r="I49" s="5">
        <f>'Proximal Validation'!I49</f>
        <v>1.4209598912000001</v>
      </c>
      <c r="J49" s="5">
        <f>'Proximal Validation'!J49</f>
        <v>-2.18501593917608E-3</v>
      </c>
      <c r="K49" s="5">
        <f>'Proximal Validation'!K49</f>
        <v>0.11094302952289556</v>
      </c>
      <c r="L49" s="5">
        <f>'Proximal Validation'!L49</f>
        <v>0.1318884277343752</v>
      </c>
      <c r="M49" s="5">
        <f>'Proximal Validation'!M49</f>
        <v>-0.42062535881996199</v>
      </c>
      <c r="N49" s="5">
        <f>'Proximal Validation'!N49</f>
        <v>1.5282573699951201</v>
      </c>
      <c r="O49" s="5">
        <f>'Proximal Validation'!O49</f>
        <v>-0.81598681211471602</v>
      </c>
      <c r="P49" s="5">
        <v>0.78219231609377637</v>
      </c>
      <c r="Q49" s="5">
        <v>0.1488538447843146</v>
      </c>
      <c r="R49" s="5">
        <v>5.2523100250025347</v>
      </c>
      <c r="S49" s="5">
        <v>1.2020495427081057</v>
      </c>
      <c r="T49" s="5">
        <v>6.1655016615018765E-2</v>
      </c>
      <c r="U49" s="5">
        <v>6.1247400598128472</v>
      </c>
      <c r="V49" s="13">
        <v>2.2028930165287415E-6</v>
      </c>
      <c r="W49" s="5">
        <f t="shared" si="8"/>
        <v>-0.31868082460622371</v>
      </c>
      <c r="X49" s="5">
        <f t="shared" si="8"/>
        <v>2.8853844784314603E-2</v>
      </c>
      <c r="Y49" s="5">
        <f t="shared" si="2"/>
        <v>0.53991002500253504</v>
      </c>
      <c r="Z49" s="5">
        <f t="shared" si="9"/>
        <v>0.19016298420810562</v>
      </c>
      <c r="AA49" s="5">
        <f t="shared" si="9"/>
        <v>-1.8344983384981237E-2</v>
      </c>
      <c r="AB49" s="5">
        <f t="shared" si="3"/>
        <v>0.15844524736673904</v>
      </c>
      <c r="AC49" s="8">
        <f t="shared" si="10"/>
        <v>0.25442190440716467</v>
      </c>
      <c r="AD49" s="8">
        <f t="shared" si="10"/>
        <v>2.359941408464792E-2</v>
      </c>
      <c r="AE49" s="8">
        <f t="shared" si="10"/>
        <v>0.34917763618463704</v>
      </c>
    </row>
    <row r="50" spans="1:31" x14ac:dyDescent="0.25">
      <c r="A50" s="5">
        <f>'Proximal Validation'!A50</f>
        <v>1.1548404238000001</v>
      </c>
      <c r="B50" s="5">
        <f>'Proximal Validation'!B50</f>
        <v>0.06</v>
      </c>
      <c r="C50" s="5">
        <f>'Proximal Validation'!C50</f>
        <v>0</v>
      </c>
      <c r="D50" s="5">
        <f>'Proximal Validation'!D50</f>
        <v>0.95560731600000004</v>
      </c>
      <c r="E50" s="5">
        <f>'Proximal Validation'!E50</f>
        <v>0.02</v>
      </c>
      <c r="F50" s="5">
        <f>'Proximal Validation'!F50</f>
        <v>5.4977999999999998</v>
      </c>
      <c r="G50" s="5">
        <f>'Proximal Validation'!G50</f>
        <v>1.7445767312</v>
      </c>
      <c r="H50" s="5">
        <f>'Proximal Validation'!H50</f>
        <v>3.9458122761999999</v>
      </c>
      <c r="I50" s="5">
        <f>'Proximal Validation'!I50</f>
        <v>4.9189190299999996</v>
      </c>
      <c r="J50" s="5">
        <f>'Proximal Validation'!J50</f>
        <v>1.8196115270257E-3</v>
      </c>
      <c r="K50" s="5">
        <f>'Proximal Validation'!K50</f>
        <v>4.7905400395393469E-3</v>
      </c>
      <c r="L50" s="5">
        <f>'Proximal Validation'!L50</f>
        <v>8.9655218124389202E-2</v>
      </c>
      <c r="M50" s="5">
        <f>'Proximal Validation'!M50</f>
        <v>-6.4179420471191406E-2</v>
      </c>
      <c r="N50" s="5">
        <f>'Proximal Validation'!N50</f>
        <v>1.8967602252960201</v>
      </c>
      <c r="O50" s="5">
        <f>'Proximal Validation'!O50</f>
        <v>-0.51140964031219505</v>
      </c>
      <c r="P50" s="5">
        <v>0.72941903008314846</v>
      </c>
      <c r="Q50" s="5">
        <v>8.6279178070299126E-2</v>
      </c>
      <c r="R50" s="5">
        <v>0.15490161530618804</v>
      </c>
      <c r="S50" s="5">
        <v>1.3349128807345991</v>
      </c>
      <c r="T50" s="5">
        <v>2.3356717906588782E-2</v>
      </c>
      <c r="U50" s="5">
        <v>5.7935821083770227</v>
      </c>
      <c r="V50" s="13">
        <v>4.3321922888789193E-7</v>
      </c>
      <c r="W50" s="5">
        <f t="shared" si="8"/>
        <v>-0.42542139371685161</v>
      </c>
      <c r="X50" s="5">
        <f t="shared" si="8"/>
        <v>2.6279178070299128E-2</v>
      </c>
      <c r="Y50" s="5">
        <f t="shared" si="2"/>
        <v>0.15490161530618804</v>
      </c>
      <c r="Z50" s="5">
        <f t="shared" si="9"/>
        <v>0.37930556473459909</v>
      </c>
      <c r="AA50" s="5">
        <f t="shared" si="9"/>
        <v>3.3567179065887819E-3</v>
      </c>
      <c r="AB50" s="5">
        <f t="shared" si="3"/>
        <v>0.2957821083770229</v>
      </c>
      <c r="AC50" s="8">
        <f t="shared" si="10"/>
        <v>0.40236347922572535</v>
      </c>
      <c r="AD50" s="8">
        <f t="shared" si="10"/>
        <v>1.4817947988443955E-2</v>
      </c>
      <c r="AE50" s="8">
        <f t="shared" si="10"/>
        <v>0.22534186184160548</v>
      </c>
    </row>
    <row r="51" spans="1:31" x14ac:dyDescent="0.25">
      <c r="A51" s="5">
        <f>'Proximal Validation'!A51</f>
        <v>1.1816252039999999</v>
      </c>
      <c r="B51" s="5">
        <f>'Proximal Validation'!B51</f>
        <v>0.08</v>
      </c>
      <c r="C51" s="5">
        <f>'Proximal Validation'!C51</f>
        <v>1.5708</v>
      </c>
      <c r="D51" s="5">
        <f>'Proximal Validation'!D51</f>
        <v>0.57227119820000005</v>
      </c>
      <c r="E51" s="5">
        <f>'Proximal Validation'!E51</f>
        <v>0.04</v>
      </c>
      <c r="F51" s="5">
        <f>'Proximal Validation'!F51</f>
        <v>0.78539999999999999</v>
      </c>
      <c r="G51" s="5">
        <f>'Proximal Validation'!G51</f>
        <v>1.4076592733</v>
      </c>
      <c r="H51" s="5">
        <f>'Proximal Validation'!H51</f>
        <v>1.3192874408999999</v>
      </c>
      <c r="I51" s="5">
        <f>'Proximal Validation'!I51</f>
        <v>2.6835966308999999</v>
      </c>
      <c r="J51" s="5">
        <f>'Proximal Validation'!J51</f>
        <v>5.0261407159268899E-3</v>
      </c>
      <c r="K51" s="5">
        <f>'Proximal Validation'!K51</f>
        <v>-0.11670223593711854</v>
      </c>
      <c r="L51" s="5">
        <f>'Proximal Validation'!L51</f>
        <v>1.3623089045286231E-2</v>
      </c>
      <c r="M51" s="5">
        <f>'Proximal Validation'!M51</f>
        <v>-0.14642003178596499</v>
      </c>
      <c r="N51" s="5">
        <f>'Proximal Validation'!N51</f>
        <v>0.36419194936752303</v>
      </c>
      <c r="O51" s="5">
        <f>'Proximal Validation'!O51</f>
        <v>1.55786764621735</v>
      </c>
      <c r="P51" s="5">
        <v>0.61420166020948153</v>
      </c>
      <c r="Q51" s="5">
        <v>0.15989340119900089</v>
      </c>
      <c r="R51" s="5">
        <v>1.4942587336972213</v>
      </c>
      <c r="S51" s="5">
        <v>1.0166463227696456</v>
      </c>
      <c r="T51" s="5">
        <v>2.0003912535731992E-2</v>
      </c>
      <c r="U51" s="5">
        <v>1.2512824032595862</v>
      </c>
      <c r="V51" s="13">
        <v>2.2244346080134276E-5</v>
      </c>
      <c r="W51" s="5">
        <f t="shared" si="8"/>
        <v>-0.5674235437905184</v>
      </c>
      <c r="X51" s="5">
        <f t="shared" si="8"/>
        <v>7.9893401199000888E-2</v>
      </c>
      <c r="Y51" s="5">
        <f t="shared" si="2"/>
        <v>7.6541266302778688E-2</v>
      </c>
      <c r="Z51" s="5">
        <f t="shared" si="9"/>
        <v>0.44437512456964556</v>
      </c>
      <c r="AA51" s="5">
        <f t="shared" si="9"/>
        <v>-1.9996087464268009E-2</v>
      </c>
      <c r="AB51" s="5">
        <f t="shared" si="3"/>
        <v>0.46588240325958619</v>
      </c>
      <c r="AC51" s="8">
        <f t="shared" si="10"/>
        <v>0.50589933418008193</v>
      </c>
      <c r="AD51" s="8">
        <f t="shared" si="10"/>
        <v>4.9944744331634448E-2</v>
      </c>
      <c r="AE51" s="8">
        <f t="shared" si="10"/>
        <v>0.27121183478118244</v>
      </c>
    </row>
    <row r="52" spans="1:31" x14ac:dyDescent="0.25">
      <c r="A52" s="5">
        <f>'Proximal Validation'!A52</f>
        <v>0.93729510640000002</v>
      </c>
      <c r="B52" s="5">
        <f>'Proximal Validation'!B52</f>
        <v>0.14000000000000001</v>
      </c>
      <c r="C52" s="5">
        <f>'Proximal Validation'!C52</f>
        <v>0.78539999999999999</v>
      </c>
      <c r="D52" s="5">
        <f>'Proximal Validation'!D52</f>
        <v>0.49250416219999998</v>
      </c>
      <c r="E52" s="5">
        <f>'Proximal Validation'!E52</f>
        <v>0.1</v>
      </c>
      <c r="F52" s="5">
        <f>'Proximal Validation'!F52</f>
        <v>0</v>
      </c>
      <c r="G52" s="5">
        <f>'Proximal Validation'!G52</f>
        <v>0.50502447429999997</v>
      </c>
      <c r="H52" s="5">
        <f>'Proximal Validation'!H52</f>
        <v>3.7817597896000001</v>
      </c>
      <c r="I52" s="5">
        <f>'Proximal Validation'!I52</f>
        <v>0.94479070089999995</v>
      </c>
      <c r="J52" s="5">
        <f>'Proximal Validation'!J52</f>
        <v>-5.5614840239286397E-3</v>
      </c>
      <c r="K52" s="5">
        <f>'Proximal Validation'!K52</f>
        <v>-9.2361005544662145E-2</v>
      </c>
      <c r="L52" s="5">
        <f>'Proximal Validation'!L52</f>
        <v>0.14423409759998271</v>
      </c>
      <c r="M52" s="5">
        <f>'Proximal Validation'!M52</f>
        <v>-0.32296690344810502</v>
      </c>
      <c r="N52" s="5">
        <f>'Proximal Validation'!N52</f>
        <v>1.0704246759414699</v>
      </c>
      <c r="O52" s="5">
        <f>'Proximal Validation'!O52</f>
        <v>0.568997502326965</v>
      </c>
      <c r="P52" s="5">
        <v>1.4825587775356281</v>
      </c>
      <c r="Q52" s="5">
        <v>0.12803666623703419</v>
      </c>
      <c r="R52" s="5">
        <v>0.7014989801147038</v>
      </c>
      <c r="S52" s="5">
        <v>0.30018878327496151</v>
      </c>
      <c r="T52" s="5">
        <v>9.1159744936517767E-2</v>
      </c>
      <c r="U52" s="5">
        <v>4.6972207263140824</v>
      </c>
      <c r="V52" s="13">
        <v>1.7309354119517777E-5</v>
      </c>
      <c r="W52" s="5">
        <f t="shared" si="8"/>
        <v>0.54526367113562813</v>
      </c>
      <c r="X52" s="5">
        <f t="shared" si="8"/>
        <v>-1.1963333762965822E-2</v>
      </c>
      <c r="Y52" s="5">
        <f t="shared" si="2"/>
        <v>8.3901019885296191E-2</v>
      </c>
      <c r="Z52" s="5">
        <f t="shared" si="9"/>
        <v>-0.19231537892503847</v>
      </c>
      <c r="AA52" s="5">
        <f t="shared" si="9"/>
        <v>-8.8402550634822386E-3</v>
      </c>
      <c r="AB52" s="5">
        <f t="shared" si="3"/>
        <v>1.5859645808655038</v>
      </c>
      <c r="AC52" s="8">
        <f t="shared" si="10"/>
        <v>0.3687895250303333</v>
      </c>
      <c r="AD52" s="8">
        <f t="shared" si="10"/>
        <v>1.040179441322403E-2</v>
      </c>
      <c r="AE52" s="8">
        <f t="shared" si="10"/>
        <v>0.83493280037539996</v>
      </c>
    </row>
    <row r="54" spans="1:31" x14ac:dyDescent="0.25">
      <c r="AC54" s="22"/>
      <c r="AD54" s="22"/>
      <c r="AE54" s="22"/>
    </row>
  </sheetData>
  <mergeCells count="6">
    <mergeCell ref="AF5:AK5"/>
    <mergeCell ref="A1:I1"/>
    <mergeCell ref="J1:O1"/>
    <mergeCell ref="P1:V1"/>
    <mergeCell ref="W1:AE1"/>
    <mergeCell ref="AF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1043-F203-43EE-AD2C-79E3EA038DDD}">
  <dimension ref="A1:AK54"/>
  <sheetViews>
    <sheetView topLeftCell="D1" zoomScale="70" zoomScaleNormal="70" workbookViewId="0">
      <pane ySplit="2" topLeftCell="A3" activePane="bottomLeft" state="frozen"/>
      <selection activeCell="K1" sqref="K1"/>
      <selection pane="bottomLeft" activeCell="AG14" sqref="AG14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8" bestFit="1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85546875" bestFit="1" customWidth="1"/>
    <col min="37" max="37" width="11.85546875" bestFit="1" customWidth="1"/>
  </cols>
  <sheetData>
    <row r="1" spans="1:37" ht="15.75" x14ac:dyDescent="0.25">
      <c r="A1" s="27" t="s">
        <v>11</v>
      </c>
      <c r="B1" s="27"/>
      <c r="C1" s="27"/>
      <c r="D1" s="27"/>
      <c r="E1" s="27"/>
      <c r="F1" s="27"/>
      <c r="G1" s="27"/>
      <c r="H1" s="27"/>
      <c r="I1" s="28"/>
      <c r="J1" s="29" t="s">
        <v>6</v>
      </c>
      <c r="K1" s="30"/>
      <c r="L1" s="30"/>
      <c r="M1" s="30"/>
      <c r="N1" s="30"/>
      <c r="O1" s="30"/>
      <c r="P1" s="31" t="s">
        <v>7</v>
      </c>
      <c r="Q1" s="32"/>
      <c r="R1" s="32"/>
      <c r="S1" s="32"/>
      <c r="T1" s="32"/>
      <c r="U1" s="32"/>
      <c r="V1" s="32"/>
      <c r="W1" s="33" t="s">
        <v>13</v>
      </c>
      <c r="X1" s="33"/>
      <c r="Y1" s="33"/>
      <c r="Z1" s="33"/>
      <c r="AA1" s="33"/>
      <c r="AB1" s="33"/>
      <c r="AC1" s="33"/>
      <c r="AD1" s="33"/>
      <c r="AE1" s="33"/>
      <c r="AF1" s="20" t="s">
        <v>31</v>
      </c>
      <c r="AG1" s="20"/>
      <c r="AH1" s="20"/>
      <c r="AI1" s="20"/>
      <c r="AJ1" s="20"/>
      <c r="AK1" s="20"/>
    </row>
    <row r="2" spans="1:37" ht="15.75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22</v>
      </c>
      <c r="Q2" s="1" t="s">
        <v>23</v>
      </c>
      <c r="R2" s="1" t="s">
        <v>33</v>
      </c>
      <c r="S2" s="1" t="s">
        <v>24</v>
      </c>
      <c r="T2" s="1" t="s">
        <v>25</v>
      </c>
      <c r="U2" s="1" t="s">
        <v>34</v>
      </c>
      <c r="V2" s="2" t="s">
        <v>32</v>
      </c>
      <c r="W2" s="3" t="s">
        <v>22</v>
      </c>
      <c r="X2" s="1" t="s">
        <v>23</v>
      </c>
      <c r="Y2" s="1" t="s">
        <v>33</v>
      </c>
      <c r="Z2" s="1" t="s">
        <v>24</v>
      </c>
      <c r="AA2" s="1" t="s">
        <v>25</v>
      </c>
      <c r="AB2" s="1" t="s">
        <v>34</v>
      </c>
      <c r="AC2" s="6" t="s">
        <v>28</v>
      </c>
      <c r="AD2" s="6" t="s">
        <v>29</v>
      </c>
      <c r="AE2" s="6" t="s">
        <v>30</v>
      </c>
      <c r="AF2" s="34" t="s">
        <v>26</v>
      </c>
      <c r="AG2" s="34"/>
      <c r="AH2" s="34"/>
      <c r="AI2" s="34"/>
      <c r="AJ2" s="34"/>
      <c r="AK2" s="34"/>
    </row>
    <row r="3" spans="1:37" ht="15.75" x14ac:dyDescent="0.25">
      <c r="A3" s="5">
        <f>'Proximal Validation'!A3</f>
        <v>0.57634630980000001</v>
      </c>
      <c r="B3" s="5">
        <f>'Proximal Validation'!B3</f>
        <v>0.2</v>
      </c>
      <c r="C3" s="5">
        <f>'Proximal Validation'!C3</f>
        <v>0.78539999999999999</v>
      </c>
      <c r="D3" s="5">
        <f>'Proximal Validation'!D3</f>
        <v>1.1398024601000001</v>
      </c>
      <c r="E3" s="5">
        <f>'Proximal Validation'!E3</f>
        <v>0.02</v>
      </c>
      <c r="F3" s="5">
        <f>'Proximal Validation'!F3</f>
        <v>5.4977999999999998</v>
      </c>
      <c r="G3" s="5">
        <f>'Proximal Validation'!G3</f>
        <v>0.49272223679999999</v>
      </c>
      <c r="H3" s="5">
        <f>'Proximal Validation'!H3</f>
        <v>4.4756011583999999</v>
      </c>
      <c r="I3" s="5">
        <f>'Proximal Validation'!I3</f>
        <v>4.1915536561</v>
      </c>
      <c r="J3" s="5">
        <f>'Proximal Validation'!J3</f>
        <v>-8.3262659609317801E-4</v>
      </c>
      <c r="K3" s="5">
        <f>'Proximal Validation'!K3</f>
        <v>-5.3400582866743193E-2</v>
      </c>
      <c r="L3" s="5">
        <f>'Proximal Validation'!L3</f>
        <v>9.2854456901550309E-2</v>
      </c>
      <c r="M3" s="5">
        <f>'Proximal Validation'!M3</f>
        <v>-7.20393061637878E-2</v>
      </c>
      <c r="N3" s="5">
        <f>'Proximal Validation'!N3</f>
        <v>1.12758028507233</v>
      </c>
      <c r="O3" s="5">
        <f>'Proximal Validation'!O3</f>
        <v>-0.58665424585342396</v>
      </c>
      <c r="P3" s="5">
        <v>0.30000000000002219</v>
      </c>
      <c r="Q3" s="5">
        <v>0.19999999711593427</v>
      </c>
      <c r="R3" s="5">
        <v>1.2811090478445692</v>
      </c>
      <c r="S3" s="5">
        <v>1.1266110804267904</v>
      </c>
      <c r="T3" s="5">
        <v>7.0942564137565584E-2</v>
      </c>
      <c r="U3" s="5">
        <v>2.2536974064783416E-14</v>
      </c>
      <c r="V3" s="13">
        <v>1.2376786437120076E-3</v>
      </c>
      <c r="W3" s="5">
        <f t="shared" ref="W3:AA18" si="0">P3-A3</f>
        <v>-0.27634630979997782</v>
      </c>
      <c r="X3" s="5">
        <f t="shared" si="0"/>
        <v>-2.8840657362305677E-9</v>
      </c>
      <c r="Y3" s="5">
        <f>MIN(ABS(R3-C3),2*PI()-ABS(R3-C3))</f>
        <v>0.49570904784456926</v>
      </c>
      <c r="Z3" s="5">
        <f t="shared" si="0"/>
        <v>-1.3191379673209713E-2</v>
      </c>
      <c r="AA3" s="5">
        <f t="shared" si="0"/>
        <v>5.094256413756558E-2</v>
      </c>
      <c r="AB3" s="5">
        <f>MIN(ABS(U3-F3),2*PI()-ABS(U3-F3))</f>
        <v>0.78538530717960864</v>
      </c>
      <c r="AC3" s="8">
        <f t="shared" ref="AC3:AE18" si="1">AVERAGE(ABS(W3),ABS(Z3))</f>
        <v>0.14476884473659377</v>
      </c>
      <c r="AD3" s="8">
        <f t="shared" si="1"/>
        <v>2.5471283510815658E-2</v>
      </c>
      <c r="AE3" s="8">
        <f t="shared" si="1"/>
        <v>0.64054717751208901</v>
      </c>
      <c r="AF3" s="1" t="s">
        <v>22</v>
      </c>
      <c r="AG3" s="1" t="s">
        <v>23</v>
      </c>
      <c r="AH3" s="1" t="s">
        <v>33</v>
      </c>
      <c r="AI3" s="1" t="s">
        <v>24</v>
      </c>
      <c r="AJ3" s="1" t="s">
        <v>25</v>
      </c>
      <c r="AK3" s="1" t="s">
        <v>34</v>
      </c>
    </row>
    <row r="4" spans="1:37" x14ac:dyDescent="0.25">
      <c r="A4" s="5">
        <f>'Proximal Validation'!A4</f>
        <v>1.2961945501000001</v>
      </c>
      <c r="B4" s="5">
        <f>'Proximal Validation'!B4</f>
        <v>0.2</v>
      </c>
      <c r="C4" s="5">
        <f>'Proximal Validation'!C4</f>
        <v>4.7123999999999997</v>
      </c>
      <c r="D4" s="5">
        <f>'Proximal Validation'!D4</f>
        <v>0.31907560010000002</v>
      </c>
      <c r="E4" s="5">
        <f>'Proximal Validation'!E4</f>
        <v>0.02</v>
      </c>
      <c r="F4" s="5">
        <f>'Proximal Validation'!F4</f>
        <v>1.5708</v>
      </c>
      <c r="G4" s="5">
        <f>'Proximal Validation'!G4</f>
        <v>0.53253118440000002</v>
      </c>
      <c r="H4" s="5">
        <f>'Proximal Validation'!H4</f>
        <v>1.6232893740000001</v>
      </c>
      <c r="I4" s="5">
        <f>'Proximal Validation'!I4</f>
        <v>9.6932284100000002E-2</v>
      </c>
      <c r="J4" s="5">
        <f>'Proximal Validation'!J4</f>
        <v>7.6168961822986603E-3</v>
      </c>
      <c r="K4" s="5">
        <f>'Proximal Validation'!K4</f>
        <v>0.24574007272720383</v>
      </c>
      <c r="L4" s="5">
        <f>'Proximal Validation'!L4</f>
        <v>1.0644453205168264E-3</v>
      </c>
      <c r="M4" s="5">
        <f>'Proximal Validation'!M4</f>
        <v>-0.71961438655853305</v>
      </c>
      <c r="N4" s="5">
        <f>'Proximal Validation'!N4</f>
        <v>2.90779918432236E-2</v>
      </c>
      <c r="O4" s="5">
        <f>'Proximal Validation'!O4</f>
        <v>-0.48940825462341297</v>
      </c>
      <c r="P4" s="5">
        <v>1.0804490720201523</v>
      </c>
      <c r="Q4" s="5">
        <v>0.19999999999768367</v>
      </c>
      <c r="R4" s="5">
        <v>4.9609712233283707</v>
      </c>
      <c r="S4" s="5">
        <v>0.33643186324762719</v>
      </c>
      <c r="T4" s="5">
        <v>0.19999999996481474</v>
      </c>
      <c r="U4" s="5">
        <v>3.8050826092388759</v>
      </c>
      <c r="V4" s="13">
        <v>2.4331226121555687E-4</v>
      </c>
      <c r="W4" s="5">
        <f t="shared" si="0"/>
        <v>-0.21574547807984779</v>
      </c>
      <c r="X4" s="5">
        <f t="shared" si="0"/>
        <v>-2.316341563002311E-12</v>
      </c>
      <c r="Y4" s="5">
        <f t="shared" ref="Y4:Y52" si="2">MIN(ABS(R4-C4),2*PI()-ABS(R4-C4))</f>
        <v>0.248571223328371</v>
      </c>
      <c r="Z4" s="5">
        <f t="shared" si="0"/>
        <v>1.7356263147627171E-2</v>
      </c>
      <c r="AA4" s="5">
        <f t="shared" si="0"/>
        <v>0.17999999996481475</v>
      </c>
      <c r="AB4" s="5">
        <f t="shared" ref="AB4:AB52" si="3">MIN(ABS(U4-F4),2*PI()-ABS(U4-F4))</f>
        <v>2.2342826092388757</v>
      </c>
      <c r="AC4" s="8">
        <f t="shared" si="1"/>
        <v>0.11655087061373748</v>
      </c>
      <c r="AD4" s="8">
        <f t="shared" si="1"/>
        <v>8.9999999983565546E-2</v>
      </c>
      <c r="AE4" s="8">
        <f t="shared" si="1"/>
        <v>1.2414269162836233</v>
      </c>
      <c r="AF4" s="7" cm="1">
        <f t="array" ref="AF4">AVERAGE(ABS(W3:W52))</f>
        <v>0.18981134886958015</v>
      </c>
      <c r="AG4" s="7" cm="1">
        <f t="array" ref="AG4">AVERAGE(ABS(X3:X52))</f>
        <v>2.0293540925109373E-2</v>
      </c>
      <c r="AH4" s="7" cm="1">
        <f t="array" ref="AH4">AVERAGE(ABS(Y3:Y52))</f>
        <v>0.20274318546149378</v>
      </c>
      <c r="AI4" s="7" cm="1">
        <f t="array" ref="AI4">AVERAGE(ABS(Z3:Z52))</f>
        <v>0.21592908724951973</v>
      </c>
      <c r="AJ4" s="7" cm="1">
        <f t="array" ref="AJ4">AVERAGE(ABS(AA3:AA52))</f>
        <v>2.2982407151794636E-2</v>
      </c>
      <c r="AK4" s="7" cm="1">
        <f t="array" ref="AK4">AVERAGE(ABS(AB3:AB52))</f>
        <v>0.33845429148848089</v>
      </c>
    </row>
    <row r="5" spans="1:37" x14ac:dyDescent="0.25">
      <c r="A5" s="5">
        <f>'Proximal Validation'!A5</f>
        <v>0.3432844504</v>
      </c>
      <c r="B5" s="5">
        <f>'Proximal Validation'!B5</f>
        <v>0.2</v>
      </c>
      <c r="C5" s="5">
        <f>'Proximal Validation'!C5</f>
        <v>3.1415999999999999</v>
      </c>
      <c r="D5" s="5">
        <f>'Proximal Validation'!D5</f>
        <v>0.75633386430000005</v>
      </c>
      <c r="E5" s="5">
        <f>'Proximal Validation'!E5</f>
        <v>0.02</v>
      </c>
      <c r="F5" s="5">
        <f>'Proximal Validation'!F5</f>
        <v>3.1415999999999999</v>
      </c>
      <c r="G5" s="5">
        <f>'Proximal Validation'!G5</f>
        <v>3.5593988404000001</v>
      </c>
      <c r="H5" s="5">
        <f>'Proximal Validation'!H5</f>
        <v>2.6173593599</v>
      </c>
      <c r="I5" s="5">
        <f>'Proximal Validation'!I5</f>
        <v>2.7214845023000001</v>
      </c>
      <c r="J5" s="5">
        <f>'Proximal Validation'!J5</f>
        <v>-1.2985616922378499E-4</v>
      </c>
      <c r="K5" s="5">
        <f>'Proximal Validation'!K5</f>
        <v>-3.6498736031353504E-3</v>
      </c>
      <c r="L5" s="5">
        <f>'Proximal Validation'!L5</f>
        <v>-7.9183645248412218E-2</v>
      </c>
      <c r="M5" s="5">
        <f>'Proximal Validation'!M5</f>
        <v>-1.52619369328022E-2</v>
      </c>
      <c r="N5" s="5">
        <f>'Proximal Validation'!N5</f>
        <v>-1.05842244625092</v>
      </c>
      <c r="O5" s="5">
        <f>'Proximal Validation'!O5</f>
        <v>2.1189808845519999E-2</v>
      </c>
      <c r="P5" s="5">
        <v>0.44010255023501538</v>
      </c>
      <c r="Q5" s="5">
        <v>0.13826637947920867</v>
      </c>
      <c r="R5" s="5">
        <v>3.1422618639202922</v>
      </c>
      <c r="S5" s="5">
        <v>0.65707304680268053</v>
      </c>
      <c r="T5" s="5">
        <v>3.3093250029283039E-2</v>
      </c>
      <c r="U5" s="5">
        <v>3.1421492348570728</v>
      </c>
      <c r="V5" s="13">
        <v>6.100290912488096E-8</v>
      </c>
      <c r="W5" s="5">
        <f t="shared" si="0"/>
        <v>9.6818099835015381E-2</v>
      </c>
      <c r="X5" s="5">
        <f t="shared" si="0"/>
        <v>-6.1733620520791344E-2</v>
      </c>
      <c r="Y5" s="5">
        <f t="shared" si="2"/>
        <v>6.6186392029221608E-4</v>
      </c>
      <c r="Z5" s="5">
        <f t="shared" si="0"/>
        <v>-9.926081749731952E-2</v>
      </c>
      <c r="AA5" s="5">
        <f t="shared" si="0"/>
        <v>1.3093250029283039E-2</v>
      </c>
      <c r="AB5" s="5">
        <f t="shared" si="3"/>
        <v>5.4923485707281117E-4</v>
      </c>
      <c r="AC5" s="9">
        <f t="shared" si="1"/>
        <v>9.8039458666167451E-2</v>
      </c>
      <c r="AD5" s="9">
        <f t="shared" si="1"/>
        <v>3.7413435275037189E-2</v>
      </c>
      <c r="AE5" s="9">
        <f t="shared" si="1"/>
        <v>6.0554938868251362E-4</v>
      </c>
      <c r="AF5" s="25" t="s">
        <v>27</v>
      </c>
      <c r="AG5" s="26"/>
      <c r="AH5" s="26"/>
      <c r="AI5" s="26"/>
      <c r="AJ5" s="26"/>
      <c r="AK5" s="26"/>
    </row>
    <row r="6" spans="1:37" x14ac:dyDescent="0.25">
      <c r="A6" s="5">
        <f>'Proximal Validation'!A6</f>
        <v>0.83277602429999997</v>
      </c>
      <c r="B6" s="5">
        <f>'Proximal Validation'!B6</f>
        <v>0.2</v>
      </c>
      <c r="C6" s="5">
        <f>'Proximal Validation'!C6</f>
        <v>4.7123999999999997</v>
      </c>
      <c r="D6" s="5">
        <f>'Proximal Validation'!D6</f>
        <v>1.4193655153</v>
      </c>
      <c r="E6" s="5">
        <f>'Proximal Validation'!E6</f>
        <v>0.04</v>
      </c>
      <c r="F6" s="5">
        <f>'Proximal Validation'!F6</f>
        <v>5.4977999999999998</v>
      </c>
      <c r="G6" s="5">
        <f>'Proximal Validation'!G6</f>
        <v>4.2084858911999996</v>
      </c>
      <c r="H6" s="5">
        <f>'Proximal Validation'!H6</f>
        <v>0.52916698419999997</v>
      </c>
      <c r="I6" s="5">
        <f>'Proximal Validation'!I6</f>
        <v>2.5150427606000001</v>
      </c>
      <c r="J6" s="5">
        <f>'Proximal Validation'!J6</f>
        <v>-2.2600172087550201E-2</v>
      </c>
      <c r="K6" s="5">
        <f>'Proximal Validation'!K6</f>
        <v>0.2035677599906926</v>
      </c>
      <c r="L6" s="5">
        <f>'Proximal Validation'!L6</f>
        <v>1.6263059973716687E-2</v>
      </c>
      <c r="M6" s="5">
        <f>'Proximal Validation'!M6</f>
        <v>-0.76213192939758301</v>
      </c>
      <c r="N6" s="5">
        <f>'Proximal Validation'!N6</f>
        <v>0.83609861135482799</v>
      </c>
      <c r="O6" s="5">
        <f>'Proximal Validation'!O6</f>
        <v>-1.67676854133606</v>
      </c>
      <c r="P6" s="5">
        <v>1.0670314987546738</v>
      </c>
      <c r="Q6" s="5">
        <v>0.17825621940202621</v>
      </c>
      <c r="R6" s="5">
        <v>4.8333616313330294</v>
      </c>
      <c r="S6" s="5">
        <v>1.2025761091990885</v>
      </c>
      <c r="T6" s="5">
        <v>2.0307117546843445E-2</v>
      </c>
      <c r="U6" s="5">
        <v>5.540185040944273</v>
      </c>
      <c r="V6" s="13">
        <v>2.2135423934134844E-15</v>
      </c>
      <c r="W6" s="5">
        <f t="shared" si="0"/>
        <v>0.23425547445467387</v>
      </c>
      <c r="X6" s="5">
        <f t="shared" si="0"/>
        <v>-2.17437805979738E-2</v>
      </c>
      <c r="Y6" s="5">
        <f t="shared" si="2"/>
        <v>0.12096163133302973</v>
      </c>
      <c r="Z6" s="5">
        <f t="shared" si="0"/>
        <v>-0.21678940610091146</v>
      </c>
      <c r="AA6" s="5">
        <f t="shared" si="0"/>
        <v>-1.9692882453156556E-2</v>
      </c>
      <c r="AB6" s="5">
        <f t="shared" si="3"/>
        <v>4.23850409442732E-2</v>
      </c>
      <c r="AC6" s="8">
        <f t="shared" si="1"/>
        <v>0.22552244027779267</v>
      </c>
      <c r="AD6" s="8">
        <f t="shared" si="1"/>
        <v>2.0718331525565178E-2</v>
      </c>
      <c r="AE6" s="8">
        <f t="shared" si="1"/>
        <v>8.1673336138651464E-2</v>
      </c>
      <c r="AF6" s="6" t="s">
        <v>28</v>
      </c>
      <c r="AG6" s="6" t="s">
        <v>29</v>
      </c>
      <c r="AH6" s="6" t="s">
        <v>30</v>
      </c>
      <c r="AI6" s="7"/>
      <c r="AJ6" s="7"/>
      <c r="AK6" s="7"/>
    </row>
    <row r="7" spans="1:37" x14ac:dyDescent="0.25">
      <c r="A7" s="5">
        <f>'Proximal Validation'!A7</f>
        <v>0.3898403909</v>
      </c>
      <c r="B7" s="5">
        <f>'Proximal Validation'!B7</f>
        <v>0.2</v>
      </c>
      <c r="C7" s="5">
        <f>'Proximal Validation'!C7</f>
        <v>1.5708</v>
      </c>
      <c r="D7" s="5">
        <f>'Proximal Validation'!D7</f>
        <v>0.45028828840000001</v>
      </c>
      <c r="E7" s="5">
        <f>'Proximal Validation'!E7</f>
        <v>0.04</v>
      </c>
      <c r="F7" s="5">
        <f>'Proximal Validation'!F7</f>
        <v>2.3561999999999999</v>
      </c>
      <c r="G7" s="5">
        <f>'Proximal Validation'!G7</f>
        <v>0.34676129480000001</v>
      </c>
      <c r="H7" s="5">
        <f>'Proximal Validation'!H7</f>
        <v>0.93612470940000003</v>
      </c>
      <c r="I7" s="5">
        <f>'Proximal Validation'!I7</f>
        <v>2.0702513480000002</v>
      </c>
      <c r="J7" s="5">
        <f>'Proximal Validation'!J7</f>
        <v>-2.83843977376819E-3</v>
      </c>
      <c r="K7" s="5">
        <f>'Proximal Validation'!K7</f>
        <v>-8.2259576320647787E-2</v>
      </c>
      <c r="L7" s="5">
        <f>'Proximal Validation'!L7</f>
        <v>-3.6772690713405068E-4</v>
      </c>
      <c r="M7" s="5">
        <f>'Proximal Validation'!M7</f>
        <v>-7.1337848901748699E-2</v>
      </c>
      <c r="N7" s="5">
        <f>'Proximal Validation'!N7</f>
        <v>-0.277880519628525</v>
      </c>
      <c r="O7" s="5">
        <f>'Proximal Validation'!O7</f>
        <v>0.691084444522858</v>
      </c>
      <c r="P7" s="5">
        <v>0.54509751354262048</v>
      </c>
      <c r="Q7" s="5">
        <v>0.14681228018293019</v>
      </c>
      <c r="R7" s="5">
        <v>1.44214305667609</v>
      </c>
      <c r="S7" s="5">
        <v>0.42108917640650628</v>
      </c>
      <c r="T7" s="5">
        <v>5.9052956727705407E-2</v>
      </c>
      <c r="U7" s="5">
        <v>2.7350094935871767</v>
      </c>
      <c r="V7" s="13">
        <v>1.5918898524829533E-7</v>
      </c>
      <c r="W7" s="5">
        <f t="shared" si="0"/>
        <v>0.15525712264262048</v>
      </c>
      <c r="X7" s="5">
        <f t="shared" si="0"/>
        <v>-5.3187719817069823E-2</v>
      </c>
      <c r="Y7" s="5">
        <f t="shared" si="2"/>
        <v>0.12865694332390998</v>
      </c>
      <c r="Z7" s="5">
        <f t="shared" si="0"/>
        <v>-2.9199111993493732E-2</v>
      </c>
      <c r="AA7" s="5">
        <f t="shared" si="0"/>
        <v>1.9052956727705406E-2</v>
      </c>
      <c r="AB7" s="5">
        <f t="shared" si="3"/>
        <v>0.37880949358717686</v>
      </c>
      <c r="AC7" s="8">
        <f t="shared" si="1"/>
        <v>9.2228117318057107E-2</v>
      </c>
      <c r="AD7" s="8">
        <f t="shared" si="1"/>
        <v>3.6120338272387614E-2</v>
      </c>
      <c r="AE7" s="8">
        <f t="shared" si="1"/>
        <v>0.25373321845554342</v>
      </c>
      <c r="AF7" s="10">
        <f>AVERAGE(AF4,AI4)</f>
        <v>0.20287021805954994</v>
      </c>
      <c r="AG7" s="10">
        <f>AVERAGE(AG4,AJ4)</f>
        <v>2.1637974038452003E-2</v>
      </c>
      <c r="AH7" s="10">
        <f>AVERAGE(AH4,AK4)</f>
        <v>0.27059873847498733</v>
      </c>
      <c r="AI7" s="7"/>
      <c r="AJ7" s="7"/>
      <c r="AK7" s="7"/>
    </row>
    <row r="8" spans="1:37" x14ac:dyDescent="0.25">
      <c r="A8" s="5">
        <f>'Proximal Validation'!A8</f>
        <v>0.86958752539999995</v>
      </c>
      <c r="B8" s="5">
        <f>'Proximal Validation'!B8</f>
        <v>0.2</v>
      </c>
      <c r="C8" s="5">
        <f>'Proximal Validation'!C8</f>
        <v>0.78539999999999999</v>
      </c>
      <c r="D8" s="5">
        <f>'Proximal Validation'!D8</f>
        <v>0.66933871</v>
      </c>
      <c r="E8" s="5">
        <f>'Proximal Validation'!E8</f>
        <v>0.04</v>
      </c>
      <c r="F8" s="5">
        <f>'Proximal Validation'!F8</f>
        <v>0.78539999999999999</v>
      </c>
      <c r="G8" s="5">
        <f>'Proximal Validation'!G8</f>
        <v>2.0486073985000002</v>
      </c>
      <c r="H8" s="5">
        <f>'Proximal Validation'!H8</f>
        <v>1.4427408886999999</v>
      </c>
      <c r="I8" s="5">
        <f>'Proximal Validation'!I8</f>
        <v>0.53737298850000004</v>
      </c>
      <c r="J8" s="5">
        <f>'Proximal Validation'!J8</f>
        <v>4.2178397998213803E-3</v>
      </c>
      <c r="K8" s="5">
        <f>'Proximal Validation'!K8</f>
        <v>-0.1370001655817028</v>
      </c>
      <c r="L8" s="5">
        <f>'Proximal Validation'!L8</f>
        <v>0.13484285593032813</v>
      </c>
      <c r="M8" s="5">
        <f>'Proximal Validation'!M8</f>
        <v>-0.61169552803039595</v>
      </c>
      <c r="N8" s="5">
        <f>'Proximal Validation'!N8</f>
        <v>0.92778009176254295</v>
      </c>
      <c r="O8" s="5">
        <f>'Proximal Validation'!O8</f>
        <v>0.97456169128418002</v>
      </c>
      <c r="P8" s="5">
        <v>0.82504269597007918</v>
      </c>
      <c r="Q8" s="5">
        <v>0.14763462737870961</v>
      </c>
      <c r="R8" s="5">
        <v>0.78409189952167946</v>
      </c>
      <c r="S8" s="5">
        <v>0.6740124637512187</v>
      </c>
      <c r="T8" s="5">
        <v>0.1075587322928676</v>
      </c>
      <c r="U8" s="5">
        <v>0.78163309328155861</v>
      </c>
      <c r="V8" s="13">
        <v>3.9460860557668023E-7</v>
      </c>
      <c r="W8" s="5">
        <f t="shared" si="0"/>
        <v>-4.4544829429920774E-2</v>
      </c>
      <c r="X8" s="5">
        <f t="shared" si="0"/>
        <v>-5.2365372621290401E-2</v>
      </c>
      <c r="Y8" s="5">
        <f t="shared" si="2"/>
        <v>1.3081004783205286E-3</v>
      </c>
      <c r="Z8" s="5">
        <f t="shared" si="0"/>
        <v>4.6737537512187011E-3</v>
      </c>
      <c r="AA8" s="5">
        <f t="shared" si="0"/>
        <v>6.7558732292867602E-2</v>
      </c>
      <c r="AB8" s="5">
        <f t="shared" si="3"/>
        <v>3.7669067184413763E-3</v>
      </c>
      <c r="AC8" s="8">
        <f t="shared" si="1"/>
        <v>2.4609291590569737E-2</v>
      </c>
      <c r="AD8" s="8">
        <f t="shared" si="1"/>
        <v>5.9962052457079001E-2</v>
      </c>
      <c r="AE8" s="8">
        <f t="shared" si="1"/>
        <v>2.5375035983809524E-3</v>
      </c>
    </row>
    <row r="9" spans="1:37" x14ac:dyDescent="0.25">
      <c r="A9" s="5">
        <f>'Proximal Validation'!A9</f>
        <v>1.2260241731999999</v>
      </c>
      <c r="B9" s="5">
        <f>'Proximal Validation'!B9</f>
        <v>0.2</v>
      </c>
      <c r="C9" s="5">
        <f>'Proximal Validation'!C9</f>
        <v>3.1415999999999999</v>
      </c>
      <c r="D9" s="5">
        <f>'Proximal Validation'!D9</f>
        <v>0.53124592000000004</v>
      </c>
      <c r="E9" s="5">
        <f>'Proximal Validation'!E9</f>
        <v>0.04</v>
      </c>
      <c r="F9" s="5">
        <f>'Proximal Validation'!F9</f>
        <v>1.5708</v>
      </c>
      <c r="G9" s="5">
        <f>'Proximal Validation'!G9</f>
        <v>2.1721905802000001</v>
      </c>
      <c r="H9" s="5">
        <f>'Proximal Validation'!H9</f>
        <v>4.8592739976999999</v>
      </c>
      <c r="I9" s="5">
        <f>'Proximal Validation'!I9</f>
        <v>4.1505258277000001</v>
      </c>
      <c r="J9" s="5">
        <f>'Proximal Validation'!J9</f>
        <v>-1.05884596705437E-2</v>
      </c>
      <c r="K9" s="5">
        <f>'Proximal Validation'!K9</f>
        <v>-2.5415880382061017E-2</v>
      </c>
      <c r="L9" s="5">
        <f>'Proximal Validation'!L9</f>
        <v>-0.22906562328338606</v>
      </c>
      <c r="M9" s="5">
        <f>'Proximal Validation'!M9</f>
        <v>-0.90436720848083496</v>
      </c>
      <c r="N9" s="5">
        <f>'Proximal Validation'!N9</f>
        <v>-0.59426629543304399</v>
      </c>
      <c r="O9" s="5">
        <f>'Proximal Validation'!O9</f>
        <v>0.66323274374008201</v>
      </c>
      <c r="P9" s="5">
        <v>1.2515757642403078</v>
      </c>
      <c r="Q9" s="5">
        <v>0.19465362634091848</v>
      </c>
      <c r="R9" s="5">
        <v>3.1435856524074945</v>
      </c>
      <c r="S9" s="5">
        <v>0.53469897303684077</v>
      </c>
      <c r="T9" s="5">
        <v>4.0848436691410896E-2</v>
      </c>
      <c r="U9" s="5">
        <v>1.5102318705858118</v>
      </c>
      <c r="V9" s="13">
        <v>8.1341499477770308E-9</v>
      </c>
      <c r="W9" s="5">
        <f t="shared" si="0"/>
        <v>2.5551591040307908E-2</v>
      </c>
      <c r="X9" s="5">
        <f t="shared" si="0"/>
        <v>-5.346373659081527E-3</v>
      </c>
      <c r="Y9" s="5">
        <f t="shared" si="2"/>
        <v>1.985652407494598E-3</v>
      </c>
      <c r="Z9" s="5">
        <f t="shared" si="0"/>
        <v>3.4530530368407364E-3</v>
      </c>
      <c r="AA9" s="5">
        <f t="shared" si="0"/>
        <v>8.4843669141089484E-4</v>
      </c>
      <c r="AB9" s="5">
        <f t="shared" si="3"/>
        <v>6.056812941418821E-2</v>
      </c>
      <c r="AC9" s="8">
        <f t="shared" si="1"/>
        <v>1.4502322038574322E-2</v>
      </c>
      <c r="AD9" s="8">
        <f t="shared" si="1"/>
        <v>3.0974051752462109E-3</v>
      </c>
      <c r="AE9" s="8">
        <f t="shared" si="1"/>
        <v>3.1276890910841404E-2</v>
      </c>
      <c r="AF9" s="12"/>
      <c r="AG9" s="12"/>
      <c r="AH9" s="12"/>
    </row>
    <row r="10" spans="1:37" x14ac:dyDescent="0.25">
      <c r="A10" s="5">
        <f>'Proximal Validation'!A10</f>
        <v>1.4922792275000001</v>
      </c>
      <c r="B10" s="5">
        <f>'Proximal Validation'!B10</f>
        <v>0.2</v>
      </c>
      <c r="C10" s="5">
        <f>'Proximal Validation'!C10</f>
        <v>2.3561999999999999</v>
      </c>
      <c r="D10" s="5">
        <f>'Proximal Validation'!D10</f>
        <v>1.2493008810999999</v>
      </c>
      <c r="E10" s="5">
        <f>'Proximal Validation'!E10</f>
        <v>0.04</v>
      </c>
      <c r="F10" s="5">
        <f>'Proximal Validation'!F10</f>
        <v>0.78539999999999999</v>
      </c>
      <c r="G10" s="5">
        <f>'Proximal Validation'!G10</f>
        <v>0.65138204079999995</v>
      </c>
      <c r="H10" s="5">
        <f>'Proximal Validation'!H10</f>
        <v>2.3960292019999998</v>
      </c>
      <c r="I10" s="5">
        <f>'Proximal Validation'!I10</f>
        <v>3.8310385232000002</v>
      </c>
      <c r="J10" s="5">
        <f>'Proximal Validation'!J10</f>
        <v>-3.3023439347744002E-2</v>
      </c>
      <c r="K10" s="5">
        <f>'Proximal Validation'!K10</f>
        <v>-0.23263156175613409</v>
      </c>
      <c r="L10" s="5">
        <f>'Proximal Validation'!L10</f>
        <v>-0.15568616658449203</v>
      </c>
      <c r="M10" s="5">
        <f>'Proximal Validation'!M10</f>
        <v>-1.0651987791061399</v>
      </c>
      <c r="N10" s="5">
        <f>'Proximal Validation'!N10</f>
        <v>0.49567955732345598</v>
      </c>
      <c r="O10" s="5">
        <f>'Proximal Validation'!O10</f>
        <v>1.5597436428070099</v>
      </c>
      <c r="P10" s="5">
        <v>1.4933528501601527</v>
      </c>
      <c r="Q10" s="5">
        <v>0.19973880240713857</v>
      </c>
      <c r="R10" s="5">
        <v>2.3602372228035562</v>
      </c>
      <c r="S10" s="5">
        <v>1.2540366577037192</v>
      </c>
      <c r="T10" s="5">
        <v>4.0756245773458349E-2</v>
      </c>
      <c r="U10" s="5">
        <v>0.78491844095867414</v>
      </c>
      <c r="V10" s="13">
        <v>2.098987605183253E-12</v>
      </c>
      <c r="W10" s="5">
        <f t="shared" si="0"/>
        <v>1.0736226601526511E-3</v>
      </c>
      <c r="X10" s="5">
        <f t="shared" si="0"/>
        <v>-2.6119759286144517E-4</v>
      </c>
      <c r="Y10" s="5">
        <f t="shared" si="2"/>
        <v>4.0372228035563396E-3</v>
      </c>
      <c r="Z10" s="5">
        <f t="shared" si="0"/>
        <v>4.7357766037192661E-3</v>
      </c>
      <c r="AA10" s="5">
        <f t="shared" si="0"/>
        <v>7.5624577345834859E-4</v>
      </c>
      <c r="AB10" s="5">
        <f t="shared" si="3"/>
        <v>4.8155904132585192E-4</v>
      </c>
      <c r="AC10" s="8">
        <f t="shared" si="1"/>
        <v>2.9046996319359586E-3</v>
      </c>
      <c r="AD10" s="8">
        <f t="shared" si="1"/>
        <v>5.0872168315989688E-4</v>
      </c>
      <c r="AE10" s="8">
        <f t="shared" si="1"/>
        <v>2.2593909224410957E-3</v>
      </c>
    </row>
    <row r="11" spans="1:37" x14ac:dyDescent="0.25">
      <c r="A11" s="5">
        <f>'Proximal Validation'!A11</f>
        <v>1.4258680059</v>
      </c>
      <c r="B11" s="5">
        <f>'Proximal Validation'!B11</f>
        <v>0.2</v>
      </c>
      <c r="C11" s="5">
        <f>'Proximal Validation'!C11</f>
        <v>4.7123999999999997</v>
      </c>
      <c r="D11" s="5">
        <f>'Proximal Validation'!D11</f>
        <v>0.35291314260000001</v>
      </c>
      <c r="E11" s="5">
        <f>'Proximal Validation'!E11</f>
        <v>0.04</v>
      </c>
      <c r="F11" s="5">
        <f>'Proximal Validation'!F11</f>
        <v>0</v>
      </c>
      <c r="G11" s="5">
        <f>'Proximal Validation'!G11</f>
        <v>3.4810259851000001</v>
      </c>
      <c r="H11" s="5">
        <f>'Proximal Validation'!H11</f>
        <v>1.1294030872</v>
      </c>
      <c r="I11" s="5">
        <f>'Proximal Validation'!I11</f>
        <v>4.9138255752999997</v>
      </c>
      <c r="J11" s="5">
        <f>'Proximal Validation'!J11</f>
        <v>-2.9087357223033902E-2</v>
      </c>
      <c r="K11" s="5">
        <f>'Proximal Validation'!K11</f>
        <v>0.27084197163581819</v>
      </c>
      <c r="L11" s="5">
        <f>'Proximal Validation'!L11</f>
        <v>9.3254102021455808E-3</v>
      </c>
      <c r="M11" s="5">
        <f>'Proximal Validation'!M11</f>
        <v>-1.3190960884094201</v>
      </c>
      <c r="N11" s="5">
        <f>'Proximal Validation'!N11</f>
        <v>0.140940636396408</v>
      </c>
      <c r="O11" s="5">
        <f>'Proximal Validation'!O11</f>
        <v>-0.61736321449279796</v>
      </c>
      <c r="P11" s="5">
        <v>1.4258177235048397</v>
      </c>
      <c r="Q11" s="5">
        <v>0.19999999999858009</v>
      </c>
      <c r="R11" s="5">
        <v>4.710987596059943</v>
      </c>
      <c r="S11" s="5">
        <v>0.3544860854282712</v>
      </c>
      <c r="T11" s="5">
        <v>4.0920230931529897E-2</v>
      </c>
      <c r="U11" s="5">
        <v>6.2831853071795463</v>
      </c>
      <c r="V11" s="13">
        <v>5.0036168246161615E-10</v>
      </c>
      <c r="W11" s="5">
        <f t="shared" si="0"/>
        <v>-5.0282395160250459E-5</v>
      </c>
      <c r="X11" s="5">
        <f t="shared" si="0"/>
        <v>-1.419919737344344E-12</v>
      </c>
      <c r="Y11" s="5">
        <f t="shared" si="2"/>
        <v>1.4124039400567057E-3</v>
      </c>
      <c r="Z11" s="5">
        <f t="shared" si="0"/>
        <v>1.5729428282711955E-3</v>
      </c>
      <c r="AA11" s="5">
        <f t="shared" si="0"/>
        <v>9.2023093152989593E-4</v>
      </c>
      <c r="AB11" s="5">
        <f t="shared" si="3"/>
        <v>3.9968028886505635E-14</v>
      </c>
      <c r="AC11" s="8">
        <f t="shared" si="1"/>
        <v>8.1161261171572296E-4</v>
      </c>
      <c r="AD11" s="8">
        <f t="shared" si="1"/>
        <v>4.6011546647490784E-4</v>
      </c>
      <c r="AE11" s="8">
        <f t="shared" si="1"/>
        <v>7.0620197004833685E-4</v>
      </c>
    </row>
    <row r="12" spans="1:37" x14ac:dyDescent="0.25">
      <c r="A12" s="5">
        <f>'Proximal Validation'!A12</f>
        <v>1.2847663906</v>
      </c>
      <c r="B12" s="5">
        <f>'Proximal Validation'!B12</f>
        <v>0.18</v>
      </c>
      <c r="C12" s="5">
        <f>'Proximal Validation'!C12</f>
        <v>0.78539999999999999</v>
      </c>
      <c r="D12" s="5">
        <f>'Proximal Validation'!D12</f>
        <v>0.98965387010000005</v>
      </c>
      <c r="E12" s="5">
        <f>'Proximal Validation'!E12</f>
        <v>0.04</v>
      </c>
      <c r="F12" s="5">
        <f>'Proximal Validation'!F12</f>
        <v>3.927</v>
      </c>
      <c r="G12" s="5">
        <f>'Proximal Validation'!G12</f>
        <v>3.2068327339999998</v>
      </c>
      <c r="H12" s="5">
        <f>'Proximal Validation'!H12</f>
        <v>3.5469168124000001</v>
      </c>
      <c r="I12" s="5">
        <f>'Proximal Validation'!I12</f>
        <v>1.1514404992</v>
      </c>
      <c r="J12" s="5">
        <f>'Proximal Validation'!J12</f>
        <v>-1.0062171146273601E-2</v>
      </c>
      <c r="K12" s="5">
        <f>'Proximal Validation'!K12</f>
        <v>-0.11961497262120291</v>
      </c>
      <c r="L12" s="5">
        <f>'Proximal Validation'!L12</f>
        <v>0.13679772749543156</v>
      </c>
      <c r="M12" s="5">
        <f>'Proximal Validation'!M12</f>
        <v>-0.57413351535797097</v>
      </c>
      <c r="N12" s="5">
        <f>'Proximal Validation'!N12</f>
        <v>-0.16432480514049499</v>
      </c>
      <c r="O12" s="5">
        <f>'Proximal Validation'!O12</f>
        <v>-0.195539399981499</v>
      </c>
      <c r="P12" s="5">
        <v>1.1366289644150085</v>
      </c>
      <c r="Q12" s="5">
        <v>0.18976124432679128</v>
      </c>
      <c r="R12" s="5">
        <v>0.78549864579199591</v>
      </c>
      <c r="S12" s="5">
        <v>0.86168120852538332</v>
      </c>
      <c r="T12" s="5">
        <v>2.831943836928049E-2</v>
      </c>
      <c r="U12" s="5">
        <v>3.9250843389358212</v>
      </c>
      <c r="V12" s="13">
        <v>1.9278652695419152E-10</v>
      </c>
      <c r="W12" s="5">
        <f t="shared" si="0"/>
        <v>-0.14813742618499148</v>
      </c>
      <c r="X12" s="5">
        <f t="shared" si="0"/>
        <v>9.7612443267912907E-3</v>
      </c>
      <c r="Y12" s="5">
        <f t="shared" si="2"/>
        <v>9.8645791995921606E-5</v>
      </c>
      <c r="Z12" s="5">
        <f t="shared" si="0"/>
        <v>-0.12797266157461673</v>
      </c>
      <c r="AA12" s="5">
        <f t="shared" si="0"/>
        <v>-1.168056163071951E-2</v>
      </c>
      <c r="AB12" s="5">
        <f t="shared" si="3"/>
        <v>1.9156610641788419E-3</v>
      </c>
      <c r="AC12" s="8">
        <f t="shared" si="1"/>
        <v>0.13805504387980411</v>
      </c>
      <c r="AD12" s="8">
        <f t="shared" si="1"/>
        <v>1.0720902978755401E-2</v>
      </c>
      <c r="AE12" s="8">
        <f t="shared" si="1"/>
        <v>1.0071534280873817E-3</v>
      </c>
      <c r="AF12" s="12"/>
      <c r="AG12" s="12"/>
      <c r="AH12" s="12"/>
    </row>
    <row r="13" spans="1:37" x14ac:dyDescent="0.25">
      <c r="A13" s="5">
        <f>'Proximal Validation'!A13</f>
        <v>0.82078888689999996</v>
      </c>
      <c r="B13" s="5">
        <f>'Proximal Validation'!B13</f>
        <v>0.18</v>
      </c>
      <c r="C13" s="5">
        <f>'Proximal Validation'!C13</f>
        <v>0</v>
      </c>
      <c r="D13" s="5">
        <f>'Proximal Validation'!D13</f>
        <v>1.3252826163</v>
      </c>
      <c r="E13" s="5">
        <f>'Proximal Validation'!E13</f>
        <v>0.04</v>
      </c>
      <c r="F13" s="5">
        <f>'Proximal Validation'!F13</f>
        <v>0</v>
      </c>
      <c r="G13" s="5">
        <f>'Proximal Validation'!G13</f>
        <v>3.9081993600000003E-2</v>
      </c>
      <c r="H13" s="5">
        <f>'Proximal Validation'!H13</f>
        <v>2.9262884955000001</v>
      </c>
      <c r="I13" s="5">
        <f>'Proximal Validation'!I13</f>
        <v>4.7431789933999999</v>
      </c>
      <c r="J13" s="5">
        <f>'Proximal Validation'!J13</f>
        <v>1.4371985569596299E-2</v>
      </c>
      <c r="K13" s="5">
        <f>'Proximal Validation'!K13</f>
        <v>-1.4706531241536116E-2</v>
      </c>
      <c r="L13" s="5">
        <f>'Proximal Validation'!L13</f>
        <v>0.2061504805088038</v>
      </c>
      <c r="M13" s="5">
        <f>'Proximal Validation'!M13</f>
        <v>-0.55730897188186601</v>
      </c>
      <c r="N13" s="5">
        <f>'Proximal Validation'!N13</f>
        <v>2.0565929412841801</v>
      </c>
      <c r="O13" s="5">
        <f>'Proximal Validation'!O13</f>
        <v>7.4373602867126506E-2</v>
      </c>
      <c r="P13" s="5">
        <v>1.004798006347972</v>
      </c>
      <c r="Q13" s="5">
        <v>0.1658037629876683</v>
      </c>
      <c r="R13" s="5">
        <v>5.3455799243566627E-4</v>
      </c>
      <c r="S13" s="5">
        <v>1.1477652044236402</v>
      </c>
      <c r="T13" s="5">
        <v>2.9949943874154606E-2</v>
      </c>
      <c r="U13" s="5">
        <v>1.3323960215987835E-3</v>
      </c>
      <c r="V13" s="13">
        <v>3.3447504703908597E-9</v>
      </c>
      <c r="W13" s="5">
        <f t="shared" si="0"/>
        <v>0.18400911944797205</v>
      </c>
      <c r="X13" s="5">
        <f t="shared" si="0"/>
        <v>-1.4196237012331692E-2</v>
      </c>
      <c r="Y13" s="5">
        <f t="shared" si="2"/>
        <v>5.3455799243566627E-4</v>
      </c>
      <c r="Z13" s="5">
        <f t="shared" si="0"/>
        <v>-0.17751741187635983</v>
      </c>
      <c r="AA13" s="5">
        <f t="shared" si="0"/>
        <v>-1.0050056125845395E-2</v>
      </c>
      <c r="AB13" s="5">
        <f t="shared" si="3"/>
        <v>1.3323960215987835E-3</v>
      </c>
      <c r="AC13" s="8">
        <f t="shared" si="1"/>
        <v>0.18076326566216594</v>
      </c>
      <c r="AD13" s="8">
        <f t="shared" si="1"/>
        <v>1.2123146569088543E-2</v>
      </c>
      <c r="AE13" s="8">
        <f t="shared" si="1"/>
        <v>9.3347700701722496E-4</v>
      </c>
    </row>
    <row r="14" spans="1:37" x14ac:dyDescent="0.25">
      <c r="A14" s="5">
        <f>'Proximal Validation'!A14</f>
        <v>0.51355824630000002</v>
      </c>
      <c r="B14" s="5">
        <f>'Proximal Validation'!B14</f>
        <v>0.2</v>
      </c>
      <c r="C14" s="5">
        <f>'Proximal Validation'!C14</f>
        <v>2.3561999999999999</v>
      </c>
      <c r="D14" s="5">
        <f>'Proximal Validation'!D14</f>
        <v>0.96095190770000005</v>
      </c>
      <c r="E14" s="5">
        <f>'Proximal Validation'!E14</f>
        <v>0.06</v>
      </c>
      <c r="F14" s="5">
        <f>'Proximal Validation'!F14</f>
        <v>0</v>
      </c>
      <c r="G14" s="5">
        <f>'Proximal Validation'!G14</f>
        <v>2.4382389278000001</v>
      </c>
      <c r="H14" s="5">
        <f>'Proximal Validation'!H14</f>
        <v>4.2854047354000002</v>
      </c>
      <c r="I14" s="5">
        <f>'Proximal Validation'!I14</f>
        <v>0.33901404839999999</v>
      </c>
      <c r="J14" s="5">
        <f>'Proximal Validation'!J14</f>
        <v>1.1325632221996799E-3</v>
      </c>
      <c r="K14" s="5">
        <f>'Proximal Validation'!K14</f>
        <v>-6.6681183576583883E-2</v>
      </c>
      <c r="L14" s="5">
        <f>'Proximal Validation'!L14</f>
        <v>7.4554264545442783E-4</v>
      </c>
      <c r="M14" s="5">
        <f>'Proximal Validation'!M14</f>
        <v>-6.8245917558670002E-2</v>
      </c>
      <c r="N14" s="5">
        <f>'Proximal Validation'!N14</f>
        <v>0.80465632677078203</v>
      </c>
      <c r="O14" s="5">
        <f>'Proximal Validation'!O14</f>
        <v>0.26539456844329801</v>
      </c>
      <c r="P14" s="5">
        <v>0.51165951711598001</v>
      </c>
      <c r="Q14" s="5">
        <v>0.19999640648783198</v>
      </c>
      <c r="R14" s="5">
        <v>2.3529277292850943</v>
      </c>
      <c r="S14" s="5">
        <v>0.95854373769737666</v>
      </c>
      <c r="T14" s="5">
        <v>5.9615307335030579E-2</v>
      </c>
      <c r="U14" s="5">
        <v>1.1991278390006891E-4</v>
      </c>
      <c r="V14" s="13">
        <v>9.8757682098923017E-10</v>
      </c>
      <c r="W14" s="5">
        <f t="shared" si="0"/>
        <v>-1.8987291840200093E-3</v>
      </c>
      <c r="X14" s="5">
        <f t="shared" si="0"/>
        <v>-3.5935121680263915E-6</v>
      </c>
      <c r="Y14" s="5">
        <f t="shared" si="2"/>
        <v>3.2722707149055452E-3</v>
      </c>
      <c r="Z14" s="5">
        <f t="shared" si="0"/>
        <v>-2.4081700026233888E-3</v>
      </c>
      <c r="AA14" s="5">
        <f t="shared" si="0"/>
        <v>-3.8469266496941878E-4</v>
      </c>
      <c r="AB14" s="5">
        <f t="shared" si="3"/>
        <v>1.1991278390006891E-4</v>
      </c>
      <c r="AC14" s="8">
        <f t="shared" si="1"/>
        <v>2.1534495933216991E-3</v>
      </c>
      <c r="AD14" s="8">
        <f t="shared" si="1"/>
        <v>1.9414308856872259E-4</v>
      </c>
      <c r="AE14" s="8">
        <f t="shared" si="1"/>
        <v>1.696091749402807E-3</v>
      </c>
    </row>
    <row r="15" spans="1:37" x14ac:dyDescent="0.25">
      <c r="A15" s="5">
        <f>'Proximal Validation'!A15</f>
        <v>0.35944564579999999</v>
      </c>
      <c r="B15" s="5">
        <f>'Proximal Validation'!B15</f>
        <v>0.18</v>
      </c>
      <c r="C15" s="5">
        <f>'Proximal Validation'!C15</f>
        <v>5.4977999999999998</v>
      </c>
      <c r="D15" s="5">
        <f>'Proximal Validation'!D15</f>
        <v>1.2877652723999999</v>
      </c>
      <c r="E15" s="5">
        <f>'Proximal Validation'!E15</f>
        <v>0.04</v>
      </c>
      <c r="F15" s="5">
        <f>'Proximal Validation'!F15</f>
        <v>2.3561999999999999</v>
      </c>
      <c r="G15" s="5">
        <f>'Proximal Validation'!G15</f>
        <v>2.1189458146</v>
      </c>
      <c r="H15" s="5">
        <f>'Proximal Validation'!H15</f>
        <v>2.2606748846000002</v>
      </c>
      <c r="I15" s="5">
        <f>'Proximal Validation'!I15</f>
        <v>0.94750633689999997</v>
      </c>
      <c r="J15" s="5">
        <f>'Proximal Validation'!J15</f>
        <v>-5.0011062994599299E-3</v>
      </c>
      <c r="K15" s="5">
        <f>'Proximal Validation'!K15</f>
        <v>1.905451118946036E-3</v>
      </c>
      <c r="L15" s="5">
        <f>'Proximal Validation'!L15</f>
        <v>-3.3290824294089638E-3</v>
      </c>
      <c r="M15" s="5">
        <f>'Proximal Validation'!M15</f>
        <v>1.8331240862607999E-3</v>
      </c>
      <c r="N15" s="5">
        <f>'Proximal Validation'!N15</f>
        <v>-0.756436347961426</v>
      </c>
      <c r="O15" s="5">
        <f>'Proximal Validation'!O15</f>
        <v>0.79075133800506603</v>
      </c>
      <c r="P15" s="5">
        <v>0.30270023224673737</v>
      </c>
      <c r="Q15" s="5">
        <v>2.0001881423012891E-2</v>
      </c>
      <c r="R15" s="5">
        <v>3.3108104981864361</v>
      </c>
      <c r="S15" s="5">
        <v>0.59087557292454496</v>
      </c>
      <c r="T15" s="5">
        <v>2.0000000000022205E-2</v>
      </c>
      <c r="U15" s="5">
        <v>1.9250174265644846</v>
      </c>
      <c r="V15" s="13">
        <v>8.6589833249519146E-4</v>
      </c>
      <c r="W15" s="5">
        <f t="shared" si="0"/>
        <v>-5.6745413553262625E-2</v>
      </c>
      <c r="X15" s="5">
        <f t="shared" si="0"/>
        <v>-0.15999811857698709</v>
      </c>
      <c r="Y15" s="5">
        <f t="shared" si="2"/>
        <v>2.1869895018135637</v>
      </c>
      <c r="Z15" s="5">
        <f t="shared" si="0"/>
        <v>-0.69688969947545498</v>
      </c>
      <c r="AA15" s="5">
        <f t="shared" si="0"/>
        <v>-1.9999999999977796E-2</v>
      </c>
      <c r="AB15" s="5">
        <f t="shared" si="3"/>
        <v>0.43118257343551525</v>
      </c>
      <c r="AC15" s="8">
        <f t="shared" si="1"/>
        <v>0.37681755651435878</v>
      </c>
      <c r="AD15" s="8">
        <f t="shared" si="1"/>
        <v>8.9999059288482439E-2</v>
      </c>
      <c r="AE15" s="8">
        <f t="shared" si="1"/>
        <v>1.3090860376245395</v>
      </c>
    </row>
    <row r="16" spans="1:37" x14ac:dyDescent="0.25">
      <c r="A16" s="5">
        <f>'Proximal Validation'!A16</f>
        <v>1.2267525763</v>
      </c>
      <c r="B16" s="5">
        <f>'Proximal Validation'!B16</f>
        <v>0.16</v>
      </c>
      <c r="C16" s="5">
        <f>'Proximal Validation'!C16</f>
        <v>5.4977999999999998</v>
      </c>
      <c r="D16" s="5">
        <f>'Proximal Validation'!D16</f>
        <v>1.4944716747</v>
      </c>
      <c r="E16" s="5">
        <f>'Proximal Validation'!E16</f>
        <v>0.04</v>
      </c>
      <c r="F16" s="5">
        <f>'Proximal Validation'!F16</f>
        <v>3.927</v>
      </c>
      <c r="G16" s="5">
        <f>'Proximal Validation'!G16</f>
        <v>0.31884207939999998</v>
      </c>
      <c r="H16" s="5">
        <f>'Proximal Validation'!H16</f>
        <v>3.8007215218999999</v>
      </c>
      <c r="I16" s="5">
        <f>'Proximal Validation'!I16</f>
        <v>0.48541647729999998</v>
      </c>
      <c r="J16" s="5">
        <f>'Proximal Validation'!J16</f>
        <v>5.6576435454189803E-3</v>
      </c>
      <c r="K16" s="5">
        <f>'Proximal Validation'!K16</f>
        <v>0.17276296734809909</v>
      </c>
      <c r="L16" s="5">
        <f>'Proximal Validation'!L16</f>
        <v>8.9440476745367051E-2</v>
      </c>
      <c r="M16" s="5">
        <f>'Proximal Validation'!M16</f>
        <v>-0.48139920830726601</v>
      </c>
      <c r="N16" s="5">
        <f>'Proximal Validation'!N16</f>
        <v>-0.48554921150207497</v>
      </c>
      <c r="O16" s="5">
        <f>'Proximal Validation'!O16</f>
        <v>-1.6963471174240099</v>
      </c>
      <c r="P16" s="5">
        <v>1.2123243135373825</v>
      </c>
      <c r="Q16" s="5">
        <v>0.16142401658049332</v>
      </c>
      <c r="R16" s="5">
        <v>5.4984690234333371</v>
      </c>
      <c r="S16" s="5">
        <v>1.4953937500706163</v>
      </c>
      <c r="T16" s="5">
        <v>4.0080311618231126E-2</v>
      </c>
      <c r="U16" s="5">
        <v>3.9367875331164912</v>
      </c>
      <c r="V16" s="13">
        <v>1.0997960281727793E-9</v>
      </c>
      <c r="W16" s="5">
        <f t="shared" si="0"/>
        <v>-1.442826276261755E-2</v>
      </c>
      <c r="X16" s="5">
        <f t="shared" si="0"/>
        <v>1.4240165804933202E-3</v>
      </c>
      <c r="Y16" s="5">
        <f t="shared" si="2"/>
        <v>6.690234333373013E-4</v>
      </c>
      <c r="Z16" s="5">
        <f t="shared" si="0"/>
        <v>9.2207537061628209E-4</v>
      </c>
      <c r="AA16" s="5">
        <f t="shared" si="0"/>
        <v>8.0311618231125592E-5</v>
      </c>
      <c r="AB16" s="5">
        <f t="shared" si="3"/>
        <v>9.787533116491165E-3</v>
      </c>
      <c r="AC16" s="8">
        <f t="shared" si="1"/>
        <v>7.6751690666169159E-3</v>
      </c>
      <c r="AD16" s="8">
        <f t="shared" si="1"/>
        <v>7.5216409936222292E-4</v>
      </c>
      <c r="AE16" s="8">
        <f t="shared" si="1"/>
        <v>5.2282782749142331E-3</v>
      </c>
    </row>
    <row r="17" spans="1:31" x14ac:dyDescent="0.25">
      <c r="A17" s="5">
        <f>'Proximal Validation'!A17</f>
        <v>0.64421489080000005</v>
      </c>
      <c r="B17" s="5">
        <f>'Proximal Validation'!B17</f>
        <v>0.14000000000000001</v>
      </c>
      <c r="C17" s="5">
        <f>'Proximal Validation'!C17</f>
        <v>0</v>
      </c>
      <c r="D17" s="5">
        <f>'Proximal Validation'!D17</f>
        <v>0.8523470823</v>
      </c>
      <c r="E17" s="5">
        <f>'Proximal Validation'!E17</f>
        <v>0.02</v>
      </c>
      <c r="F17" s="5">
        <f>'Proximal Validation'!F17</f>
        <v>4.7123999999999997</v>
      </c>
      <c r="G17" s="5">
        <f>'Proximal Validation'!G17</f>
        <v>8.0437148799999997E-2</v>
      </c>
      <c r="H17" s="5">
        <f>'Proximal Validation'!H17</f>
        <v>0.35167971240000001</v>
      </c>
      <c r="I17" s="5">
        <f>'Proximal Validation'!I17</f>
        <v>1.0501461195999999</v>
      </c>
      <c r="J17" s="5">
        <f>'Proximal Validation'!J17</f>
        <v>1.9597527571022502E-3</v>
      </c>
      <c r="K17" s="5">
        <f>'Proximal Validation'!K17</f>
        <v>1.6047963500023368E-2</v>
      </c>
      <c r="L17" s="5">
        <f>'Proximal Validation'!L17</f>
        <v>8.9387370347976308E-2</v>
      </c>
      <c r="M17" s="5">
        <f>'Proximal Validation'!M17</f>
        <v>-0.110345743596554</v>
      </c>
      <c r="N17" s="5">
        <f>'Proximal Validation'!N17</f>
        <v>0.49668353796005199</v>
      </c>
      <c r="O17" s="5">
        <f>'Proximal Validation'!O17</f>
        <v>-0.96090674400329601</v>
      </c>
      <c r="P17" s="5">
        <v>0.35334832701269403</v>
      </c>
      <c r="Q17" s="5">
        <v>0.13730993485647319</v>
      </c>
      <c r="R17" s="5">
        <v>4.4405626386733898E-14</v>
      </c>
      <c r="S17" s="5">
        <v>0.3005969754563958</v>
      </c>
      <c r="T17" s="5">
        <v>0.13724139550244488</v>
      </c>
      <c r="U17" s="5">
        <v>2.6235653858286781E-14</v>
      </c>
      <c r="V17" s="13">
        <v>2.1021515171839025E-3</v>
      </c>
      <c r="W17" s="5">
        <f t="shared" si="0"/>
        <v>-0.29086656378730602</v>
      </c>
      <c r="X17" s="5">
        <f t="shared" si="0"/>
        <v>-2.6900651435268208E-3</v>
      </c>
      <c r="Y17" s="5">
        <f t="shared" si="2"/>
        <v>4.4405626386733898E-14</v>
      </c>
      <c r="Z17" s="5">
        <f t="shared" si="0"/>
        <v>-0.55175010684360415</v>
      </c>
      <c r="AA17" s="5">
        <f t="shared" si="0"/>
        <v>0.11724139550244488</v>
      </c>
      <c r="AB17" s="5">
        <f t="shared" si="3"/>
        <v>1.5707853071796132</v>
      </c>
      <c r="AC17" s="8">
        <f t="shared" si="1"/>
        <v>0.42130833531545508</v>
      </c>
      <c r="AD17" s="8">
        <f t="shared" si="1"/>
        <v>5.9965730322985848E-2</v>
      </c>
      <c r="AE17" s="8">
        <f t="shared" si="1"/>
        <v>0.78539265358982879</v>
      </c>
    </row>
    <row r="18" spans="1:31" x14ac:dyDescent="0.25">
      <c r="A18" s="5">
        <f>'Proximal Validation'!A18</f>
        <v>1.1302547975999999</v>
      </c>
      <c r="B18" s="5">
        <f>'Proximal Validation'!B18</f>
        <v>0.16</v>
      </c>
      <c r="C18" s="5">
        <f>'Proximal Validation'!C18</f>
        <v>4.7123999999999997</v>
      </c>
      <c r="D18" s="5">
        <f>'Proximal Validation'!D18</f>
        <v>1.3446433494000001</v>
      </c>
      <c r="E18" s="5">
        <f>'Proximal Validation'!E18</f>
        <v>0.04</v>
      </c>
      <c r="F18" s="5">
        <f>'Proximal Validation'!F18</f>
        <v>0</v>
      </c>
      <c r="G18" s="5">
        <f>'Proximal Validation'!G18</f>
        <v>1.0644222964000001</v>
      </c>
      <c r="H18" s="5">
        <f>'Proximal Validation'!H18</f>
        <v>1.4761094460999999</v>
      </c>
      <c r="I18" s="5">
        <f>'Proximal Validation'!I18</f>
        <v>3.5278441351000001</v>
      </c>
      <c r="J18" s="5">
        <f>'Proximal Validation'!J18</f>
        <v>1.67317176237702E-3</v>
      </c>
      <c r="K18" s="5">
        <f>'Proximal Validation'!K18</f>
        <v>0.16960764229297612</v>
      </c>
      <c r="L18" s="5">
        <f>'Proximal Validation'!L18</f>
        <v>5.4553549885749189E-2</v>
      </c>
      <c r="M18" s="5">
        <f>'Proximal Validation'!M18</f>
        <v>-0.55695748329162598</v>
      </c>
      <c r="N18" s="5">
        <f>'Proximal Validation'!N18</f>
        <v>1.32389569282532</v>
      </c>
      <c r="O18" s="5">
        <f>'Proximal Validation'!O18</f>
        <v>-0.76391577720642101</v>
      </c>
      <c r="P18" s="5">
        <v>1.2994704370781349</v>
      </c>
      <c r="Q18" s="5">
        <v>0.1428466509675177</v>
      </c>
      <c r="R18" s="5">
        <v>4.7688061651171916</v>
      </c>
      <c r="S18" s="5">
        <v>1.2874352671582265</v>
      </c>
      <c r="T18" s="5">
        <v>3.4219559404937511E-2</v>
      </c>
      <c r="U18" s="5">
        <v>0.14085089181724667</v>
      </c>
      <c r="V18" s="13">
        <v>2.3085404166470301E-8</v>
      </c>
      <c r="W18" s="5">
        <f t="shared" si="0"/>
        <v>0.169215639478135</v>
      </c>
      <c r="X18" s="5">
        <f t="shared" si="0"/>
        <v>-1.7153349032482307E-2</v>
      </c>
      <c r="Y18" s="5">
        <f t="shared" si="2"/>
        <v>5.6406165117191875E-2</v>
      </c>
      <c r="Z18" s="5">
        <f t="shared" si="0"/>
        <v>-5.7208082241773539E-2</v>
      </c>
      <c r="AA18" s="5">
        <f t="shared" si="0"/>
        <v>-5.7804405950624901E-3</v>
      </c>
      <c r="AB18" s="5">
        <f t="shared" si="3"/>
        <v>0.14085089181724667</v>
      </c>
      <c r="AC18" s="8">
        <f t="shared" si="1"/>
        <v>0.11321186085995427</v>
      </c>
      <c r="AD18" s="8">
        <f t="shared" si="1"/>
        <v>1.1466894813772398E-2</v>
      </c>
      <c r="AE18" s="8">
        <f t="shared" si="1"/>
        <v>9.862852846721927E-2</v>
      </c>
    </row>
    <row r="19" spans="1:31" x14ac:dyDescent="0.25">
      <c r="A19" s="5">
        <f>'Proximal Validation'!A19</f>
        <v>0.44052297210000002</v>
      </c>
      <c r="B19" s="5">
        <f>'Proximal Validation'!B19</f>
        <v>0.14000000000000001</v>
      </c>
      <c r="C19" s="5">
        <f>'Proximal Validation'!C19</f>
        <v>0.78539999999999999</v>
      </c>
      <c r="D19" s="5">
        <f>'Proximal Validation'!D19</f>
        <v>1.0539703866000001</v>
      </c>
      <c r="E19" s="5">
        <f>'Proximal Validation'!E19</f>
        <v>0.02</v>
      </c>
      <c r="F19" s="5">
        <f>'Proximal Validation'!F19</f>
        <v>3.1415999999999999</v>
      </c>
      <c r="G19" s="5">
        <f>'Proximal Validation'!G19</f>
        <v>2.7027230284999999</v>
      </c>
      <c r="H19" s="5">
        <f>'Proximal Validation'!H19</f>
        <v>1.6080541686000001</v>
      </c>
      <c r="I19" s="5">
        <f>'Proximal Validation'!I19</f>
        <v>1.7094513416999999</v>
      </c>
      <c r="J19" s="5">
        <f>'Proximal Validation'!J19</f>
        <v>2.5936241727322301E-3</v>
      </c>
      <c r="K19" s="5">
        <f>'Proximal Validation'!K19</f>
        <v>-4.9032121598720613E-2</v>
      </c>
      <c r="L19" s="5">
        <f>'Proximal Validation'!L19</f>
        <v>2.3136439621448505E-2</v>
      </c>
      <c r="M19" s="5">
        <f>'Proximal Validation'!M19</f>
        <v>-4.1746888309717199E-2</v>
      </c>
      <c r="N19" s="5">
        <f>'Proximal Validation'!N19</f>
        <v>-0.86065161228179898</v>
      </c>
      <c r="O19" s="5">
        <f>'Proximal Validation'!O19</f>
        <v>0.30409139394760099</v>
      </c>
      <c r="P19" s="5">
        <v>0.44506122747752586</v>
      </c>
      <c r="Q19" s="5">
        <v>0.13984875879395586</v>
      </c>
      <c r="R19" s="5">
        <v>0.77652086290823874</v>
      </c>
      <c r="S19" s="5">
        <v>1.059849239931798</v>
      </c>
      <c r="T19" s="5">
        <v>2.0655850423879851E-2</v>
      </c>
      <c r="U19" s="5">
        <v>3.1419240385236291</v>
      </c>
      <c r="V19" s="13">
        <v>3.3751454955376494E-11</v>
      </c>
      <c r="W19" s="5">
        <f t="shared" ref="W19:X38" si="4">P19-A19</f>
        <v>4.538255377525835E-3</v>
      </c>
      <c r="X19" s="5">
        <f t="shared" si="4"/>
        <v>-1.5124120604415037E-4</v>
      </c>
      <c r="Y19" s="5">
        <f t="shared" si="2"/>
        <v>8.8791370917612467E-3</v>
      </c>
      <c r="Z19" s="5">
        <f t="shared" ref="Z19:AA38" si="5">S19-D19</f>
        <v>5.8788533317979397E-3</v>
      </c>
      <c r="AA19" s="5">
        <f t="shared" si="5"/>
        <v>6.5585042387985085E-4</v>
      </c>
      <c r="AB19" s="5">
        <f t="shared" si="3"/>
        <v>3.2403852362916652E-4</v>
      </c>
      <c r="AC19" s="8">
        <f t="shared" ref="AC19:AE38" si="6">AVERAGE(ABS(W19),ABS(Z19))</f>
        <v>5.2085543546618873E-3</v>
      </c>
      <c r="AD19" s="8">
        <f t="shared" si="6"/>
        <v>4.0354581496200061E-4</v>
      </c>
      <c r="AE19" s="8">
        <f t="shared" si="6"/>
        <v>4.6015878076952066E-3</v>
      </c>
    </row>
    <row r="20" spans="1:31" x14ac:dyDescent="0.25">
      <c r="A20" s="5">
        <f>'Proximal Validation'!A20</f>
        <v>1.4424756030000001</v>
      </c>
      <c r="B20" s="5">
        <f>'Proximal Validation'!B20</f>
        <v>0.16</v>
      </c>
      <c r="C20" s="5">
        <f>'Proximal Validation'!C20</f>
        <v>0.78539999999999999</v>
      </c>
      <c r="D20" s="5">
        <f>'Proximal Validation'!D20</f>
        <v>1.1597422298</v>
      </c>
      <c r="E20" s="5">
        <f>'Proximal Validation'!E20</f>
        <v>0.04</v>
      </c>
      <c r="F20" s="5">
        <f>'Proximal Validation'!F20</f>
        <v>2.3561999999999999</v>
      </c>
      <c r="G20" s="5">
        <f>'Proximal Validation'!G20</f>
        <v>4.8092587324</v>
      </c>
      <c r="H20" s="5">
        <f>'Proximal Validation'!H20</f>
        <v>0.4784433911</v>
      </c>
      <c r="I20" s="5">
        <f>'Proximal Validation'!I20</f>
        <v>4.3446054411999997</v>
      </c>
      <c r="J20" s="5">
        <f>'Proximal Validation'!J20</f>
        <v>3.0066542327404001E-2</v>
      </c>
      <c r="K20" s="5">
        <f>'Proximal Validation'!K20</f>
        <v>-0.1960352241992957</v>
      </c>
      <c r="L20" s="5">
        <f>'Proximal Validation'!L20</f>
        <v>0.12927154690027265</v>
      </c>
      <c r="M20" s="5">
        <f>'Proximal Validation'!M20</f>
        <v>-0.77978467941284202</v>
      </c>
      <c r="N20" s="5">
        <f>'Proximal Validation'!N20</f>
        <v>-0.16298925876617401</v>
      </c>
      <c r="O20" s="5">
        <f>'Proximal Validation'!O20</f>
        <v>1.66381180286407</v>
      </c>
      <c r="P20" s="5">
        <v>1.3563869390881063</v>
      </c>
      <c r="Q20" s="5">
        <v>0.16749294196969408</v>
      </c>
      <c r="R20" s="5">
        <v>0.62426868988598394</v>
      </c>
      <c r="S20" s="5">
        <v>1.3623977454005813</v>
      </c>
      <c r="T20" s="5">
        <v>5.9655129440704696E-2</v>
      </c>
      <c r="U20" s="5">
        <v>2.2628992375556267</v>
      </c>
      <c r="V20" s="13">
        <v>1.4280769489316674E-9</v>
      </c>
      <c r="W20" s="5">
        <f t="shared" si="4"/>
        <v>-8.6088663911893848E-2</v>
      </c>
      <c r="X20" s="5">
        <f t="shared" si="4"/>
        <v>7.492941969694078E-3</v>
      </c>
      <c r="Y20" s="5">
        <f t="shared" si="2"/>
        <v>0.16113131011401605</v>
      </c>
      <c r="Z20" s="5">
        <f t="shared" si="5"/>
        <v>0.20265551560058137</v>
      </c>
      <c r="AA20" s="5">
        <f t="shared" si="5"/>
        <v>1.9655129440704695E-2</v>
      </c>
      <c r="AB20" s="5">
        <f t="shared" si="3"/>
        <v>9.3300762444373131E-2</v>
      </c>
      <c r="AC20" s="8">
        <f t="shared" si="6"/>
        <v>0.14437208975623761</v>
      </c>
      <c r="AD20" s="8">
        <f t="shared" si="6"/>
        <v>1.3574035705199387E-2</v>
      </c>
      <c r="AE20" s="8">
        <f t="shared" si="6"/>
        <v>0.12721603627919459</v>
      </c>
    </row>
    <row r="21" spans="1:31" x14ac:dyDescent="0.25">
      <c r="A21" s="5">
        <f>'Proximal Validation'!A21</f>
        <v>1.3085202701</v>
      </c>
      <c r="B21" s="5">
        <f>'Proximal Validation'!B21</f>
        <v>0.14000000000000001</v>
      </c>
      <c r="C21" s="5">
        <f>'Proximal Validation'!C21</f>
        <v>3.927</v>
      </c>
      <c r="D21" s="5">
        <f>'Proximal Validation'!D21</f>
        <v>1.4295469448</v>
      </c>
      <c r="E21" s="5">
        <f>'Proximal Validation'!E21</f>
        <v>0.02</v>
      </c>
      <c r="F21" s="5">
        <f>'Proximal Validation'!F21</f>
        <v>0</v>
      </c>
      <c r="G21" s="5">
        <f>'Proximal Validation'!G21</f>
        <v>4.5210753759999998</v>
      </c>
      <c r="H21" s="5">
        <f>'Proximal Validation'!H21</f>
        <v>3.0172330613999998</v>
      </c>
      <c r="I21" s="5">
        <f>'Proximal Validation'!I21</f>
        <v>0.83361274470000002</v>
      </c>
      <c r="J21" s="5">
        <f>'Proximal Validation'!J21</f>
        <v>1.3228893512859899E-3</v>
      </c>
      <c r="K21" s="5">
        <f>'Proximal Validation'!K21</f>
        <v>0.1496044099330899</v>
      </c>
      <c r="L21" s="5">
        <f>'Proximal Validation'!L21</f>
        <v>-7.6152354888617976E-2</v>
      </c>
      <c r="M21" s="5">
        <f>'Proximal Validation'!M21</f>
        <v>-0.279466062784195</v>
      </c>
      <c r="N21" s="5">
        <f>'Proximal Validation'!N21</f>
        <v>0.80540740489959695</v>
      </c>
      <c r="O21" s="5">
        <f>'Proximal Validation'!O21</f>
        <v>-0.92264562845230103</v>
      </c>
      <c r="P21" s="5">
        <v>1.2636328528457101</v>
      </c>
      <c r="Q21" s="5">
        <v>0.14419282527301322</v>
      </c>
      <c r="R21" s="5">
        <v>3.9265117874009756</v>
      </c>
      <c r="S21" s="5">
        <v>1.3970165352197172</v>
      </c>
      <c r="T21" s="5">
        <v>2.003238999001869E-2</v>
      </c>
      <c r="U21" s="5">
        <v>6.2595359420800785</v>
      </c>
      <c r="V21" s="13">
        <v>1.5231003650659456E-8</v>
      </c>
      <c r="W21" s="5">
        <f t="shared" si="4"/>
        <v>-4.4887417254289907E-2</v>
      </c>
      <c r="X21" s="5">
        <f t="shared" si="4"/>
        <v>4.1928252730132065E-3</v>
      </c>
      <c r="Y21" s="5">
        <f t="shared" si="2"/>
        <v>4.8821259902442904E-4</v>
      </c>
      <c r="Z21" s="5">
        <f t="shared" si="5"/>
        <v>-3.2530409580282749E-2</v>
      </c>
      <c r="AA21" s="5">
        <f t="shared" si="5"/>
        <v>3.238999001868928E-5</v>
      </c>
      <c r="AB21" s="5">
        <f t="shared" si="3"/>
        <v>2.3649365099507769E-2</v>
      </c>
      <c r="AC21" s="8">
        <f t="shared" si="6"/>
        <v>3.8708913417286328E-2</v>
      </c>
      <c r="AD21" s="8">
        <f t="shared" si="6"/>
        <v>2.1126076315159479E-3</v>
      </c>
      <c r="AE21" s="8">
        <f t="shared" si="6"/>
        <v>1.2068788849266099E-2</v>
      </c>
    </row>
    <row r="22" spans="1:31" x14ac:dyDescent="0.25">
      <c r="A22" s="5">
        <f>'Proximal Validation'!A22</f>
        <v>1.0278031490999999</v>
      </c>
      <c r="B22" s="5">
        <f>'Proximal Validation'!B22</f>
        <v>0.14000000000000001</v>
      </c>
      <c r="C22" s="5">
        <f>'Proximal Validation'!C22</f>
        <v>0</v>
      </c>
      <c r="D22" s="5">
        <f>'Proximal Validation'!D22</f>
        <v>0.3286386073</v>
      </c>
      <c r="E22" s="5">
        <f>'Proximal Validation'!E22</f>
        <v>0.04</v>
      </c>
      <c r="F22" s="5">
        <f>'Proximal Validation'!F22</f>
        <v>2.3561999999999999</v>
      </c>
      <c r="G22" s="5">
        <f>'Proximal Validation'!G22</f>
        <v>2.4776605121999999</v>
      </c>
      <c r="H22" s="5">
        <f>'Proximal Validation'!H22</f>
        <v>0.70416387319999996</v>
      </c>
      <c r="I22" s="5">
        <f>'Proximal Validation'!I22</f>
        <v>1.306033752</v>
      </c>
      <c r="J22" s="5">
        <f>'Proximal Validation'!J22</f>
        <v>-8.7352143600583098E-4</v>
      </c>
      <c r="K22" s="5">
        <f>'Proximal Validation'!K22</f>
        <v>-1.1852361112833051E-2</v>
      </c>
      <c r="L22" s="5">
        <f>'Proximal Validation'!L22</f>
        <v>0.13730413258075697</v>
      </c>
      <c r="M22" s="5">
        <f>'Proximal Validation'!M22</f>
        <v>-0.36319693922996499</v>
      </c>
      <c r="N22" s="5">
        <f>'Proximal Validation'!N22</f>
        <v>0.55491173267364502</v>
      </c>
      <c r="O22" s="5">
        <f>'Proximal Validation'!O22</f>
        <v>0.295467138290405</v>
      </c>
      <c r="P22" s="5">
        <v>0.65953695191828032</v>
      </c>
      <c r="Q22" s="5">
        <v>0.19999999421316367</v>
      </c>
      <c r="R22" s="5">
        <v>2.2260997675346164E-14</v>
      </c>
      <c r="S22" s="5">
        <v>0.30000000000002219</v>
      </c>
      <c r="T22" s="5">
        <v>3.8152339100831351E-2</v>
      </c>
      <c r="U22" s="5">
        <v>0.9828200349910704</v>
      </c>
      <c r="V22" s="13">
        <v>1.2430029556164736E-6</v>
      </c>
      <c r="W22" s="5">
        <f t="shared" si="4"/>
        <v>-0.3682661971817196</v>
      </c>
      <c r="X22" s="5">
        <f t="shared" si="4"/>
        <v>5.9999994213163654E-2</v>
      </c>
      <c r="Y22" s="5">
        <f t="shared" si="2"/>
        <v>2.2260997675346164E-14</v>
      </c>
      <c r="Z22" s="5">
        <f t="shared" si="5"/>
        <v>-2.8638607299977803E-2</v>
      </c>
      <c r="AA22" s="5">
        <f t="shared" si="5"/>
        <v>-1.8476608991686502E-3</v>
      </c>
      <c r="AB22" s="5">
        <f t="shared" si="3"/>
        <v>1.3733799650089296</v>
      </c>
      <c r="AC22" s="8">
        <f t="shared" si="6"/>
        <v>0.1984524022408487</v>
      </c>
      <c r="AD22" s="8">
        <f t="shared" si="6"/>
        <v>3.0923827556166152E-2</v>
      </c>
      <c r="AE22" s="8">
        <f t="shared" si="6"/>
        <v>0.68668998250447588</v>
      </c>
    </row>
    <row r="23" spans="1:31" x14ac:dyDescent="0.25">
      <c r="A23" s="5">
        <f>'Proximal Validation'!A23</f>
        <v>0.8908774062</v>
      </c>
      <c r="B23" s="5">
        <f>'Proximal Validation'!B23</f>
        <v>0.18</v>
      </c>
      <c r="C23" s="5">
        <f>'Proximal Validation'!C23</f>
        <v>3.1415999999999999</v>
      </c>
      <c r="D23" s="5">
        <f>'Proximal Validation'!D23</f>
        <v>0.88440675189999995</v>
      </c>
      <c r="E23" s="5">
        <f>'Proximal Validation'!E23</f>
        <v>0.08</v>
      </c>
      <c r="F23" s="5">
        <f>'Proximal Validation'!F23</f>
        <v>3.927</v>
      </c>
      <c r="G23" s="5">
        <f>'Proximal Validation'!G23</f>
        <v>0.48462861940000002</v>
      </c>
      <c r="H23" s="5">
        <f>'Proximal Validation'!H23</f>
        <v>1.6897568487000001</v>
      </c>
      <c r="I23" s="5">
        <f>'Proximal Validation'!I23</f>
        <v>3.1701200912999998</v>
      </c>
      <c r="J23" s="5">
        <f>'Proximal Validation'!J23</f>
        <v>-1.1769948527216899E-2</v>
      </c>
      <c r="K23" s="5">
        <f>'Proximal Validation'!K23</f>
        <v>4.8388502895832027E-2</v>
      </c>
      <c r="L23" s="5">
        <f>'Proximal Validation'!L23</f>
        <v>-0.20316620111465439</v>
      </c>
      <c r="M23" s="5">
        <f>'Proximal Validation'!M23</f>
        <v>-0.68180733919143699</v>
      </c>
      <c r="N23" s="5">
        <f>'Proximal Validation'!N23</f>
        <v>-1.2353100776672401</v>
      </c>
      <c r="O23" s="5">
        <f>'Proximal Validation'!O23</f>
        <v>-0.53501510620117199</v>
      </c>
      <c r="P23" s="5">
        <v>0.95815404049938413</v>
      </c>
      <c r="Q23" s="5">
        <v>0.17644598454348664</v>
      </c>
      <c r="R23" s="5">
        <v>3.1827212803893752</v>
      </c>
      <c r="S23" s="5">
        <v>0.81182765073001684</v>
      </c>
      <c r="T23" s="5">
        <v>7.3793748681337729E-2</v>
      </c>
      <c r="U23" s="5">
        <v>3.9489285545313999</v>
      </c>
      <c r="V23" s="13">
        <v>1.0248510752075026E-9</v>
      </c>
      <c r="W23" s="5">
        <f t="shared" si="4"/>
        <v>6.727663429938413E-2</v>
      </c>
      <c r="X23" s="5">
        <f t="shared" si="4"/>
        <v>-3.5540154565133486E-3</v>
      </c>
      <c r="Y23" s="5">
        <f t="shared" si="2"/>
        <v>4.1121280389375237E-2</v>
      </c>
      <c r="Z23" s="5">
        <f t="shared" si="5"/>
        <v>-7.2579101169983118E-2</v>
      </c>
      <c r="AA23" s="5">
        <f t="shared" si="5"/>
        <v>-6.2062513186622731E-3</v>
      </c>
      <c r="AB23" s="5">
        <f t="shared" si="3"/>
        <v>2.1928554531399858E-2</v>
      </c>
      <c r="AC23" s="8">
        <f t="shared" si="6"/>
        <v>6.9927867734683624E-2</v>
      </c>
      <c r="AD23" s="8">
        <f t="shared" si="6"/>
        <v>4.8801333875878108E-3</v>
      </c>
      <c r="AE23" s="8">
        <f t="shared" si="6"/>
        <v>3.1524917460387547E-2</v>
      </c>
    </row>
    <row r="24" spans="1:31" x14ac:dyDescent="0.25">
      <c r="A24" s="5">
        <f>'Proximal Validation'!A24</f>
        <v>1.2597568109999999</v>
      </c>
      <c r="B24" s="5">
        <f>'Proximal Validation'!B24</f>
        <v>0.16</v>
      </c>
      <c r="C24" s="5">
        <f>'Proximal Validation'!C24</f>
        <v>0</v>
      </c>
      <c r="D24" s="5">
        <f>'Proximal Validation'!D24</f>
        <v>0.58841219170000003</v>
      </c>
      <c r="E24" s="5">
        <f>'Proximal Validation'!E24</f>
        <v>0.06</v>
      </c>
      <c r="F24" s="5">
        <f>'Proximal Validation'!F24</f>
        <v>5.4977999999999998</v>
      </c>
      <c r="G24" s="5">
        <f>'Proximal Validation'!G24</f>
        <v>3.9855186287</v>
      </c>
      <c r="H24" s="5">
        <f>'Proximal Validation'!H24</f>
        <v>1.0426876676000001</v>
      </c>
      <c r="I24" s="5">
        <f>'Proximal Validation'!I24</f>
        <v>0.31561411</v>
      </c>
      <c r="J24" s="5">
        <f>'Proximal Validation'!J24</f>
        <v>-8.1258090212941204E-3</v>
      </c>
      <c r="K24" s="5">
        <f>'Proximal Validation'!K24</f>
        <v>2.480585664510726E-2</v>
      </c>
      <c r="L24" s="5">
        <f>'Proximal Validation'!L24</f>
        <v>0.22677360892295889</v>
      </c>
      <c r="M24" s="5">
        <f>'Proximal Validation'!M24</f>
        <v>-0.91120928525924705</v>
      </c>
      <c r="N24" s="5">
        <f>'Proximal Validation'!N24</f>
        <v>1.2995035648345901</v>
      </c>
      <c r="O24" s="5">
        <f>'Proximal Validation'!O24</f>
        <v>-0.469389498233795</v>
      </c>
      <c r="P24" s="5">
        <v>1.1432200503386278</v>
      </c>
      <c r="Q24" s="5">
        <v>0.19999999999997781</v>
      </c>
      <c r="R24" s="5">
        <v>7.1194650833383095E-13</v>
      </c>
      <c r="S24" s="5">
        <v>0.64351998785206677</v>
      </c>
      <c r="T24" s="5">
        <v>2.0000000140851466E-2</v>
      </c>
      <c r="U24" s="5">
        <v>1.2544946933336567E-12</v>
      </c>
      <c r="V24" s="13">
        <v>8.5598785324063429E-4</v>
      </c>
      <c r="W24" s="5">
        <f t="shared" si="4"/>
        <v>-0.11653676066137209</v>
      </c>
      <c r="X24" s="5">
        <f t="shared" si="4"/>
        <v>3.9999999999977803E-2</v>
      </c>
      <c r="Y24" s="5">
        <f t="shared" si="2"/>
        <v>7.1194650833383095E-13</v>
      </c>
      <c r="Z24" s="5">
        <f t="shared" si="5"/>
        <v>5.5107796152066735E-2</v>
      </c>
      <c r="AA24" s="5">
        <f t="shared" si="5"/>
        <v>-3.9999999859148531E-2</v>
      </c>
      <c r="AB24" s="5">
        <f t="shared" si="3"/>
        <v>0.78538530718084054</v>
      </c>
      <c r="AC24" s="8">
        <f t="shared" si="6"/>
        <v>8.582227840671941E-2</v>
      </c>
      <c r="AD24" s="8">
        <f t="shared" si="6"/>
        <v>3.9999999929563171E-2</v>
      </c>
      <c r="AE24" s="8">
        <f t="shared" si="6"/>
        <v>0.39269265359077626</v>
      </c>
    </row>
    <row r="25" spans="1:31" x14ac:dyDescent="0.25">
      <c r="A25" s="5">
        <f>'Proximal Validation'!A25</f>
        <v>0.65858340790000003</v>
      </c>
      <c r="B25" s="5">
        <f>'Proximal Validation'!B25</f>
        <v>0.18</v>
      </c>
      <c r="C25" s="5">
        <f>'Proximal Validation'!C25</f>
        <v>0</v>
      </c>
      <c r="D25" s="5">
        <f>'Proximal Validation'!D25</f>
        <v>0.498698221</v>
      </c>
      <c r="E25" s="5">
        <f>'Proximal Validation'!E25</f>
        <v>0.08</v>
      </c>
      <c r="F25" s="5">
        <f>'Proximal Validation'!F25</f>
        <v>0.78539999999999999</v>
      </c>
      <c r="G25" s="5">
        <f>'Proximal Validation'!G25</f>
        <v>4.9301628920000002</v>
      </c>
      <c r="H25" s="5">
        <f>'Proximal Validation'!H25</f>
        <v>1.8520278541999999</v>
      </c>
      <c r="I25" s="5">
        <f>'Proximal Validation'!I25</f>
        <v>4.6646910371999999</v>
      </c>
      <c r="J25" s="5">
        <f>'Proximal Validation'!J25</f>
        <v>8.0546755343675596E-3</v>
      </c>
      <c r="K25" s="5">
        <f>'Proximal Validation'!K25</f>
        <v>-2.5356225371360813E-2</v>
      </c>
      <c r="L25" s="5">
        <f>'Proximal Validation'!L25</f>
        <v>0.14683502078056299</v>
      </c>
      <c r="M25" s="5">
        <f>'Proximal Validation'!M25</f>
        <v>-0.44749337434768699</v>
      </c>
      <c r="N25" s="5">
        <f>'Proximal Validation'!N25</f>
        <v>0.82281804084777799</v>
      </c>
      <c r="O25" s="5">
        <f>'Proximal Validation'!O25</f>
        <v>0.33567589521408098</v>
      </c>
      <c r="P25" s="5">
        <v>0.73798989510287183</v>
      </c>
      <c r="Q25" s="5">
        <v>0.17122043727490588</v>
      </c>
      <c r="R25" s="5">
        <v>2.9462821662438209E-2</v>
      </c>
      <c r="S25" s="5">
        <v>0.42930715181629919</v>
      </c>
      <c r="T25" s="5">
        <v>7.4298666481826217E-2</v>
      </c>
      <c r="U25" s="5">
        <v>0.88179386010333716</v>
      </c>
      <c r="V25" s="13">
        <v>2.3491216596898482E-11</v>
      </c>
      <c r="W25" s="5">
        <f t="shared" si="4"/>
        <v>7.9406487202871801E-2</v>
      </c>
      <c r="X25" s="5">
        <f t="shared" si="4"/>
        <v>-8.7795627250941144E-3</v>
      </c>
      <c r="Y25" s="5">
        <f t="shared" si="2"/>
        <v>2.9462821662438209E-2</v>
      </c>
      <c r="Z25" s="5">
        <f t="shared" si="5"/>
        <v>-6.9391069183700804E-2</v>
      </c>
      <c r="AA25" s="5">
        <f t="shared" si="5"/>
        <v>-5.7013335181737845E-3</v>
      </c>
      <c r="AB25" s="5">
        <f t="shared" si="3"/>
        <v>9.639386010333717E-2</v>
      </c>
      <c r="AC25" s="9">
        <f t="shared" si="6"/>
        <v>7.4398778193286302E-2</v>
      </c>
      <c r="AD25" s="9">
        <f t="shared" si="6"/>
        <v>7.2404481216339495E-3</v>
      </c>
      <c r="AE25" s="9">
        <f t="shared" si="6"/>
        <v>6.2928340882887693E-2</v>
      </c>
    </row>
    <row r="26" spans="1:31" x14ac:dyDescent="0.25">
      <c r="A26" s="5">
        <f>'Proximal Validation'!A26</f>
        <v>0.55032038400000005</v>
      </c>
      <c r="B26" s="5">
        <f>'Proximal Validation'!B26</f>
        <v>0.16</v>
      </c>
      <c r="C26" s="5">
        <f>'Proximal Validation'!C26</f>
        <v>3.1415999999999999</v>
      </c>
      <c r="D26" s="5">
        <f>'Proximal Validation'!D26</f>
        <v>1.4487418581</v>
      </c>
      <c r="E26" s="5">
        <f>'Proximal Validation'!E26</f>
        <v>0.08</v>
      </c>
      <c r="F26" s="5">
        <f>'Proximal Validation'!F26</f>
        <v>2.3561999999999999</v>
      </c>
      <c r="G26" s="5">
        <f>'Proximal Validation'!G26</f>
        <v>4.7175867132000002</v>
      </c>
      <c r="H26" s="5">
        <f>'Proximal Validation'!H26</f>
        <v>1.3012665307</v>
      </c>
      <c r="I26" s="5">
        <f>'Proximal Validation'!I26</f>
        <v>3.3668845907999998</v>
      </c>
      <c r="J26" s="5">
        <f>'Proximal Validation'!J26</f>
        <v>-1.2392895296216E-3</v>
      </c>
      <c r="K26" s="5">
        <f>'Proximal Validation'!K26</f>
        <v>-7.8764544129371977E-2</v>
      </c>
      <c r="L26" s="5">
        <f>'Proximal Validation'!L26</f>
        <v>-0.17832563519477909</v>
      </c>
      <c r="M26" s="5">
        <f>'Proximal Validation'!M26</f>
        <v>-0.389381974935532</v>
      </c>
      <c r="N26" s="5">
        <f>'Proximal Validation'!N26</f>
        <v>-1.47788345813751</v>
      </c>
      <c r="O26" s="5">
        <f>'Proximal Validation'!O26</f>
        <v>0.95994305610656705</v>
      </c>
      <c r="P26" s="5">
        <v>0.91466578705292312</v>
      </c>
      <c r="Q26" s="5">
        <v>0.13291338880097631</v>
      </c>
      <c r="R26" s="5">
        <v>3.0242525628474271</v>
      </c>
      <c r="S26" s="5">
        <v>1.1340244564197977</v>
      </c>
      <c r="T26" s="5">
        <v>7.4126519254651191E-2</v>
      </c>
      <c r="U26" s="5">
        <v>2.1979333712783644</v>
      </c>
      <c r="V26" s="13">
        <v>4.1700505696714373E-8</v>
      </c>
      <c r="W26" s="5">
        <f t="shared" si="4"/>
        <v>0.36434540305292307</v>
      </c>
      <c r="X26" s="5">
        <f t="shared" si="4"/>
        <v>-2.7086611199023697E-2</v>
      </c>
      <c r="Y26" s="5">
        <f t="shared" si="2"/>
        <v>0.1173474371525729</v>
      </c>
      <c r="Z26" s="5">
        <f t="shared" si="5"/>
        <v>-0.31471740168020235</v>
      </c>
      <c r="AA26" s="5">
        <f t="shared" si="5"/>
        <v>-5.8734807453488108E-3</v>
      </c>
      <c r="AB26" s="5">
        <f t="shared" si="3"/>
        <v>0.15826662872163544</v>
      </c>
      <c r="AC26" s="8">
        <f t="shared" si="6"/>
        <v>0.33953140236656271</v>
      </c>
      <c r="AD26" s="8">
        <f t="shared" si="6"/>
        <v>1.6480045972186254E-2</v>
      </c>
      <c r="AE26" s="8">
        <f t="shared" si="6"/>
        <v>0.13780703293710417</v>
      </c>
    </row>
    <row r="27" spans="1:31" x14ac:dyDescent="0.25">
      <c r="A27" s="5">
        <f>'Proximal Validation'!A27</f>
        <v>1.2531062278</v>
      </c>
      <c r="B27" s="5">
        <f>'Proximal Validation'!B27</f>
        <v>0.18</v>
      </c>
      <c r="C27" s="5">
        <f>'Proximal Validation'!C27</f>
        <v>5.4977999999999998</v>
      </c>
      <c r="D27" s="5">
        <f>'Proximal Validation'!D27</f>
        <v>0.4702401397</v>
      </c>
      <c r="E27" s="5">
        <f>'Proximal Validation'!E27</f>
        <v>0.1</v>
      </c>
      <c r="F27" s="5">
        <f>'Proximal Validation'!F27</f>
        <v>5.4977999999999998</v>
      </c>
      <c r="G27" s="5">
        <f>'Proximal Validation'!G27</f>
        <v>0.1483911762</v>
      </c>
      <c r="H27" s="5">
        <f>'Proximal Validation'!H27</f>
        <v>0.2167359935</v>
      </c>
      <c r="I27" s="5">
        <f>'Proximal Validation'!I27</f>
        <v>4.9349358513999997</v>
      </c>
      <c r="J27" s="5">
        <f>'Proximal Validation'!J27</f>
        <v>1.3011932373046899E-2</v>
      </c>
      <c r="K27" s="5">
        <f>'Proximal Validation'!K27</f>
        <v>0.17962860584259044</v>
      </c>
      <c r="L27" s="5">
        <f>'Proximal Validation'!L27</f>
        <v>0.17774561345577244</v>
      </c>
      <c r="M27" s="5">
        <f>'Proximal Validation'!M27</f>
        <v>-1.1463577747345</v>
      </c>
      <c r="N27" s="5">
        <f>'Proximal Validation'!N27</f>
        <v>0.72932124137878396</v>
      </c>
      <c r="O27" s="5">
        <f>'Proximal Validation'!O27</f>
        <v>-0.74414980411529497</v>
      </c>
      <c r="P27" s="5">
        <v>1.1334194285772536</v>
      </c>
      <c r="Q27" s="5">
        <v>0.15887176928687383</v>
      </c>
      <c r="R27" s="5">
        <v>6.2975836241820862E-2</v>
      </c>
      <c r="S27" s="5">
        <v>1.2783247609810706</v>
      </c>
      <c r="T27" s="5">
        <v>0.15878024350522518</v>
      </c>
      <c r="U27" s="5">
        <v>4.778231310400237</v>
      </c>
      <c r="V27" s="13">
        <v>1.1662111430726602E-6</v>
      </c>
      <c r="W27" s="5">
        <f t="shared" si="4"/>
        <v>-0.11968679922274639</v>
      </c>
      <c r="X27" s="5">
        <f t="shared" si="4"/>
        <v>-2.1128230713126167E-2</v>
      </c>
      <c r="Y27" s="5">
        <f t="shared" si="2"/>
        <v>0.84836114342140689</v>
      </c>
      <c r="Z27" s="5">
        <f t="shared" si="5"/>
        <v>0.80808462128107061</v>
      </c>
      <c r="AA27" s="5">
        <f t="shared" si="5"/>
        <v>5.8780243505225177E-2</v>
      </c>
      <c r="AB27" s="5">
        <f t="shared" si="3"/>
        <v>0.71956868959976283</v>
      </c>
      <c r="AC27" s="8">
        <f t="shared" si="6"/>
        <v>0.4638857102519085</v>
      </c>
      <c r="AD27" s="8">
        <f t="shared" si="6"/>
        <v>3.9954237109175672E-2</v>
      </c>
      <c r="AE27" s="8">
        <f t="shared" si="6"/>
        <v>0.78396491651058486</v>
      </c>
    </row>
    <row r="28" spans="1:31" x14ac:dyDescent="0.25">
      <c r="A28" s="5">
        <f>'Proximal Validation'!A28</f>
        <v>0.37674236639999997</v>
      </c>
      <c r="B28" s="5">
        <f>'Proximal Validation'!B28</f>
        <v>0.12</v>
      </c>
      <c r="C28" s="5">
        <f>'Proximal Validation'!C28</f>
        <v>5.4977999999999998</v>
      </c>
      <c r="D28" s="5">
        <f>'Proximal Validation'!D28</f>
        <v>0.55884916829999998</v>
      </c>
      <c r="E28" s="5">
        <f>'Proximal Validation'!E28</f>
        <v>0.04</v>
      </c>
      <c r="F28" s="5">
        <f>'Proximal Validation'!F28</f>
        <v>5.4977999999999998</v>
      </c>
      <c r="G28" s="5">
        <f>'Proximal Validation'!G28</f>
        <v>2.7463764360999998</v>
      </c>
      <c r="H28" s="5">
        <f>'Proximal Validation'!H28</f>
        <v>4.0783358151</v>
      </c>
      <c r="I28" s="5">
        <f>'Proximal Validation'!I28</f>
        <v>2.4827351898000001</v>
      </c>
      <c r="J28" s="5">
        <f>'Proximal Validation'!J28</f>
        <v>-4.1884777601808299E-4</v>
      </c>
      <c r="K28" s="5">
        <f>'Proximal Validation'!K28</f>
        <v>4.8614442646503477E-2</v>
      </c>
      <c r="L28" s="5">
        <f>'Proximal Validation'!L28</f>
        <v>4.8307788670063391E-2</v>
      </c>
      <c r="M28" s="5">
        <f>'Proximal Validation'!M28</f>
        <v>-9.7034186124801594E-2</v>
      </c>
      <c r="N28" s="5">
        <f>'Proximal Validation'!N28</f>
        <v>0.60689675807952903</v>
      </c>
      <c r="O28" s="5">
        <f>'Proximal Validation'!O28</f>
        <v>-0.63970345258712802</v>
      </c>
      <c r="P28" s="5">
        <v>0.80614611567303529</v>
      </c>
      <c r="Q28" s="5">
        <v>7.2634877519206151E-2</v>
      </c>
      <c r="R28" s="5">
        <v>4.9795014967409426</v>
      </c>
      <c r="S28" s="5">
        <v>0.46361203079359631</v>
      </c>
      <c r="T28" s="5">
        <v>7.2625735477059986E-2</v>
      </c>
      <c r="U28" s="5">
        <v>0.25308584308759674</v>
      </c>
      <c r="V28" s="13">
        <v>1.1806885789030645E-9</v>
      </c>
      <c r="W28" s="5">
        <f t="shared" si="4"/>
        <v>0.42940374927303532</v>
      </c>
      <c r="X28" s="5">
        <f t="shared" si="4"/>
        <v>-4.7365122480793845E-2</v>
      </c>
      <c r="Y28" s="5">
        <f t="shared" si="2"/>
        <v>0.51829850325905724</v>
      </c>
      <c r="Z28" s="5">
        <f t="shared" si="5"/>
        <v>-9.5237137506403668E-2</v>
      </c>
      <c r="AA28" s="5">
        <f t="shared" si="5"/>
        <v>3.2625735477059985E-2</v>
      </c>
      <c r="AB28" s="5">
        <f t="shared" si="3"/>
        <v>1.0384711502671831</v>
      </c>
      <c r="AC28" s="8">
        <f t="shared" si="6"/>
        <v>0.26232044338971949</v>
      </c>
      <c r="AD28" s="8">
        <f t="shared" si="6"/>
        <v>3.9995428978926911E-2</v>
      </c>
      <c r="AE28" s="8">
        <f t="shared" si="6"/>
        <v>0.77838482676312015</v>
      </c>
    </row>
    <row r="29" spans="1:31" x14ac:dyDescent="0.25">
      <c r="A29" s="5">
        <f>'Proximal Validation'!A29</f>
        <v>0.99744538530000004</v>
      </c>
      <c r="B29" s="5">
        <f>'Proximal Validation'!B29</f>
        <v>0.12</v>
      </c>
      <c r="C29" s="5">
        <f>'Proximal Validation'!C29</f>
        <v>2.3561999999999999</v>
      </c>
      <c r="D29" s="5">
        <f>'Proximal Validation'!D29</f>
        <v>0.63256510880000005</v>
      </c>
      <c r="E29" s="5">
        <f>'Proximal Validation'!E29</f>
        <v>0.04</v>
      </c>
      <c r="F29" s="5">
        <f>'Proximal Validation'!F29</f>
        <v>4.7123999999999997</v>
      </c>
      <c r="G29" s="5">
        <f>'Proximal Validation'!G29</f>
        <v>1.0163068775999999</v>
      </c>
      <c r="H29" s="5">
        <f>'Proximal Validation'!H29</f>
        <v>2.5468444695999999</v>
      </c>
      <c r="I29" s="5">
        <f>'Proximal Validation'!I29</f>
        <v>0.1214735909</v>
      </c>
      <c r="J29" s="5">
        <f>'Proximal Validation'!J29</f>
        <v>-1.1704247444868101E-3</v>
      </c>
      <c r="K29" s="5">
        <f>'Proximal Validation'!K29</f>
        <v>-5.3023360669612919E-2</v>
      </c>
      <c r="L29" s="5">
        <f>'Proximal Validation'!L29</f>
        <v>-9.6837731003761029E-2</v>
      </c>
      <c r="M29" s="5">
        <f>'Proximal Validation'!M29</f>
        <v>-0.23891685903072399</v>
      </c>
      <c r="N29" s="5">
        <f>'Proximal Validation'!N29</f>
        <v>-0.67229318618774403</v>
      </c>
      <c r="O29" s="5">
        <f>'Proximal Validation'!O29</f>
        <v>-6.1973929405212402E-2</v>
      </c>
      <c r="P29" s="5">
        <v>0.61338175931999994</v>
      </c>
      <c r="Q29" s="5">
        <v>0.17159146551712567</v>
      </c>
      <c r="R29" s="5">
        <v>2.3049565924405568</v>
      </c>
      <c r="S29" s="5">
        <v>0.48049084456348479</v>
      </c>
      <c r="T29" s="5">
        <v>4.8407591484345897E-2</v>
      </c>
      <c r="U29" s="5">
        <v>4.0362379272636097</v>
      </c>
      <c r="V29" s="13">
        <v>2.2051498685533166E-10</v>
      </c>
      <c r="W29" s="5">
        <f t="shared" si="4"/>
        <v>-0.3840636259800001</v>
      </c>
      <c r="X29" s="5">
        <f t="shared" si="4"/>
        <v>5.1591465517125679E-2</v>
      </c>
      <c r="Y29" s="5">
        <f t="shared" si="2"/>
        <v>5.1243407559443011E-2</v>
      </c>
      <c r="Z29" s="5">
        <f t="shared" si="5"/>
        <v>-0.15207426423651527</v>
      </c>
      <c r="AA29" s="5">
        <f t="shared" si="5"/>
        <v>8.4075914843458957E-3</v>
      </c>
      <c r="AB29" s="5">
        <f t="shared" si="3"/>
        <v>0.67616207273638995</v>
      </c>
      <c r="AC29" s="8">
        <f t="shared" si="6"/>
        <v>0.26806894510825768</v>
      </c>
      <c r="AD29" s="8">
        <f t="shared" si="6"/>
        <v>2.9999528500735787E-2</v>
      </c>
      <c r="AE29" s="8">
        <f t="shared" si="6"/>
        <v>0.36370274014791648</v>
      </c>
    </row>
    <row r="30" spans="1:31" x14ac:dyDescent="0.25">
      <c r="A30" s="5">
        <f>'Proximal Validation'!A30</f>
        <v>0.91958396450000002</v>
      </c>
      <c r="B30" s="5">
        <f>'Proximal Validation'!B30</f>
        <v>0.18</v>
      </c>
      <c r="C30" s="5">
        <f>'Proximal Validation'!C30</f>
        <v>0</v>
      </c>
      <c r="D30" s="5">
        <f>'Proximal Validation'!D30</f>
        <v>1.2327944816</v>
      </c>
      <c r="E30" s="5">
        <f>'Proximal Validation'!E30</f>
        <v>0.1</v>
      </c>
      <c r="F30" s="5">
        <f>'Proximal Validation'!F30</f>
        <v>4.7123999999999997</v>
      </c>
      <c r="G30" s="5">
        <f>'Proximal Validation'!G30</f>
        <v>3.7350994551999999</v>
      </c>
      <c r="H30" s="5">
        <f>'Proximal Validation'!H30</f>
        <v>0.10989542820000001</v>
      </c>
      <c r="I30" s="5">
        <f>'Proximal Validation'!I30</f>
        <v>4.0041016991999996</v>
      </c>
      <c r="J30" s="5">
        <f>'Proximal Validation'!J30</f>
        <v>5.2949553355574599E-3</v>
      </c>
      <c r="K30" s="5">
        <f>'Proximal Validation'!K30</f>
        <v>0.1002950870990762</v>
      </c>
      <c r="L30" s="5">
        <f>'Proximal Validation'!L30</f>
        <v>0.14873841881752001</v>
      </c>
      <c r="M30" s="5">
        <f>'Proximal Validation'!M30</f>
        <v>-0.66750568151473999</v>
      </c>
      <c r="N30" s="5">
        <f>'Proximal Validation'!N30</f>
        <v>0.47792124748230003</v>
      </c>
      <c r="O30" s="5">
        <f>'Proximal Validation'!O30</f>
        <v>-1.06160187721252</v>
      </c>
      <c r="P30" s="5">
        <v>0.96139438673793154</v>
      </c>
      <c r="Q30" s="5">
        <v>0.17623844738158403</v>
      </c>
      <c r="R30" s="5">
        <v>5.262595268933936E-2</v>
      </c>
      <c r="S30" s="5">
        <v>1.2835865588742357</v>
      </c>
      <c r="T30" s="5">
        <v>0.10342275015917328</v>
      </c>
      <c r="U30" s="5">
        <v>4.6799072975388096</v>
      </c>
      <c r="V30" s="13">
        <v>6.54836691783518E-9</v>
      </c>
      <c r="W30" s="5">
        <f t="shared" si="4"/>
        <v>4.1810422237931522E-2</v>
      </c>
      <c r="X30" s="5">
        <f t="shared" si="4"/>
        <v>-3.7615526184159587E-3</v>
      </c>
      <c r="Y30" s="5">
        <f t="shared" si="2"/>
        <v>5.262595268933936E-2</v>
      </c>
      <c r="Z30" s="5">
        <f t="shared" si="5"/>
        <v>5.0792077274235625E-2</v>
      </c>
      <c r="AA30" s="5">
        <f t="shared" si="5"/>
        <v>3.422750159173274E-3</v>
      </c>
      <c r="AB30" s="5">
        <f t="shared" si="3"/>
        <v>3.2492702461190071E-2</v>
      </c>
      <c r="AC30" s="8">
        <f t="shared" si="6"/>
        <v>4.6301249756083573E-2</v>
      </c>
      <c r="AD30" s="8">
        <f t="shared" si="6"/>
        <v>3.5921513887946163E-3</v>
      </c>
      <c r="AE30" s="8">
        <f t="shared" si="6"/>
        <v>4.2559327575264719E-2</v>
      </c>
    </row>
    <row r="31" spans="1:31" x14ac:dyDescent="0.25">
      <c r="A31" s="5">
        <f>'Proximal Validation'!A31</f>
        <v>0.76015027209999997</v>
      </c>
      <c r="B31" s="5">
        <f>'Proximal Validation'!B31</f>
        <v>0.18</v>
      </c>
      <c r="C31" s="5">
        <f>'Proximal Validation'!C31</f>
        <v>2.3561999999999999</v>
      </c>
      <c r="D31" s="5">
        <f>'Proximal Validation'!D31</f>
        <v>0.80034279419999999</v>
      </c>
      <c r="E31" s="5">
        <f>'Proximal Validation'!E31</f>
        <v>0.1</v>
      </c>
      <c r="F31" s="5">
        <f>'Proximal Validation'!F31</f>
        <v>0</v>
      </c>
      <c r="G31" s="5">
        <f>'Proximal Validation'!G31</f>
        <v>4.7396783878999997</v>
      </c>
      <c r="H31" s="5">
        <f>'Proximal Validation'!H31</f>
        <v>4.9071061610999998</v>
      </c>
      <c r="I31" s="5">
        <f>'Proximal Validation'!I31</f>
        <v>1.8713340661</v>
      </c>
      <c r="J31" s="5">
        <f>'Proximal Validation'!J31</f>
        <v>4.3246033601462798E-3</v>
      </c>
      <c r="K31" s="5">
        <f>'Proximal Validation'!K31</f>
        <v>-7.4664700627326969E-2</v>
      </c>
      <c r="L31" s="5">
        <f>'Proximal Validation'!L31</f>
        <v>-8.2634314894678568E-4</v>
      </c>
      <c r="M31" s="5">
        <f>'Proximal Validation'!M31</f>
        <v>-0.140251100063324</v>
      </c>
      <c r="N31" s="5">
        <f>'Proximal Validation'!N31</f>
        <v>0.45143038034439098</v>
      </c>
      <c r="O31" s="5">
        <f>'Proximal Validation'!O31</f>
        <v>0.313724786043167</v>
      </c>
      <c r="P31" s="5">
        <v>0.59118062089028045</v>
      </c>
      <c r="Q31" s="5">
        <v>0.19898988267772108</v>
      </c>
      <c r="R31" s="5">
        <v>2.263528902286231</v>
      </c>
      <c r="S31" s="5">
        <v>0.64609677046841563</v>
      </c>
      <c r="T31" s="5">
        <v>8.9569317735251189E-2</v>
      </c>
      <c r="U31" s="5">
        <v>0.13007554220064302</v>
      </c>
      <c r="V31" s="13">
        <v>8.808742207124957E-10</v>
      </c>
      <c r="W31" s="5">
        <f t="shared" si="4"/>
        <v>-0.16896965120971952</v>
      </c>
      <c r="X31" s="5">
        <f t="shared" si="4"/>
        <v>1.8989882677721087E-2</v>
      </c>
      <c r="Y31" s="5">
        <f t="shared" si="2"/>
        <v>9.2671097713768802E-2</v>
      </c>
      <c r="Z31" s="5">
        <f t="shared" si="5"/>
        <v>-0.15424602373158436</v>
      </c>
      <c r="AA31" s="5">
        <f t="shared" si="5"/>
        <v>-1.0430682264748817E-2</v>
      </c>
      <c r="AB31" s="5">
        <f t="shared" si="3"/>
        <v>0.13007554220064302</v>
      </c>
      <c r="AC31" s="8">
        <f t="shared" si="6"/>
        <v>0.16160783747065194</v>
      </c>
      <c r="AD31" s="8">
        <f t="shared" si="6"/>
        <v>1.4710282471234952E-2</v>
      </c>
      <c r="AE31" s="8">
        <f t="shared" si="6"/>
        <v>0.11137331995720591</v>
      </c>
    </row>
    <row r="32" spans="1:31" x14ac:dyDescent="0.25">
      <c r="A32" s="5">
        <f>'Proximal Validation'!A32</f>
        <v>0.9040684336</v>
      </c>
      <c r="B32" s="5">
        <f>'Proximal Validation'!B32</f>
        <v>0.1</v>
      </c>
      <c r="C32" s="5">
        <f>'Proximal Validation'!C32</f>
        <v>5.4977999999999998</v>
      </c>
      <c r="D32" s="5">
        <f>'Proximal Validation'!D32</f>
        <v>0.68590239919999996</v>
      </c>
      <c r="E32" s="5">
        <f>'Proximal Validation'!E32</f>
        <v>0.02</v>
      </c>
      <c r="F32" s="5">
        <f>'Proximal Validation'!F32</f>
        <v>4.7123999999999997</v>
      </c>
      <c r="G32" s="5">
        <f>'Proximal Validation'!G32</f>
        <v>3.1050919126999998</v>
      </c>
      <c r="H32" s="5">
        <f>'Proximal Validation'!H32</f>
        <v>4.9790166179000002</v>
      </c>
      <c r="I32" s="5">
        <f>'Proximal Validation'!I32</f>
        <v>4.7088396990000003</v>
      </c>
      <c r="J32" s="5">
        <f>'Proximal Validation'!J32</f>
        <v>1.8214078154414901E-3</v>
      </c>
      <c r="K32" s="5">
        <f>'Proximal Validation'!K32</f>
        <v>8.5241996645927215E-2</v>
      </c>
      <c r="L32" s="5">
        <f>'Proximal Validation'!L32</f>
        <v>6.4217582345009017E-2</v>
      </c>
      <c r="M32" s="5">
        <f>'Proximal Validation'!M32</f>
        <v>-0.18496520817279799</v>
      </c>
      <c r="N32" s="5">
        <f>'Proximal Validation'!N32</f>
        <v>0.541345775127411</v>
      </c>
      <c r="O32" s="5">
        <f>'Proximal Validation'!O32</f>
        <v>-1.33990967273712</v>
      </c>
      <c r="P32" s="5">
        <v>0.36798791338244463</v>
      </c>
      <c r="Q32" s="5">
        <v>0.12956650625295862</v>
      </c>
      <c r="R32" s="5">
        <v>7.8042638588751156E-2</v>
      </c>
      <c r="S32" s="5">
        <v>1.3779314692161053</v>
      </c>
      <c r="T32" s="5">
        <v>6.0008804940739617E-2</v>
      </c>
      <c r="U32" s="5">
        <v>4.9113303502771082</v>
      </c>
      <c r="V32" s="13">
        <v>2.2825824477771004E-7</v>
      </c>
      <c r="W32" s="5">
        <f t="shared" si="4"/>
        <v>-0.53608052021755537</v>
      </c>
      <c r="X32" s="5">
        <f t="shared" si="4"/>
        <v>2.9566506252958619E-2</v>
      </c>
      <c r="Y32" s="5">
        <f t="shared" si="2"/>
        <v>0.86342794576833803</v>
      </c>
      <c r="Z32" s="5">
        <f t="shared" si="5"/>
        <v>0.69202907001610536</v>
      </c>
      <c r="AA32" s="5">
        <f t="shared" si="5"/>
        <v>4.000880494073962E-2</v>
      </c>
      <c r="AB32" s="5">
        <f t="shared" si="3"/>
        <v>0.19893035027710848</v>
      </c>
      <c r="AC32" s="8">
        <f t="shared" si="6"/>
        <v>0.61405479511683037</v>
      </c>
      <c r="AD32" s="8">
        <f t="shared" si="6"/>
        <v>3.4787655596849119E-2</v>
      </c>
      <c r="AE32" s="8">
        <f t="shared" si="6"/>
        <v>0.53117914802272326</v>
      </c>
    </row>
    <row r="33" spans="1:31" x14ac:dyDescent="0.25">
      <c r="A33" s="5">
        <f>'Proximal Validation'!A33</f>
        <v>1.4109779404</v>
      </c>
      <c r="B33" s="5">
        <f>'Proximal Validation'!B33</f>
        <v>0.2</v>
      </c>
      <c r="C33" s="5">
        <f>'Proximal Validation'!C33</f>
        <v>3.1415999999999999</v>
      </c>
      <c r="D33" s="5">
        <f>'Proximal Validation'!D33</f>
        <v>1.3890525475</v>
      </c>
      <c r="E33" s="5">
        <f>'Proximal Validation'!E33</f>
        <v>0.12</v>
      </c>
      <c r="F33" s="5">
        <f>'Proximal Validation'!F33</f>
        <v>0</v>
      </c>
      <c r="G33" s="5">
        <f>'Proximal Validation'!G33</f>
        <v>0.24685834309999999</v>
      </c>
      <c r="H33" s="5">
        <f>'Proximal Validation'!H33</f>
        <v>4.5298125568999996</v>
      </c>
      <c r="I33" s="5">
        <f>'Proximal Validation'!I33</f>
        <v>2.6684535819000001</v>
      </c>
      <c r="J33" s="5">
        <f>'Proximal Validation'!J33</f>
        <v>-3.3102363813668498E-3</v>
      </c>
      <c r="K33" s="5">
        <f>'Proximal Validation'!K33</f>
        <v>-9.8247682675719691E-3</v>
      </c>
      <c r="L33" s="5">
        <f>'Proximal Validation'!L33</f>
        <v>-5.8335820399224844E-2</v>
      </c>
      <c r="M33" s="5">
        <f>'Proximal Validation'!M33</f>
        <v>-0.13851435482502</v>
      </c>
      <c r="N33" s="5">
        <f>'Proximal Validation'!N33</f>
        <v>0.50596565008163497</v>
      </c>
      <c r="O33" s="5">
        <f>'Proximal Validation'!O33</f>
        <v>4.1465051472187001E-2</v>
      </c>
      <c r="P33" s="5">
        <v>0.72202453858179572</v>
      </c>
      <c r="Q33" s="5">
        <v>0.19998678003514175</v>
      </c>
      <c r="R33" s="5">
        <v>3.1409811606144724</v>
      </c>
      <c r="S33" s="5">
        <v>0.78430369023926516</v>
      </c>
      <c r="T33" s="5">
        <v>5.1389382108289687E-2</v>
      </c>
      <c r="U33" s="5">
        <v>1.5465049568139358E-3</v>
      </c>
      <c r="V33" s="13">
        <v>1.1635742029596557E-7</v>
      </c>
      <c r="W33" s="5">
        <f t="shared" si="4"/>
        <v>-0.6889534018182043</v>
      </c>
      <c r="X33" s="5">
        <f t="shared" si="4"/>
        <v>-1.3219964858257605E-5</v>
      </c>
      <c r="Y33" s="5">
        <f t="shared" si="2"/>
        <v>6.1883938552753648E-4</v>
      </c>
      <c r="Z33" s="5">
        <f t="shared" si="5"/>
        <v>-0.6047488572607348</v>
      </c>
      <c r="AA33" s="5">
        <f t="shared" si="5"/>
        <v>-6.8610617891710302E-2</v>
      </c>
      <c r="AB33" s="5">
        <f t="shared" si="3"/>
        <v>1.5465049568139358E-3</v>
      </c>
      <c r="AC33" s="8">
        <f t="shared" si="6"/>
        <v>0.64685112953946955</v>
      </c>
      <c r="AD33" s="8">
        <f t="shared" si="6"/>
        <v>3.431191892828428E-2</v>
      </c>
      <c r="AE33" s="8">
        <f t="shared" si="6"/>
        <v>1.0826721711707362E-3</v>
      </c>
    </row>
    <row r="34" spans="1:31" x14ac:dyDescent="0.25">
      <c r="A34" s="5">
        <f>'Proximal Validation'!A34</f>
        <v>1.4747736548999999</v>
      </c>
      <c r="B34" s="5">
        <f>'Proximal Validation'!B34</f>
        <v>0.2</v>
      </c>
      <c r="C34" s="5">
        <f>'Proximal Validation'!C34</f>
        <v>0</v>
      </c>
      <c r="D34" s="5">
        <f>'Proximal Validation'!D34</f>
        <v>1.4750904852</v>
      </c>
      <c r="E34" s="5">
        <f>'Proximal Validation'!E34</f>
        <v>0.12</v>
      </c>
      <c r="F34" s="5">
        <f>'Proximal Validation'!F34</f>
        <v>3.1415999999999999</v>
      </c>
      <c r="G34" s="5">
        <f>'Proximal Validation'!G34</f>
        <v>2.1243312033000001</v>
      </c>
      <c r="H34" s="5">
        <f>'Proximal Validation'!H34</f>
        <v>0.98146476360000001</v>
      </c>
      <c r="I34" s="5">
        <f>'Proximal Validation'!I34</f>
        <v>2.2301814902000001</v>
      </c>
      <c r="J34" s="5">
        <f>'Proximal Validation'!J34</f>
        <v>3.8138499949127401E-3</v>
      </c>
      <c r="K34" s="5">
        <f>'Proximal Validation'!K34</f>
        <v>-8.9558945968746684E-3</v>
      </c>
      <c r="L34" s="5">
        <f>'Proximal Validation'!L34</f>
        <v>6.6326448172330826E-2</v>
      </c>
      <c r="M34" s="5">
        <f>'Proximal Validation'!M34</f>
        <v>-3.0066302046179799E-2</v>
      </c>
      <c r="N34" s="5">
        <f>'Proximal Validation'!N34</f>
        <v>-0.46598353981971702</v>
      </c>
      <c r="O34" s="5">
        <f>'Proximal Validation'!O34</f>
        <v>2.87609733641148E-2</v>
      </c>
      <c r="P34" s="5">
        <v>1.005323010285387</v>
      </c>
      <c r="Q34" s="5">
        <v>0.19895094797717042</v>
      </c>
      <c r="R34" s="5">
        <v>1.8837638396734548E-3</v>
      </c>
      <c r="S34" s="5">
        <v>1.0387940530681139</v>
      </c>
      <c r="T34" s="5">
        <v>8.480122679377812E-2</v>
      </c>
      <c r="U34" s="5">
        <v>3.143454340082994</v>
      </c>
      <c r="V34" s="13">
        <v>1.7816703758691041E-7</v>
      </c>
      <c r="W34" s="5">
        <f t="shared" si="4"/>
        <v>-0.46945064461461294</v>
      </c>
      <c r="X34" s="5">
        <f t="shared" si="4"/>
        <v>-1.0490520228295941E-3</v>
      </c>
      <c r="Y34" s="5">
        <f t="shared" si="2"/>
        <v>1.8837638396734548E-3</v>
      </c>
      <c r="Z34" s="5">
        <f t="shared" si="5"/>
        <v>-0.43629643213188607</v>
      </c>
      <c r="AA34" s="5">
        <f t="shared" si="5"/>
        <v>-3.5198773206221876E-2</v>
      </c>
      <c r="AB34" s="5">
        <f t="shared" si="3"/>
        <v>1.8543400829940104E-3</v>
      </c>
      <c r="AC34" s="8">
        <f t="shared" si="6"/>
        <v>0.45287353837324951</v>
      </c>
      <c r="AD34" s="8">
        <f t="shared" si="6"/>
        <v>1.8123912614525735E-2</v>
      </c>
      <c r="AE34" s="8">
        <f t="shared" si="6"/>
        <v>1.8690519613337327E-3</v>
      </c>
    </row>
    <row r="35" spans="1:31" x14ac:dyDescent="0.25">
      <c r="A35" s="5">
        <f>'Proximal Validation'!A35</f>
        <v>1.1341222659000001</v>
      </c>
      <c r="B35" s="5">
        <f>'Proximal Validation'!B35</f>
        <v>0.12</v>
      </c>
      <c r="C35" s="5">
        <f>'Proximal Validation'!C35</f>
        <v>0.78539999999999999</v>
      </c>
      <c r="D35" s="5">
        <f>'Proximal Validation'!D35</f>
        <v>1.3710979794</v>
      </c>
      <c r="E35" s="5">
        <f>'Proximal Validation'!E35</f>
        <v>0.04</v>
      </c>
      <c r="F35" s="5">
        <f>'Proximal Validation'!F35</f>
        <v>1.5708</v>
      </c>
      <c r="G35" s="5">
        <f>'Proximal Validation'!G35</f>
        <v>3.8924485742999999</v>
      </c>
      <c r="H35" s="5">
        <f>'Proximal Validation'!H35</f>
        <v>4.3783496642999999</v>
      </c>
      <c r="I35" s="5">
        <f>'Proximal Validation'!I35</f>
        <v>1.6360280112000001</v>
      </c>
      <c r="J35" s="5">
        <f>'Proximal Validation'!J35</f>
        <v>-2.8819218277931203E-4</v>
      </c>
      <c r="K35" s="5">
        <f>'Proximal Validation'!K35</f>
        <v>-0.16862541913986212</v>
      </c>
      <c r="L35" s="5">
        <f>'Proximal Validation'!L35</f>
        <v>9.6877405047416862E-2</v>
      </c>
      <c r="M35" s="5">
        <f>'Proximal Validation'!M35</f>
        <v>-0.59649485349655196</v>
      </c>
      <c r="N35" s="5">
        <f>'Proximal Validation'!N35</f>
        <v>0.69457828998565696</v>
      </c>
      <c r="O35" s="5">
        <f>'Proximal Validation'!O35</f>
        <v>2.1627001762390101</v>
      </c>
      <c r="P35" s="5">
        <v>1.2592987513265119</v>
      </c>
      <c r="Q35" s="5">
        <v>0.1182711025787342</v>
      </c>
      <c r="R35" s="5">
        <v>0.86485540126915306</v>
      </c>
      <c r="S35" s="5">
        <v>1.2202403353170814</v>
      </c>
      <c r="T35" s="5">
        <v>3.1114986642528025E-2</v>
      </c>
      <c r="U35" s="5">
        <v>1.5806676717843737</v>
      </c>
      <c r="V35" s="13">
        <v>1.9487466747745462E-9</v>
      </c>
      <c r="W35" s="5">
        <f t="shared" si="4"/>
        <v>0.12517648542651183</v>
      </c>
      <c r="X35" s="5">
        <f t="shared" si="4"/>
        <v>-1.7288974212657932E-3</v>
      </c>
      <c r="Y35" s="5">
        <f t="shared" si="2"/>
        <v>7.945540126915307E-2</v>
      </c>
      <c r="Z35" s="5">
        <f t="shared" si="5"/>
        <v>-0.15085764408291857</v>
      </c>
      <c r="AA35" s="5">
        <f t="shared" si="5"/>
        <v>-8.8850133574719763E-3</v>
      </c>
      <c r="AB35" s="5">
        <f t="shared" si="3"/>
        <v>9.8676717843737549E-3</v>
      </c>
      <c r="AC35" s="8">
        <f t="shared" si="6"/>
        <v>0.1380170647547152</v>
      </c>
      <c r="AD35" s="8">
        <f t="shared" si="6"/>
        <v>5.3069553893688847E-3</v>
      </c>
      <c r="AE35" s="8">
        <f t="shared" si="6"/>
        <v>4.4661536526763412E-2</v>
      </c>
    </row>
    <row r="36" spans="1:31" x14ac:dyDescent="0.25">
      <c r="A36" s="5">
        <f>'Proximal Validation'!A36</f>
        <v>0.785852255</v>
      </c>
      <c r="B36" s="5">
        <f>'Proximal Validation'!B36</f>
        <v>0.1</v>
      </c>
      <c r="C36" s="5">
        <f>'Proximal Validation'!C36</f>
        <v>0.78539999999999999</v>
      </c>
      <c r="D36" s="5">
        <f>'Proximal Validation'!D36</f>
        <v>0.39355619479999998</v>
      </c>
      <c r="E36" s="5">
        <f>'Proximal Validation'!E36</f>
        <v>0.02</v>
      </c>
      <c r="F36" s="5">
        <f>'Proximal Validation'!F36</f>
        <v>5.4977999999999998</v>
      </c>
      <c r="G36" s="5">
        <f>'Proximal Validation'!G36</f>
        <v>4.5109081914000004</v>
      </c>
      <c r="H36" s="5">
        <f>'Proximal Validation'!H36</f>
        <v>2.9663132843</v>
      </c>
      <c r="I36" s="5">
        <f>'Proximal Validation'!I36</f>
        <v>3.8683553511</v>
      </c>
      <c r="J36" s="5">
        <f>'Proximal Validation'!J36</f>
        <v>4.0220627561211603E-3</v>
      </c>
      <c r="K36" s="5">
        <f>'Proximal Validation'!K36</f>
        <v>-4.8670811653137261E-2</v>
      </c>
      <c r="L36" s="5">
        <f>'Proximal Validation'!L36</f>
        <v>6.9585041999816882E-2</v>
      </c>
      <c r="M36" s="5">
        <f>'Proximal Validation'!M36</f>
        <v>-0.13810922205448201</v>
      </c>
      <c r="N36" s="5">
        <f>'Proximal Validation'!N36</f>
        <v>0.84371614456176802</v>
      </c>
      <c r="O36" s="5">
        <f>'Proximal Validation'!O36</f>
        <v>0.228819519281387</v>
      </c>
      <c r="P36" s="5">
        <v>0.36882130031733029</v>
      </c>
      <c r="Q36" s="5">
        <v>0.17862211390556287</v>
      </c>
      <c r="R36" s="5">
        <v>0.86161711902947236</v>
      </c>
      <c r="S36" s="5">
        <v>0.59708835532578908</v>
      </c>
      <c r="T36" s="5">
        <v>3.1004761665781286E-2</v>
      </c>
      <c r="U36" s="5">
        <v>7.2475531540783526E-4</v>
      </c>
      <c r="V36" s="13">
        <v>5.8474465585855512E-7</v>
      </c>
      <c r="W36" s="5">
        <f t="shared" si="4"/>
        <v>-0.41703095468266971</v>
      </c>
      <c r="X36" s="5">
        <f t="shared" si="4"/>
        <v>7.8622113905562868E-2</v>
      </c>
      <c r="Y36" s="5">
        <f t="shared" si="2"/>
        <v>7.6217119029472369E-2</v>
      </c>
      <c r="Z36" s="5">
        <f t="shared" si="5"/>
        <v>0.2035321605257891</v>
      </c>
      <c r="AA36" s="5">
        <f t="shared" si="5"/>
        <v>1.1004761665781286E-2</v>
      </c>
      <c r="AB36" s="5">
        <f t="shared" si="3"/>
        <v>0.78611006249499393</v>
      </c>
      <c r="AC36" s="8">
        <f t="shared" si="6"/>
        <v>0.31028155760422937</v>
      </c>
      <c r="AD36" s="8">
        <f t="shared" si="6"/>
        <v>4.4813437785672081E-2</v>
      </c>
      <c r="AE36" s="8">
        <f t="shared" si="6"/>
        <v>0.43116359076223315</v>
      </c>
    </row>
    <row r="37" spans="1:31" x14ac:dyDescent="0.25">
      <c r="A37" s="5">
        <f>'Proximal Validation'!A37</f>
        <v>0.4787670047</v>
      </c>
      <c r="B37" s="5">
        <f>'Proximal Validation'!B37</f>
        <v>0.2</v>
      </c>
      <c r="C37" s="5">
        <f>'Proximal Validation'!C37</f>
        <v>4.7123999999999997</v>
      </c>
      <c r="D37" s="5">
        <f>'Proximal Validation'!D37</f>
        <v>0.35541469809999998</v>
      </c>
      <c r="E37" s="5">
        <f>'Proximal Validation'!E37</f>
        <v>0.14000000000000001</v>
      </c>
      <c r="F37" s="5">
        <f>'Proximal Validation'!F37</f>
        <v>3.1415999999999999</v>
      </c>
      <c r="G37" s="5">
        <f>'Proximal Validation'!G37</f>
        <v>4.9350065225000002</v>
      </c>
      <c r="H37" s="5">
        <f>'Proximal Validation'!H37</f>
        <v>4.6708884390999996</v>
      </c>
      <c r="I37" s="5">
        <f>'Proximal Validation'!I37</f>
        <v>0.64099500450000002</v>
      </c>
      <c r="J37" s="5">
        <f>'Proximal Validation'!J37</f>
        <v>4.0480811148881904E-3</v>
      </c>
      <c r="K37" s="5">
        <f>'Proximal Validation'!K37</f>
        <v>8.1926136910915243E-2</v>
      </c>
      <c r="L37" s="5">
        <f>'Proximal Validation'!L37</f>
        <v>-3.7596840262413014E-2</v>
      </c>
      <c r="M37" s="5">
        <f>'Proximal Validation'!M37</f>
        <v>-8.3123356103897095E-2</v>
      </c>
      <c r="N37" s="5">
        <f>'Proximal Validation'!N37</f>
        <v>-0.26290214061737099</v>
      </c>
      <c r="O37" s="5">
        <f>'Proximal Validation'!O37</f>
        <v>-0.36952835321426403</v>
      </c>
      <c r="P37" s="5">
        <v>0.68743381957024041</v>
      </c>
      <c r="Q37" s="5">
        <v>0.17582454267279193</v>
      </c>
      <c r="R37" s="5">
        <v>4.5760340697586859</v>
      </c>
      <c r="S37" s="5">
        <v>0.33187974413281124</v>
      </c>
      <c r="T37" s="5">
        <v>0.12704118280360432</v>
      </c>
      <c r="U37" s="5">
        <v>2.4848470889040155</v>
      </c>
      <c r="V37" s="13">
        <v>1.6146142182109089E-8</v>
      </c>
      <c r="W37" s="5">
        <f t="shared" si="4"/>
        <v>0.20866681487024041</v>
      </c>
      <c r="X37" s="5">
        <f t="shared" si="4"/>
        <v>-2.4175457327208077E-2</v>
      </c>
      <c r="Y37" s="5">
        <f t="shared" si="2"/>
        <v>0.13636593024131383</v>
      </c>
      <c r="Z37" s="5">
        <f t="shared" si="5"/>
        <v>-2.3534953967188743E-2</v>
      </c>
      <c r="AA37" s="5">
        <f t="shared" si="5"/>
        <v>-1.2958817196395689E-2</v>
      </c>
      <c r="AB37" s="5">
        <f t="shared" si="3"/>
        <v>0.65675291109598444</v>
      </c>
      <c r="AC37" s="8">
        <f t="shared" si="6"/>
        <v>0.11610088441871458</v>
      </c>
      <c r="AD37" s="8">
        <f t="shared" si="6"/>
        <v>1.8567137261801883E-2</v>
      </c>
      <c r="AE37" s="8">
        <f t="shared" si="6"/>
        <v>0.39655942066864913</v>
      </c>
    </row>
    <row r="38" spans="1:31" x14ac:dyDescent="0.25">
      <c r="A38" s="5">
        <f>'Proximal Validation'!A38</f>
        <v>1.2825258852999999</v>
      </c>
      <c r="B38" s="5">
        <f>'Proximal Validation'!B38</f>
        <v>0.14000000000000001</v>
      </c>
      <c r="C38" s="5">
        <f>'Proximal Validation'!C38</f>
        <v>2.3561999999999999</v>
      </c>
      <c r="D38" s="5">
        <f>'Proximal Validation'!D38</f>
        <v>1.1085226837</v>
      </c>
      <c r="E38" s="5">
        <f>'Proximal Validation'!E38</f>
        <v>0.08</v>
      </c>
      <c r="F38" s="5">
        <f>'Proximal Validation'!F38</f>
        <v>3.1415999999999999</v>
      </c>
      <c r="G38" s="5">
        <f>'Proximal Validation'!G38</f>
        <v>5.0541583899999999E-2</v>
      </c>
      <c r="H38" s="5">
        <f>'Proximal Validation'!H38</f>
        <v>4.9578693537999996</v>
      </c>
      <c r="I38" s="5">
        <f>'Proximal Validation'!I38</f>
        <v>3.9886280456000001</v>
      </c>
      <c r="J38" s="5">
        <f>'Proximal Validation'!J38</f>
        <v>-2.3071035742759701E-2</v>
      </c>
      <c r="K38" s="5">
        <f>'Proximal Validation'!K38</f>
        <v>-0.10596835374832156</v>
      </c>
      <c r="L38" s="5">
        <f>'Proximal Validation'!L38</f>
        <v>-0.22721113681793151</v>
      </c>
      <c r="M38" s="5">
        <f>'Proximal Validation'!M38</f>
        <v>-1.1593600511550901</v>
      </c>
      <c r="N38" s="5">
        <f>'Proximal Validation'!N38</f>
        <v>-1.6655416488647501</v>
      </c>
      <c r="O38" s="5">
        <f>'Proximal Validation'!O38</f>
        <v>0.71028804779052701</v>
      </c>
      <c r="P38" s="5">
        <v>1.1393758508264193</v>
      </c>
      <c r="Q38" s="5">
        <v>0.14253066435193842</v>
      </c>
      <c r="R38" s="5">
        <v>2.2789953304986996</v>
      </c>
      <c r="S38" s="5">
        <v>1.2731430392608953</v>
      </c>
      <c r="T38" s="5">
        <v>8.6097188387946305E-2</v>
      </c>
      <c r="U38" s="5">
        <v>3.1099744569309733</v>
      </c>
      <c r="V38" s="13">
        <v>1.7001542847987277E-9</v>
      </c>
      <c r="W38" s="5">
        <f t="shared" si="4"/>
        <v>-0.14315003447358055</v>
      </c>
      <c r="X38" s="5">
        <f t="shared" si="4"/>
        <v>2.5306643519384109E-3</v>
      </c>
      <c r="Y38" s="5">
        <f t="shared" si="2"/>
        <v>7.7204669501300227E-2</v>
      </c>
      <c r="Z38" s="5">
        <f t="shared" si="5"/>
        <v>0.16462035556089538</v>
      </c>
      <c r="AA38" s="5">
        <f t="shared" si="5"/>
        <v>6.0971883879463035E-3</v>
      </c>
      <c r="AB38" s="5">
        <f t="shared" si="3"/>
        <v>3.1625543069026651E-2</v>
      </c>
      <c r="AC38" s="8">
        <f t="shared" si="6"/>
        <v>0.15388519501723796</v>
      </c>
      <c r="AD38" s="8">
        <f t="shared" si="6"/>
        <v>4.3139263699423572E-3</v>
      </c>
      <c r="AE38" s="8">
        <f t="shared" si="6"/>
        <v>5.4415106285163439E-2</v>
      </c>
    </row>
    <row r="39" spans="1:31" x14ac:dyDescent="0.25">
      <c r="A39" s="5">
        <f>'Proximal Validation'!A39</f>
        <v>1.0319949839</v>
      </c>
      <c r="B39" s="5">
        <f>'Proximal Validation'!B39</f>
        <v>0.18</v>
      </c>
      <c r="C39" s="5">
        <f>'Proximal Validation'!C39</f>
        <v>3.927</v>
      </c>
      <c r="D39" s="5">
        <f>'Proximal Validation'!D39</f>
        <v>1.1733448184999999</v>
      </c>
      <c r="E39" s="5">
        <f>'Proximal Validation'!E39</f>
        <v>0.12</v>
      </c>
      <c r="F39" s="5">
        <f>'Proximal Validation'!F39</f>
        <v>0.78539999999999999</v>
      </c>
      <c r="G39" s="5">
        <f>'Proximal Validation'!G39</f>
        <v>4.3201662060999997</v>
      </c>
      <c r="H39" s="5">
        <f>'Proximal Validation'!H39</f>
        <v>3.8378352410000001</v>
      </c>
      <c r="I39" s="5">
        <f>'Proximal Validation'!I39</f>
        <v>4.8360302252</v>
      </c>
      <c r="J39" s="5">
        <f>'Proximal Validation'!J39</f>
        <v>2.0447487477213101E-3</v>
      </c>
      <c r="K39" s="5">
        <f>'Proximal Validation'!K39</f>
        <v>3.4675893932580408E-3</v>
      </c>
      <c r="L39" s="5">
        <f>'Proximal Validation'!L39</f>
        <v>-1.7182121560908849E-2</v>
      </c>
      <c r="M39" s="5">
        <f>'Proximal Validation'!M39</f>
        <v>-4.4312290847301497E-2</v>
      </c>
      <c r="N39" s="5">
        <f>'Proximal Validation'!N39</f>
        <v>0.20662721991538999</v>
      </c>
      <c r="O39" s="5">
        <f>'Proximal Validation'!O39</f>
        <v>0.34084922075271601</v>
      </c>
      <c r="P39" s="5">
        <v>0.4756864412361469</v>
      </c>
      <c r="Q39" s="5">
        <v>0.17840249430341487</v>
      </c>
      <c r="R39" s="5">
        <v>3.9252170338612187</v>
      </c>
      <c r="S39" s="5">
        <v>0.62440302637838241</v>
      </c>
      <c r="T39" s="5">
        <v>6.5461306406112557E-2</v>
      </c>
      <c r="U39" s="5">
        <v>0.78385273275078871</v>
      </c>
      <c r="V39" s="13">
        <v>2.441887368680439E-7</v>
      </c>
      <c r="W39" s="5">
        <f t="shared" ref="W39:X52" si="7">P39-A39</f>
        <v>-0.5563085426638531</v>
      </c>
      <c r="X39" s="5">
        <f t="shared" si="7"/>
        <v>-1.597505696585122E-3</v>
      </c>
      <c r="Y39" s="5">
        <f t="shared" si="2"/>
        <v>1.7829661387813722E-3</v>
      </c>
      <c r="Z39" s="5">
        <f t="shared" ref="Z39:AA52" si="8">S39-D39</f>
        <v>-0.54894179212161753</v>
      </c>
      <c r="AA39" s="5">
        <f t="shared" si="8"/>
        <v>-5.4538693593887438E-2</v>
      </c>
      <c r="AB39" s="5">
        <f t="shared" si="3"/>
        <v>1.5472672492112816E-3</v>
      </c>
      <c r="AC39" s="8">
        <f t="shared" ref="AC39:AE52" si="9">AVERAGE(ABS(W39),ABS(Z39))</f>
        <v>0.55262516739273537</v>
      </c>
      <c r="AD39" s="8">
        <f t="shared" si="9"/>
        <v>2.806809964523628E-2</v>
      </c>
      <c r="AE39" s="8">
        <f t="shared" si="9"/>
        <v>1.6651166939963269E-3</v>
      </c>
    </row>
    <row r="40" spans="1:31" x14ac:dyDescent="0.25">
      <c r="A40" s="5">
        <f>'Proximal Validation'!A40</f>
        <v>0.54659396309999997</v>
      </c>
      <c r="B40" s="5">
        <f>'Proximal Validation'!B40</f>
        <v>0.14000000000000001</v>
      </c>
      <c r="C40" s="5">
        <f>'Proximal Validation'!C40</f>
        <v>3.927</v>
      </c>
      <c r="D40" s="5">
        <f>'Proximal Validation'!D40</f>
        <v>0.37475583969999998</v>
      </c>
      <c r="E40" s="5">
        <f>'Proximal Validation'!E40</f>
        <v>0.08</v>
      </c>
      <c r="F40" s="5">
        <f>'Proximal Validation'!F40</f>
        <v>1.5708</v>
      </c>
      <c r="G40" s="5">
        <f>'Proximal Validation'!G40</f>
        <v>1.2326114607000001</v>
      </c>
      <c r="H40" s="5">
        <f>'Proximal Validation'!H40</f>
        <v>3.5091223980000001</v>
      </c>
      <c r="I40" s="5">
        <f>'Proximal Validation'!I40</f>
        <v>2.8278096824999999</v>
      </c>
      <c r="J40" s="5">
        <f>'Proximal Validation'!J40</f>
        <v>9.2119863256812096E-4</v>
      </c>
      <c r="K40" s="5">
        <f>'Proximal Validation'!K40</f>
        <v>1.6157464738935229E-2</v>
      </c>
      <c r="L40" s="5">
        <f>'Proximal Validation'!L40</f>
        <v>-5.0630841255187964E-2</v>
      </c>
      <c r="M40" s="5">
        <f>'Proximal Validation'!M40</f>
        <v>-5.8329094201326398E-2</v>
      </c>
      <c r="N40" s="5">
        <f>'Proximal Validation'!N40</f>
        <v>-0.317890405654907</v>
      </c>
      <c r="O40" s="5">
        <f>'Proximal Validation'!O40</f>
        <v>0.108785018324852</v>
      </c>
      <c r="P40" s="5">
        <v>0.45330657966020149</v>
      </c>
      <c r="Q40" s="5">
        <v>0.15076532052617606</v>
      </c>
      <c r="R40" s="5">
        <v>3.8858197446754543</v>
      </c>
      <c r="S40" s="5">
        <v>0.30000000034313989</v>
      </c>
      <c r="T40" s="5">
        <v>7.487857357412879E-2</v>
      </c>
      <c r="U40" s="5">
        <v>1.7492179151647191</v>
      </c>
      <c r="V40" s="13">
        <v>3.8526727290347343E-10</v>
      </c>
      <c r="W40" s="5">
        <f t="shared" si="7"/>
        <v>-9.3287383439798477E-2</v>
      </c>
      <c r="X40" s="5">
        <f t="shared" si="7"/>
        <v>1.0765320526176042E-2</v>
      </c>
      <c r="Y40" s="5">
        <f t="shared" si="2"/>
        <v>4.1180255324545723E-2</v>
      </c>
      <c r="Z40" s="5">
        <f t="shared" si="8"/>
        <v>-7.4755839356860088E-2</v>
      </c>
      <c r="AA40" s="5">
        <f t="shared" si="8"/>
        <v>-5.1214264258712117E-3</v>
      </c>
      <c r="AB40" s="5">
        <f t="shared" si="3"/>
        <v>0.17841791516471917</v>
      </c>
      <c r="AC40" s="8">
        <f t="shared" si="9"/>
        <v>8.4021611398329282E-2</v>
      </c>
      <c r="AD40" s="8">
        <f t="shared" si="9"/>
        <v>7.9433734760236269E-3</v>
      </c>
      <c r="AE40" s="8">
        <f t="shared" si="9"/>
        <v>0.10979908524463244</v>
      </c>
    </row>
    <row r="41" spans="1:31" x14ac:dyDescent="0.25">
      <c r="A41" s="5">
        <f>'Proximal Validation'!A41</f>
        <v>0.62359206519999999</v>
      </c>
      <c r="B41" s="5">
        <f>'Proximal Validation'!B41</f>
        <v>0.08</v>
      </c>
      <c r="C41" s="5">
        <f>'Proximal Validation'!C41</f>
        <v>5.4977999999999998</v>
      </c>
      <c r="D41" s="5">
        <f>'Proximal Validation'!D41</f>
        <v>0.47877904049999997</v>
      </c>
      <c r="E41" s="5">
        <f>'Proximal Validation'!E41</f>
        <v>0.02</v>
      </c>
      <c r="F41" s="5">
        <f>'Proximal Validation'!F41</f>
        <v>3.927</v>
      </c>
      <c r="G41" s="5">
        <f>'Proximal Validation'!G41</f>
        <v>2.2205178402999999</v>
      </c>
      <c r="H41" s="5">
        <f>'Proximal Validation'!H41</f>
        <v>1.9827336431</v>
      </c>
      <c r="I41" s="5">
        <f>'Proximal Validation'!I41</f>
        <v>0.36676452050000002</v>
      </c>
      <c r="J41" s="5">
        <f>'Proximal Validation'!J41</f>
        <v>-1.47967482917011E-3</v>
      </c>
      <c r="K41" s="5">
        <f>'Proximal Validation'!K41</f>
        <v>4.5280347466468848E-2</v>
      </c>
      <c r="L41" s="5">
        <f>'Proximal Validation'!L41</f>
        <v>2.6666867956519166E-2</v>
      </c>
      <c r="M41" s="5">
        <f>'Proximal Validation'!M41</f>
        <v>-4.8165880143642398E-2</v>
      </c>
      <c r="N41" s="5">
        <f>'Proximal Validation'!N41</f>
        <v>-2.6211343705654099E-2</v>
      </c>
      <c r="O41" s="5">
        <f>'Proximal Validation'!O41</f>
        <v>-0.78379583358764604</v>
      </c>
      <c r="P41" s="5">
        <v>0.95487662266192475</v>
      </c>
      <c r="Q41" s="5">
        <v>5.9083857432970996E-2</v>
      </c>
      <c r="R41" s="5">
        <v>5.5081080027912543</v>
      </c>
      <c r="S41" s="5">
        <v>0.59049863751300535</v>
      </c>
      <c r="T41" s="5">
        <v>2.0840137672270241E-2</v>
      </c>
      <c r="U41" s="5">
        <v>3.3311163055633317</v>
      </c>
      <c r="V41" s="13">
        <v>2.3861150650006932E-8</v>
      </c>
      <c r="W41" s="5">
        <f t="shared" si="7"/>
        <v>0.33128455746192476</v>
      </c>
      <c r="X41" s="5">
        <f t="shared" si="7"/>
        <v>-2.0916142567029006E-2</v>
      </c>
      <c r="Y41" s="5">
        <f t="shared" si="2"/>
        <v>1.0308002791254545E-2</v>
      </c>
      <c r="Z41" s="5">
        <f t="shared" si="8"/>
        <v>0.11171959701300538</v>
      </c>
      <c r="AA41" s="5">
        <f t="shared" si="8"/>
        <v>8.4013767227024069E-4</v>
      </c>
      <c r="AB41" s="5">
        <f t="shared" si="3"/>
        <v>0.59588369443666833</v>
      </c>
      <c r="AC41" s="8">
        <f t="shared" si="9"/>
        <v>0.22150207723746507</v>
      </c>
      <c r="AD41" s="8">
        <f t="shared" si="9"/>
        <v>1.0878140119649623E-2</v>
      </c>
      <c r="AE41" s="8">
        <f t="shared" si="9"/>
        <v>0.30309584861396144</v>
      </c>
    </row>
    <row r="42" spans="1:31" x14ac:dyDescent="0.25">
      <c r="A42" s="5">
        <f>'Proximal Validation'!A42</f>
        <v>1.3484992293</v>
      </c>
      <c r="B42" s="5">
        <f>'Proximal Validation'!B42</f>
        <v>0.2</v>
      </c>
      <c r="C42" s="5">
        <f>'Proximal Validation'!C42</f>
        <v>0</v>
      </c>
      <c r="D42" s="5">
        <f>'Proximal Validation'!D42</f>
        <v>0.39122828500000001</v>
      </c>
      <c r="E42" s="5">
        <f>'Proximal Validation'!E42</f>
        <v>0.14000000000000001</v>
      </c>
      <c r="F42" s="5">
        <f>'Proximal Validation'!F42</f>
        <v>0.78539999999999999</v>
      </c>
      <c r="G42" s="5">
        <f>'Proximal Validation'!G42</f>
        <v>1.9402253723</v>
      </c>
      <c r="H42" s="5">
        <f>'Proximal Validation'!H42</f>
        <v>1.6478522000000001E-3</v>
      </c>
      <c r="I42" s="5">
        <f>'Proximal Validation'!I42</f>
        <v>3.2221664534999999</v>
      </c>
      <c r="J42" s="5">
        <f>'Proximal Validation'!J42</f>
        <v>2.92359739542007E-2</v>
      </c>
      <c r="K42" s="5">
        <f>'Proximal Validation'!K42</f>
        <v>-4.2003208994865412E-2</v>
      </c>
      <c r="L42" s="5">
        <f>'Proximal Validation'!L42</f>
        <v>0.28241620004177093</v>
      </c>
      <c r="M42" s="5">
        <f>'Proximal Validation'!M42</f>
        <v>-1.3672847747802701</v>
      </c>
      <c r="N42" s="5">
        <f>'Proximal Validation'!N42</f>
        <v>0.75280958414077803</v>
      </c>
      <c r="O42" s="5">
        <f>'Proximal Validation'!O42</f>
        <v>0.313927292823792</v>
      </c>
      <c r="P42" s="5">
        <v>1.3510748245706043</v>
      </c>
      <c r="Q42" s="5">
        <v>0.19985737431418657</v>
      </c>
      <c r="R42" s="5">
        <v>7.1537052253026743E-4</v>
      </c>
      <c r="S42" s="5">
        <v>0.38873000311791539</v>
      </c>
      <c r="T42" s="5">
        <v>0.13980002801239994</v>
      </c>
      <c r="U42" s="5">
        <v>0.78834017483656138</v>
      </c>
      <c r="V42" s="13">
        <v>5.97220736425761E-14</v>
      </c>
      <c r="W42" s="5">
        <f t="shared" si="7"/>
        <v>2.5755952706043583E-3</v>
      </c>
      <c r="X42" s="5">
        <f t="shared" si="7"/>
        <v>-1.4262568581344115E-4</v>
      </c>
      <c r="Y42" s="5">
        <f t="shared" si="2"/>
        <v>7.1537052253026743E-4</v>
      </c>
      <c r="Z42" s="5">
        <f t="shared" si="8"/>
        <v>-2.4982818820846187E-3</v>
      </c>
      <c r="AA42" s="5">
        <f t="shared" si="8"/>
        <v>-1.9997198760007828E-4</v>
      </c>
      <c r="AB42" s="5">
        <f t="shared" si="3"/>
        <v>2.9401748365613933E-3</v>
      </c>
      <c r="AC42" s="8">
        <f t="shared" si="9"/>
        <v>2.5369385763444885E-3</v>
      </c>
      <c r="AD42" s="8">
        <f t="shared" si="9"/>
        <v>1.7129883670675972E-4</v>
      </c>
      <c r="AE42" s="8">
        <f t="shared" si="9"/>
        <v>1.8277726795458303E-3</v>
      </c>
    </row>
    <row r="43" spans="1:31" x14ac:dyDescent="0.25">
      <c r="A43" s="5">
        <f>'Proximal Validation'!A43</f>
        <v>0.51681038229999998</v>
      </c>
      <c r="B43" s="5">
        <f>'Proximal Validation'!B43</f>
        <v>0.08</v>
      </c>
      <c r="C43" s="5">
        <f>'Proximal Validation'!C43</f>
        <v>0</v>
      </c>
      <c r="D43" s="5">
        <f>'Proximal Validation'!D43</f>
        <v>0.91461204240000005</v>
      </c>
      <c r="E43" s="5">
        <f>'Proximal Validation'!E43</f>
        <v>0.02</v>
      </c>
      <c r="F43" s="5">
        <f>'Proximal Validation'!F43</f>
        <v>3.927</v>
      </c>
      <c r="G43" s="5">
        <f>'Proximal Validation'!G43</f>
        <v>3.7945339589999998</v>
      </c>
      <c r="H43" s="5">
        <f>'Proximal Validation'!H43</f>
        <v>3.3481721828</v>
      </c>
      <c r="I43" s="5">
        <f>'Proximal Validation'!I43</f>
        <v>3.4429632493</v>
      </c>
      <c r="J43" s="5">
        <f>'Proximal Validation'!J43</f>
        <v>6.0794455930590597E-4</v>
      </c>
      <c r="K43" s="5">
        <f>'Proximal Validation'!K43</f>
        <v>1.5098237991333044E-2</v>
      </c>
      <c r="L43" s="5">
        <f>'Proximal Validation'!L43</f>
        <v>2.8885395154356931E-2</v>
      </c>
      <c r="M43" s="5">
        <f>'Proximal Validation'!M43</f>
        <v>-5.19313141703606E-2</v>
      </c>
      <c r="N43" s="5">
        <f>'Proximal Validation'!N43</f>
        <v>-0.227550074458122</v>
      </c>
      <c r="O43" s="5">
        <f>'Proximal Validation'!O43</f>
        <v>-0.74169278144836404</v>
      </c>
      <c r="P43" s="5">
        <v>0.3967455900041888</v>
      </c>
      <c r="Q43" s="5">
        <v>0.14118553236278591</v>
      </c>
      <c r="R43" s="5">
        <v>0.44921379482041879</v>
      </c>
      <c r="S43" s="5">
        <v>0.95161203173660514</v>
      </c>
      <c r="T43" s="5">
        <v>4.544320692826135E-2</v>
      </c>
      <c r="U43" s="5">
        <v>4.1766618319515061</v>
      </c>
      <c r="V43" s="13">
        <v>3.578837687874405E-9</v>
      </c>
      <c r="W43" s="5">
        <f t="shared" si="7"/>
        <v>-0.12006479229581118</v>
      </c>
      <c r="X43" s="5">
        <f t="shared" si="7"/>
        <v>6.1185532362785913E-2</v>
      </c>
      <c r="Y43" s="5">
        <f t="shared" si="2"/>
        <v>0.44921379482041879</v>
      </c>
      <c r="Z43" s="5">
        <f t="shared" si="8"/>
        <v>3.6999989336605088E-2</v>
      </c>
      <c r="AA43" s="5">
        <f t="shared" si="8"/>
        <v>2.5443206928261349E-2</v>
      </c>
      <c r="AB43" s="5">
        <f t="shared" si="3"/>
        <v>0.24966183195150604</v>
      </c>
      <c r="AC43" s="8">
        <f t="shared" si="9"/>
        <v>7.8532390816208136E-2</v>
      </c>
      <c r="AD43" s="8">
        <f t="shared" si="9"/>
        <v>4.3314369645523633E-2</v>
      </c>
      <c r="AE43" s="8">
        <f t="shared" si="9"/>
        <v>0.34943781338596241</v>
      </c>
    </row>
    <row r="44" spans="1:31" x14ac:dyDescent="0.25">
      <c r="A44" s="5">
        <f>'Proximal Validation'!A44</f>
        <v>0.68441694529999997</v>
      </c>
      <c r="B44" s="5">
        <f>'Proximal Validation'!B44</f>
        <v>0.16</v>
      </c>
      <c r="C44" s="5">
        <f>'Proximal Validation'!C44</f>
        <v>2.3561999999999999</v>
      </c>
      <c r="D44" s="5">
        <f>'Proximal Validation'!D44</f>
        <v>1.4072090791</v>
      </c>
      <c r="E44" s="5">
        <f>'Proximal Validation'!E44</f>
        <v>0.1</v>
      </c>
      <c r="F44" s="5">
        <f>'Proximal Validation'!F44</f>
        <v>0.78539999999999999</v>
      </c>
      <c r="G44" s="5">
        <f>'Proximal Validation'!G44</f>
        <v>1.6472032243000001</v>
      </c>
      <c r="H44" s="5">
        <f>'Proximal Validation'!H44</f>
        <v>5.9795420000000002E-2</v>
      </c>
      <c r="I44" s="5">
        <f>'Proximal Validation'!I44</f>
        <v>0.1036992028</v>
      </c>
      <c r="J44" s="5">
        <f>'Proximal Validation'!J44</f>
        <v>1.05409817770123E-2</v>
      </c>
      <c r="K44" s="5">
        <f>'Proximal Validation'!K44</f>
        <v>-0.15412576675415074</v>
      </c>
      <c r="L44" s="5">
        <f>'Proximal Validation'!L44</f>
        <v>2.3715965151786811E-2</v>
      </c>
      <c r="M44" s="5">
        <f>'Proximal Validation'!M44</f>
        <v>-0.46214094758033802</v>
      </c>
      <c r="N44" s="5">
        <f>'Proximal Validation'!N44</f>
        <v>0.52779358625411998</v>
      </c>
      <c r="O44" s="5">
        <f>'Proximal Validation'!O44</f>
        <v>1.1965517997741699</v>
      </c>
      <c r="P44" s="5">
        <v>0.82122710933504794</v>
      </c>
      <c r="Q44" s="5">
        <v>0.15872821793223796</v>
      </c>
      <c r="R44" s="5">
        <v>1.7931859186534413</v>
      </c>
      <c r="S44" s="5">
        <v>0.97128973931818863</v>
      </c>
      <c r="T44" s="5">
        <v>7.4070321388469335E-2</v>
      </c>
      <c r="U44" s="5">
        <v>0.77701809303729852</v>
      </c>
      <c r="V44" s="13">
        <v>1.8123867196373599E-8</v>
      </c>
      <c r="W44" s="5">
        <f t="shared" si="7"/>
        <v>0.13681016403504798</v>
      </c>
      <c r="X44" s="5">
        <f t="shared" si="7"/>
        <v>-1.2717820677620451E-3</v>
      </c>
      <c r="Y44" s="5">
        <f t="shared" si="2"/>
        <v>0.5630140813465585</v>
      </c>
      <c r="Z44" s="5">
        <f t="shared" si="8"/>
        <v>-0.43591933978181141</v>
      </c>
      <c r="AA44" s="5">
        <f t="shared" si="8"/>
        <v>-2.5929678611530671E-2</v>
      </c>
      <c r="AB44" s="5">
        <f t="shared" si="3"/>
        <v>8.3819069627014686E-3</v>
      </c>
      <c r="AC44" s="8">
        <f t="shared" si="9"/>
        <v>0.28636475190842969</v>
      </c>
      <c r="AD44" s="8">
        <f t="shared" si="9"/>
        <v>1.3600730339646358E-2</v>
      </c>
      <c r="AE44" s="8">
        <f t="shared" si="9"/>
        <v>0.28569799415462999</v>
      </c>
    </row>
    <row r="45" spans="1:31" x14ac:dyDescent="0.25">
      <c r="A45" s="5">
        <f>'Proximal Validation'!A45</f>
        <v>1.3991334753</v>
      </c>
      <c r="B45" s="5">
        <f>'Proximal Validation'!B45</f>
        <v>0.12</v>
      </c>
      <c r="C45" s="5">
        <f>'Proximal Validation'!C45</f>
        <v>5.4977999999999998</v>
      </c>
      <c r="D45" s="5">
        <f>'Proximal Validation'!D45</f>
        <v>0.96266422490000003</v>
      </c>
      <c r="E45" s="5">
        <f>'Proximal Validation'!E45</f>
        <v>0.06</v>
      </c>
      <c r="F45" s="5">
        <f>'Proximal Validation'!F45</f>
        <v>5.4977999999999998</v>
      </c>
      <c r="G45" s="5">
        <f>'Proximal Validation'!G45</f>
        <v>2.0231526378</v>
      </c>
      <c r="H45" s="5">
        <f>'Proximal Validation'!H45</f>
        <v>0.50988481399999996</v>
      </c>
      <c r="I45" s="5">
        <f>'Proximal Validation'!I45</f>
        <v>0.60427768879999999</v>
      </c>
      <c r="J45" s="5">
        <f>'Proximal Validation'!J45</f>
        <v>-3.9675664156675304E-3</v>
      </c>
      <c r="K45" s="5">
        <f>'Proximal Validation'!K45</f>
        <v>0.18592015862464931</v>
      </c>
      <c r="L45" s="5">
        <f>'Proximal Validation'!L45</f>
        <v>0.1597622621059421</v>
      </c>
      <c r="M45" s="5">
        <f>'Proximal Validation'!M45</f>
        <v>-0.87976008653640703</v>
      </c>
      <c r="N45" s="5">
        <f>'Proximal Validation'!N45</f>
        <v>1.1610733270645099</v>
      </c>
      <c r="O45" s="5">
        <f>'Proximal Validation'!O45</f>
        <v>-1.7950013875961299</v>
      </c>
      <c r="P45" s="5">
        <v>1.4999999999999771</v>
      </c>
      <c r="Q45" s="5">
        <v>0.10673009119733155</v>
      </c>
      <c r="R45" s="5">
        <v>4.816884181708847</v>
      </c>
      <c r="S45" s="5">
        <v>1.4999999998552118</v>
      </c>
      <c r="T45" s="5">
        <v>9.4497084703580453E-2</v>
      </c>
      <c r="U45" s="5">
        <v>2.2205126302493795E-14</v>
      </c>
      <c r="V45" s="13">
        <v>8.7263693295458621E-5</v>
      </c>
      <c r="W45" s="5">
        <f t="shared" si="7"/>
        <v>0.10086652469997714</v>
      </c>
      <c r="X45" s="5">
        <f t="shared" si="7"/>
        <v>-1.3269908802668443E-2</v>
      </c>
      <c r="Y45" s="5">
        <f t="shared" si="2"/>
        <v>0.68091581829115277</v>
      </c>
      <c r="Z45" s="5">
        <f t="shared" si="8"/>
        <v>0.53733577495521179</v>
      </c>
      <c r="AA45" s="5">
        <f t="shared" si="8"/>
        <v>3.4497084703580455E-2</v>
      </c>
      <c r="AB45" s="5">
        <f t="shared" si="3"/>
        <v>0.78538530717960864</v>
      </c>
      <c r="AC45" s="9">
        <f t="shared" si="9"/>
        <v>0.31910114982759447</v>
      </c>
      <c r="AD45" s="9">
        <f t="shared" si="9"/>
        <v>2.3883496753124449E-2</v>
      </c>
      <c r="AE45" s="9">
        <f t="shared" si="9"/>
        <v>0.73315056273538071</v>
      </c>
    </row>
    <row r="46" spans="1:31" x14ac:dyDescent="0.25">
      <c r="A46" s="5">
        <f>'Proximal Validation'!A46</f>
        <v>0.4668308846</v>
      </c>
      <c r="B46" s="5">
        <f>'Proximal Validation'!B46</f>
        <v>0.08</v>
      </c>
      <c r="C46" s="5">
        <f>'Proximal Validation'!C46</f>
        <v>3.1415999999999999</v>
      </c>
      <c r="D46" s="5">
        <f>'Proximal Validation'!D46</f>
        <v>1.1054712231999999</v>
      </c>
      <c r="E46" s="5">
        <f>'Proximal Validation'!E46</f>
        <v>0.04</v>
      </c>
      <c r="F46" s="5">
        <f>'Proximal Validation'!F46</f>
        <v>4.7123999999999997</v>
      </c>
      <c r="G46" s="5">
        <f>'Proximal Validation'!G46</f>
        <v>4.4838346888</v>
      </c>
      <c r="H46" s="5">
        <f>'Proximal Validation'!H46</f>
        <v>0.20145099390000001</v>
      </c>
      <c r="I46" s="5">
        <f>'Proximal Validation'!I46</f>
        <v>4.5041045776999997</v>
      </c>
      <c r="J46" s="5">
        <f>'Proximal Validation'!J46</f>
        <v>-3.2952348701655899E-3</v>
      </c>
      <c r="K46" s="5">
        <f>'Proximal Validation'!K46</f>
        <v>4.5224753618240493E-2</v>
      </c>
      <c r="L46" s="5">
        <f>'Proximal Validation'!L46</f>
        <v>-3.975314408540729E-2</v>
      </c>
      <c r="M46" s="5">
        <f>'Proximal Validation'!M46</f>
        <v>-6.3384123146533994E-2</v>
      </c>
      <c r="N46" s="5">
        <f>'Proximal Validation'!N46</f>
        <v>-0.49019342660903897</v>
      </c>
      <c r="O46" s="5">
        <f>'Proximal Validation'!O46</f>
        <v>-1.07537841796875</v>
      </c>
      <c r="P46" s="5">
        <v>0.65485449572364018</v>
      </c>
      <c r="Q46" s="5">
        <v>6.9143562065579284E-2</v>
      </c>
      <c r="R46" s="5">
        <v>3.5651105497056763</v>
      </c>
      <c r="S46" s="5">
        <v>0.84626073203632379</v>
      </c>
      <c r="T46" s="5">
        <v>3.0730892430996814E-2</v>
      </c>
      <c r="U46" s="5">
        <v>4.8671125125668233</v>
      </c>
      <c r="V46" s="13">
        <v>9.5482226820469501E-9</v>
      </c>
      <c r="W46" s="5">
        <f t="shared" si="7"/>
        <v>0.18802361112364019</v>
      </c>
      <c r="X46" s="5">
        <f t="shared" si="7"/>
        <v>-1.0856437934420718E-2</v>
      </c>
      <c r="Y46" s="5">
        <f t="shared" si="2"/>
        <v>0.42351054970567636</v>
      </c>
      <c r="Z46" s="5">
        <f t="shared" si="8"/>
        <v>-0.25921049116367612</v>
      </c>
      <c r="AA46" s="5">
        <f t="shared" si="8"/>
        <v>-9.269107569003187E-3</v>
      </c>
      <c r="AB46" s="5">
        <f t="shared" si="3"/>
        <v>0.15471251256682361</v>
      </c>
      <c r="AC46" s="8">
        <f t="shared" si="9"/>
        <v>0.22361705114365815</v>
      </c>
      <c r="AD46" s="8">
        <f t="shared" si="9"/>
        <v>1.0062772751711952E-2</v>
      </c>
      <c r="AE46" s="8">
        <f t="shared" si="9"/>
        <v>0.28911153113624999</v>
      </c>
    </row>
    <row r="47" spans="1:31" x14ac:dyDescent="0.25">
      <c r="A47" s="5">
        <f>'Proximal Validation'!A47</f>
        <v>1.4827422800000001</v>
      </c>
      <c r="B47" s="5">
        <f>'Proximal Validation'!B47</f>
        <v>0.08</v>
      </c>
      <c r="C47" s="5">
        <f>'Proximal Validation'!C47</f>
        <v>3.1415999999999999</v>
      </c>
      <c r="D47" s="5">
        <f>'Proximal Validation'!D47</f>
        <v>0.80651000630000003</v>
      </c>
      <c r="E47" s="5">
        <f>'Proximal Validation'!E47</f>
        <v>0.04</v>
      </c>
      <c r="F47" s="5">
        <f>'Proximal Validation'!F47</f>
        <v>4.7123999999999997</v>
      </c>
      <c r="G47" s="5">
        <f>'Proximal Validation'!G47</f>
        <v>4.1839238480000001</v>
      </c>
      <c r="H47" s="5">
        <f>'Proximal Validation'!H47</f>
        <v>4.1752821560999998</v>
      </c>
      <c r="I47" s="5">
        <f>'Proximal Validation'!I47</f>
        <v>0.4978333036</v>
      </c>
      <c r="J47" s="5">
        <f>'Proximal Validation'!J47</f>
        <v>5.8683929964899999E-3</v>
      </c>
      <c r="K47" s="5">
        <f>'Proximal Validation'!K47</f>
        <v>3.442031055688817E-2</v>
      </c>
      <c r="L47" s="5">
        <f>'Proximal Validation'!L47</f>
        <v>-0.12324651420116389</v>
      </c>
      <c r="M47" s="5">
        <f>'Proximal Validation'!M47</f>
        <v>-0.22302415966987599</v>
      </c>
      <c r="N47" s="5">
        <f>'Proximal Validation'!N47</f>
        <v>-1.34484195709229</v>
      </c>
      <c r="O47" s="5">
        <f>'Proximal Validation'!O47</f>
        <v>-0.84396576881408703</v>
      </c>
      <c r="P47" s="5">
        <v>1.0179963713741078</v>
      </c>
      <c r="Q47" s="5">
        <v>9.2667475059900958E-2</v>
      </c>
      <c r="R47" s="5">
        <v>2.7919895244155954</v>
      </c>
      <c r="S47" s="5">
        <v>1.2676694231417627</v>
      </c>
      <c r="T47" s="5">
        <v>5.5570442568460054E-2</v>
      </c>
      <c r="U47" s="5">
        <v>4.282762806937658</v>
      </c>
      <c r="V47" s="13">
        <v>6.701889926434239E-8</v>
      </c>
      <c r="W47" s="5">
        <f t="shared" si="7"/>
        <v>-0.46474590862589227</v>
      </c>
      <c r="X47" s="5">
        <f t="shared" si="7"/>
        <v>1.2667475059900957E-2</v>
      </c>
      <c r="Y47" s="5">
        <f t="shared" si="2"/>
        <v>0.3496104755844045</v>
      </c>
      <c r="Z47" s="5">
        <f t="shared" si="8"/>
        <v>0.46115941684176265</v>
      </c>
      <c r="AA47" s="5">
        <f t="shared" si="8"/>
        <v>1.5570442568460054E-2</v>
      </c>
      <c r="AB47" s="5">
        <f t="shared" si="3"/>
        <v>0.42963719306234172</v>
      </c>
      <c r="AC47" s="8">
        <f t="shared" si="9"/>
        <v>0.46295266273382746</v>
      </c>
      <c r="AD47" s="8">
        <f t="shared" si="9"/>
        <v>1.4118958814180505E-2</v>
      </c>
      <c r="AE47" s="8">
        <f t="shared" si="9"/>
        <v>0.38962383432337311</v>
      </c>
    </row>
    <row r="48" spans="1:31" x14ac:dyDescent="0.25">
      <c r="A48" s="5">
        <f>'Proximal Validation'!A48</f>
        <v>1.4313963908</v>
      </c>
      <c r="B48" s="5">
        <f>'Proximal Validation'!B48</f>
        <v>0.2</v>
      </c>
      <c r="C48" s="5">
        <f>'Proximal Validation'!C48</f>
        <v>5.4977999999999998</v>
      </c>
      <c r="D48" s="5">
        <f>'Proximal Validation'!D48</f>
        <v>0.66088478610000001</v>
      </c>
      <c r="E48" s="5">
        <f>'Proximal Validation'!E48</f>
        <v>0.16</v>
      </c>
      <c r="F48" s="5">
        <f>'Proximal Validation'!F48</f>
        <v>5.4977999999999998</v>
      </c>
      <c r="G48" s="5">
        <f>'Proximal Validation'!G48</f>
        <v>4.6493399877000003</v>
      </c>
      <c r="H48" s="5">
        <f>'Proximal Validation'!H48</f>
        <v>1.9654430356000001</v>
      </c>
      <c r="I48" s="5">
        <f>'Proximal Validation'!I48</f>
        <v>1.6399488998</v>
      </c>
      <c r="J48" s="5">
        <f>'Proximal Validation'!J48</f>
        <v>-2.84721739590168E-2</v>
      </c>
      <c r="K48" s="5">
        <f>'Proximal Validation'!K48</f>
        <v>0.24718735218048088</v>
      </c>
      <c r="L48" s="5">
        <f>'Proximal Validation'!L48</f>
        <v>0.24951086610555628</v>
      </c>
      <c r="M48" s="5">
        <f>'Proximal Validation'!M48</f>
        <v>-1.72224581241608</v>
      </c>
      <c r="N48" s="5">
        <f>'Proximal Validation'!N48</f>
        <v>0.49334552884101901</v>
      </c>
      <c r="O48" s="5">
        <f>'Proximal Validation'!O48</f>
        <v>-0.76049625873565696</v>
      </c>
      <c r="P48" s="5">
        <v>1.4193586667012645</v>
      </c>
      <c r="Q48" s="5">
        <v>0.18577083611658565</v>
      </c>
      <c r="R48" s="5">
        <v>4.8566095041603589E-3</v>
      </c>
      <c r="S48" s="5">
        <v>1.489307961862792</v>
      </c>
      <c r="T48" s="5">
        <v>0.18558149695600806</v>
      </c>
      <c r="U48" s="5">
        <v>4.7505595207449645</v>
      </c>
      <c r="V48" s="13">
        <v>6.3702573995550722E-8</v>
      </c>
      <c r="W48" s="5">
        <f t="shared" si="7"/>
        <v>-1.2037724098735492E-2</v>
      </c>
      <c r="X48" s="5">
        <f t="shared" si="7"/>
        <v>-1.4229163883414359E-2</v>
      </c>
      <c r="Y48" s="5">
        <f t="shared" si="2"/>
        <v>0.79024191668374666</v>
      </c>
      <c r="Z48" s="5">
        <f t="shared" si="8"/>
        <v>0.82842317576279201</v>
      </c>
      <c r="AA48" s="5">
        <f t="shared" si="8"/>
        <v>2.558149695600806E-2</v>
      </c>
      <c r="AB48" s="5">
        <f t="shared" si="3"/>
        <v>0.74724047925503534</v>
      </c>
      <c r="AC48" s="8">
        <f t="shared" si="9"/>
        <v>0.42023044993076375</v>
      </c>
      <c r="AD48" s="8">
        <f t="shared" si="9"/>
        <v>1.9905330419711209E-2</v>
      </c>
      <c r="AE48" s="8">
        <f t="shared" si="9"/>
        <v>0.768741197969391</v>
      </c>
    </row>
    <row r="49" spans="1:31" x14ac:dyDescent="0.25">
      <c r="A49" s="5">
        <f>'Proximal Validation'!A49</f>
        <v>1.1008731407000001</v>
      </c>
      <c r="B49" s="5">
        <f>'Proximal Validation'!B49</f>
        <v>0.12</v>
      </c>
      <c r="C49" s="5">
        <f>'Proximal Validation'!C49</f>
        <v>4.7123999999999997</v>
      </c>
      <c r="D49" s="5">
        <f>'Proximal Validation'!D49</f>
        <v>1.0118865585000001</v>
      </c>
      <c r="E49" s="5">
        <f>'Proximal Validation'!E49</f>
        <v>0.08</v>
      </c>
      <c r="F49" s="5">
        <f>'Proximal Validation'!F49</f>
        <v>0</v>
      </c>
      <c r="G49" s="5">
        <f>'Proximal Validation'!G49</f>
        <v>2.5804466663999999</v>
      </c>
      <c r="H49" s="5">
        <f>'Proximal Validation'!H49</f>
        <v>2.8020908323999998</v>
      </c>
      <c r="I49" s="5">
        <f>'Proximal Validation'!I49</f>
        <v>1.4209598912000001</v>
      </c>
      <c r="J49" s="5">
        <f>'Proximal Validation'!J49</f>
        <v>-2.18501593917608E-3</v>
      </c>
      <c r="K49" s="5">
        <f>'Proximal Validation'!K49</f>
        <v>0.11094302952289556</v>
      </c>
      <c r="L49" s="5">
        <f>'Proximal Validation'!L49</f>
        <v>0.1318884277343752</v>
      </c>
      <c r="M49" s="5">
        <f>'Proximal Validation'!M49</f>
        <v>-0.42062535881996199</v>
      </c>
      <c r="N49" s="5">
        <f>'Proximal Validation'!N49</f>
        <v>1.5282573699951201</v>
      </c>
      <c r="O49" s="5">
        <f>'Proximal Validation'!O49</f>
        <v>-0.81598681211471602</v>
      </c>
      <c r="P49" s="5">
        <v>1.2183759630663578</v>
      </c>
      <c r="Q49" s="5">
        <v>0.11674705313484826</v>
      </c>
      <c r="R49" s="5">
        <v>5.0221841568679313</v>
      </c>
      <c r="S49" s="5">
        <v>0.64423856355911346</v>
      </c>
      <c r="T49" s="5">
        <v>5.800778175154031E-2</v>
      </c>
      <c r="U49" s="5">
        <v>9.3394077282218532E-2</v>
      </c>
      <c r="V49" s="13">
        <v>2.5708231118843466E-8</v>
      </c>
      <c r="W49" s="5">
        <f t="shared" si="7"/>
        <v>0.11750282236635767</v>
      </c>
      <c r="X49" s="5">
        <f t="shared" si="7"/>
        <v>-3.2529468651517346E-3</v>
      </c>
      <c r="Y49" s="5">
        <f t="shared" si="2"/>
        <v>0.30978415686793159</v>
      </c>
      <c r="Z49" s="5">
        <f t="shared" si="8"/>
        <v>-0.36764799494088662</v>
      </c>
      <c r="AA49" s="5">
        <f t="shared" si="8"/>
        <v>-2.1992218248459691E-2</v>
      </c>
      <c r="AB49" s="5">
        <f t="shared" si="3"/>
        <v>9.3394077282218532E-2</v>
      </c>
      <c r="AC49" s="8">
        <f t="shared" si="9"/>
        <v>0.24257540865362215</v>
      </c>
      <c r="AD49" s="8">
        <f t="shared" si="9"/>
        <v>1.2622582556805713E-2</v>
      </c>
      <c r="AE49" s="8">
        <f t="shared" si="9"/>
        <v>0.20158911707507507</v>
      </c>
    </row>
    <row r="50" spans="1:31" x14ac:dyDescent="0.25">
      <c r="A50" s="5">
        <f>'Proximal Validation'!A50</f>
        <v>1.1548404238000001</v>
      </c>
      <c r="B50" s="5">
        <f>'Proximal Validation'!B50</f>
        <v>0.06</v>
      </c>
      <c r="C50" s="5">
        <f>'Proximal Validation'!C50</f>
        <v>0</v>
      </c>
      <c r="D50" s="5">
        <f>'Proximal Validation'!D50</f>
        <v>0.95560731600000004</v>
      </c>
      <c r="E50" s="5">
        <f>'Proximal Validation'!E50</f>
        <v>0.02</v>
      </c>
      <c r="F50" s="5">
        <f>'Proximal Validation'!F50</f>
        <v>5.4977999999999998</v>
      </c>
      <c r="G50" s="5">
        <f>'Proximal Validation'!G50</f>
        <v>1.7445767312</v>
      </c>
      <c r="H50" s="5">
        <f>'Proximal Validation'!H50</f>
        <v>3.9458122761999999</v>
      </c>
      <c r="I50" s="5">
        <f>'Proximal Validation'!I50</f>
        <v>4.9189190299999996</v>
      </c>
      <c r="J50" s="5">
        <f>'Proximal Validation'!J50</f>
        <v>1.8196115270257E-3</v>
      </c>
      <c r="K50" s="5">
        <f>'Proximal Validation'!K50</f>
        <v>4.7905400395393469E-3</v>
      </c>
      <c r="L50" s="5">
        <f>'Proximal Validation'!L50</f>
        <v>8.9655218124389202E-2</v>
      </c>
      <c r="M50" s="5">
        <f>'Proximal Validation'!M50</f>
        <v>-6.4179420471191406E-2</v>
      </c>
      <c r="N50" s="5">
        <f>'Proximal Validation'!N50</f>
        <v>1.8967602252960201</v>
      </c>
      <c r="O50" s="5">
        <f>'Proximal Validation'!O50</f>
        <v>-0.51140964031219505</v>
      </c>
      <c r="P50" s="5">
        <v>1.204621973125559</v>
      </c>
      <c r="Q50" s="5">
        <v>4.5182683070173708E-2</v>
      </c>
      <c r="R50" s="5">
        <v>5.0513433458362818E-14</v>
      </c>
      <c r="S50" s="5">
        <v>0.6272495753029953</v>
      </c>
      <c r="T50" s="5">
        <v>4.5149974372830332E-2</v>
      </c>
      <c r="U50" s="5">
        <v>1.4526688429859612E-13</v>
      </c>
      <c r="V50" s="13">
        <v>1.3202550082780653E-3</v>
      </c>
      <c r="W50" s="5">
        <f t="shared" si="7"/>
        <v>4.9781549325558894E-2</v>
      </c>
      <c r="X50" s="5">
        <f t="shared" si="7"/>
        <v>-1.4817316929826289E-2</v>
      </c>
      <c r="Y50" s="5">
        <f t="shared" si="2"/>
        <v>5.0513433458362818E-14</v>
      </c>
      <c r="Z50" s="5">
        <f t="shared" si="8"/>
        <v>-0.32835774069700474</v>
      </c>
      <c r="AA50" s="5">
        <f t="shared" si="8"/>
        <v>2.5149974372830331E-2</v>
      </c>
      <c r="AB50" s="5">
        <f t="shared" si="3"/>
        <v>0.7853853071797321</v>
      </c>
      <c r="AC50" s="8">
        <f t="shared" si="9"/>
        <v>0.18906964501128182</v>
      </c>
      <c r="AD50" s="8">
        <f t="shared" si="9"/>
        <v>1.9983645651328312E-2</v>
      </c>
      <c r="AE50" s="8">
        <f t="shared" si="9"/>
        <v>0.39269265358989131</v>
      </c>
    </row>
    <row r="51" spans="1:31" x14ac:dyDescent="0.25">
      <c r="A51" s="5">
        <f>'Proximal Validation'!A51</f>
        <v>1.1816252039999999</v>
      </c>
      <c r="B51" s="5">
        <f>'Proximal Validation'!B51</f>
        <v>0.08</v>
      </c>
      <c r="C51" s="5">
        <f>'Proximal Validation'!C51</f>
        <v>1.5708</v>
      </c>
      <c r="D51" s="5">
        <f>'Proximal Validation'!D51</f>
        <v>0.57227119820000005</v>
      </c>
      <c r="E51" s="5">
        <f>'Proximal Validation'!E51</f>
        <v>0.04</v>
      </c>
      <c r="F51" s="5">
        <f>'Proximal Validation'!F51</f>
        <v>0.78539999999999999</v>
      </c>
      <c r="G51" s="5">
        <f>'Proximal Validation'!G51</f>
        <v>1.4076592733</v>
      </c>
      <c r="H51" s="5">
        <f>'Proximal Validation'!H51</f>
        <v>1.3192874408999999</v>
      </c>
      <c r="I51" s="5">
        <f>'Proximal Validation'!I51</f>
        <v>2.6835966308999999</v>
      </c>
      <c r="J51" s="5">
        <f>'Proximal Validation'!J51</f>
        <v>5.0261407159268899E-3</v>
      </c>
      <c r="K51" s="5">
        <f>'Proximal Validation'!K51</f>
        <v>-0.11670223593711854</v>
      </c>
      <c r="L51" s="5">
        <f>'Proximal Validation'!L51</f>
        <v>1.3623089045286231E-2</v>
      </c>
      <c r="M51" s="5">
        <f>'Proximal Validation'!M51</f>
        <v>-0.14642003178596499</v>
      </c>
      <c r="N51" s="5">
        <f>'Proximal Validation'!N51</f>
        <v>0.36419194936752303</v>
      </c>
      <c r="O51" s="5">
        <f>'Proximal Validation'!O51</f>
        <v>1.55786764621735</v>
      </c>
      <c r="P51" s="5">
        <v>0.78172043431217098</v>
      </c>
      <c r="Q51" s="5">
        <v>9.3695287592318224E-2</v>
      </c>
      <c r="R51" s="5">
        <v>1.6372827978440534</v>
      </c>
      <c r="S51" s="5">
        <v>0.92654146120685887</v>
      </c>
      <c r="T51" s="5">
        <v>4.602777939246281E-2</v>
      </c>
      <c r="U51" s="5">
        <v>1.0556388107246188</v>
      </c>
      <c r="V51" s="13">
        <v>6.9035228967078239E-10</v>
      </c>
      <c r="W51" s="5">
        <f t="shared" si="7"/>
        <v>-0.39990476968782895</v>
      </c>
      <c r="X51" s="5">
        <f t="shared" si="7"/>
        <v>1.3695287592318223E-2</v>
      </c>
      <c r="Y51" s="5">
        <f t="shared" si="2"/>
        <v>6.6482797844053421E-2</v>
      </c>
      <c r="Z51" s="5">
        <f t="shared" si="8"/>
        <v>0.35427026300685882</v>
      </c>
      <c r="AA51" s="5">
        <f t="shared" si="8"/>
        <v>6.0277793924628092E-3</v>
      </c>
      <c r="AB51" s="5">
        <f t="shared" si="3"/>
        <v>0.27023881072461886</v>
      </c>
      <c r="AC51" s="8">
        <f t="shared" si="9"/>
        <v>0.37708751634734389</v>
      </c>
      <c r="AD51" s="8">
        <f t="shared" si="9"/>
        <v>9.861533492390516E-3</v>
      </c>
      <c r="AE51" s="8">
        <f t="shared" si="9"/>
        <v>0.16836080428433614</v>
      </c>
    </row>
    <row r="52" spans="1:31" x14ac:dyDescent="0.25">
      <c r="A52" s="5">
        <f>'Proximal Validation'!A52</f>
        <v>0.93729510640000002</v>
      </c>
      <c r="B52" s="5">
        <f>'Proximal Validation'!B52</f>
        <v>0.14000000000000001</v>
      </c>
      <c r="C52" s="5">
        <f>'Proximal Validation'!C52</f>
        <v>0.78539999999999999</v>
      </c>
      <c r="D52" s="5">
        <f>'Proximal Validation'!D52</f>
        <v>0.49250416219999998</v>
      </c>
      <c r="E52" s="5">
        <f>'Proximal Validation'!E52</f>
        <v>0.1</v>
      </c>
      <c r="F52" s="5">
        <f>'Proximal Validation'!F52</f>
        <v>0</v>
      </c>
      <c r="G52" s="5">
        <f>'Proximal Validation'!G52</f>
        <v>0.50502447429999997</v>
      </c>
      <c r="H52" s="5">
        <f>'Proximal Validation'!H52</f>
        <v>3.7817597896000001</v>
      </c>
      <c r="I52" s="5">
        <f>'Proximal Validation'!I52</f>
        <v>0.94479070089999995</v>
      </c>
      <c r="J52" s="5">
        <f>'Proximal Validation'!J52</f>
        <v>-5.5614840239286397E-3</v>
      </c>
      <c r="K52" s="5">
        <f>'Proximal Validation'!K52</f>
        <v>-9.2361005544662145E-2</v>
      </c>
      <c r="L52" s="5">
        <f>'Proximal Validation'!L52</f>
        <v>0.14423409759998271</v>
      </c>
      <c r="M52" s="5">
        <f>'Proximal Validation'!M52</f>
        <v>-0.32296690344810502</v>
      </c>
      <c r="N52" s="5">
        <f>'Proximal Validation'!N52</f>
        <v>1.0704246759414699</v>
      </c>
      <c r="O52" s="5">
        <f>'Proximal Validation'!O52</f>
        <v>0.568997502326965</v>
      </c>
      <c r="P52" s="5">
        <v>0.79865449572079472</v>
      </c>
      <c r="Q52" s="5">
        <v>0.14436555110363725</v>
      </c>
      <c r="R52" s="5">
        <v>0.82772086022279256</v>
      </c>
      <c r="S52" s="5">
        <v>0.61926576422422575</v>
      </c>
      <c r="T52" s="5">
        <v>0.10447330568853862</v>
      </c>
      <c r="U52" s="5">
        <v>0.12159951753262839</v>
      </c>
      <c r="V52" s="13">
        <v>2.9713873313202496E-9</v>
      </c>
      <c r="W52" s="5">
        <f t="shared" si="7"/>
        <v>-0.1386406106792053</v>
      </c>
      <c r="X52" s="5">
        <f t="shared" si="7"/>
        <v>4.365551103637233E-3</v>
      </c>
      <c r="Y52" s="5">
        <f t="shared" si="2"/>
        <v>4.2320860222792578E-2</v>
      </c>
      <c r="Z52" s="5">
        <f t="shared" si="8"/>
        <v>0.12676160202422576</v>
      </c>
      <c r="AA52" s="5">
        <f t="shared" si="8"/>
        <v>4.4733056885386119E-3</v>
      </c>
      <c r="AB52" s="5">
        <f t="shared" si="3"/>
        <v>0.12159951753262839</v>
      </c>
      <c r="AC52" s="8">
        <f t="shared" si="9"/>
        <v>0.13270110635171553</v>
      </c>
      <c r="AD52" s="8">
        <f t="shared" si="9"/>
        <v>4.4194283960879224E-3</v>
      </c>
      <c r="AE52" s="8">
        <f t="shared" si="9"/>
        <v>8.1960188877710477E-2</v>
      </c>
    </row>
    <row r="54" spans="1:31" x14ac:dyDescent="0.25">
      <c r="AC54" s="22"/>
      <c r="AD54" s="22"/>
      <c r="AE54" s="22"/>
    </row>
  </sheetData>
  <mergeCells count="6">
    <mergeCell ref="AF5:AK5"/>
    <mergeCell ref="A1:I1"/>
    <mergeCell ref="J1:O1"/>
    <mergeCell ref="P1:V1"/>
    <mergeCell ref="W1:AE1"/>
    <mergeCell ref="AF2:AK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DFBB-E47B-4288-8544-BAF9063E0EAE}">
  <dimension ref="A1:AK54"/>
  <sheetViews>
    <sheetView topLeftCell="I1" zoomScale="70" zoomScaleNormal="70" workbookViewId="0">
      <pane ySplit="2" topLeftCell="A3" activePane="bottomLeft" state="frozen"/>
      <selection activeCell="K1" sqref="K1"/>
      <selection pane="bottomLeft" activeCell="AG13" sqref="AG13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8" bestFit="1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85546875" bestFit="1" customWidth="1"/>
    <col min="37" max="37" width="11.85546875" bestFit="1" customWidth="1"/>
  </cols>
  <sheetData>
    <row r="1" spans="1:37" ht="15.75" x14ac:dyDescent="0.25">
      <c r="A1" s="27" t="s">
        <v>11</v>
      </c>
      <c r="B1" s="27"/>
      <c r="C1" s="27"/>
      <c r="D1" s="27"/>
      <c r="E1" s="27"/>
      <c r="F1" s="27"/>
      <c r="G1" s="27"/>
      <c r="H1" s="27"/>
      <c r="I1" s="28"/>
      <c r="J1" s="29" t="s">
        <v>6</v>
      </c>
      <c r="K1" s="30"/>
      <c r="L1" s="30"/>
      <c r="M1" s="30"/>
      <c r="N1" s="30"/>
      <c r="O1" s="30"/>
      <c r="P1" s="31" t="s">
        <v>7</v>
      </c>
      <c r="Q1" s="32"/>
      <c r="R1" s="32"/>
      <c r="S1" s="32"/>
      <c r="T1" s="32"/>
      <c r="U1" s="32"/>
      <c r="V1" s="32"/>
      <c r="W1" s="33" t="s">
        <v>13</v>
      </c>
      <c r="X1" s="33"/>
      <c r="Y1" s="33"/>
      <c r="Z1" s="33"/>
      <c r="AA1" s="33"/>
      <c r="AB1" s="33"/>
      <c r="AC1" s="33"/>
      <c r="AD1" s="33"/>
      <c r="AE1" s="33"/>
      <c r="AF1" s="20" t="s">
        <v>31</v>
      </c>
      <c r="AG1" s="20"/>
      <c r="AH1" s="20"/>
      <c r="AI1" s="20"/>
      <c r="AJ1" s="20"/>
      <c r="AK1" s="20"/>
    </row>
    <row r="2" spans="1:37" ht="15.75" x14ac:dyDescent="0.25">
      <c r="A2" s="1" t="s">
        <v>22</v>
      </c>
      <c r="B2" s="1" t="s">
        <v>23</v>
      </c>
      <c r="C2" s="1" t="s">
        <v>33</v>
      </c>
      <c r="D2" s="1" t="s">
        <v>24</v>
      </c>
      <c r="E2" s="1" t="s">
        <v>25</v>
      </c>
      <c r="F2" s="1" t="s">
        <v>34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22</v>
      </c>
      <c r="Q2" s="1" t="s">
        <v>23</v>
      </c>
      <c r="R2" s="1" t="s">
        <v>33</v>
      </c>
      <c r="S2" s="1" t="s">
        <v>24</v>
      </c>
      <c r="T2" s="1" t="s">
        <v>25</v>
      </c>
      <c r="U2" s="1" t="s">
        <v>34</v>
      </c>
      <c r="V2" s="2" t="s">
        <v>32</v>
      </c>
      <c r="W2" s="3" t="s">
        <v>22</v>
      </c>
      <c r="X2" s="1" t="s">
        <v>23</v>
      </c>
      <c r="Y2" s="1" t="s">
        <v>33</v>
      </c>
      <c r="Z2" s="1" t="s">
        <v>24</v>
      </c>
      <c r="AA2" s="1" t="s">
        <v>25</v>
      </c>
      <c r="AB2" s="1" t="s">
        <v>34</v>
      </c>
      <c r="AC2" s="6" t="s">
        <v>28</v>
      </c>
      <c r="AD2" s="6" t="s">
        <v>29</v>
      </c>
      <c r="AE2" s="6" t="s">
        <v>30</v>
      </c>
      <c r="AF2" s="34" t="s">
        <v>26</v>
      </c>
      <c r="AG2" s="34"/>
      <c r="AH2" s="34"/>
      <c r="AI2" s="34"/>
      <c r="AJ2" s="34"/>
      <c r="AK2" s="34"/>
    </row>
    <row r="3" spans="1:37" ht="15.75" x14ac:dyDescent="0.25">
      <c r="A3" s="5">
        <f>'Proximal Validation'!A3</f>
        <v>0.57634630980000001</v>
      </c>
      <c r="B3" s="5">
        <f>'Proximal Validation'!B3</f>
        <v>0.2</v>
      </c>
      <c r="C3" s="5">
        <f>'Proximal Validation'!C3</f>
        <v>0.78539999999999999</v>
      </c>
      <c r="D3" s="5">
        <f>'Proximal Validation'!D3</f>
        <v>1.1398024601000001</v>
      </c>
      <c r="E3" s="5">
        <f>'Proximal Validation'!E3</f>
        <v>0.02</v>
      </c>
      <c r="F3" s="5">
        <f>'Proximal Validation'!F3</f>
        <v>5.4977999999999998</v>
      </c>
      <c r="G3" s="5">
        <f>'Proximal Validation'!G3</f>
        <v>0.49272223679999999</v>
      </c>
      <c r="H3" s="5">
        <f>'Proximal Validation'!H3</f>
        <v>4.4756011583999999</v>
      </c>
      <c r="I3" s="5">
        <f>'Proximal Validation'!I3</f>
        <v>4.1915536561</v>
      </c>
      <c r="J3" s="5">
        <f>'Proximal Validation'!J3</f>
        <v>-8.3262659609317801E-4</v>
      </c>
      <c r="K3" s="5">
        <f>'Proximal Validation'!K3</f>
        <v>-5.3400582866743193E-2</v>
      </c>
      <c r="L3" s="5">
        <f>'Proximal Validation'!L3</f>
        <v>9.2854456901550309E-2</v>
      </c>
      <c r="M3" s="5">
        <f>'Proximal Validation'!M3</f>
        <v>-7.20393061637878E-2</v>
      </c>
      <c r="N3" s="5">
        <f>'Proximal Validation'!N3</f>
        <v>1.12758028507233</v>
      </c>
      <c r="O3" s="5">
        <f>'Proximal Validation'!O3</f>
        <v>-0.58665424585342396</v>
      </c>
      <c r="P3" s="5">
        <v>0.78604131111394737</v>
      </c>
      <c r="Q3" s="5">
        <v>0.15335844652031541</v>
      </c>
      <c r="R3" s="5">
        <v>0.89564740820992839</v>
      </c>
      <c r="S3" s="5">
        <v>1.2425891985130602</v>
      </c>
      <c r="T3" s="5">
        <v>2.9447732599816149E-2</v>
      </c>
      <c r="U3" s="5">
        <v>5.3325603235968551</v>
      </c>
      <c r="V3" s="13">
        <v>1.8716869155813228E-14</v>
      </c>
      <c r="W3" s="5">
        <f t="shared" ref="W3:AA18" si="0">P3-A3</f>
        <v>0.20969500131394736</v>
      </c>
      <c r="X3" s="5">
        <f t="shared" si="0"/>
        <v>-4.66415534796846E-2</v>
      </c>
      <c r="Y3" s="5">
        <f>MIN(ABS(R3-C3),2*PI()-ABS(R3-C3))</f>
        <v>0.1102474082099284</v>
      </c>
      <c r="Z3" s="5">
        <f t="shared" si="0"/>
        <v>0.10278673841306007</v>
      </c>
      <c r="AA3" s="5">
        <f t="shared" si="0"/>
        <v>9.4477325998161485E-3</v>
      </c>
      <c r="AB3" s="5">
        <f>MIN(ABS(U3-F3),2*PI()-ABS(U3-F3))</f>
        <v>0.16523967640314474</v>
      </c>
      <c r="AC3" s="8">
        <f t="shared" ref="AC3:AE18" si="1">AVERAGE(ABS(W3),ABS(Z3))</f>
        <v>0.15624086986350372</v>
      </c>
      <c r="AD3" s="8">
        <f t="shared" si="1"/>
        <v>2.8044643039750374E-2</v>
      </c>
      <c r="AE3" s="8">
        <f t="shared" si="1"/>
        <v>0.13774354230653657</v>
      </c>
      <c r="AF3" s="1" t="s">
        <v>22</v>
      </c>
      <c r="AG3" s="1" t="s">
        <v>23</v>
      </c>
      <c r="AH3" s="1" t="s">
        <v>33</v>
      </c>
      <c r="AI3" s="1" t="s">
        <v>24</v>
      </c>
      <c r="AJ3" s="1" t="s">
        <v>25</v>
      </c>
      <c r="AK3" s="1" t="s">
        <v>34</v>
      </c>
    </row>
    <row r="4" spans="1:37" x14ac:dyDescent="0.25">
      <c r="A4" s="5">
        <f>'Proximal Validation'!A4</f>
        <v>1.2961945501000001</v>
      </c>
      <c r="B4" s="5">
        <f>'Proximal Validation'!B4</f>
        <v>0.2</v>
      </c>
      <c r="C4" s="5">
        <f>'Proximal Validation'!C4</f>
        <v>4.7123999999999997</v>
      </c>
      <c r="D4" s="5">
        <f>'Proximal Validation'!D4</f>
        <v>0.31907560010000002</v>
      </c>
      <c r="E4" s="5">
        <f>'Proximal Validation'!E4</f>
        <v>0.02</v>
      </c>
      <c r="F4" s="5">
        <f>'Proximal Validation'!F4</f>
        <v>1.5708</v>
      </c>
      <c r="G4" s="5">
        <f>'Proximal Validation'!G4</f>
        <v>0.53253118440000002</v>
      </c>
      <c r="H4" s="5">
        <f>'Proximal Validation'!H4</f>
        <v>1.6232893740000001</v>
      </c>
      <c r="I4" s="5">
        <f>'Proximal Validation'!I4</f>
        <v>9.6932284100000002E-2</v>
      </c>
      <c r="J4" s="5">
        <f>'Proximal Validation'!J4</f>
        <v>7.6168961822986603E-3</v>
      </c>
      <c r="K4" s="5">
        <f>'Proximal Validation'!K4</f>
        <v>0.24574007272720383</v>
      </c>
      <c r="L4" s="5">
        <f>'Proximal Validation'!L4</f>
        <v>1.0644453205168264E-3</v>
      </c>
      <c r="M4" s="5">
        <f>'Proximal Validation'!M4</f>
        <v>-0.71961438655853305</v>
      </c>
      <c r="N4" s="5">
        <f>'Proximal Validation'!N4</f>
        <v>2.90779918432236E-2</v>
      </c>
      <c r="O4" s="5">
        <f>'Proximal Validation'!O4</f>
        <v>-0.48940825462341297</v>
      </c>
      <c r="P4" s="5">
        <v>1.4574686791238405</v>
      </c>
      <c r="Q4" s="5">
        <v>0.18889065421700416</v>
      </c>
      <c r="R4" s="5">
        <v>4.7121504460534327</v>
      </c>
      <c r="S4" s="5">
        <v>0.44960639187225626</v>
      </c>
      <c r="T4" s="5">
        <v>5.337200558328925E-2</v>
      </c>
      <c r="U4" s="5">
        <v>1.5677513270728043</v>
      </c>
      <c r="V4" s="13">
        <v>1.7011188920199579E-9</v>
      </c>
      <c r="W4" s="5">
        <f t="shared" si="0"/>
        <v>0.16127412902384042</v>
      </c>
      <c r="X4" s="5">
        <f t="shared" si="0"/>
        <v>-1.1109345782995855E-2</v>
      </c>
      <c r="Y4" s="5">
        <f t="shared" ref="Y4:Y52" si="2">MIN(ABS(R4-C4),2*PI()-ABS(R4-C4))</f>
        <v>2.4955394656700491E-4</v>
      </c>
      <c r="Z4" s="5">
        <f t="shared" si="0"/>
        <v>0.13053079177225624</v>
      </c>
      <c r="AA4" s="5">
        <f t="shared" si="0"/>
        <v>3.3372005583289246E-2</v>
      </c>
      <c r="AB4" s="5">
        <f t="shared" ref="AB4:AB52" si="3">MIN(ABS(U4-F4),2*PI()-ABS(U4-F4))</f>
        <v>3.0486729271956836E-3</v>
      </c>
      <c r="AC4" s="8">
        <f t="shared" si="1"/>
        <v>0.14590246039804833</v>
      </c>
      <c r="AD4" s="8">
        <f t="shared" si="1"/>
        <v>2.2240675683142551E-2</v>
      </c>
      <c r="AE4" s="8">
        <f t="shared" si="1"/>
        <v>1.6491134368813443E-3</v>
      </c>
      <c r="AF4" s="7" cm="1">
        <f t="array" ref="AF4">AVERAGE(ABS(W3:W52))</f>
        <v>0.18482098663836014</v>
      </c>
      <c r="AG4" s="7" cm="1">
        <f t="array" ref="AG4">AVERAGE(ABS(X3:X52))</f>
        <v>1.6378520369843198E-2</v>
      </c>
      <c r="AH4" s="7" cm="1">
        <f t="array" ref="AH4">AVERAGE(ABS(Y3:Y52))</f>
        <v>0.18119613965627779</v>
      </c>
      <c r="AI4" s="7" cm="1">
        <f t="array" ref="AI4">AVERAGE(ABS(Z3:Z52))</f>
        <v>0.17843343575371379</v>
      </c>
      <c r="AJ4" s="7" cm="1">
        <f t="array" ref="AJ4">AVERAGE(ABS(AA3:AA52))</f>
        <v>1.4495825131814372E-2</v>
      </c>
      <c r="AK4" s="7" cm="1">
        <f t="array" ref="AK4">AVERAGE(ABS(AB3:AB52))</f>
        <v>0.15889185594396379</v>
      </c>
    </row>
    <row r="5" spans="1:37" x14ac:dyDescent="0.25">
      <c r="A5" s="5">
        <f>'Proximal Validation'!A5</f>
        <v>0.3432844504</v>
      </c>
      <c r="B5" s="5">
        <f>'Proximal Validation'!B5</f>
        <v>0.2</v>
      </c>
      <c r="C5" s="5">
        <f>'Proximal Validation'!C5</f>
        <v>3.1415999999999999</v>
      </c>
      <c r="D5" s="5">
        <f>'Proximal Validation'!D5</f>
        <v>0.75633386430000005</v>
      </c>
      <c r="E5" s="5">
        <f>'Proximal Validation'!E5</f>
        <v>0.02</v>
      </c>
      <c r="F5" s="5">
        <f>'Proximal Validation'!F5</f>
        <v>3.1415999999999999</v>
      </c>
      <c r="G5" s="5">
        <f>'Proximal Validation'!G5</f>
        <v>3.5593988404000001</v>
      </c>
      <c r="H5" s="5">
        <f>'Proximal Validation'!H5</f>
        <v>2.6173593599</v>
      </c>
      <c r="I5" s="5">
        <f>'Proximal Validation'!I5</f>
        <v>2.7214845023000001</v>
      </c>
      <c r="J5" s="5">
        <f>'Proximal Validation'!J5</f>
        <v>-1.2985616922378499E-4</v>
      </c>
      <c r="K5" s="5">
        <f>'Proximal Validation'!K5</f>
        <v>-3.6498736031353504E-3</v>
      </c>
      <c r="L5" s="5">
        <f>'Proximal Validation'!L5</f>
        <v>-7.9183645248412218E-2</v>
      </c>
      <c r="M5" s="5">
        <f>'Proximal Validation'!M5</f>
        <v>-1.52619369328022E-2</v>
      </c>
      <c r="N5" s="5">
        <f>'Proximal Validation'!N5</f>
        <v>-1.05842244625092</v>
      </c>
      <c r="O5" s="5">
        <f>'Proximal Validation'!O5</f>
        <v>2.1189808845519999E-2</v>
      </c>
      <c r="P5" s="5">
        <v>0.37038638856224243</v>
      </c>
      <c r="Q5" s="5">
        <v>7.5705202264042995E-2</v>
      </c>
      <c r="R5" s="5">
        <v>0.49201240275890623</v>
      </c>
      <c r="S5" s="5">
        <v>1.4338347056481677</v>
      </c>
      <c r="T5" s="5">
        <v>7.5647485517083723E-2</v>
      </c>
      <c r="U5" s="5">
        <v>3.2647586343260078</v>
      </c>
      <c r="V5" s="13">
        <v>1.6712146697648309E-7</v>
      </c>
      <c r="W5" s="5">
        <f t="shared" si="0"/>
        <v>2.7101938162242434E-2</v>
      </c>
      <c r="X5" s="5">
        <f t="shared" si="0"/>
        <v>-0.12429479773595702</v>
      </c>
      <c r="Y5" s="5">
        <f t="shared" si="2"/>
        <v>2.6495875972410938</v>
      </c>
      <c r="Z5" s="5">
        <f t="shared" si="0"/>
        <v>0.67750084134816768</v>
      </c>
      <c r="AA5" s="5">
        <f t="shared" si="0"/>
        <v>5.564748551708372E-2</v>
      </c>
      <c r="AB5" s="5">
        <f t="shared" si="3"/>
        <v>0.12315863432600782</v>
      </c>
      <c r="AC5" s="9">
        <f t="shared" si="1"/>
        <v>0.35230138975520509</v>
      </c>
      <c r="AD5" s="9">
        <f t="shared" si="1"/>
        <v>8.9971141626520368E-2</v>
      </c>
      <c r="AE5" s="9">
        <f t="shared" si="1"/>
        <v>1.3863731157835508</v>
      </c>
      <c r="AF5" s="25" t="s">
        <v>27</v>
      </c>
      <c r="AG5" s="26"/>
      <c r="AH5" s="26"/>
      <c r="AI5" s="26"/>
      <c r="AJ5" s="26"/>
      <c r="AK5" s="26"/>
    </row>
    <row r="6" spans="1:37" x14ac:dyDescent="0.25">
      <c r="A6" s="5">
        <f>'Proximal Validation'!A6</f>
        <v>0.83277602429999997</v>
      </c>
      <c r="B6" s="5">
        <f>'Proximal Validation'!B6</f>
        <v>0.2</v>
      </c>
      <c r="C6" s="5">
        <f>'Proximal Validation'!C6</f>
        <v>4.7123999999999997</v>
      </c>
      <c r="D6" s="5">
        <f>'Proximal Validation'!D6</f>
        <v>1.4193655153</v>
      </c>
      <c r="E6" s="5">
        <f>'Proximal Validation'!E6</f>
        <v>0.04</v>
      </c>
      <c r="F6" s="5">
        <f>'Proximal Validation'!F6</f>
        <v>5.4977999999999998</v>
      </c>
      <c r="G6" s="5">
        <f>'Proximal Validation'!G6</f>
        <v>4.2084858911999996</v>
      </c>
      <c r="H6" s="5">
        <f>'Proximal Validation'!H6</f>
        <v>0.52916698419999997</v>
      </c>
      <c r="I6" s="5">
        <f>'Proximal Validation'!I6</f>
        <v>2.5150427606000001</v>
      </c>
      <c r="J6" s="5">
        <f>'Proximal Validation'!J6</f>
        <v>-2.2600172087550201E-2</v>
      </c>
      <c r="K6" s="5">
        <f>'Proximal Validation'!K6</f>
        <v>0.2035677599906926</v>
      </c>
      <c r="L6" s="5">
        <f>'Proximal Validation'!L6</f>
        <v>1.6263059973716687E-2</v>
      </c>
      <c r="M6" s="5">
        <f>'Proximal Validation'!M6</f>
        <v>-0.76213192939758301</v>
      </c>
      <c r="N6" s="5">
        <f>'Proximal Validation'!N6</f>
        <v>0.83609861135482799</v>
      </c>
      <c r="O6" s="5">
        <f>'Proximal Validation'!O6</f>
        <v>-1.67676854133606</v>
      </c>
      <c r="P6" s="5">
        <v>0.84773999889798679</v>
      </c>
      <c r="Q6" s="5">
        <v>0.19750969668530771</v>
      </c>
      <c r="R6" s="5">
        <v>4.7212288012808354</v>
      </c>
      <c r="S6" s="5">
        <v>1.4050632791968825</v>
      </c>
      <c r="T6" s="5">
        <v>3.8795021013582322E-2</v>
      </c>
      <c r="U6" s="5">
        <v>5.500851159805177</v>
      </c>
      <c r="V6" s="13">
        <v>2.2266366802969569E-11</v>
      </c>
      <c r="W6" s="5">
        <f t="shared" si="0"/>
        <v>1.4963974597986818E-2</v>
      </c>
      <c r="X6" s="5">
        <f t="shared" si="0"/>
        <v>-2.4903033146922993E-3</v>
      </c>
      <c r="Y6" s="5">
        <f t="shared" si="2"/>
        <v>8.8288012808357408E-3</v>
      </c>
      <c r="Z6" s="5">
        <f t="shared" si="0"/>
        <v>-1.4302236103117538E-2</v>
      </c>
      <c r="AA6" s="5">
        <f t="shared" si="0"/>
        <v>-1.2049789864176791E-3</v>
      </c>
      <c r="AB6" s="5">
        <f t="shared" si="3"/>
        <v>3.0511598051772282E-3</v>
      </c>
      <c r="AC6" s="8">
        <f t="shared" si="1"/>
        <v>1.4633105350552178E-2</v>
      </c>
      <c r="AD6" s="8">
        <f t="shared" si="1"/>
        <v>1.8476411505549892E-3</v>
      </c>
      <c r="AE6" s="8">
        <f t="shared" si="1"/>
        <v>5.9399805430064845E-3</v>
      </c>
      <c r="AF6" s="6" t="s">
        <v>28</v>
      </c>
      <c r="AG6" s="6" t="s">
        <v>29</v>
      </c>
      <c r="AH6" s="6" t="s">
        <v>30</v>
      </c>
      <c r="AI6" s="7"/>
      <c r="AJ6" s="7"/>
      <c r="AK6" s="7"/>
    </row>
    <row r="7" spans="1:37" x14ac:dyDescent="0.25">
      <c r="A7" s="5">
        <f>'Proximal Validation'!A7</f>
        <v>0.3898403909</v>
      </c>
      <c r="B7" s="5">
        <f>'Proximal Validation'!B7</f>
        <v>0.2</v>
      </c>
      <c r="C7" s="5">
        <f>'Proximal Validation'!C7</f>
        <v>1.5708</v>
      </c>
      <c r="D7" s="5">
        <f>'Proximal Validation'!D7</f>
        <v>0.45028828840000001</v>
      </c>
      <c r="E7" s="5">
        <f>'Proximal Validation'!E7</f>
        <v>0.04</v>
      </c>
      <c r="F7" s="5">
        <f>'Proximal Validation'!F7</f>
        <v>2.3561999999999999</v>
      </c>
      <c r="G7" s="5">
        <f>'Proximal Validation'!G7</f>
        <v>0.34676129480000001</v>
      </c>
      <c r="H7" s="5">
        <f>'Proximal Validation'!H7</f>
        <v>0.93612470940000003</v>
      </c>
      <c r="I7" s="5">
        <f>'Proximal Validation'!I7</f>
        <v>2.0702513480000002</v>
      </c>
      <c r="J7" s="5">
        <f>'Proximal Validation'!J7</f>
        <v>-2.83843977376819E-3</v>
      </c>
      <c r="K7" s="5">
        <f>'Proximal Validation'!K7</f>
        <v>-8.2259576320647787E-2</v>
      </c>
      <c r="L7" s="5">
        <f>'Proximal Validation'!L7</f>
        <v>-3.6772690713405068E-4</v>
      </c>
      <c r="M7" s="5">
        <f>'Proximal Validation'!M7</f>
        <v>-7.1337848901748699E-2</v>
      </c>
      <c r="N7" s="5">
        <f>'Proximal Validation'!N7</f>
        <v>-0.277880519628525</v>
      </c>
      <c r="O7" s="5">
        <f>'Proximal Validation'!O7</f>
        <v>0.691084444522858</v>
      </c>
      <c r="P7" s="5">
        <v>0.96302967739657819</v>
      </c>
      <c r="Q7" s="5">
        <v>0.10965466650997588</v>
      </c>
      <c r="R7" s="5">
        <v>1.4302465745822717</v>
      </c>
      <c r="S7" s="5">
        <v>0.51441807250550453</v>
      </c>
      <c r="T7" s="5">
        <v>6.059827882884132E-2</v>
      </c>
      <c r="U7" s="5">
        <v>3.6410325522510303</v>
      </c>
      <c r="V7" s="13">
        <v>2.4246605421538344E-7</v>
      </c>
      <c r="W7" s="5">
        <f t="shared" si="0"/>
        <v>0.57318928649657819</v>
      </c>
      <c r="X7" s="5">
        <f t="shared" si="0"/>
        <v>-9.0345333490024132E-2</v>
      </c>
      <c r="Y7" s="5">
        <f t="shared" si="2"/>
        <v>0.14055342541772831</v>
      </c>
      <c r="Z7" s="5">
        <f t="shared" si="0"/>
        <v>6.4129784105504517E-2</v>
      </c>
      <c r="AA7" s="5">
        <f t="shared" si="0"/>
        <v>2.059827882884132E-2</v>
      </c>
      <c r="AB7" s="5">
        <f t="shared" si="3"/>
        <v>1.2848325522510304</v>
      </c>
      <c r="AC7" s="8">
        <f t="shared" si="1"/>
        <v>0.31865953530104135</v>
      </c>
      <c r="AD7" s="8">
        <f t="shared" si="1"/>
        <v>5.5471806159432729E-2</v>
      </c>
      <c r="AE7" s="8">
        <f t="shared" si="1"/>
        <v>0.71269298883437937</v>
      </c>
      <c r="AF7" s="10">
        <f>AVERAGE(AF4,AI4)</f>
        <v>0.18162721119603698</v>
      </c>
      <c r="AG7" s="10">
        <f>AVERAGE(AG4,AJ4)</f>
        <v>1.5437172750828785E-2</v>
      </c>
      <c r="AH7" s="10">
        <f>AVERAGE(AH4,AK4)</f>
        <v>0.17004399780012081</v>
      </c>
      <c r="AI7" s="7"/>
      <c r="AJ7" s="7"/>
      <c r="AK7" s="7"/>
    </row>
    <row r="8" spans="1:37" x14ac:dyDescent="0.25">
      <c r="A8" s="5">
        <f>'Proximal Validation'!A8</f>
        <v>0.86958752539999995</v>
      </c>
      <c r="B8" s="5">
        <f>'Proximal Validation'!B8</f>
        <v>0.2</v>
      </c>
      <c r="C8" s="5">
        <f>'Proximal Validation'!C8</f>
        <v>0.78539999999999999</v>
      </c>
      <c r="D8" s="5">
        <f>'Proximal Validation'!D8</f>
        <v>0.66933871</v>
      </c>
      <c r="E8" s="5">
        <f>'Proximal Validation'!E8</f>
        <v>0.04</v>
      </c>
      <c r="F8" s="5">
        <f>'Proximal Validation'!F8</f>
        <v>0.78539999999999999</v>
      </c>
      <c r="G8" s="5">
        <f>'Proximal Validation'!G8</f>
        <v>2.0486073985000002</v>
      </c>
      <c r="H8" s="5">
        <f>'Proximal Validation'!H8</f>
        <v>1.4427408886999999</v>
      </c>
      <c r="I8" s="5">
        <f>'Proximal Validation'!I8</f>
        <v>0.53737298850000004</v>
      </c>
      <c r="J8" s="5">
        <f>'Proximal Validation'!J8</f>
        <v>4.2178397998213803E-3</v>
      </c>
      <c r="K8" s="5">
        <f>'Proximal Validation'!K8</f>
        <v>-0.1370001655817028</v>
      </c>
      <c r="L8" s="5">
        <f>'Proximal Validation'!L8</f>
        <v>0.13484285593032813</v>
      </c>
      <c r="M8" s="5">
        <f>'Proximal Validation'!M8</f>
        <v>-0.61169552803039595</v>
      </c>
      <c r="N8" s="5">
        <f>'Proximal Validation'!N8</f>
        <v>0.92778009176254295</v>
      </c>
      <c r="O8" s="5">
        <f>'Proximal Validation'!O8</f>
        <v>0.97456169128418002</v>
      </c>
      <c r="P8" s="5">
        <v>1.290985997297164</v>
      </c>
      <c r="Q8" s="5">
        <v>0.12972705334098572</v>
      </c>
      <c r="R8" s="5">
        <v>1.1494100935044715</v>
      </c>
      <c r="S8" s="5">
        <v>0.54799680639159998</v>
      </c>
      <c r="T8" s="5">
        <v>0.12962101505388859</v>
      </c>
      <c r="U8" s="5">
        <v>6.0602666409709567</v>
      </c>
      <c r="V8" s="13">
        <v>4.5273459028396995E-7</v>
      </c>
      <c r="W8" s="5">
        <f t="shared" si="0"/>
        <v>0.42139847189716406</v>
      </c>
      <c r="X8" s="5">
        <f t="shared" si="0"/>
        <v>-7.027294665901429E-2</v>
      </c>
      <c r="Y8" s="5">
        <f t="shared" si="2"/>
        <v>0.36401009350447155</v>
      </c>
      <c r="Z8" s="5">
        <f t="shared" si="0"/>
        <v>-0.12134190360840003</v>
      </c>
      <c r="AA8" s="5">
        <f t="shared" si="0"/>
        <v>8.9621015053888586E-2</v>
      </c>
      <c r="AB8" s="5">
        <f t="shared" si="3"/>
        <v>1.0083186662086296</v>
      </c>
      <c r="AC8" s="8">
        <f t="shared" si="1"/>
        <v>0.27137018775278204</v>
      </c>
      <c r="AD8" s="8">
        <f t="shared" si="1"/>
        <v>7.9946980856451438E-2</v>
      </c>
      <c r="AE8" s="8">
        <f t="shared" si="1"/>
        <v>0.68616437985655065</v>
      </c>
    </row>
    <row r="9" spans="1:37" x14ac:dyDescent="0.25">
      <c r="A9" s="5">
        <f>'Proximal Validation'!A9</f>
        <v>1.2260241731999999</v>
      </c>
      <c r="B9" s="5">
        <f>'Proximal Validation'!B9</f>
        <v>0.2</v>
      </c>
      <c r="C9" s="5">
        <f>'Proximal Validation'!C9</f>
        <v>3.1415999999999999</v>
      </c>
      <c r="D9" s="5">
        <f>'Proximal Validation'!D9</f>
        <v>0.53124592000000004</v>
      </c>
      <c r="E9" s="5">
        <f>'Proximal Validation'!E9</f>
        <v>0.04</v>
      </c>
      <c r="F9" s="5">
        <f>'Proximal Validation'!F9</f>
        <v>1.5708</v>
      </c>
      <c r="G9" s="5">
        <f>'Proximal Validation'!G9</f>
        <v>2.1721905802000001</v>
      </c>
      <c r="H9" s="5">
        <f>'Proximal Validation'!H9</f>
        <v>4.8592739976999999</v>
      </c>
      <c r="I9" s="5">
        <f>'Proximal Validation'!I9</f>
        <v>4.1505258277000001</v>
      </c>
      <c r="J9" s="5">
        <f>'Proximal Validation'!J9</f>
        <v>-1.05884596705437E-2</v>
      </c>
      <c r="K9" s="5">
        <f>'Proximal Validation'!K9</f>
        <v>-2.5415880382061017E-2</v>
      </c>
      <c r="L9" s="5">
        <f>'Proximal Validation'!L9</f>
        <v>-0.22906562328338606</v>
      </c>
      <c r="M9" s="5">
        <f>'Proximal Validation'!M9</f>
        <v>-0.90436720848083496</v>
      </c>
      <c r="N9" s="5">
        <f>'Proximal Validation'!N9</f>
        <v>-0.59426629543304399</v>
      </c>
      <c r="O9" s="5">
        <f>'Proximal Validation'!O9</f>
        <v>0.66323274374008201</v>
      </c>
      <c r="P9" s="5">
        <v>1.2808116771969451</v>
      </c>
      <c r="Q9" s="5">
        <v>0.18961393826921935</v>
      </c>
      <c r="R9" s="5">
        <v>3.1262802372595431</v>
      </c>
      <c r="S9" s="5">
        <v>0.52052039364534297</v>
      </c>
      <c r="T9" s="5">
        <v>3.4667703410865898E-2</v>
      </c>
      <c r="U9" s="5">
        <v>1.4329052091155239</v>
      </c>
      <c r="V9" s="13">
        <v>4.938360137472295E-11</v>
      </c>
      <c r="W9" s="5">
        <f t="shared" si="0"/>
        <v>5.4787503996945208E-2</v>
      </c>
      <c r="X9" s="5">
        <f t="shared" si="0"/>
        <v>-1.038606173078066E-2</v>
      </c>
      <c r="Y9" s="5">
        <f t="shared" si="2"/>
        <v>1.5319762740456877E-2</v>
      </c>
      <c r="Z9" s="5">
        <f t="shared" si="0"/>
        <v>-1.0725526354657067E-2</v>
      </c>
      <c r="AA9" s="5">
        <f t="shared" si="0"/>
        <v>-5.3322965891341029E-3</v>
      </c>
      <c r="AB9" s="5">
        <f t="shared" si="3"/>
        <v>0.13789479088447609</v>
      </c>
      <c r="AC9" s="8">
        <f t="shared" si="1"/>
        <v>3.2756515175801137E-2</v>
      </c>
      <c r="AD9" s="8">
        <f t="shared" si="1"/>
        <v>7.8591791599573815E-3</v>
      </c>
      <c r="AE9" s="8">
        <f t="shared" si="1"/>
        <v>7.6607276812466485E-2</v>
      </c>
      <c r="AF9" s="12"/>
      <c r="AG9" s="12"/>
      <c r="AH9" s="12"/>
    </row>
    <row r="10" spans="1:37" x14ac:dyDescent="0.25">
      <c r="A10" s="5">
        <f>'Proximal Validation'!A10</f>
        <v>1.4922792275000001</v>
      </c>
      <c r="B10" s="5">
        <f>'Proximal Validation'!B10</f>
        <v>0.2</v>
      </c>
      <c r="C10" s="5">
        <f>'Proximal Validation'!C10</f>
        <v>2.3561999999999999</v>
      </c>
      <c r="D10" s="5">
        <f>'Proximal Validation'!D10</f>
        <v>1.2493008810999999</v>
      </c>
      <c r="E10" s="5">
        <f>'Proximal Validation'!E10</f>
        <v>0.04</v>
      </c>
      <c r="F10" s="5">
        <f>'Proximal Validation'!F10</f>
        <v>0.78539999999999999</v>
      </c>
      <c r="G10" s="5">
        <f>'Proximal Validation'!G10</f>
        <v>0.65138204079999995</v>
      </c>
      <c r="H10" s="5">
        <f>'Proximal Validation'!H10</f>
        <v>2.3960292019999998</v>
      </c>
      <c r="I10" s="5">
        <f>'Proximal Validation'!I10</f>
        <v>3.8310385232000002</v>
      </c>
      <c r="J10" s="5">
        <f>'Proximal Validation'!J10</f>
        <v>-3.3023439347744002E-2</v>
      </c>
      <c r="K10" s="5">
        <f>'Proximal Validation'!K10</f>
        <v>-0.23263156175613409</v>
      </c>
      <c r="L10" s="5">
        <f>'Proximal Validation'!L10</f>
        <v>-0.15568616658449203</v>
      </c>
      <c r="M10" s="5">
        <f>'Proximal Validation'!M10</f>
        <v>-1.0651987791061399</v>
      </c>
      <c r="N10" s="5">
        <f>'Proximal Validation'!N10</f>
        <v>0.49567955732345598</v>
      </c>
      <c r="O10" s="5">
        <f>'Proximal Validation'!O10</f>
        <v>1.5597436428070099</v>
      </c>
      <c r="P10" s="5">
        <v>1.4977321108815076</v>
      </c>
      <c r="Q10" s="5">
        <v>0.19909007035666679</v>
      </c>
      <c r="R10" s="5">
        <v>2.4045639186877645</v>
      </c>
      <c r="S10" s="5">
        <v>1.3067182928655552</v>
      </c>
      <c r="T10" s="5">
        <v>4.8085590444271659E-2</v>
      </c>
      <c r="U10" s="5">
        <v>0.78890576668179435</v>
      </c>
      <c r="V10" s="13">
        <v>9.0394118907010205E-9</v>
      </c>
      <c r="W10" s="5">
        <f t="shared" si="0"/>
        <v>5.4528833815075117E-3</v>
      </c>
      <c r="X10" s="5">
        <f t="shared" si="0"/>
        <v>-9.0992964333322379E-4</v>
      </c>
      <c r="Y10" s="5">
        <f t="shared" si="2"/>
        <v>4.8363918687764684E-2</v>
      </c>
      <c r="Z10" s="5">
        <f t="shared" si="0"/>
        <v>5.741741176555526E-2</v>
      </c>
      <c r="AA10" s="5">
        <f t="shared" si="0"/>
        <v>8.0855904442716578E-3</v>
      </c>
      <c r="AB10" s="5">
        <f t="shared" si="3"/>
        <v>3.5057666817943645E-3</v>
      </c>
      <c r="AC10" s="8">
        <f t="shared" si="1"/>
        <v>3.1435147573531386E-2</v>
      </c>
      <c r="AD10" s="8">
        <f t="shared" si="1"/>
        <v>4.4977600438024408E-3</v>
      </c>
      <c r="AE10" s="8">
        <f t="shared" si="1"/>
        <v>2.5934842684779524E-2</v>
      </c>
    </row>
    <row r="11" spans="1:37" x14ac:dyDescent="0.25">
      <c r="A11" s="5">
        <f>'Proximal Validation'!A11</f>
        <v>1.4258680059</v>
      </c>
      <c r="B11" s="5">
        <f>'Proximal Validation'!B11</f>
        <v>0.2</v>
      </c>
      <c r="C11" s="5">
        <f>'Proximal Validation'!C11</f>
        <v>4.7123999999999997</v>
      </c>
      <c r="D11" s="5">
        <f>'Proximal Validation'!D11</f>
        <v>0.35291314260000001</v>
      </c>
      <c r="E11" s="5">
        <f>'Proximal Validation'!E11</f>
        <v>0.04</v>
      </c>
      <c r="F11" s="5">
        <f>'Proximal Validation'!F11</f>
        <v>0</v>
      </c>
      <c r="G11" s="5">
        <f>'Proximal Validation'!G11</f>
        <v>3.4810259851000001</v>
      </c>
      <c r="H11" s="5">
        <f>'Proximal Validation'!H11</f>
        <v>1.1294030872</v>
      </c>
      <c r="I11" s="5">
        <f>'Proximal Validation'!I11</f>
        <v>4.9138255752999997</v>
      </c>
      <c r="J11" s="5">
        <f>'Proximal Validation'!J11</f>
        <v>-2.9087357223033902E-2</v>
      </c>
      <c r="K11" s="5">
        <f>'Proximal Validation'!K11</f>
        <v>0.27084197163581819</v>
      </c>
      <c r="L11" s="5">
        <f>'Proximal Validation'!L11</f>
        <v>9.3254102021455808E-3</v>
      </c>
      <c r="M11" s="5">
        <f>'Proximal Validation'!M11</f>
        <v>-1.3190960884094201</v>
      </c>
      <c r="N11" s="5">
        <f>'Proximal Validation'!N11</f>
        <v>0.140940636396408</v>
      </c>
      <c r="O11" s="5">
        <f>'Proximal Validation'!O11</f>
        <v>-0.61736321449279796</v>
      </c>
      <c r="P11" s="5">
        <v>1.4786163186041195</v>
      </c>
      <c r="Q11" s="5">
        <v>0.19233547160758749</v>
      </c>
      <c r="R11" s="5">
        <v>4.6826528639276752</v>
      </c>
      <c r="S11" s="5">
        <v>0.39312558413493154</v>
      </c>
      <c r="T11" s="5">
        <v>5.5517266500409557E-2</v>
      </c>
      <c r="U11" s="5">
        <v>0.17208336140377042</v>
      </c>
      <c r="V11" s="13">
        <v>3.5527177140610246E-11</v>
      </c>
      <c r="W11" s="5">
        <f t="shared" si="0"/>
        <v>5.2748312704119504E-2</v>
      </c>
      <c r="X11" s="5">
        <f t="shared" si="0"/>
        <v>-7.6645283924125229E-3</v>
      </c>
      <c r="Y11" s="5">
        <f t="shared" si="2"/>
        <v>2.9747136072324487E-2</v>
      </c>
      <c r="Z11" s="5">
        <f t="shared" si="0"/>
        <v>4.0212441534931531E-2</v>
      </c>
      <c r="AA11" s="5">
        <f t="shared" si="0"/>
        <v>1.5517266500409556E-2</v>
      </c>
      <c r="AB11" s="5">
        <f t="shared" si="3"/>
        <v>0.17208336140377042</v>
      </c>
      <c r="AC11" s="8">
        <f t="shared" si="1"/>
        <v>4.6480377119525518E-2</v>
      </c>
      <c r="AD11" s="8">
        <f t="shared" si="1"/>
        <v>1.1590897446411039E-2</v>
      </c>
      <c r="AE11" s="8">
        <f t="shared" si="1"/>
        <v>0.10091524873804746</v>
      </c>
    </row>
    <row r="12" spans="1:37" x14ac:dyDescent="0.25">
      <c r="A12" s="5">
        <f>'Proximal Validation'!A12</f>
        <v>1.2847663906</v>
      </c>
      <c r="B12" s="5">
        <f>'Proximal Validation'!B12</f>
        <v>0.18</v>
      </c>
      <c r="C12" s="5">
        <f>'Proximal Validation'!C12</f>
        <v>0.78539999999999999</v>
      </c>
      <c r="D12" s="5">
        <f>'Proximal Validation'!D12</f>
        <v>0.98965387010000005</v>
      </c>
      <c r="E12" s="5">
        <f>'Proximal Validation'!E12</f>
        <v>0.04</v>
      </c>
      <c r="F12" s="5">
        <f>'Proximal Validation'!F12</f>
        <v>3.927</v>
      </c>
      <c r="G12" s="5">
        <f>'Proximal Validation'!G12</f>
        <v>3.2068327339999998</v>
      </c>
      <c r="H12" s="5">
        <f>'Proximal Validation'!H12</f>
        <v>3.5469168124000001</v>
      </c>
      <c r="I12" s="5">
        <f>'Proximal Validation'!I12</f>
        <v>1.1514404992</v>
      </c>
      <c r="J12" s="5">
        <f>'Proximal Validation'!J12</f>
        <v>-1.0062171146273601E-2</v>
      </c>
      <c r="K12" s="5">
        <f>'Proximal Validation'!K12</f>
        <v>-0.11961497262120291</v>
      </c>
      <c r="L12" s="5">
        <f>'Proximal Validation'!L12</f>
        <v>0.13679772749543156</v>
      </c>
      <c r="M12" s="5">
        <f>'Proximal Validation'!M12</f>
        <v>-0.57413351535797097</v>
      </c>
      <c r="N12" s="5">
        <f>'Proximal Validation'!N12</f>
        <v>-0.16432480514049499</v>
      </c>
      <c r="O12" s="5">
        <f>'Proximal Validation'!O12</f>
        <v>-0.195539399981499</v>
      </c>
      <c r="P12" s="5">
        <v>1.2214417516895735</v>
      </c>
      <c r="Q12" s="5">
        <v>0.18405645216224112</v>
      </c>
      <c r="R12" s="5">
        <v>0.78540980817223682</v>
      </c>
      <c r="S12" s="5">
        <v>0.93453964012641377</v>
      </c>
      <c r="T12" s="5">
        <v>3.5282380882511004E-2</v>
      </c>
      <c r="U12" s="5">
        <v>3.9262837488947055</v>
      </c>
      <c r="V12" s="13">
        <v>2.1912601350137114E-9</v>
      </c>
      <c r="W12" s="5">
        <f t="shared" si="0"/>
        <v>-6.3324638910426501E-2</v>
      </c>
      <c r="X12" s="5">
        <f t="shared" si="0"/>
        <v>4.0564521622411254E-3</v>
      </c>
      <c r="Y12" s="5">
        <f t="shared" si="2"/>
        <v>9.8081722368359436E-6</v>
      </c>
      <c r="Z12" s="5">
        <f t="shared" si="0"/>
        <v>-5.5114229973586282E-2</v>
      </c>
      <c r="AA12" s="5">
        <f t="shared" si="0"/>
        <v>-4.717619117488997E-3</v>
      </c>
      <c r="AB12" s="5">
        <f t="shared" si="3"/>
        <v>7.1625110529449643E-4</v>
      </c>
      <c r="AC12" s="8">
        <f t="shared" si="1"/>
        <v>5.9219434442006391E-2</v>
      </c>
      <c r="AD12" s="8">
        <f t="shared" si="1"/>
        <v>4.3870356398650612E-3</v>
      </c>
      <c r="AE12" s="8">
        <f t="shared" si="1"/>
        <v>3.6302963876566618E-4</v>
      </c>
      <c r="AF12" s="12"/>
      <c r="AG12" s="12"/>
      <c r="AH12" s="12"/>
    </row>
    <row r="13" spans="1:37" x14ac:dyDescent="0.25">
      <c r="A13" s="5">
        <f>'Proximal Validation'!A13</f>
        <v>0.82078888689999996</v>
      </c>
      <c r="B13" s="5">
        <f>'Proximal Validation'!B13</f>
        <v>0.18</v>
      </c>
      <c r="C13" s="5">
        <f>'Proximal Validation'!C13</f>
        <v>0</v>
      </c>
      <c r="D13" s="5">
        <f>'Proximal Validation'!D13</f>
        <v>1.3252826163</v>
      </c>
      <c r="E13" s="5">
        <f>'Proximal Validation'!E13</f>
        <v>0.04</v>
      </c>
      <c r="F13" s="5">
        <f>'Proximal Validation'!F13</f>
        <v>0</v>
      </c>
      <c r="G13" s="5">
        <f>'Proximal Validation'!G13</f>
        <v>3.9081993600000003E-2</v>
      </c>
      <c r="H13" s="5">
        <f>'Proximal Validation'!H13</f>
        <v>2.9262884955000001</v>
      </c>
      <c r="I13" s="5">
        <f>'Proximal Validation'!I13</f>
        <v>4.7431789933999999</v>
      </c>
      <c r="J13" s="5">
        <f>'Proximal Validation'!J13</f>
        <v>1.4371985569596299E-2</v>
      </c>
      <c r="K13" s="5">
        <f>'Proximal Validation'!K13</f>
        <v>-1.4706531241536116E-2</v>
      </c>
      <c r="L13" s="5">
        <f>'Proximal Validation'!L13</f>
        <v>0.2061504805088038</v>
      </c>
      <c r="M13" s="5">
        <f>'Proximal Validation'!M13</f>
        <v>-0.55730897188186601</v>
      </c>
      <c r="N13" s="5">
        <f>'Proximal Validation'!N13</f>
        <v>2.0565929412841801</v>
      </c>
      <c r="O13" s="5">
        <f>'Proximal Validation'!O13</f>
        <v>7.4373602867126506E-2</v>
      </c>
      <c r="P13" s="5">
        <v>1.1333602732663941</v>
      </c>
      <c r="Q13" s="5">
        <v>0.15862230426123372</v>
      </c>
      <c r="R13" s="5">
        <v>6.2831851355952688</v>
      </c>
      <c r="S13" s="5">
        <v>1.0268169507169853</v>
      </c>
      <c r="T13" s="5">
        <v>2.1306728176378499E-2</v>
      </c>
      <c r="U13" s="5">
        <v>6.283092340987217</v>
      </c>
      <c r="V13" s="13">
        <v>4.9087300175668397E-8</v>
      </c>
      <c r="W13" s="5">
        <f t="shared" si="0"/>
        <v>0.31257138636639414</v>
      </c>
      <c r="X13" s="5">
        <f t="shared" si="0"/>
        <v>-2.1377695738766272E-2</v>
      </c>
      <c r="Y13" s="5">
        <f t="shared" si="2"/>
        <v>1.715843174210363E-7</v>
      </c>
      <c r="Z13" s="5">
        <f t="shared" si="0"/>
        <v>-0.29846566558301468</v>
      </c>
      <c r="AA13" s="5">
        <f t="shared" si="0"/>
        <v>-1.8693271823621502E-2</v>
      </c>
      <c r="AB13" s="5">
        <f t="shared" si="3"/>
        <v>9.2966192369203782E-5</v>
      </c>
      <c r="AC13" s="8">
        <f t="shared" si="1"/>
        <v>0.30551852597470441</v>
      </c>
      <c r="AD13" s="8">
        <f t="shared" si="1"/>
        <v>2.0035483781193887E-2</v>
      </c>
      <c r="AE13" s="8">
        <f t="shared" si="1"/>
        <v>4.6568888343312409E-5</v>
      </c>
    </row>
    <row r="14" spans="1:37" x14ac:dyDescent="0.25">
      <c r="A14" s="5">
        <f>'Proximal Validation'!A14</f>
        <v>0.51355824630000002</v>
      </c>
      <c r="B14" s="5">
        <f>'Proximal Validation'!B14</f>
        <v>0.2</v>
      </c>
      <c r="C14" s="5">
        <f>'Proximal Validation'!C14</f>
        <v>2.3561999999999999</v>
      </c>
      <c r="D14" s="5">
        <f>'Proximal Validation'!D14</f>
        <v>0.96095190770000005</v>
      </c>
      <c r="E14" s="5">
        <f>'Proximal Validation'!E14</f>
        <v>0.06</v>
      </c>
      <c r="F14" s="5">
        <f>'Proximal Validation'!F14</f>
        <v>0</v>
      </c>
      <c r="G14" s="5">
        <f>'Proximal Validation'!G14</f>
        <v>2.4382389278000001</v>
      </c>
      <c r="H14" s="5">
        <f>'Proximal Validation'!H14</f>
        <v>4.2854047354000002</v>
      </c>
      <c r="I14" s="5">
        <f>'Proximal Validation'!I14</f>
        <v>0.33901404839999999</v>
      </c>
      <c r="J14" s="5">
        <f>'Proximal Validation'!J14</f>
        <v>1.1325632221996799E-3</v>
      </c>
      <c r="K14" s="5">
        <f>'Proximal Validation'!K14</f>
        <v>-6.6681183576583883E-2</v>
      </c>
      <c r="L14" s="5">
        <f>'Proximal Validation'!L14</f>
        <v>7.4554264545442783E-4</v>
      </c>
      <c r="M14" s="5">
        <f>'Proximal Validation'!M14</f>
        <v>-6.8245917558670002E-2</v>
      </c>
      <c r="N14" s="5">
        <f>'Proximal Validation'!N14</f>
        <v>0.80465632677078203</v>
      </c>
      <c r="O14" s="5">
        <f>'Proximal Validation'!O14</f>
        <v>0.26539456844329801</v>
      </c>
      <c r="P14" s="5">
        <v>0.78692848318904418</v>
      </c>
      <c r="Q14" s="5">
        <v>0.15989161691874385</v>
      </c>
      <c r="R14" s="5">
        <v>2.4377347956548099</v>
      </c>
      <c r="S14" s="5">
        <v>1.2080549694407117</v>
      </c>
      <c r="T14" s="5">
        <v>6.8676139271114892E-2</v>
      </c>
      <c r="U14" s="5">
        <v>6.1589386215995114</v>
      </c>
      <c r="V14" s="13">
        <v>3.7138486772265517E-12</v>
      </c>
      <c r="W14" s="5">
        <f t="shared" si="0"/>
        <v>0.27337023688904416</v>
      </c>
      <c r="X14" s="5">
        <f t="shared" si="0"/>
        <v>-4.0108383081256166E-2</v>
      </c>
      <c r="Y14" s="5">
        <f t="shared" si="2"/>
        <v>8.1534795654810033E-2</v>
      </c>
      <c r="Z14" s="5">
        <f t="shared" si="0"/>
        <v>0.24710306174071162</v>
      </c>
      <c r="AA14" s="5">
        <f t="shared" si="0"/>
        <v>8.6761392711148938E-3</v>
      </c>
      <c r="AB14" s="5">
        <f t="shared" si="3"/>
        <v>0.12424668558007479</v>
      </c>
      <c r="AC14" s="8">
        <f t="shared" si="1"/>
        <v>0.26023664931487789</v>
      </c>
      <c r="AD14" s="8">
        <f t="shared" si="1"/>
        <v>2.439226117618553E-2</v>
      </c>
      <c r="AE14" s="8">
        <f t="shared" si="1"/>
        <v>0.10289074061744241</v>
      </c>
    </row>
    <row r="15" spans="1:37" x14ac:dyDescent="0.25">
      <c r="A15" s="5">
        <f>'Proximal Validation'!A15</f>
        <v>0.35944564579999999</v>
      </c>
      <c r="B15" s="5">
        <f>'Proximal Validation'!B15</f>
        <v>0.18</v>
      </c>
      <c r="C15" s="5">
        <f>'Proximal Validation'!C15</f>
        <v>5.4977999999999998</v>
      </c>
      <c r="D15" s="5">
        <f>'Proximal Validation'!D15</f>
        <v>1.2877652723999999</v>
      </c>
      <c r="E15" s="5">
        <f>'Proximal Validation'!E15</f>
        <v>0.04</v>
      </c>
      <c r="F15" s="5">
        <f>'Proximal Validation'!F15</f>
        <v>2.3561999999999999</v>
      </c>
      <c r="G15" s="5">
        <f>'Proximal Validation'!G15</f>
        <v>2.1189458146</v>
      </c>
      <c r="H15" s="5">
        <f>'Proximal Validation'!H15</f>
        <v>2.2606748846000002</v>
      </c>
      <c r="I15" s="5">
        <f>'Proximal Validation'!I15</f>
        <v>0.94750633689999997</v>
      </c>
      <c r="J15" s="5">
        <f>'Proximal Validation'!J15</f>
        <v>-5.0011062994599299E-3</v>
      </c>
      <c r="K15" s="5">
        <f>'Proximal Validation'!K15</f>
        <v>1.905451118946036E-3</v>
      </c>
      <c r="L15" s="5">
        <f>'Proximal Validation'!L15</f>
        <v>-3.3290824294089638E-3</v>
      </c>
      <c r="M15" s="5">
        <f>'Proximal Validation'!M15</f>
        <v>1.8331240862607999E-3</v>
      </c>
      <c r="N15" s="5">
        <f>'Proximal Validation'!N15</f>
        <v>-0.756436347961426</v>
      </c>
      <c r="O15" s="5">
        <f>'Proximal Validation'!O15</f>
        <v>0.79075133800506603</v>
      </c>
      <c r="P15" s="5">
        <v>0.39650897295391785</v>
      </c>
      <c r="Q15" s="5">
        <v>0.17306168857807638</v>
      </c>
      <c r="R15" s="5">
        <v>5.497800240378913</v>
      </c>
      <c r="S15" s="5">
        <v>1.3246168661619706</v>
      </c>
      <c r="T15" s="5">
        <v>4.2007251004442386E-2</v>
      </c>
      <c r="U15" s="5">
        <v>2.3562320790987812</v>
      </c>
      <c r="V15" s="13">
        <v>7.86720196163185E-14</v>
      </c>
      <c r="W15" s="5">
        <f t="shared" si="0"/>
        <v>3.7063327153917858E-2</v>
      </c>
      <c r="X15" s="5">
        <f t="shared" si="0"/>
        <v>-6.9383114219236097E-3</v>
      </c>
      <c r="Y15" s="5">
        <f t="shared" si="2"/>
        <v>2.4037891321881943E-7</v>
      </c>
      <c r="Z15" s="5">
        <f t="shared" si="0"/>
        <v>3.6851593761970669E-2</v>
      </c>
      <c r="AA15" s="5">
        <f t="shared" si="0"/>
        <v>2.0072510044423855E-3</v>
      </c>
      <c r="AB15" s="5">
        <f t="shared" si="3"/>
        <v>3.2079098781334636E-5</v>
      </c>
      <c r="AC15" s="8">
        <f t="shared" si="1"/>
        <v>3.6957460457944263E-2</v>
      </c>
      <c r="AD15" s="8">
        <f t="shared" si="1"/>
        <v>4.4727812131829976E-3</v>
      </c>
      <c r="AE15" s="8">
        <f t="shared" si="1"/>
        <v>1.6159738847276728E-5</v>
      </c>
    </row>
    <row r="16" spans="1:37" x14ac:dyDescent="0.25">
      <c r="A16" s="5">
        <f>'Proximal Validation'!A16</f>
        <v>1.2267525763</v>
      </c>
      <c r="B16" s="5">
        <f>'Proximal Validation'!B16</f>
        <v>0.16</v>
      </c>
      <c r="C16" s="5">
        <f>'Proximal Validation'!C16</f>
        <v>5.4977999999999998</v>
      </c>
      <c r="D16" s="5">
        <f>'Proximal Validation'!D16</f>
        <v>1.4944716747</v>
      </c>
      <c r="E16" s="5">
        <f>'Proximal Validation'!E16</f>
        <v>0.04</v>
      </c>
      <c r="F16" s="5">
        <f>'Proximal Validation'!F16</f>
        <v>3.927</v>
      </c>
      <c r="G16" s="5">
        <f>'Proximal Validation'!G16</f>
        <v>0.31884207939999998</v>
      </c>
      <c r="H16" s="5">
        <f>'Proximal Validation'!H16</f>
        <v>3.8007215218999999</v>
      </c>
      <c r="I16" s="5">
        <f>'Proximal Validation'!I16</f>
        <v>0.48541647729999998</v>
      </c>
      <c r="J16" s="5">
        <f>'Proximal Validation'!J16</f>
        <v>5.6576435454189803E-3</v>
      </c>
      <c r="K16" s="5">
        <f>'Proximal Validation'!K16</f>
        <v>0.17276296734809909</v>
      </c>
      <c r="L16" s="5">
        <f>'Proximal Validation'!L16</f>
        <v>8.9440476745367051E-2</v>
      </c>
      <c r="M16" s="5">
        <f>'Proximal Validation'!M16</f>
        <v>-0.48139920830726601</v>
      </c>
      <c r="N16" s="5">
        <f>'Proximal Validation'!N16</f>
        <v>-0.48554921150207497</v>
      </c>
      <c r="O16" s="5">
        <f>'Proximal Validation'!O16</f>
        <v>-1.6963471174240099</v>
      </c>
      <c r="P16" s="5">
        <v>1.3282844876469309</v>
      </c>
      <c r="Q16" s="5">
        <v>0.15048983276568714</v>
      </c>
      <c r="R16" s="5">
        <v>5.4698877325271091</v>
      </c>
      <c r="S16" s="5">
        <v>1.4618785648301067</v>
      </c>
      <c r="T16" s="5">
        <v>3.707762927015678E-2</v>
      </c>
      <c r="U16" s="5">
        <v>3.8565331859369163</v>
      </c>
      <c r="V16" s="13">
        <v>1.2543202733213469E-10</v>
      </c>
      <c r="W16" s="5">
        <f t="shared" si="0"/>
        <v>0.10153191134693085</v>
      </c>
      <c r="X16" s="5">
        <f t="shared" si="0"/>
        <v>-9.5101672343128607E-3</v>
      </c>
      <c r="Y16" s="5">
        <f t="shared" si="2"/>
        <v>2.7912267472890662E-2</v>
      </c>
      <c r="Z16" s="5">
        <f t="shared" si="0"/>
        <v>-3.2593109869893278E-2</v>
      </c>
      <c r="AA16" s="5">
        <f t="shared" si="0"/>
        <v>-2.9223707298432211E-3</v>
      </c>
      <c r="AB16" s="5">
        <f t="shared" si="3"/>
        <v>7.0466814063083749E-2</v>
      </c>
      <c r="AC16" s="8">
        <f t="shared" si="1"/>
        <v>6.7062510608412063E-2</v>
      </c>
      <c r="AD16" s="8">
        <f t="shared" si="1"/>
        <v>6.2162689820780409E-3</v>
      </c>
      <c r="AE16" s="8">
        <f t="shared" si="1"/>
        <v>4.9189540767987205E-2</v>
      </c>
    </row>
    <row r="17" spans="1:31" x14ac:dyDescent="0.25">
      <c r="A17" s="5">
        <f>'Proximal Validation'!A17</f>
        <v>0.64421489080000005</v>
      </c>
      <c r="B17" s="5">
        <f>'Proximal Validation'!B17</f>
        <v>0.14000000000000001</v>
      </c>
      <c r="C17" s="5">
        <f>'Proximal Validation'!C17</f>
        <v>0</v>
      </c>
      <c r="D17" s="5">
        <f>'Proximal Validation'!D17</f>
        <v>0.8523470823</v>
      </c>
      <c r="E17" s="5">
        <f>'Proximal Validation'!E17</f>
        <v>0.02</v>
      </c>
      <c r="F17" s="5">
        <f>'Proximal Validation'!F17</f>
        <v>4.7123999999999997</v>
      </c>
      <c r="G17" s="5">
        <f>'Proximal Validation'!G17</f>
        <v>8.0437148799999997E-2</v>
      </c>
      <c r="H17" s="5">
        <f>'Proximal Validation'!H17</f>
        <v>0.35167971240000001</v>
      </c>
      <c r="I17" s="5">
        <f>'Proximal Validation'!I17</f>
        <v>1.0501461195999999</v>
      </c>
      <c r="J17" s="5">
        <f>'Proximal Validation'!J17</f>
        <v>1.9597527571022502E-3</v>
      </c>
      <c r="K17" s="5">
        <f>'Proximal Validation'!K17</f>
        <v>1.6047963500023368E-2</v>
      </c>
      <c r="L17" s="5">
        <f>'Proximal Validation'!L17</f>
        <v>8.9387370347976308E-2</v>
      </c>
      <c r="M17" s="5">
        <f>'Proximal Validation'!M17</f>
        <v>-0.110345743596554</v>
      </c>
      <c r="N17" s="5">
        <f>'Proximal Validation'!N17</f>
        <v>0.49668353796005199</v>
      </c>
      <c r="O17" s="5">
        <f>'Proximal Validation'!O17</f>
        <v>-0.96090674400329601</v>
      </c>
      <c r="P17" s="5">
        <v>0.56548197058466498</v>
      </c>
      <c r="Q17" s="5">
        <v>0.18260914723004709</v>
      </c>
      <c r="R17" s="5">
        <v>0.78579442828826729</v>
      </c>
      <c r="S17" s="5">
        <v>1.2713507254006433</v>
      </c>
      <c r="T17" s="5">
        <v>7.2230823441294181E-2</v>
      </c>
      <c r="U17" s="5">
        <v>4.9065354885927031</v>
      </c>
      <c r="V17" s="13">
        <v>7.4889529982223932E-10</v>
      </c>
      <c r="W17" s="5">
        <f t="shared" si="0"/>
        <v>-7.8732920215335067E-2</v>
      </c>
      <c r="X17" s="5">
        <f t="shared" si="0"/>
        <v>4.2609147230047079E-2</v>
      </c>
      <c r="Y17" s="5">
        <f t="shared" si="2"/>
        <v>0.78579442828826729</v>
      </c>
      <c r="Z17" s="5">
        <f t="shared" si="0"/>
        <v>0.41900364310064331</v>
      </c>
      <c r="AA17" s="5">
        <f t="shared" si="0"/>
        <v>5.2230823441294177E-2</v>
      </c>
      <c r="AB17" s="5">
        <f t="shared" si="3"/>
        <v>0.19413548859270335</v>
      </c>
      <c r="AC17" s="8">
        <f t="shared" si="1"/>
        <v>0.24886828165798919</v>
      </c>
      <c r="AD17" s="8">
        <f t="shared" si="1"/>
        <v>4.7419985335670628E-2</v>
      </c>
      <c r="AE17" s="8">
        <f t="shared" si="1"/>
        <v>0.48996495844048532</v>
      </c>
    </row>
    <row r="18" spans="1:31" x14ac:dyDescent="0.25">
      <c r="A18" s="5">
        <f>'Proximal Validation'!A18</f>
        <v>1.1302547975999999</v>
      </c>
      <c r="B18" s="5">
        <f>'Proximal Validation'!B18</f>
        <v>0.16</v>
      </c>
      <c r="C18" s="5">
        <f>'Proximal Validation'!C18</f>
        <v>4.7123999999999997</v>
      </c>
      <c r="D18" s="5">
        <f>'Proximal Validation'!D18</f>
        <v>1.3446433494000001</v>
      </c>
      <c r="E18" s="5">
        <f>'Proximal Validation'!E18</f>
        <v>0.04</v>
      </c>
      <c r="F18" s="5">
        <f>'Proximal Validation'!F18</f>
        <v>0</v>
      </c>
      <c r="G18" s="5">
        <f>'Proximal Validation'!G18</f>
        <v>1.0644222964000001</v>
      </c>
      <c r="H18" s="5">
        <f>'Proximal Validation'!H18</f>
        <v>1.4761094460999999</v>
      </c>
      <c r="I18" s="5">
        <f>'Proximal Validation'!I18</f>
        <v>3.5278441351000001</v>
      </c>
      <c r="J18" s="5">
        <f>'Proximal Validation'!J18</f>
        <v>1.67317176237702E-3</v>
      </c>
      <c r="K18" s="5">
        <f>'Proximal Validation'!K18</f>
        <v>0.16960764229297612</v>
      </c>
      <c r="L18" s="5">
        <f>'Proximal Validation'!L18</f>
        <v>5.4553549885749189E-2</v>
      </c>
      <c r="M18" s="5">
        <f>'Proximal Validation'!M18</f>
        <v>-0.55695748329162598</v>
      </c>
      <c r="N18" s="5">
        <f>'Proximal Validation'!N18</f>
        <v>1.32389569282532</v>
      </c>
      <c r="O18" s="5">
        <f>'Proximal Validation'!O18</f>
        <v>-0.76391577720642101</v>
      </c>
      <c r="P18" s="5">
        <v>1.0625218645948564</v>
      </c>
      <c r="Q18" s="5">
        <v>0.16752950197476021</v>
      </c>
      <c r="R18" s="5">
        <v>4.7024092811951519</v>
      </c>
      <c r="S18" s="5">
        <v>1.3563842789455491</v>
      </c>
      <c r="T18" s="5">
        <v>4.1022338961285862E-2</v>
      </c>
      <c r="U18" s="5">
        <v>6.2289749370332679</v>
      </c>
      <c r="V18" s="13">
        <v>1.405746603655933E-14</v>
      </c>
      <c r="W18" s="5">
        <f t="shared" si="0"/>
        <v>-6.7732933005143492E-2</v>
      </c>
      <c r="X18" s="5">
        <f t="shared" si="0"/>
        <v>7.529501974760211E-3</v>
      </c>
      <c r="Y18" s="5">
        <f t="shared" si="2"/>
        <v>9.9907188048478091E-3</v>
      </c>
      <c r="Z18" s="5">
        <f t="shared" si="0"/>
        <v>1.1740929545549061E-2</v>
      </c>
      <c r="AA18" s="5">
        <f t="shared" si="0"/>
        <v>1.022338961285861E-3</v>
      </c>
      <c r="AB18" s="5">
        <f t="shared" si="3"/>
        <v>5.4210370146318354E-2</v>
      </c>
      <c r="AC18" s="8">
        <f t="shared" si="1"/>
        <v>3.9736931275346277E-2</v>
      </c>
      <c r="AD18" s="8">
        <f t="shared" si="1"/>
        <v>4.275920468023036E-3</v>
      </c>
      <c r="AE18" s="8">
        <f t="shared" si="1"/>
        <v>3.2100544475583082E-2</v>
      </c>
    </row>
    <row r="19" spans="1:31" x14ac:dyDescent="0.25">
      <c r="A19" s="5">
        <f>'Proximal Validation'!A19</f>
        <v>0.44052297210000002</v>
      </c>
      <c r="B19" s="5">
        <f>'Proximal Validation'!B19</f>
        <v>0.14000000000000001</v>
      </c>
      <c r="C19" s="5">
        <f>'Proximal Validation'!C19</f>
        <v>0.78539999999999999</v>
      </c>
      <c r="D19" s="5">
        <f>'Proximal Validation'!D19</f>
        <v>1.0539703866000001</v>
      </c>
      <c r="E19" s="5">
        <f>'Proximal Validation'!E19</f>
        <v>0.02</v>
      </c>
      <c r="F19" s="5">
        <f>'Proximal Validation'!F19</f>
        <v>3.1415999999999999</v>
      </c>
      <c r="G19" s="5">
        <f>'Proximal Validation'!G19</f>
        <v>2.7027230284999999</v>
      </c>
      <c r="H19" s="5">
        <f>'Proximal Validation'!H19</f>
        <v>1.6080541686000001</v>
      </c>
      <c r="I19" s="5">
        <f>'Proximal Validation'!I19</f>
        <v>1.7094513416999999</v>
      </c>
      <c r="J19" s="5">
        <f>'Proximal Validation'!J19</f>
        <v>2.5936241727322301E-3</v>
      </c>
      <c r="K19" s="5">
        <f>'Proximal Validation'!K19</f>
        <v>-4.9032121598720613E-2</v>
      </c>
      <c r="L19" s="5">
        <f>'Proximal Validation'!L19</f>
        <v>2.3136439621448505E-2</v>
      </c>
      <c r="M19" s="5">
        <f>'Proximal Validation'!M19</f>
        <v>-4.1746888309717199E-2</v>
      </c>
      <c r="N19" s="5">
        <f>'Proximal Validation'!N19</f>
        <v>-0.86065161228179898</v>
      </c>
      <c r="O19" s="5">
        <f>'Proximal Validation'!O19</f>
        <v>0.30409139394760099</v>
      </c>
      <c r="P19" s="5">
        <v>0.65791681701633309</v>
      </c>
      <c r="Q19" s="5">
        <v>0.10148410528255265</v>
      </c>
      <c r="R19" s="5">
        <v>0.77700855715166539</v>
      </c>
      <c r="S19" s="5">
        <v>1.2222027207497608</v>
      </c>
      <c r="T19" s="5">
        <v>2.0640534861867867E-2</v>
      </c>
      <c r="U19" s="5">
        <v>3.2654807514293331</v>
      </c>
      <c r="V19" s="13">
        <v>1.2937102146043179E-8</v>
      </c>
      <c r="W19" s="5">
        <f t="shared" ref="W19:X38" si="4">P19-A19</f>
        <v>0.21739384491633307</v>
      </c>
      <c r="X19" s="5">
        <f t="shared" si="4"/>
        <v>-3.851589471744736E-2</v>
      </c>
      <c r="Y19" s="5">
        <f t="shared" si="2"/>
        <v>8.391442848334596E-3</v>
      </c>
      <c r="Z19" s="5">
        <f t="shared" ref="Z19:AA38" si="5">S19-D19</f>
        <v>0.16823233414976069</v>
      </c>
      <c r="AA19" s="5">
        <f t="shared" si="5"/>
        <v>6.405348618678669E-4</v>
      </c>
      <c r="AB19" s="5">
        <f t="shared" si="3"/>
        <v>0.12388075142933319</v>
      </c>
      <c r="AC19" s="8">
        <f t="shared" ref="AC19:AE38" si="6">AVERAGE(ABS(W19),ABS(Z19))</f>
        <v>0.19281308953304688</v>
      </c>
      <c r="AD19" s="8">
        <f t="shared" si="6"/>
        <v>1.9578214789657614E-2</v>
      </c>
      <c r="AE19" s="8">
        <f t="shared" si="6"/>
        <v>6.6136097138833894E-2</v>
      </c>
    </row>
    <row r="20" spans="1:31" x14ac:dyDescent="0.25">
      <c r="A20" s="5">
        <f>'Proximal Validation'!A20</f>
        <v>1.4424756030000001</v>
      </c>
      <c r="B20" s="5">
        <f>'Proximal Validation'!B20</f>
        <v>0.16</v>
      </c>
      <c r="C20" s="5">
        <f>'Proximal Validation'!C20</f>
        <v>0.78539999999999999</v>
      </c>
      <c r="D20" s="5">
        <f>'Proximal Validation'!D20</f>
        <v>1.1597422298</v>
      </c>
      <c r="E20" s="5">
        <f>'Proximal Validation'!E20</f>
        <v>0.04</v>
      </c>
      <c r="F20" s="5">
        <f>'Proximal Validation'!F20</f>
        <v>2.3561999999999999</v>
      </c>
      <c r="G20" s="5">
        <f>'Proximal Validation'!G20</f>
        <v>4.8092587324</v>
      </c>
      <c r="H20" s="5">
        <f>'Proximal Validation'!H20</f>
        <v>0.4784433911</v>
      </c>
      <c r="I20" s="5">
        <f>'Proximal Validation'!I20</f>
        <v>4.3446054411999997</v>
      </c>
      <c r="J20" s="5">
        <f>'Proximal Validation'!J20</f>
        <v>3.0066542327404001E-2</v>
      </c>
      <c r="K20" s="5">
        <f>'Proximal Validation'!K20</f>
        <v>-0.1960352241992957</v>
      </c>
      <c r="L20" s="5">
        <f>'Proximal Validation'!L20</f>
        <v>0.12927154690027265</v>
      </c>
      <c r="M20" s="5">
        <f>'Proximal Validation'!M20</f>
        <v>-0.77978467941284202</v>
      </c>
      <c r="N20" s="5">
        <f>'Proximal Validation'!N20</f>
        <v>-0.16298925876617401</v>
      </c>
      <c r="O20" s="5">
        <f>'Proximal Validation'!O20</f>
        <v>1.66381180286407</v>
      </c>
      <c r="P20" s="5">
        <v>1.3727185062759533</v>
      </c>
      <c r="Q20" s="5">
        <v>0.16603385811112564</v>
      </c>
      <c r="R20" s="5">
        <v>0.65348832731858464</v>
      </c>
      <c r="S20" s="5">
        <v>1.3267942527438272</v>
      </c>
      <c r="T20" s="5">
        <v>5.623856514072003E-2</v>
      </c>
      <c r="U20" s="5">
        <v>2.2797343734473268</v>
      </c>
      <c r="V20" s="13">
        <v>3.0363330489946649E-10</v>
      </c>
      <c r="W20" s="5">
        <f t="shared" si="4"/>
        <v>-6.9757096724046841E-2</v>
      </c>
      <c r="X20" s="5">
        <f t="shared" si="4"/>
        <v>6.0338581111256395E-3</v>
      </c>
      <c r="Y20" s="5">
        <f t="shared" si="2"/>
        <v>0.13191167268141535</v>
      </c>
      <c r="Z20" s="5">
        <f t="shared" si="5"/>
        <v>0.16705202294382726</v>
      </c>
      <c r="AA20" s="5">
        <f t="shared" si="5"/>
        <v>1.6238565140720029E-2</v>
      </c>
      <c r="AB20" s="5">
        <f t="shared" si="3"/>
        <v>7.6465626552673083E-2</v>
      </c>
      <c r="AC20" s="8">
        <f t="shared" si="6"/>
        <v>0.11840455983393705</v>
      </c>
      <c r="AD20" s="8">
        <f t="shared" si="6"/>
        <v>1.1136211625922834E-2</v>
      </c>
      <c r="AE20" s="8">
        <f t="shared" si="6"/>
        <v>0.10418864961704422</v>
      </c>
    </row>
    <row r="21" spans="1:31" x14ac:dyDescent="0.25">
      <c r="A21" s="5">
        <f>'Proximal Validation'!A21</f>
        <v>1.3085202701</v>
      </c>
      <c r="B21" s="5">
        <f>'Proximal Validation'!B21</f>
        <v>0.14000000000000001</v>
      </c>
      <c r="C21" s="5">
        <f>'Proximal Validation'!C21</f>
        <v>3.927</v>
      </c>
      <c r="D21" s="5">
        <f>'Proximal Validation'!D21</f>
        <v>1.4295469448</v>
      </c>
      <c r="E21" s="5">
        <f>'Proximal Validation'!E21</f>
        <v>0.02</v>
      </c>
      <c r="F21" s="5">
        <f>'Proximal Validation'!F21</f>
        <v>0</v>
      </c>
      <c r="G21" s="5">
        <f>'Proximal Validation'!G21</f>
        <v>4.5210753759999998</v>
      </c>
      <c r="H21" s="5">
        <f>'Proximal Validation'!H21</f>
        <v>3.0172330613999998</v>
      </c>
      <c r="I21" s="5">
        <f>'Proximal Validation'!I21</f>
        <v>0.83361274470000002</v>
      </c>
      <c r="J21" s="5">
        <f>'Proximal Validation'!J21</f>
        <v>1.3228893512859899E-3</v>
      </c>
      <c r="K21" s="5">
        <f>'Proximal Validation'!K21</f>
        <v>0.1496044099330899</v>
      </c>
      <c r="L21" s="5">
        <f>'Proximal Validation'!L21</f>
        <v>-7.6152354888617976E-2</v>
      </c>
      <c r="M21" s="5">
        <f>'Proximal Validation'!M21</f>
        <v>-0.279466062784195</v>
      </c>
      <c r="N21" s="5">
        <f>'Proximal Validation'!N21</f>
        <v>0.80540740489959695</v>
      </c>
      <c r="O21" s="5">
        <f>'Proximal Validation'!O21</f>
        <v>-0.92264562845230103</v>
      </c>
      <c r="P21" s="5">
        <v>1.3103399843290509</v>
      </c>
      <c r="Q21" s="5">
        <v>0.13986494128916052</v>
      </c>
      <c r="R21" s="5">
        <v>3.9267218676922551</v>
      </c>
      <c r="S21" s="5">
        <v>1.4310831453705755</v>
      </c>
      <c r="T21" s="5">
        <v>2.004649856018877E-2</v>
      </c>
      <c r="U21" s="5">
        <v>7.2071380366713457E-4</v>
      </c>
      <c r="V21" s="13">
        <v>1.2989590710029827E-13</v>
      </c>
      <c r="W21" s="5">
        <f t="shared" si="4"/>
        <v>1.8197142290508062E-3</v>
      </c>
      <c r="X21" s="5">
        <f t="shared" si="4"/>
        <v>-1.3505871083949184E-4</v>
      </c>
      <c r="Y21" s="5">
        <f t="shared" si="2"/>
        <v>2.7813230774498265E-4</v>
      </c>
      <c r="Z21" s="5">
        <f t="shared" si="5"/>
        <v>1.5362005705754633E-3</v>
      </c>
      <c r="AA21" s="5">
        <f t="shared" si="5"/>
        <v>4.6498560188769356E-5</v>
      </c>
      <c r="AB21" s="5">
        <f t="shared" si="3"/>
        <v>7.2071380366713457E-4</v>
      </c>
      <c r="AC21" s="8">
        <f t="shared" si="6"/>
        <v>1.6779573998131347E-3</v>
      </c>
      <c r="AD21" s="8">
        <f t="shared" si="6"/>
        <v>9.0778635514130596E-5</v>
      </c>
      <c r="AE21" s="8">
        <f t="shared" si="6"/>
        <v>4.9942305570605861E-4</v>
      </c>
    </row>
    <row r="22" spans="1:31" x14ac:dyDescent="0.25">
      <c r="A22" s="5">
        <f>'Proximal Validation'!A22</f>
        <v>1.0278031490999999</v>
      </c>
      <c r="B22" s="5">
        <f>'Proximal Validation'!B22</f>
        <v>0.14000000000000001</v>
      </c>
      <c r="C22" s="5">
        <f>'Proximal Validation'!C22</f>
        <v>0</v>
      </c>
      <c r="D22" s="5">
        <f>'Proximal Validation'!D22</f>
        <v>0.3286386073</v>
      </c>
      <c r="E22" s="5">
        <f>'Proximal Validation'!E22</f>
        <v>0.04</v>
      </c>
      <c r="F22" s="5">
        <f>'Proximal Validation'!F22</f>
        <v>2.3561999999999999</v>
      </c>
      <c r="G22" s="5">
        <f>'Proximal Validation'!G22</f>
        <v>2.4776605121999999</v>
      </c>
      <c r="H22" s="5">
        <f>'Proximal Validation'!H22</f>
        <v>0.70416387319999996</v>
      </c>
      <c r="I22" s="5">
        <f>'Proximal Validation'!I22</f>
        <v>1.306033752</v>
      </c>
      <c r="J22" s="5">
        <f>'Proximal Validation'!J22</f>
        <v>-8.7352143600583098E-4</v>
      </c>
      <c r="K22" s="5">
        <f>'Proximal Validation'!K22</f>
        <v>-1.1852361112833051E-2</v>
      </c>
      <c r="L22" s="5">
        <f>'Proximal Validation'!L22</f>
        <v>0.13730413258075697</v>
      </c>
      <c r="M22" s="5">
        <f>'Proximal Validation'!M22</f>
        <v>-0.36319693922996499</v>
      </c>
      <c r="N22" s="5">
        <f>'Proximal Validation'!N22</f>
        <v>0.55491173267364502</v>
      </c>
      <c r="O22" s="5">
        <f>'Proximal Validation'!O22</f>
        <v>0.295467138290405</v>
      </c>
      <c r="P22" s="5">
        <v>1.1508107834185506</v>
      </c>
      <c r="Q22" s="5">
        <v>0.13639711853564288</v>
      </c>
      <c r="R22" s="5">
        <v>6.2221184622072849</v>
      </c>
      <c r="S22" s="5">
        <v>0.46261544373310126</v>
      </c>
      <c r="T22" s="5">
        <v>6.2523039906823563E-2</v>
      </c>
      <c r="U22" s="5">
        <v>2.4308253455621212</v>
      </c>
      <c r="V22" s="13">
        <v>1.6602745289015422E-8</v>
      </c>
      <c r="W22" s="5">
        <f t="shared" si="4"/>
        <v>0.12300763431855066</v>
      </c>
      <c r="X22" s="5">
        <f t="shared" si="4"/>
        <v>-3.6028814643571383E-3</v>
      </c>
      <c r="Y22" s="5">
        <f t="shared" si="2"/>
        <v>6.1066844972301304E-2</v>
      </c>
      <c r="Z22" s="5">
        <f t="shared" si="5"/>
        <v>0.13397683643310127</v>
      </c>
      <c r="AA22" s="5">
        <f t="shared" si="5"/>
        <v>2.2523039906823562E-2</v>
      </c>
      <c r="AB22" s="5">
        <f t="shared" si="3"/>
        <v>7.4625345562121304E-2</v>
      </c>
      <c r="AC22" s="8">
        <f t="shared" si="6"/>
        <v>0.12849223537582596</v>
      </c>
      <c r="AD22" s="8">
        <f t="shared" si="6"/>
        <v>1.306296068559035E-2</v>
      </c>
      <c r="AE22" s="8">
        <f t="shared" si="6"/>
        <v>6.7846095267211304E-2</v>
      </c>
    </row>
    <row r="23" spans="1:31" x14ac:dyDescent="0.25">
      <c r="A23" s="5">
        <f>'Proximal Validation'!A23</f>
        <v>0.8908774062</v>
      </c>
      <c r="B23" s="5">
        <f>'Proximal Validation'!B23</f>
        <v>0.18</v>
      </c>
      <c r="C23" s="5">
        <f>'Proximal Validation'!C23</f>
        <v>3.1415999999999999</v>
      </c>
      <c r="D23" s="5">
        <f>'Proximal Validation'!D23</f>
        <v>0.88440675189999995</v>
      </c>
      <c r="E23" s="5">
        <f>'Proximal Validation'!E23</f>
        <v>0.08</v>
      </c>
      <c r="F23" s="5">
        <f>'Proximal Validation'!F23</f>
        <v>3.927</v>
      </c>
      <c r="G23" s="5">
        <f>'Proximal Validation'!G23</f>
        <v>0.48462861940000002</v>
      </c>
      <c r="H23" s="5">
        <f>'Proximal Validation'!H23</f>
        <v>1.6897568487000001</v>
      </c>
      <c r="I23" s="5">
        <f>'Proximal Validation'!I23</f>
        <v>3.1701200912999998</v>
      </c>
      <c r="J23" s="5">
        <f>'Proximal Validation'!J23</f>
        <v>-1.1769948527216899E-2</v>
      </c>
      <c r="K23" s="5">
        <f>'Proximal Validation'!K23</f>
        <v>4.8388502895832027E-2</v>
      </c>
      <c r="L23" s="5">
        <f>'Proximal Validation'!L23</f>
        <v>-0.20316620111465439</v>
      </c>
      <c r="M23" s="5">
        <f>'Proximal Validation'!M23</f>
        <v>-0.68180733919143699</v>
      </c>
      <c r="N23" s="5">
        <f>'Proximal Validation'!N23</f>
        <v>-1.2353100776672401</v>
      </c>
      <c r="O23" s="5">
        <f>'Proximal Validation'!O23</f>
        <v>-0.53501510620117199</v>
      </c>
      <c r="P23" s="5">
        <v>1.188568849084741</v>
      </c>
      <c r="Q23" s="5">
        <v>0.16959199610749218</v>
      </c>
      <c r="R23" s="5">
        <v>3.3176978933544894</v>
      </c>
      <c r="S23" s="5">
        <v>0.56694231421594565</v>
      </c>
      <c r="T23" s="5">
        <v>3.6088427770972598E-2</v>
      </c>
      <c r="U23" s="5">
        <v>3.9948573471144795</v>
      </c>
      <c r="V23" s="13">
        <v>2.1278835720235939E-10</v>
      </c>
      <c r="W23" s="5">
        <f t="shared" si="4"/>
        <v>0.29769144288474103</v>
      </c>
      <c r="X23" s="5">
        <f t="shared" si="4"/>
        <v>-1.0408003892507817E-2</v>
      </c>
      <c r="Y23" s="5">
        <f t="shared" si="2"/>
        <v>0.17609789335448944</v>
      </c>
      <c r="Z23" s="5">
        <f t="shared" si="5"/>
        <v>-0.3174644376840543</v>
      </c>
      <c r="AA23" s="5">
        <f t="shared" si="5"/>
        <v>-4.3911572229027404E-2</v>
      </c>
      <c r="AB23" s="5">
        <f t="shared" si="3"/>
        <v>6.7857347114479438E-2</v>
      </c>
      <c r="AC23" s="8">
        <f t="shared" si="6"/>
        <v>0.30757794028439767</v>
      </c>
      <c r="AD23" s="8">
        <f t="shared" si="6"/>
        <v>2.715978806076761E-2</v>
      </c>
      <c r="AE23" s="8">
        <f t="shared" si="6"/>
        <v>0.12197762023448444</v>
      </c>
    </row>
    <row r="24" spans="1:31" x14ac:dyDescent="0.25">
      <c r="A24" s="5">
        <f>'Proximal Validation'!A24</f>
        <v>1.2597568109999999</v>
      </c>
      <c r="B24" s="5">
        <f>'Proximal Validation'!B24</f>
        <v>0.16</v>
      </c>
      <c r="C24" s="5">
        <f>'Proximal Validation'!C24</f>
        <v>0</v>
      </c>
      <c r="D24" s="5">
        <f>'Proximal Validation'!D24</f>
        <v>0.58841219170000003</v>
      </c>
      <c r="E24" s="5">
        <f>'Proximal Validation'!E24</f>
        <v>0.06</v>
      </c>
      <c r="F24" s="5">
        <f>'Proximal Validation'!F24</f>
        <v>5.4977999999999998</v>
      </c>
      <c r="G24" s="5">
        <f>'Proximal Validation'!G24</f>
        <v>3.9855186287</v>
      </c>
      <c r="H24" s="5">
        <f>'Proximal Validation'!H24</f>
        <v>1.0426876676000001</v>
      </c>
      <c r="I24" s="5">
        <f>'Proximal Validation'!I24</f>
        <v>0.31561411</v>
      </c>
      <c r="J24" s="5">
        <f>'Proximal Validation'!J24</f>
        <v>-8.1258090212941204E-3</v>
      </c>
      <c r="K24" s="5">
        <f>'Proximal Validation'!K24</f>
        <v>2.480585664510726E-2</v>
      </c>
      <c r="L24" s="5">
        <f>'Proximal Validation'!L24</f>
        <v>0.22677360892295889</v>
      </c>
      <c r="M24" s="5">
        <f>'Proximal Validation'!M24</f>
        <v>-0.91120928525924705</v>
      </c>
      <c r="N24" s="5">
        <f>'Proximal Validation'!N24</f>
        <v>1.2995035648345901</v>
      </c>
      <c r="O24" s="5">
        <f>'Proximal Validation'!O24</f>
        <v>-0.469389498233795</v>
      </c>
      <c r="P24" s="5">
        <v>1.2554437833254659</v>
      </c>
      <c r="Q24" s="5">
        <v>0.16019310616535745</v>
      </c>
      <c r="R24" s="5">
        <v>1.6048238452723807E-3</v>
      </c>
      <c r="S24" s="5">
        <v>0.59270915522493672</v>
      </c>
      <c r="T24" s="5">
        <v>6.0524605133940736E-2</v>
      </c>
      <c r="U24" s="5">
        <v>5.5006949771534766</v>
      </c>
      <c r="V24" s="13">
        <v>2.1380649650577367E-10</v>
      </c>
      <c r="W24" s="5">
        <f t="shared" si="4"/>
        <v>-4.313027674534009E-3</v>
      </c>
      <c r="X24" s="5">
        <f t="shared" si="4"/>
        <v>1.931061653574484E-4</v>
      </c>
      <c r="Y24" s="5">
        <f t="shared" si="2"/>
        <v>1.6048238452723807E-3</v>
      </c>
      <c r="Z24" s="5">
        <f t="shared" si="5"/>
        <v>4.2969635249366922E-3</v>
      </c>
      <c r="AA24" s="5">
        <f t="shared" si="5"/>
        <v>5.2460513394073788E-4</v>
      </c>
      <c r="AB24" s="5">
        <f t="shared" si="3"/>
        <v>2.8949771534767521E-3</v>
      </c>
      <c r="AC24" s="8">
        <f t="shared" si="6"/>
        <v>4.3049955997353506E-3</v>
      </c>
      <c r="AD24" s="8">
        <f t="shared" si="6"/>
        <v>3.5885564964909314E-4</v>
      </c>
      <c r="AE24" s="8">
        <f t="shared" si="6"/>
        <v>2.2499004993745664E-3</v>
      </c>
    </row>
    <row r="25" spans="1:31" x14ac:dyDescent="0.25">
      <c r="A25" s="5">
        <f>'Proximal Validation'!A25</f>
        <v>0.65858340790000003</v>
      </c>
      <c r="B25" s="5">
        <f>'Proximal Validation'!B25</f>
        <v>0.18</v>
      </c>
      <c r="C25" s="5">
        <f>'Proximal Validation'!C25</f>
        <v>0</v>
      </c>
      <c r="D25" s="5">
        <f>'Proximal Validation'!D25</f>
        <v>0.498698221</v>
      </c>
      <c r="E25" s="5">
        <f>'Proximal Validation'!E25</f>
        <v>0.08</v>
      </c>
      <c r="F25" s="5">
        <f>'Proximal Validation'!F25</f>
        <v>0.78539999999999999</v>
      </c>
      <c r="G25" s="5">
        <f>'Proximal Validation'!G25</f>
        <v>4.9301628920000002</v>
      </c>
      <c r="H25" s="5">
        <f>'Proximal Validation'!H25</f>
        <v>1.8520278541999999</v>
      </c>
      <c r="I25" s="5">
        <f>'Proximal Validation'!I25</f>
        <v>4.6646910371999999</v>
      </c>
      <c r="J25" s="5">
        <f>'Proximal Validation'!J25</f>
        <v>8.0546755343675596E-3</v>
      </c>
      <c r="K25" s="5">
        <f>'Proximal Validation'!K25</f>
        <v>-2.5356225371360813E-2</v>
      </c>
      <c r="L25" s="5">
        <f>'Proximal Validation'!L25</f>
        <v>0.14683502078056299</v>
      </c>
      <c r="M25" s="5">
        <f>'Proximal Validation'!M25</f>
        <v>-0.44749337434768699</v>
      </c>
      <c r="N25" s="5">
        <f>'Proximal Validation'!N25</f>
        <v>0.82281804084777799</v>
      </c>
      <c r="O25" s="5">
        <f>'Proximal Validation'!O25</f>
        <v>0.33567589521408098</v>
      </c>
      <c r="P25" s="5">
        <v>0.64110999062854035</v>
      </c>
      <c r="Q25" s="5">
        <v>0.17872576801099999</v>
      </c>
      <c r="R25" s="5">
        <v>6.2434306259450398</v>
      </c>
      <c r="S25" s="5">
        <v>0.52876867069687272</v>
      </c>
      <c r="T25" s="5">
        <v>8.6372384161538029E-2</v>
      </c>
      <c r="U25" s="5">
        <v>0.79758504914195782</v>
      </c>
      <c r="V25" s="13">
        <v>2.2920961806279715E-8</v>
      </c>
      <c r="W25" s="5">
        <f t="shared" si="4"/>
        <v>-1.7473417271459679E-2</v>
      </c>
      <c r="X25" s="5">
        <f t="shared" si="4"/>
        <v>-1.2742319890000076E-3</v>
      </c>
      <c r="Y25" s="5">
        <f t="shared" si="2"/>
        <v>3.9754681234546396E-2</v>
      </c>
      <c r="Z25" s="5">
        <f t="shared" si="5"/>
        <v>3.0070449696872725E-2</v>
      </c>
      <c r="AA25" s="5">
        <f t="shared" si="5"/>
        <v>6.3723841615380278E-3</v>
      </c>
      <c r="AB25" s="5">
        <f t="shared" si="3"/>
        <v>1.2185049141957838E-2</v>
      </c>
      <c r="AC25" s="9">
        <f t="shared" si="6"/>
        <v>2.3771933484166202E-2</v>
      </c>
      <c r="AD25" s="9">
        <f t="shared" si="6"/>
        <v>3.8233080752690177E-3</v>
      </c>
      <c r="AE25" s="9">
        <f t="shared" si="6"/>
        <v>2.5969865188252117E-2</v>
      </c>
    </row>
    <row r="26" spans="1:31" x14ac:dyDescent="0.25">
      <c r="A26" s="5">
        <f>'Proximal Validation'!A26</f>
        <v>0.55032038400000005</v>
      </c>
      <c r="B26" s="5">
        <f>'Proximal Validation'!B26</f>
        <v>0.16</v>
      </c>
      <c r="C26" s="5">
        <f>'Proximal Validation'!C26</f>
        <v>3.1415999999999999</v>
      </c>
      <c r="D26" s="5">
        <f>'Proximal Validation'!D26</f>
        <v>1.4487418581</v>
      </c>
      <c r="E26" s="5">
        <f>'Proximal Validation'!E26</f>
        <v>0.08</v>
      </c>
      <c r="F26" s="5">
        <f>'Proximal Validation'!F26</f>
        <v>2.3561999999999999</v>
      </c>
      <c r="G26" s="5">
        <f>'Proximal Validation'!G26</f>
        <v>4.7175867132000002</v>
      </c>
      <c r="H26" s="5">
        <f>'Proximal Validation'!H26</f>
        <v>1.3012665307</v>
      </c>
      <c r="I26" s="5">
        <f>'Proximal Validation'!I26</f>
        <v>3.3668845907999998</v>
      </c>
      <c r="J26" s="5">
        <f>'Proximal Validation'!J26</f>
        <v>-1.2392895296216E-3</v>
      </c>
      <c r="K26" s="5">
        <f>'Proximal Validation'!K26</f>
        <v>-7.8764544129371977E-2</v>
      </c>
      <c r="L26" s="5">
        <f>'Proximal Validation'!L26</f>
        <v>-0.17832563519477909</v>
      </c>
      <c r="M26" s="5">
        <f>'Proximal Validation'!M26</f>
        <v>-0.389381974935532</v>
      </c>
      <c r="N26" s="5">
        <f>'Proximal Validation'!N26</f>
        <v>-1.47788345813751</v>
      </c>
      <c r="O26" s="5">
        <f>'Proximal Validation'!O26</f>
        <v>0.95994305610656705</v>
      </c>
      <c r="P26" s="5">
        <v>0.70374856757885929</v>
      </c>
      <c r="Q26" s="5">
        <v>0.14072441582237644</v>
      </c>
      <c r="R26" s="5">
        <v>3.1710138616263026</v>
      </c>
      <c r="S26" s="5">
        <v>1.3607080492604993</v>
      </c>
      <c r="T26" s="5">
        <v>8.1210820634108047E-2</v>
      </c>
      <c r="U26" s="5">
        <v>2.265647307287832</v>
      </c>
      <c r="V26" s="13">
        <v>2.1683273383698509E-10</v>
      </c>
      <c r="W26" s="5">
        <f t="shared" si="4"/>
        <v>0.15342818357885923</v>
      </c>
      <c r="X26" s="5">
        <f t="shared" si="4"/>
        <v>-1.9275584177623567E-2</v>
      </c>
      <c r="Y26" s="5">
        <f t="shared" si="2"/>
        <v>2.9413861626302662E-2</v>
      </c>
      <c r="Z26" s="5">
        <f t="shared" si="5"/>
        <v>-8.8033808839500738E-2</v>
      </c>
      <c r="AA26" s="5">
        <f t="shared" si="5"/>
        <v>1.2108206341080452E-3</v>
      </c>
      <c r="AB26" s="5">
        <f t="shared" si="3"/>
        <v>9.0552692712167815E-2</v>
      </c>
      <c r="AC26" s="8">
        <f t="shared" si="6"/>
        <v>0.12073099620917999</v>
      </c>
      <c r="AD26" s="8">
        <f t="shared" si="6"/>
        <v>1.0243202405865806E-2</v>
      </c>
      <c r="AE26" s="8">
        <f t="shared" si="6"/>
        <v>5.9983277169235238E-2</v>
      </c>
    </row>
    <row r="27" spans="1:31" x14ac:dyDescent="0.25">
      <c r="A27" s="5">
        <f>'Proximal Validation'!A27</f>
        <v>1.2531062278</v>
      </c>
      <c r="B27" s="5">
        <f>'Proximal Validation'!B27</f>
        <v>0.18</v>
      </c>
      <c r="C27" s="5">
        <f>'Proximal Validation'!C27</f>
        <v>5.4977999999999998</v>
      </c>
      <c r="D27" s="5">
        <f>'Proximal Validation'!D27</f>
        <v>0.4702401397</v>
      </c>
      <c r="E27" s="5">
        <f>'Proximal Validation'!E27</f>
        <v>0.1</v>
      </c>
      <c r="F27" s="5">
        <f>'Proximal Validation'!F27</f>
        <v>5.4977999999999998</v>
      </c>
      <c r="G27" s="5">
        <f>'Proximal Validation'!G27</f>
        <v>0.1483911762</v>
      </c>
      <c r="H27" s="5">
        <f>'Proximal Validation'!H27</f>
        <v>0.2167359935</v>
      </c>
      <c r="I27" s="5">
        <f>'Proximal Validation'!I27</f>
        <v>4.9349358513999997</v>
      </c>
      <c r="J27" s="5">
        <f>'Proximal Validation'!J27</f>
        <v>1.3011932373046899E-2</v>
      </c>
      <c r="K27" s="5">
        <f>'Proximal Validation'!K27</f>
        <v>0.17962860584259044</v>
      </c>
      <c r="L27" s="5">
        <f>'Proximal Validation'!L27</f>
        <v>0.17774561345577244</v>
      </c>
      <c r="M27" s="5">
        <f>'Proximal Validation'!M27</f>
        <v>-1.1463577747345</v>
      </c>
      <c r="N27" s="5">
        <f>'Proximal Validation'!N27</f>
        <v>0.72932124137878396</v>
      </c>
      <c r="O27" s="5">
        <f>'Proximal Validation'!O27</f>
        <v>-0.74414980411529497</v>
      </c>
      <c r="P27" s="5">
        <v>1.2229628345830361</v>
      </c>
      <c r="Q27" s="5">
        <v>0.1812205846824152</v>
      </c>
      <c r="R27" s="5">
        <v>5.4977994271960506</v>
      </c>
      <c r="S27" s="5">
        <v>0.49989487679402816</v>
      </c>
      <c r="T27" s="5">
        <v>0.1028176376478752</v>
      </c>
      <c r="U27" s="5">
        <v>5.4975562726599154</v>
      </c>
      <c r="V27" s="13">
        <v>2.4277976398464518E-9</v>
      </c>
      <c r="W27" s="5">
        <f t="shared" si="4"/>
        <v>-3.014339321696391E-2</v>
      </c>
      <c r="X27" s="5">
        <f t="shared" si="4"/>
        <v>1.2205846824152045E-3</v>
      </c>
      <c r="Y27" s="5">
        <f t="shared" si="2"/>
        <v>5.7280394916148225E-7</v>
      </c>
      <c r="Z27" s="5">
        <f t="shared" si="5"/>
        <v>2.9654737094028161E-2</v>
      </c>
      <c r="AA27" s="5">
        <f t="shared" si="5"/>
        <v>2.8176376478751958E-3</v>
      </c>
      <c r="AB27" s="5">
        <f t="shared" si="3"/>
        <v>2.4372734008437646E-4</v>
      </c>
      <c r="AC27" s="8">
        <f t="shared" si="6"/>
        <v>2.9899065155496035E-2</v>
      </c>
      <c r="AD27" s="8">
        <f t="shared" si="6"/>
        <v>2.0191111651452001E-3</v>
      </c>
      <c r="AE27" s="8">
        <f t="shared" si="6"/>
        <v>1.2215007201676897E-4</v>
      </c>
    </row>
    <row r="28" spans="1:31" x14ac:dyDescent="0.25">
      <c r="A28" s="5">
        <f>'Proximal Validation'!A28</f>
        <v>0.37674236639999997</v>
      </c>
      <c r="B28" s="5">
        <f>'Proximal Validation'!B28</f>
        <v>0.12</v>
      </c>
      <c r="C28" s="5">
        <f>'Proximal Validation'!C28</f>
        <v>5.4977999999999998</v>
      </c>
      <c r="D28" s="5">
        <f>'Proximal Validation'!D28</f>
        <v>0.55884916829999998</v>
      </c>
      <c r="E28" s="5">
        <f>'Proximal Validation'!E28</f>
        <v>0.04</v>
      </c>
      <c r="F28" s="5">
        <f>'Proximal Validation'!F28</f>
        <v>5.4977999999999998</v>
      </c>
      <c r="G28" s="5">
        <f>'Proximal Validation'!G28</f>
        <v>2.7463764360999998</v>
      </c>
      <c r="H28" s="5">
        <f>'Proximal Validation'!H28</f>
        <v>4.0783358151</v>
      </c>
      <c r="I28" s="5">
        <f>'Proximal Validation'!I28</f>
        <v>2.4827351898000001</v>
      </c>
      <c r="J28" s="5">
        <f>'Proximal Validation'!J28</f>
        <v>-4.1884777601808299E-4</v>
      </c>
      <c r="K28" s="5">
        <f>'Proximal Validation'!K28</f>
        <v>4.8614442646503477E-2</v>
      </c>
      <c r="L28" s="5">
        <f>'Proximal Validation'!L28</f>
        <v>4.8307788670063391E-2</v>
      </c>
      <c r="M28" s="5">
        <f>'Proximal Validation'!M28</f>
        <v>-9.7034186124801594E-2</v>
      </c>
      <c r="N28" s="5">
        <f>'Proximal Validation'!N28</f>
        <v>0.60689675807952903</v>
      </c>
      <c r="O28" s="5">
        <f>'Proximal Validation'!O28</f>
        <v>-0.63970345258712802</v>
      </c>
      <c r="P28" s="5">
        <v>0.79402057500721779</v>
      </c>
      <c r="Q28" s="5">
        <v>7.2635067062375047E-2</v>
      </c>
      <c r="R28" s="5">
        <v>4.4297216686414931</v>
      </c>
      <c r="S28" s="5">
        <v>0.88885377656051223</v>
      </c>
      <c r="T28" s="5">
        <v>7.2629806696582019E-2</v>
      </c>
      <c r="U28" s="5">
        <v>0.11391350063130123</v>
      </c>
      <c r="V28" s="13">
        <v>1.1805852748623713E-9</v>
      </c>
      <c r="W28" s="5">
        <f t="shared" si="4"/>
        <v>0.41727820860721782</v>
      </c>
      <c r="X28" s="5">
        <f t="shared" si="4"/>
        <v>-4.7364932937624948E-2</v>
      </c>
      <c r="Y28" s="5">
        <f t="shared" si="2"/>
        <v>1.0680783313585067</v>
      </c>
      <c r="Z28" s="5">
        <f t="shared" si="5"/>
        <v>0.33000460826051226</v>
      </c>
      <c r="AA28" s="5">
        <f t="shared" si="5"/>
        <v>3.2629806696582019E-2</v>
      </c>
      <c r="AB28" s="5">
        <f t="shared" si="3"/>
        <v>0.89929880781088745</v>
      </c>
      <c r="AC28" s="8">
        <f t="shared" si="6"/>
        <v>0.37364140843386506</v>
      </c>
      <c r="AD28" s="8">
        <f t="shared" si="6"/>
        <v>3.9997369817103487E-2</v>
      </c>
      <c r="AE28" s="8">
        <f t="shared" si="6"/>
        <v>0.98368856958469708</v>
      </c>
    </row>
    <row r="29" spans="1:31" x14ac:dyDescent="0.25">
      <c r="A29" s="5">
        <f>'Proximal Validation'!A29</f>
        <v>0.99744538530000004</v>
      </c>
      <c r="B29" s="5">
        <f>'Proximal Validation'!B29</f>
        <v>0.12</v>
      </c>
      <c r="C29" s="5">
        <f>'Proximal Validation'!C29</f>
        <v>2.3561999999999999</v>
      </c>
      <c r="D29" s="5">
        <f>'Proximal Validation'!D29</f>
        <v>0.63256510880000005</v>
      </c>
      <c r="E29" s="5">
        <f>'Proximal Validation'!E29</f>
        <v>0.04</v>
      </c>
      <c r="F29" s="5">
        <f>'Proximal Validation'!F29</f>
        <v>4.7123999999999997</v>
      </c>
      <c r="G29" s="5">
        <f>'Proximal Validation'!G29</f>
        <v>1.0163068775999999</v>
      </c>
      <c r="H29" s="5">
        <f>'Proximal Validation'!H29</f>
        <v>2.5468444695999999</v>
      </c>
      <c r="I29" s="5">
        <f>'Proximal Validation'!I29</f>
        <v>0.1214735909</v>
      </c>
      <c r="J29" s="5">
        <f>'Proximal Validation'!J29</f>
        <v>-1.1704247444868101E-3</v>
      </c>
      <c r="K29" s="5">
        <f>'Proximal Validation'!K29</f>
        <v>-5.3023360669612919E-2</v>
      </c>
      <c r="L29" s="5">
        <f>'Proximal Validation'!L29</f>
        <v>-9.6837731003761029E-2</v>
      </c>
      <c r="M29" s="5">
        <f>'Proximal Validation'!M29</f>
        <v>-0.23891685903072399</v>
      </c>
      <c r="N29" s="5">
        <f>'Proximal Validation'!N29</f>
        <v>-0.67229318618774403</v>
      </c>
      <c r="O29" s="5">
        <f>'Proximal Validation'!O29</f>
        <v>-6.1973929405212402E-2</v>
      </c>
      <c r="P29" s="5">
        <v>0.9560595269118759</v>
      </c>
      <c r="Q29" s="5">
        <v>0.12383965918981826</v>
      </c>
      <c r="R29" s="5">
        <v>2.3526582430277476</v>
      </c>
      <c r="S29" s="5">
        <v>0.60589323213704116</v>
      </c>
      <c r="T29" s="5">
        <v>4.0654024783214955E-2</v>
      </c>
      <c r="U29" s="5">
        <v>4.6592288016903156</v>
      </c>
      <c r="V29" s="13">
        <v>2.2611559043980778E-11</v>
      </c>
      <c r="W29" s="5">
        <f t="shared" si="4"/>
        <v>-4.1385858388124142E-2</v>
      </c>
      <c r="X29" s="5">
        <f t="shared" si="4"/>
        <v>3.8396591898182675E-3</v>
      </c>
      <c r="Y29" s="5">
        <f t="shared" si="2"/>
        <v>3.5417569722522302E-3</v>
      </c>
      <c r="Z29" s="5">
        <f t="shared" si="5"/>
        <v>-2.6671876662958893E-2</v>
      </c>
      <c r="AA29" s="5">
        <f t="shared" si="5"/>
        <v>6.5402478321495428E-4</v>
      </c>
      <c r="AB29" s="5">
        <f t="shared" si="3"/>
        <v>5.3171198309684087E-2</v>
      </c>
      <c r="AC29" s="8">
        <f t="shared" si="6"/>
        <v>3.4028867525541517E-2</v>
      </c>
      <c r="AD29" s="8">
        <f t="shared" si="6"/>
        <v>2.2468419865166109E-3</v>
      </c>
      <c r="AE29" s="8">
        <f t="shared" si="6"/>
        <v>2.8356477640968158E-2</v>
      </c>
    </row>
    <row r="30" spans="1:31" x14ac:dyDescent="0.25">
      <c r="A30" s="5">
        <f>'Proximal Validation'!A30</f>
        <v>0.91958396450000002</v>
      </c>
      <c r="B30" s="5">
        <f>'Proximal Validation'!B30</f>
        <v>0.18</v>
      </c>
      <c r="C30" s="5">
        <f>'Proximal Validation'!C30</f>
        <v>0</v>
      </c>
      <c r="D30" s="5">
        <f>'Proximal Validation'!D30</f>
        <v>1.2327944816</v>
      </c>
      <c r="E30" s="5">
        <f>'Proximal Validation'!E30</f>
        <v>0.1</v>
      </c>
      <c r="F30" s="5">
        <f>'Proximal Validation'!F30</f>
        <v>4.7123999999999997</v>
      </c>
      <c r="G30" s="5">
        <f>'Proximal Validation'!G30</f>
        <v>3.7350994551999999</v>
      </c>
      <c r="H30" s="5">
        <f>'Proximal Validation'!H30</f>
        <v>0.10989542820000001</v>
      </c>
      <c r="I30" s="5">
        <f>'Proximal Validation'!I30</f>
        <v>4.0041016991999996</v>
      </c>
      <c r="J30" s="5">
        <f>'Proximal Validation'!J30</f>
        <v>5.2949553355574599E-3</v>
      </c>
      <c r="K30" s="5">
        <f>'Proximal Validation'!K30</f>
        <v>0.1002950870990762</v>
      </c>
      <c r="L30" s="5">
        <f>'Proximal Validation'!L30</f>
        <v>0.14873841881752001</v>
      </c>
      <c r="M30" s="5">
        <f>'Proximal Validation'!M30</f>
        <v>-0.66750568151473999</v>
      </c>
      <c r="N30" s="5">
        <f>'Proximal Validation'!N30</f>
        <v>0.47792124748230003</v>
      </c>
      <c r="O30" s="5">
        <f>'Proximal Validation'!O30</f>
        <v>-1.06160187721252</v>
      </c>
      <c r="P30" s="5">
        <v>0.82091633375894479</v>
      </c>
      <c r="Q30" s="5">
        <v>0.19122181936022745</v>
      </c>
      <c r="R30" s="5">
        <v>6.2054293614950939</v>
      </c>
      <c r="S30" s="5">
        <v>1.1754219406648903</v>
      </c>
      <c r="T30" s="5">
        <v>9.4755450353180906E-2</v>
      </c>
      <c r="U30" s="5">
        <v>4.8014984298061973</v>
      </c>
      <c r="V30" s="13">
        <v>2.1118119320724087E-13</v>
      </c>
      <c r="W30" s="5">
        <f t="shared" si="4"/>
        <v>-9.8667630741055223E-2</v>
      </c>
      <c r="X30" s="5">
        <f t="shared" si="4"/>
        <v>1.1221819360227453E-2</v>
      </c>
      <c r="Y30" s="5">
        <f t="shared" si="2"/>
        <v>7.7755945684492289E-2</v>
      </c>
      <c r="Z30" s="5">
        <f t="shared" si="5"/>
        <v>-5.7372540935109795E-2</v>
      </c>
      <c r="AA30" s="5">
        <f t="shared" si="5"/>
        <v>-5.2445496468190994E-3</v>
      </c>
      <c r="AB30" s="5">
        <f t="shared" si="3"/>
        <v>8.9098429806197643E-2</v>
      </c>
      <c r="AC30" s="8">
        <f t="shared" si="6"/>
        <v>7.8020085838082509E-2</v>
      </c>
      <c r="AD30" s="8">
        <f t="shared" si="6"/>
        <v>8.2331845035232762E-3</v>
      </c>
      <c r="AE30" s="8">
        <f t="shared" si="6"/>
        <v>8.3427187745344966E-2</v>
      </c>
    </row>
    <row r="31" spans="1:31" x14ac:dyDescent="0.25">
      <c r="A31" s="5">
        <f>'Proximal Validation'!A31</f>
        <v>0.76015027209999997</v>
      </c>
      <c r="B31" s="5">
        <f>'Proximal Validation'!B31</f>
        <v>0.18</v>
      </c>
      <c r="C31" s="5">
        <f>'Proximal Validation'!C31</f>
        <v>2.3561999999999999</v>
      </c>
      <c r="D31" s="5">
        <f>'Proximal Validation'!D31</f>
        <v>0.80034279419999999</v>
      </c>
      <c r="E31" s="5">
        <f>'Proximal Validation'!E31</f>
        <v>0.1</v>
      </c>
      <c r="F31" s="5">
        <f>'Proximal Validation'!F31</f>
        <v>0</v>
      </c>
      <c r="G31" s="5">
        <f>'Proximal Validation'!G31</f>
        <v>4.7396783878999997</v>
      </c>
      <c r="H31" s="5">
        <f>'Proximal Validation'!H31</f>
        <v>4.9071061610999998</v>
      </c>
      <c r="I31" s="5">
        <f>'Proximal Validation'!I31</f>
        <v>1.8713340661</v>
      </c>
      <c r="J31" s="5">
        <f>'Proximal Validation'!J31</f>
        <v>4.3246033601462798E-3</v>
      </c>
      <c r="K31" s="5">
        <f>'Proximal Validation'!K31</f>
        <v>-7.4664700627326969E-2</v>
      </c>
      <c r="L31" s="5">
        <f>'Proximal Validation'!L31</f>
        <v>-8.2634314894678568E-4</v>
      </c>
      <c r="M31" s="5">
        <f>'Proximal Validation'!M31</f>
        <v>-0.140251100063324</v>
      </c>
      <c r="N31" s="5">
        <f>'Proximal Validation'!N31</f>
        <v>0.45143038034439098</v>
      </c>
      <c r="O31" s="5">
        <f>'Proximal Validation'!O31</f>
        <v>0.313724786043167</v>
      </c>
      <c r="P31" s="5">
        <v>0.82712829017814793</v>
      </c>
      <c r="Q31" s="5">
        <v>0.17496611655578739</v>
      </c>
      <c r="R31" s="5">
        <v>2.3782417229807513</v>
      </c>
      <c r="S31" s="5">
        <v>0.861109902448006</v>
      </c>
      <c r="T31" s="5">
        <v>0.10273635379518675</v>
      </c>
      <c r="U31" s="5">
        <v>6.2429659982598666</v>
      </c>
      <c r="V31" s="13">
        <v>7.8258090795595897E-10</v>
      </c>
      <c r="W31" s="5">
        <f t="shared" si="4"/>
        <v>6.6978018078147961E-2</v>
      </c>
      <c r="X31" s="5">
        <f t="shared" si="4"/>
        <v>-5.0338834442126001E-3</v>
      </c>
      <c r="Y31" s="5">
        <f t="shared" si="2"/>
        <v>2.2041722980751466E-2</v>
      </c>
      <c r="Z31" s="5">
        <f t="shared" si="5"/>
        <v>6.0767108248006019E-2</v>
      </c>
      <c r="AA31" s="5">
        <f t="shared" si="5"/>
        <v>2.7363537951867467E-3</v>
      </c>
      <c r="AB31" s="5">
        <f t="shared" si="3"/>
        <v>4.0219308919719587E-2</v>
      </c>
      <c r="AC31" s="8">
        <f t="shared" si="6"/>
        <v>6.387256316307699E-2</v>
      </c>
      <c r="AD31" s="8">
        <f t="shared" si="6"/>
        <v>3.8851186196996734E-3</v>
      </c>
      <c r="AE31" s="8">
        <f t="shared" si="6"/>
        <v>3.1130515950235527E-2</v>
      </c>
    </row>
    <row r="32" spans="1:31" x14ac:dyDescent="0.25">
      <c r="A32" s="5">
        <f>'Proximal Validation'!A32</f>
        <v>0.9040684336</v>
      </c>
      <c r="B32" s="5">
        <f>'Proximal Validation'!B32</f>
        <v>0.1</v>
      </c>
      <c r="C32" s="5">
        <f>'Proximal Validation'!C32</f>
        <v>5.4977999999999998</v>
      </c>
      <c r="D32" s="5">
        <f>'Proximal Validation'!D32</f>
        <v>0.68590239919999996</v>
      </c>
      <c r="E32" s="5">
        <f>'Proximal Validation'!E32</f>
        <v>0.02</v>
      </c>
      <c r="F32" s="5">
        <f>'Proximal Validation'!F32</f>
        <v>4.7123999999999997</v>
      </c>
      <c r="G32" s="5">
        <f>'Proximal Validation'!G32</f>
        <v>3.1050919126999998</v>
      </c>
      <c r="H32" s="5">
        <f>'Proximal Validation'!H32</f>
        <v>4.9790166179000002</v>
      </c>
      <c r="I32" s="5">
        <f>'Proximal Validation'!I32</f>
        <v>4.7088396990000003</v>
      </c>
      <c r="J32" s="5">
        <f>'Proximal Validation'!J32</f>
        <v>1.8214078154414901E-3</v>
      </c>
      <c r="K32" s="5">
        <f>'Proximal Validation'!K32</f>
        <v>8.5241996645927215E-2</v>
      </c>
      <c r="L32" s="5">
        <f>'Proximal Validation'!L32</f>
        <v>6.4217582345009017E-2</v>
      </c>
      <c r="M32" s="5">
        <f>'Proximal Validation'!M32</f>
        <v>-0.18496520817279799</v>
      </c>
      <c r="N32" s="5">
        <f>'Proximal Validation'!N32</f>
        <v>0.541345775127411</v>
      </c>
      <c r="O32" s="5">
        <f>'Proximal Validation'!O32</f>
        <v>-1.33990967273712</v>
      </c>
      <c r="P32" s="5">
        <v>0.72433803390357132</v>
      </c>
      <c r="Q32" s="5">
        <v>0.10280094754087959</v>
      </c>
      <c r="R32" s="5">
        <v>5.7262034447074015</v>
      </c>
      <c r="S32" s="5">
        <v>0.94038952939332998</v>
      </c>
      <c r="T32" s="5">
        <v>4.0848566298918303E-2</v>
      </c>
      <c r="U32" s="5">
        <v>4.7377980478517223</v>
      </c>
      <c r="V32" s="13">
        <v>6.6769336448112439E-8</v>
      </c>
      <c r="W32" s="5">
        <f t="shared" si="4"/>
        <v>-0.17973039969642868</v>
      </c>
      <c r="X32" s="5">
        <f t="shared" si="4"/>
        <v>2.8009475408795892E-3</v>
      </c>
      <c r="Y32" s="5">
        <f t="shared" si="2"/>
        <v>0.2284034447074017</v>
      </c>
      <c r="Z32" s="5">
        <f t="shared" si="5"/>
        <v>0.25448713019333002</v>
      </c>
      <c r="AA32" s="5">
        <f t="shared" si="5"/>
        <v>2.0848566298918302E-2</v>
      </c>
      <c r="AB32" s="5">
        <f t="shared" si="3"/>
        <v>2.5398047851722616E-2</v>
      </c>
      <c r="AC32" s="8">
        <f t="shared" si="6"/>
        <v>0.21710876494487935</v>
      </c>
      <c r="AD32" s="8">
        <f t="shared" si="6"/>
        <v>1.1824756919898946E-2</v>
      </c>
      <c r="AE32" s="8">
        <f t="shared" si="6"/>
        <v>0.12690074627956216</v>
      </c>
    </row>
    <row r="33" spans="1:31" x14ac:dyDescent="0.25">
      <c r="A33" s="5">
        <f>'Proximal Validation'!A33</f>
        <v>1.4109779404</v>
      </c>
      <c r="B33" s="5">
        <f>'Proximal Validation'!B33</f>
        <v>0.2</v>
      </c>
      <c r="C33" s="5">
        <f>'Proximal Validation'!C33</f>
        <v>3.1415999999999999</v>
      </c>
      <c r="D33" s="5">
        <f>'Proximal Validation'!D33</f>
        <v>1.3890525475</v>
      </c>
      <c r="E33" s="5">
        <f>'Proximal Validation'!E33</f>
        <v>0.12</v>
      </c>
      <c r="F33" s="5">
        <f>'Proximal Validation'!F33</f>
        <v>0</v>
      </c>
      <c r="G33" s="5">
        <f>'Proximal Validation'!G33</f>
        <v>0.24685834309999999</v>
      </c>
      <c r="H33" s="5">
        <f>'Proximal Validation'!H33</f>
        <v>4.5298125568999996</v>
      </c>
      <c r="I33" s="5">
        <f>'Proximal Validation'!I33</f>
        <v>2.6684535819000001</v>
      </c>
      <c r="J33" s="5">
        <f>'Proximal Validation'!J33</f>
        <v>-3.3102363813668498E-3</v>
      </c>
      <c r="K33" s="5">
        <f>'Proximal Validation'!K33</f>
        <v>-9.8247682675719691E-3</v>
      </c>
      <c r="L33" s="5">
        <f>'Proximal Validation'!L33</f>
        <v>-5.8335820399224844E-2</v>
      </c>
      <c r="M33" s="5">
        <f>'Proximal Validation'!M33</f>
        <v>-0.13851435482502</v>
      </c>
      <c r="N33" s="5">
        <f>'Proximal Validation'!N33</f>
        <v>0.50596565008163497</v>
      </c>
      <c r="O33" s="5">
        <f>'Proximal Validation'!O33</f>
        <v>4.1465051472187001E-2</v>
      </c>
      <c r="P33" s="5">
        <v>0.8931796965623191</v>
      </c>
      <c r="Q33" s="5">
        <v>0.19599263633716191</v>
      </c>
      <c r="R33" s="5">
        <v>3.1395781363251594</v>
      </c>
      <c r="S33" s="5">
        <v>0.92904946978137948</v>
      </c>
      <c r="T33" s="5">
        <v>7.5088588052426658E-2</v>
      </c>
      <c r="U33" s="5">
        <v>6.2801223910864934</v>
      </c>
      <c r="V33" s="13">
        <v>4.8428642668837023E-8</v>
      </c>
      <c r="W33" s="5">
        <f t="shared" si="4"/>
        <v>-0.51779824383768092</v>
      </c>
      <c r="X33" s="5">
        <f t="shared" si="4"/>
        <v>-4.0073636628381037E-3</v>
      </c>
      <c r="Y33" s="5">
        <f t="shared" si="2"/>
        <v>2.0218636748405849E-3</v>
      </c>
      <c r="Z33" s="5">
        <f t="shared" si="5"/>
        <v>-0.46000307771862048</v>
      </c>
      <c r="AA33" s="5">
        <f t="shared" si="5"/>
        <v>-4.4911411947573338E-2</v>
      </c>
      <c r="AB33" s="5">
        <f t="shared" si="3"/>
        <v>3.0629160930928379E-3</v>
      </c>
      <c r="AC33" s="8">
        <f t="shared" si="6"/>
        <v>0.4889006607781507</v>
      </c>
      <c r="AD33" s="8">
        <f t="shared" si="6"/>
        <v>2.4459387805205721E-2</v>
      </c>
      <c r="AE33" s="8">
        <f t="shared" si="6"/>
        <v>2.5423898839667114E-3</v>
      </c>
    </row>
    <row r="34" spans="1:31" x14ac:dyDescent="0.25">
      <c r="A34" s="5">
        <f>'Proximal Validation'!A34</f>
        <v>1.4747736548999999</v>
      </c>
      <c r="B34" s="5">
        <f>'Proximal Validation'!B34</f>
        <v>0.2</v>
      </c>
      <c r="C34" s="5">
        <f>'Proximal Validation'!C34</f>
        <v>0</v>
      </c>
      <c r="D34" s="5">
        <f>'Proximal Validation'!D34</f>
        <v>1.4750904852</v>
      </c>
      <c r="E34" s="5">
        <f>'Proximal Validation'!E34</f>
        <v>0.12</v>
      </c>
      <c r="F34" s="5">
        <f>'Proximal Validation'!F34</f>
        <v>3.1415999999999999</v>
      </c>
      <c r="G34" s="5">
        <f>'Proximal Validation'!G34</f>
        <v>2.1243312033000001</v>
      </c>
      <c r="H34" s="5">
        <f>'Proximal Validation'!H34</f>
        <v>0.98146476360000001</v>
      </c>
      <c r="I34" s="5">
        <f>'Proximal Validation'!I34</f>
        <v>2.2301814902000001</v>
      </c>
      <c r="J34" s="5">
        <f>'Proximal Validation'!J34</f>
        <v>3.8138499949127401E-3</v>
      </c>
      <c r="K34" s="5">
        <f>'Proximal Validation'!K34</f>
        <v>-8.9558945968746684E-3</v>
      </c>
      <c r="L34" s="5">
        <f>'Proximal Validation'!L34</f>
        <v>6.6326448172330826E-2</v>
      </c>
      <c r="M34" s="5">
        <f>'Proximal Validation'!M34</f>
        <v>-3.0066302046179799E-2</v>
      </c>
      <c r="N34" s="5">
        <f>'Proximal Validation'!N34</f>
        <v>-0.46598353981971702</v>
      </c>
      <c r="O34" s="5">
        <f>'Proximal Validation'!O34</f>
        <v>2.87609733641148E-2</v>
      </c>
      <c r="P34" s="5">
        <v>1.1964883592642483</v>
      </c>
      <c r="Q34" s="5">
        <v>0.19999998684059786</v>
      </c>
      <c r="R34" s="5">
        <v>6.2822329509645698</v>
      </c>
      <c r="S34" s="5">
        <v>1.2131532120559025</v>
      </c>
      <c r="T34" s="5">
        <v>0.10282778996667773</v>
      </c>
      <c r="U34" s="5">
        <v>3.139413125151417</v>
      </c>
      <c r="V34" s="13">
        <v>5.1150460437838913E-8</v>
      </c>
      <c r="W34" s="5">
        <f t="shared" si="4"/>
        <v>-0.27828529563575155</v>
      </c>
      <c r="X34" s="5">
        <f t="shared" si="4"/>
        <v>-1.3159402151297073E-8</v>
      </c>
      <c r="Y34" s="5">
        <f t="shared" si="2"/>
        <v>9.5235621501643664E-4</v>
      </c>
      <c r="Z34" s="5">
        <f t="shared" si="5"/>
        <v>-0.26193727314409743</v>
      </c>
      <c r="AA34" s="5">
        <f t="shared" si="5"/>
        <v>-1.7172210033322269E-2</v>
      </c>
      <c r="AB34" s="5">
        <f t="shared" si="3"/>
        <v>2.1868748485829315E-3</v>
      </c>
      <c r="AC34" s="8">
        <f t="shared" si="6"/>
        <v>0.27011128438992449</v>
      </c>
      <c r="AD34" s="8">
        <f t="shared" si="6"/>
        <v>8.5861115963622101E-3</v>
      </c>
      <c r="AE34" s="8">
        <f t="shared" si="6"/>
        <v>1.569615531799684E-3</v>
      </c>
    </row>
    <row r="35" spans="1:31" x14ac:dyDescent="0.25">
      <c r="A35" s="5">
        <f>'Proximal Validation'!A35</f>
        <v>1.1341222659000001</v>
      </c>
      <c r="B35" s="5">
        <f>'Proximal Validation'!B35</f>
        <v>0.12</v>
      </c>
      <c r="C35" s="5">
        <f>'Proximal Validation'!C35</f>
        <v>0.78539999999999999</v>
      </c>
      <c r="D35" s="5">
        <f>'Proximal Validation'!D35</f>
        <v>1.3710979794</v>
      </c>
      <c r="E35" s="5">
        <f>'Proximal Validation'!E35</f>
        <v>0.04</v>
      </c>
      <c r="F35" s="5">
        <f>'Proximal Validation'!F35</f>
        <v>1.5708</v>
      </c>
      <c r="G35" s="5">
        <f>'Proximal Validation'!G35</f>
        <v>3.8924485742999999</v>
      </c>
      <c r="H35" s="5">
        <f>'Proximal Validation'!H35</f>
        <v>4.3783496642999999</v>
      </c>
      <c r="I35" s="5">
        <f>'Proximal Validation'!I35</f>
        <v>1.6360280112000001</v>
      </c>
      <c r="J35" s="5">
        <f>'Proximal Validation'!J35</f>
        <v>-2.8819218277931203E-4</v>
      </c>
      <c r="K35" s="5">
        <f>'Proximal Validation'!K35</f>
        <v>-0.16862541913986212</v>
      </c>
      <c r="L35" s="5">
        <f>'Proximal Validation'!L35</f>
        <v>9.6877405047416862E-2</v>
      </c>
      <c r="M35" s="5">
        <f>'Proximal Validation'!M35</f>
        <v>-0.59649485349655196</v>
      </c>
      <c r="N35" s="5">
        <f>'Proximal Validation'!N35</f>
        <v>0.69457828998565696</v>
      </c>
      <c r="O35" s="5">
        <f>'Proximal Validation'!O35</f>
        <v>2.1627001762390101</v>
      </c>
      <c r="P35" s="5">
        <v>1.2796011816761579</v>
      </c>
      <c r="Q35" s="5">
        <v>0.11773518583391461</v>
      </c>
      <c r="R35" s="5">
        <v>0.87307544886805433</v>
      </c>
      <c r="S35" s="5">
        <v>1.1988195830114201</v>
      </c>
      <c r="T35" s="5">
        <v>2.9908493019218114E-2</v>
      </c>
      <c r="U35" s="5">
        <v>1.5849119481434339</v>
      </c>
      <c r="V35" s="13">
        <v>3.9691678518900101E-13</v>
      </c>
      <c r="W35" s="5">
        <f t="shared" si="4"/>
        <v>0.14547891577615779</v>
      </c>
      <c r="X35" s="5">
        <f t="shared" si="4"/>
        <v>-2.2648141660853854E-3</v>
      </c>
      <c r="Y35" s="5">
        <f t="shared" si="2"/>
        <v>8.767544886805434E-2</v>
      </c>
      <c r="Z35" s="5">
        <f t="shared" si="5"/>
        <v>-0.17227839638857989</v>
      </c>
      <c r="AA35" s="5">
        <f t="shared" si="5"/>
        <v>-1.0091506980781886E-2</v>
      </c>
      <c r="AB35" s="5">
        <f t="shared" si="3"/>
        <v>1.4111948143433972E-2</v>
      </c>
      <c r="AC35" s="8">
        <f t="shared" si="6"/>
        <v>0.15887865608236884</v>
      </c>
      <c r="AD35" s="8">
        <f t="shared" si="6"/>
        <v>6.1781605734336359E-3</v>
      </c>
      <c r="AE35" s="8">
        <f t="shared" si="6"/>
        <v>5.0893698505744156E-2</v>
      </c>
    </row>
    <row r="36" spans="1:31" x14ac:dyDescent="0.25">
      <c r="A36" s="5">
        <f>'Proximal Validation'!A36</f>
        <v>0.785852255</v>
      </c>
      <c r="B36" s="5">
        <f>'Proximal Validation'!B36</f>
        <v>0.1</v>
      </c>
      <c r="C36" s="5">
        <f>'Proximal Validation'!C36</f>
        <v>0.78539999999999999</v>
      </c>
      <c r="D36" s="5">
        <f>'Proximal Validation'!D36</f>
        <v>0.39355619479999998</v>
      </c>
      <c r="E36" s="5">
        <f>'Proximal Validation'!E36</f>
        <v>0.02</v>
      </c>
      <c r="F36" s="5">
        <f>'Proximal Validation'!F36</f>
        <v>5.4977999999999998</v>
      </c>
      <c r="G36" s="5">
        <f>'Proximal Validation'!G36</f>
        <v>4.5109081914000004</v>
      </c>
      <c r="H36" s="5">
        <f>'Proximal Validation'!H36</f>
        <v>2.9663132843</v>
      </c>
      <c r="I36" s="5">
        <f>'Proximal Validation'!I36</f>
        <v>3.8683553511</v>
      </c>
      <c r="J36" s="5">
        <f>'Proximal Validation'!J36</f>
        <v>4.0220627561211603E-3</v>
      </c>
      <c r="K36" s="5">
        <f>'Proximal Validation'!K36</f>
        <v>-4.8670811653137261E-2</v>
      </c>
      <c r="L36" s="5">
        <f>'Proximal Validation'!L36</f>
        <v>6.9585041999816882E-2</v>
      </c>
      <c r="M36" s="5">
        <f>'Proximal Validation'!M36</f>
        <v>-0.13810922205448201</v>
      </c>
      <c r="N36" s="5">
        <f>'Proximal Validation'!N36</f>
        <v>0.84371614456176802</v>
      </c>
      <c r="O36" s="5">
        <f>'Proximal Validation'!O36</f>
        <v>0.228819519281387</v>
      </c>
      <c r="P36" s="5">
        <v>1.2969270702500273</v>
      </c>
      <c r="Q36" s="5">
        <v>7.6003605049331416E-2</v>
      </c>
      <c r="R36" s="5">
        <v>0.92411141123216078</v>
      </c>
      <c r="S36" s="5">
        <v>0.75947775796813455</v>
      </c>
      <c r="T36" s="5">
        <v>3.7343616162824327E-2</v>
      </c>
      <c r="U36" s="5">
        <v>4.7798912504331268</v>
      </c>
      <c r="V36" s="13">
        <v>1.8953912187787827E-8</v>
      </c>
      <c r="W36" s="5">
        <f t="shared" si="4"/>
        <v>0.51107481525002729</v>
      </c>
      <c r="X36" s="5">
        <f t="shared" si="4"/>
        <v>-2.399639495066859E-2</v>
      </c>
      <c r="Y36" s="5">
        <f t="shared" si="2"/>
        <v>0.1387114112321608</v>
      </c>
      <c r="Z36" s="5">
        <f t="shared" si="5"/>
        <v>0.36592156316813457</v>
      </c>
      <c r="AA36" s="5">
        <f t="shared" si="5"/>
        <v>1.7343616162824326E-2</v>
      </c>
      <c r="AB36" s="5">
        <f t="shared" si="3"/>
        <v>0.71790874956687301</v>
      </c>
      <c r="AC36" s="8">
        <f t="shared" si="6"/>
        <v>0.4384981892090809</v>
      </c>
      <c r="AD36" s="8">
        <f t="shared" si="6"/>
        <v>2.067000555674646E-2</v>
      </c>
      <c r="AE36" s="8">
        <f t="shared" si="6"/>
        <v>0.4283100803995169</v>
      </c>
    </row>
    <row r="37" spans="1:31" x14ac:dyDescent="0.25">
      <c r="A37" s="5">
        <f>'Proximal Validation'!A37</f>
        <v>0.4787670047</v>
      </c>
      <c r="B37" s="5">
        <f>'Proximal Validation'!B37</f>
        <v>0.2</v>
      </c>
      <c r="C37" s="5">
        <f>'Proximal Validation'!C37</f>
        <v>4.7123999999999997</v>
      </c>
      <c r="D37" s="5">
        <f>'Proximal Validation'!D37</f>
        <v>0.35541469809999998</v>
      </c>
      <c r="E37" s="5">
        <f>'Proximal Validation'!E37</f>
        <v>0.14000000000000001</v>
      </c>
      <c r="F37" s="5">
        <f>'Proximal Validation'!F37</f>
        <v>3.1415999999999999</v>
      </c>
      <c r="G37" s="5">
        <f>'Proximal Validation'!G37</f>
        <v>4.9350065225000002</v>
      </c>
      <c r="H37" s="5">
        <f>'Proximal Validation'!H37</f>
        <v>4.6708884390999996</v>
      </c>
      <c r="I37" s="5">
        <f>'Proximal Validation'!I37</f>
        <v>0.64099500450000002</v>
      </c>
      <c r="J37" s="5">
        <f>'Proximal Validation'!J37</f>
        <v>4.0480811148881904E-3</v>
      </c>
      <c r="K37" s="5">
        <f>'Proximal Validation'!K37</f>
        <v>8.1926136910915243E-2</v>
      </c>
      <c r="L37" s="5">
        <f>'Proximal Validation'!L37</f>
        <v>-3.7596840262413014E-2</v>
      </c>
      <c r="M37" s="5">
        <f>'Proximal Validation'!M37</f>
        <v>-8.3123356103897095E-2</v>
      </c>
      <c r="N37" s="5">
        <f>'Proximal Validation'!N37</f>
        <v>-0.26290214061737099</v>
      </c>
      <c r="O37" s="5">
        <f>'Proximal Validation'!O37</f>
        <v>-0.36952835321426403</v>
      </c>
      <c r="P37" s="5">
        <v>0.67187936728479003</v>
      </c>
      <c r="Q37" s="5">
        <v>0.18140187746607814</v>
      </c>
      <c r="R37" s="5">
        <v>4.7358246969285389</v>
      </c>
      <c r="S37" s="5">
        <v>0.41833424514696305</v>
      </c>
      <c r="T37" s="5">
        <v>0.141730078933159</v>
      </c>
      <c r="U37" s="5">
        <v>2.6619853143371266</v>
      </c>
      <c r="V37" s="13">
        <v>2.2244121318711573E-12</v>
      </c>
      <c r="W37" s="5">
        <f t="shared" si="4"/>
        <v>0.19311236258479003</v>
      </c>
      <c r="X37" s="5">
        <f t="shared" si="4"/>
        <v>-1.8598122533921874E-2</v>
      </c>
      <c r="Y37" s="5">
        <f t="shared" si="2"/>
        <v>2.3424696928539213E-2</v>
      </c>
      <c r="Z37" s="5">
        <f t="shared" si="5"/>
        <v>6.2919547046963065E-2</v>
      </c>
      <c r="AA37" s="5">
        <f t="shared" si="5"/>
        <v>1.7300789331589905E-3</v>
      </c>
      <c r="AB37" s="5">
        <f t="shared" si="3"/>
        <v>0.47961468566287335</v>
      </c>
      <c r="AC37" s="8">
        <f t="shared" si="6"/>
        <v>0.12801595481587655</v>
      </c>
      <c r="AD37" s="8">
        <f t="shared" si="6"/>
        <v>1.0164100733540432E-2</v>
      </c>
      <c r="AE37" s="8">
        <f t="shared" si="6"/>
        <v>0.25151969129570628</v>
      </c>
    </row>
    <row r="38" spans="1:31" x14ac:dyDescent="0.25">
      <c r="A38" s="5">
        <f>'Proximal Validation'!A38</f>
        <v>1.2825258852999999</v>
      </c>
      <c r="B38" s="5">
        <f>'Proximal Validation'!B38</f>
        <v>0.14000000000000001</v>
      </c>
      <c r="C38" s="5">
        <f>'Proximal Validation'!C38</f>
        <v>2.3561999999999999</v>
      </c>
      <c r="D38" s="5">
        <f>'Proximal Validation'!D38</f>
        <v>1.1085226837</v>
      </c>
      <c r="E38" s="5">
        <f>'Proximal Validation'!E38</f>
        <v>0.08</v>
      </c>
      <c r="F38" s="5">
        <f>'Proximal Validation'!F38</f>
        <v>3.1415999999999999</v>
      </c>
      <c r="G38" s="5">
        <f>'Proximal Validation'!G38</f>
        <v>5.0541583899999999E-2</v>
      </c>
      <c r="H38" s="5">
        <f>'Proximal Validation'!H38</f>
        <v>4.9578693537999996</v>
      </c>
      <c r="I38" s="5">
        <f>'Proximal Validation'!I38</f>
        <v>3.9886280456000001</v>
      </c>
      <c r="J38" s="5">
        <f>'Proximal Validation'!J38</f>
        <v>-2.3071035742759701E-2</v>
      </c>
      <c r="K38" s="5">
        <f>'Proximal Validation'!K38</f>
        <v>-0.10596835374832156</v>
      </c>
      <c r="L38" s="5">
        <f>'Proximal Validation'!L38</f>
        <v>-0.22721113681793151</v>
      </c>
      <c r="M38" s="5">
        <f>'Proximal Validation'!M38</f>
        <v>-1.1593600511550901</v>
      </c>
      <c r="N38" s="5">
        <f>'Proximal Validation'!N38</f>
        <v>-1.6655416488647501</v>
      </c>
      <c r="O38" s="5">
        <f>'Proximal Validation'!O38</f>
        <v>0.71028804779052701</v>
      </c>
      <c r="P38" s="5">
        <v>1.0626948083046042</v>
      </c>
      <c r="Q38" s="5">
        <v>0.14415863553581548</v>
      </c>
      <c r="R38" s="5">
        <v>2.2353547778704694</v>
      </c>
      <c r="S38" s="5">
        <v>1.3594935856133235</v>
      </c>
      <c r="T38" s="5">
        <v>8.8722585152691422E-2</v>
      </c>
      <c r="U38" s="5">
        <v>3.0910466975388617</v>
      </c>
      <c r="V38" s="13">
        <v>1.6473148655439362E-9</v>
      </c>
      <c r="W38" s="5">
        <f t="shared" si="4"/>
        <v>-0.21983107699539572</v>
      </c>
      <c r="X38" s="5">
        <f t="shared" si="4"/>
        <v>4.1586355358154692E-3</v>
      </c>
      <c r="Y38" s="5">
        <f t="shared" si="2"/>
        <v>0.12084522212953042</v>
      </c>
      <c r="Z38" s="5">
        <f t="shared" si="5"/>
        <v>0.2509709019133235</v>
      </c>
      <c r="AA38" s="5">
        <f t="shared" si="5"/>
        <v>8.72258515269142E-3</v>
      </c>
      <c r="AB38" s="5">
        <f t="shared" si="3"/>
        <v>5.0553302461138205E-2</v>
      </c>
      <c r="AC38" s="8">
        <f t="shared" si="6"/>
        <v>0.23540098945435961</v>
      </c>
      <c r="AD38" s="8">
        <f t="shared" si="6"/>
        <v>6.4406103442534446E-3</v>
      </c>
      <c r="AE38" s="8">
        <f t="shared" si="6"/>
        <v>8.5699262295334311E-2</v>
      </c>
    </row>
    <row r="39" spans="1:31" x14ac:dyDescent="0.25">
      <c r="A39" s="5">
        <f>'Proximal Validation'!A39</f>
        <v>1.0319949839</v>
      </c>
      <c r="B39" s="5">
        <f>'Proximal Validation'!B39</f>
        <v>0.18</v>
      </c>
      <c r="C39" s="5">
        <f>'Proximal Validation'!C39</f>
        <v>3.927</v>
      </c>
      <c r="D39" s="5">
        <f>'Proximal Validation'!D39</f>
        <v>1.1733448184999999</v>
      </c>
      <c r="E39" s="5">
        <f>'Proximal Validation'!E39</f>
        <v>0.12</v>
      </c>
      <c r="F39" s="5">
        <f>'Proximal Validation'!F39</f>
        <v>0.78539999999999999</v>
      </c>
      <c r="G39" s="5">
        <f>'Proximal Validation'!G39</f>
        <v>4.3201662060999997</v>
      </c>
      <c r="H39" s="5">
        <f>'Proximal Validation'!H39</f>
        <v>3.8378352410000001</v>
      </c>
      <c r="I39" s="5">
        <f>'Proximal Validation'!I39</f>
        <v>4.8360302252</v>
      </c>
      <c r="J39" s="5">
        <f>'Proximal Validation'!J39</f>
        <v>2.0447487477213101E-3</v>
      </c>
      <c r="K39" s="5">
        <f>'Proximal Validation'!K39</f>
        <v>3.4675893932580408E-3</v>
      </c>
      <c r="L39" s="5">
        <f>'Proximal Validation'!L39</f>
        <v>-1.7182121560908849E-2</v>
      </c>
      <c r="M39" s="5">
        <f>'Proximal Validation'!M39</f>
        <v>-4.4312290847301497E-2</v>
      </c>
      <c r="N39" s="5">
        <f>'Proximal Validation'!N39</f>
        <v>0.20662721991538999</v>
      </c>
      <c r="O39" s="5">
        <f>'Proximal Validation'!O39</f>
        <v>0.34084922075271601</v>
      </c>
      <c r="P39" s="5">
        <v>0.89058202379573459</v>
      </c>
      <c r="Q39" s="5">
        <v>0.17563064458424185</v>
      </c>
      <c r="R39" s="5">
        <v>3.9265003541099963</v>
      </c>
      <c r="S39" s="5">
        <v>1.0339667443232929</v>
      </c>
      <c r="T39" s="5">
        <v>0.10854383735003285</v>
      </c>
      <c r="U39" s="5">
        <v>0.78494091271879785</v>
      </c>
      <c r="V39" s="13">
        <v>1.8563372481743234E-8</v>
      </c>
      <c r="W39" s="5">
        <f t="shared" ref="W39:X52" si="7">P39-A39</f>
        <v>-0.14141296010426541</v>
      </c>
      <c r="X39" s="5">
        <f t="shared" si="7"/>
        <v>-4.3693554157581416E-3</v>
      </c>
      <c r="Y39" s="5">
        <f t="shared" si="2"/>
        <v>4.9964589000373039E-4</v>
      </c>
      <c r="Z39" s="5">
        <f t="shared" ref="Z39:AA52" si="8">S39-D39</f>
        <v>-0.139378074176707</v>
      </c>
      <c r="AA39" s="5">
        <f t="shared" si="8"/>
        <v>-1.1456162649967142E-2</v>
      </c>
      <c r="AB39" s="5">
        <f t="shared" si="3"/>
        <v>4.5908728120214182E-4</v>
      </c>
      <c r="AC39" s="8">
        <f t="shared" ref="AC39:AE52" si="9">AVERAGE(ABS(W39),ABS(Z39))</f>
        <v>0.1403955171404862</v>
      </c>
      <c r="AD39" s="8">
        <f t="shared" si="9"/>
        <v>7.9127590328626415E-3</v>
      </c>
      <c r="AE39" s="8">
        <f t="shared" si="9"/>
        <v>4.793665856029361E-4</v>
      </c>
    </row>
    <row r="40" spans="1:31" x14ac:dyDescent="0.25">
      <c r="A40" s="5">
        <f>'Proximal Validation'!A40</f>
        <v>0.54659396309999997</v>
      </c>
      <c r="B40" s="5">
        <f>'Proximal Validation'!B40</f>
        <v>0.14000000000000001</v>
      </c>
      <c r="C40" s="5">
        <f>'Proximal Validation'!C40</f>
        <v>3.927</v>
      </c>
      <c r="D40" s="5">
        <f>'Proximal Validation'!D40</f>
        <v>0.37475583969999998</v>
      </c>
      <c r="E40" s="5">
        <f>'Proximal Validation'!E40</f>
        <v>0.08</v>
      </c>
      <c r="F40" s="5">
        <f>'Proximal Validation'!F40</f>
        <v>1.5708</v>
      </c>
      <c r="G40" s="5">
        <f>'Proximal Validation'!G40</f>
        <v>1.2326114607000001</v>
      </c>
      <c r="H40" s="5">
        <f>'Proximal Validation'!H40</f>
        <v>3.5091223980000001</v>
      </c>
      <c r="I40" s="5">
        <f>'Proximal Validation'!I40</f>
        <v>2.8278096824999999</v>
      </c>
      <c r="J40" s="5">
        <f>'Proximal Validation'!J40</f>
        <v>9.2119863256812096E-4</v>
      </c>
      <c r="K40" s="5">
        <f>'Proximal Validation'!K40</f>
        <v>1.6157464738935229E-2</v>
      </c>
      <c r="L40" s="5">
        <f>'Proximal Validation'!L40</f>
        <v>-5.0630841255187964E-2</v>
      </c>
      <c r="M40" s="5">
        <f>'Proximal Validation'!M40</f>
        <v>-5.8329094201326398E-2</v>
      </c>
      <c r="N40" s="5">
        <f>'Proximal Validation'!N40</f>
        <v>-0.317890405654907</v>
      </c>
      <c r="O40" s="5">
        <f>'Proximal Validation'!O40</f>
        <v>0.108785018324852</v>
      </c>
      <c r="P40" s="5">
        <v>0.82552577443059494</v>
      </c>
      <c r="Q40" s="5">
        <v>0.13484878749032436</v>
      </c>
      <c r="R40" s="5">
        <v>4.1388545245162005</v>
      </c>
      <c r="S40" s="5">
        <v>0.68422986080320092</v>
      </c>
      <c r="T40" s="5">
        <v>0.10194641666692439</v>
      </c>
      <c r="U40" s="5">
        <v>1.4812699735252415</v>
      </c>
      <c r="V40" s="13">
        <v>1.4288356105196641E-8</v>
      </c>
      <c r="W40" s="5">
        <f t="shared" si="7"/>
        <v>0.27893181133059497</v>
      </c>
      <c r="X40" s="5">
        <f t="shared" si="7"/>
        <v>-5.1512125096756511E-3</v>
      </c>
      <c r="Y40" s="5">
        <f t="shared" si="2"/>
        <v>0.21185452451620046</v>
      </c>
      <c r="Z40" s="5">
        <f t="shared" si="8"/>
        <v>0.30947402110320094</v>
      </c>
      <c r="AA40" s="5">
        <f t="shared" si="8"/>
        <v>2.1946416666924387E-2</v>
      </c>
      <c r="AB40" s="5">
        <f t="shared" si="3"/>
        <v>8.9530026474758495E-2</v>
      </c>
      <c r="AC40" s="8">
        <f t="shared" si="9"/>
        <v>0.29420291621689798</v>
      </c>
      <c r="AD40" s="8">
        <f t="shared" si="9"/>
        <v>1.3548814588300019E-2</v>
      </c>
      <c r="AE40" s="8">
        <f t="shared" si="9"/>
        <v>0.15069227549547948</v>
      </c>
    </row>
    <row r="41" spans="1:31" x14ac:dyDescent="0.25">
      <c r="A41" s="5">
        <f>'Proximal Validation'!A41</f>
        <v>0.62359206519999999</v>
      </c>
      <c r="B41" s="5">
        <f>'Proximal Validation'!B41</f>
        <v>0.08</v>
      </c>
      <c r="C41" s="5">
        <f>'Proximal Validation'!C41</f>
        <v>5.4977999999999998</v>
      </c>
      <c r="D41" s="5">
        <f>'Proximal Validation'!D41</f>
        <v>0.47877904049999997</v>
      </c>
      <c r="E41" s="5">
        <f>'Proximal Validation'!E41</f>
        <v>0.02</v>
      </c>
      <c r="F41" s="5">
        <f>'Proximal Validation'!F41</f>
        <v>3.927</v>
      </c>
      <c r="G41" s="5">
        <f>'Proximal Validation'!G41</f>
        <v>2.2205178402999999</v>
      </c>
      <c r="H41" s="5">
        <f>'Proximal Validation'!H41</f>
        <v>1.9827336431</v>
      </c>
      <c r="I41" s="5">
        <f>'Proximal Validation'!I41</f>
        <v>0.36676452050000002</v>
      </c>
      <c r="J41" s="5">
        <f>'Proximal Validation'!J41</f>
        <v>-1.47967482917011E-3</v>
      </c>
      <c r="K41" s="5">
        <f>'Proximal Validation'!K41</f>
        <v>4.5280347466468848E-2</v>
      </c>
      <c r="L41" s="5">
        <f>'Proximal Validation'!L41</f>
        <v>2.6666867956519166E-2</v>
      </c>
      <c r="M41" s="5">
        <f>'Proximal Validation'!M41</f>
        <v>-4.8165880143642398E-2</v>
      </c>
      <c r="N41" s="5">
        <f>'Proximal Validation'!N41</f>
        <v>-2.6211343705654099E-2</v>
      </c>
      <c r="O41" s="5">
        <f>'Proximal Validation'!O41</f>
        <v>-0.78379583358764604</v>
      </c>
      <c r="P41" s="5">
        <v>0.67324795683904826</v>
      </c>
      <c r="Q41" s="5">
        <v>7.6393466603800753E-2</v>
      </c>
      <c r="R41" s="5">
        <v>5.5919280460662399</v>
      </c>
      <c r="S41" s="5">
        <v>0.54402636371032476</v>
      </c>
      <c r="T41" s="5">
        <v>2.6457052187839076E-2</v>
      </c>
      <c r="U41" s="5">
        <v>3.8412291917560335</v>
      </c>
      <c r="V41" s="13">
        <v>6.2478854931252275E-11</v>
      </c>
      <c r="W41" s="5">
        <f t="shared" si="7"/>
        <v>4.9655891639048266E-2</v>
      </c>
      <c r="X41" s="5">
        <f t="shared" si="7"/>
        <v>-3.6065333961992491E-3</v>
      </c>
      <c r="Y41" s="5">
        <f t="shared" si="2"/>
        <v>9.4128046066240145E-2</v>
      </c>
      <c r="Z41" s="5">
        <f t="shared" si="8"/>
        <v>6.5247323210324781E-2</v>
      </c>
      <c r="AA41" s="5">
        <f t="shared" si="8"/>
        <v>6.4570521878390755E-3</v>
      </c>
      <c r="AB41" s="5">
        <f t="shared" si="3"/>
        <v>8.5770808243966545E-2</v>
      </c>
      <c r="AC41" s="8">
        <f t="shared" si="9"/>
        <v>5.7451607424686524E-2</v>
      </c>
      <c r="AD41" s="8">
        <f t="shared" si="9"/>
        <v>5.0317927920191623E-3</v>
      </c>
      <c r="AE41" s="8">
        <f t="shared" si="9"/>
        <v>8.9949427155103345E-2</v>
      </c>
    </row>
    <row r="42" spans="1:31" x14ac:dyDescent="0.25">
      <c r="A42" s="5">
        <f>'Proximal Validation'!A42</f>
        <v>1.3484992293</v>
      </c>
      <c r="B42" s="5">
        <f>'Proximal Validation'!B42</f>
        <v>0.2</v>
      </c>
      <c r="C42" s="5">
        <f>'Proximal Validation'!C42</f>
        <v>0</v>
      </c>
      <c r="D42" s="5">
        <f>'Proximal Validation'!D42</f>
        <v>0.39122828500000001</v>
      </c>
      <c r="E42" s="5">
        <f>'Proximal Validation'!E42</f>
        <v>0.14000000000000001</v>
      </c>
      <c r="F42" s="5">
        <f>'Proximal Validation'!F42</f>
        <v>0.78539999999999999</v>
      </c>
      <c r="G42" s="5">
        <f>'Proximal Validation'!G42</f>
        <v>1.9402253723</v>
      </c>
      <c r="H42" s="5">
        <f>'Proximal Validation'!H42</f>
        <v>1.6478522000000001E-3</v>
      </c>
      <c r="I42" s="5">
        <f>'Proximal Validation'!I42</f>
        <v>3.2221664534999999</v>
      </c>
      <c r="J42" s="5">
        <f>'Proximal Validation'!J42</f>
        <v>2.92359739542007E-2</v>
      </c>
      <c r="K42" s="5">
        <f>'Proximal Validation'!K42</f>
        <v>-4.2003208994865412E-2</v>
      </c>
      <c r="L42" s="5">
        <f>'Proximal Validation'!L42</f>
        <v>0.28241620004177093</v>
      </c>
      <c r="M42" s="5">
        <f>'Proximal Validation'!M42</f>
        <v>-1.3672847747802701</v>
      </c>
      <c r="N42" s="5">
        <f>'Proximal Validation'!N42</f>
        <v>0.75280958414077803</v>
      </c>
      <c r="O42" s="5">
        <f>'Proximal Validation'!O42</f>
        <v>0.313927292823792</v>
      </c>
      <c r="P42" s="5">
        <v>1.4379733725146149</v>
      </c>
      <c r="Q42" s="5">
        <v>0.1961100402865516</v>
      </c>
      <c r="R42" s="5">
        <v>2.6635035407779509E-2</v>
      </c>
      <c r="S42" s="5">
        <v>0.30355820200688033</v>
      </c>
      <c r="T42" s="5">
        <v>0.13156872655873642</v>
      </c>
      <c r="U42" s="5">
        <v>0.90437709576685699</v>
      </c>
      <c r="V42" s="13">
        <v>1.0105081544331424E-10</v>
      </c>
      <c r="W42" s="5">
        <f t="shared" si="7"/>
        <v>8.9474143214614887E-2</v>
      </c>
      <c r="X42" s="5">
        <f t="shared" si="7"/>
        <v>-3.8899597134484099E-3</v>
      </c>
      <c r="Y42" s="5">
        <f t="shared" si="2"/>
        <v>2.6635035407779509E-2</v>
      </c>
      <c r="Z42" s="5">
        <f t="shared" si="8"/>
        <v>-8.767008299311968E-2</v>
      </c>
      <c r="AA42" s="5">
        <f t="shared" si="8"/>
        <v>-8.4312734412635981E-3</v>
      </c>
      <c r="AB42" s="5">
        <f t="shared" si="3"/>
        <v>0.118977095766857</v>
      </c>
      <c r="AC42" s="8">
        <f t="shared" si="9"/>
        <v>8.8572113103867284E-2</v>
      </c>
      <c r="AD42" s="8">
        <f t="shared" si="9"/>
        <v>6.160616577356004E-3</v>
      </c>
      <c r="AE42" s="8">
        <f t="shared" si="9"/>
        <v>7.2806065587318253E-2</v>
      </c>
    </row>
    <row r="43" spans="1:31" x14ac:dyDescent="0.25">
      <c r="A43" s="5">
        <f>'Proximal Validation'!A43</f>
        <v>0.51681038229999998</v>
      </c>
      <c r="B43" s="5">
        <f>'Proximal Validation'!B43</f>
        <v>0.08</v>
      </c>
      <c r="C43" s="5">
        <f>'Proximal Validation'!C43</f>
        <v>0</v>
      </c>
      <c r="D43" s="5">
        <f>'Proximal Validation'!D43</f>
        <v>0.91461204240000005</v>
      </c>
      <c r="E43" s="5">
        <f>'Proximal Validation'!E43</f>
        <v>0.02</v>
      </c>
      <c r="F43" s="5">
        <f>'Proximal Validation'!F43</f>
        <v>3.927</v>
      </c>
      <c r="G43" s="5">
        <f>'Proximal Validation'!G43</f>
        <v>3.7945339589999998</v>
      </c>
      <c r="H43" s="5">
        <f>'Proximal Validation'!H43</f>
        <v>3.3481721828</v>
      </c>
      <c r="I43" s="5">
        <f>'Proximal Validation'!I43</f>
        <v>3.4429632493</v>
      </c>
      <c r="J43" s="5">
        <f>'Proximal Validation'!J43</f>
        <v>6.0794455930590597E-4</v>
      </c>
      <c r="K43" s="5">
        <f>'Proximal Validation'!K43</f>
        <v>1.5098237991333044E-2</v>
      </c>
      <c r="L43" s="5">
        <f>'Proximal Validation'!L43</f>
        <v>2.8885395154356931E-2</v>
      </c>
      <c r="M43" s="5">
        <f>'Proximal Validation'!M43</f>
        <v>-5.19313141703606E-2</v>
      </c>
      <c r="N43" s="5">
        <f>'Proximal Validation'!N43</f>
        <v>-0.227550074458122</v>
      </c>
      <c r="O43" s="5">
        <f>'Proximal Validation'!O43</f>
        <v>-0.74169278144836404</v>
      </c>
      <c r="P43" s="5">
        <v>0.45015942495972761</v>
      </c>
      <c r="Q43" s="5">
        <v>8.8505204523915429E-2</v>
      </c>
      <c r="R43" s="5">
        <v>6.2827405808381709</v>
      </c>
      <c r="S43" s="5">
        <v>0.86848889071547108</v>
      </c>
      <c r="T43" s="5">
        <v>2.0000000000085665E-2</v>
      </c>
      <c r="U43" s="5">
        <v>3.9811066362728491</v>
      </c>
      <c r="V43" s="13">
        <v>1.9800837115011247E-10</v>
      </c>
      <c r="W43" s="5">
        <f t="shared" si="7"/>
        <v>-6.6650957340272377E-2</v>
      </c>
      <c r="X43" s="5">
        <f t="shared" si="7"/>
        <v>8.5052045239154273E-3</v>
      </c>
      <c r="Y43" s="5">
        <f t="shared" si="2"/>
        <v>4.4472634141534684E-4</v>
      </c>
      <c r="Z43" s="5">
        <f t="shared" si="8"/>
        <v>-4.6123151684528962E-2</v>
      </c>
      <c r="AA43" s="5">
        <f t="shared" si="8"/>
        <v>8.5664114690686688E-14</v>
      </c>
      <c r="AB43" s="5">
        <f t="shared" si="3"/>
        <v>5.4106636272849062E-2</v>
      </c>
      <c r="AC43" s="8">
        <f t="shared" si="9"/>
        <v>5.6387054512400669E-2</v>
      </c>
      <c r="AD43" s="8">
        <f t="shared" si="9"/>
        <v>4.2526022620005457E-3</v>
      </c>
      <c r="AE43" s="8">
        <f t="shared" si="9"/>
        <v>2.7275681307132205E-2</v>
      </c>
    </row>
    <row r="44" spans="1:31" x14ac:dyDescent="0.25">
      <c r="A44" s="5">
        <f>'Proximal Validation'!A44</f>
        <v>0.68441694529999997</v>
      </c>
      <c r="B44" s="5">
        <f>'Proximal Validation'!B44</f>
        <v>0.16</v>
      </c>
      <c r="C44" s="5">
        <f>'Proximal Validation'!C44</f>
        <v>2.3561999999999999</v>
      </c>
      <c r="D44" s="5">
        <f>'Proximal Validation'!D44</f>
        <v>1.4072090791</v>
      </c>
      <c r="E44" s="5">
        <f>'Proximal Validation'!E44</f>
        <v>0.1</v>
      </c>
      <c r="F44" s="5">
        <f>'Proximal Validation'!F44</f>
        <v>0.78539999999999999</v>
      </c>
      <c r="G44" s="5">
        <f>'Proximal Validation'!G44</f>
        <v>1.6472032243000001</v>
      </c>
      <c r="H44" s="5">
        <f>'Proximal Validation'!H44</f>
        <v>5.9795420000000002E-2</v>
      </c>
      <c r="I44" s="5">
        <f>'Proximal Validation'!I44</f>
        <v>0.1036992028</v>
      </c>
      <c r="J44" s="5">
        <f>'Proximal Validation'!J44</f>
        <v>1.05409817770123E-2</v>
      </c>
      <c r="K44" s="5">
        <f>'Proximal Validation'!K44</f>
        <v>-0.15412576675415074</v>
      </c>
      <c r="L44" s="5">
        <f>'Proximal Validation'!L44</f>
        <v>2.3715965151786811E-2</v>
      </c>
      <c r="M44" s="5">
        <f>'Proximal Validation'!M44</f>
        <v>-0.46214094758033802</v>
      </c>
      <c r="N44" s="5">
        <f>'Proximal Validation'!N44</f>
        <v>0.52779358625411998</v>
      </c>
      <c r="O44" s="5">
        <f>'Proximal Validation'!O44</f>
        <v>1.1965517997741699</v>
      </c>
      <c r="P44" s="5">
        <v>0.82880414850485584</v>
      </c>
      <c r="Q44" s="5">
        <v>0.14968813375977649</v>
      </c>
      <c r="R44" s="5">
        <v>2.1038572744403274</v>
      </c>
      <c r="S44" s="5">
        <v>1.2059483015434562</v>
      </c>
      <c r="T44" s="5">
        <v>9.1246634212722652E-2</v>
      </c>
      <c r="U44" s="5">
        <v>0.68792016124329514</v>
      </c>
      <c r="V44" s="13">
        <v>4.6198559382735987E-9</v>
      </c>
      <c r="W44" s="5">
        <f t="shared" si="7"/>
        <v>0.14438720320485587</v>
      </c>
      <c r="X44" s="5">
        <f t="shared" si="7"/>
        <v>-1.0311866240223511E-2</v>
      </c>
      <c r="Y44" s="5">
        <f t="shared" si="2"/>
        <v>0.25234272555967241</v>
      </c>
      <c r="Z44" s="5">
        <f t="shared" si="8"/>
        <v>-0.20126077755654381</v>
      </c>
      <c r="AA44" s="5">
        <f t="shared" si="8"/>
        <v>-8.7533657872773535E-3</v>
      </c>
      <c r="AB44" s="5">
        <f t="shared" si="3"/>
        <v>9.7479838756704851E-2</v>
      </c>
      <c r="AC44" s="8">
        <f t="shared" si="9"/>
        <v>0.17282399038069984</v>
      </c>
      <c r="AD44" s="8">
        <f t="shared" si="9"/>
        <v>9.532616013750432E-3</v>
      </c>
      <c r="AE44" s="8">
        <f t="shared" si="9"/>
        <v>0.17491128215818863</v>
      </c>
    </row>
    <row r="45" spans="1:31" x14ac:dyDescent="0.25">
      <c r="A45" s="5">
        <f>'Proximal Validation'!A45</f>
        <v>1.3991334753</v>
      </c>
      <c r="B45" s="5">
        <f>'Proximal Validation'!B45</f>
        <v>0.12</v>
      </c>
      <c r="C45" s="5">
        <f>'Proximal Validation'!C45</f>
        <v>5.4977999999999998</v>
      </c>
      <c r="D45" s="5">
        <f>'Proximal Validation'!D45</f>
        <v>0.96266422490000003</v>
      </c>
      <c r="E45" s="5">
        <f>'Proximal Validation'!E45</f>
        <v>0.06</v>
      </c>
      <c r="F45" s="5">
        <f>'Proximal Validation'!F45</f>
        <v>5.4977999999999998</v>
      </c>
      <c r="G45" s="5">
        <f>'Proximal Validation'!G45</f>
        <v>2.0231526378</v>
      </c>
      <c r="H45" s="5">
        <f>'Proximal Validation'!H45</f>
        <v>0.50988481399999996</v>
      </c>
      <c r="I45" s="5">
        <f>'Proximal Validation'!I45</f>
        <v>0.60427768879999999</v>
      </c>
      <c r="J45" s="5">
        <f>'Proximal Validation'!J45</f>
        <v>-3.9675664156675304E-3</v>
      </c>
      <c r="K45" s="5">
        <f>'Proximal Validation'!K45</f>
        <v>0.18592015862464931</v>
      </c>
      <c r="L45" s="5">
        <f>'Proximal Validation'!L45</f>
        <v>0.1597622621059421</v>
      </c>
      <c r="M45" s="5">
        <f>'Proximal Validation'!M45</f>
        <v>-0.87976008653640703</v>
      </c>
      <c r="N45" s="5">
        <f>'Proximal Validation'!N45</f>
        <v>1.1610733270645099</v>
      </c>
      <c r="O45" s="5">
        <f>'Proximal Validation'!O45</f>
        <v>-1.7950013875961299</v>
      </c>
      <c r="P45" s="5">
        <v>1.235103718888191</v>
      </c>
      <c r="Q45" s="5">
        <v>0.1248081420639793</v>
      </c>
      <c r="R45" s="5">
        <v>5.4977855110810561</v>
      </c>
      <c r="S45" s="5">
        <v>1.1263822041088849</v>
      </c>
      <c r="T45" s="5">
        <v>6.3713421158497208E-2</v>
      </c>
      <c r="U45" s="5">
        <v>5.4981968562834789</v>
      </c>
      <c r="V45" s="13">
        <v>1.7359515353606453E-9</v>
      </c>
      <c r="W45" s="5">
        <f t="shared" si="7"/>
        <v>-0.16402975641180895</v>
      </c>
      <c r="X45" s="5">
        <f t="shared" si="7"/>
        <v>4.8081420639793093E-3</v>
      </c>
      <c r="Y45" s="5">
        <f t="shared" si="2"/>
        <v>1.4488918943733609E-5</v>
      </c>
      <c r="Z45" s="5">
        <f t="shared" si="8"/>
        <v>0.16371797920888487</v>
      </c>
      <c r="AA45" s="5">
        <f t="shared" si="8"/>
        <v>3.7134211584972099E-3</v>
      </c>
      <c r="AB45" s="5">
        <f t="shared" si="3"/>
        <v>3.9685628347907453E-4</v>
      </c>
      <c r="AC45" s="9">
        <f t="shared" si="9"/>
        <v>0.16387386781034691</v>
      </c>
      <c r="AD45" s="9">
        <f t="shared" si="9"/>
        <v>4.2607816112382596E-3</v>
      </c>
      <c r="AE45" s="9">
        <f t="shared" si="9"/>
        <v>2.0567260121140407E-4</v>
      </c>
    </row>
    <row r="46" spans="1:31" x14ac:dyDescent="0.25">
      <c r="A46" s="5">
        <f>'Proximal Validation'!A46</f>
        <v>0.4668308846</v>
      </c>
      <c r="B46" s="5">
        <f>'Proximal Validation'!B46</f>
        <v>0.08</v>
      </c>
      <c r="C46" s="5">
        <f>'Proximal Validation'!C46</f>
        <v>3.1415999999999999</v>
      </c>
      <c r="D46" s="5">
        <f>'Proximal Validation'!D46</f>
        <v>1.1054712231999999</v>
      </c>
      <c r="E46" s="5">
        <f>'Proximal Validation'!E46</f>
        <v>0.04</v>
      </c>
      <c r="F46" s="5">
        <f>'Proximal Validation'!F46</f>
        <v>4.7123999999999997</v>
      </c>
      <c r="G46" s="5">
        <f>'Proximal Validation'!G46</f>
        <v>4.4838346888</v>
      </c>
      <c r="H46" s="5">
        <f>'Proximal Validation'!H46</f>
        <v>0.20145099390000001</v>
      </c>
      <c r="I46" s="5">
        <f>'Proximal Validation'!I46</f>
        <v>4.5041045776999997</v>
      </c>
      <c r="J46" s="5">
        <f>'Proximal Validation'!J46</f>
        <v>-3.2952348701655899E-3</v>
      </c>
      <c r="K46" s="5">
        <f>'Proximal Validation'!K46</f>
        <v>4.5224753618240493E-2</v>
      </c>
      <c r="L46" s="5">
        <f>'Proximal Validation'!L46</f>
        <v>-3.975314408540729E-2</v>
      </c>
      <c r="M46" s="5">
        <f>'Proximal Validation'!M46</f>
        <v>-6.3384123146533994E-2</v>
      </c>
      <c r="N46" s="5">
        <f>'Proximal Validation'!N46</f>
        <v>-0.49019342660903897</v>
      </c>
      <c r="O46" s="5">
        <f>'Proximal Validation'!O46</f>
        <v>-1.07537841796875</v>
      </c>
      <c r="P46" s="5">
        <v>0.69509081557411578</v>
      </c>
      <c r="Q46" s="5">
        <v>6.6592550199538955E-2</v>
      </c>
      <c r="R46" s="5">
        <v>3.5428442970912166</v>
      </c>
      <c r="S46" s="5">
        <v>0.85176432848050143</v>
      </c>
      <c r="T46" s="5">
        <v>3.1386055626189423E-2</v>
      </c>
      <c r="U46" s="5">
        <v>4.917228412019039</v>
      </c>
      <c r="V46" s="13">
        <v>3.4168009635090567E-9</v>
      </c>
      <c r="W46" s="5">
        <f t="shared" si="7"/>
        <v>0.22825993097411579</v>
      </c>
      <c r="X46" s="5">
        <f t="shared" si="7"/>
        <v>-1.3407449800461047E-2</v>
      </c>
      <c r="Y46" s="5">
        <f t="shared" si="2"/>
        <v>0.40124429709121667</v>
      </c>
      <c r="Z46" s="5">
        <f t="shared" si="8"/>
        <v>-0.25370689471949848</v>
      </c>
      <c r="AA46" s="5">
        <f t="shared" si="8"/>
        <v>-8.6139443738105781E-3</v>
      </c>
      <c r="AB46" s="5">
        <f t="shared" si="3"/>
        <v>0.20482841201903934</v>
      </c>
      <c r="AC46" s="8">
        <f t="shared" si="9"/>
        <v>0.24098341284680713</v>
      </c>
      <c r="AD46" s="8">
        <f t="shared" si="9"/>
        <v>1.1010697087135812E-2</v>
      </c>
      <c r="AE46" s="8">
        <f t="shared" si="9"/>
        <v>0.30303635455512801</v>
      </c>
    </row>
    <row r="47" spans="1:31" x14ac:dyDescent="0.25">
      <c r="A47" s="5">
        <f>'Proximal Validation'!A47</f>
        <v>1.4827422800000001</v>
      </c>
      <c r="B47" s="5">
        <f>'Proximal Validation'!B47</f>
        <v>0.08</v>
      </c>
      <c r="C47" s="5">
        <f>'Proximal Validation'!C47</f>
        <v>3.1415999999999999</v>
      </c>
      <c r="D47" s="5">
        <f>'Proximal Validation'!D47</f>
        <v>0.80651000630000003</v>
      </c>
      <c r="E47" s="5">
        <f>'Proximal Validation'!E47</f>
        <v>0.04</v>
      </c>
      <c r="F47" s="5">
        <f>'Proximal Validation'!F47</f>
        <v>4.7123999999999997</v>
      </c>
      <c r="G47" s="5">
        <f>'Proximal Validation'!G47</f>
        <v>4.1839238480000001</v>
      </c>
      <c r="H47" s="5">
        <f>'Proximal Validation'!H47</f>
        <v>4.1752821560999998</v>
      </c>
      <c r="I47" s="5">
        <f>'Proximal Validation'!I47</f>
        <v>0.4978333036</v>
      </c>
      <c r="J47" s="5">
        <f>'Proximal Validation'!J47</f>
        <v>5.8683929964899999E-3</v>
      </c>
      <c r="K47" s="5">
        <f>'Proximal Validation'!K47</f>
        <v>3.442031055688817E-2</v>
      </c>
      <c r="L47" s="5">
        <f>'Proximal Validation'!L47</f>
        <v>-0.12324651420116389</v>
      </c>
      <c r="M47" s="5">
        <f>'Proximal Validation'!M47</f>
        <v>-0.22302415966987599</v>
      </c>
      <c r="N47" s="5">
        <f>'Proximal Validation'!N47</f>
        <v>-1.34484195709229</v>
      </c>
      <c r="O47" s="5">
        <f>'Proximal Validation'!O47</f>
        <v>-0.84396576881408703</v>
      </c>
      <c r="P47" s="5">
        <v>1.4531499622344952</v>
      </c>
      <c r="Q47" s="5">
        <v>8.1941182731082321E-2</v>
      </c>
      <c r="R47" s="5">
        <v>3.3041788294376664</v>
      </c>
      <c r="S47" s="5">
        <v>0.57351342027700625</v>
      </c>
      <c r="T47" s="5">
        <v>2.2933171349665816E-2</v>
      </c>
      <c r="U47" s="5">
        <v>4.6288215269483501</v>
      </c>
      <c r="V47" s="13">
        <v>8.2630822838369809E-9</v>
      </c>
      <c r="W47" s="5">
        <f t="shared" si="7"/>
        <v>-2.9592317765504861E-2</v>
      </c>
      <c r="X47" s="5">
        <f t="shared" si="7"/>
        <v>1.9411827310823193E-3</v>
      </c>
      <c r="Y47" s="5">
        <f t="shared" si="2"/>
        <v>0.16257882943766644</v>
      </c>
      <c r="Z47" s="5">
        <f t="shared" si="8"/>
        <v>-0.23299658602299378</v>
      </c>
      <c r="AA47" s="5">
        <f t="shared" si="8"/>
        <v>-1.7066828650334185E-2</v>
      </c>
      <c r="AB47" s="5">
        <f t="shared" si="3"/>
        <v>8.357847305164956E-2</v>
      </c>
      <c r="AC47" s="8">
        <f t="shared" si="9"/>
        <v>0.13129445189424932</v>
      </c>
      <c r="AD47" s="8">
        <f t="shared" si="9"/>
        <v>9.5040056907082521E-3</v>
      </c>
      <c r="AE47" s="8">
        <f t="shared" si="9"/>
        <v>0.123078651244658</v>
      </c>
    </row>
    <row r="48" spans="1:31" x14ac:dyDescent="0.25">
      <c r="A48" s="5">
        <f>'Proximal Validation'!A48</f>
        <v>1.4313963908</v>
      </c>
      <c r="B48" s="5">
        <f>'Proximal Validation'!B48</f>
        <v>0.2</v>
      </c>
      <c r="C48" s="5">
        <f>'Proximal Validation'!C48</f>
        <v>5.4977999999999998</v>
      </c>
      <c r="D48" s="5">
        <f>'Proximal Validation'!D48</f>
        <v>0.66088478610000001</v>
      </c>
      <c r="E48" s="5">
        <f>'Proximal Validation'!E48</f>
        <v>0.16</v>
      </c>
      <c r="F48" s="5">
        <f>'Proximal Validation'!F48</f>
        <v>5.4977999999999998</v>
      </c>
      <c r="G48" s="5">
        <f>'Proximal Validation'!G48</f>
        <v>4.6493399877000003</v>
      </c>
      <c r="H48" s="5">
        <f>'Proximal Validation'!H48</f>
        <v>1.9654430356000001</v>
      </c>
      <c r="I48" s="5">
        <f>'Proximal Validation'!I48</f>
        <v>1.6399488998</v>
      </c>
      <c r="J48" s="5">
        <f>'Proximal Validation'!J48</f>
        <v>-2.84721739590168E-2</v>
      </c>
      <c r="K48" s="5">
        <f>'Proximal Validation'!K48</f>
        <v>0.24718735218048088</v>
      </c>
      <c r="L48" s="5">
        <f>'Proximal Validation'!L48</f>
        <v>0.24951086610555628</v>
      </c>
      <c r="M48" s="5">
        <f>'Proximal Validation'!M48</f>
        <v>-1.72224581241608</v>
      </c>
      <c r="N48" s="5">
        <f>'Proximal Validation'!N48</f>
        <v>0.49334552884101901</v>
      </c>
      <c r="O48" s="5">
        <f>'Proximal Validation'!O48</f>
        <v>-0.76049625873565696</v>
      </c>
      <c r="P48" s="5">
        <v>1.3963918254809327</v>
      </c>
      <c r="Q48" s="5">
        <v>0.19931734930437406</v>
      </c>
      <c r="R48" s="5">
        <v>5.4981024368703215</v>
      </c>
      <c r="S48" s="5">
        <v>0.6957133146850496</v>
      </c>
      <c r="T48" s="5">
        <v>0.16255388841991175</v>
      </c>
      <c r="U48" s="5">
        <v>5.4965477351467849</v>
      </c>
      <c r="V48" s="13">
        <v>1.0290183019080165E-9</v>
      </c>
      <c r="W48" s="5">
        <f t="shared" si="7"/>
        <v>-3.5004565319067371E-2</v>
      </c>
      <c r="X48" s="5">
        <f t="shared" si="7"/>
        <v>-6.826506956259526E-4</v>
      </c>
      <c r="Y48" s="5">
        <f t="shared" si="2"/>
        <v>3.0243687032172062E-4</v>
      </c>
      <c r="Z48" s="5">
        <f t="shared" si="8"/>
        <v>3.482852858504959E-2</v>
      </c>
      <c r="AA48" s="5">
        <f t="shared" si="8"/>
        <v>2.5538884199117484E-3</v>
      </c>
      <c r="AB48" s="5">
        <f t="shared" si="3"/>
        <v>1.2522648532149461E-3</v>
      </c>
      <c r="AC48" s="8">
        <f t="shared" si="9"/>
        <v>3.491654695205848E-2</v>
      </c>
      <c r="AD48" s="8">
        <f t="shared" si="9"/>
        <v>1.6182695577688505E-3</v>
      </c>
      <c r="AE48" s="8">
        <f t="shared" si="9"/>
        <v>7.7735086176833335E-4</v>
      </c>
    </row>
    <row r="49" spans="1:31" x14ac:dyDescent="0.25">
      <c r="A49" s="5">
        <f>'Proximal Validation'!A49</f>
        <v>1.1008731407000001</v>
      </c>
      <c r="B49" s="5">
        <f>'Proximal Validation'!B49</f>
        <v>0.12</v>
      </c>
      <c r="C49" s="5">
        <f>'Proximal Validation'!C49</f>
        <v>4.7123999999999997</v>
      </c>
      <c r="D49" s="5">
        <f>'Proximal Validation'!D49</f>
        <v>1.0118865585000001</v>
      </c>
      <c r="E49" s="5">
        <f>'Proximal Validation'!E49</f>
        <v>0.08</v>
      </c>
      <c r="F49" s="5">
        <f>'Proximal Validation'!F49</f>
        <v>0</v>
      </c>
      <c r="G49" s="5">
        <f>'Proximal Validation'!G49</f>
        <v>2.5804466663999999</v>
      </c>
      <c r="H49" s="5">
        <f>'Proximal Validation'!H49</f>
        <v>2.8020908323999998</v>
      </c>
      <c r="I49" s="5">
        <f>'Proximal Validation'!I49</f>
        <v>1.4209598912000001</v>
      </c>
      <c r="J49" s="5">
        <f>'Proximal Validation'!J49</f>
        <v>-2.18501593917608E-3</v>
      </c>
      <c r="K49" s="5">
        <f>'Proximal Validation'!K49</f>
        <v>0.11094302952289556</v>
      </c>
      <c r="L49" s="5">
        <f>'Proximal Validation'!L49</f>
        <v>0.1318884277343752</v>
      </c>
      <c r="M49" s="5">
        <f>'Proximal Validation'!M49</f>
        <v>-0.42062535881996199</v>
      </c>
      <c r="N49" s="5">
        <f>'Proximal Validation'!N49</f>
        <v>1.5282573699951201</v>
      </c>
      <c r="O49" s="5">
        <f>'Proximal Validation'!O49</f>
        <v>-0.81598681211471602</v>
      </c>
      <c r="P49" s="5">
        <v>0.72872990902087542</v>
      </c>
      <c r="Q49" s="5">
        <v>0.14177319022927692</v>
      </c>
      <c r="R49" s="5">
        <v>4.7686816227181561</v>
      </c>
      <c r="S49" s="5">
        <v>1.0402699721565709</v>
      </c>
      <c r="T49" s="5">
        <v>7.7425214296415051E-2</v>
      </c>
      <c r="U49" s="5">
        <v>5.9160129087352331</v>
      </c>
      <c r="V49" s="13">
        <v>3.2356969017174453E-12</v>
      </c>
      <c r="W49" s="5">
        <f t="shared" si="7"/>
        <v>-0.37214323167912466</v>
      </c>
      <c r="X49" s="5">
        <f t="shared" si="7"/>
        <v>2.1773190229276929E-2</v>
      </c>
      <c r="Y49" s="5">
        <f t="shared" si="2"/>
        <v>5.6281622718156399E-2</v>
      </c>
      <c r="Z49" s="5">
        <f t="shared" si="8"/>
        <v>2.8383413656570822E-2</v>
      </c>
      <c r="AA49" s="5">
        <f t="shared" si="8"/>
        <v>-2.5747857035849503E-3</v>
      </c>
      <c r="AB49" s="5">
        <f t="shared" si="3"/>
        <v>0.36717239844435312</v>
      </c>
      <c r="AC49" s="8">
        <f t="shared" si="9"/>
        <v>0.20026332266784774</v>
      </c>
      <c r="AD49" s="8">
        <f t="shared" si="9"/>
        <v>1.2173987966430939E-2</v>
      </c>
      <c r="AE49" s="8">
        <f t="shared" si="9"/>
        <v>0.21172701058125476</v>
      </c>
    </row>
    <row r="50" spans="1:31" x14ac:dyDescent="0.25">
      <c r="A50" s="5">
        <f>'Proximal Validation'!A50</f>
        <v>1.1548404238000001</v>
      </c>
      <c r="B50" s="5">
        <f>'Proximal Validation'!B50</f>
        <v>0.06</v>
      </c>
      <c r="C50" s="5">
        <f>'Proximal Validation'!C50</f>
        <v>0</v>
      </c>
      <c r="D50" s="5">
        <f>'Proximal Validation'!D50</f>
        <v>0.95560731600000004</v>
      </c>
      <c r="E50" s="5">
        <f>'Proximal Validation'!E50</f>
        <v>0.02</v>
      </c>
      <c r="F50" s="5">
        <f>'Proximal Validation'!F50</f>
        <v>5.4977999999999998</v>
      </c>
      <c r="G50" s="5">
        <f>'Proximal Validation'!G50</f>
        <v>1.7445767312</v>
      </c>
      <c r="H50" s="5">
        <f>'Proximal Validation'!H50</f>
        <v>3.9458122761999999</v>
      </c>
      <c r="I50" s="5">
        <f>'Proximal Validation'!I50</f>
        <v>4.9189190299999996</v>
      </c>
      <c r="J50" s="5">
        <f>'Proximal Validation'!J50</f>
        <v>1.8196115270257E-3</v>
      </c>
      <c r="K50" s="5">
        <f>'Proximal Validation'!K50</f>
        <v>4.7905400395393469E-3</v>
      </c>
      <c r="L50" s="5">
        <f>'Proximal Validation'!L50</f>
        <v>8.9655218124389202E-2</v>
      </c>
      <c r="M50" s="5">
        <f>'Proximal Validation'!M50</f>
        <v>-6.4179420471191406E-2</v>
      </c>
      <c r="N50" s="5">
        <f>'Proximal Validation'!N50</f>
        <v>1.8967602252960201</v>
      </c>
      <c r="O50" s="5">
        <f>'Proximal Validation'!O50</f>
        <v>-0.51140964031219505</v>
      </c>
      <c r="P50" s="5">
        <v>0.70732264128552158</v>
      </c>
      <c r="Q50" s="5">
        <v>7.4552861153162744E-2</v>
      </c>
      <c r="R50" s="5">
        <v>0.15562108172461503</v>
      </c>
      <c r="S50" s="5">
        <v>1.3774404600532284</v>
      </c>
      <c r="T50" s="5">
        <v>2.7464730270287913E-2</v>
      </c>
      <c r="U50" s="5">
        <v>5.6764958434805299</v>
      </c>
      <c r="V50" s="13">
        <v>4.9800824849793979E-13</v>
      </c>
      <c r="W50" s="5">
        <f t="shared" si="7"/>
        <v>-0.44751778251447849</v>
      </c>
      <c r="X50" s="5">
        <f t="shared" si="7"/>
        <v>1.4552861153162747E-2</v>
      </c>
      <c r="Y50" s="5">
        <f t="shared" si="2"/>
        <v>0.15562108172461503</v>
      </c>
      <c r="Z50" s="5">
        <f t="shared" si="8"/>
        <v>0.42183314405322836</v>
      </c>
      <c r="AA50" s="5">
        <f t="shared" si="8"/>
        <v>7.4647302702879129E-3</v>
      </c>
      <c r="AB50" s="5">
        <f t="shared" si="3"/>
        <v>0.17869584348053014</v>
      </c>
      <c r="AC50" s="8">
        <f t="shared" si="9"/>
        <v>0.43467546328385342</v>
      </c>
      <c r="AD50" s="8">
        <f t="shared" si="9"/>
        <v>1.100879571172533E-2</v>
      </c>
      <c r="AE50" s="8">
        <f t="shared" si="9"/>
        <v>0.16715846260257258</v>
      </c>
    </row>
    <row r="51" spans="1:31" x14ac:dyDescent="0.25">
      <c r="A51" s="5">
        <f>'Proximal Validation'!A51</f>
        <v>1.1816252039999999</v>
      </c>
      <c r="B51" s="5">
        <f>'Proximal Validation'!B51</f>
        <v>0.08</v>
      </c>
      <c r="C51" s="5">
        <f>'Proximal Validation'!C51</f>
        <v>1.5708</v>
      </c>
      <c r="D51" s="5">
        <f>'Proximal Validation'!D51</f>
        <v>0.57227119820000005</v>
      </c>
      <c r="E51" s="5">
        <f>'Proximal Validation'!E51</f>
        <v>0.04</v>
      </c>
      <c r="F51" s="5">
        <f>'Proximal Validation'!F51</f>
        <v>0.78539999999999999</v>
      </c>
      <c r="G51" s="5">
        <f>'Proximal Validation'!G51</f>
        <v>1.4076592733</v>
      </c>
      <c r="H51" s="5">
        <f>'Proximal Validation'!H51</f>
        <v>1.3192874408999999</v>
      </c>
      <c r="I51" s="5">
        <f>'Proximal Validation'!I51</f>
        <v>2.6835966308999999</v>
      </c>
      <c r="J51" s="5">
        <f>'Proximal Validation'!J51</f>
        <v>5.0261407159268899E-3</v>
      </c>
      <c r="K51" s="5">
        <f>'Proximal Validation'!K51</f>
        <v>-0.11670223593711854</v>
      </c>
      <c r="L51" s="5">
        <f>'Proximal Validation'!L51</f>
        <v>1.3623089045286231E-2</v>
      </c>
      <c r="M51" s="5">
        <f>'Proximal Validation'!M51</f>
        <v>-0.14642003178596499</v>
      </c>
      <c r="N51" s="5">
        <f>'Proximal Validation'!N51</f>
        <v>0.36419194936752303</v>
      </c>
      <c r="O51" s="5">
        <f>'Proximal Validation'!O51</f>
        <v>1.55786764621735</v>
      </c>
      <c r="P51" s="5">
        <v>0.54016898894947407</v>
      </c>
      <c r="Q51" s="5">
        <v>9.6368234069415887E-2</v>
      </c>
      <c r="R51" s="5">
        <v>1.8876482542436468</v>
      </c>
      <c r="S51" s="5">
        <v>1.2162260113111569</v>
      </c>
      <c r="T51" s="5">
        <v>5.6238835897234947E-2</v>
      </c>
      <c r="U51" s="5">
        <v>1.0806221415423189</v>
      </c>
      <c r="V51" s="13">
        <v>5.6677360141325761E-9</v>
      </c>
      <c r="W51" s="5">
        <f t="shared" si="7"/>
        <v>-0.64145621505052586</v>
      </c>
      <c r="X51" s="5">
        <f t="shared" si="7"/>
        <v>1.6368234069415885E-2</v>
      </c>
      <c r="Y51" s="5">
        <f t="shared" si="2"/>
        <v>0.31684825424364682</v>
      </c>
      <c r="Z51" s="5">
        <f t="shared" si="8"/>
        <v>0.64395481311115688</v>
      </c>
      <c r="AA51" s="5">
        <f t="shared" si="8"/>
        <v>1.6238835897234946E-2</v>
      </c>
      <c r="AB51" s="5">
        <f t="shared" si="3"/>
        <v>0.29522214154231896</v>
      </c>
      <c r="AC51" s="8">
        <f t="shared" si="9"/>
        <v>0.64270551408084131</v>
      </c>
      <c r="AD51" s="8">
        <f t="shared" si="9"/>
        <v>1.6303534983325416E-2</v>
      </c>
      <c r="AE51" s="8">
        <f t="shared" si="9"/>
        <v>0.30603519789298289</v>
      </c>
    </row>
    <row r="52" spans="1:31" x14ac:dyDescent="0.25">
      <c r="A52" s="5">
        <f>'Proximal Validation'!A52</f>
        <v>0.93729510640000002</v>
      </c>
      <c r="B52" s="5">
        <f>'Proximal Validation'!B52</f>
        <v>0.14000000000000001</v>
      </c>
      <c r="C52" s="5">
        <f>'Proximal Validation'!C52</f>
        <v>0.78539999999999999</v>
      </c>
      <c r="D52" s="5">
        <f>'Proximal Validation'!D52</f>
        <v>0.49250416219999998</v>
      </c>
      <c r="E52" s="5">
        <f>'Proximal Validation'!E52</f>
        <v>0.1</v>
      </c>
      <c r="F52" s="5">
        <f>'Proximal Validation'!F52</f>
        <v>0</v>
      </c>
      <c r="G52" s="5">
        <f>'Proximal Validation'!G52</f>
        <v>0.50502447429999997</v>
      </c>
      <c r="H52" s="5">
        <f>'Proximal Validation'!H52</f>
        <v>3.7817597896000001</v>
      </c>
      <c r="I52" s="5">
        <f>'Proximal Validation'!I52</f>
        <v>0.94479070089999995</v>
      </c>
      <c r="J52" s="5">
        <f>'Proximal Validation'!J52</f>
        <v>-5.5614840239286397E-3</v>
      </c>
      <c r="K52" s="5">
        <f>'Proximal Validation'!K52</f>
        <v>-9.2361005544662145E-2</v>
      </c>
      <c r="L52" s="5">
        <f>'Proximal Validation'!L52</f>
        <v>0.14423409759998271</v>
      </c>
      <c r="M52" s="5">
        <f>'Proximal Validation'!M52</f>
        <v>-0.32296690344810502</v>
      </c>
      <c r="N52" s="5">
        <f>'Proximal Validation'!N52</f>
        <v>1.0704246759414699</v>
      </c>
      <c r="O52" s="5">
        <f>'Proximal Validation'!O52</f>
        <v>0.568997502326965</v>
      </c>
      <c r="P52" s="5">
        <v>0.42434997689711018</v>
      </c>
      <c r="Q52" s="5">
        <v>0.14936792648556566</v>
      </c>
      <c r="R52" s="5">
        <v>1.6722890141446534</v>
      </c>
      <c r="S52" s="5">
        <v>1.2221294366065698</v>
      </c>
      <c r="T52" s="5">
        <v>0.12405371822429374</v>
      </c>
      <c r="U52" s="5">
        <v>0.19803847877324965</v>
      </c>
      <c r="V52" s="13">
        <v>1.991885117239025E-9</v>
      </c>
      <c r="W52" s="5">
        <f t="shared" si="7"/>
        <v>-0.51294512950288984</v>
      </c>
      <c r="X52" s="5">
        <f t="shared" si="7"/>
        <v>9.3679264855656419E-3</v>
      </c>
      <c r="Y52" s="5">
        <f t="shared" si="2"/>
        <v>0.88688901414465338</v>
      </c>
      <c r="Z52" s="5">
        <f t="shared" si="8"/>
        <v>0.72962527440656988</v>
      </c>
      <c r="AA52" s="5">
        <f t="shared" si="8"/>
        <v>2.4053718224293738E-2</v>
      </c>
      <c r="AB52" s="5">
        <f t="shared" si="3"/>
        <v>0.19803847877324965</v>
      </c>
      <c r="AC52" s="8">
        <f t="shared" si="9"/>
        <v>0.62128520195472992</v>
      </c>
      <c r="AD52" s="8">
        <f t="shared" si="9"/>
        <v>1.671082235492969E-2</v>
      </c>
      <c r="AE52" s="8">
        <f t="shared" si="9"/>
        <v>0.54246374645895146</v>
      </c>
    </row>
    <row r="54" spans="1:31" x14ac:dyDescent="0.25">
      <c r="AC54" s="22"/>
      <c r="AD54" s="22"/>
      <c r="AE54" s="22"/>
    </row>
  </sheetData>
  <mergeCells count="6">
    <mergeCell ref="AF5:AK5"/>
    <mergeCell ref="A1:I1"/>
    <mergeCell ref="J1:O1"/>
    <mergeCell ref="P1:V1"/>
    <mergeCell ref="W1:AE1"/>
    <mergeCell ref="AF2:A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V18"/>
  <sheetViews>
    <sheetView workbookViewId="0">
      <selection activeCell="R22" sqref="R22"/>
    </sheetView>
  </sheetViews>
  <sheetFormatPr defaultRowHeight="15" x14ac:dyDescent="0.25"/>
  <cols>
    <col min="22" max="22" width="17.7109375" bestFit="1" customWidth="1"/>
  </cols>
  <sheetData>
    <row r="1" spans="1:22" ht="15.75" x14ac:dyDescent="0.25">
      <c r="A1" s="39" t="s">
        <v>21</v>
      </c>
      <c r="B1" s="40"/>
      <c r="C1" s="40"/>
      <c r="D1" s="40"/>
      <c r="E1" s="40"/>
      <c r="F1" s="41"/>
      <c r="H1" s="39" t="s">
        <v>36</v>
      </c>
      <c r="I1" s="40"/>
      <c r="J1" s="40"/>
      <c r="K1" s="40"/>
      <c r="L1" s="40"/>
      <c r="M1" s="41"/>
      <c r="O1" s="39" t="s">
        <v>37</v>
      </c>
      <c r="P1" s="40"/>
      <c r="Q1" s="40"/>
      <c r="R1" s="40"/>
      <c r="S1" s="40"/>
      <c r="T1" s="41"/>
    </row>
    <row r="2" spans="1:22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  <c r="O2" s="3" t="s">
        <v>18</v>
      </c>
      <c r="P2" s="3" t="s">
        <v>19</v>
      </c>
      <c r="Q2" s="3" t="s">
        <v>20</v>
      </c>
      <c r="R2" s="3" t="s">
        <v>15</v>
      </c>
      <c r="S2" s="3" t="s">
        <v>16</v>
      </c>
      <c r="T2" s="3" t="s">
        <v>17</v>
      </c>
      <c r="V2" s="14" t="s">
        <v>38</v>
      </c>
    </row>
    <row r="3" spans="1:22" x14ac:dyDescent="0.25">
      <c r="A3">
        <v>0.568997502326965</v>
      </c>
      <c r="B3">
        <v>-1.0704246759414699</v>
      </c>
      <c r="C3">
        <v>-0.32296690344810502</v>
      </c>
      <c r="D3">
        <v>0.24057231843471499</v>
      </c>
      <c r="E3">
        <v>0.14357078075408899</v>
      </c>
      <c r="F3" s="4">
        <v>-5.5614840239286397E-3</v>
      </c>
      <c r="H3">
        <f>$F3</f>
        <v>-5.5614840239286397E-3</v>
      </c>
      <c r="I3">
        <f>-1*$E3</f>
        <v>-0.14357078075408899</v>
      </c>
      <c r="J3">
        <f>$D3</f>
        <v>0.24057231843471499</v>
      </c>
      <c r="K3">
        <f>$C3</f>
        <v>-0.32296690344810502</v>
      </c>
      <c r="L3">
        <f>-1*$B3</f>
        <v>1.0704246759414699</v>
      </c>
      <c r="M3">
        <f>$A3</f>
        <v>0.568997502326965</v>
      </c>
      <c r="O3">
        <f>H3</f>
        <v>-5.5614840239286397E-3</v>
      </c>
      <c r="P3">
        <f>I3+$V$3*M3</f>
        <v>-9.2361005544662145E-2</v>
      </c>
      <c r="Q3">
        <f>J3-$V$3*L3</f>
        <v>0.14423409759998271</v>
      </c>
      <c r="R3">
        <f>K3</f>
        <v>-0.32296690344810502</v>
      </c>
      <c r="S3">
        <f>L3</f>
        <v>1.0704246759414699</v>
      </c>
      <c r="T3">
        <f>M3</f>
        <v>0.568997502326965</v>
      </c>
      <c r="V3">
        <f>0.09</f>
        <v>0.09</v>
      </c>
    </row>
    <row r="4" spans="1:22" x14ac:dyDescent="0.25">
      <c r="A4">
        <v>1.55786764621735</v>
      </c>
      <c r="B4">
        <v>-0.36419194936752303</v>
      </c>
      <c r="C4">
        <v>-0.14642003178596499</v>
      </c>
      <c r="D4">
        <v>4.6400364488363301E-2</v>
      </c>
      <c r="E4">
        <v>0.25691032409668002</v>
      </c>
      <c r="F4">
        <v>5.0261407159268899E-3</v>
      </c>
      <c r="H4">
        <f t="shared" ref="H4:H18" si="0">$F4</f>
        <v>5.0261407159268899E-3</v>
      </c>
      <c r="I4">
        <f t="shared" ref="I4:I18" si="1">-1*$E4</f>
        <v>-0.25691032409668002</v>
      </c>
      <c r="J4">
        <f t="shared" ref="J4:J18" si="2">$D4</f>
        <v>4.6400364488363301E-2</v>
      </c>
      <c r="K4">
        <f t="shared" ref="K4:K18" si="3">$C4</f>
        <v>-0.14642003178596499</v>
      </c>
      <c r="L4">
        <f t="shared" ref="L4:L18" si="4">-1*$B4</f>
        <v>0.36419194936752303</v>
      </c>
      <c r="M4">
        <f t="shared" ref="M4:M18" si="5">$A4</f>
        <v>1.55786764621735</v>
      </c>
      <c r="O4">
        <f t="shared" ref="O4:O18" si="6">H4</f>
        <v>5.0261407159268899E-3</v>
      </c>
      <c r="P4">
        <f t="shared" ref="P4:P18" si="7">I4+$V$3*M4</f>
        <v>-0.11670223593711854</v>
      </c>
      <c r="Q4">
        <f t="shared" ref="Q4:Q18" si="8">J4-$V$3*L4</f>
        <v>1.3623089045286231E-2</v>
      </c>
      <c r="R4">
        <f t="shared" ref="R4:R18" si="9">K4</f>
        <v>-0.14642003178596499</v>
      </c>
      <c r="S4">
        <f t="shared" ref="S4:S18" si="10">L4</f>
        <v>0.36419194936752303</v>
      </c>
      <c r="T4">
        <f t="shared" ref="T4:T18" si="11">M4</f>
        <v>1.55786764621735</v>
      </c>
    </row>
    <row r="5" spans="1:22" x14ac:dyDescent="0.25">
      <c r="A5">
        <v>-0.51140964031219505</v>
      </c>
      <c r="B5">
        <v>-1.8967602252960201</v>
      </c>
      <c r="C5">
        <v>-6.4179420471191406E-2</v>
      </c>
      <c r="D5">
        <v>0.26036363840103099</v>
      </c>
      <c r="E5">
        <v>-5.0817407667636899E-2</v>
      </c>
      <c r="F5">
        <v>1.8196115270257E-3</v>
      </c>
      <c r="H5">
        <f t="shared" si="0"/>
        <v>1.8196115270257E-3</v>
      </c>
      <c r="I5">
        <f t="shared" si="1"/>
        <v>5.0817407667636899E-2</v>
      </c>
      <c r="J5">
        <f t="shared" si="2"/>
        <v>0.26036363840103099</v>
      </c>
      <c r="K5">
        <f t="shared" si="3"/>
        <v>-6.4179420471191406E-2</v>
      </c>
      <c r="L5">
        <f t="shared" si="4"/>
        <v>1.8967602252960201</v>
      </c>
      <c r="M5">
        <f t="shared" si="5"/>
        <v>-0.51140964031219505</v>
      </c>
      <c r="O5">
        <f t="shared" si="6"/>
        <v>1.8196115270257E-3</v>
      </c>
      <c r="P5">
        <f t="shared" si="7"/>
        <v>4.7905400395393469E-3</v>
      </c>
      <c r="Q5">
        <f t="shared" si="8"/>
        <v>8.9655218124389202E-2</v>
      </c>
      <c r="R5">
        <f t="shared" si="9"/>
        <v>-6.4179420471191406E-2</v>
      </c>
      <c r="S5">
        <f t="shared" si="10"/>
        <v>1.8967602252960201</v>
      </c>
      <c r="T5">
        <f t="shared" si="11"/>
        <v>-0.51140964031219505</v>
      </c>
    </row>
    <row r="6" spans="1:22" x14ac:dyDescent="0.25">
      <c r="A6">
        <v>-0.81598681211471602</v>
      </c>
      <c r="B6">
        <v>-1.5282573699951201</v>
      </c>
      <c r="C6">
        <v>-0.42062535881996199</v>
      </c>
      <c r="D6">
        <v>0.26943159103393599</v>
      </c>
      <c r="E6">
        <v>-0.18438184261321999</v>
      </c>
      <c r="F6">
        <v>-2.18501593917608E-3</v>
      </c>
      <c r="H6">
        <f t="shared" si="0"/>
        <v>-2.18501593917608E-3</v>
      </c>
      <c r="I6">
        <f t="shared" si="1"/>
        <v>0.18438184261321999</v>
      </c>
      <c r="J6">
        <f t="shared" si="2"/>
        <v>0.26943159103393599</v>
      </c>
      <c r="K6">
        <f t="shared" si="3"/>
        <v>-0.42062535881996199</v>
      </c>
      <c r="L6">
        <f t="shared" si="4"/>
        <v>1.5282573699951201</v>
      </c>
      <c r="M6">
        <f t="shared" si="5"/>
        <v>-0.81598681211471602</v>
      </c>
      <c r="O6">
        <f t="shared" si="6"/>
        <v>-2.18501593917608E-3</v>
      </c>
      <c r="P6">
        <f t="shared" si="7"/>
        <v>0.11094302952289556</v>
      </c>
      <c r="Q6">
        <f t="shared" si="8"/>
        <v>0.1318884277343752</v>
      </c>
      <c r="R6">
        <f t="shared" si="9"/>
        <v>-0.42062535881996199</v>
      </c>
      <c r="S6">
        <f t="shared" si="10"/>
        <v>1.5282573699951201</v>
      </c>
      <c r="T6">
        <f t="shared" si="11"/>
        <v>-0.81598681211471602</v>
      </c>
    </row>
    <row r="7" spans="1:22" x14ac:dyDescent="0.25">
      <c r="A7">
        <v>-0.76049625873565696</v>
      </c>
      <c r="B7">
        <v>-0.49334552884101901</v>
      </c>
      <c r="C7">
        <v>-1.72224581241608</v>
      </c>
      <c r="D7">
        <v>0.293911963701248</v>
      </c>
      <c r="E7">
        <v>-0.31563201546669001</v>
      </c>
      <c r="F7">
        <v>-2.84721739590168E-2</v>
      </c>
      <c r="H7">
        <f t="shared" si="0"/>
        <v>-2.84721739590168E-2</v>
      </c>
      <c r="I7">
        <f t="shared" si="1"/>
        <v>0.31563201546669001</v>
      </c>
      <c r="J7">
        <f t="shared" si="2"/>
        <v>0.293911963701248</v>
      </c>
      <c r="K7">
        <f t="shared" si="3"/>
        <v>-1.72224581241608</v>
      </c>
      <c r="L7">
        <f t="shared" si="4"/>
        <v>0.49334552884101901</v>
      </c>
      <c r="M7">
        <f t="shared" si="5"/>
        <v>-0.76049625873565696</v>
      </c>
      <c r="O7">
        <f t="shared" si="6"/>
        <v>-2.84721739590168E-2</v>
      </c>
      <c r="P7">
        <f t="shared" si="7"/>
        <v>0.24718735218048088</v>
      </c>
      <c r="Q7">
        <f t="shared" si="8"/>
        <v>0.24951086610555628</v>
      </c>
      <c r="R7">
        <f t="shared" si="9"/>
        <v>-1.72224581241608</v>
      </c>
      <c r="S7">
        <f t="shared" si="10"/>
        <v>0.49334552884101901</v>
      </c>
      <c r="T7">
        <f t="shared" si="11"/>
        <v>-0.76049625873565696</v>
      </c>
    </row>
    <row r="8" spans="1:22" x14ac:dyDescent="0.25">
      <c r="H8">
        <f t="shared" si="0"/>
        <v>0</v>
      </c>
      <c r="I8">
        <f t="shared" si="1"/>
        <v>0</v>
      </c>
      <c r="J8">
        <f t="shared" si="2"/>
        <v>0</v>
      </c>
      <c r="K8">
        <f t="shared" si="3"/>
        <v>0</v>
      </c>
      <c r="L8">
        <f t="shared" si="4"/>
        <v>0</v>
      </c>
      <c r="M8">
        <f t="shared" si="5"/>
        <v>0</v>
      </c>
      <c r="O8">
        <f t="shared" si="6"/>
        <v>0</v>
      </c>
      <c r="P8">
        <f t="shared" si="7"/>
        <v>0</v>
      </c>
      <c r="Q8">
        <f t="shared" si="8"/>
        <v>0</v>
      </c>
      <c r="R8">
        <f t="shared" si="9"/>
        <v>0</v>
      </c>
      <c r="S8">
        <f t="shared" si="10"/>
        <v>0</v>
      </c>
      <c r="T8">
        <f t="shared" si="11"/>
        <v>0</v>
      </c>
    </row>
    <row r="9" spans="1:22" x14ac:dyDescent="0.25">
      <c r="H9">
        <f t="shared" si="0"/>
        <v>0</v>
      </c>
      <c r="I9">
        <f t="shared" si="1"/>
        <v>0</v>
      </c>
      <c r="J9">
        <f t="shared" si="2"/>
        <v>0</v>
      </c>
      <c r="K9">
        <f t="shared" si="3"/>
        <v>0</v>
      </c>
      <c r="L9">
        <f t="shared" si="4"/>
        <v>0</v>
      </c>
      <c r="M9">
        <f t="shared" si="5"/>
        <v>0</v>
      </c>
      <c r="O9">
        <f t="shared" si="6"/>
        <v>0</v>
      </c>
      <c r="P9">
        <f t="shared" si="7"/>
        <v>0</v>
      </c>
      <c r="Q9">
        <f t="shared" si="8"/>
        <v>0</v>
      </c>
      <c r="R9">
        <f t="shared" si="9"/>
        <v>0</v>
      </c>
      <c r="S9">
        <f t="shared" si="10"/>
        <v>0</v>
      </c>
      <c r="T9">
        <f t="shared" si="11"/>
        <v>0</v>
      </c>
    </row>
    <row r="10" spans="1:22" x14ac:dyDescent="0.25">
      <c r="H10">
        <f t="shared" si="0"/>
        <v>0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0</v>
      </c>
      <c r="M10">
        <f t="shared" si="5"/>
        <v>0</v>
      </c>
      <c r="O10">
        <f t="shared" si="6"/>
        <v>0</v>
      </c>
      <c r="P10">
        <f t="shared" si="7"/>
        <v>0</v>
      </c>
      <c r="Q10">
        <f t="shared" si="8"/>
        <v>0</v>
      </c>
      <c r="R10">
        <f t="shared" si="9"/>
        <v>0</v>
      </c>
      <c r="S10">
        <f t="shared" si="10"/>
        <v>0</v>
      </c>
      <c r="T10">
        <f t="shared" si="11"/>
        <v>0</v>
      </c>
    </row>
    <row r="11" spans="1:22" x14ac:dyDescent="0.25">
      <c r="H11">
        <f t="shared" si="0"/>
        <v>0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0</v>
      </c>
      <c r="M11">
        <f t="shared" si="5"/>
        <v>0</v>
      </c>
      <c r="O11">
        <f t="shared" si="6"/>
        <v>0</v>
      </c>
      <c r="P11">
        <f t="shared" si="7"/>
        <v>0</v>
      </c>
      <c r="Q11">
        <f t="shared" si="8"/>
        <v>0</v>
      </c>
      <c r="R11">
        <f t="shared" si="9"/>
        <v>0</v>
      </c>
      <c r="S11">
        <f t="shared" si="10"/>
        <v>0</v>
      </c>
      <c r="T11">
        <f t="shared" si="11"/>
        <v>0</v>
      </c>
    </row>
    <row r="12" spans="1:22" x14ac:dyDescent="0.25">
      <c r="H12">
        <f t="shared" si="0"/>
        <v>0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>
        <f t="shared" si="5"/>
        <v>0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  <c r="S12">
        <f t="shared" si="10"/>
        <v>0</v>
      </c>
      <c r="T12">
        <f t="shared" si="11"/>
        <v>0</v>
      </c>
    </row>
    <row r="13" spans="1:22" x14ac:dyDescent="0.25"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f t="shared" si="5"/>
        <v>0</v>
      </c>
      <c r="O13">
        <f t="shared" si="6"/>
        <v>0</v>
      </c>
      <c r="P13">
        <f t="shared" si="7"/>
        <v>0</v>
      </c>
      <c r="Q13">
        <f t="shared" si="8"/>
        <v>0</v>
      </c>
      <c r="R13">
        <f t="shared" si="9"/>
        <v>0</v>
      </c>
      <c r="S13">
        <f t="shared" si="10"/>
        <v>0</v>
      </c>
      <c r="T13">
        <f t="shared" si="11"/>
        <v>0</v>
      </c>
    </row>
    <row r="14" spans="1:22" x14ac:dyDescent="0.25"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f t="shared" si="5"/>
        <v>0</v>
      </c>
      <c r="O14">
        <f t="shared" si="6"/>
        <v>0</v>
      </c>
      <c r="P14">
        <f t="shared" si="7"/>
        <v>0</v>
      </c>
      <c r="Q14">
        <f t="shared" si="8"/>
        <v>0</v>
      </c>
      <c r="R14">
        <f t="shared" si="9"/>
        <v>0</v>
      </c>
      <c r="S14">
        <f t="shared" si="10"/>
        <v>0</v>
      </c>
      <c r="T14">
        <f t="shared" si="11"/>
        <v>0</v>
      </c>
    </row>
    <row r="15" spans="1:22" x14ac:dyDescent="0.25"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  <c r="O15">
        <f t="shared" si="6"/>
        <v>0</v>
      </c>
      <c r="P15">
        <f t="shared" si="7"/>
        <v>0</v>
      </c>
      <c r="Q15">
        <f t="shared" si="8"/>
        <v>0</v>
      </c>
      <c r="R15">
        <f t="shared" si="9"/>
        <v>0</v>
      </c>
      <c r="S15">
        <f t="shared" si="10"/>
        <v>0</v>
      </c>
      <c r="T15">
        <f t="shared" si="11"/>
        <v>0</v>
      </c>
    </row>
    <row r="16" spans="1:22" x14ac:dyDescent="0.25"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  <c r="O16">
        <f t="shared" si="6"/>
        <v>0</v>
      </c>
      <c r="P16">
        <f t="shared" si="7"/>
        <v>0</v>
      </c>
      <c r="Q16">
        <f t="shared" si="8"/>
        <v>0</v>
      </c>
      <c r="R16">
        <f t="shared" si="9"/>
        <v>0</v>
      </c>
      <c r="S16">
        <f t="shared" si="10"/>
        <v>0</v>
      </c>
      <c r="T16">
        <f t="shared" si="11"/>
        <v>0</v>
      </c>
    </row>
    <row r="17" spans="8:20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  <c r="O17">
        <f t="shared" si="6"/>
        <v>0</v>
      </c>
      <c r="P17">
        <f t="shared" si="7"/>
        <v>0</v>
      </c>
      <c r="Q17">
        <f t="shared" si="8"/>
        <v>0</v>
      </c>
      <c r="R17">
        <f t="shared" si="9"/>
        <v>0</v>
      </c>
      <c r="S17">
        <f t="shared" si="10"/>
        <v>0</v>
      </c>
      <c r="T17">
        <f t="shared" si="11"/>
        <v>0</v>
      </c>
    </row>
    <row r="18" spans="8:20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  <c r="O18">
        <f t="shared" si="6"/>
        <v>0</v>
      </c>
      <c r="P18">
        <f t="shared" si="7"/>
        <v>0</v>
      </c>
      <c r="Q18">
        <f t="shared" si="8"/>
        <v>0</v>
      </c>
      <c r="R18">
        <f t="shared" si="9"/>
        <v>0</v>
      </c>
      <c r="S18">
        <f t="shared" si="10"/>
        <v>0</v>
      </c>
      <c r="T18">
        <f t="shared" si="11"/>
        <v>0</v>
      </c>
    </row>
  </sheetData>
  <mergeCells count="3">
    <mergeCell ref="A1:F1"/>
    <mergeCell ref="H1:M1"/>
    <mergeCell ref="O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7133-1F40-42FE-857E-F1C32F431B6A}">
  <dimension ref="D3:X142"/>
  <sheetViews>
    <sheetView topLeftCell="A98" zoomScale="80" zoomScaleNormal="80" workbookViewId="0">
      <selection activeCell="G93" sqref="G93:S142"/>
    </sheetView>
  </sheetViews>
  <sheetFormatPr defaultRowHeight="15" x14ac:dyDescent="0.25"/>
  <sheetData>
    <row r="3" spans="4:16" x14ac:dyDescent="0.25">
      <c r="D3" t="s">
        <v>44</v>
      </c>
      <c r="E3" t="s">
        <v>43</v>
      </c>
      <c r="F3">
        <v>1.4371985569596299E-2</v>
      </c>
      <c r="G3">
        <v>-1.4706531241536116E-2</v>
      </c>
      <c r="H3">
        <v>0.2061504805088038</v>
      </c>
      <c r="I3">
        <v>-0.55730897188186601</v>
      </c>
      <c r="J3">
        <v>2.0565929412841801</v>
      </c>
      <c r="K3">
        <v>7.4373602867126506E-2</v>
      </c>
      <c r="L3">
        <v>3.9081993600000003E-2</v>
      </c>
      <c r="M3">
        <v>2.9262884955000001</v>
      </c>
      <c r="N3">
        <v>4.7431789933999999</v>
      </c>
      <c r="O3" t="s">
        <v>45</v>
      </c>
      <c r="P3" t="s">
        <v>46</v>
      </c>
    </row>
    <row r="4" spans="4:16" x14ac:dyDescent="0.25">
      <c r="E4" t="s">
        <v>43</v>
      </c>
      <c r="F4">
        <v>1.1325632221996799E-3</v>
      </c>
      <c r="G4">
        <v>-6.6681183576583883E-2</v>
      </c>
      <c r="H4">
        <v>7.4554264545442783E-4</v>
      </c>
      <c r="I4">
        <v>-6.8245917558670002E-2</v>
      </c>
      <c r="J4">
        <v>0.80465632677078203</v>
      </c>
      <c r="K4">
        <v>0.26539456844329801</v>
      </c>
      <c r="L4">
        <v>2.4382389278000001</v>
      </c>
      <c r="M4">
        <v>4.2854047354000002</v>
      </c>
      <c r="N4">
        <v>0.33901404839999999</v>
      </c>
      <c r="O4" t="s">
        <v>45</v>
      </c>
      <c r="P4" t="s">
        <v>46</v>
      </c>
    </row>
    <row r="5" spans="4:16" x14ac:dyDescent="0.25">
      <c r="E5" t="s">
        <v>43</v>
      </c>
      <c r="F5">
        <v>-5.0011062994599299E-3</v>
      </c>
      <c r="G5">
        <v>1.905451118946036E-3</v>
      </c>
      <c r="H5">
        <v>-3.3290824294089638E-3</v>
      </c>
      <c r="I5">
        <v>1.8331240862607999E-3</v>
      </c>
      <c r="J5">
        <v>-0.756436347961426</v>
      </c>
      <c r="K5">
        <v>0.79075133800506603</v>
      </c>
      <c r="L5">
        <v>2.1189458146</v>
      </c>
      <c r="M5">
        <v>2.2606748846000002</v>
      </c>
      <c r="N5">
        <v>0.94750633689999997</v>
      </c>
      <c r="O5" t="s">
        <v>45</v>
      </c>
      <c r="P5" t="s">
        <v>46</v>
      </c>
    </row>
    <row r="6" spans="4:16" x14ac:dyDescent="0.25">
      <c r="E6" t="s">
        <v>43</v>
      </c>
      <c r="F6">
        <v>5.6576435454189803E-3</v>
      </c>
      <c r="G6">
        <v>0.17276296734809909</v>
      </c>
      <c r="H6">
        <v>8.9440476745367051E-2</v>
      </c>
      <c r="I6">
        <v>-0.48139920830726601</v>
      </c>
      <c r="J6">
        <v>-0.48554921150207497</v>
      </c>
      <c r="K6">
        <v>-1.6963471174240099</v>
      </c>
      <c r="L6">
        <v>0.31884207939999998</v>
      </c>
      <c r="M6">
        <v>3.8007215218999999</v>
      </c>
      <c r="N6">
        <v>0.48541647729999998</v>
      </c>
      <c r="O6" t="s">
        <v>45</v>
      </c>
      <c r="P6" t="s">
        <v>46</v>
      </c>
    </row>
    <row r="7" spans="4:16" x14ac:dyDescent="0.25">
      <c r="E7" t="s">
        <v>43</v>
      </c>
      <c r="F7">
        <v>1.9597527571022502E-3</v>
      </c>
      <c r="G7">
        <v>1.6047963500023368E-2</v>
      </c>
      <c r="H7">
        <v>8.9387370347976308E-2</v>
      </c>
      <c r="I7">
        <v>-0.110345743596554</v>
      </c>
      <c r="J7">
        <v>0.49668353796005199</v>
      </c>
      <c r="K7">
        <v>-0.96090674400329601</v>
      </c>
      <c r="L7">
        <v>8.0437148799999997E-2</v>
      </c>
      <c r="M7">
        <v>0.35167971240000001</v>
      </c>
      <c r="N7">
        <v>1.0501461195999999</v>
      </c>
      <c r="O7" t="s">
        <v>45</v>
      </c>
      <c r="P7" t="s">
        <v>46</v>
      </c>
    </row>
    <row r="8" spans="4:16" x14ac:dyDescent="0.25">
      <c r="E8" t="s">
        <v>43</v>
      </c>
      <c r="F8">
        <v>1.67317176237702E-3</v>
      </c>
      <c r="G8">
        <v>0.16960764229297612</v>
      </c>
      <c r="H8">
        <v>5.4553549885749189E-2</v>
      </c>
      <c r="I8">
        <v>-0.55695748329162598</v>
      </c>
      <c r="J8">
        <v>1.32389569282532</v>
      </c>
      <c r="K8">
        <v>-0.76391577720642101</v>
      </c>
      <c r="L8">
        <v>1.0644222964000001</v>
      </c>
      <c r="M8">
        <v>1.4761094460999999</v>
      </c>
      <c r="N8">
        <v>3.5278441351000001</v>
      </c>
      <c r="O8" t="s">
        <v>45</v>
      </c>
      <c r="P8" t="s">
        <v>46</v>
      </c>
    </row>
    <row r="9" spans="4:16" x14ac:dyDescent="0.25">
      <c r="E9" t="s">
        <v>43</v>
      </c>
      <c r="F9">
        <v>2.5936241727322301E-3</v>
      </c>
      <c r="G9">
        <v>-4.9032121598720613E-2</v>
      </c>
      <c r="H9">
        <v>2.3136439621448505E-2</v>
      </c>
      <c r="I9">
        <v>-4.1746888309717199E-2</v>
      </c>
      <c r="J9">
        <v>-0.86065161228179898</v>
      </c>
      <c r="K9">
        <v>0.30409139394760099</v>
      </c>
      <c r="L9">
        <v>2.7027230284999999</v>
      </c>
      <c r="M9">
        <v>1.6080541686000001</v>
      </c>
      <c r="N9">
        <v>1.7094513416999999</v>
      </c>
      <c r="O9" t="s">
        <v>45</v>
      </c>
      <c r="P9" t="s">
        <v>46</v>
      </c>
    </row>
    <row r="10" spans="4:16" x14ac:dyDescent="0.25">
      <c r="E10" t="s">
        <v>43</v>
      </c>
      <c r="F10">
        <v>3.0066542327404001E-2</v>
      </c>
      <c r="G10">
        <v>-0.1960352241992957</v>
      </c>
      <c r="H10">
        <v>0.12927154690027265</v>
      </c>
      <c r="I10">
        <v>-0.77978467941284202</v>
      </c>
      <c r="J10">
        <v>-0.16298925876617401</v>
      </c>
      <c r="K10">
        <v>1.66381180286407</v>
      </c>
      <c r="L10">
        <v>4.8092587324</v>
      </c>
      <c r="M10">
        <v>0.4784433911</v>
      </c>
      <c r="N10">
        <v>4.3446054411999997</v>
      </c>
      <c r="O10" t="s">
        <v>45</v>
      </c>
      <c r="P10" t="s">
        <v>46</v>
      </c>
    </row>
    <row r="11" spans="4:16" x14ac:dyDescent="0.25">
      <c r="E11" t="s">
        <v>43</v>
      </c>
      <c r="F11">
        <v>1.3228893512859899E-3</v>
      </c>
      <c r="G11">
        <v>0.1496044099330899</v>
      </c>
      <c r="H11">
        <v>-7.6152354888617976E-2</v>
      </c>
      <c r="I11">
        <v>-0.279466062784195</v>
      </c>
      <c r="J11">
        <v>0.80540740489959695</v>
      </c>
      <c r="K11">
        <v>-0.92264562845230103</v>
      </c>
      <c r="L11">
        <v>4.5210753759999998</v>
      </c>
      <c r="M11">
        <v>3.0172330613999998</v>
      </c>
      <c r="N11">
        <v>0.83361274470000002</v>
      </c>
      <c r="O11" t="s">
        <v>45</v>
      </c>
      <c r="P11" t="s">
        <v>46</v>
      </c>
    </row>
    <row r="12" spans="4:16" x14ac:dyDescent="0.25">
      <c r="E12" t="s">
        <v>43</v>
      </c>
      <c r="F12">
        <v>-8.7352143600583098E-4</v>
      </c>
      <c r="G12">
        <v>-1.1852361112833051E-2</v>
      </c>
      <c r="H12">
        <v>0.13730413258075697</v>
      </c>
      <c r="I12">
        <v>-0.36319693922996499</v>
      </c>
      <c r="J12">
        <v>0.55491173267364502</v>
      </c>
      <c r="K12">
        <v>0.295467138290405</v>
      </c>
      <c r="L12">
        <v>2.4776605121999999</v>
      </c>
      <c r="M12">
        <v>0.70416387319999996</v>
      </c>
      <c r="N12">
        <v>1.306033752</v>
      </c>
      <c r="O12" t="s">
        <v>45</v>
      </c>
      <c r="P12" t="s">
        <v>47</v>
      </c>
    </row>
    <row r="20" spans="16:24" x14ac:dyDescent="0.25">
      <c r="P20" s="5"/>
      <c r="Q20" s="5"/>
      <c r="R20" s="5"/>
      <c r="S20" s="5"/>
      <c r="T20" s="5"/>
      <c r="U20" s="5"/>
      <c r="V20" s="5"/>
      <c r="W20" s="5"/>
      <c r="X20" s="5"/>
    </row>
    <row r="21" spans="16:24" x14ac:dyDescent="0.25">
      <c r="P21" s="5"/>
      <c r="Q21" s="5"/>
      <c r="R21" s="5"/>
      <c r="S21" s="5"/>
      <c r="T21" s="5"/>
      <c r="U21" s="5"/>
      <c r="V21" s="5"/>
      <c r="W21" s="5"/>
      <c r="X21" s="5"/>
    </row>
    <row r="22" spans="16:24" x14ac:dyDescent="0.25">
      <c r="P22" s="5"/>
      <c r="Q22" s="5"/>
      <c r="R22" s="5"/>
      <c r="S22" s="5"/>
      <c r="T22" s="5"/>
      <c r="U22" s="5"/>
      <c r="V22" s="5"/>
      <c r="W22" s="5"/>
      <c r="X22" s="5"/>
    </row>
    <row r="23" spans="16:24" x14ac:dyDescent="0.25">
      <c r="P23" s="5"/>
      <c r="Q23" s="5"/>
      <c r="R23" s="5"/>
      <c r="S23" s="5"/>
      <c r="T23" s="5"/>
      <c r="U23" s="5"/>
      <c r="V23" s="5"/>
      <c r="W23" s="5"/>
      <c r="X23" s="5"/>
    </row>
    <row r="24" spans="16:24" x14ac:dyDescent="0.25">
      <c r="P24" s="5"/>
      <c r="Q24" s="5"/>
      <c r="R24" s="5"/>
      <c r="S24" s="5"/>
      <c r="T24" s="5"/>
      <c r="U24" s="5"/>
      <c r="V24" s="5"/>
      <c r="W24" s="5"/>
      <c r="X24" s="5"/>
    </row>
    <row r="25" spans="16:24" x14ac:dyDescent="0.25">
      <c r="P25" s="5"/>
      <c r="Q25" s="5"/>
      <c r="R25" s="5"/>
      <c r="S25" s="5"/>
      <c r="T25" s="5"/>
      <c r="U25" s="5"/>
      <c r="V25" s="5"/>
      <c r="W25" s="5"/>
      <c r="X25" s="5"/>
    </row>
    <row r="26" spans="16:24" x14ac:dyDescent="0.25">
      <c r="P26" s="5"/>
      <c r="Q26" s="5"/>
      <c r="R26" s="5"/>
      <c r="S26" s="5"/>
      <c r="T26" s="5"/>
      <c r="U26" s="5"/>
      <c r="V26" s="5"/>
      <c r="W26" s="5"/>
      <c r="X26" s="5"/>
    </row>
    <row r="27" spans="16:24" x14ac:dyDescent="0.25">
      <c r="P27" s="5"/>
      <c r="Q27" s="5"/>
      <c r="R27" s="5"/>
      <c r="S27" s="5"/>
      <c r="T27" s="5"/>
      <c r="U27" s="5"/>
      <c r="V27" s="5"/>
      <c r="W27" s="5"/>
      <c r="X27" s="5"/>
    </row>
    <row r="28" spans="16:24" x14ac:dyDescent="0.25">
      <c r="P28" s="5"/>
      <c r="Q28" s="5"/>
      <c r="R28" s="5"/>
      <c r="S28" s="5"/>
      <c r="T28" s="5"/>
      <c r="U28" s="5"/>
      <c r="V28" s="5"/>
      <c r="W28" s="5"/>
      <c r="X28" s="5"/>
    </row>
    <row r="29" spans="16:24" x14ac:dyDescent="0.25">
      <c r="P29" s="5"/>
      <c r="Q29" s="5"/>
      <c r="R29" s="5"/>
      <c r="S29" s="5"/>
      <c r="T29" s="5"/>
      <c r="U29" s="5"/>
      <c r="V29" s="5"/>
      <c r="W29" s="5"/>
      <c r="X29" s="5"/>
    </row>
    <row r="30" spans="16:24" x14ac:dyDescent="0.25">
      <c r="P30" s="5"/>
      <c r="Q30" s="5"/>
      <c r="R30" s="5"/>
      <c r="S30" s="5"/>
      <c r="T30" s="5"/>
      <c r="U30" s="5"/>
      <c r="V30" s="5"/>
      <c r="W30" s="5"/>
      <c r="X30" s="5"/>
    </row>
    <row r="31" spans="16:24" x14ac:dyDescent="0.25">
      <c r="P31" s="5"/>
      <c r="Q31" s="5"/>
      <c r="R31" s="5"/>
      <c r="S31" s="5"/>
      <c r="T31" s="5"/>
      <c r="U31" s="5"/>
      <c r="V31" s="5"/>
      <c r="W31" s="5"/>
      <c r="X31" s="5"/>
    </row>
    <row r="32" spans="16:24" x14ac:dyDescent="0.25">
      <c r="P32" s="5"/>
      <c r="Q32" s="5"/>
      <c r="R32" s="5"/>
      <c r="S32" s="5"/>
      <c r="T32" s="5"/>
      <c r="U32" s="5"/>
      <c r="V32" s="5"/>
      <c r="W32" s="5"/>
      <c r="X32" s="5"/>
    </row>
    <row r="33" spans="16:24" x14ac:dyDescent="0.25">
      <c r="P33" s="5"/>
      <c r="Q33" s="5"/>
      <c r="R33" s="5"/>
      <c r="S33" s="5"/>
      <c r="T33" s="5"/>
      <c r="U33" s="5"/>
      <c r="V33" s="5"/>
      <c r="W33" s="5"/>
      <c r="X33" s="5"/>
    </row>
    <row r="34" spans="16:24" x14ac:dyDescent="0.25">
      <c r="P34" s="5"/>
      <c r="Q34" s="5"/>
      <c r="R34" s="5"/>
      <c r="S34" s="5"/>
      <c r="T34" s="5"/>
      <c r="U34" s="5"/>
      <c r="V34" s="5"/>
      <c r="W34" s="5"/>
      <c r="X34" s="5"/>
    </row>
    <row r="35" spans="16:24" x14ac:dyDescent="0.25">
      <c r="P35" s="5"/>
      <c r="Q35" s="5"/>
      <c r="R35" s="5"/>
      <c r="S35" s="5"/>
      <c r="T35" s="5"/>
      <c r="U35" s="5"/>
      <c r="V35" s="5"/>
      <c r="W35" s="5"/>
      <c r="X35" s="5"/>
    </row>
    <row r="36" spans="16:24" x14ac:dyDescent="0.25">
      <c r="P36" s="5"/>
      <c r="Q36" s="5"/>
      <c r="R36" s="5"/>
      <c r="S36" s="5"/>
      <c r="T36" s="5"/>
      <c r="U36" s="5"/>
      <c r="V36" s="5"/>
      <c r="W36" s="5"/>
      <c r="X36" s="5"/>
    </row>
    <row r="37" spans="16:24" x14ac:dyDescent="0.25">
      <c r="P37" s="5"/>
      <c r="Q37" s="5"/>
      <c r="R37" s="5"/>
      <c r="S37" s="5"/>
      <c r="T37" s="5"/>
      <c r="U37" s="5"/>
      <c r="V37" s="5"/>
      <c r="W37" s="5"/>
      <c r="X37" s="5"/>
    </row>
    <row r="38" spans="16:24" x14ac:dyDescent="0.25">
      <c r="P38" s="5"/>
      <c r="Q38" s="5"/>
      <c r="R38" s="5"/>
      <c r="S38" s="5"/>
      <c r="T38" s="5"/>
      <c r="U38" s="5"/>
      <c r="V38" s="5"/>
      <c r="W38" s="5"/>
      <c r="X38" s="5"/>
    </row>
    <row r="39" spans="16:24" x14ac:dyDescent="0.25">
      <c r="P39" s="5"/>
      <c r="Q39" s="5"/>
      <c r="R39" s="5"/>
      <c r="S39" s="5"/>
      <c r="T39" s="5"/>
      <c r="U39" s="5"/>
      <c r="V39" s="5"/>
      <c r="W39" s="5"/>
      <c r="X39" s="5"/>
    </row>
    <row r="40" spans="16:24" x14ac:dyDescent="0.25">
      <c r="P40" s="5"/>
      <c r="Q40" s="5"/>
      <c r="R40" s="5"/>
      <c r="S40" s="5"/>
      <c r="T40" s="5"/>
      <c r="U40" s="5"/>
      <c r="V40" s="5"/>
      <c r="W40" s="5"/>
      <c r="X40" s="5"/>
    </row>
    <row r="41" spans="16:24" x14ac:dyDescent="0.25">
      <c r="P41" s="5"/>
      <c r="Q41" s="5"/>
      <c r="R41" s="5"/>
      <c r="S41" s="5"/>
      <c r="T41" s="5"/>
      <c r="U41" s="5"/>
      <c r="V41" s="5"/>
      <c r="W41" s="5"/>
      <c r="X41" s="5"/>
    </row>
    <row r="42" spans="16:24" x14ac:dyDescent="0.25">
      <c r="P42" s="5"/>
      <c r="Q42" s="5"/>
      <c r="R42" s="5"/>
      <c r="S42" s="5"/>
      <c r="T42" s="5"/>
      <c r="U42" s="5"/>
      <c r="V42" s="5"/>
      <c r="W42" s="5"/>
      <c r="X42" s="5"/>
    </row>
    <row r="43" spans="16:24" x14ac:dyDescent="0.25">
      <c r="P43" s="5"/>
      <c r="Q43" s="5"/>
      <c r="R43" s="5"/>
      <c r="S43" s="5"/>
      <c r="T43" s="5"/>
      <c r="U43" s="5"/>
      <c r="V43" s="5"/>
      <c r="W43" s="5"/>
      <c r="X43" s="5"/>
    </row>
    <row r="44" spans="16:24" x14ac:dyDescent="0.25">
      <c r="P44" s="5"/>
      <c r="Q44" s="5"/>
      <c r="R44" s="5"/>
      <c r="S44" s="5"/>
      <c r="T44" s="5"/>
      <c r="U44" s="5"/>
      <c r="V44" s="5"/>
      <c r="W44" s="5"/>
      <c r="X44" s="5"/>
    </row>
    <row r="45" spans="16:24" x14ac:dyDescent="0.25">
      <c r="P45" s="5"/>
      <c r="Q45" s="5"/>
      <c r="R45" s="5"/>
      <c r="S45" s="5"/>
      <c r="T45" s="5"/>
      <c r="U45" s="5"/>
      <c r="V45" s="5"/>
      <c r="W45" s="5"/>
      <c r="X45" s="5"/>
    </row>
    <row r="46" spans="16:24" x14ac:dyDescent="0.25">
      <c r="P46" s="5"/>
      <c r="Q46" s="5"/>
      <c r="R46" s="5"/>
      <c r="S46" s="5"/>
      <c r="T46" s="5"/>
      <c r="U46" s="5"/>
      <c r="V46" s="5"/>
      <c r="W46" s="5"/>
      <c r="X46" s="5"/>
    </row>
    <row r="47" spans="16:24" x14ac:dyDescent="0.25">
      <c r="P47" s="5"/>
      <c r="Q47" s="5"/>
      <c r="R47" s="5"/>
      <c r="S47" s="5"/>
      <c r="T47" s="5"/>
      <c r="U47" s="5"/>
      <c r="V47" s="5"/>
      <c r="W47" s="5"/>
      <c r="X47" s="5"/>
    </row>
    <row r="48" spans="16:24" x14ac:dyDescent="0.25">
      <c r="P48" s="5"/>
      <c r="Q48" s="5"/>
      <c r="R48" s="5"/>
      <c r="S48" s="5"/>
      <c r="T48" s="5"/>
      <c r="U48" s="5"/>
      <c r="V48" s="5"/>
      <c r="W48" s="5"/>
      <c r="X48" s="5"/>
    </row>
    <row r="49" spans="16:24" x14ac:dyDescent="0.25">
      <c r="P49" s="5"/>
      <c r="Q49" s="5"/>
      <c r="R49" s="5"/>
      <c r="S49" s="5"/>
      <c r="T49" s="5"/>
      <c r="U49" s="5"/>
      <c r="V49" s="5"/>
      <c r="W49" s="5"/>
      <c r="X49" s="5"/>
    </row>
    <row r="50" spans="16:24" x14ac:dyDescent="0.25">
      <c r="P50" s="5"/>
      <c r="Q50" s="5"/>
      <c r="R50" s="5"/>
      <c r="S50" s="5"/>
      <c r="T50" s="5"/>
      <c r="U50" s="5"/>
      <c r="V50" s="5"/>
      <c r="W50" s="5"/>
      <c r="X50" s="5"/>
    </row>
    <row r="51" spans="16:24" x14ac:dyDescent="0.25">
      <c r="P51" s="5"/>
      <c r="Q51" s="5"/>
      <c r="R51" s="5"/>
      <c r="S51" s="5"/>
      <c r="T51" s="5"/>
      <c r="U51" s="5"/>
      <c r="V51" s="5"/>
      <c r="W51" s="5"/>
      <c r="X51" s="5"/>
    </row>
    <row r="52" spans="16:24" x14ac:dyDescent="0.25">
      <c r="P52" s="5"/>
      <c r="Q52" s="5"/>
      <c r="R52" s="5"/>
      <c r="S52" s="5"/>
      <c r="T52" s="5"/>
      <c r="U52" s="5"/>
      <c r="V52" s="5"/>
      <c r="W52" s="5"/>
      <c r="X52" s="5"/>
    </row>
    <row r="53" spans="16:24" x14ac:dyDescent="0.25">
      <c r="P53" s="5"/>
      <c r="Q53" s="5"/>
      <c r="R53" s="5"/>
      <c r="S53" s="5"/>
      <c r="T53" s="5"/>
      <c r="U53" s="5"/>
      <c r="V53" s="5"/>
      <c r="W53" s="5"/>
      <c r="X53" s="5"/>
    </row>
    <row r="54" spans="16:24" x14ac:dyDescent="0.25">
      <c r="P54" s="5"/>
      <c r="Q54" s="5"/>
      <c r="R54" s="5"/>
      <c r="S54" s="5"/>
      <c r="T54" s="5"/>
      <c r="U54" s="5"/>
      <c r="V54" s="5"/>
      <c r="W54" s="5"/>
      <c r="X54" s="5"/>
    </row>
    <row r="55" spans="16:24" x14ac:dyDescent="0.25">
      <c r="P55" s="5"/>
      <c r="Q55" s="5"/>
      <c r="R55" s="5"/>
      <c r="S55" s="5"/>
      <c r="T55" s="5"/>
      <c r="U55" s="5"/>
      <c r="V55" s="5"/>
      <c r="W55" s="5"/>
      <c r="X55" s="5"/>
    </row>
    <row r="56" spans="16:24" x14ac:dyDescent="0.25">
      <c r="P56" s="5"/>
      <c r="Q56" s="5"/>
      <c r="R56" s="5"/>
      <c r="S56" s="5"/>
      <c r="T56" s="5"/>
      <c r="U56" s="5"/>
      <c r="V56" s="5"/>
      <c r="W56" s="5"/>
      <c r="X56" s="5"/>
    </row>
    <row r="57" spans="16:24" x14ac:dyDescent="0.25">
      <c r="P57" s="5"/>
      <c r="Q57" s="5"/>
      <c r="R57" s="5"/>
      <c r="S57" s="5"/>
      <c r="T57" s="5"/>
      <c r="U57" s="5"/>
      <c r="V57" s="5"/>
      <c r="W57" s="5"/>
      <c r="X57" s="5"/>
    </row>
    <row r="58" spans="16:24" x14ac:dyDescent="0.25">
      <c r="P58" s="5"/>
      <c r="Q58" s="5"/>
      <c r="R58" s="5"/>
      <c r="S58" s="5"/>
      <c r="T58" s="5"/>
      <c r="U58" s="5"/>
      <c r="V58" s="5"/>
      <c r="W58" s="5"/>
      <c r="X58" s="5"/>
    </row>
    <row r="59" spans="16:24" x14ac:dyDescent="0.25">
      <c r="P59" s="5"/>
      <c r="Q59" s="5"/>
      <c r="R59" s="5"/>
      <c r="S59" s="5"/>
      <c r="T59" s="5"/>
      <c r="U59" s="5"/>
      <c r="V59" s="5"/>
      <c r="W59" s="5"/>
      <c r="X59" s="5"/>
    </row>
    <row r="60" spans="16:24" x14ac:dyDescent="0.25">
      <c r="P60" s="5"/>
      <c r="Q60" s="5"/>
      <c r="R60" s="5"/>
      <c r="S60" s="5"/>
      <c r="T60" s="5"/>
      <c r="U60" s="5"/>
      <c r="V60" s="5"/>
      <c r="W60" s="5"/>
      <c r="X60" s="5"/>
    </row>
    <row r="61" spans="16:24" x14ac:dyDescent="0.25">
      <c r="P61" s="5"/>
      <c r="Q61" s="5"/>
      <c r="R61" s="5"/>
      <c r="S61" s="5"/>
      <c r="T61" s="5"/>
      <c r="U61" s="5"/>
      <c r="V61" s="5"/>
      <c r="W61" s="5"/>
      <c r="X61" s="5"/>
    </row>
    <row r="62" spans="16:24" x14ac:dyDescent="0.25">
      <c r="P62" s="5"/>
      <c r="Q62" s="5"/>
      <c r="R62" s="5"/>
      <c r="S62" s="5"/>
      <c r="T62" s="5"/>
      <c r="U62" s="5"/>
      <c r="V62" s="5"/>
      <c r="W62" s="5"/>
      <c r="X62" s="5"/>
    </row>
    <row r="63" spans="16:24" x14ac:dyDescent="0.25">
      <c r="P63" s="5"/>
      <c r="Q63" s="5"/>
      <c r="R63" s="5"/>
      <c r="S63" s="5"/>
      <c r="T63" s="5"/>
      <c r="U63" s="5"/>
      <c r="V63" s="5"/>
      <c r="W63" s="5"/>
      <c r="X63" s="5"/>
    </row>
    <row r="64" spans="16:24" x14ac:dyDescent="0.25">
      <c r="P64" s="5"/>
      <c r="Q64" s="5"/>
      <c r="R64" s="5"/>
      <c r="S64" s="5"/>
      <c r="T64" s="5"/>
      <c r="U64" s="5"/>
      <c r="V64" s="5"/>
      <c r="W64" s="5"/>
      <c r="X64" s="5"/>
    </row>
    <row r="65" spans="16:24" x14ac:dyDescent="0.25">
      <c r="P65" s="5"/>
      <c r="Q65" s="5"/>
      <c r="R65" s="5"/>
      <c r="S65" s="5"/>
      <c r="T65" s="5"/>
      <c r="U65" s="5"/>
      <c r="V65" s="5"/>
      <c r="W65" s="5"/>
      <c r="X65" s="5"/>
    </row>
    <row r="66" spans="16:24" x14ac:dyDescent="0.25">
      <c r="P66" s="5"/>
      <c r="Q66" s="5"/>
      <c r="R66" s="5"/>
      <c r="S66" s="5"/>
      <c r="T66" s="5"/>
      <c r="U66" s="5"/>
      <c r="V66" s="5"/>
      <c r="W66" s="5"/>
      <c r="X66" s="5"/>
    </row>
    <row r="67" spans="16:24" x14ac:dyDescent="0.25">
      <c r="P67" s="5"/>
      <c r="Q67" s="5"/>
      <c r="R67" s="5"/>
      <c r="S67" s="5"/>
      <c r="T67" s="5"/>
      <c r="U67" s="5"/>
      <c r="V67" s="5"/>
      <c r="W67" s="5"/>
      <c r="X67" s="5"/>
    </row>
    <row r="68" spans="16:24" x14ac:dyDescent="0.25">
      <c r="P68" s="5"/>
      <c r="Q68" s="5"/>
      <c r="R68" s="5"/>
      <c r="S68" s="5"/>
      <c r="T68" s="5"/>
      <c r="U68" s="5"/>
      <c r="V68" s="5"/>
      <c r="W68" s="5"/>
      <c r="X68" s="5"/>
    </row>
    <row r="69" spans="16:24" x14ac:dyDescent="0.25">
      <c r="P69" s="5"/>
      <c r="Q69" s="5"/>
      <c r="R69" s="5"/>
      <c r="S69" s="5"/>
      <c r="T69" s="5"/>
      <c r="U69" s="5"/>
      <c r="V69" s="5"/>
      <c r="W69" s="5"/>
      <c r="X69" s="5"/>
    </row>
    <row r="70" spans="16:24" x14ac:dyDescent="0.25">
      <c r="P70" s="5"/>
      <c r="Q70" s="5"/>
      <c r="R70" s="5"/>
      <c r="S70" s="5"/>
      <c r="T70" s="5"/>
      <c r="U70" s="5"/>
      <c r="V70" s="5"/>
      <c r="W70" s="5"/>
      <c r="X70" s="5"/>
    </row>
    <row r="71" spans="16:24" x14ac:dyDescent="0.25">
      <c r="P71" s="5"/>
      <c r="Q71" s="5"/>
      <c r="R71" s="5"/>
      <c r="S71" s="5"/>
      <c r="T71" s="5"/>
      <c r="U71" s="5"/>
      <c r="V71" s="5"/>
      <c r="W71" s="5"/>
      <c r="X71" s="5"/>
    </row>
    <row r="72" spans="16:24" x14ac:dyDescent="0.25">
      <c r="P72" s="5"/>
      <c r="Q72" s="5"/>
      <c r="R72" s="5"/>
      <c r="S72" s="5"/>
      <c r="T72" s="5"/>
      <c r="U72" s="5"/>
      <c r="V72" s="5"/>
      <c r="W72" s="5"/>
      <c r="X72" s="5"/>
    </row>
    <row r="73" spans="16:24" x14ac:dyDescent="0.25">
      <c r="P73" s="5"/>
      <c r="Q73" s="5"/>
      <c r="R73" s="5"/>
      <c r="S73" s="5"/>
      <c r="T73" s="5"/>
      <c r="U73" s="5"/>
      <c r="V73" s="5"/>
      <c r="W73" s="5"/>
      <c r="X73" s="5"/>
    </row>
    <row r="74" spans="16:24" x14ac:dyDescent="0.25">
      <c r="P74" s="5"/>
      <c r="Q74" s="5"/>
      <c r="R74" s="5"/>
      <c r="S74" s="5"/>
      <c r="T74" s="5"/>
      <c r="U74" s="5"/>
      <c r="V74" s="5"/>
      <c r="W74" s="5"/>
      <c r="X74" s="5"/>
    </row>
    <row r="75" spans="16:24" x14ac:dyDescent="0.25">
      <c r="P75" s="5"/>
      <c r="Q75" s="5"/>
      <c r="R75" s="5"/>
      <c r="S75" s="5"/>
      <c r="T75" s="5"/>
      <c r="U75" s="5"/>
      <c r="V75" s="5"/>
      <c r="W75" s="5"/>
      <c r="X75" s="5"/>
    </row>
    <row r="76" spans="16:24" x14ac:dyDescent="0.25">
      <c r="P76" s="5"/>
      <c r="Q76" s="5"/>
      <c r="R76" s="5"/>
      <c r="S76" s="5"/>
      <c r="T76" s="5"/>
      <c r="U76" s="5"/>
      <c r="V76" s="5"/>
      <c r="W76" s="5"/>
      <c r="X76" s="5"/>
    </row>
    <row r="77" spans="16:24" x14ac:dyDescent="0.25">
      <c r="P77" s="5"/>
      <c r="Q77" s="5"/>
      <c r="R77" s="5"/>
      <c r="S77" s="5"/>
      <c r="T77" s="5"/>
      <c r="U77" s="5"/>
      <c r="V77" s="5"/>
      <c r="W77" s="5"/>
      <c r="X77" s="5"/>
    </row>
    <row r="78" spans="16:24" x14ac:dyDescent="0.25">
      <c r="P78" s="5"/>
      <c r="Q78" s="5"/>
      <c r="R78" s="5"/>
      <c r="S78" s="5"/>
      <c r="T78" s="5"/>
      <c r="U78" s="5"/>
      <c r="V78" s="5"/>
      <c r="W78" s="5"/>
      <c r="X78" s="5"/>
    </row>
    <row r="79" spans="16:24" x14ac:dyDescent="0.25">
      <c r="P79" s="5"/>
      <c r="Q79" s="5"/>
      <c r="R79" s="5"/>
      <c r="S79" s="5"/>
      <c r="T79" s="5"/>
      <c r="U79" s="5"/>
      <c r="V79" s="5"/>
      <c r="W79" s="5"/>
      <c r="X79" s="5"/>
    </row>
    <row r="93" spans="7:19" x14ac:dyDescent="0.25">
      <c r="G93" t="s">
        <v>44</v>
      </c>
      <c r="H93" t="s">
        <v>43</v>
      </c>
      <c r="I93">
        <v>-8.3262659609317801E-4</v>
      </c>
      <c r="J93">
        <v>-5.3400582866743193E-2</v>
      </c>
      <c r="K93">
        <v>9.2854456901550309E-2</v>
      </c>
      <c r="L93">
        <v>-7.20393061637878E-2</v>
      </c>
      <c r="M93">
        <v>1.12758028507233</v>
      </c>
      <c r="N93">
        <v>-0.58665424585342396</v>
      </c>
      <c r="O93">
        <v>0.49272223679999999</v>
      </c>
      <c r="P93">
        <v>4.4756011583999999</v>
      </c>
      <c r="Q93">
        <v>4.1915536561</v>
      </c>
      <c r="R93" t="s">
        <v>45</v>
      </c>
      <c r="S93" t="s">
        <v>46</v>
      </c>
    </row>
    <row r="94" spans="7:19" x14ac:dyDescent="0.25">
      <c r="H94" t="s">
        <v>43</v>
      </c>
      <c r="I94">
        <v>7.6168961822986603E-3</v>
      </c>
      <c r="J94">
        <v>0.24574007272720383</v>
      </c>
      <c r="K94">
        <v>1.0644453205168264E-3</v>
      </c>
      <c r="L94">
        <v>-0.71961438655853305</v>
      </c>
      <c r="M94">
        <v>2.90779918432236E-2</v>
      </c>
      <c r="N94">
        <v>-0.48940825462341297</v>
      </c>
      <c r="O94">
        <v>0.53253118440000002</v>
      </c>
      <c r="P94">
        <v>1.6232893740000001</v>
      </c>
      <c r="Q94">
        <v>9.6932284100000002E-2</v>
      </c>
      <c r="R94" t="s">
        <v>45</v>
      </c>
      <c r="S94" t="s">
        <v>46</v>
      </c>
    </row>
    <row r="95" spans="7:19" x14ac:dyDescent="0.25">
      <c r="H95" t="s">
        <v>43</v>
      </c>
      <c r="I95">
        <v>-1.2985616922378499E-4</v>
      </c>
      <c r="J95">
        <v>-3.6498736031353504E-3</v>
      </c>
      <c r="K95">
        <v>-7.9183645248412218E-2</v>
      </c>
      <c r="L95">
        <v>-1.52619369328022E-2</v>
      </c>
      <c r="M95">
        <v>-1.05842244625092</v>
      </c>
      <c r="N95">
        <v>2.1189808845519999E-2</v>
      </c>
      <c r="O95">
        <v>3.5593988404000001</v>
      </c>
      <c r="P95">
        <v>2.6173593599</v>
      </c>
      <c r="Q95">
        <v>2.7214845023000001</v>
      </c>
      <c r="R95" t="s">
        <v>45</v>
      </c>
      <c r="S95" t="s">
        <v>46</v>
      </c>
    </row>
    <row r="96" spans="7:19" x14ac:dyDescent="0.25">
      <c r="H96" t="s">
        <v>43</v>
      </c>
      <c r="I96">
        <v>-2.2600172087550201E-2</v>
      </c>
      <c r="J96">
        <v>0.2035677599906926</v>
      </c>
      <c r="K96">
        <v>1.6263059973716687E-2</v>
      </c>
      <c r="L96">
        <v>-0.76213192939758301</v>
      </c>
      <c r="M96">
        <v>0.83609861135482799</v>
      </c>
      <c r="N96">
        <v>-1.67676854133606</v>
      </c>
      <c r="O96">
        <v>4.2084858911999996</v>
      </c>
      <c r="P96">
        <v>0.52916698419999997</v>
      </c>
      <c r="Q96">
        <v>2.5150427606000001</v>
      </c>
      <c r="R96" t="s">
        <v>45</v>
      </c>
      <c r="S96" t="s">
        <v>46</v>
      </c>
    </row>
    <row r="97" spans="8:19" x14ac:dyDescent="0.25">
      <c r="H97" t="s">
        <v>43</v>
      </c>
      <c r="I97">
        <v>-2.83843977376819E-3</v>
      </c>
      <c r="J97">
        <v>-8.2259576320647787E-2</v>
      </c>
      <c r="K97">
        <v>-3.6772690713405068E-4</v>
      </c>
      <c r="L97">
        <v>-7.1337848901748699E-2</v>
      </c>
      <c r="M97">
        <v>-0.277880519628525</v>
      </c>
      <c r="N97">
        <v>0.691084444522858</v>
      </c>
      <c r="O97">
        <v>0.34676129480000001</v>
      </c>
      <c r="P97">
        <v>0.93612470940000003</v>
      </c>
      <c r="Q97">
        <v>2.0702513480000002</v>
      </c>
      <c r="R97" t="s">
        <v>45</v>
      </c>
      <c r="S97" t="s">
        <v>46</v>
      </c>
    </row>
    <row r="98" spans="8:19" x14ac:dyDescent="0.25">
      <c r="H98" t="s">
        <v>43</v>
      </c>
      <c r="I98">
        <v>4.2178397998213803E-3</v>
      </c>
      <c r="J98">
        <v>-0.1370001655817028</v>
      </c>
      <c r="K98">
        <v>0.13484285593032813</v>
      </c>
      <c r="L98">
        <v>-0.61169552803039595</v>
      </c>
      <c r="M98">
        <v>0.92778009176254295</v>
      </c>
      <c r="N98">
        <v>0.97456169128418002</v>
      </c>
      <c r="O98">
        <v>2.0486073985000002</v>
      </c>
      <c r="P98">
        <v>1.4427408886999999</v>
      </c>
      <c r="Q98">
        <v>0.53737298850000004</v>
      </c>
      <c r="R98" t="s">
        <v>45</v>
      </c>
      <c r="S98" t="s">
        <v>46</v>
      </c>
    </row>
    <row r="99" spans="8:19" x14ac:dyDescent="0.25">
      <c r="H99" t="s">
        <v>43</v>
      </c>
      <c r="I99">
        <v>-1.05884596705437E-2</v>
      </c>
      <c r="J99">
        <v>-2.5415880382061017E-2</v>
      </c>
      <c r="K99">
        <v>-0.22906562328338606</v>
      </c>
      <c r="L99">
        <v>-0.90436720848083496</v>
      </c>
      <c r="M99">
        <v>-0.59426629543304399</v>
      </c>
      <c r="N99">
        <v>0.66323274374008201</v>
      </c>
      <c r="O99">
        <v>2.1721905802000001</v>
      </c>
      <c r="P99">
        <v>4.8592739976999999</v>
      </c>
      <c r="Q99">
        <v>4.1505258277000001</v>
      </c>
      <c r="R99" t="s">
        <v>45</v>
      </c>
      <c r="S99" t="s">
        <v>46</v>
      </c>
    </row>
    <row r="100" spans="8:19" x14ac:dyDescent="0.25">
      <c r="H100" t="s">
        <v>43</v>
      </c>
      <c r="I100">
        <v>-3.3023439347744002E-2</v>
      </c>
      <c r="J100">
        <v>-0.23263156175613409</v>
      </c>
      <c r="K100">
        <v>-0.15568616658449203</v>
      </c>
      <c r="L100">
        <v>-1.0651987791061399</v>
      </c>
      <c r="M100">
        <v>0.49567955732345598</v>
      </c>
      <c r="N100">
        <v>1.5597436428070099</v>
      </c>
      <c r="O100">
        <v>0.65138204079999995</v>
      </c>
      <c r="P100">
        <v>2.3960292019999998</v>
      </c>
      <c r="Q100">
        <v>3.8310385232000002</v>
      </c>
      <c r="R100" t="s">
        <v>45</v>
      </c>
      <c r="S100" t="s">
        <v>46</v>
      </c>
    </row>
    <row r="101" spans="8:19" x14ac:dyDescent="0.25">
      <c r="H101" t="s">
        <v>43</v>
      </c>
      <c r="I101">
        <v>-2.9087357223033902E-2</v>
      </c>
      <c r="J101">
        <v>0.27084197163581819</v>
      </c>
      <c r="K101">
        <v>9.3254102021455808E-3</v>
      </c>
      <c r="L101">
        <v>-1.3190960884094201</v>
      </c>
      <c r="M101">
        <v>0.140940636396408</v>
      </c>
      <c r="N101">
        <v>-0.61736321449279796</v>
      </c>
      <c r="O101">
        <v>3.4810259851000001</v>
      </c>
      <c r="P101">
        <v>1.1294030872</v>
      </c>
      <c r="Q101">
        <v>4.9138255752999997</v>
      </c>
      <c r="R101" t="s">
        <v>45</v>
      </c>
      <c r="S101" t="s">
        <v>46</v>
      </c>
    </row>
    <row r="102" spans="8:19" x14ac:dyDescent="0.25">
      <c r="H102" t="s">
        <v>43</v>
      </c>
      <c r="I102">
        <v>-1.0062171146273601E-2</v>
      </c>
      <c r="J102">
        <v>-0.11961497262120291</v>
      </c>
      <c r="K102">
        <v>0.13679772749543156</v>
      </c>
      <c r="L102">
        <v>-0.57413351535797097</v>
      </c>
      <c r="M102">
        <v>-0.16432480514049499</v>
      </c>
      <c r="N102">
        <v>-0.195539399981499</v>
      </c>
      <c r="O102">
        <v>3.2068327339999998</v>
      </c>
      <c r="P102">
        <v>3.5469168124000001</v>
      </c>
      <c r="Q102">
        <v>1.1514404992</v>
      </c>
      <c r="R102" t="s">
        <v>45</v>
      </c>
      <c r="S102" t="s">
        <v>46</v>
      </c>
    </row>
    <row r="103" spans="8:19" x14ac:dyDescent="0.25">
      <c r="H103" t="s">
        <v>43</v>
      </c>
      <c r="I103">
        <v>1.4371985569596299E-2</v>
      </c>
      <c r="J103">
        <v>-1.4706531241536116E-2</v>
      </c>
      <c r="K103">
        <v>0.2061504805088038</v>
      </c>
      <c r="L103">
        <v>-0.55730897188186601</v>
      </c>
      <c r="M103">
        <v>2.0565929412841801</v>
      </c>
      <c r="N103">
        <v>7.4373602867126506E-2</v>
      </c>
      <c r="O103">
        <v>3.9081993600000003E-2</v>
      </c>
      <c r="P103">
        <v>2.9262884955000001</v>
      </c>
      <c r="Q103">
        <v>4.7431789933999999</v>
      </c>
      <c r="R103" t="s">
        <v>45</v>
      </c>
      <c r="S103" t="s">
        <v>46</v>
      </c>
    </row>
    <row r="104" spans="8:19" x14ac:dyDescent="0.25">
      <c r="H104" t="s">
        <v>43</v>
      </c>
      <c r="I104">
        <v>1.1325632221996799E-3</v>
      </c>
      <c r="J104">
        <v>-6.6681183576583883E-2</v>
      </c>
      <c r="K104">
        <v>7.4554264545442783E-4</v>
      </c>
      <c r="L104">
        <v>-6.8245917558670002E-2</v>
      </c>
      <c r="M104">
        <v>0.80465632677078203</v>
      </c>
      <c r="N104">
        <v>0.26539456844329801</v>
      </c>
      <c r="O104">
        <v>2.4382389278000001</v>
      </c>
      <c r="P104">
        <v>4.2854047354000002</v>
      </c>
      <c r="Q104">
        <v>0.33901404839999999</v>
      </c>
      <c r="R104" t="s">
        <v>45</v>
      </c>
      <c r="S104" t="s">
        <v>46</v>
      </c>
    </row>
    <row r="105" spans="8:19" x14ac:dyDescent="0.25">
      <c r="H105" t="s">
        <v>43</v>
      </c>
      <c r="I105">
        <v>-5.0011062994599299E-3</v>
      </c>
      <c r="J105">
        <v>1.905451118946036E-3</v>
      </c>
      <c r="K105">
        <v>-3.3290824294089638E-3</v>
      </c>
      <c r="L105">
        <v>1.8331240862607999E-3</v>
      </c>
      <c r="M105">
        <v>-0.756436347961426</v>
      </c>
      <c r="N105">
        <v>0.79075133800506603</v>
      </c>
      <c r="O105">
        <v>2.1189458146</v>
      </c>
      <c r="P105">
        <v>2.2606748846000002</v>
      </c>
      <c r="Q105">
        <v>0.94750633689999997</v>
      </c>
      <c r="R105" t="s">
        <v>45</v>
      </c>
      <c r="S105" t="s">
        <v>46</v>
      </c>
    </row>
    <row r="106" spans="8:19" x14ac:dyDescent="0.25">
      <c r="H106" t="s">
        <v>43</v>
      </c>
      <c r="I106">
        <v>5.6576435454189803E-3</v>
      </c>
      <c r="J106">
        <v>0.17276296734809909</v>
      </c>
      <c r="K106">
        <v>8.9440476745367051E-2</v>
      </c>
      <c r="L106">
        <v>-0.48139920830726601</v>
      </c>
      <c r="M106">
        <v>-0.48554921150207497</v>
      </c>
      <c r="N106">
        <v>-1.6963471174240099</v>
      </c>
      <c r="O106">
        <v>0.31884207939999998</v>
      </c>
      <c r="P106">
        <v>3.8007215218999999</v>
      </c>
      <c r="Q106">
        <v>0.48541647729999998</v>
      </c>
      <c r="R106" t="s">
        <v>45</v>
      </c>
      <c r="S106" t="s">
        <v>46</v>
      </c>
    </row>
    <row r="107" spans="8:19" x14ac:dyDescent="0.25">
      <c r="H107" t="s">
        <v>43</v>
      </c>
      <c r="I107">
        <v>1.9597527571022502E-3</v>
      </c>
      <c r="J107">
        <v>1.6047963500023368E-2</v>
      </c>
      <c r="K107">
        <v>8.9387370347976308E-2</v>
      </c>
      <c r="L107">
        <v>-0.110345743596554</v>
      </c>
      <c r="M107">
        <v>0.49668353796005199</v>
      </c>
      <c r="N107">
        <v>-0.96090674400329601</v>
      </c>
      <c r="O107">
        <v>8.0437148799999997E-2</v>
      </c>
      <c r="P107">
        <v>0.35167971240000001</v>
      </c>
      <c r="Q107">
        <v>1.0501461195999999</v>
      </c>
      <c r="R107" t="s">
        <v>45</v>
      </c>
      <c r="S107" t="s">
        <v>46</v>
      </c>
    </row>
    <row r="108" spans="8:19" x14ac:dyDescent="0.25">
      <c r="H108" t="s">
        <v>43</v>
      </c>
      <c r="I108">
        <v>1.67317176237702E-3</v>
      </c>
      <c r="J108">
        <v>0.16960764229297612</v>
      </c>
      <c r="K108">
        <v>5.4553549885749189E-2</v>
      </c>
      <c r="L108">
        <v>-0.55695748329162598</v>
      </c>
      <c r="M108">
        <v>1.32389569282532</v>
      </c>
      <c r="N108">
        <v>-0.76391577720642101</v>
      </c>
      <c r="O108">
        <v>1.0644222964000001</v>
      </c>
      <c r="P108">
        <v>1.4761094460999999</v>
      </c>
      <c r="Q108">
        <v>3.5278441351000001</v>
      </c>
      <c r="R108" t="s">
        <v>45</v>
      </c>
      <c r="S108" t="s">
        <v>46</v>
      </c>
    </row>
    <row r="109" spans="8:19" x14ac:dyDescent="0.25">
      <c r="H109" t="s">
        <v>43</v>
      </c>
      <c r="I109">
        <v>2.5936241727322301E-3</v>
      </c>
      <c r="J109">
        <v>-4.9032121598720613E-2</v>
      </c>
      <c r="K109">
        <v>2.3136439621448505E-2</v>
      </c>
      <c r="L109">
        <v>-4.1746888309717199E-2</v>
      </c>
      <c r="M109">
        <v>-0.86065161228179898</v>
      </c>
      <c r="N109">
        <v>0.30409139394760099</v>
      </c>
      <c r="O109">
        <v>2.7027230284999999</v>
      </c>
      <c r="P109">
        <v>1.6080541686000001</v>
      </c>
      <c r="Q109">
        <v>1.7094513416999999</v>
      </c>
      <c r="R109" t="s">
        <v>45</v>
      </c>
      <c r="S109" t="s">
        <v>46</v>
      </c>
    </row>
    <row r="110" spans="8:19" x14ac:dyDescent="0.25">
      <c r="H110" t="s">
        <v>43</v>
      </c>
      <c r="I110">
        <v>3.0066542327404001E-2</v>
      </c>
      <c r="J110">
        <v>-0.1960352241992957</v>
      </c>
      <c r="K110">
        <v>0.12927154690027265</v>
      </c>
      <c r="L110">
        <v>-0.77978467941284202</v>
      </c>
      <c r="M110">
        <v>-0.16298925876617401</v>
      </c>
      <c r="N110">
        <v>1.66381180286407</v>
      </c>
      <c r="O110">
        <v>4.8092587324</v>
      </c>
      <c r="P110">
        <v>0.4784433911</v>
      </c>
      <c r="Q110">
        <v>4.3446054411999997</v>
      </c>
      <c r="R110" t="s">
        <v>45</v>
      </c>
      <c r="S110" t="s">
        <v>46</v>
      </c>
    </row>
    <row r="111" spans="8:19" x14ac:dyDescent="0.25">
      <c r="H111" t="s">
        <v>43</v>
      </c>
      <c r="I111">
        <v>1.3228893512859899E-3</v>
      </c>
      <c r="J111">
        <v>0.1496044099330899</v>
      </c>
      <c r="K111">
        <v>-7.6152354888617976E-2</v>
      </c>
      <c r="L111">
        <v>-0.279466062784195</v>
      </c>
      <c r="M111">
        <v>0.80540740489959695</v>
      </c>
      <c r="N111">
        <v>-0.92264562845230103</v>
      </c>
      <c r="O111">
        <v>4.5210753759999998</v>
      </c>
      <c r="P111">
        <v>3.0172330613999998</v>
      </c>
      <c r="Q111">
        <v>0.83361274470000002</v>
      </c>
      <c r="R111" t="s">
        <v>45</v>
      </c>
      <c r="S111" t="s">
        <v>46</v>
      </c>
    </row>
    <row r="112" spans="8:19" x14ac:dyDescent="0.25">
      <c r="H112" t="s">
        <v>43</v>
      </c>
      <c r="I112">
        <v>-8.7352143600583098E-4</v>
      </c>
      <c r="J112">
        <v>-1.1852361112833051E-2</v>
      </c>
      <c r="K112">
        <v>0.13730413258075697</v>
      </c>
      <c r="L112">
        <v>-0.36319693922996499</v>
      </c>
      <c r="M112">
        <v>0.55491173267364502</v>
      </c>
      <c r="N112">
        <v>0.295467138290405</v>
      </c>
      <c r="O112">
        <v>2.4776605121999999</v>
      </c>
      <c r="P112">
        <v>0.70416387319999996</v>
      </c>
      <c r="Q112">
        <v>1.306033752</v>
      </c>
      <c r="R112" t="s">
        <v>45</v>
      </c>
      <c r="S112" t="s">
        <v>46</v>
      </c>
    </row>
    <row r="113" spans="8:19" x14ac:dyDescent="0.25">
      <c r="H113" t="s">
        <v>43</v>
      </c>
      <c r="I113">
        <v>-1.1769948527216899E-2</v>
      </c>
      <c r="J113">
        <v>4.8388502895832027E-2</v>
      </c>
      <c r="K113">
        <v>-0.20316620111465439</v>
      </c>
      <c r="L113">
        <v>-0.68180733919143699</v>
      </c>
      <c r="M113">
        <v>-1.2353100776672401</v>
      </c>
      <c r="N113">
        <v>-0.53501510620117199</v>
      </c>
      <c r="O113">
        <v>0.48462861940000002</v>
      </c>
      <c r="P113">
        <v>1.6897568487000001</v>
      </c>
      <c r="Q113">
        <v>3.1701200912999998</v>
      </c>
      <c r="R113" t="s">
        <v>45</v>
      </c>
      <c r="S113" t="s">
        <v>46</v>
      </c>
    </row>
    <row r="114" spans="8:19" x14ac:dyDescent="0.25">
      <c r="H114" t="s">
        <v>43</v>
      </c>
      <c r="I114">
        <v>-8.1258090212941204E-3</v>
      </c>
      <c r="J114">
        <v>2.480585664510726E-2</v>
      </c>
      <c r="K114">
        <v>0.22677360892295889</v>
      </c>
      <c r="L114">
        <v>-0.91120928525924705</v>
      </c>
      <c r="M114">
        <v>1.2995035648345901</v>
      </c>
      <c r="N114">
        <v>-0.469389498233795</v>
      </c>
      <c r="O114">
        <v>3.9855186287</v>
      </c>
      <c r="P114">
        <v>1.0426876676000001</v>
      </c>
      <c r="Q114">
        <v>0.31561411</v>
      </c>
      <c r="R114" t="s">
        <v>45</v>
      </c>
      <c r="S114" t="s">
        <v>46</v>
      </c>
    </row>
    <row r="115" spans="8:19" x14ac:dyDescent="0.25">
      <c r="H115" t="s">
        <v>43</v>
      </c>
      <c r="I115">
        <v>8.0546755343675596E-3</v>
      </c>
      <c r="J115">
        <v>-2.5356225371360813E-2</v>
      </c>
      <c r="K115">
        <v>0.14683502078056299</v>
      </c>
      <c r="L115">
        <v>-0.44749337434768699</v>
      </c>
      <c r="M115">
        <v>0.82281804084777799</v>
      </c>
      <c r="N115">
        <v>0.33567589521408098</v>
      </c>
      <c r="O115">
        <v>4.9301628920000002</v>
      </c>
      <c r="P115">
        <v>1.8520278541999999</v>
      </c>
      <c r="Q115">
        <v>4.6646910371999999</v>
      </c>
      <c r="R115" t="s">
        <v>45</v>
      </c>
      <c r="S115" t="s">
        <v>46</v>
      </c>
    </row>
    <row r="116" spans="8:19" x14ac:dyDescent="0.25">
      <c r="H116" t="s">
        <v>43</v>
      </c>
      <c r="I116">
        <v>-1.2392895296216E-3</v>
      </c>
      <c r="J116">
        <v>-7.8764544129371977E-2</v>
      </c>
      <c r="K116">
        <v>-0.17832563519477909</v>
      </c>
      <c r="L116">
        <v>-0.389381974935532</v>
      </c>
      <c r="M116">
        <v>-1.47788345813751</v>
      </c>
      <c r="N116">
        <v>0.95994305610656705</v>
      </c>
      <c r="O116">
        <v>4.7175867132000002</v>
      </c>
      <c r="P116">
        <v>1.3012665307</v>
      </c>
      <c r="Q116">
        <v>3.3668845907999998</v>
      </c>
      <c r="R116" t="s">
        <v>45</v>
      </c>
      <c r="S116" t="s">
        <v>46</v>
      </c>
    </row>
    <row r="117" spans="8:19" x14ac:dyDescent="0.25">
      <c r="H117" t="s">
        <v>43</v>
      </c>
      <c r="I117">
        <v>1.3011932373046899E-2</v>
      </c>
      <c r="J117">
        <v>0.17962860584259044</v>
      </c>
      <c r="K117">
        <v>0.17774561345577244</v>
      </c>
      <c r="L117">
        <v>-1.1463577747345</v>
      </c>
      <c r="M117">
        <v>0.72932124137878396</v>
      </c>
      <c r="N117">
        <v>-0.74414980411529497</v>
      </c>
      <c r="O117">
        <v>0.1483911762</v>
      </c>
      <c r="P117">
        <v>0.2167359935</v>
      </c>
      <c r="Q117">
        <v>4.9349358513999997</v>
      </c>
      <c r="R117" t="s">
        <v>45</v>
      </c>
      <c r="S117" t="s">
        <v>46</v>
      </c>
    </row>
    <row r="118" spans="8:19" x14ac:dyDescent="0.25">
      <c r="H118" t="s">
        <v>43</v>
      </c>
      <c r="I118">
        <v>-4.1884777601808299E-4</v>
      </c>
      <c r="J118">
        <v>4.8614442646503477E-2</v>
      </c>
      <c r="K118">
        <v>4.8307788670063391E-2</v>
      </c>
      <c r="L118">
        <v>-9.7034186124801594E-2</v>
      </c>
      <c r="M118">
        <v>0.60689675807952903</v>
      </c>
      <c r="N118">
        <v>-0.63970345258712802</v>
      </c>
      <c r="O118">
        <v>2.7463764360999998</v>
      </c>
      <c r="P118">
        <v>4.0783358151</v>
      </c>
      <c r="Q118">
        <v>2.4827351898000001</v>
      </c>
      <c r="R118" t="s">
        <v>45</v>
      </c>
      <c r="S118" t="s">
        <v>46</v>
      </c>
    </row>
    <row r="119" spans="8:19" x14ac:dyDescent="0.25">
      <c r="H119" t="s">
        <v>43</v>
      </c>
      <c r="I119">
        <v>-1.1704247444868101E-3</v>
      </c>
      <c r="J119">
        <v>-5.3023360669612919E-2</v>
      </c>
      <c r="K119">
        <v>-9.6837731003761029E-2</v>
      </c>
      <c r="L119">
        <v>-0.23891685903072399</v>
      </c>
      <c r="M119">
        <v>-0.67229318618774403</v>
      </c>
      <c r="N119">
        <v>-6.1973929405212402E-2</v>
      </c>
      <c r="O119">
        <v>1.0163068775999999</v>
      </c>
      <c r="P119">
        <v>2.5468444695999999</v>
      </c>
      <c r="Q119">
        <v>0.1214735909</v>
      </c>
      <c r="R119" t="s">
        <v>45</v>
      </c>
      <c r="S119" t="s">
        <v>46</v>
      </c>
    </row>
    <row r="120" spans="8:19" x14ac:dyDescent="0.25">
      <c r="H120" t="s">
        <v>43</v>
      </c>
      <c r="I120">
        <v>5.2949553355574599E-3</v>
      </c>
      <c r="J120">
        <v>0.1002950870990762</v>
      </c>
      <c r="K120">
        <v>0.14873841881752001</v>
      </c>
      <c r="L120">
        <v>-0.66750568151473999</v>
      </c>
      <c r="M120">
        <v>0.47792124748230003</v>
      </c>
      <c r="N120">
        <v>-1.06160187721252</v>
      </c>
      <c r="O120">
        <v>3.7350994551999999</v>
      </c>
      <c r="P120">
        <v>0.10989542820000001</v>
      </c>
      <c r="Q120">
        <v>4.0041016991999996</v>
      </c>
      <c r="R120" t="s">
        <v>45</v>
      </c>
      <c r="S120" t="s">
        <v>46</v>
      </c>
    </row>
    <row r="121" spans="8:19" x14ac:dyDescent="0.25">
      <c r="H121" t="s">
        <v>43</v>
      </c>
      <c r="I121">
        <v>4.3246033601462798E-3</v>
      </c>
      <c r="J121">
        <v>-7.4664700627326969E-2</v>
      </c>
      <c r="K121">
        <v>-8.2634314894678568E-4</v>
      </c>
      <c r="L121">
        <v>-0.140251100063324</v>
      </c>
      <c r="M121">
        <v>0.45143038034439098</v>
      </c>
      <c r="N121">
        <v>0.313724786043167</v>
      </c>
      <c r="O121">
        <v>4.7396783878999997</v>
      </c>
      <c r="P121">
        <v>4.9071061610999998</v>
      </c>
      <c r="Q121">
        <v>1.8713340661</v>
      </c>
      <c r="R121" t="s">
        <v>45</v>
      </c>
      <c r="S121" t="s">
        <v>46</v>
      </c>
    </row>
    <row r="122" spans="8:19" x14ac:dyDescent="0.25">
      <c r="H122" t="s">
        <v>43</v>
      </c>
      <c r="I122">
        <v>1.8214078154414901E-3</v>
      </c>
      <c r="J122">
        <v>8.5241996645927215E-2</v>
      </c>
      <c r="K122">
        <v>6.4217582345009017E-2</v>
      </c>
      <c r="L122">
        <v>-0.18496520817279799</v>
      </c>
      <c r="M122">
        <v>0.541345775127411</v>
      </c>
      <c r="N122">
        <v>-1.33990967273712</v>
      </c>
      <c r="O122">
        <v>3.1050919126999998</v>
      </c>
      <c r="P122">
        <v>4.9790166179000002</v>
      </c>
      <c r="Q122">
        <v>4.7088396990000003</v>
      </c>
      <c r="R122" t="s">
        <v>45</v>
      </c>
      <c r="S122" t="s">
        <v>46</v>
      </c>
    </row>
    <row r="123" spans="8:19" x14ac:dyDescent="0.25">
      <c r="H123" t="s">
        <v>43</v>
      </c>
      <c r="I123">
        <v>-3.3102363813668498E-3</v>
      </c>
      <c r="J123">
        <v>-9.8247682675719691E-3</v>
      </c>
      <c r="K123">
        <v>-5.8335820399224844E-2</v>
      </c>
      <c r="L123">
        <v>-0.13851435482502</v>
      </c>
      <c r="M123">
        <v>0.50596565008163497</v>
      </c>
      <c r="N123">
        <v>4.1465051472187001E-2</v>
      </c>
      <c r="O123">
        <v>0.24685834309999999</v>
      </c>
      <c r="P123">
        <v>4.5298125568999996</v>
      </c>
      <c r="Q123">
        <v>2.6684535819000001</v>
      </c>
      <c r="R123" t="s">
        <v>45</v>
      </c>
      <c r="S123" t="s">
        <v>46</v>
      </c>
    </row>
    <row r="124" spans="8:19" x14ac:dyDescent="0.25">
      <c r="H124" t="s">
        <v>43</v>
      </c>
      <c r="I124">
        <v>3.8138499949127401E-3</v>
      </c>
      <c r="J124">
        <v>-8.9558945968746684E-3</v>
      </c>
      <c r="K124">
        <v>6.6326448172330826E-2</v>
      </c>
      <c r="L124">
        <v>-3.0066302046179799E-2</v>
      </c>
      <c r="M124">
        <v>-0.46598353981971702</v>
      </c>
      <c r="N124">
        <v>2.87609733641148E-2</v>
      </c>
      <c r="O124">
        <v>2.1243312033000001</v>
      </c>
      <c r="P124">
        <v>0.98146476360000001</v>
      </c>
      <c r="Q124">
        <v>2.2301814902000001</v>
      </c>
      <c r="R124" t="s">
        <v>45</v>
      </c>
      <c r="S124" t="s">
        <v>46</v>
      </c>
    </row>
    <row r="125" spans="8:19" x14ac:dyDescent="0.25">
      <c r="H125" t="s">
        <v>43</v>
      </c>
      <c r="I125">
        <v>-2.8819218277931203E-4</v>
      </c>
      <c r="J125">
        <v>-0.16862541913986212</v>
      </c>
      <c r="K125">
        <v>9.6877405047416862E-2</v>
      </c>
      <c r="L125">
        <v>-0.59649485349655196</v>
      </c>
      <c r="M125">
        <v>0.69457828998565696</v>
      </c>
      <c r="N125">
        <v>2.1627001762390101</v>
      </c>
      <c r="O125">
        <v>3.8924485742999999</v>
      </c>
      <c r="P125">
        <v>4.3783496642999999</v>
      </c>
      <c r="Q125">
        <v>1.6360280112000001</v>
      </c>
      <c r="R125" t="s">
        <v>45</v>
      </c>
      <c r="S125" t="s">
        <v>46</v>
      </c>
    </row>
    <row r="126" spans="8:19" x14ac:dyDescent="0.25">
      <c r="H126" t="s">
        <v>43</v>
      </c>
      <c r="I126">
        <v>4.0220627561211603E-3</v>
      </c>
      <c r="J126">
        <v>-4.8670811653137261E-2</v>
      </c>
      <c r="K126">
        <v>6.9585041999816882E-2</v>
      </c>
      <c r="L126">
        <v>-0.13810922205448201</v>
      </c>
      <c r="M126">
        <v>0.84371614456176802</v>
      </c>
      <c r="N126">
        <v>0.228819519281387</v>
      </c>
      <c r="O126">
        <v>4.5109081914000004</v>
      </c>
      <c r="P126">
        <v>2.9663132843</v>
      </c>
      <c r="Q126">
        <v>3.8683553511</v>
      </c>
      <c r="R126" t="s">
        <v>45</v>
      </c>
      <c r="S126" t="s">
        <v>46</v>
      </c>
    </row>
    <row r="127" spans="8:19" x14ac:dyDescent="0.25">
      <c r="H127" t="s">
        <v>43</v>
      </c>
      <c r="I127">
        <v>4.0480811148881904E-3</v>
      </c>
      <c r="J127">
        <v>8.1926136910915243E-2</v>
      </c>
      <c r="K127">
        <v>-3.7596840262413014E-2</v>
      </c>
      <c r="L127">
        <v>-8.3123356103897095E-2</v>
      </c>
      <c r="M127">
        <v>-0.26290214061737099</v>
      </c>
      <c r="N127">
        <v>-0.36952835321426403</v>
      </c>
      <c r="O127">
        <v>4.9350065225000002</v>
      </c>
      <c r="P127">
        <v>4.6708884390999996</v>
      </c>
      <c r="Q127">
        <v>0.64099500450000002</v>
      </c>
      <c r="R127" t="s">
        <v>45</v>
      </c>
      <c r="S127" t="s">
        <v>46</v>
      </c>
    </row>
    <row r="128" spans="8:19" x14ac:dyDescent="0.25">
      <c r="H128" t="s">
        <v>43</v>
      </c>
      <c r="I128">
        <v>-2.3071035742759701E-2</v>
      </c>
      <c r="J128">
        <v>-0.10596835374832156</v>
      </c>
      <c r="K128">
        <v>-0.22721113681793151</v>
      </c>
      <c r="L128">
        <v>-1.1593600511550901</v>
      </c>
      <c r="M128">
        <v>-1.6655416488647501</v>
      </c>
      <c r="N128">
        <v>0.71028804779052701</v>
      </c>
      <c r="O128">
        <v>5.0541583899999999E-2</v>
      </c>
      <c r="P128">
        <v>4.9578693537999996</v>
      </c>
      <c r="Q128">
        <v>3.9886280456000001</v>
      </c>
      <c r="R128" t="s">
        <v>45</v>
      </c>
      <c r="S128" t="s">
        <v>46</v>
      </c>
    </row>
    <row r="129" spans="8:19" x14ac:dyDescent="0.25">
      <c r="H129" t="s">
        <v>43</v>
      </c>
      <c r="I129">
        <v>2.0447487477213101E-3</v>
      </c>
      <c r="J129">
        <v>3.4675893932580408E-3</v>
      </c>
      <c r="K129">
        <v>-1.7182121560908849E-2</v>
      </c>
      <c r="L129">
        <v>-4.4312290847301497E-2</v>
      </c>
      <c r="M129">
        <v>0.20662721991538999</v>
      </c>
      <c r="N129">
        <v>0.34084922075271601</v>
      </c>
      <c r="O129">
        <v>4.3201662060999997</v>
      </c>
      <c r="P129">
        <v>3.8378352410000001</v>
      </c>
      <c r="Q129">
        <v>4.8360302252</v>
      </c>
      <c r="R129" t="s">
        <v>45</v>
      </c>
      <c r="S129" t="s">
        <v>46</v>
      </c>
    </row>
    <row r="130" spans="8:19" x14ac:dyDescent="0.25">
      <c r="H130" t="s">
        <v>43</v>
      </c>
      <c r="I130">
        <v>9.2119863256812096E-4</v>
      </c>
      <c r="J130">
        <v>1.6157464738935229E-2</v>
      </c>
      <c r="K130">
        <v>-5.0630841255187964E-2</v>
      </c>
      <c r="L130">
        <v>-5.8329094201326398E-2</v>
      </c>
      <c r="M130">
        <v>-0.317890405654907</v>
      </c>
      <c r="N130">
        <v>0.108785018324852</v>
      </c>
      <c r="O130">
        <v>1.2326114607000001</v>
      </c>
      <c r="P130">
        <v>3.5091223980000001</v>
      </c>
      <c r="Q130">
        <v>2.8278096824999999</v>
      </c>
      <c r="R130" t="s">
        <v>45</v>
      </c>
      <c r="S130" t="s">
        <v>46</v>
      </c>
    </row>
    <row r="131" spans="8:19" x14ac:dyDescent="0.25">
      <c r="H131" t="s">
        <v>43</v>
      </c>
      <c r="I131">
        <v>-1.47967482917011E-3</v>
      </c>
      <c r="J131">
        <v>4.5280347466468848E-2</v>
      </c>
      <c r="K131">
        <v>2.6666867956519166E-2</v>
      </c>
      <c r="L131">
        <v>-4.8165880143642398E-2</v>
      </c>
      <c r="M131">
        <v>-2.6211343705654099E-2</v>
      </c>
      <c r="N131">
        <v>-0.78379583358764604</v>
      </c>
      <c r="O131">
        <v>2.2205178402999999</v>
      </c>
      <c r="P131">
        <v>1.9827336431</v>
      </c>
      <c r="Q131">
        <v>0.36676452050000002</v>
      </c>
      <c r="R131" t="s">
        <v>45</v>
      </c>
      <c r="S131" t="s">
        <v>46</v>
      </c>
    </row>
    <row r="132" spans="8:19" x14ac:dyDescent="0.25">
      <c r="H132" t="s">
        <v>43</v>
      </c>
      <c r="I132">
        <v>2.92359739542007E-2</v>
      </c>
      <c r="J132">
        <v>-4.2003208994865412E-2</v>
      </c>
      <c r="K132">
        <v>0.28241620004177093</v>
      </c>
      <c r="L132">
        <v>-1.3672847747802701</v>
      </c>
      <c r="M132">
        <v>0.75280958414077803</v>
      </c>
      <c r="N132">
        <v>0.313927292823792</v>
      </c>
      <c r="O132">
        <v>1.9402253723</v>
      </c>
      <c r="P132">
        <v>1.6478522000000001E-3</v>
      </c>
      <c r="Q132">
        <v>3.2221664534999999</v>
      </c>
      <c r="R132" t="s">
        <v>45</v>
      </c>
      <c r="S132" t="s">
        <v>46</v>
      </c>
    </row>
    <row r="133" spans="8:19" x14ac:dyDescent="0.25">
      <c r="H133" t="s">
        <v>43</v>
      </c>
      <c r="I133">
        <v>6.0794455930590597E-4</v>
      </c>
      <c r="J133">
        <v>1.5098237991333044E-2</v>
      </c>
      <c r="K133">
        <v>2.8885395154356931E-2</v>
      </c>
      <c r="L133">
        <v>-5.19313141703606E-2</v>
      </c>
      <c r="M133">
        <v>-0.227550074458122</v>
      </c>
      <c r="N133">
        <v>-0.74169278144836404</v>
      </c>
      <c r="O133">
        <v>3.7945339589999998</v>
      </c>
      <c r="P133">
        <v>3.3481721828</v>
      </c>
      <c r="Q133">
        <v>3.4429632493</v>
      </c>
      <c r="R133" t="s">
        <v>45</v>
      </c>
      <c r="S133" t="s">
        <v>46</v>
      </c>
    </row>
    <row r="134" spans="8:19" x14ac:dyDescent="0.25">
      <c r="H134" t="s">
        <v>43</v>
      </c>
      <c r="I134">
        <v>1.05409817770123E-2</v>
      </c>
      <c r="J134">
        <v>-0.15412576675415074</v>
      </c>
      <c r="K134">
        <v>2.3715965151786811E-2</v>
      </c>
      <c r="L134">
        <v>-0.46214094758033802</v>
      </c>
      <c r="M134">
        <v>0.52779358625411998</v>
      </c>
      <c r="N134">
        <v>1.1965517997741699</v>
      </c>
      <c r="O134">
        <v>1.6472032243000001</v>
      </c>
      <c r="P134">
        <v>5.9795420000000002E-2</v>
      </c>
      <c r="Q134">
        <v>0.1036992028</v>
      </c>
      <c r="R134" t="s">
        <v>45</v>
      </c>
      <c r="S134" t="s">
        <v>46</v>
      </c>
    </row>
    <row r="135" spans="8:19" x14ac:dyDescent="0.25">
      <c r="H135" t="s">
        <v>43</v>
      </c>
      <c r="I135">
        <v>-3.9675664156675304E-3</v>
      </c>
      <c r="J135">
        <v>0.18592015862464931</v>
      </c>
      <c r="K135">
        <v>0.1597622621059421</v>
      </c>
      <c r="L135">
        <v>-0.87976008653640703</v>
      </c>
      <c r="M135">
        <v>1.1610733270645099</v>
      </c>
      <c r="N135">
        <v>-1.7950013875961299</v>
      </c>
      <c r="O135">
        <v>2.0231526378</v>
      </c>
      <c r="P135">
        <v>0.50988481399999996</v>
      </c>
      <c r="Q135">
        <v>0.60427768879999999</v>
      </c>
      <c r="R135" t="s">
        <v>45</v>
      </c>
      <c r="S135" t="s">
        <v>46</v>
      </c>
    </row>
    <row r="136" spans="8:19" x14ac:dyDescent="0.25">
      <c r="H136" t="s">
        <v>43</v>
      </c>
      <c r="I136">
        <v>-3.2952348701655899E-3</v>
      </c>
      <c r="J136">
        <v>4.5224753618240493E-2</v>
      </c>
      <c r="K136">
        <v>-3.975314408540729E-2</v>
      </c>
      <c r="L136">
        <v>-6.3384123146533994E-2</v>
      </c>
      <c r="M136">
        <v>-0.49019342660903897</v>
      </c>
      <c r="N136">
        <v>-1.07537841796875</v>
      </c>
      <c r="O136">
        <v>4.4838346888</v>
      </c>
      <c r="P136">
        <v>0.20145099390000001</v>
      </c>
      <c r="Q136">
        <v>4.5041045776999997</v>
      </c>
      <c r="R136" t="s">
        <v>45</v>
      </c>
      <c r="S136" t="s">
        <v>46</v>
      </c>
    </row>
    <row r="137" spans="8:19" x14ac:dyDescent="0.25">
      <c r="H137" t="s">
        <v>43</v>
      </c>
      <c r="I137">
        <v>5.8683929964899999E-3</v>
      </c>
      <c r="J137">
        <v>3.442031055688817E-2</v>
      </c>
      <c r="K137">
        <v>-0.12324651420116389</v>
      </c>
      <c r="L137">
        <v>-0.22302415966987599</v>
      </c>
      <c r="M137">
        <v>-1.34484195709229</v>
      </c>
      <c r="N137">
        <v>-0.84396576881408703</v>
      </c>
      <c r="O137">
        <v>4.1839238480000001</v>
      </c>
      <c r="P137">
        <v>4.1752821560999998</v>
      </c>
      <c r="Q137">
        <v>0.4978333036</v>
      </c>
      <c r="R137" t="s">
        <v>45</v>
      </c>
      <c r="S137" t="s">
        <v>46</v>
      </c>
    </row>
    <row r="138" spans="8:19" x14ac:dyDescent="0.25">
      <c r="H138" t="s">
        <v>43</v>
      </c>
      <c r="I138">
        <v>-2.84721739590168E-2</v>
      </c>
      <c r="J138">
        <v>0.24718735218048088</v>
      </c>
      <c r="K138">
        <v>0.24951086610555628</v>
      </c>
      <c r="L138">
        <v>-1.72224581241608</v>
      </c>
      <c r="M138">
        <v>0.49334552884101901</v>
      </c>
      <c r="N138">
        <v>-0.76049625873565696</v>
      </c>
      <c r="O138">
        <v>4.6493399877000003</v>
      </c>
      <c r="P138">
        <v>1.9654430356000001</v>
      </c>
      <c r="Q138">
        <v>1.6399488998</v>
      </c>
      <c r="R138" t="s">
        <v>45</v>
      </c>
      <c r="S138" t="s">
        <v>46</v>
      </c>
    </row>
    <row r="139" spans="8:19" x14ac:dyDescent="0.25">
      <c r="H139" t="s">
        <v>43</v>
      </c>
      <c r="I139">
        <v>-2.18501593917608E-3</v>
      </c>
      <c r="J139">
        <v>0.11094302952289556</v>
      </c>
      <c r="K139">
        <v>0.1318884277343752</v>
      </c>
      <c r="L139">
        <v>-0.42062535881996199</v>
      </c>
      <c r="M139">
        <v>1.5282573699951201</v>
      </c>
      <c r="N139">
        <v>-0.81598681211471602</v>
      </c>
      <c r="O139">
        <v>2.5804466663999999</v>
      </c>
      <c r="P139">
        <v>2.8020908323999998</v>
      </c>
      <c r="Q139">
        <v>1.4209598912000001</v>
      </c>
      <c r="R139" t="s">
        <v>45</v>
      </c>
      <c r="S139" t="s">
        <v>46</v>
      </c>
    </row>
    <row r="140" spans="8:19" x14ac:dyDescent="0.25">
      <c r="H140" t="s">
        <v>43</v>
      </c>
      <c r="I140">
        <v>1.8196115270257E-3</v>
      </c>
      <c r="J140">
        <v>4.7905400395393469E-3</v>
      </c>
      <c r="K140">
        <v>8.9655218124389202E-2</v>
      </c>
      <c r="L140">
        <v>-6.4179420471191406E-2</v>
      </c>
      <c r="M140">
        <v>1.8967602252960201</v>
      </c>
      <c r="N140">
        <v>-0.51140964031219505</v>
      </c>
      <c r="O140">
        <v>1.7445767312</v>
      </c>
      <c r="P140">
        <v>3.9458122761999999</v>
      </c>
      <c r="Q140">
        <v>4.9189190299999996</v>
      </c>
      <c r="R140" t="s">
        <v>45</v>
      </c>
      <c r="S140" t="s">
        <v>46</v>
      </c>
    </row>
    <row r="141" spans="8:19" x14ac:dyDescent="0.25">
      <c r="H141" t="s">
        <v>43</v>
      </c>
      <c r="I141">
        <v>5.0261407159268899E-3</v>
      </c>
      <c r="J141">
        <v>-0.11670223593711854</v>
      </c>
      <c r="K141">
        <v>1.3623089045286231E-2</v>
      </c>
      <c r="L141">
        <v>-0.14642003178596499</v>
      </c>
      <c r="M141">
        <v>0.36419194936752303</v>
      </c>
      <c r="N141">
        <v>1.55786764621735</v>
      </c>
      <c r="O141">
        <v>1.4076592733</v>
      </c>
      <c r="P141">
        <v>1.3192874408999999</v>
      </c>
      <c r="Q141">
        <v>2.6835966308999999</v>
      </c>
      <c r="R141" t="s">
        <v>45</v>
      </c>
      <c r="S141" t="s">
        <v>46</v>
      </c>
    </row>
    <row r="142" spans="8:19" x14ac:dyDescent="0.25">
      <c r="H142" t="s">
        <v>43</v>
      </c>
      <c r="I142">
        <v>-5.5614840239286397E-3</v>
      </c>
      <c r="J142">
        <v>-9.2361005544662145E-2</v>
      </c>
      <c r="K142">
        <v>0.14423409759998271</v>
      </c>
      <c r="L142">
        <v>-0.32296690344810502</v>
      </c>
      <c r="M142">
        <v>1.0704246759414699</v>
      </c>
      <c r="N142">
        <v>0.568997502326965</v>
      </c>
      <c r="O142">
        <v>0.50502447429999997</v>
      </c>
      <c r="P142">
        <v>3.7817597896000001</v>
      </c>
      <c r="Q142">
        <v>0.94479070089999995</v>
      </c>
      <c r="R142" t="s">
        <v>45</v>
      </c>
      <c r="S142" t="s">
        <v>47</v>
      </c>
    </row>
  </sheetData>
  <pageMargins left="0.7" right="0.7" top="0.75" bottom="0.75" header="0.3" footer="0.3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924-77D1-4E63-A514-1F79BBC70BC9}">
  <dimension ref="B2:V51"/>
  <sheetViews>
    <sheetView workbookViewId="0">
      <selection activeCell="V20" sqref="V20"/>
    </sheetView>
  </sheetViews>
  <sheetFormatPr defaultRowHeight="15" x14ac:dyDescent="0.25"/>
  <cols>
    <col min="8" max="13" width="9.140625" style="23"/>
  </cols>
  <sheetData>
    <row r="2" spans="2:22" x14ac:dyDescent="0.25">
      <c r="B2">
        <v>-8.3262659609317801E-4</v>
      </c>
      <c r="C2">
        <v>-5.3400582866743193E-2</v>
      </c>
      <c r="D2">
        <v>9.2854456901550309E-2</v>
      </c>
      <c r="E2">
        <v>-7.20393061637878E-2</v>
      </c>
      <c r="F2">
        <v>1.12758028507233</v>
      </c>
      <c r="G2">
        <v>-0.58665424585342396</v>
      </c>
      <c r="H2" s="23">
        <v>-3.8458680985612274E-3</v>
      </c>
      <c r="I2" s="23">
        <v>-6.317722408774501E-2</v>
      </c>
      <c r="J2" s="23">
        <v>9.6744821319023108E-2</v>
      </c>
      <c r="K2" s="23">
        <v>-0.11890600632031255</v>
      </c>
      <c r="L2" s="23">
        <v>1.2077770968117663</v>
      </c>
      <c r="M2" s="23">
        <v>-0.41543747902546097</v>
      </c>
      <c r="O2">
        <f>B2-$V$2*(H2-B2)</f>
        <v>1.5779666058812617E-3</v>
      </c>
      <c r="P2">
        <f t="shared" ref="P2:T2" si="0">C2-$V$2*(I2-C2)</f>
        <v>-4.5579269889941737E-2</v>
      </c>
      <c r="Q2">
        <f t="shared" si="0"/>
        <v>8.9742165367572069E-2</v>
      </c>
      <c r="R2">
        <f t="shared" si="0"/>
        <v>-3.4545946038567997E-2</v>
      </c>
      <c r="S2">
        <f t="shared" si="0"/>
        <v>1.0634228356807809</v>
      </c>
      <c r="T2">
        <f t="shared" si="0"/>
        <v>-0.72362765931579442</v>
      </c>
      <c r="V2" s="24">
        <v>0.8</v>
      </c>
    </row>
    <row r="3" spans="2:22" x14ac:dyDescent="0.25">
      <c r="B3">
        <v>7.6168961822986603E-3</v>
      </c>
      <c r="C3">
        <v>0.24574007272720383</v>
      </c>
      <c r="D3">
        <v>1.0644453205168264E-3</v>
      </c>
      <c r="E3">
        <v>-0.71961438655853305</v>
      </c>
      <c r="F3">
        <v>2.90779918432236E-2</v>
      </c>
      <c r="G3">
        <v>-0.48940825462341297</v>
      </c>
      <c r="H3" s="23">
        <v>6.9366249802947713E-3</v>
      </c>
      <c r="I3" s="23">
        <v>0.23050733579986882</v>
      </c>
      <c r="J3" s="23">
        <v>3.5083230887123402E-3</v>
      </c>
      <c r="K3" s="23">
        <v>-0.9341909924140438</v>
      </c>
      <c r="L3" s="23">
        <v>3.9420366676058034E-2</v>
      </c>
      <c r="M3" s="23">
        <v>-0.52577420925332319</v>
      </c>
      <c r="O3">
        <f t="shared" ref="O3:O51" si="1">B3-$V$2*(H3-B3)</f>
        <v>8.1611131439017718E-3</v>
      </c>
      <c r="P3">
        <f t="shared" ref="P3:P51" si="2">C3-$V$2*(I3-C3)</f>
        <v>0.25792626226907184</v>
      </c>
      <c r="Q3">
        <f t="shared" ref="Q3:Q51" si="3">D3-$V$2*(J3-D3)</f>
        <v>-8.9065689403958464E-4</v>
      </c>
      <c r="R3">
        <f t="shared" ref="R3:R51" si="4">E3-$V$2*(K3-E3)</f>
        <v>-0.54795310187412438</v>
      </c>
      <c r="S3">
        <f t="shared" ref="S3:S51" si="5">F3-$V$2*(L3-F3)</f>
        <v>2.0804091976956051E-2</v>
      </c>
      <c r="T3">
        <f t="shared" ref="T3:T51" si="6">G3-$V$2*(M3-G3)</f>
        <v>-0.46031549091948482</v>
      </c>
    </row>
    <row r="4" spans="2:22" x14ac:dyDescent="0.25">
      <c r="B4">
        <v>-1.2985616922378499E-4</v>
      </c>
      <c r="C4">
        <v>-3.6498736031353504E-3</v>
      </c>
      <c r="D4">
        <v>-7.9183645248412218E-2</v>
      </c>
      <c r="E4">
        <v>-1.52619369328022E-2</v>
      </c>
      <c r="F4">
        <v>-1.05842244625092</v>
      </c>
      <c r="G4">
        <v>2.1189808845519999E-2</v>
      </c>
      <c r="H4" s="23">
        <v>7.5361234971426901E-4</v>
      </c>
      <c r="I4" s="23">
        <v>1.0849884787371506E-4</v>
      </c>
      <c r="J4" s="23">
        <v>-8.2497701620539876E-2</v>
      </c>
      <c r="K4" s="23">
        <v>-0.10803651422923981</v>
      </c>
      <c r="L4" s="23">
        <v>-1.0912357889045956</v>
      </c>
      <c r="M4" s="23">
        <v>-1.8100508803492777E-3</v>
      </c>
      <c r="O4">
        <f t="shared" si="1"/>
        <v>-8.3663098437422817E-4</v>
      </c>
      <c r="P4">
        <f t="shared" si="2"/>
        <v>-6.6565715639426027E-3</v>
      </c>
      <c r="Q4">
        <f t="shared" si="3"/>
        <v>-7.6532400150710098E-2</v>
      </c>
      <c r="R4">
        <f t="shared" si="4"/>
        <v>5.8957724904347891E-2</v>
      </c>
      <c r="S4">
        <f t="shared" si="5"/>
        <v>-1.0321717721279795</v>
      </c>
      <c r="T4">
        <f t="shared" si="6"/>
        <v>3.958969662621542E-2</v>
      </c>
    </row>
    <row r="5" spans="2:22" x14ac:dyDescent="0.25">
      <c r="B5">
        <v>-2.2600172087550201E-2</v>
      </c>
      <c r="C5">
        <v>0.2035677599906926</v>
      </c>
      <c r="D5">
        <v>1.6263059973716687E-2</v>
      </c>
      <c r="E5">
        <v>-0.76213192939758301</v>
      </c>
      <c r="F5">
        <v>0.83609861135482799</v>
      </c>
      <c r="G5">
        <v>-1.67676854133606</v>
      </c>
      <c r="H5" s="23">
        <v>-1.6056009550319005E-2</v>
      </c>
      <c r="I5" s="23">
        <v>0.19702783445823938</v>
      </c>
      <c r="J5" s="23">
        <v>3.4234622469970354E-2</v>
      </c>
      <c r="K5" s="23">
        <v>-0.80219248645916452</v>
      </c>
      <c r="L5" s="23">
        <v>0.88645185524972003</v>
      </c>
      <c r="M5" s="23">
        <v>-1.6576023390474031</v>
      </c>
      <c r="O5">
        <f t="shared" si="1"/>
        <v>-2.783550211733516E-2</v>
      </c>
      <c r="P5">
        <f t="shared" si="2"/>
        <v>0.20879970041665519</v>
      </c>
      <c r="Q5">
        <f t="shared" si="3"/>
        <v>1.8858099767137537E-3</v>
      </c>
      <c r="R5">
        <f t="shared" si="4"/>
        <v>-0.73008348374831777</v>
      </c>
      <c r="S5">
        <f t="shared" si="5"/>
        <v>0.7958160162389144</v>
      </c>
      <c r="T5">
        <f t="shared" si="6"/>
        <v>-1.6921015031669855</v>
      </c>
    </row>
    <row r="6" spans="2:22" x14ac:dyDescent="0.25">
      <c r="B6">
        <v>-2.83843977376819E-3</v>
      </c>
      <c r="C6">
        <v>-8.2259576320647787E-2</v>
      </c>
      <c r="D6">
        <v>-3.6772690713405068E-4</v>
      </c>
      <c r="E6">
        <v>-7.1337848901748699E-2</v>
      </c>
      <c r="F6">
        <v>-0.277880519628525</v>
      </c>
      <c r="G6">
        <v>0.691084444522858</v>
      </c>
      <c r="H6" s="23">
        <v>-1.3121901393190266E-3</v>
      </c>
      <c r="I6" s="23">
        <v>-8.9262448649607168E-2</v>
      </c>
      <c r="J6" s="23">
        <v>-1.2519858524483401E-2</v>
      </c>
      <c r="K6" s="23">
        <v>-0.11669776718578821</v>
      </c>
      <c r="L6" s="23">
        <v>-0.31464896267178544</v>
      </c>
      <c r="M6" s="23">
        <v>0.69863043590686136</v>
      </c>
      <c r="O6">
        <f t="shared" si="1"/>
        <v>-4.059439481327521E-3</v>
      </c>
      <c r="P6">
        <f t="shared" si="2"/>
        <v>-7.6657278457480285E-2</v>
      </c>
      <c r="Q6">
        <f t="shared" si="3"/>
        <v>9.3539783867454297E-3</v>
      </c>
      <c r="R6">
        <f t="shared" si="4"/>
        <v>-3.5049914274517084E-2</v>
      </c>
      <c r="S6">
        <f t="shared" si="5"/>
        <v>-0.24846576519391667</v>
      </c>
      <c r="T6">
        <f t="shared" si="6"/>
        <v>0.68504765141565527</v>
      </c>
    </row>
    <row r="7" spans="2:22" x14ac:dyDescent="0.25">
      <c r="B7">
        <v>4.2178397998213803E-3</v>
      </c>
      <c r="C7">
        <v>-0.1370001655817028</v>
      </c>
      <c r="D7">
        <v>0.13484285593032813</v>
      </c>
      <c r="E7">
        <v>-0.61169552803039595</v>
      </c>
      <c r="F7">
        <v>0.92778009176254295</v>
      </c>
      <c r="G7">
        <v>0.97456169128418002</v>
      </c>
      <c r="H7" s="23">
        <v>-2.5087600534579148E-3</v>
      </c>
      <c r="I7" s="23">
        <v>-0.13295516949701597</v>
      </c>
      <c r="J7" s="23">
        <v>0.13423178464711924</v>
      </c>
      <c r="K7" s="23">
        <v>-0.7429952535801152</v>
      </c>
      <c r="L7" s="23">
        <v>0.93095245460271803</v>
      </c>
      <c r="M7" s="23">
        <v>0.90995695848074565</v>
      </c>
      <c r="O7">
        <f t="shared" si="1"/>
        <v>9.5991196824448156E-3</v>
      </c>
      <c r="P7">
        <f t="shared" si="2"/>
        <v>-0.14023616244945228</v>
      </c>
      <c r="Q7">
        <f t="shared" si="3"/>
        <v>0.13533171295689525</v>
      </c>
      <c r="R7">
        <f t="shared" si="4"/>
        <v>-0.5066557475906206</v>
      </c>
      <c r="S7">
        <f t="shared" si="5"/>
        <v>0.92524220149040293</v>
      </c>
      <c r="T7">
        <f t="shared" si="6"/>
        <v>1.0262454775269276</v>
      </c>
    </row>
    <row r="8" spans="2:22" x14ac:dyDescent="0.25">
      <c r="B8">
        <v>-1.05884596705437E-2</v>
      </c>
      <c r="C8">
        <v>-2.5415880382061017E-2</v>
      </c>
      <c r="D8">
        <v>-0.22906562328338606</v>
      </c>
      <c r="E8">
        <v>-0.90436720848083496</v>
      </c>
      <c r="F8">
        <v>-0.59426629543304399</v>
      </c>
      <c r="G8">
        <v>0.66323274374008201</v>
      </c>
      <c r="H8" s="23">
        <v>-4.7395531134692788E-3</v>
      </c>
      <c r="I8" s="23">
        <v>-2.3014450386568779E-2</v>
      </c>
      <c r="J8" s="23">
        <v>-0.21593439797766101</v>
      </c>
      <c r="K8" s="23">
        <v>-1.037015551693089</v>
      </c>
      <c r="L8" s="23">
        <v>-0.65726908619504332</v>
      </c>
      <c r="M8" s="23">
        <v>0.54326312163985624</v>
      </c>
      <c r="O8">
        <f t="shared" si="1"/>
        <v>-1.5267584916203237E-2</v>
      </c>
      <c r="P8">
        <f t="shared" si="2"/>
        <v>-2.7337024378454807E-2</v>
      </c>
      <c r="Q8">
        <f t="shared" si="3"/>
        <v>-0.23957060352796611</v>
      </c>
      <c r="R8">
        <f t="shared" si="4"/>
        <v>-0.79824853391103168</v>
      </c>
      <c r="S8">
        <f t="shared" si="5"/>
        <v>-0.54386406282344457</v>
      </c>
      <c r="T8">
        <f t="shared" si="6"/>
        <v>0.75920844142026267</v>
      </c>
    </row>
    <row r="9" spans="2:22" x14ac:dyDescent="0.25">
      <c r="B9">
        <v>-3.3023439347744002E-2</v>
      </c>
      <c r="C9">
        <v>-0.23263156175613409</v>
      </c>
      <c r="D9">
        <v>-0.15568616658449203</v>
      </c>
      <c r="E9">
        <v>-1.0651987791061399</v>
      </c>
      <c r="F9">
        <v>0.49567955732345598</v>
      </c>
      <c r="G9">
        <v>1.5597436428070099</v>
      </c>
      <c r="H9" s="23">
        <v>-2.2463999282535608E-2</v>
      </c>
      <c r="I9" s="23">
        <v>-0.22898279020825116</v>
      </c>
      <c r="J9" s="23">
        <v>-0.14135228945697995</v>
      </c>
      <c r="K9" s="23">
        <v>-1.2832043384030869</v>
      </c>
      <c r="L9" s="23">
        <v>0.4367814817963428</v>
      </c>
      <c r="M9" s="23">
        <v>1.4733488908332519</v>
      </c>
      <c r="O9">
        <f t="shared" si="1"/>
        <v>-4.1470991399910714E-2</v>
      </c>
      <c r="P9">
        <f t="shared" si="2"/>
        <v>-0.23555057899444043</v>
      </c>
      <c r="Q9">
        <f t="shared" si="3"/>
        <v>-0.16715326828650168</v>
      </c>
      <c r="R9">
        <f t="shared" si="4"/>
        <v>-0.89079433166858235</v>
      </c>
      <c r="S9">
        <f t="shared" si="5"/>
        <v>0.54279801774514658</v>
      </c>
      <c r="T9">
        <f t="shared" si="6"/>
        <v>1.6288594443860163</v>
      </c>
    </row>
    <row r="10" spans="2:22" x14ac:dyDescent="0.25">
      <c r="B10">
        <v>-2.9087357223033902E-2</v>
      </c>
      <c r="C10">
        <v>0.27084197163581819</v>
      </c>
      <c r="D10">
        <v>9.3254102021455808E-3</v>
      </c>
      <c r="E10">
        <v>-1.3190960884094201</v>
      </c>
      <c r="F10">
        <v>0.140940636396408</v>
      </c>
      <c r="G10">
        <v>-0.61736321449279796</v>
      </c>
      <c r="H10" s="23">
        <v>-1.6172762322580862E-2</v>
      </c>
      <c r="I10" s="23">
        <v>0.24188002798750988</v>
      </c>
      <c r="J10" s="23">
        <v>5.7367782769894094E-3</v>
      </c>
      <c r="K10" s="23">
        <v>-1.3042815769297911</v>
      </c>
      <c r="L10" s="23">
        <v>0.23208611270380994</v>
      </c>
      <c r="M10" s="23">
        <v>-0.59527886764220683</v>
      </c>
      <c r="O10">
        <f t="shared" si="1"/>
        <v>-3.9419033143396336E-2</v>
      </c>
      <c r="P10">
        <f t="shared" si="2"/>
        <v>0.29401152655446483</v>
      </c>
      <c r="Q10">
        <f t="shared" si="3"/>
        <v>1.2196315742270519E-2</v>
      </c>
      <c r="R10">
        <f t="shared" si="4"/>
        <v>-1.3309476975931231</v>
      </c>
      <c r="S10">
        <f t="shared" si="5"/>
        <v>6.8024255350486437E-2</v>
      </c>
      <c r="T10">
        <f t="shared" si="6"/>
        <v>-0.63503069197327089</v>
      </c>
    </row>
    <row r="11" spans="2:22" x14ac:dyDescent="0.25">
      <c r="B11">
        <v>-1.0062171146273601E-2</v>
      </c>
      <c r="C11">
        <v>-0.11961497262120291</v>
      </c>
      <c r="D11">
        <v>0.13679772749543156</v>
      </c>
      <c r="E11">
        <v>-0.57413351535797097</v>
      </c>
      <c r="F11">
        <v>-0.16432480514049499</v>
      </c>
      <c r="G11">
        <v>-0.195539399981499</v>
      </c>
      <c r="H11" s="23">
        <v>-1.0537619630847143E-2</v>
      </c>
      <c r="I11" s="23">
        <v>-0.12120093343574603</v>
      </c>
      <c r="J11" s="23">
        <v>0.12685227509681399</v>
      </c>
      <c r="K11" s="23">
        <v>-0.65332836281651829</v>
      </c>
      <c r="L11" s="23">
        <v>-1.1251910742343258E-2</v>
      </c>
      <c r="M11" s="23">
        <v>-7.8499111160395735E-2</v>
      </c>
      <c r="O11">
        <f t="shared" si="1"/>
        <v>-9.6818123586147661E-3</v>
      </c>
      <c r="P11">
        <f t="shared" si="2"/>
        <v>-0.11834620396956841</v>
      </c>
      <c r="Q11">
        <f t="shared" si="3"/>
        <v>0.14475408941432563</v>
      </c>
      <c r="R11">
        <f t="shared" si="4"/>
        <v>-0.51077763739113313</v>
      </c>
      <c r="S11">
        <f t="shared" si="5"/>
        <v>-0.2867831206590164</v>
      </c>
      <c r="T11">
        <f t="shared" si="6"/>
        <v>-0.28917163103838162</v>
      </c>
    </row>
    <row r="12" spans="2:22" x14ac:dyDescent="0.25">
      <c r="B12">
        <v>1.4371985569596299E-2</v>
      </c>
      <c r="C12">
        <v>-1.4706531241536116E-2</v>
      </c>
      <c r="D12">
        <v>0.2061504805088038</v>
      </c>
      <c r="E12">
        <v>-0.55730897188186601</v>
      </c>
      <c r="F12">
        <v>2.0565929412841801</v>
      </c>
      <c r="G12">
        <v>7.4373602867126506E-2</v>
      </c>
      <c r="H12" s="23">
        <v>1.3962415177257053E-2</v>
      </c>
      <c r="I12" s="23">
        <v>-4.3173147657946656E-3</v>
      </c>
      <c r="J12" s="23">
        <v>0.19783539390024879</v>
      </c>
      <c r="K12" s="23">
        <v>-0.58978022518078177</v>
      </c>
      <c r="L12" s="23">
        <v>2.0513442091719258</v>
      </c>
      <c r="M12" s="23">
        <v>7.7424057484701297E-2</v>
      </c>
      <c r="O12">
        <f t="shared" si="1"/>
        <v>1.4699641883467696E-2</v>
      </c>
      <c r="P12">
        <f t="shared" si="2"/>
        <v>-2.3017904422129275E-2</v>
      </c>
      <c r="Q12">
        <f t="shared" si="3"/>
        <v>0.21280254979564781</v>
      </c>
      <c r="R12">
        <f t="shared" si="4"/>
        <v>-0.5313319692427334</v>
      </c>
      <c r="S12">
        <f t="shared" si="5"/>
        <v>2.0607919269739834</v>
      </c>
      <c r="T12">
        <f t="shared" si="6"/>
        <v>7.1933239173066668E-2</v>
      </c>
    </row>
    <row r="13" spans="2:22" x14ac:dyDescent="0.25">
      <c r="B13">
        <v>1.1325632221996799E-3</v>
      </c>
      <c r="C13">
        <v>-6.6681183576583883E-2</v>
      </c>
      <c r="D13">
        <v>7.4554264545442783E-4</v>
      </c>
      <c r="E13">
        <v>-6.8245917558670002E-2</v>
      </c>
      <c r="F13">
        <v>0.80465632677078203</v>
      </c>
      <c r="G13">
        <v>0.26539456844329801</v>
      </c>
      <c r="H13" s="23">
        <v>1.4116886840891455E-3</v>
      </c>
      <c r="I13" s="23">
        <v>-6.8814437906198692E-2</v>
      </c>
      <c r="J13" s="23">
        <v>-1.1834700613937146E-2</v>
      </c>
      <c r="K13" s="23">
        <v>-0.16046156628849539</v>
      </c>
      <c r="L13" s="23">
        <v>0.6261073611513065</v>
      </c>
      <c r="M13" s="23">
        <v>0.3160520864764868</v>
      </c>
      <c r="O13">
        <f t="shared" si="1"/>
        <v>9.092628526881075E-4</v>
      </c>
      <c r="P13">
        <f t="shared" si="2"/>
        <v>-6.4974580112892033E-2</v>
      </c>
      <c r="Q13">
        <f t="shared" si="3"/>
        <v>1.0809737252967688E-2</v>
      </c>
      <c r="R13">
        <f t="shared" si="4"/>
        <v>5.5266014251903195E-3</v>
      </c>
      <c r="S13">
        <f t="shared" si="5"/>
        <v>0.94749549926636245</v>
      </c>
      <c r="T13">
        <f t="shared" si="6"/>
        <v>0.22486855401674696</v>
      </c>
    </row>
    <row r="14" spans="2:22" x14ac:dyDescent="0.25">
      <c r="B14">
        <v>-5.0011062994599299E-3</v>
      </c>
      <c r="C14">
        <v>1.905451118946036E-3</v>
      </c>
      <c r="D14">
        <v>-3.3290824294089638E-3</v>
      </c>
      <c r="E14">
        <v>1.8331240862607999E-3</v>
      </c>
      <c r="F14">
        <v>-0.756436347961426</v>
      </c>
      <c r="G14">
        <v>0.79075133800506603</v>
      </c>
      <c r="H14" s="23">
        <v>-1.1395095969386831E-3</v>
      </c>
      <c r="I14" s="23">
        <v>9.3017485423136093E-3</v>
      </c>
      <c r="J14" s="23">
        <v>9.1659151898373648E-3</v>
      </c>
      <c r="K14" s="23">
        <v>5.7736280251303822E-4</v>
      </c>
      <c r="L14" s="23">
        <v>-0.65731655057261273</v>
      </c>
      <c r="M14" s="23">
        <v>0.65843555760734018</v>
      </c>
      <c r="O14">
        <f t="shared" si="1"/>
        <v>-8.0903836614769284E-3</v>
      </c>
      <c r="P14">
        <f t="shared" si="2"/>
        <v>-4.0115868197480231E-3</v>
      </c>
      <c r="Q14">
        <f t="shared" si="3"/>
        <v>-1.3325080524806028E-2</v>
      </c>
      <c r="R14">
        <f t="shared" si="4"/>
        <v>2.8377331132590092E-3</v>
      </c>
      <c r="S14">
        <f t="shared" si="5"/>
        <v>-0.83573218587247666</v>
      </c>
      <c r="T14">
        <f t="shared" si="6"/>
        <v>0.89660396232324668</v>
      </c>
    </row>
    <row r="15" spans="2:22" x14ac:dyDescent="0.25">
      <c r="B15">
        <v>5.6576435454189803E-3</v>
      </c>
      <c r="C15">
        <v>0.17276296734809909</v>
      </c>
      <c r="D15">
        <v>8.9440476745367051E-2</v>
      </c>
      <c r="E15">
        <v>-0.48139920830726601</v>
      </c>
      <c r="F15">
        <v>-0.48554921150207497</v>
      </c>
      <c r="G15">
        <v>-1.6963471174240099</v>
      </c>
      <c r="H15" s="23">
        <v>5.9347761331263894E-3</v>
      </c>
      <c r="I15" s="23">
        <v>0.17749228304598175</v>
      </c>
      <c r="J15" s="23">
        <v>9.5618846428035434E-2</v>
      </c>
      <c r="K15" s="23">
        <v>-0.59606553627481251</v>
      </c>
      <c r="L15" s="23">
        <v>-0.23419289956062223</v>
      </c>
      <c r="M15" s="23">
        <v>-1.8168003737836591</v>
      </c>
      <c r="O15">
        <f t="shared" si="1"/>
        <v>5.4359374752530531E-3</v>
      </c>
      <c r="P15">
        <f t="shared" si="2"/>
        <v>0.16897951478979298</v>
      </c>
      <c r="Q15">
        <f t="shared" si="3"/>
        <v>8.4497780999232344E-2</v>
      </c>
      <c r="R15">
        <f t="shared" si="4"/>
        <v>-0.38966614593322879</v>
      </c>
      <c r="S15">
        <f t="shared" si="5"/>
        <v>-0.68663426105523717</v>
      </c>
      <c r="T15">
        <f t="shared" si="6"/>
        <v>-1.5999845123362906</v>
      </c>
    </row>
    <row r="16" spans="2:22" x14ac:dyDescent="0.25">
      <c r="B16">
        <v>1.9597527571022502E-3</v>
      </c>
      <c r="C16">
        <v>1.6047963500023368E-2</v>
      </c>
      <c r="D16">
        <v>8.9387370347976308E-2</v>
      </c>
      <c r="E16">
        <v>-0.110345743596554</v>
      </c>
      <c r="F16">
        <v>0.49668353796005199</v>
      </c>
      <c r="G16">
        <v>-0.96090674400329601</v>
      </c>
      <c r="H16" s="23">
        <v>1.6043554446392293E-3</v>
      </c>
      <c r="I16" s="23">
        <v>1.6824528189446804E-2</v>
      </c>
      <c r="J16" s="23">
        <v>8.9837806860052466E-2</v>
      </c>
      <c r="K16" s="23">
        <v>-0.15546388457569038</v>
      </c>
      <c r="L16" s="23">
        <v>0.62842417045121879</v>
      </c>
      <c r="M16" s="23">
        <v>-0.84730537549267337</v>
      </c>
      <c r="O16">
        <f t="shared" si="1"/>
        <v>2.2440706070726668E-3</v>
      </c>
      <c r="P16">
        <f t="shared" si="2"/>
        <v>1.5426711748484621E-2</v>
      </c>
      <c r="Q16">
        <f t="shared" si="3"/>
        <v>8.9027021138315385E-2</v>
      </c>
      <c r="R16">
        <f t="shared" si="4"/>
        <v>-7.4251230813244889E-2</v>
      </c>
      <c r="S16">
        <f t="shared" si="5"/>
        <v>0.39129103196711856</v>
      </c>
      <c r="T16">
        <f t="shared" si="6"/>
        <v>-1.0517878388117941</v>
      </c>
    </row>
    <row r="17" spans="2:20" x14ac:dyDescent="0.25">
      <c r="B17">
        <v>1.67317176237702E-3</v>
      </c>
      <c r="C17">
        <v>0.16960764229297612</v>
      </c>
      <c r="D17">
        <v>5.4553549885749189E-2</v>
      </c>
      <c r="E17">
        <v>-0.55695748329162598</v>
      </c>
      <c r="F17">
        <v>1.32389569282532</v>
      </c>
      <c r="G17">
        <v>-0.76391577720642101</v>
      </c>
      <c r="H17" s="23">
        <v>2.2802192361894734E-3</v>
      </c>
      <c r="I17" s="23">
        <v>0.17240240472127491</v>
      </c>
      <c r="J17" s="23">
        <v>5.3940492255324213E-2</v>
      </c>
      <c r="K17" s="23">
        <v>-0.7271109972926213</v>
      </c>
      <c r="L17" s="23">
        <v>1.3284118080573626</v>
      </c>
      <c r="M17" s="23">
        <v>-0.89561045498352509</v>
      </c>
      <c r="O17">
        <f t="shared" si="1"/>
        <v>1.1875337833270572E-3</v>
      </c>
      <c r="P17">
        <f t="shared" si="2"/>
        <v>0.16737183235033709</v>
      </c>
      <c r="Q17">
        <f t="shared" si="3"/>
        <v>5.5043995990089169E-2</v>
      </c>
      <c r="R17">
        <f t="shared" si="4"/>
        <v>-0.4208346720908297</v>
      </c>
      <c r="S17">
        <f t="shared" si="5"/>
        <v>1.3202828006396861</v>
      </c>
      <c r="T17">
        <f t="shared" si="6"/>
        <v>-0.6585600349847377</v>
      </c>
    </row>
    <row r="18" spans="2:20" x14ac:dyDescent="0.25">
      <c r="B18">
        <v>2.5936241727322301E-3</v>
      </c>
      <c r="C18">
        <v>-4.9032121598720613E-2</v>
      </c>
      <c r="D18">
        <v>2.3136439621448505E-2</v>
      </c>
      <c r="E18">
        <v>-4.1746888309717199E-2</v>
      </c>
      <c r="F18">
        <v>-0.86065161228179898</v>
      </c>
      <c r="G18">
        <v>0.30409139394760099</v>
      </c>
      <c r="H18" s="23">
        <v>4.9372131269200361E-4</v>
      </c>
      <c r="I18" s="23">
        <v>-4.3488752042885076E-2</v>
      </c>
      <c r="J18" s="23">
        <v>2.2359451741048149E-2</v>
      </c>
      <c r="K18" s="23">
        <v>-5.7344336070324971E-2</v>
      </c>
      <c r="L18" s="23">
        <v>-0.74850663563563591</v>
      </c>
      <c r="M18" s="23">
        <v>0.30584487930840715</v>
      </c>
      <c r="O18">
        <f t="shared" si="1"/>
        <v>4.2735464607644115E-3</v>
      </c>
      <c r="P18">
        <f t="shared" si="2"/>
        <v>-5.3466817243389045E-2</v>
      </c>
      <c r="Q18">
        <f t="shared" si="3"/>
        <v>2.3758029925768791E-2</v>
      </c>
      <c r="R18">
        <f t="shared" si="4"/>
        <v>-2.926893010123098E-2</v>
      </c>
      <c r="S18">
        <f t="shared" si="5"/>
        <v>-0.95036759359872947</v>
      </c>
      <c r="T18">
        <f t="shared" si="6"/>
        <v>0.30268860565895606</v>
      </c>
    </row>
    <row r="19" spans="2:20" x14ac:dyDescent="0.25">
      <c r="B19">
        <v>3.0066542327404001E-2</v>
      </c>
      <c r="C19">
        <v>-0.1960352241992957</v>
      </c>
      <c r="D19">
        <v>0.12927154690027265</v>
      </c>
      <c r="E19">
        <v>-0.77978467941284202</v>
      </c>
      <c r="F19">
        <v>-0.16298925876617401</v>
      </c>
      <c r="G19">
        <v>1.66381180286407</v>
      </c>
      <c r="H19" s="23">
        <v>2.1446306889027829E-2</v>
      </c>
      <c r="I19" s="23">
        <v>-0.18984246126853493</v>
      </c>
      <c r="J19" s="23">
        <v>0.11404173297144221</v>
      </c>
      <c r="K19" s="23">
        <v>-0.96791074210642136</v>
      </c>
      <c r="L19" s="23">
        <v>-0.17007468351827618</v>
      </c>
      <c r="M19" s="23">
        <v>1.6141934823699975</v>
      </c>
      <c r="O19">
        <f t="shared" si="1"/>
        <v>3.6962730678104939E-2</v>
      </c>
      <c r="P19">
        <f t="shared" si="2"/>
        <v>-0.20098943454390431</v>
      </c>
      <c r="Q19">
        <f t="shared" si="3"/>
        <v>0.14145539804333701</v>
      </c>
      <c r="R19">
        <f t="shared" si="4"/>
        <v>-0.62928382925797854</v>
      </c>
      <c r="S19">
        <f t="shared" si="5"/>
        <v>-0.15732091896449227</v>
      </c>
      <c r="T19">
        <f t="shared" si="6"/>
        <v>1.7035064592593281</v>
      </c>
    </row>
    <row r="20" spans="2:20" x14ac:dyDescent="0.25">
      <c r="B20">
        <v>1.3228893512859899E-3</v>
      </c>
      <c r="C20">
        <v>0.1496044099330899</v>
      </c>
      <c r="D20">
        <v>-7.6152354888617976E-2</v>
      </c>
      <c r="E20">
        <v>-0.279466062784195</v>
      </c>
      <c r="F20">
        <v>0.80540740489959695</v>
      </c>
      <c r="G20">
        <v>-0.92264562845230103</v>
      </c>
      <c r="H20" s="23">
        <v>4.1725804697991462E-3</v>
      </c>
      <c r="I20" s="23">
        <v>0.12905105845710463</v>
      </c>
      <c r="J20" s="23">
        <v>-9.8898491159140775E-2</v>
      </c>
      <c r="K20" s="23">
        <v>-0.34576597671679044</v>
      </c>
      <c r="L20" s="23">
        <v>0.56733421562296704</v>
      </c>
      <c r="M20" s="23">
        <v>-0.87953333576736958</v>
      </c>
      <c r="O20">
        <f t="shared" si="1"/>
        <v>-9.5686354352453513E-4</v>
      </c>
      <c r="P20">
        <f t="shared" si="2"/>
        <v>0.16604709111387814</v>
      </c>
      <c r="Q20">
        <f t="shared" si="3"/>
        <v>-5.7955445872199737E-2</v>
      </c>
      <c r="R20">
        <f t="shared" si="4"/>
        <v>-0.22642613163811864</v>
      </c>
      <c r="S20">
        <f t="shared" si="5"/>
        <v>0.99586595632090091</v>
      </c>
      <c r="T20">
        <f t="shared" si="6"/>
        <v>-0.95713546260024618</v>
      </c>
    </row>
    <row r="21" spans="2:20" x14ac:dyDescent="0.25">
      <c r="B21">
        <v>-8.7352143600583098E-4</v>
      </c>
      <c r="C21">
        <v>-1.1852361112833051E-2</v>
      </c>
      <c r="D21">
        <v>0.13730413258075697</v>
      </c>
      <c r="E21">
        <v>-0.36319693922996499</v>
      </c>
      <c r="F21">
        <v>0.55491173267364502</v>
      </c>
      <c r="G21">
        <v>0.295467138290405</v>
      </c>
      <c r="H21" s="23">
        <v>-7.6137336367693707E-4</v>
      </c>
      <c r="I21" s="23">
        <v>-9.0935109736207161E-3</v>
      </c>
      <c r="J21" s="23">
        <v>0.13184150899893357</v>
      </c>
      <c r="K21" s="23">
        <v>-0.39122918751597247</v>
      </c>
      <c r="L21" s="23">
        <v>0.70388545803472713</v>
      </c>
      <c r="M21" s="23">
        <v>0.2265004770309334</v>
      </c>
      <c r="O21">
        <f t="shared" si="1"/>
        <v>-9.6323989386894616E-4</v>
      </c>
      <c r="P21">
        <f t="shared" si="2"/>
        <v>-1.4059441224202919E-2</v>
      </c>
      <c r="Q21">
        <f t="shared" si="3"/>
        <v>0.14167423144621569</v>
      </c>
      <c r="R21">
        <f t="shared" si="4"/>
        <v>-0.34077114060115898</v>
      </c>
      <c r="S21">
        <f t="shared" si="5"/>
        <v>0.43573275238477932</v>
      </c>
      <c r="T21">
        <f t="shared" si="6"/>
        <v>0.35064046729798226</v>
      </c>
    </row>
    <row r="22" spans="2:20" x14ac:dyDescent="0.25">
      <c r="B22">
        <v>-1.1769948527216899E-2</v>
      </c>
      <c r="C22">
        <v>4.8388502895832027E-2</v>
      </c>
      <c r="D22">
        <v>-0.20316620111465439</v>
      </c>
      <c r="E22">
        <v>-0.68180733919143699</v>
      </c>
      <c r="F22">
        <v>-1.2353100776672401</v>
      </c>
      <c r="G22">
        <v>-0.53501510620117199</v>
      </c>
      <c r="H22" s="23">
        <v>-9.5966179497232497E-3</v>
      </c>
      <c r="I22" s="23">
        <v>4.5430593779669293E-2</v>
      </c>
      <c r="J22" s="23">
        <v>-0.20195769682955467</v>
      </c>
      <c r="K22" s="23">
        <v>-0.9025094686345162</v>
      </c>
      <c r="L22" s="23">
        <v>-1.2557204408761056</v>
      </c>
      <c r="M22" s="23">
        <v>-0.51537623674765842</v>
      </c>
      <c r="O22">
        <f t="shared" si="1"/>
        <v>-1.350861298921182E-2</v>
      </c>
      <c r="P22">
        <f t="shared" si="2"/>
        <v>5.0754830188762215E-2</v>
      </c>
      <c r="Q22">
        <f t="shared" si="3"/>
        <v>-0.20413300454273417</v>
      </c>
      <c r="R22">
        <f t="shared" si="4"/>
        <v>-0.50524563563697367</v>
      </c>
      <c r="S22">
        <f t="shared" si="5"/>
        <v>-1.2189817871001478</v>
      </c>
      <c r="T22">
        <f t="shared" si="6"/>
        <v>-0.55072620176398279</v>
      </c>
    </row>
    <row r="23" spans="2:20" x14ac:dyDescent="0.25">
      <c r="B23">
        <v>-8.1258090212941204E-3</v>
      </c>
      <c r="C23">
        <v>2.480585664510726E-2</v>
      </c>
      <c r="D23">
        <v>0.22677360892295889</v>
      </c>
      <c r="E23">
        <v>-0.91120928525924705</v>
      </c>
      <c r="F23">
        <v>1.2995035648345901</v>
      </c>
      <c r="G23">
        <v>-0.469389498233795</v>
      </c>
      <c r="H23" s="23">
        <v>-1.1612856862799274E-2</v>
      </c>
      <c r="I23" s="23">
        <v>2.8447603107297957E-2</v>
      </c>
      <c r="J23" s="23">
        <v>0.21340176862119706</v>
      </c>
      <c r="K23" s="23">
        <v>-1.0226344514457371</v>
      </c>
      <c r="L23" s="23">
        <v>1.2959786182729494</v>
      </c>
      <c r="M23" s="23">
        <v>-0.46920753274957339</v>
      </c>
      <c r="O23">
        <f t="shared" si="1"/>
        <v>-5.3361707480899974E-3</v>
      </c>
      <c r="P23">
        <f t="shared" si="2"/>
        <v>2.1892459475354703E-2</v>
      </c>
      <c r="Q23">
        <f t="shared" si="3"/>
        <v>0.23747108116436835</v>
      </c>
      <c r="R23">
        <f t="shared" si="4"/>
        <v>-0.82206915231005506</v>
      </c>
      <c r="S23">
        <f t="shared" si="5"/>
        <v>1.3023235220839027</v>
      </c>
      <c r="T23">
        <f t="shared" si="6"/>
        <v>-0.46953507062117228</v>
      </c>
    </row>
    <row r="24" spans="2:20" x14ac:dyDescent="0.25">
      <c r="B24">
        <v>8.0546755343675596E-3</v>
      </c>
      <c r="C24">
        <v>-2.5356225371360813E-2</v>
      </c>
      <c r="D24">
        <v>0.14683502078056299</v>
      </c>
      <c r="E24">
        <v>-0.44749337434768699</v>
      </c>
      <c r="F24">
        <v>0.82281804084777799</v>
      </c>
      <c r="G24">
        <v>0.33567589521408098</v>
      </c>
      <c r="H24" s="23">
        <v>5.406090172214168E-3</v>
      </c>
      <c r="I24" s="23">
        <v>-2.892986581482572E-2</v>
      </c>
      <c r="J24" s="23">
        <v>0.14155580014376501</v>
      </c>
      <c r="K24" s="23">
        <v>-0.49709769918352043</v>
      </c>
      <c r="L24" s="23">
        <v>0.87309374195084444</v>
      </c>
      <c r="M24" s="23">
        <v>0.36065121117754234</v>
      </c>
      <c r="O24">
        <f t="shared" si="1"/>
        <v>1.0173543824090274E-2</v>
      </c>
      <c r="P24">
        <f t="shared" si="2"/>
        <v>-2.2497313016588888E-2</v>
      </c>
      <c r="Q24">
        <f t="shared" si="3"/>
        <v>0.15105839729000137</v>
      </c>
      <c r="R24">
        <f t="shared" si="4"/>
        <v>-0.40780991447902026</v>
      </c>
      <c r="S24">
        <f t="shared" si="5"/>
        <v>0.7825974799653248</v>
      </c>
      <c r="T24">
        <f t="shared" si="6"/>
        <v>0.31569564244331189</v>
      </c>
    </row>
    <row r="25" spans="2:20" x14ac:dyDescent="0.25">
      <c r="B25">
        <v>-1.2392895296216E-3</v>
      </c>
      <c r="C25">
        <v>-7.8764544129371977E-2</v>
      </c>
      <c r="D25">
        <v>-0.17832563519477909</v>
      </c>
      <c r="E25">
        <v>-0.389381974935532</v>
      </c>
      <c r="F25">
        <v>-1.47788345813751</v>
      </c>
      <c r="G25">
        <v>0.95994305610656705</v>
      </c>
      <c r="H25" s="23">
        <v>1.8079779918805435E-3</v>
      </c>
      <c r="I25" s="23">
        <v>-8.1155440920468447E-2</v>
      </c>
      <c r="J25" s="23">
        <v>-0.16868937797994563</v>
      </c>
      <c r="K25" s="23">
        <v>-0.50155057195473485</v>
      </c>
      <c r="L25" s="23">
        <v>-1.5152332448591543</v>
      </c>
      <c r="M25" s="23">
        <v>0.99087432047586355</v>
      </c>
      <c r="O25">
        <f t="shared" si="1"/>
        <v>-3.6771035468233151E-3</v>
      </c>
      <c r="P25">
        <f t="shared" si="2"/>
        <v>-7.6851826696494804E-2</v>
      </c>
      <c r="Q25">
        <f t="shared" si="3"/>
        <v>-0.18603464096664588</v>
      </c>
      <c r="R25">
        <f t="shared" si="4"/>
        <v>-0.2996470973201697</v>
      </c>
      <c r="S25">
        <f t="shared" si="5"/>
        <v>-1.4480036287601945</v>
      </c>
      <c r="T25">
        <f t="shared" si="6"/>
        <v>0.93519804461112988</v>
      </c>
    </row>
    <row r="26" spans="2:20" x14ac:dyDescent="0.25">
      <c r="B26">
        <v>1.3011932373046899E-2</v>
      </c>
      <c r="C26">
        <v>0.17962860584259044</v>
      </c>
      <c r="D26">
        <v>0.17774561345577244</v>
      </c>
      <c r="E26">
        <v>-1.1463577747345</v>
      </c>
      <c r="F26">
        <v>0.72932124137878396</v>
      </c>
      <c r="G26">
        <v>-0.74414980411529497</v>
      </c>
      <c r="H26" s="23">
        <v>2.2705609875568411E-2</v>
      </c>
      <c r="I26" s="23">
        <v>0.16561415397053117</v>
      </c>
      <c r="J26" s="23">
        <v>0.17981982433536556</v>
      </c>
      <c r="K26" s="23">
        <v>-1.3741934696365954</v>
      </c>
      <c r="L26" s="23">
        <v>0.83378082609271775</v>
      </c>
      <c r="M26" s="23">
        <v>-0.59533153171748276</v>
      </c>
      <c r="O26">
        <f t="shared" si="1"/>
        <v>5.2569903710296892E-3</v>
      </c>
      <c r="P26">
        <f t="shared" si="2"/>
        <v>0.19084016734023784</v>
      </c>
      <c r="Q26">
        <f t="shared" si="3"/>
        <v>0.17608624475209794</v>
      </c>
      <c r="R26">
        <f t="shared" si="4"/>
        <v>-0.96408921881282361</v>
      </c>
      <c r="S26">
        <f t="shared" si="5"/>
        <v>0.64575357360763697</v>
      </c>
      <c r="T26">
        <f t="shared" si="6"/>
        <v>-0.86320442203354475</v>
      </c>
    </row>
    <row r="27" spans="2:20" x14ac:dyDescent="0.25">
      <c r="B27">
        <v>-4.1884777601808299E-4</v>
      </c>
      <c r="C27">
        <v>4.8614442646503477E-2</v>
      </c>
      <c r="D27">
        <v>4.8307788670063391E-2</v>
      </c>
      <c r="E27">
        <v>-9.7034186124801594E-2</v>
      </c>
      <c r="F27">
        <v>0.60689675807952903</v>
      </c>
      <c r="G27">
        <v>-0.63970345258712802</v>
      </c>
      <c r="H27" s="23">
        <v>1.5129933870444169E-4</v>
      </c>
      <c r="I27" s="23">
        <v>4.7752013762346432E-2</v>
      </c>
      <c r="J27" s="23">
        <v>4.7767972830739421E-2</v>
      </c>
      <c r="K27" s="23">
        <v>-5.6010015033827215E-2</v>
      </c>
      <c r="L27" s="23">
        <v>0.660555031249349</v>
      </c>
      <c r="M27" s="23">
        <v>-0.66017465805895592</v>
      </c>
      <c r="O27">
        <f t="shared" si="1"/>
        <v>-8.7496546779610275E-4</v>
      </c>
      <c r="P27">
        <f t="shared" si="2"/>
        <v>4.9304385753829109E-2</v>
      </c>
      <c r="Q27">
        <f t="shared" si="3"/>
        <v>4.8739641341522567E-2</v>
      </c>
      <c r="R27">
        <f t="shared" si="4"/>
        <v>-0.1298535229975811</v>
      </c>
      <c r="S27">
        <f t="shared" si="5"/>
        <v>0.56397013954367303</v>
      </c>
      <c r="T27">
        <f t="shared" si="6"/>
        <v>-0.62332648820966574</v>
      </c>
    </row>
    <row r="28" spans="2:20" x14ac:dyDescent="0.25">
      <c r="B28">
        <v>-1.1704247444868101E-3</v>
      </c>
      <c r="C28">
        <v>-5.3023360669612919E-2</v>
      </c>
      <c r="D28">
        <v>-9.6837731003761029E-2</v>
      </c>
      <c r="E28">
        <v>-0.23891685903072399</v>
      </c>
      <c r="F28">
        <v>-0.67229318618774403</v>
      </c>
      <c r="G28">
        <v>-6.1973929405212402E-2</v>
      </c>
      <c r="H28" s="23">
        <v>7.1737961951113757E-4</v>
      </c>
      <c r="I28" s="23">
        <v>-5.8263090714717143E-2</v>
      </c>
      <c r="J28" s="23">
        <v>-8.3610778123364052E-2</v>
      </c>
      <c r="K28" s="23">
        <v>-0.25847111287188917</v>
      </c>
      <c r="L28" s="23">
        <v>-0.6694379152722375</v>
      </c>
      <c r="M28" s="23">
        <v>3.8804865577717784E-2</v>
      </c>
      <c r="O28">
        <f t="shared" si="1"/>
        <v>-2.6806682356851682E-3</v>
      </c>
      <c r="P28">
        <f t="shared" si="2"/>
        <v>-4.8831576633529543E-2</v>
      </c>
      <c r="Q28">
        <f t="shared" si="3"/>
        <v>-0.10741929330807862</v>
      </c>
      <c r="R28">
        <f t="shared" si="4"/>
        <v>-0.22327345595779183</v>
      </c>
      <c r="S28">
        <f t="shared" si="5"/>
        <v>-0.67457740292014923</v>
      </c>
      <c r="T28">
        <f t="shared" si="6"/>
        <v>-0.14259696539155656</v>
      </c>
    </row>
    <row r="29" spans="2:20" x14ac:dyDescent="0.25">
      <c r="B29">
        <v>5.2949553355574599E-3</v>
      </c>
      <c r="C29">
        <v>0.1002950870990762</v>
      </c>
      <c r="D29">
        <v>0.14873841881752001</v>
      </c>
      <c r="E29">
        <v>-0.66750568151473999</v>
      </c>
      <c r="F29">
        <v>0.47792124748230003</v>
      </c>
      <c r="G29">
        <v>-1.06160187721252</v>
      </c>
      <c r="H29" s="23">
        <v>3.4636901098135994E-3</v>
      </c>
      <c r="I29" s="23">
        <v>0.11691034281037599</v>
      </c>
      <c r="J29" s="23">
        <v>0.15488100278132594</v>
      </c>
      <c r="K29" s="23">
        <v>-0.93052126920242029</v>
      </c>
      <c r="L29" s="23">
        <v>0.63417200876405899</v>
      </c>
      <c r="M29" s="23">
        <v>-1.0406466667367222</v>
      </c>
      <c r="O29">
        <f t="shared" si="1"/>
        <v>6.7599675161525482E-3</v>
      </c>
      <c r="P29">
        <f t="shared" si="2"/>
        <v>8.7002882530036366E-2</v>
      </c>
      <c r="Q29">
        <f t="shared" si="3"/>
        <v>0.14382435164647525</v>
      </c>
      <c r="R29">
        <f t="shared" si="4"/>
        <v>-0.45709321136459574</v>
      </c>
      <c r="S29">
        <f t="shared" si="5"/>
        <v>0.35292063845689281</v>
      </c>
      <c r="T29">
        <f t="shared" si="6"/>
        <v>-1.0783660455931581</v>
      </c>
    </row>
    <row r="30" spans="2:20" x14ac:dyDescent="0.25">
      <c r="B30">
        <v>4.3246033601462798E-3</v>
      </c>
      <c r="C30">
        <v>-7.4664700627326969E-2</v>
      </c>
      <c r="D30">
        <v>-8.2634314894678568E-4</v>
      </c>
      <c r="E30">
        <v>-0.140251100063324</v>
      </c>
      <c r="F30">
        <v>0.45143038034439098</v>
      </c>
      <c r="G30">
        <v>0.313724786043167</v>
      </c>
      <c r="H30" s="23">
        <v>3.7712418103830756E-3</v>
      </c>
      <c r="I30" s="23">
        <v>-9.3430185620573286E-2</v>
      </c>
      <c r="J30" s="23">
        <v>-1.5690090805410836E-2</v>
      </c>
      <c r="K30" s="23">
        <v>-0.25350495671790924</v>
      </c>
      <c r="L30" s="23">
        <v>0.27751643789209451</v>
      </c>
      <c r="M30" s="23">
        <v>0.47080719603357685</v>
      </c>
      <c r="O30">
        <f t="shared" si="1"/>
        <v>4.7672925999568431E-3</v>
      </c>
      <c r="P30">
        <f t="shared" si="2"/>
        <v>-5.9652312632729916E-2</v>
      </c>
      <c r="Q30">
        <f t="shared" si="3"/>
        <v>1.1064654976224456E-2</v>
      </c>
      <c r="R30">
        <f t="shared" si="4"/>
        <v>-4.9648014739655813E-2</v>
      </c>
      <c r="S30">
        <f t="shared" si="5"/>
        <v>0.59056153430622815</v>
      </c>
      <c r="T30">
        <f t="shared" si="6"/>
        <v>0.18805885805083913</v>
      </c>
    </row>
    <row r="31" spans="2:20" x14ac:dyDescent="0.25">
      <c r="B31">
        <v>1.8214078154414901E-3</v>
      </c>
      <c r="C31">
        <v>8.5241996645927215E-2</v>
      </c>
      <c r="D31">
        <v>6.4217582345009017E-2</v>
      </c>
      <c r="E31">
        <v>-0.18496520817279799</v>
      </c>
      <c r="F31">
        <v>0.541345775127411</v>
      </c>
      <c r="G31">
        <v>-1.33990967273712</v>
      </c>
      <c r="H31" s="23">
        <v>2.2810048732125284E-3</v>
      </c>
      <c r="I31" s="23">
        <v>7.7329411490496561E-2</v>
      </c>
      <c r="J31" s="23">
        <v>6.3922272057931037E-2</v>
      </c>
      <c r="K31" s="23">
        <v>-0.17420118387655423</v>
      </c>
      <c r="L31" s="23">
        <v>0.63643739234419583</v>
      </c>
      <c r="M31" s="23">
        <v>-1.3125384144497516</v>
      </c>
      <c r="O31">
        <f t="shared" si="1"/>
        <v>1.4537301692246593E-3</v>
      </c>
      <c r="P31">
        <f t="shared" si="2"/>
        <v>9.1572064770271744E-2</v>
      </c>
      <c r="Q31">
        <f t="shared" si="3"/>
        <v>6.4453830574671397E-2</v>
      </c>
      <c r="R31">
        <f t="shared" si="4"/>
        <v>-0.19357642760979299</v>
      </c>
      <c r="S31">
        <f t="shared" si="5"/>
        <v>0.46527248135398314</v>
      </c>
      <c r="T31">
        <f t="shared" si="6"/>
        <v>-1.3618066793670147</v>
      </c>
    </row>
    <row r="32" spans="2:20" x14ac:dyDescent="0.25">
      <c r="B32">
        <v>-3.3102363813668498E-3</v>
      </c>
      <c r="C32">
        <v>-9.8247682675719691E-3</v>
      </c>
      <c r="D32">
        <v>-5.8335820399224844E-2</v>
      </c>
      <c r="E32">
        <v>-0.13851435482502</v>
      </c>
      <c r="F32">
        <v>0.50596565008163497</v>
      </c>
      <c r="G32">
        <v>4.1465051472187001E-2</v>
      </c>
      <c r="H32" s="23">
        <v>-1.4186553097409785E-3</v>
      </c>
      <c r="I32" s="23">
        <v>-3.8432120854730645E-4</v>
      </c>
      <c r="J32" s="23">
        <v>-9.365399877501264E-2</v>
      </c>
      <c r="K32" s="23">
        <v>-0.27023225586952893</v>
      </c>
      <c r="L32" s="23">
        <v>0.207633264808573</v>
      </c>
      <c r="M32" s="23">
        <v>3.6939033485137575E-3</v>
      </c>
      <c r="O32">
        <f t="shared" si="1"/>
        <v>-4.8235012386675467E-3</v>
      </c>
      <c r="P32">
        <f t="shared" si="2"/>
        <v>-1.7377125914791701E-2</v>
      </c>
      <c r="Q32">
        <f t="shared" si="3"/>
        <v>-3.0081277698594606E-2</v>
      </c>
      <c r="R32">
        <f t="shared" si="4"/>
        <v>-3.3140033989412856E-2</v>
      </c>
      <c r="S32">
        <f t="shared" si="5"/>
        <v>0.74463155830008454</v>
      </c>
      <c r="T32">
        <f t="shared" si="6"/>
        <v>7.1681969971125595E-2</v>
      </c>
    </row>
    <row r="33" spans="2:20" x14ac:dyDescent="0.25">
      <c r="B33">
        <v>3.8138499949127401E-3</v>
      </c>
      <c r="C33">
        <v>-8.9558945968746684E-3</v>
      </c>
      <c r="D33">
        <v>6.6326448172330826E-2</v>
      </c>
      <c r="E33">
        <v>-3.0066302046179799E-2</v>
      </c>
      <c r="F33">
        <v>-0.46598353981971702</v>
      </c>
      <c r="G33">
        <v>2.87609733641148E-2</v>
      </c>
      <c r="H33" s="23">
        <v>3.5745327670415358E-3</v>
      </c>
      <c r="I33" s="23">
        <v>-1.0661574940039138E-3</v>
      </c>
      <c r="J33" s="23">
        <v>0.10149525722212582</v>
      </c>
      <c r="K33" s="23">
        <v>-0.22469559138357981</v>
      </c>
      <c r="L33" s="23">
        <v>-0.16086667602763052</v>
      </c>
      <c r="M33" s="23">
        <v>7.4314791276265104E-3</v>
      </c>
      <c r="O33">
        <f t="shared" si="1"/>
        <v>4.0053037772097037E-3</v>
      </c>
      <c r="P33">
        <f t="shared" si="2"/>
        <v>-1.5267684279171273E-2</v>
      </c>
      <c r="Q33">
        <f t="shared" si="3"/>
        <v>3.8191400932494832E-2</v>
      </c>
      <c r="R33">
        <f t="shared" si="4"/>
        <v>0.12563712942374022</v>
      </c>
      <c r="S33">
        <f t="shared" si="5"/>
        <v>-0.71007703085338614</v>
      </c>
      <c r="T33">
        <f t="shared" si="6"/>
        <v>4.5824568753305428E-2</v>
      </c>
    </row>
    <row r="34" spans="2:20" x14ac:dyDescent="0.25">
      <c r="B34">
        <v>-2.8819218277931203E-4</v>
      </c>
      <c r="C34">
        <v>-0.16862541913986212</v>
      </c>
      <c r="D34">
        <v>9.6877405047416862E-2</v>
      </c>
      <c r="E34">
        <v>-0.59649485349655196</v>
      </c>
      <c r="F34">
        <v>0.69457828998565696</v>
      </c>
      <c r="G34">
        <v>2.1627001762390101</v>
      </c>
      <c r="H34" s="23">
        <v>-5.2183415461642402E-3</v>
      </c>
      <c r="I34" s="23">
        <v>-0.14857608031073474</v>
      </c>
      <c r="J34" s="23">
        <v>9.5439285776816138E-2</v>
      </c>
      <c r="K34" s="23">
        <v>-0.68863289307279918</v>
      </c>
      <c r="L34" s="23">
        <v>0.75996745744004768</v>
      </c>
      <c r="M34" s="23">
        <v>2.0653934241308147</v>
      </c>
      <c r="O34">
        <f t="shared" si="1"/>
        <v>3.6559273079286303E-3</v>
      </c>
      <c r="P34">
        <f t="shared" si="2"/>
        <v>-0.18466489020316401</v>
      </c>
      <c r="Q34">
        <f t="shared" si="3"/>
        <v>9.8027900463897436E-2</v>
      </c>
      <c r="R34">
        <f t="shared" si="4"/>
        <v>-0.52278442183555418</v>
      </c>
      <c r="S34">
        <f t="shared" si="5"/>
        <v>0.64226695602214434</v>
      </c>
      <c r="T34">
        <f t="shared" si="6"/>
        <v>2.2405455779255665</v>
      </c>
    </row>
    <row r="35" spans="2:20" x14ac:dyDescent="0.25">
      <c r="B35">
        <v>4.0220627561211603E-3</v>
      </c>
      <c r="C35">
        <v>-4.8670811653137261E-2</v>
      </c>
      <c r="D35">
        <v>6.9585041999816882E-2</v>
      </c>
      <c r="E35">
        <v>-0.13810922205448201</v>
      </c>
      <c r="F35">
        <v>0.84371614456176802</v>
      </c>
      <c r="G35">
        <v>0.228819519281387</v>
      </c>
      <c r="H35" s="23">
        <v>1.2101445876905668E-3</v>
      </c>
      <c r="I35" s="23">
        <v>-4.9887088715764631E-2</v>
      </c>
      <c r="J35" s="23">
        <v>6.087509468729474E-2</v>
      </c>
      <c r="K35" s="23">
        <v>-0.13946225290187084</v>
      </c>
      <c r="L35" s="23">
        <v>0.82332431759271418</v>
      </c>
      <c r="M35" s="23">
        <v>0.27169756998289812</v>
      </c>
      <c r="O35">
        <f t="shared" si="1"/>
        <v>6.2715972908656357E-3</v>
      </c>
      <c r="P35">
        <f t="shared" si="2"/>
        <v>-4.7697790003035367E-2</v>
      </c>
      <c r="Q35">
        <f t="shared" si="3"/>
        <v>7.6552999849834602E-2</v>
      </c>
      <c r="R35">
        <f t="shared" si="4"/>
        <v>-0.13702679737657095</v>
      </c>
      <c r="S35">
        <f t="shared" si="5"/>
        <v>0.86002960613701107</v>
      </c>
      <c r="T35">
        <f t="shared" si="6"/>
        <v>0.19451707872017809</v>
      </c>
    </row>
    <row r="36" spans="2:20" x14ac:dyDescent="0.25">
      <c r="B36">
        <v>4.0480811148881904E-3</v>
      </c>
      <c r="C36">
        <v>8.1926136910915243E-2</v>
      </c>
      <c r="D36">
        <v>-3.7596840262413014E-2</v>
      </c>
      <c r="E36">
        <v>-8.3123356103897095E-2</v>
      </c>
      <c r="F36">
        <v>-0.26290214061737099</v>
      </c>
      <c r="G36">
        <v>-0.36952835321426403</v>
      </c>
      <c r="H36" s="23">
        <v>3.7306506501240265E-3</v>
      </c>
      <c r="I36" s="23">
        <v>9.4340110463344423E-2</v>
      </c>
      <c r="J36" s="23">
        <v>-4.9267898867236433E-2</v>
      </c>
      <c r="K36" s="23">
        <v>-9.2083319617969991E-2</v>
      </c>
      <c r="L36" s="23">
        <v>-0.34732547827112586</v>
      </c>
      <c r="M36" s="23">
        <v>-0.47581799619977155</v>
      </c>
      <c r="O36">
        <f t="shared" si="1"/>
        <v>4.3020254866995211E-3</v>
      </c>
      <c r="P36">
        <f t="shared" si="2"/>
        <v>7.1994958068971895E-2</v>
      </c>
      <c r="Q36">
        <f t="shared" si="3"/>
        <v>-2.8259993378554279E-2</v>
      </c>
      <c r="R36">
        <f t="shared" si="4"/>
        <v>-7.5955385292638775E-2</v>
      </c>
      <c r="S36">
        <f t="shared" si="5"/>
        <v>-0.19536347049436709</v>
      </c>
      <c r="T36">
        <f t="shared" si="6"/>
        <v>-0.28449663882585802</v>
      </c>
    </row>
    <row r="37" spans="2:20" x14ac:dyDescent="0.25">
      <c r="B37">
        <v>-2.3071035742759701E-2</v>
      </c>
      <c r="C37">
        <v>-0.10596835374832156</v>
      </c>
      <c r="D37">
        <v>-0.22721113681793151</v>
      </c>
      <c r="E37">
        <v>-1.1593600511550901</v>
      </c>
      <c r="F37">
        <v>-1.6655416488647501</v>
      </c>
      <c r="G37">
        <v>0.71028804779052701</v>
      </c>
      <c r="H37" s="23">
        <v>-1.6841198429710529E-2</v>
      </c>
      <c r="I37" s="23">
        <v>-0.12509283921191863</v>
      </c>
      <c r="J37" s="23">
        <v>-0.20333983507122846</v>
      </c>
      <c r="K37" s="23">
        <v>-1.2865180283604107</v>
      </c>
      <c r="L37" s="23">
        <v>-1.6026816442059901</v>
      </c>
      <c r="M37" s="23">
        <v>0.79438911347594421</v>
      </c>
      <c r="O37">
        <f t="shared" si="1"/>
        <v>-2.805490559319904E-2</v>
      </c>
      <c r="P37">
        <f t="shared" si="2"/>
        <v>-9.0668765377443894E-2</v>
      </c>
      <c r="Q37">
        <f t="shared" si="3"/>
        <v>-0.24630817821529394</v>
      </c>
      <c r="R37">
        <f t="shared" si="4"/>
        <v>-1.0576336693908337</v>
      </c>
      <c r="S37">
        <f t="shared" si="5"/>
        <v>-1.715829652591758</v>
      </c>
      <c r="T37">
        <f t="shared" si="6"/>
        <v>0.6430071952421933</v>
      </c>
    </row>
    <row r="38" spans="2:20" x14ac:dyDescent="0.25">
      <c r="B38">
        <v>2.0447487477213101E-3</v>
      </c>
      <c r="C38">
        <v>3.4675893932580408E-3</v>
      </c>
      <c r="D38">
        <v>-1.7182121560908849E-2</v>
      </c>
      <c r="E38">
        <v>-4.4312290847301497E-2</v>
      </c>
      <c r="F38">
        <v>0.20662721991538999</v>
      </c>
      <c r="G38">
        <v>0.34084922075271601</v>
      </c>
      <c r="H38" s="23">
        <v>-2.0555649892661384E-3</v>
      </c>
      <c r="I38" s="23">
        <v>3.0607463372937075E-2</v>
      </c>
      <c r="J38" s="23">
        <v>-3.0974201399159591E-2</v>
      </c>
      <c r="K38" s="23">
        <v>-3.8948720429921008E-2</v>
      </c>
      <c r="L38" s="23">
        <v>0.11111342959492032</v>
      </c>
      <c r="M38" s="23">
        <v>0.1130576324582592</v>
      </c>
      <c r="O38">
        <f t="shared" si="1"/>
        <v>5.3249997373112689E-3</v>
      </c>
      <c r="P38">
        <f t="shared" si="2"/>
        <v>-1.8244309790485188E-2</v>
      </c>
      <c r="Q38">
        <f t="shared" si="3"/>
        <v>-6.1484576903082545E-3</v>
      </c>
      <c r="R38">
        <f t="shared" si="4"/>
        <v>-4.860314718120589E-2</v>
      </c>
      <c r="S38">
        <f t="shared" si="5"/>
        <v>0.2830382521717657</v>
      </c>
      <c r="T38">
        <f t="shared" si="6"/>
        <v>0.52308249138828145</v>
      </c>
    </row>
    <row r="39" spans="2:20" x14ac:dyDescent="0.25">
      <c r="B39">
        <v>9.2119863256812096E-4</v>
      </c>
      <c r="C39">
        <v>1.6157464738935229E-2</v>
      </c>
      <c r="D39">
        <v>-5.0630841255187964E-2</v>
      </c>
      <c r="E39">
        <v>-5.8329094201326398E-2</v>
      </c>
      <c r="F39">
        <v>-0.317890405654907</v>
      </c>
      <c r="G39">
        <v>0.108785018324852</v>
      </c>
      <c r="H39" s="23">
        <v>1.0223965103537565E-3</v>
      </c>
      <c r="I39" s="23">
        <v>2.4055591772901602E-2</v>
      </c>
      <c r="J39" s="23">
        <v>-5.3705103725807453E-2</v>
      </c>
      <c r="K39" s="23">
        <v>-0.10058831159438972</v>
      </c>
      <c r="L39" s="23">
        <v>-0.37388113082179791</v>
      </c>
      <c r="M39" s="23">
        <v>-6.7615693233590976E-3</v>
      </c>
      <c r="O39">
        <f t="shared" si="1"/>
        <v>8.4024033033961256E-4</v>
      </c>
      <c r="P39">
        <f t="shared" si="2"/>
        <v>9.83896311176213E-3</v>
      </c>
      <c r="Q39">
        <f t="shared" si="3"/>
        <v>-4.8171431278692375E-2</v>
      </c>
      <c r="R39">
        <f t="shared" si="4"/>
        <v>-2.4521720286875742E-2</v>
      </c>
      <c r="S39">
        <f t="shared" si="5"/>
        <v>-0.27309782552139428</v>
      </c>
      <c r="T39">
        <f t="shared" si="6"/>
        <v>0.20122228844342088</v>
      </c>
    </row>
    <row r="40" spans="2:20" x14ac:dyDescent="0.25">
      <c r="B40">
        <v>-1.47967482917011E-3</v>
      </c>
      <c r="C40">
        <v>4.5280347466468848E-2</v>
      </c>
      <c r="D40">
        <v>2.6666867956519166E-2</v>
      </c>
      <c r="E40">
        <v>-4.8165880143642398E-2</v>
      </c>
      <c r="F40">
        <v>-2.6211343705654099E-2</v>
      </c>
      <c r="G40">
        <v>-0.78379583358764604</v>
      </c>
      <c r="H40" s="23">
        <v>-7.9244509453941299E-4</v>
      </c>
      <c r="I40" s="23">
        <v>4.1977292915701431E-2</v>
      </c>
      <c r="J40" s="23">
        <v>2.8388258756785342E-2</v>
      </c>
      <c r="K40" s="23">
        <v>-2.8232273354866954E-2</v>
      </c>
      <c r="L40" s="23">
        <v>0.10110794796128919</v>
      </c>
      <c r="M40" s="23">
        <v>-0.77937559051445993</v>
      </c>
      <c r="O40">
        <f t="shared" si="1"/>
        <v>-2.0294586168746677E-3</v>
      </c>
      <c r="P40">
        <f t="shared" si="2"/>
        <v>4.7922791107082779E-2</v>
      </c>
      <c r="Q40">
        <f t="shared" si="3"/>
        <v>2.5289755316306225E-2</v>
      </c>
      <c r="R40">
        <f t="shared" si="4"/>
        <v>-6.411276557466275E-2</v>
      </c>
      <c r="S40">
        <f t="shared" si="5"/>
        <v>-0.12806677703920871</v>
      </c>
      <c r="T40">
        <f t="shared" si="6"/>
        <v>-0.78733202804619495</v>
      </c>
    </row>
    <row r="41" spans="2:20" x14ac:dyDescent="0.25">
      <c r="B41">
        <v>2.92359739542007E-2</v>
      </c>
      <c r="C41">
        <v>-4.2003208994865412E-2</v>
      </c>
      <c r="D41">
        <v>0.28241620004177093</v>
      </c>
      <c r="E41">
        <v>-1.3672847747802701</v>
      </c>
      <c r="F41">
        <v>0.75280958414077803</v>
      </c>
      <c r="G41">
        <v>0.313927292823792</v>
      </c>
      <c r="H41" s="23">
        <v>2.0212819364791815E-2</v>
      </c>
      <c r="I41" s="23">
        <v>-4.5804523233588995E-2</v>
      </c>
      <c r="J41" s="23">
        <v>0.26340781531813756</v>
      </c>
      <c r="K41" s="23">
        <v>-1.4605540793928036</v>
      </c>
      <c r="L41" s="23">
        <v>0.69552693635837171</v>
      </c>
      <c r="M41" s="23">
        <v>0.31330419662893449</v>
      </c>
      <c r="O41">
        <f t="shared" si="1"/>
        <v>3.6454497625727805E-2</v>
      </c>
      <c r="P41">
        <f t="shared" si="2"/>
        <v>-3.8962157603886549E-2</v>
      </c>
      <c r="Q41">
        <f t="shared" si="3"/>
        <v>0.29762290782067763</v>
      </c>
      <c r="R41">
        <f t="shared" si="4"/>
        <v>-1.2926693310902433</v>
      </c>
      <c r="S41">
        <f t="shared" si="5"/>
        <v>0.79863570236670312</v>
      </c>
      <c r="T41">
        <f t="shared" si="6"/>
        <v>0.31442576977967801</v>
      </c>
    </row>
    <row r="42" spans="2:20" x14ac:dyDescent="0.25">
      <c r="B42">
        <v>6.0794455930590597E-4</v>
      </c>
      <c r="C42">
        <v>1.5098237991333044E-2</v>
      </c>
      <c r="D42">
        <v>2.8885395154356931E-2</v>
      </c>
      <c r="E42">
        <v>-5.19313141703606E-2</v>
      </c>
      <c r="F42">
        <v>-0.227550074458122</v>
      </c>
      <c r="G42">
        <v>-0.74169278144836404</v>
      </c>
      <c r="H42" s="23">
        <v>-7.4687553042018172E-5</v>
      </c>
      <c r="I42" s="23">
        <v>1.293567200568127E-2</v>
      </c>
      <c r="J42" s="23">
        <v>2.8299104398477954E-2</v>
      </c>
      <c r="K42" s="23">
        <v>-2.105652375047784E-2</v>
      </c>
      <c r="L42" s="23">
        <v>-0.13089393865560239</v>
      </c>
      <c r="M42" s="23">
        <v>-0.64667436053389982</v>
      </c>
      <c r="O42">
        <f t="shared" si="1"/>
        <v>1.1540502491842453E-3</v>
      </c>
      <c r="P42">
        <f t="shared" si="2"/>
        <v>1.6828290779854461E-2</v>
      </c>
      <c r="Q42">
        <f t="shared" si="3"/>
        <v>2.9354427759060112E-2</v>
      </c>
      <c r="R42">
        <f t="shared" si="4"/>
        <v>-7.6631146506266817E-2</v>
      </c>
      <c r="S42">
        <f t="shared" si="5"/>
        <v>-0.30487498310013772</v>
      </c>
      <c r="T42">
        <f t="shared" si="6"/>
        <v>-0.81770751817993537</v>
      </c>
    </row>
    <row r="43" spans="2:20" x14ac:dyDescent="0.25">
      <c r="B43">
        <v>1.05409817770123E-2</v>
      </c>
      <c r="C43">
        <v>-0.15412576675415074</v>
      </c>
      <c r="D43">
        <v>2.3715965151786811E-2</v>
      </c>
      <c r="E43">
        <v>-0.46214094758033802</v>
      </c>
      <c r="F43">
        <v>0.52779358625411998</v>
      </c>
      <c r="G43">
        <v>1.1965517997741699</v>
      </c>
      <c r="H43" s="23">
        <v>4.8825385086893359E-3</v>
      </c>
      <c r="I43" s="23">
        <v>-0.17361895097149985</v>
      </c>
      <c r="J43" s="23">
        <v>2.0979482240517357E-2</v>
      </c>
      <c r="K43" s="23">
        <v>-0.62530864122328</v>
      </c>
      <c r="L43" s="23">
        <v>0.47755694774427104</v>
      </c>
      <c r="M43" s="23">
        <v>1.3519551531670546</v>
      </c>
      <c r="O43">
        <f t="shared" si="1"/>
        <v>1.506773639167067E-2</v>
      </c>
      <c r="P43">
        <f t="shared" si="2"/>
        <v>-0.13853121938027146</v>
      </c>
      <c r="Q43">
        <f t="shared" si="3"/>
        <v>2.5905151480802375E-2</v>
      </c>
      <c r="R43">
        <f t="shared" si="4"/>
        <v>-0.33160679266598447</v>
      </c>
      <c r="S43">
        <f t="shared" si="5"/>
        <v>0.56798289706199911</v>
      </c>
      <c r="T43">
        <f t="shared" si="6"/>
        <v>1.0722291170598621</v>
      </c>
    </row>
    <row r="44" spans="2:20" x14ac:dyDescent="0.25">
      <c r="B44">
        <v>-3.9675664156675304E-3</v>
      </c>
      <c r="C44">
        <v>0.18592015862464931</v>
      </c>
      <c r="D44">
        <v>0.1597622621059421</v>
      </c>
      <c r="E44">
        <v>-0.87976008653640703</v>
      </c>
      <c r="F44">
        <v>1.1610733270645099</v>
      </c>
      <c r="G44">
        <v>-1.7950013875961299</v>
      </c>
      <c r="H44" s="23">
        <v>-4.9555309838354685E-3</v>
      </c>
      <c r="I44" s="23">
        <v>0.15751261389438903</v>
      </c>
      <c r="J44" s="23">
        <v>0.15572429561298759</v>
      </c>
      <c r="K44" s="23">
        <v>-0.95586223958570549</v>
      </c>
      <c r="L44" s="23">
        <v>1.5008682134761164</v>
      </c>
      <c r="M44" s="23">
        <v>-1.5481462495306588</v>
      </c>
      <c r="O44">
        <f t="shared" si="1"/>
        <v>-3.1771947611331799E-3</v>
      </c>
      <c r="P44">
        <f t="shared" si="2"/>
        <v>0.20864619440885754</v>
      </c>
      <c r="Q44">
        <f t="shared" si="3"/>
        <v>0.16299263530030572</v>
      </c>
      <c r="R44">
        <f t="shared" si="4"/>
        <v>-0.81887836409696824</v>
      </c>
      <c r="S44">
        <f t="shared" si="5"/>
        <v>0.88923741793522471</v>
      </c>
      <c r="T44">
        <f t="shared" si="6"/>
        <v>-1.9924854980485067</v>
      </c>
    </row>
    <row r="45" spans="2:20" x14ac:dyDescent="0.25">
      <c r="B45">
        <v>-3.2952348701655899E-3</v>
      </c>
      <c r="C45">
        <v>4.5224753618240493E-2</v>
      </c>
      <c r="D45">
        <v>-3.975314408540729E-2</v>
      </c>
      <c r="E45">
        <v>-6.3384123146533994E-2</v>
      </c>
      <c r="F45">
        <v>-0.49019342660903897</v>
      </c>
      <c r="G45">
        <v>-1.07537841796875</v>
      </c>
      <c r="H45" s="23">
        <v>-1.9765840479459636E-3</v>
      </c>
      <c r="I45" s="23">
        <v>4.4152583557777271E-2</v>
      </c>
      <c r="J45" s="23">
        <v>-3.7263284885344215E-2</v>
      </c>
      <c r="K45" s="23">
        <v>-5.0140706006746992E-2</v>
      </c>
      <c r="L45" s="23">
        <v>-0.46846712585767292</v>
      </c>
      <c r="M45" s="23">
        <v>-1.1037705137502283</v>
      </c>
      <c r="O45">
        <f t="shared" si="1"/>
        <v>-4.350155527941291E-3</v>
      </c>
      <c r="P45">
        <f t="shared" si="2"/>
        <v>4.6082489666611069E-2</v>
      </c>
      <c r="Q45">
        <f t="shared" si="3"/>
        <v>-4.1745031445457749E-2</v>
      </c>
      <c r="R45">
        <f t="shared" si="4"/>
        <v>-7.3978856858363598E-2</v>
      </c>
      <c r="S45">
        <f t="shared" si="5"/>
        <v>-0.50757446721013177</v>
      </c>
      <c r="T45">
        <f t="shared" si="6"/>
        <v>-1.0526647413435675</v>
      </c>
    </row>
    <row r="46" spans="2:20" x14ac:dyDescent="0.25">
      <c r="B46">
        <v>5.8683929964899999E-3</v>
      </c>
      <c r="C46">
        <v>3.442031055688817E-2</v>
      </c>
      <c r="D46">
        <v>-0.12324651420116389</v>
      </c>
      <c r="E46">
        <v>-0.22302415966987599</v>
      </c>
      <c r="F46">
        <v>-1.34484195709229</v>
      </c>
      <c r="G46">
        <v>-0.84396576881408703</v>
      </c>
      <c r="H46" s="23">
        <v>5.2562979595367964E-3</v>
      </c>
      <c r="I46" s="23">
        <v>3.272235002793307E-2</v>
      </c>
      <c r="J46" s="23">
        <v>-0.11774461367960154</v>
      </c>
      <c r="K46" s="23">
        <v>-0.24569363006058004</v>
      </c>
      <c r="L46" s="23">
        <v>-1.4561222865674739</v>
      </c>
      <c r="M46" s="23">
        <v>-0.81986119135391111</v>
      </c>
      <c r="O46">
        <f t="shared" si="1"/>
        <v>6.3580690260525629E-3</v>
      </c>
      <c r="P46">
        <f t="shared" si="2"/>
        <v>3.5778678980052249E-2</v>
      </c>
      <c r="Q46">
        <f t="shared" si="3"/>
        <v>-0.12764803461841379</v>
      </c>
      <c r="R46">
        <f t="shared" si="4"/>
        <v>-0.20488858335731275</v>
      </c>
      <c r="S46">
        <f t="shared" si="5"/>
        <v>-1.255817693512143</v>
      </c>
      <c r="T46">
        <f t="shared" si="6"/>
        <v>-0.86324943078222771</v>
      </c>
    </row>
    <row r="47" spans="2:20" x14ac:dyDescent="0.25">
      <c r="B47">
        <v>-2.84721739590168E-2</v>
      </c>
      <c r="C47">
        <v>0.24718735218048088</v>
      </c>
      <c r="D47">
        <v>0.24951086610555628</v>
      </c>
      <c r="E47">
        <v>-1.72224581241608</v>
      </c>
      <c r="F47">
        <v>0.49334552884101901</v>
      </c>
      <c r="G47">
        <v>-0.76049625873565696</v>
      </c>
      <c r="H47" s="23">
        <v>-2.908352826424275E-2</v>
      </c>
      <c r="I47" s="23">
        <v>0.24063243961443609</v>
      </c>
      <c r="J47" s="23">
        <v>0.21387202937651076</v>
      </c>
      <c r="K47" s="23">
        <v>-2.0044879156858317</v>
      </c>
      <c r="L47" s="23">
        <v>0.24336208485562857</v>
      </c>
      <c r="M47" s="23">
        <v>-0.54632979908318702</v>
      </c>
      <c r="O47">
        <f t="shared" si="1"/>
        <v>-2.7983090514836041E-2</v>
      </c>
      <c r="P47">
        <f t="shared" si="2"/>
        <v>0.25243128223331673</v>
      </c>
      <c r="Q47">
        <f t="shared" si="3"/>
        <v>0.27802193548879273</v>
      </c>
      <c r="R47">
        <f t="shared" si="4"/>
        <v>-1.4964521298002786</v>
      </c>
      <c r="S47">
        <f t="shared" si="5"/>
        <v>0.69333228402933134</v>
      </c>
      <c r="T47">
        <f t="shared" si="6"/>
        <v>-0.93182942645763289</v>
      </c>
    </row>
    <row r="48" spans="2:20" x14ac:dyDescent="0.25">
      <c r="B48">
        <v>-2.18501593917608E-3</v>
      </c>
      <c r="C48">
        <v>0.11094302952289556</v>
      </c>
      <c r="D48">
        <v>0.1318884277343752</v>
      </c>
      <c r="E48">
        <v>-0.42062535881996199</v>
      </c>
      <c r="F48">
        <v>1.5282573699951201</v>
      </c>
      <c r="G48">
        <v>-0.81598681211471602</v>
      </c>
      <c r="H48" s="23">
        <v>-7.7879849005207881E-4</v>
      </c>
      <c r="I48" s="23">
        <v>0.13116162178588864</v>
      </c>
      <c r="J48" s="23">
        <v>8.0261095467735993E-2</v>
      </c>
      <c r="K48" s="23">
        <v>-0.39097944983116062</v>
      </c>
      <c r="L48" s="23">
        <v>0.9846262500897669</v>
      </c>
      <c r="M48" s="23">
        <v>-1.0552647976247564</v>
      </c>
      <c r="O48">
        <f t="shared" si="1"/>
        <v>-3.3099898984752813E-3</v>
      </c>
      <c r="P48">
        <f t="shared" si="2"/>
        <v>9.4768155712501093E-2</v>
      </c>
      <c r="Q48">
        <f t="shared" si="3"/>
        <v>0.17319029354768656</v>
      </c>
      <c r="R48">
        <f t="shared" si="4"/>
        <v>-0.44434208601100311</v>
      </c>
      <c r="S48">
        <f t="shared" si="5"/>
        <v>1.9631622659194026</v>
      </c>
      <c r="T48">
        <f t="shared" si="6"/>
        <v>-0.62456442370668364</v>
      </c>
    </row>
    <row r="49" spans="2:20" x14ac:dyDescent="0.25">
      <c r="B49">
        <v>1.8196115270257E-3</v>
      </c>
      <c r="C49">
        <v>4.7905400395393469E-3</v>
      </c>
      <c r="D49">
        <v>8.9655218124389202E-2</v>
      </c>
      <c r="E49">
        <v>-6.4179420471191406E-2</v>
      </c>
      <c r="F49">
        <v>1.8967602252960201</v>
      </c>
      <c r="G49">
        <v>-0.51140964031219505</v>
      </c>
      <c r="H49" s="23">
        <v>1.4864397060234983E-3</v>
      </c>
      <c r="I49" s="23">
        <v>1.344448359010854E-2</v>
      </c>
      <c r="J49" s="23">
        <v>8.2959162856570165E-2</v>
      </c>
      <c r="K49" s="23">
        <v>-9.3939949300423112E-2</v>
      </c>
      <c r="L49" s="23">
        <v>1.8290840449547274</v>
      </c>
      <c r="M49" s="23">
        <v>-0.67251666268888244</v>
      </c>
      <c r="O49">
        <f t="shared" si="1"/>
        <v>2.0861489838274612E-3</v>
      </c>
      <c r="P49">
        <f t="shared" si="2"/>
        <v>-2.1326148009160086E-3</v>
      </c>
      <c r="Q49">
        <f t="shared" si="3"/>
        <v>9.5012062338644426E-2</v>
      </c>
      <c r="R49">
        <f t="shared" si="4"/>
        <v>-4.0370997407806045E-2</v>
      </c>
      <c r="S49">
        <f t="shared" si="5"/>
        <v>1.9509011695690541</v>
      </c>
      <c r="T49">
        <f t="shared" si="6"/>
        <v>-0.38252402241084515</v>
      </c>
    </row>
    <row r="50" spans="2:20" x14ac:dyDescent="0.25">
      <c r="B50">
        <v>5.0261407159268899E-3</v>
      </c>
      <c r="C50">
        <v>-0.11670223593711854</v>
      </c>
      <c r="D50">
        <v>1.3623089045286231E-2</v>
      </c>
      <c r="E50">
        <v>-0.14642003178596499</v>
      </c>
      <c r="F50">
        <v>0.36419194936752303</v>
      </c>
      <c r="G50">
        <v>1.55786764621735</v>
      </c>
      <c r="H50" s="23">
        <v>2.2552116716404699E-4</v>
      </c>
      <c r="I50" s="23">
        <v>-0.11036856739259836</v>
      </c>
      <c r="J50" s="23">
        <v>1.6158208200835151E-2</v>
      </c>
      <c r="K50" s="23">
        <v>-0.19104172945412048</v>
      </c>
      <c r="L50" s="23">
        <v>0.40274093750885537</v>
      </c>
      <c r="M50" s="23">
        <v>1.5751461515966381</v>
      </c>
      <c r="O50">
        <f t="shared" si="1"/>
        <v>8.8666363549371636E-3</v>
      </c>
      <c r="P50">
        <f t="shared" si="2"/>
        <v>-0.12176917077273468</v>
      </c>
      <c r="Q50">
        <f t="shared" si="3"/>
        <v>1.1594993720847095E-2</v>
      </c>
      <c r="R50">
        <f t="shared" si="4"/>
        <v>-0.11072267365144059</v>
      </c>
      <c r="S50">
        <f t="shared" si="5"/>
        <v>0.33335275885445714</v>
      </c>
      <c r="T50">
        <f t="shared" si="6"/>
        <v>1.5440448419139194</v>
      </c>
    </row>
    <row r="51" spans="2:20" x14ac:dyDescent="0.25">
      <c r="B51">
        <v>-5.5614840239286397E-3</v>
      </c>
      <c r="C51">
        <v>-9.2361005544662145E-2</v>
      </c>
      <c r="D51">
        <v>0.14423409759998271</v>
      </c>
      <c r="E51">
        <v>-0.32296690344810502</v>
      </c>
      <c r="F51">
        <v>1.0704246759414699</v>
      </c>
      <c r="G51">
        <v>0.568997502326965</v>
      </c>
      <c r="H51" s="23">
        <v>-8.7639205086857581E-3</v>
      </c>
      <c r="I51" s="23">
        <v>-8.9861777863203915E-2</v>
      </c>
      <c r="J51" s="23">
        <v>0.14152412065830333</v>
      </c>
      <c r="K51" s="23">
        <v>-0.44323031496270043</v>
      </c>
      <c r="L51" s="23">
        <v>1.111256529420463</v>
      </c>
      <c r="M51" s="23">
        <v>0.58554182457731241</v>
      </c>
      <c r="O51">
        <f t="shared" si="1"/>
        <v>-2.9995348361229446E-3</v>
      </c>
      <c r="P51">
        <f t="shared" si="2"/>
        <v>-9.4360387689828726E-2</v>
      </c>
      <c r="Q51">
        <f t="shared" si="3"/>
        <v>0.1464020791533262</v>
      </c>
      <c r="R51">
        <f t="shared" si="4"/>
        <v>-0.22675617423642869</v>
      </c>
      <c r="S51">
        <f t="shared" si="5"/>
        <v>1.0377591931582755</v>
      </c>
      <c r="T51">
        <f t="shared" si="6"/>
        <v>0.55576204452668709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208467-E14A-4CB9-9FC8-72DFB8E94FF2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dcmitype/"/>
    <ds:schemaRef ds:uri="08a9f8ec-165a-4165-a8e9-ed45c2de7bcb"/>
    <ds:schemaRef ds:uri="http://schemas.microsoft.com/office/2006/metadata/properties"/>
    <ds:schemaRef ds:uri="http://purl.org/dc/terms/"/>
    <ds:schemaRef ds:uri="c2b20bf0-79f3-4559-a8ab-bcb74dcd8cd8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Proximal Validation</vt:lpstr>
      <vt:lpstr>Distal Vali (single hardware)</vt:lpstr>
      <vt:lpstr>Distal Vali (five hardware)</vt:lpstr>
      <vt:lpstr>Distal Vali (one truth)</vt:lpstr>
      <vt:lpstr>Distal Vali (five truth)</vt:lpstr>
      <vt:lpstr>Conversion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2026-03-16T18:35:53Z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