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Results/2-26-2026/Optimal Design Hardware Results/"/>
    </mc:Choice>
  </mc:AlternateContent>
  <xr:revisionPtr revIDLastSave="3797" documentId="8_{DFFD6B0C-681F-42C8-B2E4-5D4B90AAE966}" xr6:coauthVersionLast="47" xr6:coauthVersionMax="47" xr10:uidLastSave="{27FA6B11-D963-4C80-AC79-F0FD1C6C8835}"/>
  <bookViews>
    <workbookView xWindow="-120" yWindow="-120" windowWidth="29040" windowHeight="15720" activeTab="3" xr2:uid="{3D16C37F-3C74-4527-A308-796C339DFE9F}"/>
  </bookViews>
  <sheets>
    <sheet name="Proximal Validation" sheetId="12" r:id="rId1"/>
    <sheet name="Distal Validation" sheetId="19" r:id="rId2"/>
    <sheet name="Conversion" sheetId="4" r:id="rId3"/>
    <sheet name="Sheet2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2" l="1"/>
  <c r="W13" i="12"/>
  <c r="X13" i="12"/>
  <c r="Y13" i="12"/>
  <c r="Z13" i="12"/>
  <c r="AA13" i="12"/>
  <c r="AB13" i="12" a="1"/>
  <c r="AB13" i="12" s="1"/>
  <c r="V14" i="12"/>
  <c r="W14" i="12"/>
  <c r="X14" i="12"/>
  <c r="Y14" i="12"/>
  <c r="Z14" i="12"/>
  <c r="AA14" i="12"/>
  <c r="AB14" i="12" a="1"/>
  <c r="AB14" i="12" s="1"/>
  <c r="V15" i="12"/>
  <c r="W15" i="12"/>
  <c r="X15" i="12"/>
  <c r="Y15" i="12"/>
  <c r="Z15" i="12"/>
  <c r="AA15" i="12"/>
  <c r="AB15" i="12" a="1"/>
  <c r="AB15" i="12" s="1"/>
  <c r="V16" i="12"/>
  <c r="W16" i="12"/>
  <c r="X16" i="12"/>
  <c r="Y16" i="12"/>
  <c r="Z16" i="12"/>
  <c r="AA16" i="12"/>
  <c r="AB16" i="12" a="1"/>
  <c r="AB16" i="12" s="1"/>
  <c r="V17" i="12"/>
  <c r="W17" i="12"/>
  <c r="X17" i="12"/>
  <c r="Y17" i="12"/>
  <c r="Z17" i="12"/>
  <c r="AA17" i="12"/>
  <c r="AB17" i="12" a="1"/>
  <c r="AB17" i="12" s="1"/>
  <c r="V18" i="12"/>
  <c r="W18" i="12"/>
  <c r="X18" i="12"/>
  <c r="Y18" i="12"/>
  <c r="Z18" i="12"/>
  <c r="AA18" i="12"/>
  <c r="AB18" i="12" a="1"/>
  <c r="AB18" i="12" s="1"/>
  <c r="V19" i="12"/>
  <c r="W19" i="12"/>
  <c r="X19" i="12"/>
  <c r="Y19" i="12"/>
  <c r="Z19" i="12"/>
  <c r="AA19" i="12"/>
  <c r="AB19" i="12" a="1"/>
  <c r="AB19" i="12" s="1"/>
  <c r="V20" i="12"/>
  <c r="W20" i="12"/>
  <c r="X20" i="12"/>
  <c r="Y20" i="12"/>
  <c r="Z20" i="12"/>
  <c r="AA20" i="12"/>
  <c r="AB20" i="12" a="1"/>
  <c r="AB20" i="12" s="1"/>
  <c r="V21" i="12"/>
  <c r="W21" i="12"/>
  <c r="X21" i="12"/>
  <c r="Y21" i="12"/>
  <c r="Z21" i="12"/>
  <c r="AA21" i="12"/>
  <c r="AB21" i="12" a="1"/>
  <c r="AB21" i="12" s="1"/>
  <c r="V22" i="12"/>
  <c r="W22" i="12"/>
  <c r="X22" i="12"/>
  <c r="Y22" i="12"/>
  <c r="Z22" i="12"/>
  <c r="AA22" i="12"/>
  <c r="AB22" i="12" a="1"/>
  <c r="AB22" i="12" s="1"/>
  <c r="AB4" i="19"/>
  <c r="AB5" i="19"/>
  <c r="AB6" i="19"/>
  <c r="AB7" i="19"/>
  <c r="AB8" i="19"/>
  <c r="AB9" i="19"/>
  <c r="AB10" i="19"/>
  <c r="AB11" i="19"/>
  <c r="AB12" i="19"/>
  <c r="AB3" i="19"/>
  <c r="Y4" i="19"/>
  <c r="Y5" i="19"/>
  <c r="Y6" i="19"/>
  <c r="Y7" i="19"/>
  <c r="Y8" i="19"/>
  <c r="Y9" i="19"/>
  <c r="Y10" i="19"/>
  <c r="Y11" i="19"/>
  <c r="Y12" i="19"/>
  <c r="Y3" i="19"/>
  <c r="AB4" i="12" a="1"/>
  <c r="AB4" i="12" s="1"/>
  <c r="AB5" i="12" a="1"/>
  <c r="AB5" i="12" s="1"/>
  <c r="AB6" i="12" a="1"/>
  <c r="AB6" i="12" s="1"/>
  <c r="AB7" i="12" a="1"/>
  <c r="AB7" i="12" s="1"/>
  <c r="AB8" i="12" a="1"/>
  <c r="AB8" i="12" s="1"/>
  <c r="AB9" i="12" a="1"/>
  <c r="AB9" i="12" s="1"/>
  <c r="AB10" i="12" a="1"/>
  <c r="AB10" i="12" s="1"/>
  <c r="AB11" i="12" a="1"/>
  <c r="AB11" i="12" s="1"/>
  <c r="AB12" i="12" a="1"/>
  <c r="AB12" i="12" s="1"/>
  <c r="AB3" i="12" a="1"/>
  <c r="AB3" i="12" s="1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3" i="12"/>
  <c r="O13" i="4"/>
  <c r="P13" i="4"/>
  <c r="Q13" i="4"/>
  <c r="R13" i="4"/>
  <c r="S13" i="4"/>
  <c r="T13" i="4"/>
  <c r="O14" i="4"/>
  <c r="P14" i="4"/>
  <c r="Q14" i="4"/>
  <c r="R14" i="4"/>
  <c r="S14" i="4"/>
  <c r="T14" i="4"/>
  <c r="O15" i="4"/>
  <c r="P15" i="4"/>
  <c r="Q15" i="4"/>
  <c r="R15" i="4"/>
  <c r="S15" i="4"/>
  <c r="T15" i="4"/>
  <c r="O16" i="4"/>
  <c r="P16" i="4"/>
  <c r="Q16" i="4"/>
  <c r="R16" i="4"/>
  <c r="S16" i="4"/>
  <c r="T16" i="4"/>
  <c r="O17" i="4"/>
  <c r="P17" i="4"/>
  <c r="Q17" i="4"/>
  <c r="R17" i="4"/>
  <c r="S17" i="4"/>
  <c r="T17" i="4"/>
  <c r="O18" i="4"/>
  <c r="P18" i="4"/>
  <c r="Q18" i="4"/>
  <c r="R18" i="4"/>
  <c r="S18" i="4"/>
  <c r="T18" i="4"/>
  <c r="V3" i="4"/>
  <c r="A3" i="19" l="1"/>
  <c r="B3" i="19"/>
  <c r="C3" i="19"/>
  <c r="D3" i="19"/>
  <c r="E3" i="19"/>
  <c r="F3" i="19"/>
  <c r="G3" i="19"/>
  <c r="H3" i="19"/>
  <c r="I3" i="19"/>
  <c r="J3" i="19"/>
  <c r="K3" i="19"/>
  <c r="L3" i="19"/>
  <c r="M3" i="19"/>
  <c r="N3" i="19"/>
  <c r="O3" i="19"/>
  <c r="A4" i="19"/>
  <c r="B4" i="19"/>
  <c r="C4" i="19"/>
  <c r="D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W11" i="19" s="1"/>
  <c r="B11" i="19"/>
  <c r="X11" i="19" s="1"/>
  <c r="C11" i="19"/>
  <c r="D11" i="19"/>
  <c r="Z11" i="19" s="1"/>
  <c r="E11" i="19"/>
  <c r="AA11" i="19" s="1"/>
  <c r="F11" i="19"/>
  <c r="G11" i="19"/>
  <c r="H11" i="19"/>
  <c r="I11" i="19"/>
  <c r="J11" i="19"/>
  <c r="K11" i="19"/>
  <c r="L11" i="19"/>
  <c r="M11" i="19"/>
  <c r="N11" i="19"/>
  <c r="O11" i="19"/>
  <c r="A12" i="19"/>
  <c r="W12" i="19" s="1"/>
  <c r="B12" i="19"/>
  <c r="X12" i="19" s="1"/>
  <c r="C12" i="19"/>
  <c r="D12" i="19"/>
  <c r="Z12" i="19" s="1"/>
  <c r="E12" i="19"/>
  <c r="AA12" i="19" s="1"/>
  <c r="F12" i="19"/>
  <c r="G12" i="19"/>
  <c r="H12" i="19"/>
  <c r="I12" i="19"/>
  <c r="J12" i="19"/>
  <c r="K12" i="19"/>
  <c r="L12" i="19"/>
  <c r="M12" i="19"/>
  <c r="N12" i="19"/>
  <c r="O12" i="19"/>
  <c r="V5" i="12"/>
  <c r="W5" i="12"/>
  <c r="X5" i="12"/>
  <c r="Y5" i="12"/>
  <c r="Z5" i="12"/>
  <c r="AA5" i="12"/>
  <c r="V11" i="12"/>
  <c r="W11" i="12"/>
  <c r="X11" i="12"/>
  <c r="Y11" i="12"/>
  <c r="Z11" i="12"/>
  <c r="AA11" i="12"/>
  <c r="V12" i="12"/>
  <c r="W12" i="12"/>
  <c r="X12" i="12"/>
  <c r="Y12" i="12"/>
  <c r="Z12" i="12"/>
  <c r="AA12" i="12"/>
  <c r="AE11" i="19" l="1"/>
  <c r="AD12" i="19"/>
  <c r="AC12" i="19"/>
  <c r="AD11" i="19"/>
  <c r="AE12" i="19"/>
  <c r="AC11" i="19"/>
  <c r="V3" i="12"/>
  <c r="V4" i="12"/>
  <c r="V6" i="12"/>
  <c r="V7" i="12"/>
  <c r="V8" i="12"/>
  <c r="V9" i="12"/>
  <c r="V10" i="12"/>
  <c r="AA10" i="12" l="1"/>
  <c r="Z10" i="12"/>
  <c r="Y10" i="12"/>
  <c r="X10" i="12"/>
  <c r="W10" i="12"/>
  <c r="AA9" i="12"/>
  <c r="Z9" i="12"/>
  <c r="Y9" i="12"/>
  <c r="X9" i="12"/>
  <c r="W9" i="12"/>
  <c r="AA8" i="12"/>
  <c r="Z8" i="12"/>
  <c r="Y8" i="12"/>
  <c r="X8" i="12"/>
  <c r="W8" i="12"/>
  <c r="AA7" i="12"/>
  <c r="Z7" i="12"/>
  <c r="Y7" i="12"/>
  <c r="X7" i="12"/>
  <c r="W7" i="12"/>
  <c r="AA6" i="12"/>
  <c r="Z6" i="12"/>
  <c r="Y6" i="12"/>
  <c r="X6" i="12"/>
  <c r="W6" i="12"/>
  <c r="AA4" i="12"/>
  <c r="Z4" i="12"/>
  <c r="Y4" i="12"/>
  <c r="X4" i="12"/>
  <c r="W4" i="12"/>
  <c r="AA3" i="12"/>
  <c r="Z3" i="12"/>
  <c r="Y3" i="12"/>
  <c r="X3" i="12"/>
  <c r="W3" i="12"/>
  <c r="H18" i="4" l="1"/>
  <c r="I18" i="4"/>
  <c r="J18" i="4"/>
  <c r="K18" i="4"/>
  <c r="L18" i="4"/>
  <c r="M18" i="4"/>
  <c r="H3" i="4"/>
  <c r="O3" i="4" s="1"/>
  <c r="I3" i="4"/>
  <c r="J3" i="4"/>
  <c r="K3" i="4"/>
  <c r="R3" i="4" s="1"/>
  <c r="L3" i="4"/>
  <c r="S3" i="4" s="1"/>
  <c r="M3" i="4"/>
  <c r="T3" i="4" s="1"/>
  <c r="H4" i="4"/>
  <c r="O4" i="4" s="1"/>
  <c r="I4" i="4"/>
  <c r="J4" i="4"/>
  <c r="K4" i="4"/>
  <c r="R4" i="4" s="1"/>
  <c r="L4" i="4"/>
  <c r="S4" i="4" s="1"/>
  <c r="M4" i="4"/>
  <c r="T4" i="4" s="1"/>
  <c r="H5" i="4"/>
  <c r="O5" i="4" s="1"/>
  <c r="I5" i="4"/>
  <c r="J5" i="4"/>
  <c r="K5" i="4"/>
  <c r="R5" i="4" s="1"/>
  <c r="L5" i="4"/>
  <c r="S5" i="4" s="1"/>
  <c r="M5" i="4"/>
  <c r="T5" i="4" s="1"/>
  <c r="H6" i="4"/>
  <c r="O6" i="4" s="1"/>
  <c r="I6" i="4"/>
  <c r="J6" i="4"/>
  <c r="K6" i="4"/>
  <c r="R6" i="4" s="1"/>
  <c r="L6" i="4"/>
  <c r="S6" i="4" s="1"/>
  <c r="M6" i="4"/>
  <c r="T6" i="4" s="1"/>
  <c r="H7" i="4"/>
  <c r="O7" i="4" s="1"/>
  <c r="I7" i="4"/>
  <c r="J7" i="4"/>
  <c r="K7" i="4"/>
  <c r="R7" i="4" s="1"/>
  <c r="L7" i="4"/>
  <c r="S7" i="4" s="1"/>
  <c r="M7" i="4"/>
  <c r="T7" i="4" s="1"/>
  <c r="Q7" i="4" l="1"/>
  <c r="P3" i="4"/>
  <c r="Q3" i="4"/>
  <c r="Q5" i="4"/>
  <c r="P7" i="4"/>
  <c r="P5" i="4"/>
  <c r="Q6" i="4"/>
  <c r="Q4" i="4"/>
  <c r="P6" i="4"/>
  <c r="P4" i="4"/>
  <c r="AA10" i="19"/>
  <c r="Z10" i="19"/>
  <c r="X10" i="19"/>
  <c r="AA9" i="19"/>
  <c r="Z9" i="19"/>
  <c r="X9" i="19"/>
  <c r="AA8" i="19"/>
  <c r="Z8" i="19"/>
  <c r="X8" i="19"/>
  <c r="AA7" i="19"/>
  <c r="Z7" i="19"/>
  <c r="X7" i="19"/>
  <c r="AA6" i="19"/>
  <c r="Z6" i="19"/>
  <c r="X6" i="19"/>
  <c r="AA5" i="19"/>
  <c r="Z5" i="19"/>
  <c r="X5" i="19"/>
  <c r="AA4" i="19"/>
  <c r="Z4" i="19"/>
  <c r="X4" i="19"/>
  <c r="AA3" i="19"/>
  <c r="Z3" i="19"/>
  <c r="X3" i="19"/>
  <c r="H8" i="4"/>
  <c r="O8" i="4" s="1"/>
  <c r="I8" i="4"/>
  <c r="J8" i="4"/>
  <c r="K8" i="4"/>
  <c r="R8" i="4" s="1"/>
  <c r="L8" i="4"/>
  <c r="S8" i="4" s="1"/>
  <c r="M8" i="4"/>
  <c r="T8" i="4" s="1"/>
  <c r="H9" i="4"/>
  <c r="O9" i="4" s="1"/>
  <c r="I9" i="4"/>
  <c r="P9" i="4" s="1"/>
  <c r="J9" i="4"/>
  <c r="Q9" i="4" s="1"/>
  <c r="K9" i="4"/>
  <c r="R9" i="4" s="1"/>
  <c r="L9" i="4"/>
  <c r="S9" i="4" s="1"/>
  <c r="M9" i="4"/>
  <c r="T9" i="4" s="1"/>
  <c r="H10" i="4"/>
  <c r="O10" i="4" s="1"/>
  <c r="I10" i="4"/>
  <c r="J10" i="4"/>
  <c r="K10" i="4"/>
  <c r="R10" i="4" s="1"/>
  <c r="L10" i="4"/>
  <c r="S10" i="4" s="1"/>
  <c r="M10" i="4"/>
  <c r="T10" i="4" s="1"/>
  <c r="H11" i="4"/>
  <c r="O11" i="4" s="1"/>
  <c r="I11" i="4"/>
  <c r="J11" i="4"/>
  <c r="K11" i="4"/>
  <c r="R11" i="4" s="1"/>
  <c r="L11" i="4"/>
  <c r="S11" i="4" s="1"/>
  <c r="M11" i="4"/>
  <c r="T11" i="4" s="1"/>
  <c r="H12" i="4"/>
  <c r="O12" i="4" s="1"/>
  <c r="I12" i="4"/>
  <c r="P12" i="4" s="1"/>
  <c r="J12" i="4"/>
  <c r="Q12" i="4" s="1"/>
  <c r="K12" i="4"/>
  <c r="R12" i="4" s="1"/>
  <c r="L12" i="4"/>
  <c r="S12" i="4" s="1"/>
  <c r="M12" i="4"/>
  <c r="T12" i="4" s="1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P11" i="4" l="1"/>
  <c r="Q11" i="4"/>
  <c r="Q8" i="4"/>
  <c r="P10" i="4"/>
  <c r="AH4" i="19" a="1"/>
  <c r="AH4" i="19" s="1"/>
  <c r="AI4" i="19" a="1"/>
  <c r="AI4" i="19" s="1"/>
  <c r="AK4" i="19" a="1"/>
  <c r="AK4" i="19" s="1"/>
  <c r="AJ4" i="19" a="1"/>
  <c r="AJ4" i="19" s="1"/>
  <c r="AG4" i="19" a="1"/>
  <c r="AG4" i="19" s="1"/>
  <c r="Q10" i="4"/>
  <c r="P8" i="4"/>
  <c r="W8" i="19"/>
  <c r="AC8" i="19" s="1"/>
  <c r="W6" i="19"/>
  <c r="AC6" i="19" s="1"/>
  <c r="W9" i="19"/>
  <c r="AC9" i="19" s="1"/>
  <c r="W3" i="19"/>
  <c r="W4" i="19"/>
  <c r="W7" i="19"/>
  <c r="AC7" i="19" s="1"/>
  <c r="W5" i="19"/>
  <c r="W10" i="19"/>
  <c r="AC10" i="19" s="1"/>
  <c r="AD7" i="19"/>
  <c r="AE7" i="19"/>
  <c r="AE9" i="19"/>
  <c r="AD4" i="19"/>
  <c r="AE4" i="19"/>
  <c r="AE6" i="19"/>
  <c r="AE10" i="19"/>
  <c r="AE3" i="19"/>
  <c r="AD8" i="19"/>
  <c r="AE5" i="19"/>
  <c r="AE8" i="19"/>
  <c r="AD10" i="19"/>
  <c r="AD6" i="19"/>
  <c r="AD3" i="19"/>
  <c r="AD5" i="19"/>
  <c r="AD9" i="19"/>
  <c r="AF4" i="19" l="1" a="1"/>
  <c r="AF4" i="19" s="1"/>
  <c r="AF7" i="19" s="1"/>
  <c r="AC5" i="19"/>
  <c r="AC4" i="19"/>
  <c r="AC3" i="19"/>
  <c r="AG7" i="19"/>
  <c r="AH7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<sst xmlns="http://schemas.openxmlformats.org/spreadsheetml/2006/main" count="277" uniqueCount="48">
  <si>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</si>
  <si>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</si>
  <si>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</si>
  <si>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</si>
  <si>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</si>
  <si>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</si>
  <si>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</si>
  <si>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</si>
  <si>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</si>
  <si>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</si>
  <si>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</si>
  <si>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</si>
  <si>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</si>
  <si>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</si>
  <si>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</si>
  <si>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</si>
  <si>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</si>
  <si>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</si>
  <si>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</si>
  <si>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</si>
  <si>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</si>
  <si>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</si>
  <si>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F1 (N)</t>
  </si>
  <si>
    <t>s1 (m)</t>
  </si>
  <si>
    <t>F2 (N)</t>
  </si>
  <si>
    <t>s2 (m)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</si>
  <si>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</si>
  <si>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</si>
  <si>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</si>
  <si>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</si>
  <si>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</si>
  <si>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</si>
  <si>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</si>
  <si>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</si>
  <si>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</si>
  <si>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</si>
  <si>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theta1 (rad)</t>
  </si>
  <si>
    <t>theta2 (rad)</t>
  </si>
  <si>
    <t>{</t>
  </si>
  <si>
    <t>}</t>
  </si>
  <si>
    <t>singular values</t>
  </si>
  <si>
    <t>Axis Conversion</t>
  </si>
  <si>
    <t xml:space="preserve"> Transformation</t>
  </si>
  <si>
    <t>Sensor Offset (m)</t>
  </si>
  <si>
    <t>abs(s1-s2)</t>
  </si>
  <si>
    <t>Extra</t>
  </si>
  <si>
    <t>Sensor Ranges</t>
  </si>
  <si>
    <t>NRMSE (%FS)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</si>
</sst>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8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2" fillId="6" borderId="1" xfId="0" applyFont="1" applyFill="1" applyBorder="1"/>
    <xf numFmtId="0" fontId="0" fillId="0" borderId="1" xfId="0" applyBorder="1"/>
    <xf numFmtId="166" fontId="3" fillId="8" borderId="1" xfId="0" applyNumberFormat="1" applyFont="1" applyFill="1" applyBorder="1"/>
    <xf numFmtId="166" fontId="3" fillId="8" borderId="12" xfId="0" applyNumberFormat="1" applyFont="1" applyFill="1" applyBorder="1"/>
    <xf numFmtId="166" fontId="0" fillId="0" borderId="1" xfId="0" applyNumberFormat="1" applyBorder="1"/>
    <xf numFmtId="165" fontId="3" fillId="8" borderId="1" xfId="0" applyNumberFormat="1" applyFont="1" applyFill="1" applyBorder="1"/>
    <xf numFmtId="166" fontId="0" fillId="0" borderId="0" xfId="0" applyNumberFormat="1"/>
    <xf numFmtId="11" fontId="3" fillId="8" borderId="1" xfId="0" applyNumberFormat="1" applyFont="1" applyFill="1" applyBorder="1"/>
    <xf numFmtId="0" fontId="1" fillId="6" borderId="0" xfId="0" applyFont="1" applyFill="1"/>
    <xf numFmtId="164" fontId="3" fillId="8" borderId="0" xfId="0" applyNumberFormat="1" applyFont="1" applyFill="1"/>
    <xf numFmtId="2" fontId="3" fillId="8" borderId="1" xfId="0" applyNumberFormat="1" applyFont="1" applyFill="1" applyBorder="1"/>
    <xf numFmtId="2" fontId="4" fillId="10" borderId="1" xfId="1" applyNumberFormat="1" applyBorder="1"/>
    <xf numFmtId="164" fontId="4" fillId="10" borderId="1" xfId="1" applyNumberFormat="1" applyBorder="1"/>
    <xf numFmtId="1" fontId="3" fillId="8" borderId="1" xfId="0" applyNumberFormat="1" applyFont="1" applyFill="1" applyBorder="1"/>
    <xf numFmtId="0" fontId="2" fillId="7" borderId="0" xfId="0" applyFont="1" applyFill="1"/>
    <xf numFmtId="0" fontId="1" fillId="9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6D6D"/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DX62"/>
  <sheetViews>
    <sheetView workbookViewId="0">
      <selection activeCell="G13" sqref="G13:O22"/>
    </sheetView>
  </sheetViews>
  <sheetFormatPr defaultRowHeight="16.5" customHeight="1" x14ac:dyDescent="0.25"/>
  <cols>
    <col min="1" max="2" width="7.42578125" bestFit="1" customWidth="1"/>
    <col min="3" max="3" width="11.85546875" bestFit="1" customWidth="1"/>
    <col min="4" max="5" width="7.42578125" bestFit="1" customWidth="1"/>
    <col min="6" max="6" width="11.85546875" bestFit="1" customWidth="1"/>
    <col min="7" max="9" width="8.5703125" bestFit="1" customWidth="1"/>
    <col min="10" max="11" width="8.42578125" bestFit="1" customWidth="1"/>
    <col min="12" max="15" width="8" bestFit="1" customWidth="1"/>
    <col min="16" max="17" width="8.140625" bestFit="1" customWidth="1"/>
    <col min="18" max="18" width="7.7109375" bestFit="1" customWidth="1"/>
    <col min="19" max="21" width="7" bestFit="1" customWidth="1"/>
    <col min="22" max="23" width="8.140625" bestFit="1" customWidth="1"/>
    <col min="24" max="24" width="7.7109375" bestFit="1" customWidth="1"/>
    <col min="25" max="27" width="7.28515625" bestFit="1" customWidth="1"/>
    <col min="28" max="28" width="14" bestFit="1" customWidth="1"/>
    <col min="29" max="29" width="10.7109375" bestFit="1" customWidth="1"/>
    <col min="30" max="30" width="14.5703125" bestFit="1" customWidth="1"/>
  </cols>
  <sheetData>
    <row r="1" spans="1:128" ht="16.5" customHeight="1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3"/>
      <c r="J1" s="24" t="s">
        <v>6</v>
      </c>
      <c r="K1" s="25"/>
      <c r="L1" s="25"/>
      <c r="M1" s="25"/>
      <c r="N1" s="25"/>
      <c r="O1" s="25"/>
      <c r="P1" s="26" t="s">
        <v>12</v>
      </c>
      <c r="Q1" s="27"/>
      <c r="R1" s="27"/>
      <c r="S1" s="27"/>
      <c r="T1" s="27"/>
      <c r="U1" s="27"/>
      <c r="V1" s="28" t="s">
        <v>14</v>
      </c>
      <c r="W1" s="28"/>
      <c r="X1" s="28"/>
      <c r="Y1" s="28"/>
      <c r="Z1" s="28"/>
      <c r="AA1" s="28"/>
      <c r="AB1" s="28"/>
      <c r="AC1" s="21" t="s">
        <v>45</v>
      </c>
      <c r="AD1" s="21"/>
      <c r="AE1" s="21" t="s">
        <v>46</v>
      </c>
      <c r="AF1" s="21"/>
      <c r="AG1" s="21"/>
      <c r="AH1" s="21"/>
      <c r="AI1" s="21"/>
      <c r="AJ1" s="21"/>
    </row>
    <row r="2" spans="1:128" ht="16.5" customHeight="1" x14ac:dyDescent="0.25">
      <c r="A2" s="1" t="s">
        <v>22</v>
      </c>
      <c r="B2" s="1" t="s">
        <v>23</v>
      </c>
      <c r="C2" s="1" t="s">
        <v>36</v>
      </c>
      <c r="D2" s="1" t="s">
        <v>24</v>
      </c>
      <c r="E2" s="1" t="s">
        <v>25</v>
      </c>
      <c r="F2" s="1" t="s">
        <v>37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3</v>
      </c>
      <c r="Q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  <c r="X2" s="1" t="s">
        <v>5</v>
      </c>
      <c r="Y2" s="1" t="s">
        <v>0</v>
      </c>
      <c r="Z2" s="1" t="s">
        <v>1</v>
      </c>
      <c r="AA2" s="1" t="s">
        <v>2</v>
      </c>
      <c r="AB2" s="1" t="s">
        <v>47</v>
      </c>
      <c r="AC2" s="1" t="s">
        <v>44</v>
      </c>
      <c r="AD2" s="6" t="s">
        <v>40</v>
      </c>
      <c r="AE2" s="1" t="s">
        <v>18</v>
      </c>
      <c r="AF2" s="1" t="s">
        <v>19</v>
      </c>
      <c r="AG2" s="1" t="s">
        <v>20</v>
      </c>
      <c r="AH2" s="1" t="s">
        <v>15</v>
      </c>
      <c r="AI2" s="1" t="s">
        <v>16</v>
      </c>
      <c r="AJ2" s="1" t="s">
        <v>17</v>
      </c>
    </row>
    <row r="3" spans="1:128" s="5" customFormat="1" ht="16.5" customHeight="1" x14ac:dyDescent="0.25">
      <c r="A3" s="17">
        <v>0.57634630980000001</v>
      </c>
      <c r="B3" s="17">
        <v>0.2</v>
      </c>
      <c r="C3" s="18">
        <v>0.78539999999999999</v>
      </c>
      <c r="D3" s="17">
        <v>1.1398024601000001</v>
      </c>
      <c r="E3" s="17">
        <v>0.02</v>
      </c>
      <c r="F3" s="18">
        <v>5.4977999999999998</v>
      </c>
      <c r="G3" s="17">
        <v>0.49272223679999999</v>
      </c>
      <c r="H3" s="17">
        <v>4.4756011583999999</v>
      </c>
      <c r="I3" s="17">
        <v>4.1915536561</v>
      </c>
      <c r="J3" s="8">
        <v>-4.8483535647392299E-3</v>
      </c>
      <c r="K3" s="8">
        <v>-4.9299089163541775E-2</v>
      </c>
      <c r="L3" s="8">
        <v>0.11311967670917589</v>
      </c>
      <c r="M3" s="8">
        <v>-9.3563906848430606E-2</v>
      </c>
      <c r="N3" s="8">
        <v>1.13720595836639</v>
      </c>
      <c r="O3" s="8">
        <v>-0.73825818300247203</v>
      </c>
      <c r="P3" s="11">
        <v>-5.3522883976811131E-3</v>
      </c>
      <c r="Q3" s="11">
        <v>-6.3232708025522527E-2</v>
      </c>
      <c r="R3" s="11">
        <v>9.6597613214680855E-2</v>
      </c>
      <c r="S3" s="11">
        <v>-7.7552464440485386E-2</v>
      </c>
      <c r="T3" s="11">
        <v>1.2150595959744361</v>
      </c>
      <c r="U3" s="11">
        <v>-0.40768149928087855</v>
      </c>
      <c r="V3" s="5">
        <f t="shared" ref="V3:AA3" si="0">J3-P3</f>
        <v>5.0393483294188315E-4</v>
      </c>
      <c r="W3" s="5">
        <f t="shared" si="0"/>
        <v>1.3933618861980752E-2</v>
      </c>
      <c r="X3" s="5">
        <f t="shared" si="0"/>
        <v>1.6522063494495032E-2</v>
      </c>
      <c r="Y3" s="5">
        <f t="shared" si="0"/>
        <v>-1.601144240794522E-2</v>
      </c>
      <c r="Z3" s="5">
        <f t="shared" si="0"/>
        <v>-7.7853637608046089E-2</v>
      </c>
      <c r="AA3" s="5">
        <f t="shared" si="0"/>
        <v>-0.33057668372159349</v>
      </c>
      <c r="AB3" s="16" cm="1">
        <f t="array" ref="AB3">SQRT(SUMPRODUCT(((J3:O3-P3:U3)/$AE$3:$AJ$3)^2)/6)*100</f>
        <v>1.1223523003448495</v>
      </c>
      <c r="AC3" s="5">
        <f>ABS(B3-E3)</f>
        <v>0.18000000000000002</v>
      </c>
      <c r="AD3" s="13">
        <v>63364.800162808497</v>
      </c>
      <c r="AE3" s="19">
        <v>1</v>
      </c>
      <c r="AF3" s="19">
        <v>1</v>
      </c>
      <c r="AG3" s="19">
        <v>1</v>
      </c>
      <c r="AH3" s="19">
        <v>60</v>
      </c>
      <c r="AI3" s="19">
        <v>20</v>
      </c>
      <c r="AJ3" s="19">
        <v>20</v>
      </c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</row>
    <row r="4" spans="1:128" s="5" customFormat="1" ht="16.5" customHeight="1" x14ac:dyDescent="0.25">
      <c r="A4" s="17">
        <v>1.2961945501000001</v>
      </c>
      <c r="B4" s="17">
        <v>0.2</v>
      </c>
      <c r="C4" s="18">
        <v>4.7123999999999997</v>
      </c>
      <c r="D4" s="17">
        <v>0.31907560010000002</v>
      </c>
      <c r="E4" s="17">
        <v>0.02</v>
      </c>
      <c r="F4" s="18">
        <v>1.5708</v>
      </c>
      <c r="G4" s="17">
        <v>0.53253118440000002</v>
      </c>
      <c r="H4" s="17">
        <v>1.6232893740000001</v>
      </c>
      <c r="I4" s="17">
        <v>9.6932284100000002E-2</v>
      </c>
      <c r="J4" s="8">
        <v>-2.2787048947066099E-3</v>
      </c>
      <c r="K4" s="8">
        <v>0.23746988892555226</v>
      </c>
      <c r="L4" s="8">
        <v>-3.8131318800151311E-3</v>
      </c>
      <c r="M4" s="8">
        <v>-0.78536403179168701</v>
      </c>
      <c r="N4" s="8">
        <v>-2.54362337291241E-2</v>
      </c>
      <c r="O4" s="8">
        <v>-0.55368435382842995</v>
      </c>
      <c r="P4" s="11">
        <v>1.1701986284184198E-3</v>
      </c>
      <c r="Q4" s="11">
        <v>0.22575304592788092</v>
      </c>
      <c r="R4" s="11">
        <v>-6.3686180346968918E-4</v>
      </c>
      <c r="S4" s="11">
        <v>-0.84585424854625746</v>
      </c>
      <c r="T4" s="11">
        <v>1.5799178614850325E-3</v>
      </c>
      <c r="U4" s="11">
        <v>-0.66154891799378845</v>
      </c>
      <c r="V4" s="5">
        <f t="shared" ref="V4:V10" si="1">J4-P4</f>
        <v>-3.44890352312503E-3</v>
      </c>
      <c r="W4" s="5">
        <f t="shared" ref="W4:W10" si="2">K4-Q4</f>
        <v>1.171684299767134E-2</v>
      </c>
      <c r="X4" s="5">
        <f t="shared" ref="X4:X10" si="3">L4-R4</f>
        <v>-3.176270076545442E-3</v>
      </c>
      <c r="Y4" s="5">
        <f t="shared" ref="Y4:Y10" si="4">M4-S4</f>
        <v>6.0490216754570447E-2</v>
      </c>
      <c r="Z4" s="5">
        <f t="shared" ref="Z4:Z10" si="5">N4-T4</f>
        <v>-2.7016151590609133E-2</v>
      </c>
      <c r="AA4" s="5">
        <f t="shared" ref="AA4:AA10" si="6">O4-U4</f>
        <v>0.1078645641653585</v>
      </c>
      <c r="AB4" s="16" cm="1">
        <f t="array" ref="AB4">SQRT(SUMPRODUCT(((J4:O4-P4:U4)/$AE$3:$AJ$3)^2)/6)*100</f>
        <v>0.56449983152991945</v>
      </c>
      <c r="AC4" s="5">
        <f t="shared" ref="AC4:AC62" si="7">ABS(B4-E4)</f>
        <v>0.18000000000000002</v>
      </c>
      <c r="AD4" s="13">
        <v>330.78885343832201</v>
      </c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</row>
    <row r="5" spans="1:128" s="5" customFormat="1" ht="16.5" customHeight="1" x14ac:dyDescent="0.25">
      <c r="A5" s="17">
        <v>0.3432844504</v>
      </c>
      <c r="B5" s="17">
        <v>0.2</v>
      </c>
      <c r="C5" s="18">
        <v>3.1415999999999999</v>
      </c>
      <c r="D5" s="17">
        <v>0.75633386430000005</v>
      </c>
      <c r="E5" s="17">
        <v>0.02</v>
      </c>
      <c r="F5" s="18">
        <v>3.1415999999999999</v>
      </c>
      <c r="G5" s="17">
        <v>3.5593988404000001</v>
      </c>
      <c r="H5" s="17">
        <v>2.6173593599</v>
      </c>
      <c r="I5" s="17">
        <v>2.7214845023000001</v>
      </c>
      <c r="J5" s="8">
        <v>2.7396343648433698E-3</v>
      </c>
      <c r="K5" s="8">
        <v>2.7901530265808086E-5</v>
      </c>
      <c r="L5" s="8">
        <v>-8.8981522321701062E-2</v>
      </c>
      <c r="M5" s="8">
        <v>-7.5504761189222301E-3</v>
      </c>
      <c r="N5" s="8">
        <v>-0.98192942142486594</v>
      </c>
      <c r="O5" s="8">
        <v>4.0116310119628898E-3</v>
      </c>
      <c r="P5" s="11">
        <v>7.3028162382810131E-4</v>
      </c>
      <c r="Q5" s="11">
        <v>1.268337088373496E-4</v>
      </c>
      <c r="R5" s="11">
        <v>-8.2569953249466796E-2</v>
      </c>
      <c r="S5" s="11">
        <v>-4.068402760744947E-2</v>
      </c>
      <c r="T5" s="11">
        <v>-1.0974153501202846</v>
      </c>
      <c r="U5" s="11">
        <v>-1.0869632563358285E-3</v>
      </c>
      <c r="V5" s="5">
        <f t="shared" ref="V5" si="8">J5-P5</f>
        <v>2.0093527410152685E-3</v>
      </c>
      <c r="W5" s="5">
        <f t="shared" ref="W5" si="9">K5-Q5</f>
        <v>-9.8932178571541513E-5</v>
      </c>
      <c r="X5" s="5">
        <f t="shared" ref="X5" si="10">L5-R5</f>
        <v>-6.4115690722342661E-3</v>
      </c>
      <c r="Y5" s="5">
        <f t="shared" ref="Y5" si="11">M5-S5</f>
        <v>3.3133551488527244E-2</v>
      </c>
      <c r="Z5" s="5">
        <f t="shared" ref="Z5" si="12">N5-T5</f>
        <v>0.11548592869541863</v>
      </c>
      <c r="AA5" s="5">
        <f t="shared" ref="AA5" si="13">O5-U5</f>
        <v>5.098594268298718E-3</v>
      </c>
      <c r="AB5" s="16" cm="1">
        <f t="array" ref="AB5">SQRT(SUMPRODUCT(((J5:O5-P5:U5)/$AE$3:$AJ$3)^2)/6)*100</f>
        <v>0.36255561838979583</v>
      </c>
      <c r="AC5" s="5">
        <f t="shared" si="7"/>
        <v>0.18000000000000002</v>
      </c>
      <c r="AD5" s="13">
        <v>883.99451977233605</v>
      </c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</row>
    <row r="6" spans="1:128" s="5" customFormat="1" ht="16.5" customHeight="1" x14ac:dyDescent="0.25">
      <c r="A6" s="17">
        <v>0.83277602429999997</v>
      </c>
      <c r="B6" s="17">
        <v>0.2</v>
      </c>
      <c r="C6" s="18">
        <v>4.7123999999999997</v>
      </c>
      <c r="D6" s="17">
        <v>1.4193655153</v>
      </c>
      <c r="E6" s="17">
        <v>0.04</v>
      </c>
      <c r="F6" s="18">
        <v>5.4977999999999998</v>
      </c>
      <c r="G6" s="17">
        <v>4.2084858911999996</v>
      </c>
      <c r="H6" s="17">
        <v>0.52916698419999997</v>
      </c>
      <c r="I6" s="17">
        <v>2.5150427606000001</v>
      </c>
      <c r="J6" s="8">
        <v>-1.43141560256481E-2</v>
      </c>
      <c r="K6" s="8">
        <v>0.19910913825035079</v>
      </c>
      <c r="L6" s="8">
        <v>2.9508465230465089E-2</v>
      </c>
      <c r="M6" s="8">
        <v>-0.46529781818389898</v>
      </c>
      <c r="N6" s="8">
        <v>0.80010873079299905</v>
      </c>
      <c r="O6" s="8">
        <v>-1.7768694162368801</v>
      </c>
      <c r="P6" s="11">
        <v>-9.9467349398809739E-3</v>
      </c>
      <c r="Q6" s="11">
        <v>0.19491140193840861</v>
      </c>
      <c r="R6" s="11">
        <v>3.6661141693672718E-2</v>
      </c>
      <c r="S6" s="11">
        <v>-0.49143762957346776</v>
      </c>
      <c r="T6" s="11">
        <v>0.95769983853539353</v>
      </c>
      <c r="U6" s="11">
        <v>-1.7210880801632216</v>
      </c>
      <c r="V6" s="5">
        <f t="shared" ref="V6:AA7" si="14">J6-P6</f>
        <v>-4.3674210857671258E-3</v>
      </c>
      <c r="W6" s="5">
        <f t="shared" si="14"/>
        <v>4.197736311942174E-3</v>
      </c>
      <c r="X6" s="5">
        <f t="shared" si="14"/>
        <v>-7.1526764632076287E-3</v>
      </c>
      <c r="Y6" s="5">
        <f t="shared" si="14"/>
        <v>2.6139811389568779E-2</v>
      </c>
      <c r="Z6" s="5">
        <f t="shared" si="14"/>
        <v>-0.15759110774239449</v>
      </c>
      <c r="AA6" s="5">
        <f t="shared" si="14"/>
        <v>-5.5781336073658538E-2</v>
      </c>
      <c r="AB6" s="16" cm="1">
        <f t="array" ref="AB6">SQRT(SUMPRODUCT(((J6:O6-P6:U6)/$AE$3:$AJ$3)^2)/6)*100</f>
        <v>0.51301758759947491</v>
      </c>
      <c r="AC6" s="5">
        <f t="shared" si="7"/>
        <v>0.16</v>
      </c>
      <c r="AD6" s="13">
        <v>214.863490368529</v>
      </c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</row>
    <row r="7" spans="1:128" s="5" customFormat="1" ht="16.5" customHeight="1" x14ac:dyDescent="0.25">
      <c r="A7" s="17">
        <v>0.3898403909</v>
      </c>
      <c r="B7" s="17">
        <v>0.2</v>
      </c>
      <c r="C7" s="18">
        <v>1.5708</v>
      </c>
      <c r="D7" s="17">
        <v>0.45028828840000001</v>
      </c>
      <c r="E7" s="17">
        <v>0.04</v>
      </c>
      <c r="F7" s="18">
        <v>2.3561999999999999</v>
      </c>
      <c r="G7" s="17">
        <v>0.34676129480000001</v>
      </c>
      <c r="H7" s="17">
        <v>0.93612470940000003</v>
      </c>
      <c r="I7" s="17">
        <v>2.0702513480000002</v>
      </c>
      <c r="J7" s="8">
        <v>-2.77032051235437E-3</v>
      </c>
      <c r="K7" s="8">
        <v>-8.7060849666595136E-2</v>
      </c>
      <c r="L7" s="8">
        <v>-1.0583339482545799E-2</v>
      </c>
      <c r="M7" s="8">
        <v>-2.05973610281944E-2</v>
      </c>
      <c r="N7" s="8">
        <v>-0.34849351644516002</v>
      </c>
      <c r="O7" s="8">
        <v>0.549818456172943</v>
      </c>
      <c r="P7" s="11">
        <v>-7.276571070631906E-4</v>
      </c>
      <c r="Q7" s="11">
        <v>-8.9172478957474627E-2</v>
      </c>
      <c r="R7" s="11">
        <v>-1.2601727917416226E-2</v>
      </c>
      <c r="S7" s="11">
        <v>-7.263349723119128E-2</v>
      </c>
      <c r="T7" s="11">
        <v>-0.31703067497050286</v>
      </c>
      <c r="U7" s="11">
        <v>0.70289083033907995</v>
      </c>
      <c r="V7" s="5">
        <f t="shared" si="14"/>
        <v>-2.0426634052911792E-3</v>
      </c>
      <c r="W7" s="5">
        <f t="shared" si="14"/>
        <v>2.1116292908794909E-3</v>
      </c>
      <c r="X7" s="5">
        <f t="shared" si="14"/>
        <v>2.0183884348704273E-3</v>
      </c>
      <c r="Y7" s="5">
        <f t="shared" si="14"/>
        <v>5.203613620299688E-2</v>
      </c>
      <c r="Z7" s="5">
        <f t="shared" si="14"/>
        <v>-3.1462841474657166E-2</v>
      </c>
      <c r="AA7" s="5">
        <f t="shared" si="14"/>
        <v>-0.15307237416613695</v>
      </c>
      <c r="AB7" s="16" cm="1">
        <f t="array" ref="AB7">SQRT(SUMPRODUCT(((J7:O7-P7:U7)/$AE$3:$AJ$3)^2)/6)*100</f>
        <v>0.35239692263204508</v>
      </c>
      <c r="AC7" s="5">
        <f t="shared" si="7"/>
        <v>0.16</v>
      </c>
      <c r="AD7" s="13">
        <v>1314.4733005805001</v>
      </c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</row>
    <row r="8" spans="1:128" s="5" customFormat="1" ht="16.5" customHeight="1" x14ac:dyDescent="0.25">
      <c r="A8" s="17">
        <v>0.86958752539999995</v>
      </c>
      <c r="B8" s="17">
        <v>0.2</v>
      </c>
      <c r="C8" s="18">
        <v>0.78539999999999999</v>
      </c>
      <c r="D8" s="17">
        <v>0.66933871</v>
      </c>
      <c r="E8" s="17">
        <v>0.04</v>
      </c>
      <c r="F8" s="18">
        <v>0.78539999999999999</v>
      </c>
      <c r="G8" s="17">
        <v>2.0486073985000002</v>
      </c>
      <c r="H8" s="17">
        <v>1.4427408886999999</v>
      </c>
      <c r="I8" s="17">
        <v>0.53737298850000004</v>
      </c>
      <c r="J8" s="8">
        <v>-1.20506128296256E-2</v>
      </c>
      <c r="K8" s="8">
        <v>-0.12670553922653227</v>
      </c>
      <c r="L8" s="8">
        <v>0.1496409153938289</v>
      </c>
      <c r="M8" s="8">
        <v>-0.31113249063491799</v>
      </c>
      <c r="N8" s="8">
        <v>1.09533703327179</v>
      </c>
      <c r="O8" s="8">
        <v>0.92608898878097501</v>
      </c>
      <c r="P8" s="11">
        <v>-1.1367256117466265E-2</v>
      </c>
      <c r="Q8" s="11">
        <v>-0.13335299382482552</v>
      </c>
      <c r="R8" s="11">
        <v>0.13649071197421059</v>
      </c>
      <c r="S8" s="11">
        <v>-0.4138247837002525</v>
      </c>
      <c r="T8" s="11">
        <v>1.0510963576902097</v>
      </c>
      <c r="U8" s="11">
        <v>0.99726842982004804</v>
      </c>
      <c r="V8" s="5">
        <f t="shared" si="1"/>
        <v>-6.8335671215933452E-4</v>
      </c>
      <c r="W8" s="5">
        <f t="shared" si="2"/>
        <v>6.6474545982932454E-3</v>
      </c>
      <c r="X8" s="5">
        <f t="shared" si="3"/>
        <v>1.3150203419618312E-2</v>
      </c>
      <c r="Y8" s="5">
        <f t="shared" si="4"/>
        <v>0.10269229306533451</v>
      </c>
      <c r="Z8" s="5">
        <f t="shared" si="5"/>
        <v>4.4240675581580291E-2</v>
      </c>
      <c r="AA8" s="5">
        <f t="shared" si="6"/>
        <v>-7.1179441039073033E-2</v>
      </c>
      <c r="AB8" s="16" cm="1">
        <f t="array" ref="AB8">SQRT(SUMPRODUCT(((J8:O8-P8:U8)/$AE$3:$AJ$3)^2)/6)*100</f>
        <v>0.62991033434261634</v>
      </c>
      <c r="AC8" s="5">
        <f t="shared" si="7"/>
        <v>0.16</v>
      </c>
      <c r="AD8" s="13">
        <v>494.45546440875</v>
      </c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</row>
    <row r="9" spans="1:128" s="5" customFormat="1" ht="16.5" customHeight="1" x14ac:dyDescent="0.25">
      <c r="A9" s="17">
        <v>1.2260241731999999</v>
      </c>
      <c r="B9" s="17">
        <v>0.2</v>
      </c>
      <c r="C9" s="18">
        <v>3.1415999999999999</v>
      </c>
      <c r="D9" s="17">
        <v>0.53124592000000004</v>
      </c>
      <c r="E9" s="17">
        <v>0.04</v>
      </c>
      <c r="F9" s="18">
        <v>1.5708</v>
      </c>
      <c r="G9" s="17">
        <v>2.1721905802000001</v>
      </c>
      <c r="H9" s="17">
        <v>4.8592739976999999</v>
      </c>
      <c r="I9" s="17">
        <v>4.1505258277000001</v>
      </c>
      <c r="J9" s="8">
        <v>4.4089788571000099E-3</v>
      </c>
      <c r="K9" s="8">
        <v>-3.1871920824050881E-2</v>
      </c>
      <c r="L9" s="8">
        <v>-0.23815526187419911</v>
      </c>
      <c r="M9" s="8">
        <v>-0.60743898153305098</v>
      </c>
      <c r="N9" s="8">
        <v>-0.81274193525314298</v>
      </c>
      <c r="O9" s="8">
        <v>0.72559177875518799</v>
      </c>
      <c r="P9" s="11">
        <v>1.1621906000636104E-4</v>
      </c>
      <c r="Q9" s="11">
        <v>-1.9647044057656899E-2</v>
      </c>
      <c r="R9" s="11">
        <v>-0.22363328069823935</v>
      </c>
      <c r="S9" s="11">
        <v>-0.67981135425923367</v>
      </c>
      <c r="T9" s="11">
        <v>-1.0200332494927802</v>
      </c>
      <c r="U9" s="11">
        <v>0.52297830467030948</v>
      </c>
      <c r="V9" s="5">
        <f t="shared" si="1"/>
        <v>4.2927597970936491E-3</v>
      </c>
      <c r="W9" s="5">
        <f t="shared" si="2"/>
        <v>-1.2224876766393982E-2</v>
      </c>
      <c r="X9" s="5">
        <f t="shared" si="3"/>
        <v>-1.4521981175959764E-2</v>
      </c>
      <c r="Y9" s="5">
        <f t="shared" si="4"/>
        <v>7.2372372726182688E-2</v>
      </c>
      <c r="Z9" s="5">
        <f t="shared" si="5"/>
        <v>0.2072913142396372</v>
      </c>
      <c r="AA9" s="5">
        <f t="shared" si="6"/>
        <v>0.20261347408487851</v>
      </c>
      <c r="AB9" s="16" cm="1">
        <f t="array" ref="AB9">SQRT(SUMPRODUCT(((J9:O9-P9:U9)/$AE$3:$AJ$3)^2)/6)*100</f>
        <v>0.99186108018374397</v>
      </c>
      <c r="AC9" s="5">
        <f t="shared" si="7"/>
        <v>0.16</v>
      </c>
      <c r="AD9" s="13">
        <v>977.362718776885</v>
      </c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</row>
    <row r="10" spans="1:128" s="5" customFormat="1" ht="16.5" customHeight="1" x14ac:dyDescent="0.25">
      <c r="A10" s="17">
        <v>1.4922792275000001</v>
      </c>
      <c r="B10" s="17">
        <v>0.2</v>
      </c>
      <c r="C10" s="18">
        <v>2.3561999999999999</v>
      </c>
      <c r="D10" s="17">
        <v>1.2493008810999999</v>
      </c>
      <c r="E10" s="17">
        <v>0.04</v>
      </c>
      <c r="F10" s="18">
        <v>0.78539999999999999</v>
      </c>
      <c r="G10" s="17">
        <v>0.65138204079999995</v>
      </c>
      <c r="H10" s="17">
        <v>2.3960292019999998</v>
      </c>
      <c r="I10" s="17">
        <v>3.8310385232000002</v>
      </c>
      <c r="J10" s="8">
        <v>3.9877006784081502E-3</v>
      </c>
      <c r="K10" s="8">
        <v>-0.23812925338745111</v>
      </c>
      <c r="L10" s="8">
        <v>-0.16476846545934729</v>
      </c>
      <c r="M10" s="8">
        <v>-0.90740537643432595</v>
      </c>
      <c r="N10" s="8">
        <v>0.22993692755699199</v>
      </c>
      <c r="O10" s="8">
        <v>1.7137415409088099</v>
      </c>
      <c r="P10" s="11">
        <v>7.9854451274276612E-3</v>
      </c>
      <c r="Q10" s="11">
        <v>-0.21923777313689838</v>
      </c>
      <c r="R10" s="11">
        <v>-0.14849959001010518</v>
      </c>
      <c r="S10" s="11">
        <v>-1.073419196850216</v>
      </c>
      <c r="T10" s="11">
        <v>9.2163967639132358E-2</v>
      </c>
      <c r="U10" s="11">
        <v>1.6250315973471461</v>
      </c>
      <c r="V10" s="5">
        <f t="shared" si="1"/>
        <v>-3.9977444490195109E-3</v>
      </c>
      <c r="W10" s="5">
        <f t="shared" si="2"/>
        <v>-1.8891480250552733E-2</v>
      </c>
      <c r="X10" s="5">
        <f t="shared" si="3"/>
        <v>-1.6268875449242104E-2</v>
      </c>
      <c r="Y10" s="5">
        <f t="shared" si="4"/>
        <v>0.16601382041589008</v>
      </c>
      <c r="Z10" s="5">
        <f t="shared" si="5"/>
        <v>0.13777295991785965</v>
      </c>
      <c r="AA10" s="5">
        <f t="shared" si="6"/>
        <v>8.870994356166384E-2</v>
      </c>
      <c r="AB10" s="16" cm="1">
        <f t="array" ref="AB10">SQRT(SUMPRODUCT(((J10:O10-P10:U10)/$AE$3:$AJ$3)^2)/6)*100</f>
        <v>1.0895940533020496</v>
      </c>
      <c r="AC10" s="5">
        <f t="shared" si="7"/>
        <v>0.16</v>
      </c>
      <c r="AD10" s="13">
        <v>827.55067436062598</v>
      </c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</row>
    <row r="11" spans="1:128" ht="16.5" customHeight="1" x14ac:dyDescent="0.25">
      <c r="A11" s="17">
        <v>1.4258680059</v>
      </c>
      <c r="B11" s="17">
        <v>0.2</v>
      </c>
      <c r="C11" s="18">
        <v>4.7123999999999997</v>
      </c>
      <c r="D11" s="17">
        <v>0.35291314260000001</v>
      </c>
      <c r="E11" s="17">
        <v>0.04</v>
      </c>
      <c r="F11" s="18">
        <v>0</v>
      </c>
      <c r="G11" s="17">
        <v>3.4810259851000001</v>
      </c>
      <c r="H11" s="17">
        <v>1.1294030872</v>
      </c>
      <c r="I11" s="17">
        <v>4.9138255752999997</v>
      </c>
      <c r="J11" s="8">
        <v>-2.5121536105871201E-2</v>
      </c>
      <c r="K11" s="8">
        <v>0.23443316221237209</v>
      </c>
      <c r="L11" s="8">
        <v>2.2260813415050131E-3</v>
      </c>
      <c r="M11" s="8">
        <v>-1.1394190788269001</v>
      </c>
      <c r="N11" s="8">
        <v>0.194542020559311</v>
      </c>
      <c r="O11" s="8">
        <v>-0.71812152862548795</v>
      </c>
      <c r="P11" s="11">
        <v>-1.505975193401639E-2</v>
      </c>
      <c r="Q11" s="11">
        <v>0.23034927200999691</v>
      </c>
      <c r="R11" s="11">
        <v>5.9929731875091484E-3</v>
      </c>
      <c r="S11" s="11">
        <v>-1.1794758825759248</v>
      </c>
      <c r="T11" s="11">
        <v>0.24622370720071965</v>
      </c>
      <c r="U11" s="11">
        <v>-0.79612146817346952</v>
      </c>
      <c r="V11" s="5">
        <f t="shared" ref="V11:V12" si="15">J11-P11</f>
        <v>-1.0061784171854811E-2</v>
      </c>
      <c r="W11" s="5">
        <f t="shared" ref="W11:W12" si="16">K11-Q11</f>
        <v>4.0838902023751789E-3</v>
      </c>
      <c r="X11" s="5">
        <f t="shared" ref="X11:X12" si="17">L11-R11</f>
        <v>-3.7668918460041353E-3</v>
      </c>
      <c r="Y11" s="5">
        <f t="shared" ref="Y11:Y12" si="18">M11-S11</f>
        <v>4.0056803749024761E-2</v>
      </c>
      <c r="Z11" s="5">
        <f t="shared" ref="Z11:Z12" si="19">N11-T11</f>
        <v>-5.1681686641408653E-2</v>
      </c>
      <c r="AA11" s="5">
        <f t="shared" ref="AA11:AA12" si="20">O11-U11</f>
        <v>7.7999939547981567E-2</v>
      </c>
      <c r="AB11" s="16" cm="1">
        <f t="array" ref="AB11">SQRT(SUMPRODUCT(((J11:O11-P11:U11)/$AE$3:$AJ$3)^2)/6)*100</f>
        <v>0.50734654492891529</v>
      </c>
      <c r="AC11" s="5">
        <f t="shared" si="7"/>
        <v>0.16</v>
      </c>
      <c r="AD11" s="13">
        <v>2387.7694271646001</v>
      </c>
    </row>
    <row r="12" spans="1:128" ht="16.5" customHeight="1" x14ac:dyDescent="0.25">
      <c r="A12" s="17">
        <v>1.2847663906</v>
      </c>
      <c r="B12" s="17">
        <v>0.18</v>
      </c>
      <c r="C12" s="18">
        <v>0.78539999999999999</v>
      </c>
      <c r="D12" s="17">
        <v>0.98965387010000005</v>
      </c>
      <c r="E12" s="17">
        <v>0.04</v>
      </c>
      <c r="F12" s="18">
        <v>3.927</v>
      </c>
      <c r="G12" s="17">
        <v>3.2068327339999998</v>
      </c>
      <c r="H12" s="17">
        <v>3.5469168124000001</v>
      </c>
      <c r="I12" s="17">
        <v>1.1514404992</v>
      </c>
      <c r="J12" s="8">
        <v>-1.56177338212729E-2</v>
      </c>
      <c r="K12" s="8">
        <v>-0.12120571285486201</v>
      </c>
      <c r="L12" s="8">
        <v>0.12601706266403204</v>
      </c>
      <c r="M12" s="8">
        <v>-0.64654499292373702</v>
      </c>
      <c r="N12" s="8">
        <v>-2.8156310319900499E-2</v>
      </c>
      <c r="O12" s="8">
        <v>-0.153284221887589</v>
      </c>
      <c r="P12" s="11">
        <v>-2.2032908978442099E-2</v>
      </c>
      <c r="Q12" s="11">
        <v>-0.11991240733687684</v>
      </c>
      <c r="R12" s="11">
        <v>0.1288979206075799</v>
      </c>
      <c r="S12" s="11">
        <v>-0.60916319699981791</v>
      </c>
      <c r="T12" s="11">
        <v>0.14463191039889828</v>
      </c>
      <c r="U12" s="11">
        <v>6.7462752273467928E-3</v>
      </c>
      <c r="V12" s="5">
        <f t="shared" si="15"/>
        <v>6.4151751571691982E-3</v>
      </c>
      <c r="W12" s="5">
        <f t="shared" si="16"/>
        <v>-1.2933055179851632E-3</v>
      </c>
      <c r="X12" s="5">
        <f t="shared" si="17"/>
        <v>-2.8808579435478654E-3</v>
      </c>
      <c r="Y12" s="5">
        <f t="shared" si="18"/>
        <v>-3.7381795923919103E-2</v>
      </c>
      <c r="Z12" s="5">
        <f t="shared" si="19"/>
        <v>-0.17278822071879879</v>
      </c>
      <c r="AA12" s="5">
        <f t="shared" si="20"/>
        <v>-0.1600304971149358</v>
      </c>
      <c r="AB12" s="16" cm="1">
        <f t="array" ref="AB12">SQRT(SUMPRODUCT(((J12:O12-P12:U12)/$AE$3:$AJ$3)^2)/6)*100</f>
        <v>0.56299562359491806</v>
      </c>
      <c r="AC12" s="5">
        <f t="shared" si="7"/>
        <v>0.13999999999999999</v>
      </c>
      <c r="AD12" s="13">
        <v>378.090422116365</v>
      </c>
    </row>
    <row r="13" spans="1:128" ht="16.5" customHeight="1" x14ac:dyDescent="0.25">
      <c r="A13" s="17">
        <v>0.82078888689999996</v>
      </c>
      <c r="B13" s="17">
        <v>0.18</v>
      </c>
      <c r="C13" s="18">
        <v>0</v>
      </c>
      <c r="D13" s="17">
        <v>1.3252826163</v>
      </c>
      <c r="E13" s="17">
        <v>0.04</v>
      </c>
      <c r="F13" s="18">
        <v>0</v>
      </c>
      <c r="G13" s="17">
        <v>3.9081993600000003E-2</v>
      </c>
      <c r="H13" s="17">
        <v>2.9262884955000001</v>
      </c>
      <c r="I13" s="17">
        <v>4.7431789933999999</v>
      </c>
      <c r="J13" s="8">
        <v>1.23578244820237E-2</v>
      </c>
      <c r="K13" s="8">
        <v>-1.5243557468056657E-2</v>
      </c>
      <c r="L13" s="8">
        <v>0.2045297563076019</v>
      </c>
      <c r="M13" s="8">
        <v>-0.23820373415946999</v>
      </c>
      <c r="N13" s="8">
        <v>2.0633363723754901</v>
      </c>
      <c r="O13" s="8">
        <v>8.5576176643371596E-2</v>
      </c>
      <c r="P13" s="11">
        <v>1.0402978076572764E-2</v>
      </c>
      <c r="Q13" s="11">
        <v>-3.2170355157620026E-3</v>
      </c>
      <c r="R13" s="11">
        <v>0.19878735749825119</v>
      </c>
      <c r="S13" s="11">
        <v>-0.17707945371462511</v>
      </c>
      <c r="T13" s="11">
        <v>2.1297328351814553</v>
      </c>
      <c r="U13" s="11">
        <v>3.0808254045253215E-2</v>
      </c>
      <c r="V13" s="5">
        <f t="shared" ref="V13:V22" si="21">J13-P13</f>
        <v>1.9548464054509364E-3</v>
      </c>
      <c r="W13" s="5">
        <f t="shared" ref="W13:W22" si="22">K13-Q13</f>
        <v>-1.2026521952294655E-2</v>
      </c>
      <c r="X13" s="5">
        <f t="shared" ref="X13:X22" si="23">L13-R13</f>
        <v>5.7423988093507072E-3</v>
      </c>
      <c r="Y13" s="5">
        <f t="shared" ref="Y13:Y22" si="24">M13-S13</f>
        <v>-6.1124280444844886E-2</v>
      </c>
      <c r="Z13" s="5">
        <f t="shared" ref="Z13:Z22" si="25">N13-T13</f>
        <v>-6.6396462805965228E-2</v>
      </c>
      <c r="AA13" s="5">
        <f t="shared" ref="AA13:AA22" si="26">O13-U13</f>
        <v>5.4767922598118385E-2</v>
      </c>
      <c r="AB13" s="16" cm="1">
        <f t="array" ref="AB13">SQRT(SUMPRODUCT(((J13:O13-P13:U13)/$AE$3:$AJ$3)^2)/6)*100</f>
        <v>0.5787798444406641</v>
      </c>
      <c r="AC13" s="5">
        <f t="shared" si="7"/>
        <v>0.13999999999999999</v>
      </c>
      <c r="AD13" s="13">
        <v>469.58688274687501</v>
      </c>
    </row>
    <row r="14" spans="1:128" ht="16.5" customHeight="1" x14ac:dyDescent="0.25">
      <c r="A14" s="17">
        <v>0.51355824630000002</v>
      </c>
      <c r="B14" s="17">
        <v>0.2</v>
      </c>
      <c r="C14" s="18">
        <v>2.3561999999999999</v>
      </c>
      <c r="D14" s="17">
        <v>0.96095190770000005</v>
      </c>
      <c r="E14" s="17">
        <v>0.06</v>
      </c>
      <c r="F14" s="18">
        <v>0</v>
      </c>
      <c r="G14" s="17">
        <v>2.4382389278000001</v>
      </c>
      <c r="H14" s="17">
        <v>4.2854047354000002</v>
      </c>
      <c r="I14" s="17">
        <v>0.33901404839999999</v>
      </c>
      <c r="J14" s="8">
        <v>5.3502889350056596E-3</v>
      </c>
      <c r="K14" s="8">
        <v>-6.201133310794836E-2</v>
      </c>
      <c r="L14" s="8">
        <v>2.4065852165215673E-4</v>
      </c>
      <c r="M14" s="8">
        <v>-0.18366065621375999</v>
      </c>
      <c r="N14" s="8">
        <v>0.79279768466949496</v>
      </c>
      <c r="O14" s="8">
        <v>0.28229478001594499</v>
      </c>
      <c r="P14" s="11">
        <v>5.1326625979887276E-3</v>
      </c>
      <c r="Q14" s="11">
        <v>-6.7299293151592471E-2</v>
      </c>
      <c r="R14" s="11">
        <v>-1.1164187450983807E-2</v>
      </c>
      <c r="S14" s="11">
        <v>-0.2171281482437149</v>
      </c>
      <c r="T14" s="11">
        <v>0.62034440929891488</v>
      </c>
      <c r="U14" s="11">
        <v>0.31266789618854773</v>
      </c>
      <c r="V14" s="5">
        <f t="shared" si="21"/>
        <v>2.17626337016932E-4</v>
      </c>
      <c r="W14" s="5">
        <f t="shared" si="22"/>
        <v>5.2879600436441104E-3</v>
      </c>
      <c r="X14" s="5">
        <f t="shared" si="23"/>
        <v>1.1404845972635963E-2</v>
      </c>
      <c r="Y14" s="5">
        <f t="shared" si="24"/>
        <v>3.3467492029954915E-2</v>
      </c>
      <c r="Z14" s="5">
        <f t="shared" si="25"/>
        <v>0.17245327537058008</v>
      </c>
      <c r="AA14" s="5">
        <f t="shared" si="26"/>
        <v>-3.0373116172602743E-2</v>
      </c>
      <c r="AB14" s="16" cm="1">
        <f t="array" ref="AB14">SQRT(SUMPRODUCT(((J14:O14-P14:U14)/$AE$3:$AJ$3)^2)/6)*100</f>
        <v>0.62589691860387442</v>
      </c>
      <c r="AC14" s="5">
        <f t="shared" si="7"/>
        <v>0.14000000000000001</v>
      </c>
      <c r="AD14" s="13">
        <v>496.63892383411002</v>
      </c>
    </row>
    <row r="15" spans="1:128" ht="16.5" customHeight="1" x14ac:dyDescent="0.25">
      <c r="A15" s="17">
        <v>0.35944564579999999</v>
      </c>
      <c r="B15" s="17">
        <v>0.18</v>
      </c>
      <c r="C15" s="18">
        <v>5.4977999999999998</v>
      </c>
      <c r="D15" s="17">
        <v>1.2877652723999999</v>
      </c>
      <c r="E15" s="17">
        <v>0.04</v>
      </c>
      <c r="F15" s="18">
        <v>2.3561999999999999</v>
      </c>
      <c r="G15" s="17">
        <v>2.1189458146</v>
      </c>
      <c r="H15" s="17">
        <v>2.2606748846000002</v>
      </c>
      <c r="I15" s="17">
        <v>0.94750633689999997</v>
      </c>
      <c r="J15" s="8">
        <v>-9.5291109755635305E-4</v>
      </c>
      <c r="K15" s="8">
        <v>4.1426768898963698E-3</v>
      </c>
      <c r="L15" s="8">
        <v>5.4550425708294603E-3</v>
      </c>
      <c r="M15" s="8">
        <v>1.4017973095178601E-2</v>
      </c>
      <c r="N15" s="8">
        <v>-0.72726076841354403</v>
      </c>
      <c r="O15" s="8">
        <v>0.73515439033508301</v>
      </c>
      <c r="P15" s="11">
        <v>-9.2363259087020348E-5</v>
      </c>
      <c r="Q15" s="11">
        <v>9.2716868233437989E-3</v>
      </c>
      <c r="R15" s="11">
        <v>9.1990365796721912E-3</v>
      </c>
      <c r="S15" s="11">
        <v>-2.3554301600111516E-2</v>
      </c>
      <c r="T15" s="11">
        <v>-0.65782840755021821</v>
      </c>
      <c r="U15" s="11">
        <v>0.65738204215263174</v>
      </c>
      <c r="V15" s="5">
        <f t="shared" si="21"/>
        <v>-8.6054783846933273E-4</v>
      </c>
      <c r="W15" s="5">
        <f t="shared" si="22"/>
        <v>-5.1290099334474291E-3</v>
      </c>
      <c r="X15" s="5">
        <f t="shared" si="23"/>
        <v>-3.7439940088427309E-3</v>
      </c>
      <c r="Y15" s="5">
        <f t="shared" si="24"/>
        <v>3.757227469529012E-2</v>
      </c>
      <c r="Z15" s="5">
        <f t="shared" si="25"/>
        <v>-6.9432360863325826E-2</v>
      </c>
      <c r="AA15" s="5">
        <f t="shared" si="26"/>
        <v>7.7772348182451267E-2</v>
      </c>
      <c r="AB15" s="16" cm="1">
        <f t="array" ref="AB15">SQRT(SUMPRODUCT(((J15:O15-P15:U15)/$AE$3:$AJ$3)^2)/6)*100</f>
        <v>0.33820700264764636</v>
      </c>
      <c r="AC15" s="5">
        <f t="shared" si="7"/>
        <v>0.13999999999999999</v>
      </c>
      <c r="AD15" s="13">
        <v>2739.2714644073799</v>
      </c>
    </row>
    <row r="16" spans="1:128" ht="16.5" customHeight="1" x14ac:dyDescent="0.25">
      <c r="A16" s="17">
        <v>1.2267525763</v>
      </c>
      <c r="B16" s="17">
        <v>0.16</v>
      </c>
      <c r="C16" s="18">
        <v>5.4977999999999998</v>
      </c>
      <c r="D16" s="17">
        <v>1.4944716747</v>
      </c>
      <c r="E16" s="17">
        <v>0.04</v>
      </c>
      <c r="F16" s="18">
        <v>3.927</v>
      </c>
      <c r="G16" s="17">
        <v>0.31884207939999998</v>
      </c>
      <c r="H16" s="17">
        <v>3.8007215218999999</v>
      </c>
      <c r="I16" s="17">
        <v>0.48541647729999998</v>
      </c>
      <c r="J16" s="8">
        <v>1.0649194940924599E-2</v>
      </c>
      <c r="K16" s="8">
        <v>0.16992033243179369</v>
      </c>
      <c r="L16" s="8">
        <v>9.9608231484890009E-2</v>
      </c>
      <c r="M16" s="8">
        <v>-0.27858194708824202</v>
      </c>
      <c r="N16" s="8">
        <v>-0.33142736554145802</v>
      </c>
      <c r="O16" s="8">
        <v>-1.73035156726837</v>
      </c>
      <c r="P16" s="11">
        <v>9.6089863017908058E-3</v>
      </c>
      <c r="Q16" s="11">
        <v>0.17850590669060526</v>
      </c>
      <c r="R16" s="11">
        <v>9.5924773686692194E-2</v>
      </c>
      <c r="S16" s="11">
        <v>-0.30831899888533093</v>
      </c>
      <c r="T16" s="11">
        <v>-0.19271956543538674</v>
      </c>
      <c r="U16" s="11">
        <v>-1.8883850097180255</v>
      </c>
      <c r="V16" s="5">
        <f t="shared" si="21"/>
        <v>1.0402086391337936E-3</v>
      </c>
      <c r="W16" s="5">
        <f t="shared" si="22"/>
        <v>-8.585574258811568E-3</v>
      </c>
      <c r="X16" s="5">
        <f t="shared" si="23"/>
        <v>3.6834577981978145E-3</v>
      </c>
      <c r="Y16" s="5">
        <f t="shared" si="24"/>
        <v>2.9737051797088909E-2</v>
      </c>
      <c r="Z16" s="5">
        <f t="shared" si="25"/>
        <v>-0.13870780010607128</v>
      </c>
      <c r="AA16" s="5">
        <f t="shared" si="26"/>
        <v>0.15803344244965545</v>
      </c>
      <c r="AB16" s="16" cm="1">
        <f t="array" ref="AB16">SQRT(SUMPRODUCT(((J16:O16-P16:U16)/$AE$3:$AJ$3)^2)/6)*100</f>
        <v>0.57611294365844889</v>
      </c>
      <c r="AC16" s="5">
        <f t="shared" si="7"/>
        <v>0.12</v>
      </c>
      <c r="AD16" s="13">
        <v>231.264969730491</v>
      </c>
    </row>
    <row r="17" spans="1:30" ht="16.5" customHeight="1" x14ac:dyDescent="0.25">
      <c r="A17" s="17">
        <v>0.64421489080000005</v>
      </c>
      <c r="B17" s="17">
        <v>0.14000000000000001</v>
      </c>
      <c r="C17" s="18">
        <v>0</v>
      </c>
      <c r="D17" s="17">
        <v>0.8523470823</v>
      </c>
      <c r="E17" s="17">
        <v>0.02</v>
      </c>
      <c r="F17" s="18">
        <v>4.7123999999999997</v>
      </c>
      <c r="G17" s="17">
        <v>8.0437148799999997E-2</v>
      </c>
      <c r="H17" s="17">
        <v>0.35167971240000001</v>
      </c>
      <c r="I17" s="17">
        <v>1.0501461195999999</v>
      </c>
      <c r="J17" s="8">
        <v>2.75095622055233E-3</v>
      </c>
      <c r="K17" s="8">
        <v>1.119949698448186E-2</v>
      </c>
      <c r="L17" s="8">
        <v>9.1276741027832203E-2</v>
      </c>
      <c r="M17" s="8">
        <v>-9.1020502150058705E-2</v>
      </c>
      <c r="N17" s="8">
        <v>0.58842658996581998</v>
      </c>
      <c r="O17" s="8">
        <v>-0.91785299777984597</v>
      </c>
      <c r="P17" s="11">
        <v>9.0690749726883178E-4</v>
      </c>
      <c r="Q17" s="11">
        <v>1.6935810381398551E-2</v>
      </c>
      <c r="R17" s="11">
        <v>9.0120338526951393E-2</v>
      </c>
      <c r="S17" s="11">
        <v>-5.6753285206689763E-2</v>
      </c>
      <c r="T17" s="11">
        <v>0.64174639988342841</v>
      </c>
      <c r="U17" s="11">
        <v>-0.85096854422161572</v>
      </c>
      <c r="V17" s="5">
        <f t="shared" si="21"/>
        <v>1.8440487232834982E-3</v>
      </c>
      <c r="W17" s="5">
        <f t="shared" si="22"/>
        <v>-5.7363133969166903E-3</v>
      </c>
      <c r="X17" s="5">
        <f t="shared" si="23"/>
        <v>1.1564025008808099E-3</v>
      </c>
      <c r="Y17" s="5">
        <f t="shared" si="24"/>
        <v>-3.4267216943368942E-2</v>
      </c>
      <c r="Z17" s="5">
        <f t="shared" si="25"/>
        <v>-5.3319809917608429E-2</v>
      </c>
      <c r="AA17" s="5">
        <f t="shared" si="26"/>
        <v>-6.688445355823025E-2</v>
      </c>
      <c r="AB17" s="16" cm="1">
        <f t="array" ref="AB17">SQRT(SUMPRODUCT(((J17:O17-P17:U17)/$AE$3:$AJ$3)^2)/6)*100</f>
        <v>0.30621501935206624</v>
      </c>
      <c r="AC17" s="5">
        <f t="shared" si="7"/>
        <v>0.12000000000000001</v>
      </c>
      <c r="AD17" s="13">
        <v>437.69063130900997</v>
      </c>
    </row>
    <row r="18" spans="1:30" ht="16.5" customHeight="1" x14ac:dyDescent="0.25">
      <c r="A18" s="17">
        <v>1.1302547975999999</v>
      </c>
      <c r="B18" s="17">
        <v>0.16</v>
      </c>
      <c r="C18" s="18">
        <v>4.7123999999999997</v>
      </c>
      <c r="D18" s="17">
        <v>1.3446433494000001</v>
      </c>
      <c r="E18" s="17">
        <v>0.04</v>
      </c>
      <c r="F18" s="18">
        <v>0</v>
      </c>
      <c r="G18" s="17">
        <v>1.0644222964000001</v>
      </c>
      <c r="H18" s="17">
        <v>1.4761094460999999</v>
      </c>
      <c r="I18" s="17">
        <v>3.5278441351000001</v>
      </c>
      <c r="J18" s="8">
        <v>7.3962844908237498E-5</v>
      </c>
      <c r="K18" s="8">
        <v>0.17089873731136307</v>
      </c>
      <c r="L18" s="8">
        <v>6.3021872043609928E-2</v>
      </c>
      <c r="M18" s="8">
        <v>-0.50616961717605602</v>
      </c>
      <c r="N18" s="8">
        <v>1.39708912372589</v>
      </c>
      <c r="O18" s="8">
        <v>-0.796242535114288</v>
      </c>
      <c r="P18" s="11">
        <v>1.1259663706421595E-3</v>
      </c>
      <c r="Q18" s="11">
        <v>0.17028627945619543</v>
      </c>
      <c r="R18" s="11">
        <v>5.3794570103623394E-2</v>
      </c>
      <c r="S18" s="11">
        <v>-0.56118807512278412</v>
      </c>
      <c r="T18" s="11">
        <v>1.3457746141957543</v>
      </c>
      <c r="U18" s="11">
        <v>-0.98252625053197218</v>
      </c>
      <c r="V18" s="5">
        <f t="shared" si="21"/>
        <v>-1.052003525733922E-3</v>
      </c>
      <c r="W18" s="5">
        <f t="shared" si="22"/>
        <v>6.1245785516764184E-4</v>
      </c>
      <c r="X18" s="5">
        <f t="shared" si="23"/>
        <v>9.2273019399865333E-3</v>
      </c>
      <c r="Y18" s="5">
        <f t="shared" si="24"/>
        <v>5.5018457946728105E-2</v>
      </c>
      <c r="Z18" s="5">
        <f t="shared" si="25"/>
        <v>5.1314509530135721E-2</v>
      </c>
      <c r="AA18" s="5">
        <f t="shared" si="26"/>
        <v>0.18628371541768418</v>
      </c>
      <c r="AB18" s="16" cm="1">
        <f t="array" ref="AB18">SQRT(SUMPRODUCT(((J18:O18-P18:U18)/$AE$3:$AJ$3)^2)/6)*100</f>
        <v>0.54894256347205461</v>
      </c>
      <c r="AC18" s="5">
        <f t="shared" si="7"/>
        <v>0.12</v>
      </c>
      <c r="AD18" s="13">
        <v>805.85456510326605</v>
      </c>
    </row>
    <row r="19" spans="1:30" ht="16.5" customHeight="1" x14ac:dyDescent="0.25">
      <c r="A19" s="17">
        <v>0.44052297210000002</v>
      </c>
      <c r="B19" s="17">
        <v>0.14000000000000001</v>
      </c>
      <c r="C19" s="18">
        <v>0.78539999999999999</v>
      </c>
      <c r="D19" s="17">
        <v>1.0539703866000001</v>
      </c>
      <c r="E19" s="17">
        <v>0.02</v>
      </c>
      <c r="F19" s="18">
        <v>3.1415999999999999</v>
      </c>
      <c r="G19" s="17">
        <v>2.7027230284999999</v>
      </c>
      <c r="H19" s="17">
        <v>1.6080541686000001</v>
      </c>
      <c r="I19" s="17">
        <v>1.7094513416999999</v>
      </c>
      <c r="J19" s="8">
        <v>2.9437544289976402E-3</v>
      </c>
      <c r="K19" s="8">
        <v>-5.4780912101268772E-2</v>
      </c>
      <c r="L19" s="8">
        <v>2.008378580212599E-2</v>
      </c>
      <c r="M19" s="8">
        <v>-2.3114085197448699E-2</v>
      </c>
      <c r="N19" s="8">
        <v>-0.82051932811737105</v>
      </c>
      <c r="O19" s="8">
        <v>0.34984213113784801</v>
      </c>
      <c r="P19" s="11">
        <v>-6.3446046923739373E-4</v>
      </c>
      <c r="Q19" s="11">
        <v>-4.3502274863349989E-2</v>
      </c>
      <c r="R19" s="11">
        <v>2.2456917952155628E-2</v>
      </c>
      <c r="S19" s="11">
        <v>-4.9362948793462355E-2</v>
      </c>
      <c r="T19" s="11">
        <v>-0.74408068995824317</v>
      </c>
      <c r="U19" s="11">
        <v>0.30890392176102227</v>
      </c>
      <c r="V19" s="5">
        <f t="shared" si="21"/>
        <v>3.5782148982350338E-3</v>
      </c>
      <c r="W19" s="5">
        <f t="shared" si="22"/>
        <v>-1.1278637237918783E-2</v>
      </c>
      <c r="X19" s="5">
        <f t="shared" si="23"/>
        <v>-2.373132150029638E-3</v>
      </c>
      <c r="Y19" s="5">
        <f t="shared" si="24"/>
        <v>2.6248863596013656E-2</v>
      </c>
      <c r="Z19" s="5">
        <f t="shared" si="25"/>
        <v>-7.6438638159127881E-2</v>
      </c>
      <c r="AA19" s="5">
        <f t="shared" si="26"/>
        <v>4.093820937682574E-2</v>
      </c>
      <c r="AB19" s="16" cm="1">
        <f t="array" ref="AB19">SQRT(SUMPRODUCT(((J19:O19-P19:U19)/$AE$3:$AJ$3)^2)/6)*100</f>
        <v>0.5238184031041222</v>
      </c>
      <c r="AC19" s="5">
        <f t="shared" si="7"/>
        <v>0.12000000000000001</v>
      </c>
      <c r="AD19" s="13">
        <v>1423.74196433815</v>
      </c>
    </row>
    <row r="20" spans="1:30" ht="16.5" customHeight="1" x14ac:dyDescent="0.25">
      <c r="A20" s="17">
        <v>1.4424756030000001</v>
      </c>
      <c r="B20" s="17">
        <v>0.16</v>
      </c>
      <c r="C20" s="18">
        <v>0.78539999999999999</v>
      </c>
      <c r="D20" s="17">
        <v>1.1597422298</v>
      </c>
      <c r="E20" s="17">
        <v>0.04</v>
      </c>
      <c r="F20" s="18">
        <v>2.3561999999999999</v>
      </c>
      <c r="G20" s="17">
        <v>4.8092587324</v>
      </c>
      <c r="H20" s="17">
        <v>0.4784433911</v>
      </c>
      <c r="I20" s="17">
        <v>4.3446054411999997</v>
      </c>
      <c r="J20" s="8">
        <v>1.31220342591405E-2</v>
      </c>
      <c r="K20" s="8">
        <v>-0.20049199104309079</v>
      </c>
      <c r="L20" s="8">
        <v>0.11521145343780499</v>
      </c>
      <c r="M20" s="8">
        <v>-0.53803932666778598</v>
      </c>
      <c r="N20" s="8">
        <v>-0.11040961742401099</v>
      </c>
      <c r="O20" s="8">
        <v>1.7156174182891799</v>
      </c>
      <c r="P20" s="11">
        <v>1.1159159805062713E-3</v>
      </c>
      <c r="Q20" s="11">
        <v>-0.1908330819818187</v>
      </c>
      <c r="R20" s="11">
        <v>0.12130838566433298</v>
      </c>
      <c r="S20" s="11">
        <v>-0.6475100942544344</v>
      </c>
      <c r="T20" s="11">
        <v>8.9905084530628135E-2</v>
      </c>
      <c r="U20" s="11">
        <v>1.7545073957563271</v>
      </c>
      <c r="V20" s="5">
        <f t="shared" si="21"/>
        <v>1.2006118278634228E-2</v>
      </c>
      <c r="W20" s="5">
        <f t="shared" si="22"/>
        <v>-9.6589090612720918E-3</v>
      </c>
      <c r="X20" s="5">
        <f t="shared" si="23"/>
        <v>-6.0969322265279902E-3</v>
      </c>
      <c r="Y20" s="5">
        <f t="shared" si="24"/>
        <v>0.10947076758664842</v>
      </c>
      <c r="Z20" s="5">
        <f t="shared" si="25"/>
        <v>-0.20031470195463913</v>
      </c>
      <c r="AA20" s="5">
        <f t="shared" si="26"/>
        <v>-3.8889977467147174E-2</v>
      </c>
      <c r="AB20" s="16" cm="1">
        <f t="array" ref="AB20">SQRT(SUMPRODUCT(((J20:O20-P20:U20)/$AE$3:$AJ$3)^2)/6)*100</f>
        <v>0.79795452595788874</v>
      </c>
      <c r="AC20" s="5">
        <f t="shared" si="7"/>
        <v>0.12</v>
      </c>
      <c r="AD20" s="13">
        <v>308.16246208647402</v>
      </c>
    </row>
    <row r="21" spans="1:30" ht="16.5" customHeight="1" x14ac:dyDescent="0.25">
      <c r="A21" s="17">
        <v>1.3085202701</v>
      </c>
      <c r="B21" s="17">
        <v>0.14000000000000001</v>
      </c>
      <c r="C21" s="18">
        <v>3.927</v>
      </c>
      <c r="D21" s="17">
        <v>1.4295469448</v>
      </c>
      <c r="E21" s="17">
        <v>0.02</v>
      </c>
      <c r="F21" s="18">
        <v>0</v>
      </c>
      <c r="G21" s="17">
        <v>4.5210753759999998</v>
      </c>
      <c r="H21" s="17">
        <v>3.0172330613999998</v>
      </c>
      <c r="I21" s="17">
        <v>0.83361274470000002</v>
      </c>
      <c r="J21" s="8">
        <v>-5.1512643694877598E-3</v>
      </c>
      <c r="K21" s="8">
        <v>0.13977229416370424</v>
      </c>
      <c r="L21" s="8">
        <v>-9.0497039407491653E-2</v>
      </c>
      <c r="M21" s="8">
        <v>-0.203321859240532</v>
      </c>
      <c r="N21" s="8">
        <v>0.647000432014465</v>
      </c>
      <c r="O21" s="8">
        <v>-0.89956176280975297</v>
      </c>
      <c r="P21" s="11">
        <v>-2.5700191342012358E-3</v>
      </c>
      <c r="Q21" s="11">
        <v>0.12926676446803684</v>
      </c>
      <c r="R21" s="11">
        <v>-0.10049598999376227</v>
      </c>
      <c r="S21" s="11">
        <v>-0.17919402622521449</v>
      </c>
      <c r="T21" s="11">
        <v>0.51236196350042895</v>
      </c>
      <c r="U21" s="11">
        <v>-0.91485029349079139</v>
      </c>
      <c r="V21" s="5">
        <f t="shared" si="21"/>
        <v>-2.581245235286524E-3</v>
      </c>
      <c r="W21" s="5">
        <f t="shared" si="22"/>
        <v>1.0505529695667398E-2</v>
      </c>
      <c r="X21" s="5">
        <f t="shared" si="23"/>
        <v>9.9989505862706218E-3</v>
      </c>
      <c r="Y21" s="5">
        <f t="shared" si="24"/>
        <v>-2.4127833015317512E-2</v>
      </c>
      <c r="Z21" s="5">
        <f t="shared" si="25"/>
        <v>0.13463846851403605</v>
      </c>
      <c r="AA21" s="5">
        <f t="shared" si="26"/>
        <v>1.5288530681038415E-2</v>
      </c>
      <c r="AB21" s="16" cm="1">
        <f t="array" ref="AB21">SQRT(SUMPRODUCT(((J21:O21-P21:U21)/$AE$3:$AJ$3)^2)/6)*100</f>
        <v>0.66215914991896585</v>
      </c>
      <c r="AC21" s="5">
        <f t="shared" si="7"/>
        <v>0.12000000000000001</v>
      </c>
      <c r="AD21" s="13">
        <v>1514.3525859680799</v>
      </c>
    </row>
    <row r="22" spans="1:30" ht="16.5" customHeight="1" x14ac:dyDescent="0.25">
      <c r="A22" s="17">
        <v>1.0278031490999999</v>
      </c>
      <c r="B22" s="17">
        <v>0.14000000000000001</v>
      </c>
      <c r="C22" s="18">
        <v>0</v>
      </c>
      <c r="D22" s="17">
        <v>0.3286386073</v>
      </c>
      <c r="E22" s="17">
        <v>0.04</v>
      </c>
      <c r="F22" s="18">
        <v>2.3561999999999999</v>
      </c>
      <c r="G22" s="17">
        <v>2.4776605121999999</v>
      </c>
      <c r="H22" s="17">
        <v>0.70416387319999996</v>
      </c>
      <c r="I22" s="17">
        <v>1.306033752</v>
      </c>
      <c r="J22" s="8">
        <v>-9.1127436608076096E-3</v>
      </c>
      <c r="K22" s="8">
        <v>-1.3350144028663712E-3</v>
      </c>
      <c r="L22" s="8">
        <v>0.14257132291793856</v>
      </c>
      <c r="M22" s="8">
        <v>-0.40405035018920898</v>
      </c>
      <c r="N22" s="8">
        <v>0.56010144948959395</v>
      </c>
      <c r="O22" s="8">
        <v>0.224302783608437</v>
      </c>
      <c r="P22" s="11">
        <v>-8.7671729348575409E-4</v>
      </c>
      <c r="Q22" s="11">
        <v>-9.084089980374738E-3</v>
      </c>
      <c r="R22" s="11">
        <v>0.13331321008961414</v>
      </c>
      <c r="S22" s="11">
        <v>-0.19746292407250438</v>
      </c>
      <c r="T22" s="11">
        <v>0.77578575386392956</v>
      </c>
      <c r="U22" s="11">
        <v>0.22960130487910543</v>
      </c>
      <c r="V22" s="5">
        <f t="shared" si="21"/>
        <v>-8.2360263673218557E-3</v>
      </c>
      <c r="W22" s="5">
        <f t="shared" si="22"/>
        <v>7.7490755775083669E-3</v>
      </c>
      <c r="X22" s="5">
        <f t="shared" si="23"/>
        <v>9.2581128283244218E-3</v>
      </c>
      <c r="Y22" s="5">
        <f t="shared" si="24"/>
        <v>-0.20658742611670461</v>
      </c>
      <c r="Z22" s="5">
        <f t="shared" si="25"/>
        <v>-0.21568430437433561</v>
      </c>
      <c r="AA22" s="5">
        <f t="shared" si="26"/>
        <v>-5.2985212706684326E-3</v>
      </c>
      <c r="AB22" s="16" cm="1">
        <f t="array" ref="AB22">SQRT(SUMPRODUCT(((J22:O22-P22:U22)/$AE$3:$AJ$3)^2)/6)*100</f>
        <v>0.7547820223524403</v>
      </c>
      <c r="AC22" s="5">
        <f t="shared" si="7"/>
        <v>0.1</v>
      </c>
      <c r="AD22" s="13">
        <v>3474.0972684693302</v>
      </c>
    </row>
    <row r="23" spans="1:30" ht="16.5" customHeight="1" x14ac:dyDescent="0.25">
      <c r="A23" s="16">
        <v>0.8908774062</v>
      </c>
      <c r="B23" s="16">
        <v>0.18</v>
      </c>
      <c r="C23" s="5">
        <v>3.1415999999999999</v>
      </c>
      <c r="D23" s="16">
        <v>0.88440675189999995</v>
      </c>
      <c r="E23" s="16">
        <v>0.08</v>
      </c>
      <c r="F23" s="5">
        <v>3.927</v>
      </c>
      <c r="G23" s="16">
        <v>0.48462861940000002</v>
      </c>
      <c r="H23" s="16">
        <v>1.6897568487000001</v>
      </c>
      <c r="I23" s="16">
        <v>3.1701200912999998</v>
      </c>
      <c r="J23" s="8"/>
      <c r="K23" s="8"/>
      <c r="L23" s="8"/>
      <c r="M23" s="8"/>
      <c r="N23" s="8"/>
      <c r="O23" s="8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5">
        <f t="shared" si="7"/>
        <v>9.9999999999999992E-2</v>
      </c>
      <c r="AD23" s="13">
        <v>864.30675856593803</v>
      </c>
    </row>
    <row r="24" spans="1:30" ht="16.5" customHeight="1" x14ac:dyDescent="0.25">
      <c r="A24" s="16">
        <v>1.2597568109999999</v>
      </c>
      <c r="B24" s="16">
        <v>0.16</v>
      </c>
      <c r="C24" s="5">
        <v>0</v>
      </c>
      <c r="D24" s="16">
        <v>0.58841219170000003</v>
      </c>
      <c r="E24" s="16">
        <v>0.06</v>
      </c>
      <c r="F24" s="5">
        <v>5.4977999999999998</v>
      </c>
      <c r="G24" s="16">
        <v>3.9855186287</v>
      </c>
      <c r="H24" s="16">
        <v>1.0426876676000001</v>
      </c>
      <c r="I24" s="16">
        <v>0.31561411</v>
      </c>
      <c r="J24" s="8"/>
      <c r="K24" s="8"/>
      <c r="L24" s="8"/>
      <c r="M24" s="8"/>
      <c r="N24" s="8"/>
      <c r="O24" s="8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5">
        <f t="shared" si="7"/>
        <v>0.1</v>
      </c>
      <c r="AD24" s="13">
        <v>1340.77907487627</v>
      </c>
    </row>
    <row r="25" spans="1:30" ht="16.5" customHeight="1" x14ac:dyDescent="0.25">
      <c r="A25" s="16">
        <v>0.65858340790000003</v>
      </c>
      <c r="B25" s="16">
        <v>0.18</v>
      </c>
      <c r="C25" s="5">
        <v>0</v>
      </c>
      <c r="D25" s="16">
        <v>0.498698221</v>
      </c>
      <c r="E25" s="16">
        <v>0.08</v>
      </c>
      <c r="F25" s="5">
        <v>0.78539999999999999</v>
      </c>
      <c r="G25" s="16">
        <v>4.9301628920000002</v>
      </c>
      <c r="H25" s="16">
        <v>1.8520278541999999</v>
      </c>
      <c r="I25" s="16">
        <v>4.6646910371999999</v>
      </c>
      <c r="J25" s="8"/>
      <c r="K25" s="8"/>
      <c r="L25" s="8"/>
      <c r="M25" s="8"/>
      <c r="N25" s="8"/>
      <c r="O25" s="8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5">
        <f t="shared" si="7"/>
        <v>9.9999999999999992E-2</v>
      </c>
      <c r="AD25" s="13">
        <v>35245.690684348701</v>
      </c>
    </row>
    <row r="26" spans="1:30" ht="16.5" customHeight="1" x14ac:dyDescent="0.25">
      <c r="A26" s="16">
        <v>0.55032038400000005</v>
      </c>
      <c r="B26" s="16">
        <v>0.16</v>
      </c>
      <c r="C26" s="5">
        <v>3.1415999999999999</v>
      </c>
      <c r="D26" s="16">
        <v>1.4487418581</v>
      </c>
      <c r="E26" s="16">
        <v>0.08</v>
      </c>
      <c r="F26" s="5">
        <v>2.3561999999999999</v>
      </c>
      <c r="G26" s="16">
        <v>4.7175867132000002</v>
      </c>
      <c r="H26" s="16">
        <v>1.3012665307</v>
      </c>
      <c r="I26" s="16">
        <v>3.3668845907999998</v>
      </c>
      <c r="J26" s="8"/>
      <c r="K26" s="8"/>
      <c r="L26" s="8"/>
      <c r="M26" s="8"/>
      <c r="N26" s="8"/>
      <c r="O26" s="8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5">
        <f t="shared" si="7"/>
        <v>0.08</v>
      </c>
      <c r="AD26" s="13">
        <v>789.51379310088396</v>
      </c>
    </row>
    <row r="27" spans="1:30" ht="16.5" customHeight="1" x14ac:dyDescent="0.25">
      <c r="A27" s="16">
        <v>1.2531062278</v>
      </c>
      <c r="B27" s="16">
        <v>0.18</v>
      </c>
      <c r="C27" s="5">
        <v>5.4977999999999998</v>
      </c>
      <c r="D27" s="16">
        <v>0.4702401397</v>
      </c>
      <c r="E27" s="16">
        <v>0.1</v>
      </c>
      <c r="F27" s="5">
        <v>5.4977999999999998</v>
      </c>
      <c r="G27" s="16">
        <v>0.1483911762</v>
      </c>
      <c r="H27" s="16">
        <v>0.2167359935</v>
      </c>
      <c r="I27" s="16">
        <v>4.9349358513999997</v>
      </c>
      <c r="J27" s="8"/>
      <c r="K27" s="8"/>
      <c r="L27" s="8"/>
      <c r="M27" s="8"/>
      <c r="N27" s="8"/>
      <c r="O27" s="8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5">
        <f t="shared" si="7"/>
        <v>7.9999999999999988E-2</v>
      </c>
      <c r="AD27" s="13">
        <v>438.17087927725402</v>
      </c>
    </row>
    <row r="28" spans="1:30" ht="16.5" customHeight="1" x14ac:dyDescent="0.25">
      <c r="A28" s="16">
        <v>0.37674236639999997</v>
      </c>
      <c r="B28" s="16">
        <v>0.12</v>
      </c>
      <c r="C28" s="5">
        <v>5.4977999999999998</v>
      </c>
      <c r="D28" s="16">
        <v>0.55884916829999998</v>
      </c>
      <c r="E28" s="16">
        <v>0.04</v>
      </c>
      <c r="F28" s="5">
        <v>5.4977999999999998</v>
      </c>
      <c r="G28" s="16">
        <v>2.7463764360999998</v>
      </c>
      <c r="H28" s="16">
        <v>4.0783358151</v>
      </c>
      <c r="I28" s="16">
        <v>2.4827351898000001</v>
      </c>
      <c r="J28" s="8"/>
      <c r="K28" s="8"/>
      <c r="L28" s="8"/>
      <c r="M28" s="8"/>
      <c r="N28" s="8"/>
      <c r="O28" s="8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5">
        <f t="shared" si="7"/>
        <v>7.9999999999999988E-2</v>
      </c>
      <c r="AD28" s="13">
        <v>3753.46837280214</v>
      </c>
    </row>
    <row r="29" spans="1:30" ht="16.5" customHeight="1" x14ac:dyDescent="0.25">
      <c r="A29" s="16">
        <v>0.99744538530000004</v>
      </c>
      <c r="B29" s="16">
        <v>0.12</v>
      </c>
      <c r="C29" s="5">
        <v>2.3561999999999999</v>
      </c>
      <c r="D29" s="16">
        <v>0.63256510880000005</v>
      </c>
      <c r="E29" s="16">
        <v>0.04</v>
      </c>
      <c r="F29" s="5">
        <v>4.7123999999999997</v>
      </c>
      <c r="G29" s="16">
        <v>1.0163068775999999</v>
      </c>
      <c r="H29" s="16">
        <v>2.5468444695999999</v>
      </c>
      <c r="I29" s="16">
        <v>0.1214735909</v>
      </c>
      <c r="J29" s="8"/>
      <c r="K29" s="8"/>
      <c r="L29" s="8"/>
      <c r="M29" s="8"/>
      <c r="N29" s="8"/>
      <c r="O29" s="8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5">
        <f t="shared" si="7"/>
        <v>7.9999999999999988E-2</v>
      </c>
      <c r="AD29" s="13">
        <v>7584.2432871298897</v>
      </c>
    </row>
    <row r="30" spans="1:30" ht="16.5" customHeight="1" x14ac:dyDescent="0.25">
      <c r="A30" s="16">
        <v>0.91958396450000002</v>
      </c>
      <c r="B30" s="16">
        <v>0.18</v>
      </c>
      <c r="C30" s="5">
        <v>0</v>
      </c>
      <c r="D30" s="16">
        <v>1.2327944816</v>
      </c>
      <c r="E30" s="16">
        <v>0.1</v>
      </c>
      <c r="F30" s="5">
        <v>4.7123999999999997</v>
      </c>
      <c r="G30" s="16">
        <v>3.7350994551999999</v>
      </c>
      <c r="H30" s="16">
        <v>0.10989542820000001</v>
      </c>
      <c r="I30" s="16">
        <v>4.0041016991999996</v>
      </c>
      <c r="J30" s="8"/>
      <c r="K30" s="8"/>
      <c r="L30" s="8"/>
      <c r="M30" s="8"/>
      <c r="N30" s="8"/>
      <c r="O30" s="8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5">
        <f t="shared" si="7"/>
        <v>7.9999999999999988E-2</v>
      </c>
      <c r="AD30" s="13">
        <v>1265.9910463044</v>
      </c>
    </row>
    <row r="31" spans="1:30" ht="16.5" customHeight="1" x14ac:dyDescent="0.25">
      <c r="A31" s="16">
        <v>0.76015027209999997</v>
      </c>
      <c r="B31" s="16">
        <v>0.18</v>
      </c>
      <c r="C31" s="5">
        <v>2.3561999999999999</v>
      </c>
      <c r="D31" s="16">
        <v>0.80034279419999999</v>
      </c>
      <c r="E31" s="16">
        <v>0.1</v>
      </c>
      <c r="F31" s="5">
        <v>0</v>
      </c>
      <c r="G31" s="16">
        <v>4.7396783878999997</v>
      </c>
      <c r="H31" s="16">
        <v>4.9071061610999998</v>
      </c>
      <c r="I31" s="16">
        <v>1.8713340661</v>
      </c>
      <c r="J31" s="8"/>
      <c r="K31" s="8"/>
      <c r="L31" s="8"/>
      <c r="M31" s="8"/>
      <c r="N31" s="8"/>
      <c r="O31" s="8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5">
        <f t="shared" si="7"/>
        <v>7.9999999999999988E-2</v>
      </c>
      <c r="AD31" s="13">
        <v>435.17861473415201</v>
      </c>
    </row>
    <row r="32" spans="1:30" ht="16.5" customHeight="1" x14ac:dyDescent="0.25">
      <c r="A32" s="16">
        <v>0.9040684336</v>
      </c>
      <c r="B32" s="16">
        <v>0.1</v>
      </c>
      <c r="C32" s="5">
        <v>5.4977999999999998</v>
      </c>
      <c r="D32" s="16">
        <v>0.68590239919999996</v>
      </c>
      <c r="E32" s="16">
        <v>0.02</v>
      </c>
      <c r="F32" s="5">
        <v>4.7123999999999997</v>
      </c>
      <c r="G32" s="16">
        <v>3.1050919126999998</v>
      </c>
      <c r="H32" s="16">
        <v>4.9790166179000002</v>
      </c>
      <c r="I32" s="16">
        <v>4.7088396990000003</v>
      </c>
      <c r="J32" s="8"/>
      <c r="K32" s="8"/>
      <c r="L32" s="8"/>
      <c r="M32" s="8"/>
      <c r="N32" s="8"/>
      <c r="O32" s="8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5">
        <f t="shared" si="7"/>
        <v>0.08</v>
      </c>
      <c r="AD32" s="13">
        <v>1388.8921224230301</v>
      </c>
    </row>
    <row r="33" spans="1:30" ht="16.5" customHeight="1" x14ac:dyDescent="0.25">
      <c r="A33" s="16">
        <v>1.4109779404</v>
      </c>
      <c r="B33" s="16">
        <v>0.2</v>
      </c>
      <c r="C33" s="5">
        <v>3.1415999999999999</v>
      </c>
      <c r="D33" s="16">
        <v>1.3890525475</v>
      </c>
      <c r="E33" s="16">
        <v>0.12</v>
      </c>
      <c r="F33" s="5">
        <v>0</v>
      </c>
      <c r="G33" s="16">
        <v>0.24685834309999999</v>
      </c>
      <c r="H33" s="16">
        <v>4.5298125568999996</v>
      </c>
      <c r="I33" s="16">
        <v>2.6684535819000001</v>
      </c>
      <c r="J33" s="8"/>
      <c r="K33" s="8"/>
      <c r="L33" s="8"/>
      <c r="M33" s="8"/>
      <c r="N33" s="8"/>
      <c r="O33" s="8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5">
        <f t="shared" si="7"/>
        <v>8.0000000000000016E-2</v>
      </c>
      <c r="AD33" s="13">
        <v>1378.60874175766</v>
      </c>
    </row>
    <row r="34" spans="1:30" ht="16.5" customHeight="1" x14ac:dyDescent="0.25">
      <c r="A34" s="16">
        <v>1.4747736548999999</v>
      </c>
      <c r="B34" s="16">
        <v>0.2</v>
      </c>
      <c r="C34" s="5">
        <v>0</v>
      </c>
      <c r="D34" s="16">
        <v>1.4750904852</v>
      </c>
      <c r="E34" s="16">
        <v>0.12</v>
      </c>
      <c r="F34" s="5">
        <v>3.1415999999999999</v>
      </c>
      <c r="G34" s="16">
        <v>2.1243312033000001</v>
      </c>
      <c r="H34" s="16">
        <v>0.98146476360000001</v>
      </c>
      <c r="I34" s="16">
        <v>2.2301814902000001</v>
      </c>
      <c r="J34" s="8"/>
      <c r="K34" s="8"/>
      <c r="L34" s="8"/>
      <c r="M34" s="8"/>
      <c r="N34" s="8"/>
      <c r="O34" s="8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5">
        <f t="shared" si="7"/>
        <v>8.0000000000000016E-2</v>
      </c>
      <c r="AD34" s="13">
        <v>1674.85682889344</v>
      </c>
    </row>
    <row r="35" spans="1:30" ht="16.5" customHeight="1" x14ac:dyDescent="0.25">
      <c r="A35" s="16">
        <v>1.1341222659000001</v>
      </c>
      <c r="B35" s="16">
        <v>0.12</v>
      </c>
      <c r="C35" s="5">
        <v>0.78539999999999999</v>
      </c>
      <c r="D35" s="16">
        <v>1.3710979794</v>
      </c>
      <c r="E35" s="16">
        <v>0.04</v>
      </c>
      <c r="F35" s="5">
        <v>1.5708</v>
      </c>
      <c r="G35" s="16">
        <v>3.8924485742999999</v>
      </c>
      <c r="H35" s="16">
        <v>4.3783496642999999</v>
      </c>
      <c r="I35" s="16">
        <v>1.6360280112000001</v>
      </c>
      <c r="J35" s="8"/>
      <c r="K35" s="8"/>
      <c r="L35" s="8"/>
      <c r="M35" s="8"/>
      <c r="N35" s="8"/>
      <c r="O35" s="8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5">
        <f t="shared" si="7"/>
        <v>7.9999999999999988E-2</v>
      </c>
      <c r="AD35" s="13">
        <v>9921.9837729904102</v>
      </c>
    </row>
    <row r="36" spans="1:30" ht="16.5" customHeight="1" x14ac:dyDescent="0.25">
      <c r="A36" s="16">
        <v>0.785852255</v>
      </c>
      <c r="B36" s="16">
        <v>0.1</v>
      </c>
      <c r="C36" s="5">
        <v>0.78539999999999999</v>
      </c>
      <c r="D36" s="16">
        <v>0.39355619479999998</v>
      </c>
      <c r="E36" s="16">
        <v>0.02</v>
      </c>
      <c r="F36" s="5">
        <v>5.4977999999999998</v>
      </c>
      <c r="G36" s="16">
        <v>4.5109081914000004</v>
      </c>
      <c r="H36" s="16">
        <v>2.9663132843</v>
      </c>
      <c r="I36" s="16">
        <v>3.8683553511</v>
      </c>
      <c r="J36" s="8"/>
      <c r="K36" s="8"/>
      <c r="L36" s="8"/>
      <c r="M36" s="8"/>
      <c r="N36" s="8"/>
      <c r="O36" s="8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5">
        <f t="shared" si="7"/>
        <v>0.08</v>
      </c>
      <c r="AD36" s="13">
        <v>7047.4718615495003</v>
      </c>
    </row>
    <row r="37" spans="1:30" ht="16.5" customHeight="1" x14ac:dyDescent="0.25">
      <c r="A37" s="16">
        <v>0.4787670047</v>
      </c>
      <c r="B37" s="16">
        <v>0.2</v>
      </c>
      <c r="C37" s="5">
        <v>4.7123999999999997</v>
      </c>
      <c r="D37" s="16">
        <v>0.35541469809999998</v>
      </c>
      <c r="E37" s="16">
        <v>0.14000000000000001</v>
      </c>
      <c r="F37" s="5">
        <v>3.1415999999999999</v>
      </c>
      <c r="G37" s="16">
        <v>4.9350065225000002</v>
      </c>
      <c r="H37" s="16">
        <v>4.6708884390999996</v>
      </c>
      <c r="I37" s="16">
        <v>0.64099500450000002</v>
      </c>
      <c r="J37" s="8"/>
      <c r="K37" s="8"/>
      <c r="L37" s="8"/>
      <c r="M37" s="8"/>
      <c r="N37" s="8"/>
      <c r="O37" s="8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5">
        <f t="shared" si="7"/>
        <v>0.06</v>
      </c>
      <c r="AD37" s="13">
        <v>4885.3607236447197</v>
      </c>
    </row>
    <row r="38" spans="1:30" ht="16.5" customHeight="1" x14ac:dyDescent="0.25">
      <c r="A38" s="16">
        <v>1.2825258852999999</v>
      </c>
      <c r="B38" s="16">
        <v>0.14000000000000001</v>
      </c>
      <c r="C38" s="5">
        <v>2.3561999999999999</v>
      </c>
      <c r="D38" s="16">
        <v>1.1085226837</v>
      </c>
      <c r="E38" s="16">
        <v>0.08</v>
      </c>
      <c r="F38" s="5">
        <v>3.1415999999999999</v>
      </c>
      <c r="G38" s="16">
        <v>5.0541583899999999E-2</v>
      </c>
      <c r="H38" s="16">
        <v>4.9578693537999996</v>
      </c>
      <c r="I38" s="16">
        <v>3.9886280456000001</v>
      </c>
      <c r="J38" s="8"/>
      <c r="K38" s="8"/>
      <c r="L38" s="8"/>
      <c r="M38" s="8"/>
      <c r="N38" s="8"/>
      <c r="O38" s="8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5">
        <f t="shared" si="7"/>
        <v>6.0000000000000012E-2</v>
      </c>
      <c r="AD38" s="13">
        <v>1325.5370563973599</v>
      </c>
    </row>
    <row r="39" spans="1:30" ht="16.5" customHeight="1" x14ac:dyDescent="0.25">
      <c r="A39" s="16">
        <v>1.0319949839</v>
      </c>
      <c r="B39" s="16">
        <v>0.18</v>
      </c>
      <c r="C39" s="5">
        <v>3.927</v>
      </c>
      <c r="D39" s="16">
        <v>1.1733448184999999</v>
      </c>
      <c r="E39" s="16">
        <v>0.12</v>
      </c>
      <c r="F39" s="5">
        <v>0.78539999999999999</v>
      </c>
      <c r="G39" s="16">
        <v>4.3201662060999997</v>
      </c>
      <c r="H39" s="16">
        <v>3.8378352410000001</v>
      </c>
      <c r="I39" s="16">
        <v>4.8360302252</v>
      </c>
      <c r="J39" s="8"/>
      <c r="K39" s="8"/>
      <c r="L39" s="8"/>
      <c r="M39" s="8"/>
      <c r="N39" s="8"/>
      <c r="O39" s="8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5">
        <f t="shared" si="7"/>
        <v>0.06</v>
      </c>
      <c r="AD39" s="13">
        <v>13498.249253091601</v>
      </c>
    </row>
    <row r="40" spans="1:30" ht="16.5" customHeight="1" x14ac:dyDescent="0.25">
      <c r="A40" s="16">
        <v>0.54659396309999997</v>
      </c>
      <c r="B40" s="16">
        <v>0.14000000000000001</v>
      </c>
      <c r="C40" s="5">
        <v>3.927</v>
      </c>
      <c r="D40" s="16">
        <v>0.37475583969999998</v>
      </c>
      <c r="E40" s="16">
        <v>0.08</v>
      </c>
      <c r="F40" s="5">
        <v>1.5708</v>
      </c>
      <c r="G40" s="16">
        <v>1.2326114607000001</v>
      </c>
      <c r="H40" s="16">
        <v>3.5091223980000001</v>
      </c>
      <c r="I40" s="16">
        <v>2.8278096824999999</v>
      </c>
      <c r="J40" s="8"/>
      <c r="K40" s="8"/>
      <c r="L40" s="8"/>
      <c r="M40" s="8"/>
      <c r="N40" s="8"/>
      <c r="O40" s="8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5">
        <f t="shared" si="7"/>
        <v>6.0000000000000012E-2</v>
      </c>
      <c r="AD40" s="13">
        <v>2507.9697780861502</v>
      </c>
    </row>
    <row r="41" spans="1:30" ht="16.5" customHeight="1" x14ac:dyDescent="0.25">
      <c r="A41" s="16">
        <v>0.62359206519999999</v>
      </c>
      <c r="B41" s="16">
        <v>0.08</v>
      </c>
      <c r="C41" s="5">
        <v>5.4977999999999998</v>
      </c>
      <c r="D41" s="16">
        <v>0.47877904049999997</v>
      </c>
      <c r="E41" s="16">
        <v>0.02</v>
      </c>
      <c r="F41" s="5">
        <v>3.927</v>
      </c>
      <c r="G41" s="16">
        <v>2.2205178402999999</v>
      </c>
      <c r="H41" s="16">
        <v>1.9827336431</v>
      </c>
      <c r="I41" s="16">
        <v>0.36676452050000002</v>
      </c>
      <c r="J41" s="8"/>
      <c r="K41" s="8"/>
      <c r="L41" s="8"/>
      <c r="M41" s="8"/>
      <c r="N41" s="8"/>
      <c r="O41" s="8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5">
        <f t="shared" si="7"/>
        <v>0.06</v>
      </c>
      <c r="AD41" s="13">
        <v>2696.32531405294</v>
      </c>
    </row>
    <row r="42" spans="1:30" ht="16.5" customHeight="1" x14ac:dyDescent="0.25">
      <c r="A42" s="16">
        <v>1.3484992293</v>
      </c>
      <c r="B42" s="16">
        <v>0.2</v>
      </c>
      <c r="C42" s="5">
        <v>0</v>
      </c>
      <c r="D42" s="16">
        <v>0.39122828500000001</v>
      </c>
      <c r="E42" s="16">
        <v>0.14000000000000001</v>
      </c>
      <c r="F42" s="5">
        <v>0.78539999999999999</v>
      </c>
      <c r="G42" s="16">
        <v>1.9402253723</v>
      </c>
      <c r="H42" s="16">
        <v>1.6478522000000001E-3</v>
      </c>
      <c r="I42" s="16">
        <v>3.2221664534999999</v>
      </c>
      <c r="J42" s="8"/>
      <c r="K42" s="8"/>
      <c r="L42" s="8"/>
      <c r="M42" s="8"/>
      <c r="N42" s="8"/>
      <c r="O42" s="8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5">
        <f t="shared" si="7"/>
        <v>0.06</v>
      </c>
      <c r="AD42" s="13">
        <v>3302.7038748377799</v>
      </c>
    </row>
    <row r="43" spans="1:30" ht="16.5" customHeight="1" x14ac:dyDescent="0.25">
      <c r="A43" s="16">
        <v>0.51681038229999998</v>
      </c>
      <c r="B43" s="16">
        <v>0.08</v>
      </c>
      <c r="C43" s="5">
        <v>0</v>
      </c>
      <c r="D43" s="16">
        <v>0.91461204240000005</v>
      </c>
      <c r="E43" s="16">
        <v>0.02</v>
      </c>
      <c r="F43" s="5">
        <v>3.927</v>
      </c>
      <c r="G43" s="16">
        <v>3.7945339589999998</v>
      </c>
      <c r="H43" s="16">
        <v>3.3481721828</v>
      </c>
      <c r="I43" s="16">
        <v>3.4429632493</v>
      </c>
      <c r="J43" s="8"/>
      <c r="K43" s="8"/>
      <c r="L43" s="8"/>
      <c r="M43" s="8"/>
      <c r="N43" s="8"/>
      <c r="O43" s="8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5">
        <f t="shared" si="7"/>
        <v>0.06</v>
      </c>
      <c r="AD43" s="13">
        <v>1902.8805691713201</v>
      </c>
    </row>
    <row r="44" spans="1:30" ht="16.5" customHeight="1" x14ac:dyDescent="0.25">
      <c r="A44" s="16">
        <v>0.68441694529999997</v>
      </c>
      <c r="B44" s="16">
        <v>0.16</v>
      </c>
      <c r="C44" s="5">
        <v>2.3561999999999999</v>
      </c>
      <c r="D44" s="16">
        <v>1.4072090791</v>
      </c>
      <c r="E44" s="16">
        <v>0.1</v>
      </c>
      <c r="F44" s="5">
        <v>0.78539999999999999</v>
      </c>
      <c r="G44" s="16">
        <v>1.6472032243000001</v>
      </c>
      <c r="H44" s="16">
        <v>5.9795420000000002E-2</v>
      </c>
      <c r="I44" s="16">
        <v>0.1036992028</v>
      </c>
      <c r="J44" s="8"/>
      <c r="K44" s="8"/>
      <c r="L44" s="8"/>
      <c r="M44" s="8"/>
      <c r="N44" s="8"/>
      <c r="O44" s="8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5">
        <f t="shared" si="7"/>
        <v>0.06</v>
      </c>
      <c r="AD44" s="13">
        <v>1899.84061373393</v>
      </c>
    </row>
    <row r="45" spans="1:30" ht="16.5" customHeight="1" x14ac:dyDescent="0.25">
      <c r="A45" s="16">
        <v>1.3991334753</v>
      </c>
      <c r="B45" s="16">
        <v>0.12</v>
      </c>
      <c r="C45" s="5">
        <v>5.4977999999999998</v>
      </c>
      <c r="D45" s="16">
        <v>0.96266422490000003</v>
      </c>
      <c r="E45" s="16">
        <v>0.06</v>
      </c>
      <c r="F45" s="5">
        <v>5.4977999999999998</v>
      </c>
      <c r="G45" s="16">
        <v>2.0231526378</v>
      </c>
      <c r="H45" s="16">
        <v>0.50988481399999996</v>
      </c>
      <c r="I45" s="16">
        <v>0.60427768879999999</v>
      </c>
      <c r="J45" s="8"/>
      <c r="K45" s="8"/>
      <c r="L45" s="8"/>
      <c r="M45" s="8"/>
      <c r="N45" s="8"/>
      <c r="O45" s="8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5">
        <f t="shared" si="7"/>
        <v>0.06</v>
      </c>
      <c r="AD45" s="13">
        <v>3531.6212508260901</v>
      </c>
    </row>
    <row r="46" spans="1:30" ht="16.5" customHeight="1" x14ac:dyDescent="0.25">
      <c r="A46" s="16">
        <v>0.4668308846</v>
      </c>
      <c r="B46" s="16">
        <v>0.08</v>
      </c>
      <c r="C46" s="5">
        <v>3.1415999999999999</v>
      </c>
      <c r="D46" s="16">
        <v>1.1054712231999999</v>
      </c>
      <c r="E46" s="16">
        <v>0.04</v>
      </c>
      <c r="F46" s="5">
        <v>4.7123999999999997</v>
      </c>
      <c r="G46" s="16">
        <v>4.4838346888</v>
      </c>
      <c r="H46" s="16">
        <v>0.20145099390000001</v>
      </c>
      <c r="I46" s="16">
        <v>4.5041045776999997</v>
      </c>
      <c r="J46" s="8"/>
      <c r="K46" s="8"/>
      <c r="L46" s="8"/>
      <c r="M46" s="8"/>
      <c r="N46" s="8"/>
      <c r="O46" s="8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5">
        <f t="shared" si="7"/>
        <v>0.04</v>
      </c>
      <c r="AD46" s="13">
        <v>2113.8744242274001</v>
      </c>
    </row>
    <row r="47" spans="1:30" ht="16.5" customHeight="1" x14ac:dyDescent="0.25">
      <c r="A47" s="16">
        <v>1.4827422800000001</v>
      </c>
      <c r="B47" s="16">
        <v>0.08</v>
      </c>
      <c r="C47" s="5">
        <v>3.1415999999999999</v>
      </c>
      <c r="D47" s="16">
        <v>0.80651000630000003</v>
      </c>
      <c r="E47" s="16">
        <v>0.04</v>
      </c>
      <c r="F47" s="5">
        <v>4.7123999999999997</v>
      </c>
      <c r="G47" s="16">
        <v>4.1839238480000001</v>
      </c>
      <c r="H47" s="16">
        <v>4.1752821560999998</v>
      </c>
      <c r="I47" s="16">
        <v>0.4978333036</v>
      </c>
      <c r="J47" s="8"/>
      <c r="K47" s="8"/>
      <c r="L47" s="8"/>
      <c r="M47" s="8"/>
      <c r="N47" s="8"/>
      <c r="O47" s="8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5">
        <f t="shared" si="7"/>
        <v>0.04</v>
      </c>
      <c r="AD47" s="13">
        <v>7282.9201268507204</v>
      </c>
    </row>
    <row r="48" spans="1:30" ht="16.5" customHeight="1" x14ac:dyDescent="0.25">
      <c r="A48" s="16">
        <v>1.4313963908</v>
      </c>
      <c r="B48" s="16">
        <v>0.2</v>
      </c>
      <c r="C48" s="5">
        <v>5.4977999999999998</v>
      </c>
      <c r="D48" s="16">
        <v>0.66088478610000001</v>
      </c>
      <c r="E48" s="16">
        <v>0.16</v>
      </c>
      <c r="F48" s="5">
        <v>5.4977999999999998</v>
      </c>
      <c r="G48" s="16">
        <v>4.6493399877000003</v>
      </c>
      <c r="H48" s="16">
        <v>1.9654430356000001</v>
      </c>
      <c r="I48" s="16">
        <v>1.6399488998</v>
      </c>
      <c r="J48" s="8"/>
      <c r="K48" s="8"/>
      <c r="L48" s="8"/>
      <c r="M48" s="8"/>
      <c r="N48" s="8"/>
      <c r="O48" s="8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5">
        <f t="shared" si="7"/>
        <v>4.0000000000000008E-2</v>
      </c>
      <c r="AD48" s="13">
        <v>241115.288489914</v>
      </c>
    </row>
    <row r="49" spans="1:30" ht="16.5" customHeight="1" x14ac:dyDescent="0.25">
      <c r="A49" s="16">
        <v>1.1008731407000001</v>
      </c>
      <c r="B49" s="16">
        <v>0.12</v>
      </c>
      <c r="C49" s="5">
        <v>4.7123999999999997</v>
      </c>
      <c r="D49" s="16">
        <v>1.0118865585000001</v>
      </c>
      <c r="E49" s="16">
        <v>0.08</v>
      </c>
      <c r="F49" s="5">
        <v>0</v>
      </c>
      <c r="G49" s="16">
        <v>2.5804466663999999</v>
      </c>
      <c r="H49" s="16">
        <v>2.8020908323999998</v>
      </c>
      <c r="I49" s="16">
        <v>1.4209598912000001</v>
      </c>
      <c r="J49" s="8"/>
      <c r="K49" s="8"/>
      <c r="L49" s="8"/>
      <c r="M49" s="8"/>
      <c r="N49" s="8"/>
      <c r="O49" s="8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5">
        <f t="shared" si="7"/>
        <v>3.9999999999999994E-2</v>
      </c>
      <c r="AD49" s="13">
        <v>21611.028785295999</v>
      </c>
    </row>
    <row r="50" spans="1:30" ht="16.5" customHeight="1" x14ac:dyDescent="0.25">
      <c r="A50" s="16">
        <v>1.1548404238000001</v>
      </c>
      <c r="B50" s="16">
        <v>0.06</v>
      </c>
      <c r="C50" s="5">
        <v>0</v>
      </c>
      <c r="D50" s="16">
        <v>0.95560731600000004</v>
      </c>
      <c r="E50" s="16">
        <v>0.02</v>
      </c>
      <c r="F50" s="5">
        <v>5.4977999999999998</v>
      </c>
      <c r="G50" s="16">
        <v>1.7445767312</v>
      </c>
      <c r="H50" s="16">
        <v>3.9458122761999999</v>
      </c>
      <c r="I50" s="16">
        <v>4.9189190299999996</v>
      </c>
      <c r="J50" s="8"/>
      <c r="K50" s="8"/>
      <c r="L50" s="8"/>
      <c r="M50" s="8"/>
      <c r="N50" s="8"/>
      <c r="O50" s="8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5">
        <f t="shared" si="7"/>
        <v>3.9999999999999994E-2</v>
      </c>
      <c r="AD50" s="13">
        <v>20365.130850537898</v>
      </c>
    </row>
    <row r="51" spans="1:30" ht="16.5" customHeight="1" x14ac:dyDescent="0.25">
      <c r="A51" s="16">
        <v>1.1816252039999999</v>
      </c>
      <c r="B51" s="16">
        <v>0.08</v>
      </c>
      <c r="C51" s="5">
        <v>1.5708</v>
      </c>
      <c r="D51" s="16">
        <v>0.57227119820000005</v>
      </c>
      <c r="E51" s="16">
        <v>0.04</v>
      </c>
      <c r="F51" s="5">
        <v>0.78539999999999999</v>
      </c>
      <c r="G51" s="16">
        <v>1.4076592733</v>
      </c>
      <c r="H51" s="16">
        <v>1.3192874408999999</v>
      </c>
      <c r="I51" s="16">
        <v>2.6835966308999999</v>
      </c>
      <c r="J51" s="8"/>
      <c r="K51" s="8"/>
      <c r="L51" s="8"/>
      <c r="M51" s="8"/>
      <c r="N51" s="8"/>
      <c r="O51" s="8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5">
        <f t="shared" si="7"/>
        <v>0.04</v>
      </c>
      <c r="AD51" s="13">
        <v>7124.2300644876796</v>
      </c>
    </row>
    <row r="52" spans="1:30" ht="16.5" customHeight="1" x14ac:dyDescent="0.25">
      <c r="A52" s="16">
        <v>0.93729510640000002</v>
      </c>
      <c r="B52" s="16">
        <v>0.14000000000000001</v>
      </c>
      <c r="C52" s="5">
        <v>0.78539999999999999</v>
      </c>
      <c r="D52" s="16">
        <v>0.49250416219999998</v>
      </c>
      <c r="E52" s="16">
        <v>0.1</v>
      </c>
      <c r="F52" s="5">
        <v>0</v>
      </c>
      <c r="G52" s="16">
        <v>0.50502447429999997</v>
      </c>
      <c r="H52" s="16">
        <v>3.7817597896000001</v>
      </c>
      <c r="I52" s="16">
        <v>0.94479070089999995</v>
      </c>
      <c r="J52" s="8"/>
      <c r="K52" s="8"/>
      <c r="L52" s="8"/>
      <c r="M52" s="8"/>
      <c r="N52" s="8"/>
      <c r="O52" s="8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5">
        <f t="shared" si="7"/>
        <v>4.0000000000000008E-2</v>
      </c>
      <c r="AD52" s="13">
        <v>4678.6265867306902</v>
      </c>
    </row>
    <row r="53" spans="1:30" ht="16.5" customHeight="1" x14ac:dyDescent="0.25">
      <c r="A53" s="16">
        <v>0.32556561499999997</v>
      </c>
      <c r="B53" s="16">
        <v>0.1</v>
      </c>
      <c r="C53" s="5">
        <v>0</v>
      </c>
      <c r="D53" s="16">
        <v>1.3745769409999999</v>
      </c>
      <c r="E53" s="16">
        <v>0.06</v>
      </c>
      <c r="F53" s="5">
        <v>0</v>
      </c>
      <c r="G53" s="16">
        <v>2.9612942246</v>
      </c>
      <c r="H53" s="16">
        <v>1.9579719759000001</v>
      </c>
      <c r="I53" s="16">
        <v>4.9734873239999997</v>
      </c>
      <c r="J53" s="8"/>
      <c r="K53" s="8"/>
      <c r="L53" s="8"/>
      <c r="M53" s="8"/>
      <c r="N53" s="8"/>
      <c r="O53" s="8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5">
        <f t="shared" si="7"/>
        <v>4.0000000000000008E-2</v>
      </c>
      <c r="AD53" s="13">
        <v>5678.4546433241303</v>
      </c>
    </row>
    <row r="54" spans="1:30" ht="16.5" customHeight="1" x14ac:dyDescent="0.25">
      <c r="A54" s="16">
        <v>0.34779033799999998</v>
      </c>
      <c r="B54" s="16">
        <v>0.08</v>
      </c>
      <c r="C54" s="5">
        <v>0</v>
      </c>
      <c r="D54" s="16">
        <v>1.3138897528</v>
      </c>
      <c r="E54" s="16">
        <v>0.04</v>
      </c>
      <c r="F54" s="5">
        <v>5.4977999999999998</v>
      </c>
      <c r="G54" s="16">
        <v>0.37278424939999999</v>
      </c>
      <c r="H54" s="16">
        <v>4.7468756007000001</v>
      </c>
      <c r="I54" s="16">
        <v>0.2022602889</v>
      </c>
      <c r="J54" s="8"/>
      <c r="K54" s="8"/>
      <c r="L54" s="8"/>
      <c r="M54" s="8"/>
      <c r="N54" s="8"/>
      <c r="O54" s="8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5">
        <f t="shared" si="7"/>
        <v>0.04</v>
      </c>
      <c r="AD54" s="13">
        <v>5180.45334190619</v>
      </c>
    </row>
    <row r="55" spans="1:30" ht="16.5" customHeight="1" x14ac:dyDescent="0.25">
      <c r="A55" s="16">
        <v>1.1244386973</v>
      </c>
      <c r="B55" s="16">
        <v>0.06</v>
      </c>
      <c r="C55" s="5">
        <v>2.3561999999999999</v>
      </c>
      <c r="D55" s="16">
        <v>1.2912704479999999</v>
      </c>
      <c r="E55" s="16">
        <v>0.02</v>
      </c>
      <c r="F55" s="5">
        <v>5.4977999999999998</v>
      </c>
      <c r="G55" s="16">
        <v>4.9064020905000003</v>
      </c>
      <c r="H55" s="16">
        <v>2.1650144864</v>
      </c>
      <c r="I55" s="16">
        <v>2.5559004244999999</v>
      </c>
      <c r="J55" s="8"/>
      <c r="K55" s="8"/>
      <c r="L55" s="8"/>
      <c r="M55" s="8"/>
      <c r="N55" s="8"/>
      <c r="O55" s="8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5">
        <f t="shared" si="7"/>
        <v>3.9999999999999994E-2</v>
      </c>
      <c r="AD55" s="13">
        <v>5663.0654180951597</v>
      </c>
    </row>
    <row r="56" spans="1:30" ht="16.5" customHeight="1" x14ac:dyDescent="0.25">
      <c r="A56" s="16">
        <v>0.87685121659999998</v>
      </c>
      <c r="B56" s="16">
        <v>0.08</v>
      </c>
      <c r="C56" s="5">
        <v>3.1415999999999999</v>
      </c>
      <c r="D56" s="16">
        <v>1.4399958847000001</v>
      </c>
      <c r="E56" s="16">
        <v>0.04</v>
      </c>
      <c r="F56" s="5">
        <v>4.7123999999999997</v>
      </c>
      <c r="G56" s="16">
        <v>2.3478746006</v>
      </c>
      <c r="H56" s="16">
        <v>3.5578307432999998</v>
      </c>
      <c r="I56" s="16">
        <v>1.992162325</v>
      </c>
      <c r="J56" s="8"/>
      <c r="K56" s="8"/>
      <c r="L56" s="8"/>
      <c r="M56" s="8"/>
      <c r="N56" s="8"/>
      <c r="O56" s="8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5">
        <f t="shared" si="7"/>
        <v>0.04</v>
      </c>
      <c r="AD56" s="13">
        <v>5078.30649569658</v>
      </c>
    </row>
    <row r="57" spans="1:30" ht="16.5" customHeight="1" x14ac:dyDescent="0.25">
      <c r="A57" s="16">
        <v>0.59547924330000002</v>
      </c>
      <c r="B57" s="16">
        <v>0.08</v>
      </c>
      <c r="C57" s="5">
        <v>4.7123999999999997</v>
      </c>
      <c r="D57" s="16">
        <v>0.70510202209999995</v>
      </c>
      <c r="E57" s="16">
        <v>0.04</v>
      </c>
      <c r="F57" s="5">
        <v>0</v>
      </c>
      <c r="G57" s="16">
        <v>0.2207304574</v>
      </c>
      <c r="H57" s="16">
        <v>1.87765064E-2</v>
      </c>
      <c r="I57" s="16">
        <v>2.3333602099999999</v>
      </c>
      <c r="J57" s="8"/>
      <c r="K57" s="8"/>
      <c r="L57" s="8"/>
      <c r="M57" s="8"/>
      <c r="N57" s="8"/>
      <c r="O57" s="8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5">
        <f t="shared" si="7"/>
        <v>0.04</v>
      </c>
      <c r="AD57" s="13">
        <v>1157.89131373184</v>
      </c>
    </row>
    <row r="58" spans="1:30" ht="16.5" customHeight="1" x14ac:dyDescent="0.25">
      <c r="A58" s="16">
        <v>1.3901836501</v>
      </c>
      <c r="B58" s="16">
        <v>0.08</v>
      </c>
      <c r="C58" s="5">
        <v>4.7123999999999997</v>
      </c>
      <c r="D58" s="16">
        <v>0.3079851005</v>
      </c>
      <c r="E58" s="16">
        <v>0.04</v>
      </c>
      <c r="F58" s="5">
        <v>4.7123999999999997</v>
      </c>
      <c r="G58" s="16">
        <v>0.73915014310000005</v>
      </c>
      <c r="H58" s="16">
        <v>2.9227877096000001</v>
      </c>
      <c r="I58" s="16">
        <v>4.1425655895000002</v>
      </c>
      <c r="J58" s="8"/>
      <c r="K58" s="8"/>
      <c r="L58" s="8"/>
      <c r="M58" s="8"/>
      <c r="N58" s="8"/>
      <c r="O58" s="8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5">
        <f t="shared" si="7"/>
        <v>0.04</v>
      </c>
      <c r="AD58" s="13">
        <v>2905.0269528538001</v>
      </c>
    </row>
    <row r="59" spans="1:30" ht="16.5" customHeight="1" x14ac:dyDescent="0.25">
      <c r="A59" s="16">
        <v>0.37261524629999998</v>
      </c>
      <c r="B59" s="16">
        <v>0.16</v>
      </c>
      <c r="C59" s="5">
        <v>1.5708</v>
      </c>
      <c r="D59" s="16">
        <v>0.85894297369999995</v>
      </c>
      <c r="E59" s="16">
        <v>0.12</v>
      </c>
      <c r="F59" s="5">
        <v>0</v>
      </c>
      <c r="G59" s="16">
        <v>1.8801242656999999</v>
      </c>
      <c r="H59" s="16">
        <v>0.57983362380000003</v>
      </c>
      <c r="I59" s="16">
        <v>4.1953380029999998</v>
      </c>
      <c r="J59" s="8"/>
      <c r="K59" s="8"/>
      <c r="L59" s="8"/>
      <c r="M59" s="8"/>
      <c r="N59" s="8"/>
      <c r="O59" s="8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5">
        <f t="shared" si="7"/>
        <v>4.0000000000000008E-2</v>
      </c>
      <c r="AD59" s="13">
        <v>847.08203095288104</v>
      </c>
    </row>
    <row r="60" spans="1:30" ht="16.5" customHeight="1" x14ac:dyDescent="0.25">
      <c r="A60" s="16">
        <v>1.4531678181000001</v>
      </c>
      <c r="B60" s="16">
        <v>0.12</v>
      </c>
      <c r="C60" s="5">
        <v>4.7123999999999997</v>
      </c>
      <c r="D60" s="16">
        <v>0.47288273930000002</v>
      </c>
      <c r="E60" s="16">
        <v>0.08</v>
      </c>
      <c r="F60" s="5">
        <v>0.78539999999999999</v>
      </c>
      <c r="G60" s="16">
        <v>3.2783510528000002</v>
      </c>
      <c r="H60" s="16">
        <v>4.7389224496000004</v>
      </c>
      <c r="I60" s="16">
        <v>3.1449469496</v>
      </c>
      <c r="J60" s="8"/>
      <c r="K60" s="8"/>
      <c r="L60" s="8"/>
      <c r="M60" s="8"/>
      <c r="N60" s="8"/>
      <c r="O60" s="8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5">
        <f t="shared" si="7"/>
        <v>3.9999999999999994E-2</v>
      </c>
      <c r="AD60" s="13">
        <v>5725.3440610789203</v>
      </c>
    </row>
    <row r="61" spans="1:30" ht="16.5" customHeight="1" x14ac:dyDescent="0.25">
      <c r="A61" s="16">
        <v>0.36590931840000002</v>
      </c>
      <c r="B61" s="16">
        <v>0.08</v>
      </c>
      <c r="C61" s="5">
        <v>2.3561999999999999</v>
      </c>
      <c r="D61" s="16">
        <v>0.32426250909999998</v>
      </c>
      <c r="E61" s="16">
        <v>0.04</v>
      </c>
      <c r="F61" s="5">
        <v>5.4977999999999998</v>
      </c>
      <c r="G61" s="16">
        <v>3.2391898345999999</v>
      </c>
      <c r="H61" s="16">
        <v>1.5107994280999999</v>
      </c>
      <c r="I61" s="16">
        <v>0.73005405469999995</v>
      </c>
      <c r="J61" s="8"/>
      <c r="K61" s="8"/>
      <c r="L61" s="8"/>
      <c r="M61" s="8"/>
      <c r="N61" s="8"/>
      <c r="O61" s="8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5">
        <f t="shared" si="7"/>
        <v>0.04</v>
      </c>
      <c r="AD61" s="13">
        <v>4839.09033436134</v>
      </c>
    </row>
    <row r="62" spans="1:30" ht="16.5" customHeight="1" x14ac:dyDescent="0.25">
      <c r="A62" s="16">
        <v>0.71858942609999998</v>
      </c>
      <c r="B62" s="16">
        <v>0.06</v>
      </c>
      <c r="C62" s="5">
        <v>5.4977999999999998</v>
      </c>
      <c r="D62" s="16">
        <v>1.3482950081</v>
      </c>
      <c r="E62" s="16">
        <v>0.02</v>
      </c>
      <c r="F62" s="5">
        <v>1.5708</v>
      </c>
      <c r="G62" s="16">
        <v>2.7719248752999999</v>
      </c>
      <c r="H62" s="16">
        <v>4.6486855653000001</v>
      </c>
      <c r="I62" s="16">
        <v>4.0642437601000001</v>
      </c>
      <c r="J62" s="8"/>
      <c r="K62" s="8"/>
      <c r="L62" s="8"/>
      <c r="M62" s="8"/>
      <c r="N62" s="8"/>
      <c r="O62" s="8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5">
        <f t="shared" si="7"/>
        <v>3.9999999999999994E-2</v>
      </c>
      <c r="AD62" s="13">
        <v>4286.1131822769203</v>
      </c>
    </row>
  </sheetData>
  <mergeCells count="6">
    <mergeCell ref="AE1:AJ1"/>
    <mergeCell ref="A1:I1"/>
    <mergeCell ref="J1:O1"/>
    <mergeCell ref="P1:U1"/>
    <mergeCell ref="AC1:AD1"/>
    <mergeCell ref="V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K12"/>
  <sheetViews>
    <sheetView workbookViewId="0">
      <pane ySplit="2" topLeftCell="A3" activePane="bottomLeft" state="frozen"/>
      <selection activeCell="K1" sqref="K1"/>
      <selection pane="bottomLeft" activeCell="Q20" sqref="Q2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8" bestFit="1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85546875" bestFit="1" customWidth="1"/>
    <col min="37" max="37" width="11.85546875" bestFit="1" customWidth="1"/>
  </cols>
  <sheetData>
    <row r="1" spans="1:37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3"/>
      <c r="J1" s="24" t="s">
        <v>6</v>
      </c>
      <c r="K1" s="25"/>
      <c r="L1" s="25"/>
      <c r="M1" s="25"/>
      <c r="N1" s="25"/>
      <c r="O1" s="25"/>
      <c r="P1" s="32" t="s">
        <v>7</v>
      </c>
      <c r="Q1" s="33"/>
      <c r="R1" s="33"/>
      <c r="S1" s="33"/>
      <c r="T1" s="33"/>
      <c r="U1" s="33"/>
      <c r="V1" s="33"/>
      <c r="W1" s="34" t="s">
        <v>13</v>
      </c>
      <c r="X1" s="34"/>
      <c r="Y1" s="34"/>
      <c r="Z1" s="34"/>
      <c r="AA1" s="34"/>
      <c r="AB1" s="34"/>
      <c r="AC1" s="34"/>
      <c r="AD1" s="34"/>
      <c r="AE1" s="34"/>
      <c r="AF1" s="20" t="s">
        <v>31</v>
      </c>
      <c r="AG1" s="20"/>
      <c r="AH1" s="20"/>
      <c r="AI1" s="20"/>
      <c r="AJ1" s="20"/>
      <c r="AK1" s="20"/>
    </row>
    <row r="2" spans="1:37" ht="15.75" x14ac:dyDescent="0.25">
      <c r="A2" s="1" t="s">
        <v>22</v>
      </c>
      <c r="B2" s="1" t="s">
        <v>23</v>
      </c>
      <c r="C2" s="1" t="s">
        <v>36</v>
      </c>
      <c r="D2" s="1" t="s">
        <v>24</v>
      </c>
      <c r="E2" s="1" t="s">
        <v>25</v>
      </c>
      <c r="F2" s="1" t="s">
        <v>37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22</v>
      </c>
      <c r="Q2" s="1" t="s">
        <v>23</v>
      </c>
      <c r="R2" s="1" t="s">
        <v>36</v>
      </c>
      <c r="S2" s="1" t="s">
        <v>24</v>
      </c>
      <c r="T2" s="1" t="s">
        <v>25</v>
      </c>
      <c r="U2" s="1" t="s">
        <v>37</v>
      </c>
      <c r="V2" s="2" t="s">
        <v>32</v>
      </c>
      <c r="W2" s="3" t="s">
        <v>22</v>
      </c>
      <c r="X2" s="1" t="s">
        <v>23</v>
      </c>
      <c r="Y2" s="1" t="s">
        <v>36</v>
      </c>
      <c r="Z2" s="1" t="s">
        <v>24</v>
      </c>
      <c r="AA2" s="1" t="s">
        <v>25</v>
      </c>
      <c r="AB2" s="1" t="s">
        <v>37</v>
      </c>
      <c r="AC2" s="6" t="s">
        <v>28</v>
      </c>
      <c r="AD2" s="6" t="s">
        <v>29</v>
      </c>
      <c r="AE2" s="6" t="s">
        <v>30</v>
      </c>
      <c r="AF2" s="31" t="s">
        <v>26</v>
      </c>
      <c r="AG2" s="31"/>
      <c r="AH2" s="31"/>
      <c r="AI2" s="31"/>
      <c r="AJ2" s="31"/>
      <c r="AK2" s="31"/>
    </row>
    <row r="3" spans="1:37" ht="15.75" x14ac:dyDescent="0.25">
      <c r="A3" s="5">
        <f>'Proximal Validation'!A3</f>
        <v>0.57634630980000001</v>
      </c>
      <c r="B3" s="5">
        <f>'Proximal Validation'!B3</f>
        <v>0.2</v>
      </c>
      <c r="C3" s="5">
        <f>'Proximal Validation'!C3</f>
        <v>0.78539999999999999</v>
      </c>
      <c r="D3" s="5">
        <f>'Proximal Validation'!D3</f>
        <v>1.1398024601000001</v>
      </c>
      <c r="E3" s="5">
        <f>'Proximal Validation'!E3</f>
        <v>0.02</v>
      </c>
      <c r="F3" s="5">
        <f>'Proximal Validation'!F3</f>
        <v>5.4977999999999998</v>
      </c>
      <c r="G3" s="5">
        <f>'Proximal Validation'!G3</f>
        <v>0.49272223679999999</v>
      </c>
      <c r="H3" s="5">
        <f>'Proximal Validation'!H3</f>
        <v>4.4756011583999999</v>
      </c>
      <c r="I3" s="5">
        <f>'Proximal Validation'!I3</f>
        <v>4.1915536561</v>
      </c>
      <c r="J3" s="5">
        <f>'Proximal Validation'!J3</f>
        <v>-4.8483535647392299E-3</v>
      </c>
      <c r="K3" s="5">
        <f>'Proximal Validation'!K3</f>
        <v>-4.9299089163541775E-2</v>
      </c>
      <c r="L3" s="5">
        <f>'Proximal Validation'!L3</f>
        <v>0.11311967670917589</v>
      </c>
      <c r="M3" s="5">
        <f>'Proximal Validation'!M3</f>
        <v>-9.3563906848430606E-2</v>
      </c>
      <c r="N3" s="5">
        <f>'Proximal Validation'!N3</f>
        <v>1.13720595836639</v>
      </c>
      <c r="O3" s="5">
        <f>'Proximal Validation'!O3</f>
        <v>-0.73825818300247203</v>
      </c>
      <c r="P3" s="5">
        <v>0.65332745225229305</v>
      </c>
      <c r="Q3" s="5">
        <v>0.19193491686036773</v>
      </c>
      <c r="R3" s="5">
        <v>0.66703217788720048</v>
      </c>
      <c r="S3" s="5">
        <v>1.2939011583414515</v>
      </c>
      <c r="T3" s="5">
        <v>2.4008673177589666E-2</v>
      </c>
      <c r="U3" s="5">
        <v>5.2161280194666899</v>
      </c>
      <c r="V3" s="13">
        <v>1.0532027499715653E-8</v>
      </c>
      <c r="W3" s="5">
        <f t="shared" ref="W3:AA10" si="0">P3-A3</f>
        <v>7.6981142452293039E-2</v>
      </c>
      <c r="X3" s="5">
        <f t="shared" si="0"/>
        <v>-8.0650831396322786E-3</v>
      </c>
      <c r="Y3" s="5">
        <f>MIN(ABS(R3-C3),2*PI()-ABS(R3-C3))</f>
        <v>0.1183678221127995</v>
      </c>
      <c r="Z3" s="5">
        <f t="shared" si="0"/>
        <v>0.15409869824145139</v>
      </c>
      <c r="AA3" s="5">
        <f t="shared" si="0"/>
        <v>4.008673177589666E-3</v>
      </c>
      <c r="AB3" s="5">
        <f>MIN(ABS(U3-F3),2*PI()-ABS(U3-F3))</f>
        <v>0.28167198053330988</v>
      </c>
      <c r="AC3" s="8">
        <f t="shared" ref="AC3:AC10" si="1">AVERAGE(ABS(W3),ABS(Z3))</f>
        <v>0.11553992034687222</v>
      </c>
      <c r="AD3" s="8">
        <f t="shared" ref="AD3:AD10" si="2">AVERAGE(ABS(X3),ABS(AA3))</f>
        <v>6.0368781586109723E-3</v>
      </c>
      <c r="AE3" s="8">
        <f t="shared" ref="AE3:AE10" si="3">AVERAGE(ABS(Y3),ABS(AB3))</f>
        <v>0.20001990132305469</v>
      </c>
      <c r="AF3" s="1" t="s">
        <v>22</v>
      </c>
      <c r="AG3" s="1" t="s">
        <v>23</v>
      </c>
      <c r="AH3" s="1" t="s">
        <v>36</v>
      </c>
      <c r="AI3" s="1" t="s">
        <v>24</v>
      </c>
      <c r="AJ3" s="1" t="s">
        <v>25</v>
      </c>
      <c r="AK3" s="1" t="s">
        <v>37</v>
      </c>
    </row>
    <row r="4" spans="1:37" x14ac:dyDescent="0.25">
      <c r="A4" s="5">
        <f>'Proximal Validation'!A4</f>
        <v>1.2961945501000001</v>
      </c>
      <c r="B4" s="5">
        <f>'Proximal Validation'!B4</f>
        <v>0.2</v>
      </c>
      <c r="C4" s="5">
        <f>'Proximal Validation'!C4</f>
        <v>4.7123999999999997</v>
      </c>
      <c r="D4" s="5">
        <f>'Proximal Validation'!D4</f>
        <v>0.31907560010000002</v>
      </c>
      <c r="E4" s="5">
        <f>'Proximal Validation'!E4</f>
        <v>0.02</v>
      </c>
      <c r="F4" s="5">
        <f>'Proximal Validation'!F4</f>
        <v>1.5708</v>
      </c>
      <c r="G4" s="5">
        <f>'Proximal Validation'!G4</f>
        <v>0.53253118440000002</v>
      </c>
      <c r="H4" s="5">
        <f>'Proximal Validation'!H4</f>
        <v>1.6232893740000001</v>
      </c>
      <c r="I4" s="5">
        <f>'Proximal Validation'!I4</f>
        <v>9.6932284100000002E-2</v>
      </c>
      <c r="J4" s="5">
        <f>'Proximal Validation'!J4</f>
        <v>-2.2787048947066099E-3</v>
      </c>
      <c r="K4" s="5">
        <f>'Proximal Validation'!K4</f>
        <v>0.23746988892555226</v>
      </c>
      <c r="L4" s="5">
        <f>'Proximal Validation'!L4</f>
        <v>-3.8131318800151311E-3</v>
      </c>
      <c r="M4" s="5">
        <f>'Proximal Validation'!M4</f>
        <v>-0.78536403179168701</v>
      </c>
      <c r="N4" s="5">
        <f>'Proximal Validation'!N4</f>
        <v>-2.54362337291241E-2</v>
      </c>
      <c r="O4" s="5">
        <f>'Proximal Validation'!O4</f>
        <v>-0.55368435382842995</v>
      </c>
      <c r="P4" s="5">
        <v>1.3958014030960029</v>
      </c>
      <c r="Q4" s="5">
        <v>0.1999999995642065</v>
      </c>
      <c r="R4" s="5">
        <v>4.6999881204420353</v>
      </c>
      <c r="S4" s="5">
        <v>0.44648404848867529</v>
      </c>
      <c r="T4" s="5">
        <v>2.0000000000028009E-2</v>
      </c>
      <c r="U4" s="5">
        <v>1.5866412679229229</v>
      </c>
      <c r="V4" s="13">
        <v>1.7421009196051274E-5</v>
      </c>
      <c r="W4" s="5">
        <f t="shared" si="0"/>
        <v>9.9606852996002804E-2</v>
      </c>
      <c r="X4" s="5">
        <f t="shared" si="0"/>
        <v>-4.3579351238776098E-10</v>
      </c>
      <c r="Y4" s="5">
        <f t="shared" ref="Y4:Y12" si="4">MIN(ABS(R4-C4),2*PI()-ABS(R4-C4))</f>
        <v>1.2411879557964411E-2</v>
      </c>
      <c r="Z4" s="5">
        <f t="shared" si="0"/>
        <v>0.12740844838867527</v>
      </c>
      <c r="AA4" s="5">
        <f t="shared" si="0"/>
        <v>2.8008845243121527E-14</v>
      </c>
      <c r="AB4" s="5">
        <f t="shared" ref="AB4:AB12" si="5">MIN(ABS(U4-F4),2*PI()-ABS(U4-F4))</f>
        <v>1.5841267922922952E-2</v>
      </c>
      <c r="AC4" s="8">
        <f t="shared" si="1"/>
        <v>0.11350765069233903</v>
      </c>
      <c r="AD4" s="8">
        <f t="shared" si="2"/>
        <v>2.1791076061650205E-10</v>
      </c>
      <c r="AE4" s="8">
        <f t="shared" si="3"/>
        <v>1.4126573740443682E-2</v>
      </c>
      <c r="AF4" s="7" cm="1">
        <f t="array" ref="AF4">AVERAGE(ABS(W3:W12))</f>
        <v>7.5304133243438723E-2</v>
      </c>
      <c r="AG4" s="7" cm="1">
        <f t="array" ref="AG4">AVERAGE(ABS(X3:X12))</f>
        <v>3.8320288923660044E-3</v>
      </c>
      <c r="AH4" s="7" cm="1">
        <f t="array" ref="AH4">AVERAGE(ABS(Y3:Y12))</f>
        <v>6.421132645180043E-2</v>
      </c>
      <c r="AI4" s="7" cm="1">
        <f t="array" ref="AI4">AVERAGE(ABS(Z3:Z12))</f>
        <v>0.17415283033604365</v>
      </c>
      <c r="AJ4" s="7" cm="1">
        <f t="array" ref="AJ4">AVERAGE(ABS(AA3:AA12))</f>
        <v>1.3806723891416984E-2</v>
      </c>
      <c r="AK4" s="7" cm="1">
        <f t="array" ref="AK4">AVERAGE(ABS(AB3:AB12))</f>
        <v>0.14168293390230283</v>
      </c>
    </row>
    <row r="5" spans="1:37" x14ac:dyDescent="0.25">
      <c r="A5" s="5">
        <f>'Proximal Validation'!A5</f>
        <v>0.3432844504</v>
      </c>
      <c r="B5" s="5">
        <f>'Proximal Validation'!B5</f>
        <v>0.2</v>
      </c>
      <c r="C5" s="5">
        <f>'Proximal Validation'!C5</f>
        <v>3.1415999999999999</v>
      </c>
      <c r="D5" s="5">
        <f>'Proximal Validation'!D5</f>
        <v>0.75633386430000005</v>
      </c>
      <c r="E5" s="5">
        <f>'Proximal Validation'!E5</f>
        <v>0.02</v>
      </c>
      <c r="F5" s="5">
        <f>'Proximal Validation'!F5</f>
        <v>3.1415999999999999</v>
      </c>
      <c r="G5" s="5">
        <f>'Proximal Validation'!G5</f>
        <v>3.5593988404000001</v>
      </c>
      <c r="H5" s="5">
        <f>'Proximal Validation'!H5</f>
        <v>2.6173593599</v>
      </c>
      <c r="I5" s="5">
        <f>'Proximal Validation'!I5</f>
        <v>2.7214845023000001</v>
      </c>
      <c r="J5" s="5">
        <f>'Proximal Validation'!J5</f>
        <v>2.7396343648433698E-3</v>
      </c>
      <c r="K5" s="5">
        <f>'Proximal Validation'!K5</f>
        <v>2.7901530265808086E-5</v>
      </c>
      <c r="L5" s="5">
        <f>'Proximal Validation'!L5</f>
        <v>-8.8981522321701062E-2</v>
      </c>
      <c r="M5" s="5">
        <f>'Proximal Validation'!M5</f>
        <v>-7.5504761189222301E-3</v>
      </c>
      <c r="N5" s="5">
        <f>'Proximal Validation'!N5</f>
        <v>-0.98192942142486594</v>
      </c>
      <c r="O5" s="5">
        <f>'Proximal Validation'!O5</f>
        <v>4.0116310119628898E-3</v>
      </c>
      <c r="P5" s="5">
        <v>0.39301925442527363</v>
      </c>
      <c r="Q5" s="5">
        <v>0.19999996324175143</v>
      </c>
      <c r="R5" s="5">
        <v>3.138981954103627</v>
      </c>
      <c r="S5" s="5">
        <v>0.59271049005845822</v>
      </c>
      <c r="T5" s="5">
        <v>2.0000000291007541E-2</v>
      </c>
      <c r="U5" s="5">
        <v>3.1356155006319493</v>
      </c>
      <c r="V5" s="13">
        <v>4.0664678074971505E-6</v>
      </c>
      <c r="W5" s="5">
        <f t="shared" si="0"/>
        <v>4.9734804025273638E-2</v>
      </c>
      <c r="X5" s="5">
        <f t="shared" si="0"/>
        <v>-3.6758248583845798E-8</v>
      </c>
      <c r="Y5" s="5">
        <f t="shared" si="4"/>
        <v>2.6180458963729336E-3</v>
      </c>
      <c r="Z5" s="5">
        <f t="shared" si="0"/>
        <v>-0.16362337424154183</v>
      </c>
      <c r="AA5" s="5">
        <f t="shared" si="0"/>
        <v>2.9100754098121406E-10</v>
      </c>
      <c r="AB5" s="5">
        <f t="shared" si="5"/>
        <v>5.9844993680506775E-3</v>
      </c>
      <c r="AC5" s="9">
        <f t="shared" si="1"/>
        <v>0.10667908913340773</v>
      </c>
      <c r="AD5" s="9">
        <f t="shared" si="2"/>
        <v>1.8524628062413506E-8</v>
      </c>
      <c r="AE5" s="9">
        <f t="shared" si="3"/>
        <v>4.3012726322118056E-3</v>
      </c>
      <c r="AF5" s="29" t="s">
        <v>27</v>
      </c>
      <c r="AG5" s="30"/>
      <c r="AH5" s="30"/>
      <c r="AI5" s="30"/>
      <c r="AJ5" s="30"/>
      <c r="AK5" s="30"/>
    </row>
    <row r="6" spans="1:37" x14ac:dyDescent="0.25">
      <c r="A6" s="5">
        <f>'Proximal Validation'!A6</f>
        <v>0.83277602429999997</v>
      </c>
      <c r="B6" s="5">
        <f>'Proximal Validation'!B6</f>
        <v>0.2</v>
      </c>
      <c r="C6" s="5">
        <f>'Proximal Validation'!C6</f>
        <v>4.7123999999999997</v>
      </c>
      <c r="D6" s="5">
        <f>'Proximal Validation'!D6</f>
        <v>1.4193655153</v>
      </c>
      <c r="E6" s="5">
        <f>'Proximal Validation'!E6</f>
        <v>0.04</v>
      </c>
      <c r="F6" s="5">
        <f>'Proximal Validation'!F6</f>
        <v>5.4977999999999998</v>
      </c>
      <c r="G6" s="5">
        <f>'Proximal Validation'!G6</f>
        <v>4.2084858911999996</v>
      </c>
      <c r="H6" s="5">
        <f>'Proximal Validation'!H6</f>
        <v>0.52916698419999997</v>
      </c>
      <c r="I6" s="5">
        <f>'Proximal Validation'!I6</f>
        <v>2.5150427606000001</v>
      </c>
      <c r="J6" s="5">
        <f>'Proximal Validation'!J6</f>
        <v>-1.43141560256481E-2</v>
      </c>
      <c r="K6" s="5">
        <f>'Proximal Validation'!K6</f>
        <v>0.19910913825035079</v>
      </c>
      <c r="L6" s="5">
        <f>'Proximal Validation'!L6</f>
        <v>2.9508465230465089E-2</v>
      </c>
      <c r="M6" s="5">
        <f>'Proximal Validation'!M6</f>
        <v>-0.46529781818389898</v>
      </c>
      <c r="N6" s="5">
        <f>'Proximal Validation'!N6</f>
        <v>0.80010873079299905</v>
      </c>
      <c r="O6" s="5">
        <f>'Proximal Validation'!O6</f>
        <v>-1.7768694162368801</v>
      </c>
      <c r="P6" s="5">
        <v>0.88083625190099168</v>
      </c>
      <c r="Q6" s="5">
        <v>0.19999997123534649</v>
      </c>
      <c r="R6" s="5">
        <v>4.7285433851265219</v>
      </c>
      <c r="S6" s="5">
        <v>1.3294609720468222</v>
      </c>
      <c r="T6" s="5">
        <v>3.5675347883246104E-2</v>
      </c>
      <c r="U6" s="5">
        <v>5.4014439693647098</v>
      </c>
      <c r="V6" s="13">
        <v>1.5816557435574912E-5</v>
      </c>
      <c r="W6" s="5">
        <f t="shared" si="0"/>
        <v>4.8060227600991712E-2</v>
      </c>
      <c r="X6" s="5">
        <f t="shared" si="0"/>
        <v>-2.8764653520196859E-8</v>
      </c>
      <c r="Y6" s="5">
        <f t="shared" si="4"/>
        <v>1.6143385126522247E-2</v>
      </c>
      <c r="Z6" s="5">
        <f t="shared" si="0"/>
        <v>-8.990454325317776E-2</v>
      </c>
      <c r="AA6" s="5">
        <f t="shared" si="0"/>
        <v>-4.3246521167538965E-3</v>
      </c>
      <c r="AB6" s="5">
        <f t="shared" si="5"/>
        <v>9.6356030635289969E-2</v>
      </c>
      <c r="AC6" s="8">
        <f t="shared" si="1"/>
        <v>6.8982385427084736E-2</v>
      </c>
      <c r="AD6" s="8">
        <f t="shared" si="2"/>
        <v>2.1623404407037083E-3</v>
      </c>
      <c r="AE6" s="8">
        <f t="shared" si="3"/>
        <v>5.6249707880906108E-2</v>
      </c>
      <c r="AF6" s="6" t="s">
        <v>28</v>
      </c>
      <c r="AG6" s="6" t="s">
        <v>29</v>
      </c>
      <c r="AH6" s="6" t="s">
        <v>30</v>
      </c>
      <c r="AI6" s="7"/>
      <c r="AJ6" s="7"/>
      <c r="AK6" s="7"/>
    </row>
    <row r="7" spans="1:37" x14ac:dyDescent="0.25">
      <c r="A7" s="5">
        <f>'Proximal Validation'!A7</f>
        <v>0.3898403909</v>
      </c>
      <c r="B7" s="5">
        <f>'Proximal Validation'!B7</f>
        <v>0.2</v>
      </c>
      <c r="C7" s="5">
        <f>'Proximal Validation'!C7</f>
        <v>1.5708</v>
      </c>
      <c r="D7" s="5">
        <f>'Proximal Validation'!D7</f>
        <v>0.45028828840000001</v>
      </c>
      <c r="E7" s="5">
        <f>'Proximal Validation'!E7</f>
        <v>0.04</v>
      </c>
      <c r="F7" s="5">
        <f>'Proximal Validation'!F7</f>
        <v>2.3561999999999999</v>
      </c>
      <c r="G7" s="5">
        <f>'Proximal Validation'!G7</f>
        <v>0.34676129480000001</v>
      </c>
      <c r="H7" s="5">
        <f>'Proximal Validation'!H7</f>
        <v>0.93612470940000003</v>
      </c>
      <c r="I7" s="5">
        <f>'Proximal Validation'!I7</f>
        <v>2.0702513480000002</v>
      </c>
      <c r="J7" s="5">
        <f>'Proximal Validation'!J7</f>
        <v>-2.77032051235437E-3</v>
      </c>
      <c r="K7" s="5">
        <f>'Proximal Validation'!K7</f>
        <v>-8.7060849666595136E-2</v>
      </c>
      <c r="L7" s="5">
        <f>'Proximal Validation'!L7</f>
        <v>-1.0583339482545799E-2</v>
      </c>
      <c r="M7" s="5">
        <f>'Proximal Validation'!M7</f>
        <v>-2.05973610281944E-2</v>
      </c>
      <c r="N7" s="5">
        <f>'Proximal Validation'!N7</f>
        <v>-0.34849351644516002</v>
      </c>
      <c r="O7" s="5">
        <f>'Proximal Validation'!O7</f>
        <v>0.549818456172943</v>
      </c>
      <c r="P7" s="5">
        <v>0.41990227479531844</v>
      </c>
      <c r="Q7" s="5">
        <v>0.19970433406541999</v>
      </c>
      <c r="R7" s="5">
        <v>1.5436052762965904</v>
      </c>
      <c r="S7" s="5">
        <v>0.38678716730823393</v>
      </c>
      <c r="T7" s="5">
        <v>3.5714457057180266E-2</v>
      </c>
      <c r="U7" s="5">
        <v>2.7797371663144719</v>
      </c>
      <c r="V7" s="13">
        <v>4.5728085511253878E-6</v>
      </c>
      <c r="W7" s="5">
        <f t="shared" si="0"/>
        <v>3.0061883895318442E-2</v>
      </c>
      <c r="X7" s="5">
        <f t="shared" si="0"/>
        <v>-2.9566593458002499E-4</v>
      </c>
      <c r="Y7" s="5">
        <f t="shared" si="4"/>
        <v>2.7194723703409585E-2</v>
      </c>
      <c r="Z7" s="5">
        <f t="shared" si="0"/>
        <v>-6.3501121091766088E-2</v>
      </c>
      <c r="AA7" s="5">
        <f t="shared" si="0"/>
        <v>-4.2855429428197353E-3</v>
      </c>
      <c r="AB7" s="5">
        <f t="shared" si="5"/>
        <v>0.42353716631447202</v>
      </c>
      <c r="AC7" s="8">
        <f t="shared" si="1"/>
        <v>4.6781502493542265E-2</v>
      </c>
      <c r="AD7" s="8">
        <f t="shared" si="2"/>
        <v>2.2906044386998801E-3</v>
      </c>
      <c r="AE7" s="8">
        <f t="shared" si="3"/>
        <v>0.2253659450089408</v>
      </c>
      <c r="AF7" s="10">
        <f>AVERAGE(AF4,AI4)</f>
        <v>0.12472848178974119</v>
      </c>
      <c r="AG7" s="10">
        <f>AVERAGE(AG4,AJ4)</f>
        <v>8.8193763918914935E-3</v>
      </c>
      <c r="AH7" s="10">
        <f>AVERAGE(AH4,AK4)</f>
        <v>0.10294713017705162</v>
      </c>
      <c r="AI7" s="7"/>
      <c r="AJ7" s="7"/>
      <c r="AK7" s="7"/>
    </row>
    <row r="8" spans="1:37" x14ac:dyDescent="0.25">
      <c r="A8" s="5">
        <f>'Proximal Validation'!A8</f>
        <v>0.86958752539999995</v>
      </c>
      <c r="B8" s="5">
        <f>'Proximal Validation'!B8</f>
        <v>0.2</v>
      </c>
      <c r="C8" s="5">
        <f>'Proximal Validation'!C8</f>
        <v>0.78539999999999999</v>
      </c>
      <c r="D8" s="5">
        <f>'Proximal Validation'!D8</f>
        <v>0.66933871</v>
      </c>
      <c r="E8" s="5">
        <f>'Proximal Validation'!E8</f>
        <v>0.04</v>
      </c>
      <c r="F8" s="5">
        <f>'Proximal Validation'!F8</f>
        <v>0.78539999999999999</v>
      </c>
      <c r="G8" s="5">
        <f>'Proximal Validation'!G8</f>
        <v>2.0486073985000002</v>
      </c>
      <c r="H8" s="5">
        <f>'Proximal Validation'!H8</f>
        <v>1.4427408886999999</v>
      </c>
      <c r="I8" s="5">
        <f>'Proximal Validation'!I8</f>
        <v>0.53737298850000004</v>
      </c>
      <c r="J8" s="5">
        <f>'Proximal Validation'!J8</f>
        <v>-1.20506128296256E-2</v>
      </c>
      <c r="K8" s="5">
        <f>'Proximal Validation'!K8</f>
        <v>-0.12670553922653227</v>
      </c>
      <c r="L8" s="5">
        <f>'Proximal Validation'!L8</f>
        <v>0.1496409153938289</v>
      </c>
      <c r="M8" s="5">
        <f>'Proximal Validation'!M8</f>
        <v>-0.31113249063491799</v>
      </c>
      <c r="N8" s="5">
        <f>'Proximal Validation'!N8</f>
        <v>1.09533703327179</v>
      </c>
      <c r="O8" s="5">
        <f>'Proximal Validation'!O8</f>
        <v>0.92608898878097501</v>
      </c>
      <c r="P8" s="5">
        <v>0.82135635463285339</v>
      </c>
      <c r="Q8" s="5">
        <v>0.19999999960193876</v>
      </c>
      <c r="R8" s="5">
        <v>0.70258534636042358</v>
      </c>
      <c r="S8" s="5">
        <v>0.68741730094688858</v>
      </c>
      <c r="T8" s="5">
        <v>5.8345347854659224E-2</v>
      </c>
      <c r="U8" s="5">
        <v>0.75072157390721983</v>
      </c>
      <c r="V8" s="13">
        <v>2.0234120871314882E-6</v>
      </c>
      <c r="W8" s="5">
        <f t="shared" si="0"/>
        <v>-4.8231170767146558E-2</v>
      </c>
      <c r="X8" s="5">
        <f t="shared" si="0"/>
        <v>-3.9806125062824549E-10</v>
      </c>
      <c r="Y8" s="5">
        <f t="shared" si="4"/>
        <v>8.2814653639576408E-2</v>
      </c>
      <c r="Z8" s="5">
        <f t="shared" si="0"/>
        <v>1.8078590946888573E-2</v>
      </c>
      <c r="AA8" s="5">
        <f t="shared" si="0"/>
        <v>1.8345347854659223E-2</v>
      </c>
      <c r="AB8" s="5">
        <f t="shared" si="5"/>
        <v>3.4678426092780157E-2</v>
      </c>
      <c r="AC8" s="8">
        <f t="shared" si="1"/>
        <v>3.3154880857017566E-2</v>
      </c>
      <c r="AD8" s="8">
        <f t="shared" si="2"/>
        <v>9.172674126360237E-3</v>
      </c>
      <c r="AE8" s="8">
        <f t="shared" si="3"/>
        <v>5.8746539866178282E-2</v>
      </c>
    </row>
    <row r="9" spans="1:37" x14ac:dyDescent="0.25">
      <c r="A9" s="5">
        <f>'Proximal Validation'!A9</f>
        <v>1.2260241731999999</v>
      </c>
      <c r="B9" s="5">
        <f>'Proximal Validation'!B9</f>
        <v>0.2</v>
      </c>
      <c r="C9" s="5">
        <f>'Proximal Validation'!C9</f>
        <v>3.1415999999999999</v>
      </c>
      <c r="D9" s="5">
        <f>'Proximal Validation'!D9</f>
        <v>0.53124592000000004</v>
      </c>
      <c r="E9" s="5">
        <f>'Proximal Validation'!E9</f>
        <v>0.04</v>
      </c>
      <c r="F9" s="5">
        <f>'Proximal Validation'!F9</f>
        <v>1.5708</v>
      </c>
      <c r="G9" s="5">
        <f>'Proximal Validation'!G9</f>
        <v>2.1721905802000001</v>
      </c>
      <c r="H9" s="5">
        <f>'Proximal Validation'!H9</f>
        <v>4.8592739976999999</v>
      </c>
      <c r="I9" s="5">
        <f>'Proximal Validation'!I9</f>
        <v>4.1505258277000001</v>
      </c>
      <c r="J9" s="5">
        <f>'Proximal Validation'!J9</f>
        <v>4.4089788571000099E-3</v>
      </c>
      <c r="K9" s="5">
        <f>'Proximal Validation'!K9</f>
        <v>-3.1871920824050881E-2</v>
      </c>
      <c r="L9" s="5">
        <f>'Proximal Validation'!L9</f>
        <v>-0.23815526187419911</v>
      </c>
      <c r="M9" s="5">
        <f>'Proximal Validation'!M9</f>
        <v>-0.60743898153305098</v>
      </c>
      <c r="N9" s="5">
        <f>'Proximal Validation'!N9</f>
        <v>-0.81274193525314298</v>
      </c>
      <c r="O9" s="5">
        <f>'Proximal Validation'!O9</f>
        <v>0.72559177875518799</v>
      </c>
      <c r="P9" s="5">
        <v>1.3618538691631326</v>
      </c>
      <c r="Q9" s="5">
        <v>0.19999999999997725</v>
      </c>
      <c r="R9" s="5">
        <v>3.0516946700844008</v>
      </c>
      <c r="S9" s="5">
        <v>0.70146493858516645</v>
      </c>
      <c r="T9" s="5">
        <v>2.0000000000022205E-2</v>
      </c>
      <c r="U9" s="5">
        <v>1.1834402880647956</v>
      </c>
      <c r="V9" s="13">
        <v>1.5837726624828992E-5</v>
      </c>
      <c r="W9" s="5">
        <f t="shared" si="0"/>
        <v>0.13582969596313266</v>
      </c>
      <c r="X9" s="5">
        <f t="shared" si="0"/>
        <v>-2.2759572004815709E-14</v>
      </c>
      <c r="Y9" s="5">
        <f t="shared" si="4"/>
        <v>8.9905329915599186E-2</v>
      </c>
      <c r="Z9" s="5">
        <f t="shared" si="0"/>
        <v>0.17021901858516642</v>
      </c>
      <c r="AA9" s="5">
        <f t="shared" si="0"/>
        <v>-1.9999999999977796E-2</v>
      </c>
      <c r="AB9" s="5">
        <f t="shared" si="5"/>
        <v>0.38735971193520435</v>
      </c>
      <c r="AC9" s="8">
        <f t="shared" si="1"/>
        <v>0.15302435727414954</v>
      </c>
      <c r="AD9" s="8">
        <f t="shared" si="2"/>
        <v>1.0000000000000278E-2</v>
      </c>
      <c r="AE9" s="8">
        <f t="shared" si="3"/>
        <v>0.23863252092540177</v>
      </c>
      <c r="AF9" s="12"/>
      <c r="AG9" s="12"/>
      <c r="AH9" s="12"/>
    </row>
    <row r="10" spans="1:37" x14ac:dyDescent="0.25">
      <c r="A10" s="5">
        <f>'Proximal Validation'!A10</f>
        <v>1.4922792275000001</v>
      </c>
      <c r="B10" s="5">
        <f>'Proximal Validation'!B10</f>
        <v>0.2</v>
      </c>
      <c r="C10" s="5">
        <f>'Proximal Validation'!C10</f>
        <v>2.3561999999999999</v>
      </c>
      <c r="D10" s="5">
        <f>'Proximal Validation'!D10</f>
        <v>1.2493008810999999</v>
      </c>
      <c r="E10" s="5">
        <f>'Proximal Validation'!E10</f>
        <v>0.04</v>
      </c>
      <c r="F10" s="5">
        <f>'Proximal Validation'!F10</f>
        <v>0.78539999999999999</v>
      </c>
      <c r="G10" s="5">
        <f>'Proximal Validation'!G10</f>
        <v>0.65138204079999995</v>
      </c>
      <c r="H10" s="5">
        <f>'Proximal Validation'!H10</f>
        <v>2.3960292019999998</v>
      </c>
      <c r="I10" s="5">
        <f>'Proximal Validation'!I10</f>
        <v>3.8310385232000002</v>
      </c>
      <c r="J10" s="5">
        <f>'Proximal Validation'!J10</f>
        <v>3.9877006784081502E-3</v>
      </c>
      <c r="K10" s="5">
        <f>'Proximal Validation'!K10</f>
        <v>-0.23812925338745111</v>
      </c>
      <c r="L10" s="5">
        <f>'Proximal Validation'!L10</f>
        <v>-0.16476846545934729</v>
      </c>
      <c r="M10" s="5">
        <f>'Proximal Validation'!M10</f>
        <v>-0.90740537643432595</v>
      </c>
      <c r="N10" s="5">
        <f>'Proximal Validation'!N10</f>
        <v>0.22993692755699199</v>
      </c>
      <c r="O10" s="5">
        <f>'Proximal Validation'!O10</f>
        <v>1.7137415409088099</v>
      </c>
      <c r="P10" s="5">
        <v>1.4999999999999778</v>
      </c>
      <c r="Q10" s="5">
        <v>0.19999999999997137</v>
      </c>
      <c r="R10" s="5">
        <v>2.4785127709500903</v>
      </c>
      <c r="S10" s="5">
        <v>1.4999999999999778</v>
      </c>
      <c r="T10" s="5">
        <v>5.7915355297738919E-2</v>
      </c>
      <c r="U10" s="5">
        <v>0.93750943035986678</v>
      </c>
      <c r="V10" s="13">
        <v>3.6006714555265749E-4</v>
      </c>
      <c r="W10" s="5">
        <f t="shared" si="0"/>
        <v>7.7207724999777128E-3</v>
      </c>
      <c r="X10" s="5">
        <f t="shared" si="0"/>
        <v>-2.8643754035329039E-14</v>
      </c>
      <c r="Y10" s="5">
        <f t="shared" si="4"/>
        <v>0.12231277095009041</v>
      </c>
      <c r="Z10" s="5">
        <f t="shared" si="0"/>
        <v>0.25069911889997787</v>
      </c>
      <c r="AA10" s="5">
        <f t="shared" si="0"/>
        <v>1.7915355297738918E-2</v>
      </c>
      <c r="AB10" s="5">
        <f t="shared" si="5"/>
        <v>0.15210943035986679</v>
      </c>
      <c r="AC10" s="8">
        <f t="shared" si="1"/>
        <v>0.12920994569997779</v>
      </c>
      <c r="AD10" s="8">
        <f t="shared" si="2"/>
        <v>8.9576776488837807E-3</v>
      </c>
      <c r="AE10" s="8">
        <f t="shared" si="3"/>
        <v>0.1372111006549786</v>
      </c>
    </row>
    <row r="11" spans="1:37" x14ac:dyDescent="0.25">
      <c r="A11" s="5">
        <f>'Proximal Validation'!A11</f>
        <v>1.4258680059</v>
      </c>
      <c r="B11" s="5">
        <f>'Proximal Validation'!B11</f>
        <v>0.2</v>
      </c>
      <c r="C11" s="5">
        <f>'Proximal Validation'!C11</f>
        <v>4.7123999999999997</v>
      </c>
      <c r="D11" s="5">
        <f>'Proximal Validation'!D11</f>
        <v>0.35291314260000001</v>
      </c>
      <c r="E11" s="5">
        <f>'Proximal Validation'!E11</f>
        <v>0.04</v>
      </c>
      <c r="F11" s="5">
        <f>'Proximal Validation'!F11</f>
        <v>0</v>
      </c>
      <c r="G11" s="5">
        <f>'Proximal Validation'!G11</f>
        <v>3.4810259851000001</v>
      </c>
      <c r="H11" s="5">
        <f>'Proximal Validation'!H11</f>
        <v>1.1294030872</v>
      </c>
      <c r="I11" s="5">
        <f>'Proximal Validation'!I11</f>
        <v>4.9138255752999997</v>
      </c>
      <c r="J11" s="5">
        <f>'Proximal Validation'!J11</f>
        <v>-2.5121536105871201E-2</v>
      </c>
      <c r="K11" s="5">
        <f>'Proximal Validation'!K11</f>
        <v>0.23443316221237209</v>
      </c>
      <c r="L11" s="5">
        <f>'Proximal Validation'!L11</f>
        <v>2.2260813415050131E-3</v>
      </c>
      <c r="M11" s="5">
        <f>'Proximal Validation'!M11</f>
        <v>-1.1394190788269001</v>
      </c>
      <c r="N11" s="5">
        <f>'Proximal Validation'!N11</f>
        <v>0.194542020559311</v>
      </c>
      <c r="O11" s="5">
        <f>'Proximal Validation'!O11</f>
        <v>-0.71812152862548795</v>
      </c>
      <c r="P11" s="5">
        <v>1.4684911098485307</v>
      </c>
      <c r="Q11" s="5">
        <v>0.19999991678409793</v>
      </c>
      <c r="R11" s="5">
        <v>4.5481602964669765</v>
      </c>
      <c r="S11" s="5">
        <v>0.54658754015356292</v>
      </c>
      <c r="T11" s="5">
        <v>9.60625929281365E-2</v>
      </c>
      <c r="U11" s="5">
        <v>6.2831853071795569</v>
      </c>
      <c r="V11" s="13">
        <v>4.9865919880854612E-5</v>
      </c>
      <c r="W11" s="5">
        <f t="shared" ref="W11:W12" si="6">P11-A11</f>
        <v>4.2623103948530749E-2</v>
      </c>
      <c r="X11" s="5">
        <f t="shared" ref="X11:X12" si="7">Q11-B11</f>
        <v>-8.3215902085820304E-8</v>
      </c>
      <c r="Y11" s="5">
        <f t="shared" si="4"/>
        <v>0.1642397035330232</v>
      </c>
      <c r="Z11" s="5">
        <f t="shared" ref="Z11:Z12" si="8">S11-D11</f>
        <v>0.19367439755356292</v>
      </c>
      <c r="AA11" s="5">
        <f t="shared" ref="AA11:AA12" si="9">T11-E11</f>
        <v>5.60625929281365E-2</v>
      </c>
      <c r="AB11" s="5">
        <f t="shared" si="5"/>
        <v>2.9309887850104133E-14</v>
      </c>
      <c r="AC11" s="8">
        <f t="shared" ref="AC11:AC12" si="10">AVERAGE(ABS(W11),ABS(Z11))</f>
        <v>0.11814875075104683</v>
      </c>
      <c r="AD11" s="8">
        <f t="shared" ref="AD11:AD12" si="11">AVERAGE(ABS(X11),ABS(AA11))</f>
        <v>2.8031338072019293E-2</v>
      </c>
      <c r="AE11" s="8">
        <f t="shared" ref="AE11:AE12" si="12">AVERAGE(ABS(Y11),ABS(AB11))</f>
        <v>8.2119851766526253E-2</v>
      </c>
    </row>
    <row r="12" spans="1:37" x14ac:dyDescent="0.25">
      <c r="A12" s="5">
        <f>'Proximal Validation'!A12</f>
        <v>1.2847663906</v>
      </c>
      <c r="B12" s="5">
        <f>'Proximal Validation'!B12</f>
        <v>0.18</v>
      </c>
      <c r="C12" s="5">
        <f>'Proximal Validation'!C12</f>
        <v>0.78539999999999999</v>
      </c>
      <c r="D12" s="5">
        <f>'Proximal Validation'!D12</f>
        <v>0.98965387010000005</v>
      </c>
      <c r="E12" s="5">
        <f>'Proximal Validation'!E12</f>
        <v>0.04</v>
      </c>
      <c r="F12" s="5">
        <f>'Proximal Validation'!F12</f>
        <v>3.927</v>
      </c>
      <c r="G12" s="5">
        <f>'Proximal Validation'!G12</f>
        <v>3.2068327339999998</v>
      </c>
      <c r="H12" s="5">
        <f>'Proximal Validation'!H12</f>
        <v>3.5469168124000001</v>
      </c>
      <c r="I12" s="5">
        <f>'Proximal Validation'!I12</f>
        <v>1.1514404992</v>
      </c>
      <c r="J12" s="5">
        <f>'Proximal Validation'!J12</f>
        <v>-1.56177338212729E-2</v>
      </c>
      <c r="K12" s="5">
        <f>'Proximal Validation'!K12</f>
        <v>-0.12120571285486201</v>
      </c>
      <c r="L12" s="5">
        <f>'Proximal Validation'!L12</f>
        <v>0.12601706266403204</v>
      </c>
      <c r="M12" s="5">
        <f>'Proximal Validation'!M12</f>
        <v>-0.64654499292373702</v>
      </c>
      <c r="N12" s="5">
        <f>'Proximal Validation'!N12</f>
        <v>-2.8156310319900499E-2</v>
      </c>
      <c r="O12" s="5">
        <f>'Proximal Validation'!O12</f>
        <v>-0.153284221887589</v>
      </c>
      <c r="P12" s="5">
        <v>1.4989580688857198</v>
      </c>
      <c r="Q12" s="5">
        <v>0.15004060972326261</v>
      </c>
      <c r="R12" s="5">
        <v>0.79150495008264643</v>
      </c>
      <c r="S12" s="5">
        <v>1.4999748622582283</v>
      </c>
      <c r="T12" s="5">
        <v>2.6874925694541481E-2</v>
      </c>
      <c r="U12" s="5">
        <v>3.946290825861102</v>
      </c>
      <c r="V12" s="13">
        <v>1.2725502514792728E-6</v>
      </c>
      <c r="W12" s="5">
        <f t="shared" si="6"/>
        <v>0.21419167828571983</v>
      </c>
      <c r="X12" s="5">
        <f t="shared" si="7"/>
        <v>-2.9959390276737385E-2</v>
      </c>
      <c r="Y12" s="5">
        <f t="shared" si="4"/>
        <v>6.1049500826464431E-3</v>
      </c>
      <c r="Z12" s="5">
        <f t="shared" si="8"/>
        <v>0.51032099215822824</v>
      </c>
      <c r="AA12" s="5">
        <f t="shared" si="9"/>
        <v>-1.312507430545852E-2</v>
      </c>
      <c r="AB12" s="5">
        <f t="shared" si="5"/>
        <v>1.9290825861101979E-2</v>
      </c>
      <c r="AC12" s="8">
        <f t="shared" si="10"/>
        <v>0.36225633522197404</v>
      </c>
      <c r="AD12" s="8">
        <f t="shared" si="11"/>
        <v>2.1542232291097953E-2</v>
      </c>
      <c r="AE12" s="8">
        <f t="shared" si="12"/>
        <v>1.2697887971874211E-2</v>
      </c>
      <c r="AF12" s="12"/>
      <c r="AG12" s="12"/>
      <c r="AH12" s="12"/>
    </row>
  </sheetData>
  <mergeCells count="6">
    <mergeCell ref="AF5:AK5"/>
    <mergeCell ref="A1:I1"/>
    <mergeCell ref="J1:O1"/>
    <mergeCell ref="AF2:AK2"/>
    <mergeCell ref="P1:V1"/>
    <mergeCell ref="W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V18"/>
  <sheetViews>
    <sheetView workbookViewId="0">
      <selection activeCell="O12" sqref="O12:T12"/>
    </sheetView>
  </sheetViews>
  <sheetFormatPr defaultRowHeight="15" x14ac:dyDescent="0.25"/>
  <cols>
    <col min="22" max="22" width="17.7109375" bestFit="1" customWidth="1"/>
  </cols>
  <sheetData>
    <row r="1" spans="1:22" ht="15.75" x14ac:dyDescent="0.25">
      <c r="A1" s="35" t="s">
        <v>21</v>
      </c>
      <c r="B1" s="36"/>
      <c r="C1" s="36"/>
      <c r="D1" s="36"/>
      <c r="E1" s="36"/>
      <c r="F1" s="37"/>
      <c r="H1" s="35" t="s">
        <v>41</v>
      </c>
      <c r="I1" s="36"/>
      <c r="J1" s="36"/>
      <c r="K1" s="36"/>
      <c r="L1" s="36"/>
      <c r="M1" s="37"/>
      <c r="O1" s="35" t="s">
        <v>42</v>
      </c>
      <c r="P1" s="36"/>
      <c r="Q1" s="36"/>
      <c r="R1" s="36"/>
      <c r="S1" s="36"/>
      <c r="T1" s="37"/>
    </row>
    <row r="2" spans="1:22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  <c r="O2" s="3" t="s">
        <v>18</v>
      </c>
      <c r="P2" s="3" t="s">
        <v>19</v>
      </c>
      <c r="Q2" s="3" t="s">
        <v>20</v>
      </c>
      <c r="R2" s="3" t="s">
        <v>15</v>
      </c>
      <c r="S2" s="3" t="s">
        <v>16</v>
      </c>
      <c r="T2" s="3" t="s">
        <v>17</v>
      </c>
      <c r="V2" s="14" t="s">
        <v>43</v>
      </c>
    </row>
    <row r="3" spans="1:22" x14ac:dyDescent="0.25">
      <c r="A3">
        <v>8.5576176643371596E-2</v>
      </c>
      <c r="B3">
        <v>-2.0633363723754901</v>
      </c>
      <c r="C3">
        <v>-0.23820373415946999</v>
      </c>
      <c r="D3">
        <v>0.39023002982139599</v>
      </c>
      <c r="E3">
        <v>2.29454133659601E-2</v>
      </c>
      <c r="F3" s="4">
        <v>1.23578244820237E-2</v>
      </c>
      <c r="H3">
        <f>$F3</f>
        <v>1.23578244820237E-2</v>
      </c>
      <c r="I3">
        <f>-1*$E3</f>
        <v>-2.29454133659601E-2</v>
      </c>
      <c r="J3">
        <f>$D3</f>
        <v>0.39023002982139599</v>
      </c>
      <c r="K3">
        <f>$C3</f>
        <v>-0.23820373415946999</v>
      </c>
      <c r="L3">
        <f>-1*$B3</f>
        <v>2.0633363723754901</v>
      </c>
      <c r="M3">
        <f>$A3</f>
        <v>8.5576176643371596E-2</v>
      </c>
      <c r="O3">
        <f>H3</f>
        <v>1.23578244820237E-2</v>
      </c>
      <c r="P3">
        <f>I3+$V$3*M3</f>
        <v>-1.5243557468056657E-2</v>
      </c>
      <c r="Q3">
        <f>J3-$V$3*L3</f>
        <v>0.2045297563076019</v>
      </c>
      <c r="R3">
        <f>K3</f>
        <v>-0.23820373415946999</v>
      </c>
      <c r="S3">
        <f>L3</f>
        <v>2.0633363723754901</v>
      </c>
      <c r="T3">
        <f>M3</f>
        <v>8.5576176643371596E-2</v>
      </c>
      <c r="V3">
        <f>0.09</f>
        <v>0.09</v>
      </c>
    </row>
    <row r="4" spans="1:22" x14ac:dyDescent="0.25">
      <c r="A4">
        <v>0.28229478001594499</v>
      </c>
      <c r="B4">
        <v>-0.79279768466949496</v>
      </c>
      <c r="C4">
        <v>-0.18366065621375999</v>
      </c>
      <c r="D4">
        <v>7.1592450141906697E-2</v>
      </c>
      <c r="E4">
        <v>8.7417863309383406E-2</v>
      </c>
      <c r="F4">
        <v>5.3502889350056596E-3</v>
      </c>
      <c r="H4">
        <f t="shared" ref="H4:H18" si="0">$F4</f>
        <v>5.3502889350056596E-3</v>
      </c>
      <c r="I4">
        <f t="shared" ref="I4:I18" si="1">-1*$E4</f>
        <v>-8.7417863309383406E-2</v>
      </c>
      <c r="J4">
        <f t="shared" ref="J4:J18" si="2">$D4</f>
        <v>7.1592450141906697E-2</v>
      </c>
      <c r="K4">
        <f t="shared" ref="K4:K18" si="3">$C4</f>
        <v>-0.18366065621375999</v>
      </c>
      <c r="L4">
        <f t="shared" ref="L4:L18" si="4">-1*$B4</f>
        <v>0.79279768466949496</v>
      </c>
      <c r="M4">
        <f t="shared" ref="M4:M18" si="5">$A4</f>
        <v>0.28229478001594499</v>
      </c>
      <c r="O4">
        <f t="shared" ref="O4:O18" si="6">H4</f>
        <v>5.3502889350056596E-3</v>
      </c>
      <c r="P4">
        <f t="shared" ref="P4:P18" si="7">I4+$V$3*M4</f>
        <v>-6.201133310794836E-2</v>
      </c>
      <c r="Q4">
        <f t="shared" ref="Q4:Q18" si="8">J4-$V$3*L4</f>
        <v>2.4065852165215673E-4</v>
      </c>
      <c r="R4">
        <f t="shared" ref="R4:R18" si="9">K4</f>
        <v>-0.18366065621375999</v>
      </c>
      <c r="S4">
        <f t="shared" ref="S4:S18" si="10">L4</f>
        <v>0.79279768466949496</v>
      </c>
      <c r="T4">
        <f t="shared" ref="T4:T18" si="11">M4</f>
        <v>0.28229478001594499</v>
      </c>
    </row>
    <row r="5" spans="1:22" x14ac:dyDescent="0.25">
      <c r="A5">
        <v>0.73515439033508301</v>
      </c>
      <c r="B5">
        <v>0.72726076841354403</v>
      </c>
      <c r="C5">
        <v>1.4017973095178601E-2</v>
      </c>
      <c r="D5">
        <v>-5.99984265863895E-2</v>
      </c>
      <c r="E5">
        <v>6.2021218240261099E-2</v>
      </c>
      <c r="F5">
        <v>-9.5291109755635305E-4</v>
      </c>
      <c r="H5">
        <f t="shared" si="0"/>
        <v>-9.5291109755635305E-4</v>
      </c>
      <c r="I5">
        <f t="shared" si="1"/>
        <v>-6.2021218240261099E-2</v>
      </c>
      <c r="J5">
        <f t="shared" si="2"/>
        <v>-5.99984265863895E-2</v>
      </c>
      <c r="K5">
        <f t="shared" si="3"/>
        <v>1.4017973095178601E-2</v>
      </c>
      <c r="L5">
        <f t="shared" si="4"/>
        <v>-0.72726076841354403</v>
      </c>
      <c r="M5">
        <f t="shared" si="5"/>
        <v>0.73515439033508301</v>
      </c>
      <c r="O5">
        <f t="shared" si="6"/>
        <v>-9.5291109755635305E-4</v>
      </c>
      <c r="P5">
        <f t="shared" si="7"/>
        <v>4.1426768898963698E-3</v>
      </c>
      <c r="Q5">
        <f t="shared" si="8"/>
        <v>5.4550425708294603E-3</v>
      </c>
      <c r="R5">
        <f t="shared" si="9"/>
        <v>1.4017973095178601E-2</v>
      </c>
      <c r="S5">
        <f t="shared" si="10"/>
        <v>-0.72726076841354403</v>
      </c>
      <c r="T5">
        <f t="shared" si="11"/>
        <v>0.73515439033508301</v>
      </c>
    </row>
    <row r="6" spans="1:22" x14ac:dyDescent="0.25">
      <c r="A6">
        <v>-1.73035156726837</v>
      </c>
      <c r="B6">
        <v>0.33142736554145802</v>
      </c>
      <c r="C6">
        <v>-0.27858194708824202</v>
      </c>
      <c r="D6">
        <v>6.9779768586158794E-2</v>
      </c>
      <c r="E6">
        <v>-0.32565197348594699</v>
      </c>
      <c r="F6">
        <v>1.0649194940924599E-2</v>
      </c>
      <c r="H6">
        <f t="shared" si="0"/>
        <v>1.0649194940924599E-2</v>
      </c>
      <c r="I6">
        <f t="shared" si="1"/>
        <v>0.32565197348594699</v>
      </c>
      <c r="J6">
        <f t="shared" si="2"/>
        <v>6.9779768586158794E-2</v>
      </c>
      <c r="K6">
        <f t="shared" si="3"/>
        <v>-0.27858194708824202</v>
      </c>
      <c r="L6">
        <f t="shared" si="4"/>
        <v>-0.33142736554145802</v>
      </c>
      <c r="M6">
        <f t="shared" si="5"/>
        <v>-1.73035156726837</v>
      </c>
      <c r="O6">
        <f t="shared" si="6"/>
        <v>1.0649194940924599E-2</v>
      </c>
      <c r="P6">
        <f t="shared" si="7"/>
        <v>0.16992033243179369</v>
      </c>
      <c r="Q6">
        <f t="shared" si="8"/>
        <v>9.9608231484890009E-2</v>
      </c>
      <c r="R6">
        <f t="shared" si="9"/>
        <v>-0.27858194708824202</v>
      </c>
      <c r="S6">
        <f t="shared" si="10"/>
        <v>-0.33142736554145802</v>
      </c>
      <c r="T6">
        <f t="shared" si="11"/>
        <v>-1.73035156726837</v>
      </c>
    </row>
    <row r="7" spans="1:22" x14ac:dyDescent="0.25">
      <c r="A7">
        <v>-0.91785299777984597</v>
      </c>
      <c r="B7">
        <v>-0.58842658996581998</v>
      </c>
      <c r="C7">
        <v>-9.1020502150058705E-2</v>
      </c>
      <c r="D7">
        <v>0.144235134124756</v>
      </c>
      <c r="E7">
        <v>-9.3806266784667997E-2</v>
      </c>
      <c r="F7">
        <v>2.75095622055233E-3</v>
      </c>
      <c r="H7">
        <f t="shared" si="0"/>
        <v>2.75095622055233E-3</v>
      </c>
      <c r="I7">
        <f t="shared" si="1"/>
        <v>9.3806266784667997E-2</v>
      </c>
      <c r="J7">
        <f t="shared" si="2"/>
        <v>0.144235134124756</v>
      </c>
      <c r="K7">
        <f t="shared" si="3"/>
        <v>-9.1020502150058705E-2</v>
      </c>
      <c r="L7">
        <f t="shared" si="4"/>
        <v>0.58842658996581998</v>
      </c>
      <c r="M7">
        <f t="shared" si="5"/>
        <v>-0.91785299777984597</v>
      </c>
      <c r="O7">
        <f t="shared" si="6"/>
        <v>2.75095622055233E-3</v>
      </c>
      <c r="P7">
        <f t="shared" si="7"/>
        <v>1.119949698448186E-2</v>
      </c>
      <c r="Q7">
        <f t="shared" si="8"/>
        <v>9.1276741027832203E-2</v>
      </c>
      <c r="R7">
        <f t="shared" si="9"/>
        <v>-9.1020502150058705E-2</v>
      </c>
      <c r="S7">
        <f t="shared" si="10"/>
        <v>0.58842658996581998</v>
      </c>
      <c r="T7">
        <f t="shared" si="11"/>
        <v>-0.91785299777984597</v>
      </c>
    </row>
    <row r="8" spans="1:22" x14ac:dyDescent="0.25">
      <c r="A8">
        <v>-0.796242535114288</v>
      </c>
      <c r="B8">
        <v>-1.39708912372589</v>
      </c>
      <c r="C8">
        <v>-0.50616961717605602</v>
      </c>
      <c r="D8">
        <v>0.18875989317894001</v>
      </c>
      <c r="E8">
        <v>-0.242560565471649</v>
      </c>
      <c r="F8">
        <v>7.3962844908237498E-5</v>
      </c>
      <c r="H8">
        <f t="shared" si="0"/>
        <v>7.3962844908237498E-5</v>
      </c>
      <c r="I8">
        <f t="shared" si="1"/>
        <v>0.242560565471649</v>
      </c>
      <c r="J8">
        <f t="shared" si="2"/>
        <v>0.18875989317894001</v>
      </c>
      <c r="K8">
        <f t="shared" si="3"/>
        <v>-0.50616961717605602</v>
      </c>
      <c r="L8">
        <f t="shared" si="4"/>
        <v>1.39708912372589</v>
      </c>
      <c r="M8">
        <f t="shared" si="5"/>
        <v>-0.796242535114288</v>
      </c>
      <c r="O8">
        <f t="shared" si="6"/>
        <v>7.3962844908237498E-5</v>
      </c>
      <c r="P8">
        <f t="shared" si="7"/>
        <v>0.17089873731136307</v>
      </c>
      <c r="Q8">
        <f t="shared" si="8"/>
        <v>6.3021872043609928E-2</v>
      </c>
      <c r="R8">
        <f t="shared" si="9"/>
        <v>-0.50616961717605602</v>
      </c>
      <c r="S8">
        <f t="shared" si="10"/>
        <v>1.39708912372589</v>
      </c>
      <c r="T8">
        <f t="shared" si="11"/>
        <v>-0.796242535114288</v>
      </c>
    </row>
    <row r="9" spans="1:22" x14ac:dyDescent="0.25">
      <c r="A9">
        <v>0.34984213113784801</v>
      </c>
      <c r="B9">
        <v>0.82051932811737105</v>
      </c>
      <c r="C9">
        <v>-2.3114085197448699E-2</v>
      </c>
      <c r="D9">
        <v>-5.3762953728437403E-2</v>
      </c>
      <c r="E9">
        <v>8.6266703903675093E-2</v>
      </c>
      <c r="F9">
        <v>2.9437544289976402E-3</v>
      </c>
      <c r="H9">
        <f t="shared" si="0"/>
        <v>2.9437544289976402E-3</v>
      </c>
      <c r="I9">
        <f t="shared" si="1"/>
        <v>-8.6266703903675093E-2</v>
      </c>
      <c r="J9">
        <f t="shared" si="2"/>
        <v>-5.3762953728437403E-2</v>
      </c>
      <c r="K9">
        <f t="shared" si="3"/>
        <v>-2.3114085197448699E-2</v>
      </c>
      <c r="L9">
        <f t="shared" si="4"/>
        <v>-0.82051932811737105</v>
      </c>
      <c r="M9">
        <f t="shared" si="5"/>
        <v>0.34984213113784801</v>
      </c>
      <c r="O9">
        <f t="shared" si="6"/>
        <v>2.9437544289976402E-3</v>
      </c>
      <c r="P9">
        <f t="shared" si="7"/>
        <v>-5.4780912101268772E-2</v>
      </c>
      <c r="Q9">
        <f t="shared" si="8"/>
        <v>2.008378580212599E-2</v>
      </c>
      <c r="R9">
        <f t="shared" si="9"/>
        <v>-2.3114085197448699E-2</v>
      </c>
      <c r="S9">
        <f t="shared" si="10"/>
        <v>-0.82051932811737105</v>
      </c>
      <c r="T9">
        <f t="shared" si="11"/>
        <v>0.34984213113784801</v>
      </c>
    </row>
    <row r="10" spans="1:22" x14ac:dyDescent="0.25">
      <c r="A10">
        <v>1.7156174182891799</v>
      </c>
      <c r="B10">
        <v>0.11040961742401099</v>
      </c>
      <c r="C10">
        <v>-0.53803932666778598</v>
      </c>
      <c r="D10">
        <v>0.105274587869644</v>
      </c>
      <c r="E10">
        <v>0.35489755868911699</v>
      </c>
      <c r="F10">
        <v>1.31220342591405E-2</v>
      </c>
      <c r="H10">
        <f t="shared" si="0"/>
        <v>1.31220342591405E-2</v>
      </c>
      <c r="I10">
        <f t="shared" si="1"/>
        <v>-0.35489755868911699</v>
      </c>
      <c r="J10">
        <f t="shared" si="2"/>
        <v>0.105274587869644</v>
      </c>
      <c r="K10">
        <f t="shared" si="3"/>
        <v>-0.53803932666778598</v>
      </c>
      <c r="L10">
        <f t="shared" si="4"/>
        <v>-0.11040961742401099</v>
      </c>
      <c r="M10">
        <f t="shared" si="5"/>
        <v>1.7156174182891799</v>
      </c>
      <c r="O10">
        <f t="shared" si="6"/>
        <v>1.31220342591405E-2</v>
      </c>
      <c r="P10">
        <f t="shared" si="7"/>
        <v>-0.20049199104309079</v>
      </c>
      <c r="Q10">
        <f t="shared" si="8"/>
        <v>0.11521145343780499</v>
      </c>
      <c r="R10">
        <f t="shared" si="9"/>
        <v>-0.53803932666778598</v>
      </c>
      <c r="S10">
        <f t="shared" si="10"/>
        <v>-0.11040961742401099</v>
      </c>
      <c r="T10">
        <f t="shared" si="11"/>
        <v>1.7156174182891799</v>
      </c>
    </row>
    <row r="11" spans="1:22" x14ac:dyDescent="0.25">
      <c r="A11">
        <v>-0.89956176280975297</v>
      </c>
      <c r="B11">
        <v>-0.647000432014465</v>
      </c>
      <c r="C11">
        <v>-0.203321859240532</v>
      </c>
      <c r="D11">
        <v>-3.2267000526189797E-2</v>
      </c>
      <c r="E11">
        <v>-0.220732852816582</v>
      </c>
      <c r="F11">
        <v>-5.1512643694877598E-3</v>
      </c>
      <c r="H11">
        <f t="shared" si="0"/>
        <v>-5.1512643694877598E-3</v>
      </c>
      <c r="I11">
        <f t="shared" si="1"/>
        <v>0.220732852816582</v>
      </c>
      <c r="J11">
        <f t="shared" si="2"/>
        <v>-3.2267000526189797E-2</v>
      </c>
      <c r="K11">
        <f t="shared" si="3"/>
        <v>-0.203321859240532</v>
      </c>
      <c r="L11">
        <f t="shared" si="4"/>
        <v>0.647000432014465</v>
      </c>
      <c r="M11">
        <f t="shared" si="5"/>
        <v>-0.89956176280975297</v>
      </c>
      <c r="O11">
        <f t="shared" si="6"/>
        <v>-5.1512643694877598E-3</v>
      </c>
      <c r="P11">
        <f t="shared" si="7"/>
        <v>0.13977229416370424</v>
      </c>
      <c r="Q11">
        <f t="shared" si="8"/>
        <v>-9.0497039407491653E-2</v>
      </c>
      <c r="R11">
        <f t="shared" si="9"/>
        <v>-0.203321859240532</v>
      </c>
      <c r="S11">
        <f t="shared" si="10"/>
        <v>0.647000432014465</v>
      </c>
      <c r="T11">
        <f t="shared" si="11"/>
        <v>-0.89956176280975297</v>
      </c>
    </row>
    <row r="12" spans="1:22" x14ac:dyDescent="0.25">
      <c r="A12">
        <v>0.224302783608437</v>
      </c>
      <c r="B12">
        <v>-0.56010144948959395</v>
      </c>
      <c r="C12">
        <v>-0.40405035018920898</v>
      </c>
      <c r="D12">
        <v>0.19298045337200201</v>
      </c>
      <c r="E12">
        <v>2.1522264927625701E-2</v>
      </c>
      <c r="F12">
        <v>-9.1127436608076096E-3</v>
      </c>
      <c r="H12">
        <f t="shared" si="0"/>
        <v>-9.1127436608076096E-3</v>
      </c>
      <c r="I12">
        <f t="shared" si="1"/>
        <v>-2.1522264927625701E-2</v>
      </c>
      <c r="J12">
        <f t="shared" si="2"/>
        <v>0.19298045337200201</v>
      </c>
      <c r="K12">
        <f t="shared" si="3"/>
        <v>-0.40405035018920898</v>
      </c>
      <c r="L12">
        <f t="shared" si="4"/>
        <v>0.56010144948959395</v>
      </c>
      <c r="M12">
        <f t="shared" si="5"/>
        <v>0.224302783608437</v>
      </c>
      <c r="O12">
        <f t="shared" si="6"/>
        <v>-9.1127436608076096E-3</v>
      </c>
      <c r="P12">
        <f t="shared" si="7"/>
        <v>-1.3350144028663712E-3</v>
      </c>
      <c r="Q12">
        <f t="shared" si="8"/>
        <v>0.14257132291793856</v>
      </c>
      <c r="R12">
        <f t="shared" si="9"/>
        <v>-0.40405035018920898</v>
      </c>
      <c r="S12">
        <f t="shared" si="10"/>
        <v>0.56010144948959395</v>
      </c>
      <c r="T12">
        <f t="shared" si="11"/>
        <v>0.224302783608437</v>
      </c>
    </row>
    <row r="13" spans="1:22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  <c r="O13">
        <f t="shared" si="6"/>
        <v>0</v>
      </c>
      <c r="P13">
        <f t="shared" si="7"/>
        <v>0</v>
      </c>
      <c r="Q13">
        <f t="shared" si="8"/>
        <v>0</v>
      </c>
      <c r="R13">
        <f t="shared" si="9"/>
        <v>0</v>
      </c>
      <c r="S13">
        <f t="shared" si="10"/>
        <v>0</v>
      </c>
      <c r="T13">
        <f t="shared" si="11"/>
        <v>0</v>
      </c>
    </row>
    <row r="14" spans="1:22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  <c r="O14">
        <f t="shared" si="6"/>
        <v>0</v>
      </c>
      <c r="P14">
        <f t="shared" si="7"/>
        <v>0</v>
      </c>
      <c r="Q14">
        <f t="shared" si="8"/>
        <v>0</v>
      </c>
      <c r="R14">
        <f t="shared" si="9"/>
        <v>0</v>
      </c>
      <c r="S14">
        <f t="shared" si="10"/>
        <v>0</v>
      </c>
      <c r="T14">
        <f t="shared" si="11"/>
        <v>0</v>
      </c>
    </row>
    <row r="15" spans="1:22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  <c r="O15">
        <f t="shared" si="6"/>
        <v>0</v>
      </c>
      <c r="P15">
        <f t="shared" si="7"/>
        <v>0</v>
      </c>
      <c r="Q15">
        <f t="shared" si="8"/>
        <v>0</v>
      </c>
      <c r="R15">
        <f t="shared" si="9"/>
        <v>0</v>
      </c>
      <c r="S15">
        <f t="shared" si="10"/>
        <v>0</v>
      </c>
      <c r="T15">
        <f t="shared" si="11"/>
        <v>0</v>
      </c>
    </row>
    <row r="16" spans="1:22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  <c r="O16">
        <f t="shared" si="6"/>
        <v>0</v>
      </c>
      <c r="P16">
        <f t="shared" si="7"/>
        <v>0</v>
      </c>
      <c r="Q16">
        <f t="shared" si="8"/>
        <v>0</v>
      </c>
      <c r="R16">
        <f t="shared" si="9"/>
        <v>0</v>
      </c>
      <c r="S16">
        <f t="shared" si="10"/>
        <v>0</v>
      </c>
      <c r="T16">
        <f t="shared" si="11"/>
        <v>0</v>
      </c>
    </row>
    <row r="17" spans="8:20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  <c r="S17">
        <f t="shared" si="10"/>
        <v>0</v>
      </c>
      <c r="T17">
        <f t="shared" si="11"/>
        <v>0</v>
      </c>
    </row>
    <row r="18" spans="8:20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  <c r="O18">
        <f t="shared" si="6"/>
        <v>0</v>
      </c>
      <c r="P18">
        <f t="shared" si="7"/>
        <v>0</v>
      </c>
      <c r="Q18">
        <f t="shared" si="8"/>
        <v>0</v>
      </c>
      <c r="R18">
        <f t="shared" si="9"/>
        <v>0</v>
      </c>
      <c r="S18">
        <f t="shared" si="10"/>
        <v>0</v>
      </c>
      <c r="T18">
        <f t="shared" si="11"/>
        <v>0</v>
      </c>
    </row>
  </sheetData>
  <mergeCells count="3">
    <mergeCell ref="A1:F1"/>
    <mergeCell ref="H1:M1"/>
    <mergeCell ref="O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7133-1F40-42FE-857E-F1C32F431B6A}">
  <dimension ref="D2:BA79"/>
  <sheetViews>
    <sheetView tabSelected="1" topLeftCell="Y13" workbookViewId="0">
      <selection activeCell="AA20" sqref="AA20:AM29"/>
    </sheetView>
  </sheetViews>
  <sheetFormatPr defaultRowHeight="15" x14ac:dyDescent="0.25"/>
  <sheetData>
    <row r="2" spans="4:53" x14ac:dyDescent="0.25">
      <c r="D2" t="s">
        <v>34</v>
      </c>
      <c r="E2">
        <v>0.7</v>
      </c>
      <c r="F2">
        <v>0.2</v>
      </c>
      <c r="G2">
        <v>2.6179999999999999</v>
      </c>
      <c r="H2">
        <v>0.8</v>
      </c>
      <c r="I2">
        <v>0.02</v>
      </c>
      <c r="J2">
        <v>2.3559999999999999</v>
      </c>
      <c r="K2">
        <v>0</v>
      </c>
      <c r="L2">
        <v>0</v>
      </c>
      <c r="M2">
        <v>0</v>
      </c>
      <c r="N2" t="s">
        <v>33</v>
      </c>
      <c r="W2" t="s">
        <v>38</v>
      </c>
      <c r="X2" t="s">
        <v>34</v>
      </c>
      <c r="Y2">
        <v>6.9695031270384797E-3</v>
      </c>
      <c r="Z2">
        <v>0.18633711338043199</v>
      </c>
      <c r="AA2">
        <v>-0.22898079454898801</v>
      </c>
      <c r="AB2">
        <v>-0.40628731250762901</v>
      </c>
      <c r="AC2">
        <v>-1.22047007083893</v>
      </c>
      <c r="AD2">
        <v>-0.89387804269790605</v>
      </c>
      <c r="AE2">
        <v>0</v>
      </c>
      <c r="AF2">
        <v>0</v>
      </c>
      <c r="AG2">
        <v>0</v>
      </c>
      <c r="AH2" t="s">
        <v>35</v>
      </c>
      <c r="AI2" t="s">
        <v>33</v>
      </c>
      <c r="AQ2" t="s">
        <v>34</v>
      </c>
      <c r="AR2">
        <v>0.57634630980000001</v>
      </c>
      <c r="AS2">
        <v>0.2</v>
      </c>
      <c r="AT2">
        <v>0.78539999999999999</v>
      </c>
      <c r="AU2">
        <v>1.1398024601000001</v>
      </c>
      <c r="AV2">
        <v>0.02</v>
      </c>
      <c r="AW2">
        <v>5.4977999999999998</v>
      </c>
      <c r="AX2">
        <v>0.49272223679999999</v>
      </c>
      <c r="AY2">
        <v>4.4756011583999999</v>
      </c>
      <c r="AZ2">
        <v>4.1915536561</v>
      </c>
      <c r="BA2" t="s">
        <v>33</v>
      </c>
    </row>
    <row r="3" spans="4:53" x14ac:dyDescent="0.25">
      <c r="E3">
        <v>0.8</v>
      </c>
      <c r="F3">
        <v>0.16</v>
      </c>
      <c r="G3">
        <v>3.927</v>
      </c>
      <c r="H3">
        <v>0.8</v>
      </c>
      <c r="I3">
        <v>0.02</v>
      </c>
      <c r="J3">
        <v>3.665</v>
      </c>
      <c r="K3">
        <v>0</v>
      </c>
      <c r="L3">
        <v>0</v>
      </c>
      <c r="M3">
        <v>0</v>
      </c>
      <c r="N3" t="s">
        <v>33</v>
      </c>
      <c r="X3" t="s">
        <v>34</v>
      </c>
      <c r="Y3">
        <v>-1.3200249522924399E-3</v>
      </c>
      <c r="Z3">
        <v>-9.6287056803703294E-2</v>
      </c>
      <c r="AA3">
        <v>9.0134814381599399E-2</v>
      </c>
      <c r="AB3">
        <v>-0.28188201785087602</v>
      </c>
      <c r="AC3">
        <v>0.217425882816315</v>
      </c>
      <c r="AD3">
        <v>0.29466027021408098</v>
      </c>
      <c r="AE3">
        <v>0</v>
      </c>
      <c r="AF3">
        <v>0</v>
      </c>
      <c r="AG3">
        <v>0</v>
      </c>
      <c r="AH3" t="s">
        <v>35</v>
      </c>
      <c r="AI3" t="s">
        <v>33</v>
      </c>
      <c r="AR3">
        <v>1.2961945501000001</v>
      </c>
      <c r="AS3">
        <v>0.2</v>
      </c>
      <c r="AT3">
        <v>4.7123999999999997</v>
      </c>
      <c r="AU3">
        <v>0.31907560010000002</v>
      </c>
      <c r="AV3">
        <v>0.02</v>
      </c>
      <c r="AW3">
        <v>1.5708</v>
      </c>
      <c r="AX3">
        <v>0.53253118440000002</v>
      </c>
      <c r="AY3">
        <v>1.6232893740000001</v>
      </c>
      <c r="AZ3">
        <v>9.6932284100000002E-2</v>
      </c>
      <c r="BA3" t="s">
        <v>33</v>
      </c>
    </row>
    <row r="4" spans="4:53" x14ac:dyDescent="0.25">
      <c r="E4">
        <v>0.8</v>
      </c>
      <c r="F4">
        <v>0.2</v>
      </c>
      <c r="G4">
        <v>3.927</v>
      </c>
      <c r="H4">
        <v>0.4</v>
      </c>
      <c r="I4">
        <v>0.04</v>
      </c>
      <c r="J4">
        <v>1.0469999999999999</v>
      </c>
      <c r="K4">
        <v>0</v>
      </c>
      <c r="L4">
        <v>0</v>
      </c>
      <c r="M4">
        <v>0</v>
      </c>
      <c r="N4" t="s">
        <v>33</v>
      </c>
      <c r="X4" t="s">
        <v>34</v>
      </c>
      <c r="Y4">
        <v>3.0324226245284098E-3</v>
      </c>
      <c r="Z4">
        <v>0.13038665056228599</v>
      </c>
      <c r="AA4">
        <v>-0.17296446859836601</v>
      </c>
      <c r="AB4">
        <v>-0.12506151199340801</v>
      </c>
      <c r="AC4">
        <v>-0.88299614191055298</v>
      </c>
      <c r="AD4">
        <v>-0.61048221588134799</v>
      </c>
      <c r="AE4">
        <v>0</v>
      </c>
      <c r="AF4">
        <v>0</v>
      </c>
      <c r="AG4">
        <v>0</v>
      </c>
      <c r="AH4" t="s">
        <v>35</v>
      </c>
      <c r="AI4" t="s">
        <v>33</v>
      </c>
      <c r="AR4">
        <v>0.3432844504</v>
      </c>
      <c r="AS4">
        <v>0.2</v>
      </c>
      <c r="AT4">
        <v>3.1415999999999999</v>
      </c>
      <c r="AU4">
        <v>0.75633386430000005</v>
      </c>
      <c r="AV4">
        <v>0.02</v>
      </c>
      <c r="AW4">
        <v>3.1415999999999999</v>
      </c>
      <c r="AX4">
        <v>3.5593988404000001</v>
      </c>
      <c r="AY4">
        <v>2.6173593599</v>
      </c>
      <c r="AZ4">
        <v>2.7214845023000001</v>
      </c>
      <c r="BA4" t="s">
        <v>33</v>
      </c>
    </row>
    <row r="5" spans="4:53" x14ac:dyDescent="0.25">
      <c r="E5">
        <v>0.8</v>
      </c>
      <c r="F5">
        <v>0.18</v>
      </c>
      <c r="G5">
        <v>2.6179999999999999</v>
      </c>
      <c r="H5">
        <v>0.7</v>
      </c>
      <c r="I5">
        <v>0.06</v>
      </c>
      <c r="J5">
        <v>2.3559999999999999</v>
      </c>
      <c r="K5">
        <v>0</v>
      </c>
      <c r="L5">
        <v>0</v>
      </c>
      <c r="M5">
        <v>0</v>
      </c>
      <c r="N5" t="s">
        <v>33</v>
      </c>
      <c r="X5" t="s">
        <v>34</v>
      </c>
      <c r="Y5">
        <v>-1.6676099039614201E-4</v>
      </c>
      <c r="Z5">
        <v>-7.9468116164207493E-3</v>
      </c>
      <c r="AA5">
        <v>-1.7586439847946202E-2</v>
      </c>
      <c r="AB5">
        <v>-6.15512244403362E-2</v>
      </c>
      <c r="AC5">
        <v>-0.44398531317710899</v>
      </c>
      <c r="AD5">
        <v>-0.18986988067627</v>
      </c>
      <c r="AE5">
        <v>0</v>
      </c>
      <c r="AF5">
        <v>0</v>
      </c>
      <c r="AG5">
        <v>0</v>
      </c>
      <c r="AH5" t="s">
        <v>35</v>
      </c>
      <c r="AI5" t="s">
        <v>33</v>
      </c>
      <c r="AR5">
        <v>0.83277602429999997</v>
      </c>
      <c r="AS5">
        <v>0.2</v>
      </c>
      <c r="AT5">
        <v>4.7123999999999997</v>
      </c>
      <c r="AU5">
        <v>1.4193655153</v>
      </c>
      <c r="AV5">
        <v>0.04</v>
      </c>
      <c r="AW5">
        <v>5.4977999999999998</v>
      </c>
      <c r="AX5">
        <v>4.2084858911999996</v>
      </c>
      <c r="AY5">
        <v>0.52916698419999997</v>
      </c>
      <c r="AZ5">
        <v>2.5150427606000001</v>
      </c>
      <c r="BA5" t="s">
        <v>33</v>
      </c>
    </row>
    <row r="6" spans="4:53" x14ac:dyDescent="0.25">
      <c r="E6">
        <v>0.7</v>
      </c>
      <c r="F6">
        <v>0.16</v>
      </c>
      <c r="G6">
        <v>0.78500000000000003</v>
      </c>
      <c r="H6">
        <v>0.3</v>
      </c>
      <c r="I6">
        <v>0.06</v>
      </c>
      <c r="J6">
        <v>3.665</v>
      </c>
      <c r="K6">
        <v>0</v>
      </c>
      <c r="L6">
        <v>0</v>
      </c>
      <c r="M6">
        <v>0</v>
      </c>
      <c r="N6" t="s">
        <v>33</v>
      </c>
      <c r="X6" t="s">
        <v>34</v>
      </c>
      <c r="Y6">
        <v>1.7961886478588E-3</v>
      </c>
      <c r="Z6">
        <v>4.7429911792278297E-2</v>
      </c>
      <c r="AA6">
        <v>-7.8928373754024506E-2</v>
      </c>
      <c r="AB6">
        <v>-0.162799403071404</v>
      </c>
      <c r="AC6">
        <v>-0.17039117217063901</v>
      </c>
      <c r="AD6">
        <v>8.3889193832874298E-2</v>
      </c>
      <c r="AE6">
        <v>0</v>
      </c>
      <c r="AF6">
        <v>0</v>
      </c>
      <c r="AG6">
        <v>0</v>
      </c>
      <c r="AH6" t="s">
        <v>35</v>
      </c>
      <c r="AI6" t="s">
        <v>39</v>
      </c>
      <c r="AR6">
        <v>0.3898403909</v>
      </c>
      <c r="AS6">
        <v>0.2</v>
      </c>
      <c r="AT6">
        <v>1.5708</v>
      </c>
      <c r="AU6">
        <v>0.45028828840000001</v>
      </c>
      <c r="AV6">
        <v>0.04</v>
      </c>
      <c r="AW6">
        <v>2.3561999999999999</v>
      </c>
      <c r="AX6">
        <v>0.34676129480000001</v>
      </c>
      <c r="AY6">
        <v>0.93612470940000003</v>
      </c>
      <c r="AZ6">
        <v>2.0702513480000002</v>
      </c>
      <c r="BA6" t="s">
        <v>33</v>
      </c>
    </row>
    <row r="7" spans="4:53" x14ac:dyDescent="0.25">
      <c r="E7">
        <v>0.4</v>
      </c>
      <c r="F7">
        <v>0.2</v>
      </c>
      <c r="G7">
        <v>3.927</v>
      </c>
      <c r="H7">
        <v>0.8</v>
      </c>
      <c r="I7">
        <v>0.06</v>
      </c>
      <c r="J7">
        <v>3.665</v>
      </c>
      <c r="K7">
        <v>0</v>
      </c>
      <c r="L7">
        <v>0</v>
      </c>
      <c r="M7">
        <v>0</v>
      </c>
      <c r="N7" t="s">
        <v>33</v>
      </c>
      <c r="AR7">
        <v>0.86958752539999995</v>
      </c>
      <c r="AS7">
        <v>0.2</v>
      </c>
      <c r="AT7">
        <v>0.78539999999999999</v>
      </c>
      <c r="AU7">
        <v>0.66933871</v>
      </c>
      <c r="AV7">
        <v>0.04</v>
      </c>
      <c r="AW7">
        <v>0.78539999999999999</v>
      </c>
      <c r="AX7">
        <v>2.0486073985000002</v>
      </c>
      <c r="AY7">
        <v>1.4427408886999999</v>
      </c>
      <c r="AZ7">
        <v>0.53737298850000004</v>
      </c>
      <c r="BA7" t="s">
        <v>33</v>
      </c>
    </row>
    <row r="8" spans="4:53" x14ac:dyDescent="0.25">
      <c r="E8">
        <v>0.3</v>
      </c>
      <c r="F8">
        <v>0.2</v>
      </c>
      <c r="G8">
        <v>0.78500000000000003</v>
      </c>
      <c r="H8">
        <v>0.7</v>
      </c>
      <c r="I8">
        <v>0.02</v>
      </c>
      <c r="J8">
        <v>3.665</v>
      </c>
      <c r="K8">
        <v>0</v>
      </c>
      <c r="L8">
        <v>0</v>
      </c>
      <c r="M8">
        <v>0</v>
      </c>
      <c r="N8" t="s">
        <v>33</v>
      </c>
      <c r="AR8">
        <v>1.2260241731999999</v>
      </c>
      <c r="AS8">
        <v>0.2</v>
      </c>
      <c r="AT8">
        <v>3.1415999999999999</v>
      </c>
      <c r="AU8">
        <v>0.53124592000000004</v>
      </c>
      <c r="AV8">
        <v>0.04</v>
      </c>
      <c r="AW8">
        <v>1.5708</v>
      </c>
      <c r="AX8">
        <v>2.1721905802000001</v>
      </c>
      <c r="AY8">
        <v>4.8592739976999999</v>
      </c>
      <c r="AZ8">
        <v>4.1505258277000001</v>
      </c>
      <c r="BA8" t="s">
        <v>33</v>
      </c>
    </row>
    <row r="9" spans="4:53" x14ac:dyDescent="0.25">
      <c r="E9">
        <v>0.7</v>
      </c>
      <c r="F9">
        <v>0.12</v>
      </c>
      <c r="G9">
        <v>3.927</v>
      </c>
      <c r="H9">
        <v>0.7</v>
      </c>
      <c r="I9">
        <v>0.02</v>
      </c>
      <c r="J9">
        <v>1.0469999999999999</v>
      </c>
      <c r="K9">
        <v>0</v>
      </c>
      <c r="L9">
        <v>0</v>
      </c>
      <c r="M9">
        <v>0</v>
      </c>
      <c r="N9" t="s">
        <v>33</v>
      </c>
      <c r="AR9">
        <v>1.4922792275000001</v>
      </c>
      <c r="AS9">
        <v>0.2</v>
      </c>
      <c r="AT9">
        <v>2.3561999999999999</v>
      </c>
      <c r="AU9">
        <v>1.2493008810999999</v>
      </c>
      <c r="AV9">
        <v>0.04</v>
      </c>
      <c r="AW9">
        <v>0.78539999999999999</v>
      </c>
      <c r="AX9">
        <v>0.65138204079999995</v>
      </c>
      <c r="AY9">
        <v>2.3960292019999998</v>
      </c>
      <c r="AZ9">
        <v>3.8310385232000002</v>
      </c>
      <c r="BA9" t="s">
        <v>33</v>
      </c>
    </row>
    <row r="10" spans="4:53" x14ac:dyDescent="0.25">
      <c r="E10">
        <v>0.8</v>
      </c>
      <c r="F10">
        <v>0.12</v>
      </c>
      <c r="G10">
        <v>2.6179999999999999</v>
      </c>
      <c r="H10">
        <v>0.3</v>
      </c>
      <c r="I10">
        <v>0.02</v>
      </c>
      <c r="J10">
        <v>3.665</v>
      </c>
      <c r="K10">
        <v>0</v>
      </c>
      <c r="L10">
        <v>0</v>
      </c>
      <c r="M10">
        <v>0</v>
      </c>
      <c r="N10" t="s">
        <v>33</v>
      </c>
      <c r="AR10">
        <v>1.4258680059</v>
      </c>
      <c r="AS10">
        <v>0.2</v>
      </c>
      <c r="AT10">
        <v>4.7123999999999997</v>
      </c>
      <c r="AU10">
        <v>0.35291314260000001</v>
      </c>
      <c r="AV10">
        <v>0.04</v>
      </c>
      <c r="AW10">
        <v>0</v>
      </c>
      <c r="AX10">
        <v>3.4810259851000001</v>
      </c>
      <c r="AY10">
        <v>1.1294030872</v>
      </c>
      <c r="AZ10">
        <v>4.9138255752999997</v>
      </c>
      <c r="BA10" t="s">
        <v>33</v>
      </c>
    </row>
    <row r="11" spans="4:53" x14ac:dyDescent="0.25">
      <c r="E11">
        <v>0.4</v>
      </c>
      <c r="F11">
        <v>0.18</v>
      </c>
      <c r="G11">
        <v>2.6179999999999999</v>
      </c>
      <c r="H11">
        <v>0.3</v>
      </c>
      <c r="I11">
        <v>0.02</v>
      </c>
      <c r="J11">
        <v>1.0469999999999999</v>
      </c>
      <c r="K11">
        <v>0</v>
      </c>
      <c r="L11">
        <v>0</v>
      </c>
      <c r="M11">
        <v>0</v>
      </c>
      <c r="N11" t="s">
        <v>33</v>
      </c>
      <c r="AR11">
        <v>1.2847663906</v>
      </c>
      <c r="AS11">
        <v>0.18</v>
      </c>
      <c r="AT11">
        <v>0.78539999999999999</v>
      </c>
      <c r="AU11">
        <v>0.98965387010000005</v>
      </c>
      <c r="AV11">
        <v>0.04</v>
      </c>
      <c r="AW11">
        <v>3.927</v>
      </c>
      <c r="AX11">
        <v>3.2068327339999998</v>
      </c>
      <c r="AY11">
        <v>3.5469168124000001</v>
      </c>
      <c r="AZ11">
        <v>1.1514404992</v>
      </c>
      <c r="BA11" t="s">
        <v>35</v>
      </c>
    </row>
    <row r="12" spans="4:53" x14ac:dyDescent="0.25">
      <c r="E12">
        <v>0.6</v>
      </c>
      <c r="F12">
        <v>0.2</v>
      </c>
      <c r="G12">
        <v>2.6179999999999999</v>
      </c>
      <c r="H12">
        <v>0.5</v>
      </c>
      <c r="I12">
        <v>0.1</v>
      </c>
      <c r="J12">
        <v>3.665</v>
      </c>
      <c r="K12">
        <v>0</v>
      </c>
      <c r="L12">
        <v>0</v>
      </c>
      <c r="M12">
        <v>0</v>
      </c>
      <c r="N12" t="s">
        <v>33</v>
      </c>
    </row>
    <row r="13" spans="4:53" x14ac:dyDescent="0.25">
      <c r="E13">
        <v>0.3</v>
      </c>
      <c r="F13">
        <v>0.2</v>
      </c>
      <c r="G13">
        <v>3.927</v>
      </c>
      <c r="H13">
        <v>0.3</v>
      </c>
      <c r="I13">
        <v>0.1</v>
      </c>
      <c r="J13">
        <v>2.3559999999999999</v>
      </c>
      <c r="K13">
        <v>0</v>
      </c>
      <c r="L13">
        <v>0</v>
      </c>
      <c r="M13">
        <v>0</v>
      </c>
      <c r="N13" t="s">
        <v>33</v>
      </c>
    </row>
    <row r="14" spans="4:53" x14ac:dyDescent="0.25">
      <c r="E14">
        <v>0.3</v>
      </c>
      <c r="F14">
        <v>0.14000000000000001</v>
      </c>
      <c r="G14">
        <v>2.6179999999999999</v>
      </c>
      <c r="H14">
        <v>0.8</v>
      </c>
      <c r="I14">
        <v>0.04</v>
      </c>
      <c r="J14">
        <v>1.0469999999999999</v>
      </c>
      <c r="K14">
        <v>0</v>
      </c>
      <c r="L14">
        <v>0</v>
      </c>
      <c r="M14">
        <v>0</v>
      </c>
      <c r="N14" t="s">
        <v>33</v>
      </c>
    </row>
    <row r="15" spans="4:53" x14ac:dyDescent="0.25">
      <c r="E15">
        <v>0.8</v>
      </c>
      <c r="F15">
        <v>0.2</v>
      </c>
      <c r="G15">
        <v>0.78500000000000003</v>
      </c>
      <c r="H15">
        <v>0.8</v>
      </c>
      <c r="I15">
        <v>0.1</v>
      </c>
      <c r="J15">
        <v>1.0469999999999999</v>
      </c>
      <c r="K15">
        <v>0</v>
      </c>
      <c r="L15">
        <v>0</v>
      </c>
      <c r="M15">
        <v>0</v>
      </c>
      <c r="N15" t="s">
        <v>33</v>
      </c>
      <c r="AM15">
        <v>3.5593988404000001</v>
      </c>
      <c r="AN15">
        <v>2.6173593599</v>
      </c>
      <c r="AO15">
        <v>2.7214845023000001</v>
      </c>
      <c r="AP15">
        <v>2.7396343648433698E-3</v>
      </c>
      <c r="AQ15">
        <v>2.7901530265808086E-5</v>
      </c>
      <c r="AR15">
        <v>-8.8981522321701062E-2</v>
      </c>
      <c r="AS15">
        <v>-7.5504761189222301E-3</v>
      </c>
      <c r="AT15">
        <v>-0.98192942142486594</v>
      </c>
      <c r="AU15">
        <v>4.0116310119628898E-3</v>
      </c>
    </row>
    <row r="16" spans="4:53" x14ac:dyDescent="0.25">
      <c r="E16">
        <v>0.4</v>
      </c>
      <c r="F16">
        <v>0.12</v>
      </c>
      <c r="G16">
        <v>0.78500000000000003</v>
      </c>
      <c r="H16">
        <v>0.4</v>
      </c>
      <c r="I16">
        <v>0.02</v>
      </c>
      <c r="J16">
        <v>2.3559999999999999</v>
      </c>
      <c r="K16">
        <v>0</v>
      </c>
      <c r="L16">
        <v>0</v>
      </c>
      <c r="M16">
        <v>0</v>
      </c>
      <c r="N16" t="s">
        <v>35</v>
      </c>
    </row>
    <row r="20" spans="15:39" x14ac:dyDescent="0.25">
      <c r="O20" t="s">
        <v>34</v>
      </c>
      <c r="P20" s="5">
        <v>0.57634630980000001</v>
      </c>
      <c r="Q20" s="5">
        <v>0.2</v>
      </c>
      <c r="R20" s="5">
        <v>0.78539999999999999</v>
      </c>
      <c r="S20" s="5">
        <v>1.1398024601000001</v>
      </c>
      <c r="T20" s="5">
        <v>0.02</v>
      </c>
      <c r="U20" s="5">
        <v>5.4977999999999998</v>
      </c>
      <c r="V20" s="5">
        <v>0.49272223679999999</v>
      </c>
      <c r="W20" s="5">
        <v>4.4756011583999999</v>
      </c>
      <c r="X20" s="5">
        <v>4.1915536561</v>
      </c>
      <c r="Y20" t="s">
        <v>33</v>
      </c>
      <c r="AA20" t="s">
        <v>38</v>
      </c>
      <c r="AB20" t="s">
        <v>34</v>
      </c>
      <c r="AC20">
        <v>-4.8483535647392299E-3</v>
      </c>
      <c r="AD20">
        <v>-4.9299089163541775E-2</v>
      </c>
      <c r="AE20">
        <v>0.11311967670917589</v>
      </c>
      <c r="AF20">
        <v>-9.3563906848430606E-2</v>
      </c>
      <c r="AG20">
        <v>1.13720595836639</v>
      </c>
      <c r="AH20">
        <v>-0.73825818300247203</v>
      </c>
      <c r="AI20">
        <v>0.49272223679999999</v>
      </c>
      <c r="AJ20">
        <v>4.4756011583999999</v>
      </c>
      <c r="AK20">
        <v>4.1915536561</v>
      </c>
      <c r="AL20" t="s">
        <v>35</v>
      </c>
      <c r="AM20" t="s">
        <v>33</v>
      </c>
    </row>
    <row r="21" spans="15:39" x14ac:dyDescent="0.25">
      <c r="P21" s="5">
        <v>1.2961945501000001</v>
      </c>
      <c r="Q21" s="5">
        <v>0.2</v>
      </c>
      <c r="R21" s="5">
        <v>4.7123999999999997</v>
      </c>
      <c r="S21" s="5">
        <v>0.31907560010000002</v>
      </c>
      <c r="T21" s="5">
        <v>0.02</v>
      </c>
      <c r="U21" s="5">
        <v>1.5708</v>
      </c>
      <c r="V21" s="5">
        <v>0.53253118440000002</v>
      </c>
      <c r="W21" s="5">
        <v>1.6232893740000001</v>
      </c>
      <c r="X21" s="5">
        <v>9.6932284100000002E-2</v>
      </c>
      <c r="Y21" t="s">
        <v>33</v>
      </c>
      <c r="AB21" t="s">
        <v>34</v>
      </c>
      <c r="AC21">
        <v>-2.2787048947066099E-3</v>
      </c>
      <c r="AD21">
        <v>0.23746988892555226</v>
      </c>
      <c r="AE21">
        <v>-3.8131318800151311E-3</v>
      </c>
      <c r="AF21">
        <v>-0.78536403179168701</v>
      </c>
      <c r="AG21">
        <v>-2.54362337291241E-2</v>
      </c>
      <c r="AH21">
        <v>-0.55368435382842995</v>
      </c>
      <c r="AI21">
        <v>0.53253118440000002</v>
      </c>
      <c r="AJ21">
        <v>1.6232893740000001</v>
      </c>
      <c r="AK21">
        <v>9.6932284100000002E-2</v>
      </c>
      <c r="AL21" t="s">
        <v>35</v>
      </c>
      <c r="AM21" t="s">
        <v>33</v>
      </c>
    </row>
    <row r="22" spans="15:39" x14ac:dyDescent="0.25">
      <c r="P22" s="5">
        <v>0.3432844504</v>
      </c>
      <c r="Q22" s="5">
        <v>0.2</v>
      </c>
      <c r="R22" s="5">
        <v>3.1415999999999999</v>
      </c>
      <c r="S22" s="5">
        <v>0.75633386430000005</v>
      </c>
      <c r="T22" s="5">
        <v>0.02</v>
      </c>
      <c r="U22" s="5">
        <v>3.1415999999999999</v>
      </c>
      <c r="V22" s="5">
        <v>3.5593988404000001</v>
      </c>
      <c r="W22" s="5">
        <v>2.6173593599</v>
      </c>
      <c r="X22" s="5">
        <v>2.7214845023000001</v>
      </c>
      <c r="Y22" t="s">
        <v>33</v>
      </c>
      <c r="AB22" t="s">
        <v>34</v>
      </c>
      <c r="AC22">
        <v>2.7396343648433698E-3</v>
      </c>
      <c r="AD22">
        <v>2.7901530265808086E-5</v>
      </c>
      <c r="AE22">
        <v>-8.8981522321701062E-2</v>
      </c>
      <c r="AF22">
        <v>-7.5504761189222301E-3</v>
      </c>
      <c r="AG22">
        <v>-0.98192942142486594</v>
      </c>
      <c r="AH22">
        <v>4.0116310119628898E-3</v>
      </c>
      <c r="AI22">
        <v>3.5593988404000001</v>
      </c>
      <c r="AJ22">
        <v>2.6173593599</v>
      </c>
      <c r="AK22">
        <v>2.7214845023000001</v>
      </c>
      <c r="AL22" t="s">
        <v>35</v>
      </c>
      <c r="AM22" t="s">
        <v>33</v>
      </c>
    </row>
    <row r="23" spans="15:39" x14ac:dyDescent="0.25">
      <c r="P23" s="5">
        <v>0.83277602429999997</v>
      </c>
      <c r="Q23" s="5">
        <v>0.2</v>
      </c>
      <c r="R23" s="5">
        <v>4.7123999999999997</v>
      </c>
      <c r="S23" s="5">
        <v>1.4193655153</v>
      </c>
      <c r="T23" s="5">
        <v>0.04</v>
      </c>
      <c r="U23" s="5">
        <v>5.4977999999999998</v>
      </c>
      <c r="V23" s="5">
        <v>4.2084858911999996</v>
      </c>
      <c r="W23" s="5">
        <v>0.52916698419999997</v>
      </c>
      <c r="X23" s="5">
        <v>2.5150427606000001</v>
      </c>
      <c r="Y23" t="s">
        <v>33</v>
      </c>
      <c r="AB23" t="s">
        <v>34</v>
      </c>
      <c r="AC23">
        <v>-1.43141560256481E-2</v>
      </c>
      <c r="AD23">
        <v>0.19910913825035079</v>
      </c>
      <c r="AE23">
        <v>2.9508465230465089E-2</v>
      </c>
      <c r="AF23">
        <v>-0.46529781818389898</v>
      </c>
      <c r="AG23">
        <v>0.80010873079299905</v>
      </c>
      <c r="AH23">
        <v>-1.7768694162368801</v>
      </c>
      <c r="AI23">
        <v>4.2084858911999996</v>
      </c>
      <c r="AJ23">
        <v>0.52916698419999997</v>
      </c>
      <c r="AK23">
        <v>2.5150427606000001</v>
      </c>
      <c r="AL23" t="s">
        <v>35</v>
      </c>
      <c r="AM23" t="s">
        <v>33</v>
      </c>
    </row>
    <row r="24" spans="15:39" x14ac:dyDescent="0.25">
      <c r="P24" s="5">
        <v>0.3898403909</v>
      </c>
      <c r="Q24" s="5">
        <v>0.2</v>
      </c>
      <c r="R24" s="5">
        <v>1.5708</v>
      </c>
      <c r="S24" s="5">
        <v>0.45028828840000001</v>
      </c>
      <c r="T24" s="5">
        <v>0.04</v>
      </c>
      <c r="U24" s="5">
        <v>2.3561999999999999</v>
      </c>
      <c r="V24" s="5">
        <v>0.34676129480000001</v>
      </c>
      <c r="W24" s="5">
        <v>0.93612470940000003</v>
      </c>
      <c r="X24" s="5">
        <v>2.0702513480000002</v>
      </c>
      <c r="Y24" t="s">
        <v>33</v>
      </c>
      <c r="AB24" t="s">
        <v>34</v>
      </c>
      <c r="AC24">
        <v>-2.77032051235437E-3</v>
      </c>
      <c r="AD24">
        <v>-8.7060849666595136E-2</v>
      </c>
      <c r="AE24">
        <v>-1.0583339482545799E-2</v>
      </c>
      <c r="AF24">
        <v>-2.05973610281944E-2</v>
      </c>
      <c r="AG24">
        <v>-0.34849351644516002</v>
      </c>
      <c r="AH24">
        <v>0.549818456172943</v>
      </c>
      <c r="AI24">
        <v>0.34676129480000001</v>
      </c>
      <c r="AJ24">
        <v>0.93612470940000003</v>
      </c>
      <c r="AK24">
        <v>2.0702513480000002</v>
      </c>
      <c r="AL24" t="s">
        <v>35</v>
      </c>
      <c r="AM24" t="s">
        <v>33</v>
      </c>
    </row>
    <row r="25" spans="15:39" x14ac:dyDescent="0.25">
      <c r="P25" s="5">
        <v>0.86958752539999995</v>
      </c>
      <c r="Q25" s="5">
        <v>0.2</v>
      </c>
      <c r="R25" s="5">
        <v>0.78539999999999999</v>
      </c>
      <c r="S25" s="5">
        <v>0.66933871</v>
      </c>
      <c r="T25" s="5">
        <v>0.04</v>
      </c>
      <c r="U25" s="5">
        <v>0.78539999999999999</v>
      </c>
      <c r="V25" s="5">
        <v>2.0486073985000002</v>
      </c>
      <c r="W25" s="5">
        <v>1.4427408886999999</v>
      </c>
      <c r="X25" s="5">
        <v>0.53737298850000004</v>
      </c>
      <c r="Y25" t="s">
        <v>33</v>
      </c>
      <c r="AB25" t="s">
        <v>34</v>
      </c>
      <c r="AC25">
        <v>-1.20506128296256E-2</v>
      </c>
      <c r="AD25">
        <v>-0.12670553922653227</v>
      </c>
      <c r="AE25">
        <v>0.1496409153938289</v>
      </c>
      <c r="AF25">
        <v>-0.31113249063491799</v>
      </c>
      <c r="AG25">
        <v>1.09533703327179</v>
      </c>
      <c r="AH25">
        <v>0.92608898878097501</v>
      </c>
      <c r="AI25">
        <v>2.0486073985000002</v>
      </c>
      <c r="AJ25">
        <v>1.4427408886999999</v>
      </c>
      <c r="AK25">
        <v>0.53737298850000004</v>
      </c>
      <c r="AL25" t="s">
        <v>35</v>
      </c>
      <c r="AM25" t="s">
        <v>33</v>
      </c>
    </row>
    <row r="26" spans="15:39" x14ac:dyDescent="0.25">
      <c r="P26" s="5">
        <v>1.2260241731999999</v>
      </c>
      <c r="Q26" s="5">
        <v>0.2</v>
      </c>
      <c r="R26" s="5">
        <v>3.1415999999999999</v>
      </c>
      <c r="S26" s="5">
        <v>0.53124592000000004</v>
      </c>
      <c r="T26" s="5">
        <v>0.04</v>
      </c>
      <c r="U26" s="5">
        <v>1.5708</v>
      </c>
      <c r="V26" s="5">
        <v>2.1721905802000001</v>
      </c>
      <c r="W26" s="5">
        <v>4.8592739976999999</v>
      </c>
      <c r="X26" s="5">
        <v>4.1505258277000001</v>
      </c>
      <c r="Y26" t="s">
        <v>33</v>
      </c>
      <c r="AB26" t="s">
        <v>34</v>
      </c>
      <c r="AC26">
        <v>4.4089788571000099E-3</v>
      </c>
      <c r="AD26">
        <v>-3.1871920824050881E-2</v>
      </c>
      <c r="AE26">
        <v>-0.23815526187419911</v>
      </c>
      <c r="AF26">
        <v>-0.60743898153305098</v>
      </c>
      <c r="AG26">
        <v>-0.81274193525314298</v>
      </c>
      <c r="AH26">
        <v>0.72559177875518799</v>
      </c>
      <c r="AI26">
        <v>2.1721905802000001</v>
      </c>
      <c r="AJ26">
        <v>4.8592739976999999</v>
      </c>
      <c r="AK26">
        <v>4.1505258277000001</v>
      </c>
      <c r="AL26" t="s">
        <v>35</v>
      </c>
      <c r="AM26" t="s">
        <v>33</v>
      </c>
    </row>
    <row r="27" spans="15:39" x14ac:dyDescent="0.25">
      <c r="P27" s="5">
        <v>1.4922792275000001</v>
      </c>
      <c r="Q27" s="5">
        <v>0.2</v>
      </c>
      <c r="R27" s="5">
        <v>2.3561999999999999</v>
      </c>
      <c r="S27" s="5">
        <v>1.2493008810999999</v>
      </c>
      <c r="T27" s="5">
        <v>0.04</v>
      </c>
      <c r="U27" s="5">
        <v>0.78539999999999999</v>
      </c>
      <c r="V27" s="5">
        <v>0.65138204079999995</v>
      </c>
      <c r="W27" s="5">
        <v>2.3960292019999998</v>
      </c>
      <c r="X27" s="5">
        <v>3.8310385232000002</v>
      </c>
      <c r="Y27" t="s">
        <v>33</v>
      </c>
      <c r="AB27" t="s">
        <v>34</v>
      </c>
      <c r="AC27">
        <v>3.9877006784081502E-3</v>
      </c>
      <c r="AD27">
        <v>-0.23812925338745111</v>
      </c>
      <c r="AE27">
        <v>-0.16476846545934729</v>
      </c>
      <c r="AF27">
        <v>-0.90740537643432595</v>
      </c>
      <c r="AG27">
        <v>0.22993692755699199</v>
      </c>
      <c r="AH27">
        <v>1.7137415409088099</v>
      </c>
      <c r="AI27">
        <v>0.65138204079999995</v>
      </c>
      <c r="AJ27">
        <v>2.3960292019999998</v>
      </c>
      <c r="AK27">
        <v>3.8310385232000002</v>
      </c>
      <c r="AL27" t="s">
        <v>35</v>
      </c>
      <c r="AM27" t="s">
        <v>33</v>
      </c>
    </row>
    <row r="28" spans="15:39" x14ac:dyDescent="0.25">
      <c r="P28" s="5">
        <v>1.4258680059</v>
      </c>
      <c r="Q28" s="5">
        <v>0.2</v>
      </c>
      <c r="R28" s="5">
        <v>4.7123999999999997</v>
      </c>
      <c r="S28" s="5">
        <v>0.35291314260000001</v>
      </c>
      <c r="T28" s="5">
        <v>0.04</v>
      </c>
      <c r="U28" s="5">
        <v>0</v>
      </c>
      <c r="V28" s="5">
        <v>3.4810259851000001</v>
      </c>
      <c r="W28" s="5">
        <v>1.1294030872</v>
      </c>
      <c r="X28" s="5">
        <v>4.9138255752999997</v>
      </c>
      <c r="Y28" t="s">
        <v>33</v>
      </c>
      <c r="AB28" t="s">
        <v>34</v>
      </c>
      <c r="AC28">
        <v>-2.5121536105871201E-2</v>
      </c>
      <c r="AD28">
        <v>0.23443316221237209</v>
      </c>
      <c r="AE28">
        <v>2.2260813415050131E-3</v>
      </c>
      <c r="AF28">
        <v>-1.1394190788269001</v>
      </c>
      <c r="AG28">
        <v>0.194542020559311</v>
      </c>
      <c r="AH28">
        <v>-0.71812152862548795</v>
      </c>
      <c r="AI28">
        <v>3.4810259851000001</v>
      </c>
      <c r="AJ28">
        <v>1.1294030872</v>
      </c>
      <c r="AK28">
        <v>4.9138255752999997</v>
      </c>
      <c r="AL28" t="s">
        <v>35</v>
      </c>
      <c r="AM28" t="s">
        <v>33</v>
      </c>
    </row>
    <row r="29" spans="15:39" x14ac:dyDescent="0.25">
      <c r="P29" s="5">
        <v>1.2847663906</v>
      </c>
      <c r="Q29" s="5">
        <v>0.18</v>
      </c>
      <c r="R29" s="5">
        <v>0.78539999999999999</v>
      </c>
      <c r="S29" s="5">
        <v>0.98965387010000005</v>
      </c>
      <c r="T29" s="5">
        <v>0.04</v>
      </c>
      <c r="U29" s="5">
        <v>3.927</v>
      </c>
      <c r="V29" s="5">
        <v>3.2068327339999998</v>
      </c>
      <c r="W29" s="5">
        <v>3.5469168124000001</v>
      </c>
      <c r="X29" s="5">
        <v>1.1514404992</v>
      </c>
      <c r="Y29" t="s">
        <v>33</v>
      </c>
      <c r="AB29" t="s">
        <v>34</v>
      </c>
      <c r="AC29">
        <v>-1.56177338212729E-2</v>
      </c>
      <c r="AD29">
        <v>-0.12120571285486201</v>
      </c>
      <c r="AE29">
        <v>0.12601706266403204</v>
      </c>
      <c r="AF29">
        <v>-0.64654499292373702</v>
      </c>
      <c r="AG29">
        <v>-2.8156310319900499E-2</v>
      </c>
      <c r="AH29">
        <v>-0.153284221887589</v>
      </c>
      <c r="AI29">
        <v>3.2068327339999998</v>
      </c>
      <c r="AJ29">
        <v>3.5469168124000001</v>
      </c>
      <c r="AK29">
        <v>1.1514404992</v>
      </c>
      <c r="AL29" t="s">
        <v>35</v>
      </c>
      <c r="AM29" t="s">
        <v>39</v>
      </c>
    </row>
    <row r="30" spans="15:39" x14ac:dyDescent="0.25">
      <c r="P30" s="5">
        <v>0.82078888689999996</v>
      </c>
      <c r="Q30" s="5">
        <v>0.18</v>
      </c>
      <c r="R30" s="5">
        <v>0</v>
      </c>
      <c r="S30" s="5">
        <v>1.3252826163</v>
      </c>
      <c r="T30" s="5">
        <v>0.04</v>
      </c>
      <c r="U30" s="5">
        <v>0</v>
      </c>
      <c r="V30" s="5">
        <v>3.9081993600000003E-2</v>
      </c>
      <c r="W30" s="5">
        <v>2.9262884955000001</v>
      </c>
      <c r="X30" s="5">
        <v>4.7431789933999999</v>
      </c>
      <c r="Y30" t="s">
        <v>33</v>
      </c>
    </row>
    <row r="31" spans="15:39" x14ac:dyDescent="0.25">
      <c r="P31" s="5">
        <v>0.51355824630000002</v>
      </c>
      <c r="Q31" s="5">
        <v>0.2</v>
      </c>
      <c r="R31" s="5">
        <v>2.3561999999999999</v>
      </c>
      <c r="S31" s="5">
        <v>0.96095190770000005</v>
      </c>
      <c r="T31" s="5">
        <v>0.06</v>
      </c>
      <c r="U31" s="5">
        <v>0</v>
      </c>
      <c r="V31" s="5">
        <v>2.4382389278000001</v>
      </c>
      <c r="W31" s="5">
        <v>4.2854047354000002</v>
      </c>
      <c r="X31" s="5">
        <v>0.33901404839999999</v>
      </c>
      <c r="Y31" t="s">
        <v>33</v>
      </c>
      <c r="AA31" t="s">
        <v>38</v>
      </c>
      <c r="AB31" t="s">
        <v>34</v>
      </c>
      <c r="AC31">
        <v>1.23578244820237E-2</v>
      </c>
      <c r="AD31">
        <v>-1.5243557468056657E-2</v>
      </c>
      <c r="AE31">
        <v>0.2045297563076019</v>
      </c>
      <c r="AF31">
        <v>-0.23820373415946999</v>
      </c>
      <c r="AG31">
        <v>2.0633363723754901</v>
      </c>
      <c r="AH31">
        <v>8.5576176643371596E-2</v>
      </c>
      <c r="AI31">
        <v>3.9081993600000003E-2</v>
      </c>
      <c r="AJ31">
        <v>2.9262884955000001</v>
      </c>
      <c r="AK31">
        <v>4.7431789933999999</v>
      </c>
      <c r="AL31" t="s">
        <v>35</v>
      </c>
      <c r="AM31" t="s">
        <v>33</v>
      </c>
    </row>
    <row r="32" spans="15:39" x14ac:dyDescent="0.25">
      <c r="P32" s="5">
        <v>0.35944564579999999</v>
      </c>
      <c r="Q32" s="5">
        <v>0.18</v>
      </c>
      <c r="R32" s="5">
        <v>5.4977999999999998</v>
      </c>
      <c r="S32" s="5">
        <v>1.2877652723999999</v>
      </c>
      <c r="T32" s="5">
        <v>0.04</v>
      </c>
      <c r="U32" s="5">
        <v>2.3561999999999999</v>
      </c>
      <c r="V32" s="5">
        <v>2.1189458146</v>
      </c>
      <c r="W32" s="5">
        <v>2.2606748846000002</v>
      </c>
      <c r="X32" s="5">
        <v>0.94750633689999997</v>
      </c>
      <c r="Y32" t="s">
        <v>33</v>
      </c>
      <c r="AB32" t="s">
        <v>34</v>
      </c>
      <c r="AC32">
        <v>5.3502889350056596E-3</v>
      </c>
      <c r="AD32">
        <v>-6.201133310794836E-2</v>
      </c>
      <c r="AE32">
        <v>2.4065852165215673E-4</v>
      </c>
      <c r="AF32">
        <v>-0.18366065621375999</v>
      </c>
      <c r="AG32">
        <v>0.79279768466949496</v>
      </c>
      <c r="AH32">
        <v>0.28229478001594499</v>
      </c>
      <c r="AI32">
        <v>2.4382389278000001</v>
      </c>
      <c r="AJ32">
        <v>4.2854047354000002</v>
      </c>
      <c r="AK32">
        <v>0.33901404839999999</v>
      </c>
      <c r="AL32" t="s">
        <v>35</v>
      </c>
      <c r="AM32" t="s">
        <v>33</v>
      </c>
    </row>
    <row r="33" spans="16:39" x14ac:dyDescent="0.25">
      <c r="P33" s="5">
        <v>1.2267525763</v>
      </c>
      <c r="Q33" s="5">
        <v>0.16</v>
      </c>
      <c r="R33" s="5">
        <v>5.4977999999999998</v>
      </c>
      <c r="S33" s="5">
        <v>1.4944716747</v>
      </c>
      <c r="T33" s="5">
        <v>0.04</v>
      </c>
      <c r="U33" s="5">
        <v>3.927</v>
      </c>
      <c r="V33" s="5">
        <v>0.31884207939999998</v>
      </c>
      <c r="W33" s="5">
        <v>3.8007215218999999</v>
      </c>
      <c r="X33" s="5">
        <v>0.48541647729999998</v>
      </c>
      <c r="Y33" t="s">
        <v>33</v>
      </c>
      <c r="AB33" t="s">
        <v>34</v>
      </c>
      <c r="AC33">
        <v>-9.5291109755635305E-4</v>
      </c>
      <c r="AD33">
        <v>4.1426768898963698E-3</v>
      </c>
      <c r="AE33">
        <v>5.4550425708294603E-3</v>
      </c>
      <c r="AF33">
        <v>1.4017973095178601E-2</v>
      </c>
      <c r="AG33">
        <v>-0.72726076841354403</v>
      </c>
      <c r="AH33">
        <v>0.73515439033508301</v>
      </c>
      <c r="AI33">
        <v>2.1189458146</v>
      </c>
      <c r="AJ33">
        <v>2.2606748846000002</v>
      </c>
      <c r="AK33">
        <v>0.94750633689999997</v>
      </c>
      <c r="AL33" t="s">
        <v>35</v>
      </c>
      <c r="AM33" t="s">
        <v>33</v>
      </c>
    </row>
    <row r="34" spans="16:39" x14ac:dyDescent="0.25">
      <c r="P34" s="5">
        <v>0.64421489080000005</v>
      </c>
      <c r="Q34" s="5">
        <v>0.14000000000000001</v>
      </c>
      <c r="R34" s="5">
        <v>0</v>
      </c>
      <c r="S34" s="5">
        <v>0.8523470823</v>
      </c>
      <c r="T34" s="5">
        <v>0.02</v>
      </c>
      <c r="U34" s="5">
        <v>4.7123999999999997</v>
      </c>
      <c r="V34" s="5">
        <v>8.0437148799999997E-2</v>
      </c>
      <c r="W34" s="5">
        <v>0.35167971240000001</v>
      </c>
      <c r="X34" s="5">
        <v>1.0501461195999999</v>
      </c>
      <c r="Y34" t="s">
        <v>33</v>
      </c>
      <c r="AB34" t="s">
        <v>34</v>
      </c>
      <c r="AC34">
        <v>1.0649194940924599E-2</v>
      </c>
      <c r="AD34">
        <v>0.16992033243179369</v>
      </c>
      <c r="AE34">
        <v>9.9608231484890009E-2</v>
      </c>
      <c r="AF34">
        <v>-0.27858194708824202</v>
      </c>
      <c r="AG34">
        <v>-0.33142736554145802</v>
      </c>
      <c r="AH34">
        <v>-1.73035156726837</v>
      </c>
      <c r="AI34">
        <v>0.31884207939999998</v>
      </c>
      <c r="AJ34">
        <v>3.8007215218999999</v>
      </c>
      <c r="AK34">
        <v>0.48541647729999998</v>
      </c>
      <c r="AL34" t="s">
        <v>35</v>
      </c>
      <c r="AM34" t="s">
        <v>33</v>
      </c>
    </row>
    <row r="35" spans="16:39" x14ac:dyDescent="0.25">
      <c r="P35" s="5">
        <v>1.1302547975999999</v>
      </c>
      <c r="Q35" s="5">
        <v>0.16</v>
      </c>
      <c r="R35" s="5">
        <v>4.7123999999999997</v>
      </c>
      <c r="S35" s="5">
        <v>1.3446433494000001</v>
      </c>
      <c r="T35" s="5">
        <v>0.04</v>
      </c>
      <c r="U35" s="5">
        <v>0</v>
      </c>
      <c r="V35" s="5">
        <v>1.0644222964000001</v>
      </c>
      <c r="W35" s="5">
        <v>1.4761094460999999</v>
      </c>
      <c r="X35" s="5">
        <v>3.5278441351000001</v>
      </c>
      <c r="Y35" t="s">
        <v>33</v>
      </c>
      <c r="AB35" t="s">
        <v>34</v>
      </c>
      <c r="AC35">
        <v>2.75095622055233E-3</v>
      </c>
      <c r="AD35">
        <v>1.119949698448186E-2</v>
      </c>
      <c r="AE35">
        <v>9.1276741027832203E-2</v>
      </c>
      <c r="AF35">
        <v>-9.1020502150058705E-2</v>
      </c>
      <c r="AG35">
        <v>0.58842658996581998</v>
      </c>
      <c r="AH35">
        <v>-0.91785299777984597</v>
      </c>
      <c r="AI35">
        <v>8.0437148799999997E-2</v>
      </c>
      <c r="AJ35">
        <v>0.35167971240000001</v>
      </c>
      <c r="AK35">
        <v>1.0501461195999999</v>
      </c>
      <c r="AL35" t="s">
        <v>35</v>
      </c>
      <c r="AM35" t="s">
        <v>33</v>
      </c>
    </row>
    <row r="36" spans="16:39" x14ac:dyDescent="0.25">
      <c r="P36" s="5">
        <v>0.44052297210000002</v>
      </c>
      <c r="Q36" s="5">
        <v>0.14000000000000001</v>
      </c>
      <c r="R36" s="5">
        <v>0.78539999999999999</v>
      </c>
      <c r="S36" s="5">
        <v>1.0539703866000001</v>
      </c>
      <c r="T36" s="5">
        <v>0.02</v>
      </c>
      <c r="U36" s="5">
        <v>3.1415999999999999</v>
      </c>
      <c r="V36" s="5">
        <v>2.7027230284999999</v>
      </c>
      <c r="W36" s="5">
        <v>1.6080541686000001</v>
      </c>
      <c r="X36" s="5">
        <v>1.7094513416999999</v>
      </c>
      <c r="Y36" t="s">
        <v>33</v>
      </c>
      <c r="AB36" t="s">
        <v>34</v>
      </c>
      <c r="AC36">
        <v>7.3962844908237498E-5</v>
      </c>
      <c r="AD36">
        <v>0.17089873731136307</v>
      </c>
      <c r="AE36">
        <v>6.3021872043609928E-2</v>
      </c>
      <c r="AF36">
        <v>-0.50616961717605602</v>
      </c>
      <c r="AG36">
        <v>1.39708912372589</v>
      </c>
      <c r="AH36">
        <v>-0.796242535114288</v>
      </c>
      <c r="AI36">
        <v>1.0644222964000001</v>
      </c>
      <c r="AJ36">
        <v>1.4761094460999999</v>
      </c>
      <c r="AK36">
        <v>3.5278441351000001</v>
      </c>
      <c r="AL36" t="s">
        <v>35</v>
      </c>
      <c r="AM36" t="s">
        <v>33</v>
      </c>
    </row>
    <row r="37" spans="16:39" x14ac:dyDescent="0.25">
      <c r="P37" s="5">
        <v>1.4424756030000001</v>
      </c>
      <c r="Q37" s="5">
        <v>0.16</v>
      </c>
      <c r="R37" s="5">
        <v>0.78539999999999999</v>
      </c>
      <c r="S37" s="5">
        <v>1.1597422298</v>
      </c>
      <c r="T37" s="5">
        <v>0.04</v>
      </c>
      <c r="U37" s="5">
        <v>2.3561999999999999</v>
      </c>
      <c r="V37" s="5">
        <v>4.8092587324</v>
      </c>
      <c r="W37" s="5">
        <v>0.4784433911</v>
      </c>
      <c r="X37" s="5">
        <v>4.3446054411999997</v>
      </c>
      <c r="Y37" t="s">
        <v>33</v>
      </c>
      <c r="AB37" t="s">
        <v>34</v>
      </c>
      <c r="AC37">
        <v>2.9437544289976402E-3</v>
      </c>
      <c r="AD37">
        <v>-5.4780912101268772E-2</v>
      </c>
      <c r="AE37">
        <v>2.008378580212599E-2</v>
      </c>
      <c r="AF37">
        <v>-2.3114085197448699E-2</v>
      </c>
      <c r="AG37">
        <v>-0.82051932811737105</v>
      </c>
      <c r="AH37">
        <v>0.34984213113784801</v>
      </c>
      <c r="AI37">
        <v>2.7027230284999999</v>
      </c>
      <c r="AJ37">
        <v>1.6080541686000001</v>
      </c>
      <c r="AK37">
        <v>1.7094513416999999</v>
      </c>
      <c r="AL37" t="s">
        <v>35</v>
      </c>
      <c r="AM37" t="s">
        <v>33</v>
      </c>
    </row>
    <row r="38" spans="16:39" x14ac:dyDescent="0.25">
      <c r="P38" s="5">
        <v>1.3085202701</v>
      </c>
      <c r="Q38" s="5">
        <v>0.14000000000000001</v>
      </c>
      <c r="R38" s="5">
        <v>3.927</v>
      </c>
      <c r="S38" s="5">
        <v>1.4295469448</v>
      </c>
      <c r="T38" s="5">
        <v>0.02</v>
      </c>
      <c r="U38" s="5">
        <v>0</v>
      </c>
      <c r="V38" s="5">
        <v>4.5210753759999998</v>
      </c>
      <c r="W38" s="5">
        <v>3.0172330613999998</v>
      </c>
      <c r="X38" s="5">
        <v>0.83361274470000002</v>
      </c>
      <c r="Y38" t="s">
        <v>33</v>
      </c>
      <c r="AB38" t="s">
        <v>34</v>
      </c>
      <c r="AC38">
        <v>1.31220342591405E-2</v>
      </c>
      <c r="AD38">
        <v>-0.20049199104309079</v>
      </c>
      <c r="AE38">
        <v>0.11521145343780499</v>
      </c>
      <c r="AF38">
        <v>-0.53803932666778598</v>
      </c>
      <c r="AG38">
        <v>-0.11040961742401099</v>
      </c>
      <c r="AH38">
        <v>1.7156174182891799</v>
      </c>
      <c r="AI38">
        <v>4.8092587324</v>
      </c>
      <c r="AJ38">
        <v>0.4784433911</v>
      </c>
      <c r="AK38">
        <v>4.3446054411999997</v>
      </c>
      <c r="AL38" t="s">
        <v>35</v>
      </c>
      <c r="AM38" t="s">
        <v>33</v>
      </c>
    </row>
    <row r="39" spans="16:39" x14ac:dyDescent="0.25">
      <c r="P39" s="5">
        <v>1.0278031490999999</v>
      </c>
      <c r="Q39" s="5">
        <v>0.14000000000000001</v>
      </c>
      <c r="R39" s="5">
        <v>0</v>
      </c>
      <c r="S39" s="5">
        <v>0.3286386073</v>
      </c>
      <c r="T39" s="5">
        <v>0.04</v>
      </c>
      <c r="U39" s="5">
        <v>2.3561999999999999</v>
      </c>
      <c r="V39" s="5">
        <v>2.4776605121999999</v>
      </c>
      <c r="W39" s="5">
        <v>0.70416387319999996</v>
      </c>
      <c r="X39" s="5">
        <v>1.306033752</v>
      </c>
      <c r="Y39" t="s">
        <v>33</v>
      </c>
      <c r="AB39" t="s">
        <v>34</v>
      </c>
      <c r="AC39">
        <v>-5.1512643694877598E-3</v>
      </c>
      <c r="AD39">
        <v>0.13977229416370424</v>
      </c>
      <c r="AE39">
        <v>-9.0497039407491653E-2</v>
      </c>
      <c r="AF39">
        <v>-0.203321859240532</v>
      </c>
      <c r="AG39">
        <v>0.647000432014465</v>
      </c>
      <c r="AH39">
        <v>-0.89956176280975297</v>
      </c>
      <c r="AI39">
        <v>4.5210753759999998</v>
      </c>
      <c r="AJ39">
        <v>3.0172330613999998</v>
      </c>
      <c r="AK39">
        <v>0.83361274470000002</v>
      </c>
      <c r="AL39" t="s">
        <v>35</v>
      </c>
      <c r="AM39" t="s">
        <v>33</v>
      </c>
    </row>
    <row r="40" spans="16:39" x14ac:dyDescent="0.25">
      <c r="P40" s="5">
        <v>0.8908774062</v>
      </c>
      <c r="Q40" s="5">
        <v>0.18</v>
      </c>
      <c r="R40" s="5">
        <v>3.1415999999999999</v>
      </c>
      <c r="S40" s="5">
        <v>0.88440675189999995</v>
      </c>
      <c r="T40" s="5">
        <v>0.08</v>
      </c>
      <c r="U40" s="5">
        <v>3.927</v>
      </c>
      <c r="V40" s="5">
        <v>0.48462861940000002</v>
      </c>
      <c r="W40" s="5">
        <v>1.6897568487000001</v>
      </c>
      <c r="X40" s="5">
        <v>3.1701200912999998</v>
      </c>
      <c r="Y40" t="s">
        <v>33</v>
      </c>
      <c r="AB40" t="s">
        <v>34</v>
      </c>
      <c r="AC40">
        <v>-9.1127436608076096E-3</v>
      </c>
      <c r="AD40">
        <v>-1.3350144028663712E-3</v>
      </c>
      <c r="AE40">
        <v>0.14257132291793856</v>
      </c>
      <c r="AF40">
        <v>-0.40405035018920898</v>
      </c>
      <c r="AG40">
        <v>0.56010144948959395</v>
      </c>
      <c r="AH40">
        <v>0.224302783608437</v>
      </c>
      <c r="AI40">
        <v>2.4776605121999999</v>
      </c>
      <c r="AJ40">
        <v>0.70416387319999996</v>
      </c>
      <c r="AK40">
        <v>1.306033752</v>
      </c>
      <c r="AL40" t="s">
        <v>35</v>
      </c>
      <c r="AM40" t="s">
        <v>39</v>
      </c>
    </row>
    <row r="41" spans="16:39" x14ac:dyDescent="0.25">
      <c r="P41" s="5">
        <v>1.2597568109999999</v>
      </c>
      <c r="Q41" s="5">
        <v>0.16</v>
      </c>
      <c r="R41" s="5">
        <v>0</v>
      </c>
      <c r="S41" s="5">
        <v>0.58841219170000003</v>
      </c>
      <c r="T41" s="5">
        <v>0.06</v>
      </c>
      <c r="U41" s="5">
        <v>5.4977999999999998</v>
      </c>
      <c r="V41" s="5">
        <v>3.9855186287</v>
      </c>
      <c r="W41" s="5">
        <v>1.0426876676000001</v>
      </c>
      <c r="X41" s="5">
        <v>0.31561411</v>
      </c>
      <c r="Y41" t="s">
        <v>33</v>
      </c>
    </row>
    <row r="42" spans="16:39" x14ac:dyDescent="0.25">
      <c r="P42" s="5">
        <v>0.65858340790000003</v>
      </c>
      <c r="Q42" s="5">
        <v>0.18</v>
      </c>
      <c r="R42" s="5">
        <v>0</v>
      </c>
      <c r="S42" s="5">
        <v>0.498698221</v>
      </c>
      <c r="T42" s="5">
        <v>0.08</v>
      </c>
      <c r="U42" s="5">
        <v>0.78539999999999999</v>
      </c>
      <c r="V42" s="5">
        <v>4.9301628920000002</v>
      </c>
      <c r="W42" s="5">
        <v>1.8520278541999999</v>
      </c>
      <c r="X42" s="5">
        <v>4.6646910371999999</v>
      </c>
      <c r="Y42" t="s">
        <v>33</v>
      </c>
    </row>
    <row r="43" spans="16:39" x14ac:dyDescent="0.25">
      <c r="P43" s="5">
        <v>0.55032038400000005</v>
      </c>
      <c r="Q43" s="5">
        <v>0.16</v>
      </c>
      <c r="R43" s="5">
        <v>3.1415999999999999</v>
      </c>
      <c r="S43" s="5">
        <v>1.4487418581</v>
      </c>
      <c r="T43" s="5">
        <v>0.08</v>
      </c>
      <c r="U43" s="5">
        <v>2.3561999999999999</v>
      </c>
      <c r="V43" s="5">
        <v>4.7175867132000002</v>
      </c>
      <c r="W43" s="5">
        <v>1.3012665307</v>
      </c>
      <c r="X43" s="5">
        <v>3.3668845907999998</v>
      </c>
      <c r="Y43" t="s">
        <v>33</v>
      </c>
    </row>
    <row r="44" spans="16:39" x14ac:dyDescent="0.25">
      <c r="P44" s="5">
        <v>1.2531062278</v>
      </c>
      <c r="Q44" s="5">
        <v>0.18</v>
      </c>
      <c r="R44" s="5">
        <v>5.4977999999999998</v>
      </c>
      <c r="S44" s="5">
        <v>0.4702401397</v>
      </c>
      <c r="T44" s="5">
        <v>0.1</v>
      </c>
      <c r="U44" s="5">
        <v>5.4977999999999998</v>
      </c>
      <c r="V44" s="5">
        <v>0.1483911762</v>
      </c>
      <c r="W44" s="5">
        <v>0.2167359935</v>
      </c>
      <c r="X44" s="5">
        <v>4.9349358513999997</v>
      </c>
      <c r="Y44" t="s">
        <v>33</v>
      </c>
    </row>
    <row r="45" spans="16:39" x14ac:dyDescent="0.25">
      <c r="P45" s="5">
        <v>0.37674236639999997</v>
      </c>
      <c r="Q45" s="5">
        <v>0.12</v>
      </c>
      <c r="R45" s="5">
        <v>5.4977999999999998</v>
      </c>
      <c r="S45" s="5">
        <v>0.55884916829999998</v>
      </c>
      <c r="T45" s="5">
        <v>0.04</v>
      </c>
      <c r="U45" s="5">
        <v>5.4977999999999998</v>
      </c>
      <c r="V45" s="5">
        <v>2.7463764360999998</v>
      </c>
      <c r="W45" s="5">
        <v>4.0783358151</v>
      </c>
      <c r="X45" s="5">
        <v>2.4827351898000001</v>
      </c>
      <c r="Y45" t="s">
        <v>33</v>
      </c>
    </row>
    <row r="46" spans="16:39" x14ac:dyDescent="0.25">
      <c r="P46" s="5">
        <v>0.99744538530000004</v>
      </c>
      <c r="Q46" s="5">
        <v>0.12</v>
      </c>
      <c r="R46" s="5">
        <v>2.3561999999999999</v>
      </c>
      <c r="S46" s="5">
        <v>0.63256510880000005</v>
      </c>
      <c r="T46" s="5">
        <v>0.04</v>
      </c>
      <c r="U46" s="5">
        <v>4.7123999999999997</v>
      </c>
      <c r="V46" s="5">
        <v>1.0163068775999999</v>
      </c>
      <c r="W46" s="5">
        <v>2.5468444695999999</v>
      </c>
      <c r="X46" s="5">
        <v>0.1214735909</v>
      </c>
      <c r="Y46" t="s">
        <v>33</v>
      </c>
    </row>
    <row r="47" spans="16:39" x14ac:dyDescent="0.25">
      <c r="P47" s="5">
        <v>0.91958396450000002</v>
      </c>
      <c r="Q47" s="5">
        <v>0.18</v>
      </c>
      <c r="R47" s="5">
        <v>0</v>
      </c>
      <c r="S47" s="5">
        <v>1.2327944816</v>
      </c>
      <c r="T47" s="5">
        <v>0.1</v>
      </c>
      <c r="U47" s="5">
        <v>4.7123999999999997</v>
      </c>
      <c r="V47" s="5">
        <v>3.7350994551999999</v>
      </c>
      <c r="W47" s="5">
        <v>0.10989542820000001</v>
      </c>
      <c r="X47" s="5">
        <v>4.0041016991999996</v>
      </c>
      <c r="Y47" t="s">
        <v>33</v>
      </c>
    </row>
    <row r="48" spans="16:39" x14ac:dyDescent="0.25">
      <c r="P48" s="5">
        <v>0.76015027209999997</v>
      </c>
      <c r="Q48" s="5">
        <v>0.18</v>
      </c>
      <c r="R48" s="5">
        <v>2.3561999999999999</v>
      </c>
      <c r="S48" s="5">
        <v>0.80034279419999999</v>
      </c>
      <c r="T48" s="5">
        <v>0.1</v>
      </c>
      <c r="U48" s="5">
        <v>0</v>
      </c>
      <c r="V48" s="5">
        <v>4.7396783878999997</v>
      </c>
      <c r="W48" s="5">
        <v>4.9071061610999998</v>
      </c>
      <c r="X48" s="5">
        <v>1.8713340661</v>
      </c>
      <c r="Y48" t="s">
        <v>33</v>
      </c>
    </row>
    <row r="49" spans="16:25" x14ac:dyDescent="0.25">
      <c r="P49" s="5">
        <v>0.9040684336</v>
      </c>
      <c r="Q49" s="5">
        <v>0.1</v>
      </c>
      <c r="R49" s="5">
        <v>5.4977999999999998</v>
      </c>
      <c r="S49" s="5">
        <v>0.68590239919999996</v>
      </c>
      <c r="T49" s="5">
        <v>0.02</v>
      </c>
      <c r="U49" s="5">
        <v>4.7123999999999997</v>
      </c>
      <c r="V49" s="5">
        <v>3.1050919126999998</v>
      </c>
      <c r="W49" s="5">
        <v>4.9790166179000002</v>
      </c>
      <c r="X49" s="5">
        <v>4.7088396990000003</v>
      </c>
      <c r="Y49" t="s">
        <v>33</v>
      </c>
    </row>
    <row r="50" spans="16:25" x14ac:dyDescent="0.25">
      <c r="P50" s="5">
        <v>1.4109779404</v>
      </c>
      <c r="Q50" s="5">
        <v>0.2</v>
      </c>
      <c r="R50" s="5">
        <v>3.1415999999999999</v>
      </c>
      <c r="S50" s="5">
        <v>1.3890525475</v>
      </c>
      <c r="T50" s="5">
        <v>0.12</v>
      </c>
      <c r="U50" s="5">
        <v>0</v>
      </c>
      <c r="V50" s="5">
        <v>0.24685834309999999</v>
      </c>
      <c r="W50" s="5">
        <v>4.5298125568999996</v>
      </c>
      <c r="X50" s="5">
        <v>2.6684535819000001</v>
      </c>
      <c r="Y50" t="s">
        <v>33</v>
      </c>
    </row>
    <row r="51" spans="16:25" x14ac:dyDescent="0.25">
      <c r="P51" s="5">
        <v>1.4747736548999999</v>
      </c>
      <c r="Q51" s="5">
        <v>0.2</v>
      </c>
      <c r="R51" s="5">
        <v>0</v>
      </c>
      <c r="S51" s="5">
        <v>1.4750904852</v>
      </c>
      <c r="T51" s="5">
        <v>0.12</v>
      </c>
      <c r="U51" s="5">
        <v>3.1415999999999999</v>
      </c>
      <c r="V51" s="5">
        <v>2.1243312033000001</v>
      </c>
      <c r="W51" s="5">
        <v>0.98146476360000001</v>
      </c>
      <c r="X51" s="5">
        <v>2.2301814902000001</v>
      </c>
      <c r="Y51" t="s">
        <v>33</v>
      </c>
    </row>
    <row r="52" spans="16:25" x14ac:dyDescent="0.25">
      <c r="P52" s="5">
        <v>1.1341222659000001</v>
      </c>
      <c r="Q52" s="5">
        <v>0.12</v>
      </c>
      <c r="R52" s="5">
        <v>0.78539999999999999</v>
      </c>
      <c r="S52" s="5">
        <v>1.3710979794</v>
      </c>
      <c r="T52" s="5">
        <v>0.04</v>
      </c>
      <c r="U52" s="5">
        <v>1.5708</v>
      </c>
      <c r="V52" s="5">
        <v>3.8924485742999999</v>
      </c>
      <c r="W52" s="5">
        <v>4.3783496642999999</v>
      </c>
      <c r="X52" s="5">
        <v>1.6360280112000001</v>
      </c>
      <c r="Y52" t="s">
        <v>33</v>
      </c>
    </row>
    <row r="53" spans="16:25" x14ac:dyDescent="0.25">
      <c r="P53" s="5">
        <v>0.785852255</v>
      </c>
      <c r="Q53" s="5">
        <v>0.1</v>
      </c>
      <c r="R53" s="5">
        <v>0.78539999999999999</v>
      </c>
      <c r="S53" s="5">
        <v>0.39355619479999998</v>
      </c>
      <c r="T53" s="5">
        <v>0.02</v>
      </c>
      <c r="U53" s="5">
        <v>5.4977999999999998</v>
      </c>
      <c r="V53" s="5">
        <v>4.5109081914000004</v>
      </c>
      <c r="W53" s="5">
        <v>2.9663132843</v>
      </c>
      <c r="X53" s="5">
        <v>3.8683553511</v>
      </c>
      <c r="Y53" t="s">
        <v>33</v>
      </c>
    </row>
    <row r="54" spans="16:25" x14ac:dyDescent="0.25">
      <c r="P54" s="5">
        <v>0.4787670047</v>
      </c>
      <c r="Q54" s="5">
        <v>0.2</v>
      </c>
      <c r="R54" s="5">
        <v>4.7123999999999997</v>
      </c>
      <c r="S54" s="5">
        <v>0.35541469809999998</v>
      </c>
      <c r="T54" s="5">
        <v>0.14000000000000001</v>
      </c>
      <c r="U54" s="5">
        <v>3.1415999999999999</v>
      </c>
      <c r="V54" s="5">
        <v>4.9350065225000002</v>
      </c>
      <c r="W54" s="5">
        <v>4.6708884390999996</v>
      </c>
      <c r="X54" s="5">
        <v>0.64099500450000002</v>
      </c>
      <c r="Y54" t="s">
        <v>33</v>
      </c>
    </row>
    <row r="55" spans="16:25" x14ac:dyDescent="0.25">
      <c r="P55" s="5">
        <v>1.2825258852999999</v>
      </c>
      <c r="Q55" s="5">
        <v>0.14000000000000001</v>
      </c>
      <c r="R55" s="5">
        <v>2.3561999999999999</v>
      </c>
      <c r="S55" s="5">
        <v>1.1085226837</v>
      </c>
      <c r="T55" s="5">
        <v>0.08</v>
      </c>
      <c r="U55" s="5">
        <v>3.1415999999999999</v>
      </c>
      <c r="V55" s="5">
        <v>5.0541583899999999E-2</v>
      </c>
      <c r="W55" s="5">
        <v>4.9578693537999996</v>
      </c>
      <c r="X55" s="5">
        <v>3.9886280456000001</v>
      </c>
      <c r="Y55" t="s">
        <v>33</v>
      </c>
    </row>
    <row r="56" spans="16:25" x14ac:dyDescent="0.25">
      <c r="P56" s="5">
        <v>1.0319949839</v>
      </c>
      <c r="Q56" s="5">
        <v>0.18</v>
      </c>
      <c r="R56" s="5">
        <v>3.927</v>
      </c>
      <c r="S56" s="5">
        <v>1.1733448184999999</v>
      </c>
      <c r="T56" s="5">
        <v>0.12</v>
      </c>
      <c r="U56" s="5">
        <v>0.78539999999999999</v>
      </c>
      <c r="V56" s="5">
        <v>4.3201662060999997</v>
      </c>
      <c r="W56" s="5">
        <v>3.8378352410000001</v>
      </c>
      <c r="X56" s="5">
        <v>4.8360302252</v>
      </c>
      <c r="Y56" t="s">
        <v>33</v>
      </c>
    </row>
    <row r="57" spans="16:25" x14ac:dyDescent="0.25">
      <c r="P57" s="5">
        <v>0.54659396309999997</v>
      </c>
      <c r="Q57" s="5">
        <v>0.14000000000000001</v>
      </c>
      <c r="R57" s="5">
        <v>3.927</v>
      </c>
      <c r="S57" s="5">
        <v>0.37475583969999998</v>
      </c>
      <c r="T57" s="5">
        <v>0.08</v>
      </c>
      <c r="U57" s="5">
        <v>1.5708</v>
      </c>
      <c r="V57" s="5">
        <v>1.2326114607000001</v>
      </c>
      <c r="W57" s="5">
        <v>3.5091223980000001</v>
      </c>
      <c r="X57" s="5">
        <v>2.8278096824999999</v>
      </c>
      <c r="Y57" t="s">
        <v>33</v>
      </c>
    </row>
    <row r="58" spans="16:25" x14ac:dyDescent="0.25">
      <c r="P58" s="5">
        <v>0.62359206519999999</v>
      </c>
      <c r="Q58" s="5">
        <v>0.08</v>
      </c>
      <c r="R58" s="5">
        <v>5.4977999999999998</v>
      </c>
      <c r="S58" s="5">
        <v>0.47877904049999997</v>
      </c>
      <c r="T58" s="5">
        <v>0.02</v>
      </c>
      <c r="U58" s="5">
        <v>3.927</v>
      </c>
      <c r="V58" s="5">
        <v>2.2205178402999999</v>
      </c>
      <c r="W58" s="5">
        <v>1.9827336431</v>
      </c>
      <c r="X58" s="5">
        <v>0.36676452050000002</v>
      </c>
      <c r="Y58" t="s">
        <v>33</v>
      </c>
    </row>
    <row r="59" spans="16:25" x14ac:dyDescent="0.25">
      <c r="P59" s="5">
        <v>1.3484992293</v>
      </c>
      <c r="Q59" s="5">
        <v>0.2</v>
      </c>
      <c r="R59" s="5">
        <v>0</v>
      </c>
      <c r="S59" s="5">
        <v>0.39122828500000001</v>
      </c>
      <c r="T59" s="5">
        <v>0.14000000000000001</v>
      </c>
      <c r="U59" s="5">
        <v>0.78539999999999999</v>
      </c>
      <c r="V59" s="5">
        <v>1.9402253723</v>
      </c>
      <c r="W59" s="5">
        <v>1.6478522000000001E-3</v>
      </c>
      <c r="X59" s="5">
        <v>3.2221664534999999</v>
      </c>
      <c r="Y59" t="s">
        <v>33</v>
      </c>
    </row>
    <row r="60" spans="16:25" x14ac:dyDescent="0.25">
      <c r="P60" s="5">
        <v>0.51681038229999998</v>
      </c>
      <c r="Q60" s="5">
        <v>0.08</v>
      </c>
      <c r="R60" s="5">
        <v>0</v>
      </c>
      <c r="S60" s="5">
        <v>0.91461204240000005</v>
      </c>
      <c r="T60" s="5">
        <v>0.02</v>
      </c>
      <c r="U60" s="5">
        <v>3.927</v>
      </c>
      <c r="V60" s="5">
        <v>3.7945339589999998</v>
      </c>
      <c r="W60" s="5">
        <v>3.3481721828</v>
      </c>
      <c r="X60" s="5">
        <v>3.4429632493</v>
      </c>
      <c r="Y60" t="s">
        <v>33</v>
      </c>
    </row>
    <row r="61" spans="16:25" x14ac:dyDescent="0.25">
      <c r="P61" s="5">
        <v>0.68441694529999997</v>
      </c>
      <c r="Q61" s="5">
        <v>0.16</v>
      </c>
      <c r="R61" s="5">
        <v>2.3561999999999999</v>
      </c>
      <c r="S61" s="5">
        <v>1.4072090791</v>
      </c>
      <c r="T61" s="5">
        <v>0.1</v>
      </c>
      <c r="U61" s="5">
        <v>0.78539999999999999</v>
      </c>
      <c r="V61" s="5">
        <v>1.6472032243000001</v>
      </c>
      <c r="W61" s="5">
        <v>5.9795420000000002E-2</v>
      </c>
      <c r="X61" s="5">
        <v>0.1036992028</v>
      </c>
      <c r="Y61" t="s">
        <v>33</v>
      </c>
    </row>
    <row r="62" spans="16:25" x14ac:dyDescent="0.25">
      <c r="P62" s="5">
        <v>1.3991334753</v>
      </c>
      <c r="Q62" s="5">
        <v>0.12</v>
      </c>
      <c r="R62" s="5">
        <v>5.4977999999999998</v>
      </c>
      <c r="S62" s="5">
        <v>0.96266422490000003</v>
      </c>
      <c r="T62" s="5">
        <v>0.06</v>
      </c>
      <c r="U62" s="5">
        <v>5.4977999999999998</v>
      </c>
      <c r="V62" s="5">
        <v>2.0231526378</v>
      </c>
      <c r="W62" s="5">
        <v>0.50988481399999996</v>
      </c>
      <c r="X62" s="5">
        <v>0.60427768879999999</v>
      </c>
      <c r="Y62" t="s">
        <v>33</v>
      </c>
    </row>
    <row r="63" spans="16:25" x14ac:dyDescent="0.25">
      <c r="P63" s="5">
        <v>0.4668308846</v>
      </c>
      <c r="Q63" s="5">
        <v>0.08</v>
      </c>
      <c r="R63" s="5">
        <v>3.1415999999999999</v>
      </c>
      <c r="S63" s="5">
        <v>1.1054712231999999</v>
      </c>
      <c r="T63" s="5">
        <v>0.04</v>
      </c>
      <c r="U63" s="5">
        <v>4.7123999999999997</v>
      </c>
      <c r="V63" s="5">
        <v>4.4838346888</v>
      </c>
      <c r="W63" s="5">
        <v>0.20145099390000001</v>
      </c>
      <c r="X63" s="5">
        <v>4.5041045776999997</v>
      </c>
      <c r="Y63" t="s">
        <v>33</v>
      </c>
    </row>
    <row r="64" spans="16:25" x14ac:dyDescent="0.25">
      <c r="P64" s="5">
        <v>1.4827422800000001</v>
      </c>
      <c r="Q64" s="5">
        <v>0.08</v>
      </c>
      <c r="R64" s="5">
        <v>3.1415999999999999</v>
      </c>
      <c r="S64" s="5">
        <v>0.80651000630000003</v>
      </c>
      <c r="T64" s="5">
        <v>0.04</v>
      </c>
      <c r="U64" s="5">
        <v>4.7123999999999997</v>
      </c>
      <c r="V64" s="5">
        <v>4.1839238480000001</v>
      </c>
      <c r="W64" s="5">
        <v>4.1752821560999998</v>
      </c>
      <c r="X64" s="5">
        <v>0.4978333036</v>
      </c>
      <c r="Y64" t="s">
        <v>33</v>
      </c>
    </row>
    <row r="65" spans="16:25" x14ac:dyDescent="0.25">
      <c r="P65" s="5">
        <v>1.4313963908</v>
      </c>
      <c r="Q65" s="5">
        <v>0.2</v>
      </c>
      <c r="R65" s="5">
        <v>5.4977999999999998</v>
      </c>
      <c r="S65" s="5">
        <v>0.66088478610000001</v>
      </c>
      <c r="T65" s="5">
        <v>0.16</v>
      </c>
      <c r="U65" s="5">
        <v>5.4977999999999998</v>
      </c>
      <c r="V65" s="5">
        <v>4.6493399877000003</v>
      </c>
      <c r="W65" s="5">
        <v>1.9654430356000001</v>
      </c>
      <c r="X65" s="5">
        <v>1.6399488998</v>
      </c>
      <c r="Y65" t="s">
        <v>33</v>
      </c>
    </row>
    <row r="66" spans="16:25" x14ac:dyDescent="0.25">
      <c r="P66" s="5">
        <v>1.1008731407000001</v>
      </c>
      <c r="Q66" s="5">
        <v>0.12</v>
      </c>
      <c r="R66" s="5">
        <v>4.7123999999999997</v>
      </c>
      <c r="S66" s="5">
        <v>1.0118865585000001</v>
      </c>
      <c r="T66" s="5">
        <v>0.08</v>
      </c>
      <c r="U66" s="5">
        <v>0</v>
      </c>
      <c r="V66" s="5">
        <v>2.5804466663999999</v>
      </c>
      <c r="W66" s="5">
        <v>2.8020908323999998</v>
      </c>
      <c r="X66" s="5">
        <v>1.4209598912000001</v>
      </c>
      <c r="Y66" t="s">
        <v>33</v>
      </c>
    </row>
    <row r="67" spans="16:25" x14ac:dyDescent="0.25">
      <c r="P67" s="5">
        <v>1.1548404238000001</v>
      </c>
      <c r="Q67" s="5">
        <v>0.06</v>
      </c>
      <c r="R67" s="5">
        <v>0</v>
      </c>
      <c r="S67" s="5">
        <v>0.95560731600000004</v>
      </c>
      <c r="T67" s="5">
        <v>0.02</v>
      </c>
      <c r="U67" s="5">
        <v>5.4977999999999998</v>
      </c>
      <c r="V67" s="5">
        <v>1.7445767312</v>
      </c>
      <c r="W67" s="5">
        <v>3.9458122761999999</v>
      </c>
      <c r="X67" s="5">
        <v>4.9189190299999996</v>
      </c>
      <c r="Y67" t="s">
        <v>33</v>
      </c>
    </row>
    <row r="68" spans="16:25" x14ac:dyDescent="0.25">
      <c r="P68" s="5">
        <v>1.1816252039999999</v>
      </c>
      <c r="Q68" s="5">
        <v>0.08</v>
      </c>
      <c r="R68" s="5">
        <v>1.5708</v>
      </c>
      <c r="S68" s="5">
        <v>0.57227119820000005</v>
      </c>
      <c r="T68" s="5">
        <v>0.04</v>
      </c>
      <c r="U68" s="5">
        <v>0.78539999999999999</v>
      </c>
      <c r="V68" s="5">
        <v>1.4076592733</v>
      </c>
      <c r="W68" s="5">
        <v>1.3192874408999999</v>
      </c>
      <c r="X68" s="5">
        <v>2.6835966308999999</v>
      </c>
      <c r="Y68" t="s">
        <v>33</v>
      </c>
    </row>
    <row r="69" spans="16:25" x14ac:dyDescent="0.25">
      <c r="P69" s="5">
        <v>0.93729510640000002</v>
      </c>
      <c r="Q69" s="5">
        <v>0.14000000000000001</v>
      </c>
      <c r="R69" s="5">
        <v>0.78539999999999999</v>
      </c>
      <c r="S69" s="5">
        <v>0.49250416219999998</v>
      </c>
      <c r="T69" s="5">
        <v>0.1</v>
      </c>
      <c r="U69" s="5">
        <v>0</v>
      </c>
      <c r="V69" s="5">
        <v>0.50502447429999997</v>
      </c>
      <c r="W69" s="5">
        <v>3.7817597896000001</v>
      </c>
      <c r="X69" s="5">
        <v>0.94479070089999995</v>
      </c>
      <c r="Y69" t="s">
        <v>33</v>
      </c>
    </row>
    <row r="70" spans="16:25" x14ac:dyDescent="0.25">
      <c r="P70" s="5">
        <v>0.32556561499999997</v>
      </c>
      <c r="Q70" s="5">
        <v>0.1</v>
      </c>
      <c r="R70" s="5">
        <v>0</v>
      </c>
      <c r="S70" s="5">
        <v>1.3745769409999999</v>
      </c>
      <c r="T70" s="5">
        <v>0.06</v>
      </c>
      <c r="U70" s="5">
        <v>0</v>
      </c>
      <c r="V70" s="5">
        <v>2.9612942246</v>
      </c>
      <c r="W70" s="5">
        <v>1.9579719759000001</v>
      </c>
      <c r="X70" s="5">
        <v>4.9734873239999997</v>
      </c>
      <c r="Y70" t="s">
        <v>33</v>
      </c>
    </row>
    <row r="71" spans="16:25" x14ac:dyDescent="0.25">
      <c r="P71" s="5">
        <v>0.34779033799999998</v>
      </c>
      <c r="Q71" s="5">
        <v>0.08</v>
      </c>
      <c r="R71" s="5">
        <v>0</v>
      </c>
      <c r="S71" s="5">
        <v>1.3138897528</v>
      </c>
      <c r="T71" s="5">
        <v>0.04</v>
      </c>
      <c r="U71" s="5">
        <v>5.4977999999999998</v>
      </c>
      <c r="V71" s="5">
        <v>0.37278424939999999</v>
      </c>
      <c r="W71" s="5">
        <v>4.7468756007000001</v>
      </c>
      <c r="X71" s="5">
        <v>0.2022602889</v>
      </c>
      <c r="Y71" t="s">
        <v>33</v>
      </c>
    </row>
    <row r="72" spans="16:25" x14ac:dyDescent="0.25">
      <c r="P72" s="5">
        <v>1.1244386973</v>
      </c>
      <c r="Q72" s="5">
        <v>0.06</v>
      </c>
      <c r="R72" s="5">
        <v>2.3561999999999999</v>
      </c>
      <c r="S72" s="5">
        <v>1.2912704479999999</v>
      </c>
      <c r="T72" s="5">
        <v>0.02</v>
      </c>
      <c r="U72" s="5">
        <v>5.4977999999999998</v>
      </c>
      <c r="V72" s="5">
        <v>4.9064020905000003</v>
      </c>
      <c r="W72" s="5">
        <v>2.1650144864</v>
      </c>
      <c r="X72" s="5">
        <v>2.5559004244999999</v>
      </c>
      <c r="Y72" t="s">
        <v>33</v>
      </c>
    </row>
    <row r="73" spans="16:25" x14ac:dyDescent="0.25">
      <c r="P73" s="5">
        <v>0.87685121659999998</v>
      </c>
      <c r="Q73" s="5">
        <v>0.08</v>
      </c>
      <c r="R73" s="5">
        <v>3.1415999999999999</v>
      </c>
      <c r="S73" s="5">
        <v>1.4399958847000001</v>
      </c>
      <c r="T73" s="5">
        <v>0.04</v>
      </c>
      <c r="U73" s="5">
        <v>4.7123999999999997</v>
      </c>
      <c r="V73" s="5">
        <v>2.3478746006</v>
      </c>
      <c r="W73" s="5">
        <v>3.5578307432999998</v>
      </c>
      <c r="X73" s="5">
        <v>1.992162325</v>
      </c>
      <c r="Y73" t="s">
        <v>33</v>
      </c>
    </row>
    <row r="74" spans="16:25" x14ac:dyDescent="0.25">
      <c r="P74" s="5">
        <v>0.59547924330000002</v>
      </c>
      <c r="Q74" s="5">
        <v>0.08</v>
      </c>
      <c r="R74" s="5">
        <v>4.7123999999999997</v>
      </c>
      <c r="S74" s="5">
        <v>0.70510202209999995</v>
      </c>
      <c r="T74" s="5">
        <v>0.04</v>
      </c>
      <c r="U74" s="5">
        <v>0</v>
      </c>
      <c r="V74" s="5">
        <v>0.2207304574</v>
      </c>
      <c r="W74" s="5">
        <v>1.87765064E-2</v>
      </c>
      <c r="X74" s="5">
        <v>2.3333602099999999</v>
      </c>
      <c r="Y74" t="s">
        <v>33</v>
      </c>
    </row>
    <row r="75" spans="16:25" x14ac:dyDescent="0.25">
      <c r="P75" s="5">
        <v>1.3901836501</v>
      </c>
      <c r="Q75" s="5">
        <v>0.08</v>
      </c>
      <c r="R75" s="5">
        <v>4.7123999999999997</v>
      </c>
      <c r="S75" s="5">
        <v>0.3079851005</v>
      </c>
      <c r="T75" s="5">
        <v>0.04</v>
      </c>
      <c r="U75" s="5">
        <v>4.7123999999999997</v>
      </c>
      <c r="V75" s="5">
        <v>0.73915014310000005</v>
      </c>
      <c r="W75" s="5">
        <v>2.9227877096000001</v>
      </c>
      <c r="X75" s="5">
        <v>4.1425655895000002</v>
      </c>
      <c r="Y75" t="s">
        <v>33</v>
      </c>
    </row>
    <row r="76" spans="16:25" x14ac:dyDescent="0.25">
      <c r="P76" s="5">
        <v>0.37261524629999998</v>
      </c>
      <c r="Q76" s="5">
        <v>0.16</v>
      </c>
      <c r="R76" s="5">
        <v>1.5708</v>
      </c>
      <c r="S76" s="5">
        <v>0.85894297369999995</v>
      </c>
      <c r="T76" s="5">
        <v>0.12</v>
      </c>
      <c r="U76" s="5">
        <v>0</v>
      </c>
      <c r="V76" s="5">
        <v>1.8801242656999999</v>
      </c>
      <c r="W76" s="5">
        <v>0.57983362380000003</v>
      </c>
      <c r="X76" s="5">
        <v>4.1953380029999998</v>
      </c>
      <c r="Y76" t="s">
        <v>33</v>
      </c>
    </row>
    <row r="77" spans="16:25" x14ac:dyDescent="0.25">
      <c r="P77" s="5">
        <v>1.4531678181000001</v>
      </c>
      <c r="Q77" s="5">
        <v>0.12</v>
      </c>
      <c r="R77" s="5">
        <v>4.7123999999999997</v>
      </c>
      <c r="S77" s="5">
        <v>0.47288273930000002</v>
      </c>
      <c r="T77" s="5">
        <v>0.08</v>
      </c>
      <c r="U77" s="5">
        <v>0.78539999999999999</v>
      </c>
      <c r="V77" s="5">
        <v>3.2783510528000002</v>
      </c>
      <c r="W77" s="5">
        <v>4.7389224496000004</v>
      </c>
      <c r="X77" s="5">
        <v>3.1449469496</v>
      </c>
      <c r="Y77" t="s">
        <v>33</v>
      </c>
    </row>
    <row r="78" spans="16:25" x14ac:dyDescent="0.25">
      <c r="P78" s="5">
        <v>0.36590931840000002</v>
      </c>
      <c r="Q78" s="5">
        <v>0.08</v>
      </c>
      <c r="R78" s="5">
        <v>2.3561999999999999</v>
      </c>
      <c r="S78" s="5">
        <v>0.32426250909999998</v>
      </c>
      <c r="T78" s="5">
        <v>0.04</v>
      </c>
      <c r="U78" s="5">
        <v>5.4977999999999998</v>
      </c>
      <c r="V78" s="5">
        <v>3.2391898345999999</v>
      </c>
      <c r="W78" s="5">
        <v>1.5107994280999999</v>
      </c>
      <c r="X78" s="5">
        <v>0.73005405469999995</v>
      </c>
      <c r="Y78" t="s">
        <v>33</v>
      </c>
    </row>
    <row r="79" spans="16:25" x14ac:dyDescent="0.25">
      <c r="P79" s="5">
        <v>0.71858942609999998</v>
      </c>
      <c r="Q79" s="5">
        <v>0.06</v>
      </c>
      <c r="R79" s="5">
        <v>5.4977999999999998</v>
      </c>
      <c r="S79" s="5">
        <v>1.3482950081</v>
      </c>
      <c r="T79" s="5">
        <v>0.02</v>
      </c>
      <c r="U79" s="5">
        <v>1.5708</v>
      </c>
      <c r="V79" s="5">
        <v>2.7719248752999999</v>
      </c>
      <c r="W79" s="5">
        <v>4.6486855653000001</v>
      </c>
      <c r="X79" s="5">
        <v>4.0642437601000001</v>
      </c>
      <c r="Y79" t="s">
        <v>35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08a9f8ec-165a-4165-a8e9-ed45c2de7bcb"/>
    <ds:schemaRef ds:uri="http://schemas.microsoft.com/office/2006/metadata/properties"/>
    <ds:schemaRef ds:uri="http://purl.org/dc/terms/"/>
    <ds:schemaRef ds:uri="c2b20bf0-79f3-4559-a8ab-bcb74dcd8cd8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Proximal Validation</vt:lpstr>
      <vt:lpstr>Distal Validation</vt:lpstr>
      <vt:lpstr>Conversion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2026-03-06T01:36:27Z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