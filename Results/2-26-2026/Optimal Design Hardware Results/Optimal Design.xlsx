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Bio-Inspired-Sensing/Results/2-26-2026/Optimal Design Hardware Results/"/>
    </mc:Choice>
  </mc:AlternateContent>
  <xr:revisionPtr revIDLastSave="4229" documentId="8_{DFFD6B0C-681F-42C8-B2E4-5D4B90AAE966}" xr6:coauthVersionLast="47" xr6:coauthVersionMax="47" xr10:uidLastSave="{3745147F-DC5E-40EA-8FF7-64621C0B037A}"/>
  <bookViews>
    <workbookView xWindow="-120" yWindow="-120" windowWidth="29040" windowHeight="15720" xr2:uid="{3D16C37F-3C74-4527-A308-796C339DFE9F}"/>
  </bookViews>
  <sheets>
    <sheet name="Proximal Validation" sheetId="12" r:id="rId1"/>
    <sheet name="Distal Vali (five hardware)" sheetId="44" r:id="rId2"/>
    <sheet name="Distal Vali (one truth)" sheetId="41" r:id="rId3"/>
    <sheet name="Distal Vali (five truth)" sheetId="40" r:id="rId4"/>
    <sheet name="Conversion" sheetId="4" r:id="rId5"/>
    <sheet name="Sheet1" sheetId="4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3" i="12" l="1"/>
  <c r="X53" i="12"/>
  <c r="Y53" i="12"/>
  <c r="Z53" i="12"/>
  <c r="AA53" i="12"/>
  <c r="V53" i="12"/>
  <c r="AF3" i="12" a="1"/>
  <c r="AF3" i="12" s="1"/>
  <c r="AD3" i="12" a="1"/>
  <c r="AD3" i="12" s="1"/>
  <c r="AE3" i="12" a="1"/>
  <c r="AE3" i="12"/>
  <c r="AG3" i="12" a="1"/>
  <c r="AG3" i="12" s="1"/>
  <c r="AH3" i="12" a="1"/>
  <c r="AH3" i="12" s="1"/>
  <c r="AC3" i="12" a="1"/>
  <c r="AC3" i="12" s="1"/>
  <c r="AI3" i="12" a="1"/>
  <c r="AI3" i="12" s="1"/>
  <c r="O52" i="44"/>
  <c r="N52" i="44"/>
  <c r="M52" i="44"/>
  <c r="L52" i="44"/>
  <c r="K52" i="44"/>
  <c r="J52" i="44"/>
  <c r="I52" i="44"/>
  <c r="H52" i="44"/>
  <c r="G52" i="44"/>
  <c r="F52" i="44"/>
  <c r="AB52" i="44" s="1"/>
  <c r="E52" i="44"/>
  <c r="AA52" i="44" s="1"/>
  <c r="D52" i="44"/>
  <c r="Z52" i="44" s="1"/>
  <c r="C52" i="44"/>
  <c r="Y52" i="44" s="1"/>
  <c r="B52" i="44"/>
  <c r="X52" i="44" s="1"/>
  <c r="A52" i="44"/>
  <c r="W52" i="44" s="1"/>
  <c r="O51" i="44"/>
  <c r="N51" i="44"/>
  <c r="M51" i="44"/>
  <c r="L51" i="44"/>
  <c r="K51" i="44"/>
  <c r="J51" i="44"/>
  <c r="I51" i="44"/>
  <c r="H51" i="44"/>
  <c r="G51" i="44"/>
  <c r="F51" i="44"/>
  <c r="AB51" i="44" s="1"/>
  <c r="E51" i="44"/>
  <c r="AA51" i="44" s="1"/>
  <c r="D51" i="44"/>
  <c r="Z51" i="44" s="1"/>
  <c r="C51" i="44"/>
  <c r="Y51" i="44" s="1"/>
  <c r="B51" i="44"/>
  <c r="X51" i="44" s="1"/>
  <c r="A51" i="44"/>
  <c r="W51" i="44" s="1"/>
  <c r="O50" i="44"/>
  <c r="N50" i="44"/>
  <c r="M50" i="44"/>
  <c r="L50" i="44"/>
  <c r="K50" i="44"/>
  <c r="J50" i="44"/>
  <c r="I50" i="44"/>
  <c r="H50" i="44"/>
  <c r="G50" i="44"/>
  <c r="F50" i="44"/>
  <c r="AB50" i="44" s="1"/>
  <c r="E50" i="44"/>
  <c r="AA50" i="44" s="1"/>
  <c r="D50" i="44"/>
  <c r="Z50" i="44" s="1"/>
  <c r="C50" i="44"/>
  <c r="Y50" i="44" s="1"/>
  <c r="B50" i="44"/>
  <c r="X50" i="44" s="1"/>
  <c r="A50" i="44"/>
  <c r="W50" i="44" s="1"/>
  <c r="O49" i="44"/>
  <c r="N49" i="44"/>
  <c r="M49" i="44"/>
  <c r="L49" i="44"/>
  <c r="K49" i="44"/>
  <c r="J49" i="44"/>
  <c r="I49" i="44"/>
  <c r="H49" i="44"/>
  <c r="G49" i="44"/>
  <c r="F49" i="44"/>
  <c r="AB49" i="44" s="1"/>
  <c r="E49" i="44"/>
  <c r="AA49" i="44" s="1"/>
  <c r="D49" i="44"/>
  <c r="Z49" i="44" s="1"/>
  <c r="C49" i="44"/>
  <c r="Y49" i="44" s="1"/>
  <c r="B49" i="44"/>
  <c r="X49" i="44" s="1"/>
  <c r="A49" i="44"/>
  <c r="W49" i="44" s="1"/>
  <c r="O48" i="44"/>
  <c r="N48" i="44"/>
  <c r="M48" i="44"/>
  <c r="L48" i="44"/>
  <c r="K48" i="44"/>
  <c r="J48" i="44"/>
  <c r="I48" i="44"/>
  <c r="H48" i="44"/>
  <c r="G48" i="44"/>
  <c r="F48" i="44"/>
  <c r="AB48" i="44" s="1"/>
  <c r="E48" i="44"/>
  <c r="AA48" i="44" s="1"/>
  <c r="D48" i="44"/>
  <c r="Z48" i="44" s="1"/>
  <c r="C48" i="44"/>
  <c r="Y48" i="44" s="1"/>
  <c r="B48" i="44"/>
  <c r="X48" i="44" s="1"/>
  <c r="A48" i="44"/>
  <c r="W48" i="44" s="1"/>
  <c r="O47" i="44"/>
  <c r="N47" i="44"/>
  <c r="M47" i="44"/>
  <c r="L47" i="44"/>
  <c r="K47" i="44"/>
  <c r="J47" i="44"/>
  <c r="I47" i="44"/>
  <c r="H47" i="44"/>
  <c r="G47" i="44"/>
  <c r="F47" i="44"/>
  <c r="AB47" i="44" s="1"/>
  <c r="E47" i="44"/>
  <c r="AA47" i="44" s="1"/>
  <c r="D47" i="44"/>
  <c r="Z47" i="44" s="1"/>
  <c r="C47" i="44"/>
  <c r="Y47" i="44" s="1"/>
  <c r="B47" i="44"/>
  <c r="X47" i="44" s="1"/>
  <c r="A47" i="44"/>
  <c r="W47" i="44" s="1"/>
  <c r="O46" i="44"/>
  <c r="N46" i="44"/>
  <c r="M46" i="44"/>
  <c r="L46" i="44"/>
  <c r="K46" i="44"/>
  <c r="J46" i="44"/>
  <c r="I46" i="44"/>
  <c r="H46" i="44"/>
  <c r="G46" i="44"/>
  <c r="F46" i="44"/>
  <c r="AB46" i="44" s="1"/>
  <c r="E46" i="44"/>
  <c r="AA46" i="44" s="1"/>
  <c r="D46" i="44"/>
  <c r="Z46" i="44" s="1"/>
  <c r="C46" i="44"/>
  <c r="Y46" i="44" s="1"/>
  <c r="B46" i="44"/>
  <c r="X46" i="44" s="1"/>
  <c r="A46" i="44"/>
  <c r="W46" i="44" s="1"/>
  <c r="O45" i="44"/>
  <c r="N45" i="44"/>
  <c r="M45" i="44"/>
  <c r="L45" i="44"/>
  <c r="K45" i="44"/>
  <c r="J45" i="44"/>
  <c r="I45" i="44"/>
  <c r="H45" i="44"/>
  <c r="G45" i="44"/>
  <c r="F45" i="44"/>
  <c r="AB45" i="44" s="1"/>
  <c r="E45" i="44"/>
  <c r="AA45" i="44" s="1"/>
  <c r="D45" i="44"/>
  <c r="Z45" i="44" s="1"/>
  <c r="C45" i="44"/>
  <c r="Y45" i="44" s="1"/>
  <c r="B45" i="44"/>
  <c r="X45" i="44" s="1"/>
  <c r="A45" i="44"/>
  <c r="W45" i="44" s="1"/>
  <c r="O44" i="44"/>
  <c r="N44" i="44"/>
  <c r="M44" i="44"/>
  <c r="L44" i="44"/>
  <c r="K44" i="44"/>
  <c r="J44" i="44"/>
  <c r="I44" i="44"/>
  <c r="H44" i="44"/>
  <c r="G44" i="44"/>
  <c r="F44" i="44"/>
  <c r="AB44" i="44" s="1"/>
  <c r="E44" i="44"/>
  <c r="AA44" i="44" s="1"/>
  <c r="D44" i="44"/>
  <c r="Z44" i="44" s="1"/>
  <c r="C44" i="44"/>
  <c r="Y44" i="44" s="1"/>
  <c r="B44" i="44"/>
  <c r="X44" i="44" s="1"/>
  <c r="A44" i="44"/>
  <c r="W44" i="44" s="1"/>
  <c r="O43" i="44"/>
  <c r="N43" i="44"/>
  <c r="M43" i="44"/>
  <c r="L43" i="44"/>
  <c r="K43" i="44"/>
  <c r="J43" i="44"/>
  <c r="I43" i="44"/>
  <c r="H43" i="44"/>
  <c r="G43" i="44"/>
  <c r="F43" i="44"/>
  <c r="AB43" i="44" s="1"/>
  <c r="E43" i="44"/>
  <c r="AA43" i="44" s="1"/>
  <c r="D43" i="44"/>
  <c r="Z43" i="44" s="1"/>
  <c r="C43" i="44"/>
  <c r="Y43" i="44" s="1"/>
  <c r="B43" i="44"/>
  <c r="X43" i="44" s="1"/>
  <c r="A43" i="44"/>
  <c r="W43" i="44" s="1"/>
  <c r="O42" i="44"/>
  <c r="N42" i="44"/>
  <c r="M42" i="44"/>
  <c r="L42" i="44"/>
  <c r="K42" i="44"/>
  <c r="J42" i="44"/>
  <c r="I42" i="44"/>
  <c r="H42" i="44"/>
  <c r="G42" i="44"/>
  <c r="F42" i="44"/>
  <c r="AB42" i="44" s="1"/>
  <c r="E42" i="44"/>
  <c r="AA42" i="44" s="1"/>
  <c r="D42" i="44"/>
  <c r="Z42" i="44" s="1"/>
  <c r="C42" i="44"/>
  <c r="Y42" i="44" s="1"/>
  <c r="B42" i="44"/>
  <c r="X42" i="44" s="1"/>
  <c r="AD42" i="44" s="1"/>
  <c r="A42" i="44"/>
  <c r="W42" i="44" s="1"/>
  <c r="O41" i="44"/>
  <c r="N41" i="44"/>
  <c r="M41" i="44"/>
  <c r="L41" i="44"/>
  <c r="K41" i="44"/>
  <c r="J41" i="44"/>
  <c r="I41" i="44"/>
  <c r="H41" i="44"/>
  <c r="G41" i="44"/>
  <c r="F41" i="44"/>
  <c r="AB41" i="44" s="1"/>
  <c r="E41" i="44"/>
  <c r="AA41" i="44" s="1"/>
  <c r="D41" i="44"/>
  <c r="Z41" i="44" s="1"/>
  <c r="C41" i="44"/>
  <c r="Y41" i="44" s="1"/>
  <c r="B41" i="44"/>
  <c r="X41" i="44" s="1"/>
  <c r="A41" i="44"/>
  <c r="W41" i="44" s="1"/>
  <c r="O40" i="44"/>
  <c r="N40" i="44"/>
  <c r="M40" i="44"/>
  <c r="L40" i="44"/>
  <c r="K40" i="44"/>
  <c r="J40" i="44"/>
  <c r="I40" i="44"/>
  <c r="H40" i="44"/>
  <c r="G40" i="44"/>
  <c r="F40" i="44"/>
  <c r="AB40" i="44" s="1"/>
  <c r="E40" i="44"/>
  <c r="AA40" i="44" s="1"/>
  <c r="D40" i="44"/>
  <c r="Z40" i="44" s="1"/>
  <c r="C40" i="44"/>
  <c r="Y40" i="44" s="1"/>
  <c r="B40" i="44"/>
  <c r="X40" i="44" s="1"/>
  <c r="A40" i="44"/>
  <c r="W40" i="44" s="1"/>
  <c r="O39" i="44"/>
  <c r="N39" i="44"/>
  <c r="M39" i="44"/>
  <c r="L39" i="44"/>
  <c r="K39" i="44"/>
  <c r="J39" i="44"/>
  <c r="I39" i="44"/>
  <c r="H39" i="44"/>
  <c r="G39" i="44"/>
  <c r="F39" i="44"/>
  <c r="AB39" i="44" s="1"/>
  <c r="E39" i="44"/>
  <c r="AA39" i="44" s="1"/>
  <c r="D39" i="44"/>
  <c r="Z39" i="44" s="1"/>
  <c r="C39" i="44"/>
  <c r="Y39" i="44" s="1"/>
  <c r="B39" i="44"/>
  <c r="X39" i="44" s="1"/>
  <c r="A39" i="44"/>
  <c r="W39" i="44" s="1"/>
  <c r="O38" i="44"/>
  <c r="N38" i="44"/>
  <c r="M38" i="44"/>
  <c r="L38" i="44"/>
  <c r="K38" i="44"/>
  <c r="J38" i="44"/>
  <c r="I38" i="44"/>
  <c r="H38" i="44"/>
  <c r="G38" i="44"/>
  <c r="F38" i="44"/>
  <c r="AB38" i="44" s="1"/>
  <c r="E38" i="44"/>
  <c r="AA38" i="44" s="1"/>
  <c r="D38" i="44"/>
  <c r="Z38" i="44" s="1"/>
  <c r="C38" i="44"/>
  <c r="Y38" i="44" s="1"/>
  <c r="B38" i="44"/>
  <c r="X38" i="44" s="1"/>
  <c r="A38" i="44"/>
  <c r="W38" i="44" s="1"/>
  <c r="O37" i="44"/>
  <c r="N37" i="44"/>
  <c r="M37" i="44"/>
  <c r="L37" i="44"/>
  <c r="K37" i="44"/>
  <c r="J37" i="44"/>
  <c r="I37" i="44"/>
  <c r="H37" i="44"/>
  <c r="G37" i="44"/>
  <c r="F37" i="44"/>
  <c r="AB37" i="44" s="1"/>
  <c r="E37" i="44"/>
  <c r="AA37" i="44" s="1"/>
  <c r="D37" i="44"/>
  <c r="Z37" i="44" s="1"/>
  <c r="C37" i="44"/>
  <c r="Y37" i="44" s="1"/>
  <c r="B37" i="44"/>
  <c r="X37" i="44" s="1"/>
  <c r="A37" i="44"/>
  <c r="W37" i="44" s="1"/>
  <c r="O36" i="44"/>
  <c r="N36" i="44"/>
  <c r="M36" i="44"/>
  <c r="L36" i="44"/>
  <c r="K36" i="44"/>
  <c r="J36" i="44"/>
  <c r="I36" i="44"/>
  <c r="H36" i="44"/>
  <c r="G36" i="44"/>
  <c r="F36" i="44"/>
  <c r="AB36" i="44" s="1"/>
  <c r="E36" i="44"/>
  <c r="AA36" i="44" s="1"/>
  <c r="D36" i="44"/>
  <c r="Z36" i="44" s="1"/>
  <c r="C36" i="44"/>
  <c r="Y36" i="44" s="1"/>
  <c r="B36" i="44"/>
  <c r="X36" i="44" s="1"/>
  <c r="A36" i="44"/>
  <c r="W36" i="44" s="1"/>
  <c r="O35" i="44"/>
  <c r="N35" i="44"/>
  <c r="M35" i="44"/>
  <c r="L35" i="44"/>
  <c r="K35" i="44"/>
  <c r="J35" i="44"/>
  <c r="I35" i="44"/>
  <c r="H35" i="44"/>
  <c r="G35" i="44"/>
  <c r="F35" i="44"/>
  <c r="AB35" i="44" s="1"/>
  <c r="E35" i="44"/>
  <c r="AA35" i="44" s="1"/>
  <c r="D35" i="44"/>
  <c r="Z35" i="44" s="1"/>
  <c r="C35" i="44"/>
  <c r="Y35" i="44" s="1"/>
  <c r="B35" i="44"/>
  <c r="X35" i="44" s="1"/>
  <c r="A35" i="44"/>
  <c r="W35" i="44" s="1"/>
  <c r="O34" i="44"/>
  <c r="N34" i="44"/>
  <c r="M34" i="44"/>
  <c r="L34" i="44"/>
  <c r="K34" i="44"/>
  <c r="J34" i="44"/>
  <c r="I34" i="44"/>
  <c r="H34" i="44"/>
  <c r="G34" i="44"/>
  <c r="F34" i="44"/>
  <c r="AB34" i="44" s="1"/>
  <c r="E34" i="44"/>
  <c r="AA34" i="44" s="1"/>
  <c r="D34" i="44"/>
  <c r="Z34" i="44" s="1"/>
  <c r="C34" i="44"/>
  <c r="Y34" i="44" s="1"/>
  <c r="B34" i="44"/>
  <c r="X34" i="44" s="1"/>
  <c r="A34" i="44"/>
  <c r="W34" i="44" s="1"/>
  <c r="O33" i="44"/>
  <c r="N33" i="44"/>
  <c r="M33" i="44"/>
  <c r="L33" i="44"/>
  <c r="K33" i="44"/>
  <c r="J33" i="44"/>
  <c r="I33" i="44"/>
  <c r="H33" i="44"/>
  <c r="G33" i="44"/>
  <c r="F33" i="44"/>
  <c r="AB33" i="44" s="1"/>
  <c r="E33" i="44"/>
  <c r="AA33" i="44" s="1"/>
  <c r="D33" i="44"/>
  <c r="Z33" i="44" s="1"/>
  <c r="C33" i="44"/>
  <c r="Y33" i="44" s="1"/>
  <c r="B33" i="44"/>
  <c r="X33" i="44" s="1"/>
  <c r="A33" i="44"/>
  <c r="W33" i="44" s="1"/>
  <c r="O32" i="44"/>
  <c r="N32" i="44"/>
  <c r="M32" i="44"/>
  <c r="L32" i="44"/>
  <c r="K32" i="44"/>
  <c r="J32" i="44"/>
  <c r="I32" i="44"/>
  <c r="H32" i="44"/>
  <c r="G32" i="44"/>
  <c r="F32" i="44"/>
  <c r="AB32" i="44" s="1"/>
  <c r="E32" i="44"/>
  <c r="AA32" i="44" s="1"/>
  <c r="D32" i="44"/>
  <c r="Z32" i="44" s="1"/>
  <c r="C32" i="44"/>
  <c r="Y32" i="44" s="1"/>
  <c r="B32" i="44"/>
  <c r="X32" i="44" s="1"/>
  <c r="A32" i="44"/>
  <c r="W32" i="44" s="1"/>
  <c r="O31" i="44"/>
  <c r="N31" i="44"/>
  <c r="M31" i="44"/>
  <c r="L31" i="44"/>
  <c r="K31" i="44"/>
  <c r="J31" i="44"/>
  <c r="I31" i="44"/>
  <c r="H31" i="44"/>
  <c r="G31" i="44"/>
  <c r="F31" i="44"/>
  <c r="AB31" i="44" s="1"/>
  <c r="E31" i="44"/>
  <c r="AA31" i="44" s="1"/>
  <c r="D31" i="44"/>
  <c r="Z31" i="44" s="1"/>
  <c r="C31" i="44"/>
  <c r="Y31" i="44" s="1"/>
  <c r="B31" i="44"/>
  <c r="X31" i="44" s="1"/>
  <c r="A31" i="44"/>
  <c r="W31" i="44" s="1"/>
  <c r="O30" i="44"/>
  <c r="N30" i="44"/>
  <c r="M30" i="44"/>
  <c r="L30" i="44"/>
  <c r="K30" i="44"/>
  <c r="J30" i="44"/>
  <c r="I30" i="44"/>
  <c r="H30" i="44"/>
  <c r="G30" i="44"/>
  <c r="F30" i="44"/>
  <c r="AB30" i="44" s="1"/>
  <c r="E30" i="44"/>
  <c r="AA30" i="44" s="1"/>
  <c r="D30" i="44"/>
  <c r="Z30" i="44" s="1"/>
  <c r="C30" i="44"/>
  <c r="Y30" i="44" s="1"/>
  <c r="B30" i="44"/>
  <c r="X30" i="44" s="1"/>
  <c r="A30" i="44"/>
  <c r="W30" i="44" s="1"/>
  <c r="O29" i="44"/>
  <c r="N29" i="44"/>
  <c r="M29" i="44"/>
  <c r="L29" i="44"/>
  <c r="K29" i="44"/>
  <c r="J29" i="44"/>
  <c r="I29" i="44"/>
  <c r="H29" i="44"/>
  <c r="G29" i="44"/>
  <c r="F29" i="44"/>
  <c r="AB29" i="44" s="1"/>
  <c r="E29" i="44"/>
  <c r="AA29" i="44" s="1"/>
  <c r="D29" i="44"/>
  <c r="Z29" i="44" s="1"/>
  <c r="C29" i="44"/>
  <c r="Y29" i="44" s="1"/>
  <c r="B29" i="44"/>
  <c r="X29" i="44" s="1"/>
  <c r="A29" i="44"/>
  <c r="W29" i="44" s="1"/>
  <c r="O28" i="44"/>
  <c r="N28" i="44"/>
  <c r="M28" i="44"/>
  <c r="L28" i="44"/>
  <c r="K28" i="44"/>
  <c r="J28" i="44"/>
  <c r="I28" i="44"/>
  <c r="H28" i="44"/>
  <c r="G28" i="44"/>
  <c r="F28" i="44"/>
  <c r="AB28" i="44" s="1"/>
  <c r="E28" i="44"/>
  <c r="AA28" i="44" s="1"/>
  <c r="D28" i="44"/>
  <c r="Z28" i="44" s="1"/>
  <c r="C28" i="44"/>
  <c r="Y28" i="44" s="1"/>
  <c r="B28" i="44"/>
  <c r="X28" i="44" s="1"/>
  <c r="A28" i="44"/>
  <c r="W28" i="44" s="1"/>
  <c r="O27" i="44"/>
  <c r="N27" i="44"/>
  <c r="M27" i="44"/>
  <c r="L27" i="44"/>
  <c r="K27" i="44"/>
  <c r="J27" i="44"/>
  <c r="I27" i="44"/>
  <c r="H27" i="44"/>
  <c r="G27" i="44"/>
  <c r="F27" i="44"/>
  <c r="AB27" i="44" s="1"/>
  <c r="E27" i="44"/>
  <c r="AA27" i="44" s="1"/>
  <c r="D27" i="44"/>
  <c r="Z27" i="44" s="1"/>
  <c r="C27" i="44"/>
  <c r="Y27" i="44" s="1"/>
  <c r="B27" i="44"/>
  <c r="X27" i="44" s="1"/>
  <c r="A27" i="44"/>
  <c r="W27" i="44" s="1"/>
  <c r="O26" i="44"/>
  <c r="N26" i="44"/>
  <c r="M26" i="44"/>
  <c r="L26" i="44"/>
  <c r="K26" i="44"/>
  <c r="J26" i="44"/>
  <c r="I26" i="44"/>
  <c r="H26" i="44"/>
  <c r="G26" i="44"/>
  <c r="F26" i="44"/>
  <c r="AB26" i="44" s="1"/>
  <c r="E26" i="44"/>
  <c r="AA26" i="44" s="1"/>
  <c r="D26" i="44"/>
  <c r="Z26" i="44" s="1"/>
  <c r="C26" i="44"/>
  <c r="Y26" i="44" s="1"/>
  <c r="B26" i="44"/>
  <c r="X26" i="44" s="1"/>
  <c r="A26" i="44"/>
  <c r="W26" i="44" s="1"/>
  <c r="O25" i="44"/>
  <c r="N25" i="44"/>
  <c r="M25" i="44"/>
  <c r="L25" i="44"/>
  <c r="K25" i="44"/>
  <c r="J25" i="44"/>
  <c r="I25" i="44"/>
  <c r="H25" i="44"/>
  <c r="G25" i="44"/>
  <c r="F25" i="44"/>
  <c r="AB25" i="44" s="1"/>
  <c r="E25" i="44"/>
  <c r="AA25" i="44" s="1"/>
  <c r="D25" i="44"/>
  <c r="Z25" i="44" s="1"/>
  <c r="C25" i="44"/>
  <c r="Y25" i="44" s="1"/>
  <c r="B25" i="44"/>
  <c r="X25" i="44" s="1"/>
  <c r="A25" i="44"/>
  <c r="W25" i="44" s="1"/>
  <c r="O24" i="44"/>
  <c r="N24" i="44"/>
  <c r="M24" i="44"/>
  <c r="L24" i="44"/>
  <c r="K24" i="44"/>
  <c r="J24" i="44"/>
  <c r="I24" i="44"/>
  <c r="H24" i="44"/>
  <c r="G24" i="44"/>
  <c r="F24" i="44"/>
  <c r="AB24" i="44" s="1"/>
  <c r="E24" i="44"/>
  <c r="AA24" i="44" s="1"/>
  <c r="D24" i="44"/>
  <c r="Z24" i="44" s="1"/>
  <c r="C24" i="44"/>
  <c r="Y24" i="44" s="1"/>
  <c r="B24" i="44"/>
  <c r="X24" i="44" s="1"/>
  <c r="A24" i="44"/>
  <c r="W24" i="44" s="1"/>
  <c r="O23" i="44"/>
  <c r="N23" i="44"/>
  <c r="M23" i="44"/>
  <c r="L23" i="44"/>
  <c r="K23" i="44"/>
  <c r="J23" i="44"/>
  <c r="I23" i="44"/>
  <c r="H23" i="44"/>
  <c r="G23" i="44"/>
  <c r="F23" i="44"/>
  <c r="AB23" i="44" s="1"/>
  <c r="E23" i="44"/>
  <c r="AA23" i="44" s="1"/>
  <c r="D23" i="44"/>
  <c r="Z23" i="44" s="1"/>
  <c r="C23" i="44"/>
  <c r="Y23" i="44" s="1"/>
  <c r="B23" i="44"/>
  <c r="X23" i="44" s="1"/>
  <c r="A23" i="44"/>
  <c r="W23" i="44" s="1"/>
  <c r="O22" i="44"/>
  <c r="N22" i="44"/>
  <c r="M22" i="44"/>
  <c r="L22" i="44"/>
  <c r="K22" i="44"/>
  <c r="J22" i="44"/>
  <c r="I22" i="44"/>
  <c r="H22" i="44"/>
  <c r="G22" i="44"/>
  <c r="F22" i="44"/>
  <c r="AB22" i="44" s="1"/>
  <c r="E22" i="44"/>
  <c r="AA22" i="44" s="1"/>
  <c r="D22" i="44"/>
  <c r="Z22" i="44" s="1"/>
  <c r="C22" i="44"/>
  <c r="Y22" i="44" s="1"/>
  <c r="B22" i="44"/>
  <c r="X22" i="44" s="1"/>
  <c r="A22" i="44"/>
  <c r="W22" i="44" s="1"/>
  <c r="O21" i="44"/>
  <c r="N21" i="44"/>
  <c r="M21" i="44"/>
  <c r="L21" i="44"/>
  <c r="K21" i="44"/>
  <c r="J21" i="44"/>
  <c r="I21" i="44"/>
  <c r="H21" i="44"/>
  <c r="G21" i="44"/>
  <c r="F21" i="44"/>
  <c r="AB21" i="44" s="1"/>
  <c r="E21" i="44"/>
  <c r="AA21" i="44" s="1"/>
  <c r="D21" i="44"/>
  <c r="Z21" i="44" s="1"/>
  <c r="C21" i="44"/>
  <c r="Y21" i="44" s="1"/>
  <c r="B21" i="44"/>
  <c r="X21" i="44" s="1"/>
  <c r="A21" i="44"/>
  <c r="W21" i="44" s="1"/>
  <c r="O20" i="44"/>
  <c r="N20" i="44"/>
  <c r="M20" i="44"/>
  <c r="L20" i="44"/>
  <c r="K20" i="44"/>
  <c r="J20" i="44"/>
  <c r="I20" i="44"/>
  <c r="H20" i="44"/>
  <c r="G20" i="44"/>
  <c r="F20" i="44"/>
  <c r="AB20" i="44" s="1"/>
  <c r="E20" i="44"/>
  <c r="AA20" i="44" s="1"/>
  <c r="D20" i="44"/>
  <c r="Z20" i="44" s="1"/>
  <c r="C20" i="44"/>
  <c r="Y20" i="44" s="1"/>
  <c r="B20" i="44"/>
  <c r="X20" i="44" s="1"/>
  <c r="A20" i="44"/>
  <c r="W20" i="44" s="1"/>
  <c r="O19" i="44"/>
  <c r="N19" i="44"/>
  <c r="M19" i="44"/>
  <c r="L19" i="44"/>
  <c r="K19" i="44"/>
  <c r="J19" i="44"/>
  <c r="I19" i="44"/>
  <c r="H19" i="44"/>
  <c r="G19" i="44"/>
  <c r="F19" i="44"/>
  <c r="AB19" i="44" s="1"/>
  <c r="E19" i="44"/>
  <c r="AA19" i="44" s="1"/>
  <c r="D19" i="44"/>
  <c r="Z19" i="44" s="1"/>
  <c r="C19" i="44"/>
  <c r="Y19" i="44" s="1"/>
  <c r="B19" i="44"/>
  <c r="X19" i="44" s="1"/>
  <c r="A19" i="44"/>
  <c r="W19" i="44" s="1"/>
  <c r="O18" i="44"/>
  <c r="N18" i="44"/>
  <c r="M18" i="44"/>
  <c r="L18" i="44"/>
  <c r="K18" i="44"/>
  <c r="J18" i="44"/>
  <c r="I18" i="44"/>
  <c r="H18" i="44"/>
  <c r="G18" i="44"/>
  <c r="F18" i="44"/>
  <c r="AB18" i="44" s="1"/>
  <c r="E18" i="44"/>
  <c r="AA18" i="44" s="1"/>
  <c r="D18" i="44"/>
  <c r="Z18" i="44" s="1"/>
  <c r="C18" i="44"/>
  <c r="Y18" i="44" s="1"/>
  <c r="B18" i="44"/>
  <c r="X18" i="44" s="1"/>
  <c r="A18" i="44"/>
  <c r="W18" i="44" s="1"/>
  <c r="O17" i="44"/>
  <c r="N17" i="44"/>
  <c r="M17" i="44"/>
  <c r="L17" i="44"/>
  <c r="K17" i="44"/>
  <c r="J17" i="44"/>
  <c r="I17" i="44"/>
  <c r="H17" i="44"/>
  <c r="G17" i="44"/>
  <c r="F17" i="44"/>
  <c r="AB17" i="44" s="1"/>
  <c r="E17" i="44"/>
  <c r="AA17" i="44" s="1"/>
  <c r="D17" i="44"/>
  <c r="Z17" i="44" s="1"/>
  <c r="C17" i="44"/>
  <c r="Y17" i="44" s="1"/>
  <c r="B17" i="44"/>
  <c r="X17" i="44" s="1"/>
  <c r="A17" i="44"/>
  <c r="W17" i="44" s="1"/>
  <c r="O16" i="44"/>
  <c r="N16" i="44"/>
  <c r="M16" i="44"/>
  <c r="L16" i="44"/>
  <c r="K16" i="44"/>
  <c r="J16" i="44"/>
  <c r="I16" i="44"/>
  <c r="H16" i="44"/>
  <c r="G16" i="44"/>
  <c r="F16" i="44"/>
  <c r="AB16" i="44" s="1"/>
  <c r="E16" i="44"/>
  <c r="AA16" i="44" s="1"/>
  <c r="D16" i="44"/>
  <c r="Z16" i="44" s="1"/>
  <c r="C16" i="44"/>
  <c r="Y16" i="44" s="1"/>
  <c r="B16" i="44"/>
  <c r="X16" i="44" s="1"/>
  <c r="A16" i="44"/>
  <c r="W16" i="44" s="1"/>
  <c r="O15" i="44"/>
  <c r="N15" i="44"/>
  <c r="M15" i="44"/>
  <c r="L15" i="44"/>
  <c r="K15" i="44"/>
  <c r="J15" i="44"/>
  <c r="I15" i="44"/>
  <c r="H15" i="44"/>
  <c r="G15" i="44"/>
  <c r="F15" i="44"/>
  <c r="AB15" i="44" s="1"/>
  <c r="E15" i="44"/>
  <c r="AA15" i="44" s="1"/>
  <c r="D15" i="44"/>
  <c r="Z15" i="44" s="1"/>
  <c r="C15" i="44"/>
  <c r="Y15" i="44" s="1"/>
  <c r="B15" i="44"/>
  <c r="X15" i="44" s="1"/>
  <c r="A15" i="44"/>
  <c r="W15" i="44" s="1"/>
  <c r="O14" i="44"/>
  <c r="N14" i="44"/>
  <c r="M14" i="44"/>
  <c r="L14" i="44"/>
  <c r="K14" i="44"/>
  <c r="J14" i="44"/>
  <c r="I14" i="44"/>
  <c r="H14" i="44"/>
  <c r="G14" i="44"/>
  <c r="F14" i="44"/>
  <c r="AB14" i="44" s="1"/>
  <c r="E14" i="44"/>
  <c r="AA14" i="44" s="1"/>
  <c r="D14" i="44"/>
  <c r="Z14" i="44" s="1"/>
  <c r="C14" i="44"/>
  <c r="Y14" i="44" s="1"/>
  <c r="B14" i="44"/>
  <c r="X14" i="44" s="1"/>
  <c r="A14" i="44"/>
  <c r="W14" i="44" s="1"/>
  <c r="O13" i="44"/>
  <c r="N13" i="44"/>
  <c r="M13" i="44"/>
  <c r="L13" i="44"/>
  <c r="K13" i="44"/>
  <c r="J13" i="44"/>
  <c r="I13" i="44"/>
  <c r="H13" i="44"/>
  <c r="G13" i="44"/>
  <c r="F13" i="44"/>
  <c r="AB13" i="44" s="1"/>
  <c r="E13" i="44"/>
  <c r="AA13" i="44" s="1"/>
  <c r="D13" i="44"/>
  <c r="Z13" i="44" s="1"/>
  <c r="C13" i="44"/>
  <c r="Y13" i="44" s="1"/>
  <c r="B13" i="44"/>
  <c r="X13" i="44" s="1"/>
  <c r="A13" i="44"/>
  <c r="W13" i="44" s="1"/>
  <c r="O12" i="44"/>
  <c r="N12" i="44"/>
  <c r="M12" i="44"/>
  <c r="L12" i="44"/>
  <c r="K12" i="44"/>
  <c r="J12" i="44"/>
  <c r="I12" i="44"/>
  <c r="H12" i="44"/>
  <c r="G12" i="44"/>
  <c r="F12" i="44"/>
  <c r="AB12" i="44" s="1"/>
  <c r="E12" i="44"/>
  <c r="AA12" i="44" s="1"/>
  <c r="D12" i="44"/>
  <c r="Z12" i="44" s="1"/>
  <c r="C12" i="44"/>
  <c r="Y12" i="44" s="1"/>
  <c r="B12" i="44"/>
  <c r="X12" i="44" s="1"/>
  <c r="A12" i="44"/>
  <c r="W12" i="44" s="1"/>
  <c r="O11" i="44"/>
  <c r="N11" i="44"/>
  <c r="M11" i="44"/>
  <c r="L11" i="44"/>
  <c r="K11" i="44"/>
  <c r="J11" i="44"/>
  <c r="I11" i="44"/>
  <c r="H11" i="44"/>
  <c r="G11" i="44"/>
  <c r="F11" i="44"/>
  <c r="AB11" i="44" s="1"/>
  <c r="E11" i="44"/>
  <c r="AA11" i="44" s="1"/>
  <c r="D11" i="44"/>
  <c r="Z11" i="44" s="1"/>
  <c r="C11" i="44"/>
  <c r="Y11" i="44" s="1"/>
  <c r="B11" i="44"/>
  <c r="X11" i="44" s="1"/>
  <c r="A11" i="44"/>
  <c r="W11" i="44" s="1"/>
  <c r="O10" i="44"/>
  <c r="N10" i="44"/>
  <c r="M10" i="44"/>
  <c r="L10" i="44"/>
  <c r="K10" i="44"/>
  <c r="J10" i="44"/>
  <c r="I10" i="44"/>
  <c r="H10" i="44"/>
  <c r="G10" i="44"/>
  <c r="F10" i="44"/>
  <c r="AB10" i="44" s="1"/>
  <c r="E10" i="44"/>
  <c r="AA10" i="44" s="1"/>
  <c r="D10" i="44"/>
  <c r="Z10" i="44" s="1"/>
  <c r="C10" i="44"/>
  <c r="Y10" i="44" s="1"/>
  <c r="B10" i="44"/>
  <c r="X10" i="44" s="1"/>
  <c r="A10" i="44"/>
  <c r="W10" i="44" s="1"/>
  <c r="O9" i="44"/>
  <c r="N9" i="44"/>
  <c r="M9" i="44"/>
  <c r="L9" i="44"/>
  <c r="K9" i="44"/>
  <c r="J9" i="44"/>
  <c r="I9" i="44"/>
  <c r="H9" i="44"/>
  <c r="G9" i="44"/>
  <c r="F9" i="44"/>
  <c r="AB9" i="44" s="1"/>
  <c r="E9" i="44"/>
  <c r="AA9" i="44" s="1"/>
  <c r="D9" i="44"/>
  <c r="Z9" i="44" s="1"/>
  <c r="C9" i="44"/>
  <c r="Y9" i="44" s="1"/>
  <c r="B9" i="44"/>
  <c r="X9" i="44" s="1"/>
  <c r="A9" i="44"/>
  <c r="W9" i="44" s="1"/>
  <c r="O8" i="44"/>
  <c r="N8" i="44"/>
  <c r="M8" i="44"/>
  <c r="L8" i="44"/>
  <c r="K8" i="44"/>
  <c r="J8" i="44"/>
  <c r="I8" i="44"/>
  <c r="H8" i="44"/>
  <c r="G8" i="44"/>
  <c r="F8" i="44"/>
  <c r="AB8" i="44" s="1"/>
  <c r="E8" i="44"/>
  <c r="AA8" i="44" s="1"/>
  <c r="D8" i="44"/>
  <c r="Z8" i="44" s="1"/>
  <c r="C8" i="44"/>
  <c r="Y8" i="44" s="1"/>
  <c r="B8" i="44"/>
  <c r="X8" i="44" s="1"/>
  <c r="A8" i="44"/>
  <c r="W8" i="44" s="1"/>
  <c r="AB7" i="44"/>
  <c r="O7" i="44"/>
  <c r="N7" i="44"/>
  <c r="M7" i="44"/>
  <c r="L7" i="44"/>
  <c r="K7" i="44"/>
  <c r="J7" i="44"/>
  <c r="I7" i="44"/>
  <c r="H7" i="44"/>
  <c r="G7" i="44"/>
  <c r="F7" i="44"/>
  <c r="E7" i="44"/>
  <c r="AA7" i="44" s="1"/>
  <c r="D7" i="44"/>
  <c r="Z7" i="44" s="1"/>
  <c r="C7" i="44"/>
  <c r="Y7" i="44" s="1"/>
  <c r="B7" i="44"/>
  <c r="X7" i="44" s="1"/>
  <c r="A7" i="44"/>
  <c r="W7" i="44" s="1"/>
  <c r="O6" i="44"/>
  <c r="N6" i="44"/>
  <c r="M6" i="44"/>
  <c r="L6" i="44"/>
  <c r="K6" i="44"/>
  <c r="J6" i="44"/>
  <c r="I6" i="44"/>
  <c r="H6" i="44"/>
  <c r="G6" i="44"/>
  <c r="F6" i="44"/>
  <c r="AB6" i="44" s="1"/>
  <c r="E6" i="44"/>
  <c r="AA6" i="44" s="1"/>
  <c r="D6" i="44"/>
  <c r="Z6" i="44" s="1"/>
  <c r="C6" i="44"/>
  <c r="Y6" i="44" s="1"/>
  <c r="B6" i="44"/>
  <c r="X6" i="44" s="1"/>
  <c r="A6" i="44"/>
  <c r="W6" i="44" s="1"/>
  <c r="O5" i="44"/>
  <c r="N5" i="44"/>
  <c r="M5" i="44"/>
  <c r="L5" i="44"/>
  <c r="K5" i="44"/>
  <c r="J5" i="44"/>
  <c r="I5" i="44"/>
  <c r="H5" i="44"/>
  <c r="G5" i="44"/>
  <c r="F5" i="44"/>
  <c r="AB5" i="44" s="1"/>
  <c r="E5" i="44"/>
  <c r="AA5" i="44" s="1"/>
  <c r="D5" i="44"/>
  <c r="Z5" i="44" s="1"/>
  <c r="C5" i="44"/>
  <c r="Y5" i="44" s="1"/>
  <c r="B5" i="44"/>
  <c r="X5" i="44" s="1"/>
  <c r="A5" i="44"/>
  <c r="W5" i="44" s="1"/>
  <c r="O4" i="44"/>
  <c r="N4" i="44"/>
  <c r="M4" i="44"/>
  <c r="L4" i="44"/>
  <c r="K4" i="44"/>
  <c r="J4" i="44"/>
  <c r="I4" i="44"/>
  <c r="H4" i="44"/>
  <c r="G4" i="44"/>
  <c r="F4" i="44"/>
  <c r="AB4" i="44" s="1"/>
  <c r="E4" i="44"/>
  <c r="AA4" i="44" s="1"/>
  <c r="D4" i="44"/>
  <c r="Z4" i="44" s="1"/>
  <c r="C4" i="44"/>
  <c r="Y4" i="44" s="1"/>
  <c r="B4" i="44"/>
  <c r="X4" i="44" s="1"/>
  <c r="A4" i="44"/>
  <c r="W4" i="44" s="1"/>
  <c r="O3" i="44"/>
  <c r="N3" i="44"/>
  <c r="M3" i="44"/>
  <c r="L3" i="44"/>
  <c r="K3" i="44"/>
  <c r="J3" i="44"/>
  <c r="I3" i="44"/>
  <c r="H3" i="44"/>
  <c r="G3" i="44"/>
  <c r="F3" i="44"/>
  <c r="AB3" i="44" s="1"/>
  <c r="E3" i="44"/>
  <c r="AA3" i="44" s="1"/>
  <c r="D3" i="44"/>
  <c r="Z3" i="44" s="1"/>
  <c r="C3" i="44"/>
  <c r="Y3" i="44" s="1"/>
  <c r="B3" i="44"/>
  <c r="X3" i="44" s="1"/>
  <c r="A3" i="44"/>
  <c r="W3" i="44" s="1"/>
  <c r="AD9" i="44" l="1"/>
  <c r="AC51" i="44"/>
  <c r="AD39" i="44"/>
  <c r="AD25" i="44"/>
  <c r="AD36" i="44"/>
  <c r="AD33" i="44"/>
  <c r="AD17" i="44"/>
  <c r="AC45" i="44"/>
  <c r="AD45" i="44"/>
  <c r="AD48" i="44"/>
  <c r="AD7" i="44"/>
  <c r="AD14" i="44"/>
  <c r="AD22" i="44"/>
  <c r="AD30" i="44"/>
  <c r="AE38" i="44"/>
  <c r="AE44" i="44"/>
  <c r="AE50" i="44"/>
  <c r="AC9" i="44"/>
  <c r="AC17" i="44"/>
  <c r="AC25" i="44"/>
  <c r="AC33" i="44"/>
  <c r="AC39" i="44"/>
  <c r="AD16" i="44"/>
  <c r="AD24" i="44"/>
  <c r="AD32" i="44"/>
  <c r="AC11" i="44"/>
  <c r="AE13" i="44"/>
  <c r="AC19" i="44"/>
  <c r="AC27" i="44"/>
  <c r="AC35" i="44"/>
  <c r="AC41" i="44"/>
  <c r="AC47" i="44"/>
  <c r="AD11" i="44"/>
  <c r="AD19" i="44"/>
  <c r="AD27" i="44"/>
  <c r="AD35" i="44"/>
  <c r="AD38" i="44"/>
  <c r="AD41" i="44"/>
  <c r="AD44" i="44"/>
  <c r="AD47" i="44"/>
  <c r="AD50" i="44"/>
  <c r="AC6" i="44"/>
  <c r="AD12" i="44"/>
  <c r="AD20" i="44"/>
  <c r="AD28" i="44"/>
  <c r="AD51" i="44"/>
  <c r="AE11" i="44"/>
  <c r="AI4" i="44" a="1"/>
  <c r="AI4" i="44" s="1"/>
  <c r="AC15" i="44"/>
  <c r="AC23" i="44"/>
  <c r="AC31" i="44"/>
  <c r="AE36" i="44"/>
  <c r="AE42" i="44"/>
  <c r="AE48" i="44"/>
  <c r="AE51" i="44"/>
  <c r="AE5" i="44"/>
  <c r="AC7" i="44"/>
  <c r="AE3" i="44"/>
  <c r="AD15" i="44"/>
  <c r="AD23" i="44"/>
  <c r="AD31" i="44"/>
  <c r="AD3" i="44"/>
  <c r="AD4" i="44"/>
  <c r="AE7" i="44"/>
  <c r="AE6" i="44"/>
  <c r="AC4" i="44"/>
  <c r="AD10" i="44"/>
  <c r="AD18" i="44"/>
  <c r="AD26" i="44"/>
  <c r="AD34" i="44"/>
  <c r="AC37" i="44"/>
  <c r="AC43" i="44"/>
  <c r="AC49" i="44"/>
  <c r="AD52" i="44"/>
  <c r="AD6" i="44"/>
  <c r="AC5" i="44"/>
  <c r="AC13" i="44"/>
  <c r="AC21" i="44"/>
  <c r="AC29" i="44"/>
  <c r="AD37" i="44"/>
  <c r="AD40" i="44"/>
  <c r="AD43" i="44"/>
  <c r="AD46" i="44"/>
  <c r="AD49" i="44"/>
  <c r="AE52" i="44"/>
  <c r="AE4" i="44"/>
  <c r="AD5" i="44"/>
  <c r="AD13" i="44"/>
  <c r="AD21" i="44"/>
  <c r="AD29" i="44"/>
  <c r="AE40" i="44"/>
  <c r="AE46" i="44"/>
  <c r="AJ4" i="44" a="1"/>
  <c r="AJ4" i="44" s="1"/>
  <c r="AK4" i="44" a="1"/>
  <c r="AK4" i="44" s="1"/>
  <c r="AE15" i="44"/>
  <c r="AE19" i="44"/>
  <c r="AE25" i="44"/>
  <c r="AE27" i="44"/>
  <c r="AE29" i="44"/>
  <c r="AE31" i="44"/>
  <c r="AE33" i="44"/>
  <c r="AE35" i="44"/>
  <c r="AE37" i="44"/>
  <c r="AE39" i="44"/>
  <c r="AE41" i="44"/>
  <c r="AE43" i="44"/>
  <c r="AE45" i="44"/>
  <c r="AE47" i="44"/>
  <c r="AE49" i="44"/>
  <c r="AH4" i="44" a="1"/>
  <c r="AH4" i="44" s="1"/>
  <c r="AC8" i="44"/>
  <c r="AG4" i="44" a="1"/>
  <c r="AG4" i="44" s="1"/>
  <c r="AE8" i="44"/>
  <c r="AF4" i="44" a="1"/>
  <c r="AF4" i="44" s="1"/>
  <c r="AC16" i="44"/>
  <c r="AC18" i="44"/>
  <c r="AC20" i="44"/>
  <c r="AC22" i="44"/>
  <c r="AC24" i="44"/>
  <c r="AC26" i="44"/>
  <c r="AC32" i="44"/>
  <c r="AC34" i="44"/>
  <c r="AC36" i="44"/>
  <c r="AC38" i="44"/>
  <c r="AC40" i="44"/>
  <c r="AC42" i="44"/>
  <c r="AC44" i="44"/>
  <c r="AC46" i="44"/>
  <c r="AC48" i="44"/>
  <c r="AC50" i="44"/>
  <c r="AC52" i="44"/>
  <c r="AE9" i="44"/>
  <c r="AE17" i="44"/>
  <c r="AE21" i="44"/>
  <c r="AE23" i="44"/>
  <c r="AD8" i="44"/>
  <c r="AC10" i="44"/>
  <c r="AC12" i="44"/>
  <c r="AC14" i="44"/>
  <c r="AC28" i="44"/>
  <c r="AC30" i="44"/>
  <c r="AC3" i="44"/>
  <c r="AE10" i="44"/>
  <c r="AE12" i="44"/>
  <c r="AE14" i="44"/>
  <c r="AE16" i="44"/>
  <c r="AE18" i="44"/>
  <c r="AE20" i="44"/>
  <c r="AE22" i="44"/>
  <c r="AE24" i="44"/>
  <c r="AE26" i="44"/>
  <c r="AE28" i="44"/>
  <c r="AE30" i="44"/>
  <c r="AE32" i="44"/>
  <c r="AE34" i="44"/>
  <c r="O52" i="41"/>
  <c r="N52" i="41"/>
  <c r="M52" i="41"/>
  <c r="L52" i="41"/>
  <c r="K52" i="41"/>
  <c r="J52" i="41"/>
  <c r="I52" i="41"/>
  <c r="H52" i="41"/>
  <c r="G52" i="41"/>
  <c r="F52" i="41"/>
  <c r="AB52" i="41" s="1"/>
  <c r="E52" i="41"/>
  <c r="AA52" i="41" s="1"/>
  <c r="D52" i="41"/>
  <c r="Z52" i="41" s="1"/>
  <c r="C52" i="41"/>
  <c r="Y52" i="41" s="1"/>
  <c r="B52" i="41"/>
  <c r="X52" i="41" s="1"/>
  <c r="A52" i="41"/>
  <c r="W52" i="41" s="1"/>
  <c r="O51" i="41"/>
  <c r="N51" i="41"/>
  <c r="M51" i="41"/>
  <c r="L51" i="41"/>
  <c r="K51" i="41"/>
  <c r="J51" i="41"/>
  <c r="I51" i="41"/>
  <c r="H51" i="41"/>
  <c r="G51" i="41"/>
  <c r="F51" i="41"/>
  <c r="AB51" i="41" s="1"/>
  <c r="E51" i="41"/>
  <c r="AA51" i="41" s="1"/>
  <c r="D51" i="41"/>
  <c r="Z51" i="41" s="1"/>
  <c r="C51" i="41"/>
  <c r="Y51" i="41" s="1"/>
  <c r="B51" i="41"/>
  <c r="X51" i="41" s="1"/>
  <c r="A51" i="41"/>
  <c r="W51" i="41" s="1"/>
  <c r="O50" i="41"/>
  <c r="N50" i="41"/>
  <c r="M50" i="41"/>
  <c r="L50" i="41"/>
  <c r="K50" i="41"/>
  <c r="J50" i="41"/>
  <c r="I50" i="41"/>
  <c r="H50" i="41"/>
  <c r="G50" i="41"/>
  <c r="F50" i="41"/>
  <c r="AB50" i="41" s="1"/>
  <c r="E50" i="41"/>
  <c r="AA50" i="41" s="1"/>
  <c r="D50" i="41"/>
  <c r="Z50" i="41" s="1"/>
  <c r="C50" i="41"/>
  <c r="Y50" i="41" s="1"/>
  <c r="B50" i="41"/>
  <c r="X50" i="41" s="1"/>
  <c r="A50" i="41"/>
  <c r="W50" i="41" s="1"/>
  <c r="O49" i="41"/>
  <c r="N49" i="41"/>
  <c r="M49" i="41"/>
  <c r="L49" i="41"/>
  <c r="K49" i="41"/>
  <c r="J49" i="41"/>
  <c r="I49" i="41"/>
  <c r="H49" i="41"/>
  <c r="G49" i="41"/>
  <c r="F49" i="41"/>
  <c r="AB49" i="41" s="1"/>
  <c r="E49" i="41"/>
  <c r="AA49" i="41" s="1"/>
  <c r="D49" i="41"/>
  <c r="Z49" i="41" s="1"/>
  <c r="C49" i="41"/>
  <c r="Y49" i="41" s="1"/>
  <c r="B49" i="41"/>
  <c r="X49" i="41" s="1"/>
  <c r="A49" i="41"/>
  <c r="W49" i="41" s="1"/>
  <c r="O48" i="41"/>
  <c r="N48" i="41"/>
  <c r="M48" i="41"/>
  <c r="L48" i="41"/>
  <c r="K48" i="41"/>
  <c r="J48" i="41"/>
  <c r="I48" i="41"/>
  <c r="H48" i="41"/>
  <c r="G48" i="41"/>
  <c r="F48" i="41"/>
  <c r="AB48" i="41" s="1"/>
  <c r="E48" i="41"/>
  <c r="AA48" i="41" s="1"/>
  <c r="D48" i="41"/>
  <c r="Z48" i="41" s="1"/>
  <c r="C48" i="41"/>
  <c r="Y48" i="41" s="1"/>
  <c r="B48" i="41"/>
  <c r="X48" i="41" s="1"/>
  <c r="A48" i="41"/>
  <c r="W48" i="41" s="1"/>
  <c r="O47" i="41"/>
  <c r="N47" i="41"/>
  <c r="M47" i="41"/>
  <c r="L47" i="41"/>
  <c r="K47" i="41"/>
  <c r="J47" i="41"/>
  <c r="I47" i="41"/>
  <c r="H47" i="41"/>
  <c r="G47" i="41"/>
  <c r="F47" i="41"/>
  <c r="AB47" i="41" s="1"/>
  <c r="E47" i="41"/>
  <c r="AA47" i="41" s="1"/>
  <c r="D47" i="41"/>
  <c r="Z47" i="41" s="1"/>
  <c r="C47" i="41"/>
  <c r="Y47" i="41" s="1"/>
  <c r="B47" i="41"/>
  <c r="X47" i="41" s="1"/>
  <c r="A47" i="41"/>
  <c r="W47" i="41" s="1"/>
  <c r="O46" i="41"/>
  <c r="N46" i="41"/>
  <c r="M46" i="41"/>
  <c r="L46" i="41"/>
  <c r="K46" i="41"/>
  <c r="J46" i="41"/>
  <c r="I46" i="41"/>
  <c r="H46" i="41"/>
  <c r="G46" i="41"/>
  <c r="F46" i="41"/>
  <c r="AB46" i="41" s="1"/>
  <c r="E46" i="41"/>
  <c r="AA46" i="41" s="1"/>
  <c r="D46" i="41"/>
  <c r="Z46" i="41" s="1"/>
  <c r="C46" i="41"/>
  <c r="Y46" i="41" s="1"/>
  <c r="B46" i="41"/>
  <c r="X46" i="41" s="1"/>
  <c r="A46" i="41"/>
  <c r="W46" i="41" s="1"/>
  <c r="O45" i="41"/>
  <c r="N45" i="41"/>
  <c r="M45" i="41"/>
  <c r="L45" i="41"/>
  <c r="K45" i="41"/>
  <c r="J45" i="41"/>
  <c r="I45" i="41"/>
  <c r="H45" i="41"/>
  <c r="G45" i="41"/>
  <c r="F45" i="41"/>
  <c r="AB45" i="41" s="1"/>
  <c r="E45" i="41"/>
  <c r="AA45" i="41" s="1"/>
  <c r="D45" i="41"/>
  <c r="Z45" i="41" s="1"/>
  <c r="C45" i="41"/>
  <c r="Y45" i="41" s="1"/>
  <c r="B45" i="41"/>
  <c r="X45" i="41" s="1"/>
  <c r="A45" i="41"/>
  <c r="W45" i="41" s="1"/>
  <c r="O44" i="41"/>
  <c r="N44" i="41"/>
  <c r="M44" i="41"/>
  <c r="L44" i="41"/>
  <c r="K44" i="41"/>
  <c r="J44" i="41"/>
  <c r="I44" i="41"/>
  <c r="H44" i="41"/>
  <c r="G44" i="41"/>
  <c r="F44" i="41"/>
  <c r="AB44" i="41" s="1"/>
  <c r="E44" i="41"/>
  <c r="AA44" i="41" s="1"/>
  <c r="D44" i="41"/>
  <c r="Z44" i="41" s="1"/>
  <c r="C44" i="41"/>
  <c r="Y44" i="41" s="1"/>
  <c r="B44" i="41"/>
  <c r="X44" i="41" s="1"/>
  <c r="A44" i="41"/>
  <c r="W44" i="41" s="1"/>
  <c r="O43" i="41"/>
  <c r="N43" i="41"/>
  <c r="M43" i="41"/>
  <c r="L43" i="41"/>
  <c r="K43" i="41"/>
  <c r="J43" i="41"/>
  <c r="I43" i="41"/>
  <c r="H43" i="41"/>
  <c r="G43" i="41"/>
  <c r="F43" i="41"/>
  <c r="AB43" i="41" s="1"/>
  <c r="E43" i="41"/>
  <c r="AA43" i="41" s="1"/>
  <c r="D43" i="41"/>
  <c r="Z43" i="41" s="1"/>
  <c r="C43" i="41"/>
  <c r="Y43" i="41" s="1"/>
  <c r="B43" i="41"/>
  <c r="X43" i="41" s="1"/>
  <c r="A43" i="41"/>
  <c r="W43" i="41" s="1"/>
  <c r="O42" i="41"/>
  <c r="N42" i="41"/>
  <c r="M42" i="41"/>
  <c r="L42" i="41"/>
  <c r="K42" i="41"/>
  <c r="J42" i="41"/>
  <c r="I42" i="41"/>
  <c r="H42" i="41"/>
  <c r="G42" i="41"/>
  <c r="F42" i="41"/>
  <c r="AB42" i="41" s="1"/>
  <c r="E42" i="41"/>
  <c r="AA42" i="41" s="1"/>
  <c r="D42" i="41"/>
  <c r="Z42" i="41" s="1"/>
  <c r="C42" i="41"/>
  <c r="Y42" i="41" s="1"/>
  <c r="B42" i="41"/>
  <c r="X42" i="41" s="1"/>
  <c r="A42" i="41"/>
  <c r="W42" i="41" s="1"/>
  <c r="O41" i="41"/>
  <c r="N41" i="41"/>
  <c r="M41" i="41"/>
  <c r="L41" i="41"/>
  <c r="K41" i="41"/>
  <c r="J41" i="41"/>
  <c r="I41" i="41"/>
  <c r="H41" i="41"/>
  <c r="G41" i="41"/>
  <c r="F41" i="41"/>
  <c r="AB41" i="41" s="1"/>
  <c r="E41" i="41"/>
  <c r="AA41" i="41" s="1"/>
  <c r="D41" i="41"/>
  <c r="Z41" i="41" s="1"/>
  <c r="C41" i="41"/>
  <c r="Y41" i="41" s="1"/>
  <c r="B41" i="41"/>
  <c r="X41" i="41" s="1"/>
  <c r="A41" i="41"/>
  <c r="W41" i="41" s="1"/>
  <c r="O40" i="41"/>
  <c r="N40" i="41"/>
  <c r="M40" i="41"/>
  <c r="L40" i="41"/>
  <c r="K40" i="41"/>
  <c r="J40" i="41"/>
  <c r="I40" i="41"/>
  <c r="H40" i="41"/>
  <c r="G40" i="41"/>
  <c r="F40" i="41"/>
  <c r="AB40" i="41" s="1"/>
  <c r="E40" i="41"/>
  <c r="AA40" i="41" s="1"/>
  <c r="D40" i="41"/>
  <c r="Z40" i="41" s="1"/>
  <c r="C40" i="41"/>
  <c r="Y40" i="41" s="1"/>
  <c r="B40" i="41"/>
  <c r="X40" i="41" s="1"/>
  <c r="A40" i="41"/>
  <c r="W40" i="41" s="1"/>
  <c r="O39" i="41"/>
  <c r="N39" i="41"/>
  <c r="M39" i="41"/>
  <c r="L39" i="41"/>
  <c r="K39" i="41"/>
  <c r="J39" i="41"/>
  <c r="I39" i="41"/>
  <c r="H39" i="41"/>
  <c r="G39" i="41"/>
  <c r="F39" i="41"/>
  <c r="AB39" i="41" s="1"/>
  <c r="E39" i="41"/>
  <c r="AA39" i="41" s="1"/>
  <c r="D39" i="41"/>
  <c r="Z39" i="41" s="1"/>
  <c r="C39" i="41"/>
  <c r="Y39" i="41" s="1"/>
  <c r="B39" i="41"/>
  <c r="X39" i="41" s="1"/>
  <c r="A39" i="41"/>
  <c r="W39" i="41" s="1"/>
  <c r="O38" i="41"/>
  <c r="N38" i="41"/>
  <c r="M38" i="41"/>
  <c r="L38" i="41"/>
  <c r="K38" i="41"/>
  <c r="J38" i="41"/>
  <c r="I38" i="41"/>
  <c r="H38" i="41"/>
  <c r="G38" i="41"/>
  <c r="F38" i="41"/>
  <c r="AB38" i="41" s="1"/>
  <c r="E38" i="41"/>
  <c r="AA38" i="41" s="1"/>
  <c r="D38" i="41"/>
  <c r="Z38" i="41" s="1"/>
  <c r="C38" i="41"/>
  <c r="Y38" i="41" s="1"/>
  <c r="B38" i="41"/>
  <c r="X38" i="41" s="1"/>
  <c r="A38" i="41"/>
  <c r="W38" i="41" s="1"/>
  <c r="O37" i="41"/>
  <c r="N37" i="41"/>
  <c r="M37" i="41"/>
  <c r="L37" i="41"/>
  <c r="K37" i="41"/>
  <c r="J37" i="41"/>
  <c r="I37" i="41"/>
  <c r="H37" i="41"/>
  <c r="G37" i="41"/>
  <c r="F37" i="41"/>
  <c r="AB37" i="41" s="1"/>
  <c r="E37" i="41"/>
  <c r="AA37" i="41" s="1"/>
  <c r="D37" i="41"/>
  <c r="Z37" i="41" s="1"/>
  <c r="C37" i="41"/>
  <c r="Y37" i="41" s="1"/>
  <c r="B37" i="41"/>
  <c r="X37" i="41" s="1"/>
  <c r="A37" i="41"/>
  <c r="W37" i="41" s="1"/>
  <c r="O36" i="41"/>
  <c r="N36" i="41"/>
  <c r="M36" i="41"/>
  <c r="L36" i="41"/>
  <c r="K36" i="41"/>
  <c r="J36" i="41"/>
  <c r="I36" i="41"/>
  <c r="H36" i="41"/>
  <c r="G36" i="41"/>
  <c r="F36" i="41"/>
  <c r="AB36" i="41" s="1"/>
  <c r="E36" i="41"/>
  <c r="AA36" i="41" s="1"/>
  <c r="D36" i="41"/>
  <c r="Z36" i="41" s="1"/>
  <c r="C36" i="41"/>
  <c r="Y36" i="41" s="1"/>
  <c r="B36" i="41"/>
  <c r="X36" i="41" s="1"/>
  <c r="A36" i="41"/>
  <c r="W36" i="41" s="1"/>
  <c r="O35" i="41"/>
  <c r="N35" i="41"/>
  <c r="M35" i="41"/>
  <c r="L35" i="41"/>
  <c r="K35" i="41"/>
  <c r="J35" i="41"/>
  <c r="I35" i="41"/>
  <c r="H35" i="41"/>
  <c r="G35" i="41"/>
  <c r="F35" i="41"/>
  <c r="AB35" i="41" s="1"/>
  <c r="E35" i="41"/>
  <c r="AA35" i="41" s="1"/>
  <c r="D35" i="41"/>
  <c r="Z35" i="41" s="1"/>
  <c r="C35" i="41"/>
  <c r="Y35" i="41" s="1"/>
  <c r="B35" i="41"/>
  <c r="X35" i="41" s="1"/>
  <c r="A35" i="41"/>
  <c r="W35" i="41" s="1"/>
  <c r="O34" i="41"/>
  <c r="N34" i="41"/>
  <c r="M34" i="41"/>
  <c r="L34" i="41"/>
  <c r="K34" i="41"/>
  <c r="J34" i="41"/>
  <c r="I34" i="41"/>
  <c r="H34" i="41"/>
  <c r="G34" i="41"/>
  <c r="F34" i="41"/>
  <c r="AB34" i="41" s="1"/>
  <c r="E34" i="41"/>
  <c r="AA34" i="41" s="1"/>
  <c r="D34" i="41"/>
  <c r="Z34" i="41" s="1"/>
  <c r="C34" i="41"/>
  <c r="Y34" i="41" s="1"/>
  <c r="B34" i="41"/>
  <c r="X34" i="41" s="1"/>
  <c r="A34" i="41"/>
  <c r="W34" i="41" s="1"/>
  <c r="O33" i="41"/>
  <c r="N33" i="41"/>
  <c r="M33" i="41"/>
  <c r="L33" i="41"/>
  <c r="K33" i="41"/>
  <c r="J33" i="41"/>
  <c r="I33" i="41"/>
  <c r="H33" i="41"/>
  <c r="G33" i="41"/>
  <c r="F33" i="41"/>
  <c r="AB33" i="41" s="1"/>
  <c r="E33" i="41"/>
  <c r="AA33" i="41" s="1"/>
  <c r="D33" i="41"/>
  <c r="Z33" i="41" s="1"/>
  <c r="C33" i="41"/>
  <c r="Y33" i="41" s="1"/>
  <c r="B33" i="41"/>
  <c r="X33" i="41" s="1"/>
  <c r="A33" i="41"/>
  <c r="W33" i="41" s="1"/>
  <c r="O32" i="41"/>
  <c r="N32" i="41"/>
  <c r="M32" i="41"/>
  <c r="L32" i="41"/>
  <c r="K32" i="41"/>
  <c r="J32" i="41"/>
  <c r="I32" i="41"/>
  <c r="H32" i="41"/>
  <c r="G32" i="41"/>
  <c r="F32" i="41"/>
  <c r="AB32" i="41" s="1"/>
  <c r="E32" i="41"/>
  <c r="AA32" i="41" s="1"/>
  <c r="D32" i="41"/>
  <c r="Z32" i="41" s="1"/>
  <c r="C32" i="41"/>
  <c r="Y32" i="41" s="1"/>
  <c r="B32" i="41"/>
  <c r="X32" i="41" s="1"/>
  <c r="A32" i="41"/>
  <c r="W32" i="41" s="1"/>
  <c r="O31" i="41"/>
  <c r="N31" i="41"/>
  <c r="M31" i="41"/>
  <c r="L31" i="41"/>
  <c r="K31" i="41"/>
  <c r="J31" i="41"/>
  <c r="I31" i="41"/>
  <c r="H31" i="41"/>
  <c r="G31" i="41"/>
  <c r="F31" i="41"/>
  <c r="AB31" i="41" s="1"/>
  <c r="E31" i="41"/>
  <c r="AA31" i="41" s="1"/>
  <c r="D31" i="41"/>
  <c r="Z31" i="41" s="1"/>
  <c r="C31" i="41"/>
  <c r="Y31" i="41" s="1"/>
  <c r="B31" i="41"/>
  <c r="X31" i="41" s="1"/>
  <c r="A31" i="41"/>
  <c r="W31" i="41" s="1"/>
  <c r="O30" i="41"/>
  <c r="N30" i="41"/>
  <c r="M30" i="41"/>
  <c r="L30" i="41"/>
  <c r="K30" i="41"/>
  <c r="J30" i="41"/>
  <c r="I30" i="41"/>
  <c r="H30" i="41"/>
  <c r="G30" i="41"/>
  <c r="F30" i="41"/>
  <c r="AB30" i="41" s="1"/>
  <c r="E30" i="41"/>
  <c r="AA30" i="41" s="1"/>
  <c r="D30" i="41"/>
  <c r="Z30" i="41" s="1"/>
  <c r="C30" i="41"/>
  <c r="Y30" i="41" s="1"/>
  <c r="B30" i="41"/>
  <c r="X30" i="41" s="1"/>
  <c r="A30" i="41"/>
  <c r="W30" i="41" s="1"/>
  <c r="O29" i="41"/>
  <c r="N29" i="41"/>
  <c r="M29" i="41"/>
  <c r="L29" i="41"/>
  <c r="K29" i="41"/>
  <c r="J29" i="41"/>
  <c r="I29" i="41"/>
  <c r="H29" i="41"/>
  <c r="G29" i="41"/>
  <c r="F29" i="41"/>
  <c r="AB29" i="41" s="1"/>
  <c r="E29" i="41"/>
  <c r="AA29" i="41" s="1"/>
  <c r="D29" i="41"/>
  <c r="Z29" i="41" s="1"/>
  <c r="C29" i="41"/>
  <c r="Y29" i="41" s="1"/>
  <c r="B29" i="41"/>
  <c r="X29" i="41" s="1"/>
  <c r="A29" i="41"/>
  <c r="W29" i="41" s="1"/>
  <c r="O28" i="41"/>
  <c r="N28" i="41"/>
  <c r="M28" i="41"/>
  <c r="L28" i="41"/>
  <c r="K28" i="41"/>
  <c r="J28" i="41"/>
  <c r="I28" i="41"/>
  <c r="H28" i="41"/>
  <c r="G28" i="41"/>
  <c r="F28" i="41"/>
  <c r="AB28" i="41" s="1"/>
  <c r="E28" i="41"/>
  <c r="AA28" i="41" s="1"/>
  <c r="D28" i="41"/>
  <c r="Z28" i="41" s="1"/>
  <c r="C28" i="41"/>
  <c r="Y28" i="41" s="1"/>
  <c r="B28" i="41"/>
  <c r="X28" i="41" s="1"/>
  <c r="A28" i="41"/>
  <c r="W28" i="41" s="1"/>
  <c r="O27" i="41"/>
  <c r="N27" i="41"/>
  <c r="M27" i="41"/>
  <c r="L27" i="41"/>
  <c r="K27" i="41"/>
  <c r="J27" i="41"/>
  <c r="I27" i="41"/>
  <c r="H27" i="41"/>
  <c r="G27" i="41"/>
  <c r="F27" i="41"/>
  <c r="AB27" i="41" s="1"/>
  <c r="E27" i="41"/>
  <c r="AA27" i="41" s="1"/>
  <c r="D27" i="41"/>
  <c r="Z27" i="41" s="1"/>
  <c r="C27" i="41"/>
  <c r="Y27" i="41" s="1"/>
  <c r="B27" i="41"/>
  <c r="X27" i="41" s="1"/>
  <c r="A27" i="41"/>
  <c r="W27" i="41" s="1"/>
  <c r="O26" i="41"/>
  <c r="N26" i="41"/>
  <c r="M26" i="41"/>
  <c r="L26" i="41"/>
  <c r="K26" i="41"/>
  <c r="J26" i="41"/>
  <c r="I26" i="41"/>
  <c r="H26" i="41"/>
  <c r="G26" i="41"/>
  <c r="F26" i="41"/>
  <c r="AB26" i="41" s="1"/>
  <c r="E26" i="41"/>
  <c r="AA26" i="41" s="1"/>
  <c r="D26" i="41"/>
  <c r="Z26" i="41" s="1"/>
  <c r="C26" i="41"/>
  <c r="Y26" i="41" s="1"/>
  <c r="B26" i="41"/>
  <c r="X26" i="41" s="1"/>
  <c r="A26" i="41"/>
  <c r="W26" i="41" s="1"/>
  <c r="O25" i="41"/>
  <c r="N25" i="41"/>
  <c r="M25" i="41"/>
  <c r="L25" i="41"/>
  <c r="K25" i="41"/>
  <c r="J25" i="41"/>
  <c r="I25" i="41"/>
  <c r="H25" i="41"/>
  <c r="G25" i="41"/>
  <c r="F25" i="41"/>
  <c r="AB25" i="41" s="1"/>
  <c r="E25" i="41"/>
  <c r="AA25" i="41" s="1"/>
  <c r="D25" i="41"/>
  <c r="Z25" i="41" s="1"/>
  <c r="C25" i="41"/>
  <c r="Y25" i="41" s="1"/>
  <c r="B25" i="41"/>
  <c r="X25" i="41" s="1"/>
  <c r="A25" i="41"/>
  <c r="W25" i="41" s="1"/>
  <c r="O24" i="41"/>
  <c r="N24" i="41"/>
  <c r="M24" i="41"/>
  <c r="L24" i="41"/>
  <c r="K24" i="41"/>
  <c r="J24" i="41"/>
  <c r="I24" i="41"/>
  <c r="H24" i="41"/>
  <c r="G24" i="41"/>
  <c r="F24" i="41"/>
  <c r="AB24" i="41" s="1"/>
  <c r="E24" i="41"/>
  <c r="AA24" i="41" s="1"/>
  <c r="D24" i="41"/>
  <c r="Z24" i="41" s="1"/>
  <c r="C24" i="41"/>
  <c r="Y24" i="41" s="1"/>
  <c r="B24" i="41"/>
  <c r="X24" i="41" s="1"/>
  <c r="A24" i="41"/>
  <c r="W24" i="41" s="1"/>
  <c r="O23" i="41"/>
  <c r="N23" i="41"/>
  <c r="M23" i="41"/>
  <c r="L23" i="41"/>
  <c r="K23" i="41"/>
  <c r="J23" i="41"/>
  <c r="I23" i="41"/>
  <c r="H23" i="41"/>
  <c r="G23" i="41"/>
  <c r="F23" i="41"/>
  <c r="AB23" i="41" s="1"/>
  <c r="E23" i="41"/>
  <c r="AA23" i="41" s="1"/>
  <c r="D23" i="41"/>
  <c r="Z23" i="41" s="1"/>
  <c r="C23" i="41"/>
  <c r="Y23" i="41" s="1"/>
  <c r="B23" i="41"/>
  <c r="X23" i="41" s="1"/>
  <c r="A23" i="41"/>
  <c r="W23" i="41" s="1"/>
  <c r="O22" i="41"/>
  <c r="N22" i="41"/>
  <c r="M22" i="41"/>
  <c r="L22" i="41"/>
  <c r="K22" i="41"/>
  <c r="J22" i="41"/>
  <c r="I22" i="41"/>
  <c r="H22" i="41"/>
  <c r="G22" i="41"/>
  <c r="F22" i="41"/>
  <c r="AB22" i="41" s="1"/>
  <c r="E22" i="41"/>
  <c r="AA22" i="41" s="1"/>
  <c r="D22" i="41"/>
  <c r="Z22" i="41" s="1"/>
  <c r="C22" i="41"/>
  <c r="Y22" i="41" s="1"/>
  <c r="B22" i="41"/>
  <c r="X22" i="41" s="1"/>
  <c r="A22" i="41"/>
  <c r="W22" i="41" s="1"/>
  <c r="O21" i="41"/>
  <c r="N21" i="41"/>
  <c r="M21" i="41"/>
  <c r="L21" i="41"/>
  <c r="K21" i="41"/>
  <c r="J21" i="41"/>
  <c r="I21" i="41"/>
  <c r="H21" i="41"/>
  <c r="G21" i="41"/>
  <c r="F21" i="41"/>
  <c r="AB21" i="41" s="1"/>
  <c r="E21" i="41"/>
  <c r="AA21" i="41" s="1"/>
  <c r="D21" i="41"/>
  <c r="Z21" i="41" s="1"/>
  <c r="C21" i="41"/>
  <c r="Y21" i="41" s="1"/>
  <c r="B21" i="41"/>
  <c r="X21" i="41" s="1"/>
  <c r="A21" i="41"/>
  <c r="W21" i="41" s="1"/>
  <c r="O20" i="41"/>
  <c r="N20" i="41"/>
  <c r="M20" i="41"/>
  <c r="L20" i="41"/>
  <c r="K20" i="41"/>
  <c r="J20" i="41"/>
  <c r="I20" i="41"/>
  <c r="H20" i="41"/>
  <c r="G20" i="41"/>
  <c r="F20" i="41"/>
  <c r="AB20" i="41" s="1"/>
  <c r="E20" i="41"/>
  <c r="AA20" i="41" s="1"/>
  <c r="D20" i="41"/>
  <c r="Z20" i="41" s="1"/>
  <c r="C20" i="41"/>
  <c r="Y20" i="41" s="1"/>
  <c r="B20" i="41"/>
  <c r="X20" i="41" s="1"/>
  <c r="A20" i="41"/>
  <c r="W20" i="41" s="1"/>
  <c r="O19" i="41"/>
  <c r="N19" i="41"/>
  <c r="M19" i="41"/>
  <c r="L19" i="41"/>
  <c r="K19" i="41"/>
  <c r="J19" i="41"/>
  <c r="I19" i="41"/>
  <c r="H19" i="41"/>
  <c r="G19" i="41"/>
  <c r="F19" i="41"/>
  <c r="AB19" i="41" s="1"/>
  <c r="E19" i="41"/>
  <c r="AA19" i="41" s="1"/>
  <c r="D19" i="41"/>
  <c r="Z19" i="41" s="1"/>
  <c r="C19" i="41"/>
  <c r="Y19" i="41" s="1"/>
  <c r="B19" i="41"/>
  <c r="X19" i="41" s="1"/>
  <c r="A19" i="41"/>
  <c r="W19" i="41" s="1"/>
  <c r="O18" i="41"/>
  <c r="N18" i="41"/>
  <c r="M18" i="41"/>
  <c r="L18" i="41"/>
  <c r="K18" i="41"/>
  <c r="J18" i="41"/>
  <c r="I18" i="41"/>
  <c r="H18" i="41"/>
  <c r="G18" i="41"/>
  <c r="F18" i="41"/>
  <c r="AB18" i="41" s="1"/>
  <c r="E18" i="41"/>
  <c r="AA18" i="41" s="1"/>
  <c r="D18" i="41"/>
  <c r="Z18" i="41" s="1"/>
  <c r="C18" i="41"/>
  <c r="Y18" i="41" s="1"/>
  <c r="B18" i="41"/>
  <c r="X18" i="41" s="1"/>
  <c r="A18" i="41"/>
  <c r="W18" i="41" s="1"/>
  <c r="O17" i="41"/>
  <c r="N17" i="41"/>
  <c r="M17" i="41"/>
  <c r="L17" i="41"/>
  <c r="K17" i="41"/>
  <c r="J17" i="41"/>
  <c r="I17" i="41"/>
  <c r="H17" i="41"/>
  <c r="G17" i="41"/>
  <c r="F17" i="41"/>
  <c r="AB17" i="41" s="1"/>
  <c r="E17" i="41"/>
  <c r="AA17" i="41" s="1"/>
  <c r="D17" i="41"/>
  <c r="Z17" i="41" s="1"/>
  <c r="C17" i="41"/>
  <c r="Y17" i="41" s="1"/>
  <c r="B17" i="41"/>
  <c r="X17" i="41" s="1"/>
  <c r="A17" i="41"/>
  <c r="W17" i="41" s="1"/>
  <c r="O16" i="41"/>
  <c r="N16" i="41"/>
  <c r="M16" i="41"/>
  <c r="L16" i="41"/>
  <c r="K16" i="41"/>
  <c r="J16" i="41"/>
  <c r="I16" i="41"/>
  <c r="H16" i="41"/>
  <c r="G16" i="41"/>
  <c r="F16" i="41"/>
  <c r="AB16" i="41" s="1"/>
  <c r="E16" i="41"/>
  <c r="AA16" i="41" s="1"/>
  <c r="D16" i="41"/>
  <c r="Z16" i="41" s="1"/>
  <c r="C16" i="41"/>
  <c r="Y16" i="41" s="1"/>
  <c r="B16" i="41"/>
  <c r="X16" i="41" s="1"/>
  <c r="A16" i="41"/>
  <c r="W16" i="41" s="1"/>
  <c r="O15" i="41"/>
  <c r="N15" i="41"/>
  <c r="M15" i="41"/>
  <c r="L15" i="41"/>
  <c r="K15" i="41"/>
  <c r="J15" i="41"/>
  <c r="I15" i="41"/>
  <c r="H15" i="41"/>
  <c r="G15" i="41"/>
  <c r="F15" i="41"/>
  <c r="AB15" i="41" s="1"/>
  <c r="E15" i="41"/>
  <c r="AA15" i="41" s="1"/>
  <c r="D15" i="41"/>
  <c r="Z15" i="41" s="1"/>
  <c r="C15" i="41"/>
  <c r="Y15" i="41" s="1"/>
  <c r="B15" i="41"/>
  <c r="X15" i="41" s="1"/>
  <c r="A15" i="41"/>
  <c r="W15" i="41" s="1"/>
  <c r="O14" i="41"/>
  <c r="N14" i="41"/>
  <c r="M14" i="41"/>
  <c r="L14" i="41"/>
  <c r="K14" i="41"/>
  <c r="J14" i="41"/>
  <c r="I14" i="41"/>
  <c r="H14" i="41"/>
  <c r="G14" i="41"/>
  <c r="F14" i="41"/>
  <c r="AB14" i="41" s="1"/>
  <c r="E14" i="41"/>
  <c r="AA14" i="41" s="1"/>
  <c r="D14" i="41"/>
  <c r="Z14" i="41" s="1"/>
  <c r="C14" i="41"/>
  <c r="Y14" i="41" s="1"/>
  <c r="B14" i="41"/>
  <c r="X14" i="41" s="1"/>
  <c r="A14" i="41"/>
  <c r="W14" i="41" s="1"/>
  <c r="O13" i="41"/>
  <c r="N13" i="41"/>
  <c r="M13" i="41"/>
  <c r="L13" i="41"/>
  <c r="K13" i="41"/>
  <c r="J13" i="41"/>
  <c r="I13" i="41"/>
  <c r="H13" i="41"/>
  <c r="G13" i="41"/>
  <c r="F13" i="41"/>
  <c r="AB13" i="41" s="1"/>
  <c r="E13" i="41"/>
  <c r="AA13" i="41" s="1"/>
  <c r="D13" i="41"/>
  <c r="Z13" i="41" s="1"/>
  <c r="C13" i="41"/>
  <c r="Y13" i="41" s="1"/>
  <c r="B13" i="41"/>
  <c r="X13" i="41" s="1"/>
  <c r="A13" i="41"/>
  <c r="W13" i="41" s="1"/>
  <c r="O12" i="41"/>
  <c r="N12" i="41"/>
  <c r="M12" i="41"/>
  <c r="L12" i="41"/>
  <c r="K12" i="41"/>
  <c r="J12" i="41"/>
  <c r="I12" i="41"/>
  <c r="H12" i="41"/>
  <c r="G12" i="41"/>
  <c r="F12" i="41"/>
  <c r="AB12" i="41" s="1"/>
  <c r="E12" i="41"/>
  <c r="AA12" i="41" s="1"/>
  <c r="D12" i="41"/>
  <c r="Z12" i="41" s="1"/>
  <c r="C12" i="41"/>
  <c r="Y12" i="41" s="1"/>
  <c r="B12" i="41"/>
  <c r="X12" i="41" s="1"/>
  <c r="A12" i="41"/>
  <c r="W12" i="41" s="1"/>
  <c r="O11" i="41"/>
  <c r="N11" i="41"/>
  <c r="M11" i="41"/>
  <c r="L11" i="41"/>
  <c r="K11" i="41"/>
  <c r="J11" i="41"/>
  <c r="I11" i="41"/>
  <c r="H11" i="41"/>
  <c r="G11" i="41"/>
  <c r="F11" i="41"/>
  <c r="AB11" i="41" s="1"/>
  <c r="E11" i="41"/>
  <c r="AA11" i="41" s="1"/>
  <c r="D11" i="41"/>
  <c r="Z11" i="41" s="1"/>
  <c r="C11" i="41"/>
  <c r="Y11" i="41" s="1"/>
  <c r="B11" i="41"/>
  <c r="X11" i="41" s="1"/>
  <c r="A11" i="41"/>
  <c r="W11" i="41" s="1"/>
  <c r="O10" i="41"/>
  <c r="N10" i="41"/>
  <c r="M10" i="41"/>
  <c r="L10" i="41"/>
  <c r="K10" i="41"/>
  <c r="J10" i="41"/>
  <c r="I10" i="41"/>
  <c r="H10" i="41"/>
  <c r="G10" i="41"/>
  <c r="F10" i="41"/>
  <c r="AB10" i="41" s="1"/>
  <c r="E10" i="41"/>
  <c r="AA10" i="41" s="1"/>
  <c r="D10" i="41"/>
  <c r="Z10" i="41" s="1"/>
  <c r="C10" i="41"/>
  <c r="Y10" i="41" s="1"/>
  <c r="B10" i="41"/>
  <c r="X10" i="41" s="1"/>
  <c r="A10" i="41"/>
  <c r="W10" i="41" s="1"/>
  <c r="O9" i="41"/>
  <c r="N9" i="41"/>
  <c r="M9" i="41"/>
  <c r="L9" i="41"/>
  <c r="K9" i="41"/>
  <c r="J9" i="41"/>
  <c r="I9" i="41"/>
  <c r="H9" i="41"/>
  <c r="G9" i="41"/>
  <c r="F9" i="41"/>
  <c r="AB9" i="41" s="1"/>
  <c r="E9" i="41"/>
  <c r="AA9" i="41" s="1"/>
  <c r="D9" i="41"/>
  <c r="Z9" i="41" s="1"/>
  <c r="C9" i="41"/>
  <c r="Y9" i="41" s="1"/>
  <c r="B9" i="41"/>
  <c r="X9" i="41" s="1"/>
  <c r="A9" i="41"/>
  <c r="W9" i="41" s="1"/>
  <c r="O8" i="41"/>
  <c r="N8" i="41"/>
  <c r="M8" i="41"/>
  <c r="L8" i="41"/>
  <c r="K8" i="41"/>
  <c r="J8" i="41"/>
  <c r="I8" i="41"/>
  <c r="H8" i="41"/>
  <c r="G8" i="41"/>
  <c r="F8" i="41"/>
  <c r="AB8" i="41" s="1"/>
  <c r="E8" i="41"/>
  <c r="AA8" i="41" s="1"/>
  <c r="D8" i="41"/>
  <c r="Z8" i="41" s="1"/>
  <c r="C8" i="41"/>
  <c r="Y8" i="41" s="1"/>
  <c r="B8" i="41"/>
  <c r="X8" i="41" s="1"/>
  <c r="A8" i="41"/>
  <c r="W8" i="41" s="1"/>
  <c r="O7" i="41"/>
  <c r="N7" i="41"/>
  <c r="M7" i="41"/>
  <c r="L7" i="41"/>
  <c r="K7" i="41"/>
  <c r="J7" i="41"/>
  <c r="I7" i="41"/>
  <c r="H7" i="41"/>
  <c r="G7" i="41"/>
  <c r="F7" i="41"/>
  <c r="AB7" i="41" s="1"/>
  <c r="E7" i="41"/>
  <c r="AA7" i="41" s="1"/>
  <c r="D7" i="41"/>
  <c r="Z7" i="41" s="1"/>
  <c r="C7" i="41"/>
  <c r="Y7" i="41" s="1"/>
  <c r="B7" i="41"/>
  <c r="X7" i="41" s="1"/>
  <c r="A7" i="41"/>
  <c r="W7" i="41" s="1"/>
  <c r="O6" i="41"/>
  <c r="N6" i="41"/>
  <c r="M6" i="41"/>
  <c r="L6" i="41"/>
  <c r="K6" i="41"/>
  <c r="J6" i="41"/>
  <c r="I6" i="41"/>
  <c r="H6" i="41"/>
  <c r="G6" i="41"/>
  <c r="F6" i="41"/>
  <c r="AB6" i="41" s="1"/>
  <c r="E6" i="41"/>
  <c r="AA6" i="41" s="1"/>
  <c r="D6" i="41"/>
  <c r="Z6" i="41" s="1"/>
  <c r="C6" i="41"/>
  <c r="Y6" i="41" s="1"/>
  <c r="B6" i="41"/>
  <c r="X6" i="41" s="1"/>
  <c r="A6" i="41"/>
  <c r="W6" i="41" s="1"/>
  <c r="O5" i="41"/>
  <c r="N5" i="41"/>
  <c r="M5" i="41"/>
  <c r="L5" i="41"/>
  <c r="K5" i="41"/>
  <c r="J5" i="41"/>
  <c r="I5" i="41"/>
  <c r="H5" i="41"/>
  <c r="G5" i="41"/>
  <c r="F5" i="41"/>
  <c r="AB5" i="41" s="1"/>
  <c r="E5" i="41"/>
  <c r="AA5" i="41" s="1"/>
  <c r="D5" i="41"/>
  <c r="Z5" i="41" s="1"/>
  <c r="C5" i="41"/>
  <c r="Y5" i="41" s="1"/>
  <c r="B5" i="41"/>
  <c r="X5" i="41" s="1"/>
  <c r="A5" i="41"/>
  <c r="W5" i="41" s="1"/>
  <c r="O4" i="41"/>
  <c r="N4" i="41"/>
  <c r="M4" i="41"/>
  <c r="L4" i="41"/>
  <c r="K4" i="41"/>
  <c r="J4" i="41"/>
  <c r="I4" i="41"/>
  <c r="H4" i="41"/>
  <c r="G4" i="41"/>
  <c r="F4" i="41"/>
  <c r="AB4" i="41" s="1"/>
  <c r="E4" i="41"/>
  <c r="AA4" i="41" s="1"/>
  <c r="D4" i="41"/>
  <c r="Z4" i="41" s="1"/>
  <c r="C4" i="41"/>
  <c r="Y4" i="41" s="1"/>
  <c r="B4" i="41"/>
  <c r="X4" i="41" s="1"/>
  <c r="A4" i="41"/>
  <c r="W4" i="41" s="1"/>
  <c r="O3" i="41"/>
  <c r="N3" i="41"/>
  <c r="M3" i="41"/>
  <c r="L3" i="41"/>
  <c r="K3" i="41"/>
  <c r="J3" i="41"/>
  <c r="I3" i="41"/>
  <c r="H3" i="41"/>
  <c r="G3" i="41"/>
  <c r="F3" i="41"/>
  <c r="AB3" i="41" s="1"/>
  <c r="E3" i="41"/>
  <c r="AA3" i="41" s="1"/>
  <c r="D3" i="41"/>
  <c r="Z3" i="41" s="1"/>
  <c r="C3" i="41"/>
  <c r="Y3" i="41" s="1"/>
  <c r="B3" i="41"/>
  <c r="X3" i="41" s="1"/>
  <c r="A3" i="41"/>
  <c r="W3" i="41" s="1"/>
  <c r="O52" i="40"/>
  <c r="N52" i="40"/>
  <c r="M52" i="40"/>
  <c r="L52" i="40"/>
  <c r="K52" i="40"/>
  <c r="J52" i="40"/>
  <c r="I52" i="40"/>
  <c r="H52" i="40"/>
  <c r="G52" i="40"/>
  <c r="F52" i="40"/>
  <c r="AB52" i="40" s="1"/>
  <c r="E52" i="40"/>
  <c r="AA52" i="40" s="1"/>
  <c r="D52" i="40"/>
  <c r="Z52" i="40" s="1"/>
  <c r="C52" i="40"/>
  <c r="Y52" i="40" s="1"/>
  <c r="B52" i="40"/>
  <c r="X52" i="40" s="1"/>
  <c r="A52" i="40"/>
  <c r="W52" i="40" s="1"/>
  <c r="Y51" i="40"/>
  <c r="X51" i="40"/>
  <c r="W51" i="40"/>
  <c r="O51" i="40"/>
  <c r="N51" i="40"/>
  <c r="M51" i="40"/>
  <c r="L51" i="40"/>
  <c r="K51" i="40"/>
  <c r="J51" i="40"/>
  <c r="I51" i="40"/>
  <c r="H51" i="40"/>
  <c r="G51" i="40"/>
  <c r="F51" i="40"/>
  <c r="AB51" i="40" s="1"/>
  <c r="E51" i="40"/>
  <c r="AA51" i="40" s="1"/>
  <c r="D51" i="40"/>
  <c r="Z51" i="40" s="1"/>
  <c r="C51" i="40"/>
  <c r="B51" i="40"/>
  <c r="A51" i="40"/>
  <c r="O50" i="40"/>
  <c r="N50" i="40"/>
  <c r="M50" i="40"/>
  <c r="L50" i="40"/>
  <c r="K50" i="40"/>
  <c r="J50" i="40"/>
  <c r="I50" i="40"/>
  <c r="H50" i="40"/>
  <c r="G50" i="40"/>
  <c r="F50" i="40"/>
  <c r="AB50" i="40" s="1"/>
  <c r="E50" i="40"/>
  <c r="AA50" i="40" s="1"/>
  <c r="D50" i="40"/>
  <c r="Z50" i="40" s="1"/>
  <c r="C50" i="40"/>
  <c r="Y50" i="40" s="1"/>
  <c r="B50" i="40"/>
  <c r="X50" i="40" s="1"/>
  <c r="A50" i="40"/>
  <c r="W50" i="40" s="1"/>
  <c r="O49" i="40"/>
  <c r="N49" i="40"/>
  <c r="M49" i="40"/>
  <c r="L49" i="40"/>
  <c r="K49" i="40"/>
  <c r="J49" i="40"/>
  <c r="I49" i="40"/>
  <c r="H49" i="40"/>
  <c r="G49" i="40"/>
  <c r="F49" i="40"/>
  <c r="AB49" i="40" s="1"/>
  <c r="E49" i="40"/>
  <c r="AA49" i="40" s="1"/>
  <c r="D49" i="40"/>
  <c r="Z49" i="40" s="1"/>
  <c r="C49" i="40"/>
  <c r="Y49" i="40" s="1"/>
  <c r="B49" i="40"/>
  <c r="X49" i="40" s="1"/>
  <c r="A49" i="40"/>
  <c r="W49" i="40" s="1"/>
  <c r="O48" i="40"/>
  <c r="N48" i="40"/>
  <c r="M48" i="40"/>
  <c r="L48" i="40"/>
  <c r="K48" i="40"/>
  <c r="J48" i="40"/>
  <c r="I48" i="40"/>
  <c r="H48" i="40"/>
  <c r="G48" i="40"/>
  <c r="F48" i="40"/>
  <c r="AB48" i="40" s="1"/>
  <c r="E48" i="40"/>
  <c r="AA48" i="40" s="1"/>
  <c r="D48" i="40"/>
  <c r="Z48" i="40" s="1"/>
  <c r="C48" i="40"/>
  <c r="Y48" i="40" s="1"/>
  <c r="B48" i="40"/>
  <c r="X48" i="40" s="1"/>
  <c r="A48" i="40"/>
  <c r="W48" i="40" s="1"/>
  <c r="O47" i="40"/>
  <c r="N47" i="40"/>
  <c r="M47" i="40"/>
  <c r="L47" i="40"/>
  <c r="K47" i="40"/>
  <c r="J47" i="40"/>
  <c r="I47" i="40"/>
  <c r="H47" i="40"/>
  <c r="G47" i="40"/>
  <c r="F47" i="40"/>
  <c r="AB47" i="40" s="1"/>
  <c r="E47" i="40"/>
  <c r="AA47" i="40" s="1"/>
  <c r="D47" i="40"/>
  <c r="Z47" i="40" s="1"/>
  <c r="C47" i="40"/>
  <c r="Y47" i="40" s="1"/>
  <c r="B47" i="40"/>
  <c r="X47" i="40" s="1"/>
  <c r="A47" i="40"/>
  <c r="W47" i="40" s="1"/>
  <c r="O46" i="40"/>
  <c r="N46" i="40"/>
  <c r="M46" i="40"/>
  <c r="L46" i="40"/>
  <c r="K46" i="40"/>
  <c r="J46" i="40"/>
  <c r="I46" i="40"/>
  <c r="H46" i="40"/>
  <c r="G46" i="40"/>
  <c r="F46" i="40"/>
  <c r="AB46" i="40" s="1"/>
  <c r="E46" i="40"/>
  <c r="AA46" i="40" s="1"/>
  <c r="D46" i="40"/>
  <c r="Z46" i="40" s="1"/>
  <c r="C46" i="40"/>
  <c r="Y46" i="40" s="1"/>
  <c r="B46" i="40"/>
  <c r="X46" i="40" s="1"/>
  <c r="A46" i="40"/>
  <c r="W46" i="40" s="1"/>
  <c r="O45" i="40"/>
  <c r="N45" i="40"/>
  <c r="M45" i="40"/>
  <c r="L45" i="40"/>
  <c r="K45" i="40"/>
  <c r="J45" i="40"/>
  <c r="I45" i="40"/>
  <c r="H45" i="40"/>
  <c r="G45" i="40"/>
  <c r="F45" i="40"/>
  <c r="AB45" i="40" s="1"/>
  <c r="E45" i="40"/>
  <c r="AA45" i="40" s="1"/>
  <c r="D45" i="40"/>
  <c r="Z45" i="40" s="1"/>
  <c r="C45" i="40"/>
  <c r="Y45" i="40" s="1"/>
  <c r="B45" i="40"/>
  <c r="X45" i="40" s="1"/>
  <c r="A45" i="40"/>
  <c r="W45" i="40" s="1"/>
  <c r="O44" i="40"/>
  <c r="N44" i="40"/>
  <c r="M44" i="40"/>
  <c r="L44" i="40"/>
  <c r="K44" i="40"/>
  <c r="J44" i="40"/>
  <c r="I44" i="40"/>
  <c r="H44" i="40"/>
  <c r="G44" i="40"/>
  <c r="F44" i="40"/>
  <c r="AB44" i="40" s="1"/>
  <c r="E44" i="40"/>
  <c r="AA44" i="40" s="1"/>
  <c r="D44" i="40"/>
  <c r="Z44" i="40" s="1"/>
  <c r="C44" i="40"/>
  <c r="Y44" i="40" s="1"/>
  <c r="B44" i="40"/>
  <c r="X44" i="40" s="1"/>
  <c r="A44" i="40"/>
  <c r="W44" i="40" s="1"/>
  <c r="O43" i="40"/>
  <c r="N43" i="40"/>
  <c r="M43" i="40"/>
  <c r="L43" i="40"/>
  <c r="K43" i="40"/>
  <c r="J43" i="40"/>
  <c r="I43" i="40"/>
  <c r="H43" i="40"/>
  <c r="G43" i="40"/>
  <c r="F43" i="40"/>
  <c r="AB43" i="40" s="1"/>
  <c r="E43" i="40"/>
  <c r="AA43" i="40" s="1"/>
  <c r="D43" i="40"/>
  <c r="Z43" i="40" s="1"/>
  <c r="C43" i="40"/>
  <c r="Y43" i="40" s="1"/>
  <c r="B43" i="40"/>
  <c r="X43" i="40" s="1"/>
  <c r="A43" i="40"/>
  <c r="W43" i="40" s="1"/>
  <c r="O42" i="40"/>
  <c r="N42" i="40"/>
  <c r="M42" i="40"/>
  <c r="L42" i="40"/>
  <c r="K42" i="40"/>
  <c r="J42" i="40"/>
  <c r="I42" i="40"/>
  <c r="H42" i="40"/>
  <c r="G42" i="40"/>
  <c r="F42" i="40"/>
  <c r="AB42" i="40" s="1"/>
  <c r="E42" i="40"/>
  <c r="AA42" i="40" s="1"/>
  <c r="D42" i="40"/>
  <c r="Z42" i="40" s="1"/>
  <c r="C42" i="40"/>
  <c r="Y42" i="40" s="1"/>
  <c r="B42" i="40"/>
  <c r="X42" i="40" s="1"/>
  <c r="A42" i="40"/>
  <c r="W42" i="40" s="1"/>
  <c r="O41" i="40"/>
  <c r="N41" i="40"/>
  <c r="M41" i="40"/>
  <c r="L41" i="40"/>
  <c r="K41" i="40"/>
  <c r="J41" i="40"/>
  <c r="I41" i="40"/>
  <c r="H41" i="40"/>
  <c r="G41" i="40"/>
  <c r="F41" i="40"/>
  <c r="AB41" i="40" s="1"/>
  <c r="E41" i="40"/>
  <c r="AA41" i="40" s="1"/>
  <c r="D41" i="40"/>
  <c r="Z41" i="40" s="1"/>
  <c r="C41" i="40"/>
  <c r="Y41" i="40" s="1"/>
  <c r="B41" i="40"/>
  <c r="X41" i="40" s="1"/>
  <c r="A41" i="40"/>
  <c r="W41" i="40" s="1"/>
  <c r="O40" i="40"/>
  <c r="N40" i="40"/>
  <c r="M40" i="40"/>
  <c r="L40" i="40"/>
  <c r="K40" i="40"/>
  <c r="J40" i="40"/>
  <c r="I40" i="40"/>
  <c r="H40" i="40"/>
  <c r="G40" i="40"/>
  <c r="F40" i="40"/>
  <c r="AB40" i="40" s="1"/>
  <c r="E40" i="40"/>
  <c r="AA40" i="40" s="1"/>
  <c r="D40" i="40"/>
  <c r="Z40" i="40" s="1"/>
  <c r="C40" i="40"/>
  <c r="Y40" i="40" s="1"/>
  <c r="B40" i="40"/>
  <c r="X40" i="40" s="1"/>
  <c r="A40" i="40"/>
  <c r="W40" i="40" s="1"/>
  <c r="O39" i="40"/>
  <c r="N39" i="40"/>
  <c r="M39" i="40"/>
  <c r="L39" i="40"/>
  <c r="K39" i="40"/>
  <c r="J39" i="40"/>
  <c r="I39" i="40"/>
  <c r="H39" i="40"/>
  <c r="G39" i="40"/>
  <c r="F39" i="40"/>
  <c r="AB39" i="40" s="1"/>
  <c r="E39" i="40"/>
  <c r="AA39" i="40" s="1"/>
  <c r="D39" i="40"/>
  <c r="Z39" i="40" s="1"/>
  <c r="C39" i="40"/>
  <c r="Y39" i="40" s="1"/>
  <c r="B39" i="40"/>
  <c r="X39" i="40" s="1"/>
  <c r="A39" i="40"/>
  <c r="W39" i="40" s="1"/>
  <c r="O38" i="40"/>
  <c r="N38" i="40"/>
  <c r="M38" i="40"/>
  <c r="L38" i="40"/>
  <c r="K38" i="40"/>
  <c r="J38" i="40"/>
  <c r="I38" i="40"/>
  <c r="H38" i="40"/>
  <c r="G38" i="40"/>
  <c r="F38" i="40"/>
  <c r="AB38" i="40" s="1"/>
  <c r="E38" i="40"/>
  <c r="AA38" i="40" s="1"/>
  <c r="D38" i="40"/>
  <c r="Z38" i="40" s="1"/>
  <c r="C38" i="40"/>
  <c r="Y38" i="40" s="1"/>
  <c r="B38" i="40"/>
  <c r="X38" i="40" s="1"/>
  <c r="A38" i="40"/>
  <c r="W38" i="40" s="1"/>
  <c r="O37" i="40"/>
  <c r="N37" i="40"/>
  <c r="M37" i="40"/>
  <c r="L37" i="40"/>
  <c r="K37" i="40"/>
  <c r="J37" i="40"/>
  <c r="I37" i="40"/>
  <c r="H37" i="40"/>
  <c r="G37" i="40"/>
  <c r="F37" i="40"/>
  <c r="AB37" i="40" s="1"/>
  <c r="E37" i="40"/>
  <c r="AA37" i="40" s="1"/>
  <c r="D37" i="40"/>
  <c r="Z37" i="40" s="1"/>
  <c r="C37" i="40"/>
  <c r="Y37" i="40" s="1"/>
  <c r="B37" i="40"/>
  <c r="X37" i="40" s="1"/>
  <c r="A37" i="40"/>
  <c r="W37" i="40" s="1"/>
  <c r="O36" i="40"/>
  <c r="N36" i="40"/>
  <c r="M36" i="40"/>
  <c r="L36" i="40"/>
  <c r="K36" i="40"/>
  <c r="J36" i="40"/>
  <c r="I36" i="40"/>
  <c r="H36" i="40"/>
  <c r="G36" i="40"/>
  <c r="F36" i="40"/>
  <c r="AB36" i="40" s="1"/>
  <c r="E36" i="40"/>
  <c r="AA36" i="40" s="1"/>
  <c r="D36" i="40"/>
  <c r="Z36" i="40" s="1"/>
  <c r="C36" i="40"/>
  <c r="Y36" i="40" s="1"/>
  <c r="B36" i="40"/>
  <c r="X36" i="40" s="1"/>
  <c r="A36" i="40"/>
  <c r="W36" i="40" s="1"/>
  <c r="O35" i="40"/>
  <c r="N35" i="40"/>
  <c r="M35" i="40"/>
  <c r="L35" i="40"/>
  <c r="K35" i="40"/>
  <c r="J35" i="40"/>
  <c r="I35" i="40"/>
  <c r="H35" i="40"/>
  <c r="G35" i="40"/>
  <c r="F35" i="40"/>
  <c r="AB35" i="40" s="1"/>
  <c r="E35" i="40"/>
  <c r="AA35" i="40" s="1"/>
  <c r="D35" i="40"/>
  <c r="Z35" i="40" s="1"/>
  <c r="C35" i="40"/>
  <c r="Y35" i="40" s="1"/>
  <c r="B35" i="40"/>
  <c r="X35" i="40" s="1"/>
  <c r="A35" i="40"/>
  <c r="W35" i="40" s="1"/>
  <c r="O34" i="40"/>
  <c r="N34" i="40"/>
  <c r="M34" i="40"/>
  <c r="L34" i="40"/>
  <c r="K34" i="40"/>
  <c r="J34" i="40"/>
  <c r="I34" i="40"/>
  <c r="H34" i="40"/>
  <c r="G34" i="40"/>
  <c r="F34" i="40"/>
  <c r="AB34" i="40" s="1"/>
  <c r="E34" i="40"/>
  <c r="AA34" i="40" s="1"/>
  <c r="D34" i="40"/>
  <c r="Z34" i="40" s="1"/>
  <c r="C34" i="40"/>
  <c r="Y34" i="40" s="1"/>
  <c r="B34" i="40"/>
  <c r="X34" i="40" s="1"/>
  <c r="A34" i="40"/>
  <c r="W34" i="40" s="1"/>
  <c r="O33" i="40"/>
  <c r="N33" i="40"/>
  <c r="M33" i="40"/>
  <c r="L33" i="40"/>
  <c r="K33" i="40"/>
  <c r="J33" i="40"/>
  <c r="I33" i="40"/>
  <c r="H33" i="40"/>
  <c r="G33" i="40"/>
  <c r="F33" i="40"/>
  <c r="AB33" i="40" s="1"/>
  <c r="E33" i="40"/>
  <c r="AA33" i="40" s="1"/>
  <c r="D33" i="40"/>
  <c r="Z33" i="40" s="1"/>
  <c r="C33" i="40"/>
  <c r="Y33" i="40" s="1"/>
  <c r="B33" i="40"/>
  <c r="X33" i="40" s="1"/>
  <c r="A33" i="40"/>
  <c r="W33" i="40" s="1"/>
  <c r="O32" i="40"/>
  <c r="N32" i="40"/>
  <c r="M32" i="40"/>
  <c r="L32" i="40"/>
  <c r="K32" i="40"/>
  <c r="J32" i="40"/>
  <c r="I32" i="40"/>
  <c r="H32" i="40"/>
  <c r="G32" i="40"/>
  <c r="F32" i="40"/>
  <c r="AB32" i="40" s="1"/>
  <c r="E32" i="40"/>
  <c r="AA32" i="40" s="1"/>
  <c r="D32" i="40"/>
  <c r="Z32" i="40" s="1"/>
  <c r="C32" i="40"/>
  <c r="Y32" i="40" s="1"/>
  <c r="B32" i="40"/>
  <c r="X32" i="40" s="1"/>
  <c r="A32" i="40"/>
  <c r="W32" i="40" s="1"/>
  <c r="O31" i="40"/>
  <c r="N31" i="40"/>
  <c r="M31" i="40"/>
  <c r="L31" i="40"/>
  <c r="K31" i="40"/>
  <c r="J31" i="40"/>
  <c r="I31" i="40"/>
  <c r="H31" i="40"/>
  <c r="G31" i="40"/>
  <c r="F31" i="40"/>
  <c r="AB31" i="40" s="1"/>
  <c r="E31" i="40"/>
  <c r="AA31" i="40" s="1"/>
  <c r="D31" i="40"/>
  <c r="Z31" i="40" s="1"/>
  <c r="C31" i="40"/>
  <c r="Y31" i="40" s="1"/>
  <c r="B31" i="40"/>
  <c r="X31" i="40" s="1"/>
  <c r="A31" i="40"/>
  <c r="W31" i="40" s="1"/>
  <c r="O30" i="40"/>
  <c r="N30" i="40"/>
  <c r="M30" i="40"/>
  <c r="L30" i="40"/>
  <c r="K30" i="40"/>
  <c r="J30" i="40"/>
  <c r="I30" i="40"/>
  <c r="H30" i="40"/>
  <c r="G30" i="40"/>
  <c r="F30" i="40"/>
  <c r="AB30" i="40" s="1"/>
  <c r="E30" i="40"/>
  <c r="AA30" i="40" s="1"/>
  <c r="D30" i="40"/>
  <c r="Z30" i="40" s="1"/>
  <c r="C30" i="40"/>
  <c r="Y30" i="40" s="1"/>
  <c r="B30" i="40"/>
  <c r="X30" i="40" s="1"/>
  <c r="A30" i="40"/>
  <c r="W30" i="40" s="1"/>
  <c r="O29" i="40"/>
  <c r="N29" i="40"/>
  <c r="M29" i="40"/>
  <c r="L29" i="40"/>
  <c r="K29" i="40"/>
  <c r="J29" i="40"/>
  <c r="I29" i="40"/>
  <c r="H29" i="40"/>
  <c r="G29" i="40"/>
  <c r="F29" i="40"/>
  <c r="AB29" i="40" s="1"/>
  <c r="E29" i="40"/>
  <c r="AA29" i="40" s="1"/>
  <c r="D29" i="40"/>
  <c r="Z29" i="40" s="1"/>
  <c r="C29" i="40"/>
  <c r="Y29" i="40" s="1"/>
  <c r="B29" i="40"/>
  <c r="X29" i="40" s="1"/>
  <c r="A29" i="40"/>
  <c r="W29" i="40" s="1"/>
  <c r="O28" i="40"/>
  <c r="N28" i="40"/>
  <c r="M28" i="40"/>
  <c r="L28" i="40"/>
  <c r="K28" i="40"/>
  <c r="J28" i="40"/>
  <c r="I28" i="40"/>
  <c r="H28" i="40"/>
  <c r="G28" i="40"/>
  <c r="F28" i="40"/>
  <c r="AB28" i="40" s="1"/>
  <c r="E28" i="40"/>
  <c r="AA28" i="40" s="1"/>
  <c r="D28" i="40"/>
  <c r="Z28" i="40" s="1"/>
  <c r="C28" i="40"/>
  <c r="Y28" i="40" s="1"/>
  <c r="B28" i="40"/>
  <c r="X28" i="40" s="1"/>
  <c r="A28" i="40"/>
  <c r="W28" i="40" s="1"/>
  <c r="O27" i="40"/>
  <c r="N27" i="40"/>
  <c r="M27" i="40"/>
  <c r="L27" i="40"/>
  <c r="K27" i="40"/>
  <c r="J27" i="40"/>
  <c r="I27" i="40"/>
  <c r="H27" i="40"/>
  <c r="G27" i="40"/>
  <c r="F27" i="40"/>
  <c r="AB27" i="40" s="1"/>
  <c r="E27" i="40"/>
  <c r="AA27" i="40" s="1"/>
  <c r="D27" i="40"/>
  <c r="Z27" i="40" s="1"/>
  <c r="C27" i="40"/>
  <c r="Y27" i="40" s="1"/>
  <c r="B27" i="40"/>
  <c r="X27" i="40" s="1"/>
  <c r="A27" i="40"/>
  <c r="W27" i="40" s="1"/>
  <c r="O26" i="40"/>
  <c r="N26" i="40"/>
  <c r="M26" i="40"/>
  <c r="L26" i="40"/>
  <c r="K26" i="40"/>
  <c r="J26" i="40"/>
  <c r="I26" i="40"/>
  <c r="H26" i="40"/>
  <c r="G26" i="40"/>
  <c r="F26" i="40"/>
  <c r="AB26" i="40" s="1"/>
  <c r="E26" i="40"/>
  <c r="AA26" i="40" s="1"/>
  <c r="D26" i="40"/>
  <c r="Z26" i="40" s="1"/>
  <c r="C26" i="40"/>
  <c r="Y26" i="40" s="1"/>
  <c r="B26" i="40"/>
  <c r="X26" i="40" s="1"/>
  <c r="A26" i="40"/>
  <c r="W26" i="40" s="1"/>
  <c r="O25" i="40"/>
  <c r="N25" i="40"/>
  <c r="M25" i="40"/>
  <c r="L25" i="40"/>
  <c r="K25" i="40"/>
  <c r="J25" i="40"/>
  <c r="I25" i="40"/>
  <c r="H25" i="40"/>
  <c r="G25" i="40"/>
  <c r="F25" i="40"/>
  <c r="AB25" i="40" s="1"/>
  <c r="E25" i="40"/>
  <c r="AA25" i="40" s="1"/>
  <c r="D25" i="40"/>
  <c r="Z25" i="40" s="1"/>
  <c r="C25" i="40"/>
  <c r="Y25" i="40" s="1"/>
  <c r="B25" i="40"/>
  <c r="X25" i="40" s="1"/>
  <c r="A25" i="40"/>
  <c r="W25" i="40" s="1"/>
  <c r="O24" i="40"/>
  <c r="N24" i="40"/>
  <c r="M24" i="40"/>
  <c r="L24" i="40"/>
  <c r="K24" i="40"/>
  <c r="J24" i="40"/>
  <c r="I24" i="40"/>
  <c r="H24" i="40"/>
  <c r="G24" i="40"/>
  <c r="F24" i="40"/>
  <c r="AB24" i="40" s="1"/>
  <c r="E24" i="40"/>
  <c r="AA24" i="40" s="1"/>
  <c r="D24" i="40"/>
  <c r="Z24" i="40" s="1"/>
  <c r="C24" i="40"/>
  <c r="Y24" i="40" s="1"/>
  <c r="B24" i="40"/>
  <c r="X24" i="40" s="1"/>
  <c r="A24" i="40"/>
  <c r="W24" i="40" s="1"/>
  <c r="O23" i="40"/>
  <c r="N23" i="40"/>
  <c r="M23" i="40"/>
  <c r="L23" i="40"/>
  <c r="K23" i="40"/>
  <c r="J23" i="40"/>
  <c r="I23" i="40"/>
  <c r="H23" i="40"/>
  <c r="G23" i="40"/>
  <c r="F23" i="40"/>
  <c r="AB23" i="40" s="1"/>
  <c r="E23" i="40"/>
  <c r="AA23" i="40" s="1"/>
  <c r="D23" i="40"/>
  <c r="Z23" i="40" s="1"/>
  <c r="C23" i="40"/>
  <c r="Y23" i="40" s="1"/>
  <c r="B23" i="40"/>
  <c r="X23" i="40" s="1"/>
  <c r="A23" i="40"/>
  <c r="W23" i="40" s="1"/>
  <c r="O22" i="40"/>
  <c r="N22" i="40"/>
  <c r="M22" i="40"/>
  <c r="L22" i="40"/>
  <c r="K22" i="40"/>
  <c r="J22" i="40"/>
  <c r="I22" i="40"/>
  <c r="H22" i="40"/>
  <c r="G22" i="40"/>
  <c r="F22" i="40"/>
  <c r="AB22" i="40" s="1"/>
  <c r="E22" i="40"/>
  <c r="AA22" i="40" s="1"/>
  <c r="D22" i="40"/>
  <c r="Z22" i="40" s="1"/>
  <c r="C22" i="40"/>
  <c r="Y22" i="40" s="1"/>
  <c r="B22" i="40"/>
  <c r="X22" i="40" s="1"/>
  <c r="A22" i="40"/>
  <c r="W22" i="40" s="1"/>
  <c r="O21" i="40"/>
  <c r="N21" i="40"/>
  <c r="M21" i="40"/>
  <c r="L21" i="40"/>
  <c r="K21" i="40"/>
  <c r="J21" i="40"/>
  <c r="I21" i="40"/>
  <c r="H21" i="40"/>
  <c r="G21" i="40"/>
  <c r="F21" i="40"/>
  <c r="AB21" i="40" s="1"/>
  <c r="E21" i="40"/>
  <c r="AA21" i="40" s="1"/>
  <c r="D21" i="40"/>
  <c r="Z21" i="40" s="1"/>
  <c r="C21" i="40"/>
  <c r="Y21" i="40" s="1"/>
  <c r="B21" i="40"/>
  <c r="X21" i="40" s="1"/>
  <c r="A21" i="40"/>
  <c r="W21" i="40" s="1"/>
  <c r="O20" i="40"/>
  <c r="N20" i="40"/>
  <c r="M20" i="40"/>
  <c r="L20" i="40"/>
  <c r="K20" i="40"/>
  <c r="J20" i="40"/>
  <c r="I20" i="40"/>
  <c r="H20" i="40"/>
  <c r="G20" i="40"/>
  <c r="F20" i="40"/>
  <c r="AB20" i="40" s="1"/>
  <c r="E20" i="40"/>
  <c r="AA20" i="40" s="1"/>
  <c r="D20" i="40"/>
  <c r="Z20" i="40" s="1"/>
  <c r="C20" i="40"/>
  <c r="Y20" i="40" s="1"/>
  <c r="B20" i="40"/>
  <c r="X20" i="40" s="1"/>
  <c r="A20" i="40"/>
  <c r="W20" i="40" s="1"/>
  <c r="O19" i="40"/>
  <c r="N19" i="40"/>
  <c r="M19" i="40"/>
  <c r="L19" i="40"/>
  <c r="K19" i="40"/>
  <c r="J19" i="40"/>
  <c r="I19" i="40"/>
  <c r="H19" i="40"/>
  <c r="G19" i="40"/>
  <c r="F19" i="40"/>
  <c r="AB19" i="40" s="1"/>
  <c r="E19" i="40"/>
  <c r="AA19" i="40" s="1"/>
  <c r="D19" i="40"/>
  <c r="Z19" i="40" s="1"/>
  <c r="C19" i="40"/>
  <c r="Y19" i="40" s="1"/>
  <c r="B19" i="40"/>
  <c r="X19" i="40" s="1"/>
  <c r="A19" i="40"/>
  <c r="W19" i="40" s="1"/>
  <c r="O18" i="40"/>
  <c r="N18" i="40"/>
  <c r="M18" i="40"/>
  <c r="L18" i="40"/>
  <c r="K18" i="40"/>
  <c r="J18" i="40"/>
  <c r="I18" i="40"/>
  <c r="H18" i="40"/>
  <c r="G18" i="40"/>
  <c r="F18" i="40"/>
  <c r="AB18" i="40" s="1"/>
  <c r="E18" i="40"/>
  <c r="AA18" i="40" s="1"/>
  <c r="D18" i="40"/>
  <c r="Z18" i="40" s="1"/>
  <c r="C18" i="40"/>
  <c r="Y18" i="40" s="1"/>
  <c r="B18" i="40"/>
  <c r="X18" i="40" s="1"/>
  <c r="A18" i="40"/>
  <c r="W18" i="40" s="1"/>
  <c r="O17" i="40"/>
  <c r="N17" i="40"/>
  <c r="M17" i="40"/>
  <c r="L17" i="40"/>
  <c r="K17" i="40"/>
  <c r="J17" i="40"/>
  <c r="I17" i="40"/>
  <c r="H17" i="40"/>
  <c r="G17" i="40"/>
  <c r="F17" i="40"/>
  <c r="AB17" i="40" s="1"/>
  <c r="E17" i="40"/>
  <c r="AA17" i="40" s="1"/>
  <c r="D17" i="40"/>
  <c r="Z17" i="40" s="1"/>
  <c r="C17" i="40"/>
  <c r="Y17" i="40" s="1"/>
  <c r="B17" i="40"/>
  <c r="X17" i="40" s="1"/>
  <c r="A17" i="40"/>
  <c r="W17" i="40" s="1"/>
  <c r="O16" i="40"/>
  <c r="N16" i="40"/>
  <c r="M16" i="40"/>
  <c r="L16" i="40"/>
  <c r="K16" i="40"/>
  <c r="J16" i="40"/>
  <c r="I16" i="40"/>
  <c r="H16" i="40"/>
  <c r="G16" i="40"/>
  <c r="F16" i="40"/>
  <c r="AB16" i="40" s="1"/>
  <c r="E16" i="40"/>
  <c r="AA16" i="40" s="1"/>
  <c r="D16" i="40"/>
  <c r="Z16" i="40" s="1"/>
  <c r="C16" i="40"/>
  <c r="Y16" i="40" s="1"/>
  <c r="B16" i="40"/>
  <c r="X16" i="40" s="1"/>
  <c r="A16" i="40"/>
  <c r="W16" i="40" s="1"/>
  <c r="O15" i="40"/>
  <c r="N15" i="40"/>
  <c r="M15" i="40"/>
  <c r="L15" i="40"/>
  <c r="K15" i="40"/>
  <c r="J15" i="40"/>
  <c r="I15" i="40"/>
  <c r="H15" i="40"/>
  <c r="G15" i="40"/>
  <c r="F15" i="40"/>
  <c r="AB15" i="40" s="1"/>
  <c r="E15" i="40"/>
  <c r="AA15" i="40" s="1"/>
  <c r="D15" i="40"/>
  <c r="Z15" i="40" s="1"/>
  <c r="C15" i="40"/>
  <c r="Y15" i="40" s="1"/>
  <c r="B15" i="40"/>
  <c r="X15" i="40" s="1"/>
  <c r="A15" i="40"/>
  <c r="W15" i="40" s="1"/>
  <c r="O14" i="40"/>
  <c r="N14" i="40"/>
  <c r="M14" i="40"/>
  <c r="L14" i="40"/>
  <c r="K14" i="40"/>
  <c r="J14" i="40"/>
  <c r="I14" i="40"/>
  <c r="H14" i="40"/>
  <c r="G14" i="40"/>
  <c r="F14" i="40"/>
  <c r="AB14" i="40" s="1"/>
  <c r="E14" i="40"/>
  <c r="AA14" i="40" s="1"/>
  <c r="D14" i="40"/>
  <c r="Z14" i="40" s="1"/>
  <c r="C14" i="40"/>
  <c r="Y14" i="40" s="1"/>
  <c r="B14" i="40"/>
  <c r="X14" i="40" s="1"/>
  <c r="A14" i="40"/>
  <c r="W14" i="40" s="1"/>
  <c r="O13" i="40"/>
  <c r="N13" i="40"/>
  <c r="M13" i="40"/>
  <c r="L13" i="40"/>
  <c r="K13" i="40"/>
  <c r="J13" i="40"/>
  <c r="I13" i="40"/>
  <c r="H13" i="40"/>
  <c r="G13" i="40"/>
  <c r="F13" i="40"/>
  <c r="AB13" i="40" s="1"/>
  <c r="E13" i="40"/>
  <c r="AA13" i="40" s="1"/>
  <c r="D13" i="40"/>
  <c r="Z13" i="40" s="1"/>
  <c r="C13" i="40"/>
  <c r="Y13" i="40" s="1"/>
  <c r="B13" i="40"/>
  <c r="X13" i="40" s="1"/>
  <c r="A13" i="40"/>
  <c r="W13" i="40" s="1"/>
  <c r="O12" i="40"/>
  <c r="N12" i="40"/>
  <c r="M12" i="40"/>
  <c r="L12" i="40"/>
  <c r="K12" i="40"/>
  <c r="J12" i="40"/>
  <c r="I12" i="40"/>
  <c r="H12" i="40"/>
  <c r="G12" i="40"/>
  <c r="F12" i="40"/>
  <c r="AB12" i="40" s="1"/>
  <c r="E12" i="40"/>
  <c r="AA12" i="40" s="1"/>
  <c r="D12" i="40"/>
  <c r="Z12" i="40" s="1"/>
  <c r="C12" i="40"/>
  <c r="Y12" i="40" s="1"/>
  <c r="B12" i="40"/>
  <c r="X12" i="40" s="1"/>
  <c r="A12" i="40"/>
  <c r="W12" i="40" s="1"/>
  <c r="O11" i="40"/>
  <c r="N11" i="40"/>
  <c r="M11" i="40"/>
  <c r="L11" i="40"/>
  <c r="K11" i="40"/>
  <c r="J11" i="40"/>
  <c r="I11" i="40"/>
  <c r="H11" i="40"/>
  <c r="G11" i="40"/>
  <c r="F11" i="40"/>
  <c r="AB11" i="40" s="1"/>
  <c r="E11" i="40"/>
  <c r="AA11" i="40" s="1"/>
  <c r="D11" i="40"/>
  <c r="Z11" i="40" s="1"/>
  <c r="C11" i="40"/>
  <c r="Y11" i="40" s="1"/>
  <c r="B11" i="40"/>
  <c r="X11" i="40" s="1"/>
  <c r="A11" i="40"/>
  <c r="W11" i="40" s="1"/>
  <c r="O10" i="40"/>
  <c r="N10" i="40"/>
  <c r="M10" i="40"/>
  <c r="L10" i="40"/>
  <c r="K10" i="40"/>
  <c r="J10" i="40"/>
  <c r="I10" i="40"/>
  <c r="H10" i="40"/>
  <c r="G10" i="40"/>
  <c r="F10" i="40"/>
  <c r="AB10" i="40" s="1"/>
  <c r="E10" i="40"/>
  <c r="AA10" i="40" s="1"/>
  <c r="D10" i="40"/>
  <c r="Z10" i="40" s="1"/>
  <c r="C10" i="40"/>
  <c r="Y10" i="40" s="1"/>
  <c r="B10" i="40"/>
  <c r="X10" i="40" s="1"/>
  <c r="A10" i="40"/>
  <c r="W10" i="40" s="1"/>
  <c r="O9" i="40"/>
  <c r="N9" i="40"/>
  <c r="M9" i="40"/>
  <c r="L9" i="40"/>
  <c r="K9" i="40"/>
  <c r="J9" i="40"/>
  <c r="I9" i="40"/>
  <c r="H9" i="40"/>
  <c r="G9" i="40"/>
  <c r="F9" i="40"/>
  <c r="AB9" i="40" s="1"/>
  <c r="E9" i="40"/>
  <c r="AA9" i="40" s="1"/>
  <c r="D9" i="40"/>
  <c r="Z9" i="40" s="1"/>
  <c r="C9" i="40"/>
  <c r="Y9" i="40" s="1"/>
  <c r="B9" i="40"/>
  <c r="X9" i="40" s="1"/>
  <c r="A9" i="40"/>
  <c r="W9" i="40" s="1"/>
  <c r="O8" i="40"/>
  <c r="N8" i="40"/>
  <c r="M8" i="40"/>
  <c r="L8" i="40"/>
  <c r="K8" i="40"/>
  <c r="J8" i="40"/>
  <c r="I8" i="40"/>
  <c r="H8" i="40"/>
  <c r="G8" i="40"/>
  <c r="F8" i="40"/>
  <c r="AB8" i="40" s="1"/>
  <c r="E8" i="40"/>
  <c r="AA8" i="40" s="1"/>
  <c r="D8" i="40"/>
  <c r="Z8" i="40" s="1"/>
  <c r="C8" i="40"/>
  <c r="Y8" i="40" s="1"/>
  <c r="B8" i="40"/>
  <c r="X8" i="40" s="1"/>
  <c r="A8" i="40"/>
  <c r="W8" i="40" s="1"/>
  <c r="O7" i="40"/>
  <c r="N7" i="40"/>
  <c r="M7" i="40"/>
  <c r="L7" i="40"/>
  <c r="K7" i="40"/>
  <c r="J7" i="40"/>
  <c r="I7" i="40"/>
  <c r="H7" i="40"/>
  <c r="G7" i="40"/>
  <c r="F7" i="40"/>
  <c r="AB7" i="40" s="1"/>
  <c r="E7" i="40"/>
  <c r="AA7" i="40" s="1"/>
  <c r="D7" i="40"/>
  <c r="Z7" i="40" s="1"/>
  <c r="C7" i="40"/>
  <c r="Y7" i="40" s="1"/>
  <c r="B7" i="40"/>
  <c r="X7" i="40" s="1"/>
  <c r="A7" i="40"/>
  <c r="W7" i="40" s="1"/>
  <c r="O6" i="40"/>
  <c r="N6" i="40"/>
  <c r="M6" i="40"/>
  <c r="L6" i="40"/>
  <c r="K6" i="40"/>
  <c r="J6" i="40"/>
  <c r="I6" i="40"/>
  <c r="H6" i="40"/>
  <c r="G6" i="40"/>
  <c r="F6" i="40"/>
  <c r="AB6" i="40" s="1"/>
  <c r="E6" i="40"/>
  <c r="AA6" i="40" s="1"/>
  <c r="D6" i="40"/>
  <c r="Z6" i="40" s="1"/>
  <c r="C6" i="40"/>
  <c r="Y6" i="40" s="1"/>
  <c r="B6" i="40"/>
  <c r="X6" i="40" s="1"/>
  <c r="A6" i="40"/>
  <c r="W6" i="40" s="1"/>
  <c r="O5" i="40"/>
  <c r="N5" i="40"/>
  <c r="M5" i="40"/>
  <c r="L5" i="40"/>
  <c r="K5" i="40"/>
  <c r="J5" i="40"/>
  <c r="I5" i="40"/>
  <c r="H5" i="40"/>
  <c r="G5" i="40"/>
  <c r="F5" i="40"/>
  <c r="AB5" i="40" s="1"/>
  <c r="E5" i="40"/>
  <c r="AA5" i="40" s="1"/>
  <c r="D5" i="40"/>
  <c r="Z5" i="40" s="1"/>
  <c r="C5" i="40"/>
  <c r="Y5" i="40" s="1"/>
  <c r="B5" i="40"/>
  <c r="X5" i="40" s="1"/>
  <c r="A5" i="40"/>
  <c r="W5" i="40" s="1"/>
  <c r="O4" i="40"/>
  <c r="N4" i="40"/>
  <c r="M4" i="40"/>
  <c r="L4" i="40"/>
  <c r="K4" i="40"/>
  <c r="J4" i="40"/>
  <c r="I4" i="40"/>
  <c r="H4" i="40"/>
  <c r="G4" i="40"/>
  <c r="F4" i="40"/>
  <c r="AB4" i="40" s="1"/>
  <c r="E4" i="40"/>
  <c r="AA4" i="40" s="1"/>
  <c r="D4" i="40"/>
  <c r="Z4" i="40" s="1"/>
  <c r="C4" i="40"/>
  <c r="Y4" i="40" s="1"/>
  <c r="B4" i="40"/>
  <c r="X4" i="40" s="1"/>
  <c r="A4" i="40"/>
  <c r="W4" i="40" s="1"/>
  <c r="O3" i="40"/>
  <c r="N3" i="40"/>
  <c r="M3" i="40"/>
  <c r="L3" i="40"/>
  <c r="K3" i="40"/>
  <c r="J3" i="40"/>
  <c r="I3" i="40"/>
  <c r="H3" i="40"/>
  <c r="G3" i="40"/>
  <c r="F3" i="40"/>
  <c r="AB3" i="40" s="1"/>
  <c r="E3" i="40"/>
  <c r="AA3" i="40" s="1"/>
  <c r="D3" i="40"/>
  <c r="Z3" i="40" s="1"/>
  <c r="C3" i="40"/>
  <c r="Y3" i="40" s="1"/>
  <c r="B3" i="40"/>
  <c r="X3" i="40" s="1"/>
  <c r="A3" i="40"/>
  <c r="W3" i="40" s="1"/>
  <c r="AC31" i="40" l="1"/>
  <c r="AD9" i="41"/>
  <c r="AD21" i="41"/>
  <c r="AD33" i="41"/>
  <c r="AD45" i="41"/>
  <c r="AC32" i="40"/>
  <c r="AD15" i="41"/>
  <c r="AD27" i="41"/>
  <c r="AD39" i="41"/>
  <c r="AD7" i="40"/>
  <c r="AC50" i="40"/>
  <c r="AD5" i="41"/>
  <c r="AD12" i="41"/>
  <c r="AD24" i="41"/>
  <c r="AD36" i="41"/>
  <c r="AC12" i="40"/>
  <c r="AC43" i="40"/>
  <c r="AC16" i="40"/>
  <c r="AD6" i="41"/>
  <c r="AC44" i="40"/>
  <c r="AD18" i="41"/>
  <c r="AD30" i="41"/>
  <c r="AD42" i="41"/>
  <c r="AC38" i="40"/>
  <c r="AC26" i="40"/>
  <c r="AC28" i="40"/>
  <c r="AC40" i="40"/>
  <c r="AC15" i="40"/>
  <c r="AC18" i="40"/>
  <c r="AC27" i="40"/>
  <c r="AC39" i="40"/>
  <c r="AC8" i="40"/>
  <c r="AC14" i="40"/>
  <c r="AC6" i="41"/>
  <c r="AC9" i="41"/>
  <c r="AC12" i="41"/>
  <c r="AC15" i="41"/>
  <c r="AC18" i="41"/>
  <c r="AC21" i="41"/>
  <c r="AC24" i="41"/>
  <c r="AC27" i="41"/>
  <c r="AC30" i="41"/>
  <c r="AC33" i="41"/>
  <c r="AC36" i="41"/>
  <c r="AC39" i="41"/>
  <c r="AC42" i="41"/>
  <c r="AC45" i="41"/>
  <c r="AC48" i="41"/>
  <c r="AC51" i="41"/>
  <c r="AC51" i="40"/>
  <c r="AC10" i="40"/>
  <c r="AC22" i="40"/>
  <c r="AE6" i="41"/>
  <c r="AE9" i="41"/>
  <c r="AE12" i="41"/>
  <c r="AE15" i="41"/>
  <c r="AE18" i="41"/>
  <c r="AE21" i="41"/>
  <c r="AE24" i="41"/>
  <c r="AE27" i="41"/>
  <c r="AE30" i="41"/>
  <c r="AE33" i="41"/>
  <c r="AE36" i="41"/>
  <c r="AE39" i="41"/>
  <c r="AE42" i="41"/>
  <c r="AE45" i="41"/>
  <c r="AE48" i="41"/>
  <c r="AE7" i="40"/>
  <c r="AD52" i="40"/>
  <c r="AC9" i="40"/>
  <c r="AC21" i="40"/>
  <c r="AC33" i="40"/>
  <c r="AC45" i="40"/>
  <c r="AC5" i="41"/>
  <c r="AC8" i="41"/>
  <c r="AC11" i="41"/>
  <c r="AC14" i="41"/>
  <c r="AC17" i="41"/>
  <c r="AC20" i="41"/>
  <c r="AC23" i="41"/>
  <c r="AC26" i="41"/>
  <c r="AC29" i="41"/>
  <c r="AC32" i="41"/>
  <c r="AC35" i="41"/>
  <c r="AC38" i="41"/>
  <c r="AC41" i="41"/>
  <c r="AC44" i="41"/>
  <c r="AC47" i="41"/>
  <c r="AC50" i="41"/>
  <c r="AF7" i="44"/>
  <c r="AH7" i="44"/>
  <c r="AH8" i="44"/>
  <c r="AG8" i="44"/>
  <c r="AG7" i="44"/>
  <c r="AF8" i="44"/>
  <c r="AE50" i="41"/>
  <c r="AE4" i="41"/>
  <c r="AD7" i="41"/>
  <c r="AE51" i="41"/>
  <c r="AD48" i="41"/>
  <c r="AD51" i="41"/>
  <c r="AD4" i="41"/>
  <c r="AE7" i="41"/>
  <c r="AE10" i="41"/>
  <c r="AE13" i="41"/>
  <c r="AE16" i="41"/>
  <c r="AE19" i="41"/>
  <c r="AE22" i="41"/>
  <c r="AE25" i="41"/>
  <c r="AE28" i="41"/>
  <c r="AE31" i="41"/>
  <c r="AE34" i="41"/>
  <c r="AE37" i="41"/>
  <c r="AE40" i="41"/>
  <c r="AE43" i="41"/>
  <c r="AE46" i="41"/>
  <c r="AE49" i="41"/>
  <c r="AD10" i="41"/>
  <c r="AD13" i="41"/>
  <c r="AD16" i="41"/>
  <c r="AD19" i="41"/>
  <c r="AD22" i="41"/>
  <c r="AD25" i="41"/>
  <c r="AC3" i="41"/>
  <c r="AF4" i="41" a="1"/>
  <c r="AF4" i="41" s="1"/>
  <c r="AE5" i="41"/>
  <c r="AE8" i="41"/>
  <c r="AE11" i="41"/>
  <c r="AE14" i="41"/>
  <c r="AE17" i="41"/>
  <c r="AE20" i="41"/>
  <c r="AE23" i="41"/>
  <c r="AE26" i="41"/>
  <c r="AE29" i="41"/>
  <c r="AE32" i="41"/>
  <c r="AE35" i="41"/>
  <c r="AE38" i="41"/>
  <c r="AE41" i="41"/>
  <c r="AE44" i="41"/>
  <c r="AE47" i="41"/>
  <c r="AD3" i="41"/>
  <c r="AG4" i="41" a="1"/>
  <c r="AG4" i="41" s="1"/>
  <c r="AD8" i="41"/>
  <c r="AD11" i="41"/>
  <c r="AD14" i="41"/>
  <c r="AD17" i="41"/>
  <c r="AD20" i="41"/>
  <c r="AD23" i="41"/>
  <c r="AD26" i="41"/>
  <c r="AD29" i="41"/>
  <c r="AD32" i="41"/>
  <c r="AD35" i="41"/>
  <c r="AD38" i="41"/>
  <c r="AD41" i="41"/>
  <c r="AD44" i="41"/>
  <c r="AD47" i="41"/>
  <c r="AD50" i="41"/>
  <c r="AI4" i="41" a="1"/>
  <c r="AI4" i="41" s="1"/>
  <c r="AC4" i="41"/>
  <c r="AE3" i="41"/>
  <c r="AH4" i="41" a="1"/>
  <c r="AH4" i="41" s="1"/>
  <c r="AJ4" i="41" a="1"/>
  <c r="AJ4" i="41" s="1"/>
  <c r="AK4" i="41" a="1"/>
  <c r="AK4" i="41" s="1"/>
  <c r="AC7" i="41"/>
  <c r="AC10" i="41"/>
  <c r="AC13" i="41"/>
  <c r="AC16" i="41"/>
  <c r="AC19" i="41"/>
  <c r="AC22" i="41"/>
  <c r="AC25" i="41"/>
  <c r="AC28" i="41"/>
  <c r="AC31" i="41"/>
  <c r="AC34" i="41"/>
  <c r="AC37" i="41"/>
  <c r="AC40" i="41"/>
  <c r="AC43" i="41"/>
  <c r="AC46" i="41"/>
  <c r="AC49" i="41"/>
  <c r="AC52" i="41"/>
  <c r="AE52" i="41"/>
  <c r="AD28" i="41"/>
  <c r="AD31" i="41"/>
  <c r="AD34" i="41"/>
  <c r="AD37" i="41"/>
  <c r="AD40" i="41"/>
  <c r="AD43" i="41"/>
  <c r="AD46" i="41"/>
  <c r="AD49" i="41"/>
  <c r="AD52" i="41"/>
  <c r="AC37" i="40"/>
  <c r="AC11" i="40"/>
  <c r="AC13" i="40"/>
  <c r="AC23" i="40"/>
  <c r="AC35" i="40"/>
  <c r="AC47" i="40"/>
  <c r="AD4" i="40"/>
  <c r="AC30" i="40"/>
  <c r="AC42" i="40"/>
  <c r="AC20" i="40"/>
  <c r="AC49" i="40"/>
  <c r="AC29" i="40"/>
  <c r="AC41" i="40"/>
  <c r="AC24" i="40"/>
  <c r="AC36" i="40"/>
  <c r="AC48" i="40"/>
  <c r="AC17" i="40"/>
  <c r="AC19" i="40"/>
  <c r="AC34" i="40"/>
  <c r="AC46" i="40"/>
  <c r="AD3" i="40"/>
  <c r="AC25" i="40"/>
  <c r="AC3" i="40"/>
  <c r="AE5" i="40"/>
  <c r="AI4" i="40" a="1"/>
  <c r="AI4" i="40" s="1"/>
  <c r="AE4" i="40"/>
  <c r="AC6" i="40"/>
  <c r="AC4" i="40"/>
  <c r="AD6" i="40"/>
  <c r="AE6" i="40"/>
  <c r="AE30" i="40"/>
  <c r="AE33" i="40"/>
  <c r="AE36" i="40"/>
  <c r="AD9" i="40"/>
  <c r="AD18" i="40"/>
  <c r="AD21" i="40"/>
  <c r="AD30" i="40"/>
  <c r="AD42" i="40"/>
  <c r="AD45" i="40"/>
  <c r="AD48" i="40"/>
  <c r="AE9" i="40"/>
  <c r="AE18" i="40"/>
  <c r="AE10" i="40"/>
  <c r="AE13" i="40"/>
  <c r="AE16" i="40"/>
  <c r="AE22" i="40"/>
  <c r="AE28" i="40"/>
  <c r="AE34" i="40"/>
  <c r="AE46" i="40"/>
  <c r="AE49" i="40"/>
  <c r="AD15" i="40"/>
  <c r="AD36" i="40"/>
  <c r="AD39" i="40"/>
  <c r="AD51" i="40"/>
  <c r="AE15" i="40"/>
  <c r="AE21" i="40"/>
  <c r="AE24" i="40"/>
  <c r="AE27" i="40"/>
  <c r="AE19" i="40"/>
  <c r="AE25" i="40"/>
  <c r="AE31" i="40"/>
  <c r="AE37" i="40"/>
  <c r="AE40" i="40"/>
  <c r="AE43" i="40"/>
  <c r="AE51" i="40"/>
  <c r="AD12" i="40"/>
  <c r="AD24" i="40"/>
  <c r="AD27" i="40"/>
  <c r="AD33" i="40"/>
  <c r="AE12" i="40"/>
  <c r="AE39" i="40"/>
  <c r="AE42" i="40"/>
  <c r="AE45" i="40"/>
  <c r="AE48" i="40"/>
  <c r="AJ4" i="40" a="1"/>
  <c r="AJ4" i="40" s="1"/>
  <c r="AD8" i="40"/>
  <c r="AD11" i="40"/>
  <c r="AD14" i="40"/>
  <c r="AD17" i="40"/>
  <c r="AD20" i="40"/>
  <c r="AD23" i="40"/>
  <c r="AD26" i="40"/>
  <c r="AD29" i="40"/>
  <c r="AD32" i="40"/>
  <c r="AD35" i="40"/>
  <c r="AD38" i="40"/>
  <c r="AD41" i="40"/>
  <c r="AD44" i="40"/>
  <c r="AD47" i="40"/>
  <c r="AD50" i="40"/>
  <c r="AE3" i="40"/>
  <c r="AH4" i="40" a="1"/>
  <c r="AH4" i="40" s="1"/>
  <c r="AK4" i="40" a="1"/>
  <c r="AK4" i="40" s="1"/>
  <c r="AE8" i="40"/>
  <c r="AE11" i="40"/>
  <c r="AE14" i="40"/>
  <c r="AE17" i="40"/>
  <c r="AE20" i="40"/>
  <c r="AE23" i="40"/>
  <c r="AE26" i="40"/>
  <c r="AE29" i="40"/>
  <c r="AE32" i="40"/>
  <c r="AE35" i="40"/>
  <c r="AE38" i="40"/>
  <c r="AE41" i="40"/>
  <c r="AE44" i="40"/>
  <c r="AE47" i="40"/>
  <c r="AE50" i="40"/>
  <c r="AF4" i="40" a="1"/>
  <c r="AF4" i="40" s="1"/>
  <c r="AF7" i="40" s="1"/>
  <c r="AC5" i="40"/>
  <c r="AC7" i="40"/>
  <c r="AC52" i="40"/>
  <c r="AG4" i="40" a="1"/>
  <c r="AG4" i="40" s="1"/>
  <c r="AD5" i="40"/>
  <c r="AD10" i="40"/>
  <c r="AD13" i="40"/>
  <c r="AD16" i="40"/>
  <c r="AD19" i="40"/>
  <c r="AD22" i="40"/>
  <c r="AD25" i="40"/>
  <c r="AD28" i="40"/>
  <c r="AD31" i="40"/>
  <c r="AD34" i="40"/>
  <c r="AD37" i="40"/>
  <c r="AD40" i="40"/>
  <c r="AD43" i="40"/>
  <c r="AD46" i="40"/>
  <c r="AD49" i="40"/>
  <c r="AE52" i="40"/>
  <c r="AF7" i="41" l="1"/>
  <c r="AG7" i="41"/>
  <c r="AG8" i="41"/>
  <c r="AF8" i="40"/>
  <c r="AG8" i="40"/>
  <c r="AF8" i="41"/>
  <c r="AH7" i="41"/>
  <c r="AH7" i="40"/>
  <c r="AG7" i="40"/>
  <c r="V33" i="12" l="1"/>
  <c r="W33" i="12"/>
  <c r="X33" i="12"/>
  <c r="Y33" i="12"/>
  <c r="Z33" i="12"/>
  <c r="AA33" i="12"/>
  <c r="AB33" i="12" a="1"/>
  <c r="AB33" i="12" s="1"/>
  <c r="V34" i="12"/>
  <c r="W34" i="12"/>
  <c r="X34" i="12"/>
  <c r="Y34" i="12"/>
  <c r="Z34" i="12"/>
  <c r="AA34" i="12"/>
  <c r="AB34" i="12" a="1"/>
  <c r="AB34" i="12" s="1"/>
  <c r="V35" i="12"/>
  <c r="W35" i="12"/>
  <c r="X35" i="12"/>
  <c r="Y35" i="12"/>
  <c r="Z35" i="12"/>
  <c r="AA35" i="12"/>
  <c r="AB35" i="12" a="1"/>
  <c r="AB35" i="12" s="1"/>
  <c r="V36" i="12"/>
  <c r="W36" i="12"/>
  <c r="X36" i="12"/>
  <c r="Y36" i="12"/>
  <c r="Z36" i="12"/>
  <c r="AA36" i="12"/>
  <c r="AB36" i="12" a="1"/>
  <c r="AB36" i="12" s="1"/>
  <c r="V37" i="12"/>
  <c r="W37" i="12"/>
  <c r="X37" i="12"/>
  <c r="Y37" i="12"/>
  <c r="Z37" i="12"/>
  <c r="AA37" i="12"/>
  <c r="AB37" i="12" a="1"/>
  <c r="AB37" i="12" s="1"/>
  <c r="V38" i="12"/>
  <c r="W38" i="12"/>
  <c r="X38" i="12"/>
  <c r="Y38" i="12"/>
  <c r="Z38" i="12"/>
  <c r="AA38" i="12"/>
  <c r="AB38" i="12" a="1"/>
  <c r="AB38" i="12" s="1"/>
  <c r="V39" i="12"/>
  <c r="W39" i="12"/>
  <c r="X39" i="12"/>
  <c r="Y39" i="12"/>
  <c r="Z39" i="12"/>
  <c r="AA39" i="12"/>
  <c r="AB39" i="12" a="1"/>
  <c r="AB39" i="12" s="1"/>
  <c r="V40" i="12"/>
  <c r="W40" i="12"/>
  <c r="X40" i="12"/>
  <c r="Y40" i="12"/>
  <c r="Z40" i="12"/>
  <c r="AA40" i="12"/>
  <c r="AB40" i="12" a="1"/>
  <c r="AB40" i="12" s="1"/>
  <c r="V41" i="12"/>
  <c r="W41" i="12"/>
  <c r="X41" i="12"/>
  <c r="Y41" i="12"/>
  <c r="Z41" i="12"/>
  <c r="AA41" i="12"/>
  <c r="AB41" i="12" a="1"/>
  <c r="AB41" i="12" s="1"/>
  <c r="V42" i="12"/>
  <c r="W42" i="12"/>
  <c r="X42" i="12"/>
  <c r="Y42" i="12"/>
  <c r="Z42" i="12"/>
  <c r="AA42" i="12"/>
  <c r="AB42" i="12" a="1"/>
  <c r="AB42" i="12" s="1"/>
  <c r="V43" i="12"/>
  <c r="W43" i="12"/>
  <c r="X43" i="12"/>
  <c r="Y43" i="12"/>
  <c r="Z43" i="12"/>
  <c r="AA43" i="12"/>
  <c r="AB43" i="12" a="1"/>
  <c r="AB43" i="12" s="1"/>
  <c r="V44" i="12"/>
  <c r="W44" i="12"/>
  <c r="X44" i="12"/>
  <c r="Y44" i="12"/>
  <c r="Z44" i="12"/>
  <c r="AA44" i="12"/>
  <c r="AB44" i="12" a="1"/>
  <c r="AB44" i="12" s="1"/>
  <c r="V45" i="12"/>
  <c r="W45" i="12"/>
  <c r="X45" i="12"/>
  <c r="Y45" i="12"/>
  <c r="Z45" i="12"/>
  <c r="AA45" i="12"/>
  <c r="AB45" i="12" a="1"/>
  <c r="AB45" i="12" s="1"/>
  <c r="V46" i="12"/>
  <c r="W46" i="12"/>
  <c r="X46" i="12"/>
  <c r="Y46" i="12"/>
  <c r="Z46" i="12"/>
  <c r="AA46" i="12"/>
  <c r="AB46" i="12" a="1"/>
  <c r="AB46" i="12" s="1"/>
  <c r="V47" i="12"/>
  <c r="W47" i="12"/>
  <c r="X47" i="12"/>
  <c r="Y47" i="12"/>
  <c r="Z47" i="12"/>
  <c r="AA47" i="12"/>
  <c r="AB47" i="12" a="1"/>
  <c r="AB47" i="12" s="1"/>
  <c r="V48" i="12"/>
  <c r="W48" i="12"/>
  <c r="X48" i="12"/>
  <c r="Y48" i="12"/>
  <c r="Z48" i="12"/>
  <c r="AA48" i="12"/>
  <c r="AB48" i="12" a="1"/>
  <c r="AB48" i="12" s="1"/>
  <c r="V49" i="12"/>
  <c r="W49" i="12"/>
  <c r="X49" i="12"/>
  <c r="Y49" i="12"/>
  <c r="Z49" i="12"/>
  <c r="AA49" i="12"/>
  <c r="AB49" i="12" a="1"/>
  <c r="AB49" i="12" s="1"/>
  <c r="V50" i="12"/>
  <c r="W50" i="12"/>
  <c r="X50" i="12"/>
  <c r="Y50" i="12"/>
  <c r="Z50" i="12"/>
  <c r="AA50" i="12"/>
  <c r="AB50" i="12" a="1"/>
  <c r="AB50" i="12" s="1"/>
  <c r="V51" i="12"/>
  <c r="W51" i="12"/>
  <c r="X51" i="12"/>
  <c r="Y51" i="12"/>
  <c r="Z51" i="12"/>
  <c r="AA51" i="12"/>
  <c r="AB51" i="12" a="1"/>
  <c r="AB51" i="12" s="1"/>
  <c r="V52" i="12"/>
  <c r="W52" i="12"/>
  <c r="X52" i="12"/>
  <c r="Y52" i="12"/>
  <c r="Z52" i="12"/>
  <c r="AA52" i="12"/>
  <c r="AB52" i="12" a="1"/>
  <c r="AB52" i="12" s="1"/>
  <c r="V23" i="12"/>
  <c r="W23" i="12"/>
  <c r="X23" i="12"/>
  <c r="Y23" i="12"/>
  <c r="Z23" i="12"/>
  <c r="AA23" i="12"/>
  <c r="AB23" i="12" a="1"/>
  <c r="AB23" i="12" s="1"/>
  <c r="V24" i="12"/>
  <c r="W24" i="12"/>
  <c r="X24" i="12"/>
  <c r="Y24" i="12"/>
  <c r="Z24" i="12"/>
  <c r="AA24" i="12"/>
  <c r="AB24" i="12" a="1"/>
  <c r="AB24" i="12" s="1"/>
  <c r="V25" i="12"/>
  <c r="W25" i="12"/>
  <c r="X25" i="12"/>
  <c r="Y25" i="12"/>
  <c r="Z25" i="12"/>
  <c r="AA25" i="12"/>
  <c r="AB25" i="12" a="1"/>
  <c r="AB25" i="12" s="1"/>
  <c r="V26" i="12"/>
  <c r="W26" i="12"/>
  <c r="X26" i="12"/>
  <c r="Y26" i="12"/>
  <c r="Z26" i="12"/>
  <c r="AA26" i="12"/>
  <c r="AB26" i="12" a="1"/>
  <c r="AB26" i="12" s="1"/>
  <c r="V27" i="12"/>
  <c r="W27" i="12"/>
  <c r="X27" i="12"/>
  <c r="Y27" i="12"/>
  <c r="Z27" i="12"/>
  <c r="AA27" i="12"/>
  <c r="AB27" i="12" a="1"/>
  <c r="AB27" i="12" s="1"/>
  <c r="V28" i="12"/>
  <c r="W28" i="12"/>
  <c r="X28" i="12"/>
  <c r="Y28" i="12"/>
  <c r="Z28" i="12"/>
  <c r="AA28" i="12"/>
  <c r="AB28" i="12" a="1"/>
  <c r="AB28" i="12" s="1"/>
  <c r="V29" i="12"/>
  <c r="W29" i="12"/>
  <c r="X29" i="12"/>
  <c r="Y29" i="12"/>
  <c r="Z29" i="12"/>
  <c r="AA29" i="12"/>
  <c r="AB29" i="12" a="1"/>
  <c r="AB29" i="12" s="1"/>
  <c r="V30" i="12"/>
  <c r="W30" i="12"/>
  <c r="X30" i="12"/>
  <c r="Y30" i="12"/>
  <c r="Z30" i="12"/>
  <c r="AA30" i="12"/>
  <c r="AB30" i="12" a="1"/>
  <c r="AB30" i="12" s="1"/>
  <c r="V31" i="12"/>
  <c r="W31" i="12"/>
  <c r="X31" i="12"/>
  <c r="Y31" i="12"/>
  <c r="Z31" i="12"/>
  <c r="AA31" i="12"/>
  <c r="AB31" i="12" a="1"/>
  <c r="AB31" i="12" s="1"/>
  <c r="V32" i="12"/>
  <c r="W32" i="12"/>
  <c r="X32" i="12"/>
  <c r="Y32" i="12"/>
  <c r="Z32" i="12"/>
  <c r="AA32" i="12"/>
  <c r="AB32" i="12" a="1"/>
  <c r="AB32" i="12" s="1"/>
  <c r="V13" i="12"/>
  <c r="W13" i="12"/>
  <c r="X13" i="12"/>
  <c r="Y13" i="12"/>
  <c r="Z13" i="12"/>
  <c r="AA13" i="12"/>
  <c r="AB13" i="12" a="1"/>
  <c r="AB13" i="12" s="1"/>
  <c r="V14" i="12"/>
  <c r="W14" i="12"/>
  <c r="X14" i="12"/>
  <c r="Y14" i="12"/>
  <c r="Z14" i="12"/>
  <c r="AA14" i="12"/>
  <c r="AB14" i="12" a="1"/>
  <c r="AB14" i="12" s="1"/>
  <c r="V15" i="12"/>
  <c r="W15" i="12"/>
  <c r="X15" i="12"/>
  <c r="Y15" i="12"/>
  <c r="Z15" i="12"/>
  <c r="AA15" i="12"/>
  <c r="AB15" i="12" a="1"/>
  <c r="AB15" i="12" s="1"/>
  <c r="V16" i="12"/>
  <c r="W16" i="12"/>
  <c r="X16" i="12"/>
  <c r="Y16" i="12"/>
  <c r="Z16" i="12"/>
  <c r="AA16" i="12"/>
  <c r="AB16" i="12" a="1"/>
  <c r="AB16" i="12" s="1"/>
  <c r="V17" i="12"/>
  <c r="W17" i="12"/>
  <c r="X17" i="12"/>
  <c r="Y17" i="12"/>
  <c r="Z17" i="12"/>
  <c r="AA17" i="12"/>
  <c r="AB17" i="12" a="1"/>
  <c r="AB17" i="12" s="1"/>
  <c r="V18" i="12"/>
  <c r="W18" i="12"/>
  <c r="X18" i="12"/>
  <c r="Y18" i="12"/>
  <c r="Z18" i="12"/>
  <c r="AA18" i="12"/>
  <c r="AB18" i="12" a="1"/>
  <c r="AB18" i="12" s="1"/>
  <c r="V19" i="12"/>
  <c r="W19" i="12"/>
  <c r="X19" i="12"/>
  <c r="Y19" i="12"/>
  <c r="Z19" i="12"/>
  <c r="AA19" i="12"/>
  <c r="AB19" i="12" a="1"/>
  <c r="AB19" i="12" s="1"/>
  <c r="V20" i="12"/>
  <c r="W20" i="12"/>
  <c r="X20" i="12"/>
  <c r="Y20" i="12"/>
  <c r="Z20" i="12"/>
  <c r="AA20" i="12"/>
  <c r="AB20" i="12" a="1"/>
  <c r="AB20" i="12" s="1"/>
  <c r="V21" i="12"/>
  <c r="W21" i="12"/>
  <c r="X21" i="12"/>
  <c r="Y21" i="12"/>
  <c r="Z21" i="12"/>
  <c r="AA21" i="12"/>
  <c r="AB21" i="12" a="1"/>
  <c r="AB21" i="12" s="1"/>
  <c r="V22" i="12"/>
  <c r="W22" i="12"/>
  <c r="X22" i="12"/>
  <c r="Y22" i="12"/>
  <c r="Z22" i="12"/>
  <c r="AA22" i="12"/>
  <c r="AB22" i="12" a="1"/>
  <c r="AB22" i="12" s="1"/>
  <c r="AB4" i="12" a="1"/>
  <c r="AB4" i="12" s="1"/>
  <c r="AB5" i="12" a="1"/>
  <c r="AB5" i="12" s="1"/>
  <c r="AB6" i="12" a="1"/>
  <c r="AB6" i="12" s="1"/>
  <c r="AB7" i="12" a="1"/>
  <c r="AB7" i="12" s="1"/>
  <c r="AB8" i="12" a="1"/>
  <c r="AB8" i="12" s="1"/>
  <c r="AB9" i="12" a="1"/>
  <c r="AB9" i="12" s="1"/>
  <c r="AB10" i="12" a="1"/>
  <c r="AB10" i="12" s="1"/>
  <c r="AB11" i="12" a="1"/>
  <c r="AB11" i="12" s="1"/>
  <c r="AB12" i="12" a="1"/>
  <c r="AB12" i="12" s="1"/>
  <c r="AB3" i="12" a="1"/>
  <c r="AB3" i="12" s="1"/>
  <c r="AJ4" i="12"/>
  <c r="AJ5" i="12"/>
  <c r="AJ6" i="12"/>
  <c r="AJ7" i="12"/>
  <c r="AJ8" i="12"/>
  <c r="AJ9" i="12"/>
  <c r="AJ10" i="12"/>
  <c r="AJ11" i="12"/>
  <c r="AJ12" i="12"/>
  <c r="AJ13" i="12"/>
  <c r="AJ14" i="12"/>
  <c r="AJ15" i="12"/>
  <c r="AJ16" i="12"/>
  <c r="AJ17" i="12"/>
  <c r="AJ18" i="12"/>
  <c r="AJ19" i="12"/>
  <c r="AJ20" i="12"/>
  <c r="AJ21" i="12"/>
  <c r="AJ22" i="12"/>
  <c r="AJ23" i="12"/>
  <c r="AJ24" i="12"/>
  <c r="AJ25" i="12"/>
  <c r="AJ26" i="12"/>
  <c r="AJ27" i="12"/>
  <c r="AJ28" i="12"/>
  <c r="AJ29" i="12"/>
  <c r="AJ30" i="12"/>
  <c r="AJ31" i="12"/>
  <c r="AJ32" i="12"/>
  <c r="AJ33" i="12"/>
  <c r="AJ34" i="12"/>
  <c r="AJ35" i="12"/>
  <c r="AJ36" i="12"/>
  <c r="AJ37" i="12"/>
  <c r="AJ38" i="12"/>
  <c r="AJ39" i="12"/>
  <c r="AJ40" i="12"/>
  <c r="AJ41" i="12"/>
  <c r="AJ42" i="12"/>
  <c r="AJ43" i="12"/>
  <c r="AJ44" i="12"/>
  <c r="AJ45" i="12"/>
  <c r="AJ46" i="12"/>
  <c r="AJ47" i="12"/>
  <c r="AJ48" i="12"/>
  <c r="AJ49" i="12"/>
  <c r="AJ50" i="12"/>
  <c r="AJ51" i="12"/>
  <c r="AJ52" i="12"/>
  <c r="AJ3" i="12"/>
  <c r="O13" i="4"/>
  <c r="P13" i="4"/>
  <c r="Q13" i="4"/>
  <c r="R13" i="4"/>
  <c r="S13" i="4"/>
  <c r="T13" i="4"/>
  <c r="O14" i="4"/>
  <c r="P14" i="4"/>
  <c r="Q14" i="4"/>
  <c r="R14" i="4"/>
  <c r="S14" i="4"/>
  <c r="T14" i="4"/>
  <c r="O15" i="4"/>
  <c r="P15" i="4"/>
  <c r="Q15" i="4"/>
  <c r="R15" i="4"/>
  <c r="S15" i="4"/>
  <c r="T15" i="4"/>
  <c r="O16" i="4"/>
  <c r="P16" i="4"/>
  <c r="Q16" i="4"/>
  <c r="R16" i="4"/>
  <c r="S16" i="4"/>
  <c r="T16" i="4"/>
  <c r="O17" i="4"/>
  <c r="P17" i="4"/>
  <c r="Q17" i="4"/>
  <c r="R17" i="4"/>
  <c r="S17" i="4"/>
  <c r="T17" i="4"/>
  <c r="O18" i="4"/>
  <c r="P18" i="4"/>
  <c r="Q18" i="4"/>
  <c r="R18" i="4"/>
  <c r="S18" i="4"/>
  <c r="T18" i="4"/>
  <c r="V3" i="4"/>
  <c r="V5" i="12" l="1"/>
  <c r="W5" i="12"/>
  <c r="X5" i="12"/>
  <c r="Y5" i="12"/>
  <c r="Z5" i="12"/>
  <c r="AA5" i="12"/>
  <c r="V11" i="12"/>
  <c r="W11" i="12"/>
  <c r="X11" i="12"/>
  <c r="Y11" i="12"/>
  <c r="Z11" i="12"/>
  <c r="AA11" i="12"/>
  <c r="V12" i="12"/>
  <c r="W12" i="12"/>
  <c r="X12" i="12"/>
  <c r="Y12" i="12"/>
  <c r="Z12" i="12"/>
  <c r="AA12" i="12"/>
  <c r="V3" i="12" l="1"/>
  <c r="V4" i="12"/>
  <c r="V6" i="12"/>
  <c r="V7" i="12"/>
  <c r="V8" i="12"/>
  <c r="V9" i="12"/>
  <c r="V10" i="12"/>
  <c r="AA10" i="12" l="1"/>
  <c r="Z10" i="12"/>
  <c r="Y10" i="12"/>
  <c r="X10" i="12"/>
  <c r="W10" i="12"/>
  <c r="AA9" i="12"/>
  <c r="Z9" i="12"/>
  <c r="Y9" i="12"/>
  <c r="X9" i="12"/>
  <c r="W9" i="12"/>
  <c r="AA8" i="12"/>
  <c r="Z8" i="12"/>
  <c r="Y8" i="12"/>
  <c r="X8" i="12"/>
  <c r="W8" i="12"/>
  <c r="AA7" i="12"/>
  <c r="Z7" i="12"/>
  <c r="Y7" i="12"/>
  <c r="X7" i="12"/>
  <c r="W7" i="12"/>
  <c r="AA6" i="12"/>
  <c r="Z6" i="12"/>
  <c r="Y6" i="12"/>
  <c r="X6" i="12"/>
  <c r="W6" i="12"/>
  <c r="AA4" i="12"/>
  <c r="Z4" i="12"/>
  <c r="Y4" i="12"/>
  <c r="X4" i="12"/>
  <c r="W4" i="12"/>
  <c r="AA3" i="12"/>
  <c r="Z3" i="12"/>
  <c r="Y3" i="12"/>
  <c r="X3" i="12"/>
  <c r="W3" i="12"/>
  <c r="H18" i="4" l="1"/>
  <c r="I18" i="4"/>
  <c r="J18" i="4"/>
  <c r="K18" i="4"/>
  <c r="L18" i="4"/>
  <c r="M18" i="4"/>
  <c r="H3" i="4"/>
  <c r="O3" i="4" s="1"/>
  <c r="I3" i="4"/>
  <c r="J3" i="4"/>
  <c r="K3" i="4"/>
  <c r="R3" i="4" s="1"/>
  <c r="L3" i="4"/>
  <c r="S3" i="4" s="1"/>
  <c r="M3" i="4"/>
  <c r="T3" i="4" s="1"/>
  <c r="H4" i="4"/>
  <c r="O4" i="4" s="1"/>
  <c r="I4" i="4"/>
  <c r="J4" i="4"/>
  <c r="K4" i="4"/>
  <c r="R4" i="4" s="1"/>
  <c r="L4" i="4"/>
  <c r="S4" i="4" s="1"/>
  <c r="M4" i="4"/>
  <c r="T4" i="4" s="1"/>
  <c r="H5" i="4"/>
  <c r="O5" i="4" s="1"/>
  <c r="I5" i="4"/>
  <c r="J5" i="4"/>
  <c r="K5" i="4"/>
  <c r="R5" i="4" s="1"/>
  <c r="L5" i="4"/>
  <c r="S5" i="4" s="1"/>
  <c r="M5" i="4"/>
  <c r="T5" i="4" s="1"/>
  <c r="H6" i="4"/>
  <c r="O6" i="4" s="1"/>
  <c r="I6" i="4"/>
  <c r="J6" i="4"/>
  <c r="K6" i="4"/>
  <c r="R6" i="4" s="1"/>
  <c r="L6" i="4"/>
  <c r="S6" i="4" s="1"/>
  <c r="M6" i="4"/>
  <c r="T6" i="4" s="1"/>
  <c r="H7" i="4"/>
  <c r="O7" i="4" s="1"/>
  <c r="I7" i="4"/>
  <c r="J7" i="4"/>
  <c r="K7" i="4"/>
  <c r="R7" i="4" s="1"/>
  <c r="L7" i="4"/>
  <c r="S7" i="4" s="1"/>
  <c r="M7" i="4"/>
  <c r="T7" i="4" s="1"/>
  <c r="Q7" i="4" l="1"/>
  <c r="P3" i="4"/>
  <c r="Q3" i="4"/>
  <c r="Q5" i="4"/>
  <c r="P7" i="4"/>
  <c r="P5" i="4"/>
  <c r="Q6" i="4"/>
  <c r="Q4" i="4"/>
  <c r="P6" i="4"/>
  <c r="P4" i="4"/>
  <c r="H8" i="4"/>
  <c r="O8" i="4" s="1"/>
  <c r="I8" i="4"/>
  <c r="J8" i="4"/>
  <c r="K8" i="4"/>
  <c r="R8" i="4" s="1"/>
  <c r="L8" i="4"/>
  <c r="S8" i="4" s="1"/>
  <c r="M8" i="4"/>
  <c r="T8" i="4" s="1"/>
  <c r="H9" i="4"/>
  <c r="O9" i="4" s="1"/>
  <c r="I9" i="4"/>
  <c r="J9" i="4"/>
  <c r="K9" i="4"/>
  <c r="R9" i="4" s="1"/>
  <c r="L9" i="4"/>
  <c r="S9" i="4" s="1"/>
  <c r="M9" i="4"/>
  <c r="T9" i="4" s="1"/>
  <c r="H10" i="4"/>
  <c r="O10" i="4" s="1"/>
  <c r="I10" i="4"/>
  <c r="J10" i="4"/>
  <c r="K10" i="4"/>
  <c r="R10" i="4" s="1"/>
  <c r="L10" i="4"/>
  <c r="S10" i="4" s="1"/>
  <c r="M10" i="4"/>
  <c r="T10" i="4" s="1"/>
  <c r="H11" i="4"/>
  <c r="O11" i="4" s="1"/>
  <c r="I11" i="4"/>
  <c r="J11" i="4"/>
  <c r="K11" i="4"/>
  <c r="R11" i="4" s="1"/>
  <c r="L11" i="4"/>
  <c r="S11" i="4" s="1"/>
  <c r="M11" i="4"/>
  <c r="T11" i="4" s="1"/>
  <c r="H12" i="4"/>
  <c r="O12" i="4" s="1"/>
  <c r="I12" i="4"/>
  <c r="P12" i="4" s="1"/>
  <c r="J12" i="4"/>
  <c r="K12" i="4"/>
  <c r="R12" i="4" s="1"/>
  <c r="L12" i="4"/>
  <c r="S12" i="4" s="1"/>
  <c r="M12" i="4"/>
  <c r="T12" i="4" s="1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Q12" i="4" l="1"/>
  <c r="Q9" i="4"/>
  <c r="P9" i="4"/>
  <c r="P11" i="4"/>
  <c r="Q11" i="4"/>
  <c r="Q8" i="4"/>
  <c r="P10" i="4"/>
  <c r="Q10" i="4"/>
  <c r="P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<sst xmlns="http://schemas.openxmlformats.org/spreadsheetml/2006/main" count="263" uniqueCount="48">
  <si>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</si>
  <si>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</si>
  <si>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</si>
  <si>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</si>
  <si>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</si>
  <si>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</si>
  <si>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</si>
  <si>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</si>
  <si>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</si>
  <si>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</si>
  <si>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</si>
  <si>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</si>
  <si>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</si>
  <si>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</si>
  <si>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</si>
  <si>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</si>
  <si>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</si>
  <si>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</si>
  <si>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</si>
  <si>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</si>
  <si>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</si>
  <si>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</si>
  <si>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F1 (N)</t>
  </si>
  <si>
    <t>s1 (m)</t>
  </si>
  <si>
    <t>F2 (N)</t>
  </si>
  <si>
    <t>s2 (m)</t>
  </si>
  <si>
    <t>Absolute Mean Error</t>
  </si>
  <si>
    <t>Absolute Mean Error (Across Both Forces)</t>
  </si>
  <si>
    <t>force_error</t>
  </si>
  <si>
    <t>position_error</t>
  </si>
  <si>
    <t>angle_error</t>
  </si>
  <si>
    <t>Stats</t>
  </si>
  <si>
    <t>f_final</t>
  </si>
  <si>
    <t>theta1 (rad)</t>
  </si>
  <si>
    <t>theta2 (rad)</t>
  </si>
  <si>
    <t>singular values</t>
  </si>
  <si>
    <t>Axis Conversion</t>
  </si>
  <si>
    <t xml:space="preserve"> Transformation</t>
  </si>
  <si>
    <t>Sensor Offset (m)</t>
  </si>
  <si>
    <t>abs(s1-s2)</t>
  </si>
  <si>
    <t>Extra</t>
  </si>
  <si>
    <t>Sensor Ranges</t>
  </si>
  <si>
    <t>NRMSE (%FS)</t>
  </si>
  <si>
    <t>[</t>
  </si>
  <si>
    <t>;</t>
  </si>
  <si>
    <t>]</t>
  </si>
  <si>
    <t>Overall NRMSE</t>
  </si>
  <si>
    <t xml:space="preserve">RMSE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</si>
</sst>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10" borderId="0" applyNumberFormat="0" applyBorder="0" applyAlignment="0" applyProtection="0"/>
  </cellStyleXfs>
  <cellXfs count="46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11" fontId="0" fillId="0" borderId="0" xfId="0" applyNumberFormat="1"/>
    <xf numFmtId="164" fontId="3" fillId="8" borderId="1" xfId="0" applyNumberFormat="1" applyFont="1" applyFill="1" applyBorder="1"/>
    <xf numFmtId="0" fontId="2" fillId="6" borderId="1" xfId="0" applyFont="1" applyFill="1" applyBorder="1"/>
    <xf numFmtId="0" fontId="0" fillId="0" borderId="1" xfId="0" applyBorder="1"/>
    <xf numFmtId="166" fontId="3" fillId="8" borderId="1" xfId="0" applyNumberFormat="1" applyFont="1" applyFill="1" applyBorder="1"/>
    <xf numFmtId="166" fontId="3" fillId="8" borderId="12" xfId="0" applyNumberFormat="1" applyFont="1" applyFill="1" applyBorder="1"/>
    <xf numFmtId="166" fontId="0" fillId="0" borderId="1" xfId="0" applyNumberFormat="1" applyBorder="1"/>
    <xf numFmtId="165" fontId="3" fillId="8" borderId="1" xfId="0" applyNumberFormat="1" applyFont="1" applyFill="1" applyBorder="1"/>
    <xf numFmtId="166" fontId="0" fillId="0" borderId="0" xfId="0" applyNumberFormat="1"/>
    <xf numFmtId="11" fontId="3" fillId="8" borderId="1" xfId="0" applyNumberFormat="1" applyFont="1" applyFill="1" applyBorder="1"/>
    <xf numFmtId="0" fontId="1" fillId="6" borderId="0" xfId="0" applyFont="1" applyFill="1"/>
    <xf numFmtId="164" fontId="3" fillId="8" borderId="0" xfId="0" applyNumberFormat="1" applyFont="1" applyFill="1"/>
    <xf numFmtId="2" fontId="3" fillId="8" borderId="1" xfId="0" applyNumberFormat="1" applyFont="1" applyFill="1" applyBorder="1"/>
    <xf numFmtId="2" fontId="4" fillId="10" borderId="1" xfId="1" applyNumberFormat="1" applyBorder="1"/>
    <xf numFmtId="164" fontId="4" fillId="10" borderId="1" xfId="1" applyNumberFormat="1" applyBorder="1"/>
    <xf numFmtId="1" fontId="3" fillId="8" borderId="1" xfId="0" applyNumberFormat="1" applyFont="1" applyFill="1" applyBorder="1"/>
    <xf numFmtId="0" fontId="2" fillId="7" borderId="0" xfId="0" applyFont="1" applyFill="1"/>
    <xf numFmtId="164" fontId="3" fillId="8" borderId="13" xfId="0" applyNumberFormat="1" applyFont="1" applyFill="1" applyBorder="1"/>
    <xf numFmtId="166" fontId="3" fillId="8" borderId="0" xfId="0" applyNumberFormat="1" applyFont="1" applyFill="1"/>
    <xf numFmtId="0" fontId="2" fillId="6" borderId="2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1" fillId="11" borderId="8" xfId="0" applyFont="1" applyFill="1" applyBorder="1" applyAlignment="1">
      <alignment horizontal="center"/>
    </xf>
    <xf numFmtId="164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F6D6D"/>
      <color rgb="FFB1B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EE117"/>
  <sheetViews>
    <sheetView tabSelected="1" topLeftCell="O1" zoomScaleNormal="100" workbookViewId="0">
      <pane ySplit="2" topLeftCell="A3" activePane="bottomLeft" state="frozen"/>
      <selection pane="bottomLeft" activeCell="AG10" sqref="AG10"/>
    </sheetView>
  </sheetViews>
  <sheetFormatPr defaultRowHeight="16.5" customHeight="1" x14ac:dyDescent="0.25"/>
  <cols>
    <col min="1" max="2" width="7.42578125" bestFit="1" customWidth="1"/>
    <col min="3" max="3" width="11.85546875" bestFit="1" customWidth="1"/>
    <col min="4" max="5" width="7.42578125" bestFit="1" customWidth="1"/>
    <col min="6" max="6" width="11.85546875" bestFit="1" customWidth="1"/>
    <col min="7" max="9" width="8.5703125" bestFit="1" customWidth="1"/>
    <col min="10" max="11" width="8.42578125" bestFit="1" customWidth="1"/>
    <col min="12" max="15" width="8" bestFit="1" customWidth="1"/>
    <col min="16" max="17" width="8.140625" bestFit="1" customWidth="1"/>
    <col min="18" max="18" width="7.7109375" bestFit="1" customWidth="1"/>
    <col min="19" max="21" width="7" bestFit="1" customWidth="1"/>
    <col min="22" max="23" width="8.140625" bestFit="1" customWidth="1"/>
    <col min="24" max="24" width="7.7109375" bestFit="1" customWidth="1"/>
    <col min="25" max="27" width="7.28515625" bestFit="1" customWidth="1"/>
    <col min="28" max="28" width="14" bestFit="1" customWidth="1"/>
    <col min="29" max="30" width="8.140625" bestFit="1" customWidth="1"/>
    <col min="31" max="31" width="7.7109375" bestFit="1" customWidth="1"/>
    <col min="32" max="34" width="6.42578125" bestFit="1" customWidth="1"/>
    <col min="35" max="35" width="15.140625" bestFit="1" customWidth="1"/>
    <col min="36" max="36" width="10.7109375" bestFit="1" customWidth="1"/>
    <col min="37" max="37" width="14.5703125" bestFit="1" customWidth="1"/>
  </cols>
  <sheetData>
    <row r="1" spans="1:135" ht="16.5" customHeight="1" x14ac:dyDescent="0.25">
      <c r="A1" s="25" t="s">
        <v>11</v>
      </c>
      <c r="B1" s="25"/>
      <c r="C1" s="25"/>
      <c r="D1" s="25"/>
      <c r="E1" s="25"/>
      <c r="F1" s="25"/>
      <c r="G1" s="25"/>
      <c r="H1" s="25"/>
      <c r="I1" s="26"/>
      <c r="J1" s="27" t="s">
        <v>6</v>
      </c>
      <c r="K1" s="28"/>
      <c r="L1" s="28"/>
      <c r="M1" s="28"/>
      <c r="N1" s="28"/>
      <c r="O1" s="28"/>
      <c r="P1" s="34" t="s">
        <v>12</v>
      </c>
      <c r="Q1" s="35"/>
      <c r="R1" s="35"/>
      <c r="S1" s="35"/>
      <c r="T1" s="35"/>
      <c r="U1" s="35"/>
      <c r="V1" s="39" t="s">
        <v>14</v>
      </c>
      <c r="W1" s="40"/>
      <c r="X1" s="40"/>
      <c r="Y1" s="40"/>
      <c r="Z1" s="40"/>
      <c r="AA1" s="41"/>
      <c r="AB1" s="42" t="s">
        <v>47</v>
      </c>
      <c r="AC1" s="43"/>
      <c r="AD1" s="43"/>
      <c r="AE1" s="43"/>
      <c r="AF1" s="43"/>
      <c r="AG1" s="43"/>
      <c r="AH1" s="43"/>
      <c r="AI1" s="44"/>
      <c r="AJ1" s="33" t="s">
        <v>40</v>
      </c>
      <c r="AK1" s="33"/>
      <c r="AL1" s="33" t="s">
        <v>41</v>
      </c>
      <c r="AM1" s="33"/>
      <c r="AN1" s="33"/>
      <c r="AO1" s="33"/>
      <c r="AP1" s="33"/>
      <c r="AQ1" s="33"/>
    </row>
    <row r="2" spans="1:135" ht="16.5" customHeight="1" x14ac:dyDescent="0.25">
      <c r="A2" s="1" t="s">
        <v>22</v>
      </c>
      <c r="B2" s="1" t="s">
        <v>23</v>
      </c>
      <c r="C2" s="1" t="s">
        <v>33</v>
      </c>
      <c r="D2" s="1" t="s">
        <v>24</v>
      </c>
      <c r="E2" s="1" t="s">
        <v>25</v>
      </c>
      <c r="F2" s="1" t="s">
        <v>34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3</v>
      </c>
      <c r="Q2" s="1" t="s">
        <v>4</v>
      </c>
      <c r="R2" s="1" t="s">
        <v>5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  <c r="Y2" s="1" t="s">
        <v>0</v>
      </c>
      <c r="Z2" s="1" t="s">
        <v>1</v>
      </c>
      <c r="AA2" s="1" t="s">
        <v>2</v>
      </c>
      <c r="AB2" s="1" t="s">
        <v>42</v>
      </c>
      <c r="AC2" s="1" t="s">
        <v>3</v>
      </c>
      <c r="AD2" s="1" t="s">
        <v>4</v>
      </c>
      <c r="AE2" s="1" t="s">
        <v>5</v>
      </c>
      <c r="AF2" s="1" t="s">
        <v>0</v>
      </c>
      <c r="AG2" s="1" t="s">
        <v>1</v>
      </c>
      <c r="AH2" s="1" t="s">
        <v>2</v>
      </c>
      <c r="AI2" s="1" t="s">
        <v>46</v>
      </c>
      <c r="AJ2" s="1" t="s">
        <v>39</v>
      </c>
      <c r="AK2" s="6" t="s">
        <v>35</v>
      </c>
      <c r="AL2" s="1" t="s">
        <v>18</v>
      </c>
      <c r="AM2" s="1" t="s">
        <v>19</v>
      </c>
      <c r="AN2" s="1" t="s">
        <v>20</v>
      </c>
      <c r="AO2" s="1" t="s">
        <v>15</v>
      </c>
      <c r="AP2" s="1" t="s">
        <v>16</v>
      </c>
      <c r="AQ2" s="1" t="s">
        <v>17</v>
      </c>
    </row>
    <row r="3" spans="1:135" s="5" customFormat="1" ht="16.5" customHeight="1" x14ac:dyDescent="0.25">
      <c r="A3" s="17">
        <v>0.57634630980000001</v>
      </c>
      <c r="B3" s="17">
        <v>0.2</v>
      </c>
      <c r="C3" s="18">
        <v>0.78539999999999999</v>
      </c>
      <c r="D3" s="17">
        <v>1.1398024601000001</v>
      </c>
      <c r="E3" s="17">
        <v>0.02</v>
      </c>
      <c r="F3" s="18">
        <v>5.4977999999999998</v>
      </c>
      <c r="G3" s="17">
        <v>0.49272223679999999</v>
      </c>
      <c r="H3" s="17">
        <v>4.4756011583999999</v>
      </c>
      <c r="I3" s="17">
        <v>4.1915536561</v>
      </c>
      <c r="J3" s="8">
        <v>-4.8483535647392299E-3</v>
      </c>
      <c r="K3" s="8">
        <v>-4.9299089163541775E-2</v>
      </c>
      <c r="L3" s="8">
        <v>0.11311967670917589</v>
      </c>
      <c r="M3" s="8">
        <v>-9.3563906848430606E-2</v>
      </c>
      <c r="N3" s="8">
        <v>1.13720595836639</v>
      </c>
      <c r="O3" s="8">
        <v>-0.73825818300247203</v>
      </c>
      <c r="P3" s="11">
        <v>-5.3522883976811131E-3</v>
      </c>
      <c r="Q3" s="11">
        <v>-6.3232708025522527E-2</v>
      </c>
      <c r="R3" s="11">
        <v>9.6597613214680855E-2</v>
      </c>
      <c r="S3" s="11">
        <v>-7.7552464440485386E-2</v>
      </c>
      <c r="T3" s="11">
        <v>1.2150595959744361</v>
      </c>
      <c r="U3" s="11">
        <v>-0.40768149928087855</v>
      </c>
      <c r="V3" s="5">
        <f t="shared" ref="V3:AA3" si="0">J3-P3</f>
        <v>5.0393483294188315E-4</v>
      </c>
      <c r="W3" s="5">
        <f t="shared" si="0"/>
        <v>1.3933618861980752E-2</v>
      </c>
      <c r="X3" s="5">
        <f t="shared" si="0"/>
        <v>1.6522063494495032E-2</v>
      </c>
      <c r="Y3" s="5">
        <f t="shared" si="0"/>
        <v>-1.601144240794522E-2</v>
      </c>
      <c r="Z3" s="5">
        <f t="shared" si="0"/>
        <v>-7.7853637608046089E-2</v>
      </c>
      <c r="AA3" s="5">
        <f t="shared" si="0"/>
        <v>-0.33057668372159349</v>
      </c>
      <c r="AB3" s="16" cm="1">
        <f t="array" ref="AB3">SQRT(SUMPRODUCT(((J3:O3-P3:U3)/$AL$3:$AQ$3)^2)/6)*100</f>
        <v>1.1223523003448495</v>
      </c>
      <c r="AC3" s="5" cm="1">
        <f t="array" ref="AC3">SQRT(SUMPRODUCT((J3:J52-P3:P52)^2)/50)</f>
        <v>4.2957898131744708E-3</v>
      </c>
      <c r="AD3" s="5" cm="1">
        <f t="array" ref="AD3">SQRT(SUMPRODUCT((K3:K52-Q3:Q52)^2)/50)</f>
        <v>1.1340333669401691E-2</v>
      </c>
      <c r="AE3" s="5" cm="1">
        <f t="array" ref="AE3">SQRT(SUMPRODUCT((L3:L52-R3:R52)^2)/50)</f>
        <v>1.2305603576609031E-2</v>
      </c>
      <c r="AF3" s="5" cm="1">
        <f t="array" ref="AF3">SQRT(SUMPRODUCT((M3:M52-S3:S52)^2)/50)</f>
        <v>6.2312000600724671E-2</v>
      </c>
      <c r="AG3" s="5" cm="1">
        <f t="array" ref="AG3">SQRT(SUMPRODUCT((N3:N52-T3:T52)^2)/50)</f>
        <v>0.13663074284105178</v>
      </c>
      <c r="AH3" s="5" cm="1">
        <f t="array" ref="AH3">SQRT(SUMPRODUCT((O3:O52-U3:U52)^2)/50)</f>
        <v>0.1020552684785178</v>
      </c>
      <c r="AI3" s="16" cm="1">
        <f t="array" ref="AI3">SQRT(SUMPRODUCT(((J3:O52-P3:U52)/$AL$3:$AQ$3)^2)/(50*6))*100</f>
        <v>0.78768807598146806</v>
      </c>
      <c r="AJ3" s="5">
        <f>ABS(B3-E3)</f>
        <v>0.18000000000000002</v>
      </c>
      <c r="AK3" s="13">
        <v>63364.800162808497</v>
      </c>
      <c r="AL3" s="19">
        <v>1</v>
      </c>
      <c r="AM3" s="19">
        <v>1</v>
      </c>
      <c r="AN3" s="19">
        <v>1</v>
      </c>
      <c r="AO3" s="19">
        <v>60</v>
      </c>
      <c r="AP3" s="19">
        <v>20</v>
      </c>
      <c r="AQ3" s="19">
        <v>20</v>
      </c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</row>
    <row r="4" spans="1:135" s="5" customFormat="1" ht="16.5" customHeight="1" x14ac:dyDescent="0.25">
      <c r="A4" s="17">
        <v>1.2961945501000001</v>
      </c>
      <c r="B4" s="17">
        <v>0.2</v>
      </c>
      <c r="C4" s="18">
        <v>4.7123999999999997</v>
      </c>
      <c r="D4" s="17">
        <v>0.31907560010000002</v>
      </c>
      <c r="E4" s="17">
        <v>0.02</v>
      </c>
      <c r="F4" s="18">
        <v>1.5708</v>
      </c>
      <c r="G4" s="17">
        <v>0.53253118440000002</v>
      </c>
      <c r="H4" s="17">
        <v>1.6232893740000001</v>
      </c>
      <c r="I4" s="17">
        <v>9.6932284100000002E-2</v>
      </c>
      <c r="J4" s="8">
        <v>-2.2787048947066099E-3</v>
      </c>
      <c r="K4" s="8">
        <v>0.23746988892555226</v>
      </c>
      <c r="L4" s="8">
        <v>-3.8131318800151311E-3</v>
      </c>
      <c r="M4" s="8">
        <v>-0.78536403179168701</v>
      </c>
      <c r="N4" s="8">
        <v>-2.54362337291241E-2</v>
      </c>
      <c r="O4" s="8">
        <v>-0.55368435382842995</v>
      </c>
      <c r="P4" s="11">
        <v>1.1701986284184198E-3</v>
      </c>
      <c r="Q4" s="11">
        <v>0.22575304592788092</v>
      </c>
      <c r="R4" s="11">
        <v>-6.3686180346968918E-4</v>
      </c>
      <c r="S4" s="11">
        <v>-0.84585424854625746</v>
      </c>
      <c r="T4" s="11">
        <v>1.5799178614850325E-3</v>
      </c>
      <c r="U4" s="11">
        <v>-0.66154891799378845</v>
      </c>
      <c r="V4" s="5">
        <f t="shared" ref="V4:V10" si="1">J4-P4</f>
        <v>-3.44890352312503E-3</v>
      </c>
      <c r="W4" s="5">
        <f t="shared" ref="W4:W10" si="2">K4-Q4</f>
        <v>1.171684299767134E-2</v>
      </c>
      <c r="X4" s="5">
        <f t="shared" ref="X4:X10" si="3">L4-R4</f>
        <v>-3.176270076545442E-3</v>
      </c>
      <c r="Y4" s="5">
        <f t="shared" ref="Y4:Y10" si="4">M4-S4</f>
        <v>6.0490216754570447E-2</v>
      </c>
      <c r="Z4" s="5">
        <f t="shared" ref="Z4:Z10" si="5">N4-T4</f>
        <v>-2.7016151590609133E-2</v>
      </c>
      <c r="AA4" s="5">
        <f t="shared" ref="AA4:AA10" si="6">O4-U4</f>
        <v>0.1078645641653585</v>
      </c>
      <c r="AB4" s="16" cm="1">
        <f t="array" ref="AB4">SQRT(SUMPRODUCT(((J4:O4-P4:U4)/$AL$3:$AQ$3)^2)/6)*100</f>
        <v>0.56449983152991945</v>
      </c>
      <c r="AC4" s="16"/>
      <c r="AD4" s="16"/>
      <c r="AE4" s="16"/>
      <c r="AF4" s="16"/>
      <c r="AG4" s="16"/>
      <c r="AH4" s="16"/>
      <c r="AI4" s="16"/>
      <c r="AJ4" s="5">
        <f t="shared" ref="AJ4:AJ52" si="7">ABS(B4-E4)</f>
        <v>0.18000000000000002</v>
      </c>
      <c r="AK4" s="13">
        <v>330.78885343832201</v>
      </c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</row>
    <row r="5" spans="1:135" s="5" customFormat="1" ht="16.5" customHeight="1" x14ac:dyDescent="0.25">
      <c r="A5" s="17">
        <v>0.3432844504</v>
      </c>
      <c r="B5" s="17">
        <v>0.2</v>
      </c>
      <c r="C5" s="18">
        <v>3.1415999999999999</v>
      </c>
      <c r="D5" s="17">
        <v>0.75633386430000005</v>
      </c>
      <c r="E5" s="17">
        <v>0.02</v>
      </c>
      <c r="F5" s="18">
        <v>3.1415999999999999</v>
      </c>
      <c r="G5" s="17">
        <v>3.5593988404000001</v>
      </c>
      <c r="H5" s="17">
        <v>2.6173593599</v>
      </c>
      <c r="I5" s="17">
        <v>2.7214845023000001</v>
      </c>
      <c r="J5" s="8">
        <v>2.7396343648433698E-3</v>
      </c>
      <c r="K5" s="8">
        <v>2.7901530265808086E-5</v>
      </c>
      <c r="L5" s="8">
        <v>-8.8981522321701062E-2</v>
      </c>
      <c r="M5" s="8">
        <v>-7.5504761189222301E-3</v>
      </c>
      <c r="N5" s="8">
        <v>-0.98192942142486594</v>
      </c>
      <c r="O5" s="8">
        <v>4.0116310119628898E-3</v>
      </c>
      <c r="P5" s="11">
        <v>7.3028162382810131E-4</v>
      </c>
      <c r="Q5" s="11">
        <v>1.268337088373496E-4</v>
      </c>
      <c r="R5" s="11">
        <v>-8.2569953249466796E-2</v>
      </c>
      <c r="S5" s="11">
        <v>-4.068402760744947E-2</v>
      </c>
      <c r="T5" s="11">
        <v>-1.0974153501202846</v>
      </c>
      <c r="U5" s="11">
        <v>-1.0869632563358285E-3</v>
      </c>
      <c r="V5" s="5">
        <f t="shared" ref="V5" si="8">J5-P5</f>
        <v>2.0093527410152685E-3</v>
      </c>
      <c r="W5" s="5">
        <f t="shared" ref="W5" si="9">K5-Q5</f>
        <v>-9.8932178571541513E-5</v>
      </c>
      <c r="X5" s="5">
        <f t="shared" ref="X5" si="10">L5-R5</f>
        <v>-6.4115690722342661E-3</v>
      </c>
      <c r="Y5" s="5">
        <f t="shared" ref="Y5" si="11">M5-S5</f>
        <v>3.3133551488527244E-2</v>
      </c>
      <c r="Z5" s="5">
        <f t="shared" ref="Z5" si="12">N5-T5</f>
        <v>0.11548592869541863</v>
      </c>
      <c r="AA5" s="5">
        <f t="shared" ref="AA5" si="13">O5-U5</f>
        <v>5.098594268298718E-3</v>
      </c>
      <c r="AB5" s="16" cm="1">
        <f t="array" ref="AB5">SQRT(SUMPRODUCT(((J5:O5-P5:U5)/$AL$3:$AQ$3)^2)/6)*100</f>
        <v>0.36255561838979583</v>
      </c>
      <c r="AC5" s="16"/>
      <c r="AD5" s="16"/>
      <c r="AE5" s="16"/>
      <c r="AF5" s="16"/>
      <c r="AG5" s="16"/>
      <c r="AH5" s="16"/>
      <c r="AI5" s="16"/>
      <c r="AJ5" s="5">
        <f t="shared" si="7"/>
        <v>0.18000000000000002</v>
      </c>
      <c r="AK5" s="13">
        <v>883.99451977233605</v>
      </c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</row>
    <row r="6" spans="1:135" s="5" customFormat="1" ht="16.5" customHeight="1" x14ac:dyDescent="0.25">
      <c r="A6" s="17">
        <v>0.83277602429999997</v>
      </c>
      <c r="B6" s="17">
        <v>0.2</v>
      </c>
      <c r="C6" s="18">
        <v>4.7123999999999997</v>
      </c>
      <c r="D6" s="17">
        <v>1.4193655153</v>
      </c>
      <c r="E6" s="17">
        <v>0.04</v>
      </c>
      <c r="F6" s="18">
        <v>5.4977999999999998</v>
      </c>
      <c r="G6" s="17">
        <v>4.2084858911999996</v>
      </c>
      <c r="H6" s="17">
        <v>0.52916698419999997</v>
      </c>
      <c r="I6" s="17">
        <v>2.5150427606000001</v>
      </c>
      <c r="J6" s="8">
        <v>-1.43141560256481E-2</v>
      </c>
      <c r="K6" s="8">
        <v>0.19910913825035079</v>
      </c>
      <c r="L6" s="8">
        <v>2.9508465230465089E-2</v>
      </c>
      <c r="M6" s="8">
        <v>-0.46529781818389898</v>
      </c>
      <c r="N6" s="8">
        <v>0.80010873079299905</v>
      </c>
      <c r="O6" s="8">
        <v>-1.7768694162368801</v>
      </c>
      <c r="P6" s="11">
        <v>-9.9467349398809739E-3</v>
      </c>
      <c r="Q6" s="11">
        <v>0.19491140193840861</v>
      </c>
      <c r="R6" s="11">
        <v>3.6661141693672718E-2</v>
      </c>
      <c r="S6" s="11">
        <v>-0.49143762957346776</v>
      </c>
      <c r="T6" s="11">
        <v>0.95769983853539353</v>
      </c>
      <c r="U6" s="11">
        <v>-1.7210880801632216</v>
      </c>
      <c r="V6" s="5">
        <f t="shared" ref="V6:AA7" si="14">J6-P6</f>
        <v>-4.3674210857671258E-3</v>
      </c>
      <c r="W6" s="5">
        <f t="shared" si="14"/>
        <v>4.197736311942174E-3</v>
      </c>
      <c r="X6" s="5">
        <f t="shared" si="14"/>
        <v>-7.1526764632076287E-3</v>
      </c>
      <c r="Y6" s="5">
        <f t="shared" si="14"/>
        <v>2.6139811389568779E-2</v>
      </c>
      <c r="Z6" s="5">
        <f t="shared" si="14"/>
        <v>-0.15759110774239449</v>
      </c>
      <c r="AA6" s="5">
        <f t="shared" si="14"/>
        <v>-5.5781336073658538E-2</v>
      </c>
      <c r="AB6" s="16" cm="1">
        <f t="array" ref="AB6">SQRT(SUMPRODUCT(((J6:O6-P6:U6)/$AL$3:$AQ$3)^2)/6)*100</f>
        <v>0.51301758759947491</v>
      </c>
      <c r="AC6" s="16"/>
      <c r="AD6" s="16"/>
      <c r="AE6" s="16"/>
      <c r="AF6" s="16"/>
      <c r="AG6" s="16"/>
      <c r="AH6" s="16"/>
      <c r="AI6" s="16"/>
      <c r="AJ6" s="5">
        <f t="shared" si="7"/>
        <v>0.16</v>
      </c>
      <c r="AK6" s="13">
        <v>214.863490368529</v>
      </c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</row>
    <row r="7" spans="1:135" s="5" customFormat="1" ht="16.5" customHeight="1" x14ac:dyDescent="0.25">
      <c r="A7" s="17">
        <v>0.3898403909</v>
      </c>
      <c r="B7" s="17">
        <v>0.2</v>
      </c>
      <c r="C7" s="18">
        <v>1.5708</v>
      </c>
      <c r="D7" s="17">
        <v>0.45028828840000001</v>
      </c>
      <c r="E7" s="17">
        <v>0.04</v>
      </c>
      <c r="F7" s="18">
        <v>2.3561999999999999</v>
      </c>
      <c r="G7" s="17">
        <v>0.34676129480000001</v>
      </c>
      <c r="H7" s="17">
        <v>0.93612470940000003</v>
      </c>
      <c r="I7" s="17">
        <v>2.0702513480000002</v>
      </c>
      <c r="J7" s="8">
        <v>-2.77032051235437E-3</v>
      </c>
      <c r="K7" s="8">
        <v>-8.7060849666595136E-2</v>
      </c>
      <c r="L7" s="8">
        <v>-1.0583339482545799E-2</v>
      </c>
      <c r="M7" s="8">
        <v>-2.05973610281944E-2</v>
      </c>
      <c r="N7" s="8">
        <v>-0.34849351644516002</v>
      </c>
      <c r="O7" s="8">
        <v>0.549818456172943</v>
      </c>
      <c r="P7" s="11">
        <v>-7.276571070631906E-4</v>
      </c>
      <c r="Q7" s="11">
        <v>-8.9172478957474627E-2</v>
      </c>
      <c r="R7" s="11">
        <v>-1.2601727917416226E-2</v>
      </c>
      <c r="S7" s="11">
        <v>-7.263349723119128E-2</v>
      </c>
      <c r="T7" s="11">
        <v>-0.31703067497050286</v>
      </c>
      <c r="U7" s="11">
        <v>0.70289083033907995</v>
      </c>
      <c r="V7" s="5">
        <f t="shared" si="14"/>
        <v>-2.0426634052911792E-3</v>
      </c>
      <c r="W7" s="5">
        <f t="shared" si="14"/>
        <v>2.1116292908794909E-3</v>
      </c>
      <c r="X7" s="5">
        <f t="shared" si="14"/>
        <v>2.0183884348704273E-3</v>
      </c>
      <c r="Y7" s="5">
        <f t="shared" si="14"/>
        <v>5.203613620299688E-2</v>
      </c>
      <c r="Z7" s="5">
        <f t="shared" si="14"/>
        <v>-3.1462841474657166E-2</v>
      </c>
      <c r="AA7" s="5">
        <f t="shared" si="14"/>
        <v>-0.15307237416613695</v>
      </c>
      <c r="AB7" s="16" cm="1">
        <f t="array" ref="AB7">SQRT(SUMPRODUCT(((J7:O7-P7:U7)/$AL$3:$AQ$3)^2)/6)*100</f>
        <v>0.35239692263204508</v>
      </c>
      <c r="AC7" s="16"/>
      <c r="AD7" s="16"/>
      <c r="AE7" s="16"/>
      <c r="AF7" s="16"/>
      <c r="AG7" s="16"/>
      <c r="AH7" s="16"/>
      <c r="AI7" s="16"/>
      <c r="AJ7" s="5">
        <f t="shared" si="7"/>
        <v>0.16</v>
      </c>
      <c r="AK7" s="13">
        <v>1314.4733005805001</v>
      </c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</row>
    <row r="8" spans="1:135" s="5" customFormat="1" ht="16.5" customHeight="1" x14ac:dyDescent="0.25">
      <c r="A8" s="17">
        <v>0.86958752539999995</v>
      </c>
      <c r="B8" s="17">
        <v>0.2</v>
      </c>
      <c r="C8" s="18">
        <v>0.78539999999999999</v>
      </c>
      <c r="D8" s="17">
        <v>0.66933871</v>
      </c>
      <c r="E8" s="17">
        <v>0.04</v>
      </c>
      <c r="F8" s="18">
        <v>0.78539999999999999</v>
      </c>
      <c r="G8" s="17">
        <v>2.0486073985000002</v>
      </c>
      <c r="H8" s="17">
        <v>1.4427408886999999</v>
      </c>
      <c r="I8" s="17">
        <v>0.53737298850000004</v>
      </c>
      <c r="J8" s="8">
        <v>-1.20506128296256E-2</v>
      </c>
      <c r="K8" s="8">
        <v>-0.12670553922653227</v>
      </c>
      <c r="L8" s="8">
        <v>0.1496409153938289</v>
      </c>
      <c r="M8" s="8">
        <v>-0.31113249063491799</v>
      </c>
      <c r="N8" s="8">
        <v>1.09533703327179</v>
      </c>
      <c r="O8" s="8">
        <v>0.92608898878097501</v>
      </c>
      <c r="P8" s="11">
        <v>-1.1367256117466265E-2</v>
      </c>
      <c r="Q8" s="11">
        <v>-0.13335299382482552</v>
      </c>
      <c r="R8" s="11">
        <v>0.13649071197421059</v>
      </c>
      <c r="S8" s="11">
        <v>-0.4138247837002525</v>
      </c>
      <c r="T8" s="11">
        <v>1.0510963576902097</v>
      </c>
      <c r="U8" s="11">
        <v>0.99726842982004804</v>
      </c>
      <c r="V8" s="5">
        <f t="shared" si="1"/>
        <v>-6.8335671215933452E-4</v>
      </c>
      <c r="W8" s="5">
        <f t="shared" si="2"/>
        <v>6.6474545982932454E-3</v>
      </c>
      <c r="X8" s="5">
        <f t="shared" si="3"/>
        <v>1.3150203419618312E-2</v>
      </c>
      <c r="Y8" s="5">
        <f t="shared" si="4"/>
        <v>0.10269229306533451</v>
      </c>
      <c r="Z8" s="5">
        <f t="shared" si="5"/>
        <v>4.4240675581580291E-2</v>
      </c>
      <c r="AA8" s="5">
        <f t="shared" si="6"/>
        <v>-7.1179441039073033E-2</v>
      </c>
      <c r="AB8" s="16" cm="1">
        <f t="array" ref="AB8">SQRT(SUMPRODUCT(((J8:O8-P8:U8)/$AL$3:$AQ$3)^2)/6)*100</f>
        <v>0.62991033434261634</v>
      </c>
      <c r="AC8" s="16"/>
      <c r="AD8" s="16"/>
      <c r="AE8" s="16"/>
      <c r="AF8" s="16"/>
      <c r="AG8" s="16"/>
      <c r="AH8" s="16"/>
      <c r="AI8" s="16"/>
      <c r="AJ8" s="5">
        <f t="shared" si="7"/>
        <v>0.16</v>
      </c>
      <c r="AK8" s="13">
        <v>494.45546440875</v>
      </c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</row>
    <row r="9" spans="1:135" s="5" customFormat="1" ht="16.5" customHeight="1" x14ac:dyDescent="0.25">
      <c r="A9" s="17">
        <v>1.2260241731999999</v>
      </c>
      <c r="B9" s="17">
        <v>0.2</v>
      </c>
      <c r="C9" s="18">
        <v>3.1415999999999999</v>
      </c>
      <c r="D9" s="17">
        <v>0.53124592000000004</v>
      </c>
      <c r="E9" s="17">
        <v>0.04</v>
      </c>
      <c r="F9" s="18">
        <v>1.5708</v>
      </c>
      <c r="G9" s="17">
        <v>2.1721905802000001</v>
      </c>
      <c r="H9" s="17">
        <v>4.8592739976999999</v>
      </c>
      <c r="I9" s="17">
        <v>4.1505258277000001</v>
      </c>
      <c r="J9" s="8">
        <v>4.4089788571000099E-3</v>
      </c>
      <c r="K9" s="8">
        <v>-3.1871920824050881E-2</v>
      </c>
      <c r="L9" s="8">
        <v>-0.23815526187419911</v>
      </c>
      <c r="M9" s="8">
        <v>-0.60743898153305098</v>
      </c>
      <c r="N9" s="8">
        <v>-0.81274193525314298</v>
      </c>
      <c r="O9" s="8">
        <v>0.72559177875518799</v>
      </c>
      <c r="P9" s="11">
        <v>1.1621906000636104E-4</v>
      </c>
      <c r="Q9" s="11">
        <v>-1.9647044057656899E-2</v>
      </c>
      <c r="R9" s="11">
        <v>-0.22363328069823935</v>
      </c>
      <c r="S9" s="11">
        <v>-0.67981135425923367</v>
      </c>
      <c r="T9" s="11">
        <v>-1.0200332494927802</v>
      </c>
      <c r="U9" s="11">
        <v>0.52297830467030948</v>
      </c>
      <c r="V9" s="5">
        <f t="shared" si="1"/>
        <v>4.2927597970936491E-3</v>
      </c>
      <c r="W9" s="5">
        <f t="shared" si="2"/>
        <v>-1.2224876766393982E-2</v>
      </c>
      <c r="X9" s="5">
        <f t="shared" si="3"/>
        <v>-1.4521981175959764E-2</v>
      </c>
      <c r="Y9" s="5">
        <f t="shared" si="4"/>
        <v>7.2372372726182688E-2</v>
      </c>
      <c r="Z9" s="5">
        <f t="shared" si="5"/>
        <v>0.2072913142396372</v>
      </c>
      <c r="AA9" s="5">
        <f t="shared" si="6"/>
        <v>0.20261347408487851</v>
      </c>
      <c r="AB9" s="16" cm="1">
        <f t="array" ref="AB9">SQRT(SUMPRODUCT(((J9:O9-P9:U9)/$AL$3:$AQ$3)^2)/6)*100</f>
        <v>0.99186108018374397</v>
      </c>
      <c r="AC9" s="16"/>
      <c r="AD9" s="16"/>
      <c r="AE9" s="16"/>
      <c r="AF9" s="16"/>
      <c r="AG9" s="16"/>
      <c r="AH9" s="16"/>
      <c r="AI9" s="16"/>
      <c r="AJ9" s="5">
        <f t="shared" si="7"/>
        <v>0.16</v>
      </c>
      <c r="AK9" s="13">
        <v>977.362718776885</v>
      </c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</row>
    <row r="10" spans="1:135" s="5" customFormat="1" ht="16.5" customHeight="1" x14ac:dyDescent="0.25">
      <c r="A10" s="17">
        <v>1.4922792275000001</v>
      </c>
      <c r="B10" s="17">
        <v>0.2</v>
      </c>
      <c r="C10" s="18">
        <v>2.3561999999999999</v>
      </c>
      <c r="D10" s="17">
        <v>1.2493008810999999</v>
      </c>
      <c r="E10" s="17">
        <v>0.04</v>
      </c>
      <c r="F10" s="18">
        <v>0.78539999999999999</v>
      </c>
      <c r="G10" s="17">
        <v>0.65138204079999995</v>
      </c>
      <c r="H10" s="17">
        <v>2.3960292019999998</v>
      </c>
      <c r="I10" s="17">
        <v>3.8310385232000002</v>
      </c>
      <c r="J10" s="8">
        <v>3.9877006784081502E-3</v>
      </c>
      <c r="K10" s="8">
        <v>-0.23812925338745111</v>
      </c>
      <c r="L10" s="8">
        <v>-0.16476846545934729</v>
      </c>
      <c r="M10" s="8">
        <v>-0.90740537643432595</v>
      </c>
      <c r="N10" s="8">
        <v>0.22993692755699199</v>
      </c>
      <c r="O10" s="8">
        <v>1.7137415409088099</v>
      </c>
      <c r="P10" s="11">
        <v>7.9854451274276612E-3</v>
      </c>
      <c r="Q10" s="11">
        <v>-0.21923777313689838</v>
      </c>
      <c r="R10" s="11">
        <v>-0.14849959001010518</v>
      </c>
      <c r="S10" s="11">
        <v>-1.073419196850216</v>
      </c>
      <c r="T10" s="11">
        <v>9.2163967639132358E-2</v>
      </c>
      <c r="U10" s="11">
        <v>1.6250315973471461</v>
      </c>
      <c r="V10" s="5">
        <f t="shared" si="1"/>
        <v>-3.9977444490195109E-3</v>
      </c>
      <c r="W10" s="5">
        <f t="shared" si="2"/>
        <v>-1.8891480250552733E-2</v>
      </c>
      <c r="X10" s="5">
        <f t="shared" si="3"/>
        <v>-1.6268875449242104E-2</v>
      </c>
      <c r="Y10" s="5">
        <f t="shared" si="4"/>
        <v>0.16601382041589008</v>
      </c>
      <c r="Z10" s="5">
        <f t="shared" si="5"/>
        <v>0.13777295991785965</v>
      </c>
      <c r="AA10" s="5">
        <f t="shared" si="6"/>
        <v>8.870994356166384E-2</v>
      </c>
      <c r="AB10" s="16" cm="1">
        <f t="array" ref="AB10">SQRT(SUMPRODUCT(((J10:O10-P10:U10)/$AL$3:$AQ$3)^2)/6)*100</f>
        <v>1.0895940533020496</v>
      </c>
      <c r="AC10" s="16"/>
      <c r="AD10" s="16"/>
      <c r="AE10" s="16"/>
      <c r="AF10" s="16"/>
      <c r="AG10" s="16"/>
      <c r="AH10" s="16"/>
      <c r="AI10" s="16"/>
      <c r="AJ10" s="5">
        <f t="shared" si="7"/>
        <v>0.16</v>
      </c>
      <c r="AK10" s="13">
        <v>827.55067436062598</v>
      </c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</row>
    <row r="11" spans="1:135" ht="16.5" customHeight="1" x14ac:dyDescent="0.25">
      <c r="A11" s="17">
        <v>1.4258680059</v>
      </c>
      <c r="B11" s="17">
        <v>0.2</v>
      </c>
      <c r="C11" s="18">
        <v>4.7123999999999997</v>
      </c>
      <c r="D11" s="17">
        <v>0.35291314260000001</v>
      </c>
      <c r="E11" s="17">
        <v>0.04</v>
      </c>
      <c r="F11" s="18">
        <v>0</v>
      </c>
      <c r="G11" s="17">
        <v>3.4810259851000001</v>
      </c>
      <c r="H11" s="17">
        <v>1.1294030872</v>
      </c>
      <c r="I11" s="17">
        <v>4.9138255752999997</v>
      </c>
      <c r="J11" s="8">
        <v>-2.5121536105871201E-2</v>
      </c>
      <c r="K11" s="8">
        <v>0.23443316221237209</v>
      </c>
      <c r="L11" s="8">
        <v>2.2260813415050131E-3</v>
      </c>
      <c r="M11" s="8">
        <v>-1.1394190788269001</v>
      </c>
      <c r="N11" s="8">
        <v>0.194542020559311</v>
      </c>
      <c r="O11" s="8">
        <v>-0.71812152862548795</v>
      </c>
      <c r="P11" s="11">
        <v>-1.505975193401639E-2</v>
      </c>
      <c r="Q11" s="11">
        <v>0.23034927200999691</v>
      </c>
      <c r="R11" s="11">
        <v>5.9929731875091484E-3</v>
      </c>
      <c r="S11" s="11">
        <v>-1.1794758825759248</v>
      </c>
      <c r="T11" s="11">
        <v>0.24622370720071965</v>
      </c>
      <c r="U11" s="11">
        <v>-0.79612146817346952</v>
      </c>
      <c r="V11" s="5">
        <f t="shared" ref="V11:V12" si="15">J11-P11</f>
        <v>-1.0061784171854811E-2</v>
      </c>
      <c r="W11" s="5">
        <f t="shared" ref="W11:W12" si="16">K11-Q11</f>
        <v>4.0838902023751789E-3</v>
      </c>
      <c r="X11" s="5">
        <f t="shared" ref="X11:X12" si="17">L11-R11</f>
        <v>-3.7668918460041353E-3</v>
      </c>
      <c r="Y11" s="5">
        <f t="shared" ref="Y11:Y12" si="18">M11-S11</f>
        <v>4.0056803749024761E-2</v>
      </c>
      <c r="Z11" s="5">
        <f t="shared" ref="Z11:Z12" si="19">N11-T11</f>
        <v>-5.1681686641408653E-2</v>
      </c>
      <c r="AA11" s="5">
        <f t="shared" ref="AA11:AA12" si="20">O11-U11</f>
        <v>7.7999939547981567E-2</v>
      </c>
      <c r="AB11" s="16" cm="1">
        <f t="array" ref="AB11">SQRT(SUMPRODUCT(((J11:O11-P11:U11)/$AL$3:$AQ$3)^2)/6)*100</f>
        <v>0.50734654492891529</v>
      </c>
      <c r="AC11" s="16"/>
      <c r="AD11" s="16"/>
      <c r="AE11" s="16"/>
      <c r="AF11" s="16"/>
      <c r="AG11" s="16"/>
      <c r="AH11" s="16"/>
      <c r="AI11" s="16"/>
      <c r="AJ11" s="5">
        <f t="shared" si="7"/>
        <v>0.16</v>
      </c>
      <c r="AK11" s="13">
        <v>2387.7694271646001</v>
      </c>
    </row>
    <row r="12" spans="1:135" ht="16.5" customHeight="1" x14ac:dyDescent="0.25">
      <c r="A12" s="17">
        <v>1.2847663906</v>
      </c>
      <c r="B12" s="17">
        <v>0.18</v>
      </c>
      <c r="C12" s="18">
        <v>0.78539999999999999</v>
      </c>
      <c r="D12" s="17">
        <v>0.98965387010000005</v>
      </c>
      <c r="E12" s="17">
        <v>0.04</v>
      </c>
      <c r="F12" s="18">
        <v>3.927</v>
      </c>
      <c r="G12" s="17">
        <v>3.2068327339999998</v>
      </c>
      <c r="H12" s="17">
        <v>3.5469168124000001</v>
      </c>
      <c r="I12" s="17">
        <v>1.1514404992</v>
      </c>
      <c r="J12" s="8">
        <v>-1.56177338212729E-2</v>
      </c>
      <c r="K12" s="8">
        <v>-0.12120571285486201</v>
      </c>
      <c r="L12" s="8">
        <v>0.12601706266403204</v>
      </c>
      <c r="M12" s="8">
        <v>-0.64654499292373702</v>
      </c>
      <c r="N12" s="8">
        <v>-2.8156310319900499E-2</v>
      </c>
      <c r="O12" s="8">
        <v>-0.153284221887589</v>
      </c>
      <c r="P12" s="11">
        <v>-2.2032908978442099E-2</v>
      </c>
      <c r="Q12" s="11">
        <v>-0.11991240733687684</v>
      </c>
      <c r="R12" s="11">
        <v>0.1288979206075799</v>
      </c>
      <c r="S12" s="11">
        <v>-0.60916319699981791</v>
      </c>
      <c r="T12" s="11">
        <v>0.14463191039889828</v>
      </c>
      <c r="U12" s="11">
        <v>6.7462752273467928E-3</v>
      </c>
      <c r="V12" s="5">
        <f t="shared" si="15"/>
        <v>6.4151751571691982E-3</v>
      </c>
      <c r="W12" s="5">
        <f t="shared" si="16"/>
        <v>-1.2933055179851632E-3</v>
      </c>
      <c r="X12" s="5">
        <f t="shared" si="17"/>
        <v>-2.8808579435478654E-3</v>
      </c>
      <c r="Y12" s="5">
        <f t="shared" si="18"/>
        <v>-3.7381795923919103E-2</v>
      </c>
      <c r="Z12" s="5">
        <f t="shared" si="19"/>
        <v>-0.17278822071879879</v>
      </c>
      <c r="AA12" s="5">
        <f t="shared" si="20"/>
        <v>-0.1600304971149358</v>
      </c>
      <c r="AB12" s="16" cm="1">
        <f t="array" ref="AB12">SQRT(SUMPRODUCT(((J12:O12-P12:U12)/$AL$3:$AQ$3)^2)/6)*100</f>
        <v>0.56299562359491806</v>
      </c>
      <c r="AC12" s="16"/>
      <c r="AD12" s="16"/>
      <c r="AE12" s="16"/>
      <c r="AF12" s="16"/>
      <c r="AG12" s="16"/>
      <c r="AH12" s="16"/>
      <c r="AI12" s="16"/>
      <c r="AJ12" s="5">
        <f t="shared" si="7"/>
        <v>0.13999999999999999</v>
      </c>
      <c r="AK12" s="13">
        <v>378.090422116365</v>
      </c>
    </row>
    <row r="13" spans="1:135" ht="16.5" customHeight="1" x14ac:dyDescent="0.25">
      <c r="A13" s="17">
        <v>0.82078888689999996</v>
      </c>
      <c r="B13" s="17">
        <v>0.18</v>
      </c>
      <c r="C13" s="18">
        <v>0</v>
      </c>
      <c r="D13" s="17">
        <v>1.3252826163</v>
      </c>
      <c r="E13" s="17">
        <v>0.04</v>
      </c>
      <c r="F13" s="18">
        <v>0</v>
      </c>
      <c r="G13" s="17">
        <v>3.9081993600000003E-2</v>
      </c>
      <c r="H13" s="17">
        <v>2.9262884955000001</v>
      </c>
      <c r="I13" s="17">
        <v>4.7431789933999999</v>
      </c>
      <c r="J13" s="8">
        <v>1.23578244820237E-2</v>
      </c>
      <c r="K13" s="8">
        <v>-1.5243557468056657E-2</v>
      </c>
      <c r="L13" s="8">
        <v>0.2045297563076019</v>
      </c>
      <c r="M13" s="8">
        <v>-0.23820373415946999</v>
      </c>
      <c r="N13" s="8">
        <v>2.0633363723754901</v>
      </c>
      <c r="O13" s="8">
        <v>8.5576176643371596E-2</v>
      </c>
      <c r="P13" s="11">
        <v>1.0402978076572764E-2</v>
      </c>
      <c r="Q13" s="11">
        <v>-3.2170355157620026E-3</v>
      </c>
      <c r="R13" s="11">
        <v>0.19878735749825119</v>
      </c>
      <c r="S13" s="11">
        <v>-0.17707945371462511</v>
      </c>
      <c r="T13" s="11">
        <v>2.1297328351814553</v>
      </c>
      <c r="U13" s="11">
        <v>3.0808254045253215E-2</v>
      </c>
      <c r="V13" s="5">
        <f t="shared" ref="V13:V32" si="21">J13-P13</f>
        <v>1.9548464054509364E-3</v>
      </c>
      <c r="W13" s="5">
        <f t="shared" ref="W13:W32" si="22">K13-Q13</f>
        <v>-1.2026521952294655E-2</v>
      </c>
      <c r="X13" s="5">
        <f t="shared" ref="X13:X32" si="23">L13-R13</f>
        <v>5.7423988093507072E-3</v>
      </c>
      <c r="Y13" s="5">
        <f t="shared" ref="Y13:Y32" si="24">M13-S13</f>
        <v>-6.1124280444844886E-2</v>
      </c>
      <c r="Z13" s="5">
        <f t="shared" ref="Z13:Z32" si="25">N13-T13</f>
        <v>-6.6396462805965228E-2</v>
      </c>
      <c r="AA13" s="5">
        <f t="shared" ref="AA13:AA32" si="26">O13-U13</f>
        <v>5.4767922598118385E-2</v>
      </c>
      <c r="AB13" s="16" cm="1">
        <f t="array" ref="AB13">SQRT(SUMPRODUCT(((J13:O13-P13:U13)/$AL$3:$AQ$3)^2)/6)*100</f>
        <v>0.5787798444406641</v>
      </c>
      <c r="AC13" s="16"/>
      <c r="AD13" s="16"/>
      <c r="AE13" s="16"/>
      <c r="AF13" s="16"/>
      <c r="AG13" s="16"/>
      <c r="AH13" s="16"/>
      <c r="AI13" s="16"/>
      <c r="AJ13" s="5">
        <f t="shared" si="7"/>
        <v>0.13999999999999999</v>
      </c>
      <c r="AK13" s="13">
        <v>469.58688274687501</v>
      </c>
    </row>
    <row r="14" spans="1:135" ht="16.5" customHeight="1" x14ac:dyDescent="0.25">
      <c r="A14" s="17">
        <v>0.51355824630000002</v>
      </c>
      <c r="B14" s="17">
        <v>0.2</v>
      </c>
      <c r="C14" s="18">
        <v>2.3561999999999999</v>
      </c>
      <c r="D14" s="17">
        <v>0.96095190770000005</v>
      </c>
      <c r="E14" s="17">
        <v>0.06</v>
      </c>
      <c r="F14" s="18">
        <v>0</v>
      </c>
      <c r="G14" s="17">
        <v>2.4382389278000001</v>
      </c>
      <c r="H14" s="17">
        <v>4.2854047354000002</v>
      </c>
      <c r="I14" s="17">
        <v>0.33901404839999999</v>
      </c>
      <c r="J14" s="8">
        <v>5.3502889350056596E-3</v>
      </c>
      <c r="K14" s="8">
        <v>-6.201133310794836E-2</v>
      </c>
      <c r="L14" s="8">
        <v>2.4065852165215673E-4</v>
      </c>
      <c r="M14" s="8">
        <v>-0.18366065621375999</v>
      </c>
      <c r="N14" s="8">
        <v>0.79279768466949496</v>
      </c>
      <c r="O14" s="8">
        <v>0.28229478001594499</v>
      </c>
      <c r="P14" s="11">
        <v>5.1326625979887276E-3</v>
      </c>
      <c r="Q14" s="11">
        <v>-6.7299293151592471E-2</v>
      </c>
      <c r="R14" s="11">
        <v>-1.1164187450983807E-2</v>
      </c>
      <c r="S14" s="11">
        <v>-0.2171281482437149</v>
      </c>
      <c r="T14" s="11">
        <v>0.62034440929891488</v>
      </c>
      <c r="U14" s="11">
        <v>0.31266789618854773</v>
      </c>
      <c r="V14" s="5">
        <f t="shared" si="21"/>
        <v>2.17626337016932E-4</v>
      </c>
      <c r="W14" s="5">
        <f t="shared" si="22"/>
        <v>5.2879600436441104E-3</v>
      </c>
      <c r="X14" s="5">
        <f t="shared" si="23"/>
        <v>1.1404845972635963E-2</v>
      </c>
      <c r="Y14" s="5">
        <f t="shared" si="24"/>
        <v>3.3467492029954915E-2</v>
      </c>
      <c r="Z14" s="5">
        <f t="shared" si="25"/>
        <v>0.17245327537058008</v>
      </c>
      <c r="AA14" s="5">
        <f t="shared" si="26"/>
        <v>-3.0373116172602743E-2</v>
      </c>
      <c r="AB14" s="16" cm="1">
        <f t="array" ref="AB14">SQRT(SUMPRODUCT(((J14:O14-P14:U14)/$AL$3:$AQ$3)^2)/6)*100</f>
        <v>0.62589691860387442</v>
      </c>
      <c r="AC14" s="16"/>
      <c r="AD14" s="16"/>
      <c r="AE14" s="16"/>
      <c r="AF14" s="16"/>
      <c r="AG14" s="16"/>
      <c r="AH14" s="16"/>
      <c r="AI14" s="16"/>
      <c r="AJ14" s="5">
        <f t="shared" si="7"/>
        <v>0.14000000000000001</v>
      </c>
      <c r="AK14" s="13">
        <v>496.63892383411002</v>
      </c>
    </row>
    <row r="15" spans="1:135" ht="16.5" customHeight="1" x14ac:dyDescent="0.25">
      <c r="A15" s="17">
        <v>0.35944564579999999</v>
      </c>
      <c r="B15" s="17">
        <v>0.18</v>
      </c>
      <c r="C15" s="18">
        <v>5.4977999999999998</v>
      </c>
      <c r="D15" s="17">
        <v>1.2877652723999999</v>
      </c>
      <c r="E15" s="17">
        <v>0.04</v>
      </c>
      <c r="F15" s="18">
        <v>2.3561999999999999</v>
      </c>
      <c r="G15" s="17">
        <v>2.1189458146</v>
      </c>
      <c r="H15" s="17">
        <v>2.2606748846000002</v>
      </c>
      <c r="I15" s="17">
        <v>0.94750633689999997</v>
      </c>
      <c r="J15" s="8">
        <v>-9.5291109755635305E-4</v>
      </c>
      <c r="K15" s="8">
        <v>4.1426768898963698E-3</v>
      </c>
      <c r="L15" s="8">
        <v>5.4550425708294603E-3</v>
      </c>
      <c r="M15" s="8">
        <v>1.4017973095178601E-2</v>
      </c>
      <c r="N15" s="8">
        <v>-0.72726076841354403</v>
      </c>
      <c r="O15" s="8">
        <v>0.73515439033508301</v>
      </c>
      <c r="P15" s="11">
        <v>-9.2363259087020348E-5</v>
      </c>
      <c r="Q15" s="11">
        <v>9.2716868233437989E-3</v>
      </c>
      <c r="R15" s="11">
        <v>9.1990365796721912E-3</v>
      </c>
      <c r="S15" s="11">
        <v>-2.3554301600111516E-2</v>
      </c>
      <c r="T15" s="11">
        <v>-0.65782840755021821</v>
      </c>
      <c r="U15" s="11">
        <v>0.65738204215263174</v>
      </c>
      <c r="V15" s="5">
        <f t="shared" si="21"/>
        <v>-8.6054783846933273E-4</v>
      </c>
      <c r="W15" s="5">
        <f t="shared" si="22"/>
        <v>-5.1290099334474291E-3</v>
      </c>
      <c r="X15" s="5">
        <f t="shared" si="23"/>
        <v>-3.7439940088427309E-3</v>
      </c>
      <c r="Y15" s="5">
        <f t="shared" si="24"/>
        <v>3.757227469529012E-2</v>
      </c>
      <c r="Z15" s="5">
        <f t="shared" si="25"/>
        <v>-6.9432360863325826E-2</v>
      </c>
      <c r="AA15" s="5">
        <f t="shared" si="26"/>
        <v>7.7772348182451267E-2</v>
      </c>
      <c r="AB15" s="16" cm="1">
        <f t="array" ref="AB15">SQRT(SUMPRODUCT(((J15:O15-P15:U15)/$AL$3:$AQ$3)^2)/6)*100</f>
        <v>0.33820700264764636</v>
      </c>
      <c r="AC15" s="16"/>
      <c r="AD15" s="16"/>
      <c r="AE15" s="16"/>
      <c r="AF15" s="16"/>
      <c r="AG15" s="16"/>
      <c r="AH15" s="16"/>
      <c r="AI15" s="16"/>
      <c r="AJ15" s="5">
        <f t="shared" si="7"/>
        <v>0.13999999999999999</v>
      </c>
      <c r="AK15" s="13">
        <v>2739.2714644073799</v>
      </c>
    </row>
    <row r="16" spans="1:135" ht="16.5" customHeight="1" x14ac:dyDescent="0.25">
      <c r="A16" s="17">
        <v>1.2267525763</v>
      </c>
      <c r="B16" s="17">
        <v>0.16</v>
      </c>
      <c r="C16" s="18">
        <v>5.4977999999999998</v>
      </c>
      <c r="D16" s="17">
        <v>1.4944716747</v>
      </c>
      <c r="E16" s="17">
        <v>0.04</v>
      </c>
      <c r="F16" s="18">
        <v>3.927</v>
      </c>
      <c r="G16" s="17">
        <v>0.31884207939999998</v>
      </c>
      <c r="H16" s="17">
        <v>3.8007215218999999</v>
      </c>
      <c r="I16" s="17">
        <v>0.48541647729999998</v>
      </c>
      <c r="J16" s="8">
        <v>1.0649194940924599E-2</v>
      </c>
      <c r="K16" s="8">
        <v>0.16992033243179369</v>
      </c>
      <c r="L16" s="8">
        <v>9.9608231484890009E-2</v>
      </c>
      <c r="M16" s="8">
        <v>-0.27858194708824202</v>
      </c>
      <c r="N16" s="8">
        <v>-0.33142736554145802</v>
      </c>
      <c r="O16" s="8">
        <v>-1.73035156726837</v>
      </c>
      <c r="P16" s="11">
        <v>9.6089863017908058E-3</v>
      </c>
      <c r="Q16" s="11">
        <v>0.17850590669060526</v>
      </c>
      <c r="R16" s="11">
        <v>9.5924773686692194E-2</v>
      </c>
      <c r="S16" s="11">
        <v>-0.30831899888533093</v>
      </c>
      <c r="T16" s="11">
        <v>-0.19271956543538674</v>
      </c>
      <c r="U16" s="11">
        <v>-1.8883850097180255</v>
      </c>
      <c r="V16" s="5">
        <f t="shared" si="21"/>
        <v>1.0402086391337936E-3</v>
      </c>
      <c r="W16" s="5">
        <f t="shared" si="22"/>
        <v>-8.585574258811568E-3</v>
      </c>
      <c r="X16" s="5">
        <f t="shared" si="23"/>
        <v>3.6834577981978145E-3</v>
      </c>
      <c r="Y16" s="5">
        <f t="shared" si="24"/>
        <v>2.9737051797088909E-2</v>
      </c>
      <c r="Z16" s="5">
        <f t="shared" si="25"/>
        <v>-0.13870780010607128</v>
      </c>
      <c r="AA16" s="5">
        <f t="shared" si="26"/>
        <v>0.15803344244965545</v>
      </c>
      <c r="AB16" s="16" cm="1">
        <f t="array" ref="AB16">SQRT(SUMPRODUCT(((J16:O16-P16:U16)/$AL$3:$AQ$3)^2)/6)*100</f>
        <v>0.57611294365844889</v>
      </c>
      <c r="AC16" s="16"/>
      <c r="AD16" s="16"/>
      <c r="AE16" s="16"/>
      <c r="AF16" s="16"/>
      <c r="AG16" s="16"/>
      <c r="AH16" s="16"/>
      <c r="AI16" s="16"/>
      <c r="AJ16" s="5">
        <f t="shared" si="7"/>
        <v>0.12</v>
      </c>
      <c r="AK16" s="13">
        <v>231.264969730491</v>
      </c>
    </row>
    <row r="17" spans="1:37" ht="16.5" customHeight="1" x14ac:dyDescent="0.25">
      <c r="A17" s="17">
        <v>0.64421489080000005</v>
      </c>
      <c r="B17" s="17">
        <v>0.14000000000000001</v>
      </c>
      <c r="C17" s="18">
        <v>0</v>
      </c>
      <c r="D17" s="17">
        <v>0.8523470823</v>
      </c>
      <c r="E17" s="17">
        <v>0.02</v>
      </c>
      <c r="F17" s="18">
        <v>4.7123999999999997</v>
      </c>
      <c r="G17" s="17">
        <v>8.0437148799999997E-2</v>
      </c>
      <c r="H17" s="17">
        <v>0.35167971240000001</v>
      </c>
      <c r="I17" s="17">
        <v>1.0501461195999999</v>
      </c>
      <c r="J17" s="8">
        <v>2.75095622055233E-3</v>
      </c>
      <c r="K17" s="8">
        <v>1.119949698448186E-2</v>
      </c>
      <c r="L17" s="8">
        <v>9.1276741027832203E-2</v>
      </c>
      <c r="M17" s="8">
        <v>-9.1020502150058705E-2</v>
      </c>
      <c r="N17" s="8">
        <v>0.58842658996581998</v>
      </c>
      <c r="O17" s="8">
        <v>-0.91785299777984597</v>
      </c>
      <c r="P17" s="11">
        <v>9.0690749726883178E-4</v>
      </c>
      <c r="Q17" s="11">
        <v>1.6935810381398551E-2</v>
      </c>
      <c r="R17" s="11">
        <v>9.0120338526951393E-2</v>
      </c>
      <c r="S17" s="11">
        <v>-5.6753285206689763E-2</v>
      </c>
      <c r="T17" s="11">
        <v>0.64174639988342841</v>
      </c>
      <c r="U17" s="11">
        <v>-0.85096854422161572</v>
      </c>
      <c r="V17" s="5">
        <f t="shared" si="21"/>
        <v>1.8440487232834982E-3</v>
      </c>
      <c r="W17" s="5">
        <f t="shared" si="22"/>
        <v>-5.7363133969166903E-3</v>
      </c>
      <c r="X17" s="5">
        <f t="shared" si="23"/>
        <v>1.1564025008808099E-3</v>
      </c>
      <c r="Y17" s="5">
        <f t="shared" si="24"/>
        <v>-3.4267216943368942E-2</v>
      </c>
      <c r="Z17" s="5">
        <f t="shared" si="25"/>
        <v>-5.3319809917608429E-2</v>
      </c>
      <c r="AA17" s="5">
        <f t="shared" si="26"/>
        <v>-6.688445355823025E-2</v>
      </c>
      <c r="AB17" s="16" cm="1">
        <f t="array" ref="AB17">SQRT(SUMPRODUCT(((J17:O17-P17:U17)/$AL$3:$AQ$3)^2)/6)*100</f>
        <v>0.30621501935206624</v>
      </c>
      <c r="AC17" s="16"/>
      <c r="AD17" s="16"/>
      <c r="AE17" s="16"/>
      <c r="AF17" s="16"/>
      <c r="AG17" s="16"/>
      <c r="AH17" s="16"/>
      <c r="AI17" s="16"/>
      <c r="AJ17" s="5">
        <f t="shared" si="7"/>
        <v>0.12000000000000001</v>
      </c>
      <c r="AK17" s="13">
        <v>437.69063130900997</v>
      </c>
    </row>
    <row r="18" spans="1:37" ht="16.5" customHeight="1" x14ac:dyDescent="0.25">
      <c r="A18" s="17">
        <v>1.1302547975999999</v>
      </c>
      <c r="B18" s="17">
        <v>0.16</v>
      </c>
      <c r="C18" s="18">
        <v>4.7123999999999997</v>
      </c>
      <c r="D18" s="17">
        <v>1.3446433494000001</v>
      </c>
      <c r="E18" s="17">
        <v>0.04</v>
      </c>
      <c r="F18" s="18">
        <v>0</v>
      </c>
      <c r="G18" s="17">
        <v>1.0644222964000001</v>
      </c>
      <c r="H18" s="17">
        <v>1.4761094460999999</v>
      </c>
      <c r="I18" s="17">
        <v>3.5278441351000001</v>
      </c>
      <c r="J18" s="8">
        <v>7.3962844908237498E-5</v>
      </c>
      <c r="K18" s="8">
        <v>0.17089873731136307</v>
      </c>
      <c r="L18" s="8">
        <v>6.3021872043609928E-2</v>
      </c>
      <c r="M18" s="8">
        <v>-0.50616961717605602</v>
      </c>
      <c r="N18" s="8">
        <v>1.39708912372589</v>
      </c>
      <c r="O18" s="8">
        <v>-0.796242535114288</v>
      </c>
      <c r="P18" s="11">
        <v>1.1259663706421595E-3</v>
      </c>
      <c r="Q18" s="11">
        <v>0.17028627945619543</v>
      </c>
      <c r="R18" s="11">
        <v>5.3794570103623394E-2</v>
      </c>
      <c r="S18" s="11">
        <v>-0.56118807512278412</v>
      </c>
      <c r="T18" s="11">
        <v>1.3457746141957543</v>
      </c>
      <c r="U18" s="11">
        <v>-0.98252625053197218</v>
      </c>
      <c r="V18" s="5">
        <f t="shared" si="21"/>
        <v>-1.052003525733922E-3</v>
      </c>
      <c r="W18" s="5">
        <f t="shared" si="22"/>
        <v>6.1245785516764184E-4</v>
      </c>
      <c r="X18" s="5">
        <f t="shared" si="23"/>
        <v>9.2273019399865333E-3</v>
      </c>
      <c r="Y18" s="5">
        <f t="shared" si="24"/>
        <v>5.5018457946728105E-2</v>
      </c>
      <c r="Z18" s="5">
        <f t="shared" si="25"/>
        <v>5.1314509530135721E-2</v>
      </c>
      <c r="AA18" s="5">
        <f t="shared" si="26"/>
        <v>0.18628371541768418</v>
      </c>
      <c r="AB18" s="16" cm="1">
        <f t="array" ref="AB18">SQRT(SUMPRODUCT(((J18:O18-P18:U18)/$AL$3:$AQ$3)^2)/6)*100</f>
        <v>0.54894256347205461</v>
      </c>
      <c r="AC18" s="16"/>
      <c r="AD18" s="16"/>
      <c r="AE18" s="16"/>
      <c r="AF18" s="16"/>
      <c r="AG18" s="16"/>
      <c r="AH18" s="16"/>
      <c r="AI18" s="16"/>
      <c r="AJ18" s="5">
        <f t="shared" si="7"/>
        <v>0.12</v>
      </c>
      <c r="AK18" s="13">
        <v>805.85456510326605</v>
      </c>
    </row>
    <row r="19" spans="1:37" ht="16.5" customHeight="1" x14ac:dyDescent="0.25">
      <c r="A19" s="17">
        <v>0.44052297210000002</v>
      </c>
      <c r="B19" s="17">
        <v>0.14000000000000001</v>
      </c>
      <c r="C19" s="18">
        <v>0.78539999999999999</v>
      </c>
      <c r="D19" s="17">
        <v>1.0539703866000001</v>
      </c>
      <c r="E19" s="17">
        <v>0.02</v>
      </c>
      <c r="F19" s="18">
        <v>3.1415999999999999</v>
      </c>
      <c r="G19" s="17">
        <v>2.7027230284999999</v>
      </c>
      <c r="H19" s="17">
        <v>1.6080541686000001</v>
      </c>
      <c r="I19" s="17">
        <v>1.7094513416999999</v>
      </c>
      <c r="J19" s="8">
        <v>2.9437544289976402E-3</v>
      </c>
      <c r="K19" s="8">
        <v>-5.4780912101268772E-2</v>
      </c>
      <c r="L19" s="8">
        <v>2.008378580212599E-2</v>
      </c>
      <c r="M19" s="8">
        <v>-2.3114085197448699E-2</v>
      </c>
      <c r="N19" s="8">
        <v>-0.82051932811737105</v>
      </c>
      <c r="O19" s="8">
        <v>0.34984213113784801</v>
      </c>
      <c r="P19" s="11">
        <v>-6.3446046923739373E-4</v>
      </c>
      <c r="Q19" s="11">
        <v>-4.3502274863349989E-2</v>
      </c>
      <c r="R19" s="11">
        <v>2.2456917952155628E-2</v>
      </c>
      <c r="S19" s="11">
        <v>-4.9362948793462355E-2</v>
      </c>
      <c r="T19" s="11">
        <v>-0.74408068995824317</v>
      </c>
      <c r="U19" s="11">
        <v>0.30890392176102227</v>
      </c>
      <c r="V19" s="5">
        <f t="shared" si="21"/>
        <v>3.5782148982350338E-3</v>
      </c>
      <c r="W19" s="5">
        <f t="shared" si="22"/>
        <v>-1.1278637237918783E-2</v>
      </c>
      <c r="X19" s="5">
        <f t="shared" si="23"/>
        <v>-2.373132150029638E-3</v>
      </c>
      <c r="Y19" s="5">
        <f t="shared" si="24"/>
        <v>2.6248863596013656E-2</v>
      </c>
      <c r="Z19" s="5">
        <f t="shared" si="25"/>
        <v>-7.6438638159127881E-2</v>
      </c>
      <c r="AA19" s="5">
        <f t="shared" si="26"/>
        <v>4.093820937682574E-2</v>
      </c>
      <c r="AB19" s="16" cm="1">
        <f t="array" ref="AB19">SQRT(SUMPRODUCT(((J19:O19-P19:U19)/$AL$3:$AQ$3)^2)/6)*100</f>
        <v>0.5238184031041222</v>
      </c>
      <c r="AC19" s="16"/>
      <c r="AD19" s="16"/>
      <c r="AE19" s="16"/>
      <c r="AF19" s="16"/>
      <c r="AG19" s="16"/>
      <c r="AH19" s="16"/>
      <c r="AI19" s="16"/>
      <c r="AJ19" s="5">
        <f t="shared" si="7"/>
        <v>0.12000000000000001</v>
      </c>
      <c r="AK19" s="13">
        <v>1423.74196433815</v>
      </c>
    </row>
    <row r="20" spans="1:37" ht="16.5" customHeight="1" x14ac:dyDescent="0.25">
      <c r="A20" s="17">
        <v>1.4424756030000001</v>
      </c>
      <c r="B20" s="17">
        <v>0.16</v>
      </c>
      <c r="C20" s="18">
        <v>0.78539999999999999</v>
      </c>
      <c r="D20" s="17">
        <v>1.1597422298</v>
      </c>
      <c r="E20" s="17">
        <v>0.04</v>
      </c>
      <c r="F20" s="18">
        <v>2.3561999999999999</v>
      </c>
      <c r="G20" s="17">
        <v>4.8092587324</v>
      </c>
      <c r="H20" s="17">
        <v>0.4784433911</v>
      </c>
      <c r="I20" s="17">
        <v>4.3446054411999997</v>
      </c>
      <c r="J20" s="8">
        <v>1.31220342591405E-2</v>
      </c>
      <c r="K20" s="8">
        <v>-0.20049199104309079</v>
      </c>
      <c r="L20" s="8">
        <v>0.11521145343780499</v>
      </c>
      <c r="M20" s="8">
        <v>-0.53803932666778598</v>
      </c>
      <c r="N20" s="8">
        <v>-0.11040961742401099</v>
      </c>
      <c r="O20" s="8">
        <v>1.7156174182891799</v>
      </c>
      <c r="P20" s="11">
        <v>1.1159159805062713E-3</v>
      </c>
      <c r="Q20" s="11">
        <v>-0.1908330819818187</v>
      </c>
      <c r="R20" s="11">
        <v>0.12130838566433298</v>
      </c>
      <c r="S20" s="11">
        <v>-0.6475100942544344</v>
      </c>
      <c r="T20" s="11">
        <v>8.9905084530628135E-2</v>
      </c>
      <c r="U20" s="11">
        <v>1.7545073957563271</v>
      </c>
      <c r="V20" s="5">
        <f t="shared" si="21"/>
        <v>1.2006118278634228E-2</v>
      </c>
      <c r="W20" s="5">
        <f t="shared" si="22"/>
        <v>-9.6589090612720918E-3</v>
      </c>
      <c r="X20" s="5">
        <f t="shared" si="23"/>
        <v>-6.0969322265279902E-3</v>
      </c>
      <c r="Y20" s="5">
        <f t="shared" si="24"/>
        <v>0.10947076758664842</v>
      </c>
      <c r="Z20" s="5">
        <f t="shared" si="25"/>
        <v>-0.20031470195463913</v>
      </c>
      <c r="AA20" s="5">
        <f t="shared" si="26"/>
        <v>-3.8889977467147174E-2</v>
      </c>
      <c r="AB20" s="16" cm="1">
        <f t="array" ref="AB20">SQRT(SUMPRODUCT(((J20:O20-P20:U20)/$AL$3:$AQ$3)^2)/6)*100</f>
        <v>0.79795452595788874</v>
      </c>
      <c r="AC20" s="16"/>
      <c r="AD20" s="16"/>
      <c r="AE20" s="16"/>
      <c r="AF20" s="16"/>
      <c r="AG20" s="16"/>
      <c r="AH20" s="16"/>
      <c r="AI20" s="16"/>
      <c r="AJ20" s="5">
        <f t="shared" si="7"/>
        <v>0.12</v>
      </c>
      <c r="AK20" s="13">
        <v>308.16246208647402</v>
      </c>
    </row>
    <row r="21" spans="1:37" ht="16.5" customHeight="1" x14ac:dyDescent="0.25">
      <c r="A21" s="17">
        <v>1.3085202701</v>
      </c>
      <c r="B21" s="17">
        <v>0.14000000000000001</v>
      </c>
      <c r="C21" s="18">
        <v>3.927</v>
      </c>
      <c r="D21" s="17">
        <v>1.4295469448</v>
      </c>
      <c r="E21" s="17">
        <v>0.02</v>
      </c>
      <c r="F21" s="18">
        <v>0</v>
      </c>
      <c r="G21" s="17">
        <v>4.5210753759999998</v>
      </c>
      <c r="H21" s="17">
        <v>3.0172330613999998</v>
      </c>
      <c r="I21" s="17">
        <v>0.83361274470000002</v>
      </c>
      <c r="J21" s="8">
        <v>-5.1512643694877598E-3</v>
      </c>
      <c r="K21" s="8">
        <v>0.13977229416370424</v>
      </c>
      <c r="L21" s="8">
        <v>-9.0497039407491653E-2</v>
      </c>
      <c r="M21" s="8">
        <v>-0.203321859240532</v>
      </c>
      <c r="N21" s="8">
        <v>0.647000432014465</v>
      </c>
      <c r="O21" s="8">
        <v>-0.89956176280975297</v>
      </c>
      <c r="P21" s="11">
        <v>-2.5700191342012358E-3</v>
      </c>
      <c r="Q21" s="11">
        <v>0.12926676446803684</v>
      </c>
      <c r="R21" s="11">
        <v>-0.10049598999376227</v>
      </c>
      <c r="S21" s="11">
        <v>-0.17919402622521449</v>
      </c>
      <c r="T21" s="11">
        <v>0.51236196350042895</v>
      </c>
      <c r="U21" s="11">
        <v>-0.91485029349079139</v>
      </c>
      <c r="V21" s="5">
        <f t="shared" si="21"/>
        <v>-2.581245235286524E-3</v>
      </c>
      <c r="W21" s="5">
        <f t="shared" si="22"/>
        <v>1.0505529695667398E-2</v>
      </c>
      <c r="X21" s="5">
        <f t="shared" si="23"/>
        <v>9.9989505862706218E-3</v>
      </c>
      <c r="Y21" s="5">
        <f t="shared" si="24"/>
        <v>-2.4127833015317512E-2</v>
      </c>
      <c r="Z21" s="5">
        <f t="shared" si="25"/>
        <v>0.13463846851403605</v>
      </c>
      <c r="AA21" s="5">
        <f t="shared" si="26"/>
        <v>1.5288530681038415E-2</v>
      </c>
      <c r="AB21" s="16" cm="1">
        <f t="array" ref="AB21">SQRT(SUMPRODUCT(((J21:O21-P21:U21)/$AL$3:$AQ$3)^2)/6)*100</f>
        <v>0.66215914991896585</v>
      </c>
      <c r="AC21" s="16"/>
      <c r="AD21" s="16"/>
      <c r="AE21" s="16"/>
      <c r="AF21" s="16"/>
      <c r="AG21" s="16"/>
      <c r="AH21" s="16"/>
      <c r="AI21" s="16"/>
      <c r="AJ21" s="5">
        <f t="shared" si="7"/>
        <v>0.12000000000000001</v>
      </c>
      <c r="AK21" s="13">
        <v>1514.3525859680799</v>
      </c>
    </row>
    <row r="22" spans="1:37" ht="16.5" customHeight="1" x14ac:dyDescent="0.25">
      <c r="A22" s="17">
        <v>1.0278031490999999</v>
      </c>
      <c r="B22" s="17">
        <v>0.14000000000000001</v>
      </c>
      <c r="C22" s="18">
        <v>0</v>
      </c>
      <c r="D22" s="17">
        <v>0.3286386073</v>
      </c>
      <c r="E22" s="17">
        <v>0.04</v>
      </c>
      <c r="F22" s="18">
        <v>2.3561999999999999</v>
      </c>
      <c r="G22" s="17">
        <v>2.4776605121999999</v>
      </c>
      <c r="H22" s="17">
        <v>0.70416387319999996</v>
      </c>
      <c r="I22" s="17">
        <v>1.306033752</v>
      </c>
      <c r="J22" s="8">
        <v>-9.1127436608076096E-3</v>
      </c>
      <c r="K22" s="8">
        <v>-1.3350144028663712E-3</v>
      </c>
      <c r="L22" s="8">
        <v>0.14257132291793856</v>
      </c>
      <c r="M22" s="8">
        <v>-0.40405035018920898</v>
      </c>
      <c r="N22" s="8">
        <v>0.56010144948959395</v>
      </c>
      <c r="O22" s="8">
        <v>0.224302783608437</v>
      </c>
      <c r="P22" s="11">
        <v>-8.7671729348575409E-4</v>
      </c>
      <c r="Q22" s="11">
        <v>-9.084089980374738E-3</v>
      </c>
      <c r="R22" s="11">
        <v>0.13331321008961414</v>
      </c>
      <c r="S22" s="11">
        <v>-0.19746292407250438</v>
      </c>
      <c r="T22" s="11">
        <v>0.77578575386392956</v>
      </c>
      <c r="U22" s="11">
        <v>0.22960130487910543</v>
      </c>
      <c r="V22" s="5">
        <f t="shared" si="21"/>
        <v>-8.2360263673218557E-3</v>
      </c>
      <c r="W22" s="5">
        <f t="shared" si="22"/>
        <v>7.7490755775083669E-3</v>
      </c>
      <c r="X22" s="5">
        <f t="shared" si="23"/>
        <v>9.2581128283244218E-3</v>
      </c>
      <c r="Y22" s="5">
        <f t="shared" si="24"/>
        <v>-0.20658742611670461</v>
      </c>
      <c r="Z22" s="5">
        <f t="shared" si="25"/>
        <v>-0.21568430437433561</v>
      </c>
      <c r="AA22" s="5">
        <f t="shared" si="26"/>
        <v>-5.2985212706684326E-3</v>
      </c>
      <c r="AB22" s="16" cm="1">
        <f t="array" ref="AB22">SQRT(SUMPRODUCT(((J22:O22-P22:U22)/$AL$3:$AQ$3)^2)/6)*100</f>
        <v>0.7547820223524403</v>
      </c>
      <c r="AC22" s="16"/>
      <c r="AD22" s="16"/>
      <c r="AE22" s="16"/>
      <c r="AF22" s="16"/>
      <c r="AG22" s="16"/>
      <c r="AH22" s="16"/>
      <c r="AI22" s="16"/>
      <c r="AJ22" s="5">
        <f t="shared" si="7"/>
        <v>0.1</v>
      </c>
      <c r="AK22" s="13">
        <v>3474.0972684693302</v>
      </c>
    </row>
    <row r="23" spans="1:37" ht="16.5" customHeight="1" x14ac:dyDescent="0.25">
      <c r="A23" s="17">
        <v>0.8908774062</v>
      </c>
      <c r="B23" s="17">
        <v>0.18</v>
      </c>
      <c r="C23" s="18">
        <v>3.1415999999999999</v>
      </c>
      <c r="D23" s="17">
        <v>0.88440675189999995</v>
      </c>
      <c r="E23" s="17">
        <v>0.08</v>
      </c>
      <c r="F23" s="18">
        <v>3.927</v>
      </c>
      <c r="G23" s="17">
        <v>0.48462861940000002</v>
      </c>
      <c r="H23" s="17">
        <v>1.6897568487000001</v>
      </c>
      <c r="I23" s="17">
        <v>3.1701200912999998</v>
      </c>
      <c r="J23" s="8">
        <v>-1.0968123562634E-2</v>
      </c>
      <c r="K23" s="8">
        <v>4.6224179565906513E-2</v>
      </c>
      <c r="L23" s="8">
        <v>-0.21030587911605858</v>
      </c>
      <c r="M23" s="8">
        <v>-0.31008237600326499</v>
      </c>
      <c r="N23" s="8">
        <v>-1.3964996337890601</v>
      </c>
      <c r="O23" s="8">
        <v>-0.54938417673110995</v>
      </c>
      <c r="P23" s="11">
        <v>-8.9397161249247861E-3</v>
      </c>
      <c r="Q23" s="11">
        <v>4.764226882934184E-2</v>
      </c>
      <c r="R23" s="11">
        <v>-0.20610389472301124</v>
      </c>
      <c r="S23" s="11">
        <v>-0.37317077847435837</v>
      </c>
      <c r="T23" s="11">
        <v>-1.4677076414258257</v>
      </c>
      <c r="U23" s="11">
        <v>-0.5925534971571832</v>
      </c>
      <c r="V23" s="5">
        <f t="shared" si="21"/>
        <v>-2.0284074377092138E-3</v>
      </c>
      <c r="W23" s="5">
        <f t="shared" si="22"/>
        <v>-1.4180892634353265E-3</v>
      </c>
      <c r="X23" s="5">
        <f t="shared" si="23"/>
        <v>-4.2019843930473366E-3</v>
      </c>
      <c r="Y23" s="5">
        <f t="shared" si="24"/>
        <v>6.3088402471093374E-2</v>
      </c>
      <c r="Z23" s="5">
        <f t="shared" si="25"/>
        <v>7.1208007636765602E-2</v>
      </c>
      <c r="AA23" s="5">
        <f t="shared" si="26"/>
        <v>4.3169320426073243E-2</v>
      </c>
      <c r="AB23" s="16" cm="1">
        <f t="array" ref="AB23">SQRT(SUMPRODUCT(((J23:O23-P23:U23)/$AL$3:$AQ$3)^2)/6)*100</f>
        <v>0.26527692899206096</v>
      </c>
      <c r="AC23" s="16"/>
      <c r="AD23" s="16"/>
      <c r="AE23" s="16"/>
      <c r="AF23" s="16"/>
      <c r="AG23" s="16"/>
      <c r="AH23" s="16"/>
      <c r="AI23" s="16"/>
      <c r="AJ23" s="5">
        <f t="shared" si="7"/>
        <v>9.9999999999999992E-2</v>
      </c>
      <c r="AK23" s="13">
        <v>864.30675856593803</v>
      </c>
    </row>
    <row r="24" spans="1:37" ht="16.5" customHeight="1" x14ac:dyDescent="0.25">
      <c r="A24" s="17">
        <v>1.2597568109999999</v>
      </c>
      <c r="B24" s="17">
        <v>0.16</v>
      </c>
      <c r="C24" s="18">
        <v>0</v>
      </c>
      <c r="D24" s="17">
        <v>0.58841219170000003</v>
      </c>
      <c r="E24" s="17">
        <v>0.06</v>
      </c>
      <c r="F24" s="18">
        <v>5.4977999999999998</v>
      </c>
      <c r="G24" s="17">
        <v>3.9855186287</v>
      </c>
      <c r="H24" s="17">
        <v>1.0426876676000001</v>
      </c>
      <c r="I24" s="17">
        <v>0.31561411</v>
      </c>
      <c r="J24" s="8">
        <v>-1.31122805178165E-2</v>
      </c>
      <c r="K24" s="8">
        <v>3.2584191262721982E-2</v>
      </c>
      <c r="L24" s="8">
        <v>0.23728636741638198</v>
      </c>
      <c r="M24" s="8">
        <v>-0.49038222432136502</v>
      </c>
      <c r="N24" s="8">
        <v>1.3875218629837001</v>
      </c>
      <c r="O24" s="8">
        <v>-0.45694583654403698</v>
      </c>
      <c r="P24" s="11">
        <v>-7.0192994862366357E-3</v>
      </c>
      <c r="Q24" s="11">
        <v>2.7648331699257702E-2</v>
      </c>
      <c r="R24" s="11">
        <v>0.21896742860578469</v>
      </c>
      <c r="S24" s="11">
        <v>-0.4770121783517961</v>
      </c>
      <c r="T24" s="11">
        <v>1.585553845995461</v>
      </c>
      <c r="U24" s="11">
        <v>-0.44820770343666283</v>
      </c>
      <c r="V24" s="5">
        <f t="shared" si="21"/>
        <v>-6.0929810315798645E-3</v>
      </c>
      <c r="W24" s="5">
        <f t="shared" si="22"/>
        <v>4.9358595634642795E-3</v>
      </c>
      <c r="X24" s="5">
        <f t="shared" si="23"/>
        <v>1.8318938810597291E-2</v>
      </c>
      <c r="Y24" s="5">
        <f t="shared" si="24"/>
        <v>-1.3370045969568922E-2</v>
      </c>
      <c r="Z24" s="5">
        <f t="shared" si="25"/>
        <v>-0.19803198301176095</v>
      </c>
      <c r="AA24" s="5">
        <f t="shared" si="26"/>
        <v>-8.7381331073741464E-3</v>
      </c>
      <c r="AB24" s="16" cm="1">
        <f t="array" ref="AB24">SQRT(SUMPRODUCT(((J24:O24-P24:U24)/$AL$3:$AQ$3)^2)/6)*100</f>
        <v>0.90861878220752335</v>
      </c>
      <c r="AC24" s="16"/>
      <c r="AD24" s="16"/>
      <c r="AE24" s="16"/>
      <c r="AF24" s="16"/>
      <c r="AG24" s="16"/>
      <c r="AH24" s="16"/>
      <c r="AI24" s="16"/>
      <c r="AJ24" s="5">
        <f t="shared" si="7"/>
        <v>0.1</v>
      </c>
      <c r="AK24" s="13">
        <v>1340.77907487627</v>
      </c>
    </row>
    <row r="25" spans="1:37" ht="16.5" customHeight="1" x14ac:dyDescent="0.25">
      <c r="A25" s="17">
        <v>0.65858340790000003</v>
      </c>
      <c r="B25" s="17">
        <v>0.18</v>
      </c>
      <c r="C25" s="18">
        <v>0</v>
      </c>
      <c r="D25" s="17">
        <v>0.498698221</v>
      </c>
      <c r="E25" s="17">
        <v>0.08</v>
      </c>
      <c r="F25" s="18">
        <v>0.78539999999999999</v>
      </c>
      <c r="G25" s="17">
        <v>4.9301628920000002</v>
      </c>
      <c r="H25" s="17">
        <v>1.8520278541999999</v>
      </c>
      <c r="I25" s="17">
        <v>4.6646910371999999</v>
      </c>
      <c r="J25" s="8">
        <v>5.6948820129036903E-3</v>
      </c>
      <c r="K25" s="8">
        <v>-3.9132168591022504E-2</v>
      </c>
      <c r="L25" s="8">
        <v>0.13971699118614192</v>
      </c>
      <c r="M25" s="8">
        <v>-0.225714981555939</v>
      </c>
      <c r="N25" s="8">
        <v>0.81510567665100098</v>
      </c>
      <c r="O25" s="8">
        <v>0.40455636382103</v>
      </c>
      <c r="P25" s="11">
        <v>3.2885838293436991E-3</v>
      </c>
      <c r="Q25" s="11">
        <v>-2.9351294075602635E-2</v>
      </c>
      <c r="R25" s="11">
        <v>0.14332080967040284</v>
      </c>
      <c r="S25" s="11">
        <v>-0.24245945468909713</v>
      </c>
      <c r="T25" s="11">
        <v>0.9727912364245288</v>
      </c>
      <c r="U25" s="11">
        <v>0.36494625199366587</v>
      </c>
      <c r="V25" s="5">
        <f t="shared" si="21"/>
        <v>2.4062981835599913E-3</v>
      </c>
      <c r="W25" s="5">
        <f t="shared" si="22"/>
        <v>-9.7808745154198684E-3</v>
      </c>
      <c r="X25" s="5">
        <f t="shared" si="23"/>
        <v>-3.6038184842609178E-3</v>
      </c>
      <c r="Y25" s="5">
        <f t="shared" si="24"/>
        <v>1.6744473133158133E-2</v>
      </c>
      <c r="Z25" s="5">
        <f t="shared" si="25"/>
        <v>-0.15768555977352783</v>
      </c>
      <c r="AA25" s="5">
        <f t="shared" si="26"/>
        <v>3.9610111827364125E-2</v>
      </c>
      <c r="AB25" s="16" cm="1">
        <f t="array" ref="AB25">SQRT(SUMPRODUCT(((J25:O25-P25:U25)/$AL$3:$AQ$3)^2)/6)*100</f>
        <v>0.54864288522978644</v>
      </c>
      <c r="AC25" s="16"/>
      <c r="AD25" s="16"/>
      <c r="AE25" s="16"/>
      <c r="AF25" s="16"/>
      <c r="AG25" s="16"/>
      <c r="AH25" s="16"/>
      <c r="AI25" s="16"/>
      <c r="AJ25" s="5">
        <f t="shared" si="7"/>
        <v>9.9999999999999992E-2</v>
      </c>
      <c r="AK25" s="13">
        <v>35245.690684348701</v>
      </c>
    </row>
    <row r="26" spans="1:37" ht="16.5" customHeight="1" x14ac:dyDescent="0.25">
      <c r="A26" s="17">
        <v>0.55032038400000005</v>
      </c>
      <c r="B26" s="17">
        <v>0.16</v>
      </c>
      <c r="C26" s="18">
        <v>3.1415999999999999</v>
      </c>
      <c r="D26" s="17">
        <v>1.4487418581</v>
      </c>
      <c r="E26" s="17">
        <v>0.08</v>
      </c>
      <c r="F26" s="18">
        <v>2.3561999999999999</v>
      </c>
      <c r="G26" s="17">
        <v>4.7175867132000002</v>
      </c>
      <c r="H26" s="17">
        <v>1.3012665307</v>
      </c>
      <c r="I26" s="17">
        <v>3.3668845907999998</v>
      </c>
      <c r="J26" s="8">
        <v>-3.3003846183419202E-3</v>
      </c>
      <c r="K26" s="8">
        <v>-9.0392925143242306E-2</v>
      </c>
      <c r="L26" s="8">
        <v>-0.1809552919864662</v>
      </c>
      <c r="M26" s="8">
        <v>-9.5655664801597595E-2</v>
      </c>
      <c r="N26" s="8">
        <v>-1.52476859092712</v>
      </c>
      <c r="O26" s="8">
        <v>1.0964374542236299</v>
      </c>
      <c r="P26" s="11">
        <v>2.1480456891677232E-3</v>
      </c>
      <c r="Q26" s="11">
        <v>-8.1794236067342138E-2</v>
      </c>
      <c r="R26" s="11">
        <v>-0.1696337640573321</v>
      </c>
      <c r="S26" s="11">
        <v>-8.5491671857510484E-2</v>
      </c>
      <c r="T26" s="11">
        <v>-1.5733871349541815</v>
      </c>
      <c r="U26" s="11">
        <v>1.0231770677491703</v>
      </c>
      <c r="V26" s="5">
        <f t="shared" si="21"/>
        <v>-5.4484303075096434E-3</v>
      </c>
      <c r="W26" s="5">
        <f t="shared" si="22"/>
        <v>-8.5986890759001677E-3</v>
      </c>
      <c r="X26" s="5">
        <f t="shared" si="23"/>
        <v>-1.1321527929134101E-2</v>
      </c>
      <c r="Y26" s="5">
        <f t="shared" si="24"/>
        <v>-1.0163992944087111E-2</v>
      </c>
      <c r="Z26" s="5">
        <f t="shared" si="25"/>
        <v>4.861854402706145E-2</v>
      </c>
      <c r="AA26" s="5">
        <f t="shared" si="26"/>
        <v>7.3260386474459649E-2</v>
      </c>
      <c r="AB26" s="16" cm="1">
        <f t="array" ref="AB26">SQRT(SUMPRODUCT(((J26:O26-P26:U26)/$AL$3:$AQ$3)^2)/6)*100</f>
        <v>0.64698744866027846</v>
      </c>
      <c r="AC26" s="16"/>
      <c r="AD26" s="16"/>
      <c r="AE26" s="16"/>
      <c r="AF26" s="16"/>
      <c r="AG26" s="16"/>
      <c r="AH26" s="16"/>
      <c r="AI26" s="16"/>
      <c r="AJ26" s="5">
        <f t="shared" si="7"/>
        <v>0.08</v>
      </c>
      <c r="AK26" s="13">
        <v>789.51379310088396</v>
      </c>
    </row>
    <row r="27" spans="1:37" ht="16.5" customHeight="1" x14ac:dyDescent="0.25">
      <c r="A27" s="17">
        <v>1.2531062278</v>
      </c>
      <c r="B27" s="17">
        <v>0.18</v>
      </c>
      <c r="C27" s="18">
        <v>5.4977999999999998</v>
      </c>
      <c r="D27" s="17">
        <v>0.4702401397</v>
      </c>
      <c r="E27" s="17">
        <v>0.1</v>
      </c>
      <c r="F27" s="18">
        <v>5.4977999999999998</v>
      </c>
      <c r="G27" s="17">
        <v>0.1483911762</v>
      </c>
      <c r="H27" s="17">
        <v>0.2167359935</v>
      </c>
      <c r="I27" s="17">
        <v>4.9349358513999997</v>
      </c>
      <c r="J27" s="8">
        <v>2.7674149721860899E-2</v>
      </c>
      <c r="K27" s="8">
        <v>0.18163369894027664</v>
      </c>
      <c r="L27" s="8">
        <v>0.16960839986801107</v>
      </c>
      <c r="M27" s="8">
        <v>-0.92870730161666903</v>
      </c>
      <c r="N27" s="8">
        <v>0.96827960014343295</v>
      </c>
      <c r="O27" s="8">
        <v>-0.92081308364868197</v>
      </c>
      <c r="P27" s="11">
        <v>3.0995711230547941E-2</v>
      </c>
      <c r="Q27" s="11">
        <v>0.16085661972877932</v>
      </c>
      <c r="R27" s="11">
        <v>0.17878483729515512</v>
      </c>
      <c r="S27" s="11">
        <v>-0.99763090451955638</v>
      </c>
      <c r="T27" s="11">
        <v>1.0982942145836823</v>
      </c>
      <c r="U27" s="11">
        <v>-0.81645026032128454</v>
      </c>
      <c r="V27" s="5">
        <f t="shared" si="21"/>
        <v>-3.3215615086870411E-3</v>
      </c>
      <c r="W27" s="5">
        <f t="shared" si="22"/>
        <v>2.0777079211497324E-2</v>
      </c>
      <c r="X27" s="5">
        <f t="shared" si="23"/>
        <v>-9.1764374271440519E-3</v>
      </c>
      <c r="Y27" s="5">
        <f t="shared" si="24"/>
        <v>6.8923602902887349E-2</v>
      </c>
      <c r="Z27" s="5">
        <f t="shared" si="25"/>
        <v>-0.13001461444024931</v>
      </c>
      <c r="AA27" s="5">
        <f t="shared" si="26"/>
        <v>-0.10436282332739744</v>
      </c>
      <c r="AB27" s="16" cm="1">
        <f t="array" ref="AB27">SQRT(SUMPRODUCT(((J27:O27-P27:U27)/$AL$3:$AQ$3)^2)/6)*100</f>
        <v>0.99811060299720089</v>
      </c>
      <c r="AC27" s="16"/>
      <c r="AD27" s="16"/>
      <c r="AE27" s="16"/>
      <c r="AF27" s="16"/>
      <c r="AG27" s="16"/>
      <c r="AH27" s="16"/>
      <c r="AI27" s="16"/>
      <c r="AJ27" s="5">
        <f t="shared" si="7"/>
        <v>7.9999999999999988E-2</v>
      </c>
      <c r="AK27" s="13">
        <v>438.17087927725402</v>
      </c>
    </row>
    <row r="28" spans="1:37" ht="16.5" customHeight="1" x14ac:dyDescent="0.25">
      <c r="A28" s="17">
        <v>0.37674236639999997</v>
      </c>
      <c r="B28" s="17">
        <v>0.12</v>
      </c>
      <c r="C28" s="18">
        <v>5.4977999999999998</v>
      </c>
      <c r="D28" s="17">
        <v>0.55884916829999998</v>
      </c>
      <c r="E28" s="17">
        <v>0.04</v>
      </c>
      <c r="F28" s="18">
        <v>5.4977999999999998</v>
      </c>
      <c r="G28" s="17">
        <v>2.7463764360999998</v>
      </c>
      <c r="H28" s="17">
        <v>4.0783358151</v>
      </c>
      <c r="I28" s="17">
        <v>2.4827351898000001</v>
      </c>
      <c r="J28" s="8">
        <v>-3.6156550049781799E-4</v>
      </c>
      <c r="K28" s="8">
        <v>4.1398868262767785E-2</v>
      </c>
      <c r="L28" s="8">
        <v>4.661006897687911E-2</v>
      </c>
      <c r="M28" s="8">
        <v>-5.9548625722527504E-3</v>
      </c>
      <c r="N28" s="8">
        <v>0.58329415321350098</v>
      </c>
      <c r="O28" s="8">
        <v>-0.53506898880004905</v>
      </c>
      <c r="P28" s="11">
        <v>2.5081246047310257E-4</v>
      </c>
      <c r="Q28" s="11">
        <v>4.7770890969383431E-2</v>
      </c>
      <c r="R28" s="11">
        <v>4.7773740329774619E-2</v>
      </c>
      <c r="S28" s="11">
        <v>-6.4707985587876063E-3</v>
      </c>
      <c r="T28" s="11">
        <v>0.66157960075967948</v>
      </c>
      <c r="U28" s="11">
        <v>-0.66150777329997401</v>
      </c>
      <c r="V28" s="5">
        <f t="shared" si="21"/>
        <v>-6.1237796097092056E-4</v>
      </c>
      <c r="W28" s="5">
        <f t="shared" si="22"/>
        <v>-6.372022706615646E-3</v>
      </c>
      <c r="X28" s="5">
        <f t="shared" si="23"/>
        <v>-1.1636713528955095E-3</v>
      </c>
      <c r="Y28" s="5">
        <f t="shared" si="24"/>
        <v>5.1593598653485589E-4</v>
      </c>
      <c r="Z28" s="5">
        <f t="shared" si="25"/>
        <v>-7.8285447546178499E-2</v>
      </c>
      <c r="AA28" s="5">
        <f t="shared" si="26"/>
        <v>0.12643878449992496</v>
      </c>
      <c r="AB28" s="16" cm="1">
        <f t="array" ref="AB28">SQRT(SUMPRODUCT(((J28:O28-P28:U28)/$AL$3:$AQ$3)^2)/6)*100</f>
        <v>0.40336156011742613</v>
      </c>
      <c r="AC28" s="16"/>
      <c r="AD28" s="16"/>
      <c r="AE28" s="16"/>
      <c r="AF28" s="16"/>
      <c r="AG28" s="16"/>
      <c r="AH28" s="16"/>
      <c r="AI28" s="16"/>
      <c r="AJ28" s="5">
        <f t="shared" si="7"/>
        <v>7.9999999999999988E-2</v>
      </c>
      <c r="AK28" s="13">
        <v>3753.46837280214</v>
      </c>
    </row>
    <row r="29" spans="1:37" ht="16.5" customHeight="1" x14ac:dyDescent="0.25">
      <c r="A29" s="17">
        <v>0.99744538530000004</v>
      </c>
      <c r="B29" s="17">
        <v>0.12</v>
      </c>
      <c r="C29" s="18">
        <v>2.3561999999999999</v>
      </c>
      <c r="D29" s="17">
        <v>0.63256510880000005</v>
      </c>
      <c r="E29" s="17">
        <v>0.04</v>
      </c>
      <c r="F29" s="18">
        <v>4.7123999999999997</v>
      </c>
      <c r="G29" s="17">
        <v>1.0163068775999999</v>
      </c>
      <c r="H29" s="17">
        <v>2.5468444695999999</v>
      </c>
      <c r="I29" s="17">
        <v>0.1214735909</v>
      </c>
      <c r="J29" s="8">
        <v>-7.3622260242700598E-4</v>
      </c>
      <c r="K29" s="8">
        <v>-5.9271394908428213E-2</v>
      </c>
      <c r="L29" s="8">
        <v>-8.9796378016472195E-2</v>
      </c>
      <c r="M29" s="8">
        <v>-0.13119469583034499</v>
      </c>
      <c r="N29" s="8">
        <v>-0.67694950103759799</v>
      </c>
      <c r="O29" s="8">
        <v>-2.6808261871337901E-2</v>
      </c>
      <c r="P29" s="11">
        <v>2.7614080735464887E-3</v>
      </c>
      <c r="Q29" s="11">
        <v>-5.8637877230522682E-2</v>
      </c>
      <c r="R29" s="11">
        <v>-8.4247851554092382E-2</v>
      </c>
      <c r="S29" s="11">
        <v>-0.13495640886397864</v>
      </c>
      <c r="T29" s="11">
        <v>-0.70026784658599939</v>
      </c>
      <c r="U29" s="11">
        <v>6.0519593316312299E-2</v>
      </c>
      <c r="V29" s="5">
        <f t="shared" si="21"/>
        <v>-3.4976306759734949E-3</v>
      </c>
      <c r="W29" s="5">
        <f t="shared" si="22"/>
        <v>-6.3351767790553043E-4</v>
      </c>
      <c r="X29" s="5">
        <f t="shared" si="23"/>
        <v>-5.5485264623798131E-3</v>
      </c>
      <c r="Y29" s="5">
        <f t="shared" si="24"/>
        <v>3.7617130336336513E-3</v>
      </c>
      <c r="Z29" s="5">
        <f t="shared" si="25"/>
        <v>2.3318345548401398E-2</v>
      </c>
      <c r="AA29" s="5">
        <f t="shared" si="26"/>
        <v>-8.7327855187650197E-2</v>
      </c>
      <c r="AB29" s="16" cm="1">
        <f t="array" ref="AB29">SQRT(SUMPRODUCT(((J29:O29-P29:U29)/$AL$3:$AQ$3)^2)/6)*100</f>
        <v>0.32621462877144874</v>
      </c>
      <c r="AC29" s="16"/>
      <c r="AD29" s="16"/>
      <c r="AE29" s="16"/>
      <c r="AF29" s="16"/>
      <c r="AG29" s="16"/>
      <c r="AH29" s="16"/>
      <c r="AI29" s="16"/>
      <c r="AJ29" s="5">
        <f t="shared" si="7"/>
        <v>7.9999999999999988E-2</v>
      </c>
      <c r="AK29" s="13">
        <v>7584.2432871298897</v>
      </c>
    </row>
    <row r="30" spans="1:37" ht="16.5" customHeight="1" x14ac:dyDescent="0.25">
      <c r="A30" s="17">
        <v>0.91958396450000002</v>
      </c>
      <c r="B30" s="17">
        <v>0.18</v>
      </c>
      <c r="C30" s="18">
        <v>0</v>
      </c>
      <c r="D30" s="17">
        <v>1.2327944816</v>
      </c>
      <c r="E30" s="17">
        <v>0.1</v>
      </c>
      <c r="F30" s="18">
        <v>4.7123999999999997</v>
      </c>
      <c r="G30" s="17">
        <v>3.7350994551999999</v>
      </c>
      <c r="H30" s="17">
        <v>0.10989542820000001</v>
      </c>
      <c r="I30" s="17">
        <v>4.0041016991999996</v>
      </c>
      <c r="J30" s="8">
        <v>8.7357107549905794E-3</v>
      </c>
      <c r="K30" s="8">
        <v>0.11720653593540191</v>
      </c>
      <c r="L30" s="8">
        <v>0.13852887213230181</v>
      </c>
      <c r="M30" s="8">
        <v>-0.47499537467956499</v>
      </c>
      <c r="N30" s="8">
        <v>0.53509271144866899</v>
      </c>
      <c r="O30" s="8">
        <v>-1.1571068763732899</v>
      </c>
      <c r="P30" s="11">
        <v>1.3188588392745641E-2</v>
      </c>
      <c r="Q30" s="11">
        <v>0.11751528182730238</v>
      </c>
      <c r="R30" s="11">
        <v>0.15779232372165053</v>
      </c>
      <c r="S30" s="11">
        <v>-0.53102185567759186</v>
      </c>
      <c r="T30" s="11">
        <v>0.84108454609446481</v>
      </c>
      <c r="U30" s="11">
        <v>-1.1502776596751594</v>
      </c>
      <c r="V30" s="5">
        <f t="shared" si="21"/>
        <v>-4.4528776377550615E-3</v>
      </c>
      <c r="W30" s="5">
        <f t="shared" si="22"/>
        <v>-3.087458919004693E-4</v>
      </c>
      <c r="X30" s="5">
        <f t="shared" si="23"/>
        <v>-1.9263451589348723E-2</v>
      </c>
      <c r="Y30" s="5">
        <f t="shared" si="24"/>
        <v>5.6026480998026873E-2</v>
      </c>
      <c r="Z30" s="5">
        <f t="shared" si="25"/>
        <v>-0.30599183464579582</v>
      </c>
      <c r="AA30" s="5">
        <f t="shared" si="26"/>
        <v>-6.8292166981305247E-3</v>
      </c>
      <c r="AB30" s="16" cm="1">
        <f t="array" ref="AB30">SQRT(SUMPRODUCT(((J30:O30-P30:U30)/$AL$3:$AQ$3)^2)/6)*100</f>
        <v>1.0214940432633177</v>
      </c>
      <c r="AC30" s="16"/>
      <c r="AD30" s="16"/>
      <c r="AE30" s="16"/>
      <c r="AF30" s="16"/>
      <c r="AG30" s="16"/>
      <c r="AH30" s="16"/>
      <c r="AI30" s="16"/>
      <c r="AJ30" s="5">
        <f t="shared" si="7"/>
        <v>7.9999999999999988E-2</v>
      </c>
      <c r="AK30" s="13">
        <v>1265.9910463044</v>
      </c>
    </row>
    <row r="31" spans="1:37" ht="16.5" customHeight="1" x14ac:dyDescent="0.25">
      <c r="A31" s="17">
        <v>0.76015027209999997</v>
      </c>
      <c r="B31" s="17">
        <v>0.18</v>
      </c>
      <c r="C31" s="18">
        <v>2.3561999999999999</v>
      </c>
      <c r="D31" s="17">
        <v>0.80034279419999999</v>
      </c>
      <c r="E31" s="17">
        <v>0.1</v>
      </c>
      <c r="F31" s="18">
        <v>0</v>
      </c>
      <c r="G31" s="17">
        <v>4.7396783878999997</v>
      </c>
      <c r="H31" s="17">
        <v>4.9071061610999998</v>
      </c>
      <c r="I31" s="17">
        <v>1.8713340661</v>
      </c>
      <c r="J31" s="8">
        <v>2.7520677540451301E-3</v>
      </c>
      <c r="K31" s="8">
        <v>-9.1657291352748443E-2</v>
      </c>
      <c r="L31" s="8">
        <v>6.0718978941440779E-3</v>
      </c>
      <c r="M31" s="8">
        <v>-0.237300649285316</v>
      </c>
      <c r="N31" s="8">
        <v>0.46046692132949801</v>
      </c>
      <c r="O31" s="8">
        <v>0.45199945569038402</v>
      </c>
      <c r="P31" s="11">
        <v>6.7576482935666812E-3</v>
      </c>
      <c r="Q31" s="11">
        <v>-9.0738406916208866E-2</v>
      </c>
      <c r="R31" s="11">
        <v>-1.4209640954869216E-2</v>
      </c>
      <c r="S31" s="11">
        <v>-0.28250474895270394</v>
      </c>
      <c r="T31" s="11">
        <v>0.28103595674070775</v>
      </c>
      <c r="U31" s="11">
        <v>0.46606572579736322</v>
      </c>
      <c r="V31" s="5">
        <f t="shared" si="21"/>
        <v>-4.0055805395215506E-3</v>
      </c>
      <c r="W31" s="5">
        <f t="shared" si="22"/>
        <v>-9.1888443653957708E-4</v>
      </c>
      <c r="X31" s="5">
        <f t="shared" si="23"/>
        <v>2.0281538849013292E-2</v>
      </c>
      <c r="Y31" s="5">
        <f t="shared" si="24"/>
        <v>4.5204099667387948E-2</v>
      </c>
      <c r="Z31" s="5">
        <f t="shared" si="25"/>
        <v>0.17943096458879026</v>
      </c>
      <c r="AA31" s="5">
        <f t="shared" si="26"/>
        <v>-1.4066270106979195E-2</v>
      </c>
      <c r="AB31" s="16" cm="1">
        <f t="array" ref="AB31">SQRT(SUMPRODUCT(((J31:O31-P31:U31)/$AL$3:$AQ$3)^2)/6)*100</f>
        <v>0.92175627991106601</v>
      </c>
      <c r="AC31" s="16"/>
      <c r="AD31" s="16"/>
      <c r="AE31" s="16"/>
      <c r="AF31" s="16"/>
      <c r="AG31" s="16"/>
      <c r="AH31" s="16"/>
      <c r="AI31" s="16"/>
      <c r="AJ31" s="5">
        <f t="shared" si="7"/>
        <v>7.9999999999999988E-2</v>
      </c>
      <c r="AK31" s="13">
        <v>435.17861473415201</v>
      </c>
    </row>
    <row r="32" spans="1:37" ht="16.5" customHeight="1" x14ac:dyDescent="0.25">
      <c r="A32" s="17">
        <v>0.9040684336</v>
      </c>
      <c r="B32" s="17">
        <v>0.1</v>
      </c>
      <c r="C32" s="18">
        <v>5.4977999999999998</v>
      </c>
      <c r="D32" s="17">
        <v>0.68590239919999996</v>
      </c>
      <c r="E32" s="17">
        <v>0.02</v>
      </c>
      <c r="F32" s="18">
        <v>4.7123999999999997</v>
      </c>
      <c r="G32" s="17">
        <v>3.1050919126999998</v>
      </c>
      <c r="H32" s="17">
        <v>4.9790166179000002</v>
      </c>
      <c r="I32" s="17">
        <v>4.7088396990000003</v>
      </c>
      <c r="J32" s="8">
        <v>1.4985646121203899E-3</v>
      </c>
      <c r="K32" s="8">
        <v>7.966082274913841E-2</v>
      </c>
      <c r="L32" s="8">
        <v>6.8656248152256336E-2</v>
      </c>
      <c r="M32" s="8">
        <v>-4.77860830724239E-2</v>
      </c>
      <c r="N32" s="8">
        <v>0.595284283161163</v>
      </c>
      <c r="O32" s="8">
        <v>-1.3795845508575399</v>
      </c>
      <c r="P32" s="11">
        <v>1.4829090580342388E-3</v>
      </c>
      <c r="Q32" s="11">
        <v>7.7569841060380645E-2</v>
      </c>
      <c r="R32" s="11">
        <v>6.3915072626787806E-2</v>
      </c>
      <c r="S32" s="11">
        <v>-4.3920260887176814E-2</v>
      </c>
      <c r="T32" s="11">
        <v>0.63941278010467406</v>
      </c>
      <c r="U32" s="11">
        <v>-1.3236428631850174</v>
      </c>
      <c r="V32" s="5">
        <f t="shared" si="21"/>
        <v>1.5655554086151146E-5</v>
      </c>
      <c r="W32" s="5">
        <f t="shared" si="22"/>
        <v>2.0909816887577648E-3</v>
      </c>
      <c r="X32" s="5">
        <f t="shared" si="23"/>
        <v>4.74117552546853E-3</v>
      </c>
      <c r="Y32" s="5">
        <f t="shared" si="24"/>
        <v>-3.8658221852470864E-3</v>
      </c>
      <c r="Z32" s="5">
        <f t="shared" si="25"/>
        <v>-4.4128496943511064E-2</v>
      </c>
      <c r="AA32" s="5">
        <f t="shared" si="26"/>
        <v>-5.59416876725225E-2</v>
      </c>
      <c r="AB32" s="16" cm="1">
        <f t="array" ref="AB32">SQRT(SUMPRODUCT(((J32:O32-P32:U32)/$AL$3:$AQ$3)^2)/6)*100</f>
        <v>0.25673377199705427</v>
      </c>
      <c r="AC32" s="16"/>
      <c r="AD32" s="16"/>
      <c r="AE32" s="16"/>
      <c r="AF32" s="16"/>
      <c r="AG32" s="16"/>
      <c r="AH32" s="16"/>
      <c r="AI32" s="16"/>
      <c r="AJ32" s="5">
        <f t="shared" si="7"/>
        <v>0.08</v>
      </c>
      <c r="AK32" s="13">
        <v>1388.8921224230301</v>
      </c>
    </row>
    <row r="33" spans="1:37" ht="16.5" customHeight="1" x14ac:dyDescent="0.25">
      <c r="A33" s="17">
        <v>1.4109779404</v>
      </c>
      <c r="B33" s="17">
        <v>0.2</v>
      </c>
      <c r="C33" s="18">
        <v>3.1415999999999999</v>
      </c>
      <c r="D33" s="17">
        <v>1.3890525475</v>
      </c>
      <c r="E33" s="17">
        <v>0.12</v>
      </c>
      <c r="F33" s="18">
        <v>0</v>
      </c>
      <c r="G33" s="17">
        <v>0.24685834309999999</v>
      </c>
      <c r="H33" s="17">
        <v>4.5298125568999996</v>
      </c>
      <c r="I33" s="17">
        <v>2.6684535819000001</v>
      </c>
      <c r="J33" s="8">
        <v>1.87164847739041E-3</v>
      </c>
      <c r="K33" s="8">
        <v>-9.8448623716830847E-3</v>
      </c>
      <c r="L33" s="8">
        <v>-6.3732270747423214E-2</v>
      </c>
      <c r="M33" s="8">
        <v>-0.21900780498981501</v>
      </c>
      <c r="N33" s="8">
        <v>0.43598496913909901</v>
      </c>
      <c r="O33" s="8">
        <v>5.42925000190735E-2</v>
      </c>
      <c r="P33" s="11">
        <v>5.4604665449080013E-3</v>
      </c>
      <c r="Q33" s="11">
        <v>2.6094572606143542E-3</v>
      </c>
      <c r="R33" s="11">
        <v>-9.4666590676707241E-2</v>
      </c>
      <c r="S33" s="11">
        <v>-0.31207889337656847</v>
      </c>
      <c r="T33" s="11">
        <v>0.13970659057943657</v>
      </c>
      <c r="U33" s="11">
        <v>-1.7057423627825363E-2</v>
      </c>
      <c r="V33" s="5">
        <f t="shared" ref="V33:V52" si="27">J33-P33</f>
        <v>-3.588818067517591E-3</v>
      </c>
      <c r="W33" s="5">
        <f t="shared" ref="W33:W52" si="28">K33-Q33</f>
        <v>-1.2454319632297439E-2</v>
      </c>
      <c r="X33" s="5">
        <f t="shared" ref="X33:X52" si="29">L33-R33</f>
        <v>3.0934319929284027E-2</v>
      </c>
      <c r="Y33" s="5">
        <f t="shared" ref="Y33:Y52" si="30">M33-S33</f>
        <v>9.3071088386753459E-2</v>
      </c>
      <c r="Z33" s="5">
        <f t="shared" ref="Z33:Z52" si="31">N33-T33</f>
        <v>0.29627837855966244</v>
      </c>
      <c r="AA33" s="5">
        <f t="shared" ref="AA33:AA52" si="32">O33-U33</f>
        <v>7.1349923646898863E-2</v>
      </c>
      <c r="AB33" s="16" cm="1">
        <f t="array" ref="AB33">SQRT(SUMPRODUCT(((J33:O33-P33:U33)/$AL$3:$AQ$3)^2)/6)*100</f>
        <v>1.5052725331492411</v>
      </c>
      <c r="AC33" s="16"/>
      <c r="AD33" s="16"/>
      <c r="AE33" s="16"/>
      <c r="AF33" s="16"/>
      <c r="AG33" s="16"/>
      <c r="AH33" s="16"/>
      <c r="AI33" s="16"/>
      <c r="AJ33" s="5">
        <f t="shared" si="7"/>
        <v>8.0000000000000016E-2</v>
      </c>
      <c r="AK33" s="13">
        <v>1378.60874175766</v>
      </c>
    </row>
    <row r="34" spans="1:37" ht="16.5" customHeight="1" x14ac:dyDescent="0.25">
      <c r="A34" s="17">
        <v>1.4747736548999999</v>
      </c>
      <c r="B34" s="17">
        <v>0.2</v>
      </c>
      <c r="C34" s="18">
        <v>0</v>
      </c>
      <c r="D34" s="17">
        <v>1.4750904852</v>
      </c>
      <c r="E34" s="17">
        <v>0.12</v>
      </c>
      <c r="F34" s="18">
        <v>3.1415999999999999</v>
      </c>
      <c r="G34" s="17">
        <v>2.1243312033000001</v>
      </c>
      <c r="H34" s="17">
        <v>0.98146476360000001</v>
      </c>
      <c r="I34" s="17">
        <v>2.2301814902000001</v>
      </c>
      <c r="J34" s="8">
        <v>6.5721650607883904E-3</v>
      </c>
      <c r="K34" s="8">
        <v>-2.2215567082166657E-2</v>
      </c>
      <c r="L34" s="8">
        <v>6.6166436150670055E-2</v>
      </c>
      <c r="M34" s="8">
        <v>-0.19941796362400099</v>
      </c>
      <c r="N34" s="8">
        <v>-0.49384737014770502</v>
      </c>
      <c r="O34" s="8">
        <v>0.13210836052894601</v>
      </c>
      <c r="P34" s="11">
        <v>9.459453244999012E-3</v>
      </c>
      <c r="Q34" s="11">
        <v>-4.2558974317285052E-3</v>
      </c>
      <c r="R34" s="11">
        <v>0.10000384065561814</v>
      </c>
      <c r="S34" s="11">
        <v>-0.2847426342435026</v>
      </c>
      <c r="T34" s="11">
        <v>-0.12888334167864451</v>
      </c>
      <c r="U34" s="11">
        <v>2.694986618721798E-2</v>
      </c>
      <c r="V34" s="5">
        <f t="shared" si="27"/>
        <v>-2.8872881842106216E-3</v>
      </c>
      <c r="W34" s="5">
        <f t="shared" si="28"/>
        <v>-1.7959669650438152E-2</v>
      </c>
      <c r="X34" s="5">
        <f t="shared" si="29"/>
        <v>-3.3837404504948085E-2</v>
      </c>
      <c r="Y34" s="5">
        <f t="shared" si="30"/>
        <v>8.5324670619501608E-2</v>
      </c>
      <c r="Z34" s="5">
        <f t="shared" si="31"/>
        <v>-0.36496402846906051</v>
      </c>
      <c r="AA34" s="5">
        <f t="shared" si="32"/>
        <v>0.10515849434172803</v>
      </c>
      <c r="AB34" s="16" cm="1">
        <f t="array" ref="AB34">SQRT(SUMPRODUCT(((J34:O34-P34:U34)/$AL$3:$AQ$3)^2)/6)*100</f>
        <v>1.7504861436935728</v>
      </c>
      <c r="AC34" s="16"/>
      <c r="AD34" s="16"/>
      <c r="AE34" s="16"/>
      <c r="AF34" s="16"/>
      <c r="AG34" s="16"/>
      <c r="AH34" s="16"/>
      <c r="AI34" s="16"/>
      <c r="AJ34" s="5">
        <f t="shared" si="7"/>
        <v>8.0000000000000016E-2</v>
      </c>
      <c r="AK34" s="13">
        <v>1674.85682889344</v>
      </c>
    </row>
    <row r="35" spans="1:37" ht="16.5" customHeight="1" x14ac:dyDescent="0.25">
      <c r="A35" s="17">
        <v>1.1341222659000001</v>
      </c>
      <c r="B35" s="17">
        <v>0.12</v>
      </c>
      <c r="C35" s="18">
        <v>0.78539999999999999</v>
      </c>
      <c r="D35" s="17">
        <v>1.3710979794</v>
      </c>
      <c r="E35" s="17">
        <v>0.04</v>
      </c>
      <c r="F35" s="18">
        <v>1.5708</v>
      </c>
      <c r="G35" s="17">
        <v>3.8924485742999999</v>
      </c>
      <c r="H35" s="17">
        <v>4.3783496642999999</v>
      </c>
      <c r="I35" s="17">
        <v>1.6360280112000001</v>
      </c>
      <c r="J35" s="8">
        <v>-2.3257452994584998E-3</v>
      </c>
      <c r="K35" s="8">
        <v>-0.1538876044750217</v>
      </c>
      <c r="L35" s="8">
        <v>0.10165858089923878</v>
      </c>
      <c r="M35" s="8">
        <v>-0.24121056497096999</v>
      </c>
      <c r="N35" s="8">
        <v>0.79770189523696899</v>
      </c>
      <c r="O35" s="8">
        <v>2.0650558471679701</v>
      </c>
      <c r="P35" s="11">
        <v>-5.2931492406784802E-3</v>
      </c>
      <c r="Q35" s="11">
        <v>-0.14972441920415969</v>
      </c>
      <c r="R35" s="11">
        <v>9.5782764351915475E-2</v>
      </c>
      <c r="S35" s="11">
        <v>-0.27316941005263584</v>
      </c>
      <c r="T35" s="11">
        <v>0.79836300404757654</v>
      </c>
      <c r="U35" s="11">
        <v>2.1484395236881459</v>
      </c>
      <c r="V35" s="5">
        <f t="shared" si="27"/>
        <v>2.9674039412199804E-3</v>
      </c>
      <c r="W35" s="5">
        <f t="shared" si="28"/>
        <v>-4.1631852708620132E-3</v>
      </c>
      <c r="X35" s="5">
        <f t="shared" si="29"/>
        <v>5.8758165473233037E-3</v>
      </c>
      <c r="Y35" s="5">
        <f t="shared" si="30"/>
        <v>3.1958845081665854E-2</v>
      </c>
      <c r="Z35" s="5">
        <f t="shared" si="31"/>
        <v>-6.6110881060754689E-4</v>
      </c>
      <c r="AA35" s="5">
        <f t="shared" si="32"/>
        <v>-8.3383676520175865E-2</v>
      </c>
      <c r="AB35" s="16" cm="1">
        <f t="array" ref="AB35">SQRT(SUMPRODUCT(((J35:O35-P35:U35)/$AL$3:$AQ$3)^2)/6)*100</f>
        <v>0.36131638388173104</v>
      </c>
      <c r="AC35" s="16"/>
      <c r="AD35" s="16"/>
      <c r="AE35" s="16"/>
      <c r="AF35" s="16"/>
      <c r="AG35" s="16"/>
      <c r="AH35" s="16"/>
      <c r="AI35" s="16"/>
      <c r="AJ35" s="5">
        <f t="shared" si="7"/>
        <v>7.9999999999999988E-2</v>
      </c>
      <c r="AK35" s="13">
        <v>9921.9837729904102</v>
      </c>
    </row>
    <row r="36" spans="1:37" ht="16.5" customHeight="1" x14ac:dyDescent="0.25">
      <c r="A36" s="17">
        <v>0.785852255</v>
      </c>
      <c r="B36" s="17">
        <v>0.1</v>
      </c>
      <c r="C36" s="18">
        <v>0.78539999999999999</v>
      </c>
      <c r="D36" s="17">
        <v>0.39355619479999998</v>
      </c>
      <c r="E36" s="17">
        <v>0.02</v>
      </c>
      <c r="F36" s="18">
        <v>5.4977999999999998</v>
      </c>
      <c r="G36" s="17">
        <v>4.5109081914000004</v>
      </c>
      <c r="H36" s="17">
        <v>2.9663132843</v>
      </c>
      <c r="I36" s="17">
        <v>3.8683553511</v>
      </c>
      <c r="J36" s="8">
        <v>2.63804802671075E-3</v>
      </c>
      <c r="K36" s="8">
        <v>-5.1488110721111341E-2</v>
      </c>
      <c r="L36" s="8">
        <v>6.7714549303054539E-2</v>
      </c>
      <c r="M36" s="8">
        <v>-4.7354526817798601E-2</v>
      </c>
      <c r="N36" s="8">
        <v>0.81425797939300504</v>
      </c>
      <c r="O36" s="8">
        <v>0.21927404403686501</v>
      </c>
      <c r="P36" s="11">
        <v>-4.2243401953160503E-4</v>
      </c>
      <c r="Q36" s="11">
        <v>-4.9958518017454163E-2</v>
      </c>
      <c r="R36" s="11">
        <v>6.1093018088123251E-2</v>
      </c>
      <c r="S36" s="11">
        <v>-4.3956074561117303E-2</v>
      </c>
      <c r="T36" s="11">
        <v>0.83328515643089651</v>
      </c>
      <c r="U36" s="11">
        <v>0.27635847013699216</v>
      </c>
      <c r="V36" s="5">
        <f t="shared" si="27"/>
        <v>3.0604820462423552E-3</v>
      </c>
      <c r="W36" s="5">
        <f t="shared" si="28"/>
        <v>-1.5295927036571774E-3</v>
      </c>
      <c r="X36" s="5">
        <f t="shared" si="29"/>
        <v>6.621531214931288E-3</v>
      </c>
      <c r="Y36" s="5">
        <f t="shared" si="30"/>
        <v>-3.3984522566812975E-3</v>
      </c>
      <c r="Z36" s="5">
        <f t="shared" si="31"/>
        <v>-1.9027177037891474E-2</v>
      </c>
      <c r="AA36" s="5">
        <f t="shared" si="32"/>
        <v>-5.708442610012715E-2</v>
      </c>
      <c r="AB36" s="16" cm="1">
        <f t="array" ref="AB36">SQRT(SUMPRODUCT(((J36:O36-P36:U36)/$AL$3:$AQ$3)^2)/6)*100</f>
        <v>0.32814059724467248</v>
      </c>
      <c r="AC36" s="16"/>
      <c r="AD36" s="16"/>
      <c r="AE36" s="16"/>
      <c r="AF36" s="16"/>
      <c r="AG36" s="16"/>
      <c r="AH36" s="16"/>
      <c r="AI36" s="16"/>
      <c r="AJ36" s="5">
        <f t="shared" si="7"/>
        <v>0.08</v>
      </c>
      <c r="AK36" s="13">
        <v>7047.4718615495003</v>
      </c>
    </row>
    <row r="37" spans="1:37" ht="16.5" customHeight="1" x14ac:dyDescent="0.25">
      <c r="A37" s="17">
        <v>0.4787670047</v>
      </c>
      <c r="B37" s="17">
        <v>0.2</v>
      </c>
      <c r="C37" s="18">
        <v>4.7123999999999997</v>
      </c>
      <c r="D37" s="17">
        <v>0.35541469809999998</v>
      </c>
      <c r="E37" s="17">
        <v>0.14000000000000001</v>
      </c>
      <c r="F37" s="18">
        <v>3.1415999999999999</v>
      </c>
      <c r="G37" s="17">
        <v>4.9350065225000002</v>
      </c>
      <c r="H37" s="17">
        <v>4.6708884390999996</v>
      </c>
      <c r="I37" s="17">
        <v>0.64099500450000002</v>
      </c>
      <c r="J37" s="8">
        <v>1.3677142560481999E-3</v>
      </c>
      <c r="K37" s="8">
        <v>8.7945864200591806E-2</v>
      </c>
      <c r="L37" s="8">
        <v>-3.722743749618531E-2</v>
      </c>
      <c r="M37" s="8">
        <v>-4.7561459243297598E-2</v>
      </c>
      <c r="N37" s="8">
        <v>-0.26662042737007102</v>
      </c>
      <c r="O37" s="8">
        <v>-0.39663678407669101</v>
      </c>
      <c r="P37" s="11">
        <v>5.1296420311051601E-4</v>
      </c>
      <c r="Q37" s="11">
        <v>9.4283984378053853E-2</v>
      </c>
      <c r="R37" s="11">
        <v>-4.9639792683642221E-2</v>
      </c>
      <c r="S37" s="11">
        <v>-5.0738728202552874E-2</v>
      </c>
      <c r="T37" s="11">
        <v>-0.35364305740487983</v>
      </c>
      <c r="U37" s="11">
        <v>-0.47738202136103758</v>
      </c>
      <c r="V37" s="5">
        <f t="shared" si="27"/>
        <v>8.547500529376839E-4</v>
      </c>
      <c r="W37" s="5">
        <f t="shared" si="28"/>
        <v>-6.3381201774620477E-3</v>
      </c>
      <c r="X37" s="5">
        <f t="shared" si="29"/>
        <v>1.2412355187456911E-2</v>
      </c>
      <c r="Y37" s="5">
        <f t="shared" si="30"/>
        <v>3.1772689592552764E-3</v>
      </c>
      <c r="Z37" s="5">
        <f t="shared" si="31"/>
        <v>8.7022630034808812E-2</v>
      </c>
      <c r="AA37" s="5">
        <f t="shared" si="32"/>
        <v>8.0745237284346572E-2</v>
      </c>
      <c r="AB37" s="16" cm="1">
        <f t="array" ref="AB37">SQRT(SUMPRODUCT(((J37:O37-P37:U37)/$AL$3:$AQ$3)^2)/6)*100</f>
        <v>0.61941310827195095</v>
      </c>
      <c r="AC37" s="16"/>
      <c r="AD37" s="16"/>
      <c r="AE37" s="16"/>
      <c r="AF37" s="16"/>
      <c r="AG37" s="16"/>
      <c r="AH37" s="16"/>
      <c r="AI37" s="16"/>
      <c r="AJ37" s="5">
        <f t="shared" si="7"/>
        <v>0.06</v>
      </c>
      <c r="AK37" s="13">
        <v>4885.3607236447197</v>
      </c>
    </row>
    <row r="38" spans="1:37" ht="16.5" customHeight="1" x14ac:dyDescent="0.25">
      <c r="A38" s="17">
        <v>1.2825258852999999</v>
      </c>
      <c r="B38" s="17">
        <v>0.14000000000000001</v>
      </c>
      <c r="C38" s="18">
        <v>2.3561999999999999</v>
      </c>
      <c r="D38" s="17">
        <v>1.1085226837</v>
      </c>
      <c r="E38" s="17">
        <v>0.08</v>
      </c>
      <c r="F38" s="18">
        <v>3.1415999999999999</v>
      </c>
      <c r="G38" s="17">
        <v>5.0541583899999999E-2</v>
      </c>
      <c r="H38" s="17">
        <v>4.9578693537999996</v>
      </c>
      <c r="I38" s="17">
        <v>3.9886280456000001</v>
      </c>
      <c r="J38" s="8">
        <v>-5.6921038776636098E-3</v>
      </c>
      <c r="K38" s="8">
        <v>-0.11745531618595137</v>
      </c>
      <c r="L38" s="8">
        <v>-0.22989922761917111</v>
      </c>
      <c r="M38" s="8">
        <v>-0.43696388602256803</v>
      </c>
      <c r="N38" s="8">
        <v>-1.90291404724121</v>
      </c>
      <c r="O38" s="8">
        <v>0.79554951190948497</v>
      </c>
      <c r="P38" s="11">
        <v>8.3094402072159416E-4</v>
      </c>
      <c r="Q38" s="11">
        <v>-0.12524618928659859</v>
      </c>
      <c r="R38" s="11">
        <v>-0.21139435199730008</v>
      </c>
      <c r="S38" s="11">
        <v>-0.49164133202905846</v>
      </c>
      <c r="T38" s="11">
        <v>-1.9574531911400672</v>
      </c>
      <c r="U38" s="11">
        <v>0.8715185320672546</v>
      </c>
      <c r="V38" s="5">
        <f t="shared" si="27"/>
        <v>-6.5230478983852036E-3</v>
      </c>
      <c r="W38" s="5">
        <f t="shared" si="28"/>
        <v>7.7908731006472165E-3</v>
      </c>
      <c r="X38" s="5">
        <f t="shared" si="29"/>
        <v>-1.8504875621871031E-2</v>
      </c>
      <c r="Y38" s="5">
        <f t="shared" si="30"/>
        <v>5.4677446006490438E-2</v>
      </c>
      <c r="Z38" s="5">
        <f t="shared" si="31"/>
        <v>5.4539143898857168E-2</v>
      </c>
      <c r="AA38" s="5">
        <f t="shared" si="32"/>
        <v>-7.5969020157769629E-2</v>
      </c>
      <c r="AB38" s="16" cm="1">
        <f t="array" ref="AB38">SQRT(SUMPRODUCT(((J38:O38-P38:U38)/$AL$3:$AQ$3)^2)/6)*100</f>
        <v>0.88352820724630476</v>
      </c>
      <c r="AC38" s="16"/>
      <c r="AD38" s="16"/>
      <c r="AE38" s="16"/>
      <c r="AF38" s="16"/>
      <c r="AG38" s="16"/>
      <c r="AH38" s="16"/>
      <c r="AI38" s="16"/>
      <c r="AJ38" s="5">
        <f t="shared" si="7"/>
        <v>6.0000000000000012E-2</v>
      </c>
      <c r="AK38" s="13">
        <v>1325.5370563973599</v>
      </c>
    </row>
    <row r="39" spans="1:37" ht="16.5" customHeight="1" x14ac:dyDescent="0.25">
      <c r="A39" s="17">
        <v>1.0319949839</v>
      </c>
      <c r="B39" s="17">
        <v>0.18</v>
      </c>
      <c r="C39" s="18">
        <v>3.927</v>
      </c>
      <c r="D39" s="17">
        <v>1.1733448184999999</v>
      </c>
      <c r="E39" s="17">
        <v>0.12</v>
      </c>
      <c r="F39" s="18">
        <v>0.78539999999999999</v>
      </c>
      <c r="G39" s="17">
        <v>4.3201662060999997</v>
      </c>
      <c r="H39" s="17">
        <v>3.8378352410000001</v>
      </c>
      <c r="I39" s="17">
        <v>4.8360302252</v>
      </c>
      <c r="J39" s="8">
        <v>-9.0057402849197399E-4</v>
      </c>
      <c r="K39" s="8">
        <v>6.9827769696711901E-3</v>
      </c>
      <c r="L39" s="8">
        <v>-8.0578292906284613E-3</v>
      </c>
      <c r="M39" s="8">
        <v>1.4639855362474899E-2</v>
      </c>
      <c r="N39" s="8">
        <v>0.272623121738434</v>
      </c>
      <c r="O39" s="8">
        <v>0.30911225080490101</v>
      </c>
      <c r="P39" s="11">
        <v>-4.6732875519983697E-3</v>
      </c>
      <c r="Q39" s="11">
        <v>3.0381113764260392E-2</v>
      </c>
      <c r="R39" s="11">
        <v>-3.0972376093771178E-2</v>
      </c>
      <c r="S39" s="11">
        <v>-4.0173304853914418E-2</v>
      </c>
      <c r="T39" s="11">
        <v>0.10682549836710181</v>
      </c>
      <c r="U39" s="11">
        <v>0.11285292345877795</v>
      </c>
      <c r="V39" s="5">
        <f t="shared" si="27"/>
        <v>3.7727135235063958E-3</v>
      </c>
      <c r="W39" s="5">
        <f t="shared" si="28"/>
        <v>-2.3398336794589202E-2</v>
      </c>
      <c r="X39" s="5">
        <f t="shared" si="29"/>
        <v>2.2914546803142716E-2</v>
      </c>
      <c r="Y39" s="5">
        <f t="shared" si="30"/>
        <v>5.4813160216389316E-2</v>
      </c>
      <c r="Z39" s="5">
        <f t="shared" si="31"/>
        <v>0.16579762337133219</v>
      </c>
      <c r="AA39" s="5">
        <f t="shared" si="32"/>
        <v>0.19625932734612306</v>
      </c>
      <c r="AB39" s="16" cm="1">
        <f t="array" ref="AB39">SQRT(SUMPRODUCT(((J39:O39-P39:U39)/$AL$3:$AQ$3)^2)/6)*100</f>
        <v>1.4449008065567992</v>
      </c>
      <c r="AC39" s="16"/>
      <c r="AD39" s="16"/>
      <c r="AE39" s="16"/>
      <c r="AF39" s="16"/>
      <c r="AG39" s="16"/>
      <c r="AH39" s="16"/>
      <c r="AI39" s="16"/>
      <c r="AJ39" s="5">
        <f t="shared" si="7"/>
        <v>0.06</v>
      </c>
      <c r="AK39" s="13">
        <v>13498.249253091601</v>
      </c>
    </row>
    <row r="40" spans="1:37" ht="16.5" customHeight="1" x14ac:dyDescent="0.25">
      <c r="A40" s="17">
        <v>0.54659396309999997</v>
      </c>
      <c r="B40" s="17">
        <v>0.14000000000000001</v>
      </c>
      <c r="C40" s="18">
        <v>3.927</v>
      </c>
      <c r="D40" s="17">
        <v>0.37475583969999998</v>
      </c>
      <c r="E40" s="17">
        <v>0.08</v>
      </c>
      <c r="F40" s="18">
        <v>1.5708</v>
      </c>
      <c r="G40" s="17">
        <v>1.2326114607000001</v>
      </c>
      <c r="H40" s="17">
        <v>3.5091223980000001</v>
      </c>
      <c r="I40" s="17">
        <v>2.8278096824999999</v>
      </c>
      <c r="J40" s="8">
        <v>-9.9586381111294009E-4</v>
      </c>
      <c r="K40" s="8">
        <v>1.9444975480437252E-2</v>
      </c>
      <c r="L40" s="8">
        <v>-4.9389829635620136E-2</v>
      </c>
      <c r="M40" s="8">
        <v>-3.4344613552093499E-2</v>
      </c>
      <c r="N40" s="8">
        <v>-0.33634969592094399</v>
      </c>
      <c r="O40" s="8">
        <v>5.8875620365142801E-2</v>
      </c>
      <c r="P40" s="11">
        <v>-2.592802216991886E-4</v>
      </c>
      <c r="Q40" s="11">
        <v>2.3996015482671728E-2</v>
      </c>
      <c r="R40" s="11">
        <v>-5.3855883791886092E-2</v>
      </c>
      <c r="S40" s="11">
        <v>-6.6189409349618006E-2</v>
      </c>
      <c r="T40" s="11">
        <v>-0.38234863836658234</v>
      </c>
      <c r="U40" s="11">
        <v>-7.9500291394943336E-3</v>
      </c>
      <c r="V40" s="5">
        <f t="shared" si="27"/>
        <v>-7.3658358941375149E-4</v>
      </c>
      <c r="W40" s="5">
        <f t="shared" si="28"/>
        <v>-4.5510400022344757E-3</v>
      </c>
      <c r="X40" s="5">
        <f t="shared" si="29"/>
        <v>4.4660541562659556E-3</v>
      </c>
      <c r="Y40" s="5">
        <f t="shared" si="30"/>
        <v>3.1844795797524507E-2</v>
      </c>
      <c r="Z40" s="5">
        <f t="shared" si="31"/>
        <v>4.5998942445638347E-2</v>
      </c>
      <c r="AA40" s="5">
        <f t="shared" si="32"/>
        <v>6.6825649504637138E-2</v>
      </c>
      <c r="AB40" s="16" cm="1">
        <f t="array" ref="AB40">SQRT(SUMPRODUCT(((J40:O40-P40:U40)/$AL$3:$AQ$3)^2)/6)*100</f>
        <v>0.31074045307739351</v>
      </c>
      <c r="AC40" s="16"/>
      <c r="AD40" s="16"/>
      <c r="AE40" s="16"/>
      <c r="AF40" s="16"/>
      <c r="AG40" s="16"/>
      <c r="AH40" s="16"/>
      <c r="AI40" s="16"/>
      <c r="AJ40" s="5">
        <f t="shared" si="7"/>
        <v>6.0000000000000012E-2</v>
      </c>
      <c r="AK40" s="13">
        <v>2507.9697780861502</v>
      </c>
    </row>
    <row r="41" spans="1:37" ht="16.5" customHeight="1" x14ac:dyDescent="0.25">
      <c r="A41" s="17">
        <v>0.62359206519999999</v>
      </c>
      <c r="B41" s="17">
        <v>0.08</v>
      </c>
      <c r="C41" s="18">
        <v>5.4977999999999998</v>
      </c>
      <c r="D41" s="17">
        <v>0.47877904049999997</v>
      </c>
      <c r="E41" s="17">
        <v>0.02</v>
      </c>
      <c r="F41" s="18">
        <v>3.927</v>
      </c>
      <c r="G41" s="17">
        <v>2.2205178402999999</v>
      </c>
      <c r="H41" s="17">
        <v>1.9827336431</v>
      </c>
      <c r="I41" s="17">
        <v>0.36676452050000002</v>
      </c>
      <c r="J41" s="8">
        <v>1.3723341980949001E-3</v>
      </c>
      <c r="K41" s="8">
        <v>4.9606948494910777E-2</v>
      </c>
      <c r="L41" s="8">
        <v>3.1119555234909065E-2</v>
      </c>
      <c r="M41" s="8">
        <v>-3.7808604538440697E-2</v>
      </c>
      <c r="N41" s="8">
        <v>0.127191096544266</v>
      </c>
      <c r="O41" s="8">
        <v>-0.83187156915664695</v>
      </c>
      <c r="P41" s="11">
        <v>-4.2459013925453599E-5</v>
      </c>
      <c r="Q41" s="11">
        <v>4.1968560647723037E-2</v>
      </c>
      <c r="R41" s="11">
        <v>2.8427326354618487E-2</v>
      </c>
      <c r="S41" s="11">
        <v>-7.6217399937596696E-4</v>
      </c>
      <c r="T41" s="11">
        <v>0.10240403978363216</v>
      </c>
      <c r="U41" s="11">
        <v>-0.77949228209966814</v>
      </c>
      <c r="V41" s="5">
        <f t="shared" si="27"/>
        <v>1.4147932120203537E-3</v>
      </c>
      <c r="W41" s="5">
        <f t="shared" si="28"/>
        <v>7.6383878471877401E-3</v>
      </c>
      <c r="X41" s="5">
        <f t="shared" si="29"/>
        <v>2.6922288802905779E-3</v>
      </c>
      <c r="Y41" s="5">
        <f t="shared" si="30"/>
        <v>-3.7046430539064729E-2</v>
      </c>
      <c r="Z41" s="5">
        <f t="shared" si="31"/>
        <v>2.4787056760633835E-2</v>
      </c>
      <c r="AA41" s="5">
        <f t="shared" si="32"/>
        <v>-5.2379287056978807E-2</v>
      </c>
      <c r="AB41" s="16" cm="1">
        <f t="array" ref="AB41">SQRT(SUMPRODUCT(((J41:O41-P41:U41)/$AL$3:$AQ$3)^2)/6)*100</f>
        <v>0.35677001836262456</v>
      </c>
      <c r="AC41" s="16"/>
      <c r="AD41" s="16"/>
      <c r="AE41" s="16"/>
      <c r="AF41" s="16"/>
      <c r="AG41" s="16"/>
      <c r="AH41" s="16"/>
      <c r="AI41" s="16"/>
      <c r="AJ41" s="5">
        <f t="shared" si="7"/>
        <v>0.06</v>
      </c>
      <c r="AK41" s="13">
        <v>2696.32531405294</v>
      </c>
    </row>
    <row r="42" spans="1:37" ht="16.5" customHeight="1" x14ac:dyDescent="0.25">
      <c r="A42" s="17">
        <v>1.3484992293</v>
      </c>
      <c r="B42" s="17">
        <v>0.2</v>
      </c>
      <c r="C42" s="18">
        <v>0</v>
      </c>
      <c r="D42" s="17">
        <v>0.39122828500000001</v>
      </c>
      <c r="E42" s="17">
        <v>0.14000000000000001</v>
      </c>
      <c r="F42" s="18">
        <v>0.78539999999999999</v>
      </c>
      <c r="G42" s="17">
        <v>1.9402253723</v>
      </c>
      <c r="H42" s="17">
        <v>1.6478522000000001E-3</v>
      </c>
      <c r="I42" s="17">
        <v>3.2221664534999999</v>
      </c>
      <c r="J42" s="8">
        <v>2.4063613265752799E-2</v>
      </c>
      <c r="K42" s="8">
        <v>-4.7257738709449847E-2</v>
      </c>
      <c r="L42" s="8">
        <v>0.28212942004203811</v>
      </c>
      <c r="M42" s="8">
        <v>-0.94563829898834195</v>
      </c>
      <c r="N42" s="8">
        <v>1.1476809978485101</v>
      </c>
      <c r="O42" s="8">
        <v>0.334593296051025</v>
      </c>
      <c r="P42" s="11">
        <v>1.3904049844970368E-2</v>
      </c>
      <c r="Q42" s="11">
        <v>-4.9236831678276916E-2</v>
      </c>
      <c r="R42" s="11">
        <v>0.27394743290657908</v>
      </c>
      <c r="S42" s="11">
        <v>-0.97151875316823411</v>
      </c>
      <c r="T42" s="11">
        <v>1.2832931515165111</v>
      </c>
      <c r="U42" s="11">
        <v>0.3571955058950812</v>
      </c>
      <c r="V42" s="5">
        <f t="shared" si="27"/>
        <v>1.0159563420782431E-2</v>
      </c>
      <c r="W42" s="5">
        <f t="shared" si="28"/>
        <v>1.9790929688270689E-3</v>
      </c>
      <c r="X42" s="5">
        <f t="shared" si="29"/>
        <v>8.1819871354590346E-3</v>
      </c>
      <c r="Y42" s="5">
        <f t="shared" si="30"/>
        <v>2.5880454179892154E-2</v>
      </c>
      <c r="Z42" s="5">
        <f t="shared" si="31"/>
        <v>-0.13561215366800106</v>
      </c>
      <c r="AA42" s="5">
        <f t="shared" si="32"/>
        <v>-2.2602209844056198E-2</v>
      </c>
      <c r="AB42" s="16" cm="1">
        <f t="array" ref="AB42">SQRT(SUMPRODUCT(((J42:O42-P42:U42)/$AL$3:$AQ$3)^2)/6)*100</f>
        <v>0.60761596509136739</v>
      </c>
      <c r="AC42" s="16"/>
      <c r="AD42" s="16"/>
      <c r="AE42" s="16"/>
      <c r="AF42" s="16"/>
      <c r="AG42" s="16"/>
      <c r="AH42" s="16"/>
      <c r="AI42" s="16"/>
      <c r="AJ42" s="5">
        <f t="shared" si="7"/>
        <v>0.06</v>
      </c>
      <c r="AK42" s="13">
        <v>3302.7038748377799</v>
      </c>
    </row>
    <row r="43" spans="1:37" ht="16.5" customHeight="1" x14ac:dyDescent="0.25">
      <c r="A43" s="17">
        <v>0.51681038229999998</v>
      </c>
      <c r="B43" s="17">
        <v>0.08</v>
      </c>
      <c r="C43" s="18">
        <v>0</v>
      </c>
      <c r="D43" s="17">
        <v>0.91461204240000005</v>
      </c>
      <c r="E43" s="17">
        <v>0.02</v>
      </c>
      <c r="F43" s="18">
        <v>3.927</v>
      </c>
      <c r="G43" s="17">
        <v>3.7945339589999998</v>
      </c>
      <c r="H43" s="17">
        <v>3.3481721828</v>
      </c>
      <c r="I43" s="17">
        <v>3.4429632493</v>
      </c>
      <c r="J43" s="8">
        <v>-3.8290908560156801E-4</v>
      </c>
      <c r="K43" s="8">
        <v>1.6115657389164026E-2</v>
      </c>
      <c r="L43" s="8">
        <v>2.8937506936490519E-2</v>
      </c>
      <c r="M43" s="8">
        <v>-1.27025358378887E-2</v>
      </c>
      <c r="N43" s="8">
        <v>-0.23589420318603499</v>
      </c>
      <c r="O43" s="8">
        <v>-0.73385769128799405</v>
      </c>
      <c r="P43" s="11">
        <v>-2.0118456184256876E-5</v>
      </c>
      <c r="Q43" s="11">
        <v>1.293481500127122E-2</v>
      </c>
      <c r="R43" s="11">
        <v>2.8318696668091593E-2</v>
      </c>
      <c r="S43" s="11">
        <v>-3.4173947933155966E-3</v>
      </c>
      <c r="T43" s="11">
        <v>-0.12993000102022786</v>
      </c>
      <c r="U43" s="11">
        <v>-0.6467369735018863</v>
      </c>
      <c r="V43" s="5">
        <f t="shared" si="27"/>
        <v>-3.6279062941731112E-4</v>
      </c>
      <c r="W43" s="5">
        <f t="shared" si="28"/>
        <v>3.1808423878928061E-3</v>
      </c>
      <c r="X43" s="5">
        <f t="shared" si="29"/>
        <v>6.188102683989255E-4</v>
      </c>
      <c r="Y43" s="5">
        <f t="shared" si="30"/>
        <v>-9.2851410445731041E-3</v>
      </c>
      <c r="Z43" s="5">
        <f t="shared" si="31"/>
        <v>-0.10596420216580713</v>
      </c>
      <c r="AA43" s="5">
        <f t="shared" si="32"/>
        <v>-8.7120717786107749E-2</v>
      </c>
      <c r="AB43" s="16" cm="1">
        <f t="array" ref="AB43">SQRT(SUMPRODUCT(((J43:O43-P43:U43)/$AL$3:$AQ$3)^2)/6)*100</f>
        <v>0.31011376621129355</v>
      </c>
      <c r="AC43" s="16"/>
      <c r="AD43" s="16"/>
      <c r="AE43" s="16"/>
      <c r="AF43" s="16"/>
      <c r="AG43" s="16"/>
      <c r="AH43" s="16"/>
      <c r="AI43" s="16"/>
      <c r="AJ43" s="5">
        <f t="shared" si="7"/>
        <v>0.06</v>
      </c>
      <c r="AK43" s="13">
        <v>1902.8805691713201</v>
      </c>
    </row>
    <row r="44" spans="1:37" ht="16.5" customHeight="1" x14ac:dyDescent="0.25">
      <c r="A44" s="17">
        <v>0.68441694529999997</v>
      </c>
      <c r="B44" s="17">
        <v>0.16</v>
      </c>
      <c r="C44" s="18">
        <v>2.3561999999999999</v>
      </c>
      <c r="D44" s="17">
        <v>1.4072090791</v>
      </c>
      <c r="E44" s="17">
        <v>0.1</v>
      </c>
      <c r="F44" s="18">
        <v>0.78539999999999999</v>
      </c>
      <c r="G44" s="17">
        <v>1.6472032243000001</v>
      </c>
      <c r="H44" s="17">
        <v>5.9795420000000002E-2</v>
      </c>
      <c r="I44" s="17">
        <v>0.1036992028</v>
      </c>
      <c r="J44" s="8">
        <v>6.5218294039368603E-3</v>
      </c>
      <c r="K44" s="8">
        <v>-0.18476446866989102</v>
      </c>
      <c r="L44" s="8">
        <v>3.5812929868698183E-2</v>
      </c>
      <c r="M44" s="8">
        <v>-0.29513090848922702</v>
      </c>
      <c r="N44" s="8">
        <v>0.62835580110549905</v>
      </c>
      <c r="O44" s="8">
        <v>1.4002138376236</v>
      </c>
      <c r="P44" s="11">
        <v>2.6594826853189365E-3</v>
      </c>
      <c r="Q44" s="11">
        <v>-0.17453439221915101</v>
      </c>
      <c r="R44" s="11">
        <v>2.2018191962573049E-2</v>
      </c>
      <c r="S44" s="11">
        <v>-0.34710713830234113</v>
      </c>
      <c r="T44" s="11">
        <v>0.50579908992130163</v>
      </c>
      <c r="U44" s="11">
        <v>1.4376283681980822</v>
      </c>
      <c r="V44" s="5">
        <f t="shared" si="27"/>
        <v>3.8623467186179239E-3</v>
      </c>
      <c r="W44" s="5">
        <f t="shared" si="28"/>
        <v>-1.0230076450740005E-2</v>
      </c>
      <c r="X44" s="5">
        <f t="shared" si="29"/>
        <v>1.3794737906125135E-2</v>
      </c>
      <c r="Y44" s="5">
        <f t="shared" si="30"/>
        <v>5.1976229813114116E-2</v>
      </c>
      <c r="Z44" s="5">
        <f t="shared" si="31"/>
        <v>0.12255671118419742</v>
      </c>
      <c r="AA44" s="5">
        <f t="shared" si="32"/>
        <v>-3.7414530574482185E-2</v>
      </c>
      <c r="AB44" s="16" cm="1">
        <f t="array" ref="AB44">SQRT(SUMPRODUCT(((J44:O44-P44:U44)/$AL$3:$AQ$3)^2)/6)*100</f>
        <v>0.76557972720160727</v>
      </c>
      <c r="AC44" s="16"/>
      <c r="AD44" s="16"/>
      <c r="AE44" s="16"/>
      <c r="AF44" s="16"/>
      <c r="AG44" s="16"/>
      <c r="AH44" s="16"/>
      <c r="AI44" s="16"/>
      <c r="AJ44" s="5">
        <f t="shared" si="7"/>
        <v>0.06</v>
      </c>
      <c r="AK44" s="13">
        <v>1899.84061373393</v>
      </c>
    </row>
    <row r="45" spans="1:37" ht="16.5" customHeight="1" x14ac:dyDescent="0.25">
      <c r="A45" s="17">
        <v>1.3991334753</v>
      </c>
      <c r="B45" s="17">
        <v>0.12</v>
      </c>
      <c r="C45" s="18">
        <v>5.4977999999999998</v>
      </c>
      <c r="D45" s="17">
        <v>0.96266422490000003</v>
      </c>
      <c r="E45" s="17">
        <v>0.06</v>
      </c>
      <c r="F45" s="18">
        <v>5.4977999999999998</v>
      </c>
      <c r="G45" s="17">
        <v>2.0231526378</v>
      </c>
      <c r="H45" s="17">
        <v>0.50988481399999996</v>
      </c>
      <c r="I45" s="17">
        <v>0.60427768879999999</v>
      </c>
      <c r="J45" s="8">
        <v>1.9630594179034198E-3</v>
      </c>
      <c r="K45" s="8">
        <v>0.1703220427036285</v>
      </c>
      <c r="L45" s="8">
        <v>0.16633532285690383</v>
      </c>
      <c r="M45" s="8">
        <v>-0.36146178841590898</v>
      </c>
      <c r="N45" s="8">
        <v>1.5526535511016799</v>
      </c>
      <c r="O45" s="8">
        <v>-1.77750408649445</v>
      </c>
      <c r="P45" s="11">
        <v>3.8214358797326107E-3</v>
      </c>
      <c r="Q45" s="11">
        <v>0.15886186125946641</v>
      </c>
      <c r="R45" s="11">
        <v>0.15901378690435103</v>
      </c>
      <c r="S45" s="11">
        <v>-0.28158554747367298</v>
      </c>
      <c r="T45" s="11">
        <v>1.6601958515546718</v>
      </c>
      <c r="U45" s="11">
        <v>-1.6515816832174508</v>
      </c>
      <c r="V45" s="5">
        <f t="shared" si="27"/>
        <v>-1.8583764618291909E-3</v>
      </c>
      <c r="W45" s="5">
        <f t="shared" si="28"/>
        <v>1.1460181444162082E-2</v>
      </c>
      <c r="X45" s="5">
        <f t="shared" si="29"/>
        <v>7.3215359525528045E-3</v>
      </c>
      <c r="Y45" s="5">
        <f t="shared" si="30"/>
        <v>-7.9876240942235999E-2</v>
      </c>
      <c r="Z45" s="5">
        <f t="shared" si="31"/>
        <v>-0.10754230045299185</v>
      </c>
      <c r="AA45" s="5">
        <f t="shared" si="32"/>
        <v>-0.12592240327699922</v>
      </c>
      <c r="AB45" s="16" cm="1">
        <f t="array" ref="AB45">SQRT(SUMPRODUCT(((J45:O45-P45:U45)/$AL$3:$AQ$3)^2)/6)*100</f>
        <v>0.65665945921472169</v>
      </c>
      <c r="AC45" s="16"/>
      <c r="AD45" s="16"/>
      <c r="AE45" s="16"/>
      <c r="AF45" s="16"/>
      <c r="AG45" s="16"/>
      <c r="AH45" s="16"/>
      <c r="AI45" s="16"/>
      <c r="AJ45" s="5">
        <f t="shared" si="7"/>
        <v>0.06</v>
      </c>
      <c r="AK45" s="13">
        <v>3531.6212508260901</v>
      </c>
    </row>
    <row r="46" spans="1:37" ht="16.5" customHeight="1" x14ac:dyDescent="0.25">
      <c r="A46" s="17">
        <v>0.4668308846</v>
      </c>
      <c r="B46" s="17">
        <v>0.08</v>
      </c>
      <c r="C46" s="18">
        <v>3.1415999999999999</v>
      </c>
      <c r="D46" s="17">
        <v>1.1054712231999999</v>
      </c>
      <c r="E46" s="17">
        <v>0.04</v>
      </c>
      <c r="F46" s="18">
        <v>4.7123999999999997</v>
      </c>
      <c r="G46" s="17">
        <v>4.4838346888</v>
      </c>
      <c r="H46" s="17">
        <v>0.20145099390000001</v>
      </c>
      <c r="I46" s="17">
        <v>4.5041045776999997</v>
      </c>
      <c r="J46" s="8">
        <v>6.2750652432441701E-4</v>
      </c>
      <c r="K46" s="8">
        <v>4.87911289930337E-2</v>
      </c>
      <c r="L46" s="8">
        <v>-3.5860749185085292E-2</v>
      </c>
      <c r="M46" s="8">
        <v>5.4590590298175803E-3</v>
      </c>
      <c r="N46" s="8">
        <v>-0.39531296491622903</v>
      </c>
      <c r="O46" s="8">
        <v>-1.1238435506820701</v>
      </c>
      <c r="P46" s="11">
        <v>-4.0234208014285517E-4</v>
      </c>
      <c r="Q46" s="11">
        <v>4.4224308871608241E-2</v>
      </c>
      <c r="R46" s="11">
        <v>-3.7255465226481453E-2</v>
      </c>
      <c r="S46" s="11">
        <v>-5.0966529949480529E-3</v>
      </c>
      <c r="T46" s="11">
        <v>-0.46677562130473621</v>
      </c>
      <c r="U46" s="11">
        <v>-1.1055750998308891</v>
      </c>
      <c r="V46" s="5">
        <f t="shared" si="27"/>
        <v>1.0298486044672721E-3</v>
      </c>
      <c r="W46" s="5">
        <f t="shared" si="28"/>
        <v>4.5668201214254592E-3</v>
      </c>
      <c r="X46" s="5">
        <f t="shared" si="29"/>
        <v>1.3947160413961615E-3</v>
      </c>
      <c r="Y46" s="5">
        <f t="shared" si="30"/>
        <v>1.0555712024765632E-2</v>
      </c>
      <c r="Z46" s="5">
        <f t="shared" si="31"/>
        <v>7.1462656388507184E-2</v>
      </c>
      <c r="AA46" s="5">
        <f t="shared" si="32"/>
        <v>-1.8268450851181006E-2</v>
      </c>
      <c r="AB46" s="16" cm="1">
        <f t="array" ref="AB46">SQRT(SUMPRODUCT(((J46:O46-P46:U46)/$AL$3:$AQ$3)^2)/6)*100</f>
        <v>0.24998078839917254</v>
      </c>
      <c r="AC46" s="16"/>
      <c r="AD46" s="16"/>
      <c r="AE46" s="16"/>
      <c r="AF46" s="16"/>
      <c r="AG46" s="16"/>
      <c r="AH46" s="16"/>
      <c r="AI46" s="16"/>
      <c r="AJ46" s="5">
        <f t="shared" si="7"/>
        <v>0.04</v>
      </c>
      <c r="AK46" s="13">
        <v>2113.8744242274001</v>
      </c>
    </row>
    <row r="47" spans="1:37" ht="16.5" customHeight="1" x14ac:dyDescent="0.25">
      <c r="A47" s="17">
        <v>1.4827422800000001</v>
      </c>
      <c r="B47" s="17">
        <v>0.08</v>
      </c>
      <c r="C47" s="18">
        <v>3.1415999999999999</v>
      </c>
      <c r="D47" s="17">
        <v>0.80651000630000003</v>
      </c>
      <c r="E47" s="17">
        <v>0.04</v>
      </c>
      <c r="F47" s="18">
        <v>4.7123999999999997</v>
      </c>
      <c r="G47" s="17">
        <v>4.1839238480000001</v>
      </c>
      <c r="H47" s="17">
        <v>4.1752821560999998</v>
      </c>
      <c r="I47" s="17">
        <v>0.4978333036</v>
      </c>
      <c r="J47" s="8">
        <v>1.6527259722352E-3</v>
      </c>
      <c r="K47" s="8">
        <v>3.6831824779510983E-2</v>
      </c>
      <c r="L47" s="8">
        <v>-0.12361461400985693</v>
      </c>
      <c r="M47" s="8">
        <v>-2.5319248437881501E-2</v>
      </c>
      <c r="N47" s="8">
        <v>-1.40897560119629</v>
      </c>
      <c r="O47" s="8">
        <v>-0.87691116333007801</v>
      </c>
      <c r="P47" s="11">
        <v>1.5044329847291654E-3</v>
      </c>
      <c r="Q47" s="11">
        <v>3.2295135364561738E-2</v>
      </c>
      <c r="R47" s="11">
        <v>-0.11832847153655945</v>
      </c>
      <c r="S47" s="11">
        <v>-1.7163831403804532E-2</v>
      </c>
      <c r="T47" s="11">
        <v>-1.4824104904176938</v>
      </c>
      <c r="U47" s="11">
        <v>-0.80722275388507381</v>
      </c>
      <c r="V47" s="5">
        <f t="shared" si="27"/>
        <v>1.4829298750603458E-4</v>
      </c>
      <c r="W47" s="5">
        <f t="shared" si="28"/>
        <v>4.5366894149492451E-3</v>
      </c>
      <c r="X47" s="5">
        <f t="shared" si="29"/>
        <v>-5.2861424732974782E-3</v>
      </c>
      <c r="Y47" s="5">
        <f t="shared" si="30"/>
        <v>-8.1554170340769686E-3</v>
      </c>
      <c r="Z47" s="5">
        <f t="shared" si="31"/>
        <v>7.3434889221403843E-2</v>
      </c>
      <c r="AA47" s="5">
        <f t="shared" si="32"/>
        <v>-6.9688409445004207E-2</v>
      </c>
      <c r="AB47" s="16" cm="1">
        <f t="array" ref="AB47">SQRT(SUMPRODUCT(((J47:O47-P47:U47)/$AL$3:$AQ$3)^2)/6)*100</f>
        <v>0.3516347834292794</v>
      </c>
      <c r="AC47" s="16"/>
      <c r="AD47" s="16"/>
      <c r="AE47" s="16"/>
      <c r="AF47" s="16"/>
      <c r="AG47" s="16"/>
      <c r="AH47" s="16"/>
      <c r="AI47" s="16"/>
      <c r="AJ47" s="5">
        <f t="shared" si="7"/>
        <v>0.04</v>
      </c>
      <c r="AK47" s="13">
        <v>7282.9201268507204</v>
      </c>
    </row>
    <row r="48" spans="1:37" ht="16.5" customHeight="1" x14ac:dyDescent="0.25">
      <c r="A48" s="17">
        <v>1.4313963908</v>
      </c>
      <c r="B48" s="17">
        <v>0.2</v>
      </c>
      <c r="C48" s="18">
        <v>5.4977999999999998</v>
      </c>
      <c r="D48" s="17">
        <v>0.66088478610000001</v>
      </c>
      <c r="E48" s="17">
        <v>0.16</v>
      </c>
      <c r="F48" s="18">
        <v>5.4977999999999998</v>
      </c>
      <c r="G48" s="17">
        <v>4.6493399877000003</v>
      </c>
      <c r="H48" s="17">
        <v>1.9654430356000001</v>
      </c>
      <c r="I48" s="17">
        <v>1.6399488998</v>
      </c>
      <c r="J48" s="8">
        <v>9.6939438953995705E-3</v>
      </c>
      <c r="K48" s="8">
        <v>0.27004351437091834</v>
      </c>
      <c r="L48" s="8">
        <v>0.19298106670379606</v>
      </c>
      <c r="M48" s="8">
        <v>-1.59077119827271</v>
      </c>
      <c r="N48" s="8">
        <v>0.70686304569244396</v>
      </c>
      <c r="O48" s="8">
        <v>-0.98475259542465199</v>
      </c>
      <c r="P48" s="11">
        <v>1.6289612832234325E-2</v>
      </c>
      <c r="Q48" s="11">
        <v>0.21988553264619032</v>
      </c>
      <c r="R48" s="11">
        <v>0.22377575079156006</v>
      </c>
      <c r="S48" s="11">
        <v>-1.7050489293116615</v>
      </c>
      <c r="T48" s="11">
        <v>0.92467039130427686</v>
      </c>
      <c r="U48" s="11">
        <v>-0.78447759646699955</v>
      </c>
      <c r="V48" s="5">
        <f t="shared" si="27"/>
        <v>-6.5956689368347546E-3</v>
      </c>
      <c r="W48" s="5">
        <f t="shared" si="28"/>
        <v>5.0157981724728018E-2</v>
      </c>
      <c r="X48" s="5">
        <f t="shared" si="29"/>
        <v>-3.0794684087764007E-2</v>
      </c>
      <c r="Y48" s="5">
        <f t="shared" si="30"/>
        <v>0.11427773103895156</v>
      </c>
      <c r="Z48" s="5">
        <f t="shared" si="31"/>
        <v>-0.2178073456118329</v>
      </c>
      <c r="AA48" s="5">
        <f t="shared" si="32"/>
        <v>-0.20027499895765244</v>
      </c>
      <c r="AB48" s="16" cm="1">
        <f t="array" ref="AB48">SQRT(SUMPRODUCT(((J48:O48-P48:U48)/$AL$3:$AQ$3)^2)/6)*100</f>
        <v>2.4933716951386957</v>
      </c>
      <c r="AC48" s="16"/>
      <c r="AD48" s="16"/>
      <c r="AE48" s="16"/>
      <c r="AF48" s="16"/>
      <c r="AG48" s="16"/>
      <c r="AH48" s="16"/>
      <c r="AI48" s="16"/>
      <c r="AJ48" s="5">
        <f t="shared" si="7"/>
        <v>4.0000000000000008E-2</v>
      </c>
      <c r="AK48" s="13">
        <v>241115.288489914</v>
      </c>
    </row>
    <row r="49" spans="1:37" ht="16.5" customHeight="1" x14ac:dyDescent="0.25">
      <c r="A49" s="17">
        <v>1.1008731407000001</v>
      </c>
      <c r="B49" s="17">
        <v>0.12</v>
      </c>
      <c r="C49" s="18">
        <v>4.7123999999999997</v>
      </c>
      <c r="D49" s="17">
        <v>1.0118865585000001</v>
      </c>
      <c r="E49" s="17">
        <v>0.08</v>
      </c>
      <c r="F49" s="18">
        <v>0</v>
      </c>
      <c r="G49" s="17">
        <v>2.5804466663999999</v>
      </c>
      <c r="H49" s="17">
        <v>2.8020908323999998</v>
      </c>
      <c r="I49" s="17">
        <v>1.4209598912000001</v>
      </c>
      <c r="J49" s="8">
        <v>-2.7996068820357301E-4</v>
      </c>
      <c r="K49" s="8">
        <v>0.13670089662075013</v>
      </c>
      <c r="L49" s="8">
        <v>7.6257542371749601E-2</v>
      </c>
      <c r="M49" s="8">
        <v>-0.204482272267342</v>
      </c>
      <c r="N49" s="8">
        <v>0.90759164094924905</v>
      </c>
      <c r="O49" s="8">
        <v>-1.08108770847321</v>
      </c>
      <c r="P49" s="11">
        <v>1.9558786797865806E-3</v>
      </c>
      <c r="Q49" s="11">
        <v>0.13172903363987976</v>
      </c>
      <c r="R49" s="11">
        <v>8.073710798912985E-2</v>
      </c>
      <c r="S49" s="11">
        <v>-0.13974959105863907</v>
      </c>
      <c r="T49" s="11">
        <v>1.0114208671343792</v>
      </c>
      <c r="U49" s="11">
        <v>-1.092553037387036</v>
      </c>
      <c r="V49" s="5">
        <f t="shared" si="27"/>
        <v>-2.2358393679901539E-3</v>
      </c>
      <c r="W49" s="5">
        <f t="shared" si="28"/>
        <v>4.9718629808703785E-3</v>
      </c>
      <c r="X49" s="5">
        <f t="shared" si="29"/>
        <v>-4.4795656173802489E-3</v>
      </c>
      <c r="Y49" s="5">
        <f t="shared" si="30"/>
        <v>-6.473268120870293E-2</v>
      </c>
      <c r="Z49" s="5">
        <f t="shared" si="31"/>
        <v>-0.10382922618513013</v>
      </c>
      <c r="AA49" s="5">
        <f t="shared" si="32"/>
        <v>1.1465328913826012E-2</v>
      </c>
      <c r="AB49" s="16" cm="1">
        <f t="array" ref="AB49">SQRT(SUMPRODUCT(((J49:O49-P49:U49)/$AL$3:$AQ$3)^2)/6)*100</f>
        <v>0.36108353148552325</v>
      </c>
      <c r="AC49" s="16"/>
      <c r="AD49" s="16"/>
      <c r="AE49" s="16"/>
      <c r="AF49" s="16"/>
      <c r="AG49" s="16"/>
      <c r="AH49" s="16"/>
      <c r="AI49" s="16"/>
      <c r="AJ49" s="5">
        <f t="shared" si="7"/>
        <v>3.9999999999999994E-2</v>
      </c>
      <c r="AK49" s="13">
        <v>21611.028785295999</v>
      </c>
    </row>
    <row r="50" spans="1:37" ht="16.5" customHeight="1" x14ac:dyDescent="0.25">
      <c r="A50" s="17">
        <v>1.1548404238000001</v>
      </c>
      <c r="B50" s="17">
        <v>0.06</v>
      </c>
      <c r="C50" s="18">
        <v>0</v>
      </c>
      <c r="D50" s="17">
        <v>0.95560731600000004</v>
      </c>
      <c r="E50" s="17">
        <v>0.02</v>
      </c>
      <c r="F50" s="18">
        <v>5.4977999999999998</v>
      </c>
      <c r="G50" s="17">
        <v>1.7445767312</v>
      </c>
      <c r="H50" s="17">
        <v>3.9458122761999999</v>
      </c>
      <c r="I50" s="17">
        <v>4.9189190299999996</v>
      </c>
      <c r="J50" s="8">
        <v>6.5085850656032595E-4</v>
      </c>
      <c r="K50" s="8">
        <v>1.3685224652290398E-2</v>
      </c>
      <c r="L50" s="8">
        <v>8.8795118331908507E-2</v>
      </c>
      <c r="M50" s="8">
        <v>-7.4454337358474704E-2</v>
      </c>
      <c r="N50" s="8">
        <v>1.8312971591949501</v>
      </c>
      <c r="O50" s="8">
        <v>-0.74528855085372903</v>
      </c>
      <c r="P50" s="11">
        <v>2.9327910126481681E-4</v>
      </c>
      <c r="Q50" s="11">
        <v>1.351247623872744E-2</v>
      </c>
      <c r="R50" s="11">
        <v>8.2983554239757396E-2</v>
      </c>
      <c r="S50" s="11">
        <v>-4.1166136809012589E-3</v>
      </c>
      <c r="T50" s="11">
        <v>1.8305687754393882</v>
      </c>
      <c r="U50" s="11">
        <v>-0.6756629328839252</v>
      </c>
      <c r="V50" s="5">
        <f t="shared" si="27"/>
        <v>3.5757940529550914E-4</v>
      </c>
      <c r="W50" s="5">
        <f t="shared" si="28"/>
        <v>1.7274841356295853E-4</v>
      </c>
      <c r="X50" s="5">
        <f t="shared" si="29"/>
        <v>5.8115640921511114E-3</v>
      </c>
      <c r="Y50" s="5">
        <f t="shared" si="30"/>
        <v>-7.0337723677573447E-2</v>
      </c>
      <c r="Z50" s="5">
        <f t="shared" si="31"/>
        <v>7.2838375556183443E-4</v>
      </c>
      <c r="AA50" s="5">
        <f t="shared" si="32"/>
        <v>-6.9625617969803821E-2</v>
      </c>
      <c r="AB50" s="16" cm="1">
        <f t="array" ref="AB50">SQRT(SUMPRODUCT(((J50:O50-P50:U50)/$AL$3:$AQ$3)^2)/6)*100</f>
        <v>0.28114913535450997</v>
      </c>
      <c r="AC50" s="16"/>
      <c r="AD50" s="16"/>
      <c r="AE50" s="16"/>
      <c r="AF50" s="16"/>
      <c r="AG50" s="16"/>
      <c r="AH50" s="16"/>
      <c r="AI50" s="16"/>
      <c r="AJ50" s="5">
        <f t="shared" si="7"/>
        <v>3.9999999999999994E-2</v>
      </c>
      <c r="AK50" s="13">
        <v>20365.130850537898</v>
      </c>
    </row>
    <row r="51" spans="1:37" ht="16.5" customHeight="1" x14ac:dyDescent="0.25">
      <c r="A51" s="17">
        <v>1.1816252039999999</v>
      </c>
      <c r="B51" s="17">
        <v>0.08</v>
      </c>
      <c r="C51" s="18">
        <v>1.5708</v>
      </c>
      <c r="D51" s="17">
        <v>0.57227119820000005</v>
      </c>
      <c r="E51" s="17">
        <v>0.04</v>
      </c>
      <c r="F51" s="18">
        <v>0.78539999999999999</v>
      </c>
      <c r="G51" s="17">
        <v>1.4076592733</v>
      </c>
      <c r="H51" s="17">
        <v>1.3192874408999999</v>
      </c>
      <c r="I51" s="17">
        <v>2.6835966308999999</v>
      </c>
      <c r="J51" s="8">
        <v>3.1095910817384698E-3</v>
      </c>
      <c r="K51" s="8">
        <v>-0.11641326785087583</v>
      </c>
      <c r="L51" s="8">
        <v>2.1091862171888361E-2</v>
      </c>
      <c r="M51" s="8">
        <v>-4.1034575551748297E-2</v>
      </c>
      <c r="N51" s="8">
        <v>0.43968373537063599</v>
      </c>
      <c r="O51" s="8">
        <v>1.5314247608184799</v>
      </c>
      <c r="P51" s="11">
        <v>-8.7606881487213752E-6</v>
      </c>
      <c r="Q51" s="11">
        <v>-0.11048987173951395</v>
      </c>
      <c r="R51" s="11">
        <v>1.618539212908985E-2</v>
      </c>
      <c r="S51" s="11">
        <v>-4.3999716892065617E-2</v>
      </c>
      <c r="T51" s="11">
        <v>0.40462403079039694</v>
      </c>
      <c r="U51" s="11">
        <v>1.5856642108695893</v>
      </c>
      <c r="V51" s="5">
        <f t="shared" si="27"/>
        <v>3.118351769887191E-3</v>
      </c>
      <c r="W51" s="5">
        <f t="shared" si="28"/>
        <v>-5.9233961113618755E-3</v>
      </c>
      <c r="X51" s="5">
        <f t="shared" si="29"/>
        <v>4.9064700427985108E-3</v>
      </c>
      <c r="Y51" s="5">
        <f t="shared" si="30"/>
        <v>2.9651413403173205E-3</v>
      </c>
      <c r="Z51" s="5">
        <f t="shared" si="31"/>
        <v>3.5059704580239048E-2</v>
      </c>
      <c r="AA51" s="5">
        <f t="shared" si="32"/>
        <v>-5.4239450051109417E-2</v>
      </c>
      <c r="AB51" s="16" cm="1">
        <f t="array" ref="AB51">SQRT(SUMPRODUCT(((J51:O51-P51:U51)/$AL$3:$AQ$3)^2)/6)*100</f>
        <v>0.3635803025496448</v>
      </c>
      <c r="AC51" s="16"/>
      <c r="AD51" s="16"/>
      <c r="AE51" s="16"/>
      <c r="AF51" s="16"/>
      <c r="AG51" s="16"/>
      <c r="AH51" s="16"/>
      <c r="AI51" s="16"/>
      <c r="AJ51" s="5">
        <f t="shared" si="7"/>
        <v>0.04</v>
      </c>
      <c r="AK51" s="13">
        <v>7124.2300644876796</v>
      </c>
    </row>
    <row r="52" spans="1:37" ht="16.5" customHeight="1" x14ac:dyDescent="0.25">
      <c r="A52" s="17">
        <v>0.93729510640000002</v>
      </c>
      <c r="B52" s="17">
        <v>0.14000000000000001</v>
      </c>
      <c r="C52" s="18">
        <v>0.78539999999999999</v>
      </c>
      <c r="D52" s="17">
        <v>0.49250416219999998</v>
      </c>
      <c r="E52" s="17">
        <v>0.1</v>
      </c>
      <c r="F52" s="18">
        <v>0</v>
      </c>
      <c r="G52" s="17">
        <v>0.50502447429999997</v>
      </c>
      <c r="H52" s="17">
        <v>3.7817597896000001</v>
      </c>
      <c r="I52" s="17">
        <v>0.94479070089999995</v>
      </c>
      <c r="J52" s="8">
        <v>-1.50781311094761E-3</v>
      </c>
      <c r="K52" s="8">
        <v>-9.7985811829566921E-2</v>
      </c>
      <c r="L52" s="8">
        <v>0.1436945205926892</v>
      </c>
      <c r="M52" s="8">
        <v>-0.18748980760574299</v>
      </c>
      <c r="N52" s="8">
        <v>1.07943332195282</v>
      </c>
      <c r="O52" s="8">
        <v>0.62157618999481201</v>
      </c>
      <c r="P52" s="11">
        <v>-8.4006621065753958E-3</v>
      </c>
      <c r="Q52" s="11">
        <v>-9.1269637278273807E-2</v>
      </c>
      <c r="R52" s="11">
        <v>0.14186111280116559</v>
      </c>
      <c r="S52" s="11">
        <v>-0.18440193342630407</v>
      </c>
      <c r="T52" s="11">
        <v>1.1541298832060587</v>
      </c>
      <c r="U52" s="11">
        <v>0.63933429145807252</v>
      </c>
      <c r="V52" s="5">
        <f t="shared" si="27"/>
        <v>6.892848995627786E-3</v>
      </c>
      <c r="W52" s="5">
        <f t="shared" si="28"/>
        <v>-6.7161745512931137E-3</v>
      </c>
      <c r="X52" s="5">
        <f t="shared" si="29"/>
        <v>1.8334077915236058E-3</v>
      </c>
      <c r="Y52" s="5">
        <f t="shared" si="30"/>
        <v>-3.0878741794389264E-3</v>
      </c>
      <c r="Z52" s="5">
        <f t="shared" si="31"/>
        <v>-7.4696561253238647E-2</v>
      </c>
      <c r="AA52" s="5">
        <f t="shared" si="32"/>
        <v>-1.7758101463260512E-2</v>
      </c>
      <c r="AB52" s="16" cm="1">
        <f t="array" ref="AB52">SQRT(SUMPRODUCT(((J52:O52-P52:U52)/$AL$3:$AQ$3)^2)/6)*100</f>
        <v>0.42957288223014695</v>
      </c>
      <c r="AC52" s="16"/>
      <c r="AD52" s="16"/>
      <c r="AE52" s="16"/>
      <c r="AF52" s="16"/>
      <c r="AG52" s="16"/>
      <c r="AH52" s="16"/>
      <c r="AI52" s="16"/>
      <c r="AJ52" s="5">
        <f t="shared" si="7"/>
        <v>4.0000000000000008E-2</v>
      </c>
      <c r="AK52" s="13">
        <v>4678.6265867306902</v>
      </c>
    </row>
    <row r="53" spans="1:37" ht="16.5" customHeight="1" x14ac:dyDescent="0.25">
      <c r="A53" s="16">
        <v>0.32556561499999997</v>
      </c>
      <c r="B53" s="16">
        <v>0.1</v>
      </c>
      <c r="C53" s="5">
        <v>0</v>
      </c>
      <c r="D53" s="16">
        <v>1.3745769409999999</v>
      </c>
      <c r="E53" s="16">
        <v>0.06</v>
      </c>
      <c r="F53" s="5">
        <v>0</v>
      </c>
      <c r="G53" s="16">
        <v>2.9612942246</v>
      </c>
      <c r="H53" s="16">
        <v>1.9579719759000001</v>
      </c>
      <c r="I53" s="16">
        <v>4.9734873239999997</v>
      </c>
      <c r="J53" s="8"/>
      <c r="K53" s="8"/>
      <c r="L53" s="8"/>
      <c r="M53" s="8"/>
      <c r="N53" s="8"/>
      <c r="O53" s="8"/>
      <c r="P53" s="11"/>
      <c r="Q53" s="11"/>
      <c r="R53" s="11"/>
      <c r="S53" s="11"/>
      <c r="T53" s="11"/>
      <c r="U53" s="11"/>
      <c r="V53" s="5">
        <f>AVERAGE(V3:V52)</f>
        <v>-3.5313484647205045E-4</v>
      </c>
      <c r="W53" s="11">
        <f t="shared" ref="W53:AA53" si="33">AVERAGE(W3:W52)</f>
        <v>-3.0225398327429385E-4</v>
      </c>
      <c r="X53" s="11">
        <f t="shared" si="33"/>
        <v>8.3417181126393904E-4</v>
      </c>
      <c r="Y53" s="5">
        <f t="shared" si="33"/>
        <v>1.9528346965356241E-2</v>
      </c>
      <c r="Z53" s="5">
        <f t="shared" si="33"/>
        <v>-2.4389813002429279E-2</v>
      </c>
      <c r="AA53" s="5">
        <f t="shared" si="33"/>
        <v>-6.6286087627894482E-3</v>
      </c>
      <c r="AB53" s="16"/>
      <c r="AC53" s="16"/>
      <c r="AD53" s="16"/>
      <c r="AE53" s="16"/>
      <c r="AF53" s="16"/>
      <c r="AG53" s="16"/>
      <c r="AH53" s="16"/>
      <c r="AI53" s="16"/>
      <c r="AJ53" s="5"/>
      <c r="AK53" s="13">
        <v>5678.4546433241303</v>
      </c>
    </row>
    <row r="54" spans="1:37" ht="16.5" customHeight="1" x14ac:dyDescent="0.25">
      <c r="A54" s="16">
        <v>0.34779033799999998</v>
      </c>
      <c r="B54" s="16">
        <v>0.08</v>
      </c>
      <c r="C54" s="5">
        <v>0</v>
      </c>
      <c r="D54" s="16">
        <v>1.3138897528</v>
      </c>
      <c r="E54" s="16">
        <v>0.04</v>
      </c>
      <c r="F54" s="5">
        <v>5.4977999999999998</v>
      </c>
      <c r="G54" s="16">
        <v>0.37278424939999999</v>
      </c>
      <c r="H54" s="16">
        <v>4.7468756007000001</v>
      </c>
      <c r="I54" s="16">
        <v>0.2022602889</v>
      </c>
      <c r="J54" s="8"/>
      <c r="K54" s="8"/>
      <c r="L54" s="8"/>
      <c r="M54" s="8"/>
      <c r="N54" s="8"/>
      <c r="O54" s="8"/>
      <c r="P54" s="11"/>
      <c r="Q54" s="11"/>
      <c r="R54" s="11"/>
      <c r="S54" s="11"/>
      <c r="T54" s="11"/>
      <c r="U54" s="11"/>
      <c r="V54" s="5"/>
      <c r="W54" s="5"/>
      <c r="X54" s="5"/>
      <c r="Y54" s="5"/>
      <c r="Z54" s="5"/>
      <c r="AA54" s="5"/>
      <c r="AB54" s="16"/>
      <c r="AC54" s="16"/>
      <c r="AD54" s="16"/>
      <c r="AE54" s="16"/>
      <c r="AF54" s="16"/>
      <c r="AG54" s="16"/>
      <c r="AH54" s="16"/>
      <c r="AI54" s="16"/>
      <c r="AJ54" s="5"/>
      <c r="AK54" s="13">
        <v>5180.45334190619</v>
      </c>
    </row>
    <row r="55" spans="1:37" ht="16.5" customHeight="1" x14ac:dyDescent="0.25">
      <c r="A55" s="16">
        <v>1.1244386973</v>
      </c>
      <c r="B55" s="16">
        <v>0.06</v>
      </c>
      <c r="C55" s="5">
        <v>2.3561999999999999</v>
      </c>
      <c r="D55" s="16">
        <v>1.2912704479999999</v>
      </c>
      <c r="E55" s="16">
        <v>0.02</v>
      </c>
      <c r="F55" s="5">
        <v>5.4977999999999998</v>
      </c>
      <c r="G55" s="16">
        <v>4.9064020905000003</v>
      </c>
      <c r="H55" s="16">
        <v>2.1650144864</v>
      </c>
      <c r="I55" s="16">
        <v>2.5559004244999999</v>
      </c>
      <c r="J55" s="8"/>
      <c r="K55" s="8"/>
      <c r="L55" s="8"/>
      <c r="M55" s="8"/>
      <c r="N55" s="8"/>
      <c r="O55" s="8"/>
      <c r="P55" s="11"/>
      <c r="Q55" s="11"/>
      <c r="R55" s="11"/>
      <c r="S55" s="11"/>
      <c r="T55" s="11"/>
      <c r="U55" s="11"/>
      <c r="V55" s="5"/>
      <c r="W55" s="5"/>
      <c r="X55" s="5"/>
      <c r="Y55" s="5"/>
      <c r="Z55" s="5"/>
      <c r="AA55" s="5"/>
      <c r="AB55" s="16"/>
      <c r="AC55" s="16"/>
      <c r="AD55" s="16"/>
      <c r="AE55" s="16"/>
      <c r="AF55" s="16"/>
      <c r="AG55" s="16"/>
      <c r="AH55" s="16"/>
      <c r="AI55" s="16"/>
      <c r="AJ55" s="5"/>
      <c r="AK55" s="13">
        <v>5663.0654180951597</v>
      </c>
    </row>
    <row r="56" spans="1:37" ht="16.5" customHeight="1" x14ac:dyDescent="0.25">
      <c r="A56" s="16">
        <v>0.87685121659999998</v>
      </c>
      <c r="B56" s="16">
        <v>0.08</v>
      </c>
      <c r="C56" s="5">
        <v>3.1415999999999999</v>
      </c>
      <c r="D56" s="16">
        <v>1.4399958847000001</v>
      </c>
      <c r="E56" s="16">
        <v>0.04</v>
      </c>
      <c r="F56" s="5">
        <v>4.7123999999999997</v>
      </c>
      <c r="G56" s="16">
        <v>2.3478746006</v>
      </c>
      <c r="H56" s="16">
        <v>3.5578307432999998</v>
      </c>
      <c r="I56" s="16">
        <v>1.992162325</v>
      </c>
      <c r="J56" s="8"/>
      <c r="K56" s="8"/>
      <c r="L56" s="8"/>
      <c r="M56" s="8"/>
      <c r="N56" s="8"/>
      <c r="O56" s="8"/>
      <c r="P56" s="11"/>
      <c r="Q56" s="11"/>
      <c r="R56" s="11"/>
      <c r="S56" s="11"/>
      <c r="T56" s="11"/>
      <c r="U56" s="11"/>
      <c r="V56" s="5"/>
      <c r="W56" s="5"/>
      <c r="X56" s="5"/>
      <c r="Y56" s="5"/>
      <c r="Z56" s="5"/>
      <c r="AA56" s="5"/>
      <c r="AB56" s="16"/>
      <c r="AC56" s="16"/>
      <c r="AD56" s="16"/>
      <c r="AE56" s="16"/>
      <c r="AF56" s="16"/>
      <c r="AG56" s="16"/>
      <c r="AH56" s="16"/>
      <c r="AI56" s="16"/>
      <c r="AJ56" s="5"/>
      <c r="AK56" s="13">
        <v>5078.30649569658</v>
      </c>
    </row>
    <row r="57" spans="1:37" ht="16.5" customHeight="1" x14ac:dyDescent="0.25">
      <c r="A57" s="16">
        <v>0.59547924330000002</v>
      </c>
      <c r="B57" s="16">
        <v>0.08</v>
      </c>
      <c r="C57" s="5">
        <v>4.7123999999999997</v>
      </c>
      <c r="D57" s="16">
        <v>0.70510202209999995</v>
      </c>
      <c r="E57" s="16">
        <v>0.04</v>
      </c>
      <c r="F57" s="5">
        <v>0</v>
      </c>
      <c r="G57" s="16">
        <v>0.2207304574</v>
      </c>
      <c r="H57" s="16">
        <v>1.87765064E-2</v>
      </c>
      <c r="I57" s="16">
        <v>2.3333602099999999</v>
      </c>
      <c r="J57" s="8"/>
      <c r="K57" s="8"/>
      <c r="L57" s="8"/>
      <c r="M57" s="8"/>
      <c r="N57" s="8"/>
      <c r="O57" s="8"/>
      <c r="P57" s="11"/>
      <c r="Q57" s="11"/>
      <c r="R57" s="11"/>
      <c r="S57" s="11"/>
      <c r="T57" s="11"/>
      <c r="U57" s="11"/>
      <c r="V57" s="5"/>
      <c r="W57" s="5"/>
      <c r="X57" s="5"/>
      <c r="Y57" s="5"/>
      <c r="Z57" s="5"/>
      <c r="AA57" s="5"/>
      <c r="AB57" s="16"/>
      <c r="AC57" s="16"/>
      <c r="AD57" s="16"/>
      <c r="AE57" s="16"/>
      <c r="AF57" s="16"/>
      <c r="AG57" s="16"/>
      <c r="AH57" s="16"/>
      <c r="AI57" s="16"/>
      <c r="AJ57" s="5"/>
      <c r="AK57" s="13">
        <v>1157.89131373184</v>
      </c>
    </row>
    <row r="58" spans="1:37" ht="16.5" customHeight="1" x14ac:dyDescent="0.25">
      <c r="A58" s="16">
        <v>1.3901836501</v>
      </c>
      <c r="B58" s="16">
        <v>0.08</v>
      </c>
      <c r="C58" s="5">
        <v>4.7123999999999997</v>
      </c>
      <c r="D58" s="16">
        <v>0.3079851005</v>
      </c>
      <c r="E58" s="16">
        <v>0.04</v>
      </c>
      <c r="F58" s="5">
        <v>4.7123999999999997</v>
      </c>
      <c r="G58" s="16">
        <v>0.73915014310000005</v>
      </c>
      <c r="H58" s="16">
        <v>2.9227877096000001</v>
      </c>
      <c r="I58" s="16">
        <v>4.1425655895000002</v>
      </c>
      <c r="J58" s="8"/>
      <c r="K58" s="8"/>
      <c r="L58" s="8"/>
      <c r="M58" s="8"/>
      <c r="N58" s="8"/>
      <c r="O58" s="8"/>
      <c r="P58" s="11"/>
      <c r="Q58" s="11"/>
      <c r="R58" s="11"/>
      <c r="S58" s="11"/>
      <c r="T58" s="11"/>
      <c r="U58" s="11"/>
      <c r="V58" s="5"/>
      <c r="W58" s="5"/>
      <c r="X58" s="5"/>
      <c r="Y58" s="5"/>
      <c r="Z58" s="5"/>
      <c r="AA58" s="5"/>
      <c r="AB58" s="16"/>
      <c r="AC58" s="16"/>
      <c r="AD58" s="16"/>
      <c r="AE58" s="16"/>
      <c r="AF58" s="16"/>
      <c r="AG58" s="16"/>
      <c r="AH58" s="16"/>
      <c r="AI58" s="16"/>
      <c r="AJ58" s="5"/>
      <c r="AK58" s="13">
        <v>2905.0269528538001</v>
      </c>
    </row>
    <row r="59" spans="1:37" ht="16.5" customHeight="1" x14ac:dyDescent="0.25">
      <c r="A59" s="16">
        <v>0.37261524629999998</v>
      </c>
      <c r="B59" s="16">
        <v>0.16</v>
      </c>
      <c r="C59" s="5">
        <v>1.5708</v>
      </c>
      <c r="D59" s="16">
        <v>0.85894297369999995</v>
      </c>
      <c r="E59" s="16">
        <v>0.12</v>
      </c>
      <c r="F59" s="5">
        <v>0</v>
      </c>
      <c r="G59" s="16">
        <v>1.8801242656999999</v>
      </c>
      <c r="H59" s="16">
        <v>0.57983362380000003</v>
      </c>
      <c r="I59" s="16">
        <v>4.1953380029999998</v>
      </c>
      <c r="J59" s="8"/>
      <c r="K59" s="8"/>
      <c r="L59" s="8"/>
      <c r="M59" s="8"/>
      <c r="N59" s="8"/>
      <c r="O59" s="8"/>
      <c r="P59" s="11"/>
      <c r="Q59" s="11"/>
      <c r="R59" s="11"/>
      <c r="S59" s="11"/>
      <c r="T59" s="11"/>
      <c r="U59" s="11"/>
      <c r="V59" s="5"/>
      <c r="W59" s="5"/>
      <c r="X59" s="5"/>
      <c r="Y59" s="5"/>
      <c r="Z59" s="5"/>
      <c r="AA59" s="5"/>
      <c r="AB59" s="16"/>
      <c r="AC59" s="16"/>
      <c r="AD59" s="16"/>
      <c r="AE59" s="16"/>
      <c r="AF59" s="16"/>
      <c r="AG59" s="16"/>
      <c r="AH59" s="16"/>
      <c r="AI59" s="16"/>
      <c r="AJ59" s="5"/>
      <c r="AK59" s="13">
        <v>847.08203095288104</v>
      </c>
    </row>
    <row r="60" spans="1:37" ht="16.5" customHeight="1" x14ac:dyDescent="0.25">
      <c r="A60" s="16">
        <v>1.4531678181000001</v>
      </c>
      <c r="B60" s="16">
        <v>0.12</v>
      </c>
      <c r="C60" s="5">
        <v>4.7123999999999997</v>
      </c>
      <c r="D60" s="16">
        <v>0.47288273930000002</v>
      </c>
      <c r="E60" s="16">
        <v>0.08</v>
      </c>
      <c r="F60" s="5">
        <v>0.78539999999999999</v>
      </c>
      <c r="G60" s="16">
        <v>3.2783510528000002</v>
      </c>
      <c r="H60" s="16">
        <v>4.7389224496000004</v>
      </c>
      <c r="I60" s="16">
        <v>3.1449469496</v>
      </c>
      <c r="J60" s="8"/>
      <c r="K60" s="8"/>
      <c r="L60" s="8"/>
      <c r="M60" s="8"/>
      <c r="N60" s="8"/>
      <c r="O60" s="8"/>
      <c r="P60" s="11"/>
      <c r="Q60" s="11"/>
      <c r="R60" s="11"/>
      <c r="S60" s="11"/>
      <c r="T60" s="11"/>
      <c r="U60" s="11"/>
      <c r="V60" s="5"/>
      <c r="W60" s="5"/>
      <c r="X60" s="5"/>
      <c r="Y60" s="5"/>
      <c r="Z60" s="5"/>
      <c r="AA60" s="5"/>
      <c r="AB60" s="16"/>
      <c r="AC60" s="16"/>
      <c r="AD60" s="16"/>
      <c r="AE60" s="16"/>
      <c r="AF60" s="16"/>
      <c r="AG60" s="16"/>
      <c r="AH60" s="16"/>
      <c r="AI60" s="16"/>
      <c r="AJ60" s="5"/>
      <c r="AK60" s="13">
        <v>5725.3440610789203</v>
      </c>
    </row>
    <row r="61" spans="1:37" ht="16.5" customHeight="1" x14ac:dyDescent="0.25">
      <c r="A61" s="16">
        <v>0.36590931840000002</v>
      </c>
      <c r="B61" s="16">
        <v>0.08</v>
      </c>
      <c r="C61" s="5">
        <v>2.3561999999999999</v>
      </c>
      <c r="D61" s="16">
        <v>0.32426250909999998</v>
      </c>
      <c r="E61" s="16">
        <v>0.04</v>
      </c>
      <c r="F61" s="5">
        <v>5.4977999999999998</v>
      </c>
      <c r="G61" s="16">
        <v>3.2391898345999999</v>
      </c>
      <c r="H61" s="16">
        <v>1.5107994280999999</v>
      </c>
      <c r="I61" s="16">
        <v>0.73005405469999995</v>
      </c>
      <c r="J61" s="8"/>
      <c r="K61" s="8"/>
      <c r="L61" s="8"/>
      <c r="M61" s="8"/>
      <c r="N61" s="8"/>
      <c r="O61" s="8"/>
      <c r="P61" s="11"/>
      <c r="Q61" s="11"/>
      <c r="R61" s="11"/>
      <c r="S61" s="11"/>
      <c r="T61" s="11"/>
      <c r="U61" s="11"/>
      <c r="V61" s="5"/>
      <c r="W61" s="5"/>
      <c r="X61" s="5"/>
      <c r="Y61" s="5"/>
      <c r="Z61" s="5"/>
      <c r="AA61" s="5"/>
      <c r="AB61" s="16"/>
      <c r="AC61" s="16"/>
      <c r="AD61" s="16"/>
      <c r="AE61" s="16"/>
      <c r="AF61" s="16"/>
      <c r="AG61" s="16"/>
      <c r="AH61" s="16"/>
      <c r="AI61" s="16"/>
      <c r="AJ61" s="5"/>
      <c r="AK61" s="13">
        <v>4839.09033436134</v>
      </c>
    </row>
    <row r="62" spans="1:37" ht="16.5" customHeight="1" x14ac:dyDescent="0.25">
      <c r="A62" s="16">
        <v>0.71858942609999998</v>
      </c>
      <c r="B62" s="16">
        <v>0.06</v>
      </c>
      <c r="C62" s="5">
        <v>5.4977999999999998</v>
      </c>
      <c r="D62" s="16">
        <v>1.3482950081</v>
      </c>
      <c r="E62" s="16">
        <v>0.02</v>
      </c>
      <c r="F62" s="5">
        <v>1.5708</v>
      </c>
      <c r="G62" s="16">
        <v>2.7719248752999999</v>
      </c>
      <c r="H62" s="16">
        <v>4.6486855653000001</v>
      </c>
      <c r="I62" s="16">
        <v>4.0642437601000001</v>
      </c>
      <c r="J62" s="8"/>
      <c r="K62" s="8"/>
      <c r="L62" s="8"/>
      <c r="M62" s="8"/>
      <c r="N62" s="8"/>
      <c r="O62" s="8"/>
      <c r="P62" s="11"/>
      <c r="Q62" s="11"/>
      <c r="R62" s="11"/>
      <c r="S62" s="11"/>
      <c r="T62" s="11"/>
      <c r="U62" s="11"/>
      <c r="V62" s="5"/>
      <c r="W62" s="5"/>
      <c r="X62" s="5"/>
      <c r="Y62" s="5"/>
      <c r="Z62" s="5"/>
      <c r="AA62" s="5"/>
      <c r="AB62" s="16"/>
      <c r="AC62" s="16"/>
      <c r="AD62" s="16"/>
      <c r="AE62" s="16"/>
      <c r="AF62" s="16"/>
      <c r="AG62" s="16"/>
      <c r="AH62" s="16"/>
      <c r="AI62" s="16"/>
      <c r="AJ62" s="5"/>
      <c r="AK62" s="13">
        <v>4286.1131822769203</v>
      </c>
    </row>
    <row r="117" spans="24:24" ht="16.5" customHeight="1" x14ac:dyDescent="0.25">
      <c r="X117" s="45"/>
    </row>
  </sheetData>
  <mergeCells count="7">
    <mergeCell ref="AL1:AQ1"/>
    <mergeCell ref="A1:I1"/>
    <mergeCell ref="J1:O1"/>
    <mergeCell ref="P1:U1"/>
    <mergeCell ref="AJ1:AK1"/>
    <mergeCell ref="V1:AA1"/>
    <mergeCell ref="AB1:A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EEC95-2B04-4E43-BA18-36199C5DF82D}">
  <dimension ref="A1:AK54"/>
  <sheetViews>
    <sheetView zoomScale="85" zoomScaleNormal="85" workbookViewId="0">
      <pane ySplit="2" topLeftCell="A3" activePane="bottomLeft" state="frozen"/>
      <selection activeCell="K1" sqref="K1"/>
      <selection pane="bottomLeft" activeCell="AG18" sqref="AG18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1.85546875" bestFit="1" customWidth="1"/>
    <col min="4" max="4" width="6.5703125" bestFit="1" customWidth="1"/>
    <col min="5" max="5" width="6.85546875" bestFit="1" customWidth="1"/>
    <col min="6" max="6" width="11.85546875" bestFit="1" customWidth="1"/>
    <col min="7" max="9" width="8.42578125" bestFit="1" customWidth="1"/>
    <col min="10" max="11" width="8.140625" bestFit="1" customWidth="1"/>
    <col min="12" max="12" width="7.7109375" bestFit="1" customWidth="1"/>
    <col min="13" max="15" width="6.42578125" bestFit="1" customWidth="1"/>
    <col min="16" max="16" width="6.5703125" bestFit="1" customWidth="1"/>
    <col min="17" max="17" width="6.85546875" bestFit="1" customWidth="1"/>
    <col min="18" max="18" width="11.85546875" bestFit="1" customWidth="1"/>
    <col min="19" max="19" width="6.5703125" bestFit="1" customWidth="1"/>
    <col min="20" max="20" width="6.85546875" bestFit="1" customWidth="1"/>
    <col min="21" max="21" width="11.85546875" bestFit="1" customWidth="1"/>
    <col min="22" max="22" width="8" bestFit="1" customWidth="1"/>
    <col min="23" max="23" width="6.5703125" bestFit="1" customWidth="1"/>
    <col min="24" max="24" width="6.85546875" bestFit="1" customWidth="1"/>
    <col min="25" max="25" width="11.85546875" bestFit="1" customWidth="1"/>
    <col min="26" max="26" width="6.5703125" bestFit="1" customWidth="1"/>
    <col min="27" max="27" width="6.85546875" bestFit="1" customWidth="1"/>
    <col min="28" max="28" width="11.85546875" bestFit="1" customWidth="1"/>
    <col min="29" max="29" width="11" bestFit="1" customWidth="1"/>
    <col min="30" max="30" width="13.85546875" bestFit="1" customWidth="1"/>
    <col min="31" max="31" width="11.140625" bestFit="1" customWidth="1"/>
    <col min="32" max="32" width="12" bestFit="1" customWidth="1"/>
    <col min="33" max="33" width="13.85546875" bestFit="1" customWidth="1"/>
    <col min="34" max="34" width="11.85546875" bestFit="1" customWidth="1"/>
    <col min="37" max="37" width="11.85546875" bestFit="1" customWidth="1"/>
  </cols>
  <sheetData>
    <row r="1" spans="1:37" ht="15.75" x14ac:dyDescent="0.25">
      <c r="A1" s="25" t="s">
        <v>11</v>
      </c>
      <c r="B1" s="25"/>
      <c r="C1" s="25"/>
      <c r="D1" s="25"/>
      <c r="E1" s="25"/>
      <c r="F1" s="25"/>
      <c r="G1" s="25"/>
      <c r="H1" s="25"/>
      <c r="I1" s="26"/>
      <c r="J1" s="27" t="s">
        <v>6</v>
      </c>
      <c r="K1" s="28"/>
      <c r="L1" s="28"/>
      <c r="M1" s="28"/>
      <c r="N1" s="28"/>
      <c r="O1" s="28"/>
      <c r="P1" s="29" t="s">
        <v>7</v>
      </c>
      <c r="Q1" s="30"/>
      <c r="R1" s="30"/>
      <c r="S1" s="30"/>
      <c r="T1" s="30"/>
      <c r="U1" s="30"/>
      <c r="V1" s="30"/>
      <c r="W1" s="31" t="s">
        <v>13</v>
      </c>
      <c r="X1" s="31"/>
      <c r="Y1" s="31"/>
      <c r="Z1" s="31"/>
      <c r="AA1" s="31"/>
      <c r="AB1" s="31"/>
      <c r="AC1" s="31"/>
      <c r="AD1" s="31"/>
      <c r="AE1" s="31"/>
      <c r="AF1" s="20" t="s">
        <v>31</v>
      </c>
      <c r="AG1" s="20"/>
      <c r="AH1" s="20"/>
      <c r="AI1" s="20"/>
      <c r="AJ1" s="20"/>
      <c r="AK1" s="20"/>
    </row>
    <row r="2" spans="1:37" ht="15.75" x14ac:dyDescent="0.25">
      <c r="A2" s="1" t="s">
        <v>22</v>
      </c>
      <c r="B2" s="1" t="s">
        <v>23</v>
      </c>
      <c r="C2" s="1" t="s">
        <v>33</v>
      </c>
      <c r="D2" s="1" t="s">
        <v>24</v>
      </c>
      <c r="E2" s="1" t="s">
        <v>25</v>
      </c>
      <c r="F2" s="1" t="s">
        <v>34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22</v>
      </c>
      <c r="Q2" s="1" t="s">
        <v>23</v>
      </c>
      <c r="R2" s="1" t="s">
        <v>33</v>
      </c>
      <c r="S2" s="1" t="s">
        <v>24</v>
      </c>
      <c r="T2" s="1" t="s">
        <v>25</v>
      </c>
      <c r="U2" s="1" t="s">
        <v>34</v>
      </c>
      <c r="V2" s="2" t="s">
        <v>32</v>
      </c>
      <c r="W2" s="3" t="s">
        <v>22</v>
      </c>
      <c r="X2" s="1" t="s">
        <v>23</v>
      </c>
      <c r="Y2" s="1" t="s">
        <v>33</v>
      </c>
      <c r="Z2" s="1" t="s">
        <v>24</v>
      </c>
      <c r="AA2" s="1" t="s">
        <v>25</v>
      </c>
      <c r="AB2" s="1" t="s">
        <v>34</v>
      </c>
      <c r="AC2" s="6" t="s">
        <v>28</v>
      </c>
      <c r="AD2" s="6" t="s">
        <v>29</v>
      </c>
      <c r="AE2" s="6" t="s">
        <v>30</v>
      </c>
      <c r="AF2" s="32" t="s">
        <v>26</v>
      </c>
      <c r="AG2" s="32"/>
      <c r="AH2" s="32"/>
      <c r="AI2" s="32"/>
      <c r="AJ2" s="32"/>
      <c r="AK2" s="32"/>
    </row>
    <row r="3" spans="1:37" ht="15.75" x14ac:dyDescent="0.25">
      <c r="A3" s="5">
        <f>'Proximal Validation'!A3</f>
        <v>0.57634630980000001</v>
      </c>
      <c r="B3" s="5">
        <f>'Proximal Validation'!B3</f>
        <v>0.2</v>
      </c>
      <c r="C3" s="5">
        <f>'Proximal Validation'!C3</f>
        <v>0.78539999999999999</v>
      </c>
      <c r="D3" s="5">
        <f>'Proximal Validation'!D3</f>
        <v>1.1398024601000001</v>
      </c>
      <c r="E3" s="5">
        <f>'Proximal Validation'!E3</f>
        <v>0.02</v>
      </c>
      <c r="F3" s="5">
        <f>'Proximal Validation'!F3</f>
        <v>5.4977999999999998</v>
      </c>
      <c r="G3" s="5">
        <f>'Proximal Validation'!G3</f>
        <v>0.49272223679999999</v>
      </c>
      <c r="H3" s="5">
        <f>'Proximal Validation'!H3</f>
        <v>4.4756011583999999</v>
      </c>
      <c r="I3" s="5">
        <f>'Proximal Validation'!I3</f>
        <v>4.1915536561</v>
      </c>
      <c r="J3" s="5">
        <f>'Proximal Validation'!J3</f>
        <v>-4.8483535647392299E-3</v>
      </c>
      <c r="K3" s="5">
        <f>'Proximal Validation'!K3</f>
        <v>-4.9299089163541775E-2</v>
      </c>
      <c r="L3" s="5">
        <f>'Proximal Validation'!L3</f>
        <v>0.11311967670917589</v>
      </c>
      <c r="M3" s="5">
        <f>'Proximal Validation'!M3</f>
        <v>-9.3563906848430606E-2</v>
      </c>
      <c r="N3" s="5">
        <f>'Proximal Validation'!N3</f>
        <v>1.13720595836639</v>
      </c>
      <c r="O3" s="5">
        <f>'Proximal Validation'!O3</f>
        <v>-0.73825818300247203</v>
      </c>
      <c r="P3" s="5">
        <v>0.30008328426304193</v>
      </c>
      <c r="Q3" s="5">
        <v>0.19999999999997592</v>
      </c>
      <c r="R3" s="5">
        <v>0.95608139520894209</v>
      </c>
      <c r="S3" s="5">
        <v>1.0084871634024557</v>
      </c>
      <c r="T3" s="5">
        <v>6.8475076502462595E-2</v>
      </c>
      <c r="U3" s="5">
        <v>2.3531445254683138E-14</v>
      </c>
      <c r="V3" s="13">
        <v>1.6330646701204622E-3</v>
      </c>
      <c r="W3" s="5">
        <f t="shared" ref="W3:AA18" si="0">P3-A3</f>
        <v>-0.27626302553695808</v>
      </c>
      <c r="X3" s="5">
        <f t="shared" si="0"/>
        <v>-2.4091839634365897E-14</v>
      </c>
      <c r="Y3" s="5">
        <f>MIN(ABS(R3-C3),2*PI()-ABS(R3-C3))</f>
        <v>0.1706813952089421</v>
      </c>
      <c r="Z3" s="5">
        <f t="shared" si="0"/>
        <v>-0.13131529669754438</v>
      </c>
      <c r="AA3" s="5">
        <f t="shared" si="0"/>
        <v>4.8475076502462591E-2</v>
      </c>
      <c r="AB3" s="5">
        <f>MIN(ABS(U3-F3),2*PI()-ABS(U3-F3))</f>
        <v>0.78538530717960953</v>
      </c>
      <c r="AC3" s="8">
        <f t="shared" ref="AC3:AE18" si="1">AVERAGE(ABS(W3),ABS(Z3))</f>
        <v>0.20378916111725123</v>
      </c>
      <c r="AD3" s="8">
        <f t="shared" si="1"/>
        <v>2.4237538251243342E-2</v>
      </c>
      <c r="AE3" s="8">
        <f t="shared" si="1"/>
        <v>0.47803335119427581</v>
      </c>
      <c r="AF3" s="1" t="s">
        <v>22</v>
      </c>
      <c r="AG3" s="1" t="s">
        <v>23</v>
      </c>
      <c r="AH3" s="1" t="s">
        <v>33</v>
      </c>
      <c r="AI3" s="1" t="s">
        <v>24</v>
      </c>
      <c r="AJ3" s="1" t="s">
        <v>25</v>
      </c>
      <c r="AK3" s="1" t="s">
        <v>34</v>
      </c>
    </row>
    <row r="4" spans="1:37" x14ac:dyDescent="0.25">
      <c r="A4" s="5">
        <f>'Proximal Validation'!A4</f>
        <v>1.2961945501000001</v>
      </c>
      <c r="B4" s="5">
        <f>'Proximal Validation'!B4</f>
        <v>0.2</v>
      </c>
      <c r="C4" s="5">
        <f>'Proximal Validation'!C4</f>
        <v>4.7123999999999997</v>
      </c>
      <c r="D4" s="5">
        <f>'Proximal Validation'!D4</f>
        <v>0.31907560010000002</v>
      </c>
      <c r="E4" s="5">
        <f>'Proximal Validation'!E4</f>
        <v>0.02</v>
      </c>
      <c r="F4" s="5">
        <f>'Proximal Validation'!F4</f>
        <v>1.5708</v>
      </c>
      <c r="G4" s="5">
        <f>'Proximal Validation'!G4</f>
        <v>0.53253118440000002</v>
      </c>
      <c r="H4" s="5">
        <f>'Proximal Validation'!H4</f>
        <v>1.6232893740000001</v>
      </c>
      <c r="I4" s="5">
        <f>'Proximal Validation'!I4</f>
        <v>9.6932284100000002E-2</v>
      </c>
      <c r="J4" s="5">
        <f>'Proximal Validation'!J4</f>
        <v>-2.2787048947066099E-3</v>
      </c>
      <c r="K4" s="5">
        <f>'Proximal Validation'!K4</f>
        <v>0.23746988892555226</v>
      </c>
      <c r="L4" s="5">
        <f>'Proximal Validation'!L4</f>
        <v>-3.8131318800151311E-3</v>
      </c>
      <c r="M4" s="5">
        <f>'Proximal Validation'!M4</f>
        <v>-0.78536403179168701</v>
      </c>
      <c r="N4" s="5">
        <f>'Proximal Validation'!N4</f>
        <v>-2.54362337291241E-2</v>
      </c>
      <c r="O4" s="5">
        <f>'Proximal Validation'!O4</f>
        <v>-0.55368435382842995</v>
      </c>
      <c r="P4" s="5">
        <v>1.0563756591441844</v>
      </c>
      <c r="Q4" s="5">
        <v>0.19999999999997492</v>
      </c>
      <c r="R4" s="5">
        <v>4.9334103041227868</v>
      </c>
      <c r="S4" s="5">
        <v>0.33948936603735852</v>
      </c>
      <c r="T4" s="5">
        <v>0.19999999999749146</v>
      </c>
      <c r="U4" s="5">
        <v>3.9303980890901133</v>
      </c>
      <c r="V4" s="13">
        <v>3.2070314163961647E-4</v>
      </c>
      <c r="W4" s="5">
        <f t="shared" si="0"/>
        <v>-0.23981889095581566</v>
      </c>
      <c r="X4" s="5">
        <f t="shared" si="0"/>
        <v>-2.5091040356528538E-14</v>
      </c>
      <c r="Y4" s="5">
        <f t="shared" ref="Y4:Y52" si="2">MIN(ABS(R4-C4),2*PI()-ABS(R4-C4))</f>
        <v>0.2210103041227871</v>
      </c>
      <c r="Z4" s="5">
        <f t="shared" si="0"/>
        <v>2.0413765937358497E-2</v>
      </c>
      <c r="AA4" s="5">
        <f t="shared" si="0"/>
        <v>0.17999999999749147</v>
      </c>
      <c r="AB4" s="5">
        <f t="shared" ref="AB4:AB52" si="3">MIN(ABS(U4-F4),2*PI()-ABS(U4-F4))</f>
        <v>2.3595980890901131</v>
      </c>
      <c r="AC4" s="8">
        <f t="shared" si="1"/>
        <v>0.13011632844658708</v>
      </c>
      <c r="AD4" s="8">
        <f t="shared" si="1"/>
        <v>8.9999999998758282E-2</v>
      </c>
      <c r="AE4" s="8">
        <f t="shared" si="1"/>
        <v>1.2903041966064501</v>
      </c>
      <c r="AF4" s="7" cm="1">
        <f t="array" ref="AF4">AVERAGE(ABS(W3:W52))</f>
        <v>0.20242021988650166</v>
      </c>
      <c r="AG4" s="7" cm="1">
        <f t="array" ref="AG4">AVERAGE(ABS(X3:X52))</f>
        <v>2.2673633889186307E-2</v>
      </c>
      <c r="AH4" s="7" cm="1">
        <f t="array" ref="AH4">AVERAGE(ABS(Y3:Y52))</f>
        <v>0.23784238995343729</v>
      </c>
      <c r="AI4" s="7" cm="1">
        <f t="array" ref="AI4">AVERAGE(ABS(Z3:Z52))</f>
        <v>0.21950997882131248</v>
      </c>
      <c r="AJ4" s="7" cm="1">
        <f t="array" ref="AJ4">AVERAGE(ABS(AA3:AA52))</f>
        <v>2.4726949229363141E-2</v>
      </c>
      <c r="AK4" s="7" cm="1">
        <f t="array" ref="AK4">AVERAGE(ABS(AB3:AB52))</f>
        <v>0.35227439992288012</v>
      </c>
    </row>
    <row r="5" spans="1:37" x14ac:dyDescent="0.25">
      <c r="A5" s="5">
        <f>'Proximal Validation'!A5</f>
        <v>0.3432844504</v>
      </c>
      <c r="B5" s="5">
        <f>'Proximal Validation'!B5</f>
        <v>0.2</v>
      </c>
      <c r="C5" s="5">
        <f>'Proximal Validation'!C5</f>
        <v>3.1415999999999999</v>
      </c>
      <c r="D5" s="5">
        <f>'Proximal Validation'!D5</f>
        <v>0.75633386430000005</v>
      </c>
      <c r="E5" s="5">
        <f>'Proximal Validation'!E5</f>
        <v>0.02</v>
      </c>
      <c r="F5" s="5">
        <f>'Proximal Validation'!F5</f>
        <v>3.1415999999999999</v>
      </c>
      <c r="G5" s="5">
        <f>'Proximal Validation'!G5</f>
        <v>3.5593988404000001</v>
      </c>
      <c r="H5" s="5">
        <f>'Proximal Validation'!H5</f>
        <v>2.6173593599</v>
      </c>
      <c r="I5" s="5">
        <f>'Proximal Validation'!I5</f>
        <v>2.7214845023000001</v>
      </c>
      <c r="J5" s="5">
        <f>'Proximal Validation'!J5</f>
        <v>2.7396343648433698E-3</v>
      </c>
      <c r="K5" s="5">
        <f>'Proximal Validation'!K5</f>
        <v>2.7901530265808086E-5</v>
      </c>
      <c r="L5" s="5">
        <f>'Proximal Validation'!L5</f>
        <v>-8.8981522321701062E-2</v>
      </c>
      <c r="M5" s="5">
        <f>'Proximal Validation'!M5</f>
        <v>-7.5504761189222301E-3</v>
      </c>
      <c r="N5" s="5">
        <f>'Proximal Validation'!N5</f>
        <v>-0.98192942142486594</v>
      </c>
      <c r="O5" s="5">
        <f>'Proximal Validation'!O5</f>
        <v>4.0116310119628898E-3</v>
      </c>
      <c r="P5" s="5">
        <v>0.40910351556340718</v>
      </c>
      <c r="Q5" s="5">
        <v>0.17660204595589593</v>
      </c>
      <c r="R5" s="5">
        <v>3.1410721925676546</v>
      </c>
      <c r="S5" s="5">
        <v>0.64431491399146923</v>
      </c>
      <c r="T5" s="5">
        <v>2.0000000149606876E-2</v>
      </c>
      <c r="U5" s="5">
        <v>3.1396085937333069</v>
      </c>
      <c r="V5" s="13">
        <v>9.7135533991997372E-7</v>
      </c>
      <c r="W5" s="5">
        <f t="shared" si="0"/>
        <v>6.5819065163407187E-2</v>
      </c>
      <c r="X5" s="5">
        <f t="shared" si="0"/>
        <v>-2.339795404410408E-2</v>
      </c>
      <c r="Y5" s="5">
        <f t="shared" si="2"/>
        <v>5.2780743234537297E-4</v>
      </c>
      <c r="Z5" s="5">
        <f t="shared" si="0"/>
        <v>-0.11201895030853082</v>
      </c>
      <c r="AA5" s="5">
        <f t="shared" si="0"/>
        <v>1.4960687549914198E-10</v>
      </c>
      <c r="AB5" s="5">
        <f t="shared" si="3"/>
        <v>1.9914062666930299E-3</v>
      </c>
      <c r="AC5" s="9">
        <f t="shared" si="1"/>
        <v>8.8919007735969002E-2</v>
      </c>
      <c r="AD5" s="9">
        <f t="shared" si="1"/>
        <v>1.1698977096855478E-2</v>
      </c>
      <c r="AE5" s="9">
        <f t="shared" si="1"/>
        <v>1.2596068495192014E-3</v>
      </c>
      <c r="AF5" s="23" t="s">
        <v>27</v>
      </c>
      <c r="AG5" s="24"/>
      <c r="AH5" s="24"/>
      <c r="AI5" s="24"/>
      <c r="AJ5" s="24"/>
      <c r="AK5" s="24"/>
    </row>
    <row r="6" spans="1:37" x14ac:dyDescent="0.25">
      <c r="A6" s="5">
        <f>'Proximal Validation'!A6</f>
        <v>0.83277602429999997</v>
      </c>
      <c r="B6" s="5">
        <f>'Proximal Validation'!B6</f>
        <v>0.2</v>
      </c>
      <c r="C6" s="5">
        <f>'Proximal Validation'!C6</f>
        <v>4.7123999999999997</v>
      </c>
      <c r="D6" s="5">
        <f>'Proximal Validation'!D6</f>
        <v>1.4193655153</v>
      </c>
      <c r="E6" s="5">
        <f>'Proximal Validation'!E6</f>
        <v>0.04</v>
      </c>
      <c r="F6" s="5">
        <f>'Proximal Validation'!F6</f>
        <v>5.4977999999999998</v>
      </c>
      <c r="G6" s="5">
        <f>'Proximal Validation'!G6</f>
        <v>4.2084858911999996</v>
      </c>
      <c r="H6" s="5">
        <f>'Proximal Validation'!H6</f>
        <v>0.52916698419999997</v>
      </c>
      <c r="I6" s="5">
        <f>'Proximal Validation'!I6</f>
        <v>2.5150427606000001</v>
      </c>
      <c r="J6" s="5">
        <f>'Proximal Validation'!J6</f>
        <v>-1.43141560256481E-2</v>
      </c>
      <c r="K6" s="5">
        <f>'Proximal Validation'!K6</f>
        <v>0.19910913825035079</v>
      </c>
      <c r="L6" s="5">
        <f>'Proximal Validation'!L6</f>
        <v>2.9508465230465089E-2</v>
      </c>
      <c r="M6" s="5">
        <f>'Proximal Validation'!M6</f>
        <v>-0.46529781818389898</v>
      </c>
      <c r="N6" s="5">
        <f>'Proximal Validation'!N6</f>
        <v>0.80010873079299905</v>
      </c>
      <c r="O6" s="5">
        <f>'Proximal Validation'!O6</f>
        <v>-1.7768694162368801</v>
      </c>
      <c r="P6" s="5">
        <v>0.84538623528763568</v>
      </c>
      <c r="Q6" s="5">
        <v>0.19999999787393485</v>
      </c>
      <c r="R6" s="5">
        <v>4.7135121167132974</v>
      </c>
      <c r="S6" s="5">
        <v>1.3872614758843707</v>
      </c>
      <c r="T6" s="5">
        <v>3.9152432139889858E-2</v>
      </c>
      <c r="U6" s="5">
        <v>5.4609979564392912</v>
      </c>
      <c r="V6" s="13">
        <v>2.56827354055372E-6</v>
      </c>
      <c r="W6" s="5">
        <f t="shared" si="0"/>
        <v>1.2610210987635706E-2</v>
      </c>
      <c r="X6" s="5">
        <f t="shared" si="0"/>
        <v>-2.1260651572596601E-9</v>
      </c>
      <c r="Y6" s="5">
        <f t="shared" si="2"/>
        <v>1.112116713297695E-3</v>
      </c>
      <c r="Z6" s="5">
        <f t="shared" si="0"/>
        <v>-3.2104039415629337E-2</v>
      </c>
      <c r="AA6" s="5">
        <f t="shared" si="0"/>
        <v>-8.4756786011014329E-4</v>
      </c>
      <c r="AB6" s="5">
        <f t="shared" si="3"/>
        <v>3.6802043560708597E-2</v>
      </c>
      <c r="AC6" s="8">
        <f t="shared" si="1"/>
        <v>2.2357125201632522E-2</v>
      </c>
      <c r="AD6" s="8">
        <f t="shared" si="1"/>
        <v>4.2378499308765027E-4</v>
      </c>
      <c r="AE6" s="8">
        <f t="shared" si="1"/>
        <v>1.8957080137003146E-2</v>
      </c>
      <c r="AF6" s="6" t="s">
        <v>28</v>
      </c>
      <c r="AG6" s="6" t="s">
        <v>29</v>
      </c>
      <c r="AH6" s="6" t="s">
        <v>30</v>
      </c>
      <c r="AI6" s="7"/>
      <c r="AJ6" s="7"/>
      <c r="AK6" s="7"/>
    </row>
    <row r="7" spans="1:37" x14ac:dyDescent="0.25">
      <c r="A7" s="5">
        <f>'Proximal Validation'!A7</f>
        <v>0.3898403909</v>
      </c>
      <c r="B7" s="5">
        <f>'Proximal Validation'!B7</f>
        <v>0.2</v>
      </c>
      <c r="C7" s="5">
        <f>'Proximal Validation'!C7</f>
        <v>1.5708</v>
      </c>
      <c r="D7" s="5">
        <f>'Proximal Validation'!D7</f>
        <v>0.45028828840000001</v>
      </c>
      <c r="E7" s="5">
        <f>'Proximal Validation'!E7</f>
        <v>0.04</v>
      </c>
      <c r="F7" s="5">
        <f>'Proximal Validation'!F7</f>
        <v>2.3561999999999999</v>
      </c>
      <c r="G7" s="5">
        <f>'Proximal Validation'!G7</f>
        <v>0.34676129480000001</v>
      </c>
      <c r="H7" s="5">
        <f>'Proximal Validation'!H7</f>
        <v>0.93612470940000003</v>
      </c>
      <c r="I7" s="5">
        <f>'Proximal Validation'!I7</f>
        <v>2.0702513480000002</v>
      </c>
      <c r="J7" s="5">
        <f>'Proximal Validation'!J7</f>
        <v>-2.77032051235437E-3</v>
      </c>
      <c r="K7" s="5">
        <f>'Proximal Validation'!K7</f>
        <v>-8.7060849666595136E-2</v>
      </c>
      <c r="L7" s="5">
        <f>'Proximal Validation'!L7</f>
        <v>-1.0583339482545799E-2</v>
      </c>
      <c r="M7" s="5">
        <f>'Proximal Validation'!M7</f>
        <v>-2.05973610281944E-2</v>
      </c>
      <c r="N7" s="5">
        <f>'Proximal Validation'!N7</f>
        <v>-0.34849351644516002</v>
      </c>
      <c r="O7" s="5">
        <f>'Proximal Validation'!O7</f>
        <v>0.549818456172943</v>
      </c>
      <c r="P7" s="5">
        <v>0.39926334262050778</v>
      </c>
      <c r="Q7" s="5">
        <v>0.19999999999997781</v>
      </c>
      <c r="R7" s="5">
        <v>1.5462716612875576</v>
      </c>
      <c r="S7" s="5">
        <v>0.42173079216310849</v>
      </c>
      <c r="T7" s="5">
        <v>4.0704369970697186E-2</v>
      </c>
      <c r="U7" s="5">
        <v>2.5123147660271736</v>
      </c>
      <c r="V7" s="13">
        <v>7.4066909784221628E-7</v>
      </c>
      <c r="W7" s="5">
        <f t="shared" si="0"/>
        <v>9.4229517205077773E-3</v>
      </c>
      <c r="X7" s="5">
        <f t="shared" si="0"/>
        <v>-2.2204460492503131E-14</v>
      </c>
      <c r="Y7" s="5">
        <f t="shared" si="2"/>
        <v>2.4528338712442421E-2</v>
      </c>
      <c r="Z7" s="5">
        <f t="shared" si="0"/>
        <v>-2.8557496236891522E-2</v>
      </c>
      <c r="AA7" s="5">
        <f t="shared" si="0"/>
        <v>7.0436997069718565E-4</v>
      </c>
      <c r="AB7" s="5">
        <f t="shared" si="3"/>
        <v>0.15611476602717378</v>
      </c>
      <c r="AC7" s="8">
        <f t="shared" si="1"/>
        <v>1.899022397869965E-2</v>
      </c>
      <c r="AD7" s="8">
        <f t="shared" si="1"/>
        <v>3.5218498535969506E-4</v>
      </c>
      <c r="AE7" s="8">
        <f t="shared" si="1"/>
        <v>9.03215523698081E-2</v>
      </c>
      <c r="AF7" s="10">
        <f>AVERAGE(AF4,AI4)</f>
        <v>0.21096509935390706</v>
      </c>
      <c r="AG7" s="10">
        <f>AVERAGE(AG4,AJ4)</f>
        <v>2.3700291559274722E-2</v>
      </c>
      <c r="AH7" s="10">
        <f>AVERAGE(AH4,AK4)</f>
        <v>0.29505839493815872</v>
      </c>
      <c r="AI7" s="7"/>
      <c r="AJ7" s="7"/>
      <c r="AK7" s="7"/>
    </row>
    <row r="8" spans="1:37" x14ac:dyDescent="0.25">
      <c r="A8" s="5">
        <f>'Proximal Validation'!A8</f>
        <v>0.86958752539999995</v>
      </c>
      <c r="B8" s="5">
        <f>'Proximal Validation'!B8</f>
        <v>0.2</v>
      </c>
      <c r="C8" s="5">
        <f>'Proximal Validation'!C8</f>
        <v>0.78539999999999999</v>
      </c>
      <c r="D8" s="5">
        <f>'Proximal Validation'!D8</f>
        <v>0.66933871</v>
      </c>
      <c r="E8" s="5">
        <f>'Proximal Validation'!E8</f>
        <v>0.04</v>
      </c>
      <c r="F8" s="5">
        <f>'Proximal Validation'!F8</f>
        <v>0.78539999999999999</v>
      </c>
      <c r="G8" s="5">
        <f>'Proximal Validation'!G8</f>
        <v>2.0486073985000002</v>
      </c>
      <c r="H8" s="5">
        <f>'Proximal Validation'!H8</f>
        <v>1.4427408886999999</v>
      </c>
      <c r="I8" s="5">
        <f>'Proximal Validation'!I8</f>
        <v>0.53737298850000004</v>
      </c>
      <c r="J8" s="5">
        <f>'Proximal Validation'!J8</f>
        <v>-1.20506128296256E-2</v>
      </c>
      <c r="K8" s="5">
        <f>'Proximal Validation'!K8</f>
        <v>-0.12670553922653227</v>
      </c>
      <c r="L8" s="5">
        <f>'Proximal Validation'!L8</f>
        <v>0.1496409153938289</v>
      </c>
      <c r="M8" s="5">
        <f>'Proximal Validation'!M8</f>
        <v>-0.31113249063491799</v>
      </c>
      <c r="N8" s="5">
        <f>'Proximal Validation'!N8</f>
        <v>1.09533703327179</v>
      </c>
      <c r="O8" s="5">
        <f>'Proximal Validation'!O8</f>
        <v>0.92608898878097501</v>
      </c>
      <c r="P8" s="5">
        <v>0.84739596135332962</v>
      </c>
      <c r="Q8" s="5">
        <v>0.19999455927049081</v>
      </c>
      <c r="R8" s="5">
        <v>0.75235207125374792</v>
      </c>
      <c r="S8" s="5">
        <v>0.67758752538531541</v>
      </c>
      <c r="T8" s="5">
        <v>4.7895406544465405E-2</v>
      </c>
      <c r="U8" s="5">
        <v>0.77184971563955573</v>
      </c>
      <c r="V8" s="13">
        <v>3.2277358560218792E-7</v>
      </c>
      <c r="W8" s="5">
        <f t="shared" si="0"/>
        <v>-2.2191564046670331E-2</v>
      </c>
      <c r="X8" s="5">
        <f t="shared" si="0"/>
        <v>-5.4407295091984942E-6</v>
      </c>
      <c r="Y8" s="5">
        <f t="shared" si="2"/>
        <v>3.3047928746252064E-2</v>
      </c>
      <c r="Z8" s="5">
        <f t="shared" si="0"/>
        <v>8.2488153853154111E-3</v>
      </c>
      <c r="AA8" s="5">
        <f t="shared" si="0"/>
        <v>7.895406544465404E-3</v>
      </c>
      <c r="AB8" s="5">
        <f t="shared" si="3"/>
        <v>1.3550284360444254E-2</v>
      </c>
      <c r="AC8" s="8">
        <f t="shared" si="1"/>
        <v>1.5220189715992871E-2</v>
      </c>
      <c r="AD8" s="8">
        <f t="shared" si="1"/>
        <v>3.9504236369873012E-3</v>
      </c>
      <c r="AE8" s="8">
        <f t="shared" si="1"/>
        <v>2.3299106553348159E-2</v>
      </c>
      <c r="AF8" s="12">
        <f>MEDIAN(AC3:AC52)</f>
        <v>0.18759022029924319</v>
      </c>
      <c r="AG8" s="12">
        <f t="shared" ref="AG8:AH8" si="4">MEDIAN(AD3:AD52)</f>
        <v>1.3895427929535424E-2</v>
      </c>
      <c r="AH8" s="12">
        <f t="shared" si="4"/>
        <v>0.16829291811767905</v>
      </c>
    </row>
    <row r="9" spans="1:37" x14ac:dyDescent="0.25">
      <c r="A9" s="5">
        <f>'Proximal Validation'!A9</f>
        <v>1.2260241731999999</v>
      </c>
      <c r="B9" s="5">
        <f>'Proximal Validation'!B9</f>
        <v>0.2</v>
      </c>
      <c r="C9" s="5">
        <f>'Proximal Validation'!C9</f>
        <v>3.1415999999999999</v>
      </c>
      <c r="D9" s="5">
        <f>'Proximal Validation'!D9</f>
        <v>0.53124592000000004</v>
      </c>
      <c r="E9" s="5">
        <f>'Proximal Validation'!E9</f>
        <v>0.04</v>
      </c>
      <c r="F9" s="5">
        <f>'Proximal Validation'!F9</f>
        <v>1.5708</v>
      </c>
      <c r="G9" s="5">
        <f>'Proximal Validation'!G9</f>
        <v>2.1721905802000001</v>
      </c>
      <c r="H9" s="5">
        <f>'Proximal Validation'!H9</f>
        <v>4.8592739976999999</v>
      </c>
      <c r="I9" s="5">
        <f>'Proximal Validation'!I9</f>
        <v>4.1505258277000001</v>
      </c>
      <c r="J9" s="5">
        <f>'Proximal Validation'!J9</f>
        <v>4.4089788571000099E-3</v>
      </c>
      <c r="K9" s="5">
        <f>'Proximal Validation'!K9</f>
        <v>-3.1871920824050881E-2</v>
      </c>
      <c r="L9" s="5">
        <f>'Proximal Validation'!L9</f>
        <v>-0.23815526187419911</v>
      </c>
      <c r="M9" s="5">
        <f>'Proximal Validation'!M9</f>
        <v>-0.60743898153305098</v>
      </c>
      <c r="N9" s="5">
        <f>'Proximal Validation'!N9</f>
        <v>-0.81274193525314298</v>
      </c>
      <c r="O9" s="5">
        <f>'Proximal Validation'!O9</f>
        <v>0.72559177875518799</v>
      </c>
      <c r="P9" s="5">
        <v>1.4460702075223224</v>
      </c>
      <c r="Q9" s="5">
        <v>0.19999999999997781</v>
      </c>
      <c r="R9" s="5">
        <v>3.4298918832415564</v>
      </c>
      <c r="S9" s="5">
        <v>0.98677932164288962</v>
      </c>
      <c r="T9" s="5">
        <v>0.10725731350180592</v>
      </c>
      <c r="U9" s="5">
        <v>1.356677556532307</v>
      </c>
      <c r="V9" s="13">
        <v>1.0049043372988445E-5</v>
      </c>
      <c r="W9" s="5">
        <f t="shared" si="0"/>
        <v>0.2200460343223225</v>
      </c>
      <c r="X9" s="5">
        <f t="shared" si="0"/>
        <v>-2.2204460492503131E-14</v>
      </c>
      <c r="Y9" s="5">
        <f t="shared" si="2"/>
        <v>0.28829188324155641</v>
      </c>
      <c r="Z9" s="5">
        <f t="shared" si="0"/>
        <v>0.45553340164288958</v>
      </c>
      <c r="AA9" s="5">
        <f t="shared" si="0"/>
        <v>6.7257313501805915E-2</v>
      </c>
      <c r="AB9" s="5">
        <f t="shared" si="3"/>
        <v>0.21412244346769294</v>
      </c>
      <c r="AC9" s="8">
        <f t="shared" si="1"/>
        <v>0.33778971798260604</v>
      </c>
      <c r="AD9" s="8">
        <f t="shared" si="1"/>
        <v>3.362865675091406E-2</v>
      </c>
      <c r="AE9" s="8">
        <f t="shared" si="1"/>
        <v>0.25120716335462467</v>
      </c>
      <c r="AF9" s="12"/>
      <c r="AG9" s="12"/>
      <c r="AH9" s="12"/>
    </row>
    <row r="10" spans="1:37" x14ac:dyDescent="0.25">
      <c r="A10" s="5">
        <f>'Proximal Validation'!A10</f>
        <v>1.4922792275000001</v>
      </c>
      <c r="B10" s="5">
        <f>'Proximal Validation'!B10</f>
        <v>0.2</v>
      </c>
      <c r="C10" s="5">
        <f>'Proximal Validation'!C10</f>
        <v>2.3561999999999999</v>
      </c>
      <c r="D10" s="5">
        <f>'Proximal Validation'!D10</f>
        <v>1.2493008810999999</v>
      </c>
      <c r="E10" s="5">
        <f>'Proximal Validation'!E10</f>
        <v>0.04</v>
      </c>
      <c r="F10" s="5">
        <f>'Proximal Validation'!F10</f>
        <v>0.78539999999999999</v>
      </c>
      <c r="G10" s="5">
        <f>'Proximal Validation'!G10</f>
        <v>0.65138204079999995</v>
      </c>
      <c r="H10" s="5">
        <f>'Proximal Validation'!H10</f>
        <v>2.3960292019999998</v>
      </c>
      <c r="I10" s="5">
        <f>'Proximal Validation'!I10</f>
        <v>3.8310385232000002</v>
      </c>
      <c r="J10" s="5">
        <f>'Proximal Validation'!J10</f>
        <v>3.9877006784081502E-3</v>
      </c>
      <c r="K10" s="5">
        <f>'Proximal Validation'!K10</f>
        <v>-0.23812925338745111</v>
      </c>
      <c r="L10" s="5">
        <f>'Proximal Validation'!L10</f>
        <v>-0.16476846545934729</v>
      </c>
      <c r="M10" s="5">
        <f>'Proximal Validation'!M10</f>
        <v>-0.90740537643432595</v>
      </c>
      <c r="N10" s="5">
        <f>'Proximal Validation'!N10</f>
        <v>0.22993692755699199</v>
      </c>
      <c r="O10" s="5">
        <f>'Proximal Validation'!O10</f>
        <v>1.7137415409088099</v>
      </c>
      <c r="P10" s="5">
        <v>1.4999999999999674</v>
      </c>
      <c r="Q10" s="5">
        <v>0.19999999999819543</v>
      </c>
      <c r="R10" s="5">
        <v>2.433870117944525</v>
      </c>
      <c r="S10" s="5">
        <v>1.403354858290397</v>
      </c>
      <c r="T10" s="5">
        <v>5.1167561936717211E-2</v>
      </c>
      <c r="U10" s="5">
        <v>0.84389062407284099</v>
      </c>
      <c r="V10" s="13">
        <v>5.5788098579636833E-5</v>
      </c>
      <c r="W10" s="5">
        <f t="shared" si="0"/>
        <v>7.7207724999672767E-3</v>
      </c>
      <c r="X10" s="5">
        <f t="shared" si="0"/>
        <v>-1.8045842598013451E-12</v>
      </c>
      <c r="Y10" s="5">
        <f t="shared" si="2"/>
        <v>7.7670117944525163E-2</v>
      </c>
      <c r="Z10" s="5">
        <f t="shared" si="0"/>
        <v>0.15405397719039704</v>
      </c>
      <c r="AA10" s="5">
        <f t="shared" si="0"/>
        <v>1.116756193671721E-2</v>
      </c>
      <c r="AB10" s="5">
        <f t="shared" si="3"/>
        <v>5.8490624072841002E-2</v>
      </c>
      <c r="AC10" s="8">
        <f t="shared" si="1"/>
        <v>8.0887374845182158E-2</v>
      </c>
      <c r="AD10" s="8">
        <f t="shared" si="1"/>
        <v>5.5837809692608972E-3</v>
      </c>
      <c r="AE10" s="8">
        <f t="shared" si="1"/>
        <v>6.8080371008683083E-2</v>
      </c>
    </row>
    <row r="11" spans="1:37" x14ac:dyDescent="0.25">
      <c r="A11" s="5">
        <f>'Proximal Validation'!A11</f>
        <v>1.4258680059</v>
      </c>
      <c r="B11" s="5">
        <f>'Proximal Validation'!B11</f>
        <v>0.2</v>
      </c>
      <c r="C11" s="5">
        <f>'Proximal Validation'!C11</f>
        <v>4.7123999999999997</v>
      </c>
      <c r="D11" s="5">
        <f>'Proximal Validation'!D11</f>
        <v>0.35291314260000001</v>
      </c>
      <c r="E11" s="5">
        <f>'Proximal Validation'!E11</f>
        <v>0.04</v>
      </c>
      <c r="F11" s="5">
        <f>'Proximal Validation'!F11</f>
        <v>0</v>
      </c>
      <c r="G11" s="5">
        <f>'Proximal Validation'!G11</f>
        <v>3.4810259851000001</v>
      </c>
      <c r="H11" s="5">
        <f>'Proximal Validation'!H11</f>
        <v>1.1294030872</v>
      </c>
      <c r="I11" s="5">
        <f>'Proximal Validation'!I11</f>
        <v>4.9138255752999997</v>
      </c>
      <c r="J11" s="5">
        <f>'Proximal Validation'!J11</f>
        <v>-2.5121536105871201E-2</v>
      </c>
      <c r="K11" s="5">
        <f>'Proximal Validation'!K11</f>
        <v>0.23443316221237209</v>
      </c>
      <c r="L11" s="5">
        <f>'Proximal Validation'!L11</f>
        <v>2.2260813415050131E-3</v>
      </c>
      <c r="M11" s="5">
        <f>'Proximal Validation'!M11</f>
        <v>-1.1394190788269001</v>
      </c>
      <c r="N11" s="5">
        <f>'Proximal Validation'!N11</f>
        <v>0.194542020559311</v>
      </c>
      <c r="O11" s="5">
        <f>'Proximal Validation'!O11</f>
        <v>-0.71812152862548795</v>
      </c>
      <c r="P11" s="5">
        <v>1.4999268981350153</v>
      </c>
      <c r="Q11" s="5">
        <v>0.19996214318898844</v>
      </c>
      <c r="R11" s="5">
        <v>4.362465129805007</v>
      </c>
      <c r="S11" s="5">
        <v>0.78385269878425634</v>
      </c>
      <c r="T11" s="5">
        <v>0.14183920536479824</v>
      </c>
      <c r="U11" s="5">
        <v>6.2831842815717485</v>
      </c>
      <c r="V11" s="13">
        <v>1.7112992988716404E-5</v>
      </c>
      <c r="W11" s="5">
        <f t="shared" si="0"/>
        <v>7.4058892235015383E-2</v>
      </c>
      <c r="X11" s="5">
        <f t="shared" si="0"/>
        <v>-3.7856811011566238E-5</v>
      </c>
      <c r="Y11" s="5">
        <f t="shared" si="2"/>
        <v>0.3499348701949927</v>
      </c>
      <c r="Z11" s="5">
        <f t="shared" si="0"/>
        <v>0.43093955618425633</v>
      </c>
      <c r="AA11" s="5">
        <f t="shared" si="0"/>
        <v>0.10183920536479824</v>
      </c>
      <c r="AB11" s="5">
        <f t="shared" si="3"/>
        <v>1.0256078377679501E-6</v>
      </c>
      <c r="AC11" s="8">
        <f t="shared" si="1"/>
        <v>0.25249922420963589</v>
      </c>
      <c r="AD11" s="8">
        <f t="shared" si="1"/>
        <v>5.0938531087904901E-2</v>
      </c>
      <c r="AE11" s="8">
        <f t="shared" si="1"/>
        <v>0.17496794790141523</v>
      </c>
    </row>
    <row r="12" spans="1:37" x14ac:dyDescent="0.25">
      <c r="A12" s="5">
        <f>'Proximal Validation'!A12</f>
        <v>1.2847663906</v>
      </c>
      <c r="B12" s="5">
        <f>'Proximal Validation'!B12</f>
        <v>0.18</v>
      </c>
      <c r="C12" s="5">
        <f>'Proximal Validation'!C12</f>
        <v>0.78539999999999999</v>
      </c>
      <c r="D12" s="5">
        <f>'Proximal Validation'!D12</f>
        <v>0.98965387010000005</v>
      </c>
      <c r="E12" s="5">
        <f>'Proximal Validation'!E12</f>
        <v>0.04</v>
      </c>
      <c r="F12" s="5">
        <f>'Proximal Validation'!F12</f>
        <v>3.927</v>
      </c>
      <c r="G12" s="5">
        <f>'Proximal Validation'!G12</f>
        <v>3.2068327339999998</v>
      </c>
      <c r="H12" s="5">
        <f>'Proximal Validation'!H12</f>
        <v>3.5469168124000001</v>
      </c>
      <c r="I12" s="5">
        <f>'Proximal Validation'!I12</f>
        <v>1.1514404992</v>
      </c>
      <c r="J12" s="5">
        <f>'Proximal Validation'!J12</f>
        <v>-1.56177338212729E-2</v>
      </c>
      <c r="K12" s="5">
        <f>'Proximal Validation'!K12</f>
        <v>-0.12120571285486201</v>
      </c>
      <c r="L12" s="5">
        <f>'Proximal Validation'!L12</f>
        <v>0.12601706266403204</v>
      </c>
      <c r="M12" s="5">
        <f>'Proximal Validation'!M12</f>
        <v>-0.64654499292373702</v>
      </c>
      <c r="N12" s="5">
        <f>'Proximal Validation'!N12</f>
        <v>-2.8156310319900499E-2</v>
      </c>
      <c r="O12" s="5">
        <f>'Proximal Validation'!O12</f>
        <v>-0.153284221887589</v>
      </c>
      <c r="P12" s="5">
        <v>1.3875631881089185</v>
      </c>
      <c r="Q12" s="5">
        <v>0.16558391127205949</v>
      </c>
      <c r="R12" s="5">
        <v>0.78810559067114672</v>
      </c>
      <c r="S12" s="5">
        <v>1.2095300964505062</v>
      </c>
      <c r="T12" s="5">
        <v>3.4023727882890854E-2</v>
      </c>
      <c r="U12" s="5">
        <v>3.935369978835249</v>
      </c>
      <c r="V12" s="13">
        <v>3.6798930377396888E-8</v>
      </c>
      <c r="W12" s="5">
        <f t="shared" si="0"/>
        <v>0.10279679750891857</v>
      </c>
      <c r="X12" s="5">
        <f t="shared" si="0"/>
        <v>-1.4416088727940507E-2</v>
      </c>
      <c r="Y12" s="5">
        <f t="shared" si="2"/>
        <v>2.7055906711467292E-3</v>
      </c>
      <c r="Z12" s="5">
        <f t="shared" si="0"/>
        <v>0.21987622635050619</v>
      </c>
      <c r="AA12" s="5">
        <f t="shared" si="0"/>
        <v>-5.9762721171091465E-3</v>
      </c>
      <c r="AB12" s="5">
        <f t="shared" si="3"/>
        <v>8.3699788352489257E-3</v>
      </c>
      <c r="AC12" s="8">
        <f t="shared" si="1"/>
        <v>0.16133651192971238</v>
      </c>
      <c r="AD12" s="8">
        <f t="shared" si="1"/>
        <v>1.0196180422524827E-2</v>
      </c>
      <c r="AE12" s="8">
        <f t="shared" si="1"/>
        <v>5.5377847531978275E-3</v>
      </c>
      <c r="AF12" s="12"/>
      <c r="AG12" s="12"/>
      <c r="AH12" s="12"/>
    </row>
    <row r="13" spans="1:37" x14ac:dyDescent="0.25">
      <c r="A13" s="5">
        <f>'Proximal Validation'!A13</f>
        <v>0.82078888689999996</v>
      </c>
      <c r="B13" s="5">
        <f>'Proximal Validation'!B13</f>
        <v>0.18</v>
      </c>
      <c r="C13" s="5">
        <f>'Proximal Validation'!C13</f>
        <v>0</v>
      </c>
      <c r="D13" s="5">
        <f>'Proximal Validation'!D13</f>
        <v>1.3252826163</v>
      </c>
      <c r="E13" s="5">
        <f>'Proximal Validation'!E13</f>
        <v>0.04</v>
      </c>
      <c r="F13" s="5">
        <f>'Proximal Validation'!F13</f>
        <v>0</v>
      </c>
      <c r="G13" s="5">
        <f>'Proximal Validation'!G13</f>
        <v>3.9081993600000003E-2</v>
      </c>
      <c r="H13" s="5">
        <f>'Proximal Validation'!H13</f>
        <v>2.9262884955000001</v>
      </c>
      <c r="I13" s="5">
        <f>'Proximal Validation'!I13</f>
        <v>4.7431789933999999</v>
      </c>
      <c r="J13" s="5">
        <f>'Proximal Validation'!J13</f>
        <v>1.23578244820237E-2</v>
      </c>
      <c r="K13" s="5">
        <f>'Proximal Validation'!K13</f>
        <v>-1.5243557468056657E-2</v>
      </c>
      <c r="L13" s="5">
        <f>'Proximal Validation'!L13</f>
        <v>0.2045297563076019</v>
      </c>
      <c r="M13" s="5">
        <f>'Proximal Validation'!M13</f>
        <v>-0.23820373415946999</v>
      </c>
      <c r="N13" s="5">
        <f>'Proximal Validation'!N13</f>
        <v>2.0633363723754901</v>
      </c>
      <c r="O13" s="5">
        <f>'Proximal Validation'!O13</f>
        <v>8.5576176643371596E-2</v>
      </c>
      <c r="P13" s="5">
        <v>0.87842046606870716</v>
      </c>
      <c r="Q13" s="5">
        <v>0.18389757906280493</v>
      </c>
      <c r="R13" s="5">
        <v>2.5632785692050148E-2</v>
      </c>
      <c r="S13" s="5">
        <v>1.2485459217795378</v>
      </c>
      <c r="T13" s="5">
        <v>3.4209087497068857E-2</v>
      </c>
      <c r="U13" s="5">
        <v>1.2873175474280665E-7</v>
      </c>
      <c r="V13" s="13">
        <v>8.4300231702894857E-8</v>
      </c>
      <c r="W13" s="5">
        <f t="shared" si="0"/>
        <v>5.7631579168707203E-2</v>
      </c>
      <c r="X13" s="5">
        <f t="shared" si="0"/>
        <v>3.89757906280494E-3</v>
      </c>
      <c r="Y13" s="5">
        <f t="shared" si="2"/>
        <v>2.5632785692050148E-2</v>
      </c>
      <c r="Z13" s="5">
        <f t="shared" si="0"/>
        <v>-7.6736694520462168E-2</v>
      </c>
      <c r="AA13" s="5">
        <f t="shared" si="0"/>
        <v>-5.7909125029311434E-3</v>
      </c>
      <c r="AB13" s="5">
        <f t="shared" si="3"/>
        <v>1.2873175474280665E-7</v>
      </c>
      <c r="AC13" s="8">
        <f t="shared" si="1"/>
        <v>6.7184136844584685E-2</v>
      </c>
      <c r="AD13" s="8">
        <f t="shared" si="1"/>
        <v>4.8442457828680417E-3</v>
      </c>
      <c r="AE13" s="8">
        <f t="shared" si="1"/>
        <v>1.2816457211902445E-2</v>
      </c>
    </row>
    <row r="14" spans="1:37" x14ac:dyDescent="0.25">
      <c r="A14" s="5">
        <f>'Proximal Validation'!A14</f>
        <v>0.51355824630000002</v>
      </c>
      <c r="B14" s="5">
        <f>'Proximal Validation'!B14</f>
        <v>0.2</v>
      </c>
      <c r="C14" s="5">
        <f>'Proximal Validation'!C14</f>
        <v>2.3561999999999999</v>
      </c>
      <c r="D14" s="5">
        <f>'Proximal Validation'!D14</f>
        <v>0.96095190770000005</v>
      </c>
      <c r="E14" s="5">
        <f>'Proximal Validation'!E14</f>
        <v>0.06</v>
      </c>
      <c r="F14" s="5">
        <f>'Proximal Validation'!F14</f>
        <v>0</v>
      </c>
      <c r="G14" s="5">
        <f>'Proximal Validation'!G14</f>
        <v>2.4382389278000001</v>
      </c>
      <c r="H14" s="5">
        <f>'Proximal Validation'!H14</f>
        <v>4.2854047354000002</v>
      </c>
      <c r="I14" s="5">
        <f>'Proximal Validation'!I14</f>
        <v>0.33901404839999999</v>
      </c>
      <c r="J14" s="5">
        <f>'Proximal Validation'!J14</f>
        <v>5.3502889350056596E-3</v>
      </c>
      <c r="K14" s="5">
        <f>'Proximal Validation'!K14</f>
        <v>-6.201133310794836E-2</v>
      </c>
      <c r="L14" s="5">
        <f>'Proximal Validation'!L14</f>
        <v>2.4065852165215673E-4</v>
      </c>
      <c r="M14" s="5">
        <f>'Proximal Validation'!M14</f>
        <v>-0.18366065621375999</v>
      </c>
      <c r="N14" s="5">
        <f>'Proximal Validation'!N14</f>
        <v>0.79279768466949496</v>
      </c>
      <c r="O14" s="5">
        <f>'Proximal Validation'!O14</f>
        <v>0.28229478001594499</v>
      </c>
      <c r="P14" s="5">
        <v>0.51134714816374305</v>
      </c>
      <c r="Q14" s="5">
        <v>0.19999997823823609</v>
      </c>
      <c r="R14" s="5">
        <v>2.3833450263815723</v>
      </c>
      <c r="S14" s="5">
        <v>1.0381957678649665</v>
      </c>
      <c r="T14" s="5">
        <v>6.1626730665829965E-2</v>
      </c>
      <c r="U14" s="5">
        <v>1.85404967798148E-13</v>
      </c>
      <c r="V14" s="13">
        <v>3.2262855480163992E-8</v>
      </c>
      <c r="W14" s="5">
        <f t="shared" si="0"/>
        <v>-2.2110981362569726E-3</v>
      </c>
      <c r="X14" s="5">
        <f t="shared" si="0"/>
        <v>-2.1761763918659582E-8</v>
      </c>
      <c r="Y14" s="5">
        <f t="shared" si="2"/>
        <v>2.7145026381572457E-2</v>
      </c>
      <c r="Z14" s="5">
        <f t="shared" si="0"/>
        <v>7.7243860164966427E-2</v>
      </c>
      <c r="AA14" s="5">
        <f t="shared" si="0"/>
        <v>1.6267306658299674E-3</v>
      </c>
      <c r="AB14" s="5">
        <f t="shared" si="3"/>
        <v>1.85404967798148E-13</v>
      </c>
      <c r="AC14" s="8">
        <f t="shared" si="1"/>
        <v>3.97274791506117E-2</v>
      </c>
      <c r="AD14" s="8">
        <f t="shared" si="1"/>
        <v>8.1337621379694303E-4</v>
      </c>
      <c r="AE14" s="8">
        <f t="shared" si="1"/>
        <v>1.357251319087893E-2</v>
      </c>
    </row>
    <row r="15" spans="1:37" x14ac:dyDescent="0.25">
      <c r="A15" s="5">
        <f>'Proximal Validation'!A15</f>
        <v>0.35944564579999999</v>
      </c>
      <c r="B15" s="5">
        <f>'Proximal Validation'!B15</f>
        <v>0.18</v>
      </c>
      <c r="C15" s="5">
        <f>'Proximal Validation'!C15</f>
        <v>5.4977999999999998</v>
      </c>
      <c r="D15" s="5">
        <f>'Proximal Validation'!D15</f>
        <v>1.2877652723999999</v>
      </c>
      <c r="E15" s="5">
        <f>'Proximal Validation'!E15</f>
        <v>0.04</v>
      </c>
      <c r="F15" s="5">
        <f>'Proximal Validation'!F15</f>
        <v>2.3561999999999999</v>
      </c>
      <c r="G15" s="5">
        <f>'Proximal Validation'!G15</f>
        <v>2.1189458146</v>
      </c>
      <c r="H15" s="5">
        <f>'Proximal Validation'!H15</f>
        <v>2.2606748846000002</v>
      </c>
      <c r="I15" s="5">
        <f>'Proximal Validation'!I15</f>
        <v>0.94750633689999997</v>
      </c>
      <c r="J15" s="5">
        <f>'Proximal Validation'!J15</f>
        <v>-9.5291109755635305E-4</v>
      </c>
      <c r="K15" s="5">
        <f>'Proximal Validation'!K15</f>
        <v>4.1426768898963698E-3</v>
      </c>
      <c r="L15" s="5">
        <f>'Proximal Validation'!L15</f>
        <v>5.4550425708294603E-3</v>
      </c>
      <c r="M15" s="5">
        <f>'Proximal Validation'!M15</f>
        <v>1.4017973095178601E-2</v>
      </c>
      <c r="N15" s="5">
        <f>'Proximal Validation'!N15</f>
        <v>-0.72726076841354403</v>
      </c>
      <c r="O15" s="5">
        <f>'Proximal Validation'!O15</f>
        <v>0.73515439033508301</v>
      </c>
      <c r="P15" s="5">
        <v>0.30331477650712402</v>
      </c>
      <c r="Q15" s="5">
        <v>2.000159032487682E-2</v>
      </c>
      <c r="R15" s="5">
        <v>3.2003502042410319</v>
      </c>
      <c r="S15" s="5">
        <v>0.60830726467606466</v>
      </c>
      <c r="T15" s="5">
        <v>2.0000000000022205E-2</v>
      </c>
      <c r="U15" s="5">
        <v>1.967571245504524</v>
      </c>
      <c r="V15" s="13">
        <v>7.7532356902381447E-4</v>
      </c>
      <c r="W15" s="5">
        <f t="shared" si="0"/>
        <v>-5.6130869292875973E-2</v>
      </c>
      <c r="X15" s="5">
        <f t="shared" si="0"/>
        <v>-0.15999840967512319</v>
      </c>
      <c r="Y15" s="5">
        <f t="shared" si="2"/>
        <v>2.2974497957589679</v>
      </c>
      <c r="Z15" s="5">
        <f t="shared" si="0"/>
        <v>-0.67945800772393528</v>
      </c>
      <c r="AA15" s="5">
        <f t="shared" si="0"/>
        <v>-1.9999999999977796E-2</v>
      </c>
      <c r="AB15" s="5">
        <f t="shared" si="3"/>
        <v>0.38862875449547585</v>
      </c>
      <c r="AC15" s="8">
        <f t="shared" si="1"/>
        <v>0.36779443850840565</v>
      </c>
      <c r="AD15" s="8">
        <f t="shared" si="1"/>
        <v>8.9999204837550487E-2</v>
      </c>
      <c r="AE15" s="8">
        <f t="shared" si="1"/>
        <v>1.343039275127222</v>
      </c>
    </row>
    <row r="16" spans="1:37" x14ac:dyDescent="0.25">
      <c r="A16" s="5">
        <f>'Proximal Validation'!A16</f>
        <v>1.2267525763</v>
      </c>
      <c r="B16" s="5">
        <f>'Proximal Validation'!B16</f>
        <v>0.16</v>
      </c>
      <c r="C16" s="5">
        <f>'Proximal Validation'!C16</f>
        <v>5.4977999999999998</v>
      </c>
      <c r="D16" s="5">
        <f>'Proximal Validation'!D16</f>
        <v>1.4944716747</v>
      </c>
      <c r="E16" s="5">
        <f>'Proximal Validation'!E16</f>
        <v>0.04</v>
      </c>
      <c r="F16" s="5">
        <f>'Proximal Validation'!F16</f>
        <v>3.927</v>
      </c>
      <c r="G16" s="5">
        <f>'Proximal Validation'!G16</f>
        <v>0.31884207939999998</v>
      </c>
      <c r="H16" s="5">
        <f>'Proximal Validation'!H16</f>
        <v>3.8007215218999999</v>
      </c>
      <c r="I16" s="5">
        <f>'Proximal Validation'!I16</f>
        <v>0.48541647729999998</v>
      </c>
      <c r="J16" s="5">
        <f>'Proximal Validation'!J16</f>
        <v>1.0649194940924599E-2</v>
      </c>
      <c r="K16" s="5">
        <f>'Proximal Validation'!K16</f>
        <v>0.16992033243179369</v>
      </c>
      <c r="L16" s="5">
        <f>'Proximal Validation'!L16</f>
        <v>9.9608231484890009E-2</v>
      </c>
      <c r="M16" s="5">
        <f>'Proximal Validation'!M16</f>
        <v>-0.27858194708824202</v>
      </c>
      <c r="N16" s="5">
        <f>'Proximal Validation'!N16</f>
        <v>-0.33142736554145802</v>
      </c>
      <c r="O16" s="5">
        <f>'Proximal Validation'!O16</f>
        <v>-1.73035156726837</v>
      </c>
      <c r="P16" s="5">
        <v>1.2826565559201477</v>
      </c>
      <c r="Q16" s="5">
        <v>0.15567026232461356</v>
      </c>
      <c r="R16" s="5">
        <v>5.3654493897645903</v>
      </c>
      <c r="S16" s="5">
        <v>1.3305312467738122</v>
      </c>
      <c r="T16" s="5">
        <v>2.3004368470217113E-2</v>
      </c>
      <c r="U16" s="5">
        <v>3.8293387545477247</v>
      </c>
      <c r="V16" s="13">
        <v>1.8360963632889317E-7</v>
      </c>
      <c r="W16" s="5">
        <f t="shared" si="0"/>
        <v>5.5903979620147703E-2</v>
      </c>
      <c r="X16" s="5">
        <f t="shared" si="0"/>
        <v>-4.3297376753864414E-3</v>
      </c>
      <c r="Y16" s="5">
        <f t="shared" si="2"/>
        <v>0.1323506102354095</v>
      </c>
      <c r="Z16" s="5">
        <f t="shared" si="0"/>
        <v>-0.16394042792618779</v>
      </c>
      <c r="AA16" s="5">
        <f t="shared" si="0"/>
        <v>-1.6995631529782888E-2</v>
      </c>
      <c r="AB16" s="5">
        <f t="shared" si="3"/>
        <v>9.7661245452275391E-2</v>
      </c>
      <c r="AC16" s="8">
        <f t="shared" si="1"/>
        <v>0.10992220377316775</v>
      </c>
      <c r="AD16" s="8">
        <f t="shared" si="1"/>
        <v>1.0662684602584665E-2</v>
      </c>
      <c r="AE16" s="8">
        <f t="shared" si="1"/>
        <v>0.11500592784384245</v>
      </c>
    </row>
    <row r="17" spans="1:31" x14ac:dyDescent="0.25">
      <c r="A17" s="5">
        <f>'Proximal Validation'!A17</f>
        <v>0.64421489080000005</v>
      </c>
      <c r="B17" s="5">
        <f>'Proximal Validation'!B17</f>
        <v>0.14000000000000001</v>
      </c>
      <c r="C17" s="5">
        <f>'Proximal Validation'!C17</f>
        <v>0</v>
      </c>
      <c r="D17" s="5">
        <f>'Proximal Validation'!D17</f>
        <v>0.8523470823</v>
      </c>
      <c r="E17" s="5">
        <f>'Proximal Validation'!E17</f>
        <v>0.02</v>
      </c>
      <c r="F17" s="5">
        <f>'Proximal Validation'!F17</f>
        <v>4.7123999999999997</v>
      </c>
      <c r="G17" s="5">
        <f>'Proximal Validation'!G17</f>
        <v>8.0437148799999997E-2</v>
      </c>
      <c r="H17" s="5">
        <f>'Proximal Validation'!H17</f>
        <v>0.35167971240000001</v>
      </c>
      <c r="I17" s="5">
        <f>'Proximal Validation'!I17</f>
        <v>1.0501461195999999</v>
      </c>
      <c r="J17" s="5">
        <f>'Proximal Validation'!J17</f>
        <v>2.75095622055233E-3</v>
      </c>
      <c r="K17" s="5">
        <f>'Proximal Validation'!K17</f>
        <v>1.119949698448186E-2</v>
      </c>
      <c r="L17" s="5">
        <f>'Proximal Validation'!L17</f>
        <v>9.1276741027832203E-2</v>
      </c>
      <c r="M17" s="5">
        <f>'Proximal Validation'!M17</f>
        <v>-9.1020502150058705E-2</v>
      </c>
      <c r="N17" s="5">
        <f>'Proximal Validation'!N17</f>
        <v>0.58842658996581998</v>
      </c>
      <c r="O17" s="5">
        <f>'Proximal Validation'!O17</f>
        <v>-0.91785299777984597</v>
      </c>
      <c r="P17" s="5">
        <v>0.49981393027537691</v>
      </c>
      <c r="Q17" s="5">
        <v>0.17687428218780191</v>
      </c>
      <c r="R17" s="5">
        <v>3.3621153619640701E-2</v>
      </c>
      <c r="S17" s="5">
        <v>0.90619311968901328</v>
      </c>
      <c r="T17" s="5">
        <v>2.000000002103481E-2</v>
      </c>
      <c r="U17" s="5">
        <v>4.8528268612077667</v>
      </c>
      <c r="V17" s="13">
        <v>2.5308656435669006E-8</v>
      </c>
      <c r="W17" s="5">
        <f t="shared" si="0"/>
        <v>-0.14440096052462315</v>
      </c>
      <c r="X17" s="5">
        <f t="shared" si="0"/>
        <v>3.6874282187801893E-2</v>
      </c>
      <c r="Y17" s="5">
        <f t="shared" si="2"/>
        <v>3.3621153619640701E-2</v>
      </c>
      <c r="Z17" s="5">
        <f t="shared" si="0"/>
        <v>5.3846037389013279E-2</v>
      </c>
      <c r="AA17" s="5">
        <f t="shared" si="0"/>
        <v>2.1034809311037961E-11</v>
      </c>
      <c r="AB17" s="5">
        <f t="shared" si="3"/>
        <v>0.14042686120776704</v>
      </c>
      <c r="AC17" s="8">
        <f t="shared" si="1"/>
        <v>9.9123498956818212E-2</v>
      </c>
      <c r="AD17" s="8">
        <f t="shared" si="1"/>
        <v>1.8437141104418353E-2</v>
      </c>
      <c r="AE17" s="8">
        <f t="shared" si="1"/>
        <v>8.7024007413703863E-2</v>
      </c>
    </row>
    <row r="18" spans="1:31" x14ac:dyDescent="0.25">
      <c r="A18" s="5">
        <f>'Proximal Validation'!A18</f>
        <v>1.1302547975999999</v>
      </c>
      <c r="B18" s="5">
        <f>'Proximal Validation'!B18</f>
        <v>0.16</v>
      </c>
      <c r="C18" s="5">
        <f>'Proximal Validation'!C18</f>
        <v>4.7123999999999997</v>
      </c>
      <c r="D18" s="5">
        <f>'Proximal Validation'!D18</f>
        <v>1.3446433494000001</v>
      </c>
      <c r="E18" s="5">
        <f>'Proximal Validation'!E18</f>
        <v>0.04</v>
      </c>
      <c r="F18" s="5">
        <f>'Proximal Validation'!F18</f>
        <v>0</v>
      </c>
      <c r="G18" s="5">
        <f>'Proximal Validation'!G18</f>
        <v>1.0644222964000001</v>
      </c>
      <c r="H18" s="5">
        <f>'Proximal Validation'!H18</f>
        <v>1.4761094460999999</v>
      </c>
      <c r="I18" s="5">
        <f>'Proximal Validation'!I18</f>
        <v>3.5278441351000001</v>
      </c>
      <c r="J18" s="5">
        <f>'Proximal Validation'!J18</f>
        <v>7.3962844908237498E-5</v>
      </c>
      <c r="K18" s="5">
        <f>'Proximal Validation'!K18</f>
        <v>0.17089873731136307</v>
      </c>
      <c r="L18" s="5">
        <f>'Proximal Validation'!L18</f>
        <v>6.3021872043609928E-2</v>
      </c>
      <c r="M18" s="5">
        <f>'Proximal Validation'!M18</f>
        <v>-0.50616961717605602</v>
      </c>
      <c r="N18" s="5">
        <f>'Proximal Validation'!N18</f>
        <v>1.39708912372589</v>
      </c>
      <c r="O18" s="5">
        <f>'Proximal Validation'!O18</f>
        <v>-0.796242535114288</v>
      </c>
      <c r="P18" s="5">
        <v>1.3298755839278205</v>
      </c>
      <c r="Q18" s="5">
        <v>0.14548266248779881</v>
      </c>
      <c r="R18" s="5">
        <v>4.6266812874014596</v>
      </c>
      <c r="S18" s="5">
        <v>1.499999958704862</v>
      </c>
      <c r="T18" s="5">
        <v>4.9676028248622488E-2</v>
      </c>
      <c r="U18" s="5">
        <v>0.18903784413056063</v>
      </c>
      <c r="V18" s="13">
        <v>1.8245024318792572E-7</v>
      </c>
      <c r="W18" s="5">
        <f t="shared" si="0"/>
        <v>0.19962078632782054</v>
      </c>
      <c r="X18" s="5">
        <f t="shared" si="0"/>
        <v>-1.4517337512201189E-2</v>
      </c>
      <c r="Y18" s="5">
        <f t="shared" si="2"/>
        <v>8.5718712598540137E-2</v>
      </c>
      <c r="Z18" s="5">
        <f t="shared" si="0"/>
        <v>0.15535660930486195</v>
      </c>
      <c r="AA18" s="5">
        <f t="shared" si="0"/>
        <v>9.6760282486224869E-3</v>
      </c>
      <c r="AB18" s="5">
        <f t="shared" si="3"/>
        <v>0.18903784413056063</v>
      </c>
      <c r="AC18" s="8">
        <f t="shared" si="1"/>
        <v>0.17748869781634125</v>
      </c>
      <c r="AD18" s="8">
        <f t="shared" si="1"/>
        <v>1.2096682880411838E-2</v>
      </c>
      <c r="AE18" s="8">
        <f t="shared" si="1"/>
        <v>0.13737827836455038</v>
      </c>
    </row>
    <row r="19" spans="1:31" x14ac:dyDescent="0.25">
      <c r="A19" s="5">
        <f>'Proximal Validation'!A19</f>
        <v>0.44052297210000002</v>
      </c>
      <c r="B19" s="5">
        <f>'Proximal Validation'!B19</f>
        <v>0.14000000000000001</v>
      </c>
      <c r="C19" s="5">
        <f>'Proximal Validation'!C19</f>
        <v>0.78539999999999999</v>
      </c>
      <c r="D19" s="5">
        <f>'Proximal Validation'!D19</f>
        <v>1.0539703866000001</v>
      </c>
      <c r="E19" s="5">
        <f>'Proximal Validation'!E19</f>
        <v>0.02</v>
      </c>
      <c r="F19" s="5">
        <f>'Proximal Validation'!F19</f>
        <v>3.1415999999999999</v>
      </c>
      <c r="G19" s="5">
        <f>'Proximal Validation'!G19</f>
        <v>2.7027230284999999</v>
      </c>
      <c r="H19" s="5">
        <f>'Proximal Validation'!H19</f>
        <v>1.6080541686000001</v>
      </c>
      <c r="I19" s="5">
        <f>'Proximal Validation'!I19</f>
        <v>1.7094513416999999</v>
      </c>
      <c r="J19" s="5">
        <f>'Proximal Validation'!J19</f>
        <v>2.9437544289976402E-3</v>
      </c>
      <c r="K19" s="5">
        <f>'Proximal Validation'!K19</f>
        <v>-5.4780912101268772E-2</v>
      </c>
      <c r="L19" s="5">
        <f>'Proximal Validation'!L19</f>
        <v>2.008378580212599E-2</v>
      </c>
      <c r="M19" s="5">
        <f>'Proximal Validation'!M19</f>
        <v>-2.3114085197448699E-2</v>
      </c>
      <c r="N19" s="5">
        <f>'Proximal Validation'!N19</f>
        <v>-0.82051932811737105</v>
      </c>
      <c r="O19" s="5">
        <f>'Proximal Validation'!O19</f>
        <v>0.34984213113784801</v>
      </c>
      <c r="P19" s="5">
        <v>0.70938778788516843</v>
      </c>
      <c r="Q19" s="5">
        <v>9.8200173641530858E-2</v>
      </c>
      <c r="R19" s="5">
        <v>0.84193466328664135</v>
      </c>
      <c r="S19" s="5">
        <v>1.2628105587617346</v>
      </c>
      <c r="T19" s="5">
        <v>2.0085018689479414E-2</v>
      </c>
      <c r="U19" s="5">
        <v>3.3028550870775217</v>
      </c>
      <c r="V19" s="13">
        <v>1.7241116511086237E-6</v>
      </c>
      <c r="W19" s="5">
        <f t="shared" ref="W19:X34" si="5">P19-A19</f>
        <v>0.26886481578516841</v>
      </c>
      <c r="X19" s="5">
        <f t="shared" si="5"/>
        <v>-4.1799826358469155E-2</v>
      </c>
      <c r="Y19" s="5">
        <f t="shared" si="2"/>
        <v>5.6534663286641362E-2</v>
      </c>
      <c r="Z19" s="5">
        <f t="shared" ref="Z19:AA34" si="6">S19-D19</f>
        <v>0.20884017216173456</v>
      </c>
      <c r="AA19" s="5">
        <f t="shared" si="6"/>
        <v>8.5018689479413739E-5</v>
      </c>
      <c r="AB19" s="5">
        <f t="shared" si="3"/>
        <v>0.16125508707752179</v>
      </c>
      <c r="AC19" s="8">
        <f t="shared" ref="AC19:AE34" si="7">AVERAGE(ABS(W19),ABS(Z19))</f>
        <v>0.23885249397345149</v>
      </c>
      <c r="AD19" s="8">
        <f t="shared" si="7"/>
        <v>2.0942422523974283E-2</v>
      </c>
      <c r="AE19" s="8">
        <f t="shared" si="7"/>
        <v>0.10889487518208157</v>
      </c>
    </row>
    <row r="20" spans="1:31" x14ac:dyDescent="0.25">
      <c r="A20" s="5">
        <f>'Proximal Validation'!A20</f>
        <v>1.4424756030000001</v>
      </c>
      <c r="B20" s="5">
        <f>'Proximal Validation'!B20</f>
        <v>0.16</v>
      </c>
      <c r="C20" s="5">
        <f>'Proximal Validation'!C20</f>
        <v>0.78539999999999999</v>
      </c>
      <c r="D20" s="5">
        <f>'Proximal Validation'!D20</f>
        <v>1.1597422298</v>
      </c>
      <c r="E20" s="5">
        <f>'Proximal Validation'!E20</f>
        <v>0.04</v>
      </c>
      <c r="F20" s="5">
        <f>'Proximal Validation'!F20</f>
        <v>2.3561999999999999</v>
      </c>
      <c r="G20" s="5">
        <f>'Proximal Validation'!G20</f>
        <v>4.8092587324</v>
      </c>
      <c r="H20" s="5">
        <f>'Proximal Validation'!H20</f>
        <v>0.4784433911</v>
      </c>
      <c r="I20" s="5">
        <f>'Proximal Validation'!I20</f>
        <v>4.3446054411999997</v>
      </c>
      <c r="J20" s="5">
        <f>'Proximal Validation'!J20</f>
        <v>1.31220342591405E-2</v>
      </c>
      <c r="K20" s="5">
        <f>'Proximal Validation'!K20</f>
        <v>-0.20049199104309079</v>
      </c>
      <c r="L20" s="5">
        <f>'Proximal Validation'!L20</f>
        <v>0.11521145343780499</v>
      </c>
      <c r="M20" s="5">
        <f>'Proximal Validation'!M20</f>
        <v>-0.53803932666778598</v>
      </c>
      <c r="N20" s="5">
        <f>'Proximal Validation'!N20</f>
        <v>-0.11040961742401099</v>
      </c>
      <c r="O20" s="5">
        <f>'Proximal Validation'!O20</f>
        <v>1.7156174182891799</v>
      </c>
      <c r="P20" s="5">
        <v>1.1045890187180487</v>
      </c>
      <c r="Q20" s="5">
        <v>0.19991379948755819</v>
      </c>
      <c r="R20" s="5">
        <v>0.61635741381310671</v>
      </c>
      <c r="S20" s="5">
        <v>1.3949544714785307</v>
      </c>
      <c r="T20" s="5">
        <v>6.1932534791147423E-2</v>
      </c>
      <c r="U20" s="5">
        <v>2.1299652086136902</v>
      </c>
      <c r="V20" s="13">
        <v>4.6749622564557745E-6</v>
      </c>
      <c r="W20" s="5">
        <f t="shared" si="5"/>
        <v>-0.3378865842819514</v>
      </c>
      <c r="X20" s="5">
        <f t="shared" si="5"/>
        <v>3.9913799487558188E-2</v>
      </c>
      <c r="Y20" s="5">
        <f t="shared" si="2"/>
        <v>0.16904258618689327</v>
      </c>
      <c r="Z20" s="5">
        <f t="shared" si="6"/>
        <v>0.23521224167853072</v>
      </c>
      <c r="AA20" s="5">
        <f t="shared" si="6"/>
        <v>2.1932534791147422E-2</v>
      </c>
      <c r="AB20" s="5">
        <f t="shared" si="3"/>
        <v>0.22623479138630964</v>
      </c>
      <c r="AC20" s="8">
        <f t="shared" si="7"/>
        <v>0.28654941298024106</v>
      </c>
      <c r="AD20" s="8">
        <f t="shared" si="7"/>
        <v>3.0923167139352805E-2</v>
      </c>
      <c r="AE20" s="8">
        <f t="shared" si="7"/>
        <v>0.19763868878660146</v>
      </c>
    </row>
    <row r="21" spans="1:31" x14ac:dyDescent="0.25">
      <c r="A21" s="5">
        <f>'Proximal Validation'!A21</f>
        <v>1.3085202701</v>
      </c>
      <c r="B21" s="5">
        <f>'Proximal Validation'!B21</f>
        <v>0.14000000000000001</v>
      </c>
      <c r="C21" s="5">
        <f>'Proximal Validation'!C21</f>
        <v>3.927</v>
      </c>
      <c r="D21" s="5">
        <f>'Proximal Validation'!D21</f>
        <v>1.4295469448</v>
      </c>
      <c r="E21" s="5">
        <f>'Proximal Validation'!E21</f>
        <v>0.02</v>
      </c>
      <c r="F21" s="5">
        <f>'Proximal Validation'!F21</f>
        <v>0</v>
      </c>
      <c r="G21" s="5">
        <f>'Proximal Validation'!G21</f>
        <v>4.5210753759999998</v>
      </c>
      <c r="H21" s="5">
        <f>'Proximal Validation'!H21</f>
        <v>3.0172330613999998</v>
      </c>
      <c r="I21" s="5">
        <f>'Proximal Validation'!I21</f>
        <v>0.83361274470000002</v>
      </c>
      <c r="J21" s="5">
        <f>'Proximal Validation'!J21</f>
        <v>-5.1512643694877598E-3</v>
      </c>
      <c r="K21" s="5">
        <f>'Proximal Validation'!K21</f>
        <v>0.13977229416370424</v>
      </c>
      <c r="L21" s="5">
        <f>'Proximal Validation'!L21</f>
        <v>-9.0497039407491653E-2</v>
      </c>
      <c r="M21" s="5">
        <f>'Proximal Validation'!M21</f>
        <v>-0.203321859240532</v>
      </c>
      <c r="N21" s="5">
        <f>'Proximal Validation'!N21</f>
        <v>0.647000432014465</v>
      </c>
      <c r="O21" s="5">
        <f>'Proximal Validation'!O21</f>
        <v>-0.89956176280975297</v>
      </c>
      <c r="P21" s="5">
        <v>0.92301160183800957</v>
      </c>
      <c r="Q21" s="5">
        <v>0.1941708980929481</v>
      </c>
      <c r="R21" s="5">
        <v>3.9581519290523137</v>
      </c>
      <c r="S21" s="5">
        <v>1.2035658026583393</v>
      </c>
      <c r="T21" s="5">
        <v>2.00045165903605E-2</v>
      </c>
      <c r="U21" s="5">
        <v>6.0602955473477396</v>
      </c>
      <c r="V21" s="13">
        <v>1.648217851941965E-6</v>
      </c>
      <c r="W21" s="5">
        <f t="shared" si="5"/>
        <v>-0.38550866826199048</v>
      </c>
      <c r="X21" s="5">
        <f t="shared" si="5"/>
        <v>5.4170898092948089E-2</v>
      </c>
      <c r="Y21" s="5">
        <f t="shared" si="2"/>
        <v>3.1151929052313676E-2</v>
      </c>
      <c r="Z21" s="5">
        <f t="shared" si="6"/>
        <v>-0.22598114214166065</v>
      </c>
      <c r="AA21" s="5">
        <f t="shared" si="6"/>
        <v>4.5165903604996172E-6</v>
      </c>
      <c r="AB21" s="5">
        <f t="shared" si="3"/>
        <v>0.22288975983184667</v>
      </c>
      <c r="AC21" s="8">
        <f t="shared" si="7"/>
        <v>0.30574490520182557</v>
      </c>
      <c r="AD21" s="8">
        <f t="shared" si="7"/>
        <v>2.7087707341654294E-2</v>
      </c>
      <c r="AE21" s="8">
        <f t="shared" si="7"/>
        <v>0.12702084444208017</v>
      </c>
    </row>
    <row r="22" spans="1:31" x14ac:dyDescent="0.25">
      <c r="A22" s="5">
        <f>'Proximal Validation'!A22</f>
        <v>1.0278031490999999</v>
      </c>
      <c r="B22" s="5">
        <f>'Proximal Validation'!B22</f>
        <v>0.14000000000000001</v>
      </c>
      <c r="C22" s="5">
        <f>'Proximal Validation'!C22</f>
        <v>0</v>
      </c>
      <c r="D22" s="5">
        <f>'Proximal Validation'!D22</f>
        <v>0.3286386073</v>
      </c>
      <c r="E22" s="5">
        <f>'Proximal Validation'!E22</f>
        <v>0.04</v>
      </c>
      <c r="F22" s="5">
        <f>'Proximal Validation'!F22</f>
        <v>2.3561999999999999</v>
      </c>
      <c r="G22" s="5">
        <f>'Proximal Validation'!G22</f>
        <v>2.4776605121999999</v>
      </c>
      <c r="H22" s="5">
        <f>'Proximal Validation'!H22</f>
        <v>0.70416387319999996</v>
      </c>
      <c r="I22" s="5">
        <f>'Proximal Validation'!I22</f>
        <v>1.306033752</v>
      </c>
      <c r="J22" s="5">
        <f>'Proximal Validation'!J22</f>
        <v>-9.1127436608076096E-3</v>
      </c>
      <c r="K22" s="5">
        <f>'Proximal Validation'!K22</f>
        <v>-1.3350144028663712E-3</v>
      </c>
      <c r="L22" s="5">
        <f>'Proximal Validation'!L22</f>
        <v>0.14257132291793856</v>
      </c>
      <c r="M22" s="5">
        <f>'Proximal Validation'!M22</f>
        <v>-0.40405035018920898</v>
      </c>
      <c r="N22" s="5">
        <f>'Proximal Validation'!N22</f>
        <v>0.56010144948959395</v>
      </c>
      <c r="O22" s="5">
        <f>'Proximal Validation'!O22</f>
        <v>0.224302783608437</v>
      </c>
      <c r="P22" s="5">
        <v>0.48090498932508163</v>
      </c>
      <c r="Q22" s="5">
        <v>0.19999996238467033</v>
      </c>
      <c r="R22" s="5">
        <v>2.6225318753985102E-14</v>
      </c>
      <c r="S22" s="5">
        <v>0.30000000000002219</v>
      </c>
      <c r="T22" s="5">
        <v>0.15301047805620005</v>
      </c>
      <c r="U22" s="5">
        <v>0.19576491022415438</v>
      </c>
      <c r="V22" s="13">
        <v>1.0101810217126486E-4</v>
      </c>
      <c r="W22" s="5">
        <f t="shared" si="5"/>
        <v>-0.54689815977491829</v>
      </c>
      <c r="X22" s="5">
        <f t="shared" si="5"/>
        <v>5.9999962384670313E-2</v>
      </c>
      <c r="Y22" s="5">
        <f t="shared" si="2"/>
        <v>2.6225318753985102E-14</v>
      </c>
      <c r="Z22" s="5">
        <f t="shared" si="6"/>
        <v>-2.8638607299977803E-2</v>
      </c>
      <c r="AA22" s="5">
        <f t="shared" si="6"/>
        <v>0.11301047805620004</v>
      </c>
      <c r="AB22" s="5">
        <f t="shared" si="3"/>
        <v>2.1604350897758455</v>
      </c>
      <c r="AC22" s="8">
        <f t="shared" si="7"/>
        <v>0.28776838353744805</v>
      </c>
      <c r="AD22" s="8">
        <f t="shared" si="7"/>
        <v>8.6505220220435178E-2</v>
      </c>
      <c r="AE22" s="8">
        <f t="shared" si="7"/>
        <v>1.0802175448879359</v>
      </c>
    </row>
    <row r="23" spans="1:31" x14ac:dyDescent="0.25">
      <c r="A23" s="5">
        <f>'Proximal Validation'!A23</f>
        <v>0.8908774062</v>
      </c>
      <c r="B23" s="5">
        <f>'Proximal Validation'!B23</f>
        <v>0.18</v>
      </c>
      <c r="C23" s="5">
        <f>'Proximal Validation'!C23</f>
        <v>3.1415999999999999</v>
      </c>
      <c r="D23" s="5">
        <f>'Proximal Validation'!D23</f>
        <v>0.88440675189999995</v>
      </c>
      <c r="E23" s="5">
        <f>'Proximal Validation'!E23</f>
        <v>0.08</v>
      </c>
      <c r="F23" s="5">
        <f>'Proximal Validation'!F23</f>
        <v>3.927</v>
      </c>
      <c r="G23" s="5">
        <f>'Proximal Validation'!G23</f>
        <v>0.48462861940000002</v>
      </c>
      <c r="H23" s="5">
        <f>'Proximal Validation'!H23</f>
        <v>1.6897568487000001</v>
      </c>
      <c r="I23" s="5">
        <f>'Proximal Validation'!I23</f>
        <v>3.1701200912999998</v>
      </c>
      <c r="J23" s="5">
        <f>'Proximal Validation'!J23</f>
        <v>-1.0968123562634E-2</v>
      </c>
      <c r="K23" s="5">
        <f>'Proximal Validation'!K23</f>
        <v>4.6224179565906513E-2</v>
      </c>
      <c r="L23" s="5">
        <f>'Proximal Validation'!L23</f>
        <v>-0.21030587911605858</v>
      </c>
      <c r="M23" s="5">
        <f>'Proximal Validation'!M23</f>
        <v>-0.31008237600326499</v>
      </c>
      <c r="N23" s="5">
        <f>'Proximal Validation'!N23</f>
        <v>-1.3964996337890601</v>
      </c>
      <c r="O23" s="5">
        <f>'Proximal Validation'!O23</f>
        <v>-0.54938417673110995</v>
      </c>
      <c r="P23" s="5">
        <v>0.87050360827898188</v>
      </c>
      <c r="Q23" s="5">
        <v>0.19666050357236664</v>
      </c>
      <c r="R23" s="5">
        <v>3.2087249572606189</v>
      </c>
      <c r="S23" s="5">
        <v>0.83969355063694762</v>
      </c>
      <c r="T23" s="5">
        <v>6.9354145163473407E-2</v>
      </c>
      <c r="U23" s="5">
        <v>3.8592652071203353</v>
      </c>
      <c r="V23" s="13">
        <v>2.0727648082908517E-7</v>
      </c>
      <c r="W23" s="5">
        <f t="shared" si="5"/>
        <v>-2.0373797921018122E-2</v>
      </c>
      <c r="X23" s="5">
        <f t="shared" si="5"/>
        <v>1.6660503572366647E-2</v>
      </c>
      <c r="Y23" s="5">
        <f t="shared" si="2"/>
        <v>6.7124957260618956E-2</v>
      </c>
      <c r="Z23" s="5">
        <f t="shared" si="6"/>
        <v>-4.4713201263052338E-2</v>
      </c>
      <c r="AA23" s="5">
        <f t="shared" si="6"/>
        <v>-1.0645854836526594E-2</v>
      </c>
      <c r="AB23" s="5">
        <f t="shared" si="3"/>
        <v>6.7734792879664774E-2</v>
      </c>
      <c r="AC23" s="8">
        <f t="shared" si="7"/>
        <v>3.254349959203523E-2</v>
      </c>
      <c r="AD23" s="8">
        <f t="shared" si="7"/>
        <v>1.3653179204446621E-2</v>
      </c>
      <c r="AE23" s="8">
        <f t="shared" si="7"/>
        <v>6.7429875070141865E-2</v>
      </c>
    </row>
    <row r="24" spans="1:31" x14ac:dyDescent="0.25">
      <c r="A24" s="5">
        <f>'Proximal Validation'!A24</f>
        <v>1.2597568109999999</v>
      </c>
      <c r="B24" s="5">
        <f>'Proximal Validation'!B24</f>
        <v>0.16</v>
      </c>
      <c r="C24" s="5">
        <f>'Proximal Validation'!C24</f>
        <v>0</v>
      </c>
      <c r="D24" s="5">
        <f>'Proximal Validation'!D24</f>
        <v>0.58841219170000003</v>
      </c>
      <c r="E24" s="5">
        <f>'Proximal Validation'!E24</f>
        <v>0.06</v>
      </c>
      <c r="F24" s="5">
        <f>'Proximal Validation'!F24</f>
        <v>5.4977999999999998</v>
      </c>
      <c r="G24" s="5">
        <f>'Proximal Validation'!G24</f>
        <v>3.9855186287</v>
      </c>
      <c r="H24" s="5">
        <f>'Proximal Validation'!H24</f>
        <v>1.0426876676000001</v>
      </c>
      <c r="I24" s="5">
        <f>'Proximal Validation'!I24</f>
        <v>0.31561411</v>
      </c>
      <c r="J24" s="5">
        <f>'Proximal Validation'!J24</f>
        <v>-1.31122805178165E-2</v>
      </c>
      <c r="K24" s="5">
        <f>'Proximal Validation'!K24</f>
        <v>3.2584191262721982E-2</v>
      </c>
      <c r="L24" s="5">
        <f>'Proximal Validation'!L24</f>
        <v>0.23728636741638198</v>
      </c>
      <c r="M24" s="5">
        <f>'Proximal Validation'!M24</f>
        <v>-0.49038222432136502</v>
      </c>
      <c r="N24" s="5">
        <f>'Proximal Validation'!N24</f>
        <v>1.3875218629837001</v>
      </c>
      <c r="O24" s="5">
        <f>'Proximal Validation'!O24</f>
        <v>-0.45694583654403698</v>
      </c>
      <c r="P24" s="5">
        <v>0.82838744679147047</v>
      </c>
      <c r="Q24" s="5">
        <v>0.15137419583235695</v>
      </c>
      <c r="R24" s="5">
        <v>2.220840387067096E-14</v>
      </c>
      <c r="S24" s="5">
        <v>0.74116528400378534</v>
      </c>
      <c r="T24" s="5">
        <v>0.15131158754903209</v>
      </c>
      <c r="U24" s="5">
        <v>2.1418633384095031E-12</v>
      </c>
      <c r="V24" s="13">
        <v>1.1138269079821088E-3</v>
      </c>
      <c r="W24" s="5">
        <f t="shared" si="5"/>
        <v>-0.43136936420852945</v>
      </c>
      <c r="X24" s="5">
        <f t="shared" si="5"/>
        <v>-8.625804167643053E-3</v>
      </c>
      <c r="Y24" s="5">
        <f t="shared" si="2"/>
        <v>2.220840387067096E-14</v>
      </c>
      <c r="Z24" s="5">
        <f t="shared" si="6"/>
        <v>0.15275309230378531</v>
      </c>
      <c r="AA24" s="5">
        <f t="shared" si="6"/>
        <v>9.1311587549032097E-2</v>
      </c>
      <c r="AB24" s="5">
        <f t="shared" si="3"/>
        <v>0.78538530718172872</v>
      </c>
      <c r="AC24" s="8">
        <f t="shared" si="7"/>
        <v>0.29206122825615738</v>
      </c>
      <c r="AD24" s="8">
        <f t="shared" si="7"/>
        <v>4.9968695858337575E-2</v>
      </c>
      <c r="AE24" s="8">
        <f t="shared" si="7"/>
        <v>0.39269265359087546</v>
      </c>
    </row>
    <row r="25" spans="1:31" x14ac:dyDescent="0.25">
      <c r="A25" s="5">
        <f>'Proximal Validation'!A25</f>
        <v>0.65858340790000003</v>
      </c>
      <c r="B25" s="5">
        <f>'Proximal Validation'!B25</f>
        <v>0.18</v>
      </c>
      <c r="C25" s="5">
        <f>'Proximal Validation'!C25</f>
        <v>0</v>
      </c>
      <c r="D25" s="5">
        <f>'Proximal Validation'!D25</f>
        <v>0.498698221</v>
      </c>
      <c r="E25" s="5">
        <f>'Proximal Validation'!E25</f>
        <v>0.08</v>
      </c>
      <c r="F25" s="5">
        <f>'Proximal Validation'!F25</f>
        <v>0.78539999999999999</v>
      </c>
      <c r="G25" s="5">
        <f>'Proximal Validation'!G25</f>
        <v>4.9301628920000002</v>
      </c>
      <c r="H25" s="5">
        <f>'Proximal Validation'!H25</f>
        <v>1.8520278541999999</v>
      </c>
      <c r="I25" s="5">
        <f>'Proximal Validation'!I25</f>
        <v>4.6646910371999999</v>
      </c>
      <c r="J25" s="5">
        <f>'Proximal Validation'!J25</f>
        <v>5.6948820129036903E-3</v>
      </c>
      <c r="K25" s="5">
        <f>'Proximal Validation'!K25</f>
        <v>-3.9132168591022504E-2</v>
      </c>
      <c r="L25" s="5">
        <f>'Proximal Validation'!L25</f>
        <v>0.13971699118614192</v>
      </c>
      <c r="M25" s="5">
        <f>'Proximal Validation'!M25</f>
        <v>-0.225714981555939</v>
      </c>
      <c r="N25" s="5">
        <f>'Proximal Validation'!N25</f>
        <v>0.81510567665100098</v>
      </c>
      <c r="O25" s="5">
        <f>'Proximal Validation'!O25</f>
        <v>0.40455636382103</v>
      </c>
      <c r="P25" s="5">
        <v>0.64559145856919631</v>
      </c>
      <c r="Q25" s="5">
        <v>0.19552602860819127</v>
      </c>
      <c r="R25" s="5">
        <v>8.7275395433398642E-2</v>
      </c>
      <c r="S25" s="5">
        <v>0.44024543119502951</v>
      </c>
      <c r="T25" s="5">
        <v>6.7544667779099746E-2</v>
      </c>
      <c r="U25" s="5">
        <v>0.78994542814582946</v>
      </c>
      <c r="V25" s="13">
        <v>1.4965838623307936E-9</v>
      </c>
      <c r="W25" s="5">
        <f t="shared" si="5"/>
        <v>-1.299194933080372E-2</v>
      </c>
      <c r="X25" s="5">
        <f t="shared" si="5"/>
        <v>1.5526028608191272E-2</v>
      </c>
      <c r="Y25" s="5">
        <f t="shared" si="2"/>
        <v>8.7275395433398642E-2</v>
      </c>
      <c r="Z25" s="5">
        <f t="shared" si="6"/>
        <v>-5.8452789804970484E-2</v>
      </c>
      <c r="AA25" s="5">
        <f t="shared" si="6"/>
        <v>-1.2455332220900256E-2</v>
      </c>
      <c r="AB25" s="5">
        <f t="shared" si="3"/>
        <v>4.5454281458294776E-3</v>
      </c>
      <c r="AC25" s="8">
        <f t="shared" si="7"/>
        <v>3.5722369567887102E-2</v>
      </c>
      <c r="AD25" s="8">
        <f t="shared" si="7"/>
        <v>1.3990680414545764E-2</v>
      </c>
      <c r="AE25" s="8">
        <f t="shared" si="7"/>
        <v>4.591041178961406E-2</v>
      </c>
    </row>
    <row r="26" spans="1:31" x14ac:dyDescent="0.25">
      <c r="A26" s="5">
        <f>'Proximal Validation'!A26</f>
        <v>0.55032038400000005</v>
      </c>
      <c r="B26" s="5">
        <f>'Proximal Validation'!B26</f>
        <v>0.16</v>
      </c>
      <c r="C26" s="5">
        <f>'Proximal Validation'!C26</f>
        <v>3.1415999999999999</v>
      </c>
      <c r="D26" s="5">
        <f>'Proximal Validation'!D26</f>
        <v>1.4487418581</v>
      </c>
      <c r="E26" s="5">
        <f>'Proximal Validation'!E26</f>
        <v>0.08</v>
      </c>
      <c r="F26" s="5">
        <f>'Proximal Validation'!F26</f>
        <v>2.3561999999999999</v>
      </c>
      <c r="G26" s="5">
        <f>'Proximal Validation'!G26</f>
        <v>4.7175867132000002</v>
      </c>
      <c r="H26" s="5">
        <f>'Proximal Validation'!H26</f>
        <v>1.3012665307</v>
      </c>
      <c r="I26" s="5">
        <f>'Proximal Validation'!I26</f>
        <v>3.3668845907999998</v>
      </c>
      <c r="J26" s="5">
        <f>'Proximal Validation'!J26</f>
        <v>-3.3003846183419202E-3</v>
      </c>
      <c r="K26" s="5">
        <f>'Proximal Validation'!K26</f>
        <v>-9.0392925143242306E-2</v>
      </c>
      <c r="L26" s="5">
        <f>'Proximal Validation'!L26</f>
        <v>-0.1809552919864662</v>
      </c>
      <c r="M26" s="5">
        <f>'Proximal Validation'!M26</f>
        <v>-9.5655664801597595E-2</v>
      </c>
      <c r="N26" s="5">
        <f>'Proximal Validation'!N26</f>
        <v>-1.52476859092712</v>
      </c>
      <c r="O26" s="5">
        <f>'Proximal Validation'!O26</f>
        <v>1.0964374542236299</v>
      </c>
      <c r="P26" s="5">
        <v>0.72319946552329029</v>
      </c>
      <c r="Q26" s="5">
        <v>0.14045886806106012</v>
      </c>
      <c r="R26" s="5">
        <v>3.384739606136709</v>
      </c>
      <c r="S26" s="5">
        <v>1.4999673175763553</v>
      </c>
      <c r="T26" s="5">
        <v>8.8476434123685388E-2</v>
      </c>
      <c r="U26" s="5">
        <v>2.1757902608882187</v>
      </c>
      <c r="V26" s="13">
        <v>5.0221430357750403E-6</v>
      </c>
      <c r="W26" s="5">
        <f t="shared" si="5"/>
        <v>0.17287908152329023</v>
      </c>
      <c r="X26" s="5">
        <f t="shared" si="5"/>
        <v>-1.9541131938939887E-2</v>
      </c>
      <c r="Y26" s="5">
        <f t="shared" si="2"/>
        <v>0.24313960613670904</v>
      </c>
      <c r="Z26" s="5">
        <f t="shared" si="6"/>
        <v>5.1225459476355262E-2</v>
      </c>
      <c r="AA26" s="5">
        <f t="shared" si="6"/>
        <v>8.4764341236853863E-3</v>
      </c>
      <c r="AB26" s="5">
        <f t="shared" si="3"/>
        <v>0.18040973911178115</v>
      </c>
      <c r="AC26" s="8">
        <f t="shared" si="7"/>
        <v>0.11205227049982275</v>
      </c>
      <c r="AD26" s="8">
        <f t="shared" si="7"/>
        <v>1.4008783031312637E-2</v>
      </c>
      <c r="AE26" s="8">
        <f t="shared" si="7"/>
        <v>0.2117746726242451</v>
      </c>
    </row>
    <row r="27" spans="1:31" x14ac:dyDescent="0.25">
      <c r="A27" s="5">
        <f>'Proximal Validation'!A27</f>
        <v>1.2531062278</v>
      </c>
      <c r="B27" s="5">
        <f>'Proximal Validation'!B27</f>
        <v>0.18</v>
      </c>
      <c r="C27" s="5">
        <f>'Proximal Validation'!C27</f>
        <v>5.4977999999999998</v>
      </c>
      <c r="D27" s="5">
        <f>'Proximal Validation'!D27</f>
        <v>0.4702401397</v>
      </c>
      <c r="E27" s="5">
        <f>'Proximal Validation'!E27</f>
        <v>0.1</v>
      </c>
      <c r="F27" s="5">
        <f>'Proximal Validation'!F27</f>
        <v>5.4977999999999998</v>
      </c>
      <c r="G27" s="5">
        <f>'Proximal Validation'!G27</f>
        <v>0.1483911762</v>
      </c>
      <c r="H27" s="5">
        <f>'Proximal Validation'!H27</f>
        <v>0.2167359935</v>
      </c>
      <c r="I27" s="5">
        <f>'Proximal Validation'!I27</f>
        <v>4.9349358513999997</v>
      </c>
      <c r="J27" s="5">
        <f>'Proximal Validation'!J27</f>
        <v>2.7674149721860899E-2</v>
      </c>
      <c r="K27" s="5">
        <f>'Proximal Validation'!K27</f>
        <v>0.18163369894027664</v>
      </c>
      <c r="L27" s="5">
        <f>'Proximal Validation'!L27</f>
        <v>0.16960839986801107</v>
      </c>
      <c r="M27" s="5">
        <f>'Proximal Validation'!M27</f>
        <v>-0.92870730161666903</v>
      </c>
      <c r="N27" s="5">
        <f>'Proximal Validation'!N27</f>
        <v>0.96827960014343295</v>
      </c>
      <c r="O27" s="5">
        <f>'Proximal Validation'!O27</f>
        <v>-0.92081308364868197</v>
      </c>
      <c r="P27" s="5">
        <v>1.1043460007121064</v>
      </c>
      <c r="Q27" s="5">
        <v>0.15928019165179297</v>
      </c>
      <c r="R27" s="5">
        <v>1.9245501183041826E-2</v>
      </c>
      <c r="S27" s="5">
        <v>1.3321341025774305</v>
      </c>
      <c r="T27" s="5">
        <v>0.15539917184145893</v>
      </c>
      <c r="U27" s="5">
        <v>4.7750140748371441</v>
      </c>
      <c r="V27" s="13">
        <v>7.0404295175842052E-6</v>
      </c>
      <c r="W27" s="5">
        <f t="shared" si="5"/>
        <v>-0.1487602270878936</v>
      </c>
      <c r="X27" s="5">
        <f t="shared" si="5"/>
        <v>-2.0719808348207025E-2</v>
      </c>
      <c r="Y27" s="5">
        <f t="shared" si="2"/>
        <v>0.8046308083626279</v>
      </c>
      <c r="Z27" s="5">
        <f t="shared" si="6"/>
        <v>0.86189396287743048</v>
      </c>
      <c r="AA27" s="5">
        <f t="shared" si="6"/>
        <v>5.5399171841458927E-2</v>
      </c>
      <c r="AB27" s="5">
        <f t="shared" si="3"/>
        <v>0.72278592516285567</v>
      </c>
      <c r="AC27" s="8">
        <f t="shared" si="7"/>
        <v>0.50532709498266204</v>
      </c>
      <c r="AD27" s="8">
        <f t="shared" si="7"/>
        <v>3.8059490094832976E-2</v>
      </c>
      <c r="AE27" s="8">
        <f t="shared" si="7"/>
        <v>0.76370836676274179</v>
      </c>
    </row>
    <row r="28" spans="1:31" x14ac:dyDescent="0.25">
      <c r="A28" s="5">
        <f>'Proximal Validation'!A28</f>
        <v>0.37674236639999997</v>
      </c>
      <c r="B28" s="5">
        <f>'Proximal Validation'!B28</f>
        <v>0.12</v>
      </c>
      <c r="C28" s="5">
        <f>'Proximal Validation'!C28</f>
        <v>5.4977999999999998</v>
      </c>
      <c r="D28" s="5">
        <f>'Proximal Validation'!D28</f>
        <v>0.55884916829999998</v>
      </c>
      <c r="E28" s="5">
        <f>'Proximal Validation'!E28</f>
        <v>0.04</v>
      </c>
      <c r="F28" s="5">
        <f>'Proximal Validation'!F28</f>
        <v>5.4977999999999998</v>
      </c>
      <c r="G28" s="5">
        <f>'Proximal Validation'!G28</f>
        <v>2.7463764360999998</v>
      </c>
      <c r="H28" s="5">
        <f>'Proximal Validation'!H28</f>
        <v>4.0783358151</v>
      </c>
      <c r="I28" s="5">
        <f>'Proximal Validation'!I28</f>
        <v>2.4827351898000001</v>
      </c>
      <c r="J28" s="5">
        <f>'Proximal Validation'!J28</f>
        <v>-3.6156550049781799E-4</v>
      </c>
      <c r="K28" s="5">
        <f>'Proximal Validation'!K28</f>
        <v>4.1398868262767785E-2</v>
      </c>
      <c r="L28" s="5">
        <f>'Proximal Validation'!L28</f>
        <v>4.661006897687911E-2</v>
      </c>
      <c r="M28" s="5">
        <f>'Proximal Validation'!M28</f>
        <v>-5.9548625722527504E-3</v>
      </c>
      <c r="N28" s="5">
        <f>'Proximal Validation'!N28</f>
        <v>0.58329415321350098</v>
      </c>
      <c r="O28" s="5">
        <f>'Proximal Validation'!O28</f>
        <v>-0.53506898880004905</v>
      </c>
      <c r="P28" s="5">
        <v>0.49104415408279845</v>
      </c>
      <c r="Q28" s="5">
        <v>7.5660549064634847E-2</v>
      </c>
      <c r="R28" s="5">
        <v>0.32865901247834839</v>
      </c>
      <c r="S28" s="5">
        <v>0.78710356090236044</v>
      </c>
      <c r="T28" s="5">
        <v>7.4703337929851621E-2</v>
      </c>
      <c r="U28" s="5">
        <v>4.9242375035804731</v>
      </c>
      <c r="V28" s="13">
        <v>3.175723535699485E-8</v>
      </c>
      <c r="W28" s="5">
        <f t="shared" si="5"/>
        <v>0.11430178768279847</v>
      </c>
      <c r="X28" s="5">
        <f t="shared" si="5"/>
        <v>-4.4339450935365149E-2</v>
      </c>
      <c r="Y28" s="5">
        <f t="shared" si="2"/>
        <v>1.1140443196579346</v>
      </c>
      <c r="Z28" s="5">
        <f t="shared" si="6"/>
        <v>0.22825439260236047</v>
      </c>
      <c r="AA28" s="5">
        <f t="shared" si="6"/>
        <v>3.470333792985162E-2</v>
      </c>
      <c r="AB28" s="5">
        <f t="shared" si="3"/>
        <v>0.57356249641952672</v>
      </c>
      <c r="AC28" s="8">
        <f t="shared" si="7"/>
        <v>0.17127809014257947</v>
      </c>
      <c r="AD28" s="8">
        <f t="shared" si="7"/>
        <v>3.9521394432608381E-2</v>
      </c>
      <c r="AE28" s="8">
        <f t="shared" si="7"/>
        <v>0.84380340803873066</v>
      </c>
    </row>
    <row r="29" spans="1:31" x14ac:dyDescent="0.25">
      <c r="A29" s="5">
        <f>'Proximal Validation'!A29</f>
        <v>0.99744538530000004</v>
      </c>
      <c r="B29" s="5">
        <f>'Proximal Validation'!B29</f>
        <v>0.12</v>
      </c>
      <c r="C29" s="5">
        <f>'Proximal Validation'!C29</f>
        <v>2.3561999999999999</v>
      </c>
      <c r="D29" s="5">
        <f>'Proximal Validation'!D29</f>
        <v>0.63256510880000005</v>
      </c>
      <c r="E29" s="5">
        <f>'Proximal Validation'!E29</f>
        <v>0.04</v>
      </c>
      <c r="F29" s="5">
        <f>'Proximal Validation'!F29</f>
        <v>4.7123999999999997</v>
      </c>
      <c r="G29" s="5">
        <f>'Proximal Validation'!G29</f>
        <v>1.0163068775999999</v>
      </c>
      <c r="H29" s="5">
        <f>'Proximal Validation'!H29</f>
        <v>2.5468444695999999</v>
      </c>
      <c r="I29" s="5">
        <f>'Proximal Validation'!I29</f>
        <v>0.1214735909</v>
      </c>
      <c r="J29" s="5">
        <f>'Proximal Validation'!J29</f>
        <v>-7.3622260242700598E-4</v>
      </c>
      <c r="K29" s="5">
        <f>'Proximal Validation'!K29</f>
        <v>-5.9271394908428213E-2</v>
      </c>
      <c r="L29" s="5">
        <f>'Proximal Validation'!L29</f>
        <v>-8.9796378016472195E-2</v>
      </c>
      <c r="M29" s="5">
        <f>'Proximal Validation'!M29</f>
        <v>-0.13119469583034499</v>
      </c>
      <c r="N29" s="5">
        <f>'Proximal Validation'!N29</f>
        <v>-0.67694950103759799</v>
      </c>
      <c r="O29" s="5">
        <f>'Proximal Validation'!O29</f>
        <v>-2.6808261871337901E-2</v>
      </c>
      <c r="P29" s="5">
        <v>0.62469313223880218</v>
      </c>
      <c r="Q29" s="5">
        <v>0.1999999452121097</v>
      </c>
      <c r="R29" s="5">
        <v>1.7885974766124566</v>
      </c>
      <c r="S29" s="5">
        <v>0.78827310211613699</v>
      </c>
      <c r="T29" s="5">
        <v>0.10701414291012043</v>
      </c>
      <c r="U29" s="5">
        <v>3.8899078934757769</v>
      </c>
      <c r="V29" s="13">
        <v>1.1002901627604568E-6</v>
      </c>
      <c r="W29" s="5">
        <f t="shared" si="5"/>
        <v>-0.37275225306119786</v>
      </c>
      <c r="X29" s="5">
        <f t="shared" si="5"/>
        <v>7.9999945212109708E-2</v>
      </c>
      <c r="Y29" s="5">
        <f t="shared" si="2"/>
        <v>0.56760252338754325</v>
      </c>
      <c r="Z29" s="5">
        <f t="shared" si="6"/>
        <v>0.15570799331613694</v>
      </c>
      <c r="AA29" s="5">
        <f t="shared" si="6"/>
        <v>6.7014142910120422E-2</v>
      </c>
      <c r="AB29" s="5">
        <f t="shared" si="3"/>
        <v>0.82249210652422278</v>
      </c>
      <c r="AC29" s="8">
        <f t="shared" si="7"/>
        <v>0.2642301231886674</v>
      </c>
      <c r="AD29" s="8">
        <f t="shared" si="7"/>
        <v>7.3507044061115065E-2</v>
      </c>
      <c r="AE29" s="8">
        <f t="shared" si="7"/>
        <v>0.69504731495588301</v>
      </c>
    </row>
    <row r="30" spans="1:31" x14ac:dyDescent="0.25">
      <c r="A30" s="5">
        <f>'Proximal Validation'!A30</f>
        <v>0.91958396450000002</v>
      </c>
      <c r="B30" s="5">
        <f>'Proximal Validation'!B30</f>
        <v>0.18</v>
      </c>
      <c r="C30" s="5">
        <f>'Proximal Validation'!C30</f>
        <v>0</v>
      </c>
      <c r="D30" s="5">
        <f>'Proximal Validation'!D30</f>
        <v>1.2327944816</v>
      </c>
      <c r="E30" s="5">
        <f>'Proximal Validation'!E30</f>
        <v>0.1</v>
      </c>
      <c r="F30" s="5">
        <f>'Proximal Validation'!F30</f>
        <v>4.7123999999999997</v>
      </c>
      <c r="G30" s="5">
        <f>'Proximal Validation'!G30</f>
        <v>3.7350994551999999</v>
      </c>
      <c r="H30" s="5">
        <f>'Proximal Validation'!H30</f>
        <v>0.10989542820000001</v>
      </c>
      <c r="I30" s="5">
        <f>'Proximal Validation'!I30</f>
        <v>4.0041016991999996</v>
      </c>
      <c r="J30" s="5">
        <f>'Proximal Validation'!J30</f>
        <v>8.7357107549905794E-3</v>
      </c>
      <c r="K30" s="5">
        <f>'Proximal Validation'!K30</f>
        <v>0.11720653593540191</v>
      </c>
      <c r="L30" s="5">
        <f>'Proximal Validation'!L30</f>
        <v>0.13852887213230181</v>
      </c>
      <c r="M30" s="5">
        <f>'Proximal Validation'!M30</f>
        <v>-0.47499537467956499</v>
      </c>
      <c r="N30" s="5">
        <f>'Proximal Validation'!N30</f>
        <v>0.53509271144866899</v>
      </c>
      <c r="O30" s="5">
        <f>'Proximal Validation'!O30</f>
        <v>-1.1571068763732899</v>
      </c>
      <c r="P30" s="5">
        <v>1.2382625334031785</v>
      </c>
      <c r="Q30" s="5">
        <v>0.16221273564870536</v>
      </c>
      <c r="R30" s="5">
        <v>4.321263501235505E-4</v>
      </c>
      <c r="S30" s="5">
        <v>1.3094993982611118</v>
      </c>
      <c r="T30" s="5">
        <v>9.9305397930737671E-2</v>
      </c>
      <c r="U30" s="5">
        <v>4.3856785819808461</v>
      </c>
      <c r="V30" s="13">
        <v>1.2080974487347257E-6</v>
      </c>
      <c r="W30" s="5">
        <f t="shared" si="5"/>
        <v>0.31867856890317847</v>
      </c>
      <c r="X30" s="5">
        <f t="shared" si="5"/>
        <v>-1.7787264351294629E-2</v>
      </c>
      <c r="Y30" s="5">
        <f t="shared" si="2"/>
        <v>4.321263501235505E-4</v>
      </c>
      <c r="Z30" s="5">
        <f t="shared" si="6"/>
        <v>7.6704916661111788E-2</v>
      </c>
      <c r="AA30" s="5">
        <f t="shared" si="6"/>
        <v>-6.9460206926233448E-4</v>
      </c>
      <c r="AB30" s="5">
        <f t="shared" si="3"/>
        <v>0.32672141801915355</v>
      </c>
      <c r="AC30" s="8">
        <f t="shared" si="7"/>
        <v>0.19769174278214513</v>
      </c>
      <c r="AD30" s="8">
        <f t="shared" si="7"/>
        <v>9.2409332102784819E-3</v>
      </c>
      <c r="AE30" s="8">
        <f t="shared" si="7"/>
        <v>0.16357677218463856</v>
      </c>
    </row>
    <row r="31" spans="1:31" x14ac:dyDescent="0.25">
      <c r="A31" s="5">
        <f>'Proximal Validation'!A31</f>
        <v>0.76015027209999997</v>
      </c>
      <c r="B31" s="5">
        <f>'Proximal Validation'!B31</f>
        <v>0.18</v>
      </c>
      <c r="C31" s="5">
        <f>'Proximal Validation'!C31</f>
        <v>2.3561999999999999</v>
      </c>
      <c r="D31" s="5">
        <f>'Proximal Validation'!D31</f>
        <v>0.80034279419999999</v>
      </c>
      <c r="E31" s="5">
        <f>'Proximal Validation'!E31</f>
        <v>0.1</v>
      </c>
      <c r="F31" s="5">
        <f>'Proximal Validation'!F31</f>
        <v>0</v>
      </c>
      <c r="G31" s="5">
        <f>'Proximal Validation'!G31</f>
        <v>4.7396783878999997</v>
      </c>
      <c r="H31" s="5">
        <f>'Proximal Validation'!H31</f>
        <v>4.9071061610999998</v>
      </c>
      <c r="I31" s="5">
        <f>'Proximal Validation'!I31</f>
        <v>1.8713340661</v>
      </c>
      <c r="J31" s="5">
        <f>'Proximal Validation'!J31</f>
        <v>2.7520677540451301E-3</v>
      </c>
      <c r="K31" s="5">
        <f>'Proximal Validation'!K31</f>
        <v>-9.1657291352748443E-2</v>
      </c>
      <c r="L31" s="5">
        <f>'Proximal Validation'!L31</f>
        <v>6.0718978941440779E-3</v>
      </c>
      <c r="M31" s="5">
        <f>'Proximal Validation'!M31</f>
        <v>-0.237300649285316</v>
      </c>
      <c r="N31" s="5">
        <f>'Proximal Validation'!N31</f>
        <v>0.46046692132949801</v>
      </c>
      <c r="O31" s="5">
        <f>'Proximal Validation'!O31</f>
        <v>0.45199945569038402</v>
      </c>
      <c r="P31" s="5">
        <v>0.57197275388180224</v>
      </c>
      <c r="Q31" s="5">
        <v>0.19841200984946408</v>
      </c>
      <c r="R31" s="5">
        <v>2.1861994213613536</v>
      </c>
      <c r="S31" s="5">
        <v>0.67203686125311757</v>
      </c>
      <c r="T31" s="5">
        <v>8.490551855481604E-2</v>
      </c>
      <c r="U31" s="5">
        <v>7.7819669383345155E-2</v>
      </c>
      <c r="V31" s="13">
        <v>1.6724962144848782E-7</v>
      </c>
      <c r="W31" s="5">
        <f t="shared" si="5"/>
        <v>-0.18817751821819773</v>
      </c>
      <c r="X31" s="5">
        <f t="shared" si="5"/>
        <v>1.8412009849464089E-2</v>
      </c>
      <c r="Y31" s="5">
        <f t="shared" si="2"/>
        <v>0.17000057863864626</v>
      </c>
      <c r="Z31" s="5">
        <f t="shared" si="6"/>
        <v>-0.12830593294688242</v>
      </c>
      <c r="AA31" s="5">
        <f t="shared" si="6"/>
        <v>-1.5094481445183966E-2</v>
      </c>
      <c r="AB31" s="5">
        <f t="shared" si="3"/>
        <v>7.7819669383345155E-2</v>
      </c>
      <c r="AC31" s="8">
        <f t="shared" si="7"/>
        <v>0.15824172558254007</v>
      </c>
      <c r="AD31" s="8">
        <f t="shared" si="7"/>
        <v>1.6753245647324028E-2</v>
      </c>
      <c r="AE31" s="8">
        <f t="shared" si="7"/>
        <v>0.12391012401099571</v>
      </c>
    </row>
    <row r="32" spans="1:31" x14ac:dyDescent="0.25">
      <c r="A32" s="5">
        <f>'Proximal Validation'!A32</f>
        <v>0.9040684336</v>
      </c>
      <c r="B32" s="5">
        <f>'Proximal Validation'!B32</f>
        <v>0.1</v>
      </c>
      <c r="C32" s="5">
        <f>'Proximal Validation'!C32</f>
        <v>5.4977999999999998</v>
      </c>
      <c r="D32" s="5">
        <f>'Proximal Validation'!D32</f>
        <v>0.68590239919999996</v>
      </c>
      <c r="E32" s="5">
        <f>'Proximal Validation'!E32</f>
        <v>0.02</v>
      </c>
      <c r="F32" s="5">
        <f>'Proximal Validation'!F32</f>
        <v>4.7123999999999997</v>
      </c>
      <c r="G32" s="5">
        <f>'Proximal Validation'!G32</f>
        <v>3.1050919126999998</v>
      </c>
      <c r="H32" s="5">
        <f>'Proximal Validation'!H32</f>
        <v>4.9790166179000002</v>
      </c>
      <c r="I32" s="5">
        <f>'Proximal Validation'!I32</f>
        <v>4.7088396990000003</v>
      </c>
      <c r="J32" s="5">
        <f>'Proximal Validation'!J32</f>
        <v>1.4985646121203899E-3</v>
      </c>
      <c r="K32" s="5">
        <f>'Proximal Validation'!K32</f>
        <v>7.966082274913841E-2</v>
      </c>
      <c r="L32" s="5">
        <f>'Proximal Validation'!L32</f>
        <v>6.8656248152256336E-2</v>
      </c>
      <c r="M32" s="5">
        <f>'Proximal Validation'!M32</f>
        <v>-4.77860830724239E-2</v>
      </c>
      <c r="N32" s="5">
        <f>'Proximal Validation'!N32</f>
        <v>0.595284283161163</v>
      </c>
      <c r="O32" s="5">
        <f>'Proximal Validation'!O32</f>
        <v>-1.3795845508575399</v>
      </c>
      <c r="P32" s="5">
        <v>0.3639461872271576</v>
      </c>
      <c r="Q32" s="5">
        <v>0.13941940453952723</v>
      </c>
      <c r="R32" s="5">
        <v>1.0932750678719486E-5</v>
      </c>
      <c r="S32" s="5">
        <v>1.370685345171722</v>
      </c>
      <c r="T32" s="5">
        <v>5.787905138036481E-2</v>
      </c>
      <c r="U32" s="5">
        <v>4.9015668131927592</v>
      </c>
      <c r="V32" s="13">
        <v>1.6463578023500555E-7</v>
      </c>
      <c r="W32" s="5">
        <f t="shared" si="5"/>
        <v>-0.54012224637284234</v>
      </c>
      <c r="X32" s="5">
        <f t="shared" si="5"/>
        <v>3.941940453952722E-2</v>
      </c>
      <c r="Y32" s="5">
        <f t="shared" si="2"/>
        <v>0.78539623993026542</v>
      </c>
      <c r="Z32" s="5">
        <f t="shared" si="6"/>
        <v>0.68478294597172207</v>
      </c>
      <c r="AA32" s="5">
        <f t="shared" si="6"/>
        <v>3.7879051380364806E-2</v>
      </c>
      <c r="AB32" s="5">
        <f t="shared" si="3"/>
        <v>0.18916681319275952</v>
      </c>
      <c r="AC32" s="8">
        <f t="shared" si="7"/>
        <v>0.6124525961722822</v>
      </c>
      <c r="AD32" s="8">
        <f t="shared" si="7"/>
        <v>3.8649227959946013E-2</v>
      </c>
      <c r="AE32" s="8">
        <f t="shared" si="7"/>
        <v>0.48728152656151247</v>
      </c>
    </row>
    <row r="33" spans="1:31" x14ac:dyDescent="0.25">
      <c r="A33" s="5">
        <f>'Proximal Validation'!A33</f>
        <v>1.4109779404</v>
      </c>
      <c r="B33" s="5">
        <f>'Proximal Validation'!B33</f>
        <v>0.2</v>
      </c>
      <c r="C33" s="5">
        <f>'Proximal Validation'!C33</f>
        <v>3.1415999999999999</v>
      </c>
      <c r="D33" s="5">
        <f>'Proximal Validation'!D33</f>
        <v>1.3890525475</v>
      </c>
      <c r="E33" s="5">
        <f>'Proximal Validation'!E33</f>
        <v>0.12</v>
      </c>
      <c r="F33" s="5">
        <f>'Proximal Validation'!F33</f>
        <v>0</v>
      </c>
      <c r="G33" s="5">
        <f>'Proximal Validation'!G33</f>
        <v>0.24685834309999999</v>
      </c>
      <c r="H33" s="5">
        <f>'Proximal Validation'!H33</f>
        <v>4.5298125568999996</v>
      </c>
      <c r="I33" s="5">
        <f>'Proximal Validation'!I33</f>
        <v>2.6684535819000001</v>
      </c>
      <c r="J33" s="5">
        <f>'Proximal Validation'!J33</f>
        <v>1.87164847739041E-3</v>
      </c>
      <c r="K33" s="5">
        <f>'Proximal Validation'!K33</f>
        <v>-9.8448623716830847E-3</v>
      </c>
      <c r="L33" s="5">
        <f>'Proximal Validation'!L33</f>
        <v>-6.3732270747423214E-2</v>
      </c>
      <c r="M33" s="5">
        <f>'Proximal Validation'!M33</f>
        <v>-0.21900780498981501</v>
      </c>
      <c r="N33" s="5">
        <f>'Proximal Validation'!N33</f>
        <v>0.43598496913909901</v>
      </c>
      <c r="O33" s="5">
        <f>'Proximal Validation'!O33</f>
        <v>5.42925000190735E-2</v>
      </c>
      <c r="P33" s="5">
        <v>1.2794480061201916</v>
      </c>
      <c r="Q33" s="5">
        <v>0.19999996886222274</v>
      </c>
      <c r="R33" s="5">
        <v>3.1279584830048424</v>
      </c>
      <c r="S33" s="5">
        <v>1.3815565341109219</v>
      </c>
      <c r="T33" s="5">
        <v>0.11184895640100274</v>
      </c>
      <c r="U33" s="5">
        <v>9.4788952323358305E-3</v>
      </c>
      <c r="V33" s="13">
        <v>4.5992560249144094E-7</v>
      </c>
      <c r="W33" s="5">
        <f t="shared" si="5"/>
        <v>-0.13152993427980841</v>
      </c>
      <c r="X33" s="5">
        <f t="shared" si="5"/>
        <v>-3.113777727326017E-8</v>
      </c>
      <c r="Y33" s="5">
        <f t="shared" si="2"/>
        <v>1.3641516995157588E-2</v>
      </c>
      <c r="Z33" s="5">
        <f t="shared" si="6"/>
        <v>-7.4960133890780156E-3</v>
      </c>
      <c r="AA33" s="5">
        <f t="shared" si="6"/>
        <v>-8.1510435989972513E-3</v>
      </c>
      <c r="AB33" s="5">
        <f t="shared" si="3"/>
        <v>9.4788952323358305E-3</v>
      </c>
      <c r="AC33" s="8">
        <f t="shared" si="7"/>
        <v>6.9512973834443215E-2</v>
      </c>
      <c r="AD33" s="8">
        <f t="shared" si="7"/>
        <v>4.0755373683872623E-3</v>
      </c>
      <c r="AE33" s="8">
        <f t="shared" si="7"/>
        <v>1.156020611374671E-2</v>
      </c>
    </row>
    <row r="34" spans="1:31" x14ac:dyDescent="0.25">
      <c r="A34" s="5">
        <f>'Proximal Validation'!A34</f>
        <v>1.4747736548999999</v>
      </c>
      <c r="B34" s="5">
        <f>'Proximal Validation'!B34</f>
        <v>0.2</v>
      </c>
      <c r="C34" s="5">
        <f>'Proximal Validation'!C34</f>
        <v>0</v>
      </c>
      <c r="D34" s="5">
        <f>'Proximal Validation'!D34</f>
        <v>1.4750904852</v>
      </c>
      <c r="E34" s="5">
        <f>'Proximal Validation'!E34</f>
        <v>0.12</v>
      </c>
      <c r="F34" s="5">
        <f>'Proximal Validation'!F34</f>
        <v>3.1415999999999999</v>
      </c>
      <c r="G34" s="5">
        <f>'Proximal Validation'!G34</f>
        <v>2.1243312033000001</v>
      </c>
      <c r="H34" s="5">
        <f>'Proximal Validation'!H34</f>
        <v>0.98146476360000001</v>
      </c>
      <c r="I34" s="5">
        <f>'Proximal Validation'!I34</f>
        <v>2.2301814902000001</v>
      </c>
      <c r="J34" s="5">
        <f>'Proximal Validation'!J34</f>
        <v>6.5721650607883904E-3</v>
      </c>
      <c r="K34" s="5">
        <f>'Proximal Validation'!K34</f>
        <v>-2.2215567082166657E-2</v>
      </c>
      <c r="L34" s="5">
        <f>'Proximal Validation'!L34</f>
        <v>6.6166436150670055E-2</v>
      </c>
      <c r="M34" s="5">
        <f>'Proximal Validation'!M34</f>
        <v>-0.19941796362400099</v>
      </c>
      <c r="N34" s="5">
        <f>'Proximal Validation'!N34</f>
        <v>-0.49384737014770502</v>
      </c>
      <c r="O34" s="5">
        <f>'Proximal Validation'!O34</f>
        <v>0.13210836052894601</v>
      </c>
      <c r="P34" s="5">
        <v>1.3518966574203619</v>
      </c>
      <c r="Q34" s="5">
        <v>0.19999999999033113</v>
      </c>
      <c r="R34" s="5">
        <v>1.8763354795077552E-2</v>
      </c>
      <c r="S34" s="5">
        <v>1.4999949905193748</v>
      </c>
      <c r="T34" s="5">
        <v>0.11173301723661551</v>
      </c>
      <c r="U34" s="5">
        <v>3.1245790356318968</v>
      </c>
      <c r="V34" s="13">
        <v>9.7951086857135923E-7</v>
      </c>
      <c r="W34" s="5">
        <f t="shared" si="5"/>
        <v>-0.12287699747963798</v>
      </c>
      <c r="X34" s="5">
        <f t="shared" si="5"/>
        <v>-9.6688768103092571E-12</v>
      </c>
      <c r="Y34" s="5">
        <f t="shared" si="2"/>
        <v>1.8763354795077552E-2</v>
      </c>
      <c r="Z34" s="5">
        <f t="shared" si="6"/>
        <v>2.4904505319374826E-2</v>
      </c>
      <c r="AA34" s="5">
        <f t="shared" si="6"/>
        <v>-8.2669827633844867E-3</v>
      </c>
      <c r="AB34" s="5">
        <f t="shared" si="3"/>
        <v>1.7020964368103186E-2</v>
      </c>
      <c r="AC34" s="8">
        <f t="shared" si="7"/>
        <v>7.3890751399506405E-2</v>
      </c>
      <c r="AD34" s="8">
        <f t="shared" si="7"/>
        <v>4.1334913865266817E-3</v>
      </c>
      <c r="AE34" s="8">
        <f t="shared" si="7"/>
        <v>1.7892159581590371E-2</v>
      </c>
    </row>
    <row r="35" spans="1:31" x14ac:dyDescent="0.25">
      <c r="A35" s="5">
        <f>'Proximal Validation'!A35</f>
        <v>1.1341222659000001</v>
      </c>
      <c r="B35" s="5">
        <f>'Proximal Validation'!B35</f>
        <v>0.12</v>
      </c>
      <c r="C35" s="5">
        <f>'Proximal Validation'!C35</f>
        <v>0.78539999999999999</v>
      </c>
      <c r="D35" s="5">
        <f>'Proximal Validation'!D35</f>
        <v>1.3710979794</v>
      </c>
      <c r="E35" s="5">
        <f>'Proximal Validation'!E35</f>
        <v>0.04</v>
      </c>
      <c r="F35" s="5">
        <f>'Proximal Validation'!F35</f>
        <v>1.5708</v>
      </c>
      <c r="G35" s="5">
        <f>'Proximal Validation'!G35</f>
        <v>3.8924485742999999</v>
      </c>
      <c r="H35" s="5">
        <f>'Proximal Validation'!H35</f>
        <v>4.3783496642999999</v>
      </c>
      <c r="I35" s="5">
        <f>'Proximal Validation'!I35</f>
        <v>1.6360280112000001</v>
      </c>
      <c r="J35" s="5">
        <f>'Proximal Validation'!J35</f>
        <v>-2.3257452994584998E-3</v>
      </c>
      <c r="K35" s="5">
        <f>'Proximal Validation'!K35</f>
        <v>-0.1538876044750217</v>
      </c>
      <c r="L35" s="5">
        <f>'Proximal Validation'!L35</f>
        <v>0.10165858089923878</v>
      </c>
      <c r="M35" s="5">
        <f>'Proximal Validation'!M35</f>
        <v>-0.24121056497096999</v>
      </c>
      <c r="N35" s="5">
        <f>'Proximal Validation'!N35</f>
        <v>0.79770189523696899</v>
      </c>
      <c r="O35" s="5">
        <f>'Proximal Validation'!O35</f>
        <v>2.0650558471679701</v>
      </c>
      <c r="P35" s="5">
        <v>1.4997584657454759</v>
      </c>
      <c r="Q35" s="5">
        <v>9.9976997862616102E-2</v>
      </c>
      <c r="R35" s="5">
        <v>0.6976643882722674</v>
      </c>
      <c r="S35" s="5">
        <v>1.2182378484160077</v>
      </c>
      <c r="T35" s="5">
        <v>4.7577348751666276E-2</v>
      </c>
      <c r="U35" s="5">
        <v>1.8605403050520473</v>
      </c>
      <c r="V35" s="13">
        <v>3.4752061856681851E-7</v>
      </c>
      <c r="W35" s="5">
        <f t="shared" ref="W35:X52" si="8">P35-A35</f>
        <v>0.3656361998454758</v>
      </c>
      <c r="X35" s="5">
        <f t="shared" si="8"/>
        <v>-2.0023002137383894E-2</v>
      </c>
      <c r="Y35" s="5">
        <f t="shared" si="2"/>
        <v>8.7735611727732588E-2</v>
      </c>
      <c r="Z35" s="5">
        <f t="shared" ref="Z35:AA52" si="9">S35-D35</f>
        <v>-0.15286013098399232</v>
      </c>
      <c r="AA35" s="5">
        <f t="shared" si="9"/>
        <v>7.5773487516662755E-3</v>
      </c>
      <c r="AB35" s="5">
        <f t="shared" si="3"/>
        <v>0.28974030505204729</v>
      </c>
      <c r="AC35" s="8">
        <f t="shared" ref="AC35:AE52" si="10">AVERAGE(ABS(W35),ABS(Z35))</f>
        <v>0.25924816541473406</v>
      </c>
      <c r="AD35" s="8">
        <f t="shared" si="10"/>
        <v>1.3800175444525085E-2</v>
      </c>
      <c r="AE35" s="8">
        <f t="shared" si="10"/>
        <v>0.18873795838988994</v>
      </c>
    </row>
    <row r="36" spans="1:31" x14ac:dyDescent="0.25">
      <c r="A36" s="5">
        <f>'Proximal Validation'!A36</f>
        <v>0.785852255</v>
      </c>
      <c r="B36" s="5">
        <f>'Proximal Validation'!B36</f>
        <v>0.1</v>
      </c>
      <c r="C36" s="5">
        <f>'Proximal Validation'!C36</f>
        <v>0.78539999999999999</v>
      </c>
      <c r="D36" s="5">
        <f>'Proximal Validation'!D36</f>
        <v>0.39355619479999998</v>
      </c>
      <c r="E36" s="5">
        <f>'Proximal Validation'!E36</f>
        <v>0.02</v>
      </c>
      <c r="F36" s="5">
        <f>'Proximal Validation'!F36</f>
        <v>5.4977999999999998</v>
      </c>
      <c r="G36" s="5">
        <f>'Proximal Validation'!G36</f>
        <v>4.5109081914000004</v>
      </c>
      <c r="H36" s="5">
        <f>'Proximal Validation'!H36</f>
        <v>2.9663132843</v>
      </c>
      <c r="I36" s="5">
        <f>'Proximal Validation'!I36</f>
        <v>3.8683553511</v>
      </c>
      <c r="J36" s="5">
        <f>'Proximal Validation'!J36</f>
        <v>2.63804802671075E-3</v>
      </c>
      <c r="K36" s="5">
        <f>'Proximal Validation'!K36</f>
        <v>-5.1488110721111341E-2</v>
      </c>
      <c r="L36" s="5">
        <f>'Proximal Validation'!L36</f>
        <v>6.7714549303054539E-2</v>
      </c>
      <c r="M36" s="5">
        <f>'Proximal Validation'!M36</f>
        <v>-4.7354526817798601E-2</v>
      </c>
      <c r="N36" s="5">
        <f>'Proximal Validation'!N36</f>
        <v>0.81425797939300504</v>
      </c>
      <c r="O36" s="5">
        <f>'Proximal Validation'!O36</f>
        <v>0.21927404403686501</v>
      </c>
      <c r="P36" s="5">
        <v>0.30000000052800846</v>
      </c>
      <c r="Q36" s="5">
        <v>0.19851483143735621</v>
      </c>
      <c r="R36" s="5">
        <v>1.0399976478577149</v>
      </c>
      <c r="S36" s="5">
        <v>0.67674793854946613</v>
      </c>
      <c r="T36" s="5">
        <v>5.0255388130858843E-2</v>
      </c>
      <c r="U36" s="5">
        <v>7.914238753020413E-5</v>
      </c>
      <c r="V36" s="13">
        <v>4.7116553620965792E-7</v>
      </c>
      <c r="W36" s="5">
        <f t="shared" si="8"/>
        <v>-0.48585225447199154</v>
      </c>
      <c r="X36" s="5">
        <f t="shared" si="8"/>
        <v>9.8514831437356204E-2</v>
      </c>
      <c r="Y36" s="5">
        <f t="shared" si="2"/>
        <v>0.25459764785771488</v>
      </c>
      <c r="Z36" s="5">
        <f t="shared" si="9"/>
        <v>0.28319174374946615</v>
      </c>
      <c r="AA36" s="5">
        <f t="shared" si="9"/>
        <v>3.0255388130858842E-2</v>
      </c>
      <c r="AB36" s="5">
        <f t="shared" si="3"/>
        <v>0.78546444956711703</v>
      </c>
      <c r="AC36" s="8">
        <f t="shared" si="10"/>
        <v>0.38452199911072882</v>
      </c>
      <c r="AD36" s="8">
        <f t="shared" si="10"/>
        <v>6.4385109784107525E-2</v>
      </c>
      <c r="AE36" s="8">
        <f t="shared" si="10"/>
        <v>0.52003104871241601</v>
      </c>
    </row>
    <row r="37" spans="1:31" x14ac:dyDescent="0.25">
      <c r="A37" s="5">
        <f>'Proximal Validation'!A37</f>
        <v>0.4787670047</v>
      </c>
      <c r="B37" s="5">
        <f>'Proximal Validation'!B37</f>
        <v>0.2</v>
      </c>
      <c r="C37" s="5">
        <f>'Proximal Validation'!C37</f>
        <v>4.7123999999999997</v>
      </c>
      <c r="D37" s="5">
        <f>'Proximal Validation'!D37</f>
        <v>0.35541469809999998</v>
      </c>
      <c r="E37" s="5">
        <f>'Proximal Validation'!E37</f>
        <v>0.14000000000000001</v>
      </c>
      <c r="F37" s="5">
        <f>'Proximal Validation'!F37</f>
        <v>3.1415999999999999</v>
      </c>
      <c r="G37" s="5">
        <f>'Proximal Validation'!G37</f>
        <v>4.9350065225000002</v>
      </c>
      <c r="H37" s="5">
        <f>'Proximal Validation'!H37</f>
        <v>4.6708884390999996</v>
      </c>
      <c r="I37" s="5">
        <f>'Proximal Validation'!I37</f>
        <v>0.64099500450000002</v>
      </c>
      <c r="J37" s="5">
        <f>'Proximal Validation'!J37</f>
        <v>1.3677142560481999E-3</v>
      </c>
      <c r="K37" s="5">
        <f>'Proximal Validation'!K37</f>
        <v>8.7945864200591806E-2</v>
      </c>
      <c r="L37" s="5">
        <f>'Proximal Validation'!L37</f>
        <v>-3.722743749618531E-2</v>
      </c>
      <c r="M37" s="5">
        <f>'Proximal Validation'!M37</f>
        <v>-4.7561459243297598E-2</v>
      </c>
      <c r="N37" s="5">
        <f>'Proximal Validation'!N37</f>
        <v>-0.26662042737007102</v>
      </c>
      <c r="O37" s="5">
        <f>'Proximal Validation'!O37</f>
        <v>-0.39663678407669101</v>
      </c>
      <c r="P37" s="5">
        <v>0.68719194630976377</v>
      </c>
      <c r="Q37" s="5">
        <v>0.17704433752260998</v>
      </c>
      <c r="R37" s="5">
        <v>4.5648653719732097</v>
      </c>
      <c r="S37" s="5">
        <v>0.32041669662517636</v>
      </c>
      <c r="T37" s="5">
        <v>0.12340675362066364</v>
      </c>
      <c r="U37" s="5">
        <v>2.3224943839991439</v>
      </c>
      <c r="V37" s="13">
        <v>6.3018751912666857E-8</v>
      </c>
      <c r="W37" s="5">
        <f t="shared" si="8"/>
        <v>0.20842494160976377</v>
      </c>
      <c r="X37" s="5">
        <f t="shared" si="8"/>
        <v>-2.2955662477390032E-2</v>
      </c>
      <c r="Y37" s="5">
        <f t="shared" si="2"/>
        <v>0.14753462802678996</v>
      </c>
      <c r="Z37" s="5">
        <f t="shared" si="9"/>
        <v>-3.4998001474823626E-2</v>
      </c>
      <c r="AA37" s="5">
        <f t="shared" si="9"/>
        <v>-1.6593246379336374E-2</v>
      </c>
      <c r="AB37" s="5">
        <f t="shared" si="3"/>
        <v>0.81910561600085607</v>
      </c>
      <c r="AC37" s="8">
        <f t="shared" si="10"/>
        <v>0.1217114715422937</v>
      </c>
      <c r="AD37" s="8">
        <f t="shared" si="10"/>
        <v>1.9774454428363203E-2</v>
      </c>
      <c r="AE37" s="8">
        <f t="shared" si="10"/>
        <v>0.48332012201382302</v>
      </c>
    </row>
    <row r="38" spans="1:31" x14ac:dyDescent="0.25">
      <c r="A38" s="5">
        <f>'Proximal Validation'!A38</f>
        <v>1.2825258852999999</v>
      </c>
      <c r="B38" s="5">
        <f>'Proximal Validation'!B38</f>
        <v>0.14000000000000001</v>
      </c>
      <c r="C38" s="5">
        <f>'Proximal Validation'!C38</f>
        <v>2.3561999999999999</v>
      </c>
      <c r="D38" s="5">
        <f>'Proximal Validation'!D38</f>
        <v>1.1085226837</v>
      </c>
      <c r="E38" s="5">
        <f>'Proximal Validation'!E38</f>
        <v>0.08</v>
      </c>
      <c r="F38" s="5">
        <f>'Proximal Validation'!F38</f>
        <v>3.1415999999999999</v>
      </c>
      <c r="G38" s="5">
        <f>'Proximal Validation'!G38</f>
        <v>5.0541583899999999E-2</v>
      </c>
      <c r="H38" s="5">
        <f>'Proximal Validation'!H38</f>
        <v>4.9578693537999996</v>
      </c>
      <c r="I38" s="5">
        <f>'Proximal Validation'!I38</f>
        <v>3.9886280456000001</v>
      </c>
      <c r="J38" s="5">
        <f>'Proximal Validation'!J38</f>
        <v>-5.6921038776636098E-3</v>
      </c>
      <c r="K38" s="5">
        <f>'Proximal Validation'!K38</f>
        <v>-0.11745531618595137</v>
      </c>
      <c r="L38" s="5">
        <f>'Proximal Validation'!L38</f>
        <v>-0.22989922761917111</v>
      </c>
      <c r="M38" s="5">
        <f>'Proximal Validation'!M38</f>
        <v>-0.43696388602256803</v>
      </c>
      <c r="N38" s="5">
        <f>'Proximal Validation'!N38</f>
        <v>-1.90291404724121</v>
      </c>
      <c r="O38" s="5">
        <f>'Proximal Validation'!O38</f>
        <v>0.79554951190948497</v>
      </c>
      <c r="P38" s="5">
        <v>0.80863456031132641</v>
      </c>
      <c r="Q38" s="5">
        <v>0.19999999983305058</v>
      </c>
      <c r="R38" s="5">
        <v>2.4867091047740013</v>
      </c>
      <c r="S38" s="5">
        <v>1.4577383098701588</v>
      </c>
      <c r="T38" s="5">
        <v>7.25720610316333E-2</v>
      </c>
      <c r="U38" s="5">
        <v>2.8589175405114031</v>
      </c>
      <c r="V38" s="13">
        <v>3.021614403912591E-6</v>
      </c>
      <c r="W38" s="5">
        <f t="shared" si="8"/>
        <v>-0.47389132498867348</v>
      </c>
      <c r="X38" s="5">
        <f t="shared" si="8"/>
        <v>5.9999999833050571E-2</v>
      </c>
      <c r="Y38" s="5">
        <f t="shared" si="2"/>
        <v>0.13050910477400146</v>
      </c>
      <c r="Z38" s="5">
        <f t="shared" si="9"/>
        <v>0.34921562617015889</v>
      </c>
      <c r="AA38" s="5">
        <f t="shared" si="9"/>
        <v>-7.4279389683667013E-3</v>
      </c>
      <c r="AB38" s="5">
        <f t="shared" si="3"/>
        <v>0.28268245948859683</v>
      </c>
      <c r="AC38" s="8">
        <f t="shared" si="10"/>
        <v>0.41155347557941618</v>
      </c>
      <c r="AD38" s="8">
        <f t="shared" si="10"/>
        <v>3.3713969400708636E-2</v>
      </c>
      <c r="AE38" s="8">
        <f t="shared" si="10"/>
        <v>0.20659578213129914</v>
      </c>
    </row>
    <row r="39" spans="1:31" x14ac:dyDescent="0.25">
      <c r="A39" s="5">
        <f>'Proximal Validation'!A39</f>
        <v>1.0319949839</v>
      </c>
      <c r="B39" s="5">
        <f>'Proximal Validation'!B39</f>
        <v>0.18</v>
      </c>
      <c r="C39" s="5">
        <f>'Proximal Validation'!C39</f>
        <v>3.927</v>
      </c>
      <c r="D39" s="5">
        <f>'Proximal Validation'!D39</f>
        <v>1.1733448184999999</v>
      </c>
      <c r="E39" s="5">
        <f>'Proximal Validation'!E39</f>
        <v>0.12</v>
      </c>
      <c r="F39" s="5">
        <f>'Proximal Validation'!F39</f>
        <v>0.78539999999999999</v>
      </c>
      <c r="G39" s="5">
        <f>'Proximal Validation'!G39</f>
        <v>4.3201662060999997</v>
      </c>
      <c r="H39" s="5">
        <f>'Proximal Validation'!H39</f>
        <v>3.8378352410000001</v>
      </c>
      <c r="I39" s="5">
        <f>'Proximal Validation'!I39</f>
        <v>4.8360302252</v>
      </c>
      <c r="J39" s="5">
        <f>'Proximal Validation'!J39</f>
        <v>-9.0057402849197399E-4</v>
      </c>
      <c r="K39" s="5">
        <f>'Proximal Validation'!K39</f>
        <v>6.9827769696711901E-3</v>
      </c>
      <c r="L39" s="5">
        <f>'Proximal Validation'!L39</f>
        <v>-8.0578292906284613E-3</v>
      </c>
      <c r="M39" s="5">
        <f>'Proximal Validation'!M39</f>
        <v>1.4639855362474899E-2</v>
      </c>
      <c r="N39" s="5">
        <f>'Proximal Validation'!N39</f>
        <v>0.272623121738434</v>
      </c>
      <c r="O39" s="5">
        <f>'Proximal Validation'!O39</f>
        <v>0.30911225080490101</v>
      </c>
      <c r="P39" s="5">
        <v>0.48728327695404661</v>
      </c>
      <c r="Q39" s="5">
        <v>0.1999998430991185</v>
      </c>
      <c r="R39" s="5">
        <v>3.9375890415332666</v>
      </c>
      <c r="S39" s="5">
        <v>0.73535927843019888</v>
      </c>
      <c r="T39" s="5">
        <v>8.7983222312854631E-2</v>
      </c>
      <c r="U39" s="5">
        <v>0.80472810659657057</v>
      </c>
      <c r="V39" s="13">
        <v>2.4614698945890752E-7</v>
      </c>
      <c r="W39" s="5">
        <f t="shared" si="8"/>
        <v>-0.54471170694595339</v>
      </c>
      <c r="X39" s="5">
        <f t="shared" si="8"/>
        <v>1.9999843099118508E-2</v>
      </c>
      <c r="Y39" s="5">
        <f t="shared" si="2"/>
        <v>1.0589041533266563E-2</v>
      </c>
      <c r="Z39" s="5">
        <f t="shared" si="9"/>
        <v>-0.43798554006980106</v>
      </c>
      <c r="AA39" s="5">
        <f t="shared" si="9"/>
        <v>-3.2016777687145365E-2</v>
      </c>
      <c r="AB39" s="5">
        <f t="shared" si="3"/>
        <v>1.9328106596570582E-2</v>
      </c>
      <c r="AC39" s="8">
        <f t="shared" si="10"/>
        <v>0.49134862350787722</v>
      </c>
      <c r="AD39" s="8">
        <f t="shared" si="10"/>
        <v>2.6008310393131936E-2</v>
      </c>
      <c r="AE39" s="8">
        <f t="shared" si="10"/>
        <v>1.4958574064918573E-2</v>
      </c>
    </row>
    <row r="40" spans="1:31" x14ac:dyDescent="0.25">
      <c r="A40" s="5">
        <f>'Proximal Validation'!A40</f>
        <v>0.54659396309999997</v>
      </c>
      <c r="B40" s="5">
        <f>'Proximal Validation'!B40</f>
        <v>0.14000000000000001</v>
      </c>
      <c r="C40" s="5">
        <f>'Proximal Validation'!C40</f>
        <v>3.927</v>
      </c>
      <c r="D40" s="5">
        <f>'Proximal Validation'!D40</f>
        <v>0.37475583969999998</v>
      </c>
      <c r="E40" s="5">
        <f>'Proximal Validation'!E40</f>
        <v>0.08</v>
      </c>
      <c r="F40" s="5">
        <f>'Proximal Validation'!F40</f>
        <v>1.5708</v>
      </c>
      <c r="G40" s="5">
        <f>'Proximal Validation'!G40</f>
        <v>1.2326114607000001</v>
      </c>
      <c r="H40" s="5">
        <f>'Proximal Validation'!H40</f>
        <v>3.5091223980000001</v>
      </c>
      <c r="I40" s="5">
        <f>'Proximal Validation'!I40</f>
        <v>2.8278096824999999</v>
      </c>
      <c r="J40" s="5">
        <f>'Proximal Validation'!J40</f>
        <v>-9.9586381111294009E-4</v>
      </c>
      <c r="K40" s="5">
        <f>'Proximal Validation'!K40</f>
        <v>1.9444975480437252E-2</v>
      </c>
      <c r="L40" s="5">
        <f>'Proximal Validation'!L40</f>
        <v>-4.9389829635620136E-2</v>
      </c>
      <c r="M40" s="5">
        <f>'Proximal Validation'!M40</f>
        <v>-3.4344613552093499E-2</v>
      </c>
      <c r="N40" s="5">
        <f>'Proximal Validation'!N40</f>
        <v>-0.33634969592094399</v>
      </c>
      <c r="O40" s="5">
        <f>'Proximal Validation'!O40</f>
        <v>5.8875620365142801E-2</v>
      </c>
      <c r="P40" s="5">
        <v>0.45701306942365899</v>
      </c>
      <c r="Q40" s="5">
        <v>0.14420540024488768</v>
      </c>
      <c r="R40" s="5">
        <v>3.8131114546636748</v>
      </c>
      <c r="S40" s="5">
        <v>0.30000000057795789</v>
      </c>
      <c r="T40" s="5">
        <v>6.2426910902784002E-2</v>
      </c>
      <c r="U40" s="5">
        <v>1.6053364865848823</v>
      </c>
      <c r="V40" s="13">
        <v>7.0129988619617653E-8</v>
      </c>
      <c r="W40" s="5">
        <f>P40-A40</f>
        <v>-8.9580893676340978E-2</v>
      </c>
      <c r="X40" s="5">
        <f>Q40-B40</f>
        <v>4.2054002448876637E-3</v>
      </c>
      <c r="Y40" s="5">
        <f>MIN(ABS(R40-C40),2*PI()-ABS(R40-C40))</f>
        <v>0.1138885453363252</v>
      </c>
      <c r="Z40" s="5">
        <f>S40-D40</f>
        <v>-7.4755839122042089E-2</v>
      </c>
      <c r="AA40" s="5">
        <f>T40-E40</f>
        <v>-1.7573089097215999E-2</v>
      </c>
      <c r="AB40" s="5">
        <f>MIN(ABS(U40-F40),2*PI()-ABS(U40-F40))</f>
        <v>3.4536486584882287E-2</v>
      </c>
      <c r="AC40" s="8">
        <f>AVERAGE(ABS(W40),ABS(Z40))</f>
        <v>8.2168366399191534E-2</v>
      </c>
      <c r="AD40" s="8">
        <f>AVERAGE(ABS(X40),ABS(AA40))</f>
        <v>1.0889244671051831E-2</v>
      </c>
      <c r="AE40" s="8">
        <f>AVERAGE(ABS(Y40),ABS(AB40))</f>
        <v>7.4212515960603742E-2</v>
      </c>
    </row>
    <row r="41" spans="1:31" x14ac:dyDescent="0.25">
      <c r="A41" s="5">
        <f>'Proximal Validation'!A41</f>
        <v>0.62359206519999999</v>
      </c>
      <c r="B41" s="5">
        <f>'Proximal Validation'!B41</f>
        <v>0.08</v>
      </c>
      <c r="C41" s="5">
        <f>'Proximal Validation'!C41</f>
        <v>5.4977999999999998</v>
      </c>
      <c r="D41" s="5">
        <f>'Proximal Validation'!D41</f>
        <v>0.47877904049999997</v>
      </c>
      <c r="E41" s="5">
        <f>'Proximal Validation'!E41</f>
        <v>0.02</v>
      </c>
      <c r="F41" s="5">
        <f>'Proximal Validation'!F41</f>
        <v>3.927</v>
      </c>
      <c r="G41" s="5">
        <f>'Proximal Validation'!G41</f>
        <v>2.2205178402999999</v>
      </c>
      <c r="H41" s="5">
        <f>'Proximal Validation'!H41</f>
        <v>1.9827336431</v>
      </c>
      <c r="I41" s="5">
        <f>'Proximal Validation'!I41</f>
        <v>0.36676452050000002</v>
      </c>
      <c r="J41" s="5">
        <f>'Proximal Validation'!J41</f>
        <v>1.3723341980949001E-3</v>
      </c>
      <c r="K41" s="5">
        <f>'Proximal Validation'!K41</f>
        <v>4.9606948494910777E-2</v>
      </c>
      <c r="L41" s="5">
        <f>'Proximal Validation'!L41</f>
        <v>3.1119555234909065E-2</v>
      </c>
      <c r="M41" s="5">
        <f>'Proximal Validation'!M41</f>
        <v>-3.7808604538440697E-2</v>
      </c>
      <c r="N41" s="5">
        <f>'Proximal Validation'!N41</f>
        <v>0.127191096544266</v>
      </c>
      <c r="O41" s="5">
        <f>'Proximal Validation'!O41</f>
        <v>-0.83187156915664695</v>
      </c>
      <c r="P41" s="5">
        <v>0.99757675084067843</v>
      </c>
      <c r="Q41" s="5">
        <v>6.0027330931924291E-2</v>
      </c>
      <c r="R41" s="5">
        <v>5.475769244590535</v>
      </c>
      <c r="S41" s="5">
        <v>0.58276311991203811</v>
      </c>
      <c r="T41" s="5">
        <v>2.0827999071873212E-2</v>
      </c>
      <c r="U41" s="5">
        <v>3.2786116342246001</v>
      </c>
      <c r="V41" s="13">
        <v>3.3662231209532962E-7</v>
      </c>
      <c r="W41" s="5">
        <f t="shared" si="8"/>
        <v>0.37398468564067844</v>
      </c>
      <c r="X41" s="5">
        <f t="shared" si="8"/>
        <v>-1.997266906807571E-2</v>
      </c>
      <c r="Y41" s="5">
        <f t="shared" si="2"/>
        <v>2.2030755409464753E-2</v>
      </c>
      <c r="Z41" s="5">
        <f t="shared" si="9"/>
        <v>0.10398407941203813</v>
      </c>
      <c r="AA41" s="5">
        <f t="shared" si="9"/>
        <v>8.2799907187321165E-4</v>
      </c>
      <c r="AB41" s="5">
        <f t="shared" si="3"/>
        <v>0.64838836577539993</v>
      </c>
      <c r="AC41" s="8">
        <f t="shared" si="10"/>
        <v>0.23898438252635829</v>
      </c>
      <c r="AD41" s="8">
        <f t="shared" si="10"/>
        <v>1.0400334069974461E-2</v>
      </c>
      <c r="AE41" s="8">
        <f t="shared" si="10"/>
        <v>0.33520956059243234</v>
      </c>
    </row>
    <row r="42" spans="1:31" x14ac:dyDescent="0.25">
      <c r="A42" s="5">
        <f>'Proximal Validation'!A42</f>
        <v>1.3484992293</v>
      </c>
      <c r="B42" s="5">
        <f>'Proximal Validation'!B42</f>
        <v>0.2</v>
      </c>
      <c r="C42" s="5">
        <f>'Proximal Validation'!C42</f>
        <v>0</v>
      </c>
      <c r="D42" s="5">
        <f>'Proximal Validation'!D42</f>
        <v>0.39122828500000001</v>
      </c>
      <c r="E42" s="5">
        <f>'Proximal Validation'!E42</f>
        <v>0.14000000000000001</v>
      </c>
      <c r="F42" s="5">
        <f>'Proximal Validation'!F42</f>
        <v>0.78539999999999999</v>
      </c>
      <c r="G42" s="5">
        <f>'Proximal Validation'!G42</f>
        <v>1.9402253723</v>
      </c>
      <c r="H42" s="5">
        <f>'Proximal Validation'!H42</f>
        <v>1.6478522000000001E-3</v>
      </c>
      <c r="I42" s="5">
        <f>'Proximal Validation'!I42</f>
        <v>3.2221664534999999</v>
      </c>
      <c r="J42" s="5">
        <f>'Proximal Validation'!J42</f>
        <v>2.4063613265752799E-2</v>
      </c>
      <c r="K42" s="5">
        <f>'Proximal Validation'!K42</f>
        <v>-4.7257738709449847E-2</v>
      </c>
      <c r="L42" s="5">
        <f>'Proximal Validation'!L42</f>
        <v>0.28212942004203811</v>
      </c>
      <c r="M42" s="5">
        <f>'Proximal Validation'!M42</f>
        <v>-0.94563829898834195</v>
      </c>
      <c r="N42" s="5">
        <f>'Proximal Validation'!N42</f>
        <v>1.1476809978485101</v>
      </c>
      <c r="O42" s="5">
        <f>'Proximal Validation'!O42</f>
        <v>0.334593296051025</v>
      </c>
      <c r="P42" s="5">
        <v>1.4979569709041802</v>
      </c>
      <c r="Q42" s="5">
        <v>0.1999999999668565</v>
      </c>
      <c r="R42" s="5">
        <v>2.2422662210146119E-14</v>
      </c>
      <c r="S42" s="5">
        <v>0.30000000000002219</v>
      </c>
      <c r="T42" s="5">
        <v>0.13106028039048109</v>
      </c>
      <c r="U42" s="5">
        <v>1.1314181281014166</v>
      </c>
      <c r="V42" s="13">
        <v>6.9857918683846519E-6</v>
      </c>
      <c r="W42" s="5">
        <f t="shared" si="8"/>
        <v>0.14945774160418024</v>
      </c>
      <c r="X42" s="5">
        <f t="shared" si="8"/>
        <v>-3.3143515709710414E-11</v>
      </c>
      <c r="Y42" s="5">
        <f t="shared" si="2"/>
        <v>2.2422662210146119E-14</v>
      </c>
      <c r="Z42" s="5">
        <f t="shared" si="9"/>
        <v>-9.1228284999977816E-2</v>
      </c>
      <c r="AA42" s="5">
        <f t="shared" si="9"/>
        <v>-8.9397196095189202E-3</v>
      </c>
      <c r="AB42" s="5">
        <f t="shared" si="3"/>
        <v>0.34601812810141663</v>
      </c>
      <c r="AC42" s="8">
        <f t="shared" si="10"/>
        <v>0.12034301330207903</v>
      </c>
      <c r="AD42" s="8">
        <f t="shared" si="10"/>
        <v>4.469859821331218E-3</v>
      </c>
      <c r="AE42" s="8">
        <f t="shared" si="10"/>
        <v>0.17300906405071953</v>
      </c>
    </row>
    <row r="43" spans="1:31" x14ac:dyDescent="0.25">
      <c r="A43" s="5">
        <f>'Proximal Validation'!A43</f>
        <v>0.51681038229999998</v>
      </c>
      <c r="B43" s="5">
        <f>'Proximal Validation'!B43</f>
        <v>0.08</v>
      </c>
      <c r="C43" s="5">
        <f>'Proximal Validation'!C43</f>
        <v>0</v>
      </c>
      <c r="D43" s="5">
        <f>'Proximal Validation'!D43</f>
        <v>0.91461204240000005</v>
      </c>
      <c r="E43" s="5">
        <f>'Proximal Validation'!E43</f>
        <v>0.02</v>
      </c>
      <c r="F43" s="5">
        <f>'Proximal Validation'!F43</f>
        <v>3.927</v>
      </c>
      <c r="G43" s="5">
        <f>'Proximal Validation'!G43</f>
        <v>3.7945339589999998</v>
      </c>
      <c r="H43" s="5">
        <f>'Proximal Validation'!H43</f>
        <v>3.3481721828</v>
      </c>
      <c r="I43" s="5">
        <f>'Proximal Validation'!I43</f>
        <v>3.4429632493</v>
      </c>
      <c r="J43" s="5">
        <f>'Proximal Validation'!J43</f>
        <v>-3.8290908560156801E-4</v>
      </c>
      <c r="K43" s="5">
        <f>'Proximal Validation'!K43</f>
        <v>1.6115657389164026E-2</v>
      </c>
      <c r="L43" s="5">
        <f>'Proximal Validation'!L43</f>
        <v>2.8937506936490519E-2</v>
      </c>
      <c r="M43" s="5">
        <f>'Proximal Validation'!M43</f>
        <v>-1.27025358378887E-2</v>
      </c>
      <c r="N43" s="5">
        <f>'Proximal Validation'!N43</f>
        <v>-0.23589420318603499</v>
      </c>
      <c r="O43" s="5">
        <f>'Proximal Validation'!O43</f>
        <v>-0.73385769128799405</v>
      </c>
      <c r="P43" s="5">
        <v>0.36859521419806107</v>
      </c>
      <c r="Q43" s="5">
        <v>0.14018561893635056</v>
      </c>
      <c r="R43" s="5">
        <v>0.33721013364075458</v>
      </c>
      <c r="S43" s="5">
        <v>0.95630996538064328</v>
      </c>
      <c r="T43" s="5">
        <v>3.8898335988831245E-2</v>
      </c>
      <c r="U43" s="5">
        <v>4.1383440057456289</v>
      </c>
      <c r="V43" s="13">
        <v>6.9199975620981545E-8</v>
      </c>
      <c r="W43" s="5">
        <f t="shared" si="8"/>
        <v>-0.14821516810193891</v>
      </c>
      <c r="X43" s="5">
        <f t="shared" si="8"/>
        <v>6.0185618936350563E-2</v>
      </c>
      <c r="Y43" s="5">
        <f t="shared" si="2"/>
        <v>0.33721013364075458</v>
      </c>
      <c r="Z43" s="5">
        <f t="shared" si="9"/>
        <v>4.1697922980643232E-2</v>
      </c>
      <c r="AA43" s="5">
        <f t="shared" si="9"/>
        <v>1.8898335988831245E-2</v>
      </c>
      <c r="AB43" s="5">
        <f t="shared" si="3"/>
        <v>0.21134400574562884</v>
      </c>
      <c r="AC43" s="8">
        <f t="shared" si="10"/>
        <v>9.4956545541291071E-2</v>
      </c>
      <c r="AD43" s="8">
        <f t="shared" si="10"/>
        <v>3.9541977462590902E-2</v>
      </c>
      <c r="AE43" s="8">
        <f t="shared" si="10"/>
        <v>0.27427706969319171</v>
      </c>
    </row>
    <row r="44" spans="1:31" x14ac:dyDescent="0.25">
      <c r="A44" s="5">
        <f>'Proximal Validation'!A44</f>
        <v>0.68441694529999997</v>
      </c>
      <c r="B44" s="5">
        <f>'Proximal Validation'!B44</f>
        <v>0.16</v>
      </c>
      <c r="C44" s="5">
        <f>'Proximal Validation'!C44</f>
        <v>2.3561999999999999</v>
      </c>
      <c r="D44" s="5">
        <f>'Proximal Validation'!D44</f>
        <v>1.4072090791</v>
      </c>
      <c r="E44" s="5">
        <f>'Proximal Validation'!E44</f>
        <v>0.1</v>
      </c>
      <c r="F44" s="5">
        <f>'Proximal Validation'!F44</f>
        <v>0.78539999999999999</v>
      </c>
      <c r="G44" s="5">
        <f>'Proximal Validation'!G44</f>
        <v>1.6472032243000001</v>
      </c>
      <c r="H44" s="5">
        <f>'Proximal Validation'!H44</f>
        <v>5.9795420000000002E-2</v>
      </c>
      <c r="I44" s="5">
        <f>'Proximal Validation'!I44</f>
        <v>0.1036992028</v>
      </c>
      <c r="J44" s="5">
        <f>'Proximal Validation'!J44</f>
        <v>6.5218294039368603E-3</v>
      </c>
      <c r="K44" s="5">
        <f>'Proximal Validation'!K44</f>
        <v>-0.18476446866989102</v>
      </c>
      <c r="L44" s="5">
        <f>'Proximal Validation'!L44</f>
        <v>3.5812929868698183E-2</v>
      </c>
      <c r="M44" s="5">
        <f>'Proximal Validation'!M44</f>
        <v>-0.29513090848922702</v>
      </c>
      <c r="N44" s="5">
        <f>'Proximal Validation'!N44</f>
        <v>0.62835580110549905</v>
      </c>
      <c r="O44" s="5">
        <f>'Proximal Validation'!O44</f>
        <v>1.4002138376236</v>
      </c>
      <c r="P44" s="5">
        <v>0.46828291290263141</v>
      </c>
      <c r="Q44" s="5">
        <v>0.19521008243118187</v>
      </c>
      <c r="R44" s="5">
        <v>2.4638467990965092</v>
      </c>
      <c r="S44" s="5">
        <v>1.4998598209389638</v>
      </c>
      <c r="T44" s="5">
        <v>0.10604865874932834</v>
      </c>
      <c r="U44" s="5">
        <v>0.90212557184910613</v>
      </c>
      <c r="V44" s="13">
        <v>1.9463405603793751E-6</v>
      </c>
      <c r="W44" s="5">
        <f t="shared" si="8"/>
        <v>-0.21613403239736856</v>
      </c>
      <c r="X44" s="5">
        <f t="shared" si="8"/>
        <v>3.5210082431181872E-2</v>
      </c>
      <c r="Y44" s="5">
        <f t="shared" si="2"/>
        <v>0.10764679909650932</v>
      </c>
      <c r="Z44" s="5">
        <f t="shared" si="9"/>
        <v>9.2650741838963713E-2</v>
      </c>
      <c r="AA44" s="5">
        <f t="shared" si="9"/>
        <v>6.0486587493283339E-3</v>
      </c>
      <c r="AB44" s="5">
        <f t="shared" si="3"/>
        <v>0.11672557184910615</v>
      </c>
      <c r="AC44" s="8">
        <f t="shared" si="10"/>
        <v>0.15439238711816614</v>
      </c>
      <c r="AD44" s="8">
        <f t="shared" si="10"/>
        <v>2.0629370590255103E-2</v>
      </c>
      <c r="AE44" s="8">
        <f t="shared" si="10"/>
        <v>0.11218618547280773</v>
      </c>
    </row>
    <row r="45" spans="1:31" x14ac:dyDescent="0.25">
      <c r="A45" s="5">
        <f>'Proximal Validation'!A45</f>
        <v>1.3991334753</v>
      </c>
      <c r="B45" s="5">
        <f>'Proximal Validation'!B45</f>
        <v>0.12</v>
      </c>
      <c r="C45" s="5">
        <f>'Proximal Validation'!C45</f>
        <v>5.4977999999999998</v>
      </c>
      <c r="D45" s="5">
        <f>'Proximal Validation'!D45</f>
        <v>0.96266422490000003</v>
      </c>
      <c r="E45" s="5">
        <f>'Proximal Validation'!E45</f>
        <v>0.06</v>
      </c>
      <c r="F45" s="5">
        <f>'Proximal Validation'!F45</f>
        <v>5.4977999999999998</v>
      </c>
      <c r="G45" s="5">
        <f>'Proximal Validation'!G45</f>
        <v>2.0231526378</v>
      </c>
      <c r="H45" s="5">
        <f>'Proximal Validation'!H45</f>
        <v>0.50988481399999996</v>
      </c>
      <c r="I45" s="5">
        <f>'Proximal Validation'!I45</f>
        <v>0.60427768879999999</v>
      </c>
      <c r="J45" s="5">
        <f>'Proximal Validation'!J45</f>
        <v>1.9630594179034198E-3</v>
      </c>
      <c r="K45" s="5">
        <f>'Proximal Validation'!K45</f>
        <v>0.1703220427036285</v>
      </c>
      <c r="L45" s="5">
        <f>'Proximal Validation'!L45</f>
        <v>0.16633532285690383</v>
      </c>
      <c r="M45" s="5">
        <f>'Proximal Validation'!M45</f>
        <v>-0.36146178841590898</v>
      </c>
      <c r="N45" s="5">
        <f>'Proximal Validation'!N45</f>
        <v>1.5526535511016799</v>
      </c>
      <c r="O45" s="5">
        <f>'Proximal Validation'!O45</f>
        <v>-1.77750408649445</v>
      </c>
      <c r="P45" s="5">
        <v>1.4999999999982099</v>
      </c>
      <c r="Q45" s="5">
        <v>0.10981130921743634</v>
      </c>
      <c r="R45" s="5">
        <v>4.7886349236835528</v>
      </c>
      <c r="S45" s="5">
        <v>1.4999999999999778</v>
      </c>
      <c r="T45" s="5">
        <v>9.9833848481165888E-2</v>
      </c>
      <c r="U45" s="5">
        <v>1.9469788863888347E-13</v>
      </c>
      <c r="V45" s="13">
        <v>1.3708550568424519E-4</v>
      </c>
      <c r="W45" s="5">
        <f t="shared" si="8"/>
        <v>0.10086652469820989</v>
      </c>
      <c r="X45" s="5">
        <f t="shared" si="8"/>
        <v>-1.0188690782563653E-2</v>
      </c>
      <c r="Y45" s="5">
        <f t="shared" si="2"/>
        <v>0.70916507631644699</v>
      </c>
      <c r="Z45" s="5">
        <f t="shared" si="9"/>
        <v>0.53733577509997776</v>
      </c>
      <c r="AA45" s="5">
        <f t="shared" si="9"/>
        <v>3.983384848116589E-2</v>
      </c>
      <c r="AB45" s="5">
        <f t="shared" si="3"/>
        <v>0.78538530717978094</v>
      </c>
      <c r="AC45" s="8">
        <f t="shared" si="10"/>
        <v>0.31910114989909383</v>
      </c>
      <c r="AD45" s="8">
        <f t="shared" si="10"/>
        <v>2.5011269631864771E-2</v>
      </c>
      <c r="AE45" s="8">
        <f t="shared" si="10"/>
        <v>0.74727519174811396</v>
      </c>
    </row>
    <row r="46" spans="1:31" x14ac:dyDescent="0.25">
      <c r="A46" s="5">
        <f>'Proximal Validation'!A46</f>
        <v>0.4668308846</v>
      </c>
      <c r="B46" s="5">
        <f>'Proximal Validation'!B46</f>
        <v>0.08</v>
      </c>
      <c r="C46" s="5">
        <f>'Proximal Validation'!C46</f>
        <v>3.1415999999999999</v>
      </c>
      <c r="D46" s="5">
        <f>'Proximal Validation'!D46</f>
        <v>1.1054712231999999</v>
      </c>
      <c r="E46" s="5">
        <f>'Proximal Validation'!E46</f>
        <v>0.04</v>
      </c>
      <c r="F46" s="5">
        <f>'Proximal Validation'!F46</f>
        <v>4.7123999999999997</v>
      </c>
      <c r="G46" s="5">
        <f>'Proximal Validation'!G46</f>
        <v>4.4838346888</v>
      </c>
      <c r="H46" s="5">
        <f>'Proximal Validation'!H46</f>
        <v>0.20145099390000001</v>
      </c>
      <c r="I46" s="5">
        <f>'Proximal Validation'!I46</f>
        <v>4.5041045776999997</v>
      </c>
      <c r="J46" s="5">
        <f>'Proximal Validation'!J46</f>
        <v>6.2750652432441701E-4</v>
      </c>
      <c r="K46" s="5">
        <f>'Proximal Validation'!K46</f>
        <v>4.87911289930337E-2</v>
      </c>
      <c r="L46" s="5">
        <f>'Proximal Validation'!L46</f>
        <v>-3.5860749185085292E-2</v>
      </c>
      <c r="M46" s="5">
        <f>'Proximal Validation'!M46</f>
        <v>5.4590590298175803E-3</v>
      </c>
      <c r="N46" s="5">
        <f>'Proximal Validation'!N46</f>
        <v>-0.39531296491622903</v>
      </c>
      <c r="O46" s="5">
        <f>'Proximal Validation'!O46</f>
        <v>-1.1238435506820701</v>
      </c>
      <c r="P46" s="5">
        <v>0.70833203410236534</v>
      </c>
      <c r="Q46" s="5">
        <v>6.7837367221563055E-2</v>
      </c>
      <c r="R46" s="5">
        <v>3.650680637578255</v>
      </c>
      <c r="S46" s="5">
        <v>0.78762933373354604</v>
      </c>
      <c r="T46" s="5">
        <v>2.94921197104107E-2</v>
      </c>
      <c r="U46" s="5">
        <v>4.9429174475815829</v>
      </c>
      <c r="V46" s="13">
        <v>2.0141626241134795E-7</v>
      </c>
      <c r="W46" s="5">
        <f t="shared" si="8"/>
        <v>0.24150114950236534</v>
      </c>
      <c r="X46" s="5">
        <f t="shared" si="8"/>
        <v>-1.2162632778436946E-2</v>
      </c>
      <c r="Y46" s="5">
        <f t="shared" si="2"/>
        <v>0.50908063757825506</v>
      </c>
      <c r="Z46" s="5">
        <f t="shared" si="9"/>
        <v>-0.31784188946645386</v>
      </c>
      <c r="AA46" s="5">
        <f t="shared" si="9"/>
        <v>-1.0507880289589301E-2</v>
      </c>
      <c r="AB46" s="5">
        <f t="shared" si="3"/>
        <v>0.23051744758158321</v>
      </c>
      <c r="AC46" s="8">
        <f t="shared" si="10"/>
        <v>0.2796715194844096</v>
      </c>
      <c r="AD46" s="8">
        <f t="shared" si="10"/>
        <v>1.1335256534013124E-2</v>
      </c>
      <c r="AE46" s="8">
        <f t="shared" si="10"/>
        <v>0.36979904257991913</v>
      </c>
    </row>
    <row r="47" spans="1:31" x14ac:dyDescent="0.25">
      <c r="A47" s="5">
        <f>'Proximal Validation'!A47</f>
        <v>1.4827422800000001</v>
      </c>
      <c r="B47" s="5">
        <f>'Proximal Validation'!B47</f>
        <v>0.08</v>
      </c>
      <c r="C47" s="5">
        <f>'Proximal Validation'!C47</f>
        <v>3.1415999999999999</v>
      </c>
      <c r="D47" s="5">
        <f>'Proximal Validation'!D47</f>
        <v>0.80651000630000003</v>
      </c>
      <c r="E47" s="5">
        <f>'Proximal Validation'!E47</f>
        <v>0.04</v>
      </c>
      <c r="F47" s="5">
        <f>'Proximal Validation'!F47</f>
        <v>4.7123999999999997</v>
      </c>
      <c r="G47" s="5">
        <f>'Proximal Validation'!G47</f>
        <v>4.1839238480000001</v>
      </c>
      <c r="H47" s="5">
        <f>'Proximal Validation'!H47</f>
        <v>4.1752821560999998</v>
      </c>
      <c r="I47" s="5">
        <f>'Proximal Validation'!I47</f>
        <v>0.4978333036</v>
      </c>
      <c r="J47" s="5">
        <f>'Proximal Validation'!J47</f>
        <v>1.6527259722352E-3</v>
      </c>
      <c r="K47" s="5">
        <f>'Proximal Validation'!K47</f>
        <v>3.6831824779510983E-2</v>
      </c>
      <c r="L47" s="5">
        <f>'Proximal Validation'!L47</f>
        <v>-0.12361461400985693</v>
      </c>
      <c r="M47" s="5">
        <f>'Proximal Validation'!M47</f>
        <v>-2.5319248437881501E-2</v>
      </c>
      <c r="N47" s="5">
        <f>'Proximal Validation'!N47</f>
        <v>-1.40897560119629</v>
      </c>
      <c r="O47" s="5">
        <f>'Proximal Validation'!O47</f>
        <v>-0.87691116333007801</v>
      </c>
      <c r="P47" s="5">
        <v>1.3747145668890997</v>
      </c>
      <c r="Q47" s="5">
        <v>8.5061504689529721E-2</v>
      </c>
      <c r="R47" s="5">
        <v>3.030766458745803</v>
      </c>
      <c r="S47" s="5">
        <v>0.98988983436415845</v>
      </c>
      <c r="T47" s="5">
        <v>4.7506785073623749E-2</v>
      </c>
      <c r="U47" s="5">
        <v>4.6234464665645136</v>
      </c>
      <c r="V47" s="13">
        <v>5.0082107807629943E-8</v>
      </c>
      <c r="W47" s="5">
        <f t="shared" si="8"/>
        <v>-0.10802771311090043</v>
      </c>
      <c r="X47" s="5">
        <f t="shared" si="8"/>
        <v>5.0615046895297194E-3</v>
      </c>
      <c r="Y47" s="5">
        <f t="shared" si="2"/>
        <v>0.11083354125419698</v>
      </c>
      <c r="Z47" s="5">
        <f t="shared" si="9"/>
        <v>0.18337982806415842</v>
      </c>
      <c r="AA47" s="5">
        <f t="shared" si="9"/>
        <v>7.5067850736237479E-3</v>
      </c>
      <c r="AB47" s="5">
        <f t="shared" si="3"/>
        <v>8.8953533435486065E-2</v>
      </c>
      <c r="AC47" s="8">
        <f t="shared" si="10"/>
        <v>0.14570377058752942</v>
      </c>
      <c r="AD47" s="8">
        <f t="shared" si="10"/>
        <v>6.2841448815767337E-3</v>
      </c>
      <c r="AE47" s="8">
        <f t="shared" si="10"/>
        <v>9.9893537344841521E-2</v>
      </c>
    </row>
    <row r="48" spans="1:31" x14ac:dyDescent="0.25">
      <c r="A48" s="5">
        <f>'Proximal Validation'!A48</f>
        <v>1.4313963908</v>
      </c>
      <c r="B48" s="5">
        <f>'Proximal Validation'!B48</f>
        <v>0.2</v>
      </c>
      <c r="C48" s="5">
        <f>'Proximal Validation'!C48</f>
        <v>5.4977999999999998</v>
      </c>
      <c r="D48" s="5">
        <f>'Proximal Validation'!D48</f>
        <v>0.66088478610000001</v>
      </c>
      <c r="E48" s="5">
        <f>'Proximal Validation'!E48</f>
        <v>0.16</v>
      </c>
      <c r="F48" s="5">
        <f>'Proximal Validation'!F48</f>
        <v>5.4977999999999998</v>
      </c>
      <c r="G48" s="5">
        <f>'Proximal Validation'!G48</f>
        <v>4.6493399877000003</v>
      </c>
      <c r="H48" s="5">
        <f>'Proximal Validation'!H48</f>
        <v>1.9654430356000001</v>
      </c>
      <c r="I48" s="5">
        <f>'Proximal Validation'!I48</f>
        <v>1.6399488998</v>
      </c>
      <c r="J48" s="5">
        <f>'Proximal Validation'!J48</f>
        <v>9.6939438953995705E-3</v>
      </c>
      <c r="K48" s="5">
        <f>'Proximal Validation'!K48</f>
        <v>0.27004351437091834</v>
      </c>
      <c r="L48" s="5">
        <f>'Proximal Validation'!L48</f>
        <v>0.19298106670379606</v>
      </c>
      <c r="M48" s="5">
        <f>'Proximal Validation'!M48</f>
        <v>-1.59077119827271</v>
      </c>
      <c r="N48" s="5">
        <f>'Proximal Validation'!N48</f>
        <v>0.70686304569244396</v>
      </c>
      <c r="O48" s="5">
        <f>'Proximal Validation'!O48</f>
        <v>-0.98475259542465199</v>
      </c>
      <c r="P48" s="5">
        <v>1.4999373141527581</v>
      </c>
      <c r="Q48" s="5">
        <v>0.19369315019446082</v>
      </c>
      <c r="R48" s="5">
        <v>4.7100759470024602</v>
      </c>
      <c r="S48" s="5">
        <v>1.4699817929731498</v>
      </c>
      <c r="T48" s="5">
        <v>0.17257413292589924</v>
      </c>
      <c r="U48" s="5">
        <v>2.2638831426403845E-5</v>
      </c>
      <c r="V48" s="13">
        <v>1.3354063042090282E-4</v>
      </c>
      <c r="W48" s="5">
        <f t="shared" si="8"/>
        <v>6.8540923352758076E-2</v>
      </c>
      <c r="X48" s="5">
        <f t="shared" si="8"/>
        <v>-6.3068498055391942E-3</v>
      </c>
      <c r="Y48" s="5">
        <f t="shared" si="2"/>
        <v>0.78772405299753956</v>
      </c>
      <c r="Z48" s="5">
        <f t="shared" si="9"/>
        <v>0.80909700687314978</v>
      </c>
      <c r="AA48" s="5">
        <f t="shared" si="9"/>
        <v>1.2574132925899234E-2</v>
      </c>
      <c r="AB48" s="5">
        <f t="shared" si="3"/>
        <v>0.78540794601101283</v>
      </c>
      <c r="AC48" s="8">
        <f t="shared" si="10"/>
        <v>0.43881896511295393</v>
      </c>
      <c r="AD48" s="8">
        <f t="shared" si="10"/>
        <v>9.4404913657192141E-3</v>
      </c>
      <c r="AE48" s="8">
        <f t="shared" si="10"/>
        <v>0.78656599950427619</v>
      </c>
    </row>
    <row r="49" spans="1:31" x14ac:dyDescent="0.25">
      <c r="A49" s="5">
        <f>'Proximal Validation'!A49</f>
        <v>1.1008731407000001</v>
      </c>
      <c r="B49" s="5">
        <f>'Proximal Validation'!B49</f>
        <v>0.12</v>
      </c>
      <c r="C49" s="5">
        <f>'Proximal Validation'!C49</f>
        <v>4.7123999999999997</v>
      </c>
      <c r="D49" s="5">
        <f>'Proximal Validation'!D49</f>
        <v>1.0118865585000001</v>
      </c>
      <c r="E49" s="5">
        <f>'Proximal Validation'!E49</f>
        <v>0.08</v>
      </c>
      <c r="F49" s="5">
        <f>'Proximal Validation'!F49</f>
        <v>0</v>
      </c>
      <c r="G49" s="5">
        <f>'Proximal Validation'!G49</f>
        <v>2.5804466663999999</v>
      </c>
      <c r="H49" s="5">
        <f>'Proximal Validation'!H49</f>
        <v>2.8020908323999998</v>
      </c>
      <c r="I49" s="5">
        <f>'Proximal Validation'!I49</f>
        <v>1.4209598912000001</v>
      </c>
      <c r="J49" s="5">
        <f>'Proximal Validation'!J49</f>
        <v>-2.7996068820357301E-4</v>
      </c>
      <c r="K49" s="5">
        <f>'Proximal Validation'!K49</f>
        <v>0.13670089662075013</v>
      </c>
      <c r="L49" s="5">
        <f>'Proximal Validation'!L49</f>
        <v>7.6257542371749601E-2</v>
      </c>
      <c r="M49" s="5">
        <f>'Proximal Validation'!M49</f>
        <v>-0.204482272267342</v>
      </c>
      <c r="N49" s="5">
        <f>'Proximal Validation'!N49</f>
        <v>0.90759164094924905</v>
      </c>
      <c r="O49" s="5">
        <f>'Proximal Validation'!O49</f>
        <v>-1.08108770847321</v>
      </c>
      <c r="P49" s="5">
        <v>1.2350448099690783</v>
      </c>
      <c r="Q49" s="5">
        <v>0.11782359945003269</v>
      </c>
      <c r="R49" s="5">
        <v>5.0224287138720243</v>
      </c>
      <c r="S49" s="5">
        <v>0.5998680822199276</v>
      </c>
      <c r="T49" s="5">
        <v>5.7715725686606628E-2</v>
      </c>
      <c r="U49" s="5">
        <v>0.13233268192144815</v>
      </c>
      <c r="V49" s="13">
        <v>7.6848197918050716E-7</v>
      </c>
      <c r="W49" s="5">
        <f t="shared" si="8"/>
        <v>0.1341716692690782</v>
      </c>
      <c r="X49" s="5">
        <f t="shared" si="8"/>
        <v>-2.1764005499673028E-3</v>
      </c>
      <c r="Y49" s="5">
        <f t="shared" si="2"/>
        <v>0.31002871387202457</v>
      </c>
      <c r="Z49" s="5">
        <f t="shared" si="9"/>
        <v>-0.41201847628007249</v>
      </c>
      <c r="AA49" s="5">
        <f t="shared" si="9"/>
        <v>-2.2284274313393374E-2</v>
      </c>
      <c r="AB49" s="5">
        <f t="shared" si="3"/>
        <v>0.13233268192144815</v>
      </c>
      <c r="AC49" s="8">
        <f t="shared" si="10"/>
        <v>0.27309507277457534</v>
      </c>
      <c r="AD49" s="8">
        <f t="shared" si="10"/>
        <v>1.2230337431680338E-2</v>
      </c>
      <c r="AE49" s="8">
        <f t="shared" si="10"/>
        <v>0.22118069789673636</v>
      </c>
    </row>
    <row r="50" spans="1:31" x14ac:dyDescent="0.25">
      <c r="A50" s="5">
        <f>'Proximal Validation'!A50</f>
        <v>1.1548404238000001</v>
      </c>
      <c r="B50" s="5">
        <f>'Proximal Validation'!B50</f>
        <v>0.06</v>
      </c>
      <c r="C50" s="5">
        <f>'Proximal Validation'!C50</f>
        <v>0</v>
      </c>
      <c r="D50" s="5">
        <f>'Proximal Validation'!D50</f>
        <v>0.95560731600000004</v>
      </c>
      <c r="E50" s="5">
        <f>'Proximal Validation'!E50</f>
        <v>0.02</v>
      </c>
      <c r="F50" s="5">
        <f>'Proximal Validation'!F50</f>
        <v>5.4977999999999998</v>
      </c>
      <c r="G50" s="5">
        <f>'Proximal Validation'!G50</f>
        <v>1.7445767312</v>
      </c>
      <c r="H50" s="5">
        <f>'Proximal Validation'!H50</f>
        <v>3.9458122761999999</v>
      </c>
      <c r="I50" s="5">
        <f>'Proximal Validation'!I50</f>
        <v>4.9189190299999996</v>
      </c>
      <c r="J50" s="5">
        <f>'Proximal Validation'!J50</f>
        <v>6.5085850656032595E-4</v>
      </c>
      <c r="K50" s="5">
        <f>'Proximal Validation'!K50</f>
        <v>1.3685224652290398E-2</v>
      </c>
      <c r="L50" s="5">
        <f>'Proximal Validation'!L50</f>
        <v>8.8795118331908507E-2</v>
      </c>
      <c r="M50" s="5">
        <f>'Proximal Validation'!M50</f>
        <v>-7.4454337358474704E-2</v>
      </c>
      <c r="N50" s="5">
        <f>'Proximal Validation'!N50</f>
        <v>1.8312971591949501</v>
      </c>
      <c r="O50" s="5">
        <f>'Proximal Validation'!O50</f>
        <v>-0.74528855085372903</v>
      </c>
      <c r="P50" s="5">
        <v>1.33253343626703</v>
      </c>
      <c r="Q50" s="5">
        <v>5.3686051378543348E-2</v>
      </c>
      <c r="R50" s="5">
        <v>3.0565715602450393E-13</v>
      </c>
      <c r="S50" s="5">
        <v>0.49834062444097454</v>
      </c>
      <c r="T50" s="5">
        <v>2.6762202487923457E-2</v>
      </c>
      <c r="U50" s="5">
        <v>9.5083739497467677E-13</v>
      </c>
      <c r="V50" s="13">
        <v>1.4222265781457669E-3</v>
      </c>
      <c r="W50" s="5">
        <f t="shared" si="8"/>
        <v>0.17769301246702995</v>
      </c>
      <c r="X50" s="5">
        <f t="shared" si="8"/>
        <v>-6.3139486214566498E-3</v>
      </c>
      <c r="Y50" s="5">
        <f t="shared" si="2"/>
        <v>3.0565715602450393E-13</v>
      </c>
      <c r="Z50" s="5">
        <f t="shared" si="9"/>
        <v>-0.4572666915590255</v>
      </c>
      <c r="AA50" s="5">
        <f t="shared" si="9"/>
        <v>6.762202487923457E-3</v>
      </c>
      <c r="AB50" s="5">
        <f t="shared" si="3"/>
        <v>0.78538530718053767</v>
      </c>
      <c r="AC50" s="8">
        <f t="shared" si="10"/>
        <v>0.31747985201302775</v>
      </c>
      <c r="AD50" s="8">
        <f t="shared" si="10"/>
        <v>6.5380755546900534E-3</v>
      </c>
      <c r="AE50" s="8">
        <f t="shared" si="10"/>
        <v>0.39269265359042166</v>
      </c>
    </row>
    <row r="51" spans="1:31" x14ac:dyDescent="0.25">
      <c r="A51" s="5">
        <f>'Proximal Validation'!A51</f>
        <v>1.1816252039999999</v>
      </c>
      <c r="B51" s="5">
        <f>'Proximal Validation'!B51</f>
        <v>0.08</v>
      </c>
      <c r="C51" s="5">
        <f>'Proximal Validation'!C51</f>
        <v>1.5708</v>
      </c>
      <c r="D51" s="5">
        <f>'Proximal Validation'!D51</f>
        <v>0.57227119820000005</v>
      </c>
      <c r="E51" s="5">
        <f>'Proximal Validation'!E51</f>
        <v>0.04</v>
      </c>
      <c r="F51" s="5">
        <f>'Proximal Validation'!F51</f>
        <v>0.78539999999999999</v>
      </c>
      <c r="G51" s="5">
        <f>'Proximal Validation'!G51</f>
        <v>1.4076592733</v>
      </c>
      <c r="H51" s="5">
        <f>'Proximal Validation'!H51</f>
        <v>1.3192874408999999</v>
      </c>
      <c r="I51" s="5">
        <f>'Proximal Validation'!I51</f>
        <v>2.6835966308999999</v>
      </c>
      <c r="J51" s="5">
        <f>'Proximal Validation'!J51</f>
        <v>3.1095910817384698E-3</v>
      </c>
      <c r="K51" s="5">
        <f>'Proximal Validation'!K51</f>
        <v>-0.11641326785087583</v>
      </c>
      <c r="L51" s="5">
        <f>'Proximal Validation'!L51</f>
        <v>2.1091862171888361E-2</v>
      </c>
      <c r="M51" s="5">
        <f>'Proximal Validation'!M51</f>
        <v>-4.1034575551748297E-2</v>
      </c>
      <c r="N51" s="5">
        <f>'Proximal Validation'!N51</f>
        <v>0.43968373537063599</v>
      </c>
      <c r="O51" s="5">
        <f>'Proximal Validation'!O51</f>
        <v>1.5314247608184799</v>
      </c>
      <c r="P51" s="5">
        <v>0.77551829697578656</v>
      </c>
      <c r="Q51" s="5">
        <v>9.5904747588463179E-2</v>
      </c>
      <c r="R51" s="5">
        <v>1.6294391436964109</v>
      </c>
      <c r="S51" s="5">
        <v>0.9169518800346802</v>
      </c>
      <c r="T51" s="5">
        <v>4.8275536983500296E-2</v>
      </c>
      <c r="U51" s="5">
        <v>1.0395920538260695</v>
      </c>
      <c r="V51" s="13">
        <v>1.6618584263044021E-6</v>
      </c>
      <c r="W51" s="5">
        <f t="shared" si="8"/>
        <v>-0.40610690702421337</v>
      </c>
      <c r="X51" s="5">
        <f t="shared" si="8"/>
        <v>1.5904747588463178E-2</v>
      </c>
      <c r="Y51" s="5">
        <f t="shared" si="2"/>
        <v>5.8639143696410878E-2</v>
      </c>
      <c r="Z51" s="5">
        <f t="shared" si="9"/>
        <v>0.34468068183468015</v>
      </c>
      <c r="AA51" s="5">
        <f t="shared" si="9"/>
        <v>8.2755369835002951E-3</v>
      </c>
      <c r="AB51" s="5">
        <f t="shared" si="3"/>
        <v>0.25419205382606946</v>
      </c>
      <c r="AC51" s="8">
        <f t="shared" si="10"/>
        <v>0.37539379442944676</v>
      </c>
      <c r="AD51" s="8">
        <f t="shared" si="10"/>
        <v>1.2090142285981736E-2</v>
      </c>
      <c r="AE51" s="8">
        <f t="shared" si="10"/>
        <v>0.15641559876124017</v>
      </c>
    </row>
    <row r="52" spans="1:31" x14ac:dyDescent="0.25">
      <c r="A52" s="21">
        <f>'Proximal Validation'!A52</f>
        <v>0.93729510640000002</v>
      </c>
      <c r="B52" s="21">
        <f>'Proximal Validation'!B52</f>
        <v>0.14000000000000001</v>
      </c>
      <c r="C52" s="21">
        <f>'Proximal Validation'!C52</f>
        <v>0.78539999999999999</v>
      </c>
      <c r="D52" s="21">
        <f>'Proximal Validation'!D52</f>
        <v>0.49250416219999998</v>
      </c>
      <c r="E52" s="21">
        <f>'Proximal Validation'!E52</f>
        <v>0.1</v>
      </c>
      <c r="F52" s="21">
        <f>'Proximal Validation'!F52</f>
        <v>0</v>
      </c>
      <c r="G52" s="21">
        <f>'Proximal Validation'!G52</f>
        <v>0.50502447429999997</v>
      </c>
      <c r="H52" s="21">
        <f>'Proximal Validation'!H52</f>
        <v>3.7817597896000001</v>
      </c>
      <c r="I52" s="21">
        <f>'Proximal Validation'!I52</f>
        <v>0.94479070089999995</v>
      </c>
      <c r="J52" s="21">
        <f>'Proximal Validation'!J52</f>
        <v>-1.50781311094761E-3</v>
      </c>
      <c r="K52" s="21">
        <f>'Proximal Validation'!K52</f>
        <v>-9.7985811829566921E-2</v>
      </c>
      <c r="L52" s="21">
        <f>'Proximal Validation'!L52</f>
        <v>0.1436945205926892</v>
      </c>
      <c r="M52" s="21">
        <f>'Proximal Validation'!M52</f>
        <v>-0.18748980760574299</v>
      </c>
      <c r="N52" s="21">
        <f>'Proximal Validation'!N52</f>
        <v>1.07943332195282</v>
      </c>
      <c r="O52" s="21">
        <f>'Proximal Validation'!O52</f>
        <v>0.62157618999481201</v>
      </c>
      <c r="P52" s="5">
        <v>0.76970039300271065</v>
      </c>
      <c r="Q52" s="5">
        <v>0.1401092306356089</v>
      </c>
      <c r="R52" s="5">
        <v>1.0800970218056363</v>
      </c>
      <c r="S52" s="5">
        <v>0.77030431169328817</v>
      </c>
      <c r="T52" s="5">
        <v>0.11906765076952187</v>
      </c>
      <c r="U52" s="5">
        <v>9.3138067257290112E-5</v>
      </c>
      <c r="V52" s="13">
        <v>1.0455682157874942E-5</v>
      </c>
      <c r="W52" s="5">
        <f t="shared" si="8"/>
        <v>-0.16759471339728937</v>
      </c>
      <c r="X52" s="5">
        <f t="shared" si="8"/>
        <v>1.0923063560888679E-4</v>
      </c>
      <c r="Y52" s="5">
        <f t="shared" si="2"/>
        <v>0.29469702180563628</v>
      </c>
      <c r="Z52" s="5">
        <f t="shared" si="9"/>
        <v>0.27780014949328818</v>
      </c>
      <c r="AA52" s="5">
        <f t="shared" si="9"/>
        <v>1.9067650769521868E-2</v>
      </c>
      <c r="AB52" s="5">
        <f t="shared" si="3"/>
        <v>9.3138067257290112E-5</v>
      </c>
      <c r="AC52" s="8">
        <f t="shared" si="10"/>
        <v>0.22269743144528878</v>
      </c>
      <c r="AD52" s="8">
        <f t="shared" si="10"/>
        <v>9.5884407025653776E-3</v>
      </c>
      <c r="AE52" s="8">
        <f t="shared" si="10"/>
        <v>0.14739507993644679</v>
      </c>
    </row>
    <row r="54" spans="1:31" x14ac:dyDescent="0.25">
      <c r="AC54" s="22"/>
      <c r="AD54" s="22"/>
      <c r="AE54" s="22"/>
    </row>
  </sheetData>
  <mergeCells count="6">
    <mergeCell ref="AF5:AK5"/>
    <mergeCell ref="A1:I1"/>
    <mergeCell ref="J1:O1"/>
    <mergeCell ref="P1:V1"/>
    <mergeCell ref="W1:AE1"/>
    <mergeCell ref="AF2:AK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603A-AB11-46D9-A542-C87F045AD3A6}">
  <dimension ref="A1:AK54"/>
  <sheetViews>
    <sheetView zoomScale="85" zoomScaleNormal="85" workbookViewId="0">
      <pane ySplit="2" topLeftCell="A3" activePane="bottomLeft" state="frozen"/>
      <selection activeCell="K1" sqref="K1"/>
      <selection pane="bottomLeft" activeCell="AF8" sqref="AF8:AG8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1.85546875" bestFit="1" customWidth="1"/>
    <col min="4" max="4" width="6.5703125" bestFit="1" customWidth="1"/>
    <col min="5" max="5" width="6.85546875" bestFit="1" customWidth="1"/>
    <col min="6" max="6" width="11.85546875" bestFit="1" customWidth="1"/>
    <col min="7" max="9" width="8.42578125" bestFit="1" customWidth="1"/>
    <col min="10" max="11" width="8.140625" bestFit="1" customWidth="1"/>
    <col min="12" max="12" width="7.7109375" bestFit="1" customWidth="1"/>
    <col min="13" max="15" width="6.42578125" bestFit="1" customWidth="1"/>
    <col min="16" max="16" width="6.5703125" bestFit="1" customWidth="1"/>
    <col min="17" max="17" width="6.85546875" bestFit="1" customWidth="1"/>
    <col min="18" max="18" width="11.85546875" bestFit="1" customWidth="1"/>
    <col min="19" max="19" width="6.5703125" bestFit="1" customWidth="1"/>
    <col min="20" max="20" width="6.85546875" bestFit="1" customWidth="1"/>
    <col min="21" max="21" width="11.85546875" bestFit="1" customWidth="1"/>
    <col min="22" max="22" width="8" bestFit="1" customWidth="1"/>
    <col min="23" max="23" width="6.5703125" bestFit="1" customWidth="1"/>
    <col min="24" max="24" width="6.85546875" bestFit="1" customWidth="1"/>
    <col min="25" max="25" width="11.85546875" bestFit="1" customWidth="1"/>
    <col min="26" max="26" width="6.5703125" bestFit="1" customWidth="1"/>
    <col min="27" max="27" width="6.85546875" bestFit="1" customWidth="1"/>
    <col min="28" max="28" width="11.85546875" bestFit="1" customWidth="1"/>
    <col min="29" max="29" width="11" bestFit="1" customWidth="1"/>
    <col min="30" max="30" width="13.85546875" bestFit="1" customWidth="1"/>
    <col min="31" max="31" width="11.140625" bestFit="1" customWidth="1"/>
    <col min="32" max="32" width="12" bestFit="1" customWidth="1"/>
    <col min="33" max="33" width="13.85546875" bestFit="1" customWidth="1"/>
    <col min="34" max="34" width="11.85546875" bestFit="1" customWidth="1"/>
    <col min="37" max="37" width="11.85546875" bestFit="1" customWidth="1"/>
  </cols>
  <sheetData>
    <row r="1" spans="1:37" ht="15.75" x14ac:dyDescent="0.25">
      <c r="A1" s="25" t="s">
        <v>11</v>
      </c>
      <c r="B1" s="25"/>
      <c r="C1" s="25"/>
      <c r="D1" s="25"/>
      <c r="E1" s="25"/>
      <c r="F1" s="25"/>
      <c r="G1" s="25"/>
      <c r="H1" s="25"/>
      <c r="I1" s="26"/>
      <c r="J1" s="27" t="s">
        <v>6</v>
      </c>
      <c r="K1" s="28"/>
      <c r="L1" s="28"/>
      <c r="M1" s="28"/>
      <c r="N1" s="28"/>
      <c r="O1" s="28"/>
      <c r="P1" s="29" t="s">
        <v>7</v>
      </c>
      <c r="Q1" s="30"/>
      <c r="R1" s="30"/>
      <c r="S1" s="30"/>
      <c r="T1" s="30"/>
      <c r="U1" s="30"/>
      <c r="V1" s="30"/>
      <c r="W1" s="31" t="s">
        <v>13</v>
      </c>
      <c r="X1" s="31"/>
      <c r="Y1" s="31"/>
      <c r="Z1" s="31"/>
      <c r="AA1" s="31"/>
      <c r="AB1" s="31"/>
      <c r="AC1" s="31"/>
      <c r="AD1" s="31"/>
      <c r="AE1" s="31"/>
      <c r="AF1" s="20" t="s">
        <v>31</v>
      </c>
      <c r="AG1" s="20"/>
      <c r="AH1" s="20"/>
      <c r="AI1" s="20"/>
      <c r="AJ1" s="20"/>
      <c r="AK1" s="20"/>
    </row>
    <row r="2" spans="1:37" ht="15.75" x14ac:dyDescent="0.25">
      <c r="A2" s="1" t="s">
        <v>22</v>
      </c>
      <c r="B2" s="1" t="s">
        <v>23</v>
      </c>
      <c r="C2" s="1" t="s">
        <v>33</v>
      </c>
      <c r="D2" s="1" t="s">
        <v>24</v>
      </c>
      <c r="E2" s="1" t="s">
        <v>25</v>
      </c>
      <c r="F2" s="1" t="s">
        <v>34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22</v>
      </c>
      <c r="Q2" s="1" t="s">
        <v>23</v>
      </c>
      <c r="R2" s="1" t="s">
        <v>33</v>
      </c>
      <c r="S2" s="1" t="s">
        <v>24</v>
      </c>
      <c r="T2" s="1" t="s">
        <v>25</v>
      </c>
      <c r="U2" s="1" t="s">
        <v>34</v>
      </c>
      <c r="V2" s="2" t="s">
        <v>32</v>
      </c>
      <c r="W2" s="3" t="s">
        <v>22</v>
      </c>
      <c r="X2" s="1" t="s">
        <v>23</v>
      </c>
      <c r="Y2" s="1" t="s">
        <v>33</v>
      </c>
      <c r="Z2" s="1" t="s">
        <v>24</v>
      </c>
      <c r="AA2" s="1" t="s">
        <v>25</v>
      </c>
      <c r="AB2" s="1" t="s">
        <v>34</v>
      </c>
      <c r="AC2" s="6" t="s">
        <v>28</v>
      </c>
      <c r="AD2" s="6" t="s">
        <v>29</v>
      </c>
      <c r="AE2" s="6" t="s">
        <v>30</v>
      </c>
      <c r="AF2" s="32" t="s">
        <v>26</v>
      </c>
      <c r="AG2" s="32"/>
      <c r="AH2" s="32"/>
      <c r="AI2" s="32"/>
      <c r="AJ2" s="32"/>
      <c r="AK2" s="32"/>
    </row>
    <row r="3" spans="1:37" ht="15.75" x14ac:dyDescent="0.25">
      <c r="A3" s="5">
        <f>'Proximal Validation'!A3</f>
        <v>0.57634630980000001</v>
      </c>
      <c r="B3" s="5">
        <f>'Proximal Validation'!B3</f>
        <v>0.2</v>
      </c>
      <c r="C3" s="5">
        <f>'Proximal Validation'!C3</f>
        <v>0.78539999999999999</v>
      </c>
      <c r="D3" s="5">
        <f>'Proximal Validation'!D3</f>
        <v>1.1398024601000001</v>
      </c>
      <c r="E3" s="5">
        <f>'Proximal Validation'!E3</f>
        <v>0.02</v>
      </c>
      <c r="F3" s="5">
        <f>'Proximal Validation'!F3</f>
        <v>5.4977999999999998</v>
      </c>
      <c r="G3" s="5">
        <f>'Proximal Validation'!G3</f>
        <v>0.49272223679999999</v>
      </c>
      <c r="H3" s="5">
        <f>'Proximal Validation'!H3</f>
        <v>4.4756011583999999</v>
      </c>
      <c r="I3" s="5">
        <f>'Proximal Validation'!I3</f>
        <v>4.1915536561</v>
      </c>
      <c r="J3" s="5">
        <f>'Proximal Validation'!J3</f>
        <v>-4.8483535647392299E-3</v>
      </c>
      <c r="K3" s="5">
        <f>'Proximal Validation'!K3</f>
        <v>-4.9299089163541775E-2</v>
      </c>
      <c r="L3" s="5">
        <f>'Proximal Validation'!L3</f>
        <v>0.11311967670917589</v>
      </c>
      <c r="M3" s="5">
        <f>'Proximal Validation'!M3</f>
        <v>-9.3563906848430606E-2</v>
      </c>
      <c r="N3" s="5">
        <f>'Proximal Validation'!N3</f>
        <v>1.13720595836639</v>
      </c>
      <c r="O3" s="5">
        <f>'Proximal Validation'!O3</f>
        <v>-0.73825818300247203</v>
      </c>
      <c r="P3" s="5">
        <v>0.30005353016149955</v>
      </c>
      <c r="Q3" s="5">
        <v>0.1999959575883106</v>
      </c>
      <c r="R3" s="5">
        <v>1.2023905497568799</v>
      </c>
      <c r="S3" s="5">
        <v>1.1040275149359409</v>
      </c>
      <c r="T3" s="5">
        <v>6.8042566338468474E-2</v>
      </c>
      <c r="U3" s="5">
        <v>2.8076729277097112E-14</v>
      </c>
      <c r="V3" s="13">
        <v>1.2482455787473975E-3</v>
      </c>
      <c r="W3" s="5">
        <f t="shared" ref="W3:AA18" si="0">P3-A3</f>
        <v>-0.27629277963850046</v>
      </c>
      <c r="X3" s="5">
        <f t="shared" si="0"/>
        <v>-4.042411689414438E-6</v>
      </c>
      <c r="Y3" s="5">
        <f>MIN(ABS(R3-C3),2*PI()-ABS(R3-C3))</f>
        <v>0.41699054975687988</v>
      </c>
      <c r="Z3" s="5">
        <f t="shared" si="0"/>
        <v>-3.5774945164059213E-2</v>
      </c>
      <c r="AA3" s="5">
        <f t="shared" si="0"/>
        <v>4.804256633846847E-2</v>
      </c>
      <c r="AB3" s="5">
        <f>MIN(ABS(U3-F3),2*PI()-ABS(U3-F3))</f>
        <v>0.78538530717961486</v>
      </c>
      <c r="AC3" s="8">
        <f t="shared" ref="AC3:AE18" si="1">AVERAGE(ABS(W3),ABS(Z3))</f>
        <v>0.15603386240127984</v>
      </c>
      <c r="AD3" s="8">
        <f t="shared" si="1"/>
        <v>2.4023304375078942E-2</v>
      </c>
      <c r="AE3" s="8">
        <f t="shared" si="1"/>
        <v>0.60118792846824731</v>
      </c>
      <c r="AF3" s="1" t="s">
        <v>22</v>
      </c>
      <c r="AG3" s="1" t="s">
        <v>23</v>
      </c>
      <c r="AH3" s="1" t="s">
        <v>33</v>
      </c>
      <c r="AI3" s="1" t="s">
        <v>24</v>
      </c>
      <c r="AJ3" s="1" t="s">
        <v>25</v>
      </c>
      <c r="AK3" s="1" t="s">
        <v>34</v>
      </c>
    </row>
    <row r="4" spans="1:37" x14ac:dyDescent="0.25">
      <c r="A4" s="5">
        <f>'Proximal Validation'!A4</f>
        <v>1.2961945501000001</v>
      </c>
      <c r="B4" s="5">
        <f>'Proximal Validation'!B4</f>
        <v>0.2</v>
      </c>
      <c r="C4" s="5">
        <f>'Proximal Validation'!C4</f>
        <v>4.7123999999999997</v>
      </c>
      <c r="D4" s="5">
        <f>'Proximal Validation'!D4</f>
        <v>0.31907560010000002</v>
      </c>
      <c r="E4" s="5">
        <f>'Proximal Validation'!E4</f>
        <v>0.02</v>
      </c>
      <c r="F4" s="5">
        <f>'Proximal Validation'!F4</f>
        <v>1.5708</v>
      </c>
      <c r="G4" s="5">
        <f>'Proximal Validation'!G4</f>
        <v>0.53253118440000002</v>
      </c>
      <c r="H4" s="5">
        <f>'Proximal Validation'!H4</f>
        <v>1.6232893740000001</v>
      </c>
      <c r="I4" s="5">
        <f>'Proximal Validation'!I4</f>
        <v>9.6932284100000002E-2</v>
      </c>
      <c r="J4" s="5">
        <f>'Proximal Validation'!J4</f>
        <v>-2.2787048947066099E-3</v>
      </c>
      <c r="K4" s="5">
        <f>'Proximal Validation'!K4</f>
        <v>0.23746988892555226</v>
      </c>
      <c r="L4" s="5">
        <f>'Proximal Validation'!L4</f>
        <v>-3.8131318800151311E-3</v>
      </c>
      <c r="M4" s="5">
        <f>'Proximal Validation'!M4</f>
        <v>-0.78536403179168701</v>
      </c>
      <c r="N4" s="5">
        <f>'Proximal Validation'!N4</f>
        <v>-2.54362337291241E-2</v>
      </c>
      <c r="O4" s="5">
        <f>'Proximal Validation'!O4</f>
        <v>-0.55368435382842995</v>
      </c>
      <c r="P4" s="5">
        <v>1.025153086314686</v>
      </c>
      <c r="Q4" s="5">
        <v>0.19999999999996648</v>
      </c>
      <c r="R4" s="5">
        <v>4.9537952349241525</v>
      </c>
      <c r="S4" s="5">
        <v>0.34735988017693892</v>
      </c>
      <c r="T4" s="5">
        <v>0.19999999998876405</v>
      </c>
      <c r="U4" s="5">
        <v>3.9281559523060876</v>
      </c>
      <c r="V4" s="13">
        <v>2.3235587076335954E-4</v>
      </c>
      <c r="W4" s="5">
        <f t="shared" si="0"/>
        <v>-0.27104146378531402</v>
      </c>
      <c r="X4" s="5">
        <f t="shared" si="0"/>
        <v>-3.3528735343679728E-14</v>
      </c>
      <c r="Y4" s="5">
        <f t="shared" ref="Y4:Y52" si="2">MIN(ABS(R4-C4),2*PI()-ABS(R4-C4))</f>
        <v>0.24139523492415282</v>
      </c>
      <c r="Z4" s="5">
        <f t="shared" si="0"/>
        <v>2.8284280076938895E-2</v>
      </c>
      <c r="AA4" s="5">
        <f t="shared" si="0"/>
        <v>0.17999999998876406</v>
      </c>
      <c r="AB4" s="5">
        <f t="shared" ref="AB4:AB52" si="3">MIN(ABS(U4-F4),2*PI()-ABS(U4-F4))</f>
        <v>2.3573559523060874</v>
      </c>
      <c r="AC4" s="8">
        <f t="shared" si="1"/>
        <v>0.14966287193112646</v>
      </c>
      <c r="AD4" s="8">
        <f t="shared" si="1"/>
        <v>8.9999999994398797E-2</v>
      </c>
      <c r="AE4" s="8">
        <f t="shared" si="1"/>
        <v>1.2993755936151201</v>
      </c>
      <c r="AF4" s="7" cm="1">
        <f t="array" ref="AF4">AVERAGE(ABS(W3:W52))</f>
        <v>0.1655276813924047</v>
      </c>
      <c r="AG4" s="7" cm="1">
        <f t="array" ref="AG4">AVERAGE(ABS(X3:X52))</f>
        <v>1.7229482792244035E-2</v>
      </c>
      <c r="AH4" s="7" cm="1">
        <f t="array" ref="AH4">AVERAGE(ABS(Y3:Y52))</f>
        <v>0.20978998329722909</v>
      </c>
      <c r="AI4" s="7" cm="1">
        <f t="array" ref="AI4">AVERAGE(ABS(Z3:Z52))</f>
        <v>0.19678394644662534</v>
      </c>
      <c r="AJ4" s="7" cm="1">
        <f t="array" ref="AJ4">AVERAGE(ABS(AA3:AA52))</f>
        <v>2.2567395190569706E-2</v>
      </c>
      <c r="AK4" s="7" cm="1">
        <f t="array" ref="AK4">AVERAGE(ABS(AB3:AB52))</f>
        <v>0.3818888958352053</v>
      </c>
    </row>
    <row r="5" spans="1:37" x14ac:dyDescent="0.25">
      <c r="A5" s="5">
        <f>'Proximal Validation'!A5</f>
        <v>0.3432844504</v>
      </c>
      <c r="B5" s="5">
        <f>'Proximal Validation'!B5</f>
        <v>0.2</v>
      </c>
      <c r="C5" s="5">
        <f>'Proximal Validation'!C5</f>
        <v>3.1415999999999999</v>
      </c>
      <c r="D5" s="5">
        <f>'Proximal Validation'!D5</f>
        <v>0.75633386430000005</v>
      </c>
      <c r="E5" s="5">
        <f>'Proximal Validation'!E5</f>
        <v>0.02</v>
      </c>
      <c r="F5" s="5">
        <f>'Proximal Validation'!F5</f>
        <v>3.1415999999999999</v>
      </c>
      <c r="G5" s="5">
        <f>'Proximal Validation'!G5</f>
        <v>3.5593988404000001</v>
      </c>
      <c r="H5" s="5">
        <f>'Proximal Validation'!H5</f>
        <v>2.6173593599</v>
      </c>
      <c r="I5" s="5">
        <f>'Proximal Validation'!I5</f>
        <v>2.7214845023000001</v>
      </c>
      <c r="J5" s="5">
        <f>'Proximal Validation'!J5</f>
        <v>2.7396343648433698E-3</v>
      </c>
      <c r="K5" s="5">
        <f>'Proximal Validation'!K5</f>
        <v>2.7901530265808086E-5</v>
      </c>
      <c r="L5" s="5">
        <f>'Proximal Validation'!L5</f>
        <v>-8.8981522321701062E-2</v>
      </c>
      <c r="M5" s="5">
        <f>'Proximal Validation'!M5</f>
        <v>-7.5504761189222301E-3</v>
      </c>
      <c r="N5" s="5">
        <f>'Proximal Validation'!N5</f>
        <v>-0.98192942142486594</v>
      </c>
      <c r="O5" s="5">
        <f>'Proximal Validation'!O5</f>
        <v>4.0116310119628898E-3</v>
      </c>
      <c r="P5" s="5">
        <v>0.42780062142294734</v>
      </c>
      <c r="Q5" s="5">
        <v>0.16198870349149802</v>
      </c>
      <c r="R5" s="5">
        <v>3.1423534516774181</v>
      </c>
      <c r="S5" s="5">
        <v>0.67084137095079044</v>
      </c>
      <c r="T5" s="5">
        <v>2.0042706006486749E-2</v>
      </c>
      <c r="U5" s="5">
        <v>3.1421355755377101</v>
      </c>
      <c r="V5" s="13">
        <v>1.1234484764826178E-7</v>
      </c>
      <c r="W5" s="5">
        <f t="shared" si="0"/>
        <v>8.451617102294734E-2</v>
      </c>
      <c r="X5" s="5">
        <f t="shared" si="0"/>
        <v>-3.801129650850199E-2</v>
      </c>
      <c r="Y5" s="5">
        <f t="shared" si="2"/>
        <v>7.5345167741813768E-4</v>
      </c>
      <c r="Z5" s="5">
        <f t="shared" si="0"/>
        <v>-8.5492493349209608E-2</v>
      </c>
      <c r="AA5" s="5">
        <f t="shared" si="0"/>
        <v>4.2706006486748632E-5</v>
      </c>
      <c r="AB5" s="5">
        <f t="shared" si="3"/>
        <v>5.3557553771010902E-4</v>
      </c>
      <c r="AC5" s="9">
        <f t="shared" si="1"/>
        <v>8.5004332186078474E-2</v>
      </c>
      <c r="AD5" s="9">
        <f t="shared" si="1"/>
        <v>1.9027001257494368E-2</v>
      </c>
      <c r="AE5" s="9">
        <f t="shared" si="1"/>
        <v>6.4451360756412335E-4</v>
      </c>
      <c r="AF5" s="23" t="s">
        <v>27</v>
      </c>
      <c r="AG5" s="24"/>
      <c r="AH5" s="24"/>
      <c r="AI5" s="24"/>
      <c r="AJ5" s="24"/>
      <c r="AK5" s="24"/>
    </row>
    <row r="6" spans="1:37" x14ac:dyDescent="0.25">
      <c r="A6" s="5">
        <f>'Proximal Validation'!A6</f>
        <v>0.83277602429999997</v>
      </c>
      <c r="B6" s="5">
        <f>'Proximal Validation'!B6</f>
        <v>0.2</v>
      </c>
      <c r="C6" s="5">
        <f>'Proximal Validation'!C6</f>
        <v>4.7123999999999997</v>
      </c>
      <c r="D6" s="5">
        <f>'Proximal Validation'!D6</f>
        <v>1.4193655153</v>
      </c>
      <c r="E6" s="5">
        <f>'Proximal Validation'!E6</f>
        <v>0.04</v>
      </c>
      <c r="F6" s="5">
        <f>'Proximal Validation'!F6</f>
        <v>5.4977999999999998</v>
      </c>
      <c r="G6" s="5">
        <f>'Proximal Validation'!G6</f>
        <v>4.2084858911999996</v>
      </c>
      <c r="H6" s="5">
        <f>'Proximal Validation'!H6</f>
        <v>0.52916698419999997</v>
      </c>
      <c r="I6" s="5">
        <f>'Proximal Validation'!I6</f>
        <v>2.5150427606000001</v>
      </c>
      <c r="J6" s="5">
        <f>'Proximal Validation'!J6</f>
        <v>-1.43141560256481E-2</v>
      </c>
      <c r="K6" s="5">
        <f>'Proximal Validation'!K6</f>
        <v>0.19910913825035079</v>
      </c>
      <c r="L6" s="5">
        <f>'Proximal Validation'!L6</f>
        <v>2.9508465230465089E-2</v>
      </c>
      <c r="M6" s="5">
        <f>'Proximal Validation'!M6</f>
        <v>-0.46529781818389898</v>
      </c>
      <c r="N6" s="5">
        <f>'Proximal Validation'!N6</f>
        <v>0.80010873079299905</v>
      </c>
      <c r="O6" s="5">
        <f>'Proximal Validation'!O6</f>
        <v>-1.7768694162368801</v>
      </c>
      <c r="P6" s="5">
        <v>0.83837040438438659</v>
      </c>
      <c r="Q6" s="5">
        <v>0.19814646706149924</v>
      </c>
      <c r="R6" s="5">
        <v>4.7126217262235199</v>
      </c>
      <c r="S6" s="5">
        <v>1.4150757534972183</v>
      </c>
      <c r="T6" s="5">
        <v>3.9944825310079257E-2</v>
      </c>
      <c r="U6" s="5">
        <v>5.5006507187929348</v>
      </c>
      <c r="V6" s="13">
        <v>8.3439908288669346E-9</v>
      </c>
      <c r="W6" s="5">
        <f t="shared" si="0"/>
        <v>5.5943800843866187E-3</v>
      </c>
      <c r="X6" s="5">
        <f t="shared" si="0"/>
        <v>-1.8535329385007682E-3</v>
      </c>
      <c r="Y6" s="5">
        <f t="shared" si="2"/>
        <v>2.2172622352023552E-4</v>
      </c>
      <c r="Z6" s="5">
        <f t="shared" si="0"/>
        <v>-4.289761802781733E-3</v>
      </c>
      <c r="AA6" s="5">
        <f t="shared" si="0"/>
        <v>-5.5174689920743647E-5</v>
      </c>
      <c r="AB6" s="5">
        <f t="shared" si="3"/>
        <v>2.8507187929349698E-3</v>
      </c>
      <c r="AC6" s="8">
        <f t="shared" si="1"/>
        <v>4.9420709435841759E-3</v>
      </c>
      <c r="AD6" s="8">
        <f t="shared" si="1"/>
        <v>9.5435381421075591E-4</v>
      </c>
      <c r="AE6" s="8">
        <f t="shared" si="1"/>
        <v>1.5362225082276026E-3</v>
      </c>
      <c r="AF6" s="6" t="s">
        <v>28</v>
      </c>
      <c r="AG6" s="6" t="s">
        <v>29</v>
      </c>
      <c r="AH6" s="6" t="s">
        <v>30</v>
      </c>
      <c r="AI6" s="7"/>
      <c r="AJ6" s="7"/>
      <c r="AK6" s="7"/>
    </row>
    <row r="7" spans="1:37" x14ac:dyDescent="0.25">
      <c r="A7" s="5">
        <f>'Proximal Validation'!A7</f>
        <v>0.3898403909</v>
      </c>
      <c r="B7" s="5">
        <f>'Proximal Validation'!B7</f>
        <v>0.2</v>
      </c>
      <c r="C7" s="5">
        <f>'Proximal Validation'!C7</f>
        <v>1.5708</v>
      </c>
      <c r="D7" s="5">
        <f>'Proximal Validation'!D7</f>
        <v>0.45028828840000001</v>
      </c>
      <c r="E7" s="5">
        <f>'Proximal Validation'!E7</f>
        <v>0.04</v>
      </c>
      <c r="F7" s="5">
        <f>'Proximal Validation'!F7</f>
        <v>2.3561999999999999</v>
      </c>
      <c r="G7" s="5">
        <f>'Proximal Validation'!G7</f>
        <v>0.34676129480000001</v>
      </c>
      <c r="H7" s="5">
        <f>'Proximal Validation'!H7</f>
        <v>0.93612470940000003</v>
      </c>
      <c r="I7" s="5">
        <f>'Proximal Validation'!I7</f>
        <v>2.0702513480000002</v>
      </c>
      <c r="J7" s="5">
        <f>'Proximal Validation'!J7</f>
        <v>-2.77032051235437E-3</v>
      </c>
      <c r="K7" s="5">
        <f>'Proximal Validation'!K7</f>
        <v>-8.7060849666595136E-2</v>
      </c>
      <c r="L7" s="5">
        <f>'Proximal Validation'!L7</f>
        <v>-1.0583339482545799E-2</v>
      </c>
      <c r="M7" s="5">
        <f>'Proximal Validation'!M7</f>
        <v>-2.05973610281944E-2</v>
      </c>
      <c r="N7" s="5">
        <f>'Proximal Validation'!N7</f>
        <v>-0.34849351644516002</v>
      </c>
      <c r="O7" s="5">
        <f>'Proximal Validation'!O7</f>
        <v>0.549818456172943</v>
      </c>
      <c r="P7" s="5">
        <v>0.47050505452255431</v>
      </c>
      <c r="Q7" s="5">
        <v>0.17374168055589437</v>
      </c>
      <c r="R7" s="5">
        <v>1.6073795332619778</v>
      </c>
      <c r="S7" s="5">
        <v>0.38325241467174825</v>
      </c>
      <c r="T7" s="5">
        <v>3.2343177164413893E-2</v>
      </c>
      <c r="U7" s="5">
        <v>2.4738428809394173</v>
      </c>
      <c r="V7" s="13">
        <v>5.2096842168355795E-8</v>
      </c>
      <c r="W7" s="5">
        <f t="shared" si="0"/>
        <v>8.0664663622554311E-2</v>
      </c>
      <c r="X7" s="5">
        <f t="shared" si="0"/>
        <v>-2.6258319444105643E-2</v>
      </c>
      <c r="Y7" s="5">
        <f t="shared" si="2"/>
        <v>3.6579533261977826E-2</v>
      </c>
      <c r="Z7" s="5">
        <f t="shared" si="0"/>
        <v>-6.703587372825176E-2</v>
      </c>
      <c r="AA7" s="5">
        <f t="shared" si="0"/>
        <v>-7.6568228355861079E-3</v>
      </c>
      <c r="AB7" s="5">
        <f t="shared" si="3"/>
        <v>0.11764288093941744</v>
      </c>
      <c r="AC7" s="8">
        <f t="shared" si="1"/>
        <v>7.3850268675403036E-2</v>
      </c>
      <c r="AD7" s="8">
        <f t="shared" si="1"/>
        <v>1.6957571139845876E-2</v>
      </c>
      <c r="AE7" s="8">
        <f t="shared" si="1"/>
        <v>7.7111207100697632E-2</v>
      </c>
      <c r="AF7" s="10">
        <f>AVERAGE(AF4,AI4)</f>
        <v>0.18115581391951502</v>
      </c>
      <c r="AG7" s="10">
        <f>AVERAGE(AG4,AJ4)</f>
        <v>1.9898438991406871E-2</v>
      </c>
      <c r="AH7" s="10">
        <f>AVERAGE(AH4,AK4)</f>
        <v>0.29583943956621717</v>
      </c>
      <c r="AI7" s="7"/>
      <c r="AJ7" s="7"/>
      <c r="AK7" s="7"/>
    </row>
    <row r="8" spans="1:37" x14ac:dyDescent="0.25">
      <c r="A8" s="5">
        <f>'Proximal Validation'!A8</f>
        <v>0.86958752539999995</v>
      </c>
      <c r="B8" s="5">
        <f>'Proximal Validation'!B8</f>
        <v>0.2</v>
      </c>
      <c r="C8" s="5">
        <f>'Proximal Validation'!C8</f>
        <v>0.78539999999999999</v>
      </c>
      <c r="D8" s="5">
        <f>'Proximal Validation'!D8</f>
        <v>0.66933871</v>
      </c>
      <c r="E8" s="5">
        <f>'Proximal Validation'!E8</f>
        <v>0.04</v>
      </c>
      <c r="F8" s="5">
        <f>'Proximal Validation'!F8</f>
        <v>0.78539999999999999</v>
      </c>
      <c r="G8" s="5">
        <f>'Proximal Validation'!G8</f>
        <v>2.0486073985000002</v>
      </c>
      <c r="H8" s="5">
        <f>'Proximal Validation'!H8</f>
        <v>1.4427408886999999</v>
      </c>
      <c r="I8" s="5">
        <f>'Proximal Validation'!I8</f>
        <v>0.53737298850000004</v>
      </c>
      <c r="J8" s="5">
        <f>'Proximal Validation'!J8</f>
        <v>-1.20506128296256E-2</v>
      </c>
      <c r="K8" s="5">
        <f>'Proximal Validation'!K8</f>
        <v>-0.12670553922653227</v>
      </c>
      <c r="L8" s="5">
        <f>'Proximal Validation'!L8</f>
        <v>0.1496409153938289</v>
      </c>
      <c r="M8" s="5">
        <f>'Proximal Validation'!M8</f>
        <v>-0.31113249063491799</v>
      </c>
      <c r="N8" s="5">
        <f>'Proximal Validation'!N8</f>
        <v>1.09533703327179</v>
      </c>
      <c r="O8" s="5">
        <f>'Proximal Validation'!O8</f>
        <v>0.92608898878097501</v>
      </c>
      <c r="P8" s="5">
        <v>0.88890620211355187</v>
      </c>
      <c r="Q8" s="5">
        <v>0.19614967608859032</v>
      </c>
      <c r="R8" s="5">
        <v>0.78543345719018853</v>
      </c>
      <c r="S8" s="5">
        <v>0.65129850977602222</v>
      </c>
      <c r="T8" s="5">
        <v>3.8527911829992031E-2</v>
      </c>
      <c r="U8" s="5">
        <v>0.78590927243741637</v>
      </c>
      <c r="V8" s="13">
        <v>5.6592515902516123E-9</v>
      </c>
      <c r="W8" s="5">
        <f t="shared" si="0"/>
        <v>1.9318676713551919E-2</v>
      </c>
      <c r="X8" s="5">
        <f t="shared" si="0"/>
        <v>-3.8503239114096866E-3</v>
      </c>
      <c r="Y8" s="5">
        <f t="shared" si="2"/>
        <v>3.3457190188546093E-5</v>
      </c>
      <c r="Z8" s="5">
        <f t="shared" si="0"/>
        <v>-1.8040200223977787E-2</v>
      </c>
      <c r="AA8" s="5">
        <f t="shared" si="0"/>
        <v>-1.4720881700079694E-3</v>
      </c>
      <c r="AB8" s="5">
        <f t="shared" si="3"/>
        <v>5.0927243741638595E-4</v>
      </c>
      <c r="AC8" s="8">
        <f t="shared" si="1"/>
        <v>1.8679438468764853E-2</v>
      </c>
      <c r="AD8" s="8">
        <f t="shared" si="1"/>
        <v>2.661206040708828E-3</v>
      </c>
      <c r="AE8" s="8">
        <f t="shared" si="1"/>
        <v>2.7136481380246602E-4</v>
      </c>
      <c r="AF8" s="12">
        <f>MEDIAN(AC3:AC52)</f>
        <v>0.14828344493926837</v>
      </c>
      <c r="AG8" s="12">
        <f>MEDIAN(AD3:AD52)</f>
        <v>1.0117485939609034E-2</v>
      </c>
    </row>
    <row r="9" spans="1:37" x14ac:dyDescent="0.25">
      <c r="A9" s="5">
        <f>'Proximal Validation'!A9</f>
        <v>1.2260241731999999</v>
      </c>
      <c r="B9" s="5">
        <f>'Proximal Validation'!B9</f>
        <v>0.2</v>
      </c>
      <c r="C9" s="5">
        <f>'Proximal Validation'!C9</f>
        <v>3.1415999999999999</v>
      </c>
      <c r="D9" s="5">
        <f>'Proximal Validation'!D9</f>
        <v>0.53124592000000004</v>
      </c>
      <c r="E9" s="5">
        <f>'Proximal Validation'!E9</f>
        <v>0.04</v>
      </c>
      <c r="F9" s="5">
        <f>'Proximal Validation'!F9</f>
        <v>1.5708</v>
      </c>
      <c r="G9" s="5">
        <f>'Proximal Validation'!G9</f>
        <v>2.1721905802000001</v>
      </c>
      <c r="H9" s="5">
        <f>'Proximal Validation'!H9</f>
        <v>4.8592739976999999</v>
      </c>
      <c r="I9" s="5">
        <f>'Proximal Validation'!I9</f>
        <v>4.1505258277000001</v>
      </c>
      <c r="J9" s="5">
        <f>'Proximal Validation'!J9</f>
        <v>4.4089788571000099E-3</v>
      </c>
      <c r="K9" s="5">
        <f>'Proximal Validation'!K9</f>
        <v>-3.1871920824050881E-2</v>
      </c>
      <c r="L9" s="5">
        <f>'Proximal Validation'!L9</f>
        <v>-0.23815526187419911</v>
      </c>
      <c r="M9" s="5">
        <f>'Proximal Validation'!M9</f>
        <v>-0.60743898153305098</v>
      </c>
      <c r="N9" s="5">
        <f>'Proximal Validation'!N9</f>
        <v>-0.81274193525314298</v>
      </c>
      <c r="O9" s="5">
        <f>'Proximal Validation'!O9</f>
        <v>0.72559177875518799</v>
      </c>
      <c r="P9" s="5">
        <v>1.2260089500251361</v>
      </c>
      <c r="Q9" s="5">
        <v>0.19999969655363042</v>
      </c>
      <c r="R9" s="5">
        <v>3.142124074527735</v>
      </c>
      <c r="S9" s="5">
        <v>0.5317409824063013</v>
      </c>
      <c r="T9" s="5">
        <v>4.0192937658652055E-2</v>
      </c>
      <c r="U9" s="5">
        <v>1.5707492502467888</v>
      </c>
      <c r="V9" s="13">
        <v>3.5481558680189342E-11</v>
      </c>
      <c r="W9" s="5">
        <f t="shared" si="0"/>
        <v>-1.5223174863798761E-5</v>
      </c>
      <c r="X9" s="5">
        <f t="shared" si="0"/>
        <v>-3.034463695872347E-7</v>
      </c>
      <c r="Y9" s="5">
        <f t="shared" si="2"/>
        <v>5.2407452773506336E-4</v>
      </c>
      <c r="Z9" s="5">
        <f t="shared" si="0"/>
        <v>4.9506240630126097E-4</v>
      </c>
      <c r="AA9" s="5">
        <f t="shared" si="0"/>
        <v>1.929376586520537E-4</v>
      </c>
      <c r="AB9" s="5">
        <f t="shared" si="3"/>
        <v>5.0749753211176696E-5</v>
      </c>
      <c r="AC9" s="8">
        <f t="shared" si="1"/>
        <v>2.5514279058252987E-4</v>
      </c>
      <c r="AD9" s="8">
        <f t="shared" si="1"/>
        <v>9.6620552510820468E-5</v>
      </c>
      <c r="AE9" s="8">
        <f t="shared" si="1"/>
        <v>2.8741214047312003E-4</v>
      </c>
      <c r="AF9" s="12"/>
      <c r="AG9" s="12"/>
      <c r="AH9" s="12"/>
    </row>
    <row r="10" spans="1:37" x14ac:dyDescent="0.25">
      <c r="A10" s="5">
        <f>'Proximal Validation'!A10</f>
        <v>1.4922792275000001</v>
      </c>
      <c r="B10" s="5">
        <f>'Proximal Validation'!B10</f>
        <v>0.2</v>
      </c>
      <c r="C10" s="5">
        <f>'Proximal Validation'!C10</f>
        <v>2.3561999999999999</v>
      </c>
      <c r="D10" s="5">
        <f>'Proximal Validation'!D10</f>
        <v>1.2493008810999999</v>
      </c>
      <c r="E10" s="5">
        <f>'Proximal Validation'!E10</f>
        <v>0.04</v>
      </c>
      <c r="F10" s="5">
        <f>'Proximal Validation'!F10</f>
        <v>0.78539999999999999</v>
      </c>
      <c r="G10" s="5">
        <f>'Proximal Validation'!G10</f>
        <v>0.65138204079999995</v>
      </c>
      <c r="H10" s="5">
        <f>'Proximal Validation'!H10</f>
        <v>2.3960292019999998</v>
      </c>
      <c r="I10" s="5">
        <f>'Proximal Validation'!I10</f>
        <v>3.8310385232000002</v>
      </c>
      <c r="J10" s="5">
        <f>'Proximal Validation'!J10</f>
        <v>3.9877006784081502E-3</v>
      </c>
      <c r="K10" s="5">
        <f>'Proximal Validation'!K10</f>
        <v>-0.23812925338745111</v>
      </c>
      <c r="L10" s="5">
        <f>'Proximal Validation'!L10</f>
        <v>-0.16476846545934729</v>
      </c>
      <c r="M10" s="5">
        <f>'Proximal Validation'!M10</f>
        <v>-0.90740537643432595</v>
      </c>
      <c r="N10" s="5">
        <f>'Proximal Validation'!N10</f>
        <v>0.22993692755699199</v>
      </c>
      <c r="O10" s="5">
        <f>'Proximal Validation'!O10</f>
        <v>1.7137415409088099</v>
      </c>
      <c r="P10" s="5">
        <v>1.4927793603920163</v>
      </c>
      <c r="Q10" s="5">
        <v>0.19949081854086578</v>
      </c>
      <c r="R10" s="5">
        <v>2.3697246893826454</v>
      </c>
      <c r="S10" s="5">
        <v>1.2651624937435788</v>
      </c>
      <c r="T10" s="5">
        <v>4.2448127318176376E-2</v>
      </c>
      <c r="U10" s="5">
        <v>0.78402945495006215</v>
      </c>
      <c r="V10" s="13">
        <v>1.6223402070893324E-8</v>
      </c>
      <c r="W10" s="5">
        <f t="shared" si="0"/>
        <v>5.0013289201622513E-4</v>
      </c>
      <c r="X10" s="5">
        <f t="shared" si="0"/>
        <v>-5.0918145913422808E-4</v>
      </c>
      <c r="Y10" s="5">
        <f t="shared" si="2"/>
        <v>1.3524689382645505E-2</v>
      </c>
      <c r="Z10" s="5">
        <f t="shared" si="0"/>
        <v>1.5861612643578882E-2</v>
      </c>
      <c r="AA10" s="5">
        <f t="shared" si="0"/>
        <v>2.4481273181763755E-3</v>
      </c>
      <c r="AB10" s="5">
        <f t="shared" si="3"/>
        <v>1.3705450499378324E-3</v>
      </c>
      <c r="AC10" s="8">
        <f t="shared" si="1"/>
        <v>8.1808727677975535E-3</v>
      </c>
      <c r="AD10" s="8">
        <f t="shared" si="1"/>
        <v>1.4786543886553018E-3</v>
      </c>
      <c r="AE10" s="8">
        <f t="shared" si="1"/>
        <v>7.4476172162916687E-3</v>
      </c>
    </row>
    <row r="11" spans="1:37" x14ac:dyDescent="0.25">
      <c r="A11" s="5">
        <f>'Proximal Validation'!A11</f>
        <v>1.4258680059</v>
      </c>
      <c r="B11" s="5">
        <f>'Proximal Validation'!B11</f>
        <v>0.2</v>
      </c>
      <c r="C11" s="5">
        <f>'Proximal Validation'!C11</f>
        <v>4.7123999999999997</v>
      </c>
      <c r="D11" s="5">
        <f>'Proximal Validation'!D11</f>
        <v>0.35291314260000001</v>
      </c>
      <c r="E11" s="5">
        <f>'Proximal Validation'!E11</f>
        <v>0.04</v>
      </c>
      <c r="F11" s="5">
        <f>'Proximal Validation'!F11</f>
        <v>0</v>
      </c>
      <c r="G11" s="5">
        <f>'Proximal Validation'!G11</f>
        <v>3.4810259851000001</v>
      </c>
      <c r="H11" s="5">
        <f>'Proximal Validation'!H11</f>
        <v>1.1294030872</v>
      </c>
      <c r="I11" s="5">
        <f>'Proximal Validation'!I11</f>
        <v>4.9138255752999997</v>
      </c>
      <c r="J11" s="5">
        <f>'Proximal Validation'!J11</f>
        <v>-2.5121536105871201E-2</v>
      </c>
      <c r="K11" s="5">
        <f>'Proximal Validation'!K11</f>
        <v>0.23443316221237209</v>
      </c>
      <c r="L11" s="5">
        <f>'Proximal Validation'!L11</f>
        <v>2.2260813415050131E-3</v>
      </c>
      <c r="M11" s="5">
        <f>'Proximal Validation'!M11</f>
        <v>-1.1394190788269001</v>
      </c>
      <c r="N11" s="5">
        <f>'Proximal Validation'!N11</f>
        <v>0.194542020559311</v>
      </c>
      <c r="O11" s="5">
        <f>'Proximal Validation'!O11</f>
        <v>-0.71812152862548795</v>
      </c>
      <c r="P11" s="5">
        <v>1.4949051841278476</v>
      </c>
      <c r="Q11" s="5">
        <v>0.19890410226981486</v>
      </c>
      <c r="R11" s="5">
        <v>4.3463145605196267</v>
      </c>
      <c r="S11" s="5">
        <v>0.81732866782124347</v>
      </c>
      <c r="T11" s="5">
        <v>0.14362867665315743</v>
      </c>
      <c r="U11" s="5">
        <v>6.283185307179564</v>
      </c>
      <c r="V11" s="13">
        <v>2.6388188472129747E-5</v>
      </c>
      <c r="W11" s="5">
        <f t="shared" si="0"/>
        <v>6.9037178227847606E-2</v>
      </c>
      <c r="X11" s="5">
        <f t="shared" si="0"/>
        <v>-1.0958977301851469E-3</v>
      </c>
      <c r="Y11" s="5">
        <f t="shared" si="2"/>
        <v>0.36608543948037298</v>
      </c>
      <c r="Z11" s="5">
        <f t="shared" si="0"/>
        <v>0.46441552522124346</v>
      </c>
      <c r="AA11" s="5">
        <f t="shared" si="0"/>
        <v>0.10362867665315742</v>
      </c>
      <c r="AB11" s="5">
        <f t="shared" si="3"/>
        <v>2.2204460492503131E-14</v>
      </c>
      <c r="AC11" s="8">
        <f t="shared" si="1"/>
        <v>0.26672635172454551</v>
      </c>
      <c r="AD11" s="8">
        <f t="shared" si="1"/>
        <v>5.2362287191671283E-2</v>
      </c>
      <c r="AE11" s="8">
        <f t="shared" si="1"/>
        <v>0.18304271974019759</v>
      </c>
    </row>
    <row r="12" spans="1:37" x14ac:dyDescent="0.25">
      <c r="A12" s="5">
        <f>'Proximal Validation'!A12</f>
        <v>1.2847663906</v>
      </c>
      <c r="B12" s="5">
        <f>'Proximal Validation'!B12</f>
        <v>0.18</v>
      </c>
      <c r="C12" s="5">
        <f>'Proximal Validation'!C12</f>
        <v>0.78539999999999999</v>
      </c>
      <c r="D12" s="5">
        <f>'Proximal Validation'!D12</f>
        <v>0.98965387010000005</v>
      </c>
      <c r="E12" s="5">
        <f>'Proximal Validation'!E12</f>
        <v>0.04</v>
      </c>
      <c r="F12" s="5">
        <f>'Proximal Validation'!F12</f>
        <v>3.927</v>
      </c>
      <c r="G12" s="5">
        <f>'Proximal Validation'!G12</f>
        <v>3.2068327339999998</v>
      </c>
      <c r="H12" s="5">
        <f>'Proximal Validation'!H12</f>
        <v>3.5469168124000001</v>
      </c>
      <c r="I12" s="5">
        <f>'Proximal Validation'!I12</f>
        <v>1.1514404992</v>
      </c>
      <c r="J12" s="5">
        <f>'Proximal Validation'!J12</f>
        <v>-1.56177338212729E-2</v>
      </c>
      <c r="K12" s="5">
        <f>'Proximal Validation'!K12</f>
        <v>-0.12120571285486201</v>
      </c>
      <c r="L12" s="5">
        <f>'Proximal Validation'!L12</f>
        <v>0.12601706266403204</v>
      </c>
      <c r="M12" s="5">
        <f>'Proximal Validation'!M12</f>
        <v>-0.64654499292373702</v>
      </c>
      <c r="N12" s="5">
        <f>'Proximal Validation'!N12</f>
        <v>-2.8156310319900499E-2</v>
      </c>
      <c r="O12" s="5">
        <f>'Proximal Validation'!O12</f>
        <v>-0.153284221887589</v>
      </c>
      <c r="P12" s="5">
        <v>0.59908203645813674</v>
      </c>
      <c r="Q12" s="5">
        <v>0.19999999999997781</v>
      </c>
      <c r="R12" s="5">
        <v>1.3415606384701126</v>
      </c>
      <c r="S12" s="5">
        <v>0.51843076673561528</v>
      </c>
      <c r="T12" s="5">
        <v>0.19999999992641687</v>
      </c>
      <c r="U12" s="5">
        <v>9.9330323487957117E-2</v>
      </c>
      <c r="V12" s="13">
        <v>1.2841403314856298E-3</v>
      </c>
      <c r="W12" s="5">
        <f t="shared" si="0"/>
        <v>-0.68568435414186324</v>
      </c>
      <c r="X12" s="5">
        <f t="shared" si="0"/>
        <v>1.9999999999977813E-2</v>
      </c>
      <c r="Y12" s="5">
        <f t="shared" si="2"/>
        <v>0.55616063847011266</v>
      </c>
      <c r="Z12" s="5">
        <f t="shared" si="0"/>
        <v>-0.47122310336438478</v>
      </c>
      <c r="AA12" s="5">
        <f t="shared" si="0"/>
        <v>0.15999999992641686</v>
      </c>
      <c r="AB12" s="5">
        <f t="shared" si="3"/>
        <v>2.4555156306675432</v>
      </c>
      <c r="AC12" s="8">
        <f t="shared" si="1"/>
        <v>0.57845372875312395</v>
      </c>
      <c r="AD12" s="8">
        <f t="shared" si="1"/>
        <v>8.9999999963197339E-2</v>
      </c>
      <c r="AE12" s="8">
        <f t="shared" si="1"/>
        <v>1.5058381345688279</v>
      </c>
      <c r="AF12" s="12"/>
      <c r="AG12" s="12"/>
      <c r="AH12" s="12"/>
    </row>
    <row r="13" spans="1:37" x14ac:dyDescent="0.25">
      <c r="A13" s="5">
        <f>'Proximal Validation'!A13</f>
        <v>0.82078888689999996</v>
      </c>
      <c r="B13" s="5">
        <f>'Proximal Validation'!B13</f>
        <v>0.18</v>
      </c>
      <c r="C13" s="5">
        <f>'Proximal Validation'!C13</f>
        <v>0</v>
      </c>
      <c r="D13" s="5">
        <f>'Proximal Validation'!D13</f>
        <v>1.3252826163</v>
      </c>
      <c r="E13" s="5">
        <f>'Proximal Validation'!E13</f>
        <v>0.04</v>
      </c>
      <c r="F13" s="5">
        <f>'Proximal Validation'!F13</f>
        <v>0</v>
      </c>
      <c r="G13" s="5">
        <f>'Proximal Validation'!G13</f>
        <v>3.9081993600000003E-2</v>
      </c>
      <c r="H13" s="5">
        <f>'Proximal Validation'!H13</f>
        <v>2.9262884955000001</v>
      </c>
      <c r="I13" s="5">
        <f>'Proximal Validation'!I13</f>
        <v>4.7431789933999999</v>
      </c>
      <c r="J13" s="5">
        <f>'Proximal Validation'!J13</f>
        <v>1.23578244820237E-2</v>
      </c>
      <c r="K13" s="5">
        <f>'Proximal Validation'!K13</f>
        <v>-1.5243557468056657E-2</v>
      </c>
      <c r="L13" s="5">
        <f>'Proximal Validation'!L13</f>
        <v>0.2045297563076019</v>
      </c>
      <c r="M13" s="5">
        <f>'Proximal Validation'!M13</f>
        <v>-0.23820373415946999</v>
      </c>
      <c r="N13" s="5">
        <f>'Proximal Validation'!N13</f>
        <v>2.0633363723754901</v>
      </c>
      <c r="O13" s="5">
        <f>'Proximal Validation'!O13</f>
        <v>8.5576176643371596E-2</v>
      </c>
      <c r="P13" s="5">
        <v>0.84271557743147574</v>
      </c>
      <c r="Q13" s="5">
        <v>0.17784834221538171</v>
      </c>
      <c r="R13" s="5">
        <v>8.1567818014181927E-10</v>
      </c>
      <c r="S13" s="5">
        <v>1.3037219391964516</v>
      </c>
      <c r="T13" s="5">
        <v>3.8756662383538219E-2</v>
      </c>
      <c r="U13" s="5">
        <v>8.3406532785169622E-10</v>
      </c>
      <c r="V13" s="13">
        <v>4.7285358040568393E-9</v>
      </c>
      <c r="W13" s="5">
        <f t="shared" si="0"/>
        <v>2.1926690531475779E-2</v>
      </c>
      <c r="X13" s="5">
        <f t="shared" si="0"/>
        <v>-2.1516577846182883E-3</v>
      </c>
      <c r="Y13" s="5">
        <f t="shared" si="2"/>
        <v>8.1567818014181927E-10</v>
      </c>
      <c r="Z13" s="5">
        <f t="shared" si="0"/>
        <v>-2.1560677103548365E-2</v>
      </c>
      <c r="AA13" s="5">
        <f t="shared" si="0"/>
        <v>-1.2433376164617815E-3</v>
      </c>
      <c r="AB13" s="5">
        <f t="shared" si="3"/>
        <v>8.3406532785169622E-10</v>
      </c>
      <c r="AC13" s="8">
        <f t="shared" si="1"/>
        <v>2.1743683817512072E-2</v>
      </c>
      <c r="AD13" s="8">
        <f t="shared" si="1"/>
        <v>1.6974977005400349E-3</v>
      </c>
      <c r="AE13" s="8">
        <f t="shared" si="1"/>
        <v>8.2487175399675774E-10</v>
      </c>
    </row>
    <row r="14" spans="1:37" x14ac:dyDescent="0.25">
      <c r="A14" s="5">
        <f>'Proximal Validation'!A14</f>
        <v>0.51355824630000002</v>
      </c>
      <c r="B14" s="5">
        <f>'Proximal Validation'!B14</f>
        <v>0.2</v>
      </c>
      <c r="C14" s="5">
        <f>'Proximal Validation'!C14</f>
        <v>2.3561999999999999</v>
      </c>
      <c r="D14" s="5">
        <f>'Proximal Validation'!D14</f>
        <v>0.96095190770000005</v>
      </c>
      <c r="E14" s="5">
        <f>'Proximal Validation'!E14</f>
        <v>0.06</v>
      </c>
      <c r="F14" s="5">
        <f>'Proximal Validation'!F14</f>
        <v>0</v>
      </c>
      <c r="G14" s="5">
        <f>'Proximal Validation'!G14</f>
        <v>2.4382389278000001</v>
      </c>
      <c r="H14" s="5">
        <f>'Proximal Validation'!H14</f>
        <v>4.2854047354000002</v>
      </c>
      <c r="I14" s="5">
        <f>'Proximal Validation'!I14</f>
        <v>0.33901404839999999</v>
      </c>
      <c r="J14" s="5">
        <f>'Proximal Validation'!J14</f>
        <v>5.3502889350056596E-3</v>
      </c>
      <c r="K14" s="5">
        <f>'Proximal Validation'!K14</f>
        <v>-6.201133310794836E-2</v>
      </c>
      <c r="L14" s="5">
        <f>'Proximal Validation'!L14</f>
        <v>2.4065852165215673E-4</v>
      </c>
      <c r="M14" s="5">
        <f>'Proximal Validation'!M14</f>
        <v>-0.18366065621375999</v>
      </c>
      <c r="N14" s="5">
        <f>'Proximal Validation'!N14</f>
        <v>0.79279768466949496</v>
      </c>
      <c r="O14" s="5">
        <f>'Proximal Validation'!O14</f>
        <v>0.28229478001594499</v>
      </c>
      <c r="P14" s="5">
        <v>0.50712888336086881</v>
      </c>
      <c r="Q14" s="5">
        <v>0.1999999999993724</v>
      </c>
      <c r="R14" s="5">
        <v>2.3451147347689858</v>
      </c>
      <c r="S14" s="5">
        <v>0.95318305234874501</v>
      </c>
      <c r="T14" s="5">
        <v>5.8657203965326199E-2</v>
      </c>
      <c r="U14" s="5">
        <v>8.865910529789713E-12</v>
      </c>
      <c r="V14" s="13">
        <v>2.4737850743831698E-8</v>
      </c>
      <c r="W14" s="5">
        <f t="shared" si="0"/>
        <v>-6.4293629391312113E-3</v>
      </c>
      <c r="X14" s="5">
        <f t="shared" si="0"/>
        <v>-6.2760907582060099E-13</v>
      </c>
      <c r="Y14" s="5">
        <f t="shared" si="2"/>
        <v>1.1085265231014052E-2</v>
      </c>
      <c r="Z14" s="5">
        <f t="shared" si="0"/>
        <v>-7.768855351255044E-3</v>
      </c>
      <c r="AA14" s="5">
        <f t="shared" si="0"/>
        <v>-1.3427960346737988E-3</v>
      </c>
      <c r="AB14" s="5">
        <f t="shared" si="3"/>
        <v>8.865910529789713E-12</v>
      </c>
      <c r="AC14" s="8">
        <f t="shared" si="1"/>
        <v>7.0991091451931276E-3</v>
      </c>
      <c r="AD14" s="8">
        <f t="shared" si="1"/>
        <v>6.7139801765070395E-4</v>
      </c>
      <c r="AE14" s="8">
        <f t="shared" si="1"/>
        <v>5.5426326199399809E-3</v>
      </c>
    </row>
    <row r="15" spans="1:37" x14ac:dyDescent="0.25">
      <c r="A15" s="5">
        <f>'Proximal Validation'!A15</f>
        <v>0.35944564579999999</v>
      </c>
      <c r="B15" s="5">
        <f>'Proximal Validation'!B15</f>
        <v>0.18</v>
      </c>
      <c r="C15" s="5">
        <f>'Proximal Validation'!C15</f>
        <v>5.4977999999999998</v>
      </c>
      <c r="D15" s="5">
        <f>'Proximal Validation'!D15</f>
        <v>1.2877652723999999</v>
      </c>
      <c r="E15" s="5">
        <f>'Proximal Validation'!E15</f>
        <v>0.04</v>
      </c>
      <c r="F15" s="5">
        <f>'Proximal Validation'!F15</f>
        <v>2.3561999999999999</v>
      </c>
      <c r="G15" s="5">
        <f>'Proximal Validation'!G15</f>
        <v>2.1189458146</v>
      </c>
      <c r="H15" s="5">
        <f>'Proximal Validation'!H15</f>
        <v>2.2606748846000002</v>
      </c>
      <c r="I15" s="5">
        <f>'Proximal Validation'!I15</f>
        <v>0.94750633689999997</v>
      </c>
      <c r="J15" s="5">
        <f>'Proximal Validation'!J15</f>
        <v>-9.5291109755635305E-4</v>
      </c>
      <c r="K15" s="5">
        <f>'Proximal Validation'!K15</f>
        <v>4.1426768898963698E-3</v>
      </c>
      <c r="L15" s="5">
        <f>'Proximal Validation'!L15</f>
        <v>5.4550425708294603E-3</v>
      </c>
      <c r="M15" s="5">
        <f>'Proximal Validation'!M15</f>
        <v>1.4017973095178601E-2</v>
      </c>
      <c r="N15" s="5">
        <f>'Proximal Validation'!N15</f>
        <v>-0.72726076841354403</v>
      </c>
      <c r="O15" s="5">
        <f>'Proximal Validation'!O15</f>
        <v>0.73515439033508301</v>
      </c>
      <c r="P15" s="5">
        <v>0.30269440156681271</v>
      </c>
      <c r="Q15" s="5">
        <v>2.0001750185915212E-2</v>
      </c>
      <c r="R15" s="5">
        <v>3.3091917797475436</v>
      </c>
      <c r="S15" s="5">
        <v>0.58981543864108588</v>
      </c>
      <c r="T15" s="5">
        <v>2.0000000000022205E-2</v>
      </c>
      <c r="U15" s="5">
        <v>1.9260010741809137</v>
      </c>
      <c r="V15" s="13">
        <v>8.6431283157444765E-4</v>
      </c>
      <c r="W15" s="5">
        <f t="shared" si="0"/>
        <v>-5.6751244233187281E-2</v>
      </c>
      <c r="X15" s="5">
        <f t="shared" si="0"/>
        <v>-0.15999824981408478</v>
      </c>
      <c r="Y15" s="5">
        <f t="shared" si="2"/>
        <v>2.1886082202524562</v>
      </c>
      <c r="Z15" s="5">
        <f t="shared" si="0"/>
        <v>-0.69794983375891406</v>
      </c>
      <c r="AA15" s="5">
        <f t="shared" si="0"/>
        <v>-1.9999999999977796E-2</v>
      </c>
      <c r="AB15" s="5">
        <f t="shared" si="3"/>
        <v>0.43019892581908614</v>
      </c>
      <c r="AC15" s="8">
        <f t="shared" si="1"/>
        <v>0.37735053899605064</v>
      </c>
      <c r="AD15" s="8">
        <f t="shared" si="1"/>
        <v>8.9999124907031283E-2</v>
      </c>
      <c r="AE15" s="8">
        <f t="shared" si="1"/>
        <v>1.3094035730357712</v>
      </c>
    </row>
    <row r="16" spans="1:37" x14ac:dyDescent="0.25">
      <c r="A16" s="5">
        <f>'Proximal Validation'!A16</f>
        <v>1.2267525763</v>
      </c>
      <c r="B16" s="5">
        <f>'Proximal Validation'!B16</f>
        <v>0.16</v>
      </c>
      <c r="C16" s="5">
        <f>'Proximal Validation'!C16</f>
        <v>5.4977999999999998</v>
      </c>
      <c r="D16" s="5">
        <f>'Proximal Validation'!D16</f>
        <v>1.4944716747</v>
      </c>
      <c r="E16" s="5">
        <f>'Proximal Validation'!E16</f>
        <v>0.04</v>
      </c>
      <c r="F16" s="5">
        <f>'Proximal Validation'!F16</f>
        <v>3.927</v>
      </c>
      <c r="G16" s="5">
        <f>'Proximal Validation'!G16</f>
        <v>0.31884207939999998</v>
      </c>
      <c r="H16" s="5">
        <f>'Proximal Validation'!H16</f>
        <v>3.8007215218999999</v>
      </c>
      <c r="I16" s="5">
        <f>'Proximal Validation'!I16</f>
        <v>0.48541647729999998</v>
      </c>
      <c r="J16" s="5">
        <f>'Proximal Validation'!J16</f>
        <v>1.0649194940924599E-2</v>
      </c>
      <c r="K16" s="5">
        <f>'Proximal Validation'!K16</f>
        <v>0.16992033243179369</v>
      </c>
      <c r="L16" s="5">
        <f>'Proximal Validation'!L16</f>
        <v>9.9608231484890009E-2</v>
      </c>
      <c r="M16" s="5">
        <f>'Proximal Validation'!M16</f>
        <v>-0.27858194708824202</v>
      </c>
      <c r="N16" s="5">
        <f>'Proximal Validation'!N16</f>
        <v>-0.33142736554145802</v>
      </c>
      <c r="O16" s="5">
        <f>'Proximal Validation'!O16</f>
        <v>-1.73035156726837</v>
      </c>
      <c r="P16" s="5">
        <v>1.2960283937209316</v>
      </c>
      <c r="Q16" s="5">
        <v>0.15410679386381979</v>
      </c>
      <c r="R16" s="5">
        <v>5.3588916958132922</v>
      </c>
      <c r="S16" s="5">
        <v>1.3198250667219387</v>
      </c>
      <c r="T16" s="5">
        <v>2.4675522223087061E-2</v>
      </c>
      <c r="U16" s="5">
        <v>3.8815797286567442</v>
      </c>
      <c r="V16" s="13">
        <v>7.0815608014535708E-7</v>
      </c>
      <c r="W16" s="5">
        <f t="shared" si="0"/>
        <v>6.9275817420931585E-2</v>
      </c>
      <c r="X16" s="5">
        <f t="shared" si="0"/>
        <v>-5.8932061361802179E-3</v>
      </c>
      <c r="Y16" s="5">
        <f t="shared" si="2"/>
        <v>0.13890830418670763</v>
      </c>
      <c r="Z16" s="5">
        <f t="shared" si="0"/>
        <v>-0.17464660797806131</v>
      </c>
      <c r="AA16" s="5">
        <f t="shared" si="0"/>
        <v>-1.532447777691294E-2</v>
      </c>
      <c r="AB16" s="5">
        <f t="shared" si="3"/>
        <v>4.542027134325588E-2</v>
      </c>
      <c r="AC16" s="8">
        <f t="shared" si="1"/>
        <v>0.12196121269949645</v>
      </c>
      <c r="AD16" s="8">
        <f t="shared" si="1"/>
        <v>1.0608841956546579E-2</v>
      </c>
      <c r="AE16" s="8">
        <f t="shared" si="1"/>
        <v>9.2164287764981756E-2</v>
      </c>
    </row>
    <row r="17" spans="1:31" x14ac:dyDescent="0.25">
      <c r="A17" s="5">
        <f>'Proximal Validation'!A17</f>
        <v>0.64421489080000005</v>
      </c>
      <c r="B17" s="5">
        <f>'Proximal Validation'!B17</f>
        <v>0.14000000000000001</v>
      </c>
      <c r="C17" s="5">
        <f>'Proximal Validation'!C17</f>
        <v>0</v>
      </c>
      <c r="D17" s="5">
        <f>'Proximal Validation'!D17</f>
        <v>0.8523470823</v>
      </c>
      <c r="E17" s="5">
        <f>'Proximal Validation'!E17</f>
        <v>0.02</v>
      </c>
      <c r="F17" s="5">
        <f>'Proximal Validation'!F17</f>
        <v>4.7123999999999997</v>
      </c>
      <c r="G17" s="5">
        <f>'Proximal Validation'!G17</f>
        <v>8.0437148799999997E-2</v>
      </c>
      <c r="H17" s="5">
        <f>'Proximal Validation'!H17</f>
        <v>0.35167971240000001</v>
      </c>
      <c r="I17" s="5">
        <f>'Proximal Validation'!I17</f>
        <v>1.0501461195999999</v>
      </c>
      <c r="J17" s="5">
        <f>'Proximal Validation'!J17</f>
        <v>2.75095622055233E-3</v>
      </c>
      <c r="K17" s="5">
        <f>'Proximal Validation'!K17</f>
        <v>1.119949698448186E-2</v>
      </c>
      <c r="L17" s="5">
        <f>'Proximal Validation'!L17</f>
        <v>9.1276741027832203E-2</v>
      </c>
      <c r="M17" s="5">
        <f>'Proximal Validation'!M17</f>
        <v>-9.1020502150058705E-2</v>
      </c>
      <c r="N17" s="5">
        <f>'Proximal Validation'!N17</f>
        <v>0.58842658996581998</v>
      </c>
      <c r="O17" s="5">
        <f>'Proximal Validation'!O17</f>
        <v>-0.91785299777984597</v>
      </c>
      <c r="P17" s="5">
        <v>0.35034404930823393</v>
      </c>
      <c r="Q17" s="5">
        <v>0.13687533111005601</v>
      </c>
      <c r="R17" s="5">
        <v>3.1045543136682256E-11</v>
      </c>
      <c r="S17" s="5">
        <v>0.30628485725786497</v>
      </c>
      <c r="T17" s="5">
        <v>0.13682886260196955</v>
      </c>
      <c r="U17" s="5">
        <v>8.7372876456924732E-11</v>
      </c>
      <c r="V17" s="13">
        <v>2.1061594664662812E-3</v>
      </c>
      <c r="W17" s="5">
        <f t="shared" si="0"/>
        <v>-0.29387084149176612</v>
      </c>
      <c r="X17" s="5">
        <f t="shared" si="0"/>
        <v>-3.1246688899440045E-3</v>
      </c>
      <c r="Y17" s="5">
        <f t="shared" si="2"/>
        <v>3.1045543136682256E-11</v>
      </c>
      <c r="Z17" s="5">
        <f t="shared" si="0"/>
        <v>-0.54606222504213497</v>
      </c>
      <c r="AA17" s="5">
        <f t="shared" si="0"/>
        <v>0.11682886260196955</v>
      </c>
      <c r="AB17" s="5">
        <f t="shared" si="3"/>
        <v>1.5707853072669593</v>
      </c>
      <c r="AC17" s="8">
        <f t="shared" si="1"/>
        <v>0.41996653326695055</v>
      </c>
      <c r="AD17" s="8">
        <f t="shared" si="1"/>
        <v>5.9976765745956777E-2</v>
      </c>
      <c r="AE17" s="8">
        <f t="shared" si="1"/>
        <v>0.78539265364900246</v>
      </c>
    </row>
    <row r="18" spans="1:31" x14ac:dyDescent="0.25">
      <c r="A18" s="5">
        <f>'Proximal Validation'!A18</f>
        <v>1.1302547975999999</v>
      </c>
      <c r="B18" s="5">
        <f>'Proximal Validation'!B18</f>
        <v>0.16</v>
      </c>
      <c r="C18" s="5">
        <f>'Proximal Validation'!C18</f>
        <v>4.7123999999999997</v>
      </c>
      <c r="D18" s="5">
        <f>'Proximal Validation'!D18</f>
        <v>1.3446433494000001</v>
      </c>
      <c r="E18" s="5">
        <f>'Proximal Validation'!E18</f>
        <v>0.04</v>
      </c>
      <c r="F18" s="5">
        <f>'Proximal Validation'!F18</f>
        <v>0</v>
      </c>
      <c r="G18" s="5">
        <f>'Proximal Validation'!G18</f>
        <v>1.0644222964000001</v>
      </c>
      <c r="H18" s="5">
        <f>'Proximal Validation'!H18</f>
        <v>1.4761094460999999</v>
      </c>
      <c r="I18" s="5">
        <f>'Proximal Validation'!I18</f>
        <v>3.5278441351000001</v>
      </c>
      <c r="J18" s="5">
        <f>'Proximal Validation'!J18</f>
        <v>7.3962844908237498E-5</v>
      </c>
      <c r="K18" s="5">
        <f>'Proximal Validation'!K18</f>
        <v>0.17089873731136307</v>
      </c>
      <c r="L18" s="5">
        <f>'Proximal Validation'!L18</f>
        <v>6.3021872043609928E-2</v>
      </c>
      <c r="M18" s="5">
        <f>'Proximal Validation'!M18</f>
        <v>-0.50616961717605602</v>
      </c>
      <c r="N18" s="5">
        <f>'Proximal Validation'!N18</f>
        <v>1.39708912372589</v>
      </c>
      <c r="O18" s="5">
        <f>'Proximal Validation'!O18</f>
        <v>-0.796242535114288</v>
      </c>
      <c r="P18" s="5">
        <v>1.1681300226038758</v>
      </c>
      <c r="Q18" s="5">
        <v>0.15605927209733872</v>
      </c>
      <c r="R18" s="5">
        <v>4.7002188553975595</v>
      </c>
      <c r="S18" s="5">
        <v>1.3579656103676845</v>
      </c>
      <c r="T18" s="5">
        <v>4.1209370391165359E-2</v>
      </c>
      <c r="U18" s="5">
        <v>3.2460818956800461E-2</v>
      </c>
      <c r="V18" s="13">
        <v>8.3621096300922112E-9</v>
      </c>
      <c r="W18" s="5">
        <f t="shared" si="0"/>
        <v>3.7875225003875856E-2</v>
      </c>
      <c r="X18" s="5">
        <f t="shared" si="0"/>
        <v>-3.940727902661284E-3</v>
      </c>
      <c r="Y18" s="5">
        <f t="shared" si="2"/>
        <v>1.2181144602440241E-2</v>
      </c>
      <c r="Z18" s="5">
        <f t="shared" si="0"/>
        <v>1.3322260967684407E-2</v>
      </c>
      <c r="AA18" s="5">
        <f t="shared" si="0"/>
        <v>1.2093703911653583E-3</v>
      </c>
      <c r="AB18" s="5">
        <f t="shared" si="3"/>
        <v>3.2460818956800461E-2</v>
      </c>
      <c r="AC18" s="8">
        <f t="shared" si="1"/>
        <v>2.5598742985780132E-2</v>
      </c>
      <c r="AD18" s="8">
        <f t="shared" si="1"/>
        <v>2.5750491469133212E-3</v>
      </c>
      <c r="AE18" s="8">
        <f t="shared" si="1"/>
        <v>2.2320981779620351E-2</v>
      </c>
    </row>
    <row r="19" spans="1:31" x14ac:dyDescent="0.25">
      <c r="A19" s="5">
        <f>'Proximal Validation'!A19</f>
        <v>0.44052297210000002</v>
      </c>
      <c r="B19" s="5">
        <f>'Proximal Validation'!B19</f>
        <v>0.14000000000000001</v>
      </c>
      <c r="C19" s="5">
        <f>'Proximal Validation'!C19</f>
        <v>0.78539999999999999</v>
      </c>
      <c r="D19" s="5">
        <f>'Proximal Validation'!D19</f>
        <v>1.0539703866000001</v>
      </c>
      <c r="E19" s="5">
        <f>'Proximal Validation'!E19</f>
        <v>0.02</v>
      </c>
      <c r="F19" s="5">
        <f>'Proximal Validation'!F19</f>
        <v>3.1415999999999999</v>
      </c>
      <c r="G19" s="5">
        <f>'Proximal Validation'!G19</f>
        <v>2.7027230284999999</v>
      </c>
      <c r="H19" s="5">
        <f>'Proximal Validation'!H19</f>
        <v>1.6080541686000001</v>
      </c>
      <c r="I19" s="5">
        <f>'Proximal Validation'!I19</f>
        <v>1.7094513416999999</v>
      </c>
      <c r="J19" s="5">
        <f>'Proximal Validation'!J19</f>
        <v>2.9437544289976402E-3</v>
      </c>
      <c r="K19" s="5">
        <f>'Proximal Validation'!K19</f>
        <v>-5.4780912101268772E-2</v>
      </c>
      <c r="L19" s="5">
        <f>'Proximal Validation'!L19</f>
        <v>2.008378580212599E-2</v>
      </c>
      <c r="M19" s="5">
        <f>'Proximal Validation'!M19</f>
        <v>-2.3114085197448699E-2</v>
      </c>
      <c r="N19" s="5">
        <f>'Proximal Validation'!N19</f>
        <v>-0.82051932811737105</v>
      </c>
      <c r="O19" s="5">
        <f>'Proximal Validation'!O19</f>
        <v>0.34984213113784801</v>
      </c>
      <c r="P19" s="5">
        <v>0.48075389950295377</v>
      </c>
      <c r="Q19" s="5">
        <v>0.13121239753045613</v>
      </c>
      <c r="R19" s="5">
        <v>0.77588105795523321</v>
      </c>
      <c r="S19" s="5">
        <v>1.0861928279197557</v>
      </c>
      <c r="T19" s="5">
        <v>2.0703917725181643E-2</v>
      </c>
      <c r="U19" s="5">
        <v>3.1651475558188222</v>
      </c>
      <c r="V19" s="13">
        <v>1.1427074204982617E-9</v>
      </c>
      <c r="W19" s="5">
        <f t="shared" ref="W19:X34" si="4">P19-A19</f>
        <v>4.0230927402953753E-2</v>
      </c>
      <c r="X19" s="5">
        <f t="shared" si="4"/>
        <v>-8.7876024695438815E-3</v>
      </c>
      <c r="Y19" s="5">
        <f t="shared" si="2"/>
        <v>9.5189420447667761E-3</v>
      </c>
      <c r="Z19" s="5">
        <f t="shared" ref="Z19:AA34" si="5">S19-D19</f>
        <v>3.2222441319755601E-2</v>
      </c>
      <c r="AA19" s="5">
        <f t="shared" si="5"/>
        <v>7.0391772518164225E-4</v>
      </c>
      <c r="AB19" s="5">
        <f t="shared" si="3"/>
        <v>2.3547555818822286E-2</v>
      </c>
      <c r="AC19" s="8">
        <f t="shared" ref="AC19:AE34" si="6">AVERAGE(ABS(W19),ABS(Z19))</f>
        <v>3.6226684361354677E-2</v>
      </c>
      <c r="AD19" s="8">
        <f t="shared" si="6"/>
        <v>4.7457600973627619E-3</v>
      </c>
      <c r="AE19" s="8">
        <f t="shared" si="6"/>
        <v>1.6533248931794531E-2</v>
      </c>
    </row>
    <row r="20" spans="1:31" x14ac:dyDescent="0.25">
      <c r="A20" s="5">
        <f>'Proximal Validation'!A20</f>
        <v>1.4424756030000001</v>
      </c>
      <c r="B20" s="5">
        <f>'Proximal Validation'!B20</f>
        <v>0.16</v>
      </c>
      <c r="C20" s="5">
        <f>'Proximal Validation'!C20</f>
        <v>0.78539999999999999</v>
      </c>
      <c r="D20" s="5">
        <f>'Proximal Validation'!D20</f>
        <v>1.1597422298</v>
      </c>
      <c r="E20" s="5">
        <f>'Proximal Validation'!E20</f>
        <v>0.04</v>
      </c>
      <c r="F20" s="5">
        <f>'Proximal Validation'!F20</f>
        <v>2.3561999999999999</v>
      </c>
      <c r="G20" s="5">
        <f>'Proximal Validation'!G20</f>
        <v>4.8092587324</v>
      </c>
      <c r="H20" s="5">
        <f>'Proximal Validation'!H20</f>
        <v>0.4784433911</v>
      </c>
      <c r="I20" s="5">
        <f>'Proximal Validation'!I20</f>
        <v>4.3446054411999997</v>
      </c>
      <c r="J20" s="5">
        <f>'Proximal Validation'!J20</f>
        <v>1.31220342591405E-2</v>
      </c>
      <c r="K20" s="5">
        <f>'Proximal Validation'!K20</f>
        <v>-0.20049199104309079</v>
      </c>
      <c r="L20" s="5">
        <f>'Proximal Validation'!L20</f>
        <v>0.11521145343780499</v>
      </c>
      <c r="M20" s="5">
        <f>'Proximal Validation'!M20</f>
        <v>-0.53803932666778598</v>
      </c>
      <c r="N20" s="5">
        <f>'Proximal Validation'!N20</f>
        <v>-0.11040961742401099</v>
      </c>
      <c r="O20" s="5">
        <f>'Proximal Validation'!O20</f>
        <v>1.7156174182891799</v>
      </c>
      <c r="P20" s="5">
        <v>1.442503231478623</v>
      </c>
      <c r="Q20" s="5">
        <v>0.1599957766394737</v>
      </c>
      <c r="R20" s="5">
        <v>0.78549504283985527</v>
      </c>
      <c r="S20" s="5">
        <v>1.1596248128795588</v>
      </c>
      <c r="T20" s="5">
        <v>3.9975875504462743E-2</v>
      </c>
      <c r="U20" s="5">
        <v>2.3562376817793789</v>
      </c>
      <c r="V20" s="13">
        <v>1.1011539975748858E-10</v>
      </c>
      <c r="W20" s="5">
        <f t="shared" si="4"/>
        <v>2.7628478622920838E-5</v>
      </c>
      <c r="X20" s="5">
        <f t="shared" si="4"/>
        <v>-4.2233605263009011E-6</v>
      </c>
      <c r="Y20" s="5">
        <f t="shared" si="2"/>
        <v>9.5042839855286054E-5</v>
      </c>
      <c r="Z20" s="5">
        <f t="shared" si="5"/>
        <v>-1.1741692044120455E-4</v>
      </c>
      <c r="AA20" s="5">
        <f t="shared" si="5"/>
        <v>-2.4124495537257429E-5</v>
      </c>
      <c r="AB20" s="5">
        <f t="shared" si="3"/>
        <v>3.7681779379017399E-5</v>
      </c>
      <c r="AC20" s="8">
        <f t="shared" si="6"/>
        <v>7.2522699532062695E-5</v>
      </c>
      <c r="AD20" s="8">
        <f t="shared" si="6"/>
        <v>1.4173928031779165E-5</v>
      </c>
      <c r="AE20" s="8">
        <f t="shared" si="6"/>
        <v>6.6362309617151727E-5</v>
      </c>
    </row>
    <row r="21" spans="1:31" x14ac:dyDescent="0.25">
      <c r="A21" s="5">
        <f>'Proximal Validation'!A21</f>
        <v>1.3085202701</v>
      </c>
      <c r="B21" s="5">
        <f>'Proximal Validation'!B21</f>
        <v>0.14000000000000001</v>
      </c>
      <c r="C21" s="5">
        <f>'Proximal Validation'!C21</f>
        <v>3.927</v>
      </c>
      <c r="D21" s="5">
        <f>'Proximal Validation'!D21</f>
        <v>1.4295469448</v>
      </c>
      <c r="E21" s="5">
        <f>'Proximal Validation'!E21</f>
        <v>0.02</v>
      </c>
      <c r="F21" s="5">
        <f>'Proximal Validation'!F21</f>
        <v>0</v>
      </c>
      <c r="G21" s="5">
        <f>'Proximal Validation'!G21</f>
        <v>4.5210753759999998</v>
      </c>
      <c r="H21" s="5">
        <f>'Proximal Validation'!H21</f>
        <v>3.0172330613999998</v>
      </c>
      <c r="I21" s="5">
        <f>'Proximal Validation'!I21</f>
        <v>0.83361274470000002</v>
      </c>
      <c r="J21" s="5">
        <f>'Proximal Validation'!J21</f>
        <v>-5.1512643694877598E-3</v>
      </c>
      <c r="K21" s="5">
        <f>'Proximal Validation'!K21</f>
        <v>0.13977229416370424</v>
      </c>
      <c r="L21" s="5">
        <f>'Proximal Validation'!L21</f>
        <v>-9.0497039407491653E-2</v>
      </c>
      <c r="M21" s="5">
        <f>'Proximal Validation'!M21</f>
        <v>-0.203321859240532</v>
      </c>
      <c r="N21" s="5">
        <f>'Proximal Validation'!N21</f>
        <v>0.647000432014465</v>
      </c>
      <c r="O21" s="5">
        <f>'Proximal Validation'!O21</f>
        <v>-0.89956176280975297</v>
      </c>
      <c r="P21" s="5">
        <v>0.99973390766485626</v>
      </c>
      <c r="Q21" s="5">
        <v>0.17795099429440719</v>
      </c>
      <c r="R21" s="5">
        <v>3.924646175319193</v>
      </c>
      <c r="S21" s="5">
        <v>1.221495921362705</v>
      </c>
      <c r="T21" s="5">
        <v>2.004715031575861E-2</v>
      </c>
      <c r="U21" s="5">
        <v>6.0924126070041567</v>
      </c>
      <c r="V21" s="13">
        <v>1.0916481274718834E-6</v>
      </c>
      <c r="W21" s="5">
        <f t="shared" si="4"/>
        <v>-0.30878636243514379</v>
      </c>
      <c r="X21" s="5">
        <f t="shared" si="4"/>
        <v>3.7950994294407181E-2</v>
      </c>
      <c r="Y21" s="5">
        <f t="shared" si="2"/>
        <v>2.3538246808070262E-3</v>
      </c>
      <c r="Z21" s="5">
        <f t="shared" si="5"/>
        <v>-0.20805102343729498</v>
      </c>
      <c r="AA21" s="5">
        <f t="shared" si="5"/>
        <v>4.7150315758609507E-5</v>
      </c>
      <c r="AB21" s="5">
        <f t="shared" si="3"/>
        <v>0.19077270017542958</v>
      </c>
      <c r="AC21" s="8">
        <f t="shared" si="6"/>
        <v>0.25841869293621939</v>
      </c>
      <c r="AD21" s="8">
        <f t="shared" si="6"/>
        <v>1.8999072305082895E-2</v>
      </c>
      <c r="AE21" s="8">
        <f t="shared" si="6"/>
        <v>9.6563262428118302E-2</v>
      </c>
    </row>
    <row r="22" spans="1:31" x14ac:dyDescent="0.25">
      <c r="A22" s="5">
        <f>'Proximal Validation'!A22</f>
        <v>1.0278031490999999</v>
      </c>
      <c r="B22" s="5">
        <f>'Proximal Validation'!B22</f>
        <v>0.14000000000000001</v>
      </c>
      <c r="C22" s="5">
        <f>'Proximal Validation'!C22</f>
        <v>0</v>
      </c>
      <c r="D22" s="5">
        <f>'Proximal Validation'!D22</f>
        <v>0.3286386073</v>
      </c>
      <c r="E22" s="5">
        <f>'Proximal Validation'!E22</f>
        <v>0.04</v>
      </c>
      <c r="F22" s="5">
        <f>'Proximal Validation'!F22</f>
        <v>2.3561999999999999</v>
      </c>
      <c r="G22" s="5">
        <f>'Proximal Validation'!G22</f>
        <v>2.4776605121999999</v>
      </c>
      <c r="H22" s="5">
        <f>'Proximal Validation'!H22</f>
        <v>0.70416387319999996</v>
      </c>
      <c r="I22" s="5">
        <f>'Proximal Validation'!I22</f>
        <v>1.306033752</v>
      </c>
      <c r="J22" s="5">
        <f>'Proximal Validation'!J22</f>
        <v>-9.1127436608076096E-3</v>
      </c>
      <c r="K22" s="5">
        <f>'Proximal Validation'!K22</f>
        <v>-1.3350144028663712E-3</v>
      </c>
      <c r="L22" s="5">
        <f>'Proximal Validation'!L22</f>
        <v>0.14257132291793856</v>
      </c>
      <c r="M22" s="5">
        <f>'Proximal Validation'!M22</f>
        <v>-0.40405035018920898</v>
      </c>
      <c r="N22" s="5">
        <f>'Proximal Validation'!N22</f>
        <v>0.56010144948959395</v>
      </c>
      <c r="O22" s="5">
        <f>'Proximal Validation'!O22</f>
        <v>0.224302783608437</v>
      </c>
      <c r="P22" s="5">
        <v>0.65957634772540596</v>
      </c>
      <c r="Q22" s="5">
        <v>0.19999999994081052</v>
      </c>
      <c r="R22" s="5">
        <v>2.739559382523804E-14</v>
      </c>
      <c r="S22" s="5">
        <v>0.30000000000002219</v>
      </c>
      <c r="T22" s="5">
        <v>3.623516258646698E-2</v>
      </c>
      <c r="U22" s="5">
        <v>0.96457337246871411</v>
      </c>
      <c r="V22" s="13">
        <v>3.1504701241469299E-6</v>
      </c>
      <c r="W22" s="5">
        <f t="shared" si="4"/>
        <v>-0.36822680137459396</v>
      </c>
      <c r="X22" s="5">
        <f t="shared" si="4"/>
        <v>5.9999999940810511E-2</v>
      </c>
      <c r="Y22" s="5">
        <f t="shared" si="2"/>
        <v>2.739559382523804E-14</v>
      </c>
      <c r="Z22" s="5">
        <f t="shared" si="5"/>
        <v>-2.8638607299977803E-2</v>
      </c>
      <c r="AA22" s="5">
        <f t="shared" si="5"/>
        <v>-3.7648374135330204E-3</v>
      </c>
      <c r="AB22" s="5">
        <f t="shared" si="3"/>
        <v>1.3916266275312856</v>
      </c>
      <c r="AC22" s="8">
        <f t="shared" si="6"/>
        <v>0.19843270433728588</v>
      </c>
      <c r="AD22" s="8">
        <f t="shared" si="6"/>
        <v>3.1882418677171766E-2</v>
      </c>
      <c r="AE22" s="8">
        <f t="shared" si="6"/>
        <v>0.69581331376565647</v>
      </c>
    </row>
    <row r="23" spans="1:31" x14ac:dyDescent="0.25">
      <c r="A23" s="5">
        <f>'Proximal Validation'!A23</f>
        <v>0.8908774062</v>
      </c>
      <c r="B23" s="5">
        <f>'Proximal Validation'!B23</f>
        <v>0.18</v>
      </c>
      <c r="C23" s="5">
        <f>'Proximal Validation'!C23</f>
        <v>3.1415999999999999</v>
      </c>
      <c r="D23" s="5">
        <f>'Proximal Validation'!D23</f>
        <v>0.88440675189999995</v>
      </c>
      <c r="E23" s="5">
        <f>'Proximal Validation'!E23</f>
        <v>0.08</v>
      </c>
      <c r="F23" s="5">
        <f>'Proximal Validation'!F23</f>
        <v>3.927</v>
      </c>
      <c r="G23" s="5">
        <f>'Proximal Validation'!G23</f>
        <v>0.48462861940000002</v>
      </c>
      <c r="H23" s="5">
        <f>'Proximal Validation'!H23</f>
        <v>1.6897568487000001</v>
      </c>
      <c r="I23" s="5">
        <f>'Proximal Validation'!I23</f>
        <v>3.1701200912999998</v>
      </c>
      <c r="J23" s="5">
        <f>'Proximal Validation'!J23</f>
        <v>-1.0968123562634E-2</v>
      </c>
      <c r="K23" s="5">
        <f>'Proximal Validation'!K23</f>
        <v>4.6224179565906513E-2</v>
      </c>
      <c r="L23" s="5">
        <f>'Proximal Validation'!L23</f>
        <v>-0.21030587911605858</v>
      </c>
      <c r="M23" s="5">
        <f>'Proximal Validation'!M23</f>
        <v>-0.31008237600326499</v>
      </c>
      <c r="N23" s="5">
        <f>'Proximal Validation'!N23</f>
        <v>-1.3964996337890601</v>
      </c>
      <c r="O23" s="5">
        <f>'Proximal Validation'!O23</f>
        <v>-0.54938417673110995</v>
      </c>
      <c r="P23" s="5">
        <v>0.99892810646047259</v>
      </c>
      <c r="Q23" s="5">
        <v>0.16742737836782279</v>
      </c>
      <c r="R23" s="5">
        <v>3.1209400787937152</v>
      </c>
      <c r="S23" s="5">
        <v>0.82743277203410859</v>
      </c>
      <c r="T23" s="5">
        <v>8.2789212739388066E-2</v>
      </c>
      <c r="U23" s="5">
        <v>4.0391363787681289</v>
      </c>
      <c r="V23" s="13">
        <v>3.2804172939025155E-8</v>
      </c>
      <c r="W23" s="5">
        <f t="shared" si="4"/>
        <v>0.10805070026047259</v>
      </c>
      <c r="X23" s="5">
        <f t="shared" si="4"/>
        <v>-1.2572621632177206E-2</v>
      </c>
      <c r="Y23" s="5">
        <f t="shared" si="2"/>
        <v>2.0659921206284793E-2</v>
      </c>
      <c r="Z23" s="5">
        <f t="shared" si="5"/>
        <v>-5.6973979865891367E-2</v>
      </c>
      <c r="AA23" s="5">
        <f t="shared" si="5"/>
        <v>2.7892127393880639E-3</v>
      </c>
      <c r="AB23" s="5">
        <f t="shared" si="3"/>
        <v>0.11213637876812887</v>
      </c>
      <c r="AC23" s="8">
        <f t="shared" si="6"/>
        <v>8.2512340063181977E-2</v>
      </c>
      <c r="AD23" s="8">
        <f t="shared" si="6"/>
        <v>7.6809171857826347E-3</v>
      </c>
      <c r="AE23" s="8">
        <f t="shared" si="6"/>
        <v>6.6398149987206834E-2</v>
      </c>
    </row>
    <row r="24" spans="1:31" x14ac:dyDescent="0.25">
      <c r="A24" s="5">
        <f>'Proximal Validation'!A24</f>
        <v>1.2597568109999999</v>
      </c>
      <c r="B24" s="5">
        <f>'Proximal Validation'!B24</f>
        <v>0.16</v>
      </c>
      <c r="C24" s="5">
        <f>'Proximal Validation'!C24</f>
        <v>0</v>
      </c>
      <c r="D24" s="5">
        <f>'Proximal Validation'!D24</f>
        <v>0.58841219170000003</v>
      </c>
      <c r="E24" s="5">
        <f>'Proximal Validation'!E24</f>
        <v>0.06</v>
      </c>
      <c r="F24" s="5">
        <f>'Proximal Validation'!F24</f>
        <v>5.4977999999999998</v>
      </c>
      <c r="G24" s="5">
        <f>'Proximal Validation'!G24</f>
        <v>3.9855186287</v>
      </c>
      <c r="H24" s="5">
        <f>'Proximal Validation'!H24</f>
        <v>1.0426876676000001</v>
      </c>
      <c r="I24" s="5">
        <f>'Proximal Validation'!I24</f>
        <v>0.31561411</v>
      </c>
      <c r="J24" s="5">
        <f>'Proximal Validation'!J24</f>
        <v>-1.31122805178165E-2</v>
      </c>
      <c r="K24" s="5">
        <f>'Proximal Validation'!K24</f>
        <v>3.2584191262721982E-2</v>
      </c>
      <c r="L24" s="5">
        <f>'Proximal Validation'!L24</f>
        <v>0.23728636741638198</v>
      </c>
      <c r="M24" s="5">
        <f>'Proximal Validation'!M24</f>
        <v>-0.49038222432136502</v>
      </c>
      <c r="N24" s="5">
        <f>'Proximal Validation'!N24</f>
        <v>1.3875218629837001</v>
      </c>
      <c r="O24" s="5">
        <f>'Proximal Validation'!O24</f>
        <v>-0.45694583654403698</v>
      </c>
      <c r="P24" s="5">
        <v>0.83465568466805451</v>
      </c>
      <c r="Q24" s="5">
        <v>0.14555773506894076</v>
      </c>
      <c r="R24" s="5">
        <v>6.4956182496748389E-7</v>
      </c>
      <c r="S24" s="5">
        <v>0.76248941877185228</v>
      </c>
      <c r="T24" s="5">
        <v>0.13807579131248685</v>
      </c>
      <c r="U24" s="5">
        <v>9.9465269570611082E-7</v>
      </c>
      <c r="V24" s="13">
        <v>1.058326275996067E-3</v>
      </c>
      <c r="W24" s="5">
        <f t="shared" si="4"/>
        <v>-0.42510112633194541</v>
      </c>
      <c r="X24" s="5">
        <f t="shared" si="4"/>
        <v>-1.444226493105924E-2</v>
      </c>
      <c r="Y24" s="5">
        <f t="shared" si="2"/>
        <v>6.4956182496748389E-7</v>
      </c>
      <c r="Z24" s="5">
        <f t="shared" si="5"/>
        <v>0.17407722707185225</v>
      </c>
      <c r="AA24" s="5">
        <f t="shared" si="5"/>
        <v>7.8075791312486847E-2</v>
      </c>
      <c r="AB24" s="5">
        <f t="shared" si="3"/>
        <v>0.78538630183228175</v>
      </c>
      <c r="AC24" s="8">
        <f t="shared" si="6"/>
        <v>0.29958917670189883</v>
      </c>
      <c r="AD24" s="8">
        <f t="shared" si="6"/>
        <v>4.6259028121773044E-2</v>
      </c>
      <c r="AE24" s="8">
        <f t="shared" si="6"/>
        <v>0.39269347569705337</v>
      </c>
    </row>
    <row r="25" spans="1:31" x14ac:dyDescent="0.25">
      <c r="A25" s="5">
        <f>'Proximal Validation'!A25</f>
        <v>0.65858340790000003</v>
      </c>
      <c r="B25" s="5">
        <f>'Proximal Validation'!B25</f>
        <v>0.18</v>
      </c>
      <c r="C25" s="5">
        <f>'Proximal Validation'!C25</f>
        <v>0</v>
      </c>
      <c r="D25" s="5">
        <f>'Proximal Validation'!D25</f>
        <v>0.498698221</v>
      </c>
      <c r="E25" s="5">
        <f>'Proximal Validation'!E25</f>
        <v>0.08</v>
      </c>
      <c r="F25" s="5">
        <f>'Proximal Validation'!F25</f>
        <v>0.78539999999999999</v>
      </c>
      <c r="G25" s="5">
        <f>'Proximal Validation'!G25</f>
        <v>4.9301628920000002</v>
      </c>
      <c r="H25" s="5">
        <f>'Proximal Validation'!H25</f>
        <v>1.8520278541999999</v>
      </c>
      <c r="I25" s="5">
        <f>'Proximal Validation'!I25</f>
        <v>4.6646910371999999</v>
      </c>
      <c r="J25" s="5">
        <f>'Proximal Validation'!J25</f>
        <v>5.6948820129036903E-3</v>
      </c>
      <c r="K25" s="5">
        <f>'Proximal Validation'!K25</f>
        <v>-3.9132168591022504E-2</v>
      </c>
      <c r="L25" s="5">
        <f>'Proximal Validation'!L25</f>
        <v>0.13971699118614192</v>
      </c>
      <c r="M25" s="5">
        <f>'Proximal Validation'!M25</f>
        <v>-0.225714981555939</v>
      </c>
      <c r="N25" s="5">
        <f>'Proximal Validation'!N25</f>
        <v>0.81510567665100098</v>
      </c>
      <c r="O25" s="5">
        <f>'Proximal Validation'!O25</f>
        <v>0.40455636382103</v>
      </c>
      <c r="P25" s="5">
        <v>0.67464784421429003</v>
      </c>
      <c r="Q25" s="5">
        <v>0.17849751544287779</v>
      </c>
      <c r="R25" s="5">
        <v>1.1408164611464154E-2</v>
      </c>
      <c r="S25" s="5">
        <v>0.4823823732248862</v>
      </c>
      <c r="T25" s="5">
        <v>7.7814012970554347E-2</v>
      </c>
      <c r="U25" s="5">
        <v>0.79734362664017011</v>
      </c>
      <c r="V25" s="13">
        <v>7.6579034939515675E-11</v>
      </c>
      <c r="W25" s="5">
        <f t="shared" si="4"/>
        <v>1.6064436314289998E-2</v>
      </c>
      <c r="X25" s="5">
        <f t="shared" si="4"/>
        <v>-1.5024845571222079E-3</v>
      </c>
      <c r="Y25" s="5">
        <f t="shared" si="2"/>
        <v>1.1408164611464154E-2</v>
      </c>
      <c r="Z25" s="5">
        <f t="shared" si="5"/>
        <v>-1.6315847775113801E-2</v>
      </c>
      <c r="AA25" s="5">
        <f t="shared" si="5"/>
        <v>-2.1859870294456546E-3</v>
      </c>
      <c r="AB25" s="5">
        <f t="shared" si="3"/>
        <v>1.1943626640170124E-2</v>
      </c>
      <c r="AC25" s="8">
        <f t="shared" si="6"/>
        <v>1.61901420447019E-2</v>
      </c>
      <c r="AD25" s="8">
        <f t="shared" si="6"/>
        <v>1.8442357932839312E-3</v>
      </c>
      <c r="AE25" s="8">
        <f t="shared" si="6"/>
        <v>1.167589562581714E-2</v>
      </c>
    </row>
    <row r="26" spans="1:31" x14ac:dyDescent="0.25">
      <c r="A26" s="5">
        <f>'Proximal Validation'!A26</f>
        <v>0.55032038400000005</v>
      </c>
      <c r="B26" s="5">
        <f>'Proximal Validation'!B26</f>
        <v>0.16</v>
      </c>
      <c r="C26" s="5">
        <f>'Proximal Validation'!C26</f>
        <v>3.1415999999999999</v>
      </c>
      <c r="D26" s="5">
        <f>'Proximal Validation'!D26</f>
        <v>1.4487418581</v>
      </c>
      <c r="E26" s="5">
        <f>'Proximal Validation'!E26</f>
        <v>0.08</v>
      </c>
      <c r="F26" s="5">
        <f>'Proximal Validation'!F26</f>
        <v>2.3561999999999999</v>
      </c>
      <c r="G26" s="5">
        <f>'Proximal Validation'!G26</f>
        <v>4.7175867132000002</v>
      </c>
      <c r="H26" s="5">
        <f>'Proximal Validation'!H26</f>
        <v>1.3012665307</v>
      </c>
      <c r="I26" s="5">
        <f>'Proximal Validation'!I26</f>
        <v>3.3668845907999998</v>
      </c>
      <c r="J26" s="5">
        <f>'Proximal Validation'!J26</f>
        <v>-3.3003846183419202E-3</v>
      </c>
      <c r="K26" s="5">
        <f>'Proximal Validation'!K26</f>
        <v>-9.0392925143242306E-2</v>
      </c>
      <c r="L26" s="5">
        <f>'Proximal Validation'!L26</f>
        <v>-0.1809552919864662</v>
      </c>
      <c r="M26" s="5">
        <f>'Proximal Validation'!M26</f>
        <v>-9.5655664801597595E-2</v>
      </c>
      <c r="N26" s="5">
        <f>'Proximal Validation'!N26</f>
        <v>-1.52476859092712</v>
      </c>
      <c r="O26" s="5">
        <f>'Proximal Validation'!O26</f>
        <v>1.0964374542236299</v>
      </c>
      <c r="P26" s="5">
        <v>0.86546126264477241</v>
      </c>
      <c r="Q26" s="5">
        <v>0.13147086962051213</v>
      </c>
      <c r="R26" s="5">
        <v>3.1225346166627044</v>
      </c>
      <c r="S26" s="5">
        <v>1.2328063804154474</v>
      </c>
      <c r="T26" s="5">
        <v>7.9178241890521237E-2</v>
      </c>
      <c r="U26" s="5">
        <v>2.1833185234173564</v>
      </c>
      <c r="V26" s="13">
        <v>8.2415524714324426E-8</v>
      </c>
      <c r="W26" s="5">
        <f t="shared" si="4"/>
        <v>0.31514087864477236</v>
      </c>
      <c r="X26" s="5">
        <f t="shared" si="4"/>
        <v>-2.8529130379487871E-2</v>
      </c>
      <c r="Y26" s="5">
        <f t="shared" si="2"/>
        <v>1.9065383337295572E-2</v>
      </c>
      <c r="Z26" s="5">
        <f t="shared" si="5"/>
        <v>-0.21593547768455257</v>
      </c>
      <c r="AA26" s="5">
        <f t="shared" si="5"/>
        <v>-8.2175810947876515E-4</v>
      </c>
      <c r="AB26" s="5">
        <f t="shared" si="3"/>
        <v>0.17288147658264341</v>
      </c>
      <c r="AC26" s="8">
        <f t="shared" si="6"/>
        <v>0.26553817816466246</v>
      </c>
      <c r="AD26" s="8">
        <f t="shared" si="6"/>
        <v>1.4675444244483318E-2</v>
      </c>
      <c r="AE26" s="8">
        <f t="shared" si="6"/>
        <v>9.5973429959969492E-2</v>
      </c>
    </row>
    <row r="27" spans="1:31" x14ac:dyDescent="0.25">
      <c r="A27" s="5">
        <f>'Proximal Validation'!A27</f>
        <v>1.2531062278</v>
      </c>
      <c r="B27" s="5">
        <f>'Proximal Validation'!B27</f>
        <v>0.18</v>
      </c>
      <c r="C27" s="5">
        <f>'Proximal Validation'!C27</f>
        <v>5.4977999999999998</v>
      </c>
      <c r="D27" s="5">
        <f>'Proximal Validation'!D27</f>
        <v>0.4702401397</v>
      </c>
      <c r="E27" s="5">
        <f>'Proximal Validation'!E27</f>
        <v>0.1</v>
      </c>
      <c r="F27" s="5">
        <f>'Proximal Validation'!F27</f>
        <v>5.4977999999999998</v>
      </c>
      <c r="G27" s="5">
        <f>'Proximal Validation'!G27</f>
        <v>0.1483911762</v>
      </c>
      <c r="H27" s="5">
        <f>'Proximal Validation'!H27</f>
        <v>0.2167359935</v>
      </c>
      <c r="I27" s="5">
        <f>'Proximal Validation'!I27</f>
        <v>4.9349358513999997</v>
      </c>
      <c r="J27" s="5">
        <f>'Proximal Validation'!J27</f>
        <v>2.7674149721860899E-2</v>
      </c>
      <c r="K27" s="5">
        <f>'Proximal Validation'!K27</f>
        <v>0.18163369894027664</v>
      </c>
      <c r="L27" s="5">
        <f>'Proximal Validation'!L27</f>
        <v>0.16960839986801107</v>
      </c>
      <c r="M27" s="5">
        <f>'Proximal Validation'!M27</f>
        <v>-0.92870730161666903</v>
      </c>
      <c r="N27" s="5">
        <f>'Proximal Validation'!N27</f>
        <v>0.96827960014343295</v>
      </c>
      <c r="O27" s="5">
        <f>'Proximal Validation'!O27</f>
        <v>-0.92081308364868197</v>
      </c>
      <c r="P27" s="5">
        <v>1.08152347763588</v>
      </c>
      <c r="Q27" s="5">
        <v>0.15939215365944201</v>
      </c>
      <c r="R27" s="5">
        <v>4.6646400460788127E-2</v>
      </c>
      <c r="S27" s="5">
        <v>1.2984741731163947</v>
      </c>
      <c r="T27" s="5">
        <v>0.1562324295459856</v>
      </c>
      <c r="U27" s="5">
        <v>4.8162799720498723</v>
      </c>
      <c r="V27" s="13">
        <v>3.5013347077149734E-6</v>
      </c>
      <c r="W27" s="5">
        <f t="shared" si="4"/>
        <v>-0.17158275016412006</v>
      </c>
      <c r="X27" s="5">
        <f t="shared" si="4"/>
        <v>-2.0607846340557984E-2</v>
      </c>
      <c r="Y27" s="5">
        <f t="shared" si="2"/>
        <v>0.83203170764037448</v>
      </c>
      <c r="Z27" s="5">
        <f t="shared" si="5"/>
        <v>0.82823403341639468</v>
      </c>
      <c r="AA27" s="5">
        <f t="shared" si="5"/>
        <v>5.6232429545985591E-2</v>
      </c>
      <c r="AB27" s="5">
        <f t="shared" si="3"/>
        <v>0.68152002795012745</v>
      </c>
      <c r="AC27" s="8">
        <f t="shared" si="6"/>
        <v>0.49990839179025737</v>
      </c>
      <c r="AD27" s="8">
        <f t="shared" si="6"/>
        <v>3.8420137943271787E-2</v>
      </c>
      <c r="AE27" s="8">
        <f t="shared" si="6"/>
        <v>0.75677586779525097</v>
      </c>
    </row>
    <row r="28" spans="1:31" x14ac:dyDescent="0.25">
      <c r="A28" s="5">
        <f>'Proximal Validation'!A28</f>
        <v>0.37674236639999997</v>
      </c>
      <c r="B28" s="5">
        <f>'Proximal Validation'!B28</f>
        <v>0.12</v>
      </c>
      <c r="C28" s="5">
        <f>'Proximal Validation'!C28</f>
        <v>5.4977999999999998</v>
      </c>
      <c r="D28" s="5">
        <f>'Proximal Validation'!D28</f>
        <v>0.55884916829999998</v>
      </c>
      <c r="E28" s="5">
        <f>'Proximal Validation'!E28</f>
        <v>0.04</v>
      </c>
      <c r="F28" s="5">
        <f>'Proximal Validation'!F28</f>
        <v>5.4977999999999998</v>
      </c>
      <c r="G28" s="5">
        <f>'Proximal Validation'!G28</f>
        <v>2.7463764360999998</v>
      </c>
      <c r="H28" s="5">
        <f>'Proximal Validation'!H28</f>
        <v>4.0783358151</v>
      </c>
      <c r="I28" s="5">
        <f>'Proximal Validation'!I28</f>
        <v>2.4827351898000001</v>
      </c>
      <c r="J28" s="5">
        <f>'Proximal Validation'!J28</f>
        <v>-3.6156550049781799E-4</v>
      </c>
      <c r="K28" s="5">
        <f>'Proximal Validation'!K28</f>
        <v>4.1398868262767785E-2</v>
      </c>
      <c r="L28" s="5">
        <f>'Proximal Validation'!L28</f>
        <v>4.661006897687911E-2</v>
      </c>
      <c r="M28" s="5">
        <f>'Proximal Validation'!M28</f>
        <v>-5.9548625722527504E-3</v>
      </c>
      <c r="N28" s="5">
        <f>'Proximal Validation'!N28</f>
        <v>0.58329415321350098</v>
      </c>
      <c r="O28" s="5">
        <f>'Proximal Validation'!O28</f>
        <v>-0.53506898880004905</v>
      </c>
      <c r="P28" s="5">
        <v>0.80628506230538655</v>
      </c>
      <c r="Q28" s="5">
        <v>7.2634391578195179E-2</v>
      </c>
      <c r="R28" s="5">
        <v>4.9811690368223882</v>
      </c>
      <c r="S28" s="5">
        <v>0.46220331426163441</v>
      </c>
      <c r="T28" s="5">
        <v>7.2629294538529759E-2</v>
      </c>
      <c r="U28" s="5">
        <v>0.25326952877742942</v>
      </c>
      <c r="V28" s="13">
        <v>3.7898617572124501E-9</v>
      </c>
      <c r="W28" s="5">
        <f t="shared" si="4"/>
        <v>0.42954269590538657</v>
      </c>
      <c r="X28" s="5">
        <f t="shared" si="4"/>
        <v>-4.7365608421804817E-2</v>
      </c>
      <c r="Y28" s="5">
        <f t="shared" si="2"/>
        <v>0.51663096317761159</v>
      </c>
      <c r="Z28" s="5">
        <f t="shared" si="5"/>
        <v>-9.6645854038365564E-2</v>
      </c>
      <c r="AA28" s="5">
        <f t="shared" si="5"/>
        <v>3.2629294538529759E-2</v>
      </c>
      <c r="AB28" s="5">
        <f t="shared" si="3"/>
        <v>1.0386548359570158</v>
      </c>
      <c r="AC28" s="8">
        <f t="shared" si="6"/>
        <v>0.2630942749718761</v>
      </c>
      <c r="AD28" s="8">
        <f t="shared" si="6"/>
        <v>3.9997451480167284E-2</v>
      </c>
      <c r="AE28" s="8">
        <f t="shared" si="6"/>
        <v>0.77764289956731369</v>
      </c>
    </row>
    <row r="29" spans="1:31" x14ac:dyDescent="0.25">
      <c r="A29" s="5">
        <f>'Proximal Validation'!A29</f>
        <v>0.99744538530000004</v>
      </c>
      <c r="B29" s="5">
        <f>'Proximal Validation'!B29</f>
        <v>0.12</v>
      </c>
      <c r="C29" s="5">
        <f>'Proximal Validation'!C29</f>
        <v>2.3561999999999999</v>
      </c>
      <c r="D29" s="5">
        <f>'Proximal Validation'!D29</f>
        <v>0.63256510880000005</v>
      </c>
      <c r="E29" s="5">
        <f>'Proximal Validation'!E29</f>
        <v>0.04</v>
      </c>
      <c r="F29" s="5">
        <f>'Proximal Validation'!F29</f>
        <v>4.7123999999999997</v>
      </c>
      <c r="G29" s="5">
        <f>'Proximal Validation'!G29</f>
        <v>1.0163068775999999</v>
      </c>
      <c r="H29" s="5">
        <f>'Proximal Validation'!H29</f>
        <v>2.5468444695999999</v>
      </c>
      <c r="I29" s="5">
        <f>'Proximal Validation'!I29</f>
        <v>0.1214735909</v>
      </c>
      <c r="J29" s="5">
        <f>'Proximal Validation'!J29</f>
        <v>-7.3622260242700598E-4</v>
      </c>
      <c r="K29" s="5">
        <f>'Proximal Validation'!K29</f>
        <v>-5.9271394908428213E-2</v>
      </c>
      <c r="L29" s="5">
        <f>'Proximal Validation'!L29</f>
        <v>-8.9796378016472195E-2</v>
      </c>
      <c r="M29" s="5">
        <f>'Proximal Validation'!M29</f>
        <v>-0.13119469583034499</v>
      </c>
      <c r="N29" s="5">
        <f>'Proximal Validation'!N29</f>
        <v>-0.67694950103759799</v>
      </c>
      <c r="O29" s="5">
        <f>'Proximal Validation'!O29</f>
        <v>-2.6808261871337901E-2</v>
      </c>
      <c r="P29" s="5">
        <v>0.51716303256613849</v>
      </c>
      <c r="Q29" s="5">
        <v>0.19955935395741722</v>
      </c>
      <c r="R29" s="5">
        <v>2.097369347053438</v>
      </c>
      <c r="S29" s="5">
        <v>0.57525997827506936</v>
      </c>
      <c r="T29" s="5">
        <v>7.5902603656365947E-2</v>
      </c>
      <c r="U29" s="5">
        <v>3.7868280978208118</v>
      </c>
      <c r="V29" s="13">
        <v>8.8778959200260477E-7</v>
      </c>
      <c r="W29" s="5">
        <f t="shared" si="4"/>
        <v>-0.48028235273386155</v>
      </c>
      <c r="X29" s="5">
        <f t="shared" si="4"/>
        <v>7.9559353957417228E-2</v>
      </c>
      <c r="Y29" s="5">
        <f t="shared" si="2"/>
        <v>0.25883065294656182</v>
      </c>
      <c r="Z29" s="5">
        <f t="shared" si="5"/>
        <v>-5.7305130524930692E-2</v>
      </c>
      <c r="AA29" s="5">
        <f t="shared" si="5"/>
        <v>3.5902603656365946E-2</v>
      </c>
      <c r="AB29" s="5">
        <f t="shared" si="3"/>
        <v>0.92557190217918794</v>
      </c>
      <c r="AC29" s="8">
        <f t="shared" si="6"/>
        <v>0.26879374162939612</v>
      </c>
      <c r="AD29" s="8">
        <f t="shared" si="6"/>
        <v>5.7730978806891584E-2</v>
      </c>
      <c r="AE29" s="8">
        <f t="shared" si="6"/>
        <v>0.59220127756287488</v>
      </c>
    </row>
    <row r="30" spans="1:31" x14ac:dyDescent="0.25">
      <c r="A30" s="5">
        <f>'Proximal Validation'!A30</f>
        <v>0.91958396450000002</v>
      </c>
      <c r="B30" s="5">
        <f>'Proximal Validation'!B30</f>
        <v>0.18</v>
      </c>
      <c r="C30" s="5">
        <f>'Proximal Validation'!C30</f>
        <v>0</v>
      </c>
      <c r="D30" s="5">
        <f>'Proximal Validation'!D30</f>
        <v>1.2327944816</v>
      </c>
      <c r="E30" s="5">
        <f>'Proximal Validation'!E30</f>
        <v>0.1</v>
      </c>
      <c r="F30" s="5">
        <f>'Proximal Validation'!F30</f>
        <v>4.7123999999999997</v>
      </c>
      <c r="G30" s="5">
        <f>'Proximal Validation'!G30</f>
        <v>3.7350994551999999</v>
      </c>
      <c r="H30" s="5">
        <f>'Proximal Validation'!H30</f>
        <v>0.10989542820000001</v>
      </c>
      <c r="I30" s="5">
        <f>'Proximal Validation'!I30</f>
        <v>4.0041016991999996</v>
      </c>
      <c r="J30" s="5">
        <f>'Proximal Validation'!J30</f>
        <v>8.7357107549905794E-3</v>
      </c>
      <c r="K30" s="5">
        <f>'Proximal Validation'!K30</f>
        <v>0.11720653593540191</v>
      </c>
      <c r="L30" s="5">
        <f>'Proximal Validation'!L30</f>
        <v>0.13852887213230181</v>
      </c>
      <c r="M30" s="5">
        <f>'Proximal Validation'!M30</f>
        <v>-0.47499537467956499</v>
      </c>
      <c r="N30" s="5">
        <f>'Proximal Validation'!N30</f>
        <v>0.53509271144866899</v>
      </c>
      <c r="O30" s="5">
        <f>'Proximal Validation'!O30</f>
        <v>-1.1571068763732899</v>
      </c>
      <c r="P30" s="5">
        <v>0.95293525127542833</v>
      </c>
      <c r="Q30" s="5">
        <v>0.17706820676721491</v>
      </c>
      <c r="R30" s="5">
        <v>5.9540144385709648E-2</v>
      </c>
      <c r="S30" s="5">
        <v>1.2881977002678271</v>
      </c>
      <c r="T30" s="5">
        <v>0.10382535005692113</v>
      </c>
      <c r="U30" s="5">
        <v>4.6859759119207345</v>
      </c>
      <c r="V30" s="13">
        <v>1.5059318571668812E-9</v>
      </c>
      <c r="W30" s="5">
        <f t="shared" si="4"/>
        <v>3.3351286775428313E-2</v>
      </c>
      <c r="X30" s="5">
        <f t="shared" si="4"/>
        <v>-2.9317932327850849E-3</v>
      </c>
      <c r="Y30" s="5">
        <f t="shared" si="2"/>
        <v>5.9540144385709648E-2</v>
      </c>
      <c r="Z30" s="5">
        <f t="shared" si="5"/>
        <v>5.5403218667827048E-2</v>
      </c>
      <c r="AA30" s="5">
        <f t="shared" si="5"/>
        <v>3.8253500569211257E-3</v>
      </c>
      <c r="AB30" s="5">
        <f t="shared" si="3"/>
        <v>2.6424088079265218E-2</v>
      </c>
      <c r="AC30" s="8">
        <f t="shared" si="6"/>
        <v>4.437725272162768E-2</v>
      </c>
      <c r="AD30" s="8">
        <f t="shared" si="6"/>
        <v>3.3785716448531053E-3</v>
      </c>
      <c r="AE30" s="8">
        <f t="shared" si="6"/>
        <v>4.2982116232487433E-2</v>
      </c>
    </row>
    <row r="31" spans="1:31" x14ac:dyDescent="0.25">
      <c r="A31" s="5">
        <f>'Proximal Validation'!A31</f>
        <v>0.76015027209999997</v>
      </c>
      <c r="B31" s="5">
        <f>'Proximal Validation'!B31</f>
        <v>0.18</v>
      </c>
      <c r="C31" s="5">
        <f>'Proximal Validation'!C31</f>
        <v>2.3561999999999999</v>
      </c>
      <c r="D31" s="5">
        <f>'Proximal Validation'!D31</f>
        <v>0.80034279419999999</v>
      </c>
      <c r="E31" s="5">
        <f>'Proximal Validation'!E31</f>
        <v>0.1</v>
      </c>
      <c r="F31" s="5">
        <f>'Proximal Validation'!F31</f>
        <v>0</v>
      </c>
      <c r="G31" s="5">
        <f>'Proximal Validation'!G31</f>
        <v>4.7396783878999997</v>
      </c>
      <c r="H31" s="5">
        <f>'Proximal Validation'!H31</f>
        <v>4.9071061610999998</v>
      </c>
      <c r="I31" s="5">
        <f>'Proximal Validation'!I31</f>
        <v>1.8713340661</v>
      </c>
      <c r="J31" s="5">
        <f>'Proximal Validation'!J31</f>
        <v>2.7520677540451301E-3</v>
      </c>
      <c r="K31" s="5">
        <f>'Proximal Validation'!K31</f>
        <v>-9.1657291352748443E-2</v>
      </c>
      <c r="L31" s="5">
        <f>'Proximal Validation'!L31</f>
        <v>6.0718978941440779E-3</v>
      </c>
      <c r="M31" s="5">
        <f>'Proximal Validation'!M31</f>
        <v>-0.237300649285316</v>
      </c>
      <c r="N31" s="5">
        <f>'Proximal Validation'!N31</f>
        <v>0.46046692132949801</v>
      </c>
      <c r="O31" s="5">
        <f>'Proximal Validation'!O31</f>
        <v>0.45199945569038402</v>
      </c>
      <c r="P31" s="5">
        <v>0.73931645082168707</v>
      </c>
      <c r="Q31" s="5">
        <v>0.18240936689004381</v>
      </c>
      <c r="R31" s="5">
        <v>2.3528896948892761</v>
      </c>
      <c r="S31" s="5">
        <v>0.78404682836636941</v>
      </c>
      <c r="T31" s="5">
        <v>9.963842811431152E-2</v>
      </c>
      <c r="U31" s="5">
        <v>1.4982465728407706E-2</v>
      </c>
      <c r="V31" s="13">
        <v>4.2442205139573682E-9</v>
      </c>
      <c r="W31" s="5">
        <f t="shared" si="4"/>
        <v>-2.0833821278312903E-2</v>
      </c>
      <c r="X31" s="5">
        <f t="shared" si="4"/>
        <v>2.4093668900438125E-3</v>
      </c>
      <c r="Y31" s="5">
        <f t="shared" si="2"/>
        <v>3.3103051107237214E-3</v>
      </c>
      <c r="Z31" s="5">
        <f t="shared" si="5"/>
        <v>-1.6295965833630577E-2</v>
      </c>
      <c r="AA31" s="5">
        <f t="shared" si="5"/>
        <v>-3.6157188568848586E-4</v>
      </c>
      <c r="AB31" s="5">
        <f t="shared" si="3"/>
        <v>1.4982465728407706E-2</v>
      </c>
      <c r="AC31" s="8">
        <f t="shared" si="6"/>
        <v>1.856489355597174E-2</v>
      </c>
      <c r="AD31" s="8">
        <f t="shared" si="6"/>
        <v>1.3854693878661492E-3</v>
      </c>
      <c r="AE31" s="8">
        <f t="shared" si="6"/>
        <v>9.1463854195657137E-3</v>
      </c>
    </row>
    <row r="32" spans="1:31" x14ac:dyDescent="0.25">
      <c r="A32" s="5">
        <f>'Proximal Validation'!A32</f>
        <v>0.9040684336</v>
      </c>
      <c r="B32" s="5">
        <f>'Proximal Validation'!B32</f>
        <v>0.1</v>
      </c>
      <c r="C32" s="5">
        <f>'Proximal Validation'!C32</f>
        <v>5.4977999999999998</v>
      </c>
      <c r="D32" s="5">
        <f>'Proximal Validation'!D32</f>
        <v>0.68590239919999996</v>
      </c>
      <c r="E32" s="5">
        <f>'Proximal Validation'!E32</f>
        <v>0.02</v>
      </c>
      <c r="F32" s="5">
        <f>'Proximal Validation'!F32</f>
        <v>4.7123999999999997</v>
      </c>
      <c r="G32" s="5">
        <f>'Proximal Validation'!G32</f>
        <v>3.1050919126999998</v>
      </c>
      <c r="H32" s="5">
        <f>'Proximal Validation'!H32</f>
        <v>4.9790166179000002</v>
      </c>
      <c r="I32" s="5">
        <f>'Proximal Validation'!I32</f>
        <v>4.7088396990000003</v>
      </c>
      <c r="J32" s="5">
        <f>'Proximal Validation'!J32</f>
        <v>1.4985646121203899E-3</v>
      </c>
      <c r="K32" s="5">
        <f>'Proximal Validation'!K32</f>
        <v>7.966082274913841E-2</v>
      </c>
      <c r="L32" s="5">
        <f>'Proximal Validation'!L32</f>
        <v>6.8656248152256336E-2</v>
      </c>
      <c r="M32" s="5">
        <f>'Proximal Validation'!M32</f>
        <v>-4.77860830724239E-2</v>
      </c>
      <c r="N32" s="5">
        <f>'Proximal Validation'!N32</f>
        <v>0.595284283161163</v>
      </c>
      <c r="O32" s="5">
        <f>'Proximal Validation'!O32</f>
        <v>-1.3795845508575399</v>
      </c>
      <c r="P32" s="5">
        <v>0.36758727349748094</v>
      </c>
      <c r="Q32" s="5">
        <v>0.13060233094225851</v>
      </c>
      <c r="R32" s="5">
        <v>6.7987783306623284E-5</v>
      </c>
      <c r="S32" s="5">
        <v>1.3513291062713526</v>
      </c>
      <c r="T32" s="5">
        <v>5.8280133411567826E-2</v>
      </c>
      <c r="U32" s="5">
        <v>4.9149020907054828</v>
      </c>
      <c r="V32" s="13">
        <v>2.4166537760648907E-7</v>
      </c>
      <c r="W32" s="5">
        <f t="shared" si="4"/>
        <v>-0.53648116010251901</v>
      </c>
      <c r="X32" s="5">
        <f t="shared" si="4"/>
        <v>3.0602330942258504E-2</v>
      </c>
      <c r="Y32" s="5">
        <f t="shared" si="2"/>
        <v>0.78545329496289273</v>
      </c>
      <c r="Z32" s="5">
        <f t="shared" si="5"/>
        <v>0.66542670707135265</v>
      </c>
      <c r="AA32" s="5">
        <f t="shared" si="5"/>
        <v>3.8280133411567829E-2</v>
      </c>
      <c r="AB32" s="5">
        <f t="shared" si="3"/>
        <v>0.20250209070548308</v>
      </c>
      <c r="AC32" s="8">
        <f t="shared" si="6"/>
        <v>0.60095393358693583</v>
      </c>
      <c r="AD32" s="8">
        <f t="shared" si="6"/>
        <v>3.4441232176913167E-2</v>
      </c>
      <c r="AE32" s="8">
        <f t="shared" si="6"/>
        <v>0.49397769283418791</v>
      </c>
    </row>
    <row r="33" spans="1:31" x14ac:dyDescent="0.25">
      <c r="A33" s="5">
        <f>'Proximal Validation'!A33</f>
        <v>1.4109779404</v>
      </c>
      <c r="B33" s="5">
        <f>'Proximal Validation'!B33</f>
        <v>0.2</v>
      </c>
      <c r="C33" s="5">
        <f>'Proximal Validation'!C33</f>
        <v>3.1415999999999999</v>
      </c>
      <c r="D33" s="5">
        <f>'Proximal Validation'!D33</f>
        <v>1.3890525475</v>
      </c>
      <c r="E33" s="5">
        <f>'Proximal Validation'!E33</f>
        <v>0.12</v>
      </c>
      <c r="F33" s="5">
        <f>'Proximal Validation'!F33</f>
        <v>0</v>
      </c>
      <c r="G33" s="5">
        <f>'Proximal Validation'!G33</f>
        <v>0.24685834309999999</v>
      </c>
      <c r="H33" s="5">
        <f>'Proximal Validation'!H33</f>
        <v>4.5298125568999996</v>
      </c>
      <c r="I33" s="5">
        <f>'Proximal Validation'!I33</f>
        <v>2.6684535819000001</v>
      </c>
      <c r="J33" s="5">
        <f>'Proximal Validation'!J33</f>
        <v>1.87164847739041E-3</v>
      </c>
      <c r="K33" s="5">
        <f>'Proximal Validation'!K33</f>
        <v>-9.8448623716830847E-3</v>
      </c>
      <c r="L33" s="5">
        <f>'Proximal Validation'!L33</f>
        <v>-6.3732270747423214E-2</v>
      </c>
      <c r="M33" s="5">
        <f>'Proximal Validation'!M33</f>
        <v>-0.21900780498981501</v>
      </c>
      <c r="N33" s="5">
        <f>'Proximal Validation'!N33</f>
        <v>0.43598496913909901</v>
      </c>
      <c r="O33" s="5">
        <f>'Proximal Validation'!O33</f>
        <v>5.42925000190735E-2</v>
      </c>
      <c r="P33" s="5">
        <v>1.4103585881501557</v>
      </c>
      <c r="Q33" s="5">
        <v>0.19999999984480041</v>
      </c>
      <c r="R33" s="5">
        <v>3.1416033246445978</v>
      </c>
      <c r="S33" s="5">
        <v>1.3884424846111547</v>
      </c>
      <c r="T33" s="5">
        <v>0.11996645857252122</v>
      </c>
      <c r="U33" s="5">
        <v>2.430663931082967E-14</v>
      </c>
      <c r="V33" s="13">
        <v>4.8164707595619182E-11</v>
      </c>
      <c r="W33" s="5">
        <f t="shared" si="4"/>
        <v>-6.1935224984432935E-4</v>
      </c>
      <c r="X33" s="5">
        <f t="shared" si="4"/>
        <v>-1.5519960316900949E-10</v>
      </c>
      <c r="Y33" s="5">
        <f t="shared" si="2"/>
        <v>3.3246445978463157E-6</v>
      </c>
      <c r="Z33" s="5">
        <f t="shared" si="5"/>
        <v>-6.1006288884524196E-4</v>
      </c>
      <c r="AA33" s="5">
        <f t="shared" si="5"/>
        <v>-3.3541427478772645E-5</v>
      </c>
      <c r="AB33" s="5">
        <f t="shared" si="3"/>
        <v>2.430663931082967E-14</v>
      </c>
      <c r="AC33" s="8">
        <f t="shared" si="6"/>
        <v>6.1470756934478565E-4</v>
      </c>
      <c r="AD33" s="8">
        <f t="shared" si="6"/>
        <v>1.6770791339187907E-5</v>
      </c>
      <c r="AE33" s="8">
        <f t="shared" si="6"/>
        <v>1.6623223110764774E-6</v>
      </c>
    </row>
    <row r="34" spans="1:31" x14ac:dyDescent="0.25">
      <c r="A34" s="5">
        <f>'Proximal Validation'!A34</f>
        <v>1.4747736548999999</v>
      </c>
      <c r="B34" s="5">
        <f>'Proximal Validation'!B34</f>
        <v>0.2</v>
      </c>
      <c r="C34" s="5">
        <f>'Proximal Validation'!C34</f>
        <v>0</v>
      </c>
      <c r="D34" s="5">
        <f>'Proximal Validation'!D34</f>
        <v>1.4750904852</v>
      </c>
      <c r="E34" s="5">
        <f>'Proximal Validation'!E34</f>
        <v>0.12</v>
      </c>
      <c r="F34" s="5">
        <f>'Proximal Validation'!F34</f>
        <v>3.1415999999999999</v>
      </c>
      <c r="G34" s="5">
        <f>'Proximal Validation'!G34</f>
        <v>2.1243312033000001</v>
      </c>
      <c r="H34" s="5">
        <f>'Proximal Validation'!H34</f>
        <v>0.98146476360000001</v>
      </c>
      <c r="I34" s="5">
        <f>'Proximal Validation'!I34</f>
        <v>2.2301814902000001</v>
      </c>
      <c r="J34" s="5">
        <f>'Proximal Validation'!J34</f>
        <v>6.5721650607883904E-3</v>
      </c>
      <c r="K34" s="5">
        <f>'Proximal Validation'!K34</f>
        <v>-2.2215567082166657E-2</v>
      </c>
      <c r="L34" s="5">
        <f>'Proximal Validation'!L34</f>
        <v>6.6166436150670055E-2</v>
      </c>
      <c r="M34" s="5">
        <f>'Proximal Validation'!M34</f>
        <v>-0.19941796362400099</v>
      </c>
      <c r="N34" s="5">
        <f>'Proximal Validation'!N34</f>
        <v>-0.49384737014770502</v>
      </c>
      <c r="O34" s="5">
        <f>'Proximal Validation'!O34</f>
        <v>0.13210836052894601</v>
      </c>
      <c r="P34" s="5">
        <v>1.4725629175010726</v>
      </c>
      <c r="Q34" s="5">
        <v>0.19999999502620081</v>
      </c>
      <c r="R34" s="5">
        <v>2.6133561321538897E-11</v>
      </c>
      <c r="S34" s="5">
        <v>1.4729418953407707</v>
      </c>
      <c r="T34" s="5">
        <v>0.11988426903787498</v>
      </c>
      <c r="U34" s="5">
        <v>3.1415868353600427</v>
      </c>
      <c r="V34" s="13">
        <v>6.5022942594513921E-10</v>
      </c>
      <c r="W34" s="5">
        <f t="shared" si="4"/>
        <v>-2.2107373989272983E-3</v>
      </c>
      <c r="X34" s="5">
        <f t="shared" si="4"/>
        <v>-4.9737992058318525E-9</v>
      </c>
      <c r="Y34" s="5">
        <f t="shared" si="2"/>
        <v>2.6133561321538897E-11</v>
      </c>
      <c r="Z34" s="5">
        <f t="shared" si="5"/>
        <v>-2.1485898592292774E-3</v>
      </c>
      <c r="AA34" s="5">
        <f t="shared" si="5"/>
        <v>-1.1573096212501299E-4</v>
      </c>
      <c r="AB34" s="5">
        <f t="shared" si="3"/>
        <v>1.3164639957263802E-5</v>
      </c>
      <c r="AC34" s="8">
        <f t="shared" si="6"/>
        <v>2.1796636290782878E-3</v>
      </c>
      <c r="AD34" s="8">
        <f t="shared" si="6"/>
        <v>5.7867967962109412E-5</v>
      </c>
      <c r="AE34" s="8">
        <f t="shared" si="6"/>
        <v>6.5823330454125618E-6</v>
      </c>
    </row>
    <row r="35" spans="1:31" x14ac:dyDescent="0.25">
      <c r="A35" s="5">
        <f>'Proximal Validation'!A35</f>
        <v>1.1341222659000001</v>
      </c>
      <c r="B35" s="5">
        <f>'Proximal Validation'!B35</f>
        <v>0.12</v>
      </c>
      <c r="C35" s="5">
        <f>'Proximal Validation'!C35</f>
        <v>0.78539999999999999</v>
      </c>
      <c r="D35" s="5">
        <f>'Proximal Validation'!D35</f>
        <v>1.3710979794</v>
      </c>
      <c r="E35" s="5">
        <f>'Proximal Validation'!E35</f>
        <v>0.04</v>
      </c>
      <c r="F35" s="5">
        <f>'Proximal Validation'!F35</f>
        <v>1.5708</v>
      </c>
      <c r="G35" s="5">
        <f>'Proximal Validation'!G35</f>
        <v>3.8924485742999999</v>
      </c>
      <c r="H35" s="5">
        <f>'Proximal Validation'!H35</f>
        <v>4.3783496642999999</v>
      </c>
      <c r="I35" s="5">
        <f>'Proximal Validation'!I35</f>
        <v>1.6360280112000001</v>
      </c>
      <c r="J35" s="5">
        <f>'Proximal Validation'!J35</f>
        <v>-2.3257452994584998E-3</v>
      </c>
      <c r="K35" s="5">
        <f>'Proximal Validation'!K35</f>
        <v>-0.1538876044750217</v>
      </c>
      <c r="L35" s="5">
        <f>'Proximal Validation'!L35</f>
        <v>0.10165858089923878</v>
      </c>
      <c r="M35" s="5">
        <f>'Proximal Validation'!M35</f>
        <v>-0.24121056497096999</v>
      </c>
      <c r="N35" s="5">
        <f>'Proximal Validation'!N35</f>
        <v>0.79770189523696899</v>
      </c>
      <c r="O35" s="5">
        <f>'Proximal Validation'!O35</f>
        <v>2.0650558471679701</v>
      </c>
      <c r="P35" s="5">
        <v>1.2100469948006527</v>
      </c>
      <c r="Q35" s="5">
        <v>0.11830233371490248</v>
      </c>
      <c r="R35" s="5">
        <v>0.82891474456638847</v>
      </c>
      <c r="S35" s="5">
        <v>1.2824658609617514</v>
      </c>
      <c r="T35" s="5">
        <v>3.5495642712226931E-2</v>
      </c>
      <c r="U35" s="5">
        <v>1.5827492908528835</v>
      </c>
      <c r="V35" s="13">
        <v>4.7988173041982883E-9</v>
      </c>
      <c r="W35" s="5">
        <f t="shared" ref="W35:X52" si="7">P35-A35</f>
        <v>7.5924728900652605E-2</v>
      </c>
      <c r="X35" s="5">
        <f t="shared" si="7"/>
        <v>-1.6976662850975155E-3</v>
      </c>
      <c r="Y35" s="5">
        <f t="shared" si="2"/>
        <v>4.3514744566388486E-2</v>
      </c>
      <c r="Z35" s="5">
        <f t="shared" ref="Z35:AA52" si="8">S35-D35</f>
        <v>-8.8632118438248586E-2</v>
      </c>
      <c r="AA35" s="5">
        <f t="shared" si="8"/>
        <v>-4.5043572877730698E-3</v>
      </c>
      <c r="AB35" s="5">
        <f t="shared" si="3"/>
        <v>1.1949290852883543E-2</v>
      </c>
      <c r="AC35" s="8">
        <f t="shared" ref="AC35:AE52" si="9">AVERAGE(ABS(W35),ABS(Z35))</f>
        <v>8.2278423669450595E-2</v>
      </c>
      <c r="AD35" s="8">
        <f t="shared" si="9"/>
        <v>3.1010117864352926E-3</v>
      </c>
      <c r="AE35" s="8">
        <f t="shared" si="9"/>
        <v>2.7732017709636014E-2</v>
      </c>
    </row>
    <row r="36" spans="1:31" x14ac:dyDescent="0.25">
      <c r="A36" s="5">
        <f>'Proximal Validation'!A36</f>
        <v>0.785852255</v>
      </c>
      <c r="B36" s="5">
        <f>'Proximal Validation'!B36</f>
        <v>0.1</v>
      </c>
      <c r="C36" s="5">
        <f>'Proximal Validation'!C36</f>
        <v>0.78539999999999999</v>
      </c>
      <c r="D36" s="5">
        <f>'Proximal Validation'!D36</f>
        <v>0.39355619479999998</v>
      </c>
      <c r="E36" s="5">
        <f>'Proximal Validation'!E36</f>
        <v>0.02</v>
      </c>
      <c r="F36" s="5">
        <f>'Proximal Validation'!F36</f>
        <v>5.4977999999999998</v>
      </c>
      <c r="G36" s="5">
        <f>'Proximal Validation'!G36</f>
        <v>4.5109081914000004</v>
      </c>
      <c r="H36" s="5">
        <f>'Proximal Validation'!H36</f>
        <v>2.9663132843</v>
      </c>
      <c r="I36" s="5">
        <f>'Proximal Validation'!I36</f>
        <v>3.8683553511</v>
      </c>
      <c r="J36" s="5">
        <f>'Proximal Validation'!J36</f>
        <v>2.63804802671075E-3</v>
      </c>
      <c r="K36" s="5">
        <f>'Proximal Validation'!K36</f>
        <v>-5.1488110721111341E-2</v>
      </c>
      <c r="L36" s="5">
        <f>'Proximal Validation'!L36</f>
        <v>6.7714549303054539E-2</v>
      </c>
      <c r="M36" s="5">
        <f>'Proximal Validation'!M36</f>
        <v>-4.7354526817798601E-2</v>
      </c>
      <c r="N36" s="5">
        <f>'Proximal Validation'!N36</f>
        <v>0.81425797939300504</v>
      </c>
      <c r="O36" s="5">
        <f>'Proximal Validation'!O36</f>
        <v>0.21927404403686501</v>
      </c>
      <c r="P36" s="5">
        <v>0.38236814798825175</v>
      </c>
      <c r="Q36" s="5">
        <v>0.18099828968587936</v>
      </c>
      <c r="R36" s="5">
        <v>0.81110564226776527</v>
      </c>
      <c r="S36" s="5">
        <v>0.57424652673568155</v>
      </c>
      <c r="T36" s="5">
        <v>2.4129246321240951E-2</v>
      </c>
      <c r="U36" s="5">
        <v>5.9021476246824203E-3</v>
      </c>
      <c r="V36" s="13">
        <v>3.0186997170705233E-7</v>
      </c>
      <c r="W36" s="5">
        <f t="shared" si="7"/>
        <v>-0.40348410701174825</v>
      </c>
      <c r="X36" s="5">
        <f t="shared" si="7"/>
        <v>8.0998289685879354E-2</v>
      </c>
      <c r="Y36" s="5">
        <f t="shared" si="2"/>
        <v>2.5705642267765283E-2</v>
      </c>
      <c r="Z36" s="5">
        <f t="shared" si="8"/>
        <v>0.18069033193568157</v>
      </c>
      <c r="AA36" s="5">
        <f t="shared" si="8"/>
        <v>4.1292463212409501E-3</v>
      </c>
      <c r="AB36" s="5">
        <f t="shared" si="3"/>
        <v>0.79128745480426854</v>
      </c>
      <c r="AC36" s="8">
        <f t="shared" si="9"/>
        <v>0.29208721947371491</v>
      </c>
      <c r="AD36" s="8">
        <f t="shared" si="9"/>
        <v>4.2563768003560154E-2</v>
      </c>
      <c r="AE36" s="8">
        <f t="shared" si="9"/>
        <v>0.40849654853601691</v>
      </c>
    </row>
    <row r="37" spans="1:31" x14ac:dyDescent="0.25">
      <c r="A37" s="5">
        <f>'Proximal Validation'!A37</f>
        <v>0.4787670047</v>
      </c>
      <c r="B37" s="5">
        <f>'Proximal Validation'!B37</f>
        <v>0.2</v>
      </c>
      <c r="C37" s="5">
        <f>'Proximal Validation'!C37</f>
        <v>4.7123999999999997</v>
      </c>
      <c r="D37" s="5">
        <f>'Proximal Validation'!D37</f>
        <v>0.35541469809999998</v>
      </c>
      <c r="E37" s="5">
        <f>'Proximal Validation'!E37</f>
        <v>0.14000000000000001</v>
      </c>
      <c r="F37" s="5">
        <f>'Proximal Validation'!F37</f>
        <v>3.1415999999999999</v>
      </c>
      <c r="G37" s="5">
        <f>'Proximal Validation'!G37</f>
        <v>4.9350065225000002</v>
      </c>
      <c r="H37" s="5">
        <f>'Proximal Validation'!H37</f>
        <v>4.6708884390999996</v>
      </c>
      <c r="I37" s="5">
        <f>'Proximal Validation'!I37</f>
        <v>0.64099500450000002</v>
      </c>
      <c r="J37" s="5">
        <f>'Proximal Validation'!J37</f>
        <v>1.3677142560481999E-3</v>
      </c>
      <c r="K37" s="5">
        <f>'Proximal Validation'!K37</f>
        <v>8.7945864200591806E-2</v>
      </c>
      <c r="L37" s="5">
        <f>'Proximal Validation'!L37</f>
        <v>-3.722743749618531E-2</v>
      </c>
      <c r="M37" s="5">
        <f>'Proximal Validation'!M37</f>
        <v>-4.7561459243297598E-2</v>
      </c>
      <c r="N37" s="5">
        <f>'Proximal Validation'!N37</f>
        <v>-0.26662042737007102</v>
      </c>
      <c r="O37" s="5">
        <f>'Proximal Validation'!O37</f>
        <v>-0.39663678407669101</v>
      </c>
      <c r="P37" s="5">
        <v>0.71195972855899559</v>
      </c>
      <c r="Q37" s="5">
        <v>0.17515742376870869</v>
      </c>
      <c r="R37" s="5">
        <v>4.6016321307430585</v>
      </c>
      <c r="S37" s="5">
        <v>0.35982126539417159</v>
      </c>
      <c r="T37" s="5">
        <v>0.1301865606329195</v>
      </c>
      <c r="U37" s="5">
        <v>2.4488903601475576</v>
      </c>
      <c r="V37" s="13">
        <v>3.7409312141905039E-8</v>
      </c>
      <c r="W37" s="5">
        <f t="shared" si="7"/>
        <v>0.23319272385899559</v>
      </c>
      <c r="X37" s="5">
        <f t="shared" si="7"/>
        <v>-2.4842576231291325E-2</v>
      </c>
      <c r="Y37" s="5">
        <f t="shared" si="2"/>
        <v>0.11076786925694115</v>
      </c>
      <c r="Z37" s="5">
        <f t="shared" si="8"/>
        <v>4.4065672941716039E-3</v>
      </c>
      <c r="AA37" s="5">
        <f t="shared" si="8"/>
        <v>-9.813439367080512E-3</v>
      </c>
      <c r="AB37" s="5">
        <f t="shared" si="3"/>
        <v>0.69270963985244238</v>
      </c>
      <c r="AC37" s="8">
        <f t="shared" si="9"/>
        <v>0.1187996455765836</v>
      </c>
      <c r="AD37" s="8">
        <f t="shared" si="9"/>
        <v>1.7328007799185918E-2</v>
      </c>
      <c r="AE37" s="8">
        <f t="shared" si="9"/>
        <v>0.40173875455469177</v>
      </c>
    </row>
    <row r="38" spans="1:31" x14ac:dyDescent="0.25">
      <c r="A38" s="5">
        <f>'Proximal Validation'!A38</f>
        <v>1.2825258852999999</v>
      </c>
      <c r="B38" s="5">
        <f>'Proximal Validation'!B38</f>
        <v>0.14000000000000001</v>
      </c>
      <c r="C38" s="5">
        <f>'Proximal Validation'!C38</f>
        <v>2.3561999999999999</v>
      </c>
      <c r="D38" s="5">
        <f>'Proximal Validation'!D38</f>
        <v>1.1085226837</v>
      </c>
      <c r="E38" s="5">
        <f>'Proximal Validation'!E38</f>
        <v>0.08</v>
      </c>
      <c r="F38" s="5">
        <f>'Proximal Validation'!F38</f>
        <v>3.1415999999999999</v>
      </c>
      <c r="G38" s="5">
        <f>'Proximal Validation'!G38</f>
        <v>5.0541583899999999E-2</v>
      </c>
      <c r="H38" s="5">
        <f>'Proximal Validation'!H38</f>
        <v>4.9578693537999996</v>
      </c>
      <c r="I38" s="5">
        <f>'Proximal Validation'!I38</f>
        <v>3.9886280456000001</v>
      </c>
      <c r="J38" s="5">
        <f>'Proximal Validation'!J38</f>
        <v>-5.6921038776636098E-3</v>
      </c>
      <c r="K38" s="5">
        <f>'Proximal Validation'!K38</f>
        <v>-0.11745531618595137</v>
      </c>
      <c r="L38" s="5">
        <f>'Proximal Validation'!L38</f>
        <v>-0.22989922761917111</v>
      </c>
      <c r="M38" s="5">
        <f>'Proximal Validation'!M38</f>
        <v>-0.43696388602256803</v>
      </c>
      <c r="N38" s="5">
        <f>'Proximal Validation'!N38</f>
        <v>-1.90291404724121</v>
      </c>
      <c r="O38" s="5">
        <f>'Proximal Validation'!O38</f>
        <v>0.79554951190948497</v>
      </c>
      <c r="P38" s="5">
        <v>1.1608040306876333</v>
      </c>
      <c r="Q38" s="5">
        <v>0.1416093287986474</v>
      </c>
      <c r="R38" s="5">
        <v>2.2813036371307862</v>
      </c>
      <c r="S38" s="5">
        <v>1.2569627728516064</v>
      </c>
      <c r="T38" s="5">
        <v>8.5912619090333361E-2</v>
      </c>
      <c r="U38" s="5">
        <v>3.1203485521045127</v>
      </c>
      <c r="V38" s="13">
        <v>1.3524738092488351E-8</v>
      </c>
      <c r="W38" s="5">
        <f t="shared" si="7"/>
        <v>-0.12172185461236662</v>
      </c>
      <c r="X38" s="5">
        <f t="shared" si="7"/>
        <v>1.6093287986473914E-3</v>
      </c>
      <c r="Y38" s="5">
        <f t="shared" si="2"/>
        <v>7.489636286921364E-2</v>
      </c>
      <c r="Z38" s="5">
        <f t="shared" si="8"/>
        <v>0.14844008915160645</v>
      </c>
      <c r="AA38" s="5">
        <f t="shared" si="8"/>
        <v>5.9126190903333598E-3</v>
      </c>
      <c r="AB38" s="5">
        <f t="shared" si="3"/>
        <v>2.1251447895487274E-2</v>
      </c>
      <c r="AC38" s="8">
        <f t="shared" si="9"/>
        <v>0.13508097188198653</v>
      </c>
      <c r="AD38" s="8">
        <f t="shared" si="9"/>
        <v>3.7609739444903756E-3</v>
      </c>
      <c r="AE38" s="8">
        <f t="shared" si="9"/>
        <v>4.8073905382350457E-2</v>
      </c>
    </row>
    <row r="39" spans="1:31" x14ac:dyDescent="0.25">
      <c r="A39" s="5">
        <f>'Proximal Validation'!A39</f>
        <v>1.0319949839</v>
      </c>
      <c r="B39" s="5">
        <f>'Proximal Validation'!B39</f>
        <v>0.18</v>
      </c>
      <c r="C39" s="5">
        <f>'Proximal Validation'!C39</f>
        <v>3.927</v>
      </c>
      <c r="D39" s="5">
        <f>'Proximal Validation'!D39</f>
        <v>1.1733448184999999</v>
      </c>
      <c r="E39" s="5">
        <f>'Proximal Validation'!E39</f>
        <v>0.12</v>
      </c>
      <c r="F39" s="5">
        <f>'Proximal Validation'!F39</f>
        <v>0.78539999999999999</v>
      </c>
      <c r="G39" s="5">
        <f>'Proximal Validation'!G39</f>
        <v>4.3201662060999997</v>
      </c>
      <c r="H39" s="5">
        <f>'Proximal Validation'!H39</f>
        <v>3.8378352410000001</v>
      </c>
      <c r="I39" s="5">
        <f>'Proximal Validation'!I39</f>
        <v>4.8360302252</v>
      </c>
      <c r="J39" s="5">
        <f>'Proximal Validation'!J39</f>
        <v>-9.0057402849197399E-4</v>
      </c>
      <c r="K39" s="5">
        <f>'Proximal Validation'!K39</f>
        <v>6.9827769696711901E-3</v>
      </c>
      <c r="L39" s="5">
        <f>'Proximal Validation'!L39</f>
        <v>-8.0578292906284613E-3</v>
      </c>
      <c r="M39" s="5">
        <f>'Proximal Validation'!M39</f>
        <v>1.4639855362474899E-2</v>
      </c>
      <c r="N39" s="5">
        <f>'Proximal Validation'!N39</f>
        <v>0.272623121738434</v>
      </c>
      <c r="O39" s="5">
        <f>'Proximal Validation'!O39</f>
        <v>0.30911225080490101</v>
      </c>
      <c r="P39" s="5">
        <v>0.84158875364644514</v>
      </c>
      <c r="Q39" s="5">
        <v>0.18973637844193425</v>
      </c>
      <c r="R39" s="5">
        <v>3.9270430502892415</v>
      </c>
      <c r="S39" s="5">
        <v>0.98372179700328855</v>
      </c>
      <c r="T39" s="5">
        <v>0.11627464372999896</v>
      </c>
      <c r="U39" s="5">
        <v>0.78553610791773532</v>
      </c>
      <c r="V39" s="13">
        <v>9.3689337229483495E-10</v>
      </c>
      <c r="W39" s="5">
        <f t="shared" si="7"/>
        <v>-0.19040623025355485</v>
      </c>
      <c r="X39" s="5">
        <f t="shared" si="7"/>
        <v>9.7363784419342569E-3</v>
      </c>
      <c r="Y39" s="5">
        <f t="shared" si="2"/>
        <v>4.3050289241453044E-5</v>
      </c>
      <c r="Z39" s="5">
        <f t="shared" si="8"/>
        <v>-0.1896230214967114</v>
      </c>
      <c r="AA39" s="5">
        <f t="shared" si="8"/>
        <v>-3.7253562700010345E-3</v>
      </c>
      <c r="AB39" s="5">
        <f t="shared" si="3"/>
        <v>1.361079177353286E-4</v>
      </c>
      <c r="AC39" s="8">
        <f t="shared" si="9"/>
        <v>0.19001462587513313</v>
      </c>
      <c r="AD39" s="8">
        <f t="shared" si="9"/>
        <v>6.7308673559676457E-3</v>
      </c>
      <c r="AE39" s="8">
        <f t="shared" si="9"/>
        <v>8.9579103488390821E-5</v>
      </c>
    </row>
    <row r="40" spans="1:31" x14ac:dyDescent="0.25">
      <c r="A40" s="5">
        <f>'Proximal Validation'!A40</f>
        <v>0.54659396309999997</v>
      </c>
      <c r="B40" s="5">
        <f>'Proximal Validation'!B40</f>
        <v>0.14000000000000001</v>
      </c>
      <c r="C40" s="5">
        <f>'Proximal Validation'!C40</f>
        <v>3.927</v>
      </c>
      <c r="D40" s="5">
        <f>'Proximal Validation'!D40</f>
        <v>0.37475583969999998</v>
      </c>
      <c r="E40" s="5">
        <f>'Proximal Validation'!E40</f>
        <v>0.08</v>
      </c>
      <c r="F40" s="5">
        <f>'Proximal Validation'!F40</f>
        <v>1.5708</v>
      </c>
      <c r="G40" s="5">
        <f>'Proximal Validation'!G40</f>
        <v>1.2326114607000001</v>
      </c>
      <c r="H40" s="5">
        <f>'Proximal Validation'!H40</f>
        <v>3.5091223980000001</v>
      </c>
      <c r="I40" s="5">
        <f>'Proximal Validation'!I40</f>
        <v>2.8278096824999999</v>
      </c>
      <c r="J40" s="5">
        <f>'Proximal Validation'!J40</f>
        <v>-9.9586381111294009E-4</v>
      </c>
      <c r="K40" s="5">
        <f>'Proximal Validation'!K40</f>
        <v>1.9444975480437252E-2</v>
      </c>
      <c r="L40" s="5">
        <f>'Proximal Validation'!L40</f>
        <v>-4.9389829635620136E-2</v>
      </c>
      <c r="M40" s="5">
        <f>'Proximal Validation'!M40</f>
        <v>-3.4344613552093499E-2</v>
      </c>
      <c r="N40" s="5">
        <f>'Proximal Validation'!N40</f>
        <v>-0.33634969592094399</v>
      </c>
      <c r="O40" s="5">
        <f>'Proximal Validation'!O40</f>
        <v>5.8875620365142801E-2</v>
      </c>
      <c r="P40" s="5">
        <v>0.45277033604752492</v>
      </c>
      <c r="Q40" s="5">
        <v>0.15090991754505489</v>
      </c>
      <c r="R40" s="5">
        <v>3.8860764971362918</v>
      </c>
      <c r="S40" s="5">
        <v>0.30004254336962816</v>
      </c>
      <c r="T40" s="5">
        <v>7.4921971371348109E-2</v>
      </c>
      <c r="U40" s="5">
        <v>1.7508181149504805</v>
      </c>
      <c r="V40" s="13">
        <v>1.9799811346799057E-9</v>
      </c>
      <c r="W40" s="5">
        <f>P40-A40</f>
        <v>-9.3823627052475045E-2</v>
      </c>
      <c r="X40" s="5">
        <f>Q40-B40</f>
        <v>1.0909917545054881E-2</v>
      </c>
      <c r="Y40" s="5">
        <f>MIN(ABS(R40-C40),2*PI()-ABS(R40-C40))</f>
        <v>4.0923502863708272E-2</v>
      </c>
      <c r="Z40" s="5">
        <f>S40-D40</f>
        <v>-7.4713296330371826E-2</v>
      </c>
      <c r="AA40" s="5">
        <f>T40-E40</f>
        <v>-5.0780286286518928E-3</v>
      </c>
      <c r="AB40" s="5">
        <f>MIN(ABS(U40-F40),2*PI()-ABS(U40-F40))</f>
        <v>0.18001811495048048</v>
      </c>
      <c r="AC40" s="8">
        <f>AVERAGE(ABS(W40),ABS(Z40))</f>
        <v>8.4268461691423435E-2</v>
      </c>
      <c r="AD40" s="8">
        <f>AVERAGE(ABS(X40),ABS(AA40))</f>
        <v>7.993973086853387E-3</v>
      </c>
      <c r="AE40" s="8">
        <f>AVERAGE(ABS(Y40),ABS(AB40))</f>
        <v>0.11047080890709438</v>
      </c>
    </row>
    <row r="41" spans="1:31" x14ac:dyDescent="0.25">
      <c r="A41" s="5">
        <f>'Proximal Validation'!A41</f>
        <v>0.62359206519999999</v>
      </c>
      <c r="B41" s="5">
        <f>'Proximal Validation'!B41</f>
        <v>0.08</v>
      </c>
      <c r="C41" s="5">
        <f>'Proximal Validation'!C41</f>
        <v>5.4977999999999998</v>
      </c>
      <c r="D41" s="5">
        <f>'Proximal Validation'!D41</f>
        <v>0.47877904049999997</v>
      </c>
      <c r="E41" s="5">
        <f>'Proximal Validation'!E41</f>
        <v>0.02</v>
      </c>
      <c r="F41" s="5">
        <f>'Proximal Validation'!F41</f>
        <v>3.927</v>
      </c>
      <c r="G41" s="5">
        <f>'Proximal Validation'!G41</f>
        <v>2.2205178402999999</v>
      </c>
      <c r="H41" s="5">
        <f>'Proximal Validation'!H41</f>
        <v>1.9827336431</v>
      </c>
      <c r="I41" s="5">
        <f>'Proximal Validation'!I41</f>
        <v>0.36676452050000002</v>
      </c>
      <c r="J41" s="5">
        <f>'Proximal Validation'!J41</f>
        <v>1.3723341980949001E-3</v>
      </c>
      <c r="K41" s="5">
        <f>'Proximal Validation'!K41</f>
        <v>4.9606948494910777E-2</v>
      </c>
      <c r="L41" s="5">
        <f>'Proximal Validation'!L41</f>
        <v>3.1119555234909065E-2</v>
      </c>
      <c r="M41" s="5">
        <f>'Proximal Validation'!M41</f>
        <v>-3.7808604538440697E-2</v>
      </c>
      <c r="N41" s="5">
        <f>'Proximal Validation'!N41</f>
        <v>0.127191096544266</v>
      </c>
      <c r="O41" s="5">
        <f>'Proximal Validation'!O41</f>
        <v>-0.83187156915664695</v>
      </c>
      <c r="P41" s="5">
        <v>0.97068762918197715</v>
      </c>
      <c r="Q41" s="5">
        <v>5.8370952536340406E-2</v>
      </c>
      <c r="R41" s="5">
        <v>5.5079610012458602</v>
      </c>
      <c r="S41" s="5">
        <v>0.59934375354747627</v>
      </c>
      <c r="T41" s="5">
        <v>2.0815713948242363E-2</v>
      </c>
      <c r="U41" s="5">
        <v>3.3094531798814857</v>
      </c>
      <c r="V41" s="13">
        <v>5.9524818369542127E-10</v>
      </c>
      <c r="W41" s="5">
        <f t="shared" si="7"/>
        <v>0.34709556398197716</v>
      </c>
      <c r="X41" s="5">
        <f t="shared" si="7"/>
        <v>-2.1629047463659595E-2</v>
      </c>
      <c r="Y41" s="5">
        <f t="shared" si="2"/>
        <v>1.016100124586039E-2</v>
      </c>
      <c r="Z41" s="5">
        <f t="shared" si="8"/>
        <v>0.12056471304747629</v>
      </c>
      <c r="AA41" s="5">
        <f t="shared" si="8"/>
        <v>8.1571394824236226E-4</v>
      </c>
      <c r="AB41" s="5">
        <f t="shared" si="3"/>
        <v>0.61754682011851436</v>
      </c>
      <c r="AC41" s="8">
        <f t="shared" si="9"/>
        <v>0.23383013851472673</v>
      </c>
      <c r="AD41" s="8">
        <f t="shared" si="9"/>
        <v>1.1222380705950979E-2</v>
      </c>
      <c r="AE41" s="8">
        <f t="shared" si="9"/>
        <v>0.31385391068218738</v>
      </c>
    </row>
    <row r="42" spans="1:31" x14ac:dyDescent="0.25">
      <c r="A42" s="5">
        <f>'Proximal Validation'!A42</f>
        <v>1.3484992293</v>
      </c>
      <c r="B42" s="5">
        <f>'Proximal Validation'!B42</f>
        <v>0.2</v>
      </c>
      <c r="C42" s="5">
        <f>'Proximal Validation'!C42</f>
        <v>0</v>
      </c>
      <c r="D42" s="5">
        <f>'Proximal Validation'!D42</f>
        <v>0.39122828500000001</v>
      </c>
      <c r="E42" s="5">
        <f>'Proximal Validation'!E42</f>
        <v>0.14000000000000001</v>
      </c>
      <c r="F42" s="5">
        <f>'Proximal Validation'!F42</f>
        <v>0.78539999999999999</v>
      </c>
      <c r="G42" s="5">
        <f>'Proximal Validation'!G42</f>
        <v>1.9402253723</v>
      </c>
      <c r="H42" s="5">
        <f>'Proximal Validation'!H42</f>
        <v>1.6478522000000001E-3</v>
      </c>
      <c r="I42" s="5">
        <f>'Proximal Validation'!I42</f>
        <v>3.2221664534999999</v>
      </c>
      <c r="J42" s="5">
        <f>'Proximal Validation'!J42</f>
        <v>2.4063613265752799E-2</v>
      </c>
      <c r="K42" s="5">
        <f>'Proximal Validation'!K42</f>
        <v>-4.7257738709449847E-2</v>
      </c>
      <c r="L42" s="5">
        <f>'Proximal Validation'!L42</f>
        <v>0.28212942004203811</v>
      </c>
      <c r="M42" s="5">
        <f>'Proximal Validation'!M42</f>
        <v>-0.94563829898834195</v>
      </c>
      <c r="N42" s="5">
        <f>'Proximal Validation'!N42</f>
        <v>1.1476809978485101</v>
      </c>
      <c r="O42" s="5">
        <f>'Proximal Validation'!O42</f>
        <v>0.334593296051025</v>
      </c>
      <c r="P42" s="5">
        <v>1.3120214962046548</v>
      </c>
      <c r="Q42" s="5">
        <v>0.19979753919510576</v>
      </c>
      <c r="R42" s="5">
        <v>2.8336220179481187E-4</v>
      </c>
      <c r="S42" s="5">
        <v>0.41363703773269006</v>
      </c>
      <c r="T42" s="5">
        <v>0.14533203583622423</v>
      </c>
      <c r="U42" s="5">
        <v>0.70758528125236075</v>
      </c>
      <c r="V42" s="13">
        <v>4.620218918557463E-7</v>
      </c>
      <c r="W42" s="5">
        <f t="shared" si="7"/>
        <v>-3.6477733095345188E-2</v>
      </c>
      <c r="X42" s="5">
        <f t="shared" si="7"/>
        <v>-2.0246080489425E-4</v>
      </c>
      <c r="Y42" s="5">
        <f t="shared" si="2"/>
        <v>2.8336220179481187E-4</v>
      </c>
      <c r="Z42" s="5">
        <f t="shared" si="8"/>
        <v>2.2408752732690052E-2</v>
      </c>
      <c r="AA42" s="5">
        <f t="shared" si="8"/>
        <v>5.3320358362242137E-3</v>
      </c>
      <c r="AB42" s="5">
        <f t="shared" si="3"/>
        <v>7.7814718747639233E-2</v>
      </c>
      <c r="AC42" s="8">
        <f t="shared" si="9"/>
        <v>2.944324291401762E-2</v>
      </c>
      <c r="AD42" s="8">
        <f t="shared" si="9"/>
        <v>2.7672483205592319E-3</v>
      </c>
      <c r="AE42" s="8">
        <f t="shared" si="9"/>
        <v>3.9049040474717023E-2</v>
      </c>
    </row>
    <row r="43" spans="1:31" x14ac:dyDescent="0.25">
      <c r="A43" s="5">
        <f>'Proximal Validation'!A43</f>
        <v>0.51681038229999998</v>
      </c>
      <c r="B43" s="5">
        <f>'Proximal Validation'!B43</f>
        <v>0.08</v>
      </c>
      <c r="C43" s="5">
        <f>'Proximal Validation'!C43</f>
        <v>0</v>
      </c>
      <c r="D43" s="5">
        <f>'Proximal Validation'!D43</f>
        <v>0.91461204240000005</v>
      </c>
      <c r="E43" s="5">
        <f>'Proximal Validation'!E43</f>
        <v>0.02</v>
      </c>
      <c r="F43" s="5">
        <f>'Proximal Validation'!F43</f>
        <v>3.927</v>
      </c>
      <c r="G43" s="5">
        <f>'Proximal Validation'!G43</f>
        <v>3.7945339589999998</v>
      </c>
      <c r="H43" s="5">
        <f>'Proximal Validation'!H43</f>
        <v>3.3481721828</v>
      </c>
      <c r="I43" s="5">
        <f>'Proximal Validation'!I43</f>
        <v>3.4429632493</v>
      </c>
      <c r="J43" s="5">
        <f>'Proximal Validation'!J43</f>
        <v>-3.8290908560156801E-4</v>
      </c>
      <c r="K43" s="5">
        <f>'Proximal Validation'!K43</f>
        <v>1.6115657389164026E-2</v>
      </c>
      <c r="L43" s="5">
        <f>'Proximal Validation'!L43</f>
        <v>2.8937506936490519E-2</v>
      </c>
      <c r="M43" s="5">
        <f>'Proximal Validation'!M43</f>
        <v>-1.27025358378887E-2</v>
      </c>
      <c r="N43" s="5">
        <f>'Proximal Validation'!N43</f>
        <v>-0.23589420318603499</v>
      </c>
      <c r="O43" s="5">
        <f>'Proximal Validation'!O43</f>
        <v>-0.73385769128799405</v>
      </c>
      <c r="P43" s="5">
        <v>0.55340703485978004</v>
      </c>
      <c r="Q43" s="5">
        <v>0.10791223842696794</v>
      </c>
      <c r="R43" s="5">
        <v>0.39454059812791314</v>
      </c>
      <c r="S43" s="5">
        <v>1.0716188064345482</v>
      </c>
      <c r="T43" s="5">
        <v>4.1792017309572056E-2</v>
      </c>
      <c r="U43" s="5">
        <v>4.0718865341784651</v>
      </c>
      <c r="V43" s="13">
        <v>7.1216011493877457E-8</v>
      </c>
      <c r="W43" s="5">
        <f t="shared" si="7"/>
        <v>3.6596652559780063E-2</v>
      </c>
      <c r="X43" s="5">
        <f t="shared" si="7"/>
        <v>2.7912238426967939E-2</v>
      </c>
      <c r="Y43" s="5">
        <f t="shared" si="2"/>
        <v>0.39454059812791314</v>
      </c>
      <c r="Z43" s="5">
        <f t="shared" si="8"/>
        <v>0.15700676403454816</v>
      </c>
      <c r="AA43" s="5">
        <f t="shared" si="8"/>
        <v>2.1792017309572056E-2</v>
      </c>
      <c r="AB43" s="5">
        <f t="shared" si="3"/>
        <v>0.14488653417846509</v>
      </c>
      <c r="AC43" s="8">
        <f t="shared" si="9"/>
        <v>9.6801708297164113E-2</v>
      </c>
      <c r="AD43" s="8">
        <f t="shared" si="9"/>
        <v>2.4852127868269999E-2</v>
      </c>
      <c r="AE43" s="8">
        <f t="shared" si="9"/>
        <v>0.26971356615318909</v>
      </c>
    </row>
    <row r="44" spans="1:31" x14ac:dyDescent="0.25">
      <c r="A44" s="5">
        <f>'Proximal Validation'!A44</f>
        <v>0.68441694529999997</v>
      </c>
      <c r="B44" s="5">
        <f>'Proximal Validation'!B44</f>
        <v>0.16</v>
      </c>
      <c r="C44" s="5">
        <f>'Proximal Validation'!C44</f>
        <v>2.3561999999999999</v>
      </c>
      <c r="D44" s="5">
        <f>'Proximal Validation'!D44</f>
        <v>1.4072090791</v>
      </c>
      <c r="E44" s="5">
        <f>'Proximal Validation'!E44</f>
        <v>0.1</v>
      </c>
      <c r="F44" s="5">
        <f>'Proximal Validation'!F44</f>
        <v>0.78539999999999999</v>
      </c>
      <c r="G44" s="5">
        <f>'Proximal Validation'!G44</f>
        <v>1.6472032243000001</v>
      </c>
      <c r="H44" s="5">
        <f>'Proximal Validation'!H44</f>
        <v>5.9795420000000002E-2</v>
      </c>
      <c r="I44" s="5">
        <f>'Proximal Validation'!I44</f>
        <v>0.1036992028</v>
      </c>
      <c r="J44" s="5">
        <f>'Proximal Validation'!J44</f>
        <v>6.5218294039368603E-3</v>
      </c>
      <c r="K44" s="5">
        <f>'Proximal Validation'!K44</f>
        <v>-0.18476446866989102</v>
      </c>
      <c r="L44" s="5">
        <f>'Proximal Validation'!L44</f>
        <v>3.5812929868698183E-2</v>
      </c>
      <c r="M44" s="5">
        <f>'Proximal Validation'!M44</f>
        <v>-0.29513090848922702</v>
      </c>
      <c r="N44" s="5">
        <f>'Proximal Validation'!N44</f>
        <v>0.62835580110549905</v>
      </c>
      <c r="O44" s="5">
        <f>'Proximal Validation'!O44</f>
        <v>1.4002138376236</v>
      </c>
      <c r="P44" s="5">
        <v>0.80135553081222521</v>
      </c>
      <c r="Q44" s="5">
        <v>0.16180318524827628</v>
      </c>
      <c r="R44" s="5">
        <v>1.7797799486204888</v>
      </c>
      <c r="S44" s="5">
        <v>0.97702016427291549</v>
      </c>
      <c r="T44" s="5">
        <v>7.2872994959593665E-2</v>
      </c>
      <c r="U44" s="5">
        <v>0.80463640928091429</v>
      </c>
      <c r="V44" s="13">
        <v>3.0251681733662596E-9</v>
      </c>
      <c r="W44" s="5">
        <f t="shared" si="7"/>
        <v>0.11693858551222525</v>
      </c>
      <c r="X44" s="5">
        <f t="shared" si="7"/>
        <v>1.8031852482762734E-3</v>
      </c>
      <c r="Y44" s="5">
        <f t="shared" si="2"/>
        <v>0.57642005137951102</v>
      </c>
      <c r="Z44" s="5">
        <f t="shared" si="8"/>
        <v>-0.43018891482708455</v>
      </c>
      <c r="AA44" s="5">
        <f t="shared" si="8"/>
        <v>-2.7127005040406341E-2</v>
      </c>
      <c r="AB44" s="5">
        <f t="shared" si="3"/>
        <v>1.9236409280914302E-2</v>
      </c>
      <c r="AC44" s="8">
        <f t="shared" si="9"/>
        <v>0.2735637501696549</v>
      </c>
      <c r="AD44" s="8">
        <f t="shared" si="9"/>
        <v>1.4465095144341307E-2</v>
      </c>
      <c r="AE44" s="8">
        <f t="shared" si="9"/>
        <v>0.29782823033021266</v>
      </c>
    </row>
    <row r="45" spans="1:31" x14ac:dyDescent="0.25">
      <c r="A45" s="5">
        <f>'Proximal Validation'!A45</f>
        <v>1.3991334753</v>
      </c>
      <c r="B45" s="5">
        <f>'Proximal Validation'!B45</f>
        <v>0.12</v>
      </c>
      <c r="C45" s="5">
        <f>'Proximal Validation'!C45</f>
        <v>5.4977999999999998</v>
      </c>
      <c r="D45" s="5">
        <f>'Proximal Validation'!D45</f>
        <v>0.96266422490000003</v>
      </c>
      <c r="E45" s="5">
        <f>'Proximal Validation'!E45</f>
        <v>0.06</v>
      </c>
      <c r="F45" s="5">
        <f>'Proximal Validation'!F45</f>
        <v>5.4977999999999998</v>
      </c>
      <c r="G45" s="5">
        <f>'Proximal Validation'!G45</f>
        <v>2.0231526378</v>
      </c>
      <c r="H45" s="5">
        <f>'Proximal Validation'!H45</f>
        <v>0.50988481399999996</v>
      </c>
      <c r="I45" s="5">
        <f>'Proximal Validation'!I45</f>
        <v>0.60427768879999999</v>
      </c>
      <c r="J45" s="5">
        <f>'Proximal Validation'!J45</f>
        <v>1.9630594179034198E-3</v>
      </c>
      <c r="K45" s="5">
        <f>'Proximal Validation'!K45</f>
        <v>0.1703220427036285</v>
      </c>
      <c r="L45" s="5">
        <f>'Proximal Validation'!L45</f>
        <v>0.16633532285690383</v>
      </c>
      <c r="M45" s="5">
        <f>'Proximal Validation'!M45</f>
        <v>-0.36146178841590898</v>
      </c>
      <c r="N45" s="5">
        <f>'Proximal Validation'!N45</f>
        <v>1.5526535511016799</v>
      </c>
      <c r="O45" s="5">
        <f>'Proximal Validation'!O45</f>
        <v>-1.77750408649445</v>
      </c>
      <c r="P45" s="5">
        <v>1.4999999999986682</v>
      </c>
      <c r="Q45" s="5">
        <v>0.10705470202897155</v>
      </c>
      <c r="R45" s="5">
        <v>4.8141022667547757</v>
      </c>
      <c r="S45" s="5">
        <v>1.4999999999952687</v>
      </c>
      <c r="T45" s="5">
        <v>9.5026083704588302E-2</v>
      </c>
      <c r="U45" s="5">
        <v>3.0590561858182258E-14</v>
      </c>
      <c r="V45" s="13">
        <v>8.1994334058677721E-5</v>
      </c>
      <c r="W45" s="5">
        <f t="shared" si="7"/>
        <v>0.10086652469866819</v>
      </c>
      <c r="X45" s="5">
        <f t="shared" si="7"/>
        <v>-1.2945297971028447E-2</v>
      </c>
      <c r="Y45" s="5">
        <f t="shared" si="2"/>
        <v>0.68369773324522409</v>
      </c>
      <c r="Z45" s="5">
        <f t="shared" si="8"/>
        <v>0.53733577509526864</v>
      </c>
      <c r="AA45" s="5">
        <f t="shared" si="8"/>
        <v>3.5026083704588304E-2</v>
      </c>
      <c r="AB45" s="5">
        <f t="shared" si="3"/>
        <v>0.78538530717961663</v>
      </c>
      <c r="AC45" s="8">
        <f t="shared" si="9"/>
        <v>0.31910114989696842</v>
      </c>
      <c r="AD45" s="8">
        <f t="shared" si="9"/>
        <v>2.3985690837808375E-2</v>
      </c>
      <c r="AE45" s="8">
        <f t="shared" si="9"/>
        <v>0.73454152021242036</v>
      </c>
    </row>
    <row r="46" spans="1:31" x14ac:dyDescent="0.25">
      <c r="A46" s="5">
        <f>'Proximal Validation'!A46</f>
        <v>0.4668308846</v>
      </c>
      <c r="B46" s="5">
        <f>'Proximal Validation'!B46</f>
        <v>0.08</v>
      </c>
      <c r="C46" s="5">
        <f>'Proximal Validation'!C46</f>
        <v>3.1415999999999999</v>
      </c>
      <c r="D46" s="5">
        <f>'Proximal Validation'!D46</f>
        <v>1.1054712231999999</v>
      </c>
      <c r="E46" s="5">
        <f>'Proximal Validation'!E46</f>
        <v>0.04</v>
      </c>
      <c r="F46" s="5">
        <f>'Proximal Validation'!F46</f>
        <v>4.7123999999999997</v>
      </c>
      <c r="G46" s="5">
        <f>'Proximal Validation'!G46</f>
        <v>4.4838346888</v>
      </c>
      <c r="H46" s="5">
        <f>'Proximal Validation'!H46</f>
        <v>0.20145099390000001</v>
      </c>
      <c r="I46" s="5">
        <f>'Proximal Validation'!I46</f>
        <v>4.5041045776999997</v>
      </c>
      <c r="J46" s="5">
        <f>'Proximal Validation'!J46</f>
        <v>6.2750652432441701E-4</v>
      </c>
      <c r="K46" s="5">
        <f>'Proximal Validation'!K46</f>
        <v>4.87911289930337E-2</v>
      </c>
      <c r="L46" s="5">
        <f>'Proximal Validation'!L46</f>
        <v>-3.5860749185085292E-2</v>
      </c>
      <c r="M46" s="5">
        <f>'Proximal Validation'!M46</f>
        <v>5.4590590298175803E-3</v>
      </c>
      <c r="N46" s="5">
        <f>'Proximal Validation'!N46</f>
        <v>-0.39531296491622903</v>
      </c>
      <c r="O46" s="5">
        <f>'Proximal Validation'!O46</f>
        <v>-1.1238435506820701</v>
      </c>
      <c r="P46" s="5">
        <v>0.5933135431528529</v>
      </c>
      <c r="Q46" s="5">
        <v>7.6609669965587324E-2</v>
      </c>
      <c r="R46" s="5">
        <v>3.7167381751224928</v>
      </c>
      <c r="S46" s="5">
        <v>0.78307425738747372</v>
      </c>
      <c r="T46" s="5">
        <v>2.5033592672359682E-2</v>
      </c>
      <c r="U46" s="5">
        <v>4.7518890854051001</v>
      </c>
      <c r="V46" s="13">
        <v>1.3870814947802876E-8</v>
      </c>
      <c r="W46" s="5">
        <f t="shared" si="7"/>
        <v>0.1264826585528529</v>
      </c>
      <c r="X46" s="5">
        <f t="shared" si="7"/>
        <v>-3.390330034412678E-3</v>
      </c>
      <c r="Y46" s="5">
        <f t="shared" si="2"/>
        <v>0.57513817512249288</v>
      </c>
      <c r="Z46" s="5">
        <f t="shared" si="8"/>
        <v>-0.32239696581252619</v>
      </c>
      <c r="AA46" s="5">
        <f t="shared" si="8"/>
        <v>-1.4966407327640319E-2</v>
      </c>
      <c r="AB46" s="5">
        <f t="shared" si="3"/>
        <v>3.9489085405100433E-2</v>
      </c>
      <c r="AC46" s="8">
        <f t="shared" si="9"/>
        <v>0.22443981218268955</v>
      </c>
      <c r="AD46" s="8">
        <f t="shared" si="9"/>
        <v>9.1783686810264983E-3</v>
      </c>
      <c r="AE46" s="8">
        <f t="shared" si="9"/>
        <v>0.30731363026379666</v>
      </c>
    </row>
    <row r="47" spans="1:31" x14ac:dyDescent="0.25">
      <c r="A47" s="5">
        <f>'Proximal Validation'!A47</f>
        <v>1.4827422800000001</v>
      </c>
      <c r="B47" s="5">
        <f>'Proximal Validation'!B47</f>
        <v>0.08</v>
      </c>
      <c r="C47" s="5">
        <f>'Proximal Validation'!C47</f>
        <v>3.1415999999999999</v>
      </c>
      <c r="D47" s="5">
        <f>'Proximal Validation'!D47</f>
        <v>0.80651000630000003</v>
      </c>
      <c r="E47" s="5">
        <f>'Proximal Validation'!E47</f>
        <v>0.04</v>
      </c>
      <c r="F47" s="5">
        <f>'Proximal Validation'!F47</f>
        <v>4.7123999999999997</v>
      </c>
      <c r="G47" s="5">
        <f>'Proximal Validation'!G47</f>
        <v>4.1839238480000001</v>
      </c>
      <c r="H47" s="5">
        <f>'Proximal Validation'!H47</f>
        <v>4.1752821560999998</v>
      </c>
      <c r="I47" s="5">
        <f>'Proximal Validation'!I47</f>
        <v>0.4978333036</v>
      </c>
      <c r="J47" s="5">
        <f>'Proximal Validation'!J47</f>
        <v>1.6527259722352E-3</v>
      </c>
      <c r="K47" s="5">
        <f>'Proximal Validation'!K47</f>
        <v>3.6831824779510983E-2</v>
      </c>
      <c r="L47" s="5">
        <f>'Proximal Validation'!L47</f>
        <v>-0.12361461400985693</v>
      </c>
      <c r="M47" s="5">
        <f>'Proximal Validation'!M47</f>
        <v>-2.5319248437881501E-2</v>
      </c>
      <c r="N47" s="5">
        <f>'Proximal Validation'!N47</f>
        <v>-1.40897560119629</v>
      </c>
      <c r="O47" s="5">
        <f>'Proximal Validation'!O47</f>
        <v>-0.87691116333007801</v>
      </c>
      <c r="P47" s="5">
        <v>1.1762206258020687</v>
      </c>
      <c r="Q47" s="5">
        <v>8.7841417956005335E-2</v>
      </c>
      <c r="R47" s="5">
        <v>2.9220199960611426</v>
      </c>
      <c r="S47" s="5">
        <v>1.1135698416429034</v>
      </c>
      <c r="T47" s="5">
        <v>5.1410841889337644E-2</v>
      </c>
      <c r="U47" s="5">
        <v>4.406357439245987</v>
      </c>
      <c r="V47" s="13">
        <v>1.0868160707764358E-7</v>
      </c>
      <c r="W47" s="5">
        <f t="shared" si="7"/>
        <v>-0.30652165419793143</v>
      </c>
      <c r="X47" s="5">
        <f t="shared" si="7"/>
        <v>7.8414179560053338E-3</v>
      </c>
      <c r="Y47" s="5">
        <f t="shared" si="2"/>
        <v>0.21958000393885735</v>
      </c>
      <c r="Z47" s="5">
        <f t="shared" si="8"/>
        <v>0.30705983534290338</v>
      </c>
      <c r="AA47" s="5">
        <f t="shared" si="8"/>
        <v>1.1410841889337643E-2</v>
      </c>
      <c r="AB47" s="5">
        <f t="shared" si="3"/>
        <v>0.3060425607540127</v>
      </c>
      <c r="AC47" s="8">
        <f t="shared" si="9"/>
        <v>0.3067907447704174</v>
      </c>
      <c r="AD47" s="8">
        <f t="shared" si="9"/>
        <v>9.6261299226714885E-3</v>
      </c>
      <c r="AE47" s="8">
        <f t="shared" si="9"/>
        <v>0.26281128234643503</v>
      </c>
    </row>
    <row r="48" spans="1:31" x14ac:dyDescent="0.25">
      <c r="A48" s="5">
        <f>'Proximal Validation'!A48</f>
        <v>1.4313963908</v>
      </c>
      <c r="B48" s="5">
        <f>'Proximal Validation'!B48</f>
        <v>0.2</v>
      </c>
      <c r="C48" s="5">
        <f>'Proximal Validation'!C48</f>
        <v>5.4977999999999998</v>
      </c>
      <c r="D48" s="5">
        <f>'Proximal Validation'!D48</f>
        <v>0.66088478610000001</v>
      </c>
      <c r="E48" s="5">
        <f>'Proximal Validation'!E48</f>
        <v>0.16</v>
      </c>
      <c r="F48" s="5">
        <f>'Proximal Validation'!F48</f>
        <v>5.4977999999999998</v>
      </c>
      <c r="G48" s="5">
        <f>'Proximal Validation'!G48</f>
        <v>4.6493399877000003</v>
      </c>
      <c r="H48" s="5">
        <f>'Proximal Validation'!H48</f>
        <v>1.9654430356000001</v>
      </c>
      <c r="I48" s="5">
        <f>'Proximal Validation'!I48</f>
        <v>1.6399488998</v>
      </c>
      <c r="J48" s="5">
        <f>'Proximal Validation'!J48</f>
        <v>9.6939438953995705E-3</v>
      </c>
      <c r="K48" s="5">
        <f>'Proximal Validation'!K48</f>
        <v>0.27004351437091834</v>
      </c>
      <c r="L48" s="5">
        <f>'Proximal Validation'!L48</f>
        <v>0.19298106670379606</v>
      </c>
      <c r="M48" s="5">
        <f>'Proximal Validation'!M48</f>
        <v>-1.59077119827271</v>
      </c>
      <c r="N48" s="5">
        <f>'Proximal Validation'!N48</f>
        <v>0.70686304569244396</v>
      </c>
      <c r="O48" s="5">
        <f>'Proximal Validation'!O48</f>
        <v>-0.98475259542465199</v>
      </c>
      <c r="P48" s="5">
        <v>1.4565078155636897</v>
      </c>
      <c r="Q48" s="5">
        <v>0.1855773567425377</v>
      </c>
      <c r="R48" s="5">
        <v>6.1566667366203158E-3</v>
      </c>
      <c r="S48" s="5">
        <v>1.4891965066803332</v>
      </c>
      <c r="T48" s="5">
        <v>0.18557437527879225</v>
      </c>
      <c r="U48" s="5">
        <v>4.7282033106173023</v>
      </c>
      <c r="V48" s="13">
        <v>3.0217612446345766E-10</v>
      </c>
      <c r="W48" s="5">
        <f t="shared" si="7"/>
        <v>2.511142476368966E-2</v>
      </c>
      <c r="X48" s="5">
        <f t="shared" si="7"/>
        <v>-1.4422643257462314E-2</v>
      </c>
      <c r="Y48" s="5">
        <f t="shared" si="2"/>
        <v>0.79154197391620684</v>
      </c>
      <c r="Z48" s="5">
        <f t="shared" si="8"/>
        <v>0.8283117205803332</v>
      </c>
      <c r="AA48" s="5">
        <f t="shared" si="8"/>
        <v>2.557437527879225E-2</v>
      </c>
      <c r="AB48" s="5">
        <f t="shared" si="3"/>
        <v>0.76959668938269754</v>
      </c>
      <c r="AC48" s="8">
        <f t="shared" si="9"/>
        <v>0.42671157267201143</v>
      </c>
      <c r="AD48" s="8">
        <f t="shared" si="9"/>
        <v>1.9998509268127282E-2</v>
      </c>
      <c r="AE48" s="8">
        <f t="shared" si="9"/>
        <v>0.78056933164945219</v>
      </c>
    </row>
    <row r="49" spans="1:31" x14ac:dyDescent="0.25">
      <c r="A49" s="5">
        <f>'Proximal Validation'!A49</f>
        <v>1.1008731407000001</v>
      </c>
      <c r="B49" s="5">
        <f>'Proximal Validation'!B49</f>
        <v>0.12</v>
      </c>
      <c r="C49" s="5">
        <f>'Proximal Validation'!C49</f>
        <v>4.7123999999999997</v>
      </c>
      <c r="D49" s="5">
        <f>'Proximal Validation'!D49</f>
        <v>1.0118865585000001</v>
      </c>
      <c r="E49" s="5">
        <f>'Proximal Validation'!E49</f>
        <v>0.08</v>
      </c>
      <c r="F49" s="5">
        <f>'Proximal Validation'!F49</f>
        <v>0</v>
      </c>
      <c r="G49" s="5">
        <f>'Proximal Validation'!G49</f>
        <v>2.5804466663999999</v>
      </c>
      <c r="H49" s="5">
        <f>'Proximal Validation'!H49</f>
        <v>2.8020908323999998</v>
      </c>
      <c r="I49" s="5">
        <f>'Proximal Validation'!I49</f>
        <v>1.4209598912000001</v>
      </c>
      <c r="J49" s="5">
        <f>'Proximal Validation'!J49</f>
        <v>-2.7996068820357301E-4</v>
      </c>
      <c r="K49" s="5">
        <f>'Proximal Validation'!K49</f>
        <v>0.13670089662075013</v>
      </c>
      <c r="L49" s="5">
        <f>'Proximal Validation'!L49</f>
        <v>7.6257542371749601E-2</v>
      </c>
      <c r="M49" s="5">
        <f>'Proximal Validation'!M49</f>
        <v>-0.204482272267342</v>
      </c>
      <c r="N49" s="5">
        <f>'Proximal Validation'!N49</f>
        <v>0.90759164094924905</v>
      </c>
      <c r="O49" s="5">
        <f>'Proximal Validation'!O49</f>
        <v>-1.08108770847321</v>
      </c>
      <c r="P49" s="5">
        <v>1.2198733617984592</v>
      </c>
      <c r="Q49" s="5">
        <v>0.11687875218382657</v>
      </c>
      <c r="R49" s="5">
        <v>5.0364231435283413</v>
      </c>
      <c r="S49" s="5">
        <v>0.62650815562701945</v>
      </c>
      <c r="T49" s="5">
        <v>5.6259912061847751E-2</v>
      </c>
      <c r="U49" s="5">
        <v>8.9751109241557714E-2</v>
      </c>
      <c r="V49" s="13">
        <v>2.2054525007947173E-8</v>
      </c>
      <c r="W49" s="5">
        <f t="shared" si="7"/>
        <v>0.11900022109845909</v>
      </c>
      <c r="X49" s="5">
        <f t="shared" si="7"/>
        <v>-3.1212478161734281E-3</v>
      </c>
      <c r="Y49" s="5">
        <f t="shared" si="2"/>
        <v>0.32402314352834161</v>
      </c>
      <c r="Z49" s="5">
        <f t="shared" si="8"/>
        <v>-0.38537840287298064</v>
      </c>
      <c r="AA49" s="5">
        <f t="shared" si="8"/>
        <v>-2.374008793815225E-2</v>
      </c>
      <c r="AB49" s="5">
        <f t="shared" si="3"/>
        <v>8.9751109241557714E-2</v>
      </c>
      <c r="AC49" s="8">
        <f t="shared" si="9"/>
        <v>0.25218931198571987</v>
      </c>
      <c r="AD49" s="8">
        <f t="shared" si="9"/>
        <v>1.3430667877162839E-2</v>
      </c>
      <c r="AE49" s="8">
        <f t="shared" si="9"/>
        <v>0.20688712638494966</v>
      </c>
    </row>
    <row r="50" spans="1:31" x14ac:dyDescent="0.25">
      <c r="A50" s="5">
        <f>'Proximal Validation'!A50</f>
        <v>1.1548404238000001</v>
      </c>
      <c r="B50" s="5">
        <f>'Proximal Validation'!B50</f>
        <v>0.06</v>
      </c>
      <c r="C50" s="5">
        <f>'Proximal Validation'!C50</f>
        <v>0</v>
      </c>
      <c r="D50" s="5">
        <f>'Proximal Validation'!D50</f>
        <v>0.95560731600000004</v>
      </c>
      <c r="E50" s="5">
        <f>'Proximal Validation'!E50</f>
        <v>0.02</v>
      </c>
      <c r="F50" s="5">
        <f>'Proximal Validation'!F50</f>
        <v>5.4977999999999998</v>
      </c>
      <c r="G50" s="5">
        <f>'Proximal Validation'!G50</f>
        <v>1.7445767312</v>
      </c>
      <c r="H50" s="5">
        <f>'Proximal Validation'!H50</f>
        <v>3.9458122761999999</v>
      </c>
      <c r="I50" s="5">
        <f>'Proximal Validation'!I50</f>
        <v>4.9189190299999996</v>
      </c>
      <c r="J50" s="5">
        <f>'Proximal Validation'!J50</f>
        <v>6.5085850656032595E-4</v>
      </c>
      <c r="K50" s="5">
        <f>'Proximal Validation'!K50</f>
        <v>1.3685224652290398E-2</v>
      </c>
      <c r="L50" s="5">
        <f>'Proximal Validation'!L50</f>
        <v>8.8795118331908507E-2</v>
      </c>
      <c r="M50" s="5">
        <f>'Proximal Validation'!M50</f>
        <v>-7.4454337358474704E-2</v>
      </c>
      <c r="N50" s="5">
        <f>'Proximal Validation'!N50</f>
        <v>1.8312971591949501</v>
      </c>
      <c r="O50" s="5">
        <f>'Proximal Validation'!O50</f>
        <v>-0.74528855085372903</v>
      </c>
      <c r="P50" s="5">
        <v>1.3263606590390369</v>
      </c>
      <c r="Q50" s="5">
        <v>5.3571358422790386E-2</v>
      </c>
      <c r="R50" s="5">
        <v>2.226798608509758E-14</v>
      </c>
      <c r="S50" s="5">
        <v>0.50422946723348705</v>
      </c>
      <c r="T50" s="5">
        <v>2.3019006103943879E-2</v>
      </c>
      <c r="U50" s="5">
        <v>2.233754119893145E-14</v>
      </c>
      <c r="V50" s="13">
        <v>1.3240669492990157E-3</v>
      </c>
      <c r="W50" s="5">
        <f t="shared" si="7"/>
        <v>0.17152023523903681</v>
      </c>
      <c r="X50" s="5">
        <f t="shared" si="7"/>
        <v>-6.4286415772096123E-3</v>
      </c>
      <c r="Y50" s="5">
        <f t="shared" si="2"/>
        <v>2.226798608509758E-14</v>
      </c>
      <c r="Z50" s="5">
        <f t="shared" si="8"/>
        <v>-0.45137784876651299</v>
      </c>
      <c r="AA50" s="5">
        <f t="shared" si="8"/>
        <v>3.019006103943879E-3</v>
      </c>
      <c r="AB50" s="5">
        <f t="shared" si="3"/>
        <v>0.78538530717960864</v>
      </c>
      <c r="AC50" s="8">
        <f t="shared" si="9"/>
        <v>0.3114490420027749</v>
      </c>
      <c r="AD50" s="8">
        <f t="shared" si="9"/>
        <v>4.7238238405767456E-3</v>
      </c>
      <c r="AE50" s="8">
        <f t="shared" si="9"/>
        <v>0.39269265358981548</v>
      </c>
    </row>
    <row r="51" spans="1:31" x14ac:dyDescent="0.25">
      <c r="A51" s="5">
        <f>'Proximal Validation'!A51</f>
        <v>1.1816252039999999</v>
      </c>
      <c r="B51" s="5">
        <f>'Proximal Validation'!B51</f>
        <v>0.08</v>
      </c>
      <c r="C51" s="5">
        <f>'Proximal Validation'!C51</f>
        <v>1.5708</v>
      </c>
      <c r="D51" s="5">
        <f>'Proximal Validation'!D51</f>
        <v>0.57227119820000005</v>
      </c>
      <c r="E51" s="5">
        <f>'Proximal Validation'!E51</f>
        <v>0.04</v>
      </c>
      <c r="F51" s="5">
        <f>'Proximal Validation'!F51</f>
        <v>0.78539999999999999</v>
      </c>
      <c r="G51" s="5">
        <f>'Proximal Validation'!G51</f>
        <v>1.4076592733</v>
      </c>
      <c r="H51" s="5">
        <f>'Proximal Validation'!H51</f>
        <v>1.3192874408999999</v>
      </c>
      <c r="I51" s="5">
        <f>'Proximal Validation'!I51</f>
        <v>2.6835966308999999</v>
      </c>
      <c r="J51" s="5">
        <f>'Proximal Validation'!J51</f>
        <v>3.1095910817384698E-3</v>
      </c>
      <c r="K51" s="5">
        <f>'Proximal Validation'!K51</f>
        <v>-0.11641326785087583</v>
      </c>
      <c r="L51" s="5">
        <f>'Proximal Validation'!L51</f>
        <v>2.1091862171888361E-2</v>
      </c>
      <c r="M51" s="5">
        <f>'Proximal Validation'!M51</f>
        <v>-4.1034575551748297E-2</v>
      </c>
      <c r="N51" s="5">
        <f>'Proximal Validation'!N51</f>
        <v>0.43968373537063599</v>
      </c>
      <c r="O51" s="5">
        <f>'Proximal Validation'!O51</f>
        <v>1.5314247608184799</v>
      </c>
      <c r="P51" s="5">
        <v>0.79214549855843341</v>
      </c>
      <c r="Q51" s="5">
        <v>9.461850360177565E-2</v>
      </c>
      <c r="R51" s="5">
        <v>1.6161137278844633</v>
      </c>
      <c r="S51" s="5">
        <v>0.90891308103305024</v>
      </c>
      <c r="T51" s="5">
        <v>4.4494002799799356E-2</v>
      </c>
      <c r="U51" s="5">
        <v>1.064793967529033</v>
      </c>
      <c r="V51" s="13">
        <v>1.3327591150567361E-9</v>
      </c>
      <c r="W51" s="5">
        <f t="shared" si="7"/>
        <v>-0.38947970544156651</v>
      </c>
      <c r="X51" s="5">
        <f t="shared" si="7"/>
        <v>1.4618503601775648E-2</v>
      </c>
      <c r="Y51" s="5">
        <f t="shared" si="2"/>
        <v>4.5313727884463306E-2</v>
      </c>
      <c r="Z51" s="5">
        <f t="shared" si="8"/>
        <v>0.33664188283305019</v>
      </c>
      <c r="AA51" s="5">
        <f t="shared" si="8"/>
        <v>4.4940027997993556E-3</v>
      </c>
      <c r="AB51" s="5">
        <f t="shared" si="3"/>
        <v>0.279393967529033</v>
      </c>
      <c r="AC51" s="8">
        <f t="shared" si="9"/>
        <v>0.36306079413730835</v>
      </c>
      <c r="AD51" s="8">
        <f t="shared" si="9"/>
        <v>9.5562532007875019E-3</v>
      </c>
      <c r="AE51" s="8">
        <f t="shared" si="9"/>
        <v>0.16235384770674816</v>
      </c>
    </row>
    <row r="52" spans="1:31" x14ac:dyDescent="0.25">
      <c r="A52" s="21">
        <f>'Proximal Validation'!A52</f>
        <v>0.93729510640000002</v>
      </c>
      <c r="B52" s="21">
        <f>'Proximal Validation'!B52</f>
        <v>0.14000000000000001</v>
      </c>
      <c r="C52" s="21">
        <f>'Proximal Validation'!C52</f>
        <v>0.78539999999999999</v>
      </c>
      <c r="D52" s="21">
        <f>'Proximal Validation'!D52</f>
        <v>0.49250416219999998</v>
      </c>
      <c r="E52" s="21">
        <f>'Proximal Validation'!E52</f>
        <v>0.1</v>
      </c>
      <c r="F52" s="21">
        <f>'Proximal Validation'!F52</f>
        <v>0</v>
      </c>
      <c r="G52" s="21">
        <f>'Proximal Validation'!G52</f>
        <v>0.50502447429999997</v>
      </c>
      <c r="H52" s="21">
        <f>'Proximal Validation'!H52</f>
        <v>3.7817597896000001</v>
      </c>
      <c r="I52" s="21">
        <f>'Proximal Validation'!I52</f>
        <v>0.94479070089999995</v>
      </c>
      <c r="J52" s="21">
        <f>'Proximal Validation'!J52</f>
        <v>-1.50781311094761E-3</v>
      </c>
      <c r="K52" s="21">
        <f>'Proximal Validation'!K52</f>
        <v>-9.7985811829566921E-2</v>
      </c>
      <c r="L52" s="21">
        <f>'Proximal Validation'!L52</f>
        <v>0.1436945205926892</v>
      </c>
      <c r="M52" s="21">
        <f>'Proximal Validation'!M52</f>
        <v>-0.18748980760574299</v>
      </c>
      <c r="N52" s="21">
        <f>'Proximal Validation'!N52</f>
        <v>1.07943332195282</v>
      </c>
      <c r="O52" s="21">
        <f>'Proximal Validation'!O52</f>
        <v>0.62157618999481201</v>
      </c>
      <c r="P52" s="5">
        <v>0.7908824903865006</v>
      </c>
      <c r="Q52" s="5">
        <v>0.14340793360940696</v>
      </c>
      <c r="R52" s="5">
        <v>0.85639417096622805</v>
      </c>
      <c r="S52" s="5">
        <v>0.63989958208132114</v>
      </c>
      <c r="T52" s="5">
        <v>0.106627756754435</v>
      </c>
      <c r="U52" s="5">
        <v>0.10448134522926862</v>
      </c>
      <c r="V52" s="13">
        <v>7.5460743736359845E-9</v>
      </c>
      <c r="W52" s="5">
        <f t="shared" si="7"/>
        <v>-0.14641261601349942</v>
      </c>
      <c r="X52" s="5">
        <f t="shared" si="7"/>
        <v>3.4079336094069435E-3</v>
      </c>
      <c r="Y52" s="5">
        <f t="shared" si="2"/>
        <v>7.0994170966228065E-2</v>
      </c>
      <c r="Z52" s="5">
        <f t="shared" si="8"/>
        <v>0.14739541988132115</v>
      </c>
      <c r="AA52" s="5">
        <f t="shared" si="8"/>
        <v>6.6277567544349991E-3</v>
      </c>
      <c r="AB52" s="5">
        <f t="shared" si="3"/>
        <v>0.10448134522926862</v>
      </c>
      <c r="AC52" s="8">
        <f t="shared" si="9"/>
        <v>0.14690401794741029</v>
      </c>
      <c r="AD52" s="8">
        <f t="shared" si="9"/>
        <v>5.0178451819209713E-3</v>
      </c>
      <c r="AE52" s="8">
        <f t="shared" si="9"/>
        <v>8.7737758097748336E-2</v>
      </c>
    </row>
    <row r="54" spans="1:31" x14ac:dyDescent="0.25">
      <c r="AC54" s="22"/>
      <c r="AD54" s="22"/>
      <c r="AE54" s="22"/>
    </row>
  </sheetData>
  <mergeCells count="6">
    <mergeCell ref="AF5:AK5"/>
    <mergeCell ref="A1:I1"/>
    <mergeCell ref="J1:O1"/>
    <mergeCell ref="P1:V1"/>
    <mergeCell ref="W1:AE1"/>
    <mergeCell ref="AF2:AK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30830-3FF8-4415-8783-37265E78F23F}">
  <dimension ref="A1:AK54"/>
  <sheetViews>
    <sheetView zoomScale="85" zoomScaleNormal="85" workbookViewId="0">
      <pane ySplit="2" topLeftCell="A3" activePane="bottomLeft" state="frozen"/>
      <selection activeCell="K1" sqref="K1"/>
      <selection pane="bottomLeft" activeCell="AF8" sqref="AF8:AG8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11.85546875" bestFit="1" customWidth="1"/>
    <col min="4" max="4" width="6.5703125" bestFit="1" customWidth="1"/>
    <col min="5" max="5" width="6.85546875" bestFit="1" customWidth="1"/>
    <col min="6" max="6" width="11.85546875" bestFit="1" customWidth="1"/>
    <col min="7" max="9" width="8.42578125" bestFit="1" customWidth="1"/>
    <col min="10" max="11" width="8.140625" bestFit="1" customWidth="1"/>
    <col min="12" max="12" width="7.7109375" bestFit="1" customWidth="1"/>
    <col min="13" max="15" width="6.42578125" bestFit="1" customWidth="1"/>
    <col min="16" max="16" width="6.5703125" bestFit="1" customWidth="1"/>
    <col min="17" max="17" width="6.85546875" bestFit="1" customWidth="1"/>
    <col min="18" max="18" width="11.85546875" bestFit="1" customWidth="1"/>
    <col min="19" max="19" width="6.5703125" bestFit="1" customWidth="1"/>
    <col min="20" max="20" width="6.85546875" bestFit="1" customWidth="1"/>
    <col min="21" max="21" width="11.85546875" bestFit="1" customWidth="1"/>
    <col min="22" max="22" width="8" bestFit="1" customWidth="1"/>
    <col min="23" max="23" width="6.5703125" bestFit="1" customWidth="1"/>
    <col min="24" max="24" width="6.85546875" bestFit="1" customWidth="1"/>
    <col min="25" max="25" width="11.85546875" bestFit="1" customWidth="1"/>
    <col min="26" max="26" width="6.5703125" bestFit="1" customWidth="1"/>
    <col min="27" max="27" width="6.85546875" bestFit="1" customWidth="1"/>
    <col min="28" max="28" width="11.85546875" bestFit="1" customWidth="1"/>
    <col min="29" max="29" width="11" bestFit="1" customWidth="1"/>
    <col min="30" max="30" width="13.85546875" bestFit="1" customWidth="1"/>
    <col min="31" max="31" width="11.140625" bestFit="1" customWidth="1"/>
    <col min="32" max="32" width="12" bestFit="1" customWidth="1"/>
    <col min="33" max="33" width="13.85546875" bestFit="1" customWidth="1"/>
    <col min="34" max="34" width="11.85546875" bestFit="1" customWidth="1"/>
    <col min="37" max="37" width="11.85546875" bestFit="1" customWidth="1"/>
  </cols>
  <sheetData>
    <row r="1" spans="1:37" ht="15.75" x14ac:dyDescent="0.25">
      <c r="A1" s="25" t="s">
        <v>11</v>
      </c>
      <c r="B1" s="25"/>
      <c r="C1" s="25"/>
      <c r="D1" s="25"/>
      <c r="E1" s="25"/>
      <c r="F1" s="25"/>
      <c r="G1" s="25"/>
      <c r="H1" s="25"/>
      <c r="I1" s="26"/>
      <c r="J1" s="27" t="s">
        <v>6</v>
      </c>
      <c r="K1" s="28"/>
      <c r="L1" s="28"/>
      <c r="M1" s="28"/>
      <c r="N1" s="28"/>
      <c r="O1" s="28"/>
      <c r="P1" s="29" t="s">
        <v>7</v>
      </c>
      <c r="Q1" s="30"/>
      <c r="R1" s="30"/>
      <c r="S1" s="30"/>
      <c r="T1" s="30"/>
      <c r="U1" s="30"/>
      <c r="V1" s="30"/>
      <c r="W1" s="31" t="s">
        <v>13</v>
      </c>
      <c r="X1" s="31"/>
      <c r="Y1" s="31"/>
      <c r="Z1" s="31"/>
      <c r="AA1" s="31"/>
      <c r="AB1" s="31"/>
      <c r="AC1" s="31"/>
      <c r="AD1" s="31"/>
      <c r="AE1" s="31"/>
      <c r="AF1" s="20" t="s">
        <v>31</v>
      </c>
      <c r="AG1" s="20"/>
      <c r="AH1" s="20"/>
      <c r="AI1" s="20"/>
      <c r="AJ1" s="20"/>
      <c r="AK1" s="20"/>
    </row>
    <row r="2" spans="1:37" ht="15.75" x14ac:dyDescent="0.25">
      <c r="A2" s="1" t="s">
        <v>22</v>
      </c>
      <c r="B2" s="1" t="s">
        <v>23</v>
      </c>
      <c r="C2" s="1" t="s">
        <v>33</v>
      </c>
      <c r="D2" s="1" t="s">
        <v>24</v>
      </c>
      <c r="E2" s="1" t="s">
        <v>25</v>
      </c>
      <c r="F2" s="1" t="s">
        <v>34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22</v>
      </c>
      <c r="Q2" s="1" t="s">
        <v>23</v>
      </c>
      <c r="R2" s="1" t="s">
        <v>33</v>
      </c>
      <c r="S2" s="1" t="s">
        <v>24</v>
      </c>
      <c r="T2" s="1" t="s">
        <v>25</v>
      </c>
      <c r="U2" s="1" t="s">
        <v>34</v>
      </c>
      <c r="V2" s="2" t="s">
        <v>32</v>
      </c>
      <c r="W2" s="3" t="s">
        <v>22</v>
      </c>
      <c r="X2" s="1" t="s">
        <v>23</v>
      </c>
      <c r="Y2" s="1" t="s">
        <v>33</v>
      </c>
      <c r="Z2" s="1" t="s">
        <v>24</v>
      </c>
      <c r="AA2" s="1" t="s">
        <v>25</v>
      </c>
      <c r="AB2" s="1" t="s">
        <v>34</v>
      </c>
      <c r="AC2" s="6" t="s">
        <v>28</v>
      </c>
      <c r="AD2" s="6" t="s">
        <v>29</v>
      </c>
      <c r="AE2" s="6" t="s">
        <v>30</v>
      </c>
      <c r="AF2" s="32" t="s">
        <v>26</v>
      </c>
      <c r="AG2" s="32"/>
      <c r="AH2" s="32"/>
      <c r="AI2" s="32"/>
      <c r="AJ2" s="32"/>
      <c r="AK2" s="32"/>
    </row>
    <row r="3" spans="1:37" ht="15.75" x14ac:dyDescent="0.25">
      <c r="A3" s="5">
        <f>'Proximal Validation'!A3</f>
        <v>0.57634630980000001</v>
      </c>
      <c r="B3" s="5">
        <f>'Proximal Validation'!B3</f>
        <v>0.2</v>
      </c>
      <c r="C3" s="5">
        <f>'Proximal Validation'!C3</f>
        <v>0.78539999999999999</v>
      </c>
      <c r="D3" s="5">
        <f>'Proximal Validation'!D3</f>
        <v>1.1398024601000001</v>
      </c>
      <c r="E3" s="5">
        <f>'Proximal Validation'!E3</f>
        <v>0.02</v>
      </c>
      <c r="F3" s="5">
        <f>'Proximal Validation'!F3</f>
        <v>5.4977999999999998</v>
      </c>
      <c r="G3" s="5">
        <f>'Proximal Validation'!G3</f>
        <v>0.49272223679999999</v>
      </c>
      <c r="H3" s="5">
        <f>'Proximal Validation'!H3</f>
        <v>4.4756011583999999</v>
      </c>
      <c r="I3" s="5">
        <f>'Proximal Validation'!I3</f>
        <v>4.1915536561</v>
      </c>
      <c r="J3" s="5">
        <f>'Proximal Validation'!J3</f>
        <v>-4.8483535647392299E-3</v>
      </c>
      <c r="K3" s="5">
        <f>'Proximal Validation'!K3</f>
        <v>-4.9299089163541775E-2</v>
      </c>
      <c r="L3" s="5">
        <f>'Proximal Validation'!L3</f>
        <v>0.11311967670917589</v>
      </c>
      <c r="M3" s="5">
        <f>'Proximal Validation'!M3</f>
        <v>-9.3563906848430606E-2</v>
      </c>
      <c r="N3" s="5">
        <f>'Proximal Validation'!N3</f>
        <v>1.13720595836639</v>
      </c>
      <c r="O3" s="5">
        <f>'Proximal Validation'!O3</f>
        <v>-0.73825818300247203</v>
      </c>
      <c r="P3" s="5">
        <v>0.90625698010817701</v>
      </c>
      <c r="Q3" s="5">
        <v>0.14965242895683342</v>
      </c>
      <c r="R3" s="5">
        <v>1.1537599345089917</v>
      </c>
      <c r="S3" s="5">
        <v>1.4884304344737047</v>
      </c>
      <c r="T3" s="5">
        <v>4.8775833660322405E-2</v>
      </c>
      <c r="U3" s="5">
        <v>5.3154929084642761</v>
      </c>
      <c r="V3" s="13">
        <v>2.2441654600144485E-9</v>
      </c>
      <c r="W3" s="5">
        <f t="shared" ref="W3:AA18" si="0">P3-A3</f>
        <v>0.329910670308177</v>
      </c>
      <c r="X3" s="5">
        <f t="shared" si="0"/>
        <v>-5.0347571043166589E-2</v>
      </c>
      <c r="Y3" s="5">
        <f>MIN(ABS(R3-C3),2*PI()-ABS(R3-C3))</f>
        <v>0.36835993450899174</v>
      </c>
      <c r="Z3" s="5">
        <f t="shared" si="0"/>
        <v>0.34862797437370463</v>
      </c>
      <c r="AA3" s="5">
        <f t="shared" si="0"/>
        <v>2.8775833660322405E-2</v>
      </c>
      <c r="AB3" s="5">
        <f>MIN(ABS(U3-F3),2*PI()-ABS(U3-F3))</f>
        <v>0.18230709153572366</v>
      </c>
      <c r="AC3" s="8">
        <f t="shared" ref="AC3:AE18" si="1">AVERAGE(ABS(W3),ABS(Z3))</f>
        <v>0.33926932234094082</v>
      </c>
      <c r="AD3" s="8">
        <f t="shared" si="1"/>
        <v>3.9561702351744499E-2</v>
      </c>
      <c r="AE3" s="8">
        <f t="shared" si="1"/>
        <v>0.2753335130223577</v>
      </c>
      <c r="AF3" s="1" t="s">
        <v>22</v>
      </c>
      <c r="AG3" s="1" t="s">
        <v>23</v>
      </c>
      <c r="AH3" s="1" t="s">
        <v>33</v>
      </c>
      <c r="AI3" s="1" t="s">
        <v>24</v>
      </c>
      <c r="AJ3" s="1" t="s">
        <v>25</v>
      </c>
      <c r="AK3" s="1" t="s">
        <v>34</v>
      </c>
    </row>
    <row r="4" spans="1:37" x14ac:dyDescent="0.25">
      <c r="A4" s="5">
        <f>'Proximal Validation'!A4</f>
        <v>1.2961945501000001</v>
      </c>
      <c r="B4" s="5">
        <f>'Proximal Validation'!B4</f>
        <v>0.2</v>
      </c>
      <c r="C4" s="5">
        <f>'Proximal Validation'!C4</f>
        <v>4.7123999999999997</v>
      </c>
      <c r="D4" s="5">
        <f>'Proximal Validation'!D4</f>
        <v>0.31907560010000002</v>
      </c>
      <c r="E4" s="5">
        <f>'Proximal Validation'!E4</f>
        <v>0.02</v>
      </c>
      <c r="F4" s="5">
        <f>'Proximal Validation'!F4</f>
        <v>1.5708</v>
      </c>
      <c r="G4" s="5">
        <f>'Proximal Validation'!G4</f>
        <v>0.53253118440000002</v>
      </c>
      <c r="H4" s="5">
        <f>'Proximal Validation'!H4</f>
        <v>1.6232893740000001</v>
      </c>
      <c r="I4" s="5">
        <f>'Proximal Validation'!I4</f>
        <v>9.6932284100000002E-2</v>
      </c>
      <c r="J4" s="5">
        <f>'Proximal Validation'!J4</f>
        <v>-2.2787048947066099E-3</v>
      </c>
      <c r="K4" s="5">
        <f>'Proximal Validation'!K4</f>
        <v>0.23746988892555226</v>
      </c>
      <c r="L4" s="5">
        <f>'Proximal Validation'!L4</f>
        <v>-3.8131318800151311E-3</v>
      </c>
      <c r="M4" s="5">
        <f>'Proximal Validation'!M4</f>
        <v>-0.78536403179168701</v>
      </c>
      <c r="N4" s="5">
        <f>'Proximal Validation'!N4</f>
        <v>-2.54362337291241E-2</v>
      </c>
      <c r="O4" s="5">
        <f>'Proximal Validation'!O4</f>
        <v>-0.55368435382842995</v>
      </c>
      <c r="P4" s="5">
        <v>1.2971411480077213</v>
      </c>
      <c r="Q4" s="5">
        <v>0.19975048709246218</v>
      </c>
      <c r="R4" s="5">
        <v>4.7123714624639312</v>
      </c>
      <c r="S4" s="5">
        <v>0.32017148449925492</v>
      </c>
      <c r="T4" s="5">
        <v>2.0087859867256742E-2</v>
      </c>
      <c r="U4" s="5">
        <v>1.5708470783916328</v>
      </c>
      <c r="V4" s="13">
        <v>8.1812668195396399E-11</v>
      </c>
      <c r="W4" s="5">
        <f t="shared" si="0"/>
        <v>9.4659790772122498E-4</v>
      </c>
      <c r="X4" s="5">
        <f t="shared" si="0"/>
        <v>-2.4951290753782995E-4</v>
      </c>
      <c r="Y4" s="5">
        <f t="shared" ref="Y4:Y52" si="2">MIN(ABS(R4-C4),2*PI()-ABS(R4-C4))</f>
        <v>2.8537536068462543E-5</v>
      </c>
      <c r="Z4" s="5">
        <f t="shared" si="0"/>
        <v>1.0958843992548983E-3</v>
      </c>
      <c r="AA4" s="5">
        <f t="shared" si="0"/>
        <v>8.7859867256741275E-5</v>
      </c>
      <c r="AB4" s="5">
        <f t="shared" ref="AB4:AB52" si="3">MIN(ABS(U4-F4),2*PI()-ABS(U4-F4))</f>
        <v>4.7078391632870975E-5</v>
      </c>
      <c r="AC4" s="8">
        <f t="shared" si="1"/>
        <v>1.0212411534880617E-3</v>
      </c>
      <c r="AD4" s="8">
        <f t="shared" si="1"/>
        <v>1.6868638739728561E-4</v>
      </c>
      <c r="AE4" s="8">
        <f t="shared" si="1"/>
        <v>3.7807963850666759E-5</v>
      </c>
      <c r="AF4" s="7" cm="1">
        <f t="array" ref="AF4">AVERAGE(ABS(W3:W52))</f>
        <v>0.12329391960927501</v>
      </c>
      <c r="AG4" s="7" cm="1">
        <f t="array" ref="AG4">AVERAGE(ABS(X3:X52))</f>
        <v>1.2291757520076919E-2</v>
      </c>
      <c r="AH4" s="7" cm="1">
        <f t="array" ref="AH4">AVERAGE(ABS(Y3:Y52))</f>
        <v>0.11984680907587709</v>
      </c>
      <c r="AI4" s="7" cm="1">
        <f t="array" ref="AI4">AVERAGE(ABS(Z3:Z52))</f>
        <v>0.11971148916574892</v>
      </c>
      <c r="AJ4" s="7" cm="1">
        <f t="array" ref="AJ4">AVERAGE(ABS(AA3:AA52))</f>
        <v>9.2228455929055271E-3</v>
      </c>
      <c r="AK4" s="7" cm="1">
        <f t="array" ref="AK4">AVERAGE(ABS(AB3:AB52))</f>
        <v>0.1304225097245244</v>
      </c>
    </row>
    <row r="5" spans="1:37" x14ac:dyDescent="0.25">
      <c r="A5" s="5">
        <f>'Proximal Validation'!A5</f>
        <v>0.3432844504</v>
      </c>
      <c r="B5" s="5">
        <f>'Proximal Validation'!B5</f>
        <v>0.2</v>
      </c>
      <c r="C5" s="5">
        <f>'Proximal Validation'!C5</f>
        <v>3.1415999999999999</v>
      </c>
      <c r="D5" s="5">
        <f>'Proximal Validation'!D5</f>
        <v>0.75633386430000005</v>
      </c>
      <c r="E5" s="5">
        <f>'Proximal Validation'!E5</f>
        <v>0.02</v>
      </c>
      <c r="F5" s="5">
        <f>'Proximal Validation'!F5</f>
        <v>3.1415999999999999</v>
      </c>
      <c r="G5" s="5">
        <f>'Proximal Validation'!G5</f>
        <v>3.5593988404000001</v>
      </c>
      <c r="H5" s="5">
        <f>'Proximal Validation'!H5</f>
        <v>2.6173593599</v>
      </c>
      <c r="I5" s="5">
        <f>'Proximal Validation'!I5</f>
        <v>2.7214845023000001</v>
      </c>
      <c r="J5" s="5">
        <f>'Proximal Validation'!J5</f>
        <v>2.7396343648433698E-3</v>
      </c>
      <c r="K5" s="5">
        <f>'Proximal Validation'!K5</f>
        <v>2.7901530265808086E-5</v>
      </c>
      <c r="L5" s="5">
        <f>'Proximal Validation'!L5</f>
        <v>-8.8981522321701062E-2</v>
      </c>
      <c r="M5" s="5">
        <f>'Proximal Validation'!M5</f>
        <v>-7.5504761189222301E-3</v>
      </c>
      <c r="N5" s="5">
        <f>'Proximal Validation'!N5</f>
        <v>-0.98192942142486594</v>
      </c>
      <c r="O5" s="5">
        <f>'Proximal Validation'!O5</f>
        <v>4.0116310119628898E-3</v>
      </c>
      <c r="P5" s="5">
        <v>0.42711146691940927</v>
      </c>
      <c r="Q5" s="5">
        <v>7.5577426258591235E-2</v>
      </c>
      <c r="R5" s="5">
        <v>4.3006985247057523</v>
      </c>
      <c r="S5" s="5">
        <v>1.0051940306258018</v>
      </c>
      <c r="T5" s="5">
        <v>7.5574498659590691E-2</v>
      </c>
      <c r="U5" s="5">
        <v>2.7431261038654142</v>
      </c>
      <c r="V5" s="13">
        <v>7.3406622480406918E-7</v>
      </c>
      <c r="W5" s="5">
        <f t="shared" si="0"/>
        <v>8.382701651940927E-2</v>
      </c>
      <c r="X5" s="5">
        <f t="shared" si="0"/>
        <v>-0.12442257374140878</v>
      </c>
      <c r="Y5" s="5">
        <f t="shared" si="2"/>
        <v>1.1590985247057524</v>
      </c>
      <c r="Z5" s="5">
        <f t="shared" si="0"/>
        <v>0.24886016632580177</v>
      </c>
      <c r="AA5" s="5">
        <f t="shared" si="0"/>
        <v>5.5574498659590688E-2</v>
      </c>
      <c r="AB5" s="5">
        <f t="shared" si="3"/>
        <v>0.39847389613458573</v>
      </c>
      <c r="AC5" s="9">
        <f t="shared" si="1"/>
        <v>0.16634359142260552</v>
      </c>
      <c r="AD5" s="9">
        <f t="shared" si="1"/>
        <v>8.9998536200499732E-2</v>
      </c>
      <c r="AE5" s="9">
        <f t="shared" si="1"/>
        <v>0.77878621042016904</v>
      </c>
      <c r="AF5" s="23" t="s">
        <v>27</v>
      </c>
      <c r="AG5" s="24"/>
      <c r="AH5" s="24"/>
      <c r="AI5" s="24"/>
      <c r="AJ5" s="24"/>
      <c r="AK5" s="24"/>
    </row>
    <row r="6" spans="1:37" x14ac:dyDescent="0.25">
      <c r="A6" s="5">
        <f>'Proximal Validation'!A6</f>
        <v>0.83277602429999997</v>
      </c>
      <c r="B6" s="5">
        <f>'Proximal Validation'!B6</f>
        <v>0.2</v>
      </c>
      <c r="C6" s="5">
        <f>'Proximal Validation'!C6</f>
        <v>4.7123999999999997</v>
      </c>
      <c r="D6" s="5">
        <f>'Proximal Validation'!D6</f>
        <v>1.4193655153</v>
      </c>
      <c r="E6" s="5">
        <f>'Proximal Validation'!E6</f>
        <v>0.04</v>
      </c>
      <c r="F6" s="5">
        <f>'Proximal Validation'!F6</f>
        <v>5.4977999999999998</v>
      </c>
      <c r="G6" s="5">
        <f>'Proximal Validation'!G6</f>
        <v>4.2084858911999996</v>
      </c>
      <c r="H6" s="5">
        <f>'Proximal Validation'!H6</f>
        <v>0.52916698419999997</v>
      </c>
      <c r="I6" s="5">
        <f>'Proximal Validation'!I6</f>
        <v>2.5150427606000001</v>
      </c>
      <c r="J6" s="5">
        <f>'Proximal Validation'!J6</f>
        <v>-1.43141560256481E-2</v>
      </c>
      <c r="K6" s="5">
        <f>'Proximal Validation'!K6</f>
        <v>0.19910913825035079</v>
      </c>
      <c r="L6" s="5">
        <f>'Proximal Validation'!L6</f>
        <v>2.9508465230465089E-2</v>
      </c>
      <c r="M6" s="5">
        <f>'Proximal Validation'!M6</f>
        <v>-0.46529781818389898</v>
      </c>
      <c r="N6" s="5">
        <f>'Proximal Validation'!N6</f>
        <v>0.80010873079299905</v>
      </c>
      <c r="O6" s="5">
        <f>'Proximal Validation'!O6</f>
        <v>-1.7768694162368801</v>
      </c>
      <c r="P6" s="5">
        <v>0.83161021994837336</v>
      </c>
      <c r="Q6" s="5">
        <v>0.19974485109920362</v>
      </c>
      <c r="R6" s="5">
        <v>4.7102901645889785</v>
      </c>
      <c r="S6" s="5">
        <v>1.4207166432518403</v>
      </c>
      <c r="T6" s="5">
        <v>4.027061839820939E-2</v>
      </c>
      <c r="U6" s="5">
        <v>5.4983212672188122</v>
      </c>
      <c r="V6" s="13">
        <v>3.6038085472048961E-10</v>
      </c>
      <c r="W6" s="5">
        <f t="shared" si="0"/>
        <v>-1.1658043516266092E-3</v>
      </c>
      <c r="X6" s="5">
        <f t="shared" si="0"/>
        <v>-2.5514890079639252E-4</v>
      </c>
      <c r="Y6" s="5">
        <f t="shared" si="2"/>
        <v>2.1098354110211659E-3</v>
      </c>
      <c r="Z6" s="5">
        <f t="shared" si="0"/>
        <v>1.3511279518403363E-3</v>
      </c>
      <c r="AA6" s="5">
        <f t="shared" si="0"/>
        <v>2.7061839820938932E-4</v>
      </c>
      <c r="AB6" s="5">
        <f t="shared" si="3"/>
        <v>5.2126721881240456E-4</v>
      </c>
      <c r="AC6" s="8">
        <f t="shared" si="1"/>
        <v>1.2584661517334728E-3</v>
      </c>
      <c r="AD6" s="8">
        <f t="shared" si="1"/>
        <v>2.6288364950289092E-4</v>
      </c>
      <c r="AE6" s="8">
        <f t="shared" si="1"/>
        <v>1.3155513149167852E-3</v>
      </c>
      <c r="AF6" s="6" t="s">
        <v>28</v>
      </c>
      <c r="AG6" s="6" t="s">
        <v>29</v>
      </c>
      <c r="AH6" s="6" t="s">
        <v>30</v>
      </c>
      <c r="AI6" s="7"/>
      <c r="AJ6" s="7"/>
      <c r="AK6" s="7"/>
    </row>
    <row r="7" spans="1:37" x14ac:dyDescent="0.25">
      <c r="A7" s="5">
        <f>'Proximal Validation'!A7</f>
        <v>0.3898403909</v>
      </c>
      <c r="B7" s="5">
        <f>'Proximal Validation'!B7</f>
        <v>0.2</v>
      </c>
      <c r="C7" s="5">
        <f>'Proximal Validation'!C7</f>
        <v>1.5708</v>
      </c>
      <c r="D7" s="5">
        <f>'Proximal Validation'!D7</f>
        <v>0.45028828840000001</v>
      </c>
      <c r="E7" s="5">
        <f>'Proximal Validation'!E7</f>
        <v>0.04</v>
      </c>
      <c r="F7" s="5">
        <f>'Proximal Validation'!F7</f>
        <v>2.3561999999999999</v>
      </c>
      <c r="G7" s="5">
        <f>'Proximal Validation'!G7</f>
        <v>0.34676129480000001</v>
      </c>
      <c r="H7" s="5">
        <f>'Proximal Validation'!H7</f>
        <v>0.93612470940000003</v>
      </c>
      <c r="I7" s="5">
        <f>'Proximal Validation'!I7</f>
        <v>2.0702513480000002</v>
      </c>
      <c r="J7" s="5">
        <f>'Proximal Validation'!J7</f>
        <v>-2.77032051235437E-3</v>
      </c>
      <c r="K7" s="5">
        <f>'Proximal Validation'!K7</f>
        <v>-8.7060849666595136E-2</v>
      </c>
      <c r="L7" s="5">
        <f>'Proximal Validation'!L7</f>
        <v>-1.0583339482545799E-2</v>
      </c>
      <c r="M7" s="5">
        <f>'Proximal Validation'!M7</f>
        <v>-2.05973610281944E-2</v>
      </c>
      <c r="N7" s="5">
        <f>'Proximal Validation'!N7</f>
        <v>-0.34849351644516002</v>
      </c>
      <c r="O7" s="5">
        <f>'Proximal Validation'!O7</f>
        <v>0.549818456172943</v>
      </c>
      <c r="P7" s="5">
        <v>0.93529443665097134</v>
      </c>
      <c r="Q7" s="5">
        <v>0.11115767095365395</v>
      </c>
      <c r="R7" s="5">
        <v>1.4276347267269389</v>
      </c>
      <c r="S7" s="5">
        <v>0.50217358803740664</v>
      </c>
      <c r="T7" s="5">
        <v>6.0778051273105191E-2</v>
      </c>
      <c r="U7" s="5">
        <v>3.5987490238965365</v>
      </c>
      <c r="V7" s="13">
        <v>4.8558980061167554E-7</v>
      </c>
      <c r="W7" s="5">
        <f t="shared" si="0"/>
        <v>0.54545404575097134</v>
      </c>
      <c r="X7" s="5">
        <f t="shared" si="0"/>
        <v>-8.8842329046346064E-2</v>
      </c>
      <c r="Y7" s="5">
        <f t="shared" si="2"/>
        <v>0.14316527327306106</v>
      </c>
      <c r="Z7" s="5">
        <f t="shared" si="0"/>
        <v>5.1885299637406623E-2</v>
      </c>
      <c r="AA7" s="5">
        <f t="shared" si="0"/>
        <v>2.077805127310519E-2</v>
      </c>
      <c r="AB7" s="5">
        <f t="shared" si="3"/>
        <v>1.2425490238965367</v>
      </c>
      <c r="AC7" s="8">
        <f t="shared" si="1"/>
        <v>0.29866967269418898</v>
      </c>
      <c r="AD7" s="8">
        <f t="shared" si="1"/>
        <v>5.481019015972563E-2</v>
      </c>
      <c r="AE7" s="8">
        <f t="shared" si="1"/>
        <v>0.69285714858479885</v>
      </c>
      <c r="AF7" s="10">
        <f>AVERAGE(AF4,AI4)</f>
        <v>0.12150270438751196</v>
      </c>
      <c r="AG7" s="10">
        <f>AVERAGE(AG4,AJ4)</f>
        <v>1.0757301556491223E-2</v>
      </c>
      <c r="AH7" s="10">
        <f>AVERAGE(AH4,AK4)</f>
        <v>0.12513465940020074</v>
      </c>
      <c r="AI7" s="7"/>
      <c r="AJ7" s="7"/>
      <c r="AK7" s="7"/>
    </row>
    <row r="8" spans="1:37" x14ac:dyDescent="0.25">
      <c r="A8" s="5">
        <f>'Proximal Validation'!A8</f>
        <v>0.86958752539999995</v>
      </c>
      <c r="B8" s="5">
        <f>'Proximal Validation'!B8</f>
        <v>0.2</v>
      </c>
      <c r="C8" s="5">
        <f>'Proximal Validation'!C8</f>
        <v>0.78539999999999999</v>
      </c>
      <c r="D8" s="5">
        <f>'Proximal Validation'!D8</f>
        <v>0.66933871</v>
      </c>
      <c r="E8" s="5">
        <f>'Proximal Validation'!E8</f>
        <v>0.04</v>
      </c>
      <c r="F8" s="5">
        <f>'Proximal Validation'!F8</f>
        <v>0.78539999999999999</v>
      </c>
      <c r="G8" s="5">
        <f>'Proximal Validation'!G8</f>
        <v>2.0486073985000002</v>
      </c>
      <c r="H8" s="5">
        <f>'Proximal Validation'!H8</f>
        <v>1.4427408886999999</v>
      </c>
      <c r="I8" s="5">
        <f>'Proximal Validation'!I8</f>
        <v>0.53737298850000004</v>
      </c>
      <c r="J8" s="5">
        <f>'Proximal Validation'!J8</f>
        <v>-1.20506128296256E-2</v>
      </c>
      <c r="K8" s="5">
        <f>'Proximal Validation'!K8</f>
        <v>-0.12670553922653227</v>
      </c>
      <c r="L8" s="5">
        <f>'Proximal Validation'!L8</f>
        <v>0.1496409153938289</v>
      </c>
      <c r="M8" s="5">
        <f>'Proximal Validation'!M8</f>
        <v>-0.31113249063491799</v>
      </c>
      <c r="N8" s="5">
        <f>'Proximal Validation'!N8</f>
        <v>1.09533703327179</v>
      </c>
      <c r="O8" s="5">
        <f>'Proximal Validation'!O8</f>
        <v>0.92608898878097501</v>
      </c>
      <c r="P8" s="5">
        <v>1.2465849545877929</v>
      </c>
      <c r="Q8" s="5">
        <v>0.13148509803106911</v>
      </c>
      <c r="R8" s="5">
        <v>0.64953163021701954</v>
      </c>
      <c r="S8" s="5">
        <v>0.30134920662824655</v>
      </c>
      <c r="T8" s="5">
        <v>0.12816516744221984</v>
      </c>
      <c r="U8" s="5">
        <v>1.3538467724110894</v>
      </c>
      <c r="V8" s="13">
        <v>1.4378587862105591E-5</v>
      </c>
      <c r="W8" s="5">
        <f t="shared" si="0"/>
        <v>0.376997429187793</v>
      </c>
      <c r="X8" s="5">
        <f t="shared" si="0"/>
        <v>-6.8514901968930897E-2</v>
      </c>
      <c r="Y8" s="5">
        <f t="shared" si="2"/>
        <v>0.13586836978298045</v>
      </c>
      <c r="Z8" s="5">
        <f t="shared" si="0"/>
        <v>-0.36798950337175346</v>
      </c>
      <c r="AA8" s="5">
        <f t="shared" si="0"/>
        <v>8.8165167442219833E-2</v>
      </c>
      <c r="AB8" s="5">
        <f t="shared" si="3"/>
        <v>0.56844677241108943</v>
      </c>
      <c r="AC8" s="8">
        <f t="shared" si="1"/>
        <v>0.3724934662797732</v>
      </c>
      <c r="AD8" s="8">
        <f t="shared" si="1"/>
        <v>7.8340034705575365E-2</v>
      </c>
      <c r="AE8" s="8">
        <f t="shared" si="1"/>
        <v>0.35215757109703494</v>
      </c>
      <c r="AF8" s="12">
        <f>MEDIAN(AC3:AC52)</f>
        <v>4.5469562032180527E-2</v>
      </c>
      <c r="AG8" s="12">
        <f>MEDIAN(AD3:AD52)</f>
        <v>3.3837105501073918E-3</v>
      </c>
    </row>
    <row r="9" spans="1:37" x14ac:dyDescent="0.25">
      <c r="A9" s="5">
        <f>'Proximal Validation'!A9</f>
        <v>1.2260241731999999</v>
      </c>
      <c r="B9" s="5">
        <f>'Proximal Validation'!B9</f>
        <v>0.2</v>
      </c>
      <c r="C9" s="5">
        <f>'Proximal Validation'!C9</f>
        <v>3.1415999999999999</v>
      </c>
      <c r="D9" s="5">
        <f>'Proximal Validation'!D9</f>
        <v>0.53124592000000004</v>
      </c>
      <c r="E9" s="5">
        <f>'Proximal Validation'!E9</f>
        <v>0.04</v>
      </c>
      <c r="F9" s="5">
        <f>'Proximal Validation'!F9</f>
        <v>1.5708</v>
      </c>
      <c r="G9" s="5">
        <f>'Proximal Validation'!G9</f>
        <v>2.1721905802000001</v>
      </c>
      <c r="H9" s="5">
        <f>'Proximal Validation'!H9</f>
        <v>4.8592739976999999</v>
      </c>
      <c r="I9" s="5">
        <f>'Proximal Validation'!I9</f>
        <v>4.1505258277000001</v>
      </c>
      <c r="J9" s="5">
        <f>'Proximal Validation'!J9</f>
        <v>4.4089788571000099E-3</v>
      </c>
      <c r="K9" s="5">
        <f>'Proximal Validation'!K9</f>
        <v>-3.1871920824050881E-2</v>
      </c>
      <c r="L9" s="5">
        <f>'Proximal Validation'!L9</f>
        <v>-0.23815526187419911</v>
      </c>
      <c r="M9" s="5">
        <f>'Proximal Validation'!M9</f>
        <v>-0.60743898153305098</v>
      </c>
      <c r="N9" s="5">
        <f>'Proximal Validation'!N9</f>
        <v>-0.81274193525314298</v>
      </c>
      <c r="O9" s="5">
        <f>'Proximal Validation'!O9</f>
        <v>0.72559177875518799</v>
      </c>
      <c r="P9" s="5">
        <v>1.238326275704964</v>
      </c>
      <c r="Q9" s="5">
        <v>0.19714019552936904</v>
      </c>
      <c r="R9" s="5">
        <v>3.1302764008247714</v>
      </c>
      <c r="S9" s="5">
        <v>0.5193418248546815</v>
      </c>
      <c r="T9" s="5">
        <v>3.5743888969840078E-2</v>
      </c>
      <c r="U9" s="5">
        <v>1.5458615183264686</v>
      </c>
      <c r="V9" s="13">
        <v>7.3189704635013534E-9</v>
      </c>
      <c r="W9" s="5">
        <f t="shared" si="0"/>
        <v>1.2302102504964108E-2</v>
      </c>
      <c r="X9" s="5">
        <f t="shared" si="0"/>
        <v>-2.8598044706309722E-3</v>
      </c>
      <c r="Y9" s="5">
        <f t="shared" si="2"/>
        <v>1.1323599175228516E-2</v>
      </c>
      <c r="Z9" s="5">
        <f t="shared" si="0"/>
        <v>-1.1904095145318538E-2</v>
      </c>
      <c r="AA9" s="5">
        <f t="shared" si="0"/>
        <v>-4.2561110301599231E-3</v>
      </c>
      <c r="AB9" s="5">
        <f t="shared" si="3"/>
        <v>2.493848167353141E-2</v>
      </c>
      <c r="AC9" s="8">
        <f t="shared" si="1"/>
        <v>1.2103098825141323E-2</v>
      </c>
      <c r="AD9" s="8">
        <f t="shared" si="1"/>
        <v>3.5579577503954476E-3</v>
      </c>
      <c r="AE9" s="8">
        <f t="shared" si="1"/>
        <v>1.8131040424379963E-2</v>
      </c>
      <c r="AF9" s="12"/>
      <c r="AG9" s="12"/>
      <c r="AH9" s="12"/>
    </row>
    <row r="10" spans="1:37" x14ac:dyDescent="0.25">
      <c r="A10" s="5">
        <f>'Proximal Validation'!A10</f>
        <v>1.4922792275000001</v>
      </c>
      <c r="B10" s="5">
        <f>'Proximal Validation'!B10</f>
        <v>0.2</v>
      </c>
      <c r="C10" s="5">
        <f>'Proximal Validation'!C10</f>
        <v>2.3561999999999999</v>
      </c>
      <c r="D10" s="5">
        <f>'Proximal Validation'!D10</f>
        <v>1.2493008810999999</v>
      </c>
      <c r="E10" s="5">
        <f>'Proximal Validation'!E10</f>
        <v>0.04</v>
      </c>
      <c r="F10" s="5">
        <f>'Proximal Validation'!F10</f>
        <v>0.78539999999999999</v>
      </c>
      <c r="G10" s="5">
        <f>'Proximal Validation'!G10</f>
        <v>0.65138204079999995</v>
      </c>
      <c r="H10" s="5">
        <f>'Proximal Validation'!H10</f>
        <v>2.3960292019999998</v>
      </c>
      <c r="I10" s="5">
        <f>'Proximal Validation'!I10</f>
        <v>3.8310385232000002</v>
      </c>
      <c r="J10" s="5">
        <f>'Proximal Validation'!J10</f>
        <v>3.9877006784081502E-3</v>
      </c>
      <c r="K10" s="5">
        <f>'Proximal Validation'!K10</f>
        <v>-0.23812925338745111</v>
      </c>
      <c r="L10" s="5">
        <f>'Proximal Validation'!L10</f>
        <v>-0.16476846545934729</v>
      </c>
      <c r="M10" s="5">
        <f>'Proximal Validation'!M10</f>
        <v>-0.90740537643432595</v>
      </c>
      <c r="N10" s="5">
        <f>'Proximal Validation'!N10</f>
        <v>0.22993692755699199</v>
      </c>
      <c r="O10" s="5">
        <f>'Proximal Validation'!O10</f>
        <v>1.7137415409088099</v>
      </c>
      <c r="P10" s="5">
        <v>1.4922426281309937</v>
      </c>
      <c r="Q10" s="5">
        <v>0.1999835473022322</v>
      </c>
      <c r="R10" s="5">
        <v>2.3559776971202702</v>
      </c>
      <c r="S10" s="5">
        <v>1.2490204470245132</v>
      </c>
      <c r="T10" s="5">
        <v>3.9957173296622357E-2</v>
      </c>
      <c r="U10" s="5">
        <v>0.78540747713383319</v>
      </c>
      <c r="V10" s="13">
        <v>1.4552097058018441E-10</v>
      </c>
      <c r="W10" s="5">
        <f t="shared" si="0"/>
        <v>-3.6599369006351523E-5</v>
      </c>
      <c r="X10" s="5">
        <f t="shared" si="0"/>
        <v>-1.6452697767815883E-5</v>
      </c>
      <c r="Y10" s="5">
        <f t="shared" si="2"/>
        <v>2.2230287972968554E-4</v>
      </c>
      <c r="Z10" s="5">
        <f t="shared" si="0"/>
        <v>-2.8043407548672405E-4</v>
      </c>
      <c r="AA10" s="5">
        <f t="shared" si="0"/>
        <v>-4.2826703377643605E-5</v>
      </c>
      <c r="AB10" s="5">
        <f t="shared" si="3"/>
        <v>7.4771338332002557E-6</v>
      </c>
      <c r="AC10" s="8">
        <f t="shared" si="1"/>
        <v>1.5851672224653779E-4</v>
      </c>
      <c r="AD10" s="8">
        <f t="shared" si="1"/>
        <v>2.9639700572729744E-5</v>
      </c>
      <c r="AE10" s="8">
        <f t="shared" si="1"/>
        <v>1.148900067814429E-4</v>
      </c>
    </row>
    <row r="11" spans="1:37" x14ac:dyDescent="0.25">
      <c r="A11" s="5">
        <f>'Proximal Validation'!A11</f>
        <v>1.4258680059</v>
      </c>
      <c r="B11" s="5">
        <f>'Proximal Validation'!B11</f>
        <v>0.2</v>
      </c>
      <c r="C11" s="5">
        <f>'Proximal Validation'!C11</f>
        <v>4.7123999999999997</v>
      </c>
      <c r="D11" s="5">
        <f>'Proximal Validation'!D11</f>
        <v>0.35291314260000001</v>
      </c>
      <c r="E11" s="5">
        <f>'Proximal Validation'!E11</f>
        <v>0.04</v>
      </c>
      <c r="F11" s="5">
        <f>'Proximal Validation'!F11</f>
        <v>0</v>
      </c>
      <c r="G11" s="5">
        <f>'Proximal Validation'!G11</f>
        <v>3.4810259851000001</v>
      </c>
      <c r="H11" s="5">
        <f>'Proximal Validation'!H11</f>
        <v>1.1294030872</v>
      </c>
      <c r="I11" s="5">
        <f>'Proximal Validation'!I11</f>
        <v>4.9138255752999997</v>
      </c>
      <c r="J11" s="5">
        <f>'Proximal Validation'!J11</f>
        <v>-2.5121536105871201E-2</v>
      </c>
      <c r="K11" s="5">
        <f>'Proximal Validation'!K11</f>
        <v>0.23443316221237209</v>
      </c>
      <c r="L11" s="5">
        <f>'Proximal Validation'!L11</f>
        <v>2.2260813415050131E-3</v>
      </c>
      <c r="M11" s="5">
        <f>'Proximal Validation'!M11</f>
        <v>-1.1394190788269001</v>
      </c>
      <c r="N11" s="5">
        <f>'Proximal Validation'!N11</f>
        <v>0.194542020559311</v>
      </c>
      <c r="O11" s="5">
        <f>'Proximal Validation'!O11</f>
        <v>-0.71812152862548795</v>
      </c>
      <c r="P11" s="5">
        <v>1.451713475563885</v>
      </c>
      <c r="Q11" s="5">
        <v>0.19539021359603068</v>
      </c>
      <c r="R11" s="5">
        <v>4.6966662448492409</v>
      </c>
      <c r="S11" s="5">
        <v>0.37078695905085757</v>
      </c>
      <c r="T11" s="5">
        <v>4.8388310956933273E-2</v>
      </c>
      <c r="U11" s="5">
        <v>8.5930755498767775E-2</v>
      </c>
      <c r="V11" s="13">
        <v>5.2073779373843587E-9</v>
      </c>
      <c r="W11" s="5">
        <f t="shared" si="0"/>
        <v>2.5845469663885012E-2</v>
      </c>
      <c r="X11" s="5">
        <f t="shared" si="0"/>
        <v>-4.6097864039693348E-3</v>
      </c>
      <c r="Y11" s="5">
        <f t="shared" si="2"/>
        <v>1.573375515075881E-2</v>
      </c>
      <c r="Z11" s="5">
        <f t="shared" si="0"/>
        <v>1.787381645085756E-2</v>
      </c>
      <c r="AA11" s="5">
        <f t="shared" si="0"/>
        <v>8.3883109569332717E-3</v>
      </c>
      <c r="AB11" s="5">
        <f t="shared" si="3"/>
        <v>8.5930755498767775E-2</v>
      </c>
      <c r="AC11" s="8">
        <f t="shared" si="1"/>
        <v>2.1859643057371286E-2</v>
      </c>
      <c r="AD11" s="8">
        <f t="shared" si="1"/>
        <v>6.4990486804513033E-3</v>
      </c>
      <c r="AE11" s="8">
        <f t="shared" si="1"/>
        <v>5.0832255324763292E-2</v>
      </c>
    </row>
    <row r="12" spans="1:37" x14ac:dyDescent="0.25">
      <c r="A12" s="5">
        <f>'Proximal Validation'!A12</f>
        <v>1.2847663906</v>
      </c>
      <c r="B12" s="5">
        <f>'Proximal Validation'!B12</f>
        <v>0.18</v>
      </c>
      <c r="C12" s="5">
        <f>'Proximal Validation'!C12</f>
        <v>0.78539999999999999</v>
      </c>
      <c r="D12" s="5">
        <f>'Proximal Validation'!D12</f>
        <v>0.98965387010000005</v>
      </c>
      <c r="E12" s="5">
        <f>'Proximal Validation'!E12</f>
        <v>0.04</v>
      </c>
      <c r="F12" s="5">
        <f>'Proximal Validation'!F12</f>
        <v>3.927</v>
      </c>
      <c r="G12" s="5">
        <f>'Proximal Validation'!G12</f>
        <v>3.2068327339999998</v>
      </c>
      <c r="H12" s="5">
        <f>'Proximal Validation'!H12</f>
        <v>3.5469168124000001</v>
      </c>
      <c r="I12" s="5">
        <f>'Proximal Validation'!I12</f>
        <v>1.1514404992</v>
      </c>
      <c r="J12" s="5">
        <f>'Proximal Validation'!J12</f>
        <v>-1.56177338212729E-2</v>
      </c>
      <c r="K12" s="5">
        <f>'Proximal Validation'!K12</f>
        <v>-0.12120571285486201</v>
      </c>
      <c r="L12" s="5">
        <f>'Proximal Validation'!L12</f>
        <v>0.12601706266403204</v>
      </c>
      <c r="M12" s="5">
        <f>'Proximal Validation'!M12</f>
        <v>-0.64654499292373702</v>
      </c>
      <c r="N12" s="5">
        <f>'Proximal Validation'!N12</f>
        <v>-2.8156310319900499E-2</v>
      </c>
      <c r="O12" s="5">
        <f>'Proximal Validation'!O12</f>
        <v>-0.153284221887589</v>
      </c>
      <c r="P12" s="5">
        <v>1.2844423340760445</v>
      </c>
      <c r="Q12" s="5">
        <v>0.18002489878731345</v>
      </c>
      <c r="R12" s="5">
        <v>0.78539878123457763</v>
      </c>
      <c r="S12" s="5">
        <v>0.98936615819878349</v>
      </c>
      <c r="T12" s="5">
        <v>3.9980782923749333E-2</v>
      </c>
      <c r="U12" s="5">
        <v>3.9270112554840275</v>
      </c>
      <c r="V12" s="13">
        <v>2.348019058124136E-12</v>
      </c>
      <c r="W12" s="5">
        <f t="shared" si="0"/>
        <v>-3.240565239555071E-4</v>
      </c>
      <c r="X12" s="5">
        <f t="shared" si="0"/>
        <v>2.4898787313459847E-5</v>
      </c>
      <c r="Y12" s="5">
        <f t="shared" si="2"/>
        <v>1.2187654223616562E-6</v>
      </c>
      <c r="Z12" s="5">
        <f t="shared" si="0"/>
        <v>-2.8771190121656964E-4</v>
      </c>
      <c r="AA12" s="5">
        <f t="shared" si="0"/>
        <v>-1.9217076250667431E-5</v>
      </c>
      <c r="AB12" s="5">
        <f t="shared" si="3"/>
        <v>1.1255484027472562E-5</v>
      </c>
      <c r="AC12" s="8">
        <f t="shared" si="1"/>
        <v>3.0588421258603837E-4</v>
      </c>
      <c r="AD12" s="8">
        <f t="shared" si="1"/>
        <v>2.2057931782063639E-5</v>
      </c>
      <c r="AE12" s="8">
        <f t="shared" si="1"/>
        <v>6.2371247249171091E-6</v>
      </c>
      <c r="AF12" s="12"/>
      <c r="AG12" s="12"/>
      <c r="AH12" s="12"/>
    </row>
    <row r="13" spans="1:37" x14ac:dyDescent="0.25">
      <c r="A13" s="5">
        <f>'Proximal Validation'!A13</f>
        <v>0.82078888689999996</v>
      </c>
      <c r="B13" s="5">
        <f>'Proximal Validation'!B13</f>
        <v>0.18</v>
      </c>
      <c r="C13" s="5">
        <f>'Proximal Validation'!C13</f>
        <v>0</v>
      </c>
      <c r="D13" s="5">
        <f>'Proximal Validation'!D13</f>
        <v>1.3252826163</v>
      </c>
      <c r="E13" s="5">
        <f>'Proximal Validation'!E13</f>
        <v>0.04</v>
      </c>
      <c r="F13" s="5">
        <f>'Proximal Validation'!F13</f>
        <v>0</v>
      </c>
      <c r="G13" s="5">
        <f>'Proximal Validation'!G13</f>
        <v>3.9081993600000003E-2</v>
      </c>
      <c r="H13" s="5">
        <f>'Proximal Validation'!H13</f>
        <v>2.9262884955000001</v>
      </c>
      <c r="I13" s="5">
        <f>'Proximal Validation'!I13</f>
        <v>4.7431789933999999</v>
      </c>
      <c r="J13" s="5">
        <f>'Proximal Validation'!J13</f>
        <v>1.23578244820237E-2</v>
      </c>
      <c r="K13" s="5">
        <f>'Proximal Validation'!K13</f>
        <v>-1.5243557468056657E-2</v>
      </c>
      <c r="L13" s="5">
        <f>'Proximal Validation'!L13</f>
        <v>0.2045297563076019</v>
      </c>
      <c r="M13" s="5">
        <f>'Proximal Validation'!M13</f>
        <v>-0.23820373415946999</v>
      </c>
      <c r="N13" s="5">
        <f>'Proximal Validation'!N13</f>
        <v>2.0633363723754901</v>
      </c>
      <c r="O13" s="5">
        <f>'Proximal Validation'!O13</f>
        <v>8.5576176643371596E-2</v>
      </c>
      <c r="P13" s="5">
        <v>0.82077240338731983</v>
      </c>
      <c r="Q13" s="5">
        <v>0.17996996233737755</v>
      </c>
      <c r="R13" s="5">
        <v>6.2829325215267664</v>
      </c>
      <c r="S13" s="5">
        <v>1.325284299229317</v>
      </c>
      <c r="T13" s="5">
        <v>4.0017479907475291E-2</v>
      </c>
      <c r="U13" s="5">
        <v>5.3068046577688381E-4</v>
      </c>
      <c r="V13" s="13">
        <v>7.1107706765587061E-10</v>
      </c>
      <c r="W13" s="5">
        <f t="shared" si="0"/>
        <v>-1.6483512680132151E-5</v>
      </c>
      <c r="X13" s="5">
        <f t="shared" si="0"/>
        <v>-3.0037662622439676E-5</v>
      </c>
      <c r="Y13" s="5">
        <f t="shared" si="2"/>
        <v>2.5278565281983134E-4</v>
      </c>
      <c r="Z13" s="5">
        <f t="shared" si="0"/>
        <v>1.6829293170150805E-6</v>
      </c>
      <c r="AA13" s="5">
        <f t="shared" si="0"/>
        <v>1.7479907475290157E-5</v>
      </c>
      <c r="AB13" s="5">
        <f t="shared" si="3"/>
        <v>5.3068046577688381E-4</v>
      </c>
      <c r="AC13" s="8">
        <f t="shared" si="1"/>
        <v>9.0832209985736156E-6</v>
      </c>
      <c r="AD13" s="8">
        <f t="shared" si="1"/>
        <v>2.3758785048864917E-5</v>
      </c>
      <c r="AE13" s="8">
        <f t="shared" si="1"/>
        <v>3.9173305929835758E-4</v>
      </c>
    </row>
    <row r="14" spans="1:37" x14ac:dyDescent="0.25">
      <c r="A14" s="5">
        <f>'Proximal Validation'!A14</f>
        <v>0.51355824630000002</v>
      </c>
      <c r="B14" s="5">
        <f>'Proximal Validation'!B14</f>
        <v>0.2</v>
      </c>
      <c r="C14" s="5">
        <f>'Proximal Validation'!C14</f>
        <v>2.3561999999999999</v>
      </c>
      <c r="D14" s="5">
        <f>'Proximal Validation'!D14</f>
        <v>0.96095190770000005</v>
      </c>
      <c r="E14" s="5">
        <f>'Proximal Validation'!E14</f>
        <v>0.06</v>
      </c>
      <c r="F14" s="5">
        <f>'Proximal Validation'!F14</f>
        <v>0</v>
      </c>
      <c r="G14" s="5">
        <f>'Proximal Validation'!G14</f>
        <v>2.4382389278000001</v>
      </c>
      <c r="H14" s="5">
        <f>'Proximal Validation'!H14</f>
        <v>4.2854047354000002</v>
      </c>
      <c r="I14" s="5">
        <f>'Proximal Validation'!I14</f>
        <v>0.33901404839999999</v>
      </c>
      <c r="J14" s="5">
        <f>'Proximal Validation'!J14</f>
        <v>5.3502889350056596E-3</v>
      </c>
      <c r="K14" s="5">
        <f>'Proximal Validation'!K14</f>
        <v>-6.201133310794836E-2</v>
      </c>
      <c r="L14" s="5">
        <f>'Proximal Validation'!L14</f>
        <v>2.4065852165215673E-4</v>
      </c>
      <c r="M14" s="5">
        <f>'Proximal Validation'!M14</f>
        <v>-0.18366065621375999</v>
      </c>
      <c r="N14" s="5">
        <f>'Proximal Validation'!N14</f>
        <v>0.79279768466949496</v>
      </c>
      <c r="O14" s="5">
        <f>'Proximal Validation'!O14</f>
        <v>0.28229478001594499</v>
      </c>
      <c r="P14" s="5">
        <v>0.5156164016109428</v>
      </c>
      <c r="Q14" s="5">
        <v>0.19901799339569115</v>
      </c>
      <c r="R14" s="5">
        <v>2.3578505612870329</v>
      </c>
      <c r="S14" s="5">
        <v>0.96296479445672367</v>
      </c>
      <c r="T14" s="5">
        <v>6.0123500621272648E-2</v>
      </c>
      <c r="U14" s="5">
        <v>1.5461354318660313E-6</v>
      </c>
      <c r="V14" s="13">
        <v>2.011684003669445E-9</v>
      </c>
      <c r="W14" s="5">
        <f t="shared" si="0"/>
        <v>2.0581553109427775E-3</v>
      </c>
      <c r="X14" s="5">
        <f t="shared" si="0"/>
        <v>-9.8200660430886044E-4</v>
      </c>
      <c r="Y14" s="5">
        <f t="shared" si="2"/>
        <v>1.6505612870330033E-3</v>
      </c>
      <c r="Z14" s="5">
        <f t="shared" si="0"/>
        <v>2.0128867567236197E-3</v>
      </c>
      <c r="AA14" s="5">
        <f t="shared" si="0"/>
        <v>1.2350062127264999E-4</v>
      </c>
      <c r="AB14" s="5">
        <f t="shared" si="3"/>
        <v>1.5461354318660313E-6</v>
      </c>
      <c r="AC14" s="8">
        <f t="shared" si="1"/>
        <v>2.0355210338331986E-3</v>
      </c>
      <c r="AD14" s="8">
        <f t="shared" si="1"/>
        <v>5.5275361279075522E-4</v>
      </c>
      <c r="AE14" s="8">
        <f t="shared" si="1"/>
        <v>8.260537112324347E-4</v>
      </c>
    </row>
    <row r="15" spans="1:37" x14ac:dyDescent="0.25">
      <c r="A15" s="5">
        <f>'Proximal Validation'!A15</f>
        <v>0.35944564579999999</v>
      </c>
      <c r="B15" s="5">
        <f>'Proximal Validation'!B15</f>
        <v>0.18</v>
      </c>
      <c r="C15" s="5">
        <f>'Proximal Validation'!C15</f>
        <v>5.4977999999999998</v>
      </c>
      <c r="D15" s="5">
        <f>'Proximal Validation'!D15</f>
        <v>1.2877652723999999</v>
      </c>
      <c r="E15" s="5">
        <f>'Proximal Validation'!E15</f>
        <v>0.04</v>
      </c>
      <c r="F15" s="5">
        <f>'Proximal Validation'!F15</f>
        <v>2.3561999999999999</v>
      </c>
      <c r="G15" s="5">
        <f>'Proximal Validation'!G15</f>
        <v>2.1189458146</v>
      </c>
      <c r="H15" s="5">
        <f>'Proximal Validation'!H15</f>
        <v>2.2606748846000002</v>
      </c>
      <c r="I15" s="5">
        <f>'Proximal Validation'!I15</f>
        <v>0.94750633689999997</v>
      </c>
      <c r="J15" s="5">
        <f>'Proximal Validation'!J15</f>
        <v>-9.5291109755635305E-4</v>
      </c>
      <c r="K15" s="5">
        <f>'Proximal Validation'!K15</f>
        <v>4.1426768898963698E-3</v>
      </c>
      <c r="L15" s="5">
        <f>'Proximal Validation'!L15</f>
        <v>5.4550425708294603E-3</v>
      </c>
      <c r="M15" s="5">
        <f>'Proximal Validation'!M15</f>
        <v>1.4017973095178601E-2</v>
      </c>
      <c r="N15" s="5">
        <f>'Proximal Validation'!N15</f>
        <v>-0.72726076841354403</v>
      </c>
      <c r="O15" s="5">
        <f>'Proximal Validation'!O15</f>
        <v>0.73515439033508301</v>
      </c>
      <c r="P15" s="5">
        <v>0.39708069464771018</v>
      </c>
      <c r="Q15" s="5">
        <v>0.1715233683803187</v>
      </c>
      <c r="R15" s="5">
        <v>5.4978071493292378</v>
      </c>
      <c r="S15" s="5">
        <v>1.3254386949022976</v>
      </c>
      <c r="T15" s="5">
        <v>4.157596672494946E-2</v>
      </c>
      <c r="U15" s="5">
        <v>2.3562077571858935</v>
      </c>
      <c r="V15" s="13">
        <v>3.6233748623925622E-10</v>
      </c>
      <c r="W15" s="5">
        <f t="shared" si="0"/>
        <v>3.7635048847710184E-2</v>
      </c>
      <c r="X15" s="5">
        <f t="shared" si="0"/>
        <v>-8.4766316196812908E-3</v>
      </c>
      <c r="Y15" s="5">
        <f t="shared" si="2"/>
        <v>7.149329237954305E-6</v>
      </c>
      <c r="Z15" s="5">
        <f t="shared" si="0"/>
        <v>3.767342250229766E-2</v>
      </c>
      <c r="AA15" s="5">
        <f t="shared" si="0"/>
        <v>1.5759667249494597E-3</v>
      </c>
      <c r="AB15" s="5">
        <f t="shared" si="3"/>
        <v>7.7571858936309468E-6</v>
      </c>
      <c r="AC15" s="8">
        <f t="shared" si="1"/>
        <v>3.7654235675003922E-2</v>
      </c>
      <c r="AD15" s="8">
        <f t="shared" si="1"/>
        <v>5.0262991723153752E-3</v>
      </c>
      <c r="AE15" s="8">
        <f t="shared" si="1"/>
        <v>7.4532575657926259E-6</v>
      </c>
    </row>
    <row r="16" spans="1:37" x14ac:dyDescent="0.25">
      <c r="A16" s="5">
        <f>'Proximal Validation'!A16</f>
        <v>1.2267525763</v>
      </c>
      <c r="B16" s="5">
        <f>'Proximal Validation'!B16</f>
        <v>0.16</v>
      </c>
      <c r="C16" s="5">
        <f>'Proximal Validation'!C16</f>
        <v>5.4977999999999998</v>
      </c>
      <c r="D16" s="5">
        <f>'Proximal Validation'!D16</f>
        <v>1.4944716747</v>
      </c>
      <c r="E16" s="5">
        <f>'Proximal Validation'!E16</f>
        <v>0.04</v>
      </c>
      <c r="F16" s="5">
        <f>'Proximal Validation'!F16</f>
        <v>3.927</v>
      </c>
      <c r="G16" s="5">
        <f>'Proximal Validation'!G16</f>
        <v>0.31884207939999998</v>
      </c>
      <c r="H16" s="5">
        <f>'Proximal Validation'!H16</f>
        <v>3.8007215218999999</v>
      </c>
      <c r="I16" s="5">
        <f>'Proximal Validation'!I16</f>
        <v>0.48541647729999998</v>
      </c>
      <c r="J16" s="5">
        <f>'Proximal Validation'!J16</f>
        <v>1.0649194940924599E-2</v>
      </c>
      <c r="K16" s="5">
        <f>'Proximal Validation'!K16</f>
        <v>0.16992033243179369</v>
      </c>
      <c r="L16" s="5">
        <f>'Proximal Validation'!L16</f>
        <v>9.9608231484890009E-2</v>
      </c>
      <c r="M16" s="5">
        <f>'Proximal Validation'!M16</f>
        <v>-0.27858194708824202</v>
      </c>
      <c r="N16" s="5">
        <f>'Proximal Validation'!N16</f>
        <v>-0.33142736554145802</v>
      </c>
      <c r="O16" s="5">
        <f>'Proximal Validation'!O16</f>
        <v>-1.73035156726837</v>
      </c>
      <c r="P16" s="5">
        <v>1.2259205447015262</v>
      </c>
      <c r="Q16" s="5">
        <v>0.16008193910491211</v>
      </c>
      <c r="R16" s="5">
        <v>5.497519174045272</v>
      </c>
      <c r="S16" s="5">
        <v>1.4941626579055893</v>
      </c>
      <c r="T16" s="5">
        <v>3.9972546569394821E-2</v>
      </c>
      <c r="U16" s="5">
        <v>3.9276303121974712</v>
      </c>
      <c r="V16" s="13">
        <v>7.8999654280521689E-11</v>
      </c>
      <c r="W16" s="5">
        <f t="shared" si="0"/>
        <v>-8.3203159847378139E-4</v>
      </c>
      <c r="X16" s="5">
        <f t="shared" si="0"/>
        <v>8.1939104912109872E-5</v>
      </c>
      <c r="Y16" s="5">
        <f t="shared" si="2"/>
        <v>2.8082595472778138E-4</v>
      </c>
      <c r="Z16" s="5">
        <f t="shared" si="0"/>
        <v>-3.0901679441064367E-4</v>
      </c>
      <c r="AA16" s="5">
        <f t="shared" si="0"/>
        <v>-2.7453430605180185E-5</v>
      </c>
      <c r="AB16" s="5">
        <f t="shared" si="3"/>
        <v>6.3031219747111678E-4</v>
      </c>
      <c r="AC16" s="8">
        <f t="shared" si="1"/>
        <v>5.7052419644221253E-4</v>
      </c>
      <c r="AD16" s="8">
        <f t="shared" si="1"/>
        <v>5.4696267758645029E-5</v>
      </c>
      <c r="AE16" s="8">
        <f t="shared" si="1"/>
        <v>4.5556907609944908E-4</v>
      </c>
    </row>
    <row r="17" spans="1:31" x14ac:dyDescent="0.25">
      <c r="A17" s="5">
        <f>'Proximal Validation'!A17</f>
        <v>0.64421489080000005</v>
      </c>
      <c r="B17" s="5">
        <f>'Proximal Validation'!B17</f>
        <v>0.14000000000000001</v>
      </c>
      <c r="C17" s="5">
        <f>'Proximal Validation'!C17</f>
        <v>0</v>
      </c>
      <c r="D17" s="5">
        <f>'Proximal Validation'!D17</f>
        <v>0.8523470823</v>
      </c>
      <c r="E17" s="5">
        <f>'Proximal Validation'!E17</f>
        <v>0.02</v>
      </c>
      <c r="F17" s="5">
        <f>'Proximal Validation'!F17</f>
        <v>4.7123999999999997</v>
      </c>
      <c r="G17" s="5">
        <f>'Proximal Validation'!G17</f>
        <v>8.0437148799999997E-2</v>
      </c>
      <c r="H17" s="5">
        <f>'Proximal Validation'!H17</f>
        <v>0.35167971240000001</v>
      </c>
      <c r="I17" s="5">
        <f>'Proximal Validation'!I17</f>
        <v>1.0501461195999999</v>
      </c>
      <c r="J17" s="5">
        <f>'Proximal Validation'!J17</f>
        <v>2.75095622055233E-3</v>
      </c>
      <c r="K17" s="5">
        <f>'Proximal Validation'!K17</f>
        <v>1.119949698448186E-2</v>
      </c>
      <c r="L17" s="5">
        <f>'Proximal Validation'!L17</f>
        <v>9.1276741027832203E-2</v>
      </c>
      <c r="M17" s="5">
        <f>'Proximal Validation'!M17</f>
        <v>-9.1020502150058705E-2</v>
      </c>
      <c r="N17" s="5">
        <f>'Proximal Validation'!N17</f>
        <v>0.58842658996581998</v>
      </c>
      <c r="O17" s="5">
        <f>'Proximal Validation'!O17</f>
        <v>-0.91785299777984597</v>
      </c>
      <c r="P17" s="5">
        <v>0.64213030258496984</v>
      </c>
      <c r="Q17" s="5">
        <v>0.14039560016447011</v>
      </c>
      <c r="R17" s="5">
        <v>6.2830832126066616</v>
      </c>
      <c r="S17" s="5">
        <v>0.85195033922458052</v>
      </c>
      <c r="T17" s="5">
        <v>2.0055270206718146E-2</v>
      </c>
      <c r="U17" s="5">
        <v>4.7148893288412541</v>
      </c>
      <c r="V17" s="13">
        <v>2.2680410805522781E-9</v>
      </c>
      <c r="W17" s="5">
        <f t="shared" si="0"/>
        <v>-2.0845882150302142E-3</v>
      </c>
      <c r="X17" s="5">
        <f t="shared" si="0"/>
        <v>3.9560016447010016E-4</v>
      </c>
      <c r="Y17" s="5">
        <f t="shared" si="2"/>
        <v>1.0209457292464919E-4</v>
      </c>
      <c r="Z17" s="5">
        <f t="shared" si="0"/>
        <v>-3.9674307541948117E-4</v>
      </c>
      <c r="AA17" s="5">
        <f t="shared" si="0"/>
        <v>5.5270206718145698E-5</v>
      </c>
      <c r="AB17" s="5">
        <f t="shared" si="3"/>
        <v>2.4893288412544123E-3</v>
      </c>
      <c r="AC17" s="8">
        <f t="shared" si="1"/>
        <v>1.2406656452248477E-3</v>
      </c>
      <c r="AD17" s="8">
        <f t="shared" si="1"/>
        <v>2.2543518559412293E-4</v>
      </c>
      <c r="AE17" s="8">
        <f t="shared" si="1"/>
        <v>1.2957117070895308E-3</v>
      </c>
    </row>
    <row r="18" spans="1:31" x14ac:dyDescent="0.25">
      <c r="A18" s="5">
        <f>'Proximal Validation'!A18</f>
        <v>1.1302547975999999</v>
      </c>
      <c r="B18" s="5">
        <f>'Proximal Validation'!B18</f>
        <v>0.16</v>
      </c>
      <c r="C18" s="5">
        <f>'Proximal Validation'!C18</f>
        <v>4.7123999999999997</v>
      </c>
      <c r="D18" s="5">
        <f>'Proximal Validation'!D18</f>
        <v>1.3446433494000001</v>
      </c>
      <c r="E18" s="5">
        <f>'Proximal Validation'!E18</f>
        <v>0.04</v>
      </c>
      <c r="F18" s="5">
        <f>'Proximal Validation'!F18</f>
        <v>0</v>
      </c>
      <c r="G18" s="5">
        <f>'Proximal Validation'!G18</f>
        <v>1.0644222964000001</v>
      </c>
      <c r="H18" s="5">
        <f>'Proximal Validation'!H18</f>
        <v>1.4761094460999999</v>
      </c>
      <c r="I18" s="5">
        <f>'Proximal Validation'!I18</f>
        <v>3.5278441351000001</v>
      </c>
      <c r="J18" s="5">
        <f>'Proximal Validation'!J18</f>
        <v>7.3962844908237498E-5</v>
      </c>
      <c r="K18" s="5">
        <f>'Proximal Validation'!K18</f>
        <v>0.17089873731136307</v>
      </c>
      <c r="L18" s="5">
        <f>'Proximal Validation'!L18</f>
        <v>6.3021872043609928E-2</v>
      </c>
      <c r="M18" s="5">
        <f>'Proximal Validation'!M18</f>
        <v>-0.50616961717605602</v>
      </c>
      <c r="N18" s="5">
        <f>'Proximal Validation'!N18</f>
        <v>1.39708912372589</v>
      </c>
      <c r="O18" s="5">
        <f>'Proximal Validation'!O18</f>
        <v>-0.796242535114288</v>
      </c>
      <c r="P18" s="5">
        <v>1.1306242099961463</v>
      </c>
      <c r="Q18" s="5">
        <v>0.15995757209275263</v>
      </c>
      <c r="R18" s="5">
        <v>4.7123106574288176</v>
      </c>
      <c r="S18" s="5">
        <v>1.3447306497748419</v>
      </c>
      <c r="T18" s="5">
        <v>4.0008969070556615E-2</v>
      </c>
      <c r="U18" s="5">
        <v>3.2078062416078838E-4</v>
      </c>
      <c r="V18" s="13">
        <v>5.1975019104864783E-13</v>
      </c>
      <c r="W18" s="5">
        <f t="shared" si="0"/>
        <v>3.6941239614640686E-4</v>
      </c>
      <c r="X18" s="5">
        <f t="shared" si="0"/>
        <v>-4.242790724737211E-5</v>
      </c>
      <c r="Y18" s="5">
        <f t="shared" si="2"/>
        <v>8.9342571182093877E-5</v>
      </c>
      <c r="Z18" s="5">
        <f t="shared" si="0"/>
        <v>8.7300374841836614E-5</v>
      </c>
      <c r="AA18" s="5">
        <f t="shared" si="0"/>
        <v>8.9690705566136675E-6</v>
      </c>
      <c r="AB18" s="5">
        <f t="shared" si="3"/>
        <v>3.2078062416078838E-4</v>
      </c>
      <c r="AC18" s="8">
        <f t="shared" si="1"/>
        <v>2.2835638549412174E-4</v>
      </c>
      <c r="AD18" s="8">
        <f t="shared" si="1"/>
        <v>2.5698488901992889E-5</v>
      </c>
      <c r="AE18" s="8">
        <f t="shared" si="1"/>
        <v>2.0506159767144113E-4</v>
      </c>
    </row>
    <row r="19" spans="1:31" x14ac:dyDescent="0.25">
      <c r="A19" s="5">
        <f>'Proximal Validation'!A19</f>
        <v>0.44052297210000002</v>
      </c>
      <c r="B19" s="5">
        <f>'Proximal Validation'!B19</f>
        <v>0.14000000000000001</v>
      </c>
      <c r="C19" s="5">
        <f>'Proximal Validation'!C19</f>
        <v>0.78539999999999999</v>
      </c>
      <c r="D19" s="5">
        <f>'Proximal Validation'!D19</f>
        <v>1.0539703866000001</v>
      </c>
      <c r="E19" s="5">
        <f>'Proximal Validation'!E19</f>
        <v>0.02</v>
      </c>
      <c r="F19" s="5">
        <f>'Proximal Validation'!F19</f>
        <v>3.1415999999999999</v>
      </c>
      <c r="G19" s="5">
        <f>'Proximal Validation'!G19</f>
        <v>2.7027230284999999</v>
      </c>
      <c r="H19" s="5">
        <f>'Proximal Validation'!H19</f>
        <v>1.6080541686000001</v>
      </c>
      <c r="I19" s="5">
        <f>'Proximal Validation'!I19</f>
        <v>1.7094513416999999</v>
      </c>
      <c r="J19" s="5">
        <f>'Proximal Validation'!J19</f>
        <v>2.9437544289976402E-3</v>
      </c>
      <c r="K19" s="5">
        <f>'Proximal Validation'!K19</f>
        <v>-5.4780912101268772E-2</v>
      </c>
      <c r="L19" s="5">
        <f>'Proximal Validation'!L19</f>
        <v>2.008378580212599E-2</v>
      </c>
      <c r="M19" s="5">
        <f>'Proximal Validation'!M19</f>
        <v>-2.3114085197448699E-2</v>
      </c>
      <c r="N19" s="5">
        <f>'Proximal Validation'!N19</f>
        <v>-0.82051932811737105</v>
      </c>
      <c r="O19" s="5">
        <f>'Proximal Validation'!O19</f>
        <v>0.34984213113784801</v>
      </c>
      <c r="P19" s="5">
        <v>0.69832643484023149</v>
      </c>
      <c r="Q19" s="5">
        <v>0.1094413387434158</v>
      </c>
      <c r="R19" s="5">
        <v>0.66472100990653049</v>
      </c>
      <c r="S19" s="5">
        <v>1.2983956064627771</v>
      </c>
      <c r="T19" s="5">
        <v>2.8973385796422356E-2</v>
      </c>
      <c r="U19" s="5">
        <v>3.2343620442777476</v>
      </c>
      <c r="V19" s="13">
        <v>1.6228395955930969E-8</v>
      </c>
      <c r="W19" s="5">
        <f t="shared" ref="W19:X34" si="4">P19-A19</f>
        <v>0.25780346274023147</v>
      </c>
      <c r="X19" s="5">
        <f t="shared" si="4"/>
        <v>-3.0558661256584213E-2</v>
      </c>
      <c r="Y19" s="5">
        <f t="shared" si="2"/>
        <v>0.1206789900934695</v>
      </c>
      <c r="Z19" s="5">
        <f t="shared" ref="Z19:AA34" si="5">S19-D19</f>
        <v>0.24442521986277699</v>
      </c>
      <c r="AA19" s="5">
        <f t="shared" si="5"/>
        <v>8.9733857964223555E-3</v>
      </c>
      <c r="AB19" s="5">
        <f t="shared" si="3"/>
        <v>9.2762044277747702E-2</v>
      </c>
      <c r="AC19" s="8">
        <f t="shared" ref="AC19:AE34" si="6">AVERAGE(ABS(W19),ABS(Z19))</f>
        <v>0.25111434130150423</v>
      </c>
      <c r="AD19" s="8">
        <f t="shared" si="6"/>
        <v>1.9766023526503286E-2</v>
      </c>
      <c r="AE19" s="8">
        <f t="shared" si="6"/>
        <v>0.1067205171856086</v>
      </c>
    </row>
    <row r="20" spans="1:31" x14ac:dyDescent="0.25">
      <c r="A20" s="5">
        <f>'Proximal Validation'!A20</f>
        <v>1.4424756030000001</v>
      </c>
      <c r="B20" s="5">
        <f>'Proximal Validation'!B20</f>
        <v>0.16</v>
      </c>
      <c r="C20" s="5">
        <f>'Proximal Validation'!C20</f>
        <v>0.78539999999999999</v>
      </c>
      <c r="D20" s="5">
        <f>'Proximal Validation'!D20</f>
        <v>1.1597422298</v>
      </c>
      <c r="E20" s="5">
        <f>'Proximal Validation'!E20</f>
        <v>0.04</v>
      </c>
      <c r="F20" s="5">
        <f>'Proximal Validation'!F20</f>
        <v>2.3561999999999999</v>
      </c>
      <c r="G20" s="5">
        <f>'Proximal Validation'!G20</f>
        <v>4.8092587324</v>
      </c>
      <c r="H20" s="5">
        <f>'Proximal Validation'!H20</f>
        <v>0.4784433911</v>
      </c>
      <c r="I20" s="5">
        <f>'Proximal Validation'!I20</f>
        <v>4.3446054411999997</v>
      </c>
      <c r="J20" s="5">
        <f>'Proximal Validation'!J20</f>
        <v>1.31220342591405E-2</v>
      </c>
      <c r="K20" s="5">
        <f>'Proximal Validation'!K20</f>
        <v>-0.20049199104309079</v>
      </c>
      <c r="L20" s="5">
        <f>'Proximal Validation'!L20</f>
        <v>0.11521145343780499</v>
      </c>
      <c r="M20" s="5">
        <f>'Proximal Validation'!M20</f>
        <v>-0.53803932666778598</v>
      </c>
      <c r="N20" s="5">
        <f>'Proximal Validation'!N20</f>
        <v>-0.11040961742401099</v>
      </c>
      <c r="O20" s="5">
        <f>'Proximal Validation'!O20</f>
        <v>1.7156174182891799</v>
      </c>
      <c r="P20" s="5">
        <v>1.4412877409190408</v>
      </c>
      <c r="Q20" s="5">
        <v>0.16008277703554896</v>
      </c>
      <c r="R20" s="5">
        <v>0.78489046072696711</v>
      </c>
      <c r="S20" s="5">
        <v>1.1603652592480391</v>
      </c>
      <c r="T20" s="5">
        <v>4.0075885351156276E-2</v>
      </c>
      <c r="U20" s="5">
        <v>2.3550142630142434</v>
      </c>
      <c r="V20" s="13">
        <v>6.4572954797898824E-10</v>
      </c>
      <c r="W20" s="5">
        <f t="shared" si="4"/>
        <v>-1.1878620809593343E-3</v>
      </c>
      <c r="X20" s="5">
        <f t="shared" si="4"/>
        <v>8.2777035548958766E-5</v>
      </c>
      <c r="Y20" s="5">
        <f t="shared" si="2"/>
        <v>5.0953927303287738E-4</v>
      </c>
      <c r="Z20" s="5">
        <f t="shared" si="5"/>
        <v>6.230294480391585E-4</v>
      </c>
      <c r="AA20" s="5">
        <f t="shared" si="5"/>
        <v>7.5885351156275427E-5</v>
      </c>
      <c r="AB20" s="5">
        <f t="shared" si="3"/>
        <v>1.1857369857564137E-3</v>
      </c>
      <c r="AC20" s="8">
        <f t="shared" si="6"/>
        <v>9.0544576449924641E-4</v>
      </c>
      <c r="AD20" s="8">
        <f t="shared" si="6"/>
        <v>7.9331193352617096E-5</v>
      </c>
      <c r="AE20" s="8">
        <f t="shared" si="6"/>
        <v>8.4763812939464556E-4</v>
      </c>
    </row>
    <row r="21" spans="1:31" x14ac:dyDescent="0.25">
      <c r="A21" s="5">
        <f>'Proximal Validation'!A21</f>
        <v>1.3085202701</v>
      </c>
      <c r="B21" s="5">
        <f>'Proximal Validation'!B21</f>
        <v>0.14000000000000001</v>
      </c>
      <c r="C21" s="5">
        <f>'Proximal Validation'!C21</f>
        <v>3.927</v>
      </c>
      <c r="D21" s="5">
        <f>'Proximal Validation'!D21</f>
        <v>1.4295469448</v>
      </c>
      <c r="E21" s="5">
        <f>'Proximal Validation'!E21</f>
        <v>0.02</v>
      </c>
      <c r="F21" s="5">
        <f>'Proximal Validation'!F21</f>
        <v>0</v>
      </c>
      <c r="G21" s="5">
        <f>'Proximal Validation'!G21</f>
        <v>4.5210753759999998</v>
      </c>
      <c r="H21" s="5">
        <f>'Proximal Validation'!H21</f>
        <v>3.0172330613999998</v>
      </c>
      <c r="I21" s="5">
        <f>'Proximal Validation'!I21</f>
        <v>0.83361274470000002</v>
      </c>
      <c r="J21" s="5">
        <f>'Proximal Validation'!J21</f>
        <v>-5.1512643694877598E-3</v>
      </c>
      <c r="K21" s="5">
        <f>'Proximal Validation'!K21</f>
        <v>0.13977229416370424</v>
      </c>
      <c r="L21" s="5">
        <f>'Proximal Validation'!L21</f>
        <v>-9.0497039407491653E-2</v>
      </c>
      <c r="M21" s="5">
        <f>'Proximal Validation'!M21</f>
        <v>-0.203321859240532</v>
      </c>
      <c r="N21" s="5">
        <f>'Proximal Validation'!N21</f>
        <v>0.647000432014465</v>
      </c>
      <c r="O21" s="5">
        <f>'Proximal Validation'!O21</f>
        <v>-0.89956176280975297</v>
      </c>
      <c r="P21" s="5">
        <v>1.3095835898971324</v>
      </c>
      <c r="Q21" s="5">
        <v>0.13995439971371876</v>
      </c>
      <c r="R21" s="5">
        <v>3.9265628254643046</v>
      </c>
      <c r="S21" s="5">
        <v>1.4306954576179001</v>
      </c>
      <c r="T21" s="5">
        <v>2.0072227076739689E-2</v>
      </c>
      <c r="U21" s="5">
        <v>2.4358387994673192E-4</v>
      </c>
      <c r="V21" s="13">
        <v>4.7345900416670661E-12</v>
      </c>
      <c r="W21" s="5">
        <f t="shared" si="4"/>
        <v>1.0633197971323671E-3</v>
      </c>
      <c r="X21" s="5">
        <f t="shared" si="4"/>
        <v>-4.5600286281255453E-5</v>
      </c>
      <c r="Y21" s="5">
        <f t="shared" si="2"/>
        <v>4.371745356954726E-4</v>
      </c>
      <c r="Z21" s="5">
        <f t="shared" si="5"/>
        <v>1.1485128179000714E-3</v>
      </c>
      <c r="AA21" s="5">
        <f t="shared" si="5"/>
        <v>7.2227076739688617E-5</v>
      </c>
      <c r="AB21" s="5">
        <f t="shared" si="3"/>
        <v>2.4358387994673192E-4</v>
      </c>
      <c r="AC21" s="8">
        <f t="shared" si="6"/>
        <v>1.1059163075162193E-3</v>
      </c>
      <c r="AD21" s="8">
        <f t="shared" si="6"/>
        <v>5.8913681510472035E-5</v>
      </c>
      <c r="AE21" s="8">
        <f t="shared" si="6"/>
        <v>3.4037920782110226E-4</v>
      </c>
    </row>
    <row r="22" spans="1:31" x14ac:dyDescent="0.25">
      <c r="A22" s="5">
        <f>'Proximal Validation'!A22</f>
        <v>1.0278031490999999</v>
      </c>
      <c r="B22" s="5">
        <f>'Proximal Validation'!B22</f>
        <v>0.14000000000000001</v>
      </c>
      <c r="C22" s="5">
        <f>'Proximal Validation'!C22</f>
        <v>0</v>
      </c>
      <c r="D22" s="5">
        <f>'Proximal Validation'!D22</f>
        <v>0.3286386073</v>
      </c>
      <c r="E22" s="5">
        <f>'Proximal Validation'!E22</f>
        <v>0.04</v>
      </c>
      <c r="F22" s="5">
        <f>'Proximal Validation'!F22</f>
        <v>2.3561999999999999</v>
      </c>
      <c r="G22" s="5">
        <f>'Proximal Validation'!G22</f>
        <v>2.4776605121999999</v>
      </c>
      <c r="H22" s="5">
        <f>'Proximal Validation'!H22</f>
        <v>0.70416387319999996</v>
      </c>
      <c r="I22" s="5">
        <f>'Proximal Validation'!I22</f>
        <v>1.306033752</v>
      </c>
      <c r="J22" s="5">
        <f>'Proximal Validation'!J22</f>
        <v>-9.1127436608076096E-3</v>
      </c>
      <c r="K22" s="5">
        <f>'Proximal Validation'!K22</f>
        <v>-1.3350144028663712E-3</v>
      </c>
      <c r="L22" s="5">
        <f>'Proximal Validation'!L22</f>
        <v>0.14257132291793856</v>
      </c>
      <c r="M22" s="5">
        <f>'Proximal Validation'!M22</f>
        <v>-0.40405035018920898</v>
      </c>
      <c r="N22" s="5">
        <f>'Proximal Validation'!N22</f>
        <v>0.56010144948959395</v>
      </c>
      <c r="O22" s="5">
        <f>'Proximal Validation'!O22</f>
        <v>0.224302783608437</v>
      </c>
      <c r="P22" s="5">
        <v>1.1813430423372013</v>
      </c>
      <c r="Q22" s="5">
        <v>0.13234966730289588</v>
      </c>
      <c r="R22" s="5">
        <v>6.2429170465722503</v>
      </c>
      <c r="S22" s="5">
        <v>0.47694628865327615</v>
      </c>
      <c r="T22" s="5">
        <v>5.5242822672968095E-2</v>
      </c>
      <c r="U22" s="5">
        <v>2.5157245402765258</v>
      </c>
      <c r="V22" s="13">
        <v>2.9781935311904455E-9</v>
      </c>
      <c r="W22" s="5">
        <f t="shared" si="4"/>
        <v>0.15353989323720141</v>
      </c>
      <c r="X22" s="5">
        <f t="shared" si="4"/>
        <v>-7.6503326971041341E-3</v>
      </c>
      <c r="Y22" s="5">
        <f t="shared" si="2"/>
        <v>4.0268260607335904E-2</v>
      </c>
      <c r="Z22" s="5">
        <f t="shared" si="5"/>
        <v>0.14830768135327616</v>
      </c>
      <c r="AA22" s="5">
        <f t="shared" si="5"/>
        <v>1.5242822672968094E-2</v>
      </c>
      <c r="AB22" s="5">
        <f t="shared" si="3"/>
        <v>0.15952454027652596</v>
      </c>
      <c r="AC22" s="8">
        <f t="shared" si="6"/>
        <v>0.15092378729523878</v>
      </c>
      <c r="AD22" s="8">
        <f t="shared" si="6"/>
        <v>1.1446577685036114E-2</v>
      </c>
      <c r="AE22" s="8">
        <f t="shared" si="6"/>
        <v>9.9896400441930933E-2</v>
      </c>
    </row>
    <row r="23" spans="1:31" x14ac:dyDescent="0.25">
      <c r="A23" s="5">
        <f>'Proximal Validation'!A23</f>
        <v>0.8908774062</v>
      </c>
      <c r="B23" s="5">
        <f>'Proximal Validation'!B23</f>
        <v>0.18</v>
      </c>
      <c r="C23" s="5">
        <f>'Proximal Validation'!C23</f>
        <v>3.1415999999999999</v>
      </c>
      <c r="D23" s="5">
        <f>'Proximal Validation'!D23</f>
        <v>0.88440675189999995</v>
      </c>
      <c r="E23" s="5">
        <f>'Proximal Validation'!E23</f>
        <v>0.08</v>
      </c>
      <c r="F23" s="5">
        <f>'Proximal Validation'!F23</f>
        <v>3.927</v>
      </c>
      <c r="G23" s="5">
        <f>'Proximal Validation'!G23</f>
        <v>0.48462861940000002</v>
      </c>
      <c r="H23" s="5">
        <f>'Proximal Validation'!H23</f>
        <v>1.6897568487000001</v>
      </c>
      <c r="I23" s="5">
        <f>'Proximal Validation'!I23</f>
        <v>3.1701200912999998</v>
      </c>
      <c r="J23" s="5">
        <f>'Proximal Validation'!J23</f>
        <v>-1.0968123562634E-2</v>
      </c>
      <c r="K23" s="5">
        <f>'Proximal Validation'!K23</f>
        <v>4.6224179565906513E-2</v>
      </c>
      <c r="L23" s="5">
        <f>'Proximal Validation'!L23</f>
        <v>-0.21030587911605858</v>
      </c>
      <c r="M23" s="5">
        <f>'Proximal Validation'!M23</f>
        <v>-0.31008237600326499</v>
      </c>
      <c r="N23" s="5">
        <f>'Proximal Validation'!N23</f>
        <v>-1.3964996337890601</v>
      </c>
      <c r="O23" s="5">
        <f>'Proximal Validation'!O23</f>
        <v>-0.54938417673110995</v>
      </c>
      <c r="P23" s="5">
        <v>0.92963421154383397</v>
      </c>
      <c r="Q23" s="5">
        <v>0.17539623851498501</v>
      </c>
      <c r="R23" s="5">
        <v>3.1416843571353956</v>
      </c>
      <c r="S23" s="5">
        <v>0.85771559194559577</v>
      </c>
      <c r="T23" s="5">
        <v>7.9990588285266867E-2</v>
      </c>
      <c r="U23" s="5">
        <v>3.959107716868802</v>
      </c>
      <c r="V23" s="13">
        <v>3.7600002022651864E-9</v>
      </c>
      <c r="W23" s="5">
        <f t="shared" si="4"/>
        <v>3.8756805343833967E-2</v>
      </c>
      <c r="X23" s="5">
        <f t="shared" si="4"/>
        <v>-4.6037614850149844E-3</v>
      </c>
      <c r="Y23" s="5">
        <f t="shared" si="2"/>
        <v>8.4357135395674021E-5</v>
      </c>
      <c r="Z23" s="5">
        <f t="shared" si="5"/>
        <v>-2.6691159954404187E-2</v>
      </c>
      <c r="AA23" s="5">
        <f t="shared" si="5"/>
        <v>-9.411714733134624E-6</v>
      </c>
      <c r="AB23" s="5">
        <f t="shared" si="3"/>
        <v>3.2107716868801983E-2</v>
      </c>
      <c r="AC23" s="8">
        <f t="shared" si="6"/>
        <v>3.2723982649119077E-2</v>
      </c>
      <c r="AD23" s="8">
        <f t="shared" si="6"/>
        <v>2.3065865998740595E-3</v>
      </c>
      <c r="AE23" s="8">
        <f t="shared" si="6"/>
        <v>1.6096037002098829E-2</v>
      </c>
    </row>
    <row r="24" spans="1:31" x14ac:dyDescent="0.25">
      <c r="A24" s="5">
        <f>'Proximal Validation'!A24</f>
        <v>1.2597568109999999</v>
      </c>
      <c r="B24" s="5">
        <f>'Proximal Validation'!B24</f>
        <v>0.16</v>
      </c>
      <c r="C24" s="5">
        <f>'Proximal Validation'!C24</f>
        <v>0</v>
      </c>
      <c r="D24" s="5">
        <f>'Proximal Validation'!D24</f>
        <v>0.58841219170000003</v>
      </c>
      <c r="E24" s="5">
        <f>'Proximal Validation'!E24</f>
        <v>0.06</v>
      </c>
      <c r="F24" s="5">
        <f>'Proximal Validation'!F24</f>
        <v>5.4977999999999998</v>
      </c>
      <c r="G24" s="5">
        <f>'Proximal Validation'!G24</f>
        <v>3.9855186287</v>
      </c>
      <c r="H24" s="5">
        <f>'Proximal Validation'!H24</f>
        <v>1.0426876676000001</v>
      </c>
      <c r="I24" s="5">
        <f>'Proximal Validation'!I24</f>
        <v>0.31561411</v>
      </c>
      <c r="J24" s="5">
        <f>'Proximal Validation'!J24</f>
        <v>-1.31122805178165E-2</v>
      </c>
      <c r="K24" s="5">
        <f>'Proximal Validation'!K24</f>
        <v>3.2584191262721982E-2</v>
      </c>
      <c r="L24" s="5">
        <f>'Proximal Validation'!L24</f>
        <v>0.23728636741638198</v>
      </c>
      <c r="M24" s="5">
        <f>'Proximal Validation'!M24</f>
        <v>-0.49038222432136502</v>
      </c>
      <c r="N24" s="5">
        <f>'Proximal Validation'!N24</f>
        <v>1.3875218629837001</v>
      </c>
      <c r="O24" s="5">
        <f>'Proximal Validation'!O24</f>
        <v>-0.45694583654403698</v>
      </c>
      <c r="P24" s="5">
        <v>1.2546405442993771</v>
      </c>
      <c r="Q24" s="5">
        <v>0.16024501604819755</v>
      </c>
      <c r="R24" s="5">
        <v>1.6191965427036002E-3</v>
      </c>
      <c r="S24" s="5">
        <v>0.59329286063376774</v>
      </c>
      <c r="T24" s="5">
        <v>6.0574991469941372E-2</v>
      </c>
      <c r="U24" s="5">
        <v>5.501178282558004</v>
      </c>
      <c r="V24" s="13">
        <v>6.7678765271347891E-10</v>
      </c>
      <c r="W24" s="5">
        <f t="shared" si="4"/>
        <v>-5.116266700622818E-3</v>
      </c>
      <c r="X24" s="5">
        <f t="shared" si="4"/>
        <v>2.4501604819754386E-4</v>
      </c>
      <c r="Y24" s="5">
        <f t="shared" si="2"/>
        <v>1.6191965427036002E-3</v>
      </c>
      <c r="Z24" s="5">
        <f t="shared" si="5"/>
        <v>4.8806689337677067E-3</v>
      </c>
      <c r="AA24" s="5">
        <f t="shared" si="5"/>
        <v>5.749914699413744E-4</v>
      </c>
      <c r="AB24" s="5">
        <f t="shared" si="3"/>
        <v>3.3782825580042086E-3</v>
      </c>
      <c r="AC24" s="8">
        <f t="shared" si="6"/>
        <v>4.9984678171952623E-3</v>
      </c>
      <c r="AD24" s="8">
        <f t="shared" si="6"/>
        <v>4.1000375906945913E-4</v>
      </c>
      <c r="AE24" s="8">
        <f t="shared" si="6"/>
        <v>2.4987395503539046E-3</v>
      </c>
    </row>
    <row r="25" spans="1:31" x14ac:dyDescent="0.25">
      <c r="A25" s="5">
        <f>'Proximal Validation'!A25</f>
        <v>0.65858340790000003</v>
      </c>
      <c r="B25" s="5">
        <f>'Proximal Validation'!B25</f>
        <v>0.18</v>
      </c>
      <c r="C25" s="5">
        <f>'Proximal Validation'!C25</f>
        <v>0</v>
      </c>
      <c r="D25" s="5">
        <f>'Proximal Validation'!D25</f>
        <v>0.498698221</v>
      </c>
      <c r="E25" s="5">
        <f>'Proximal Validation'!E25</f>
        <v>0.08</v>
      </c>
      <c r="F25" s="5">
        <f>'Proximal Validation'!F25</f>
        <v>0.78539999999999999</v>
      </c>
      <c r="G25" s="5">
        <f>'Proximal Validation'!G25</f>
        <v>4.9301628920000002</v>
      </c>
      <c r="H25" s="5">
        <f>'Proximal Validation'!H25</f>
        <v>1.8520278541999999</v>
      </c>
      <c r="I25" s="5">
        <f>'Proximal Validation'!I25</f>
        <v>4.6646910371999999</v>
      </c>
      <c r="J25" s="5">
        <f>'Proximal Validation'!J25</f>
        <v>5.6948820129036903E-3</v>
      </c>
      <c r="K25" s="5">
        <f>'Proximal Validation'!K25</f>
        <v>-3.9132168591022504E-2</v>
      </c>
      <c r="L25" s="5">
        <f>'Proximal Validation'!L25</f>
        <v>0.13971699118614192</v>
      </c>
      <c r="M25" s="5">
        <f>'Proximal Validation'!M25</f>
        <v>-0.225714981555939</v>
      </c>
      <c r="N25" s="5">
        <f>'Proximal Validation'!N25</f>
        <v>0.81510567665100098</v>
      </c>
      <c r="O25" s="5">
        <f>'Proximal Validation'!O25</f>
        <v>0.40455636382103</v>
      </c>
      <c r="P25" s="5">
        <v>0.62903711282540087</v>
      </c>
      <c r="Q25" s="5">
        <v>0.18273968183071082</v>
      </c>
      <c r="R25" s="5">
        <v>6.2613839996869061</v>
      </c>
      <c r="S25" s="5">
        <v>0.52883812319548407</v>
      </c>
      <c r="T25" s="5">
        <v>8.3790203221253162E-2</v>
      </c>
      <c r="U25" s="5">
        <v>0.76447529876084219</v>
      </c>
      <c r="V25" s="13">
        <v>1.5872994475917351E-13</v>
      </c>
      <c r="W25" s="5">
        <f t="shared" si="4"/>
        <v>-2.954629507459916E-2</v>
      </c>
      <c r="X25" s="5">
        <f t="shared" si="4"/>
        <v>2.7396818307108273E-3</v>
      </c>
      <c r="Y25" s="5">
        <f t="shared" si="2"/>
        <v>2.1801307492680166E-2</v>
      </c>
      <c r="Z25" s="5">
        <f t="shared" si="5"/>
        <v>3.013990219548407E-2</v>
      </c>
      <c r="AA25" s="5">
        <f t="shared" si="5"/>
        <v>3.7902032212531606E-3</v>
      </c>
      <c r="AB25" s="5">
        <f t="shared" si="3"/>
        <v>2.0924701239157795E-2</v>
      </c>
      <c r="AC25" s="8">
        <f t="shared" si="6"/>
        <v>2.9843098635041615E-2</v>
      </c>
      <c r="AD25" s="8">
        <f t="shared" si="6"/>
        <v>3.2649425259819939E-3</v>
      </c>
      <c r="AE25" s="8">
        <f t="shared" si="6"/>
        <v>2.1363004365918981E-2</v>
      </c>
    </row>
    <row r="26" spans="1:31" x14ac:dyDescent="0.25">
      <c r="A26" s="5">
        <f>'Proximal Validation'!A26</f>
        <v>0.55032038400000005</v>
      </c>
      <c r="B26" s="5">
        <f>'Proximal Validation'!B26</f>
        <v>0.16</v>
      </c>
      <c r="C26" s="5">
        <f>'Proximal Validation'!C26</f>
        <v>3.1415999999999999</v>
      </c>
      <c r="D26" s="5">
        <f>'Proximal Validation'!D26</f>
        <v>1.4487418581</v>
      </c>
      <c r="E26" s="5">
        <f>'Proximal Validation'!E26</f>
        <v>0.08</v>
      </c>
      <c r="F26" s="5">
        <f>'Proximal Validation'!F26</f>
        <v>2.3561999999999999</v>
      </c>
      <c r="G26" s="5">
        <f>'Proximal Validation'!G26</f>
        <v>4.7175867132000002</v>
      </c>
      <c r="H26" s="5">
        <f>'Proximal Validation'!H26</f>
        <v>1.3012665307</v>
      </c>
      <c r="I26" s="5">
        <f>'Proximal Validation'!I26</f>
        <v>3.3668845907999998</v>
      </c>
      <c r="J26" s="5">
        <f>'Proximal Validation'!J26</f>
        <v>-3.3003846183419202E-3</v>
      </c>
      <c r="K26" s="5">
        <f>'Proximal Validation'!K26</f>
        <v>-9.0392925143242306E-2</v>
      </c>
      <c r="L26" s="5">
        <f>'Proximal Validation'!L26</f>
        <v>-0.1809552919864662</v>
      </c>
      <c r="M26" s="5">
        <f>'Proximal Validation'!M26</f>
        <v>-9.5655664801597595E-2</v>
      </c>
      <c r="N26" s="5">
        <f>'Proximal Validation'!N26</f>
        <v>-1.52476859092712</v>
      </c>
      <c r="O26" s="5">
        <f>'Proximal Validation'!O26</f>
        <v>1.0964374542236299</v>
      </c>
      <c r="P26" s="5">
        <v>0.6869126172274902</v>
      </c>
      <c r="Q26" s="5">
        <v>0.14005067398013404</v>
      </c>
      <c r="R26" s="5">
        <v>3.21927700314549</v>
      </c>
      <c r="S26" s="5">
        <v>1.3977290903464656</v>
      </c>
      <c r="T26" s="5">
        <v>8.2988853869528825E-2</v>
      </c>
      <c r="U26" s="5">
        <v>2.2607766413191035</v>
      </c>
      <c r="V26" s="13">
        <v>9.1796972131301799E-9</v>
      </c>
      <c r="W26" s="5">
        <f t="shared" si="4"/>
        <v>0.13659223322749015</v>
      </c>
      <c r="X26" s="5">
        <f t="shared" si="4"/>
        <v>-1.9949326019865959E-2</v>
      </c>
      <c r="Y26" s="5">
        <f t="shared" si="2"/>
        <v>7.7677003145490087E-2</v>
      </c>
      <c r="Z26" s="5">
        <f t="shared" si="5"/>
        <v>-5.101276775353436E-2</v>
      </c>
      <c r="AA26" s="5">
        <f t="shared" si="5"/>
        <v>2.9888538695288236E-3</v>
      </c>
      <c r="AB26" s="5">
        <f t="shared" si="3"/>
        <v>9.5423358680896353E-2</v>
      </c>
      <c r="AC26" s="8">
        <f t="shared" si="6"/>
        <v>9.3802500490512253E-2</v>
      </c>
      <c r="AD26" s="8">
        <f t="shared" si="6"/>
        <v>1.1469089944697392E-2</v>
      </c>
      <c r="AE26" s="8">
        <f t="shared" si="6"/>
        <v>8.655018091319322E-2</v>
      </c>
    </row>
    <row r="27" spans="1:31" x14ac:dyDescent="0.25">
      <c r="A27" s="5">
        <f>'Proximal Validation'!A27</f>
        <v>1.2531062278</v>
      </c>
      <c r="B27" s="5">
        <f>'Proximal Validation'!B27</f>
        <v>0.18</v>
      </c>
      <c r="C27" s="5">
        <f>'Proximal Validation'!C27</f>
        <v>5.4977999999999998</v>
      </c>
      <c r="D27" s="5">
        <f>'Proximal Validation'!D27</f>
        <v>0.4702401397</v>
      </c>
      <c r="E27" s="5">
        <f>'Proximal Validation'!E27</f>
        <v>0.1</v>
      </c>
      <c r="F27" s="5">
        <f>'Proximal Validation'!F27</f>
        <v>5.4977999999999998</v>
      </c>
      <c r="G27" s="5">
        <f>'Proximal Validation'!G27</f>
        <v>0.1483911762</v>
      </c>
      <c r="H27" s="5">
        <f>'Proximal Validation'!H27</f>
        <v>0.2167359935</v>
      </c>
      <c r="I27" s="5">
        <f>'Proximal Validation'!I27</f>
        <v>4.9349358513999997</v>
      </c>
      <c r="J27" s="5">
        <f>'Proximal Validation'!J27</f>
        <v>2.7674149721860899E-2</v>
      </c>
      <c r="K27" s="5">
        <f>'Proximal Validation'!K27</f>
        <v>0.18163369894027664</v>
      </c>
      <c r="L27" s="5">
        <f>'Proximal Validation'!L27</f>
        <v>0.16960839986801107</v>
      </c>
      <c r="M27" s="5">
        <f>'Proximal Validation'!M27</f>
        <v>-0.92870730161666903</v>
      </c>
      <c r="N27" s="5">
        <f>'Proximal Validation'!N27</f>
        <v>0.96827960014343295</v>
      </c>
      <c r="O27" s="5">
        <f>'Proximal Validation'!O27</f>
        <v>-0.92081308364868197</v>
      </c>
      <c r="P27" s="5">
        <v>1.2509316170536864</v>
      </c>
      <c r="Q27" s="5">
        <v>0.18011347656101076</v>
      </c>
      <c r="R27" s="5">
        <v>5.4977807439702175</v>
      </c>
      <c r="S27" s="5">
        <v>0.47207447351757026</v>
      </c>
      <c r="T27" s="5">
        <v>0.1001425451872211</v>
      </c>
      <c r="U27" s="5">
        <v>5.4981099462574337</v>
      </c>
      <c r="V27" s="13">
        <v>1.010136775175543E-10</v>
      </c>
      <c r="W27" s="5">
        <f t="shared" si="4"/>
        <v>-2.1746107463136433E-3</v>
      </c>
      <c r="X27" s="5">
        <f t="shared" si="4"/>
        <v>1.1347656101076686E-4</v>
      </c>
      <c r="Y27" s="5">
        <f t="shared" si="2"/>
        <v>1.9256029782255268E-5</v>
      </c>
      <c r="Z27" s="5">
        <f t="shared" si="5"/>
        <v>1.834333817570255E-3</v>
      </c>
      <c r="AA27" s="5">
        <f t="shared" si="5"/>
        <v>1.4254518722109366E-4</v>
      </c>
      <c r="AB27" s="5">
        <f t="shared" si="3"/>
        <v>3.099462574338574E-4</v>
      </c>
      <c r="AC27" s="8">
        <f t="shared" si="6"/>
        <v>2.0044722819419492E-3</v>
      </c>
      <c r="AD27" s="8">
        <f t="shared" si="6"/>
        <v>1.2801087411593026E-4</v>
      </c>
      <c r="AE27" s="8">
        <f t="shared" si="6"/>
        <v>1.6460114360805633E-4</v>
      </c>
    </row>
    <row r="28" spans="1:31" x14ac:dyDescent="0.25">
      <c r="A28" s="5">
        <f>'Proximal Validation'!A28</f>
        <v>0.37674236639999997</v>
      </c>
      <c r="B28" s="5">
        <f>'Proximal Validation'!B28</f>
        <v>0.12</v>
      </c>
      <c r="C28" s="5">
        <f>'Proximal Validation'!C28</f>
        <v>5.4977999999999998</v>
      </c>
      <c r="D28" s="5">
        <f>'Proximal Validation'!D28</f>
        <v>0.55884916829999998</v>
      </c>
      <c r="E28" s="5">
        <f>'Proximal Validation'!E28</f>
        <v>0.04</v>
      </c>
      <c r="F28" s="5">
        <f>'Proximal Validation'!F28</f>
        <v>5.4977999999999998</v>
      </c>
      <c r="G28" s="5">
        <f>'Proximal Validation'!G28</f>
        <v>2.7463764360999998</v>
      </c>
      <c r="H28" s="5">
        <f>'Proximal Validation'!H28</f>
        <v>4.0783358151</v>
      </c>
      <c r="I28" s="5">
        <f>'Proximal Validation'!I28</f>
        <v>2.4827351898000001</v>
      </c>
      <c r="J28" s="5">
        <f>'Proximal Validation'!J28</f>
        <v>-3.6156550049781799E-4</v>
      </c>
      <c r="K28" s="5">
        <f>'Proximal Validation'!K28</f>
        <v>4.1398868262767785E-2</v>
      </c>
      <c r="L28" s="5">
        <f>'Proximal Validation'!L28</f>
        <v>4.661006897687911E-2</v>
      </c>
      <c r="M28" s="5">
        <f>'Proximal Validation'!M28</f>
        <v>-5.9548625722527504E-3</v>
      </c>
      <c r="N28" s="5">
        <f>'Proximal Validation'!N28</f>
        <v>0.58329415321350098</v>
      </c>
      <c r="O28" s="5">
        <f>'Proximal Validation'!O28</f>
        <v>-0.53506898880004905</v>
      </c>
      <c r="P28" s="5">
        <v>0.79599548458382485</v>
      </c>
      <c r="Q28" s="5">
        <v>7.263418233140026E-2</v>
      </c>
      <c r="R28" s="5">
        <v>4.4252641001859763</v>
      </c>
      <c r="S28" s="5">
        <v>0.89282931778225105</v>
      </c>
      <c r="T28" s="5">
        <v>7.2631303959047822E-2</v>
      </c>
      <c r="U28" s="5">
        <v>0.11436288319833761</v>
      </c>
      <c r="V28" s="13">
        <v>3.7897531379959817E-9</v>
      </c>
      <c r="W28" s="5">
        <f t="shared" si="4"/>
        <v>0.41925311818382488</v>
      </c>
      <c r="X28" s="5">
        <f t="shared" si="4"/>
        <v>-4.7365817668599736E-2</v>
      </c>
      <c r="Y28" s="5">
        <f t="shared" si="2"/>
        <v>1.0725358998140235</v>
      </c>
      <c r="Z28" s="5">
        <f t="shared" si="5"/>
        <v>0.33398014948225108</v>
      </c>
      <c r="AA28" s="5">
        <f t="shared" si="5"/>
        <v>3.2631303959047821E-2</v>
      </c>
      <c r="AB28" s="5">
        <f t="shared" si="3"/>
        <v>0.89974819037792386</v>
      </c>
      <c r="AC28" s="8">
        <f t="shared" si="6"/>
        <v>0.37661663383303801</v>
      </c>
      <c r="AD28" s="8">
        <f t="shared" si="6"/>
        <v>3.9998560813823775E-2</v>
      </c>
      <c r="AE28" s="8">
        <f t="shared" si="6"/>
        <v>0.9861420450959737</v>
      </c>
    </row>
    <row r="29" spans="1:31" x14ac:dyDescent="0.25">
      <c r="A29" s="5">
        <f>'Proximal Validation'!A29</f>
        <v>0.99744538530000004</v>
      </c>
      <c r="B29" s="5">
        <f>'Proximal Validation'!B29</f>
        <v>0.12</v>
      </c>
      <c r="C29" s="5">
        <f>'Proximal Validation'!C29</f>
        <v>2.3561999999999999</v>
      </c>
      <c r="D29" s="5">
        <f>'Proximal Validation'!D29</f>
        <v>0.63256510880000005</v>
      </c>
      <c r="E29" s="5">
        <f>'Proximal Validation'!E29</f>
        <v>0.04</v>
      </c>
      <c r="F29" s="5">
        <f>'Proximal Validation'!F29</f>
        <v>4.7123999999999997</v>
      </c>
      <c r="G29" s="5">
        <f>'Proximal Validation'!G29</f>
        <v>1.0163068775999999</v>
      </c>
      <c r="H29" s="5">
        <f>'Proximal Validation'!H29</f>
        <v>2.5468444695999999</v>
      </c>
      <c r="I29" s="5">
        <f>'Proximal Validation'!I29</f>
        <v>0.1214735909</v>
      </c>
      <c r="J29" s="5">
        <f>'Proximal Validation'!J29</f>
        <v>-7.3622260242700598E-4</v>
      </c>
      <c r="K29" s="5">
        <f>'Proximal Validation'!K29</f>
        <v>-5.9271394908428213E-2</v>
      </c>
      <c r="L29" s="5">
        <f>'Proximal Validation'!L29</f>
        <v>-8.9796378016472195E-2</v>
      </c>
      <c r="M29" s="5">
        <f>'Proximal Validation'!M29</f>
        <v>-0.13119469583034499</v>
      </c>
      <c r="N29" s="5">
        <f>'Proximal Validation'!N29</f>
        <v>-0.67694950103759799</v>
      </c>
      <c r="O29" s="5">
        <f>'Proximal Validation'!O29</f>
        <v>-2.6808261871337901E-2</v>
      </c>
      <c r="P29" s="5">
        <v>1.0143103614102538</v>
      </c>
      <c r="Q29" s="5">
        <v>0.11951369009448554</v>
      </c>
      <c r="R29" s="5">
        <v>2.3454095117979312</v>
      </c>
      <c r="S29" s="5">
        <v>0.65205320342741546</v>
      </c>
      <c r="T29" s="5">
        <v>4.1979711143756752E-2</v>
      </c>
      <c r="U29" s="5">
        <v>4.718720062869723</v>
      </c>
      <c r="V29" s="13">
        <v>6.5830726142712281E-11</v>
      </c>
      <c r="W29" s="5">
        <f t="shared" si="4"/>
        <v>1.6864976110253727E-2</v>
      </c>
      <c r="X29" s="5">
        <f t="shared" si="4"/>
        <v>-4.863099055144593E-4</v>
      </c>
      <c r="Y29" s="5">
        <f t="shared" si="2"/>
        <v>1.0790488202068627E-2</v>
      </c>
      <c r="Z29" s="5">
        <f t="shared" si="5"/>
        <v>1.9488094627415409E-2</v>
      </c>
      <c r="AA29" s="5">
        <f t="shared" si="5"/>
        <v>1.9797111437567516E-3</v>
      </c>
      <c r="AB29" s="5">
        <f t="shared" si="3"/>
        <v>6.3200628697233086E-3</v>
      </c>
      <c r="AC29" s="8">
        <f t="shared" si="6"/>
        <v>1.8176535368834568E-2</v>
      </c>
      <c r="AD29" s="8">
        <f t="shared" si="6"/>
        <v>1.2330105246356055E-3</v>
      </c>
      <c r="AE29" s="8">
        <f t="shared" si="6"/>
        <v>8.5552755358959676E-3</v>
      </c>
    </row>
    <row r="30" spans="1:31" x14ac:dyDescent="0.25">
      <c r="A30" s="5">
        <f>'Proximal Validation'!A30</f>
        <v>0.91958396450000002</v>
      </c>
      <c r="B30" s="5">
        <f>'Proximal Validation'!B30</f>
        <v>0.18</v>
      </c>
      <c r="C30" s="5">
        <f>'Proximal Validation'!C30</f>
        <v>0</v>
      </c>
      <c r="D30" s="5">
        <f>'Proximal Validation'!D30</f>
        <v>1.2327944816</v>
      </c>
      <c r="E30" s="5">
        <f>'Proximal Validation'!E30</f>
        <v>0.1</v>
      </c>
      <c r="F30" s="5">
        <f>'Proximal Validation'!F30</f>
        <v>4.7123999999999997</v>
      </c>
      <c r="G30" s="5">
        <f>'Proximal Validation'!G30</f>
        <v>3.7350994551999999</v>
      </c>
      <c r="H30" s="5">
        <f>'Proximal Validation'!H30</f>
        <v>0.10989542820000001</v>
      </c>
      <c r="I30" s="5">
        <f>'Proximal Validation'!I30</f>
        <v>4.0041016991999996</v>
      </c>
      <c r="J30" s="5">
        <f>'Proximal Validation'!J30</f>
        <v>8.7357107549905794E-3</v>
      </c>
      <c r="K30" s="5">
        <f>'Proximal Validation'!K30</f>
        <v>0.11720653593540191</v>
      </c>
      <c r="L30" s="5">
        <f>'Proximal Validation'!L30</f>
        <v>0.13852887213230181</v>
      </c>
      <c r="M30" s="5">
        <f>'Proximal Validation'!M30</f>
        <v>-0.47499537467956499</v>
      </c>
      <c r="N30" s="5">
        <f>'Proximal Validation'!N30</f>
        <v>0.53509271144866899</v>
      </c>
      <c r="O30" s="5">
        <f>'Proximal Validation'!O30</f>
        <v>-1.1571068763732899</v>
      </c>
      <c r="P30" s="5">
        <v>0.92124754450891444</v>
      </c>
      <c r="Q30" s="5">
        <v>0.17984499597941569</v>
      </c>
      <c r="R30" s="5">
        <v>2.9855186483190928E-3</v>
      </c>
      <c r="S30" s="5">
        <v>1.2354391554588722</v>
      </c>
      <c r="T30" s="5">
        <v>0.10021419748471054</v>
      </c>
      <c r="U30" s="5">
        <v>4.7109631398872756</v>
      </c>
      <c r="V30" s="13">
        <v>1.4902822675966525E-10</v>
      </c>
      <c r="W30" s="5">
        <f t="shared" si="4"/>
        <v>1.6635800089144226E-3</v>
      </c>
      <c r="X30" s="5">
        <f t="shared" si="4"/>
        <v>-1.5500402058429841E-4</v>
      </c>
      <c r="Y30" s="5">
        <f t="shared" si="2"/>
        <v>2.9855186483190928E-3</v>
      </c>
      <c r="Z30" s="5">
        <f t="shared" si="5"/>
        <v>2.6446738588721264E-3</v>
      </c>
      <c r="AA30" s="5">
        <f t="shared" si="5"/>
        <v>2.141974847105349E-4</v>
      </c>
      <c r="AB30" s="5">
        <f t="shared" si="3"/>
        <v>1.4368601127241476E-3</v>
      </c>
      <c r="AC30" s="8">
        <f t="shared" si="6"/>
        <v>2.1541269338932745E-3</v>
      </c>
      <c r="AD30" s="8">
        <f t="shared" si="6"/>
        <v>1.8460075264741665E-4</v>
      </c>
      <c r="AE30" s="8">
        <f t="shared" si="6"/>
        <v>2.21118938052162E-3</v>
      </c>
    </row>
    <row r="31" spans="1:31" x14ac:dyDescent="0.25">
      <c r="A31" s="5">
        <f>'Proximal Validation'!A31</f>
        <v>0.76015027209999997</v>
      </c>
      <c r="B31" s="5">
        <f>'Proximal Validation'!B31</f>
        <v>0.18</v>
      </c>
      <c r="C31" s="5">
        <f>'Proximal Validation'!C31</f>
        <v>2.3561999999999999</v>
      </c>
      <c r="D31" s="5">
        <f>'Proximal Validation'!D31</f>
        <v>0.80034279419999999</v>
      </c>
      <c r="E31" s="5">
        <f>'Proximal Validation'!E31</f>
        <v>0.1</v>
      </c>
      <c r="F31" s="5">
        <f>'Proximal Validation'!F31</f>
        <v>0</v>
      </c>
      <c r="G31" s="5">
        <f>'Proximal Validation'!G31</f>
        <v>4.7396783878999997</v>
      </c>
      <c r="H31" s="5">
        <f>'Proximal Validation'!H31</f>
        <v>4.9071061610999998</v>
      </c>
      <c r="I31" s="5">
        <f>'Proximal Validation'!I31</f>
        <v>1.8713340661</v>
      </c>
      <c r="J31" s="5">
        <f>'Proximal Validation'!J31</f>
        <v>2.7520677540451301E-3</v>
      </c>
      <c r="K31" s="5">
        <f>'Proximal Validation'!K31</f>
        <v>-9.1657291352748443E-2</v>
      </c>
      <c r="L31" s="5">
        <f>'Proximal Validation'!L31</f>
        <v>6.0718978941440779E-3</v>
      </c>
      <c r="M31" s="5">
        <f>'Proximal Validation'!M31</f>
        <v>-0.237300649285316</v>
      </c>
      <c r="N31" s="5">
        <f>'Proximal Validation'!N31</f>
        <v>0.46046692132949801</v>
      </c>
      <c r="O31" s="5">
        <f>'Proximal Validation'!O31</f>
        <v>0.45199945569038402</v>
      </c>
      <c r="P31" s="5">
        <v>0.7639977479275728</v>
      </c>
      <c r="Q31" s="5">
        <v>0.17955645755783448</v>
      </c>
      <c r="R31" s="5">
        <v>2.3564964132899977</v>
      </c>
      <c r="S31" s="5">
        <v>0.80319423968507497</v>
      </c>
      <c r="T31" s="5">
        <v>0.10003503443292495</v>
      </c>
      <c r="U31" s="5">
        <v>6.2801650842190044</v>
      </c>
      <c r="V31" s="13">
        <v>1.2707765584627798E-10</v>
      </c>
      <c r="W31" s="5">
        <f t="shared" si="4"/>
        <v>3.8474758275728327E-3</v>
      </c>
      <c r="X31" s="5">
        <f t="shared" si="4"/>
        <v>-4.4354244216551764E-4</v>
      </c>
      <c r="Y31" s="5">
        <f t="shared" si="2"/>
        <v>2.9641328999785443E-4</v>
      </c>
      <c r="Z31" s="5">
        <f t="shared" si="5"/>
        <v>2.8514454850749882E-3</v>
      </c>
      <c r="AA31" s="5">
        <f t="shared" si="5"/>
        <v>3.5034432924949122E-5</v>
      </c>
      <c r="AB31" s="5">
        <f t="shared" si="3"/>
        <v>3.0202229605817976E-3</v>
      </c>
      <c r="AC31" s="8">
        <f t="shared" si="6"/>
        <v>3.3494606563239104E-3</v>
      </c>
      <c r="AD31" s="8">
        <f t="shared" si="6"/>
        <v>2.3928843754523338E-4</v>
      </c>
      <c r="AE31" s="8">
        <f t="shared" si="6"/>
        <v>1.658318125289826E-3</v>
      </c>
    </row>
    <row r="32" spans="1:31" x14ac:dyDescent="0.25">
      <c r="A32" s="5">
        <f>'Proximal Validation'!A32</f>
        <v>0.9040684336</v>
      </c>
      <c r="B32" s="5">
        <f>'Proximal Validation'!B32</f>
        <v>0.1</v>
      </c>
      <c r="C32" s="5">
        <f>'Proximal Validation'!C32</f>
        <v>5.4977999999999998</v>
      </c>
      <c r="D32" s="5">
        <f>'Proximal Validation'!D32</f>
        <v>0.68590239919999996</v>
      </c>
      <c r="E32" s="5">
        <f>'Proximal Validation'!E32</f>
        <v>0.02</v>
      </c>
      <c r="F32" s="5">
        <f>'Proximal Validation'!F32</f>
        <v>4.7123999999999997</v>
      </c>
      <c r="G32" s="5">
        <f>'Proximal Validation'!G32</f>
        <v>3.1050919126999998</v>
      </c>
      <c r="H32" s="5">
        <f>'Proximal Validation'!H32</f>
        <v>4.9790166179000002</v>
      </c>
      <c r="I32" s="5">
        <f>'Proximal Validation'!I32</f>
        <v>4.7088396990000003</v>
      </c>
      <c r="J32" s="5">
        <f>'Proximal Validation'!J32</f>
        <v>1.4985646121203899E-3</v>
      </c>
      <c r="K32" s="5">
        <f>'Proximal Validation'!K32</f>
        <v>7.966082274913841E-2</v>
      </c>
      <c r="L32" s="5">
        <f>'Proximal Validation'!L32</f>
        <v>6.8656248152256336E-2</v>
      </c>
      <c r="M32" s="5">
        <f>'Proximal Validation'!M32</f>
        <v>-4.77860830724239E-2</v>
      </c>
      <c r="N32" s="5">
        <f>'Proximal Validation'!N32</f>
        <v>0.595284283161163</v>
      </c>
      <c r="O32" s="5">
        <f>'Proximal Validation'!O32</f>
        <v>-1.3795845508575399</v>
      </c>
      <c r="P32" s="5">
        <v>0.74794195724816248</v>
      </c>
      <c r="Q32" s="5">
        <v>0.10821424060878305</v>
      </c>
      <c r="R32" s="5">
        <v>5.5846654962135069</v>
      </c>
      <c r="S32" s="5">
        <v>0.84618076633253625</v>
      </c>
      <c r="T32" s="5">
        <v>3.0449945255988268E-2</v>
      </c>
      <c r="U32" s="5">
        <v>4.7911711240470618</v>
      </c>
      <c r="V32" s="13">
        <v>9.5700179990199545E-9</v>
      </c>
      <c r="W32" s="5">
        <f t="shared" si="4"/>
        <v>-0.15612647635183752</v>
      </c>
      <c r="X32" s="5">
        <f t="shared" si="4"/>
        <v>8.2142406087830494E-3</v>
      </c>
      <c r="Y32" s="5">
        <f t="shared" si="2"/>
        <v>8.6865496213507143E-2</v>
      </c>
      <c r="Z32" s="5">
        <f t="shared" si="5"/>
        <v>0.16027836713253629</v>
      </c>
      <c r="AA32" s="5">
        <f t="shared" si="5"/>
        <v>1.0449945255988267E-2</v>
      </c>
      <c r="AB32" s="5">
        <f t="shared" si="3"/>
        <v>7.8771124047062102E-2</v>
      </c>
      <c r="AC32" s="8">
        <f t="shared" si="6"/>
        <v>0.15820242174218691</v>
      </c>
      <c r="AD32" s="8">
        <f t="shared" si="6"/>
        <v>9.3320929323856584E-3</v>
      </c>
      <c r="AE32" s="8">
        <f t="shared" si="6"/>
        <v>8.2818310130284623E-2</v>
      </c>
    </row>
    <row r="33" spans="1:31" x14ac:dyDescent="0.25">
      <c r="A33" s="5">
        <f>'Proximal Validation'!A33</f>
        <v>1.4109779404</v>
      </c>
      <c r="B33" s="5">
        <f>'Proximal Validation'!B33</f>
        <v>0.2</v>
      </c>
      <c r="C33" s="5">
        <f>'Proximal Validation'!C33</f>
        <v>3.1415999999999999</v>
      </c>
      <c r="D33" s="5">
        <f>'Proximal Validation'!D33</f>
        <v>1.3890525475</v>
      </c>
      <c r="E33" s="5">
        <f>'Proximal Validation'!E33</f>
        <v>0.12</v>
      </c>
      <c r="F33" s="5">
        <f>'Proximal Validation'!F33</f>
        <v>0</v>
      </c>
      <c r="G33" s="5">
        <f>'Proximal Validation'!G33</f>
        <v>0.24685834309999999</v>
      </c>
      <c r="H33" s="5">
        <f>'Proximal Validation'!H33</f>
        <v>4.5298125568999996</v>
      </c>
      <c r="I33" s="5">
        <f>'Proximal Validation'!I33</f>
        <v>2.6684535819000001</v>
      </c>
      <c r="J33" s="5">
        <f>'Proximal Validation'!J33</f>
        <v>1.87164847739041E-3</v>
      </c>
      <c r="K33" s="5">
        <f>'Proximal Validation'!K33</f>
        <v>-9.8448623716830847E-3</v>
      </c>
      <c r="L33" s="5">
        <f>'Proximal Validation'!L33</f>
        <v>-6.3732270747423214E-2</v>
      </c>
      <c r="M33" s="5">
        <f>'Proximal Validation'!M33</f>
        <v>-0.21900780498981501</v>
      </c>
      <c r="N33" s="5">
        <f>'Proximal Validation'!N33</f>
        <v>0.43598496913909901</v>
      </c>
      <c r="O33" s="5">
        <f>'Proximal Validation'!O33</f>
        <v>5.42925000190735E-2</v>
      </c>
      <c r="P33" s="5">
        <v>1.4107807154478551</v>
      </c>
      <c r="Q33" s="5">
        <v>0.19999999999996754</v>
      </c>
      <c r="R33" s="5">
        <v>3.1416002167933419</v>
      </c>
      <c r="S33" s="5">
        <v>1.3888591896279781</v>
      </c>
      <c r="T33" s="5">
        <v>0.11998954137341641</v>
      </c>
      <c r="U33" s="5">
        <v>6.2831842162022369</v>
      </c>
      <c r="V33" s="13">
        <v>5.0024337113060789E-12</v>
      </c>
      <c r="W33" s="5">
        <f t="shared" si="4"/>
        <v>-1.9722495214491431E-4</v>
      </c>
      <c r="X33" s="5">
        <f t="shared" si="4"/>
        <v>-3.2474023470285829E-14</v>
      </c>
      <c r="Y33" s="5">
        <f t="shared" si="2"/>
        <v>2.1679334194502076E-7</v>
      </c>
      <c r="Z33" s="5">
        <f t="shared" si="5"/>
        <v>-1.9335787202190424E-4</v>
      </c>
      <c r="AA33" s="5">
        <f t="shared" si="5"/>
        <v>-1.0458626583581543E-5</v>
      </c>
      <c r="AB33" s="5">
        <f t="shared" si="3"/>
        <v>1.0909773493494868E-6</v>
      </c>
      <c r="AC33" s="8">
        <f t="shared" si="6"/>
        <v>1.9529141208340928E-4</v>
      </c>
      <c r="AD33" s="8">
        <f t="shared" si="6"/>
        <v>5.2293133080277832E-6</v>
      </c>
      <c r="AE33" s="8">
        <f t="shared" si="6"/>
        <v>6.5388534564725376E-7</v>
      </c>
    </row>
    <row r="34" spans="1:31" x14ac:dyDescent="0.25">
      <c r="A34" s="5">
        <f>'Proximal Validation'!A34</f>
        <v>1.4747736548999999</v>
      </c>
      <c r="B34" s="5">
        <f>'Proximal Validation'!B34</f>
        <v>0.2</v>
      </c>
      <c r="C34" s="5">
        <f>'Proximal Validation'!C34</f>
        <v>0</v>
      </c>
      <c r="D34" s="5">
        <f>'Proximal Validation'!D34</f>
        <v>1.4750904852</v>
      </c>
      <c r="E34" s="5">
        <f>'Proximal Validation'!E34</f>
        <v>0.12</v>
      </c>
      <c r="F34" s="5">
        <f>'Proximal Validation'!F34</f>
        <v>3.1415999999999999</v>
      </c>
      <c r="G34" s="5">
        <f>'Proximal Validation'!G34</f>
        <v>2.1243312033000001</v>
      </c>
      <c r="H34" s="5">
        <f>'Proximal Validation'!H34</f>
        <v>0.98146476360000001</v>
      </c>
      <c r="I34" s="5">
        <f>'Proximal Validation'!I34</f>
        <v>2.2301814902000001</v>
      </c>
      <c r="J34" s="5">
        <f>'Proximal Validation'!J34</f>
        <v>6.5721650607883904E-3</v>
      </c>
      <c r="K34" s="5">
        <f>'Proximal Validation'!K34</f>
        <v>-2.2215567082166657E-2</v>
      </c>
      <c r="L34" s="5">
        <f>'Proximal Validation'!L34</f>
        <v>6.6166436150670055E-2</v>
      </c>
      <c r="M34" s="5">
        <f>'Proximal Validation'!M34</f>
        <v>-0.19941796362400099</v>
      </c>
      <c r="N34" s="5">
        <f>'Proximal Validation'!N34</f>
        <v>-0.49384737014770502</v>
      </c>
      <c r="O34" s="5">
        <f>'Proximal Validation'!O34</f>
        <v>0.13210836052894601</v>
      </c>
      <c r="P34" s="5">
        <v>1.4737384947834733</v>
      </c>
      <c r="Q34" s="5">
        <v>0.19999981433231664</v>
      </c>
      <c r="R34" s="5">
        <v>6.2825128856846542</v>
      </c>
      <c r="S34" s="5">
        <v>1.4739957676884348</v>
      </c>
      <c r="T34" s="5">
        <v>0.11994687742111733</v>
      </c>
      <c r="U34" s="5">
        <v>3.1406145735420075</v>
      </c>
      <c r="V34" s="13">
        <v>9.8044934453802163E-10</v>
      </c>
      <c r="W34" s="5">
        <f t="shared" si="4"/>
        <v>-1.0351601165266011E-3</v>
      </c>
      <c r="X34" s="5">
        <f t="shared" si="4"/>
        <v>-1.8566768336669703E-7</v>
      </c>
      <c r="Y34" s="5">
        <f t="shared" si="2"/>
        <v>6.7242149493207393E-4</v>
      </c>
      <c r="Z34" s="5">
        <f t="shared" si="5"/>
        <v>-1.0947175115652019E-3</v>
      </c>
      <c r="AA34" s="5">
        <f t="shared" si="5"/>
        <v>-5.3122578882666693E-5</v>
      </c>
      <c r="AB34" s="5">
        <f t="shared" si="3"/>
        <v>9.8542645799248874E-4</v>
      </c>
      <c r="AC34" s="8">
        <f t="shared" si="6"/>
        <v>1.0649388140459015E-3</v>
      </c>
      <c r="AD34" s="8">
        <f t="shared" si="6"/>
        <v>2.6654123283016695E-5</v>
      </c>
      <c r="AE34" s="8">
        <f t="shared" si="6"/>
        <v>8.2892397646228133E-4</v>
      </c>
    </row>
    <row r="35" spans="1:31" x14ac:dyDescent="0.25">
      <c r="A35" s="5">
        <f>'Proximal Validation'!A35</f>
        <v>1.1341222659000001</v>
      </c>
      <c r="B35" s="5">
        <f>'Proximal Validation'!B35</f>
        <v>0.12</v>
      </c>
      <c r="C35" s="5">
        <f>'Proximal Validation'!C35</f>
        <v>0.78539999999999999</v>
      </c>
      <c r="D35" s="5">
        <f>'Proximal Validation'!D35</f>
        <v>1.3710979794</v>
      </c>
      <c r="E35" s="5">
        <f>'Proximal Validation'!E35</f>
        <v>0.04</v>
      </c>
      <c r="F35" s="5">
        <f>'Proximal Validation'!F35</f>
        <v>1.5708</v>
      </c>
      <c r="G35" s="5">
        <f>'Proximal Validation'!G35</f>
        <v>3.8924485742999999</v>
      </c>
      <c r="H35" s="5">
        <f>'Proximal Validation'!H35</f>
        <v>4.3783496642999999</v>
      </c>
      <c r="I35" s="5">
        <f>'Proximal Validation'!I35</f>
        <v>1.6360280112000001</v>
      </c>
      <c r="J35" s="5">
        <f>'Proximal Validation'!J35</f>
        <v>-2.3257452994584998E-3</v>
      </c>
      <c r="K35" s="5">
        <f>'Proximal Validation'!K35</f>
        <v>-0.1538876044750217</v>
      </c>
      <c r="L35" s="5">
        <f>'Proximal Validation'!L35</f>
        <v>0.10165858089923878</v>
      </c>
      <c r="M35" s="5">
        <f>'Proximal Validation'!M35</f>
        <v>-0.24121056497096999</v>
      </c>
      <c r="N35" s="5">
        <f>'Proximal Validation'!N35</f>
        <v>0.79770189523696899</v>
      </c>
      <c r="O35" s="5">
        <f>'Proximal Validation'!O35</f>
        <v>2.0650558471679701</v>
      </c>
      <c r="P35" s="5">
        <v>1.4694348123851289</v>
      </c>
      <c r="Q35" s="5">
        <v>0.11069232539579793</v>
      </c>
      <c r="R35" s="5">
        <v>0.92265395597669131</v>
      </c>
      <c r="S35" s="5">
        <v>1.0083776011886776</v>
      </c>
      <c r="T35" s="5">
        <v>2.1683840319161651E-2</v>
      </c>
      <c r="U35" s="5">
        <v>1.6552221579267976</v>
      </c>
      <c r="V35" s="13">
        <v>1.4418804242258219E-9</v>
      </c>
      <c r="W35" s="5">
        <f t="shared" ref="W35:X52" si="7">P35-A35</f>
        <v>0.33531254648512876</v>
      </c>
      <c r="X35" s="5">
        <f t="shared" si="7"/>
        <v>-9.3076746042020653E-3</v>
      </c>
      <c r="Y35" s="5">
        <f t="shared" si="2"/>
        <v>0.13725395597669132</v>
      </c>
      <c r="Z35" s="5">
        <f t="shared" ref="Z35:AA52" si="8">S35-D35</f>
        <v>-0.36272037821132241</v>
      </c>
      <c r="AA35" s="5">
        <f t="shared" si="8"/>
        <v>-1.8316159680838349E-2</v>
      </c>
      <c r="AB35" s="5">
        <f t="shared" si="3"/>
        <v>8.4422157926797636E-2</v>
      </c>
      <c r="AC35" s="8">
        <f t="shared" ref="AC35:AE52" si="9">AVERAGE(ABS(W35),ABS(Z35))</f>
        <v>0.34901646234822559</v>
      </c>
      <c r="AD35" s="8">
        <f t="shared" si="9"/>
        <v>1.3811917142520207E-2</v>
      </c>
      <c r="AE35" s="8">
        <f t="shared" si="9"/>
        <v>0.11083805695174448</v>
      </c>
    </row>
    <row r="36" spans="1:31" x14ac:dyDescent="0.25">
      <c r="A36" s="5">
        <f>'Proximal Validation'!A36</f>
        <v>0.785852255</v>
      </c>
      <c r="B36" s="5">
        <f>'Proximal Validation'!B36</f>
        <v>0.1</v>
      </c>
      <c r="C36" s="5">
        <f>'Proximal Validation'!C36</f>
        <v>0.78539999999999999</v>
      </c>
      <c r="D36" s="5">
        <f>'Proximal Validation'!D36</f>
        <v>0.39355619479999998</v>
      </c>
      <c r="E36" s="5">
        <f>'Proximal Validation'!E36</f>
        <v>0.02</v>
      </c>
      <c r="F36" s="5">
        <f>'Proximal Validation'!F36</f>
        <v>5.4977999999999998</v>
      </c>
      <c r="G36" s="5">
        <f>'Proximal Validation'!G36</f>
        <v>4.5109081914000004</v>
      </c>
      <c r="H36" s="5">
        <f>'Proximal Validation'!H36</f>
        <v>2.9663132843</v>
      </c>
      <c r="I36" s="5">
        <f>'Proximal Validation'!I36</f>
        <v>3.8683553511</v>
      </c>
      <c r="J36" s="5">
        <f>'Proximal Validation'!J36</f>
        <v>2.63804802671075E-3</v>
      </c>
      <c r="K36" s="5">
        <f>'Proximal Validation'!K36</f>
        <v>-5.1488110721111341E-2</v>
      </c>
      <c r="L36" s="5">
        <f>'Proximal Validation'!L36</f>
        <v>6.7714549303054539E-2</v>
      </c>
      <c r="M36" s="5">
        <f>'Proximal Validation'!M36</f>
        <v>-4.7354526817798601E-2</v>
      </c>
      <c r="N36" s="5">
        <f>'Proximal Validation'!N36</f>
        <v>0.81425797939300504</v>
      </c>
      <c r="O36" s="5">
        <f>'Proximal Validation'!O36</f>
        <v>0.21927404403686501</v>
      </c>
      <c r="P36" s="5">
        <v>0.7565565069829151</v>
      </c>
      <c r="Q36" s="5">
        <v>0.10641388898606352</v>
      </c>
      <c r="R36" s="5">
        <v>1.232699567939195</v>
      </c>
      <c r="S36" s="5">
        <v>0.72793990560766297</v>
      </c>
      <c r="T36" s="5">
        <v>5.884947104934328E-2</v>
      </c>
      <c r="U36" s="5">
        <v>5.6414032665936116</v>
      </c>
      <c r="V36" s="13">
        <v>1.8727915331769719E-8</v>
      </c>
      <c r="W36" s="5">
        <f t="shared" si="7"/>
        <v>-2.9295748017084899E-2</v>
      </c>
      <c r="X36" s="5">
        <f t="shared" si="7"/>
        <v>6.4138889860635151E-3</v>
      </c>
      <c r="Y36" s="5">
        <f t="shared" si="2"/>
        <v>0.44729956793919501</v>
      </c>
      <c r="Z36" s="5">
        <f t="shared" si="8"/>
        <v>0.33438371080766299</v>
      </c>
      <c r="AA36" s="5">
        <f t="shared" si="8"/>
        <v>3.8849471049343276E-2</v>
      </c>
      <c r="AB36" s="5">
        <f t="shared" si="3"/>
        <v>0.14360326659361178</v>
      </c>
      <c r="AC36" s="8">
        <f t="shared" si="9"/>
        <v>0.18183972941237395</v>
      </c>
      <c r="AD36" s="8">
        <f t="shared" si="9"/>
        <v>2.2631680017703396E-2</v>
      </c>
      <c r="AE36" s="8">
        <f t="shared" si="9"/>
        <v>0.29545141726640339</v>
      </c>
    </row>
    <row r="37" spans="1:31" x14ac:dyDescent="0.25">
      <c r="A37" s="5">
        <f>'Proximal Validation'!A37</f>
        <v>0.4787670047</v>
      </c>
      <c r="B37" s="5">
        <f>'Proximal Validation'!B37</f>
        <v>0.2</v>
      </c>
      <c r="C37" s="5">
        <f>'Proximal Validation'!C37</f>
        <v>4.7123999999999997</v>
      </c>
      <c r="D37" s="5">
        <f>'Proximal Validation'!D37</f>
        <v>0.35541469809999998</v>
      </c>
      <c r="E37" s="5">
        <f>'Proximal Validation'!E37</f>
        <v>0.14000000000000001</v>
      </c>
      <c r="F37" s="5">
        <f>'Proximal Validation'!F37</f>
        <v>3.1415999999999999</v>
      </c>
      <c r="G37" s="5">
        <f>'Proximal Validation'!G37</f>
        <v>4.9350065225000002</v>
      </c>
      <c r="H37" s="5">
        <f>'Proximal Validation'!H37</f>
        <v>4.6708884390999996</v>
      </c>
      <c r="I37" s="5">
        <f>'Proximal Validation'!I37</f>
        <v>0.64099500450000002</v>
      </c>
      <c r="J37" s="5">
        <f>'Proximal Validation'!J37</f>
        <v>1.3677142560481999E-3</v>
      </c>
      <c r="K37" s="5">
        <f>'Proximal Validation'!K37</f>
        <v>8.7945864200591806E-2</v>
      </c>
      <c r="L37" s="5">
        <f>'Proximal Validation'!L37</f>
        <v>-3.722743749618531E-2</v>
      </c>
      <c r="M37" s="5">
        <f>'Proximal Validation'!M37</f>
        <v>-4.7561459243297598E-2</v>
      </c>
      <c r="N37" s="5">
        <f>'Proximal Validation'!N37</f>
        <v>-0.26662042737007102</v>
      </c>
      <c r="O37" s="5">
        <f>'Proximal Validation'!O37</f>
        <v>-0.39663678407669101</v>
      </c>
      <c r="P37" s="5">
        <v>0.67140937893390373</v>
      </c>
      <c r="Q37" s="5">
        <v>0.18133749379884279</v>
      </c>
      <c r="R37" s="5">
        <v>4.7287985297198372</v>
      </c>
      <c r="S37" s="5">
        <v>0.41389631321250481</v>
      </c>
      <c r="T37" s="5">
        <v>0.14130289526091902</v>
      </c>
      <c r="U37" s="5">
        <v>2.6572607568301474</v>
      </c>
      <c r="V37" s="13">
        <v>2.2745396815596434E-9</v>
      </c>
      <c r="W37" s="5">
        <f t="shared" si="7"/>
        <v>0.19264237423390373</v>
      </c>
      <c r="X37" s="5">
        <f t="shared" si="7"/>
        <v>-1.8662506201157225E-2</v>
      </c>
      <c r="Y37" s="5">
        <f t="shared" si="2"/>
        <v>1.6398529719837462E-2</v>
      </c>
      <c r="Z37" s="5">
        <f t="shared" si="8"/>
        <v>5.8481615112504826E-2</v>
      </c>
      <c r="AA37" s="5">
        <f t="shared" si="8"/>
        <v>1.302895260919007E-3</v>
      </c>
      <c r="AB37" s="5">
        <f t="shared" si="3"/>
        <v>0.48433924316985255</v>
      </c>
      <c r="AC37" s="8">
        <f t="shared" si="9"/>
        <v>0.12556199467320428</v>
      </c>
      <c r="AD37" s="8">
        <f t="shared" si="9"/>
        <v>9.9827007310381161E-3</v>
      </c>
      <c r="AE37" s="8">
        <f t="shared" si="9"/>
        <v>0.25036888644484501</v>
      </c>
    </row>
    <row r="38" spans="1:31" x14ac:dyDescent="0.25">
      <c r="A38" s="5">
        <f>'Proximal Validation'!A38</f>
        <v>1.2825258852999999</v>
      </c>
      <c r="B38" s="5">
        <f>'Proximal Validation'!B38</f>
        <v>0.14000000000000001</v>
      </c>
      <c r="C38" s="5">
        <f>'Proximal Validation'!C38</f>
        <v>2.3561999999999999</v>
      </c>
      <c r="D38" s="5">
        <f>'Proximal Validation'!D38</f>
        <v>1.1085226837</v>
      </c>
      <c r="E38" s="5">
        <f>'Proximal Validation'!E38</f>
        <v>0.08</v>
      </c>
      <c r="F38" s="5">
        <f>'Proximal Validation'!F38</f>
        <v>3.1415999999999999</v>
      </c>
      <c r="G38" s="5">
        <f>'Proximal Validation'!G38</f>
        <v>5.0541583899999999E-2</v>
      </c>
      <c r="H38" s="5">
        <f>'Proximal Validation'!H38</f>
        <v>4.9578693537999996</v>
      </c>
      <c r="I38" s="5">
        <f>'Proximal Validation'!I38</f>
        <v>3.9886280456000001</v>
      </c>
      <c r="J38" s="5">
        <f>'Proximal Validation'!J38</f>
        <v>-5.6921038776636098E-3</v>
      </c>
      <c r="K38" s="5">
        <f>'Proximal Validation'!K38</f>
        <v>-0.11745531618595137</v>
      </c>
      <c r="L38" s="5">
        <f>'Proximal Validation'!L38</f>
        <v>-0.22989922761917111</v>
      </c>
      <c r="M38" s="5">
        <f>'Proximal Validation'!M38</f>
        <v>-0.43696388602256803</v>
      </c>
      <c r="N38" s="5">
        <f>'Proximal Validation'!N38</f>
        <v>-1.90291404724121</v>
      </c>
      <c r="O38" s="5">
        <f>'Proximal Validation'!O38</f>
        <v>0.79554951190948497</v>
      </c>
      <c r="P38" s="5">
        <v>1.3417628433390389</v>
      </c>
      <c r="Q38" s="5">
        <v>0.13912611194733807</v>
      </c>
      <c r="R38" s="5">
        <v>2.3863157612401804</v>
      </c>
      <c r="S38" s="5">
        <v>1.0394384734811535</v>
      </c>
      <c r="T38" s="5">
        <v>7.689465991865696E-2</v>
      </c>
      <c r="U38" s="5">
        <v>3.1540309147023406</v>
      </c>
      <c r="V38" s="13">
        <v>7.278883343884788E-9</v>
      </c>
      <c r="W38" s="5">
        <f t="shared" si="7"/>
        <v>5.9236958039039056E-2</v>
      </c>
      <c r="X38" s="5">
        <f t="shared" si="7"/>
        <v>-8.7388805266194747E-4</v>
      </c>
      <c r="Y38" s="5">
        <f t="shared" si="2"/>
        <v>3.0115761240180561E-2</v>
      </c>
      <c r="Z38" s="5">
        <f t="shared" si="8"/>
        <v>-6.9084210218846476E-2</v>
      </c>
      <c r="AA38" s="5">
        <f t="shared" si="8"/>
        <v>-3.1053400813430415E-3</v>
      </c>
      <c r="AB38" s="5">
        <f t="shared" si="3"/>
        <v>1.2430914702340701E-2</v>
      </c>
      <c r="AC38" s="8">
        <f t="shared" si="9"/>
        <v>6.4160584128942766E-2</v>
      </c>
      <c r="AD38" s="8">
        <f t="shared" si="9"/>
        <v>1.9896140670024945E-3</v>
      </c>
      <c r="AE38" s="8">
        <f t="shared" si="9"/>
        <v>2.1273337971260631E-2</v>
      </c>
    </row>
    <row r="39" spans="1:31" x14ac:dyDescent="0.25">
      <c r="A39" s="5">
        <f>'Proximal Validation'!A39</f>
        <v>1.0319949839</v>
      </c>
      <c r="B39" s="5">
        <f>'Proximal Validation'!B39</f>
        <v>0.18</v>
      </c>
      <c r="C39" s="5">
        <f>'Proximal Validation'!C39</f>
        <v>3.927</v>
      </c>
      <c r="D39" s="5">
        <f>'Proximal Validation'!D39</f>
        <v>1.1733448184999999</v>
      </c>
      <c r="E39" s="5">
        <f>'Proximal Validation'!E39</f>
        <v>0.12</v>
      </c>
      <c r="F39" s="5">
        <f>'Proximal Validation'!F39</f>
        <v>0.78539999999999999</v>
      </c>
      <c r="G39" s="5">
        <f>'Proximal Validation'!G39</f>
        <v>4.3201662060999997</v>
      </c>
      <c r="H39" s="5">
        <f>'Proximal Validation'!H39</f>
        <v>3.8378352410000001</v>
      </c>
      <c r="I39" s="5">
        <f>'Proximal Validation'!I39</f>
        <v>4.8360302252</v>
      </c>
      <c r="J39" s="5">
        <f>'Proximal Validation'!J39</f>
        <v>-9.0057402849197399E-4</v>
      </c>
      <c r="K39" s="5">
        <f>'Proximal Validation'!K39</f>
        <v>6.9827769696711901E-3</v>
      </c>
      <c r="L39" s="5">
        <f>'Proximal Validation'!L39</f>
        <v>-8.0578292906284613E-3</v>
      </c>
      <c r="M39" s="5">
        <f>'Proximal Validation'!M39</f>
        <v>1.4639855362474899E-2</v>
      </c>
      <c r="N39" s="5">
        <f>'Proximal Validation'!N39</f>
        <v>0.272623121738434</v>
      </c>
      <c r="O39" s="5">
        <f>'Proximal Validation'!O39</f>
        <v>0.30911225080490101</v>
      </c>
      <c r="P39" s="5">
        <v>0.85338578176104585</v>
      </c>
      <c r="Q39" s="5">
        <v>0.18894417938133468</v>
      </c>
      <c r="R39" s="5">
        <v>3.9270413821877681</v>
      </c>
      <c r="S39" s="5">
        <v>0.99546584520547632</v>
      </c>
      <c r="T39" s="5">
        <v>0.11651692105251329</v>
      </c>
      <c r="U39" s="5">
        <v>0.78552612296149815</v>
      </c>
      <c r="V39" s="13">
        <v>8.5396212648016533E-10</v>
      </c>
      <c r="W39" s="5">
        <f t="shared" si="7"/>
        <v>-0.17860920213895415</v>
      </c>
      <c r="X39" s="5">
        <f t="shared" si="7"/>
        <v>8.9441793813346826E-3</v>
      </c>
      <c r="Y39" s="5">
        <f t="shared" si="2"/>
        <v>4.1382187768057577E-5</v>
      </c>
      <c r="Z39" s="5">
        <f t="shared" si="8"/>
        <v>-0.17787897329452362</v>
      </c>
      <c r="AA39" s="5">
        <f t="shared" si="8"/>
        <v>-3.4830789474867008E-3</v>
      </c>
      <c r="AB39" s="5">
        <f t="shared" si="3"/>
        <v>1.2612296149816515E-4</v>
      </c>
      <c r="AC39" s="8">
        <f t="shared" si="9"/>
        <v>0.17824408771673889</v>
      </c>
      <c r="AD39" s="8">
        <f t="shared" si="9"/>
        <v>6.2136291644106917E-3</v>
      </c>
      <c r="AE39" s="8">
        <f t="shared" si="9"/>
        <v>8.3752574633111365E-5</v>
      </c>
    </row>
    <row r="40" spans="1:31" x14ac:dyDescent="0.25">
      <c r="A40" s="5">
        <f>'Proximal Validation'!A40</f>
        <v>0.54659396309999997</v>
      </c>
      <c r="B40" s="5">
        <f>'Proximal Validation'!B40</f>
        <v>0.14000000000000001</v>
      </c>
      <c r="C40" s="5">
        <f>'Proximal Validation'!C40</f>
        <v>3.927</v>
      </c>
      <c r="D40" s="5">
        <f>'Proximal Validation'!D40</f>
        <v>0.37475583969999998</v>
      </c>
      <c r="E40" s="5">
        <f>'Proximal Validation'!E40</f>
        <v>0.08</v>
      </c>
      <c r="F40" s="5">
        <f>'Proximal Validation'!F40</f>
        <v>1.5708</v>
      </c>
      <c r="G40" s="5">
        <f>'Proximal Validation'!G40</f>
        <v>1.2326114607000001</v>
      </c>
      <c r="H40" s="5">
        <f>'Proximal Validation'!H40</f>
        <v>3.5091223980000001</v>
      </c>
      <c r="I40" s="5">
        <f>'Proximal Validation'!I40</f>
        <v>2.8278096824999999</v>
      </c>
      <c r="J40" s="5">
        <f>'Proximal Validation'!J40</f>
        <v>-9.9586381111294009E-4</v>
      </c>
      <c r="K40" s="5">
        <f>'Proximal Validation'!K40</f>
        <v>1.9444975480437252E-2</v>
      </c>
      <c r="L40" s="5">
        <f>'Proximal Validation'!L40</f>
        <v>-4.9389829635620136E-2</v>
      </c>
      <c r="M40" s="5">
        <f>'Proximal Validation'!M40</f>
        <v>-3.4344613552093499E-2</v>
      </c>
      <c r="N40" s="5">
        <f>'Proximal Validation'!N40</f>
        <v>-0.33634969592094399</v>
      </c>
      <c r="O40" s="5">
        <f>'Proximal Validation'!O40</f>
        <v>5.8875620365142801E-2</v>
      </c>
      <c r="P40" s="5">
        <v>0.99025479192573962</v>
      </c>
      <c r="Q40" s="5">
        <v>0.12727789242772394</v>
      </c>
      <c r="R40" s="5">
        <v>4.1103404564428763</v>
      </c>
      <c r="S40" s="5">
        <v>0.82232351178147844</v>
      </c>
      <c r="T40" s="5">
        <v>9.8930312187181513E-2</v>
      </c>
      <c r="U40" s="5">
        <v>1.3575265847282028</v>
      </c>
      <c r="V40" s="13">
        <v>3.0897677389014992E-9</v>
      </c>
      <c r="W40" s="5">
        <f>P40-A40</f>
        <v>0.44366082882573965</v>
      </c>
      <c r="X40" s="5">
        <f>Q40-B40</f>
        <v>-1.272210757227607E-2</v>
      </c>
      <c r="Y40" s="5">
        <f>MIN(ABS(R40-C40),2*PI()-ABS(R40-C40))</f>
        <v>0.18334045644287622</v>
      </c>
      <c r="Z40" s="5">
        <f>S40-D40</f>
        <v>0.44756767208147846</v>
      </c>
      <c r="AA40" s="5">
        <f>T40-E40</f>
        <v>1.8930312187181511E-2</v>
      </c>
      <c r="AB40" s="5">
        <f>MIN(ABS(U40-F40),2*PI()-ABS(U40-F40))</f>
        <v>0.21327341527179722</v>
      </c>
      <c r="AC40" s="8">
        <f>AVERAGE(ABS(W40),ABS(Z40))</f>
        <v>0.44561425045360903</v>
      </c>
      <c r="AD40" s="8">
        <f>AVERAGE(ABS(X40),ABS(AA40))</f>
        <v>1.5826209879728791E-2</v>
      </c>
      <c r="AE40" s="8">
        <f>AVERAGE(ABS(Y40),ABS(AB40))</f>
        <v>0.19830693585733672</v>
      </c>
    </row>
    <row r="41" spans="1:31" x14ac:dyDescent="0.25">
      <c r="A41" s="5">
        <f>'Proximal Validation'!A41</f>
        <v>0.62359206519999999</v>
      </c>
      <c r="B41" s="5">
        <f>'Proximal Validation'!B41</f>
        <v>0.08</v>
      </c>
      <c r="C41" s="5">
        <f>'Proximal Validation'!C41</f>
        <v>5.4977999999999998</v>
      </c>
      <c r="D41" s="5">
        <f>'Proximal Validation'!D41</f>
        <v>0.47877904049999997</v>
      </c>
      <c r="E41" s="5">
        <f>'Proximal Validation'!E41</f>
        <v>0.02</v>
      </c>
      <c r="F41" s="5">
        <f>'Proximal Validation'!F41</f>
        <v>3.927</v>
      </c>
      <c r="G41" s="5">
        <f>'Proximal Validation'!G41</f>
        <v>2.2205178402999999</v>
      </c>
      <c r="H41" s="5">
        <f>'Proximal Validation'!H41</f>
        <v>1.9827336431</v>
      </c>
      <c r="I41" s="5">
        <f>'Proximal Validation'!I41</f>
        <v>0.36676452050000002</v>
      </c>
      <c r="J41" s="5">
        <f>'Proximal Validation'!J41</f>
        <v>1.3723341980949001E-3</v>
      </c>
      <c r="K41" s="5">
        <f>'Proximal Validation'!K41</f>
        <v>4.9606948494910777E-2</v>
      </c>
      <c r="L41" s="5">
        <f>'Proximal Validation'!L41</f>
        <v>3.1119555234909065E-2</v>
      </c>
      <c r="M41" s="5">
        <f>'Proximal Validation'!M41</f>
        <v>-3.7808604538440697E-2</v>
      </c>
      <c r="N41" s="5">
        <f>'Proximal Validation'!N41</f>
        <v>0.127191096544266</v>
      </c>
      <c r="O41" s="5">
        <f>'Proximal Validation'!O41</f>
        <v>-0.83187156915664695</v>
      </c>
      <c r="P41" s="5">
        <v>0.67134743399089392</v>
      </c>
      <c r="Q41" s="5">
        <v>7.6528963359021165E-2</v>
      </c>
      <c r="R41" s="5">
        <v>5.5917324481873916</v>
      </c>
      <c r="S41" s="5">
        <v>0.54360310194551975</v>
      </c>
      <c r="T41" s="5">
        <v>2.6445241997435129E-2</v>
      </c>
      <c r="U41" s="5">
        <v>3.8445072521090387</v>
      </c>
      <c r="V41" s="13">
        <v>1.8248770851399804E-10</v>
      </c>
      <c r="W41" s="5">
        <f t="shared" si="7"/>
        <v>4.7755368790893926E-2</v>
      </c>
      <c r="X41" s="5">
        <f t="shared" si="7"/>
        <v>-3.4710366409788362E-3</v>
      </c>
      <c r="Y41" s="5">
        <f t="shared" si="2"/>
        <v>9.393244818739177E-2</v>
      </c>
      <c r="Z41" s="5">
        <f t="shared" si="8"/>
        <v>6.4824061445519776E-2</v>
      </c>
      <c r="AA41" s="5">
        <f t="shared" si="8"/>
        <v>6.4452419974351284E-3</v>
      </c>
      <c r="AB41" s="5">
        <f t="shared" si="3"/>
        <v>8.2492747890961393E-2</v>
      </c>
      <c r="AC41" s="8">
        <f t="shared" si="9"/>
        <v>5.6289715118206851E-2</v>
      </c>
      <c r="AD41" s="8">
        <f t="shared" si="9"/>
        <v>4.9581393192069823E-3</v>
      </c>
      <c r="AE41" s="8">
        <f t="shared" si="9"/>
        <v>8.8212598039176582E-2</v>
      </c>
    </row>
    <row r="42" spans="1:31" x14ac:dyDescent="0.25">
      <c r="A42" s="5">
        <f>'Proximal Validation'!A42</f>
        <v>1.3484992293</v>
      </c>
      <c r="B42" s="5">
        <f>'Proximal Validation'!B42</f>
        <v>0.2</v>
      </c>
      <c r="C42" s="5">
        <f>'Proximal Validation'!C42</f>
        <v>0</v>
      </c>
      <c r="D42" s="5">
        <f>'Proximal Validation'!D42</f>
        <v>0.39122828500000001</v>
      </c>
      <c r="E42" s="5">
        <f>'Proximal Validation'!E42</f>
        <v>0.14000000000000001</v>
      </c>
      <c r="F42" s="5">
        <f>'Proximal Validation'!F42</f>
        <v>0.78539999999999999</v>
      </c>
      <c r="G42" s="5">
        <f>'Proximal Validation'!G42</f>
        <v>1.9402253723</v>
      </c>
      <c r="H42" s="5">
        <f>'Proximal Validation'!H42</f>
        <v>1.6478522000000001E-3</v>
      </c>
      <c r="I42" s="5">
        <f>'Proximal Validation'!I42</f>
        <v>3.2221664534999999</v>
      </c>
      <c r="J42" s="5">
        <f>'Proximal Validation'!J42</f>
        <v>2.4063613265752799E-2</v>
      </c>
      <c r="K42" s="5">
        <f>'Proximal Validation'!K42</f>
        <v>-4.7257738709449847E-2</v>
      </c>
      <c r="L42" s="5">
        <f>'Proximal Validation'!L42</f>
        <v>0.28212942004203811</v>
      </c>
      <c r="M42" s="5">
        <f>'Proximal Validation'!M42</f>
        <v>-0.94563829898834195</v>
      </c>
      <c r="N42" s="5">
        <f>'Proximal Validation'!N42</f>
        <v>1.1476809978485101</v>
      </c>
      <c r="O42" s="5">
        <f>'Proximal Validation'!O42</f>
        <v>0.334593296051025</v>
      </c>
      <c r="P42" s="5">
        <v>1.4422391336056035</v>
      </c>
      <c r="Q42" s="5">
        <v>0.19460294142152981</v>
      </c>
      <c r="R42" s="5">
        <v>4.9579685006471514E-3</v>
      </c>
      <c r="S42" s="5">
        <v>0.32747866946676879</v>
      </c>
      <c r="T42" s="5">
        <v>0.13839210143000463</v>
      </c>
      <c r="U42" s="5">
        <v>0.96625064864263832</v>
      </c>
      <c r="V42" s="13">
        <v>1.3466425067838508E-8</v>
      </c>
      <c r="W42" s="5">
        <f t="shared" si="7"/>
        <v>9.3739904305603527E-2</v>
      </c>
      <c r="X42" s="5">
        <f t="shared" si="7"/>
        <v>-5.3970585784701985E-3</v>
      </c>
      <c r="Y42" s="5">
        <f t="shared" si="2"/>
        <v>4.9579685006471514E-3</v>
      </c>
      <c r="Z42" s="5">
        <f t="shared" si="8"/>
        <v>-6.3749615533231219E-2</v>
      </c>
      <c r="AA42" s="5">
        <f t="shared" si="8"/>
        <v>-1.6078985699953807E-3</v>
      </c>
      <c r="AB42" s="5">
        <f t="shared" si="3"/>
        <v>0.18085064864263833</v>
      </c>
      <c r="AC42" s="8">
        <f t="shared" si="9"/>
        <v>7.8744759919417373E-2</v>
      </c>
      <c r="AD42" s="8">
        <f t="shared" si="9"/>
        <v>3.5024785742327896E-3</v>
      </c>
      <c r="AE42" s="8">
        <f t="shared" si="9"/>
        <v>9.2904308571642738E-2</v>
      </c>
    </row>
    <row r="43" spans="1:31" x14ac:dyDescent="0.25">
      <c r="A43" s="5">
        <f>'Proximal Validation'!A43</f>
        <v>0.51681038229999998</v>
      </c>
      <c r="B43" s="5">
        <f>'Proximal Validation'!B43</f>
        <v>0.08</v>
      </c>
      <c r="C43" s="5">
        <f>'Proximal Validation'!C43</f>
        <v>0</v>
      </c>
      <c r="D43" s="5">
        <f>'Proximal Validation'!D43</f>
        <v>0.91461204240000005</v>
      </c>
      <c r="E43" s="5">
        <f>'Proximal Validation'!E43</f>
        <v>0.02</v>
      </c>
      <c r="F43" s="5">
        <f>'Proximal Validation'!F43</f>
        <v>3.927</v>
      </c>
      <c r="G43" s="5">
        <f>'Proximal Validation'!G43</f>
        <v>3.7945339589999998</v>
      </c>
      <c r="H43" s="5">
        <f>'Proximal Validation'!H43</f>
        <v>3.3481721828</v>
      </c>
      <c r="I43" s="5">
        <f>'Proximal Validation'!I43</f>
        <v>3.4429632493</v>
      </c>
      <c r="J43" s="5">
        <f>'Proximal Validation'!J43</f>
        <v>-3.8290908560156801E-4</v>
      </c>
      <c r="K43" s="5">
        <f>'Proximal Validation'!K43</f>
        <v>1.6115657389164026E-2</v>
      </c>
      <c r="L43" s="5">
        <f>'Proximal Validation'!L43</f>
        <v>2.8937506936490519E-2</v>
      </c>
      <c r="M43" s="5">
        <f>'Proximal Validation'!M43</f>
        <v>-1.27025358378887E-2</v>
      </c>
      <c r="N43" s="5">
        <f>'Proximal Validation'!N43</f>
        <v>-0.23589420318603499</v>
      </c>
      <c r="O43" s="5">
        <f>'Proximal Validation'!O43</f>
        <v>-0.73385769128799405</v>
      </c>
      <c r="P43" s="5">
        <v>0.50468435641142617</v>
      </c>
      <c r="Q43" s="5">
        <v>8.1478578706835406E-2</v>
      </c>
      <c r="R43" s="5">
        <v>6.2829754277977781</v>
      </c>
      <c r="S43" s="5">
        <v>0.9057389125176355</v>
      </c>
      <c r="T43" s="5">
        <v>2.0033308694656023E-2</v>
      </c>
      <c r="U43" s="5">
        <v>3.9361823504045503</v>
      </c>
      <c r="V43" s="13">
        <v>6.9463276493758211E-10</v>
      </c>
      <c r="W43" s="5">
        <f t="shared" si="7"/>
        <v>-1.212602588857381E-2</v>
      </c>
      <c r="X43" s="5">
        <f t="shared" si="7"/>
        <v>1.4785787068354039E-3</v>
      </c>
      <c r="Y43" s="5">
        <f t="shared" si="2"/>
        <v>2.0987938180816457E-4</v>
      </c>
      <c r="Z43" s="5">
        <f t="shared" si="8"/>
        <v>-8.8731298823645499E-3</v>
      </c>
      <c r="AA43" s="5">
        <f t="shared" si="8"/>
        <v>3.330869465602293E-5</v>
      </c>
      <c r="AB43" s="5">
        <f t="shared" si="3"/>
        <v>9.1823504045502879E-3</v>
      </c>
      <c r="AC43" s="8">
        <f t="shared" si="9"/>
        <v>1.049957788546918E-2</v>
      </c>
      <c r="AD43" s="8">
        <f t="shared" si="9"/>
        <v>7.5594370074571343E-4</v>
      </c>
      <c r="AE43" s="8">
        <f t="shared" si="9"/>
        <v>4.6961148931792263E-3</v>
      </c>
    </row>
    <row r="44" spans="1:31" x14ac:dyDescent="0.25">
      <c r="A44" s="5">
        <f>'Proximal Validation'!A44</f>
        <v>0.68441694529999997</v>
      </c>
      <c r="B44" s="5">
        <f>'Proximal Validation'!B44</f>
        <v>0.16</v>
      </c>
      <c r="C44" s="5">
        <f>'Proximal Validation'!C44</f>
        <v>2.3561999999999999</v>
      </c>
      <c r="D44" s="5">
        <f>'Proximal Validation'!D44</f>
        <v>1.4072090791</v>
      </c>
      <c r="E44" s="5">
        <f>'Proximal Validation'!E44</f>
        <v>0.1</v>
      </c>
      <c r="F44" s="5">
        <f>'Proximal Validation'!F44</f>
        <v>0.78539999999999999</v>
      </c>
      <c r="G44" s="5">
        <f>'Proximal Validation'!G44</f>
        <v>1.6472032243000001</v>
      </c>
      <c r="H44" s="5">
        <f>'Proximal Validation'!H44</f>
        <v>5.9795420000000002E-2</v>
      </c>
      <c r="I44" s="5">
        <f>'Proximal Validation'!I44</f>
        <v>0.1036992028</v>
      </c>
      <c r="J44" s="5">
        <f>'Proximal Validation'!J44</f>
        <v>6.5218294039368603E-3</v>
      </c>
      <c r="K44" s="5">
        <f>'Proximal Validation'!K44</f>
        <v>-0.18476446866989102</v>
      </c>
      <c r="L44" s="5">
        <f>'Proximal Validation'!L44</f>
        <v>3.5812929868698183E-2</v>
      </c>
      <c r="M44" s="5">
        <f>'Proximal Validation'!M44</f>
        <v>-0.29513090848922702</v>
      </c>
      <c r="N44" s="5">
        <f>'Proximal Validation'!N44</f>
        <v>0.62835580110549905</v>
      </c>
      <c r="O44" s="5">
        <f>'Proximal Validation'!O44</f>
        <v>1.4002138376236</v>
      </c>
      <c r="P44" s="5">
        <v>0.64709592031703023</v>
      </c>
      <c r="Q44" s="5">
        <v>0.16702712170009262</v>
      </c>
      <c r="R44" s="5">
        <v>2.065938101818563</v>
      </c>
      <c r="S44" s="5">
        <v>1.2232362624103588</v>
      </c>
      <c r="T44" s="5">
        <v>8.9774788257229579E-2</v>
      </c>
      <c r="U44" s="5">
        <v>0.83858558501999914</v>
      </c>
      <c r="V44" s="13">
        <v>2.2110682102733347E-8</v>
      </c>
      <c r="W44" s="5">
        <f t="shared" si="7"/>
        <v>-3.7321024982969742E-2</v>
      </c>
      <c r="X44" s="5">
        <f t="shared" si="7"/>
        <v>7.02712170009262E-3</v>
      </c>
      <c r="Y44" s="5">
        <f t="shared" si="2"/>
        <v>0.29026189818143688</v>
      </c>
      <c r="Z44" s="5">
        <f t="shared" si="8"/>
        <v>-0.18397281668964127</v>
      </c>
      <c r="AA44" s="5">
        <f t="shared" si="8"/>
        <v>-1.0225211742770426E-2</v>
      </c>
      <c r="AB44" s="5">
        <f t="shared" si="3"/>
        <v>5.3185585019999149E-2</v>
      </c>
      <c r="AC44" s="8">
        <f t="shared" si="9"/>
        <v>0.11064692083630551</v>
      </c>
      <c r="AD44" s="8">
        <f t="shared" si="9"/>
        <v>8.6261667214315232E-3</v>
      </c>
      <c r="AE44" s="8">
        <f t="shared" si="9"/>
        <v>0.17172374160071802</v>
      </c>
    </row>
    <row r="45" spans="1:31" x14ac:dyDescent="0.25">
      <c r="A45" s="5">
        <f>'Proximal Validation'!A45</f>
        <v>1.3991334753</v>
      </c>
      <c r="B45" s="5">
        <f>'Proximal Validation'!B45</f>
        <v>0.12</v>
      </c>
      <c r="C45" s="5">
        <f>'Proximal Validation'!C45</f>
        <v>5.4977999999999998</v>
      </c>
      <c r="D45" s="5">
        <f>'Proximal Validation'!D45</f>
        <v>0.96266422490000003</v>
      </c>
      <c r="E45" s="5">
        <f>'Proximal Validation'!E45</f>
        <v>0.06</v>
      </c>
      <c r="F45" s="5">
        <f>'Proximal Validation'!F45</f>
        <v>5.4977999999999998</v>
      </c>
      <c r="G45" s="5">
        <f>'Proximal Validation'!G45</f>
        <v>2.0231526378</v>
      </c>
      <c r="H45" s="5">
        <f>'Proximal Validation'!H45</f>
        <v>0.50988481399999996</v>
      </c>
      <c r="I45" s="5">
        <f>'Proximal Validation'!I45</f>
        <v>0.60427768879999999</v>
      </c>
      <c r="J45" s="5">
        <f>'Proximal Validation'!J45</f>
        <v>1.9630594179034198E-3</v>
      </c>
      <c r="K45" s="5">
        <f>'Proximal Validation'!K45</f>
        <v>0.1703220427036285</v>
      </c>
      <c r="L45" s="5">
        <f>'Proximal Validation'!L45</f>
        <v>0.16633532285690383</v>
      </c>
      <c r="M45" s="5">
        <f>'Proximal Validation'!M45</f>
        <v>-0.36146178841590898</v>
      </c>
      <c r="N45" s="5">
        <f>'Proximal Validation'!N45</f>
        <v>1.5526535511016799</v>
      </c>
      <c r="O45" s="5">
        <f>'Proximal Validation'!O45</f>
        <v>-1.77750408649445</v>
      </c>
      <c r="P45" s="5">
        <v>1.2240025747607013</v>
      </c>
      <c r="Q45" s="5">
        <v>0.12599111112696237</v>
      </c>
      <c r="R45" s="5">
        <v>5.49786144109407</v>
      </c>
      <c r="S45" s="5">
        <v>1.1382385806239392</v>
      </c>
      <c r="T45" s="5">
        <v>6.2948531531666088E-2</v>
      </c>
      <c r="U45" s="5">
        <v>5.4979377421864308</v>
      </c>
      <c r="V45" s="13">
        <v>4.8368693266041471E-9</v>
      </c>
      <c r="W45" s="5">
        <f t="shared" si="7"/>
        <v>-0.1751309005392987</v>
      </c>
      <c r="X45" s="5">
        <f t="shared" si="7"/>
        <v>5.9911111269623785E-3</v>
      </c>
      <c r="Y45" s="5">
        <f t="shared" si="2"/>
        <v>6.1441094070247004E-5</v>
      </c>
      <c r="Z45" s="5">
        <f t="shared" si="8"/>
        <v>0.1755743557239392</v>
      </c>
      <c r="AA45" s="5">
        <f t="shared" si="8"/>
        <v>2.9485315316660904E-3</v>
      </c>
      <c r="AB45" s="5">
        <f t="shared" si="3"/>
        <v>1.3774218643103353E-4</v>
      </c>
      <c r="AC45" s="8">
        <f t="shared" si="9"/>
        <v>0.17535262813161895</v>
      </c>
      <c r="AD45" s="8">
        <f t="shared" si="9"/>
        <v>4.4698213293142344E-3</v>
      </c>
      <c r="AE45" s="8">
        <f t="shared" si="9"/>
        <v>9.9591640250640268E-5</v>
      </c>
    </row>
    <row r="46" spans="1:31" x14ac:dyDescent="0.25">
      <c r="A46" s="5">
        <f>'Proximal Validation'!A46</f>
        <v>0.4668308846</v>
      </c>
      <c r="B46" s="5">
        <f>'Proximal Validation'!B46</f>
        <v>0.08</v>
      </c>
      <c r="C46" s="5">
        <f>'Proximal Validation'!C46</f>
        <v>3.1415999999999999</v>
      </c>
      <c r="D46" s="5">
        <f>'Proximal Validation'!D46</f>
        <v>1.1054712231999999</v>
      </c>
      <c r="E46" s="5">
        <f>'Proximal Validation'!E46</f>
        <v>0.04</v>
      </c>
      <c r="F46" s="5">
        <f>'Proximal Validation'!F46</f>
        <v>4.7123999999999997</v>
      </c>
      <c r="G46" s="5">
        <f>'Proximal Validation'!G46</f>
        <v>4.4838346888</v>
      </c>
      <c r="H46" s="5">
        <f>'Proximal Validation'!H46</f>
        <v>0.20145099390000001</v>
      </c>
      <c r="I46" s="5">
        <f>'Proximal Validation'!I46</f>
        <v>4.5041045776999997</v>
      </c>
      <c r="J46" s="5">
        <f>'Proximal Validation'!J46</f>
        <v>6.2750652432441701E-4</v>
      </c>
      <c r="K46" s="5">
        <f>'Proximal Validation'!K46</f>
        <v>4.87911289930337E-2</v>
      </c>
      <c r="L46" s="5">
        <f>'Proximal Validation'!L46</f>
        <v>-3.5860749185085292E-2</v>
      </c>
      <c r="M46" s="5">
        <f>'Proximal Validation'!M46</f>
        <v>5.4590590298175803E-3</v>
      </c>
      <c r="N46" s="5">
        <f>'Proximal Validation'!N46</f>
        <v>-0.39531296491622903</v>
      </c>
      <c r="O46" s="5">
        <f>'Proximal Validation'!O46</f>
        <v>-1.1238435506820701</v>
      </c>
      <c r="P46" s="5">
        <v>1.068124621129539</v>
      </c>
      <c r="Q46" s="5">
        <v>5.4150882001565641E-2</v>
      </c>
      <c r="R46" s="5">
        <v>3.5219085502137299</v>
      </c>
      <c r="S46" s="5">
        <v>0.88210619333878548</v>
      </c>
      <c r="T46" s="5">
        <v>3.2011781048814497E-2</v>
      </c>
      <c r="U46" s="5">
        <v>5.3497727776821735</v>
      </c>
      <c r="V46" s="13">
        <v>1.1653729636020181E-8</v>
      </c>
      <c r="W46" s="5">
        <f t="shared" si="7"/>
        <v>0.60129373652953899</v>
      </c>
      <c r="X46" s="5">
        <f t="shared" si="7"/>
        <v>-2.5849117998434361E-2</v>
      </c>
      <c r="Y46" s="5">
        <f t="shared" si="2"/>
        <v>0.38030855021373</v>
      </c>
      <c r="Z46" s="5">
        <f t="shared" si="8"/>
        <v>-0.22336502986121443</v>
      </c>
      <c r="AA46" s="5">
        <f t="shared" si="8"/>
        <v>-7.9882189511855037E-3</v>
      </c>
      <c r="AB46" s="5">
        <f t="shared" si="3"/>
        <v>0.63737277768217382</v>
      </c>
      <c r="AC46" s="8">
        <f t="shared" si="9"/>
        <v>0.41232938319537671</v>
      </c>
      <c r="AD46" s="8">
        <f t="shared" si="9"/>
        <v>1.6918668474809932E-2</v>
      </c>
      <c r="AE46" s="8">
        <f t="shared" si="9"/>
        <v>0.50884066394795191</v>
      </c>
    </row>
    <row r="47" spans="1:31" x14ac:dyDescent="0.25">
      <c r="A47" s="5">
        <f>'Proximal Validation'!A47</f>
        <v>1.4827422800000001</v>
      </c>
      <c r="B47" s="5">
        <f>'Proximal Validation'!B47</f>
        <v>0.08</v>
      </c>
      <c r="C47" s="5">
        <f>'Proximal Validation'!C47</f>
        <v>3.1415999999999999</v>
      </c>
      <c r="D47" s="5">
        <f>'Proximal Validation'!D47</f>
        <v>0.80651000630000003</v>
      </c>
      <c r="E47" s="5">
        <f>'Proximal Validation'!E47</f>
        <v>0.04</v>
      </c>
      <c r="F47" s="5">
        <f>'Proximal Validation'!F47</f>
        <v>4.7123999999999997</v>
      </c>
      <c r="G47" s="5">
        <f>'Proximal Validation'!G47</f>
        <v>4.1839238480000001</v>
      </c>
      <c r="H47" s="5">
        <f>'Proximal Validation'!H47</f>
        <v>4.1752821560999998</v>
      </c>
      <c r="I47" s="5">
        <f>'Proximal Validation'!I47</f>
        <v>0.4978333036</v>
      </c>
      <c r="J47" s="5">
        <f>'Proximal Validation'!J47</f>
        <v>1.6527259722352E-3</v>
      </c>
      <c r="K47" s="5">
        <f>'Proximal Validation'!K47</f>
        <v>3.6831824779510983E-2</v>
      </c>
      <c r="L47" s="5">
        <f>'Proximal Validation'!L47</f>
        <v>-0.12361461400985693</v>
      </c>
      <c r="M47" s="5">
        <f>'Proximal Validation'!M47</f>
        <v>-2.5319248437881501E-2</v>
      </c>
      <c r="N47" s="5">
        <f>'Proximal Validation'!N47</f>
        <v>-1.40897560119629</v>
      </c>
      <c r="O47" s="5">
        <f>'Proximal Validation'!O47</f>
        <v>-0.87691116333007801</v>
      </c>
      <c r="P47" s="5">
        <v>1.413258131787881</v>
      </c>
      <c r="Q47" s="5">
        <v>8.3659127520380697E-2</v>
      </c>
      <c r="R47" s="5">
        <v>3.3088996698625954</v>
      </c>
      <c r="S47" s="5">
        <v>0.57779921180514271</v>
      </c>
      <c r="T47" s="5">
        <v>2.2178949453987469E-2</v>
      </c>
      <c r="U47" s="5">
        <v>4.5567338968662829</v>
      </c>
      <c r="V47" s="13">
        <v>1.5992603233933724E-8</v>
      </c>
      <c r="W47" s="5">
        <f t="shared" si="7"/>
        <v>-6.9484148212119123E-2</v>
      </c>
      <c r="X47" s="5">
        <f t="shared" si="7"/>
        <v>3.659127520380695E-3</v>
      </c>
      <c r="Y47" s="5">
        <f t="shared" si="2"/>
        <v>0.16729966986259548</v>
      </c>
      <c r="Z47" s="5">
        <f t="shared" si="8"/>
        <v>-0.22871079449485732</v>
      </c>
      <c r="AA47" s="5">
        <f t="shared" si="8"/>
        <v>-1.7821050546012532E-2</v>
      </c>
      <c r="AB47" s="5">
        <f t="shared" si="3"/>
        <v>0.15566610313371676</v>
      </c>
      <c r="AC47" s="8">
        <f t="shared" si="9"/>
        <v>0.14909747135348822</v>
      </c>
      <c r="AD47" s="8">
        <f t="shared" si="9"/>
        <v>1.0740089033196613E-2</v>
      </c>
      <c r="AE47" s="8">
        <f t="shared" si="9"/>
        <v>0.16148288649815612</v>
      </c>
    </row>
    <row r="48" spans="1:31" x14ac:dyDescent="0.25">
      <c r="A48" s="5">
        <f>'Proximal Validation'!A48</f>
        <v>1.4313963908</v>
      </c>
      <c r="B48" s="5">
        <f>'Proximal Validation'!B48</f>
        <v>0.2</v>
      </c>
      <c r="C48" s="5">
        <f>'Proximal Validation'!C48</f>
        <v>5.4977999999999998</v>
      </c>
      <c r="D48" s="5">
        <f>'Proximal Validation'!D48</f>
        <v>0.66088478610000001</v>
      </c>
      <c r="E48" s="5">
        <f>'Proximal Validation'!E48</f>
        <v>0.16</v>
      </c>
      <c r="F48" s="5">
        <f>'Proximal Validation'!F48</f>
        <v>5.4977999999999998</v>
      </c>
      <c r="G48" s="5">
        <f>'Proximal Validation'!G48</f>
        <v>4.6493399877000003</v>
      </c>
      <c r="H48" s="5">
        <f>'Proximal Validation'!H48</f>
        <v>1.9654430356000001</v>
      </c>
      <c r="I48" s="5">
        <f>'Proximal Validation'!I48</f>
        <v>1.6399488998</v>
      </c>
      <c r="J48" s="5">
        <f>'Proximal Validation'!J48</f>
        <v>9.6939438953995705E-3</v>
      </c>
      <c r="K48" s="5">
        <f>'Proximal Validation'!K48</f>
        <v>0.27004351437091834</v>
      </c>
      <c r="L48" s="5">
        <f>'Proximal Validation'!L48</f>
        <v>0.19298106670379606</v>
      </c>
      <c r="M48" s="5">
        <f>'Proximal Validation'!M48</f>
        <v>-1.59077119827271</v>
      </c>
      <c r="N48" s="5">
        <f>'Proximal Validation'!N48</f>
        <v>0.70686304569244396</v>
      </c>
      <c r="O48" s="5">
        <f>'Proximal Validation'!O48</f>
        <v>-0.98475259542465199</v>
      </c>
      <c r="P48" s="5">
        <v>1.3783390032051994</v>
      </c>
      <c r="Q48" s="5">
        <v>0.19941649905510336</v>
      </c>
      <c r="R48" s="5">
        <v>5.4979185377543889</v>
      </c>
      <c r="S48" s="5">
        <v>0.71439717528391367</v>
      </c>
      <c r="T48" s="5">
        <v>0.16323820317697954</v>
      </c>
      <c r="U48" s="5">
        <v>5.4975310853008832</v>
      </c>
      <c r="V48" s="13">
        <v>1.2280787278779208E-10</v>
      </c>
      <c r="W48" s="5">
        <f t="shared" si="7"/>
        <v>-5.3057387594800609E-2</v>
      </c>
      <c r="X48" s="5">
        <f t="shared" si="7"/>
        <v>-5.8350094489664772E-4</v>
      </c>
      <c r="Y48" s="5">
        <f t="shared" si="2"/>
        <v>1.1853775438908087E-4</v>
      </c>
      <c r="Z48" s="5">
        <f t="shared" si="8"/>
        <v>5.3512389183913656E-2</v>
      </c>
      <c r="AA48" s="5">
        <f t="shared" si="8"/>
        <v>3.2382031769795372E-3</v>
      </c>
      <c r="AB48" s="5">
        <f t="shared" si="3"/>
        <v>2.6891469911660693E-4</v>
      </c>
      <c r="AC48" s="8">
        <f t="shared" si="9"/>
        <v>5.3284888389357132E-2</v>
      </c>
      <c r="AD48" s="8">
        <f t="shared" si="9"/>
        <v>1.9108520609380925E-3</v>
      </c>
      <c r="AE48" s="8">
        <f t="shared" si="9"/>
        <v>1.937262267528439E-4</v>
      </c>
    </row>
    <row r="49" spans="1:31" x14ac:dyDescent="0.25">
      <c r="A49" s="5">
        <f>'Proximal Validation'!A49</f>
        <v>1.1008731407000001</v>
      </c>
      <c r="B49" s="5">
        <f>'Proximal Validation'!B49</f>
        <v>0.12</v>
      </c>
      <c r="C49" s="5">
        <f>'Proximal Validation'!C49</f>
        <v>4.7123999999999997</v>
      </c>
      <c r="D49" s="5">
        <f>'Proximal Validation'!D49</f>
        <v>1.0118865585000001</v>
      </c>
      <c r="E49" s="5">
        <f>'Proximal Validation'!E49</f>
        <v>0.08</v>
      </c>
      <c r="F49" s="5">
        <f>'Proximal Validation'!F49</f>
        <v>0</v>
      </c>
      <c r="G49" s="5">
        <f>'Proximal Validation'!G49</f>
        <v>2.5804466663999999</v>
      </c>
      <c r="H49" s="5">
        <f>'Proximal Validation'!H49</f>
        <v>2.8020908323999998</v>
      </c>
      <c r="I49" s="5">
        <f>'Proximal Validation'!I49</f>
        <v>1.4209598912000001</v>
      </c>
      <c r="J49" s="5">
        <f>'Proximal Validation'!J49</f>
        <v>-2.7996068820357301E-4</v>
      </c>
      <c r="K49" s="5">
        <f>'Proximal Validation'!K49</f>
        <v>0.13670089662075013</v>
      </c>
      <c r="L49" s="5">
        <f>'Proximal Validation'!L49</f>
        <v>7.6257542371749601E-2</v>
      </c>
      <c r="M49" s="5">
        <f>'Proximal Validation'!M49</f>
        <v>-0.204482272267342</v>
      </c>
      <c r="N49" s="5">
        <f>'Proximal Validation'!N49</f>
        <v>0.90759164094924905</v>
      </c>
      <c r="O49" s="5">
        <f>'Proximal Validation'!O49</f>
        <v>-1.08108770847321</v>
      </c>
      <c r="P49" s="5">
        <v>1.1186170745019617</v>
      </c>
      <c r="Q49" s="5">
        <v>0.11994100818039623</v>
      </c>
      <c r="R49" s="5">
        <v>4.5425426167726961</v>
      </c>
      <c r="S49" s="5">
        <v>1.2009083198226704</v>
      </c>
      <c r="T49" s="5">
        <v>8.6040525361713763E-2</v>
      </c>
      <c r="U49" s="5">
        <v>1.227556379967021E-3</v>
      </c>
      <c r="V49" s="13">
        <v>3.1546157908617545E-10</v>
      </c>
      <c r="W49" s="5">
        <f t="shared" si="7"/>
        <v>1.7743933801961598E-2</v>
      </c>
      <c r="X49" s="5">
        <f t="shared" si="7"/>
        <v>-5.8991819603768092E-5</v>
      </c>
      <c r="Y49" s="5">
        <f t="shared" si="2"/>
        <v>0.16985738322730359</v>
      </c>
      <c r="Z49" s="5">
        <f t="shared" si="8"/>
        <v>0.18902176132267035</v>
      </c>
      <c r="AA49" s="5">
        <f t="shared" si="8"/>
        <v>6.0405253617137611E-3</v>
      </c>
      <c r="AB49" s="5">
        <f t="shared" si="3"/>
        <v>1.227556379967021E-3</v>
      </c>
      <c r="AC49" s="8">
        <f t="shared" si="9"/>
        <v>0.10338284756231597</v>
      </c>
      <c r="AD49" s="8">
        <f t="shared" si="9"/>
        <v>3.0497585906587646E-3</v>
      </c>
      <c r="AE49" s="8">
        <f t="shared" si="9"/>
        <v>8.5542469803635307E-2</v>
      </c>
    </row>
    <row r="50" spans="1:31" x14ac:dyDescent="0.25">
      <c r="A50" s="5">
        <f>'Proximal Validation'!A50</f>
        <v>1.1548404238000001</v>
      </c>
      <c r="B50" s="5">
        <f>'Proximal Validation'!B50</f>
        <v>0.06</v>
      </c>
      <c r="C50" s="5">
        <f>'Proximal Validation'!C50</f>
        <v>0</v>
      </c>
      <c r="D50" s="5">
        <f>'Proximal Validation'!D50</f>
        <v>0.95560731600000004</v>
      </c>
      <c r="E50" s="5">
        <f>'Proximal Validation'!E50</f>
        <v>0.02</v>
      </c>
      <c r="F50" s="5">
        <f>'Proximal Validation'!F50</f>
        <v>5.4977999999999998</v>
      </c>
      <c r="G50" s="5">
        <f>'Proximal Validation'!G50</f>
        <v>1.7445767312</v>
      </c>
      <c r="H50" s="5">
        <f>'Proximal Validation'!H50</f>
        <v>3.9458122761999999</v>
      </c>
      <c r="I50" s="5">
        <f>'Proximal Validation'!I50</f>
        <v>4.9189190299999996</v>
      </c>
      <c r="J50" s="5">
        <f>'Proximal Validation'!J50</f>
        <v>6.5085850656032595E-4</v>
      </c>
      <c r="K50" s="5">
        <f>'Proximal Validation'!K50</f>
        <v>1.3685224652290398E-2</v>
      </c>
      <c r="L50" s="5">
        <f>'Proximal Validation'!L50</f>
        <v>8.8795118331908507E-2</v>
      </c>
      <c r="M50" s="5">
        <f>'Proximal Validation'!M50</f>
        <v>-7.4454337358474704E-2</v>
      </c>
      <c r="N50" s="5">
        <f>'Proximal Validation'!N50</f>
        <v>1.8312971591949501</v>
      </c>
      <c r="O50" s="5">
        <f>'Proximal Validation'!O50</f>
        <v>-0.74528855085372903</v>
      </c>
      <c r="P50" s="5">
        <v>1.1664697085556432</v>
      </c>
      <c r="Q50" s="5">
        <v>5.9526508826323474E-2</v>
      </c>
      <c r="R50" s="5">
        <v>6.2829090668970213</v>
      </c>
      <c r="S50" s="5">
        <v>0.94695768314718942</v>
      </c>
      <c r="T50" s="5">
        <v>2.0052702879566103E-2</v>
      </c>
      <c r="U50" s="5">
        <v>5.4896076513674545</v>
      </c>
      <c r="V50" s="13">
        <v>1.8513538727462052E-9</v>
      </c>
      <c r="W50" s="5">
        <f t="shared" si="7"/>
        <v>1.1629284755643177E-2</v>
      </c>
      <c r="X50" s="5">
        <f t="shared" si="7"/>
        <v>-4.7349117367652405E-4</v>
      </c>
      <c r="Y50" s="5">
        <f t="shared" si="2"/>
        <v>2.7624028256489908E-4</v>
      </c>
      <c r="Z50" s="5">
        <f t="shared" si="8"/>
        <v>-8.6496328528106181E-3</v>
      </c>
      <c r="AA50" s="5">
        <f t="shared" si="8"/>
        <v>5.2702879566102201E-5</v>
      </c>
      <c r="AB50" s="5">
        <f t="shared" si="3"/>
        <v>8.1923486325452544E-3</v>
      </c>
      <c r="AC50" s="8">
        <f t="shared" si="9"/>
        <v>1.0139458804226897E-2</v>
      </c>
      <c r="AD50" s="8">
        <f t="shared" si="9"/>
        <v>2.6309702662131312E-4</v>
      </c>
      <c r="AE50" s="8">
        <f t="shared" si="9"/>
        <v>4.2342944575550767E-3</v>
      </c>
    </row>
    <row r="51" spans="1:31" x14ac:dyDescent="0.25">
      <c r="A51" s="5">
        <f>'Proximal Validation'!A51</f>
        <v>1.1816252039999999</v>
      </c>
      <c r="B51" s="5">
        <f>'Proximal Validation'!B51</f>
        <v>0.08</v>
      </c>
      <c r="C51" s="5">
        <f>'Proximal Validation'!C51</f>
        <v>1.5708</v>
      </c>
      <c r="D51" s="5">
        <f>'Proximal Validation'!D51</f>
        <v>0.57227119820000005</v>
      </c>
      <c r="E51" s="5">
        <f>'Proximal Validation'!E51</f>
        <v>0.04</v>
      </c>
      <c r="F51" s="5">
        <f>'Proximal Validation'!F51</f>
        <v>0.78539999999999999</v>
      </c>
      <c r="G51" s="5">
        <f>'Proximal Validation'!G51</f>
        <v>1.4076592733</v>
      </c>
      <c r="H51" s="5">
        <f>'Proximal Validation'!H51</f>
        <v>1.3192874408999999</v>
      </c>
      <c r="I51" s="5">
        <f>'Proximal Validation'!I51</f>
        <v>2.6835966308999999</v>
      </c>
      <c r="J51" s="5">
        <f>'Proximal Validation'!J51</f>
        <v>3.1095910817384698E-3</v>
      </c>
      <c r="K51" s="5">
        <f>'Proximal Validation'!K51</f>
        <v>-0.11641326785087583</v>
      </c>
      <c r="L51" s="5">
        <f>'Proximal Validation'!L51</f>
        <v>2.1091862171888361E-2</v>
      </c>
      <c r="M51" s="5">
        <f>'Proximal Validation'!M51</f>
        <v>-4.1034575551748297E-2</v>
      </c>
      <c r="N51" s="5">
        <f>'Proximal Validation'!N51</f>
        <v>0.43968373537063599</v>
      </c>
      <c r="O51" s="5">
        <f>'Proximal Validation'!O51</f>
        <v>1.5314247608184799</v>
      </c>
      <c r="P51" s="5">
        <v>0.53923368654537751</v>
      </c>
      <c r="Q51" s="5">
        <v>9.6831640549153136E-2</v>
      </c>
      <c r="R51" s="5">
        <v>1.878896219438511</v>
      </c>
      <c r="S51" s="5">
        <v>1.2136080325229255</v>
      </c>
      <c r="T51" s="5">
        <v>5.6007721010769368E-2</v>
      </c>
      <c r="U51" s="5">
        <v>1.0835881582238525</v>
      </c>
      <c r="V51" s="13">
        <v>1.1751813904789552E-9</v>
      </c>
      <c r="W51" s="5">
        <f t="shared" si="7"/>
        <v>-0.64239151745462242</v>
      </c>
      <c r="X51" s="5">
        <f t="shared" si="7"/>
        <v>1.6831640549153135E-2</v>
      </c>
      <c r="Y51" s="5">
        <f t="shared" si="2"/>
        <v>0.30809621943851107</v>
      </c>
      <c r="Z51" s="5">
        <f t="shared" si="8"/>
        <v>0.64133683432292543</v>
      </c>
      <c r="AA51" s="5">
        <f t="shared" si="8"/>
        <v>1.6007721010769367E-2</v>
      </c>
      <c r="AB51" s="5">
        <f t="shared" si="3"/>
        <v>0.29818815822385247</v>
      </c>
      <c r="AC51" s="8">
        <f t="shared" si="9"/>
        <v>0.64186417588877398</v>
      </c>
      <c r="AD51" s="8">
        <f t="shared" si="9"/>
        <v>1.6419680779961251E-2</v>
      </c>
      <c r="AE51" s="8">
        <f t="shared" si="9"/>
        <v>0.30314218883118177</v>
      </c>
    </row>
    <row r="52" spans="1:31" x14ac:dyDescent="0.25">
      <c r="A52" s="21">
        <f>'Proximal Validation'!A52</f>
        <v>0.93729510640000002</v>
      </c>
      <c r="B52" s="21">
        <f>'Proximal Validation'!B52</f>
        <v>0.14000000000000001</v>
      </c>
      <c r="C52" s="21">
        <f>'Proximal Validation'!C52</f>
        <v>0.78539999999999999</v>
      </c>
      <c r="D52" s="21">
        <f>'Proximal Validation'!D52</f>
        <v>0.49250416219999998</v>
      </c>
      <c r="E52" s="21">
        <f>'Proximal Validation'!E52</f>
        <v>0.1</v>
      </c>
      <c r="F52" s="21">
        <f>'Proximal Validation'!F52</f>
        <v>0</v>
      </c>
      <c r="G52" s="21">
        <f>'Proximal Validation'!G52</f>
        <v>0.50502447429999997</v>
      </c>
      <c r="H52" s="21">
        <f>'Proximal Validation'!H52</f>
        <v>3.7817597896000001</v>
      </c>
      <c r="I52" s="21">
        <f>'Proximal Validation'!I52</f>
        <v>0.94479070089999995</v>
      </c>
      <c r="J52" s="21">
        <f>'Proximal Validation'!J52</f>
        <v>-1.50781311094761E-3</v>
      </c>
      <c r="K52" s="21">
        <f>'Proximal Validation'!K52</f>
        <v>-9.7985811829566921E-2</v>
      </c>
      <c r="L52" s="21">
        <f>'Proximal Validation'!L52</f>
        <v>0.1436945205926892</v>
      </c>
      <c r="M52" s="21">
        <f>'Proximal Validation'!M52</f>
        <v>-0.18748980760574299</v>
      </c>
      <c r="N52" s="21">
        <f>'Proximal Validation'!N52</f>
        <v>1.07943332195282</v>
      </c>
      <c r="O52" s="21">
        <f>'Proximal Validation'!O52</f>
        <v>0.62157618999481201</v>
      </c>
      <c r="P52" s="5">
        <v>0.41760428900007629</v>
      </c>
      <c r="Q52" s="5">
        <v>0.15403749788187371</v>
      </c>
      <c r="R52" s="5">
        <v>1.2723749142941416</v>
      </c>
      <c r="S52" s="5">
        <v>1.0661404912758801</v>
      </c>
      <c r="T52" s="5">
        <v>0.11933517310455302</v>
      </c>
      <c r="U52" s="5">
        <v>0.25280903904821378</v>
      </c>
      <c r="V52" s="13">
        <v>1.7745030228438854E-8</v>
      </c>
      <c r="W52" s="5">
        <f t="shared" si="7"/>
        <v>-0.51969081739992373</v>
      </c>
      <c r="X52" s="5">
        <f t="shared" si="7"/>
        <v>1.4037497881873695E-2</v>
      </c>
      <c r="Y52" s="5">
        <f t="shared" si="2"/>
        <v>0.48697491429414164</v>
      </c>
      <c r="Z52" s="5">
        <f t="shared" si="8"/>
        <v>0.57363632907588014</v>
      </c>
      <c r="AA52" s="5">
        <f t="shared" si="8"/>
        <v>1.9335173104553016E-2</v>
      </c>
      <c r="AB52" s="5">
        <f t="shared" si="3"/>
        <v>0.25280903904821378</v>
      </c>
      <c r="AC52" s="8">
        <f t="shared" si="9"/>
        <v>0.54666357323790193</v>
      </c>
      <c r="AD52" s="8">
        <f t="shared" si="9"/>
        <v>1.6686335493213356E-2</v>
      </c>
      <c r="AE52" s="8">
        <f t="shared" si="9"/>
        <v>0.36989197667117768</v>
      </c>
    </row>
    <row r="54" spans="1:31" x14ac:dyDescent="0.25">
      <c r="AC54" s="22"/>
      <c r="AD54" s="22"/>
      <c r="AE54" s="22"/>
    </row>
  </sheetData>
  <mergeCells count="6">
    <mergeCell ref="AF5:AK5"/>
    <mergeCell ref="A1:I1"/>
    <mergeCell ref="J1:O1"/>
    <mergeCell ref="P1:V1"/>
    <mergeCell ref="W1:AE1"/>
    <mergeCell ref="AF2:AK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V18"/>
  <sheetViews>
    <sheetView workbookViewId="0">
      <selection activeCell="V14" sqref="V14"/>
    </sheetView>
  </sheetViews>
  <sheetFormatPr defaultRowHeight="15" x14ac:dyDescent="0.25"/>
  <cols>
    <col min="22" max="22" width="17.7109375" bestFit="1" customWidth="1"/>
  </cols>
  <sheetData>
    <row r="1" spans="1:22" ht="15.75" x14ac:dyDescent="0.25">
      <c r="A1" s="36" t="s">
        <v>21</v>
      </c>
      <c r="B1" s="37"/>
      <c r="C1" s="37"/>
      <c r="D1" s="37"/>
      <c r="E1" s="37"/>
      <c r="F1" s="38"/>
      <c r="H1" s="36" t="s">
        <v>36</v>
      </c>
      <c r="I1" s="37"/>
      <c r="J1" s="37"/>
      <c r="K1" s="37"/>
      <c r="L1" s="37"/>
      <c r="M1" s="38"/>
      <c r="O1" s="36" t="s">
        <v>37</v>
      </c>
      <c r="P1" s="37"/>
      <c r="Q1" s="37"/>
      <c r="R1" s="37"/>
      <c r="S1" s="37"/>
      <c r="T1" s="38"/>
    </row>
    <row r="2" spans="1:22" ht="15.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  <c r="O2" s="3" t="s">
        <v>18</v>
      </c>
      <c r="P2" s="3" t="s">
        <v>19</v>
      </c>
      <c r="Q2" s="3" t="s">
        <v>20</v>
      </c>
      <c r="R2" s="3" t="s">
        <v>15</v>
      </c>
      <c r="S2" s="3" t="s">
        <v>16</v>
      </c>
      <c r="T2" s="3" t="s">
        <v>17</v>
      </c>
      <c r="V2" s="14" t="s">
        <v>38</v>
      </c>
    </row>
    <row r="3" spans="1:22" x14ac:dyDescent="0.25">
      <c r="A3">
        <v>-0.73385769128799405</v>
      </c>
      <c r="B3">
        <v>0.23589420318603499</v>
      </c>
      <c r="C3">
        <v>-1.27025358378887E-2</v>
      </c>
      <c r="D3">
        <v>7.7070286497473699E-3</v>
      </c>
      <c r="E3">
        <v>-8.2162849605083493E-2</v>
      </c>
      <c r="F3" s="4">
        <v>-3.8290908560156801E-4</v>
      </c>
      <c r="H3">
        <f>$F3</f>
        <v>-3.8290908560156801E-4</v>
      </c>
      <c r="I3">
        <f>-1*$E3</f>
        <v>8.2162849605083493E-2</v>
      </c>
      <c r="J3">
        <f>$D3</f>
        <v>7.7070286497473699E-3</v>
      </c>
      <c r="K3">
        <f>$C3</f>
        <v>-1.27025358378887E-2</v>
      </c>
      <c r="L3">
        <f>-1*$B3</f>
        <v>-0.23589420318603499</v>
      </c>
      <c r="M3">
        <f>$A3</f>
        <v>-0.73385769128799405</v>
      </c>
      <c r="O3">
        <f>H3</f>
        <v>-3.8290908560156801E-4</v>
      </c>
      <c r="P3">
        <f>I3+$V$3*M3</f>
        <v>1.6115657389164026E-2</v>
      </c>
      <c r="Q3">
        <f>J3-$V$3*L3</f>
        <v>2.8937506936490519E-2</v>
      </c>
      <c r="R3">
        <f>K3</f>
        <v>-1.27025358378887E-2</v>
      </c>
      <c r="S3">
        <f>L3</f>
        <v>-0.23589420318603499</v>
      </c>
      <c r="T3">
        <f>M3</f>
        <v>-0.73385769128799405</v>
      </c>
      <c r="V3">
        <f>0.09</f>
        <v>0.09</v>
      </c>
    </row>
    <row r="4" spans="1:22" x14ac:dyDescent="0.25">
      <c r="A4">
        <v>1.4002138376236</v>
      </c>
      <c r="B4">
        <v>-0.62835580110549905</v>
      </c>
      <c r="C4">
        <v>-0.29513090848922702</v>
      </c>
      <c r="D4">
        <v>9.2364951968193096E-2</v>
      </c>
      <c r="E4">
        <v>0.31078371405601501</v>
      </c>
      <c r="F4">
        <v>6.5218294039368603E-3</v>
      </c>
      <c r="H4">
        <f t="shared" ref="H4:H18" si="0">$F4</f>
        <v>6.5218294039368603E-3</v>
      </c>
      <c r="I4">
        <f t="shared" ref="I4:I18" si="1">-1*$E4</f>
        <v>-0.31078371405601501</v>
      </c>
      <c r="J4">
        <f t="shared" ref="J4:J18" si="2">$D4</f>
        <v>9.2364951968193096E-2</v>
      </c>
      <c r="K4">
        <f t="shared" ref="K4:K18" si="3">$C4</f>
        <v>-0.29513090848922702</v>
      </c>
      <c r="L4">
        <f t="shared" ref="L4:L18" si="4">-1*$B4</f>
        <v>0.62835580110549905</v>
      </c>
      <c r="M4">
        <f t="shared" ref="M4:M18" si="5">$A4</f>
        <v>1.4002138376236</v>
      </c>
      <c r="O4">
        <f t="shared" ref="O4:O18" si="6">H4</f>
        <v>6.5218294039368603E-3</v>
      </c>
      <c r="P4">
        <f t="shared" ref="P4:P18" si="7">I4+$V$3*M4</f>
        <v>-0.18476446866989102</v>
      </c>
      <c r="Q4">
        <f t="shared" ref="Q4:Q18" si="8">J4-$V$3*L4</f>
        <v>3.5812929868698183E-2</v>
      </c>
      <c r="R4">
        <f t="shared" ref="R4:R18" si="9">K4</f>
        <v>-0.29513090848922702</v>
      </c>
      <c r="S4">
        <f t="shared" ref="S4:S18" si="10">L4</f>
        <v>0.62835580110549905</v>
      </c>
      <c r="T4">
        <f t="shared" ref="T4:T18" si="11">M4</f>
        <v>1.4002138376236</v>
      </c>
    </row>
    <row r="5" spans="1:22" x14ac:dyDescent="0.25">
      <c r="A5">
        <v>-1.77750408649445</v>
      </c>
      <c r="B5">
        <v>-1.5526535511016799</v>
      </c>
      <c r="C5">
        <v>-0.36146178841590898</v>
      </c>
      <c r="D5">
        <v>0.30607414245605502</v>
      </c>
      <c r="E5">
        <v>-0.330297410488129</v>
      </c>
      <c r="F5">
        <v>1.9630594179034198E-3</v>
      </c>
      <c r="H5">
        <f t="shared" si="0"/>
        <v>1.9630594179034198E-3</v>
      </c>
      <c r="I5">
        <f t="shared" si="1"/>
        <v>0.330297410488129</v>
      </c>
      <c r="J5">
        <f t="shared" si="2"/>
        <v>0.30607414245605502</v>
      </c>
      <c r="K5">
        <f t="shared" si="3"/>
        <v>-0.36146178841590898</v>
      </c>
      <c r="L5">
        <f t="shared" si="4"/>
        <v>1.5526535511016799</v>
      </c>
      <c r="M5">
        <f t="shared" si="5"/>
        <v>-1.77750408649445</v>
      </c>
      <c r="O5">
        <f t="shared" si="6"/>
        <v>1.9630594179034198E-3</v>
      </c>
      <c r="P5">
        <f t="shared" si="7"/>
        <v>0.1703220427036285</v>
      </c>
      <c r="Q5">
        <f t="shared" si="8"/>
        <v>0.16633532285690383</v>
      </c>
      <c r="R5">
        <f t="shared" si="9"/>
        <v>-0.36146178841590898</v>
      </c>
      <c r="S5">
        <f t="shared" si="10"/>
        <v>1.5526535511016799</v>
      </c>
      <c r="T5">
        <f t="shared" si="11"/>
        <v>-1.77750408649445</v>
      </c>
    </row>
    <row r="6" spans="1:22" x14ac:dyDescent="0.25">
      <c r="A6">
        <v>-1.1238435506820701</v>
      </c>
      <c r="B6">
        <v>0.39531296491622903</v>
      </c>
      <c r="C6">
        <v>5.4590590298175803E-3</v>
      </c>
      <c r="D6">
        <v>-7.1438916027545901E-2</v>
      </c>
      <c r="E6">
        <v>-0.14993704855442</v>
      </c>
      <c r="F6">
        <v>6.2750652432441701E-4</v>
      </c>
      <c r="H6">
        <f t="shared" si="0"/>
        <v>6.2750652432441701E-4</v>
      </c>
      <c r="I6">
        <f t="shared" si="1"/>
        <v>0.14993704855442</v>
      </c>
      <c r="J6">
        <f t="shared" si="2"/>
        <v>-7.1438916027545901E-2</v>
      </c>
      <c r="K6">
        <f t="shared" si="3"/>
        <v>5.4590590298175803E-3</v>
      </c>
      <c r="L6">
        <f t="shared" si="4"/>
        <v>-0.39531296491622903</v>
      </c>
      <c r="M6">
        <f t="shared" si="5"/>
        <v>-1.1238435506820701</v>
      </c>
      <c r="O6">
        <f t="shared" si="6"/>
        <v>6.2750652432441701E-4</v>
      </c>
      <c r="P6">
        <f t="shared" si="7"/>
        <v>4.87911289930337E-2</v>
      </c>
      <c r="Q6">
        <f t="shared" si="8"/>
        <v>-3.5860749185085292E-2</v>
      </c>
      <c r="R6">
        <f t="shared" si="9"/>
        <v>5.4590590298175803E-3</v>
      </c>
      <c r="S6">
        <f t="shared" si="10"/>
        <v>-0.39531296491622903</v>
      </c>
      <c r="T6">
        <f t="shared" si="11"/>
        <v>-1.1238435506820701</v>
      </c>
    </row>
    <row r="7" spans="1:22" x14ac:dyDescent="0.25">
      <c r="A7">
        <v>-0.87691116333007801</v>
      </c>
      <c r="B7">
        <v>1.40897560119629</v>
      </c>
      <c r="C7">
        <v>-2.5319248437881501E-2</v>
      </c>
      <c r="D7">
        <v>-0.25042241811752303</v>
      </c>
      <c r="E7">
        <v>-0.115753829479218</v>
      </c>
      <c r="F7">
        <v>1.6527259722352E-3</v>
      </c>
      <c r="H7">
        <f t="shared" si="0"/>
        <v>1.6527259722352E-3</v>
      </c>
      <c r="I7">
        <f t="shared" si="1"/>
        <v>0.115753829479218</v>
      </c>
      <c r="J7">
        <f t="shared" si="2"/>
        <v>-0.25042241811752303</v>
      </c>
      <c r="K7">
        <f t="shared" si="3"/>
        <v>-2.5319248437881501E-2</v>
      </c>
      <c r="L7">
        <f t="shared" si="4"/>
        <v>-1.40897560119629</v>
      </c>
      <c r="M7">
        <f t="shared" si="5"/>
        <v>-0.87691116333007801</v>
      </c>
      <c r="O7">
        <f t="shared" si="6"/>
        <v>1.6527259722352E-3</v>
      </c>
      <c r="P7">
        <f t="shared" si="7"/>
        <v>3.6831824779510983E-2</v>
      </c>
      <c r="Q7">
        <f t="shared" si="8"/>
        <v>-0.12361461400985693</v>
      </c>
      <c r="R7">
        <f t="shared" si="9"/>
        <v>-2.5319248437881501E-2</v>
      </c>
      <c r="S7">
        <f t="shared" si="10"/>
        <v>-1.40897560119629</v>
      </c>
      <c r="T7">
        <f t="shared" si="11"/>
        <v>-0.87691116333007801</v>
      </c>
    </row>
    <row r="8" spans="1:22" x14ac:dyDescent="0.25">
      <c r="A8">
        <v>-0.98475259542465199</v>
      </c>
      <c r="B8">
        <v>-0.70686304569244396</v>
      </c>
      <c r="C8">
        <v>-1.59077119827271</v>
      </c>
      <c r="D8">
        <v>0.256598740816116</v>
      </c>
      <c r="E8">
        <v>-0.35867124795913702</v>
      </c>
      <c r="F8">
        <v>9.6939438953995705E-3</v>
      </c>
      <c r="H8">
        <f t="shared" si="0"/>
        <v>9.6939438953995705E-3</v>
      </c>
      <c r="I8">
        <f t="shared" si="1"/>
        <v>0.35867124795913702</v>
      </c>
      <c r="J8">
        <f t="shared" si="2"/>
        <v>0.256598740816116</v>
      </c>
      <c r="K8">
        <f t="shared" si="3"/>
        <v>-1.59077119827271</v>
      </c>
      <c r="L8">
        <f t="shared" si="4"/>
        <v>0.70686304569244396</v>
      </c>
      <c r="M8">
        <f t="shared" si="5"/>
        <v>-0.98475259542465199</v>
      </c>
      <c r="O8">
        <f t="shared" si="6"/>
        <v>9.6939438953995705E-3</v>
      </c>
      <c r="P8">
        <f t="shared" si="7"/>
        <v>0.27004351437091834</v>
      </c>
      <c r="Q8">
        <f t="shared" si="8"/>
        <v>0.19298106670379606</v>
      </c>
      <c r="R8">
        <f t="shared" si="9"/>
        <v>-1.59077119827271</v>
      </c>
      <c r="S8">
        <f t="shared" si="10"/>
        <v>0.70686304569244396</v>
      </c>
      <c r="T8">
        <f t="shared" si="11"/>
        <v>-0.98475259542465199</v>
      </c>
    </row>
    <row r="9" spans="1:22" x14ac:dyDescent="0.25">
      <c r="A9">
        <v>-1.08108770847321</v>
      </c>
      <c r="B9">
        <v>-0.90759164094924905</v>
      </c>
      <c r="C9">
        <v>-0.204482272267342</v>
      </c>
      <c r="D9">
        <v>0.15794079005718201</v>
      </c>
      <c r="E9">
        <v>-0.23399879038333901</v>
      </c>
      <c r="F9">
        <v>-2.7996068820357301E-4</v>
      </c>
      <c r="H9">
        <f t="shared" si="0"/>
        <v>-2.7996068820357301E-4</v>
      </c>
      <c r="I9">
        <f t="shared" si="1"/>
        <v>0.23399879038333901</v>
      </c>
      <c r="J9">
        <f t="shared" si="2"/>
        <v>0.15794079005718201</v>
      </c>
      <c r="K9">
        <f t="shared" si="3"/>
        <v>-0.204482272267342</v>
      </c>
      <c r="L9">
        <f t="shared" si="4"/>
        <v>0.90759164094924905</v>
      </c>
      <c r="M9">
        <f t="shared" si="5"/>
        <v>-1.08108770847321</v>
      </c>
      <c r="O9">
        <f t="shared" si="6"/>
        <v>-2.7996068820357301E-4</v>
      </c>
      <c r="P9">
        <f t="shared" si="7"/>
        <v>0.13670089662075013</v>
      </c>
      <c r="Q9">
        <f t="shared" si="8"/>
        <v>7.6257542371749601E-2</v>
      </c>
      <c r="R9">
        <f t="shared" si="9"/>
        <v>-0.204482272267342</v>
      </c>
      <c r="S9">
        <f t="shared" si="10"/>
        <v>0.90759164094924905</v>
      </c>
      <c r="T9">
        <f t="shared" si="11"/>
        <v>-1.08108770847321</v>
      </c>
    </row>
    <row r="10" spans="1:22" x14ac:dyDescent="0.25">
      <c r="A10">
        <v>-0.74528855085372903</v>
      </c>
      <c r="B10">
        <v>-1.8312971591949501</v>
      </c>
      <c r="C10">
        <v>-7.4454337358474704E-2</v>
      </c>
      <c r="D10">
        <v>0.25361186265945401</v>
      </c>
      <c r="E10">
        <v>-8.0761194229126004E-2</v>
      </c>
      <c r="F10">
        <v>6.5085850656032595E-4</v>
      </c>
      <c r="H10">
        <f t="shared" si="0"/>
        <v>6.5085850656032595E-4</v>
      </c>
      <c r="I10">
        <f t="shared" si="1"/>
        <v>8.0761194229126004E-2</v>
      </c>
      <c r="J10">
        <f t="shared" si="2"/>
        <v>0.25361186265945401</v>
      </c>
      <c r="K10">
        <f t="shared" si="3"/>
        <v>-7.4454337358474704E-2</v>
      </c>
      <c r="L10">
        <f t="shared" si="4"/>
        <v>1.8312971591949501</v>
      </c>
      <c r="M10">
        <f t="shared" si="5"/>
        <v>-0.74528855085372903</v>
      </c>
      <c r="O10">
        <f t="shared" si="6"/>
        <v>6.5085850656032595E-4</v>
      </c>
      <c r="P10">
        <f t="shared" si="7"/>
        <v>1.3685224652290398E-2</v>
      </c>
      <c r="Q10">
        <f t="shared" si="8"/>
        <v>8.8795118331908507E-2</v>
      </c>
      <c r="R10">
        <f t="shared" si="9"/>
        <v>-7.4454337358474704E-2</v>
      </c>
      <c r="S10">
        <f t="shared" si="10"/>
        <v>1.8312971591949501</v>
      </c>
      <c r="T10">
        <f t="shared" si="11"/>
        <v>-0.74528855085372903</v>
      </c>
    </row>
    <row r="11" spans="1:22" x14ac:dyDescent="0.25">
      <c r="A11">
        <v>1.5314247608184799</v>
      </c>
      <c r="B11">
        <v>-0.43968373537063599</v>
      </c>
      <c r="C11">
        <v>-4.1034575551748297E-2</v>
      </c>
      <c r="D11">
        <v>6.0663398355245597E-2</v>
      </c>
      <c r="E11">
        <v>0.25424149632453902</v>
      </c>
      <c r="F11">
        <v>3.1095910817384698E-3</v>
      </c>
      <c r="H11">
        <f t="shared" si="0"/>
        <v>3.1095910817384698E-3</v>
      </c>
      <c r="I11">
        <f t="shared" si="1"/>
        <v>-0.25424149632453902</v>
      </c>
      <c r="J11">
        <f t="shared" si="2"/>
        <v>6.0663398355245597E-2</v>
      </c>
      <c r="K11">
        <f t="shared" si="3"/>
        <v>-4.1034575551748297E-2</v>
      </c>
      <c r="L11">
        <f t="shared" si="4"/>
        <v>0.43968373537063599</v>
      </c>
      <c r="M11">
        <f t="shared" si="5"/>
        <v>1.5314247608184799</v>
      </c>
      <c r="O11">
        <f t="shared" si="6"/>
        <v>3.1095910817384698E-3</v>
      </c>
      <c r="P11">
        <f t="shared" si="7"/>
        <v>-0.11641326785087583</v>
      </c>
      <c r="Q11">
        <f t="shared" si="8"/>
        <v>2.1091862171888361E-2</v>
      </c>
      <c r="R11">
        <f t="shared" si="9"/>
        <v>-4.1034575551748297E-2</v>
      </c>
      <c r="S11">
        <f t="shared" si="10"/>
        <v>0.43968373537063599</v>
      </c>
      <c r="T11">
        <f t="shared" si="11"/>
        <v>1.5314247608184799</v>
      </c>
    </row>
    <row r="12" spans="1:22" x14ac:dyDescent="0.25">
      <c r="A12">
        <v>0.62157618999481201</v>
      </c>
      <c r="B12">
        <v>-1.07943332195282</v>
      </c>
      <c r="C12">
        <v>-0.18748980760574299</v>
      </c>
      <c r="D12">
        <v>0.24084351956844299</v>
      </c>
      <c r="E12">
        <v>0.15392766892910001</v>
      </c>
      <c r="F12">
        <v>-1.50781311094761E-3</v>
      </c>
      <c r="H12">
        <f t="shared" si="0"/>
        <v>-1.50781311094761E-3</v>
      </c>
      <c r="I12">
        <f t="shared" si="1"/>
        <v>-0.15392766892910001</v>
      </c>
      <c r="J12">
        <f t="shared" si="2"/>
        <v>0.24084351956844299</v>
      </c>
      <c r="K12">
        <f t="shared" si="3"/>
        <v>-0.18748980760574299</v>
      </c>
      <c r="L12">
        <f t="shared" si="4"/>
        <v>1.07943332195282</v>
      </c>
      <c r="M12">
        <f t="shared" si="5"/>
        <v>0.62157618999481201</v>
      </c>
      <c r="O12">
        <f t="shared" si="6"/>
        <v>-1.50781311094761E-3</v>
      </c>
      <c r="P12">
        <f t="shared" si="7"/>
        <v>-9.7985811829566921E-2</v>
      </c>
      <c r="Q12">
        <f t="shared" si="8"/>
        <v>0.1436945205926892</v>
      </c>
      <c r="R12">
        <f t="shared" si="9"/>
        <v>-0.18748980760574299</v>
      </c>
      <c r="S12">
        <f t="shared" si="10"/>
        <v>1.07943332195282</v>
      </c>
      <c r="T12">
        <f t="shared" si="11"/>
        <v>0.62157618999481201</v>
      </c>
    </row>
    <row r="13" spans="1:22" x14ac:dyDescent="0.25"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0</v>
      </c>
      <c r="L13">
        <f t="shared" si="4"/>
        <v>0</v>
      </c>
      <c r="M13">
        <f t="shared" si="5"/>
        <v>0</v>
      </c>
      <c r="O13">
        <f t="shared" si="6"/>
        <v>0</v>
      </c>
      <c r="P13">
        <f t="shared" si="7"/>
        <v>0</v>
      </c>
      <c r="Q13">
        <f t="shared" si="8"/>
        <v>0</v>
      </c>
      <c r="R13">
        <f t="shared" si="9"/>
        <v>0</v>
      </c>
      <c r="S13">
        <f t="shared" si="10"/>
        <v>0</v>
      </c>
      <c r="T13">
        <f t="shared" si="11"/>
        <v>0</v>
      </c>
    </row>
    <row r="14" spans="1:22" x14ac:dyDescent="0.25"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4"/>
        <v>0</v>
      </c>
      <c r="M14">
        <f t="shared" si="5"/>
        <v>0</v>
      </c>
      <c r="O14">
        <f t="shared" si="6"/>
        <v>0</v>
      </c>
      <c r="P14">
        <f t="shared" si="7"/>
        <v>0</v>
      </c>
      <c r="Q14">
        <f t="shared" si="8"/>
        <v>0</v>
      </c>
      <c r="R14">
        <f t="shared" si="9"/>
        <v>0</v>
      </c>
      <c r="S14">
        <f t="shared" si="10"/>
        <v>0</v>
      </c>
      <c r="T14">
        <f t="shared" si="11"/>
        <v>0</v>
      </c>
    </row>
    <row r="15" spans="1:22" x14ac:dyDescent="0.25"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4"/>
        <v>0</v>
      </c>
      <c r="M15">
        <f t="shared" si="5"/>
        <v>0</v>
      </c>
      <c r="O15">
        <f t="shared" si="6"/>
        <v>0</v>
      </c>
      <c r="P15">
        <f t="shared" si="7"/>
        <v>0</v>
      </c>
      <c r="Q15">
        <f t="shared" si="8"/>
        <v>0</v>
      </c>
      <c r="R15">
        <f t="shared" si="9"/>
        <v>0</v>
      </c>
      <c r="S15">
        <f t="shared" si="10"/>
        <v>0</v>
      </c>
      <c r="T15">
        <f t="shared" si="11"/>
        <v>0</v>
      </c>
    </row>
    <row r="16" spans="1:22" x14ac:dyDescent="0.25"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4"/>
        <v>0</v>
      </c>
      <c r="M16">
        <f t="shared" si="5"/>
        <v>0</v>
      </c>
      <c r="O16">
        <f t="shared" si="6"/>
        <v>0</v>
      </c>
      <c r="P16">
        <f t="shared" si="7"/>
        <v>0</v>
      </c>
      <c r="Q16">
        <f t="shared" si="8"/>
        <v>0</v>
      </c>
      <c r="R16">
        <f t="shared" si="9"/>
        <v>0</v>
      </c>
      <c r="S16">
        <f t="shared" si="10"/>
        <v>0</v>
      </c>
      <c r="T16">
        <f t="shared" si="11"/>
        <v>0</v>
      </c>
    </row>
    <row r="17" spans="8:20" x14ac:dyDescent="0.25"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>
        <f t="shared" si="5"/>
        <v>0</v>
      </c>
      <c r="O17">
        <f t="shared" si="6"/>
        <v>0</v>
      </c>
      <c r="P17">
        <f t="shared" si="7"/>
        <v>0</v>
      </c>
      <c r="Q17">
        <f t="shared" si="8"/>
        <v>0</v>
      </c>
      <c r="R17">
        <f t="shared" si="9"/>
        <v>0</v>
      </c>
      <c r="S17">
        <f t="shared" si="10"/>
        <v>0</v>
      </c>
      <c r="T17">
        <f t="shared" si="11"/>
        <v>0</v>
      </c>
    </row>
    <row r="18" spans="8:20" x14ac:dyDescent="0.2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  <c r="O18">
        <f t="shared" si="6"/>
        <v>0</v>
      </c>
      <c r="P18">
        <f t="shared" si="7"/>
        <v>0</v>
      </c>
      <c r="Q18">
        <f t="shared" si="8"/>
        <v>0</v>
      </c>
      <c r="R18">
        <f t="shared" si="9"/>
        <v>0</v>
      </c>
      <c r="S18">
        <f t="shared" si="10"/>
        <v>0</v>
      </c>
      <c r="T18">
        <f t="shared" si="11"/>
        <v>0</v>
      </c>
    </row>
  </sheetData>
  <mergeCells count="3">
    <mergeCell ref="A1:F1"/>
    <mergeCell ref="H1:M1"/>
    <mergeCell ref="O1:T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4261-934D-41E3-BBC3-63975A38C41E}">
  <dimension ref="D3:X52"/>
  <sheetViews>
    <sheetView topLeftCell="A4" workbookViewId="0">
      <selection activeCell="R3" sqref="R3:X52"/>
    </sheetView>
  </sheetViews>
  <sheetFormatPr defaultRowHeight="15" x14ac:dyDescent="0.25"/>
  <sheetData>
    <row r="3" spans="4:24" x14ac:dyDescent="0.25">
      <c r="D3" t="s">
        <v>43</v>
      </c>
      <c r="E3" s="5">
        <v>0.57634630980000001</v>
      </c>
      <c r="F3" s="5">
        <v>0.2</v>
      </c>
      <c r="G3" s="5">
        <v>0.78539999999999999</v>
      </c>
      <c r="H3" s="5">
        <v>1.1398024601000001</v>
      </c>
      <c r="I3" s="5">
        <v>0.02</v>
      </c>
      <c r="J3" s="5">
        <v>5.4977999999999998</v>
      </c>
      <c r="K3" s="5">
        <v>0.49272223679999999</v>
      </c>
      <c r="L3" s="5">
        <v>4.4756011583999999</v>
      </c>
      <c r="M3" s="5">
        <v>4.1915536561</v>
      </c>
      <c r="N3" t="s">
        <v>44</v>
      </c>
      <c r="R3">
        <v>0.3</v>
      </c>
      <c r="S3">
        <v>0.2</v>
      </c>
      <c r="T3">
        <v>1.2084999999999999</v>
      </c>
      <c r="U3">
        <v>1.1049</v>
      </c>
      <c r="V3">
        <v>6.83E-2</v>
      </c>
      <c r="W3">
        <v>0</v>
      </c>
      <c r="X3">
        <v>1.1999999999999999E-3</v>
      </c>
    </row>
    <row r="4" spans="4:24" x14ac:dyDescent="0.25">
      <c r="E4" s="5">
        <v>1.2961945501000001</v>
      </c>
      <c r="F4" s="5">
        <v>0.2</v>
      </c>
      <c r="G4" s="5">
        <v>4.7123999999999997</v>
      </c>
      <c r="H4" s="5">
        <v>0.31907560010000002</v>
      </c>
      <c r="I4" s="5">
        <v>0.02</v>
      </c>
      <c r="J4" s="5">
        <v>1.5708</v>
      </c>
      <c r="K4" s="5">
        <v>0.53253118440000002</v>
      </c>
      <c r="L4" s="5">
        <v>1.6232893740000001</v>
      </c>
      <c r="M4" s="5">
        <v>9.6932284100000002E-2</v>
      </c>
      <c r="N4" t="s">
        <v>44</v>
      </c>
      <c r="R4">
        <v>1.0255000000000001</v>
      </c>
      <c r="S4">
        <v>0.2</v>
      </c>
      <c r="T4">
        <v>4.9531999999999998</v>
      </c>
      <c r="U4">
        <v>0.34689999999999999</v>
      </c>
      <c r="V4">
        <v>0.2</v>
      </c>
      <c r="W4">
        <v>3.9266999999999999</v>
      </c>
      <c r="X4">
        <v>2.0000000000000001E-4</v>
      </c>
    </row>
    <row r="5" spans="4:24" x14ac:dyDescent="0.25">
      <c r="E5" s="5">
        <v>0.3432844504</v>
      </c>
      <c r="F5" s="5">
        <v>0.2</v>
      </c>
      <c r="G5" s="5">
        <v>3.1415999999999999</v>
      </c>
      <c r="H5" s="5">
        <v>0.75633386430000005</v>
      </c>
      <c r="I5" s="5">
        <v>0.02</v>
      </c>
      <c r="J5" s="5">
        <v>3.1415999999999999</v>
      </c>
      <c r="K5" s="5">
        <v>3.5593988404000001</v>
      </c>
      <c r="L5" s="5">
        <v>2.6173593599</v>
      </c>
      <c r="M5" s="5">
        <v>2.7214845023000001</v>
      </c>
      <c r="N5" t="s">
        <v>44</v>
      </c>
      <c r="R5">
        <v>0.42880000000000001</v>
      </c>
      <c r="S5">
        <v>0.16139999999999999</v>
      </c>
      <c r="T5">
        <v>3.1427999999999998</v>
      </c>
      <c r="U5">
        <v>0.66930000000000001</v>
      </c>
      <c r="V5">
        <v>2.01E-2</v>
      </c>
      <c r="W5">
        <v>3.1425000000000001</v>
      </c>
      <c r="X5">
        <v>0</v>
      </c>
    </row>
    <row r="6" spans="4:24" x14ac:dyDescent="0.25">
      <c r="E6" s="5">
        <v>0.83277602429999997</v>
      </c>
      <c r="F6" s="5">
        <v>0.2</v>
      </c>
      <c r="G6" s="5">
        <v>4.7123999999999997</v>
      </c>
      <c r="H6" s="5">
        <v>1.4193655153</v>
      </c>
      <c r="I6" s="5">
        <v>0.04</v>
      </c>
      <c r="J6" s="5">
        <v>5.4977999999999998</v>
      </c>
      <c r="K6" s="5">
        <v>4.2084858911999996</v>
      </c>
      <c r="L6" s="5">
        <v>0.52916698419999997</v>
      </c>
      <c r="M6" s="5">
        <v>2.5150427606000001</v>
      </c>
      <c r="N6" t="s">
        <v>44</v>
      </c>
      <c r="R6">
        <v>0.83850000000000002</v>
      </c>
      <c r="S6">
        <v>0.19819999999999999</v>
      </c>
      <c r="T6">
        <v>4.7122000000000002</v>
      </c>
      <c r="U6">
        <v>1.4148000000000001</v>
      </c>
      <c r="V6">
        <v>3.9899999999999998E-2</v>
      </c>
      <c r="W6">
        <v>5.5007999999999999</v>
      </c>
      <c r="X6">
        <v>0</v>
      </c>
    </row>
    <row r="7" spans="4:24" x14ac:dyDescent="0.25">
      <c r="E7" s="5">
        <v>0.3898403909</v>
      </c>
      <c r="F7" s="5">
        <v>0.2</v>
      </c>
      <c r="G7" s="5">
        <v>1.5708</v>
      </c>
      <c r="H7" s="5">
        <v>0.45028828840000001</v>
      </c>
      <c r="I7" s="5">
        <v>0.04</v>
      </c>
      <c r="J7" s="5">
        <v>2.3561999999999999</v>
      </c>
      <c r="K7" s="5">
        <v>0.34676129480000001</v>
      </c>
      <c r="L7" s="5">
        <v>0.93612470940000003</v>
      </c>
      <c r="M7" s="5">
        <v>2.0702513480000002</v>
      </c>
      <c r="R7">
        <v>0.55279999999999996</v>
      </c>
      <c r="S7">
        <v>0.14510000000000001</v>
      </c>
      <c r="T7">
        <v>1.4137</v>
      </c>
      <c r="U7">
        <v>0.43390000000000001</v>
      </c>
      <c r="V7">
        <v>6.2399999999999997E-2</v>
      </c>
      <c r="W7">
        <v>2.7677</v>
      </c>
      <c r="X7">
        <v>0</v>
      </c>
    </row>
    <row r="8" spans="4:24" x14ac:dyDescent="0.25">
      <c r="E8">
        <v>0.86958752539999995</v>
      </c>
      <c r="F8">
        <v>0.2</v>
      </c>
      <c r="G8">
        <v>0.78539999999999999</v>
      </c>
      <c r="H8">
        <v>0.66933871</v>
      </c>
      <c r="I8">
        <v>0.04</v>
      </c>
      <c r="J8">
        <v>0.78539999999999999</v>
      </c>
      <c r="K8">
        <v>2.0486073985000002</v>
      </c>
      <c r="L8">
        <v>1.4427408886999999</v>
      </c>
      <c r="M8">
        <v>0.53737298850000004</v>
      </c>
      <c r="N8" t="s">
        <v>44</v>
      </c>
      <c r="R8">
        <v>0.88849999999999996</v>
      </c>
      <c r="S8">
        <v>0.19620000000000001</v>
      </c>
      <c r="T8">
        <v>0.78539999999999999</v>
      </c>
      <c r="U8">
        <v>0.65169999999999995</v>
      </c>
      <c r="V8">
        <v>3.8600000000000002E-2</v>
      </c>
      <c r="W8">
        <v>0.78590000000000004</v>
      </c>
      <c r="X8">
        <v>0</v>
      </c>
    </row>
    <row r="9" spans="4:24" x14ac:dyDescent="0.25">
      <c r="E9">
        <v>1.2260241731999999</v>
      </c>
      <c r="F9">
        <v>0.2</v>
      </c>
      <c r="G9">
        <v>3.1415999999999999</v>
      </c>
      <c r="H9">
        <v>0.53124592000000004</v>
      </c>
      <c r="I9">
        <v>0.04</v>
      </c>
      <c r="J9">
        <v>1.5708</v>
      </c>
      <c r="K9">
        <v>2.1721905802000001</v>
      </c>
      <c r="L9">
        <v>4.8592739976999999</v>
      </c>
      <c r="M9">
        <v>4.1505258277000001</v>
      </c>
      <c r="N9" t="s">
        <v>44</v>
      </c>
      <c r="R9">
        <v>1.226</v>
      </c>
      <c r="S9">
        <v>0.2</v>
      </c>
      <c r="T9">
        <v>3.1421000000000001</v>
      </c>
      <c r="U9">
        <v>0.53169999999999995</v>
      </c>
      <c r="V9">
        <v>4.02E-2</v>
      </c>
      <c r="W9">
        <v>1.5707</v>
      </c>
      <c r="X9">
        <v>0</v>
      </c>
    </row>
    <row r="10" spans="4:24" x14ac:dyDescent="0.25">
      <c r="E10">
        <v>1.4922792275000001</v>
      </c>
      <c r="F10">
        <v>0.2</v>
      </c>
      <c r="G10">
        <v>2.3561999999999999</v>
      </c>
      <c r="H10">
        <v>1.2493008810999999</v>
      </c>
      <c r="I10">
        <v>0.04</v>
      </c>
      <c r="J10">
        <v>0.78539999999999999</v>
      </c>
      <c r="K10">
        <v>0.65138204079999995</v>
      </c>
      <c r="L10">
        <v>2.3960292019999998</v>
      </c>
      <c r="M10">
        <v>3.8310385232000002</v>
      </c>
      <c r="N10" t="s">
        <v>44</v>
      </c>
      <c r="R10">
        <v>1.4927999999999999</v>
      </c>
      <c r="S10">
        <v>0.19950000000000001</v>
      </c>
      <c r="T10">
        <v>2.3696999999999999</v>
      </c>
      <c r="U10">
        <v>1.2652000000000001</v>
      </c>
      <c r="V10">
        <v>4.24E-2</v>
      </c>
      <c r="W10">
        <v>0.78400000000000003</v>
      </c>
      <c r="X10">
        <v>0</v>
      </c>
    </row>
    <row r="11" spans="4:24" x14ac:dyDescent="0.25">
      <c r="E11">
        <v>1.4258680059</v>
      </c>
      <c r="F11">
        <v>0.2</v>
      </c>
      <c r="G11">
        <v>4.7123999999999997</v>
      </c>
      <c r="H11">
        <v>0.35291314260000001</v>
      </c>
      <c r="I11">
        <v>0.04</v>
      </c>
      <c r="J11">
        <v>0</v>
      </c>
      <c r="K11">
        <v>3.4810259851000001</v>
      </c>
      <c r="L11">
        <v>1.1294030872</v>
      </c>
      <c r="M11">
        <v>4.9138255752999997</v>
      </c>
      <c r="N11" t="s">
        <v>44</v>
      </c>
      <c r="R11">
        <v>1.4948999999999999</v>
      </c>
      <c r="S11">
        <v>0.19889999999999999</v>
      </c>
      <c r="T11">
        <v>4.3463000000000003</v>
      </c>
      <c r="U11">
        <v>0.81730000000000003</v>
      </c>
      <c r="V11">
        <v>0.14360000000000001</v>
      </c>
      <c r="W11">
        <v>6.2831999999999999</v>
      </c>
      <c r="X11">
        <v>0</v>
      </c>
    </row>
    <row r="12" spans="4:24" x14ac:dyDescent="0.25">
      <c r="E12">
        <v>1.2847663906</v>
      </c>
      <c r="F12">
        <v>0.18</v>
      </c>
      <c r="G12">
        <v>0.78539999999999999</v>
      </c>
      <c r="H12">
        <v>0.98965387010000005</v>
      </c>
      <c r="I12">
        <v>0.04</v>
      </c>
      <c r="J12">
        <v>3.927</v>
      </c>
      <c r="K12">
        <v>3.2068327339999998</v>
      </c>
      <c r="L12">
        <v>3.5469168124000001</v>
      </c>
      <c r="M12">
        <v>1.1514404992</v>
      </c>
      <c r="N12" t="s">
        <v>44</v>
      </c>
      <c r="R12">
        <v>0.59899999999999998</v>
      </c>
      <c r="S12">
        <v>0.2</v>
      </c>
      <c r="T12">
        <v>1.3416999999999999</v>
      </c>
      <c r="U12">
        <v>0.51849999999999996</v>
      </c>
      <c r="V12">
        <v>0.2</v>
      </c>
      <c r="W12">
        <v>9.9400000000000002E-2</v>
      </c>
      <c r="X12">
        <v>1.2999999999999999E-3</v>
      </c>
    </row>
    <row r="13" spans="4:24" x14ac:dyDescent="0.25">
      <c r="E13">
        <v>0.82078888689999996</v>
      </c>
      <c r="F13">
        <v>0.18</v>
      </c>
      <c r="G13">
        <v>0</v>
      </c>
      <c r="H13">
        <v>1.3252826163</v>
      </c>
      <c r="I13">
        <v>0.04</v>
      </c>
      <c r="J13">
        <v>0</v>
      </c>
      <c r="K13">
        <v>3.9081993600000003E-2</v>
      </c>
      <c r="L13">
        <v>2.9262884955000001</v>
      </c>
      <c r="M13">
        <v>4.7431789933999999</v>
      </c>
      <c r="N13" t="s">
        <v>44</v>
      </c>
      <c r="R13">
        <v>0.8427</v>
      </c>
      <c r="S13">
        <v>0.17780000000000001</v>
      </c>
      <c r="T13">
        <v>0</v>
      </c>
      <c r="U13">
        <v>1.3037000000000001</v>
      </c>
      <c r="V13">
        <v>3.8800000000000001E-2</v>
      </c>
      <c r="W13">
        <v>0</v>
      </c>
      <c r="X13">
        <v>0</v>
      </c>
    </row>
    <row r="14" spans="4:24" x14ac:dyDescent="0.25">
      <c r="E14">
        <v>0.51355824630000002</v>
      </c>
      <c r="F14">
        <v>0.2</v>
      </c>
      <c r="G14">
        <v>2.3561999999999999</v>
      </c>
      <c r="H14">
        <v>0.96095190770000005</v>
      </c>
      <c r="I14">
        <v>0.06</v>
      </c>
      <c r="J14">
        <v>0</v>
      </c>
      <c r="K14">
        <v>2.4382389278000001</v>
      </c>
      <c r="L14">
        <v>4.2854047354000002</v>
      </c>
      <c r="M14">
        <v>0.33901404839999999</v>
      </c>
      <c r="N14" t="s">
        <v>44</v>
      </c>
      <c r="R14">
        <v>0.5071</v>
      </c>
      <c r="S14">
        <v>0.2</v>
      </c>
      <c r="T14">
        <v>2.3451</v>
      </c>
      <c r="U14">
        <v>0.95320000000000005</v>
      </c>
      <c r="V14">
        <v>5.8700000000000002E-2</v>
      </c>
      <c r="W14">
        <v>0</v>
      </c>
      <c r="X14">
        <v>0</v>
      </c>
    </row>
    <row r="15" spans="4:24" x14ac:dyDescent="0.25">
      <c r="E15">
        <v>0.35944564579999999</v>
      </c>
      <c r="F15">
        <v>0.18</v>
      </c>
      <c r="G15">
        <v>5.4977999999999998</v>
      </c>
      <c r="H15">
        <v>1.2877652723999999</v>
      </c>
      <c r="I15">
        <v>0.04</v>
      </c>
      <c r="J15">
        <v>2.3561999999999999</v>
      </c>
      <c r="K15">
        <v>2.1189458146</v>
      </c>
      <c r="L15">
        <v>2.2606748846000002</v>
      </c>
      <c r="M15">
        <v>0.94750633689999997</v>
      </c>
      <c r="N15" t="s">
        <v>44</v>
      </c>
      <c r="R15">
        <v>0.30270000000000002</v>
      </c>
      <c r="S15">
        <v>0.02</v>
      </c>
      <c r="T15">
        <v>3.3092000000000001</v>
      </c>
      <c r="U15">
        <v>0.58979999999999999</v>
      </c>
      <c r="V15">
        <v>0.02</v>
      </c>
      <c r="W15">
        <v>1.9259999999999999</v>
      </c>
      <c r="X15">
        <v>8.9999999999999998E-4</v>
      </c>
    </row>
    <row r="16" spans="4:24" x14ac:dyDescent="0.25">
      <c r="E16">
        <v>1.2267525763</v>
      </c>
      <c r="F16">
        <v>0.16</v>
      </c>
      <c r="G16">
        <v>5.4977999999999998</v>
      </c>
      <c r="H16">
        <v>1.4944716747</v>
      </c>
      <c r="I16">
        <v>0.04</v>
      </c>
      <c r="J16">
        <v>3.927</v>
      </c>
      <c r="K16">
        <v>0.31884207939999998</v>
      </c>
      <c r="L16">
        <v>3.8007215218999999</v>
      </c>
      <c r="M16">
        <v>0.48541647729999998</v>
      </c>
      <c r="N16" t="s">
        <v>44</v>
      </c>
      <c r="R16">
        <v>1.296</v>
      </c>
      <c r="S16">
        <v>0.15409999999999999</v>
      </c>
      <c r="T16">
        <v>5.3589000000000002</v>
      </c>
      <c r="U16">
        <v>1.3198000000000001</v>
      </c>
      <c r="V16">
        <v>2.47E-2</v>
      </c>
      <c r="W16">
        <v>3.8816000000000002</v>
      </c>
      <c r="X16">
        <v>0</v>
      </c>
    </row>
    <row r="17" spans="5:24" x14ac:dyDescent="0.25">
      <c r="E17">
        <v>0.64421489080000005</v>
      </c>
      <c r="F17">
        <v>0.14000000000000001</v>
      </c>
      <c r="G17">
        <v>0</v>
      </c>
      <c r="H17">
        <v>0.8523470823</v>
      </c>
      <c r="I17">
        <v>0.02</v>
      </c>
      <c r="J17">
        <v>4.7123999999999997</v>
      </c>
      <c r="K17">
        <v>8.0437148799999997E-2</v>
      </c>
      <c r="L17">
        <v>0.35167971240000001</v>
      </c>
      <c r="M17">
        <v>1.0501461195999999</v>
      </c>
      <c r="N17" t="s">
        <v>44</v>
      </c>
      <c r="R17">
        <v>0.3503</v>
      </c>
      <c r="S17">
        <v>0.13689999999999999</v>
      </c>
      <c r="T17">
        <v>0</v>
      </c>
      <c r="U17">
        <v>0.30630000000000002</v>
      </c>
      <c r="V17">
        <v>0.1368</v>
      </c>
      <c r="W17">
        <v>0</v>
      </c>
      <c r="X17">
        <v>2.0999999999999999E-3</v>
      </c>
    </row>
    <row r="18" spans="5:24" x14ac:dyDescent="0.25">
      <c r="E18">
        <v>1.1302547975999999</v>
      </c>
      <c r="F18">
        <v>0.16</v>
      </c>
      <c r="G18">
        <v>4.7123999999999997</v>
      </c>
      <c r="H18">
        <v>1.3446433494000001</v>
      </c>
      <c r="I18">
        <v>0.04</v>
      </c>
      <c r="J18">
        <v>0</v>
      </c>
      <c r="K18">
        <v>1.0644222964000001</v>
      </c>
      <c r="L18">
        <v>1.4761094460999999</v>
      </c>
      <c r="M18">
        <v>3.5278441351000001</v>
      </c>
      <c r="N18" t="s">
        <v>44</v>
      </c>
      <c r="R18">
        <v>1.1680999999999999</v>
      </c>
      <c r="S18">
        <v>0.15609999999999999</v>
      </c>
      <c r="T18">
        <v>4.7001999999999997</v>
      </c>
      <c r="U18">
        <v>1.3580000000000001</v>
      </c>
      <c r="V18">
        <v>4.1200000000000001E-2</v>
      </c>
      <c r="W18">
        <v>3.2500000000000001E-2</v>
      </c>
      <c r="X18">
        <v>0</v>
      </c>
    </row>
    <row r="19" spans="5:24" x14ac:dyDescent="0.25">
      <c r="E19">
        <v>0.44052297210000002</v>
      </c>
      <c r="F19">
        <v>0.14000000000000001</v>
      </c>
      <c r="G19">
        <v>0.78539999999999999</v>
      </c>
      <c r="H19">
        <v>1.0539703866000001</v>
      </c>
      <c r="I19">
        <v>0.02</v>
      </c>
      <c r="J19">
        <v>3.1415999999999999</v>
      </c>
      <c r="K19">
        <v>2.7027230284999999</v>
      </c>
      <c r="L19">
        <v>1.6080541686000001</v>
      </c>
      <c r="M19">
        <v>1.7094513416999999</v>
      </c>
      <c r="N19" t="s">
        <v>44</v>
      </c>
      <c r="R19">
        <v>0.48080000000000001</v>
      </c>
      <c r="S19">
        <v>0.13120000000000001</v>
      </c>
      <c r="T19">
        <v>0.77590000000000003</v>
      </c>
      <c r="U19">
        <v>1.0862000000000001</v>
      </c>
      <c r="V19">
        <v>2.07E-2</v>
      </c>
      <c r="W19">
        <v>3.1650999999999998</v>
      </c>
      <c r="X19">
        <v>0</v>
      </c>
    </row>
    <row r="20" spans="5:24" x14ac:dyDescent="0.25">
      <c r="E20">
        <v>1.4424756030000001</v>
      </c>
      <c r="F20">
        <v>0.16</v>
      </c>
      <c r="G20">
        <v>0.78539999999999999</v>
      </c>
      <c r="H20">
        <v>1.1597422298</v>
      </c>
      <c r="I20">
        <v>0.04</v>
      </c>
      <c r="J20">
        <v>2.3561999999999999</v>
      </c>
      <c r="K20">
        <v>4.8092587324</v>
      </c>
      <c r="L20">
        <v>0.4784433911</v>
      </c>
      <c r="M20">
        <v>4.3446054411999997</v>
      </c>
      <c r="N20" t="s">
        <v>44</v>
      </c>
      <c r="R20">
        <v>1.4424999999999999</v>
      </c>
      <c r="S20">
        <v>0.16</v>
      </c>
      <c r="T20">
        <v>0.78549999999999998</v>
      </c>
      <c r="U20">
        <v>1.1596</v>
      </c>
      <c r="V20">
        <v>0.04</v>
      </c>
      <c r="W20">
        <v>2.3561999999999999</v>
      </c>
      <c r="X20">
        <v>0</v>
      </c>
    </row>
    <row r="21" spans="5:24" x14ac:dyDescent="0.25">
      <c r="E21">
        <v>1.3085202701</v>
      </c>
      <c r="F21">
        <v>0.14000000000000001</v>
      </c>
      <c r="G21">
        <v>3.927</v>
      </c>
      <c r="H21">
        <v>1.4295469448</v>
      </c>
      <c r="I21">
        <v>0.02</v>
      </c>
      <c r="J21">
        <v>0</v>
      </c>
      <c r="K21">
        <v>4.5210753759999998</v>
      </c>
      <c r="L21">
        <v>3.0172330613999998</v>
      </c>
      <c r="M21">
        <v>0.83361274470000002</v>
      </c>
      <c r="N21" t="s">
        <v>44</v>
      </c>
      <c r="R21">
        <v>0.99970000000000003</v>
      </c>
      <c r="S21">
        <v>0.17799999999999999</v>
      </c>
      <c r="T21">
        <v>3.9245999999999999</v>
      </c>
      <c r="U21">
        <v>1.2215</v>
      </c>
      <c r="V21">
        <v>0.02</v>
      </c>
      <c r="W21">
        <v>6.0923999999999996</v>
      </c>
      <c r="X21">
        <v>0</v>
      </c>
    </row>
    <row r="22" spans="5:24" x14ac:dyDescent="0.25">
      <c r="E22">
        <v>1.0278031490999999</v>
      </c>
      <c r="F22">
        <v>0.14000000000000001</v>
      </c>
      <c r="G22">
        <v>0</v>
      </c>
      <c r="H22">
        <v>0.3286386073</v>
      </c>
      <c r="I22">
        <v>0.04</v>
      </c>
      <c r="J22">
        <v>2.3561999999999999</v>
      </c>
      <c r="K22">
        <v>2.4776605121999999</v>
      </c>
      <c r="L22">
        <v>0.70416387319999996</v>
      </c>
      <c r="M22">
        <v>1.306033752</v>
      </c>
      <c r="N22" t="s">
        <v>44</v>
      </c>
      <c r="R22">
        <v>0.65959999999999996</v>
      </c>
      <c r="S22">
        <v>0.2</v>
      </c>
      <c r="T22">
        <v>0</v>
      </c>
      <c r="U22">
        <v>0.3</v>
      </c>
      <c r="V22">
        <v>3.6200000000000003E-2</v>
      </c>
      <c r="W22">
        <v>0.96460000000000001</v>
      </c>
      <c r="X22">
        <v>0</v>
      </c>
    </row>
    <row r="23" spans="5:24" x14ac:dyDescent="0.25">
      <c r="E23">
        <v>0.8908774062</v>
      </c>
      <c r="F23">
        <v>0.18</v>
      </c>
      <c r="G23">
        <v>3.1415999999999999</v>
      </c>
      <c r="H23">
        <v>0.88440675189999995</v>
      </c>
      <c r="I23">
        <v>0.08</v>
      </c>
      <c r="J23">
        <v>3.927</v>
      </c>
      <c r="K23">
        <v>0.48462861940000002</v>
      </c>
      <c r="L23">
        <v>1.6897568487000001</v>
      </c>
      <c r="M23">
        <v>3.1701200912999998</v>
      </c>
      <c r="N23" t="s">
        <v>44</v>
      </c>
      <c r="R23">
        <v>0.99890000000000001</v>
      </c>
      <c r="S23">
        <v>0.16739999999999999</v>
      </c>
      <c r="T23">
        <v>3.1208999999999998</v>
      </c>
      <c r="U23">
        <v>0.82740000000000002</v>
      </c>
      <c r="V23">
        <v>8.2799999999999999E-2</v>
      </c>
      <c r="W23">
        <v>4.0391000000000004</v>
      </c>
      <c r="X23">
        <v>0</v>
      </c>
    </row>
    <row r="24" spans="5:24" x14ac:dyDescent="0.25">
      <c r="E24">
        <v>1.2597568109999999</v>
      </c>
      <c r="F24">
        <v>0.16</v>
      </c>
      <c r="G24">
        <v>0</v>
      </c>
      <c r="H24">
        <v>0.58841219170000003</v>
      </c>
      <c r="I24">
        <v>0.06</v>
      </c>
      <c r="J24">
        <v>5.4977999999999998</v>
      </c>
      <c r="K24">
        <v>3.9855186287</v>
      </c>
      <c r="L24">
        <v>1.0426876676000001</v>
      </c>
      <c r="M24">
        <v>0.31561411</v>
      </c>
      <c r="N24" t="s">
        <v>44</v>
      </c>
      <c r="R24">
        <v>0.8347</v>
      </c>
      <c r="S24">
        <v>0.14560000000000001</v>
      </c>
      <c r="T24">
        <v>0</v>
      </c>
      <c r="U24">
        <v>0.76249999999999996</v>
      </c>
      <c r="V24">
        <v>0.1381</v>
      </c>
      <c r="W24">
        <v>0</v>
      </c>
      <c r="X24">
        <v>1.1000000000000001E-3</v>
      </c>
    </row>
    <row r="25" spans="5:24" x14ac:dyDescent="0.25">
      <c r="E25">
        <v>0.65858340790000003</v>
      </c>
      <c r="F25">
        <v>0.18</v>
      </c>
      <c r="G25">
        <v>0</v>
      </c>
      <c r="H25">
        <v>0.498698221</v>
      </c>
      <c r="I25">
        <v>0.08</v>
      </c>
      <c r="J25">
        <v>0.78539999999999999</v>
      </c>
      <c r="K25">
        <v>4.9301628920000002</v>
      </c>
      <c r="L25">
        <v>1.8520278541999999</v>
      </c>
      <c r="M25">
        <v>4.6646910371999999</v>
      </c>
      <c r="N25" t="s">
        <v>44</v>
      </c>
      <c r="R25">
        <v>0.67459999999999998</v>
      </c>
      <c r="S25">
        <v>0.17849999999999999</v>
      </c>
      <c r="T25">
        <v>1.14E-2</v>
      </c>
      <c r="U25">
        <v>0.4824</v>
      </c>
      <c r="V25">
        <v>7.7799999999999994E-2</v>
      </c>
      <c r="W25">
        <v>0.79730000000000001</v>
      </c>
      <c r="X25">
        <v>0</v>
      </c>
    </row>
    <row r="26" spans="5:24" x14ac:dyDescent="0.25">
      <c r="E26">
        <v>0.55032038400000005</v>
      </c>
      <c r="F26">
        <v>0.16</v>
      </c>
      <c r="G26">
        <v>3.1415999999999999</v>
      </c>
      <c r="H26">
        <v>1.4487418581</v>
      </c>
      <c r="I26">
        <v>0.08</v>
      </c>
      <c r="J26">
        <v>2.3561999999999999</v>
      </c>
      <c r="K26">
        <v>4.7175867132000002</v>
      </c>
      <c r="L26">
        <v>1.3012665307</v>
      </c>
      <c r="M26">
        <v>3.3668845907999998</v>
      </c>
      <c r="N26" t="s">
        <v>44</v>
      </c>
      <c r="R26">
        <v>0.86550000000000005</v>
      </c>
      <c r="S26">
        <v>0.13150000000000001</v>
      </c>
      <c r="T26">
        <v>3.1225000000000001</v>
      </c>
      <c r="U26">
        <v>1.2327999999999999</v>
      </c>
      <c r="V26">
        <v>7.9200000000000007E-2</v>
      </c>
      <c r="W26">
        <v>2.1833</v>
      </c>
      <c r="X26">
        <v>0</v>
      </c>
    </row>
    <row r="27" spans="5:24" x14ac:dyDescent="0.25">
      <c r="E27">
        <v>1.2531062278</v>
      </c>
      <c r="F27">
        <v>0.18</v>
      </c>
      <c r="G27">
        <v>5.4977999999999998</v>
      </c>
      <c r="H27">
        <v>0.4702401397</v>
      </c>
      <c r="I27">
        <v>0.1</v>
      </c>
      <c r="J27">
        <v>5.4977999999999998</v>
      </c>
      <c r="K27">
        <v>0.1483911762</v>
      </c>
      <c r="L27">
        <v>0.2167359935</v>
      </c>
      <c r="M27">
        <v>4.9349358513999997</v>
      </c>
      <c r="N27" t="s">
        <v>44</v>
      </c>
      <c r="R27">
        <v>1.0814999999999999</v>
      </c>
      <c r="S27">
        <v>0.15939999999999999</v>
      </c>
      <c r="T27">
        <v>4.6600000000000003E-2</v>
      </c>
      <c r="U27">
        <v>1.2985</v>
      </c>
      <c r="V27">
        <v>0.15620000000000001</v>
      </c>
      <c r="W27">
        <v>4.8163</v>
      </c>
      <c r="X27">
        <v>0</v>
      </c>
    </row>
    <row r="28" spans="5:24" x14ac:dyDescent="0.25">
      <c r="E28">
        <v>0.37674236639999997</v>
      </c>
      <c r="F28">
        <v>0.12</v>
      </c>
      <c r="G28">
        <v>5.4977999999999998</v>
      </c>
      <c r="H28">
        <v>0.55884916829999998</v>
      </c>
      <c r="I28">
        <v>0.04</v>
      </c>
      <c r="J28">
        <v>5.4977999999999998</v>
      </c>
      <c r="K28">
        <v>2.7463764360999998</v>
      </c>
      <c r="L28">
        <v>4.0783358151</v>
      </c>
      <c r="M28">
        <v>2.4827351898000001</v>
      </c>
      <c r="N28" t="s">
        <v>44</v>
      </c>
      <c r="R28">
        <v>0.80630000000000002</v>
      </c>
      <c r="S28">
        <v>7.2599999999999998E-2</v>
      </c>
      <c r="T28">
        <v>4.9812000000000003</v>
      </c>
      <c r="U28">
        <v>0.4622</v>
      </c>
      <c r="V28">
        <v>7.2599999999999998E-2</v>
      </c>
      <c r="W28">
        <v>0.25330000000000003</v>
      </c>
      <c r="X28">
        <v>0</v>
      </c>
    </row>
    <row r="29" spans="5:24" x14ac:dyDescent="0.25">
      <c r="E29">
        <v>0.99744538530000004</v>
      </c>
      <c r="F29">
        <v>0.12</v>
      </c>
      <c r="G29">
        <v>2.3561999999999999</v>
      </c>
      <c r="H29">
        <v>0.63256510880000005</v>
      </c>
      <c r="I29">
        <v>0.04</v>
      </c>
      <c r="J29">
        <v>4.7123999999999997</v>
      </c>
      <c r="K29">
        <v>1.0163068775999999</v>
      </c>
      <c r="L29">
        <v>2.5468444695999999</v>
      </c>
      <c r="M29">
        <v>0.1214735909</v>
      </c>
      <c r="N29" t="s">
        <v>44</v>
      </c>
      <c r="R29">
        <v>0.51719999999999999</v>
      </c>
      <c r="S29">
        <v>0.1996</v>
      </c>
      <c r="T29">
        <v>2.0973999999999999</v>
      </c>
      <c r="U29">
        <v>0.57530000000000003</v>
      </c>
      <c r="V29">
        <v>7.5899999999999995E-2</v>
      </c>
      <c r="W29">
        <v>3.7867999999999999</v>
      </c>
      <c r="X29">
        <v>0</v>
      </c>
    </row>
    <row r="30" spans="5:24" x14ac:dyDescent="0.25">
      <c r="E30">
        <v>0.91958396450000002</v>
      </c>
      <c r="F30">
        <v>0.18</v>
      </c>
      <c r="G30">
        <v>0</v>
      </c>
      <c r="H30">
        <v>1.2327944816</v>
      </c>
      <c r="I30">
        <v>0.1</v>
      </c>
      <c r="J30">
        <v>4.7123999999999997</v>
      </c>
      <c r="K30">
        <v>3.7350994551999999</v>
      </c>
      <c r="L30">
        <v>0.10989542820000001</v>
      </c>
      <c r="M30">
        <v>4.0041016991999996</v>
      </c>
      <c r="N30" t="s">
        <v>44</v>
      </c>
      <c r="R30">
        <v>0.95289999999999997</v>
      </c>
      <c r="S30">
        <v>0.17710000000000001</v>
      </c>
      <c r="T30">
        <v>5.9499999999999997E-2</v>
      </c>
      <c r="U30">
        <v>1.2882</v>
      </c>
      <c r="V30">
        <v>0.1038</v>
      </c>
      <c r="W30">
        <v>4.6859999999999999</v>
      </c>
      <c r="X30">
        <v>0</v>
      </c>
    </row>
    <row r="31" spans="5:24" x14ac:dyDescent="0.25">
      <c r="E31">
        <v>0.76015027209999997</v>
      </c>
      <c r="F31">
        <v>0.18</v>
      </c>
      <c r="G31">
        <v>2.3561999999999999</v>
      </c>
      <c r="H31">
        <v>0.80034279419999999</v>
      </c>
      <c r="I31">
        <v>0.1</v>
      </c>
      <c r="J31">
        <v>0</v>
      </c>
      <c r="K31">
        <v>4.7396783878999997</v>
      </c>
      <c r="L31">
        <v>4.9071061610999998</v>
      </c>
      <c r="M31">
        <v>1.8713340661</v>
      </c>
      <c r="N31" t="s">
        <v>44</v>
      </c>
      <c r="R31">
        <v>0.73929999999999996</v>
      </c>
      <c r="S31">
        <v>0.18240000000000001</v>
      </c>
      <c r="T31">
        <v>2.3529</v>
      </c>
      <c r="U31">
        <v>0.78400000000000003</v>
      </c>
      <c r="V31">
        <v>9.9599999999999994E-2</v>
      </c>
      <c r="W31">
        <v>1.4999999999999999E-2</v>
      </c>
      <c r="X31">
        <v>0</v>
      </c>
    </row>
    <row r="32" spans="5:24" x14ac:dyDescent="0.25">
      <c r="E32">
        <v>0.9040684336</v>
      </c>
      <c r="F32">
        <v>0.1</v>
      </c>
      <c r="G32">
        <v>5.4977999999999998</v>
      </c>
      <c r="H32">
        <v>0.68590239919999996</v>
      </c>
      <c r="I32">
        <v>0.02</v>
      </c>
      <c r="J32">
        <v>4.7123999999999997</v>
      </c>
      <c r="K32">
        <v>3.1050919126999998</v>
      </c>
      <c r="L32">
        <v>4.9790166179000002</v>
      </c>
      <c r="M32">
        <v>4.7088396990000003</v>
      </c>
      <c r="N32" t="s">
        <v>44</v>
      </c>
      <c r="R32">
        <v>0.36759999999999998</v>
      </c>
      <c r="S32">
        <v>0.13059999999999999</v>
      </c>
      <c r="T32">
        <v>1E-4</v>
      </c>
      <c r="U32">
        <v>1.3512999999999999</v>
      </c>
      <c r="V32">
        <v>5.8299999999999998E-2</v>
      </c>
      <c r="W32">
        <v>4.9149000000000003</v>
      </c>
      <c r="X32">
        <v>0</v>
      </c>
    </row>
    <row r="33" spans="5:24" x14ac:dyDescent="0.25">
      <c r="E33">
        <v>1.4109779404</v>
      </c>
      <c r="F33">
        <v>0.2</v>
      </c>
      <c r="G33">
        <v>3.1415999999999999</v>
      </c>
      <c r="H33">
        <v>1.3890525475</v>
      </c>
      <c r="I33">
        <v>0.12</v>
      </c>
      <c r="J33">
        <v>0</v>
      </c>
      <c r="K33">
        <v>0.24685834309999999</v>
      </c>
      <c r="L33">
        <v>4.5298125568999996</v>
      </c>
      <c r="M33">
        <v>2.6684535819000001</v>
      </c>
      <c r="N33" t="s">
        <v>44</v>
      </c>
      <c r="R33">
        <v>1.35</v>
      </c>
      <c r="S33">
        <v>0.2</v>
      </c>
      <c r="T33">
        <v>3.1419999999999999</v>
      </c>
      <c r="U33">
        <v>1.3283</v>
      </c>
      <c r="V33">
        <v>0.1167</v>
      </c>
      <c r="W33">
        <v>0</v>
      </c>
      <c r="X33">
        <v>0</v>
      </c>
    </row>
    <row r="34" spans="5:24" x14ac:dyDescent="0.25">
      <c r="E34">
        <v>1.4747736548999999</v>
      </c>
      <c r="F34">
        <v>0.2</v>
      </c>
      <c r="G34">
        <v>0</v>
      </c>
      <c r="H34">
        <v>1.4750904852</v>
      </c>
      <c r="I34">
        <v>0.12</v>
      </c>
      <c r="J34">
        <v>3.1415999999999999</v>
      </c>
      <c r="K34">
        <v>2.1243312033000001</v>
      </c>
      <c r="L34">
        <v>0.98146476360000001</v>
      </c>
      <c r="M34">
        <v>2.2301814902000001</v>
      </c>
      <c r="N34" t="s">
        <v>44</v>
      </c>
      <c r="R34">
        <v>1.4725999999999999</v>
      </c>
      <c r="S34">
        <v>0.2</v>
      </c>
      <c r="T34">
        <v>0</v>
      </c>
      <c r="U34">
        <v>1.4729000000000001</v>
      </c>
      <c r="V34">
        <v>0.11990000000000001</v>
      </c>
      <c r="W34">
        <v>3.1415999999999999</v>
      </c>
      <c r="X34">
        <v>0</v>
      </c>
    </row>
    <row r="35" spans="5:24" x14ac:dyDescent="0.25">
      <c r="E35">
        <v>1.1341222659000001</v>
      </c>
      <c r="F35">
        <v>0.12</v>
      </c>
      <c r="G35">
        <v>0.78539999999999999</v>
      </c>
      <c r="H35">
        <v>1.3710979794</v>
      </c>
      <c r="I35">
        <v>0.04</v>
      </c>
      <c r="J35">
        <v>1.5708</v>
      </c>
      <c r="K35">
        <v>3.8924485742999999</v>
      </c>
      <c r="L35">
        <v>4.3783496642999999</v>
      </c>
      <c r="M35">
        <v>1.6360280112000001</v>
      </c>
      <c r="N35" t="s">
        <v>44</v>
      </c>
      <c r="R35">
        <v>1.21</v>
      </c>
      <c r="S35">
        <v>0.1183</v>
      </c>
      <c r="T35">
        <v>0.82889999999999997</v>
      </c>
      <c r="U35">
        <v>1.2825</v>
      </c>
      <c r="V35">
        <v>3.5499999999999997E-2</v>
      </c>
      <c r="W35">
        <v>1.5827</v>
      </c>
      <c r="X35">
        <v>0</v>
      </c>
    </row>
    <row r="36" spans="5:24" x14ac:dyDescent="0.25">
      <c r="E36">
        <v>0.785852255</v>
      </c>
      <c r="F36">
        <v>0.1</v>
      </c>
      <c r="G36">
        <v>0.78539999999999999</v>
      </c>
      <c r="H36">
        <v>0.39355619479999998</v>
      </c>
      <c r="I36">
        <v>0.02</v>
      </c>
      <c r="J36">
        <v>5.4977999999999998</v>
      </c>
      <c r="K36">
        <v>4.5109081914000004</v>
      </c>
      <c r="L36">
        <v>2.9663132843</v>
      </c>
      <c r="M36">
        <v>3.8683553511</v>
      </c>
      <c r="N36" t="s">
        <v>44</v>
      </c>
      <c r="R36">
        <v>0.38240000000000002</v>
      </c>
      <c r="S36">
        <v>0.18099999999999999</v>
      </c>
      <c r="T36">
        <v>0.81110000000000004</v>
      </c>
      <c r="U36">
        <v>0.57420000000000004</v>
      </c>
      <c r="V36">
        <v>2.41E-2</v>
      </c>
      <c r="W36">
        <v>5.8999999999999999E-3</v>
      </c>
      <c r="X36">
        <v>0</v>
      </c>
    </row>
    <row r="37" spans="5:24" x14ac:dyDescent="0.25">
      <c r="E37">
        <v>0.4787670047</v>
      </c>
      <c r="F37">
        <v>0.2</v>
      </c>
      <c r="G37">
        <v>4.7123999999999997</v>
      </c>
      <c r="H37">
        <v>0.35541469809999998</v>
      </c>
      <c r="I37">
        <v>0.14000000000000001</v>
      </c>
      <c r="J37">
        <v>3.1415999999999999</v>
      </c>
      <c r="K37">
        <v>4.9350065225000002</v>
      </c>
      <c r="L37">
        <v>4.6708884390999996</v>
      </c>
      <c r="M37">
        <v>0.64099500450000002</v>
      </c>
      <c r="N37" t="s">
        <v>44</v>
      </c>
      <c r="R37">
        <v>0.71199999999999997</v>
      </c>
      <c r="S37">
        <v>0.17519999999999999</v>
      </c>
      <c r="T37">
        <v>4.6016000000000004</v>
      </c>
      <c r="U37">
        <v>0.35980000000000001</v>
      </c>
      <c r="V37">
        <v>0.13020000000000001</v>
      </c>
      <c r="W37">
        <v>2.4489000000000001</v>
      </c>
      <c r="X37">
        <v>0</v>
      </c>
    </row>
    <row r="38" spans="5:24" x14ac:dyDescent="0.25">
      <c r="E38">
        <v>1.2825258852999999</v>
      </c>
      <c r="F38">
        <v>0.14000000000000001</v>
      </c>
      <c r="G38">
        <v>2.3561999999999999</v>
      </c>
      <c r="H38">
        <v>1.1085226837</v>
      </c>
      <c r="I38">
        <v>0.08</v>
      </c>
      <c r="J38">
        <v>3.1415999999999999</v>
      </c>
      <c r="K38">
        <v>5.0541583899999999E-2</v>
      </c>
      <c r="L38">
        <v>4.9578693537999996</v>
      </c>
      <c r="M38">
        <v>3.9886280456000001</v>
      </c>
      <c r="N38" t="s">
        <v>44</v>
      </c>
      <c r="R38">
        <v>1.1608000000000001</v>
      </c>
      <c r="S38">
        <v>0.1416</v>
      </c>
      <c r="T38">
        <v>2.2812999999999999</v>
      </c>
      <c r="U38">
        <v>1.2569999999999999</v>
      </c>
      <c r="V38">
        <v>8.5900000000000004E-2</v>
      </c>
      <c r="W38">
        <v>3.1202999999999999</v>
      </c>
      <c r="X38">
        <v>0</v>
      </c>
    </row>
    <row r="39" spans="5:24" x14ac:dyDescent="0.25">
      <c r="E39">
        <v>1.0319949839</v>
      </c>
      <c r="F39">
        <v>0.18</v>
      </c>
      <c r="G39">
        <v>3.927</v>
      </c>
      <c r="H39">
        <v>1.1733448184999999</v>
      </c>
      <c r="I39">
        <v>0.12</v>
      </c>
      <c r="J39">
        <v>0.78539999999999999</v>
      </c>
      <c r="K39">
        <v>4.3201662060999997</v>
      </c>
      <c r="L39">
        <v>3.8378352410000001</v>
      </c>
      <c r="M39">
        <v>4.8360302252</v>
      </c>
      <c r="N39" t="s">
        <v>44</v>
      </c>
      <c r="R39">
        <v>0.84179999999999999</v>
      </c>
      <c r="S39">
        <v>0.18970000000000001</v>
      </c>
      <c r="T39">
        <v>3.927</v>
      </c>
      <c r="U39">
        <v>0.9839</v>
      </c>
      <c r="V39">
        <v>0.1163</v>
      </c>
      <c r="W39">
        <v>0.78549999999999998</v>
      </c>
      <c r="X39">
        <v>0</v>
      </c>
    </row>
    <row r="40" spans="5:24" x14ac:dyDescent="0.25">
      <c r="E40">
        <v>0.54659396309999997</v>
      </c>
      <c r="F40">
        <v>0.14000000000000001</v>
      </c>
      <c r="G40">
        <v>3.927</v>
      </c>
      <c r="H40">
        <v>0.37475583969999998</v>
      </c>
      <c r="I40">
        <v>0.08</v>
      </c>
      <c r="J40">
        <v>1.5708</v>
      </c>
      <c r="K40">
        <v>1.2326114607000001</v>
      </c>
      <c r="L40">
        <v>3.5091223980000001</v>
      </c>
      <c r="M40">
        <v>2.8278096824999999</v>
      </c>
      <c r="N40" t="s">
        <v>44</v>
      </c>
      <c r="R40">
        <v>0.45279999999999998</v>
      </c>
      <c r="S40">
        <v>0.15090000000000001</v>
      </c>
      <c r="T40">
        <v>3.8860999999999999</v>
      </c>
      <c r="U40">
        <v>0.3</v>
      </c>
      <c r="V40">
        <v>7.4899999999999994E-2</v>
      </c>
      <c r="W40">
        <v>1.7507999999999999</v>
      </c>
      <c r="X40">
        <v>0</v>
      </c>
    </row>
    <row r="41" spans="5:24" x14ac:dyDescent="0.25">
      <c r="E41">
        <v>0.62359206519999999</v>
      </c>
      <c r="F41">
        <v>0.08</v>
      </c>
      <c r="G41">
        <v>5.4977999999999998</v>
      </c>
      <c r="H41">
        <v>0.47877904049999997</v>
      </c>
      <c r="I41">
        <v>0.02</v>
      </c>
      <c r="J41">
        <v>3.927</v>
      </c>
      <c r="K41">
        <v>2.2205178402999999</v>
      </c>
      <c r="L41">
        <v>1.9827336431</v>
      </c>
      <c r="M41">
        <v>0.36676452050000002</v>
      </c>
      <c r="N41" t="s">
        <v>44</v>
      </c>
      <c r="R41">
        <v>0.97070000000000001</v>
      </c>
      <c r="S41">
        <v>5.8400000000000001E-2</v>
      </c>
      <c r="T41">
        <v>5.508</v>
      </c>
      <c r="U41">
        <v>0.59930000000000005</v>
      </c>
      <c r="V41">
        <v>2.0799999999999999E-2</v>
      </c>
      <c r="W41">
        <v>3.3094999999999999</v>
      </c>
      <c r="X41">
        <v>0</v>
      </c>
    </row>
    <row r="42" spans="5:24" x14ac:dyDescent="0.25">
      <c r="E42">
        <v>1.3484992293</v>
      </c>
      <c r="F42">
        <v>0.2</v>
      </c>
      <c r="G42">
        <v>0</v>
      </c>
      <c r="H42">
        <v>0.39122828500000001</v>
      </c>
      <c r="I42">
        <v>0.14000000000000001</v>
      </c>
      <c r="J42">
        <v>0.78539999999999999</v>
      </c>
      <c r="K42">
        <v>1.9402253723</v>
      </c>
      <c r="L42">
        <v>1.6478522000000001E-3</v>
      </c>
      <c r="M42">
        <v>3.2221664534999999</v>
      </c>
      <c r="N42" t="s">
        <v>44</v>
      </c>
      <c r="R42">
        <v>1.3119000000000001</v>
      </c>
      <c r="S42">
        <v>0.19980000000000001</v>
      </c>
      <c r="T42">
        <v>2.9999999999999997E-4</v>
      </c>
      <c r="U42">
        <v>0.41370000000000001</v>
      </c>
      <c r="V42">
        <v>0.14530000000000001</v>
      </c>
      <c r="W42">
        <v>0.70740000000000003</v>
      </c>
      <c r="X42">
        <v>0</v>
      </c>
    </row>
    <row r="43" spans="5:24" x14ac:dyDescent="0.25">
      <c r="E43">
        <v>0.51681038229999998</v>
      </c>
      <c r="F43">
        <v>0.08</v>
      </c>
      <c r="G43">
        <v>0</v>
      </c>
      <c r="H43">
        <v>0.91461204240000005</v>
      </c>
      <c r="I43">
        <v>0.02</v>
      </c>
      <c r="J43">
        <v>3.927</v>
      </c>
      <c r="K43">
        <v>3.7945339589999998</v>
      </c>
      <c r="L43">
        <v>3.3481721828</v>
      </c>
      <c r="M43">
        <v>3.4429632493</v>
      </c>
      <c r="N43" t="s">
        <v>44</v>
      </c>
      <c r="R43">
        <v>0.5534</v>
      </c>
      <c r="S43">
        <v>0.1079</v>
      </c>
      <c r="T43">
        <v>0.39450000000000002</v>
      </c>
      <c r="U43">
        <v>1.0716000000000001</v>
      </c>
      <c r="V43">
        <v>4.1799999999999997E-2</v>
      </c>
      <c r="W43">
        <v>4.0719000000000003</v>
      </c>
      <c r="X43">
        <v>0</v>
      </c>
    </row>
    <row r="44" spans="5:24" x14ac:dyDescent="0.25">
      <c r="E44">
        <v>0.68441694529999997</v>
      </c>
      <c r="F44">
        <v>0.16</v>
      </c>
      <c r="G44">
        <v>2.3561999999999999</v>
      </c>
      <c r="H44">
        <v>1.4072090791</v>
      </c>
      <c r="I44">
        <v>0.1</v>
      </c>
      <c r="J44">
        <v>0.78539999999999999</v>
      </c>
      <c r="K44">
        <v>1.6472032243000001</v>
      </c>
      <c r="L44">
        <v>5.9795420000000002E-2</v>
      </c>
      <c r="M44">
        <v>0.1036992028</v>
      </c>
      <c r="N44" t="s">
        <v>44</v>
      </c>
      <c r="R44">
        <v>0.8014</v>
      </c>
      <c r="S44">
        <v>0.1618</v>
      </c>
      <c r="T44">
        <v>1.7798</v>
      </c>
      <c r="U44">
        <v>0.97699999999999998</v>
      </c>
      <c r="V44">
        <v>7.2900000000000006E-2</v>
      </c>
      <c r="W44">
        <v>0.80459999999999998</v>
      </c>
      <c r="X44">
        <v>0</v>
      </c>
    </row>
    <row r="45" spans="5:24" x14ac:dyDescent="0.25">
      <c r="E45">
        <v>1.3991334753</v>
      </c>
      <c r="F45">
        <v>0.12</v>
      </c>
      <c r="G45">
        <v>5.4977999999999998</v>
      </c>
      <c r="H45">
        <v>0.96266422490000003</v>
      </c>
      <c r="I45">
        <v>0.06</v>
      </c>
      <c r="J45">
        <v>5.4977999999999998</v>
      </c>
      <c r="K45">
        <v>2.0231526378</v>
      </c>
      <c r="L45">
        <v>0.50988481399999996</v>
      </c>
      <c r="M45">
        <v>0.60427768879999999</v>
      </c>
      <c r="N45" t="s">
        <v>44</v>
      </c>
      <c r="R45">
        <v>1.5</v>
      </c>
      <c r="S45">
        <v>0.1071</v>
      </c>
      <c r="T45">
        <v>4.8140999999999998</v>
      </c>
      <c r="U45">
        <v>1.5</v>
      </c>
      <c r="V45">
        <v>9.5000000000000001E-2</v>
      </c>
      <c r="W45">
        <v>0</v>
      </c>
      <c r="X45">
        <v>1E-4</v>
      </c>
    </row>
    <row r="46" spans="5:24" x14ac:dyDescent="0.25">
      <c r="E46">
        <v>0.4668308846</v>
      </c>
      <c r="F46">
        <v>0.08</v>
      </c>
      <c r="G46">
        <v>3.1415999999999999</v>
      </c>
      <c r="H46">
        <v>1.1054712231999999</v>
      </c>
      <c r="I46">
        <v>0.04</v>
      </c>
      <c r="J46">
        <v>4.7123999999999997</v>
      </c>
      <c r="K46">
        <v>4.4838346888</v>
      </c>
      <c r="L46">
        <v>0.20145099390000001</v>
      </c>
      <c r="M46">
        <v>4.5041045776999997</v>
      </c>
      <c r="N46" t="s">
        <v>44</v>
      </c>
      <c r="R46">
        <v>0.59330000000000005</v>
      </c>
      <c r="S46">
        <v>7.6600000000000001E-2</v>
      </c>
      <c r="T46">
        <v>3.7166999999999999</v>
      </c>
      <c r="U46">
        <v>0.78310000000000002</v>
      </c>
      <c r="V46">
        <v>2.5000000000000001E-2</v>
      </c>
      <c r="W46">
        <v>4.7519</v>
      </c>
      <c r="X46">
        <v>0</v>
      </c>
    </row>
    <row r="47" spans="5:24" x14ac:dyDescent="0.25">
      <c r="E47">
        <v>1.4827422800000001</v>
      </c>
      <c r="F47">
        <v>0.08</v>
      </c>
      <c r="G47">
        <v>3.1415999999999999</v>
      </c>
      <c r="H47">
        <v>0.80651000630000003</v>
      </c>
      <c r="I47">
        <v>0.04</v>
      </c>
      <c r="J47">
        <v>4.7123999999999997</v>
      </c>
      <c r="K47">
        <v>4.1839238480000001</v>
      </c>
      <c r="L47">
        <v>4.1752821560999998</v>
      </c>
      <c r="M47">
        <v>0.4978333036</v>
      </c>
      <c r="N47" t="s">
        <v>44</v>
      </c>
      <c r="R47">
        <v>1.1761999999999999</v>
      </c>
      <c r="S47">
        <v>8.7800000000000003E-2</v>
      </c>
      <c r="T47">
        <v>2.9220000000000002</v>
      </c>
      <c r="U47">
        <v>1.1135999999999999</v>
      </c>
      <c r="V47">
        <v>5.1400000000000001E-2</v>
      </c>
      <c r="W47">
        <v>4.4063999999999997</v>
      </c>
      <c r="X47">
        <v>0</v>
      </c>
    </row>
    <row r="48" spans="5:24" x14ac:dyDescent="0.25">
      <c r="E48">
        <v>1.4313963908</v>
      </c>
      <c r="F48">
        <v>0.2</v>
      </c>
      <c r="G48">
        <v>5.4977999999999998</v>
      </c>
      <c r="H48">
        <v>0.66088478610000001</v>
      </c>
      <c r="I48">
        <v>0.16</v>
      </c>
      <c r="J48">
        <v>5.4977999999999998</v>
      </c>
      <c r="K48">
        <v>4.6493399877000003</v>
      </c>
      <c r="L48">
        <v>1.9654430356000001</v>
      </c>
      <c r="M48">
        <v>1.6399488998</v>
      </c>
      <c r="N48" t="s">
        <v>44</v>
      </c>
      <c r="R48">
        <v>1.4564999999999999</v>
      </c>
      <c r="S48">
        <v>0.18559999999999999</v>
      </c>
      <c r="T48">
        <v>6.1999999999999998E-3</v>
      </c>
      <c r="U48">
        <v>1.4892000000000001</v>
      </c>
      <c r="V48">
        <v>0.18559999999999999</v>
      </c>
      <c r="W48">
        <v>4.7282000000000002</v>
      </c>
      <c r="X48">
        <v>0</v>
      </c>
    </row>
    <row r="49" spans="5:24" x14ac:dyDescent="0.25">
      <c r="E49">
        <v>1.1008731407000001</v>
      </c>
      <c r="F49">
        <v>0.12</v>
      </c>
      <c r="G49">
        <v>4.7123999999999997</v>
      </c>
      <c r="H49">
        <v>1.0118865585000001</v>
      </c>
      <c r="I49">
        <v>0.08</v>
      </c>
      <c r="J49">
        <v>0</v>
      </c>
      <c r="K49">
        <v>2.5804466663999999</v>
      </c>
      <c r="L49">
        <v>2.8020908323999998</v>
      </c>
      <c r="M49">
        <v>1.4209598912000001</v>
      </c>
      <c r="N49" t="s">
        <v>44</v>
      </c>
      <c r="R49">
        <v>1.2199</v>
      </c>
      <c r="S49">
        <v>0.1169</v>
      </c>
      <c r="T49">
        <v>5.0364000000000004</v>
      </c>
      <c r="U49">
        <v>0.62649999999999995</v>
      </c>
      <c r="V49">
        <v>5.6300000000000003E-2</v>
      </c>
      <c r="W49">
        <v>8.9800000000000005E-2</v>
      </c>
      <c r="X49">
        <v>0</v>
      </c>
    </row>
    <row r="50" spans="5:24" x14ac:dyDescent="0.25">
      <c r="E50">
        <v>1.1548404238000001</v>
      </c>
      <c r="F50">
        <v>0.06</v>
      </c>
      <c r="G50">
        <v>0</v>
      </c>
      <c r="H50">
        <v>0.95560731600000004</v>
      </c>
      <c r="I50">
        <v>0.02</v>
      </c>
      <c r="J50">
        <v>5.4977999999999998</v>
      </c>
      <c r="K50">
        <v>1.7445767312</v>
      </c>
      <c r="L50">
        <v>3.9458122761999999</v>
      </c>
      <c r="M50">
        <v>4.9189190299999996</v>
      </c>
      <c r="N50" t="s">
        <v>44</v>
      </c>
      <c r="R50">
        <v>1.3264</v>
      </c>
      <c r="S50">
        <v>5.3600000000000002E-2</v>
      </c>
      <c r="T50">
        <v>0</v>
      </c>
      <c r="U50">
        <v>0.50419999999999998</v>
      </c>
      <c r="V50">
        <v>2.3E-2</v>
      </c>
      <c r="W50">
        <v>0</v>
      </c>
      <c r="X50">
        <v>1.2999999999999999E-3</v>
      </c>
    </row>
    <row r="51" spans="5:24" x14ac:dyDescent="0.25">
      <c r="E51">
        <v>1.1816252039999999</v>
      </c>
      <c r="F51">
        <v>0.08</v>
      </c>
      <c r="G51">
        <v>1.5708</v>
      </c>
      <c r="H51">
        <v>0.57227119820000005</v>
      </c>
      <c r="I51">
        <v>0.04</v>
      </c>
      <c r="J51">
        <v>0.78539999999999999</v>
      </c>
      <c r="K51">
        <v>1.4076592733</v>
      </c>
      <c r="L51">
        <v>1.3192874408999999</v>
      </c>
      <c r="M51">
        <v>2.6835966308999999</v>
      </c>
      <c r="N51" t="s">
        <v>44</v>
      </c>
      <c r="R51">
        <v>0.79210000000000003</v>
      </c>
      <c r="S51">
        <v>9.4600000000000004E-2</v>
      </c>
      <c r="T51">
        <v>1.6161000000000001</v>
      </c>
      <c r="U51">
        <v>0.90890000000000004</v>
      </c>
      <c r="V51">
        <v>4.4499999999999998E-2</v>
      </c>
      <c r="W51">
        <v>1.0648</v>
      </c>
      <c r="X51">
        <v>0</v>
      </c>
    </row>
    <row r="52" spans="5:24" x14ac:dyDescent="0.25">
      <c r="E52">
        <v>0.93729510640000002</v>
      </c>
      <c r="F52">
        <v>0.14000000000000001</v>
      </c>
      <c r="G52">
        <v>0.78539999999999999</v>
      </c>
      <c r="H52">
        <v>0.49250416219999998</v>
      </c>
      <c r="I52">
        <v>0.1</v>
      </c>
      <c r="J52">
        <v>0</v>
      </c>
      <c r="K52">
        <v>0.50502447429999997</v>
      </c>
      <c r="L52">
        <v>3.7817597896000001</v>
      </c>
      <c r="M52">
        <v>0.94479070089999995</v>
      </c>
      <c r="N52" t="s">
        <v>45</v>
      </c>
      <c r="R52">
        <v>0.79090000000000005</v>
      </c>
      <c r="S52">
        <v>0.1434</v>
      </c>
      <c r="T52">
        <v>0.85640000000000005</v>
      </c>
      <c r="U52">
        <v>0.63990000000000002</v>
      </c>
      <c r="V52">
        <v>0.1066</v>
      </c>
      <c r="W52">
        <v>0.1045</v>
      </c>
      <c r="X52">
        <v>0</v>
      </c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208467-E14A-4CB9-9FC8-72DFB8E94FF2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08a9f8ec-165a-4165-a8e9-ed45c2de7bcb"/>
    <ds:schemaRef ds:uri="http://schemas.microsoft.com/office/2006/metadata/properties"/>
    <ds:schemaRef ds:uri="http://purl.org/dc/terms/"/>
    <ds:schemaRef ds:uri="c2b20bf0-79f3-4559-a8ab-bcb74dcd8cd8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Proximal Validation</vt:lpstr>
      <vt:lpstr>Distal Vali (five hardware)</vt:lpstr>
      <vt:lpstr>Distal Vali (one truth)</vt:lpstr>
      <vt:lpstr>Distal Vali (five truth)</vt:lpstr>
      <vt:lpstr>Conversion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2025-10-04T05:05:52Z</cp:lastPrinted>
  <dcterms:created xsi:type="dcterms:W3CDTF">2025-08-20T18:12:27Z</dcterms:created>
  <dcterms:modified xsi:type="dcterms:W3CDTF">2026-04-23T01:40:36Z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