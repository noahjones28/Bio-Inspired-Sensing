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Results/2-26-2026/Obstacle Demo/"/>
    </mc:Choice>
  </mc:AlternateContent>
  <xr:revisionPtr revIDLastSave="3820" documentId="8_{DFFD6B0C-681F-42C8-B2E4-5D4B90AAE966}" xr6:coauthVersionLast="47" xr6:coauthVersionMax="47" xr10:uidLastSave="{9C98683C-F11E-4709-BB67-2F4A6FBE7936}"/>
  <bookViews>
    <workbookView xWindow="-120" yWindow="-120" windowWidth="29040" windowHeight="15720" activeTab="1" xr2:uid="{3D16C37F-3C74-4527-A308-796C339DFE9F}"/>
  </bookViews>
  <sheets>
    <sheet name="Proximal Validation" sheetId="12" r:id="rId1"/>
    <sheet name="Distal Validation" sheetId="19" r:id="rId2"/>
    <sheet name="Conversion" sheetId="4" r:id="rId3"/>
    <sheet name="Sheet2" sheetId="3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AB4" i="12" a="1"/>
  <c r="AB4" i="12" s="1"/>
  <c r="AB5" i="12" a="1"/>
  <c r="AB5" i="12" s="1"/>
  <c r="AB6" i="12" a="1"/>
  <c r="AB6" i="12" s="1"/>
  <c r="AB7" i="12" a="1"/>
  <c r="AB7" i="12" s="1"/>
  <c r="AB3" i="12" a="1"/>
  <c r="AB3" i="12" s="1"/>
  <c r="AC4" i="12"/>
  <c r="AC5" i="12"/>
  <c r="AC6" i="12"/>
  <c r="AC7" i="12"/>
  <c r="AC3" i="12"/>
  <c r="O13" i="4"/>
  <c r="P13" i="4"/>
  <c r="Q13" i="4"/>
  <c r="R13" i="4"/>
  <c r="S13" i="4"/>
  <c r="T13" i="4"/>
  <c r="O14" i="4"/>
  <c r="P14" i="4"/>
  <c r="Q14" i="4"/>
  <c r="R14" i="4"/>
  <c r="S14" i="4"/>
  <c r="T14" i="4"/>
  <c r="O15" i="4"/>
  <c r="P15" i="4"/>
  <c r="Q15" i="4"/>
  <c r="R15" i="4"/>
  <c r="S15" i="4"/>
  <c r="T15" i="4"/>
  <c r="O16" i="4"/>
  <c r="P16" i="4"/>
  <c r="Q16" i="4"/>
  <c r="R16" i="4"/>
  <c r="S16" i="4"/>
  <c r="T16" i="4"/>
  <c r="O17" i="4"/>
  <c r="P17" i="4"/>
  <c r="Q17" i="4"/>
  <c r="R17" i="4"/>
  <c r="S17" i="4"/>
  <c r="T17" i="4"/>
  <c r="O18" i="4"/>
  <c r="P18" i="4"/>
  <c r="Q18" i="4"/>
  <c r="R18" i="4"/>
  <c r="S18" i="4"/>
  <c r="T18" i="4"/>
  <c r="V3" i="4"/>
  <c r="A3" i="19" l="1"/>
  <c r="B3" i="19"/>
  <c r="C3" i="19"/>
  <c r="Y3" i="19" s="1"/>
  <c r="D3" i="19"/>
  <c r="E3" i="19"/>
  <c r="F3" i="19"/>
  <c r="AB3" i="19" s="1"/>
  <c r="G3" i="19"/>
  <c r="H3" i="19"/>
  <c r="I3" i="19"/>
  <c r="J3" i="19"/>
  <c r="K3" i="19"/>
  <c r="L3" i="19"/>
  <c r="M3" i="19"/>
  <c r="N3" i="19"/>
  <c r="O3" i="19"/>
  <c r="A4" i="19"/>
  <c r="B4" i="19"/>
  <c r="C4" i="19"/>
  <c r="Y4" i="19" s="1"/>
  <c r="D4" i="19"/>
  <c r="E4" i="19"/>
  <c r="F4" i="19"/>
  <c r="AB4" i="19" s="1"/>
  <c r="G4" i="19"/>
  <c r="H4" i="19"/>
  <c r="I4" i="19"/>
  <c r="J4" i="19"/>
  <c r="K4" i="19"/>
  <c r="L4" i="19"/>
  <c r="M4" i="19"/>
  <c r="N4" i="19"/>
  <c r="O4" i="19"/>
  <c r="A5" i="19"/>
  <c r="B5" i="19"/>
  <c r="C5" i="19"/>
  <c r="Y5" i="19" s="1"/>
  <c r="D5" i="19"/>
  <c r="E5" i="19"/>
  <c r="F5" i="19"/>
  <c r="AB5" i="19" s="1"/>
  <c r="G5" i="19"/>
  <c r="H5" i="19"/>
  <c r="I5" i="19"/>
  <c r="J5" i="19"/>
  <c r="K5" i="19"/>
  <c r="L5" i="19"/>
  <c r="M5" i="19"/>
  <c r="N5" i="19"/>
  <c r="O5" i="19"/>
  <c r="A6" i="19"/>
  <c r="B6" i="19"/>
  <c r="C6" i="19"/>
  <c r="Y6" i="19" s="1"/>
  <c r="D6" i="19"/>
  <c r="E6" i="19"/>
  <c r="F6" i="19"/>
  <c r="AB6" i="19" s="1"/>
  <c r="G6" i="19"/>
  <c r="H6" i="19"/>
  <c r="I6" i="19"/>
  <c r="J6" i="19"/>
  <c r="K6" i="19"/>
  <c r="L6" i="19"/>
  <c r="M6" i="19"/>
  <c r="N6" i="19"/>
  <c r="O6" i="19"/>
  <c r="A7" i="19"/>
  <c r="B7" i="19"/>
  <c r="C7" i="19"/>
  <c r="Y7" i="19" s="1"/>
  <c r="D7" i="19"/>
  <c r="E7" i="19"/>
  <c r="F7" i="19"/>
  <c r="AB7" i="19" s="1"/>
  <c r="G7" i="19"/>
  <c r="H7" i="19"/>
  <c r="I7" i="19"/>
  <c r="J7" i="19"/>
  <c r="K7" i="19"/>
  <c r="L7" i="19"/>
  <c r="M7" i="19"/>
  <c r="N7" i="19"/>
  <c r="O7" i="19"/>
  <c r="V5" i="12"/>
  <c r="W5" i="12"/>
  <c r="X5" i="12"/>
  <c r="Y5" i="12"/>
  <c r="Z5" i="12"/>
  <c r="AA5" i="12"/>
  <c r="V3" i="12" l="1"/>
  <c r="V4" i="12"/>
  <c r="V6" i="12"/>
  <c r="V7" i="12"/>
  <c r="AA7" i="12" l="1"/>
  <c r="Z7" i="12"/>
  <c r="Y7" i="12"/>
  <c r="X7" i="12"/>
  <c r="W7" i="12"/>
  <c r="AA6" i="12"/>
  <c r="Z6" i="12"/>
  <c r="Y6" i="12"/>
  <c r="X6" i="12"/>
  <c r="W6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O3" i="4" s="1"/>
  <c r="I3" i="4"/>
  <c r="J3" i="4"/>
  <c r="K3" i="4"/>
  <c r="R3" i="4" s="1"/>
  <c r="L3" i="4"/>
  <c r="S3" i="4" s="1"/>
  <c r="M3" i="4"/>
  <c r="T3" i="4" s="1"/>
  <c r="H4" i="4"/>
  <c r="O4" i="4" s="1"/>
  <c r="I4" i="4"/>
  <c r="J4" i="4"/>
  <c r="K4" i="4"/>
  <c r="R4" i="4" s="1"/>
  <c r="L4" i="4"/>
  <c r="S4" i="4" s="1"/>
  <c r="M4" i="4"/>
  <c r="T4" i="4" s="1"/>
  <c r="H5" i="4"/>
  <c r="O5" i="4" s="1"/>
  <c r="I5" i="4"/>
  <c r="J5" i="4"/>
  <c r="K5" i="4"/>
  <c r="R5" i="4" s="1"/>
  <c r="L5" i="4"/>
  <c r="S5" i="4" s="1"/>
  <c r="M5" i="4"/>
  <c r="T5" i="4" s="1"/>
  <c r="H6" i="4"/>
  <c r="O6" i="4" s="1"/>
  <c r="I6" i="4"/>
  <c r="J6" i="4"/>
  <c r="K6" i="4"/>
  <c r="R6" i="4" s="1"/>
  <c r="L6" i="4"/>
  <c r="S6" i="4" s="1"/>
  <c r="M6" i="4"/>
  <c r="T6" i="4" s="1"/>
  <c r="H7" i="4"/>
  <c r="O7" i="4" s="1"/>
  <c r="I7" i="4"/>
  <c r="J7" i="4"/>
  <c r="K7" i="4"/>
  <c r="R7" i="4" s="1"/>
  <c r="L7" i="4"/>
  <c r="S7" i="4" s="1"/>
  <c r="M7" i="4"/>
  <c r="T7" i="4" s="1"/>
  <c r="Q7" i="4" l="1"/>
  <c r="P3" i="4"/>
  <c r="Q3" i="4"/>
  <c r="Q5" i="4"/>
  <c r="P7" i="4"/>
  <c r="P5" i="4"/>
  <c r="Q6" i="4"/>
  <c r="Q4" i="4"/>
  <c r="P6" i="4"/>
  <c r="P4" i="4"/>
  <c r="AA7" i="19"/>
  <c r="Z7" i="19"/>
  <c r="X7" i="19"/>
  <c r="AA6" i="19"/>
  <c r="Z6" i="19"/>
  <c r="X6" i="19"/>
  <c r="AA5" i="19"/>
  <c r="Z5" i="19"/>
  <c r="X5" i="19"/>
  <c r="AA4" i="19"/>
  <c r="Z4" i="19"/>
  <c r="X4" i="19"/>
  <c r="AA3" i="19"/>
  <c r="Z3" i="19"/>
  <c r="X3" i="19"/>
  <c r="H8" i="4"/>
  <c r="O8" i="4" s="1"/>
  <c r="I8" i="4"/>
  <c r="J8" i="4"/>
  <c r="K8" i="4"/>
  <c r="R8" i="4" s="1"/>
  <c r="L8" i="4"/>
  <c r="S8" i="4" s="1"/>
  <c r="M8" i="4"/>
  <c r="T8" i="4" s="1"/>
  <c r="H9" i="4"/>
  <c r="O9" i="4" s="1"/>
  <c r="I9" i="4"/>
  <c r="P9" i="4" s="1"/>
  <c r="J9" i="4"/>
  <c r="K9" i="4"/>
  <c r="R9" i="4" s="1"/>
  <c r="L9" i="4"/>
  <c r="S9" i="4" s="1"/>
  <c r="M9" i="4"/>
  <c r="T9" i="4" s="1"/>
  <c r="H10" i="4"/>
  <c r="O10" i="4" s="1"/>
  <c r="I10" i="4"/>
  <c r="J10" i="4"/>
  <c r="K10" i="4"/>
  <c r="R10" i="4" s="1"/>
  <c r="L10" i="4"/>
  <c r="S10" i="4" s="1"/>
  <c r="M10" i="4"/>
  <c r="T10" i="4" s="1"/>
  <c r="H11" i="4"/>
  <c r="O11" i="4" s="1"/>
  <c r="I11" i="4"/>
  <c r="J11" i="4"/>
  <c r="K11" i="4"/>
  <c r="R11" i="4" s="1"/>
  <c r="L11" i="4"/>
  <c r="S11" i="4" s="1"/>
  <c r="M11" i="4"/>
  <c r="T11" i="4" s="1"/>
  <c r="H12" i="4"/>
  <c r="O12" i="4" s="1"/>
  <c r="I12" i="4"/>
  <c r="J12" i="4"/>
  <c r="K12" i="4"/>
  <c r="R12" i="4" s="1"/>
  <c r="L12" i="4"/>
  <c r="S12" i="4" s="1"/>
  <c r="M12" i="4"/>
  <c r="T12" i="4" s="1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Q9" i="4" l="1"/>
  <c r="P12" i="4"/>
  <c r="Q12" i="4"/>
  <c r="P11" i="4"/>
  <c r="Q11" i="4"/>
  <c r="Q8" i="4"/>
  <c r="P10" i="4"/>
  <c r="AH4" i="19" a="1"/>
  <c r="AH4" i="19" s="1"/>
  <c r="AI4" i="19" a="1"/>
  <c r="AI4" i="19" s="1"/>
  <c r="AK4" i="19" a="1"/>
  <c r="AK4" i="19" s="1"/>
  <c r="AJ4" i="19" a="1"/>
  <c r="AJ4" i="19" s="1"/>
  <c r="AG4" i="19" a="1"/>
  <c r="AG4" i="19" s="1"/>
  <c r="Q10" i="4"/>
  <c r="P8" i="4"/>
  <c r="W6" i="19"/>
  <c r="AC6" i="19" s="1"/>
  <c r="W3" i="19"/>
  <c r="W4" i="19"/>
  <c r="W7" i="19"/>
  <c r="AC7" i="19" s="1"/>
  <c r="W5" i="19"/>
  <c r="AD7" i="19"/>
  <c r="AE7" i="19"/>
  <c r="AD4" i="19"/>
  <c r="AE4" i="19"/>
  <c r="AE6" i="19"/>
  <c r="AE3" i="19"/>
  <c r="AE5" i="19"/>
  <c r="AD6" i="19"/>
  <c r="AD3" i="19"/>
  <c r="AD5" i="19"/>
  <c r="AF4" i="19" l="1" a="1"/>
  <c r="AF4" i="19" s="1"/>
  <c r="AF7" i="19" s="1"/>
  <c r="AC5" i="19"/>
  <c r="AC4" i="19"/>
  <c r="AC3" i="19"/>
  <c r="AG7" i="19"/>
  <c r="AH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<sst xmlns="http://schemas.openxmlformats.org/spreadsheetml/2006/main" count="111" uniqueCount="43">
  <si>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</si>
  <si>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</si>
  <si>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</si>
  <si>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</si>
  <si>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</si>
  <si>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</si>
  <si>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</si>
  <si>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</si>
  <si>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</si>
  <si>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</si>
  <si>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</si>
  <si>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</si>
  <si>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</si>
  <si>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</si>
  <si>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</si>
  <si>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</si>
  <si>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</si>
  <si>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</si>
  <si>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</si>
  <si>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</si>
  <si>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</si>
  <si>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</si>
  <si>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</si>
  <si>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</si>
  <si>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</si>
  <si>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</si>
  <si>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</si>
  <si>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</si>
  <si>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</si>
  <si>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</si>
  <si>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</si>
  <si>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</si>
  <si>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</si>
  <si>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theta1 (rad)</t>
  </si>
  <si>
    <t>theta2 (rad)</t>
  </si>
  <si>
    <t>singular values</t>
  </si>
  <si>
    <t>Axis Conversion</t>
  </si>
  <si>
    <t xml:space="preserve"> Transformation</t>
  </si>
  <si>
    <t>Sensor Offset (m)</t>
  </si>
  <si>
    <t>abs(s1-s2)</t>
  </si>
  <si>
    <t>Extra</t>
  </si>
  <si>
    <t>Sensor Ranges</t>
  </si>
  <si>
    <t>NRMSE (%FS)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</si>
</sst>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45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2" fillId="6" borderId="1" xfId="0" applyFont="1" applyFill="1" applyBorder="1"/>
    <xf numFmtId="0" fontId="0" fillId="0" borderId="1" xfId="0" applyBorder="1"/>
    <xf numFmtId="166" fontId="3" fillId="8" borderId="1" xfId="0" applyNumberFormat="1" applyFont="1" applyFill="1" applyBorder="1"/>
    <xf numFmtId="166" fontId="3" fillId="8" borderId="12" xfId="0" applyNumberFormat="1" applyFont="1" applyFill="1" applyBorder="1"/>
    <xf numFmtId="166" fontId="0" fillId="0" borderId="1" xfId="0" applyNumberFormat="1" applyBorder="1"/>
    <xf numFmtId="165" fontId="3" fillId="8" borderId="1" xfId="0" applyNumberFormat="1" applyFont="1" applyFill="1" applyBorder="1"/>
    <xf numFmtId="166" fontId="0" fillId="0" borderId="0" xfId="0" applyNumberFormat="1"/>
    <xf numFmtId="11" fontId="3" fillId="8" borderId="1" xfId="0" applyNumberFormat="1" applyFont="1" applyFill="1" applyBorder="1"/>
    <xf numFmtId="0" fontId="1" fillId="6" borderId="0" xfId="0" applyFont="1" applyFill="1"/>
    <xf numFmtId="164" fontId="3" fillId="8" borderId="0" xfId="0" applyNumberFormat="1" applyFont="1" applyFill="1"/>
    <xf numFmtId="2" fontId="3" fillId="8" borderId="1" xfId="0" applyNumberFormat="1" applyFont="1" applyFill="1" applyBorder="1"/>
    <xf numFmtId="2" fontId="4" fillId="10" borderId="1" xfId="1" applyNumberFormat="1" applyBorder="1"/>
    <xf numFmtId="164" fontId="4" fillId="10" borderId="1" xfId="1" applyNumberFormat="1" applyBorder="1"/>
    <xf numFmtId="1" fontId="3" fillId="8" borderId="1" xfId="0" applyNumberFormat="1" applyFont="1" applyFill="1" applyBorder="1"/>
    <xf numFmtId="0" fontId="2" fillId="7" borderId="0" xfId="0" applyFont="1" applyFill="1"/>
    <xf numFmtId="164" fontId="4" fillId="10" borderId="13" xfId="1" applyNumberFormat="1" applyBorder="1"/>
    <xf numFmtId="2" fontId="4" fillId="10" borderId="13" xfId="1" applyNumberFormat="1" applyBorder="1"/>
    <xf numFmtId="166" fontId="3" fillId="8" borderId="13" xfId="0" applyNumberFormat="1" applyFont="1" applyFill="1" applyBorder="1"/>
    <xf numFmtId="165" fontId="3" fillId="8" borderId="13" xfId="0" applyNumberFormat="1" applyFont="1" applyFill="1" applyBorder="1"/>
    <xf numFmtId="164" fontId="3" fillId="8" borderId="13" xfId="0" applyNumberFormat="1" applyFont="1" applyFill="1" applyBorder="1"/>
    <xf numFmtId="2" fontId="3" fillId="8" borderId="13" xfId="0" applyNumberFormat="1" applyFont="1" applyFill="1" applyBorder="1"/>
    <xf numFmtId="11" fontId="3" fillId="8" borderId="13" xfId="0" applyNumberFormat="1" applyFont="1" applyFill="1" applyBorder="1"/>
    <xf numFmtId="0" fontId="1" fillId="9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6D6D"/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DX10"/>
  <sheetViews>
    <sheetView workbookViewId="0">
      <selection activeCell="F34" sqref="F34"/>
    </sheetView>
  </sheetViews>
  <sheetFormatPr defaultRowHeight="16.5" customHeight="1" x14ac:dyDescent="0.25"/>
  <cols>
    <col min="1" max="2" width="7.42578125" bestFit="1" customWidth="1"/>
    <col min="3" max="3" width="11.85546875" bestFit="1" customWidth="1"/>
    <col min="4" max="5" width="7.42578125" bestFit="1" customWidth="1"/>
    <col min="6" max="6" width="11.85546875" bestFit="1" customWidth="1"/>
    <col min="7" max="9" width="8.5703125" bestFit="1" customWidth="1"/>
    <col min="10" max="11" width="8.42578125" bestFit="1" customWidth="1"/>
    <col min="12" max="15" width="8" bestFit="1" customWidth="1"/>
    <col min="16" max="17" width="8.140625" bestFit="1" customWidth="1"/>
    <col min="18" max="18" width="7.7109375" bestFit="1" customWidth="1"/>
    <col min="19" max="21" width="7" bestFit="1" customWidth="1"/>
    <col min="22" max="23" width="8.140625" bestFit="1" customWidth="1"/>
    <col min="24" max="24" width="7.7109375" bestFit="1" customWidth="1"/>
    <col min="25" max="27" width="7.28515625" bestFit="1" customWidth="1"/>
    <col min="28" max="28" width="14" bestFit="1" customWidth="1"/>
    <col min="29" max="29" width="10.7109375" bestFit="1" customWidth="1"/>
    <col min="30" max="30" width="14.5703125" bestFit="1" customWidth="1"/>
  </cols>
  <sheetData>
    <row r="1" spans="1:128" ht="16.5" customHeight="1" x14ac:dyDescent="0.25">
      <c r="A1" s="29" t="s">
        <v>11</v>
      </c>
      <c r="B1" s="29"/>
      <c r="C1" s="29"/>
      <c r="D1" s="29"/>
      <c r="E1" s="29"/>
      <c r="F1" s="29"/>
      <c r="G1" s="29"/>
      <c r="H1" s="29"/>
      <c r="I1" s="30"/>
      <c r="J1" s="31" t="s">
        <v>6</v>
      </c>
      <c r="K1" s="32"/>
      <c r="L1" s="32"/>
      <c r="M1" s="32"/>
      <c r="N1" s="32"/>
      <c r="O1" s="32"/>
      <c r="P1" s="33" t="s">
        <v>12</v>
      </c>
      <c r="Q1" s="34"/>
      <c r="R1" s="34"/>
      <c r="S1" s="34"/>
      <c r="T1" s="34"/>
      <c r="U1" s="34"/>
      <c r="V1" s="35" t="s">
        <v>14</v>
      </c>
      <c r="W1" s="35"/>
      <c r="X1" s="35"/>
      <c r="Y1" s="35"/>
      <c r="Z1" s="35"/>
      <c r="AA1" s="35"/>
      <c r="AB1" s="35"/>
      <c r="AC1" s="28" t="s">
        <v>40</v>
      </c>
      <c r="AD1" s="28"/>
      <c r="AE1" s="28" t="s">
        <v>41</v>
      </c>
      <c r="AF1" s="28"/>
      <c r="AG1" s="28"/>
      <c r="AH1" s="28"/>
      <c r="AI1" s="28"/>
      <c r="AJ1" s="28"/>
    </row>
    <row r="2" spans="1:128" ht="16.5" customHeight="1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  <c r="AB2" s="1" t="s">
        <v>42</v>
      </c>
      <c r="AC2" s="1" t="s">
        <v>39</v>
      </c>
      <c r="AD2" s="6" t="s">
        <v>35</v>
      </c>
      <c r="AE2" s="1" t="s">
        <v>18</v>
      </c>
      <c r="AF2" s="1" t="s">
        <v>19</v>
      </c>
      <c r="AG2" s="1" t="s">
        <v>20</v>
      </c>
      <c r="AH2" s="1" t="s">
        <v>15</v>
      </c>
      <c r="AI2" s="1" t="s">
        <v>16</v>
      </c>
      <c r="AJ2" s="1" t="s">
        <v>17</v>
      </c>
    </row>
    <row r="3" spans="1:128" s="5" customFormat="1" ht="16.5" customHeight="1" x14ac:dyDescent="0.25">
      <c r="A3" s="17">
        <v>0</v>
      </c>
      <c r="B3" s="17">
        <v>0.18</v>
      </c>
      <c r="C3" s="18">
        <f>PI()</f>
        <v>3.1415926535897931</v>
      </c>
      <c r="D3" s="17">
        <v>0</v>
      </c>
      <c r="E3" s="17">
        <v>0.04</v>
      </c>
      <c r="F3" s="18">
        <v>0</v>
      </c>
      <c r="G3" s="17">
        <v>10</v>
      </c>
      <c r="H3" s="17">
        <v>0</v>
      </c>
      <c r="I3" s="17">
        <v>0</v>
      </c>
      <c r="J3" s="8">
        <v>-9.3765836209058805E-4</v>
      </c>
      <c r="K3" s="8">
        <v>3.3231220841407762E-2</v>
      </c>
      <c r="L3" s="8">
        <v>-5.6904618144035364E-2</v>
      </c>
      <c r="M3" s="8">
        <v>0.107624679803848</v>
      </c>
      <c r="N3" s="8">
        <v>0.58954048156738303</v>
      </c>
      <c r="O3" s="8">
        <v>0.17913798987865401</v>
      </c>
      <c r="P3" s="11"/>
      <c r="Q3" s="11"/>
      <c r="R3" s="11"/>
      <c r="S3" s="11"/>
      <c r="T3" s="11"/>
      <c r="U3" s="11"/>
      <c r="V3" s="5">
        <f t="shared" ref="V3:AA3" si="0">J3-P3</f>
        <v>-9.3765836209058805E-4</v>
      </c>
      <c r="W3" s="5">
        <f t="shared" si="0"/>
        <v>3.3231220841407762E-2</v>
      </c>
      <c r="X3" s="5">
        <f t="shared" si="0"/>
        <v>-5.6904618144035364E-2</v>
      </c>
      <c r="Y3" s="5">
        <f t="shared" si="0"/>
        <v>0.107624679803848</v>
      </c>
      <c r="Z3" s="5">
        <f t="shared" si="0"/>
        <v>0.58954048156738303</v>
      </c>
      <c r="AA3" s="5">
        <f t="shared" si="0"/>
        <v>0.17913798987865401</v>
      </c>
      <c r="AB3" s="16" cm="1">
        <f t="array" ref="AB3">SQRT(SUMPRODUCT(((J3:O3-P3:U3)/$AE$3:$AJ$3)^2)/6)*100</f>
        <v>2.970877346540223</v>
      </c>
      <c r="AC3" s="5">
        <f>ABS(B3-E3)</f>
        <v>0.13999999999999999</v>
      </c>
      <c r="AD3" s="13">
        <v>63364.800162808497</v>
      </c>
      <c r="AE3" s="19">
        <v>1</v>
      </c>
      <c r="AF3" s="19">
        <v>1</v>
      </c>
      <c r="AG3" s="19">
        <v>1</v>
      </c>
      <c r="AH3" s="19">
        <v>60</v>
      </c>
      <c r="AI3" s="19">
        <v>20</v>
      </c>
      <c r="AJ3" s="19">
        <v>20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s="5" customFormat="1" ht="16.5" customHeight="1" x14ac:dyDescent="0.25">
      <c r="A4" s="17"/>
      <c r="B4" s="17"/>
      <c r="C4" s="18"/>
      <c r="D4" s="17"/>
      <c r="E4" s="17"/>
      <c r="F4" s="18"/>
      <c r="G4" s="17"/>
      <c r="H4" s="17"/>
      <c r="I4" s="17"/>
      <c r="J4" s="8"/>
      <c r="K4" s="8"/>
      <c r="L4" s="8"/>
      <c r="M4" s="8"/>
      <c r="N4" s="8"/>
      <c r="O4" s="8"/>
      <c r="P4" s="11"/>
      <c r="Q4" s="11"/>
      <c r="R4" s="11"/>
      <c r="S4" s="11"/>
      <c r="T4" s="11"/>
      <c r="U4" s="11"/>
      <c r="V4" s="5">
        <f t="shared" ref="V4" si="1">J4-P4</f>
        <v>0</v>
      </c>
      <c r="W4" s="5">
        <f t="shared" ref="W4" si="2">K4-Q4</f>
        <v>0</v>
      </c>
      <c r="X4" s="5">
        <f t="shared" ref="X4" si="3">L4-R4</f>
        <v>0</v>
      </c>
      <c r="Y4" s="5">
        <f t="shared" ref="Y4" si="4">M4-S4</f>
        <v>0</v>
      </c>
      <c r="Z4" s="5">
        <f t="shared" ref="Z4" si="5">N4-T4</f>
        <v>0</v>
      </c>
      <c r="AA4" s="5">
        <f t="shared" ref="AA4" si="6">O4-U4</f>
        <v>0</v>
      </c>
      <c r="AB4" s="16" cm="1">
        <f t="array" ref="AB4">SQRT(SUMPRODUCT(((J4:O4-P4:U4)/$AE$3:$AJ$3)^2)/6)*100</f>
        <v>0</v>
      </c>
      <c r="AC4" s="5">
        <f t="shared" ref="AC4:AC7" si="7">ABS(B4-E4)</f>
        <v>0</v>
      </c>
      <c r="AD4" s="13">
        <v>330.78885343832201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s="5" customFormat="1" ht="16.5" customHeight="1" x14ac:dyDescent="0.25">
      <c r="A5" s="17"/>
      <c r="B5" s="17"/>
      <c r="C5" s="18"/>
      <c r="D5" s="17"/>
      <c r="E5" s="17"/>
      <c r="F5" s="18"/>
      <c r="G5" s="17"/>
      <c r="H5" s="17"/>
      <c r="I5" s="17"/>
      <c r="J5" s="8"/>
      <c r="K5" s="8"/>
      <c r="L5" s="8"/>
      <c r="M5" s="8"/>
      <c r="N5" s="8"/>
      <c r="O5" s="8"/>
      <c r="P5" s="11"/>
      <c r="Q5" s="11"/>
      <c r="R5" s="11"/>
      <c r="S5" s="11"/>
      <c r="T5" s="11"/>
      <c r="U5" s="11"/>
      <c r="V5" s="5">
        <f t="shared" ref="V5" si="8">J5-P5</f>
        <v>0</v>
      </c>
      <c r="W5" s="5">
        <f t="shared" ref="W5" si="9">K5-Q5</f>
        <v>0</v>
      </c>
      <c r="X5" s="5">
        <f t="shared" ref="X5" si="10">L5-R5</f>
        <v>0</v>
      </c>
      <c r="Y5" s="5">
        <f t="shared" ref="Y5" si="11">M5-S5</f>
        <v>0</v>
      </c>
      <c r="Z5" s="5">
        <f t="shared" ref="Z5" si="12">N5-T5</f>
        <v>0</v>
      </c>
      <c r="AA5" s="5">
        <f t="shared" ref="AA5" si="13">O5-U5</f>
        <v>0</v>
      </c>
      <c r="AB5" s="16" cm="1">
        <f t="array" ref="AB5">SQRT(SUMPRODUCT(((J5:O5-P5:U5)/$AE$3:$AJ$3)^2)/6)*100</f>
        <v>0</v>
      </c>
      <c r="AC5" s="5">
        <f t="shared" si="7"/>
        <v>0</v>
      </c>
      <c r="AD5" s="13">
        <v>883.99451977233605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s="5" customFormat="1" ht="16.5" customHeight="1" x14ac:dyDescent="0.25">
      <c r="A6" s="17"/>
      <c r="B6" s="17"/>
      <c r="C6" s="18"/>
      <c r="D6" s="17"/>
      <c r="E6" s="17"/>
      <c r="F6" s="18"/>
      <c r="G6" s="17"/>
      <c r="H6" s="17"/>
      <c r="I6" s="17"/>
      <c r="J6" s="8"/>
      <c r="K6" s="8"/>
      <c r="L6" s="8"/>
      <c r="M6" s="8"/>
      <c r="N6" s="8"/>
      <c r="O6" s="8"/>
      <c r="P6" s="11"/>
      <c r="Q6" s="11"/>
      <c r="R6" s="11"/>
      <c r="S6" s="11"/>
      <c r="T6" s="11"/>
      <c r="U6" s="11"/>
      <c r="V6" s="5">
        <f t="shared" ref="V6:AA7" si="14">J6-P6</f>
        <v>0</v>
      </c>
      <c r="W6" s="5">
        <f t="shared" si="14"/>
        <v>0</v>
      </c>
      <c r="X6" s="5">
        <f t="shared" si="14"/>
        <v>0</v>
      </c>
      <c r="Y6" s="5">
        <f t="shared" si="14"/>
        <v>0</v>
      </c>
      <c r="Z6" s="5">
        <f t="shared" si="14"/>
        <v>0</v>
      </c>
      <c r="AA6" s="5">
        <f t="shared" si="14"/>
        <v>0</v>
      </c>
      <c r="AB6" s="16" cm="1">
        <f t="array" ref="AB6">SQRT(SUMPRODUCT(((J6:O6-P6:U6)/$AE$3:$AJ$3)^2)/6)*100</f>
        <v>0</v>
      </c>
      <c r="AC6" s="5">
        <f t="shared" si="7"/>
        <v>0</v>
      </c>
      <c r="AD6" s="13">
        <v>214.863490368529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s="5" customFormat="1" ht="16.5" customHeight="1" x14ac:dyDescent="0.25">
      <c r="A7" s="17"/>
      <c r="B7" s="17"/>
      <c r="C7" s="21"/>
      <c r="D7" s="22"/>
      <c r="E7" s="22"/>
      <c r="F7" s="21"/>
      <c r="G7" s="22"/>
      <c r="H7" s="22"/>
      <c r="I7" s="22"/>
      <c r="J7" s="23"/>
      <c r="K7" s="23"/>
      <c r="L7" s="23"/>
      <c r="M7" s="23"/>
      <c r="N7" s="23"/>
      <c r="O7" s="23"/>
      <c r="P7" s="24"/>
      <c r="Q7" s="24"/>
      <c r="R7" s="24"/>
      <c r="S7" s="24"/>
      <c r="T7" s="24"/>
      <c r="U7" s="24"/>
      <c r="V7" s="25">
        <f t="shared" si="14"/>
        <v>0</v>
      </c>
      <c r="W7" s="25">
        <f t="shared" si="14"/>
        <v>0</v>
      </c>
      <c r="X7" s="25">
        <f t="shared" si="14"/>
        <v>0</v>
      </c>
      <c r="Y7" s="25">
        <f t="shared" si="14"/>
        <v>0</v>
      </c>
      <c r="Z7" s="25">
        <f t="shared" si="14"/>
        <v>0</v>
      </c>
      <c r="AA7" s="25">
        <f t="shared" si="14"/>
        <v>0</v>
      </c>
      <c r="AB7" s="26" cm="1">
        <f t="array" ref="AB7">SQRT(SUMPRODUCT(((J7:O7-P7:U7)/$AE$3:$AJ$3)^2)/6)*100</f>
        <v>0</v>
      </c>
      <c r="AC7" s="25">
        <f t="shared" si="7"/>
        <v>0</v>
      </c>
      <c r="AD7" s="27">
        <v>1314.4733005805001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s="5" customFormat="1" ht="16.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s="5" customFormat="1" ht="16.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s="5" customFormat="1" ht="16.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</sheetData>
  <mergeCells count="6">
    <mergeCell ref="AE1:AJ1"/>
    <mergeCell ref="A1:I1"/>
    <mergeCell ref="J1:O1"/>
    <mergeCell ref="P1:U1"/>
    <mergeCell ref="AC1:AD1"/>
    <mergeCell ref="V1:A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K12"/>
  <sheetViews>
    <sheetView tabSelected="1" topLeftCell="I1" workbookViewId="0">
      <pane ySplit="2" topLeftCell="A3" activePane="bottomLeft" state="frozen"/>
      <selection activeCell="K1" sqref="K1"/>
      <selection pane="bottomLeft" activeCell="AE18" sqref="AE18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8" bestFit="1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2" bestFit="1" customWidth="1"/>
    <col min="33" max="33" width="13.85546875" bestFit="1" customWidth="1"/>
    <col min="34" max="34" width="11.85546875" bestFit="1" customWidth="1"/>
    <col min="37" max="37" width="11.85546875" bestFit="1" customWidth="1"/>
  </cols>
  <sheetData>
    <row r="1" spans="1:37" ht="15.75" x14ac:dyDescent="0.25">
      <c r="A1" s="29" t="s">
        <v>11</v>
      </c>
      <c r="B1" s="29"/>
      <c r="C1" s="29"/>
      <c r="D1" s="29"/>
      <c r="E1" s="29"/>
      <c r="F1" s="29"/>
      <c r="G1" s="29"/>
      <c r="H1" s="29"/>
      <c r="I1" s="30"/>
      <c r="J1" s="31" t="s">
        <v>6</v>
      </c>
      <c r="K1" s="32"/>
      <c r="L1" s="32"/>
      <c r="M1" s="32"/>
      <c r="N1" s="32"/>
      <c r="O1" s="32"/>
      <c r="P1" s="39" t="s">
        <v>7</v>
      </c>
      <c r="Q1" s="40"/>
      <c r="R1" s="40"/>
      <c r="S1" s="40"/>
      <c r="T1" s="40"/>
      <c r="U1" s="40"/>
      <c r="V1" s="40"/>
      <c r="W1" s="41" t="s">
        <v>13</v>
      </c>
      <c r="X1" s="41"/>
      <c r="Y1" s="41"/>
      <c r="Z1" s="41"/>
      <c r="AA1" s="41"/>
      <c r="AB1" s="41"/>
      <c r="AC1" s="41"/>
      <c r="AD1" s="41"/>
      <c r="AE1" s="41"/>
      <c r="AF1" s="20" t="s">
        <v>31</v>
      </c>
      <c r="AG1" s="20"/>
      <c r="AH1" s="20"/>
      <c r="AI1" s="20"/>
      <c r="AJ1" s="20"/>
      <c r="AK1" s="20"/>
    </row>
    <row r="2" spans="1:37" ht="15.75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22</v>
      </c>
      <c r="Q2" s="1" t="s">
        <v>23</v>
      </c>
      <c r="R2" s="1" t="s">
        <v>33</v>
      </c>
      <c r="S2" s="1" t="s">
        <v>24</v>
      </c>
      <c r="T2" s="1" t="s">
        <v>25</v>
      </c>
      <c r="U2" s="1" t="s">
        <v>34</v>
      </c>
      <c r="V2" s="2" t="s">
        <v>32</v>
      </c>
      <c r="W2" s="3" t="s">
        <v>22</v>
      </c>
      <c r="X2" s="1" t="s">
        <v>23</v>
      </c>
      <c r="Y2" s="1" t="s">
        <v>33</v>
      </c>
      <c r="Z2" s="1" t="s">
        <v>24</v>
      </c>
      <c r="AA2" s="1" t="s">
        <v>25</v>
      </c>
      <c r="AB2" s="1" t="s">
        <v>34</v>
      </c>
      <c r="AC2" s="6" t="s">
        <v>28</v>
      </c>
      <c r="AD2" s="6" t="s">
        <v>29</v>
      </c>
      <c r="AE2" s="6" t="s">
        <v>30</v>
      </c>
      <c r="AF2" s="38" t="s">
        <v>26</v>
      </c>
      <c r="AG2" s="38"/>
      <c r="AH2" s="38"/>
      <c r="AI2" s="38"/>
      <c r="AJ2" s="38"/>
      <c r="AK2" s="38"/>
    </row>
    <row r="3" spans="1:37" ht="15.75" x14ac:dyDescent="0.25">
      <c r="A3" s="5">
        <f>'Proximal Validation'!A3</f>
        <v>0</v>
      </c>
      <c r="B3" s="5">
        <f>'Proximal Validation'!B3</f>
        <v>0.18</v>
      </c>
      <c r="C3" s="5">
        <f>'Proximal Validation'!C3</f>
        <v>3.1415926535897931</v>
      </c>
      <c r="D3" s="5">
        <f>'Proximal Validation'!D3</f>
        <v>0</v>
      </c>
      <c r="E3" s="5">
        <f>'Proximal Validation'!E3</f>
        <v>0.04</v>
      </c>
      <c r="F3" s="5">
        <f>'Proximal Validation'!F3</f>
        <v>0</v>
      </c>
      <c r="G3" s="5">
        <f>'Proximal Validation'!G3</f>
        <v>10</v>
      </c>
      <c r="H3" s="5">
        <f>'Proximal Validation'!H3</f>
        <v>0</v>
      </c>
      <c r="I3" s="5">
        <f>'Proximal Validation'!I3</f>
        <v>0</v>
      </c>
      <c r="J3" s="5">
        <f>'Proximal Validation'!J3</f>
        <v>-9.3765836209058805E-4</v>
      </c>
      <c r="K3" s="5">
        <f>'Proximal Validation'!K3</f>
        <v>3.3231220841407762E-2</v>
      </c>
      <c r="L3" s="5">
        <f>'Proximal Validation'!L3</f>
        <v>-5.6904618144035364E-2</v>
      </c>
      <c r="M3" s="5">
        <f>'Proximal Validation'!M3</f>
        <v>0.107624679803848</v>
      </c>
      <c r="N3" s="5">
        <f>'Proximal Validation'!N3</f>
        <v>0.58954048156738303</v>
      </c>
      <c r="O3" s="5">
        <f>'Proximal Validation'!O3</f>
        <v>0.17913798987865401</v>
      </c>
      <c r="P3" s="5">
        <v>0.51029999999999998</v>
      </c>
      <c r="Q3" s="5">
        <v>0.1741</v>
      </c>
      <c r="R3" s="5">
        <v>3.6395</v>
      </c>
      <c r="S3" s="5">
        <v>1.1102000000000001</v>
      </c>
      <c r="T3" s="5">
        <v>0.02</v>
      </c>
      <c r="U3" s="5">
        <v>0.3871</v>
      </c>
      <c r="V3" s="13"/>
      <c r="W3" s="5">
        <f t="shared" ref="W3:AA7" si="0">P3-A3</f>
        <v>0.51029999999999998</v>
      </c>
      <c r="X3" s="5">
        <f t="shared" si="0"/>
        <v>-5.8999999999999886E-3</v>
      </c>
      <c r="Y3" s="5">
        <f>MIN(ABS(R3-C3),2*PI()-ABS(R3-C3))</f>
        <v>0.49790734641020684</v>
      </c>
      <c r="Z3" s="5">
        <f t="shared" si="0"/>
        <v>1.1102000000000001</v>
      </c>
      <c r="AA3" s="5">
        <f t="shared" si="0"/>
        <v>-0.02</v>
      </c>
      <c r="AB3" s="5">
        <f>MIN(ABS(U3-F3),2*PI()-ABS(U3-F3))</f>
        <v>0.3871</v>
      </c>
      <c r="AC3" s="8">
        <f t="shared" ref="AC3:AC7" si="1">AVERAGE(ABS(W3),ABS(Z3))</f>
        <v>0.81025000000000003</v>
      </c>
      <c r="AD3" s="8">
        <f t="shared" ref="AD3:AD7" si="2">AVERAGE(ABS(X3),ABS(AA3))</f>
        <v>1.2949999999999995E-2</v>
      </c>
      <c r="AE3" s="8">
        <f t="shared" ref="AE3:AE7" si="3">AVERAGE(ABS(Y3),ABS(AB3))</f>
        <v>0.44250367320510342</v>
      </c>
      <c r="AF3" s="1" t="s">
        <v>22</v>
      </c>
      <c r="AG3" s="1" t="s">
        <v>23</v>
      </c>
      <c r="AH3" s="1" t="s">
        <v>33</v>
      </c>
      <c r="AI3" s="1" t="s">
        <v>24</v>
      </c>
      <c r="AJ3" s="1" t="s">
        <v>25</v>
      </c>
      <c r="AK3" s="1" t="s">
        <v>34</v>
      </c>
    </row>
    <row r="4" spans="1:37" x14ac:dyDescent="0.25">
      <c r="A4" s="5">
        <f>'Proximal Validation'!A4</f>
        <v>0</v>
      </c>
      <c r="B4" s="5">
        <f>'Proximal Validation'!B4</f>
        <v>0</v>
      </c>
      <c r="C4" s="5">
        <f>'Proximal Validation'!C4</f>
        <v>0</v>
      </c>
      <c r="D4" s="5">
        <f>'Proximal Validation'!D4</f>
        <v>0</v>
      </c>
      <c r="E4" s="5">
        <f>'Proximal Validation'!E4</f>
        <v>0</v>
      </c>
      <c r="F4" s="5">
        <f>'Proximal Validation'!F4</f>
        <v>0</v>
      </c>
      <c r="G4" s="5">
        <f>'Proximal Validation'!G4</f>
        <v>0</v>
      </c>
      <c r="H4" s="5">
        <f>'Proximal Validation'!H4</f>
        <v>0</v>
      </c>
      <c r="I4" s="5">
        <f>'Proximal Validation'!I4</f>
        <v>0</v>
      </c>
      <c r="J4" s="5">
        <f>'Proximal Validation'!J4</f>
        <v>0</v>
      </c>
      <c r="K4" s="5">
        <f>'Proximal Validation'!K4</f>
        <v>0</v>
      </c>
      <c r="L4" s="5">
        <f>'Proximal Validation'!L4</f>
        <v>0</v>
      </c>
      <c r="M4" s="5">
        <f>'Proximal Validation'!M4</f>
        <v>0</v>
      </c>
      <c r="N4" s="5">
        <f>'Proximal Validation'!N4</f>
        <v>0</v>
      </c>
      <c r="O4" s="5">
        <f>'Proximal Validation'!O4</f>
        <v>0</v>
      </c>
      <c r="P4" s="5"/>
      <c r="Q4" s="5"/>
      <c r="R4" s="5"/>
      <c r="S4" s="5"/>
      <c r="T4" s="5"/>
      <c r="U4" s="5"/>
      <c r="V4" s="13"/>
      <c r="W4" s="5">
        <f t="shared" si="0"/>
        <v>0</v>
      </c>
      <c r="X4" s="5">
        <f t="shared" si="0"/>
        <v>0</v>
      </c>
      <c r="Y4" s="5">
        <f t="shared" ref="Y4:Y7" si="4">MIN(ABS(R4-C4),2*PI()-ABS(R4-C4))</f>
        <v>0</v>
      </c>
      <c r="Z4" s="5">
        <f t="shared" si="0"/>
        <v>0</v>
      </c>
      <c r="AA4" s="5">
        <f t="shared" si="0"/>
        <v>0</v>
      </c>
      <c r="AB4" s="5">
        <f t="shared" ref="AB4:AB7" si="5">MIN(ABS(U4-F4),2*PI()-ABS(U4-F4))</f>
        <v>0</v>
      </c>
      <c r="AC4" s="8">
        <f t="shared" si="1"/>
        <v>0</v>
      </c>
      <c r="AD4" s="8">
        <f t="shared" si="2"/>
        <v>0</v>
      </c>
      <c r="AE4" s="8">
        <f t="shared" si="3"/>
        <v>0</v>
      </c>
      <c r="AF4" s="7" cm="1">
        <f t="array" ref="AF4">AVERAGE(ABS(W3:W12))</f>
        <v>5.1029999999999999E-2</v>
      </c>
      <c r="AG4" s="7" cm="1">
        <f t="array" ref="AG4">AVERAGE(ABS(X3:X12))</f>
        <v>5.8999999999999884E-4</v>
      </c>
      <c r="AH4" s="7" cm="1">
        <f t="array" ref="AH4">AVERAGE(ABS(Y3:Y12))</f>
        <v>4.9790734641020684E-2</v>
      </c>
      <c r="AI4" s="7" cm="1">
        <f t="array" ref="AI4">AVERAGE(ABS(Z3:Z12))</f>
        <v>0.11102000000000001</v>
      </c>
      <c r="AJ4" s="7" cm="1">
        <f t="array" ref="AJ4">AVERAGE(ABS(AA3:AA12))</f>
        <v>2E-3</v>
      </c>
      <c r="AK4" s="7" cm="1">
        <f t="array" ref="AK4">AVERAGE(ABS(AB3:AB12))</f>
        <v>3.8710000000000001E-2</v>
      </c>
    </row>
    <row r="5" spans="1:37" x14ac:dyDescent="0.25">
      <c r="A5" s="5">
        <f>'Proximal Validation'!A5</f>
        <v>0</v>
      </c>
      <c r="B5" s="5">
        <f>'Proximal Validation'!B5</f>
        <v>0</v>
      </c>
      <c r="C5" s="5">
        <f>'Proximal Validation'!C5</f>
        <v>0</v>
      </c>
      <c r="D5" s="5">
        <f>'Proximal Validation'!D5</f>
        <v>0</v>
      </c>
      <c r="E5" s="5">
        <f>'Proximal Validation'!E5</f>
        <v>0</v>
      </c>
      <c r="F5" s="5">
        <f>'Proximal Validation'!F5</f>
        <v>0</v>
      </c>
      <c r="G5" s="5">
        <f>'Proximal Validation'!G5</f>
        <v>0</v>
      </c>
      <c r="H5" s="5">
        <f>'Proximal Validation'!H5</f>
        <v>0</v>
      </c>
      <c r="I5" s="5">
        <f>'Proximal Validation'!I5</f>
        <v>0</v>
      </c>
      <c r="J5" s="5">
        <f>'Proximal Validation'!J5</f>
        <v>0</v>
      </c>
      <c r="K5" s="5">
        <f>'Proximal Validation'!K5</f>
        <v>0</v>
      </c>
      <c r="L5" s="5">
        <f>'Proximal Validation'!L5</f>
        <v>0</v>
      </c>
      <c r="M5" s="5">
        <f>'Proximal Validation'!M5</f>
        <v>0</v>
      </c>
      <c r="N5" s="5">
        <f>'Proximal Validation'!N5</f>
        <v>0</v>
      </c>
      <c r="O5" s="5">
        <f>'Proximal Validation'!O5</f>
        <v>0</v>
      </c>
      <c r="P5" s="5"/>
      <c r="Q5" s="5"/>
      <c r="R5" s="5"/>
      <c r="S5" s="5"/>
      <c r="T5" s="5"/>
      <c r="U5" s="5"/>
      <c r="V5" s="13"/>
      <c r="W5" s="5">
        <f t="shared" si="0"/>
        <v>0</v>
      </c>
      <c r="X5" s="5">
        <f t="shared" si="0"/>
        <v>0</v>
      </c>
      <c r="Y5" s="5">
        <f t="shared" si="4"/>
        <v>0</v>
      </c>
      <c r="Z5" s="5">
        <f t="shared" si="0"/>
        <v>0</v>
      </c>
      <c r="AA5" s="5">
        <f t="shared" si="0"/>
        <v>0</v>
      </c>
      <c r="AB5" s="5">
        <f t="shared" si="5"/>
        <v>0</v>
      </c>
      <c r="AC5" s="9">
        <f t="shared" si="1"/>
        <v>0</v>
      </c>
      <c r="AD5" s="9">
        <f t="shared" si="2"/>
        <v>0</v>
      </c>
      <c r="AE5" s="9">
        <f t="shared" si="3"/>
        <v>0</v>
      </c>
      <c r="AF5" s="36" t="s">
        <v>27</v>
      </c>
      <c r="AG5" s="37"/>
      <c r="AH5" s="37"/>
      <c r="AI5" s="37"/>
      <c r="AJ5" s="37"/>
      <c r="AK5" s="37"/>
    </row>
    <row r="6" spans="1:37" x14ac:dyDescent="0.25">
      <c r="A6" s="5">
        <f>'Proximal Validation'!A6</f>
        <v>0</v>
      </c>
      <c r="B6" s="5">
        <f>'Proximal Validation'!B6</f>
        <v>0</v>
      </c>
      <c r="C6" s="5">
        <f>'Proximal Validation'!C6</f>
        <v>0</v>
      </c>
      <c r="D6" s="5">
        <f>'Proximal Validation'!D6</f>
        <v>0</v>
      </c>
      <c r="E6" s="5">
        <f>'Proximal Validation'!E6</f>
        <v>0</v>
      </c>
      <c r="F6" s="5">
        <f>'Proximal Validation'!F6</f>
        <v>0</v>
      </c>
      <c r="G6" s="5">
        <f>'Proximal Validation'!G6</f>
        <v>0</v>
      </c>
      <c r="H6" s="5">
        <f>'Proximal Validation'!H6</f>
        <v>0</v>
      </c>
      <c r="I6" s="5">
        <f>'Proximal Validation'!I6</f>
        <v>0</v>
      </c>
      <c r="J6" s="5">
        <f>'Proximal Validation'!J6</f>
        <v>0</v>
      </c>
      <c r="K6" s="5">
        <f>'Proximal Validation'!K6</f>
        <v>0</v>
      </c>
      <c r="L6" s="5">
        <f>'Proximal Validation'!L6</f>
        <v>0</v>
      </c>
      <c r="M6" s="5">
        <f>'Proximal Validation'!M6</f>
        <v>0</v>
      </c>
      <c r="N6" s="5">
        <f>'Proximal Validation'!N6</f>
        <v>0</v>
      </c>
      <c r="O6" s="5">
        <f>'Proximal Validation'!O6</f>
        <v>0</v>
      </c>
      <c r="P6" s="5"/>
      <c r="Q6" s="5"/>
      <c r="R6" s="5"/>
      <c r="S6" s="5"/>
      <c r="T6" s="5"/>
      <c r="U6" s="5"/>
      <c r="V6" s="13"/>
      <c r="W6" s="5">
        <f t="shared" si="0"/>
        <v>0</v>
      </c>
      <c r="X6" s="5">
        <f t="shared" si="0"/>
        <v>0</v>
      </c>
      <c r="Y6" s="5">
        <f t="shared" si="4"/>
        <v>0</v>
      </c>
      <c r="Z6" s="5">
        <f t="shared" si="0"/>
        <v>0</v>
      </c>
      <c r="AA6" s="5">
        <f t="shared" si="0"/>
        <v>0</v>
      </c>
      <c r="AB6" s="5">
        <f t="shared" si="5"/>
        <v>0</v>
      </c>
      <c r="AC6" s="8">
        <f t="shared" si="1"/>
        <v>0</v>
      </c>
      <c r="AD6" s="8">
        <f t="shared" si="2"/>
        <v>0</v>
      </c>
      <c r="AE6" s="8">
        <f t="shared" si="3"/>
        <v>0</v>
      </c>
      <c r="AF6" s="6" t="s">
        <v>28</v>
      </c>
      <c r="AG6" s="6" t="s">
        <v>29</v>
      </c>
      <c r="AH6" s="6" t="s">
        <v>30</v>
      </c>
      <c r="AI6" s="7"/>
      <c r="AJ6" s="7"/>
      <c r="AK6" s="7"/>
    </row>
    <row r="7" spans="1:37" x14ac:dyDescent="0.25">
      <c r="A7" s="5">
        <f>'Proximal Validation'!A7</f>
        <v>0</v>
      </c>
      <c r="B7" s="5">
        <f>'Proximal Validation'!B7</f>
        <v>0</v>
      </c>
      <c r="C7" s="5">
        <f>'Proximal Validation'!C7</f>
        <v>0</v>
      </c>
      <c r="D7" s="5">
        <f>'Proximal Validation'!D7</f>
        <v>0</v>
      </c>
      <c r="E7" s="5">
        <f>'Proximal Validation'!E7</f>
        <v>0</v>
      </c>
      <c r="F7" s="5">
        <f>'Proximal Validation'!F7</f>
        <v>0</v>
      </c>
      <c r="G7" s="5">
        <f>'Proximal Validation'!G7</f>
        <v>0</v>
      </c>
      <c r="H7" s="5">
        <f>'Proximal Validation'!H7</f>
        <v>0</v>
      </c>
      <c r="I7" s="5">
        <f>'Proximal Validation'!I7</f>
        <v>0</v>
      </c>
      <c r="J7" s="5">
        <f>'Proximal Validation'!J7</f>
        <v>0</v>
      </c>
      <c r="K7" s="5">
        <f>'Proximal Validation'!K7</f>
        <v>0</v>
      </c>
      <c r="L7" s="5">
        <f>'Proximal Validation'!L7</f>
        <v>0</v>
      </c>
      <c r="M7" s="5">
        <f>'Proximal Validation'!M7</f>
        <v>0</v>
      </c>
      <c r="N7" s="5">
        <f>'Proximal Validation'!N7</f>
        <v>0</v>
      </c>
      <c r="O7" s="5">
        <f>'Proximal Validation'!O7</f>
        <v>0</v>
      </c>
      <c r="P7" s="5"/>
      <c r="Q7" s="5"/>
      <c r="R7" s="5"/>
      <c r="S7" s="5"/>
      <c r="T7" s="5"/>
      <c r="U7" s="5"/>
      <c r="V7" s="13"/>
      <c r="W7" s="5">
        <f t="shared" si="0"/>
        <v>0</v>
      </c>
      <c r="X7" s="5">
        <f t="shared" si="0"/>
        <v>0</v>
      </c>
      <c r="Y7" s="5">
        <f t="shared" si="4"/>
        <v>0</v>
      </c>
      <c r="Z7" s="5">
        <f t="shared" si="0"/>
        <v>0</v>
      </c>
      <c r="AA7" s="5">
        <f t="shared" si="0"/>
        <v>0</v>
      </c>
      <c r="AB7" s="5">
        <f t="shared" si="5"/>
        <v>0</v>
      </c>
      <c r="AC7" s="8">
        <f t="shared" si="1"/>
        <v>0</v>
      </c>
      <c r="AD7" s="8">
        <f t="shared" si="2"/>
        <v>0</v>
      </c>
      <c r="AE7" s="8">
        <f t="shared" si="3"/>
        <v>0</v>
      </c>
      <c r="AF7" s="10">
        <f>AVERAGE(AF4,AI4)</f>
        <v>8.1025E-2</v>
      </c>
      <c r="AG7" s="10">
        <f>AVERAGE(AG4,AJ4)</f>
        <v>1.2949999999999995E-3</v>
      </c>
      <c r="AH7" s="10">
        <f>AVERAGE(AH4,AK4)</f>
        <v>4.4250367320510339E-2</v>
      </c>
      <c r="AI7" s="7"/>
      <c r="AJ7" s="7"/>
      <c r="AK7" s="7"/>
    </row>
    <row r="9" spans="1:37" x14ac:dyDescent="0.25">
      <c r="AF9" s="12"/>
      <c r="AG9" s="12"/>
      <c r="AH9" s="12"/>
    </row>
    <row r="12" spans="1:37" x14ac:dyDescent="0.25">
      <c r="AF12" s="12"/>
      <c r="AG12" s="12"/>
      <c r="AH12" s="12"/>
    </row>
  </sheetData>
  <mergeCells count="6">
    <mergeCell ref="AF5:AK5"/>
    <mergeCell ref="A1:I1"/>
    <mergeCell ref="J1:O1"/>
    <mergeCell ref="AF2:AK2"/>
    <mergeCell ref="P1:V1"/>
    <mergeCell ref="W1:A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V18"/>
  <sheetViews>
    <sheetView workbookViewId="0">
      <selection activeCell="O3" sqref="O3:T3"/>
    </sheetView>
  </sheetViews>
  <sheetFormatPr defaultRowHeight="15" x14ac:dyDescent="0.25"/>
  <cols>
    <col min="22" max="22" width="17.7109375" bestFit="1" customWidth="1"/>
  </cols>
  <sheetData>
    <row r="1" spans="1:22" ht="15.75" x14ac:dyDescent="0.25">
      <c r="A1" s="42" t="s">
        <v>21</v>
      </c>
      <c r="B1" s="43"/>
      <c r="C1" s="43"/>
      <c r="D1" s="43"/>
      <c r="E1" s="43"/>
      <c r="F1" s="44"/>
      <c r="H1" s="42" t="s">
        <v>36</v>
      </c>
      <c r="I1" s="43"/>
      <c r="J1" s="43"/>
      <c r="K1" s="43"/>
      <c r="L1" s="43"/>
      <c r="M1" s="44"/>
      <c r="O1" s="42" t="s">
        <v>37</v>
      </c>
      <c r="P1" s="43"/>
      <c r="Q1" s="43"/>
      <c r="R1" s="43"/>
      <c r="S1" s="43"/>
      <c r="T1" s="44"/>
    </row>
    <row r="2" spans="1:22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  <c r="O2" s="3" t="s">
        <v>18</v>
      </c>
      <c r="P2" s="3" t="s">
        <v>19</v>
      </c>
      <c r="Q2" s="3" t="s">
        <v>20</v>
      </c>
      <c r="R2" s="3" t="s">
        <v>15</v>
      </c>
      <c r="S2" s="3" t="s">
        <v>16</v>
      </c>
      <c r="T2" s="3" t="s">
        <v>17</v>
      </c>
      <c r="V2" s="14" t="s">
        <v>38</v>
      </c>
    </row>
    <row r="3" spans="1:22" x14ac:dyDescent="0.25">
      <c r="A3">
        <v>0.17913798987865401</v>
      </c>
      <c r="B3">
        <v>-0.58954048156738303</v>
      </c>
      <c r="C3">
        <v>0.107624679803848</v>
      </c>
      <c r="D3">
        <v>-3.8459748029708901E-3</v>
      </c>
      <c r="E3">
        <v>-1.71088017523289E-2</v>
      </c>
      <c r="F3" s="4">
        <v>-9.3765836209058805E-4</v>
      </c>
      <c r="H3">
        <f>$F3</f>
        <v>-9.3765836209058805E-4</v>
      </c>
      <c r="I3">
        <f>-1*$E3</f>
        <v>1.71088017523289E-2</v>
      </c>
      <c r="J3">
        <f>$D3</f>
        <v>-3.8459748029708901E-3</v>
      </c>
      <c r="K3">
        <f>$C3</f>
        <v>0.107624679803848</v>
      </c>
      <c r="L3">
        <f>-1*$B3</f>
        <v>0.58954048156738303</v>
      </c>
      <c r="M3">
        <f>$A3</f>
        <v>0.17913798987865401</v>
      </c>
      <c r="O3">
        <f>H3</f>
        <v>-9.3765836209058805E-4</v>
      </c>
      <c r="P3">
        <f>I3+$V$3*M3</f>
        <v>3.3231220841407762E-2</v>
      </c>
      <c r="Q3">
        <f>J3-$V$3*L3</f>
        <v>-5.6904618144035364E-2</v>
      </c>
      <c r="R3">
        <f>K3</f>
        <v>0.107624679803848</v>
      </c>
      <c r="S3">
        <f>L3</f>
        <v>0.58954048156738303</v>
      </c>
      <c r="T3">
        <f>M3</f>
        <v>0.17913798987865401</v>
      </c>
      <c r="V3">
        <f>0.09</f>
        <v>0.09</v>
      </c>
    </row>
    <row r="4" spans="1:22" x14ac:dyDescent="0.25">
      <c r="H4">
        <f t="shared" ref="H4:H18" si="0">$F4</f>
        <v>0</v>
      </c>
      <c r="I4">
        <f t="shared" ref="I4:I18" si="1">-1*$E4</f>
        <v>0</v>
      </c>
      <c r="J4">
        <f t="shared" ref="J4:J18" si="2">$D4</f>
        <v>0</v>
      </c>
      <c r="K4">
        <f t="shared" ref="K4:K18" si="3">$C4</f>
        <v>0</v>
      </c>
      <c r="L4">
        <f t="shared" ref="L4:L18" si="4">-1*$B4</f>
        <v>0</v>
      </c>
      <c r="M4">
        <f t="shared" ref="M4:M18" si="5">$A4</f>
        <v>0</v>
      </c>
      <c r="O4">
        <f t="shared" ref="O4:O18" si="6">H4</f>
        <v>0</v>
      </c>
      <c r="P4">
        <f t="shared" ref="P4:P18" si="7">I4+$V$3*M4</f>
        <v>0</v>
      </c>
      <c r="Q4">
        <f t="shared" ref="Q4:Q18" si="8">J4-$V$3*L4</f>
        <v>0</v>
      </c>
      <c r="R4">
        <f t="shared" ref="R4:R18" si="9">K4</f>
        <v>0</v>
      </c>
      <c r="S4">
        <f t="shared" ref="S4:S18" si="10">L4</f>
        <v>0</v>
      </c>
      <c r="T4">
        <f t="shared" ref="T4:T18" si="11">M4</f>
        <v>0</v>
      </c>
    </row>
    <row r="5" spans="1:22" x14ac:dyDescent="0.25"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0</v>
      </c>
      <c r="O5">
        <f t="shared" si="6"/>
        <v>0</v>
      </c>
      <c r="P5">
        <f t="shared" si="7"/>
        <v>0</v>
      </c>
      <c r="Q5">
        <f t="shared" si="8"/>
        <v>0</v>
      </c>
      <c r="R5">
        <f t="shared" si="9"/>
        <v>0</v>
      </c>
      <c r="S5">
        <f t="shared" si="10"/>
        <v>0</v>
      </c>
      <c r="T5">
        <f t="shared" si="11"/>
        <v>0</v>
      </c>
    </row>
    <row r="6" spans="1:22" x14ac:dyDescent="0.25"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0</v>
      </c>
      <c r="M6">
        <f t="shared" si="5"/>
        <v>0</v>
      </c>
      <c r="O6">
        <f t="shared" si="6"/>
        <v>0</v>
      </c>
      <c r="P6">
        <f t="shared" si="7"/>
        <v>0</v>
      </c>
      <c r="Q6">
        <f t="shared" si="8"/>
        <v>0</v>
      </c>
      <c r="R6">
        <f t="shared" si="9"/>
        <v>0</v>
      </c>
      <c r="S6">
        <f t="shared" si="10"/>
        <v>0</v>
      </c>
      <c r="T6">
        <f t="shared" si="11"/>
        <v>0</v>
      </c>
    </row>
    <row r="7" spans="1:22" x14ac:dyDescent="0.25"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  <c r="O7">
        <f t="shared" si="6"/>
        <v>0</v>
      </c>
      <c r="P7">
        <f t="shared" si="7"/>
        <v>0</v>
      </c>
      <c r="Q7">
        <f t="shared" si="8"/>
        <v>0</v>
      </c>
      <c r="R7">
        <f t="shared" si="9"/>
        <v>0</v>
      </c>
      <c r="S7">
        <f t="shared" si="10"/>
        <v>0</v>
      </c>
      <c r="T7">
        <f t="shared" si="11"/>
        <v>0</v>
      </c>
    </row>
    <row r="8" spans="1:22" x14ac:dyDescent="0.25"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O8">
        <f t="shared" si="6"/>
        <v>0</v>
      </c>
      <c r="P8">
        <f t="shared" si="7"/>
        <v>0</v>
      </c>
      <c r="Q8">
        <f t="shared" si="8"/>
        <v>0</v>
      </c>
      <c r="R8">
        <f t="shared" si="9"/>
        <v>0</v>
      </c>
      <c r="S8">
        <f t="shared" si="10"/>
        <v>0</v>
      </c>
      <c r="T8">
        <f t="shared" si="11"/>
        <v>0</v>
      </c>
    </row>
    <row r="9" spans="1:22" x14ac:dyDescent="0.25"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  <c r="O9">
        <f t="shared" si="6"/>
        <v>0</v>
      </c>
      <c r="P9">
        <f t="shared" si="7"/>
        <v>0</v>
      </c>
      <c r="Q9">
        <f t="shared" si="8"/>
        <v>0</v>
      </c>
      <c r="R9">
        <f t="shared" si="9"/>
        <v>0</v>
      </c>
      <c r="S9">
        <f t="shared" si="10"/>
        <v>0</v>
      </c>
      <c r="T9">
        <f t="shared" si="11"/>
        <v>0</v>
      </c>
    </row>
    <row r="10" spans="1:22" x14ac:dyDescent="0.2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  <c r="O10">
        <f t="shared" si="6"/>
        <v>0</v>
      </c>
      <c r="P10">
        <f t="shared" si="7"/>
        <v>0</v>
      </c>
      <c r="Q10">
        <f t="shared" si="8"/>
        <v>0</v>
      </c>
      <c r="R10">
        <f t="shared" si="9"/>
        <v>0</v>
      </c>
      <c r="S10">
        <f t="shared" si="10"/>
        <v>0</v>
      </c>
      <c r="T10">
        <f t="shared" si="11"/>
        <v>0</v>
      </c>
    </row>
    <row r="11" spans="1:22" x14ac:dyDescent="0.2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  <c r="O11">
        <f t="shared" si="6"/>
        <v>0</v>
      </c>
      <c r="P11">
        <f t="shared" si="7"/>
        <v>0</v>
      </c>
      <c r="Q11">
        <f t="shared" si="8"/>
        <v>0</v>
      </c>
      <c r="R11">
        <f t="shared" si="9"/>
        <v>0</v>
      </c>
      <c r="S11">
        <f t="shared" si="10"/>
        <v>0</v>
      </c>
      <c r="T11">
        <f t="shared" si="11"/>
        <v>0</v>
      </c>
    </row>
    <row r="12" spans="1:22" x14ac:dyDescent="0.2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  <c r="O12">
        <f t="shared" si="6"/>
        <v>0</v>
      </c>
      <c r="P12">
        <f t="shared" si="7"/>
        <v>0</v>
      </c>
      <c r="Q12">
        <f t="shared" si="8"/>
        <v>0</v>
      </c>
      <c r="R12">
        <f t="shared" si="9"/>
        <v>0</v>
      </c>
      <c r="S12">
        <f t="shared" si="10"/>
        <v>0</v>
      </c>
      <c r="T12">
        <f t="shared" si="11"/>
        <v>0</v>
      </c>
    </row>
    <row r="13" spans="1:22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f t="shared" si="10"/>
        <v>0</v>
      </c>
      <c r="T13">
        <f t="shared" si="11"/>
        <v>0</v>
      </c>
    </row>
    <row r="14" spans="1:22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  <c r="S14">
        <f t="shared" si="10"/>
        <v>0</v>
      </c>
      <c r="T14">
        <f t="shared" si="11"/>
        <v>0</v>
      </c>
    </row>
    <row r="15" spans="1:22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  <c r="S15">
        <f t="shared" si="10"/>
        <v>0</v>
      </c>
      <c r="T15">
        <f t="shared" si="11"/>
        <v>0</v>
      </c>
    </row>
    <row r="16" spans="1:22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  <c r="S16">
        <f t="shared" si="10"/>
        <v>0</v>
      </c>
      <c r="T16">
        <f t="shared" si="11"/>
        <v>0</v>
      </c>
    </row>
    <row r="17" spans="8:20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  <c r="S17">
        <f t="shared" si="10"/>
        <v>0</v>
      </c>
      <c r="T17">
        <f t="shared" si="11"/>
        <v>0</v>
      </c>
    </row>
    <row r="18" spans="8:20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  <c r="S18">
        <f t="shared" si="10"/>
        <v>0</v>
      </c>
      <c r="T18">
        <f t="shared" si="11"/>
        <v>0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7133-1F40-42FE-857E-F1C32F431B6A}">
  <dimension ref="P20:X79"/>
  <sheetViews>
    <sheetView topLeftCell="Y13" workbookViewId="0">
      <selection activeCell="AF41" sqref="AF41"/>
    </sheetView>
  </sheetViews>
  <sheetFormatPr defaultRowHeight="15" x14ac:dyDescent="0.25"/>
  <sheetData>
    <row r="20" spans="16:24" x14ac:dyDescent="0.25">
      <c r="P20" s="5"/>
      <c r="Q20" s="5"/>
      <c r="R20" s="5"/>
      <c r="S20" s="5"/>
      <c r="T20" s="5"/>
      <c r="U20" s="5"/>
      <c r="V20" s="5"/>
      <c r="W20" s="5"/>
      <c r="X20" s="5"/>
    </row>
    <row r="21" spans="16:24" x14ac:dyDescent="0.25">
      <c r="P21" s="5"/>
      <c r="Q21" s="5"/>
      <c r="R21" s="5"/>
      <c r="S21" s="5"/>
      <c r="T21" s="5"/>
      <c r="U21" s="5"/>
      <c r="V21" s="5"/>
      <c r="W21" s="5"/>
      <c r="X21" s="5"/>
    </row>
    <row r="22" spans="16:24" x14ac:dyDescent="0.25">
      <c r="P22" s="5"/>
      <c r="Q22" s="5"/>
      <c r="R22" s="5"/>
      <c r="S22" s="5"/>
      <c r="T22" s="5"/>
      <c r="U22" s="5"/>
      <c r="V22" s="5"/>
      <c r="W22" s="5"/>
      <c r="X22" s="5"/>
    </row>
    <row r="23" spans="16:24" x14ac:dyDescent="0.25">
      <c r="P23" s="5"/>
      <c r="Q23" s="5"/>
      <c r="R23" s="5"/>
      <c r="S23" s="5"/>
      <c r="T23" s="5"/>
      <c r="U23" s="5"/>
      <c r="V23" s="5"/>
      <c r="W23" s="5"/>
      <c r="X23" s="5"/>
    </row>
    <row r="24" spans="16:24" x14ac:dyDescent="0.25">
      <c r="P24" s="5"/>
      <c r="Q24" s="5"/>
      <c r="R24" s="5"/>
      <c r="S24" s="5"/>
      <c r="T24" s="5"/>
      <c r="U24" s="5"/>
      <c r="V24" s="5"/>
      <c r="W24" s="5"/>
      <c r="X24" s="5"/>
    </row>
    <row r="25" spans="16:24" x14ac:dyDescent="0.25">
      <c r="P25" s="5"/>
      <c r="Q25" s="5"/>
      <c r="R25" s="5"/>
      <c r="S25" s="5"/>
      <c r="T25" s="5"/>
      <c r="U25" s="5"/>
      <c r="V25" s="5"/>
      <c r="W25" s="5"/>
      <c r="X25" s="5"/>
    </row>
    <row r="26" spans="16:24" x14ac:dyDescent="0.25">
      <c r="P26" s="5"/>
      <c r="Q26" s="5"/>
      <c r="R26" s="5"/>
      <c r="S26" s="5"/>
      <c r="T26" s="5"/>
      <c r="U26" s="5"/>
      <c r="V26" s="5"/>
      <c r="W26" s="5"/>
      <c r="X26" s="5"/>
    </row>
    <row r="27" spans="16:24" x14ac:dyDescent="0.25">
      <c r="P27" s="5"/>
      <c r="Q27" s="5"/>
      <c r="R27" s="5"/>
      <c r="S27" s="5"/>
      <c r="T27" s="5"/>
      <c r="U27" s="5"/>
      <c r="V27" s="5"/>
      <c r="W27" s="5"/>
      <c r="X27" s="5"/>
    </row>
    <row r="28" spans="16:24" x14ac:dyDescent="0.25">
      <c r="P28" s="5"/>
      <c r="Q28" s="5"/>
      <c r="R28" s="5"/>
      <c r="S28" s="5"/>
      <c r="T28" s="5"/>
      <c r="U28" s="5"/>
      <c r="V28" s="5"/>
      <c r="W28" s="5"/>
      <c r="X28" s="5"/>
    </row>
    <row r="29" spans="16:24" x14ac:dyDescent="0.25">
      <c r="P29" s="5"/>
      <c r="Q29" s="5"/>
      <c r="R29" s="5"/>
      <c r="S29" s="5"/>
      <c r="T29" s="5"/>
      <c r="U29" s="5"/>
      <c r="V29" s="5"/>
      <c r="W29" s="5"/>
      <c r="X29" s="5"/>
    </row>
    <row r="30" spans="16:24" x14ac:dyDescent="0.25">
      <c r="P30" s="5"/>
      <c r="Q30" s="5"/>
      <c r="R30" s="5"/>
      <c r="S30" s="5"/>
      <c r="T30" s="5"/>
      <c r="U30" s="5"/>
      <c r="V30" s="5"/>
      <c r="W30" s="5"/>
      <c r="X30" s="5"/>
    </row>
    <row r="31" spans="16:24" x14ac:dyDescent="0.25">
      <c r="P31" s="5"/>
      <c r="Q31" s="5"/>
      <c r="R31" s="5"/>
      <c r="S31" s="5"/>
      <c r="T31" s="5"/>
      <c r="U31" s="5"/>
      <c r="V31" s="5"/>
      <c r="W31" s="5"/>
      <c r="X31" s="5"/>
    </row>
    <row r="32" spans="16:24" x14ac:dyDescent="0.25">
      <c r="P32" s="5"/>
      <c r="Q32" s="5"/>
      <c r="R32" s="5"/>
      <c r="S32" s="5"/>
      <c r="T32" s="5"/>
      <c r="U32" s="5"/>
      <c r="V32" s="5"/>
      <c r="W32" s="5"/>
      <c r="X32" s="5"/>
    </row>
    <row r="33" spans="16:24" x14ac:dyDescent="0.25">
      <c r="P33" s="5"/>
      <c r="Q33" s="5"/>
      <c r="R33" s="5"/>
      <c r="S33" s="5"/>
      <c r="T33" s="5"/>
      <c r="U33" s="5"/>
      <c r="V33" s="5"/>
      <c r="W33" s="5"/>
      <c r="X33" s="5"/>
    </row>
    <row r="34" spans="16:24" x14ac:dyDescent="0.25">
      <c r="P34" s="5"/>
      <c r="Q34" s="5"/>
      <c r="R34" s="5"/>
      <c r="S34" s="5"/>
      <c r="T34" s="5"/>
      <c r="U34" s="5"/>
      <c r="V34" s="5"/>
      <c r="W34" s="5"/>
      <c r="X34" s="5"/>
    </row>
    <row r="35" spans="16:24" x14ac:dyDescent="0.25">
      <c r="P35" s="5"/>
      <c r="Q35" s="5"/>
      <c r="R35" s="5"/>
      <c r="S35" s="5"/>
      <c r="T35" s="5"/>
      <c r="U35" s="5"/>
      <c r="V35" s="5"/>
      <c r="W35" s="5"/>
      <c r="X35" s="5"/>
    </row>
    <row r="36" spans="16:24" x14ac:dyDescent="0.25">
      <c r="P36" s="5"/>
      <c r="Q36" s="5"/>
      <c r="R36" s="5"/>
      <c r="S36" s="5"/>
      <c r="T36" s="5"/>
      <c r="U36" s="5"/>
      <c r="V36" s="5"/>
      <c r="W36" s="5"/>
      <c r="X36" s="5"/>
    </row>
    <row r="37" spans="16:24" x14ac:dyDescent="0.25">
      <c r="P37" s="5"/>
      <c r="Q37" s="5"/>
      <c r="R37" s="5"/>
      <c r="S37" s="5"/>
      <c r="T37" s="5"/>
      <c r="U37" s="5"/>
      <c r="V37" s="5"/>
      <c r="W37" s="5"/>
      <c r="X37" s="5"/>
    </row>
    <row r="38" spans="16:24" x14ac:dyDescent="0.25">
      <c r="P38" s="5"/>
      <c r="Q38" s="5"/>
      <c r="R38" s="5"/>
      <c r="S38" s="5"/>
      <c r="T38" s="5"/>
      <c r="U38" s="5"/>
      <c r="V38" s="5"/>
      <c r="W38" s="5"/>
      <c r="X38" s="5"/>
    </row>
    <row r="39" spans="16:24" x14ac:dyDescent="0.25">
      <c r="P39" s="5"/>
      <c r="Q39" s="5"/>
      <c r="R39" s="5"/>
      <c r="S39" s="5"/>
      <c r="T39" s="5"/>
      <c r="U39" s="5"/>
      <c r="V39" s="5"/>
      <c r="W39" s="5"/>
      <c r="X39" s="5"/>
    </row>
    <row r="40" spans="16:24" x14ac:dyDescent="0.25">
      <c r="P40" s="5"/>
      <c r="Q40" s="5"/>
      <c r="R40" s="5"/>
      <c r="S40" s="5"/>
      <c r="T40" s="5"/>
      <c r="U40" s="5"/>
      <c r="V40" s="5"/>
      <c r="W40" s="5"/>
      <c r="X40" s="5"/>
    </row>
    <row r="41" spans="16:24" x14ac:dyDescent="0.25">
      <c r="P41" s="5"/>
      <c r="Q41" s="5"/>
      <c r="R41" s="5"/>
      <c r="S41" s="5"/>
      <c r="T41" s="5"/>
      <c r="U41" s="5"/>
      <c r="V41" s="5"/>
      <c r="W41" s="5"/>
      <c r="X41" s="5"/>
    </row>
    <row r="42" spans="16:24" x14ac:dyDescent="0.25">
      <c r="P42" s="5"/>
      <c r="Q42" s="5"/>
      <c r="R42" s="5"/>
      <c r="S42" s="5"/>
      <c r="T42" s="5"/>
      <c r="U42" s="5"/>
      <c r="V42" s="5"/>
      <c r="W42" s="5"/>
      <c r="X42" s="5"/>
    </row>
    <row r="43" spans="16:24" x14ac:dyDescent="0.25">
      <c r="P43" s="5"/>
      <c r="Q43" s="5"/>
      <c r="R43" s="5"/>
      <c r="S43" s="5"/>
      <c r="T43" s="5"/>
      <c r="U43" s="5"/>
      <c r="V43" s="5"/>
      <c r="W43" s="5"/>
      <c r="X43" s="5"/>
    </row>
    <row r="44" spans="16:24" x14ac:dyDescent="0.25">
      <c r="P44" s="5"/>
      <c r="Q44" s="5"/>
      <c r="R44" s="5"/>
      <c r="S44" s="5"/>
      <c r="T44" s="5"/>
      <c r="U44" s="5"/>
      <c r="V44" s="5"/>
      <c r="W44" s="5"/>
      <c r="X44" s="5"/>
    </row>
    <row r="45" spans="16:24" x14ac:dyDescent="0.25">
      <c r="P45" s="5"/>
      <c r="Q45" s="5"/>
      <c r="R45" s="5"/>
      <c r="S45" s="5"/>
      <c r="T45" s="5"/>
      <c r="U45" s="5"/>
      <c r="V45" s="5"/>
      <c r="W45" s="5"/>
      <c r="X45" s="5"/>
    </row>
    <row r="46" spans="16:24" x14ac:dyDescent="0.25">
      <c r="P46" s="5"/>
      <c r="Q46" s="5"/>
      <c r="R46" s="5"/>
      <c r="S46" s="5"/>
      <c r="T46" s="5"/>
      <c r="U46" s="5"/>
      <c r="V46" s="5"/>
      <c r="W46" s="5"/>
      <c r="X46" s="5"/>
    </row>
    <row r="47" spans="16:24" x14ac:dyDescent="0.25">
      <c r="P47" s="5"/>
      <c r="Q47" s="5"/>
      <c r="R47" s="5"/>
      <c r="S47" s="5"/>
      <c r="T47" s="5"/>
      <c r="U47" s="5"/>
      <c r="V47" s="5"/>
      <c r="W47" s="5"/>
      <c r="X47" s="5"/>
    </row>
    <row r="48" spans="16:24" x14ac:dyDescent="0.25">
      <c r="P48" s="5"/>
      <c r="Q48" s="5"/>
      <c r="R48" s="5"/>
      <c r="S48" s="5"/>
      <c r="T48" s="5"/>
      <c r="U48" s="5"/>
      <c r="V48" s="5"/>
      <c r="W48" s="5"/>
      <c r="X48" s="5"/>
    </row>
    <row r="49" spans="16:24" x14ac:dyDescent="0.25">
      <c r="P49" s="5"/>
      <c r="Q49" s="5"/>
      <c r="R49" s="5"/>
      <c r="S49" s="5"/>
      <c r="T49" s="5"/>
      <c r="U49" s="5"/>
      <c r="V49" s="5"/>
      <c r="W49" s="5"/>
      <c r="X49" s="5"/>
    </row>
    <row r="50" spans="16:24" x14ac:dyDescent="0.25">
      <c r="P50" s="5"/>
      <c r="Q50" s="5"/>
      <c r="R50" s="5"/>
      <c r="S50" s="5"/>
      <c r="T50" s="5"/>
      <c r="U50" s="5"/>
      <c r="V50" s="5"/>
      <c r="W50" s="5"/>
      <c r="X50" s="5"/>
    </row>
    <row r="51" spans="16:24" x14ac:dyDescent="0.25">
      <c r="P51" s="5"/>
      <c r="Q51" s="5"/>
      <c r="R51" s="5"/>
      <c r="S51" s="5"/>
      <c r="T51" s="5"/>
      <c r="U51" s="5"/>
      <c r="V51" s="5"/>
      <c r="W51" s="5"/>
      <c r="X51" s="5"/>
    </row>
    <row r="52" spans="16:24" x14ac:dyDescent="0.25">
      <c r="P52" s="5"/>
      <c r="Q52" s="5"/>
      <c r="R52" s="5"/>
      <c r="S52" s="5"/>
      <c r="T52" s="5"/>
      <c r="U52" s="5"/>
      <c r="V52" s="5"/>
      <c r="W52" s="5"/>
      <c r="X52" s="5"/>
    </row>
    <row r="53" spans="16:24" x14ac:dyDescent="0.25">
      <c r="P53" s="5"/>
      <c r="Q53" s="5"/>
      <c r="R53" s="5"/>
      <c r="S53" s="5"/>
      <c r="T53" s="5"/>
      <c r="U53" s="5"/>
      <c r="V53" s="5"/>
      <c r="W53" s="5"/>
      <c r="X53" s="5"/>
    </row>
    <row r="54" spans="16:24" x14ac:dyDescent="0.25">
      <c r="P54" s="5"/>
      <c r="Q54" s="5"/>
      <c r="R54" s="5"/>
      <c r="S54" s="5"/>
      <c r="T54" s="5"/>
      <c r="U54" s="5"/>
      <c r="V54" s="5"/>
      <c r="W54" s="5"/>
      <c r="X54" s="5"/>
    </row>
    <row r="55" spans="16:24" x14ac:dyDescent="0.25">
      <c r="P55" s="5"/>
      <c r="Q55" s="5"/>
      <c r="R55" s="5"/>
      <c r="S55" s="5"/>
      <c r="T55" s="5"/>
      <c r="U55" s="5"/>
      <c r="V55" s="5"/>
      <c r="W55" s="5"/>
      <c r="X55" s="5"/>
    </row>
    <row r="56" spans="16:24" x14ac:dyDescent="0.25">
      <c r="P56" s="5"/>
      <c r="Q56" s="5"/>
      <c r="R56" s="5"/>
      <c r="S56" s="5"/>
      <c r="T56" s="5"/>
      <c r="U56" s="5"/>
      <c r="V56" s="5"/>
      <c r="W56" s="5"/>
      <c r="X56" s="5"/>
    </row>
    <row r="57" spans="16:24" x14ac:dyDescent="0.25">
      <c r="P57" s="5"/>
      <c r="Q57" s="5"/>
      <c r="R57" s="5"/>
      <c r="S57" s="5"/>
      <c r="T57" s="5"/>
      <c r="U57" s="5"/>
      <c r="V57" s="5"/>
      <c r="W57" s="5"/>
      <c r="X57" s="5"/>
    </row>
    <row r="58" spans="16:24" x14ac:dyDescent="0.25">
      <c r="P58" s="5"/>
      <c r="Q58" s="5"/>
      <c r="R58" s="5"/>
      <c r="S58" s="5"/>
      <c r="T58" s="5"/>
      <c r="U58" s="5"/>
      <c r="V58" s="5"/>
      <c r="W58" s="5"/>
      <c r="X58" s="5"/>
    </row>
    <row r="59" spans="16:24" x14ac:dyDescent="0.25">
      <c r="P59" s="5"/>
      <c r="Q59" s="5"/>
      <c r="R59" s="5"/>
      <c r="S59" s="5"/>
      <c r="T59" s="5"/>
      <c r="U59" s="5"/>
      <c r="V59" s="5"/>
      <c r="W59" s="5"/>
      <c r="X59" s="5"/>
    </row>
    <row r="60" spans="16:24" x14ac:dyDescent="0.25">
      <c r="P60" s="5"/>
      <c r="Q60" s="5"/>
      <c r="R60" s="5"/>
      <c r="S60" s="5"/>
      <c r="T60" s="5"/>
      <c r="U60" s="5"/>
      <c r="V60" s="5"/>
      <c r="W60" s="5"/>
      <c r="X60" s="5"/>
    </row>
    <row r="61" spans="16:24" x14ac:dyDescent="0.25">
      <c r="P61" s="5"/>
      <c r="Q61" s="5"/>
      <c r="R61" s="5"/>
      <c r="S61" s="5"/>
      <c r="T61" s="5"/>
      <c r="U61" s="5"/>
      <c r="V61" s="5"/>
      <c r="W61" s="5"/>
      <c r="X61" s="5"/>
    </row>
    <row r="62" spans="16:24" x14ac:dyDescent="0.25">
      <c r="P62" s="5"/>
      <c r="Q62" s="5"/>
      <c r="R62" s="5"/>
      <c r="S62" s="5"/>
      <c r="T62" s="5"/>
      <c r="U62" s="5"/>
      <c r="V62" s="5"/>
      <c r="W62" s="5"/>
      <c r="X62" s="5"/>
    </row>
    <row r="63" spans="16:24" x14ac:dyDescent="0.25">
      <c r="P63" s="5"/>
      <c r="Q63" s="5"/>
      <c r="R63" s="5"/>
      <c r="S63" s="5"/>
      <c r="T63" s="5"/>
      <c r="U63" s="5"/>
      <c r="V63" s="5"/>
      <c r="W63" s="5"/>
      <c r="X63" s="5"/>
    </row>
    <row r="64" spans="16:24" x14ac:dyDescent="0.25">
      <c r="P64" s="5"/>
      <c r="Q64" s="5"/>
      <c r="R64" s="5"/>
      <c r="S64" s="5"/>
      <c r="T64" s="5"/>
      <c r="U64" s="5"/>
      <c r="V64" s="5"/>
      <c r="W64" s="5"/>
      <c r="X64" s="5"/>
    </row>
    <row r="65" spans="16:24" x14ac:dyDescent="0.25">
      <c r="P65" s="5"/>
      <c r="Q65" s="5"/>
      <c r="R65" s="5"/>
      <c r="S65" s="5"/>
      <c r="T65" s="5"/>
      <c r="U65" s="5"/>
      <c r="V65" s="5"/>
      <c r="W65" s="5"/>
      <c r="X65" s="5"/>
    </row>
    <row r="66" spans="16:24" x14ac:dyDescent="0.25">
      <c r="P66" s="5"/>
      <c r="Q66" s="5"/>
      <c r="R66" s="5"/>
      <c r="S66" s="5"/>
      <c r="T66" s="5"/>
      <c r="U66" s="5"/>
      <c r="V66" s="5"/>
      <c r="W66" s="5"/>
      <c r="X66" s="5"/>
    </row>
    <row r="67" spans="16:24" x14ac:dyDescent="0.25">
      <c r="P67" s="5"/>
      <c r="Q67" s="5"/>
      <c r="R67" s="5"/>
      <c r="S67" s="5"/>
      <c r="T67" s="5"/>
      <c r="U67" s="5"/>
      <c r="V67" s="5"/>
      <c r="W67" s="5"/>
      <c r="X67" s="5"/>
    </row>
    <row r="68" spans="16:24" x14ac:dyDescent="0.25">
      <c r="P68" s="5"/>
      <c r="Q68" s="5"/>
      <c r="R68" s="5"/>
      <c r="S68" s="5"/>
      <c r="T68" s="5"/>
      <c r="U68" s="5"/>
      <c r="V68" s="5"/>
      <c r="W68" s="5"/>
      <c r="X68" s="5"/>
    </row>
    <row r="69" spans="16:24" x14ac:dyDescent="0.25">
      <c r="P69" s="5"/>
      <c r="Q69" s="5"/>
      <c r="R69" s="5"/>
      <c r="S69" s="5"/>
      <c r="T69" s="5"/>
      <c r="U69" s="5"/>
      <c r="V69" s="5"/>
      <c r="W69" s="5"/>
      <c r="X69" s="5"/>
    </row>
    <row r="70" spans="16:24" x14ac:dyDescent="0.25">
      <c r="P70" s="5"/>
      <c r="Q70" s="5"/>
      <c r="R70" s="5"/>
      <c r="S70" s="5"/>
      <c r="T70" s="5"/>
      <c r="U70" s="5"/>
      <c r="V70" s="5"/>
      <c r="W70" s="5"/>
      <c r="X70" s="5"/>
    </row>
    <row r="71" spans="16:24" x14ac:dyDescent="0.25">
      <c r="P71" s="5"/>
      <c r="Q71" s="5"/>
      <c r="R71" s="5"/>
      <c r="S71" s="5"/>
      <c r="T71" s="5"/>
      <c r="U71" s="5"/>
      <c r="V71" s="5"/>
      <c r="W71" s="5"/>
      <c r="X71" s="5"/>
    </row>
    <row r="72" spans="16:24" x14ac:dyDescent="0.25">
      <c r="P72" s="5"/>
      <c r="Q72" s="5"/>
      <c r="R72" s="5"/>
      <c r="S72" s="5"/>
      <c r="T72" s="5"/>
      <c r="U72" s="5"/>
      <c r="V72" s="5"/>
      <c r="W72" s="5"/>
      <c r="X72" s="5"/>
    </row>
    <row r="73" spans="16:24" x14ac:dyDescent="0.25">
      <c r="P73" s="5"/>
      <c r="Q73" s="5"/>
      <c r="R73" s="5"/>
      <c r="S73" s="5"/>
      <c r="T73" s="5"/>
      <c r="U73" s="5"/>
      <c r="V73" s="5"/>
      <c r="W73" s="5"/>
      <c r="X73" s="5"/>
    </row>
    <row r="74" spans="16:24" x14ac:dyDescent="0.25">
      <c r="P74" s="5"/>
      <c r="Q74" s="5"/>
      <c r="R74" s="5"/>
      <c r="S74" s="5"/>
      <c r="T74" s="5"/>
      <c r="U74" s="5"/>
      <c r="V74" s="5"/>
      <c r="W74" s="5"/>
      <c r="X74" s="5"/>
    </row>
    <row r="75" spans="16:24" x14ac:dyDescent="0.25">
      <c r="P75" s="5"/>
      <c r="Q75" s="5"/>
      <c r="R75" s="5"/>
      <c r="S75" s="5"/>
      <c r="T75" s="5"/>
      <c r="U75" s="5"/>
      <c r="V75" s="5"/>
      <c r="W75" s="5"/>
      <c r="X75" s="5"/>
    </row>
    <row r="76" spans="16:24" x14ac:dyDescent="0.25">
      <c r="P76" s="5"/>
      <c r="Q76" s="5"/>
      <c r="R76" s="5"/>
      <c r="S76" s="5"/>
      <c r="T76" s="5"/>
      <c r="U76" s="5"/>
      <c r="V76" s="5"/>
      <c r="W76" s="5"/>
      <c r="X76" s="5"/>
    </row>
    <row r="77" spans="16:24" x14ac:dyDescent="0.25">
      <c r="P77" s="5"/>
      <c r="Q77" s="5"/>
      <c r="R77" s="5"/>
      <c r="S77" s="5"/>
      <c r="T77" s="5"/>
      <c r="U77" s="5"/>
      <c r="V77" s="5"/>
      <c r="W77" s="5"/>
      <c r="X77" s="5"/>
    </row>
    <row r="78" spans="16:24" x14ac:dyDescent="0.25">
      <c r="P78" s="5"/>
      <c r="Q78" s="5"/>
      <c r="R78" s="5"/>
      <c r="S78" s="5"/>
      <c r="T78" s="5"/>
      <c r="U78" s="5"/>
      <c r="V78" s="5"/>
      <c r="W78" s="5"/>
      <c r="X78" s="5"/>
    </row>
    <row r="79" spans="16:24" x14ac:dyDescent="0.25">
      <c r="P79" s="5"/>
      <c r="Q79" s="5"/>
      <c r="R79" s="5"/>
      <c r="S79" s="5"/>
      <c r="T79" s="5"/>
      <c r="U79" s="5"/>
      <c r="V79" s="5"/>
      <c r="W79" s="5"/>
      <c r="X79" s="5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</vt:lpstr>
      <vt:lpstr>Distal Validation</vt:lpstr>
      <vt:lpstr>Conversion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2026-03-04T20:21:14Z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