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radii_opt)(20_segments)(3tendon)/10-01-2025/"/>
    </mc:Choice>
  </mc:AlternateContent>
  <xr:revisionPtr revIDLastSave="2116" documentId="8_{DFFD6B0C-681F-42C8-B2E4-5D4B90AAE966}" xr6:coauthVersionLast="47" xr6:coauthVersionMax="47" xr10:uidLastSave="{641881A5-66DC-4864-856B-4DF29FB12705}"/>
  <bookViews>
    <workbookView xWindow="-120" yWindow="-120" windowWidth="29040" windowHeight="15720" activeTab="2" xr2:uid="{3D16C37F-3C74-4527-A308-796C339DFE9F}"/>
  </bookViews>
  <sheets>
    <sheet name="Proximal Validation (double)" sheetId="12" r:id="rId1"/>
    <sheet name="Distal Vali (double, tight)" sheetId="17" r:id="rId2"/>
    <sheet name="Distal Vali (double, loose)" sheetId="19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2" i="19" l="1"/>
  <c r="AD42" i="19"/>
  <c r="AC42" i="19"/>
  <c r="AB42" i="19"/>
  <c r="AA42" i="19"/>
  <c r="Z42" i="19"/>
  <c r="AH42" i="19" s="1"/>
  <c r="Q42" i="19"/>
  <c r="P42" i="19"/>
  <c r="O42" i="19"/>
  <c r="N42" i="19"/>
  <c r="M42" i="19"/>
  <c r="L42" i="19"/>
  <c r="K42" i="19"/>
  <c r="J42" i="19"/>
  <c r="I42" i="19"/>
  <c r="H42" i="19"/>
  <c r="AG42" i="19" s="1"/>
  <c r="G42" i="19"/>
  <c r="AF42" i="19" s="1"/>
  <c r="F42" i="19"/>
  <c r="E42" i="19"/>
  <c r="D42" i="19"/>
  <c r="C42" i="19"/>
  <c r="B42" i="19"/>
  <c r="A42" i="19"/>
  <c r="AG41" i="19"/>
  <c r="AF41" i="19"/>
  <c r="AE41" i="19"/>
  <c r="AD41" i="19"/>
  <c r="AC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AB41" i="19" s="1"/>
  <c r="B41" i="19"/>
  <c r="AA41" i="19" s="1"/>
  <c r="AI41" i="19" s="1"/>
  <c r="A41" i="19"/>
  <c r="Z41" i="19" s="1"/>
  <c r="AH41" i="19" s="1"/>
  <c r="AA40" i="19"/>
  <c r="Z40" i="19"/>
  <c r="Q40" i="19"/>
  <c r="P40" i="19"/>
  <c r="O40" i="19"/>
  <c r="N40" i="19"/>
  <c r="M40" i="19"/>
  <c r="L40" i="19"/>
  <c r="K40" i="19"/>
  <c r="J40" i="19"/>
  <c r="I40" i="19"/>
  <c r="H40" i="19"/>
  <c r="AG40" i="19" s="1"/>
  <c r="G40" i="19"/>
  <c r="AF40" i="19" s="1"/>
  <c r="F40" i="19"/>
  <c r="AE40" i="19" s="1"/>
  <c r="E40" i="19"/>
  <c r="AD40" i="19" s="1"/>
  <c r="D40" i="19"/>
  <c r="AC40" i="19" s="1"/>
  <c r="C40" i="19"/>
  <c r="AB40" i="19" s="1"/>
  <c r="B40" i="19"/>
  <c r="A40" i="19"/>
  <c r="AE39" i="19"/>
  <c r="AD39" i="19"/>
  <c r="AC39" i="19"/>
  <c r="AB39" i="19"/>
  <c r="AA39" i="19"/>
  <c r="AI39" i="19" s="1"/>
  <c r="Z39" i="19"/>
  <c r="AH39" i="19" s="1"/>
  <c r="Q39" i="19"/>
  <c r="P39" i="19"/>
  <c r="O39" i="19"/>
  <c r="N39" i="19"/>
  <c r="M39" i="19"/>
  <c r="L39" i="19"/>
  <c r="K39" i="19"/>
  <c r="J39" i="19"/>
  <c r="I39" i="19"/>
  <c r="H39" i="19"/>
  <c r="AG39" i="19" s="1"/>
  <c r="G39" i="19"/>
  <c r="AF39" i="19" s="1"/>
  <c r="F39" i="19"/>
  <c r="E39" i="19"/>
  <c r="D39" i="19"/>
  <c r="C39" i="19"/>
  <c r="B39" i="19"/>
  <c r="A39" i="19"/>
  <c r="AG38" i="19"/>
  <c r="AF38" i="19"/>
  <c r="AE38" i="19"/>
  <c r="AD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AC38" i="19" s="1"/>
  <c r="C38" i="19"/>
  <c r="AB38" i="19" s="1"/>
  <c r="AJ38" i="19" s="1"/>
  <c r="B38" i="19"/>
  <c r="AA38" i="19" s="1"/>
  <c r="A38" i="19"/>
  <c r="Z38" i="19" s="1"/>
  <c r="AA37" i="19"/>
  <c r="Z37" i="19"/>
  <c r="Q37" i="19"/>
  <c r="P37" i="19"/>
  <c r="O37" i="19"/>
  <c r="N37" i="19"/>
  <c r="M37" i="19"/>
  <c r="L37" i="19"/>
  <c r="K37" i="19"/>
  <c r="J37" i="19"/>
  <c r="I37" i="19"/>
  <c r="H37" i="19"/>
  <c r="AG37" i="19" s="1"/>
  <c r="G37" i="19"/>
  <c r="AF37" i="19" s="1"/>
  <c r="F37" i="19"/>
  <c r="AE37" i="19" s="1"/>
  <c r="E37" i="19"/>
  <c r="AD37" i="19" s="1"/>
  <c r="D37" i="19"/>
  <c r="AC37" i="19" s="1"/>
  <c r="C37" i="19"/>
  <c r="AB37" i="19" s="1"/>
  <c r="B37" i="19"/>
  <c r="A37" i="19"/>
  <c r="AE36" i="19"/>
  <c r="AD36" i="19"/>
  <c r="AC36" i="19"/>
  <c r="AB36" i="19"/>
  <c r="AA36" i="19"/>
  <c r="Z36" i="19"/>
  <c r="Q36" i="19"/>
  <c r="P36" i="19"/>
  <c r="O36" i="19"/>
  <c r="N36" i="19"/>
  <c r="M36" i="19"/>
  <c r="L36" i="19"/>
  <c r="K36" i="19"/>
  <c r="J36" i="19"/>
  <c r="I36" i="19"/>
  <c r="H36" i="19"/>
  <c r="AG36" i="19" s="1"/>
  <c r="G36" i="19"/>
  <c r="AF36" i="19" s="1"/>
  <c r="F36" i="19"/>
  <c r="E36" i="19"/>
  <c r="D36" i="19"/>
  <c r="C36" i="19"/>
  <c r="B36" i="19"/>
  <c r="A36" i="19"/>
  <c r="AG35" i="19"/>
  <c r="AF35" i="19"/>
  <c r="AE35" i="19"/>
  <c r="AD35" i="19"/>
  <c r="AC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B35" i="19" s="1"/>
  <c r="B35" i="19"/>
  <c r="AA35" i="19" s="1"/>
  <c r="A35" i="19"/>
  <c r="Z35" i="19" s="1"/>
  <c r="AG34" i="19"/>
  <c r="AA34" i="19"/>
  <c r="Z34" i="19"/>
  <c r="Q34" i="19"/>
  <c r="P34" i="19"/>
  <c r="O34" i="19"/>
  <c r="N34" i="19"/>
  <c r="M34" i="19"/>
  <c r="L34" i="19"/>
  <c r="K34" i="19"/>
  <c r="J34" i="19"/>
  <c r="I34" i="19"/>
  <c r="H34" i="19"/>
  <c r="G34" i="19"/>
  <c r="AF34" i="19" s="1"/>
  <c r="F34" i="19"/>
  <c r="AE34" i="19" s="1"/>
  <c r="E34" i="19"/>
  <c r="AD34" i="19" s="1"/>
  <c r="D34" i="19"/>
  <c r="AC34" i="19" s="1"/>
  <c r="C34" i="19"/>
  <c r="AB34" i="19" s="1"/>
  <c r="B34" i="19"/>
  <c r="A34" i="19"/>
  <c r="AE33" i="19"/>
  <c r="AD33" i="19"/>
  <c r="AC33" i="19"/>
  <c r="AB33" i="19"/>
  <c r="AA33" i="19"/>
  <c r="Z33" i="19"/>
  <c r="AH33" i="19" s="1"/>
  <c r="Q33" i="19"/>
  <c r="P33" i="19"/>
  <c r="O33" i="19"/>
  <c r="N33" i="19"/>
  <c r="M33" i="19"/>
  <c r="L33" i="19"/>
  <c r="K33" i="19"/>
  <c r="J33" i="19"/>
  <c r="I33" i="19"/>
  <c r="H33" i="19"/>
  <c r="AG33" i="19" s="1"/>
  <c r="G33" i="19"/>
  <c r="AF33" i="19" s="1"/>
  <c r="F33" i="19"/>
  <c r="E33" i="19"/>
  <c r="D33" i="19"/>
  <c r="C33" i="19"/>
  <c r="B33" i="19"/>
  <c r="A33" i="19"/>
  <c r="AG32" i="19"/>
  <c r="AF32" i="19"/>
  <c r="AE32" i="19"/>
  <c r="AD32" i="19"/>
  <c r="AC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B32" i="19" s="1"/>
  <c r="B32" i="19"/>
  <c r="AA32" i="19" s="1"/>
  <c r="AI32" i="19" s="1"/>
  <c r="A32" i="19"/>
  <c r="Z32" i="19" s="1"/>
  <c r="AH32" i="19" s="1"/>
  <c r="AG31" i="19"/>
  <c r="AA31" i="19"/>
  <c r="Z31" i="19"/>
  <c r="AH31" i="19" s="1"/>
  <c r="Q31" i="19"/>
  <c r="P31" i="19"/>
  <c r="O31" i="19"/>
  <c r="N31" i="19"/>
  <c r="M31" i="19"/>
  <c r="L31" i="19"/>
  <c r="K31" i="19"/>
  <c r="J31" i="19"/>
  <c r="I31" i="19"/>
  <c r="H31" i="19"/>
  <c r="G31" i="19"/>
  <c r="AF31" i="19" s="1"/>
  <c r="F31" i="19"/>
  <c r="AE31" i="19" s="1"/>
  <c r="AI31" i="19" s="1"/>
  <c r="E31" i="19"/>
  <c r="AD31" i="19" s="1"/>
  <c r="D31" i="19"/>
  <c r="AC31" i="19" s="1"/>
  <c r="C31" i="19"/>
  <c r="AB31" i="19" s="1"/>
  <c r="B31" i="19"/>
  <c r="A31" i="19"/>
  <c r="AE30" i="19"/>
  <c r="AD30" i="19"/>
  <c r="AC30" i="19"/>
  <c r="AB30" i="19"/>
  <c r="AA30" i="19"/>
  <c r="AI30" i="19" s="1"/>
  <c r="Z30" i="19"/>
  <c r="Q30" i="19"/>
  <c r="P30" i="19"/>
  <c r="O30" i="19"/>
  <c r="N30" i="19"/>
  <c r="M30" i="19"/>
  <c r="L30" i="19"/>
  <c r="K30" i="19"/>
  <c r="J30" i="19"/>
  <c r="I30" i="19"/>
  <c r="H30" i="19"/>
  <c r="AG30" i="19" s="1"/>
  <c r="G30" i="19"/>
  <c r="AF30" i="19" s="1"/>
  <c r="F30" i="19"/>
  <c r="E30" i="19"/>
  <c r="D30" i="19"/>
  <c r="C30" i="19"/>
  <c r="B30" i="19"/>
  <c r="A30" i="19"/>
  <c r="AG29" i="19"/>
  <c r="AF29" i="19"/>
  <c r="AE29" i="19"/>
  <c r="AD29" i="19"/>
  <c r="AC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B29" i="19" s="1"/>
  <c r="AJ29" i="19" s="1"/>
  <c r="B29" i="19"/>
  <c r="AA29" i="19" s="1"/>
  <c r="A29" i="19"/>
  <c r="Z29" i="19" s="1"/>
  <c r="AG28" i="19"/>
  <c r="AA28" i="19"/>
  <c r="Z28" i="19"/>
  <c r="Q28" i="19"/>
  <c r="P28" i="19"/>
  <c r="O28" i="19"/>
  <c r="N28" i="19"/>
  <c r="M28" i="19"/>
  <c r="L28" i="19"/>
  <c r="K28" i="19"/>
  <c r="J28" i="19"/>
  <c r="I28" i="19"/>
  <c r="H28" i="19"/>
  <c r="G28" i="19"/>
  <c r="AF28" i="19" s="1"/>
  <c r="F28" i="19"/>
  <c r="AE28" i="19" s="1"/>
  <c r="AI28" i="19" s="1"/>
  <c r="E28" i="19"/>
  <c r="AD28" i="19" s="1"/>
  <c r="D28" i="19"/>
  <c r="AC28" i="19" s="1"/>
  <c r="C28" i="19"/>
  <c r="AB28" i="19" s="1"/>
  <c r="AJ28" i="19" s="1"/>
  <c r="B28" i="19"/>
  <c r="A28" i="19"/>
  <c r="AE27" i="19"/>
  <c r="AD27" i="19"/>
  <c r="AC27" i="19"/>
  <c r="AB27" i="19"/>
  <c r="AA27" i="19"/>
  <c r="Z27" i="19"/>
  <c r="Q27" i="19"/>
  <c r="P27" i="19"/>
  <c r="O27" i="19"/>
  <c r="N27" i="19"/>
  <c r="M27" i="19"/>
  <c r="L27" i="19"/>
  <c r="K27" i="19"/>
  <c r="J27" i="19"/>
  <c r="I27" i="19"/>
  <c r="H27" i="19"/>
  <c r="AG27" i="19" s="1"/>
  <c r="G27" i="19"/>
  <c r="AF27" i="19" s="1"/>
  <c r="F27" i="19"/>
  <c r="E27" i="19"/>
  <c r="D27" i="19"/>
  <c r="C27" i="19"/>
  <c r="B27" i="19"/>
  <c r="A27" i="19"/>
  <c r="AG26" i="19"/>
  <c r="AF26" i="19"/>
  <c r="AE26" i="19"/>
  <c r="AD26" i="19"/>
  <c r="AC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AB26" i="19" s="1"/>
  <c r="B26" i="19"/>
  <c r="AA26" i="19" s="1"/>
  <c r="A26" i="19"/>
  <c r="Z26" i="19" s="1"/>
  <c r="AG25" i="19"/>
  <c r="AA25" i="19"/>
  <c r="Z25" i="19"/>
  <c r="Q25" i="19"/>
  <c r="P25" i="19"/>
  <c r="O25" i="19"/>
  <c r="N25" i="19"/>
  <c r="M25" i="19"/>
  <c r="L25" i="19"/>
  <c r="K25" i="19"/>
  <c r="J25" i="19"/>
  <c r="I25" i="19"/>
  <c r="H25" i="19"/>
  <c r="G25" i="19"/>
  <c r="AF25" i="19" s="1"/>
  <c r="F25" i="19"/>
  <c r="AE25" i="19" s="1"/>
  <c r="AI25" i="19" s="1"/>
  <c r="E25" i="19"/>
  <c r="AD25" i="19" s="1"/>
  <c r="D25" i="19"/>
  <c r="AC25" i="19" s="1"/>
  <c r="C25" i="19"/>
  <c r="AB25" i="19" s="1"/>
  <c r="B25" i="19"/>
  <c r="A25" i="19"/>
  <c r="AE24" i="19"/>
  <c r="AD24" i="19"/>
  <c r="AC24" i="19"/>
  <c r="AB24" i="19"/>
  <c r="AA24" i="19"/>
  <c r="AI24" i="19" s="1"/>
  <c r="Z24" i="19"/>
  <c r="AH24" i="19" s="1"/>
  <c r="Q24" i="19"/>
  <c r="P24" i="19"/>
  <c r="O24" i="19"/>
  <c r="N24" i="19"/>
  <c r="M24" i="19"/>
  <c r="L24" i="19"/>
  <c r="K24" i="19"/>
  <c r="J24" i="19"/>
  <c r="I24" i="19"/>
  <c r="H24" i="19"/>
  <c r="AG24" i="19" s="1"/>
  <c r="G24" i="19"/>
  <c r="AF24" i="19" s="1"/>
  <c r="F24" i="19"/>
  <c r="E24" i="19"/>
  <c r="D24" i="19"/>
  <c r="C24" i="19"/>
  <c r="B24" i="19"/>
  <c r="A24" i="19"/>
  <c r="AG23" i="19"/>
  <c r="AF23" i="19"/>
  <c r="AE23" i="19"/>
  <c r="AD23" i="19"/>
  <c r="AC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AB23" i="19" s="1"/>
  <c r="AJ23" i="19" s="1"/>
  <c r="B23" i="19"/>
  <c r="AA23" i="19" s="1"/>
  <c r="AI23" i="19" s="1"/>
  <c r="A23" i="19"/>
  <c r="Z23" i="19" s="1"/>
  <c r="AH23" i="19" s="1"/>
  <c r="AA22" i="19"/>
  <c r="Z22" i="19"/>
  <c r="Q22" i="19"/>
  <c r="P22" i="19"/>
  <c r="O22" i="19"/>
  <c r="N22" i="19"/>
  <c r="M22" i="19"/>
  <c r="L22" i="19"/>
  <c r="K22" i="19"/>
  <c r="J22" i="19"/>
  <c r="I22" i="19"/>
  <c r="H22" i="19"/>
  <c r="AG22" i="19" s="1"/>
  <c r="G22" i="19"/>
  <c r="AF22" i="19" s="1"/>
  <c r="F22" i="19"/>
  <c r="AE22" i="19" s="1"/>
  <c r="E22" i="19"/>
  <c r="AD22" i="19" s="1"/>
  <c r="D22" i="19"/>
  <c r="AC22" i="19" s="1"/>
  <c r="C22" i="19"/>
  <c r="AB22" i="19" s="1"/>
  <c r="B22" i="19"/>
  <c r="A22" i="19"/>
  <c r="AE21" i="19"/>
  <c r="AD21" i="19"/>
  <c r="AC21" i="19"/>
  <c r="AB21" i="19"/>
  <c r="AA21" i="19"/>
  <c r="Z21" i="19"/>
  <c r="Q21" i="19"/>
  <c r="P21" i="19"/>
  <c r="O21" i="19"/>
  <c r="N21" i="19"/>
  <c r="M21" i="19"/>
  <c r="L21" i="19"/>
  <c r="K21" i="19"/>
  <c r="J21" i="19"/>
  <c r="I21" i="19"/>
  <c r="H21" i="19"/>
  <c r="AG21" i="19" s="1"/>
  <c r="G21" i="19"/>
  <c r="AF21" i="19" s="1"/>
  <c r="F21" i="19"/>
  <c r="E21" i="19"/>
  <c r="D21" i="19"/>
  <c r="C21" i="19"/>
  <c r="B21" i="19"/>
  <c r="A21" i="19"/>
  <c r="AG20" i="19"/>
  <c r="AF20" i="19"/>
  <c r="AE20" i="19"/>
  <c r="AD20" i="19"/>
  <c r="AC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AB20" i="19" s="1"/>
  <c r="B20" i="19"/>
  <c r="AA20" i="19" s="1"/>
  <c r="A20" i="19"/>
  <c r="Z20" i="19" s="1"/>
  <c r="AG19" i="19"/>
  <c r="AA19" i="19"/>
  <c r="Z19" i="19"/>
  <c r="Q19" i="19"/>
  <c r="P19" i="19"/>
  <c r="O19" i="19"/>
  <c r="N19" i="19"/>
  <c r="M19" i="19"/>
  <c r="L19" i="19"/>
  <c r="K19" i="19"/>
  <c r="J19" i="19"/>
  <c r="I19" i="19"/>
  <c r="H19" i="19"/>
  <c r="G19" i="19"/>
  <c r="AF19" i="19" s="1"/>
  <c r="F19" i="19"/>
  <c r="AE19" i="19" s="1"/>
  <c r="E19" i="19"/>
  <c r="AD19" i="19" s="1"/>
  <c r="D19" i="19"/>
  <c r="AC19" i="19" s="1"/>
  <c r="C19" i="19"/>
  <c r="AB19" i="19" s="1"/>
  <c r="B19" i="19"/>
  <c r="A19" i="19"/>
  <c r="AE18" i="19"/>
  <c r="AD18" i="19"/>
  <c r="AC18" i="19"/>
  <c r="AB18" i="19"/>
  <c r="AA18" i="19"/>
  <c r="Z18" i="19"/>
  <c r="AH18" i="19" s="1"/>
  <c r="Q18" i="19"/>
  <c r="P18" i="19"/>
  <c r="O18" i="19"/>
  <c r="N18" i="19"/>
  <c r="M18" i="19"/>
  <c r="L18" i="19"/>
  <c r="K18" i="19"/>
  <c r="J18" i="19"/>
  <c r="I18" i="19"/>
  <c r="H18" i="19"/>
  <c r="AG18" i="19" s="1"/>
  <c r="G18" i="19"/>
  <c r="AF18" i="19" s="1"/>
  <c r="F18" i="19"/>
  <c r="E18" i="19"/>
  <c r="D18" i="19"/>
  <c r="C18" i="19"/>
  <c r="B18" i="19"/>
  <c r="A18" i="19"/>
  <c r="AG17" i="19"/>
  <c r="AF17" i="19"/>
  <c r="AE17" i="19"/>
  <c r="AD17" i="19"/>
  <c r="AC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AB17" i="19" s="1"/>
  <c r="B17" i="19"/>
  <c r="AA17" i="19" s="1"/>
  <c r="AI17" i="19" s="1"/>
  <c r="A17" i="19"/>
  <c r="Z17" i="19" s="1"/>
  <c r="AH17" i="19" s="1"/>
  <c r="AG16" i="19"/>
  <c r="AA16" i="19"/>
  <c r="Z16" i="19"/>
  <c r="AH16" i="19" s="1"/>
  <c r="Q16" i="19"/>
  <c r="P16" i="19"/>
  <c r="O16" i="19"/>
  <c r="N16" i="19"/>
  <c r="M16" i="19"/>
  <c r="L16" i="19"/>
  <c r="K16" i="19"/>
  <c r="J16" i="19"/>
  <c r="I16" i="19"/>
  <c r="H16" i="19"/>
  <c r="G16" i="19"/>
  <c r="AF16" i="19" s="1"/>
  <c r="F16" i="19"/>
  <c r="AE16" i="19" s="1"/>
  <c r="AI16" i="19" s="1"/>
  <c r="E16" i="19"/>
  <c r="AD16" i="19" s="1"/>
  <c r="D16" i="19"/>
  <c r="AC16" i="19" s="1"/>
  <c r="C16" i="19"/>
  <c r="AB16" i="19" s="1"/>
  <c r="B16" i="19"/>
  <c r="A16" i="19"/>
  <c r="AE15" i="19"/>
  <c r="AD15" i="19"/>
  <c r="AC15" i="19"/>
  <c r="AB15" i="19"/>
  <c r="AA15" i="19"/>
  <c r="AI15" i="19" s="1"/>
  <c r="Z15" i="19"/>
  <c r="Q15" i="19"/>
  <c r="P15" i="19"/>
  <c r="O15" i="19"/>
  <c r="N15" i="19"/>
  <c r="M15" i="19"/>
  <c r="L15" i="19"/>
  <c r="K15" i="19"/>
  <c r="J15" i="19"/>
  <c r="I15" i="19"/>
  <c r="H15" i="19"/>
  <c r="AG15" i="19" s="1"/>
  <c r="G15" i="19"/>
  <c r="AF15" i="19" s="1"/>
  <c r="F15" i="19"/>
  <c r="E15" i="19"/>
  <c r="D15" i="19"/>
  <c r="C15" i="19"/>
  <c r="B15" i="19"/>
  <c r="A15" i="19"/>
  <c r="AG14" i="19"/>
  <c r="AF14" i="19"/>
  <c r="AE14" i="19"/>
  <c r="AC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AD14" i="19" s="1"/>
  <c r="D14" i="19"/>
  <c r="C14" i="19"/>
  <c r="AB14" i="19" s="1"/>
  <c r="B14" i="19"/>
  <c r="AA14" i="19" s="1"/>
  <c r="A14" i="19"/>
  <c r="Z14" i="19" s="1"/>
  <c r="AG13" i="19"/>
  <c r="AA13" i="19"/>
  <c r="Z13" i="19"/>
  <c r="Q13" i="19"/>
  <c r="P13" i="19"/>
  <c r="O13" i="19"/>
  <c r="N13" i="19"/>
  <c r="M13" i="19"/>
  <c r="L13" i="19"/>
  <c r="K13" i="19"/>
  <c r="J13" i="19"/>
  <c r="I13" i="19"/>
  <c r="H13" i="19"/>
  <c r="G13" i="19"/>
  <c r="AF13" i="19" s="1"/>
  <c r="F13" i="19"/>
  <c r="AE13" i="19" s="1"/>
  <c r="E13" i="19"/>
  <c r="AD13" i="19" s="1"/>
  <c r="D13" i="19"/>
  <c r="AC13" i="19" s="1"/>
  <c r="C13" i="19"/>
  <c r="AB13" i="19" s="1"/>
  <c r="B13" i="19"/>
  <c r="A13" i="19"/>
  <c r="AE12" i="19"/>
  <c r="AD12" i="19"/>
  <c r="AC12" i="19"/>
  <c r="AB12" i="19"/>
  <c r="AA12" i="19"/>
  <c r="Q12" i="19"/>
  <c r="P12" i="19"/>
  <c r="O12" i="19"/>
  <c r="N12" i="19"/>
  <c r="M12" i="19"/>
  <c r="L12" i="19"/>
  <c r="K12" i="19"/>
  <c r="J12" i="19"/>
  <c r="I12" i="19"/>
  <c r="H12" i="19"/>
  <c r="AG12" i="19" s="1"/>
  <c r="G12" i="19"/>
  <c r="AF12" i="19" s="1"/>
  <c r="F12" i="19"/>
  <c r="E12" i="19"/>
  <c r="D12" i="19"/>
  <c r="C12" i="19"/>
  <c r="B12" i="19"/>
  <c r="A12" i="19"/>
  <c r="Z12" i="19" s="1"/>
  <c r="AG11" i="19"/>
  <c r="AF11" i="19"/>
  <c r="AE11" i="19"/>
  <c r="AC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AD11" i="19" s="1"/>
  <c r="D11" i="19"/>
  <c r="C11" i="19"/>
  <c r="AB11" i="19" s="1"/>
  <c r="B11" i="19"/>
  <c r="AA11" i="19" s="1"/>
  <c r="A11" i="19"/>
  <c r="Z11" i="19" s="1"/>
  <c r="AG10" i="19"/>
  <c r="AA10" i="19"/>
  <c r="Z10" i="19"/>
  <c r="Q10" i="19"/>
  <c r="P10" i="19"/>
  <c r="O10" i="19"/>
  <c r="N10" i="19"/>
  <c r="M10" i="19"/>
  <c r="L10" i="19"/>
  <c r="K10" i="19"/>
  <c r="J10" i="19"/>
  <c r="I10" i="19"/>
  <c r="H10" i="19"/>
  <c r="G10" i="19"/>
  <c r="AF10" i="19" s="1"/>
  <c r="F10" i="19"/>
  <c r="AE10" i="19" s="1"/>
  <c r="E10" i="19"/>
  <c r="AD10" i="19" s="1"/>
  <c r="D10" i="19"/>
  <c r="AC10" i="19" s="1"/>
  <c r="C10" i="19"/>
  <c r="AB10" i="19" s="1"/>
  <c r="B10" i="19"/>
  <c r="A10" i="19"/>
  <c r="AE9" i="19"/>
  <c r="AD9" i="19"/>
  <c r="AC9" i="19"/>
  <c r="AB9" i="19"/>
  <c r="AA9" i="19"/>
  <c r="Q9" i="19"/>
  <c r="P9" i="19"/>
  <c r="O9" i="19"/>
  <c r="N9" i="19"/>
  <c r="M9" i="19"/>
  <c r="L9" i="19"/>
  <c r="K9" i="19"/>
  <c r="J9" i="19"/>
  <c r="I9" i="19"/>
  <c r="H9" i="19"/>
  <c r="AG9" i="19" s="1"/>
  <c r="G9" i="19"/>
  <c r="AF9" i="19" s="1"/>
  <c r="F9" i="19"/>
  <c r="E9" i="19"/>
  <c r="D9" i="19"/>
  <c r="C9" i="19"/>
  <c r="B9" i="19"/>
  <c r="A9" i="19"/>
  <c r="Z9" i="19" s="1"/>
  <c r="AH9" i="19" s="1"/>
  <c r="AG8" i="19"/>
  <c r="AF8" i="19"/>
  <c r="AE8" i="19"/>
  <c r="AC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AD8" i="19" s="1"/>
  <c r="D8" i="19"/>
  <c r="C8" i="19"/>
  <c r="AB8" i="19" s="1"/>
  <c r="B8" i="19"/>
  <c r="AA8" i="19" s="1"/>
  <c r="AI8" i="19" s="1"/>
  <c r="A8" i="19"/>
  <c r="Z8" i="19" s="1"/>
  <c r="AD7" i="19"/>
  <c r="AC7" i="19"/>
  <c r="AB7" i="19"/>
  <c r="AA7" i="19"/>
  <c r="Z7" i="19"/>
  <c r="Q7" i="19"/>
  <c r="P7" i="19"/>
  <c r="O7" i="19"/>
  <c r="N7" i="19"/>
  <c r="M7" i="19"/>
  <c r="L7" i="19"/>
  <c r="K7" i="19"/>
  <c r="J7" i="19"/>
  <c r="I7" i="19"/>
  <c r="H7" i="19"/>
  <c r="AG7" i="19" s="1"/>
  <c r="G7" i="19"/>
  <c r="AF7" i="19" s="1"/>
  <c r="F7" i="19"/>
  <c r="AE7" i="19" s="1"/>
  <c r="E7" i="19"/>
  <c r="D7" i="19"/>
  <c r="C7" i="19"/>
  <c r="B7" i="19"/>
  <c r="A7" i="19"/>
  <c r="AG6" i="19"/>
  <c r="AF6" i="19"/>
  <c r="AE6" i="19"/>
  <c r="AD6" i="19"/>
  <c r="AC6" i="19"/>
  <c r="AB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/>
  <c r="AA6" i="19" s="1"/>
  <c r="A6" i="19"/>
  <c r="Z6" i="19" s="1"/>
  <c r="AG5" i="19"/>
  <c r="AF5" i="19"/>
  <c r="Z5" i="19"/>
  <c r="Q5" i="19"/>
  <c r="P5" i="19"/>
  <c r="O5" i="19"/>
  <c r="N5" i="19"/>
  <c r="M5" i="19"/>
  <c r="L5" i="19"/>
  <c r="K5" i="19"/>
  <c r="J5" i="19"/>
  <c r="I5" i="19"/>
  <c r="H5" i="19"/>
  <c r="G5" i="19"/>
  <c r="F5" i="19"/>
  <c r="AE5" i="19" s="1"/>
  <c r="E5" i="19"/>
  <c r="AD5" i="19" s="1"/>
  <c r="AH5" i="19" s="1"/>
  <c r="D5" i="19"/>
  <c r="AC5" i="19" s="1"/>
  <c r="C5" i="19"/>
  <c r="AB5" i="19" s="1"/>
  <c r="AJ5" i="19" s="1"/>
  <c r="B5" i="19"/>
  <c r="AA5" i="19" s="1"/>
  <c r="A5" i="19"/>
  <c r="AG4" i="19"/>
  <c r="AF4" i="19"/>
  <c r="AE4" i="19"/>
  <c r="AD4" i="19"/>
  <c r="AC4" i="19"/>
  <c r="AB4" i="19"/>
  <c r="AJ4" i="19" s="1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AA4" i="19" s="1"/>
  <c r="AI4" i="19" s="1"/>
  <c r="A4" i="19"/>
  <c r="Z4" i="19" s="1"/>
  <c r="AH4" i="19" s="1"/>
  <c r="AG3" i="19"/>
  <c r="AF3" i="19"/>
  <c r="Z3" i="19"/>
  <c r="Q3" i="19"/>
  <c r="P3" i="19"/>
  <c r="O3" i="19"/>
  <c r="N3" i="19"/>
  <c r="M3" i="19"/>
  <c r="L3" i="19"/>
  <c r="K3" i="19"/>
  <c r="J3" i="19"/>
  <c r="I3" i="19"/>
  <c r="H3" i="19"/>
  <c r="G3" i="19"/>
  <c r="F3" i="19"/>
  <c r="AE3" i="19" s="1"/>
  <c r="E3" i="19"/>
  <c r="AD3" i="19" s="1"/>
  <c r="D3" i="19"/>
  <c r="AC3" i="19" s="1"/>
  <c r="C3" i="19"/>
  <c r="AB3" i="19" s="1"/>
  <c r="B3" i="19"/>
  <c r="AA3" i="19" s="1"/>
  <c r="A3" i="19"/>
  <c r="AH4" i="17"/>
  <c r="AI4" i="17"/>
  <c r="AJ4" i="17"/>
  <c r="AH5" i="17"/>
  <c r="AI5" i="17"/>
  <c r="AJ5" i="17"/>
  <c r="AH6" i="17"/>
  <c r="AI6" i="17"/>
  <c r="AJ6" i="17"/>
  <c r="AH7" i="17"/>
  <c r="AI7" i="17"/>
  <c r="AJ7" i="17"/>
  <c r="AH8" i="17"/>
  <c r="AI8" i="17"/>
  <c r="AJ8" i="17"/>
  <c r="AH9" i="17"/>
  <c r="AI9" i="17"/>
  <c r="AJ9" i="17"/>
  <c r="AH10" i="17"/>
  <c r="AI10" i="17"/>
  <c r="AJ10" i="17"/>
  <c r="AH11" i="17"/>
  <c r="AI11" i="17"/>
  <c r="AJ11" i="17"/>
  <c r="AH12" i="17"/>
  <c r="AI12" i="17"/>
  <c r="AJ12" i="17"/>
  <c r="AH13" i="17"/>
  <c r="AI13" i="17"/>
  <c r="AJ13" i="17"/>
  <c r="AH14" i="17"/>
  <c r="AI14" i="17"/>
  <c r="AJ14" i="17"/>
  <c r="AH15" i="17"/>
  <c r="AI15" i="17"/>
  <c r="AJ15" i="17"/>
  <c r="AH16" i="17"/>
  <c r="AI16" i="17"/>
  <c r="AJ16" i="17"/>
  <c r="AH17" i="17"/>
  <c r="AI17" i="17"/>
  <c r="AJ17" i="17"/>
  <c r="AH18" i="17"/>
  <c r="AI18" i="17"/>
  <c r="AJ18" i="17"/>
  <c r="AH19" i="17"/>
  <c r="AI19" i="17"/>
  <c r="AJ19" i="17"/>
  <c r="AH20" i="17"/>
  <c r="AI20" i="17"/>
  <c r="AJ20" i="17"/>
  <c r="AH21" i="17"/>
  <c r="AI21" i="17"/>
  <c r="AJ21" i="17"/>
  <c r="AH22" i="17"/>
  <c r="AI22" i="17"/>
  <c r="AJ22" i="17"/>
  <c r="AH23" i="17"/>
  <c r="AI23" i="17"/>
  <c r="AJ23" i="17"/>
  <c r="AH24" i="17"/>
  <c r="AI24" i="17"/>
  <c r="AJ24" i="17"/>
  <c r="AH25" i="17"/>
  <c r="AI25" i="17"/>
  <c r="AJ25" i="17"/>
  <c r="AH26" i="17"/>
  <c r="AI26" i="17"/>
  <c r="AJ26" i="17"/>
  <c r="AH27" i="17"/>
  <c r="AI27" i="17"/>
  <c r="AJ27" i="17"/>
  <c r="AH28" i="17"/>
  <c r="AI28" i="17"/>
  <c r="AJ28" i="17"/>
  <c r="AH29" i="17"/>
  <c r="AI29" i="17"/>
  <c r="AJ29" i="17"/>
  <c r="AH30" i="17"/>
  <c r="AI30" i="17"/>
  <c r="AJ30" i="17"/>
  <c r="AH31" i="17"/>
  <c r="AI31" i="17"/>
  <c r="AJ31" i="17"/>
  <c r="AH32" i="17"/>
  <c r="AI32" i="17"/>
  <c r="AJ32" i="17"/>
  <c r="AH33" i="17"/>
  <c r="AI33" i="17"/>
  <c r="AJ33" i="17"/>
  <c r="AH34" i="17"/>
  <c r="AI34" i="17"/>
  <c r="AJ34" i="17"/>
  <c r="AH35" i="17"/>
  <c r="AI35" i="17"/>
  <c r="AJ35" i="17"/>
  <c r="AH36" i="17"/>
  <c r="AI36" i="17"/>
  <c r="AJ36" i="17"/>
  <c r="AH37" i="17"/>
  <c r="AI37" i="17"/>
  <c r="AJ37" i="17"/>
  <c r="AH38" i="17"/>
  <c r="AI38" i="17"/>
  <c r="AJ38" i="17"/>
  <c r="AH39" i="17"/>
  <c r="AI39" i="17"/>
  <c r="AJ39" i="17"/>
  <c r="AH40" i="17"/>
  <c r="AI40" i="17"/>
  <c r="AJ40" i="17"/>
  <c r="AH41" i="17"/>
  <c r="AI41" i="17"/>
  <c r="AJ41" i="17"/>
  <c r="AH42" i="17"/>
  <c r="AI42" i="17"/>
  <c r="AJ42" i="17"/>
  <c r="AI3" i="17"/>
  <c r="AJ3" i="17"/>
  <c r="AH3" i="17"/>
  <c r="AL7" i="17"/>
  <c r="AM7" i="17"/>
  <c r="AK7" i="17"/>
  <c r="AL4" i="17" a="1"/>
  <c r="AL4" i="17" s="1"/>
  <c r="AM4" i="17" a="1"/>
  <c r="AM4" i="17" s="1"/>
  <c r="AN4" i="17" a="1"/>
  <c r="AN4" i="17" s="1"/>
  <c r="AO4" i="17" a="1"/>
  <c r="AO4" i="17" s="1"/>
  <c r="AP4" i="17" a="1"/>
  <c r="AP4" i="17" s="1"/>
  <c r="AQ4" i="17" a="1"/>
  <c r="AQ4" i="17"/>
  <c r="AR4" i="17" a="1"/>
  <c r="AR4" i="17" s="1"/>
  <c r="AK4" i="17" a="1"/>
  <c r="AK4" i="17" s="1"/>
  <c r="Z4" i="17"/>
  <c r="AA4" i="17"/>
  <c r="AB4" i="17"/>
  <c r="AC4" i="17"/>
  <c r="AD4" i="17"/>
  <c r="AE4" i="17"/>
  <c r="AF4" i="17"/>
  <c r="AG4" i="17"/>
  <c r="Z5" i="17"/>
  <c r="AA5" i="17"/>
  <c r="AB5" i="17"/>
  <c r="AC5" i="17"/>
  <c r="AD5" i="17"/>
  <c r="AE5" i="17"/>
  <c r="AF5" i="17"/>
  <c r="AG5" i="17"/>
  <c r="Z6" i="17"/>
  <c r="AA6" i="17"/>
  <c r="AB6" i="17"/>
  <c r="AC6" i="17"/>
  <c r="AD6" i="17"/>
  <c r="AE6" i="17"/>
  <c r="AF6" i="17"/>
  <c r="AG6" i="17"/>
  <c r="Z7" i="17"/>
  <c r="AA7" i="17"/>
  <c r="AB7" i="17"/>
  <c r="AC7" i="17"/>
  <c r="AD7" i="17"/>
  <c r="AE7" i="17"/>
  <c r="AF7" i="17"/>
  <c r="AG7" i="17"/>
  <c r="Z8" i="17"/>
  <c r="AA8" i="17"/>
  <c r="AB8" i="17"/>
  <c r="AC8" i="17"/>
  <c r="AD8" i="17"/>
  <c r="AE8" i="17"/>
  <c r="AF8" i="17"/>
  <c r="AG8" i="17"/>
  <c r="Z9" i="17"/>
  <c r="AA9" i="17"/>
  <c r="AB9" i="17"/>
  <c r="AC9" i="17"/>
  <c r="AD9" i="17"/>
  <c r="AE9" i="17"/>
  <c r="AF9" i="17"/>
  <c r="AG9" i="17"/>
  <c r="Z10" i="17"/>
  <c r="AA10" i="17"/>
  <c r="AB10" i="17"/>
  <c r="AC10" i="17"/>
  <c r="AD10" i="17"/>
  <c r="AE10" i="17"/>
  <c r="AF10" i="17"/>
  <c r="AG10" i="17"/>
  <c r="Z11" i="17"/>
  <c r="AA11" i="17"/>
  <c r="AB11" i="17"/>
  <c r="AC11" i="17"/>
  <c r="AD11" i="17"/>
  <c r="AE11" i="17"/>
  <c r="AF11" i="17"/>
  <c r="AG11" i="17"/>
  <c r="Z12" i="17"/>
  <c r="AA12" i="17"/>
  <c r="AB12" i="17"/>
  <c r="AC12" i="17"/>
  <c r="AD12" i="17"/>
  <c r="AE12" i="17"/>
  <c r="AF12" i="17"/>
  <c r="AG12" i="17"/>
  <c r="Z13" i="17"/>
  <c r="AA13" i="17"/>
  <c r="AB13" i="17"/>
  <c r="AC13" i="17"/>
  <c r="AD13" i="17"/>
  <c r="AE13" i="17"/>
  <c r="AF13" i="17"/>
  <c r="AG13" i="17"/>
  <c r="Z14" i="17"/>
  <c r="AA14" i="17"/>
  <c r="AB14" i="17"/>
  <c r="AC14" i="17"/>
  <c r="AD14" i="17"/>
  <c r="AE14" i="17"/>
  <c r="AF14" i="17"/>
  <c r="AG14" i="17"/>
  <c r="Z15" i="17"/>
  <c r="AA15" i="17"/>
  <c r="AB15" i="17"/>
  <c r="AC15" i="17"/>
  <c r="AD15" i="17"/>
  <c r="AE15" i="17"/>
  <c r="AF15" i="17"/>
  <c r="AG15" i="17"/>
  <c r="Z16" i="17"/>
  <c r="AA16" i="17"/>
  <c r="AB16" i="17"/>
  <c r="AC16" i="17"/>
  <c r="AD16" i="17"/>
  <c r="AE16" i="17"/>
  <c r="AF16" i="17"/>
  <c r="AG16" i="17"/>
  <c r="Z17" i="17"/>
  <c r="AA17" i="17"/>
  <c r="AB17" i="17"/>
  <c r="AC17" i="17"/>
  <c r="AD17" i="17"/>
  <c r="AE17" i="17"/>
  <c r="AF17" i="17"/>
  <c r="AG17" i="17"/>
  <c r="Z18" i="17"/>
  <c r="AA18" i="17"/>
  <c r="AB18" i="17"/>
  <c r="AC18" i="17"/>
  <c r="AD18" i="17"/>
  <c r="AE18" i="17"/>
  <c r="AF18" i="17"/>
  <c r="AG18" i="17"/>
  <c r="Z19" i="17"/>
  <c r="AA19" i="17"/>
  <c r="AB19" i="17"/>
  <c r="AC19" i="17"/>
  <c r="AD19" i="17"/>
  <c r="AE19" i="17"/>
  <c r="AF19" i="17"/>
  <c r="AG19" i="17"/>
  <c r="Z20" i="17"/>
  <c r="AA20" i="17"/>
  <c r="AB20" i="17"/>
  <c r="AC20" i="17"/>
  <c r="AD20" i="17"/>
  <c r="AE20" i="17"/>
  <c r="AF20" i="17"/>
  <c r="AG20" i="17"/>
  <c r="Z21" i="17"/>
  <c r="AA21" i="17"/>
  <c r="AB21" i="17"/>
  <c r="AC21" i="17"/>
  <c r="AD21" i="17"/>
  <c r="AE21" i="17"/>
  <c r="AF21" i="17"/>
  <c r="AG21" i="17"/>
  <c r="Z22" i="17"/>
  <c r="AA22" i="17"/>
  <c r="AB22" i="17"/>
  <c r="AC22" i="17"/>
  <c r="AD22" i="17"/>
  <c r="AE22" i="17"/>
  <c r="AF22" i="17"/>
  <c r="AG22" i="17"/>
  <c r="Z23" i="17"/>
  <c r="AA23" i="17"/>
  <c r="AB23" i="17"/>
  <c r="AC23" i="17"/>
  <c r="AD23" i="17"/>
  <c r="AE23" i="17"/>
  <c r="AF23" i="17"/>
  <c r="AG23" i="17"/>
  <c r="Z24" i="17"/>
  <c r="AA24" i="17"/>
  <c r="AB24" i="17"/>
  <c r="AC24" i="17"/>
  <c r="AD24" i="17"/>
  <c r="AE24" i="17"/>
  <c r="AF24" i="17"/>
  <c r="AG24" i="17"/>
  <c r="Z25" i="17"/>
  <c r="AA25" i="17"/>
  <c r="AB25" i="17"/>
  <c r="AC25" i="17"/>
  <c r="AD25" i="17"/>
  <c r="AE25" i="17"/>
  <c r="AF25" i="17"/>
  <c r="AG25" i="17"/>
  <c r="Z26" i="17"/>
  <c r="AA26" i="17"/>
  <c r="AB26" i="17"/>
  <c r="AC26" i="17"/>
  <c r="AD26" i="17"/>
  <c r="AE26" i="17"/>
  <c r="AF26" i="17"/>
  <c r="AG26" i="17"/>
  <c r="Z27" i="17"/>
  <c r="AA27" i="17"/>
  <c r="AB27" i="17"/>
  <c r="AC27" i="17"/>
  <c r="AD27" i="17"/>
  <c r="AE27" i="17"/>
  <c r="AF27" i="17"/>
  <c r="AG27" i="17"/>
  <c r="Z28" i="17"/>
  <c r="AA28" i="17"/>
  <c r="AB28" i="17"/>
  <c r="AC28" i="17"/>
  <c r="AD28" i="17"/>
  <c r="AE28" i="17"/>
  <c r="AF28" i="17"/>
  <c r="AG28" i="17"/>
  <c r="Z29" i="17"/>
  <c r="AA29" i="17"/>
  <c r="AB29" i="17"/>
  <c r="AC29" i="17"/>
  <c r="AD29" i="17"/>
  <c r="AE29" i="17"/>
  <c r="AF29" i="17"/>
  <c r="AG29" i="17"/>
  <c r="Z30" i="17"/>
  <c r="AA30" i="17"/>
  <c r="AB30" i="17"/>
  <c r="AC30" i="17"/>
  <c r="AD30" i="17"/>
  <c r="AE30" i="17"/>
  <c r="AF30" i="17"/>
  <c r="AG30" i="17"/>
  <c r="Z31" i="17"/>
  <c r="AA31" i="17"/>
  <c r="AB31" i="17"/>
  <c r="AC31" i="17"/>
  <c r="AD31" i="17"/>
  <c r="AE31" i="17"/>
  <c r="AF31" i="17"/>
  <c r="AG31" i="17"/>
  <c r="Z32" i="17"/>
  <c r="AA32" i="17"/>
  <c r="AB32" i="17"/>
  <c r="AC32" i="17"/>
  <c r="AD32" i="17"/>
  <c r="AE32" i="17"/>
  <c r="AF32" i="17"/>
  <c r="AG32" i="17"/>
  <c r="Z33" i="17"/>
  <c r="AA33" i="17"/>
  <c r="AB33" i="17"/>
  <c r="AC33" i="17"/>
  <c r="AD33" i="17"/>
  <c r="AE33" i="17"/>
  <c r="AF33" i="17"/>
  <c r="AG33" i="17"/>
  <c r="Z34" i="17"/>
  <c r="AA34" i="17"/>
  <c r="AB34" i="17"/>
  <c r="AC34" i="17"/>
  <c r="AD34" i="17"/>
  <c r="AE34" i="17"/>
  <c r="AF34" i="17"/>
  <c r="AG34" i="17"/>
  <c r="Z35" i="17"/>
  <c r="AA35" i="17"/>
  <c r="AB35" i="17"/>
  <c r="AC35" i="17"/>
  <c r="AD35" i="17"/>
  <c r="AE35" i="17"/>
  <c r="AF35" i="17"/>
  <c r="AG35" i="17"/>
  <c r="Z36" i="17"/>
  <c r="AA36" i="17"/>
  <c r="AB36" i="17"/>
  <c r="AC36" i="17"/>
  <c r="AD36" i="17"/>
  <c r="AE36" i="17"/>
  <c r="AF36" i="17"/>
  <c r="AG36" i="17"/>
  <c r="Z37" i="17"/>
  <c r="AA37" i="17"/>
  <c r="AB37" i="17"/>
  <c r="AC37" i="17"/>
  <c r="AD37" i="17"/>
  <c r="AE37" i="17"/>
  <c r="AF37" i="17"/>
  <c r="AG37" i="17"/>
  <c r="Z38" i="17"/>
  <c r="AA38" i="17"/>
  <c r="AB38" i="17"/>
  <c r="AC38" i="17"/>
  <c r="AD38" i="17"/>
  <c r="AE38" i="17"/>
  <c r="AF38" i="17"/>
  <c r="AG38" i="17"/>
  <c r="Z39" i="17"/>
  <c r="AA39" i="17"/>
  <c r="AB39" i="17"/>
  <c r="AC39" i="17"/>
  <c r="AD39" i="17"/>
  <c r="AE39" i="17"/>
  <c r="AF39" i="17"/>
  <c r="AG39" i="17"/>
  <c r="Z40" i="17"/>
  <c r="AA40" i="17"/>
  <c r="AB40" i="17"/>
  <c r="AC40" i="17"/>
  <c r="AD40" i="17"/>
  <c r="AE40" i="17"/>
  <c r="AF40" i="17"/>
  <c r="AG40" i="17"/>
  <c r="Z41" i="17"/>
  <c r="AA41" i="17"/>
  <c r="AB41" i="17"/>
  <c r="AC41" i="17"/>
  <c r="AD41" i="17"/>
  <c r="AE41" i="17"/>
  <c r="AF41" i="17"/>
  <c r="AG41" i="17"/>
  <c r="Z42" i="17"/>
  <c r="AA42" i="17"/>
  <c r="AB42" i="17"/>
  <c r="AC42" i="17"/>
  <c r="AD42" i="17"/>
  <c r="AE42" i="17"/>
  <c r="AF42" i="17"/>
  <c r="AG42" i="17"/>
  <c r="AC3" i="17"/>
  <c r="AB3" i="17"/>
  <c r="AA3" i="17"/>
  <c r="AD3" i="17"/>
  <c r="AE3" i="17"/>
  <c r="AF3" i="17"/>
  <c r="AG3" i="17"/>
  <c r="Z3" i="17"/>
  <c r="A3" i="17"/>
  <c r="B3" i="17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A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AC3" i="12"/>
  <c r="AB3" i="12"/>
  <c r="AA3" i="12"/>
  <c r="Z3" i="12"/>
  <c r="Y3" i="12"/>
  <c r="X3" i="12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AH8" i="19" l="1"/>
  <c r="AI10" i="19"/>
  <c r="AH12" i="19"/>
  <c r="AJ13" i="19"/>
  <c r="AJ17" i="19"/>
  <c r="AI19" i="19"/>
  <c r="AH26" i="19"/>
  <c r="AJ32" i="19"/>
  <c r="AI34" i="19"/>
  <c r="AJ41" i="19"/>
  <c r="AI9" i="19"/>
  <c r="AI18" i="19"/>
  <c r="AJ22" i="19"/>
  <c r="AI33" i="19"/>
  <c r="AJ37" i="19"/>
  <c r="AI42" i="19"/>
  <c r="AI13" i="19"/>
  <c r="AJ15" i="19"/>
  <c r="AH7" i="19"/>
  <c r="AI14" i="19"/>
  <c r="AI21" i="19"/>
  <c r="AI36" i="19"/>
  <c r="AH38" i="19"/>
  <c r="AJ6" i="19"/>
  <c r="AJ14" i="19"/>
  <c r="AH15" i="19"/>
  <c r="AH30" i="19"/>
  <c r="AI38" i="19"/>
  <c r="AI40" i="19"/>
  <c r="AI6" i="19"/>
  <c r="AI11" i="19"/>
  <c r="AJ16" i="19"/>
  <c r="AI20" i="19"/>
  <c r="AI27" i="19"/>
  <c r="AJ31" i="19"/>
  <c r="AI35" i="19"/>
  <c r="AJ30" i="19"/>
  <c r="AI26" i="19"/>
  <c r="AJ8" i="19"/>
  <c r="AJ26" i="19"/>
  <c r="AH6" i="19"/>
  <c r="AH20" i="19"/>
  <c r="AH35" i="19"/>
  <c r="AJ11" i="19"/>
  <c r="AI12" i="19"/>
  <c r="AJ20" i="19"/>
  <c r="AI22" i="19"/>
  <c r="AH29" i="19"/>
  <c r="AJ35" i="19"/>
  <c r="AI37" i="19"/>
  <c r="AH27" i="19"/>
  <c r="AH21" i="19"/>
  <c r="AI29" i="19"/>
  <c r="AH36" i="19"/>
  <c r="AR4" i="19" a="1"/>
  <c r="AR4" i="19" s="1"/>
  <c r="AI5" i="19"/>
  <c r="AI7" i="19"/>
  <c r="AJ21" i="19"/>
  <c r="AJ36" i="19"/>
  <c r="AH40" i="19"/>
  <c r="AJ7" i="19"/>
  <c r="AJ10" i="19"/>
  <c r="AJ19" i="19"/>
  <c r="AH25" i="19"/>
  <c r="AJ34" i="19"/>
  <c r="AJ3" i="19"/>
  <c r="AM4" i="19" a="1"/>
  <c r="AM4" i="19" s="1"/>
  <c r="AH28" i="19"/>
  <c r="AH10" i="19"/>
  <c r="AH19" i="19"/>
  <c r="AJ24" i="19"/>
  <c r="AH34" i="19"/>
  <c r="AL4" i="19" a="1"/>
  <c r="AL4" i="19" s="1"/>
  <c r="AI3" i="19"/>
  <c r="AN4" i="19" a="1"/>
  <c r="AN4" i="19" s="1"/>
  <c r="AJ9" i="19"/>
  <c r="AH11" i="19"/>
  <c r="AH13" i="19"/>
  <c r="AJ18" i="19"/>
  <c r="AJ33" i="19"/>
  <c r="AJ42" i="19"/>
  <c r="AO4" i="19" a="1"/>
  <c r="AO4" i="19" s="1"/>
  <c r="AH3" i="19"/>
  <c r="AP4" i="19" a="1"/>
  <c r="AP4" i="19" s="1"/>
  <c r="AK4" i="19" a="1"/>
  <c r="AK4" i="19" s="1"/>
  <c r="AK7" i="19" s="1"/>
  <c r="AH22" i="19"/>
  <c r="AJ27" i="19"/>
  <c r="AH37" i="19"/>
  <c r="AJ40" i="19"/>
  <c r="AJ39" i="19"/>
  <c r="AQ4" i="19" a="1"/>
  <c r="AQ4" i="19" s="1"/>
  <c r="AJ12" i="19"/>
  <c r="AH14" i="19"/>
  <c r="AJ25" i="19"/>
  <c r="AL7" i="19" l="1"/>
  <c r="AM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<sst xmlns="http://schemas.openxmlformats.org/spreadsheetml/2006/main" count="155" uniqueCount="37">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</sst>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41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opLeftCell="A15" workbookViewId="0">
      <selection activeCell="C4" sqref="C4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24" t="s">
        <v>6</v>
      </c>
      <c r="M1" s="25"/>
      <c r="N1" s="25"/>
      <c r="O1" s="25"/>
      <c r="P1" s="25"/>
      <c r="Q1" s="25"/>
      <c r="R1" s="26" t="s">
        <v>12</v>
      </c>
      <c r="S1" s="27"/>
      <c r="T1" s="27"/>
      <c r="U1" s="27"/>
      <c r="V1" s="27"/>
      <c r="W1" s="27"/>
      <c r="X1" s="30" t="s">
        <v>14</v>
      </c>
      <c r="Y1" s="31"/>
      <c r="Z1" s="31"/>
      <c r="AA1" s="31"/>
      <c r="AB1" s="31"/>
      <c r="AC1" s="32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x14ac:dyDescent="0.25">
      <c r="A3" s="10">
        <v>0.2</v>
      </c>
      <c r="B3" s="11">
        <v>0.1</v>
      </c>
      <c r="C3" s="10">
        <v>1.571</v>
      </c>
      <c r="D3" s="10">
        <f>PI()/2</f>
        <v>1.5707963267948966</v>
      </c>
      <c r="E3" s="11">
        <v>1</v>
      </c>
      <c r="F3" s="11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-1.9976701587438601E-3</v>
      </c>
      <c r="M3" s="8">
        <v>-3.3190850168466603E-2</v>
      </c>
      <c r="N3" s="8">
        <v>-0.13983803987503099</v>
      </c>
      <c r="O3" s="8">
        <v>-1.5990611165761899E-2</v>
      </c>
      <c r="P3" s="8">
        <v>-1.04125440120697</v>
      </c>
      <c r="Q3" s="8">
        <v>0.195114254951477</v>
      </c>
      <c r="R3" s="8">
        <v>1E-4</v>
      </c>
      <c r="S3" s="8">
        <v>-3.7900000000000003E-2</v>
      </c>
      <c r="T3" s="8">
        <v>-0.13</v>
      </c>
      <c r="U3" s="8">
        <v>-2.8E-3</v>
      </c>
      <c r="V3" s="8">
        <v>-1.0001</v>
      </c>
      <c r="W3" s="8">
        <v>0.1996</v>
      </c>
      <c r="X3" s="8">
        <f t="shared" ref="X3:AC3" si="0">ABS(L3-R3)</f>
        <v>2.0976701587438599E-3</v>
      </c>
      <c r="Y3" s="8">
        <f t="shared" si="0"/>
        <v>4.7091498315334004E-3</v>
      </c>
      <c r="Z3" s="8">
        <f t="shared" si="0"/>
        <v>9.838039875030985E-3</v>
      </c>
      <c r="AA3" s="8">
        <f t="shared" si="0"/>
        <v>1.3190611165761899E-2</v>
      </c>
      <c r="AB3" s="8">
        <f t="shared" si="0"/>
        <v>4.1154401206970004E-2</v>
      </c>
      <c r="AC3" s="8">
        <f t="shared" si="0"/>
        <v>4.4857450485230044E-3</v>
      </c>
    </row>
    <row r="4" spans="1:29" s="5" customFormat="1" x14ac:dyDescent="0.25">
      <c r="A4" s="10">
        <v>1</v>
      </c>
      <c r="B4" s="11">
        <v>0.1</v>
      </c>
      <c r="C4" s="10">
        <v>1.571</v>
      </c>
      <c r="D4" s="10">
        <f t="shared" ref="D4:D42" si="1">PI()/2</f>
        <v>1.5707963267948966</v>
      </c>
      <c r="E4" s="11">
        <v>1</v>
      </c>
      <c r="F4" s="11">
        <v>0.08</v>
      </c>
      <c r="G4" s="10">
        <v>3.1419999999999999</v>
      </c>
      <c r="H4" s="10">
        <f t="shared" ref="H4:H42" si="2">PI()/2</f>
        <v>1.5707963267948966</v>
      </c>
      <c r="I4" s="10">
        <v>0</v>
      </c>
      <c r="J4" s="10">
        <v>0</v>
      </c>
      <c r="K4" s="10">
        <v>0</v>
      </c>
      <c r="L4" s="8">
        <v>-1.30753358826041E-3</v>
      </c>
      <c r="M4" s="8">
        <v>-0.21146439015865301</v>
      </c>
      <c r="N4" s="8">
        <v>-0.15480977296829199</v>
      </c>
      <c r="O4" s="8">
        <v>-0.115148775279522</v>
      </c>
      <c r="P4" s="8">
        <v>-0.885367691516876</v>
      </c>
      <c r="Q4" s="8">
        <v>1.0914549827575699</v>
      </c>
      <c r="R4" s="8">
        <v>0</v>
      </c>
      <c r="S4" s="8">
        <v>-0.1898</v>
      </c>
      <c r="T4" s="8">
        <v>-0.17</v>
      </c>
      <c r="U4" s="8">
        <v>-4.3999999999999997E-2</v>
      </c>
      <c r="V4" s="8">
        <v>-0.99980000000000002</v>
      </c>
      <c r="W4" s="8">
        <v>0.999</v>
      </c>
      <c r="X4" s="8">
        <f t="shared" ref="X4:X42" si="3">ABS(L4-R4)</f>
        <v>1.30753358826041E-3</v>
      </c>
      <c r="Y4" s="8">
        <f t="shared" ref="Y4:Y42" si="4">ABS(M4-S4)</f>
        <v>2.1664390158653013E-2</v>
      </c>
      <c r="Z4" s="8">
        <f t="shared" ref="Z4:Z42" si="5">ABS(N4-T4)</f>
        <v>1.5190227031708026E-2</v>
      </c>
      <c r="AA4" s="8">
        <f t="shared" ref="AA4:AA42" si="6">ABS(O4-U4)</f>
        <v>7.1148775279522E-2</v>
      </c>
      <c r="AB4" s="8">
        <f t="shared" ref="AB4:AB42" si="7">ABS(P4-V4)</f>
        <v>0.11443230848312402</v>
      </c>
      <c r="AC4" s="8">
        <f t="shared" ref="AC4:AC42" si="8">ABS(Q4-W4)</f>
        <v>9.2454982757569915E-2</v>
      </c>
    </row>
    <row r="5" spans="1:29" x14ac:dyDescent="0.25">
      <c r="A5" s="10">
        <v>0.5</v>
      </c>
      <c r="B5" s="10">
        <v>0.1</v>
      </c>
      <c r="C5" s="10">
        <v>1.571</v>
      </c>
      <c r="D5" s="10">
        <f t="shared" si="1"/>
        <v>1.5707963267948966</v>
      </c>
      <c r="E5" s="10">
        <v>0.2</v>
      </c>
      <c r="F5" s="10">
        <v>0.02</v>
      </c>
      <c r="G5" s="10">
        <v>3.927</v>
      </c>
      <c r="H5" s="10">
        <f t="shared" si="2"/>
        <v>1.5707963267948966</v>
      </c>
      <c r="I5" s="10">
        <v>0</v>
      </c>
      <c r="J5" s="10">
        <v>0</v>
      </c>
      <c r="K5" s="10">
        <v>0</v>
      </c>
      <c r="L5" s="8">
        <v>4.8654910642653698E-4</v>
      </c>
      <c r="M5" s="8">
        <v>-9.9444381892681094E-2</v>
      </c>
      <c r="N5" s="8">
        <v>-1.08874747529626E-2</v>
      </c>
      <c r="O5" s="8">
        <v>-2.9133602976799001E-2</v>
      </c>
      <c r="P5" s="8">
        <v>-0.12781015038490301</v>
      </c>
      <c r="Q5" s="8">
        <v>0.45268994569778398</v>
      </c>
      <c r="R5" s="8">
        <v>0</v>
      </c>
      <c r="S5" s="8">
        <v>-7.9399999999999998E-2</v>
      </c>
      <c r="T5" s="8">
        <v>-1.5599999999999999E-2</v>
      </c>
      <c r="U5" s="8">
        <v>-7.6E-3</v>
      </c>
      <c r="V5" s="8">
        <v>-0.14149999999999999</v>
      </c>
      <c r="W5" s="8">
        <v>0.35849999999999999</v>
      </c>
      <c r="X5" s="8">
        <f t="shared" si="3"/>
        <v>4.8654910642653698E-4</v>
      </c>
      <c r="Y5" s="8">
        <f t="shared" si="4"/>
        <v>2.0044381892681096E-2</v>
      </c>
      <c r="Z5" s="8">
        <f t="shared" si="5"/>
        <v>4.7125252470373996E-3</v>
      </c>
      <c r="AA5" s="8">
        <f t="shared" si="6"/>
        <v>2.1533602976799002E-2</v>
      </c>
      <c r="AB5" s="8">
        <f t="shared" si="7"/>
        <v>1.3689849615096977E-2</v>
      </c>
      <c r="AC5" s="8">
        <f t="shared" si="8"/>
        <v>9.4189945697783994E-2</v>
      </c>
    </row>
    <row r="6" spans="1:29" x14ac:dyDescent="0.25">
      <c r="A6" s="10">
        <v>0.9</v>
      </c>
      <c r="B6" s="11">
        <v>0.1</v>
      </c>
      <c r="C6" s="10">
        <v>1.571</v>
      </c>
      <c r="D6" s="10">
        <f t="shared" si="1"/>
        <v>1.5707963267948966</v>
      </c>
      <c r="E6" s="11">
        <v>0.2</v>
      </c>
      <c r="F6" s="11">
        <v>0.08</v>
      </c>
      <c r="G6" s="10">
        <v>4.7119999999999997</v>
      </c>
      <c r="H6" s="10">
        <f t="shared" si="2"/>
        <v>1.5707963267948966</v>
      </c>
      <c r="I6" s="10">
        <v>1.2</v>
      </c>
      <c r="J6" s="10">
        <v>0</v>
      </c>
      <c r="K6" s="10">
        <v>0</v>
      </c>
      <c r="L6" s="8">
        <v>2.1138784941285801E-3</v>
      </c>
      <c r="M6" s="8">
        <v>-0.17721578478813199</v>
      </c>
      <c r="N6" s="8">
        <v>3.8662729784846302E-3</v>
      </c>
      <c r="O6" s="8">
        <v>-9.7615689039230305E-2</v>
      </c>
      <c r="P6" s="8">
        <v>2.8949752449989302E-2</v>
      </c>
      <c r="Q6" s="8">
        <v>0.88741946220397905</v>
      </c>
      <c r="R6" s="8">
        <v>2.0000000000000001E-4</v>
      </c>
      <c r="S6" s="8">
        <v>-0.13689999999999999</v>
      </c>
      <c r="T6" s="8">
        <v>-1E-4</v>
      </c>
      <c r="U6" s="8">
        <v>-2.41E-2</v>
      </c>
      <c r="V6" s="8">
        <v>-4.0000000000000002E-4</v>
      </c>
      <c r="W6" s="8">
        <v>0.6996</v>
      </c>
      <c r="X6" s="8">
        <f t="shared" si="3"/>
        <v>1.91387849412858E-3</v>
      </c>
      <c r="Y6" s="8">
        <f t="shared" si="4"/>
        <v>4.0315784788131998E-2</v>
      </c>
      <c r="Z6" s="8">
        <f t="shared" si="5"/>
        <v>3.96627297848463E-3</v>
      </c>
      <c r="AA6" s="8">
        <f t="shared" si="6"/>
        <v>7.3515689039230309E-2</v>
      </c>
      <c r="AB6" s="8">
        <f t="shared" si="7"/>
        <v>2.9349752449989303E-2</v>
      </c>
      <c r="AC6" s="8">
        <f t="shared" si="8"/>
        <v>0.18781946220397905</v>
      </c>
    </row>
    <row r="7" spans="1:29" x14ac:dyDescent="0.25">
      <c r="A7" s="10">
        <v>0.1</v>
      </c>
      <c r="B7" s="11">
        <v>0.12</v>
      </c>
      <c r="C7" s="10">
        <v>1.571</v>
      </c>
      <c r="D7" s="10">
        <f t="shared" si="1"/>
        <v>1.5707963267948966</v>
      </c>
      <c r="E7" s="11">
        <v>1</v>
      </c>
      <c r="F7" s="11">
        <v>0.06</v>
      </c>
      <c r="G7" s="10">
        <v>3.927</v>
      </c>
      <c r="H7" s="10">
        <f t="shared" si="2"/>
        <v>1.5707963267948966</v>
      </c>
      <c r="I7" s="10">
        <v>0</v>
      </c>
      <c r="J7" s="10">
        <v>0</v>
      </c>
      <c r="K7" s="10">
        <v>0</v>
      </c>
      <c r="L7" s="8">
        <v>-1.4075441285967801E-3</v>
      </c>
      <c r="M7" s="8">
        <v>7.2883039712905898E-2</v>
      </c>
      <c r="N7" s="8">
        <v>-0.11806334555149101</v>
      </c>
      <c r="O7" s="8">
        <v>2.7194060385227199E-3</v>
      </c>
      <c r="P7" s="8">
        <v>-0.75840699672698997</v>
      </c>
      <c r="Q7" s="8">
        <v>-0.50915515422821001</v>
      </c>
      <c r="R7" s="8">
        <v>0</v>
      </c>
      <c r="S7" s="8">
        <v>8.5099999999999995E-2</v>
      </c>
      <c r="T7" s="8">
        <v>-0.1061</v>
      </c>
      <c r="U7" s="8">
        <v>-1.8E-3</v>
      </c>
      <c r="V7" s="8">
        <v>-0.70709999999999995</v>
      </c>
      <c r="W7" s="8">
        <v>-0.60709999999999997</v>
      </c>
      <c r="X7" s="8">
        <f t="shared" si="3"/>
        <v>1.4075441285967801E-3</v>
      </c>
      <c r="Y7" s="8">
        <f t="shared" si="4"/>
        <v>1.2216960287094097E-2</v>
      </c>
      <c r="Z7" s="8">
        <f t="shared" si="5"/>
        <v>1.1963345551491006E-2</v>
      </c>
      <c r="AA7" s="8">
        <f t="shared" si="6"/>
        <v>4.5194060385227199E-3</v>
      </c>
      <c r="AB7" s="8">
        <f t="shared" si="7"/>
        <v>5.1306996726990017E-2</v>
      </c>
      <c r="AC7" s="8">
        <f t="shared" si="8"/>
        <v>9.7944845771789968E-2</v>
      </c>
    </row>
    <row r="8" spans="1:29" x14ac:dyDescent="0.25">
      <c r="A8" s="10">
        <v>0.8</v>
      </c>
      <c r="B8" s="11">
        <v>0.16</v>
      </c>
      <c r="C8" s="10">
        <v>1.571</v>
      </c>
      <c r="D8" s="10">
        <f t="shared" si="1"/>
        <v>1.5707963267948966</v>
      </c>
      <c r="E8" s="11">
        <v>0.8</v>
      </c>
      <c r="F8" s="11">
        <v>0.06</v>
      </c>
      <c r="G8" s="10">
        <v>3.927</v>
      </c>
      <c r="H8" s="10">
        <f t="shared" si="2"/>
        <v>1.5707963267948966</v>
      </c>
      <c r="I8" s="10">
        <v>1.4</v>
      </c>
      <c r="J8" s="10">
        <v>0</v>
      </c>
      <c r="K8" s="10">
        <v>0</v>
      </c>
      <c r="L8" s="8">
        <v>3.4910831600427602E-3</v>
      </c>
      <c r="M8" s="8">
        <v>-0.18494510650634799</v>
      </c>
      <c r="N8" s="8">
        <v>-9.0413324534892994E-2</v>
      </c>
      <c r="O8" s="8">
        <v>-0.40126189589500399</v>
      </c>
      <c r="P8" s="8">
        <v>-0.60379952192306496</v>
      </c>
      <c r="Q8" s="8">
        <v>0.49847054481506298</v>
      </c>
      <c r="R8" s="8">
        <v>2.5000000000000001E-3</v>
      </c>
      <c r="S8" s="8">
        <v>-0.1081</v>
      </c>
      <c r="T8" s="8">
        <v>-8.5999999999999993E-2</v>
      </c>
      <c r="U8" s="8">
        <v>-0.22289999999999999</v>
      </c>
      <c r="V8" s="8">
        <v>-0.57310000000000005</v>
      </c>
      <c r="W8" s="8">
        <v>0.19700000000000001</v>
      </c>
      <c r="X8" s="8">
        <f t="shared" si="3"/>
        <v>9.910831600427601E-4</v>
      </c>
      <c r="Y8" s="8">
        <f t="shared" si="4"/>
        <v>7.6845106506347988E-2</v>
      </c>
      <c r="Z8" s="8">
        <f t="shared" si="5"/>
        <v>4.4133245348930011E-3</v>
      </c>
      <c r="AA8" s="8">
        <f t="shared" si="6"/>
        <v>0.17836189589500401</v>
      </c>
      <c r="AB8" s="8">
        <f t="shared" si="7"/>
        <v>3.069952192306491E-2</v>
      </c>
      <c r="AC8" s="8">
        <f t="shared" si="8"/>
        <v>0.30147054481506297</v>
      </c>
    </row>
    <row r="9" spans="1:29" x14ac:dyDescent="0.25">
      <c r="A9" s="10">
        <v>0.1</v>
      </c>
      <c r="B9" s="11">
        <v>0.18</v>
      </c>
      <c r="C9" s="10">
        <v>1.571</v>
      </c>
      <c r="D9" s="10">
        <f t="shared" si="1"/>
        <v>1.5707963267948966</v>
      </c>
      <c r="E9" s="11">
        <v>0.1</v>
      </c>
      <c r="F9" s="11">
        <v>0.02</v>
      </c>
      <c r="G9" s="10">
        <v>3.1419999999999999</v>
      </c>
      <c r="H9" s="10">
        <f t="shared" si="2"/>
        <v>1.5707963267948966</v>
      </c>
      <c r="I9" s="10">
        <v>1.2</v>
      </c>
      <c r="J9" s="10">
        <v>0</v>
      </c>
      <c r="K9" s="10">
        <v>0</v>
      </c>
      <c r="L9" s="8">
        <v>1.5908150235191001E-3</v>
      </c>
      <c r="M9" s="8">
        <v>-3.4777380526065799E-2</v>
      </c>
      <c r="N9" s="8">
        <v>-1.5904162079095799E-2</v>
      </c>
      <c r="O9" s="8">
        <v>-2.0381897687912001E-2</v>
      </c>
      <c r="P9" s="8">
        <v>-0.14476515352725999</v>
      </c>
      <c r="Q9" s="8">
        <v>0.117096215486526</v>
      </c>
      <c r="R9" s="8">
        <v>4.0000000000000002E-4</v>
      </c>
      <c r="S9" s="8">
        <v>-2.69E-2</v>
      </c>
      <c r="T9" s="8">
        <v>-1.11E-2</v>
      </c>
      <c r="U9" s="8">
        <v>-1.0500000000000001E-2</v>
      </c>
      <c r="V9" s="8">
        <v>-0.1004</v>
      </c>
      <c r="W9" s="8">
        <v>9.9400000000000002E-2</v>
      </c>
      <c r="X9" s="8">
        <f t="shared" si="3"/>
        <v>1.1908150235191001E-3</v>
      </c>
      <c r="Y9" s="8">
        <f t="shared" si="4"/>
        <v>7.8773805260657984E-3</v>
      </c>
      <c r="Z9" s="8">
        <f t="shared" si="5"/>
        <v>4.8041620790957983E-3</v>
      </c>
      <c r="AA9" s="8">
        <f t="shared" si="6"/>
        <v>9.8818976879120005E-3</v>
      </c>
      <c r="AB9" s="8">
        <f t="shared" si="7"/>
        <v>4.436515352725999E-2</v>
      </c>
      <c r="AC9" s="8">
        <f t="shared" si="8"/>
        <v>1.7696215486526001E-2</v>
      </c>
    </row>
    <row r="10" spans="1:29" x14ac:dyDescent="0.25">
      <c r="A10" s="10">
        <v>0.9</v>
      </c>
      <c r="B10" s="11">
        <v>0.18</v>
      </c>
      <c r="C10" s="10">
        <v>1.571</v>
      </c>
      <c r="D10" s="10">
        <f t="shared" si="1"/>
        <v>1.5707963267948966</v>
      </c>
      <c r="E10" s="11">
        <v>0.1</v>
      </c>
      <c r="F10" s="11">
        <v>0.08</v>
      </c>
      <c r="G10" s="10">
        <v>4.7119999999999997</v>
      </c>
      <c r="H10" s="10">
        <f t="shared" si="2"/>
        <v>1.5707963267948966</v>
      </c>
      <c r="I10" s="10">
        <v>0</v>
      </c>
      <c r="J10" s="10">
        <v>0</v>
      </c>
      <c r="K10" s="10">
        <v>0</v>
      </c>
      <c r="L10" s="8">
        <v>2.3236712440848398E-3</v>
      </c>
      <c r="M10" s="8">
        <v>-0.204822152853012</v>
      </c>
      <c r="N10" s="8">
        <v>6.1566708609461802E-3</v>
      </c>
      <c r="O10" s="8">
        <v>-0.39857342839241</v>
      </c>
      <c r="P10" s="8">
        <v>2.7593433856964101E-2</v>
      </c>
      <c r="Q10" s="8">
        <v>0.66701602935791005</v>
      </c>
      <c r="R10" s="8">
        <v>0</v>
      </c>
      <c r="S10" s="8">
        <v>-0.20710000000000001</v>
      </c>
      <c r="T10" s="8">
        <v>-1E-4</v>
      </c>
      <c r="U10" s="8">
        <v>-0.40489999999999998</v>
      </c>
      <c r="V10" s="8">
        <v>-2.0000000000000001E-4</v>
      </c>
      <c r="W10" s="8">
        <v>0.70089999999999997</v>
      </c>
      <c r="X10" s="8">
        <f t="shared" si="3"/>
        <v>2.3236712440848398E-3</v>
      </c>
      <c r="Y10" s="8">
        <f t="shared" si="4"/>
        <v>2.2778471469880046E-3</v>
      </c>
      <c r="Z10" s="8">
        <f t="shared" si="5"/>
        <v>6.2566708609461804E-3</v>
      </c>
      <c r="AA10" s="8">
        <f t="shared" si="6"/>
        <v>6.3265716075899814E-3</v>
      </c>
      <c r="AB10" s="8">
        <f t="shared" si="7"/>
        <v>2.77934338569641E-2</v>
      </c>
      <c r="AC10" s="8">
        <f t="shared" si="8"/>
        <v>3.3883970642089922E-2</v>
      </c>
    </row>
    <row r="11" spans="1:29" x14ac:dyDescent="0.25">
      <c r="A11" s="10">
        <v>0.3</v>
      </c>
      <c r="B11" s="11">
        <v>0.18</v>
      </c>
      <c r="C11" s="10">
        <v>1.571</v>
      </c>
      <c r="D11" s="10">
        <f t="shared" si="1"/>
        <v>1.5707963267948966</v>
      </c>
      <c r="E11" s="11">
        <v>0.9</v>
      </c>
      <c r="F11" s="11">
        <v>0.08</v>
      </c>
      <c r="G11" s="10">
        <v>4.7119999999999997</v>
      </c>
      <c r="H11" s="10">
        <f t="shared" si="2"/>
        <v>1.5707963267948966</v>
      </c>
      <c r="I11" s="10">
        <v>1</v>
      </c>
      <c r="J11" s="10">
        <v>0</v>
      </c>
      <c r="K11" s="10">
        <v>0</v>
      </c>
      <c r="L11" s="8">
        <v>1.6893346328288299E-3</v>
      </c>
      <c r="M11" s="8">
        <v>9.5554247498512296E-2</v>
      </c>
      <c r="N11" s="8">
        <v>-8.84410343132913E-4</v>
      </c>
      <c r="O11" s="8">
        <v>-4.5536972582340199E-2</v>
      </c>
      <c r="P11" s="8">
        <v>-5.9180781245231602E-3</v>
      </c>
      <c r="Q11" s="8">
        <v>-0.73156416416168202</v>
      </c>
      <c r="R11" s="8">
        <v>1E-3</v>
      </c>
      <c r="S11" s="8">
        <v>7.3099999999999998E-2</v>
      </c>
      <c r="T11" s="8">
        <v>-2.9999999999999997E-4</v>
      </c>
      <c r="U11" s="8">
        <v>-4.6600000000000003E-2</v>
      </c>
      <c r="V11" s="8">
        <v>-2.2000000000000001E-3</v>
      </c>
      <c r="W11" s="8">
        <v>-0.60540000000000005</v>
      </c>
      <c r="X11" s="8">
        <f t="shared" si="3"/>
        <v>6.8933463282882992E-4</v>
      </c>
      <c r="Y11" s="8">
        <f t="shared" si="4"/>
        <v>2.2454247498512298E-2</v>
      </c>
      <c r="Z11" s="8">
        <f t="shared" si="5"/>
        <v>5.8441034313291298E-4</v>
      </c>
      <c r="AA11" s="8">
        <f t="shared" si="6"/>
        <v>1.0630274176598037E-3</v>
      </c>
      <c r="AB11" s="8">
        <f t="shared" si="7"/>
        <v>3.7180781245231601E-3</v>
      </c>
      <c r="AC11" s="8">
        <f t="shared" si="8"/>
        <v>0.12616416416168197</v>
      </c>
    </row>
    <row r="12" spans="1:29" x14ac:dyDescent="0.25">
      <c r="A12" s="10">
        <v>0.9</v>
      </c>
      <c r="B12" s="11">
        <v>0.2</v>
      </c>
      <c r="C12" s="10">
        <v>1.571</v>
      </c>
      <c r="D12" s="10">
        <f t="shared" si="1"/>
        <v>1.5707963267948966</v>
      </c>
      <c r="E12" s="11">
        <v>1</v>
      </c>
      <c r="F12" s="11">
        <v>0.02</v>
      </c>
      <c r="G12" s="10">
        <v>3.1419999999999999</v>
      </c>
      <c r="H12" s="10">
        <f t="shared" si="2"/>
        <v>1.5707963267948966</v>
      </c>
      <c r="I12" s="10">
        <v>0.4</v>
      </c>
      <c r="J12" s="10">
        <v>0</v>
      </c>
      <c r="K12" s="10">
        <v>0</v>
      </c>
      <c r="L12" s="8">
        <v>1.2135198339819899E-3</v>
      </c>
      <c r="M12" s="8">
        <v>-0.182935655117035</v>
      </c>
      <c r="N12" s="8">
        <v>-0.104798644781113</v>
      </c>
      <c r="O12" s="8">
        <v>-0.48353463411331199</v>
      </c>
      <c r="P12" s="8">
        <v>-0.98798036575317405</v>
      </c>
      <c r="Q12" s="8">
        <v>0.51245713233947798</v>
      </c>
      <c r="R12" s="8">
        <v>1.8E-3</v>
      </c>
      <c r="S12" s="8">
        <v>-0.22189999999999999</v>
      </c>
      <c r="T12" s="8">
        <v>-0.1109</v>
      </c>
      <c r="U12" s="8">
        <v>-0.54630000000000001</v>
      </c>
      <c r="V12" s="8">
        <v>-1.0073000000000001</v>
      </c>
      <c r="W12" s="8">
        <v>0.7147</v>
      </c>
      <c r="X12" s="8">
        <f t="shared" si="3"/>
        <v>5.8648016601801E-4</v>
      </c>
      <c r="Y12" s="8">
        <f t="shared" si="4"/>
        <v>3.8964344882964991E-2</v>
      </c>
      <c r="Z12" s="8">
        <f t="shared" si="5"/>
        <v>6.1013552188869946E-3</v>
      </c>
      <c r="AA12" s="8">
        <f t="shared" si="6"/>
        <v>6.2765365886688018E-2</v>
      </c>
      <c r="AB12" s="8">
        <f t="shared" si="7"/>
        <v>1.9319634246826034E-2</v>
      </c>
      <c r="AC12" s="8">
        <f t="shared" si="8"/>
        <v>0.20224286766052202</v>
      </c>
    </row>
    <row r="13" spans="1:29" x14ac:dyDescent="0.25">
      <c r="A13" s="10">
        <v>0.1</v>
      </c>
      <c r="B13" s="11">
        <v>0.2</v>
      </c>
      <c r="C13" s="10">
        <v>1.571</v>
      </c>
      <c r="D13" s="10">
        <f t="shared" si="1"/>
        <v>1.5707963267948966</v>
      </c>
      <c r="E13" s="11">
        <v>0.3</v>
      </c>
      <c r="F13" s="11">
        <v>0.08</v>
      </c>
      <c r="G13" s="10">
        <v>3.1419999999999999</v>
      </c>
      <c r="H13" s="10">
        <f t="shared" si="2"/>
        <v>1.5707963267948966</v>
      </c>
      <c r="I13" s="10">
        <v>0.2</v>
      </c>
      <c r="J13" s="10">
        <v>0</v>
      </c>
      <c r="K13" s="10">
        <v>0</v>
      </c>
      <c r="L13" s="8">
        <v>-6.5936520695686297E-4</v>
      </c>
      <c r="M13" s="8">
        <v>3.10139125213027E-3</v>
      </c>
      <c r="N13" s="8">
        <v>-6.7128308117389707E-2</v>
      </c>
      <c r="O13" s="8">
        <v>3.1099312007427202E-2</v>
      </c>
      <c r="P13" s="8">
        <v>-0.38181251287460299</v>
      </c>
      <c r="Q13" s="8">
        <v>-3.04524004459381E-2</v>
      </c>
      <c r="R13" s="8">
        <v>1E-4</v>
      </c>
      <c r="S13" s="8">
        <v>-2.86E-2</v>
      </c>
      <c r="T13" s="8">
        <v>-5.0999999999999997E-2</v>
      </c>
      <c r="U13" s="8">
        <v>-8.9999999999999993E-3</v>
      </c>
      <c r="V13" s="8">
        <v>-0.3</v>
      </c>
      <c r="W13" s="8">
        <v>9.9500000000000005E-2</v>
      </c>
      <c r="X13" s="8">
        <f t="shared" si="3"/>
        <v>7.5936520695686302E-4</v>
      </c>
      <c r="Y13" s="8">
        <f t="shared" si="4"/>
        <v>3.170139125213027E-2</v>
      </c>
      <c r="Z13" s="8">
        <f t="shared" si="5"/>
        <v>1.612830811738971E-2</v>
      </c>
      <c r="AA13" s="8">
        <f t="shared" si="6"/>
        <v>4.0099312007427203E-2</v>
      </c>
      <c r="AB13" s="8">
        <f t="shared" si="7"/>
        <v>8.1812512874603005E-2</v>
      </c>
      <c r="AC13" s="8">
        <f t="shared" si="8"/>
        <v>0.12995240044593812</v>
      </c>
    </row>
    <row r="14" spans="1:29" x14ac:dyDescent="0.25">
      <c r="A14" s="10">
        <v>0.9</v>
      </c>
      <c r="B14" s="11">
        <v>0.2</v>
      </c>
      <c r="C14" s="10">
        <v>1.571</v>
      </c>
      <c r="D14" s="10">
        <f t="shared" si="1"/>
        <v>1.5707963267948966</v>
      </c>
      <c r="E14" s="11">
        <v>0.3</v>
      </c>
      <c r="F14" s="11">
        <v>0.02</v>
      </c>
      <c r="G14" s="10">
        <v>4.7119999999999997</v>
      </c>
      <c r="H14" s="10">
        <f t="shared" si="2"/>
        <v>1.5707963267948966</v>
      </c>
      <c r="I14" s="10">
        <v>1.4</v>
      </c>
      <c r="J14" s="10">
        <v>0</v>
      </c>
      <c r="K14" s="10">
        <v>0</v>
      </c>
      <c r="L14" s="8">
        <v>8.7932776659727097E-3</v>
      </c>
      <c r="M14" s="8">
        <v>-0.16019897162914301</v>
      </c>
      <c r="N14" s="8">
        <v>-2.4834894575178602E-3</v>
      </c>
      <c r="O14" s="8">
        <v>-0.46627718210220298</v>
      </c>
      <c r="P14" s="8">
        <v>-1.91364511847496E-2</v>
      </c>
      <c r="Q14" s="8">
        <v>0.27873134613037098</v>
      </c>
      <c r="R14" s="8">
        <v>6.1000000000000004E-3</v>
      </c>
      <c r="S14" s="8">
        <v>-0.184</v>
      </c>
      <c r="T14" s="8">
        <v>-3.5000000000000001E-3</v>
      </c>
      <c r="U14" s="8">
        <v>-0.57410000000000005</v>
      </c>
      <c r="V14" s="8">
        <v>-2.75E-2</v>
      </c>
      <c r="W14" s="8">
        <v>0.39219999999999999</v>
      </c>
      <c r="X14" s="8">
        <f t="shared" si="3"/>
        <v>2.6932776659727093E-3</v>
      </c>
      <c r="Y14" s="8">
        <f t="shared" si="4"/>
        <v>2.3801028370856986E-2</v>
      </c>
      <c r="Z14" s="8">
        <f t="shared" si="5"/>
        <v>1.0165105424821399E-3</v>
      </c>
      <c r="AA14" s="8">
        <f t="shared" si="6"/>
        <v>0.10782281789779707</v>
      </c>
      <c r="AB14" s="8">
        <f t="shared" si="7"/>
        <v>8.3635488152504003E-3</v>
      </c>
      <c r="AC14" s="8">
        <f t="shared" si="8"/>
        <v>0.11346865386962901</v>
      </c>
    </row>
    <row r="15" spans="1:29" x14ac:dyDescent="0.25">
      <c r="A15" s="10">
        <v>0.9</v>
      </c>
      <c r="B15" s="11">
        <v>0.1</v>
      </c>
      <c r="C15" s="10">
        <v>2.3559999999999999</v>
      </c>
      <c r="D15" s="10">
        <f t="shared" si="1"/>
        <v>1.5707963267948966</v>
      </c>
      <c r="E15" s="11">
        <v>0.9</v>
      </c>
      <c r="F15" s="11">
        <v>0.02</v>
      </c>
      <c r="G15" s="10">
        <v>4.7119999999999997</v>
      </c>
      <c r="H15" s="10">
        <f t="shared" si="2"/>
        <v>1.5707963267948966</v>
      </c>
      <c r="I15" s="10">
        <v>0.4</v>
      </c>
      <c r="J15" s="10">
        <v>0</v>
      </c>
      <c r="K15" s="10">
        <v>0</v>
      </c>
      <c r="L15" s="8">
        <v>-7.9012457281351107E-3</v>
      </c>
      <c r="M15" s="8">
        <v>-4.3984718620777102E-2</v>
      </c>
      <c r="N15" s="8">
        <v>-0.141960874199867</v>
      </c>
      <c r="O15" s="8">
        <v>8.6025655269622803E-2</v>
      </c>
      <c r="P15" s="8">
        <v>-0.69405859708786</v>
      </c>
      <c r="Q15" s="8">
        <v>-0.18663805723190299</v>
      </c>
      <c r="R15" s="8">
        <v>1E-4</v>
      </c>
      <c r="S15" s="8">
        <v>-2.1899999999999999E-2</v>
      </c>
      <c r="T15" s="8">
        <v>-0.12089999999999999</v>
      </c>
      <c r="U15" s="8">
        <v>-2.3099999999999999E-2</v>
      </c>
      <c r="V15" s="8">
        <v>-0.63639999999999997</v>
      </c>
      <c r="W15" s="8">
        <v>-0.26369999999999999</v>
      </c>
      <c r="X15" s="8">
        <f t="shared" si="3"/>
        <v>8.0012457281351101E-3</v>
      </c>
      <c r="Y15" s="8">
        <f t="shared" si="4"/>
        <v>2.2084718620777103E-2</v>
      </c>
      <c r="Z15" s="8">
        <f t="shared" si="5"/>
        <v>2.1060874199867005E-2</v>
      </c>
      <c r="AA15" s="8">
        <f t="shared" si="6"/>
        <v>0.1091256552696228</v>
      </c>
      <c r="AB15" s="8">
        <f t="shared" si="7"/>
        <v>5.7658597087860031E-2</v>
      </c>
      <c r="AC15" s="8">
        <f t="shared" si="8"/>
        <v>7.7061942768096997E-2</v>
      </c>
    </row>
    <row r="16" spans="1:29" x14ac:dyDescent="0.25">
      <c r="A16" s="10">
        <v>0.4</v>
      </c>
      <c r="B16" s="11">
        <v>0.12</v>
      </c>
      <c r="C16" s="10">
        <v>2.3559999999999999</v>
      </c>
      <c r="D16" s="10">
        <f t="shared" si="1"/>
        <v>1.5707963267948966</v>
      </c>
      <c r="E16" s="11">
        <v>0.1</v>
      </c>
      <c r="F16" s="11">
        <v>0.06</v>
      </c>
      <c r="G16" s="10">
        <v>3.1419999999999999</v>
      </c>
      <c r="H16" s="10">
        <f t="shared" si="2"/>
        <v>1.5707963267948966</v>
      </c>
      <c r="I16" s="10">
        <v>0.4</v>
      </c>
      <c r="J16" s="10">
        <v>0</v>
      </c>
      <c r="K16" s="10">
        <v>0</v>
      </c>
      <c r="L16" s="8">
        <v>-3.90403810888529E-3</v>
      </c>
      <c r="M16" s="8">
        <v>-6.7934043705463396E-2</v>
      </c>
      <c r="N16" s="8">
        <v>-8.5464723408222198E-2</v>
      </c>
      <c r="O16" s="8">
        <v>2.6761934161186201E-2</v>
      </c>
      <c r="P16" s="8">
        <v>-0.412941753864288</v>
      </c>
      <c r="Q16" s="8">
        <v>0.30062127113342302</v>
      </c>
      <c r="R16" s="8">
        <v>1E-4</v>
      </c>
      <c r="S16" s="8">
        <v>-5.9400000000000001E-2</v>
      </c>
      <c r="T16" s="8">
        <v>-7.4399999999999994E-2</v>
      </c>
      <c r="U16" s="8">
        <v>-1.0800000000000001E-2</v>
      </c>
      <c r="V16" s="8">
        <v>-0.38269999999999998</v>
      </c>
      <c r="W16" s="8">
        <v>0.2828</v>
      </c>
      <c r="X16" s="8">
        <f t="shared" si="3"/>
        <v>4.0040381088852902E-3</v>
      </c>
      <c r="Y16" s="8">
        <f t="shared" si="4"/>
        <v>8.5340437054633941E-3</v>
      </c>
      <c r="Z16" s="8">
        <f t="shared" si="5"/>
        <v>1.1064723408222205E-2</v>
      </c>
      <c r="AA16" s="8">
        <f t="shared" si="6"/>
        <v>3.7561934161186201E-2</v>
      </c>
      <c r="AB16" s="8">
        <f t="shared" si="7"/>
        <v>3.0241753864288012E-2</v>
      </c>
      <c r="AC16" s="8">
        <f t="shared" si="8"/>
        <v>1.7821271133423022E-2</v>
      </c>
    </row>
    <row r="17" spans="1:29" x14ac:dyDescent="0.25">
      <c r="A17" s="10">
        <v>1</v>
      </c>
      <c r="B17" s="11">
        <v>0.14000000000000001</v>
      </c>
      <c r="C17" s="10">
        <v>2.3559999999999999</v>
      </c>
      <c r="D17" s="10">
        <f t="shared" si="1"/>
        <v>1.5707963267948966</v>
      </c>
      <c r="E17" s="11">
        <v>0.4</v>
      </c>
      <c r="F17" s="11">
        <v>0.04</v>
      </c>
      <c r="G17" s="10">
        <v>3.927</v>
      </c>
      <c r="H17" s="10">
        <f t="shared" si="2"/>
        <v>1.5707963267948966</v>
      </c>
      <c r="I17" s="10">
        <v>0.6</v>
      </c>
      <c r="J17" s="10">
        <v>0</v>
      </c>
      <c r="K17" s="10">
        <v>0</v>
      </c>
      <c r="L17" s="8">
        <v>-2.8297975659370401E-3</v>
      </c>
      <c r="M17" s="8">
        <v>-0.18058618903160101</v>
      </c>
      <c r="N17" s="8">
        <v>-0.23388142883777599</v>
      </c>
      <c r="O17" s="8">
        <v>-0.26429381966590898</v>
      </c>
      <c r="P17" s="8">
        <v>-1.1066045761108401</v>
      </c>
      <c r="Q17" s="8">
        <v>0.67185997962951705</v>
      </c>
      <c r="R17" s="8">
        <v>8.0000000000000004E-4</v>
      </c>
      <c r="S17" s="8">
        <v>-0.1244</v>
      </c>
      <c r="T17" s="8">
        <v>-0.1981</v>
      </c>
      <c r="U17" s="8">
        <v>-0.1515</v>
      </c>
      <c r="V17" s="8">
        <v>-0.98240000000000005</v>
      </c>
      <c r="W17" s="8">
        <v>0.41549999999999998</v>
      </c>
      <c r="X17" s="8">
        <f t="shared" si="3"/>
        <v>3.62979756593704E-3</v>
      </c>
      <c r="Y17" s="8">
        <f t="shared" si="4"/>
        <v>5.6186189031601011E-2</v>
      </c>
      <c r="Z17" s="8">
        <f t="shared" si="5"/>
        <v>3.5781428837775991E-2</v>
      </c>
      <c r="AA17" s="8">
        <f t="shared" si="6"/>
        <v>0.11279381966590898</v>
      </c>
      <c r="AB17" s="8">
        <f t="shared" si="7"/>
        <v>0.12420457611084001</v>
      </c>
      <c r="AC17" s="8">
        <f t="shared" si="8"/>
        <v>0.25635997962951707</v>
      </c>
    </row>
    <row r="18" spans="1:29" x14ac:dyDescent="0.25">
      <c r="A18" s="10">
        <v>0.4</v>
      </c>
      <c r="B18" s="11">
        <v>0.18</v>
      </c>
      <c r="C18" s="10">
        <v>2.3559999999999999</v>
      </c>
      <c r="D18" s="10">
        <f t="shared" si="1"/>
        <v>1.5707963267948966</v>
      </c>
      <c r="E18" s="11">
        <v>0.7</v>
      </c>
      <c r="F18" s="11">
        <v>0.04</v>
      </c>
      <c r="G18" s="10">
        <v>3.1419999999999999</v>
      </c>
      <c r="H18" s="10">
        <f t="shared" si="2"/>
        <v>1.5707963267948966</v>
      </c>
      <c r="I18" s="10">
        <v>0</v>
      </c>
      <c r="J18" s="10">
        <v>0</v>
      </c>
      <c r="K18" s="10">
        <v>0</v>
      </c>
      <c r="L18" s="8">
        <v>-6.22342247515917E-3</v>
      </c>
      <c r="M18" s="8">
        <v>-5.8960229158401503E-2</v>
      </c>
      <c r="N18" s="8">
        <v>-0.15366320312023199</v>
      </c>
      <c r="O18" s="8">
        <v>-5.5010270327329601E-2</v>
      </c>
      <c r="P18" s="8">
        <v>-0.88742548227310203</v>
      </c>
      <c r="Q18" s="8">
        <v>0.18511915206909199</v>
      </c>
      <c r="R18" s="8">
        <v>0</v>
      </c>
      <c r="S18" s="8">
        <v>-7.51E-2</v>
      </c>
      <c r="T18" s="8">
        <v>-0.1661</v>
      </c>
      <c r="U18" s="8">
        <v>-8.5599999999999996E-2</v>
      </c>
      <c r="V18" s="8">
        <v>-0.97640000000000005</v>
      </c>
      <c r="W18" s="8">
        <v>0.2762</v>
      </c>
      <c r="X18" s="8">
        <f t="shared" si="3"/>
        <v>6.22342247515917E-3</v>
      </c>
      <c r="Y18" s="8">
        <f t="shared" si="4"/>
        <v>1.6139770841598497E-2</v>
      </c>
      <c r="Z18" s="8">
        <f t="shared" si="5"/>
        <v>1.2436796879768008E-2</v>
      </c>
      <c r="AA18" s="8">
        <f t="shared" si="6"/>
        <v>3.0589729672670395E-2</v>
      </c>
      <c r="AB18" s="8">
        <f t="shared" si="7"/>
        <v>8.8974517726898017E-2</v>
      </c>
      <c r="AC18" s="8">
        <f t="shared" si="8"/>
        <v>9.108084793090801E-2</v>
      </c>
    </row>
    <row r="19" spans="1:29" x14ac:dyDescent="0.25">
      <c r="A19" s="10">
        <v>0.1</v>
      </c>
      <c r="B19" s="11">
        <v>0.18</v>
      </c>
      <c r="C19" s="10">
        <v>2.3559999999999999</v>
      </c>
      <c r="D19" s="10">
        <f t="shared" si="1"/>
        <v>1.5707963267948966</v>
      </c>
      <c r="E19" s="11">
        <v>0.2</v>
      </c>
      <c r="F19" s="11">
        <v>0.06</v>
      </c>
      <c r="G19" s="10">
        <v>4.7119999999999997</v>
      </c>
      <c r="H19" s="10">
        <f t="shared" si="2"/>
        <v>1.5707963267948966</v>
      </c>
      <c r="I19" s="10">
        <v>0.4</v>
      </c>
      <c r="J19" s="10">
        <v>0</v>
      </c>
      <c r="K19" s="10">
        <v>0</v>
      </c>
      <c r="L19" s="8">
        <v>3.3402333501726402E-3</v>
      </c>
      <c r="M19" s="8">
        <v>1.4506237581372299E-2</v>
      </c>
      <c r="N19" s="8">
        <v>-1.5207892283797301E-2</v>
      </c>
      <c r="O19" s="8">
        <v>-1.86226963996887E-2</v>
      </c>
      <c r="P19" s="8">
        <v>-4.76582162082195E-2</v>
      </c>
      <c r="Q19" s="8">
        <v>-0.14300855994224501</v>
      </c>
      <c r="R19" s="8">
        <v>2.0000000000000001E-4</v>
      </c>
      <c r="S19" s="8">
        <v>1.09E-2</v>
      </c>
      <c r="T19" s="8">
        <v>-1.9099999999999999E-2</v>
      </c>
      <c r="U19" s="8">
        <v>-3.7000000000000002E-3</v>
      </c>
      <c r="V19" s="8">
        <v>-7.0699999999999999E-2</v>
      </c>
      <c r="W19" s="8">
        <v>-0.12939999999999999</v>
      </c>
      <c r="X19" s="8">
        <f t="shared" si="3"/>
        <v>3.1402333501726401E-3</v>
      </c>
      <c r="Y19" s="8">
        <f t="shared" si="4"/>
        <v>3.6062375813722992E-3</v>
      </c>
      <c r="Z19" s="8">
        <f t="shared" si="5"/>
        <v>3.8921077162026984E-3</v>
      </c>
      <c r="AA19" s="8">
        <f t="shared" si="6"/>
        <v>1.49226963996887E-2</v>
      </c>
      <c r="AB19" s="8">
        <f t="shared" si="7"/>
        <v>2.3041783791780499E-2</v>
      </c>
      <c r="AC19" s="8">
        <f t="shared" si="8"/>
        <v>1.3608559942245024E-2</v>
      </c>
    </row>
    <row r="20" spans="1:29" x14ac:dyDescent="0.25">
      <c r="A20" s="10">
        <v>0.9</v>
      </c>
      <c r="B20" s="11">
        <v>0.2</v>
      </c>
      <c r="C20" s="10">
        <v>2.3559999999999999</v>
      </c>
      <c r="D20" s="10">
        <f t="shared" si="1"/>
        <v>1.5707963267948966</v>
      </c>
      <c r="E20" s="11">
        <v>0.3</v>
      </c>
      <c r="F20" s="11">
        <v>0.06</v>
      </c>
      <c r="G20" s="10">
        <v>3.1419999999999999</v>
      </c>
      <c r="H20" s="10">
        <f t="shared" si="2"/>
        <v>1.5707963267948966</v>
      </c>
      <c r="I20" s="10">
        <v>1.2</v>
      </c>
      <c r="J20" s="10">
        <v>0</v>
      </c>
      <c r="K20" s="10">
        <v>0</v>
      </c>
      <c r="L20" s="8">
        <v>9.9984761327505094E-3</v>
      </c>
      <c r="M20" s="8">
        <v>-0.16704940795898399</v>
      </c>
      <c r="N20" s="8">
        <v>-0.211101770401001</v>
      </c>
      <c r="O20" s="8">
        <v>-0.65643388032913197</v>
      </c>
      <c r="P20" s="8">
        <v>-0.80316579341888406</v>
      </c>
      <c r="Q20" s="8">
        <v>0.504788398742676</v>
      </c>
      <c r="R20" s="8">
        <v>5.8999999999999999E-3</v>
      </c>
      <c r="S20" s="8">
        <v>-0.15820000000000001</v>
      </c>
      <c r="T20" s="8">
        <v>-0.2069</v>
      </c>
      <c r="U20" s="8">
        <v>-0.52349999999999997</v>
      </c>
      <c r="V20" s="8">
        <v>-0.83709999999999996</v>
      </c>
      <c r="W20" s="8">
        <v>0.50639999999999996</v>
      </c>
      <c r="X20" s="8">
        <f t="shared" si="3"/>
        <v>4.0984761327505096E-3</v>
      </c>
      <c r="Y20" s="8">
        <f t="shared" si="4"/>
        <v>8.8494079589839791E-3</v>
      </c>
      <c r="Z20" s="8">
        <f t="shared" si="5"/>
        <v>4.2017704010010037E-3</v>
      </c>
      <c r="AA20" s="8">
        <f t="shared" si="6"/>
        <v>0.132933880329132</v>
      </c>
      <c r="AB20" s="8">
        <f t="shared" si="7"/>
        <v>3.39342065811159E-2</v>
      </c>
      <c r="AC20" s="8">
        <f t="shared" si="8"/>
        <v>1.611601257323958E-3</v>
      </c>
    </row>
    <row r="21" spans="1:29" x14ac:dyDescent="0.25">
      <c r="A21" s="10">
        <v>0.1</v>
      </c>
      <c r="B21" s="11">
        <v>0.1</v>
      </c>
      <c r="C21" s="10">
        <v>3.1419999999999999</v>
      </c>
      <c r="D21" s="10">
        <f t="shared" si="1"/>
        <v>1.5707963267948966</v>
      </c>
      <c r="E21" s="11">
        <v>0.3</v>
      </c>
      <c r="F21" s="11">
        <v>0.08</v>
      </c>
      <c r="G21" s="10">
        <v>3.927</v>
      </c>
      <c r="H21" s="10">
        <f t="shared" si="2"/>
        <v>1.5707963267948966</v>
      </c>
      <c r="I21" s="10">
        <v>1.2</v>
      </c>
      <c r="J21" s="10">
        <v>0</v>
      </c>
      <c r="K21" s="10">
        <v>0</v>
      </c>
      <c r="L21" s="8">
        <v>-4.1311280801892302E-4</v>
      </c>
      <c r="M21" s="8">
        <v>3.3949088305234902E-2</v>
      </c>
      <c r="N21" s="8">
        <v>-5.4488845169544199E-2</v>
      </c>
      <c r="O21" s="8">
        <v>-5.7915411889553096E-3</v>
      </c>
      <c r="P21" s="8">
        <v>-0.31081974506378202</v>
      </c>
      <c r="Q21" s="8">
        <v>-0.19208578765392301</v>
      </c>
      <c r="R21" s="8">
        <v>0</v>
      </c>
      <c r="S21" s="8">
        <v>3.61E-2</v>
      </c>
      <c r="T21" s="8">
        <v>-5.5100000000000003E-2</v>
      </c>
      <c r="U21" s="8">
        <v>5.0000000000000001E-4</v>
      </c>
      <c r="V21" s="8">
        <v>-0.31209999999999999</v>
      </c>
      <c r="W21" s="8">
        <v>-0.2122</v>
      </c>
      <c r="X21" s="8">
        <f t="shared" si="3"/>
        <v>4.1311280801892302E-4</v>
      </c>
      <c r="Y21" s="8">
        <f t="shared" si="4"/>
        <v>2.150911694765098E-3</v>
      </c>
      <c r="Z21" s="8">
        <f t="shared" si="5"/>
        <v>6.1115483045580399E-4</v>
      </c>
      <c r="AA21" s="8">
        <f t="shared" si="6"/>
        <v>6.2915411889553092E-3</v>
      </c>
      <c r="AB21" s="8">
        <f t="shared" si="7"/>
        <v>1.2802549362179727E-3</v>
      </c>
      <c r="AC21" s="8">
        <f t="shared" si="8"/>
        <v>2.0114212346076993E-2</v>
      </c>
    </row>
    <row r="22" spans="1:29" x14ac:dyDescent="0.25">
      <c r="A22" s="10">
        <v>0.1</v>
      </c>
      <c r="B22" s="11">
        <v>0.2</v>
      </c>
      <c r="C22" s="10">
        <v>3.1419999999999999</v>
      </c>
      <c r="D22" s="10">
        <f t="shared" si="1"/>
        <v>1.5707963267948966</v>
      </c>
      <c r="E22" s="11">
        <v>0.8</v>
      </c>
      <c r="F22" s="11">
        <v>0.02</v>
      </c>
      <c r="G22" s="10">
        <v>3.927</v>
      </c>
      <c r="H22" s="10">
        <f t="shared" si="2"/>
        <v>1.5707963267948966</v>
      </c>
      <c r="I22" s="10">
        <v>1.2</v>
      </c>
      <c r="J22" s="10">
        <v>0</v>
      </c>
      <c r="K22" s="10">
        <v>0</v>
      </c>
      <c r="L22" s="8">
        <v>-1.08309416100383E-3</v>
      </c>
      <c r="M22" s="8">
        <v>4.8130437731742901E-2</v>
      </c>
      <c r="N22" s="8">
        <v>-8.1404998898506206E-2</v>
      </c>
      <c r="O22" s="8">
        <v>-3.8113974034786197E-2</v>
      </c>
      <c r="P22" s="8">
        <v>-0.69519579410553001</v>
      </c>
      <c r="Q22" s="8">
        <v>-0.43949088454246499</v>
      </c>
      <c r="R22" s="8">
        <v>2.9999999999999997E-4</v>
      </c>
      <c r="S22" s="8">
        <v>6.2199999999999998E-2</v>
      </c>
      <c r="T22" s="8">
        <v>-9.0899999999999995E-2</v>
      </c>
      <c r="U22" s="8">
        <v>2E-3</v>
      </c>
      <c r="V22" s="8">
        <v>-0.66569999999999996</v>
      </c>
      <c r="W22" s="8">
        <v>-0.56559999999999999</v>
      </c>
      <c r="X22" s="8">
        <f t="shared" si="3"/>
        <v>1.3830941610038299E-3</v>
      </c>
      <c r="Y22" s="8">
        <f t="shared" si="4"/>
        <v>1.4069562268257098E-2</v>
      </c>
      <c r="Z22" s="8">
        <f t="shared" si="5"/>
        <v>9.4950011014937885E-3</v>
      </c>
      <c r="AA22" s="8">
        <f t="shared" si="6"/>
        <v>4.0113974034786198E-2</v>
      </c>
      <c r="AB22" s="8">
        <f t="shared" si="7"/>
        <v>2.9495794105530049E-2</v>
      </c>
      <c r="AC22" s="8">
        <f t="shared" si="8"/>
        <v>0.126109115457535</v>
      </c>
    </row>
    <row r="23" spans="1:29" x14ac:dyDescent="0.25">
      <c r="A23" s="10">
        <v>0.9</v>
      </c>
      <c r="B23" s="11">
        <v>0.1</v>
      </c>
      <c r="C23" s="10">
        <v>3.927</v>
      </c>
      <c r="D23" s="10">
        <f t="shared" si="1"/>
        <v>1.5707963267948966</v>
      </c>
      <c r="E23" s="11">
        <v>0.2</v>
      </c>
      <c r="F23" s="11">
        <v>0.02</v>
      </c>
      <c r="G23" s="10">
        <v>3.1419999999999999</v>
      </c>
      <c r="H23" s="10">
        <f t="shared" si="2"/>
        <v>1.5707963267948966</v>
      </c>
      <c r="I23" s="10">
        <v>1.4</v>
      </c>
      <c r="J23" s="10">
        <v>0</v>
      </c>
      <c r="K23" s="10">
        <v>0</v>
      </c>
      <c r="L23" s="8">
        <v>-1.0050361976027501E-2</v>
      </c>
      <c r="M23" s="8">
        <v>0.127486452460289</v>
      </c>
      <c r="N23" s="8">
        <v>-0.178982153534889</v>
      </c>
      <c r="O23" s="8">
        <v>2.8237748891115199E-2</v>
      </c>
      <c r="P23" s="8">
        <v>-1.01243340969086</v>
      </c>
      <c r="Q23" s="8">
        <v>-0.60584980249404896</v>
      </c>
      <c r="R23" s="8">
        <v>-1E-4</v>
      </c>
      <c r="S23" s="8">
        <v>0.12089999999999999</v>
      </c>
      <c r="T23" s="8">
        <v>-0.1429</v>
      </c>
      <c r="U23" s="8">
        <v>-1.09E-2</v>
      </c>
      <c r="V23" s="8">
        <v>-0.83630000000000004</v>
      </c>
      <c r="W23" s="8">
        <v>-0.63639999999999997</v>
      </c>
      <c r="X23" s="8">
        <f t="shared" si="3"/>
        <v>9.9503619760275015E-3</v>
      </c>
      <c r="Y23" s="8">
        <f t="shared" si="4"/>
        <v>6.5864524602890079E-3</v>
      </c>
      <c r="Z23" s="8">
        <f t="shared" si="5"/>
        <v>3.6082153534889E-2</v>
      </c>
      <c r="AA23" s="8">
        <f t="shared" si="6"/>
        <v>3.9137748891115196E-2</v>
      </c>
      <c r="AB23" s="8">
        <f t="shared" si="7"/>
        <v>0.17613340969086</v>
      </c>
      <c r="AC23" s="8">
        <f t="shared" si="8"/>
        <v>3.0550197505951004E-2</v>
      </c>
    </row>
    <row r="24" spans="1:29" x14ac:dyDescent="0.25">
      <c r="A24" s="10">
        <v>0.2</v>
      </c>
      <c r="B24" s="11">
        <v>0.12</v>
      </c>
      <c r="C24" s="10">
        <v>3.927</v>
      </c>
      <c r="D24" s="10">
        <f t="shared" si="1"/>
        <v>1.5707963267948966</v>
      </c>
      <c r="E24" s="11">
        <v>0.2</v>
      </c>
      <c r="F24" s="11">
        <v>0.02</v>
      </c>
      <c r="G24" s="10">
        <v>4.7119999999999997</v>
      </c>
      <c r="H24" s="10">
        <f t="shared" si="2"/>
        <v>1.5707963267948966</v>
      </c>
      <c r="I24" s="10">
        <v>1.2</v>
      </c>
      <c r="J24" s="10">
        <v>0</v>
      </c>
      <c r="K24" s="10">
        <v>0</v>
      </c>
      <c r="L24" s="8">
        <v>-1.8197204917669299E-4</v>
      </c>
      <c r="M24" s="8">
        <v>4.8199806362390497E-2</v>
      </c>
      <c r="N24" s="8">
        <v>-2.8443846851587299E-2</v>
      </c>
      <c r="O24" s="8">
        <v>1.3900646939873701E-2</v>
      </c>
      <c r="P24" s="8">
        <v>-0.13246817886829401</v>
      </c>
      <c r="Q24" s="8">
        <v>-0.32060724496841397</v>
      </c>
      <c r="R24" s="8">
        <v>0</v>
      </c>
      <c r="S24" s="8">
        <v>5.1700000000000003E-2</v>
      </c>
      <c r="T24" s="8">
        <v>-2.9700000000000001E-2</v>
      </c>
      <c r="U24" s="8">
        <v>2.5999999999999999E-3</v>
      </c>
      <c r="V24" s="8">
        <v>-0.14149999999999999</v>
      </c>
      <c r="W24" s="8">
        <v>-0.34139999999999998</v>
      </c>
      <c r="X24" s="8">
        <f t="shared" si="3"/>
        <v>1.8197204917669299E-4</v>
      </c>
      <c r="Y24" s="8">
        <f t="shared" si="4"/>
        <v>3.5001936376095055E-3</v>
      </c>
      <c r="Z24" s="8">
        <f t="shared" si="5"/>
        <v>1.2561531484127017E-3</v>
      </c>
      <c r="AA24" s="8">
        <f t="shared" si="6"/>
        <v>1.1300646939873701E-2</v>
      </c>
      <c r="AB24" s="8">
        <f t="shared" si="7"/>
        <v>9.0318211317059749E-3</v>
      </c>
      <c r="AC24" s="8">
        <f t="shared" si="8"/>
        <v>2.0792755031586008E-2</v>
      </c>
    </row>
    <row r="25" spans="1:29" x14ac:dyDescent="0.25">
      <c r="A25" s="10">
        <v>0.6</v>
      </c>
      <c r="B25" s="11">
        <v>0.12</v>
      </c>
      <c r="C25" s="10">
        <v>3.927</v>
      </c>
      <c r="D25" s="10">
        <f t="shared" si="1"/>
        <v>1.5707963267948966</v>
      </c>
      <c r="E25" s="11">
        <v>0.5</v>
      </c>
      <c r="F25" s="11">
        <v>0.08</v>
      </c>
      <c r="G25" s="10">
        <v>4.7119999999999997</v>
      </c>
      <c r="H25" s="10">
        <f t="shared" si="2"/>
        <v>1.5707963267948966</v>
      </c>
      <c r="I25" s="10">
        <v>0.2</v>
      </c>
      <c r="J25" s="10">
        <v>0</v>
      </c>
      <c r="K25" s="10">
        <v>0</v>
      </c>
      <c r="L25" s="8">
        <v>-9.4277318567037604E-4</v>
      </c>
      <c r="M25" s="8">
        <v>0.193720102310181</v>
      </c>
      <c r="N25" s="8">
        <v>-0.115528546273708</v>
      </c>
      <c r="O25" s="8">
        <v>4.3163940310478197E-2</v>
      </c>
      <c r="P25" s="8">
        <v>-0.53577321767806996</v>
      </c>
      <c r="Q25" s="8">
        <v>-0.986228287220001</v>
      </c>
      <c r="R25" s="8">
        <v>0</v>
      </c>
      <c r="S25" s="8">
        <v>0.17399999999999999</v>
      </c>
      <c r="T25" s="8">
        <v>-8.9099999999999999E-2</v>
      </c>
      <c r="U25" s="8">
        <v>-3.5900000000000001E-2</v>
      </c>
      <c r="V25" s="8">
        <v>-0.42409999999999998</v>
      </c>
      <c r="W25" s="8">
        <v>-0.92369999999999997</v>
      </c>
      <c r="X25" s="8">
        <f t="shared" si="3"/>
        <v>9.4277318567037604E-4</v>
      </c>
      <c r="Y25" s="8">
        <f t="shared" si="4"/>
        <v>1.9720102310181009E-2</v>
      </c>
      <c r="Z25" s="8">
        <f t="shared" si="5"/>
        <v>2.6428546273707998E-2</v>
      </c>
      <c r="AA25" s="8">
        <f t="shared" si="6"/>
        <v>7.9063940310478198E-2</v>
      </c>
      <c r="AB25" s="8">
        <f t="shared" si="7"/>
        <v>0.11167321767806998</v>
      </c>
      <c r="AC25" s="8">
        <f t="shared" si="8"/>
        <v>6.2528287220001033E-2</v>
      </c>
    </row>
    <row r="26" spans="1:29" x14ac:dyDescent="0.25">
      <c r="A26" s="10">
        <v>0.7</v>
      </c>
      <c r="B26" s="11">
        <v>0.16</v>
      </c>
      <c r="C26" s="10">
        <v>3.927</v>
      </c>
      <c r="D26" s="10">
        <f t="shared" si="1"/>
        <v>1.5707963267948966</v>
      </c>
      <c r="E26" s="11">
        <v>1</v>
      </c>
      <c r="F26" s="11">
        <v>0.04</v>
      </c>
      <c r="G26" s="10">
        <v>3.927</v>
      </c>
      <c r="H26" s="10">
        <f t="shared" si="2"/>
        <v>1.5707963267948966</v>
      </c>
      <c r="I26" s="10">
        <v>1.2</v>
      </c>
      <c r="J26" s="10">
        <v>0</v>
      </c>
      <c r="K26" s="10">
        <v>0</v>
      </c>
      <c r="L26" s="8">
        <v>-1.8966067582368901E-3</v>
      </c>
      <c r="M26" s="8">
        <v>0.20827016234397899</v>
      </c>
      <c r="N26" s="8">
        <v>-0.236072272062302</v>
      </c>
      <c r="O26" s="8">
        <v>-2.9216319322586101E-2</v>
      </c>
      <c r="P26" s="8">
        <v>-1.3177623748779299</v>
      </c>
      <c r="Q26" s="8">
        <v>-1.11354172229767</v>
      </c>
      <c r="R26" s="8">
        <v>-5.9999999999999995E-4</v>
      </c>
      <c r="S26" s="8">
        <v>0.21490000000000001</v>
      </c>
      <c r="T26" s="8">
        <v>-0.21490000000000001</v>
      </c>
      <c r="U26" s="8">
        <v>-9.6799999999999997E-2</v>
      </c>
      <c r="V26" s="8">
        <v>-1.1978</v>
      </c>
      <c r="W26" s="8">
        <v>-1.1973</v>
      </c>
      <c r="X26" s="8">
        <f t="shared" si="3"/>
        <v>1.29660675823689E-3</v>
      </c>
      <c r="Y26" s="8">
        <f t="shared" si="4"/>
        <v>6.6298376560210148E-3</v>
      </c>
      <c r="Z26" s="8">
        <f t="shared" si="5"/>
        <v>2.1172272062301989E-2</v>
      </c>
      <c r="AA26" s="8">
        <f t="shared" si="6"/>
        <v>6.7583680677413896E-2</v>
      </c>
      <c r="AB26" s="8">
        <f t="shared" si="7"/>
        <v>0.11996237487792993</v>
      </c>
      <c r="AC26" s="8">
        <f t="shared" si="8"/>
        <v>8.375827770233002E-2</v>
      </c>
    </row>
    <row r="27" spans="1:29" x14ac:dyDescent="0.25">
      <c r="A27" s="10">
        <v>0.1</v>
      </c>
      <c r="B27" s="11">
        <v>0.18</v>
      </c>
      <c r="C27" s="10">
        <v>3.927</v>
      </c>
      <c r="D27" s="10">
        <f t="shared" si="1"/>
        <v>1.5707963267948966</v>
      </c>
      <c r="E27" s="11">
        <v>0.9</v>
      </c>
      <c r="F27" s="11">
        <v>0.08</v>
      </c>
      <c r="G27" s="10">
        <v>3.1419999999999999</v>
      </c>
      <c r="H27" s="10">
        <f t="shared" si="2"/>
        <v>1.5707963267948966</v>
      </c>
      <c r="I27" s="10">
        <v>0.6</v>
      </c>
      <c r="J27" s="10">
        <v>0</v>
      </c>
      <c r="K27" s="10">
        <v>0</v>
      </c>
      <c r="L27" s="8">
        <v>-2.1010981872677799E-3</v>
      </c>
      <c r="M27" s="8">
        <v>1.5756551176309599E-2</v>
      </c>
      <c r="N27" s="8">
        <v>-0.160715162754059</v>
      </c>
      <c r="O27" s="8">
        <v>2.54940949380398E-2</v>
      </c>
      <c r="P27" s="8">
        <v>-0.88553363084793102</v>
      </c>
      <c r="Q27" s="8">
        <v>-5.3425669670105001E-2</v>
      </c>
      <c r="R27" s="8">
        <v>0</v>
      </c>
      <c r="S27" s="8">
        <v>1.9199999999999998E-2</v>
      </c>
      <c r="T27" s="8">
        <v>-0.1721</v>
      </c>
      <c r="U27" s="8">
        <v>-1.43E-2</v>
      </c>
      <c r="V27" s="8">
        <v>-0.97060000000000002</v>
      </c>
      <c r="W27" s="8">
        <v>-7.1099999999999997E-2</v>
      </c>
      <c r="X27" s="8">
        <f t="shared" si="3"/>
        <v>2.1010981872677799E-3</v>
      </c>
      <c r="Y27" s="8">
        <f t="shared" si="4"/>
        <v>3.4434488236903989E-3</v>
      </c>
      <c r="Z27" s="8">
        <f t="shared" si="5"/>
        <v>1.1384837245940999E-2</v>
      </c>
      <c r="AA27" s="8">
        <f t="shared" si="6"/>
        <v>3.9794094938039801E-2</v>
      </c>
      <c r="AB27" s="8">
        <f t="shared" si="7"/>
        <v>8.5066369152068999E-2</v>
      </c>
      <c r="AC27" s="8">
        <f t="shared" si="8"/>
        <v>1.7674330329894995E-2</v>
      </c>
    </row>
    <row r="28" spans="1:29" x14ac:dyDescent="0.25">
      <c r="A28" s="10">
        <v>1</v>
      </c>
      <c r="B28" s="11">
        <v>0.18</v>
      </c>
      <c r="C28" s="10">
        <v>3.927</v>
      </c>
      <c r="D28" s="10">
        <f t="shared" si="1"/>
        <v>1.5707963267948966</v>
      </c>
      <c r="E28" s="11">
        <v>0.1</v>
      </c>
      <c r="F28" s="11">
        <v>0.08</v>
      </c>
      <c r="G28" s="10">
        <v>4.7119999999999997</v>
      </c>
      <c r="H28" s="10">
        <f t="shared" si="2"/>
        <v>1.5707963267948966</v>
      </c>
      <c r="I28" s="10">
        <v>1.4</v>
      </c>
      <c r="J28" s="10">
        <v>0</v>
      </c>
      <c r="K28" s="10">
        <v>0</v>
      </c>
      <c r="L28" s="8">
        <v>-2.0807487890124299E-3</v>
      </c>
      <c r="M28" s="8">
        <v>0.205877780914307</v>
      </c>
      <c r="N28" s="8">
        <v>-0.19408226013183599</v>
      </c>
      <c r="O28" s="8">
        <v>-0.39274537563324002</v>
      </c>
      <c r="P28" s="8">
        <v>-0.65224993228912398</v>
      </c>
      <c r="Q28" s="8">
        <v>-0.73969256877899203</v>
      </c>
      <c r="R28" s="8">
        <v>-1.6000000000000001E-3</v>
      </c>
      <c r="S28" s="8">
        <v>0.19650000000000001</v>
      </c>
      <c r="T28" s="8">
        <v>-0.1802</v>
      </c>
      <c r="U28" s="8">
        <v>-0.40610000000000002</v>
      </c>
      <c r="V28" s="8">
        <v>-0.65080000000000005</v>
      </c>
      <c r="W28" s="8">
        <v>-0.74439999999999995</v>
      </c>
      <c r="X28" s="8">
        <f t="shared" si="3"/>
        <v>4.8074878901242985E-4</v>
      </c>
      <c r="Y28" s="8">
        <f t="shared" si="4"/>
        <v>9.3777809143069935E-3</v>
      </c>
      <c r="Z28" s="8">
        <f t="shared" si="5"/>
        <v>1.3882260131835994E-2</v>
      </c>
      <c r="AA28" s="8">
        <f t="shared" si="6"/>
        <v>1.3354624366759993E-2</v>
      </c>
      <c r="AB28" s="8">
        <f t="shared" si="7"/>
        <v>1.4499322891239341E-3</v>
      </c>
      <c r="AC28" s="8">
        <f t="shared" si="8"/>
        <v>4.7074312210079183E-3</v>
      </c>
    </row>
    <row r="29" spans="1:29" x14ac:dyDescent="0.25">
      <c r="A29" s="10">
        <v>0.7</v>
      </c>
      <c r="B29" s="11">
        <v>0.2</v>
      </c>
      <c r="C29" s="10">
        <v>3.927</v>
      </c>
      <c r="D29" s="10">
        <f t="shared" si="1"/>
        <v>1.5707963267948966</v>
      </c>
      <c r="E29" s="11">
        <v>0.2</v>
      </c>
      <c r="F29" s="11">
        <v>0.02</v>
      </c>
      <c r="G29" s="10">
        <v>3.927</v>
      </c>
      <c r="H29" s="10">
        <f t="shared" si="2"/>
        <v>1.5707963267948966</v>
      </c>
      <c r="I29" s="10">
        <v>0.4</v>
      </c>
      <c r="J29" s="10">
        <v>0</v>
      </c>
      <c r="K29" s="10">
        <v>0</v>
      </c>
      <c r="L29" s="8">
        <v>-1.87318958342075E-3</v>
      </c>
      <c r="M29" s="8">
        <v>0.13435347378253901</v>
      </c>
      <c r="N29" s="8">
        <v>-0.13989627361297599</v>
      </c>
      <c r="O29" s="8">
        <v>-0.26602268218994102</v>
      </c>
      <c r="P29" s="8">
        <v>-0.53642767667770397</v>
      </c>
      <c r="Q29" s="8">
        <v>-0.50663030147552501</v>
      </c>
      <c r="R29" s="8">
        <v>-4.0000000000000002E-4</v>
      </c>
      <c r="S29" s="8">
        <v>0.14729999999999999</v>
      </c>
      <c r="T29" s="8">
        <v>-0.14749999999999999</v>
      </c>
      <c r="U29" s="8">
        <v>-0.31390000000000001</v>
      </c>
      <c r="V29" s="8">
        <v>-0.5847</v>
      </c>
      <c r="W29" s="8">
        <v>-0.58309999999999995</v>
      </c>
      <c r="X29" s="8">
        <f t="shared" si="3"/>
        <v>1.47318958342075E-3</v>
      </c>
      <c r="Y29" s="8">
        <f t="shared" si="4"/>
        <v>1.294652621746098E-2</v>
      </c>
      <c r="Z29" s="8">
        <f t="shared" si="5"/>
        <v>7.6037263870240013E-3</v>
      </c>
      <c r="AA29" s="8">
        <f t="shared" si="6"/>
        <v>4.7877317810058995E-2</v>
      </c>
      <c r="AB29" s="8">
        <f t="shared" si="7"/>
        <v>4.8272323322296029E-2</v>
      </c>
      <c r="AC29" s="8">
        <f t="shared" si="8"/>
        <v>7.6469698524474938E-2</v>
      </c>
    </row>
    <row r="30" spans="1:29" x14ac:dyDescent="0.25">
      <c r="A30" s="10">
        <v>1</v>
      </c>
      <c r="B30" s="11">
        <v>0.2</v>
      </c>
      <c r="C30" s="10">
        <v>3.927</v>
      </c>
      <c r="D30" s="10">
        <f t="shared" si="1"/>
        <v>1.5707963267948966</v>
      </c>
      <c r="E30" s="11">
        <v>1</v>
      </c>
      <c r="F30" s="11">
        <v>0.06</v>
      </c>
      <c r="G30" s="10">
        <v>3.927</v>
      </c>
      <c r="H30" s="10">
        <f t="shared" si="2"/>
        <v>1.5707963267948966</v>
      </c>
      <c r="I30" s="10">
        <v>0.2</v>
      </c>
      <c r="J30" s="10">
        <v>0</v>
      </c>
      <c r="K30" s="10">
        <v>0</v>
      </c>
      <c r="L30" s="8">
        <v>-3.7020025774836501E-3</v>
      </c>
      <c r="M30" s="8">
        <v>0.26659435033798201</v>
      </c>
      <c r="N30" s="8">
        <v>-0.30219966173172003</v>
      </c>
      <c r="O30" s="8">
        <v>-0.59528750181198098</v>
      </c>
      <c r="P30" s="8">
        <v>-1.3395630121231099</v>
      </c>
      <c r="Q30" s="8">
        <v>-1.10396945476532</v>
      </c>
      <c r="R30" s="8">
        <v>-2.9999999999999997E-4</v>
      </c>
      <c r="S30" s="8">
        <v>0.27710000000000001</v>
      </c>
      <c r="T30" s="8">
        <v>-0.27729999999999999</v>
      </c>
      <c r="U30" s="8">
        <v>-0.69020000000000004</v>
      </c>
      <c r="V30" s="8">
        <v>-1.2519</v>
      </c>
      <c r="W30" s="8">
        <v>-1.2501</v>
      </c>
      <c r="X30" s="8">
        <f t="shared" si="3"/>
        <v>3.4020025774836502E-3</v>
      </c>
      <c r="Y30" s="8">
        <f t="shared" si="4"/>
        <v>1.0505649662018002E-2</v>
      </c>
      <c r="Z30" s="8">
        <f t="shared" si="5"/>
        <v>2.4899661731720035E-2</v>
      </c>
      <c r="AA30" s="8">
        <f t="shared" si="6"/>
        <v>9.4912498188019057E-2</v>
      </c>
      <c r="AB30" s="8">
        <f t="shared" si="7"/>
        <v>8.7663012123109896E-2</v>
      </c>
      <c r="AC30" s="8">
        <f t="shared" si="8"/>
        <v>0.14613054523467994</v>
      </c>
    </row>
    <row r="31" spans="1:29" x14ac:dyDescent="0.25">
      <c r="A31" s="10">
        <v>0.1</v>
      </c>
      <c r="B31" s="11">
        <v>0.1</v>
      </c>
      <c r="C31" s="10">
        <v>4.7119999999999997</v>
      </c>
      <c r="D31" s="10">
        <f t="shared" si="1"/>
        <v>1.5707963267948966</v>
      </c>
      <c r="E31" s="11">
        <v>0.2</v>
      </c>
      <c r="F31" s="11">
        <v>0.02</v>
      </c>
      <c r="G31" s="10">
        <v>3.1419999999999999</v>
      </c>
      <c r="H31" s="10">
        <f t="shared" si="2"/>
        <v>1.5707963267948966</v>
      </c>
      <c r="I31" s="10">
        <v>0</v>
      </c>
      <c r="J31" s="10">
        <v>0</v>
      </c>
      <c r="K31" s="10">
        <v>0</v>
      </c>
      <c r="L31" s="8">
        <v>-2.9836385510861901E-4</v>
      </c>
      <c r="M31" s="8">
        <v>1.1398071423172999E-2</v>
      </c>
      <c r="N31" s="8">
        <v>-2.4645710363984101E-2</v>
      </c>
      <c r="O31" s="8">
        <v>1.9913738593459102E-2</v>
      </c>
      <c r="P31" s="8">
        <v>-0.214856266975403</v>
      </c>
      <c r="Q31" s="8">
        <v>-6.1887651681899997E-2</v>
      </c>
      <c r="R31" s="8">
        <v>0</v>
      </c>
      <c r="S31" s="8">
        <v>1.9E-2</v>
      </c>
      <c r="T31" s="8">
        <v>-2.1999999999999999E-2</v>
      </c>
      <c r="U31" s="8">
        <v>-2.9999999999999997E-4</v>
      </c>
      <c r="V31" s="8">
        <v>-0.2</v>
      </c>
      <c r="W31" s="8">
        <v>-0.10009999999999999</v>
      </c>
      <c r="X31" s="8">
        <f t="shared" si="3"/>
        <v>2.9836385510861901E-4</v>
      </c>
      <c r="Y31" s="8">
        <f t="shared" si="4"/>
        <v>7.6019285768270002E-3</v>
      </c>
      <c r="Z31" s="8">
        <f t="shared" si="5"/>
        <v>2.6457103639841023E-3</v>
      </c>
      <c r="AA31" s="8">
        <f t="shared" si="6"/>
        <v>2.0213738593459103E-2</v>
      </c>
      <c r="AB31" s="8">
        <f t="shared" si="7"/>
        <v>1.4856266975402987E-2</v>
      </c>
      <c r="AC31" s="8">
        <f t="shared" si="8"/>
        <v>3.8212348318099998E-2</v>
      </c>
    </row>
    <row r="32" spans="1:29" x14ac:dyDescent="0.25">
      <c r="A32" s="10">
        <v>0.3</v>
      </c>
      <c r="B32" s="11">
        <v>0.1</v>
      </c>
      <c r="C32" s="10">
        <v>4.7119999999999997</v>
      </c>
      <c r="D32" s="10">
        <f t="shared" si="1"/>
        <v>1.5707963267948966</v>
      </c>
      <c r="E32" s="11">
        <v>0.8</v>
      </c>
      <c r="F32" s="11">
        <v>0.04</v>
      </c>
      <c r="G32" s="10">
        <v>3.927</v>
      </c>
      <c r="H32" s="10">
        <f t="shared" si="2"/>
        <v>1.5707963267948966</v>
      </c>
      <c r="I32" s="10">
        <v>0.4</v>
      </c>
      <c r="J32" s="10">
        <v>0</v>
      </c>
      <c r="K32" s="10">
        <v>0</v>
      </c>
      <c r="L32" s="8">
        <v>1.33801531046629E-3</v>
      </c>
      <c r="M32" s="8">
        <v>0.12020714581012699</v>
      </c>
      <c r="N32" s="8">
        <v>-7.8008078038692502E-2</v>
      </c>
      <c r="O32" s="8">
        <v>1.24355498701334E-2</v>
      </c>
      <c r="P32" s="8">
        <v>-0.59375947713851895</v>
      </c>
      <c r="Q32" s="8">
        <v>-0.77984750270843495</v>
      </c>
      <c r="R32" s="8">
        <v>0</v>
      </c>
      <c r="S32" s="8">
        <v>0.1305</v>
      </c>
      <c r="T32" s="8">
        <v>-7.3599999999999999E-2</v>
      </c>
      <c r="U32" s="8">
        <v>-2.5999999999999999E-3</v>
      </c>
      <c r="V32" s="8">
        <v>-0.56579999999999997</v>
      </c>
      <c r="W32" s="8">
        <v>-0.86570000000000003</v>
      </c>
      <c r="X32" s="8">
        <f t="shared" si="3"/>
        <v>1.33801531046629E-3</v>
      </c>
      <c r="Y32" s="8">
        <f t="shared" si="4"/>
        <v>1.029285418987301E-2</v>
      </c>
      <c r="Z32" s="8">
        <f t="shared" si="5"/>
        <v>4.4080780386925034E-3</v>
      </c>
      <c r="AA32" s="8">
        <f t="shared" si="6"/>
        <v>1.50355498701334E-2</v>
      </c>
      <c r="AB32" s="8">
        <f t="shared" si="7"/>
        <v>2.7959477138518984E-2</v>
      </c>
      <c r="AC32" s="8">
        <f t="shared" si="8"/>
        <v>8.5852497291565077E-2</v>
      </c>
    </row>
    <row r="33" spans="1:29" x14ac:dyDescent="0.25">
      <c r="A33" s="10">
        <v>1</v>
      </c>
      <c r="B33" s="11">
        <v>0.1</v>
      </c>
      <c r="C33" s="10">
        <v>4.7119999999999997</v>
      </c>
      <c r="D33" s="10">
        <f t="shared" si="1"/>
        <v>1.5707963267948966</v>
      </c>
      <c r="E33" s="11">
        <v>0.1</v>
      </c>
      <c r="F33" s="11">
        <v>0.04</v>
      </c>
      <c r="G33" s="10">
        <v>4.7119999999999997</v>
      </c>
      <c r="H33" s="10">
        <f t="shared" si="2"/>
        <v>1.5707963267948966</v>
      </c>
      <c r="I33" s="10">
        <v>0</v>
      </c>
      <c r="J33" s="10">
        <v>0</v>
      </c>
      <c r="K33" s="10">
        <v>0</v>
      </c>
      <c r="L33" s="8">
        <v>2.7945239562541199E-3</v>
      </c>
      <c r="M33" s="8">
        <v>0.24397116899490401</v>
      </c>
      <c r="N33" s="8">
        <v>1.2453994713723699E-2</v>
      </c>
      <c r="O33" s="8">
        <v>-6.59529305994511E-3</v>
      </c>
      <c r="P33" s="8">
        <v>6.8884432315826402E-2</v>
      </c>
      <c r="Q33" s="8">
        <v>-1.3081740140914899</v>
      </c>
      <c r="R33" s="8">
        <v>0</v>
      </c>
      <c r="S33" s="8">
        <v>0.2029</v>
      </c>
      <c r="T33" s="8">
        <v>-1E-4</v>
      </c>
      <c r="U33" s="8">
        <v>-3.1E-2</v>
      </c>
      <c r="V33" s="8">
        <v>-4.0000000000000002E-4</v>
      </c>
      <c r="W33" s="8">
        <v>-1.0994999999999999</v>
      </c>
      <c r="X33" s="8">
        <f t="shared" si="3"/>
        <v>2.7945239562541199E-3</v>
      </c>
      <c r="Y33" s="8">
        <f t="shared" si="4"/>
        <v>4.1071168994904012E-2</v>
      </c>
      <c r="Z33" s="8">
        <f t="shared" si="5"/>
        <v>1.2553994713723699E-2</v>
      </c>
      <c r="AA33" s="8">
        <f t="shared" si="6"/>
        <v>2.440470694005489E-2</v>
      </c>
      <c r="AB33" s="8">
        <f t="shared" si="7"/>
        <v>6.92844323158264E-2</v>
      </c>
      <c r="AC33" s="8">
        <f t="shared" si="8"/>
        <v>0.20867401409149</v>
      </c>
    </row>
    <row r="34" spans="1:29" x14ac:dyDescent="0.25">
      <c r="A34" s="10">
        <v>0.1</v>
      </c>
      <c r="B34" s="11">
        <v>0.1</v>
      </c>
      <c r="C34" s="10">
        <v>4.7119999999999997</v>
      </c>
      <c r="D34" s="10">
        <f t="shared" si="1"/>
        <v>1.5707963267948966</v>
      </c>
      <c r="E34" s="11">
        <v>1</v>
      </c>
      <c r="F34" s="11">
        <v>0.08</v>
      </c>
      <c r="G34" s="10">
        <v>4.7119999999999997</v>
      </c>
      <c r="H34" s="10">
        <f t="shared" si="2"/>
        <v>1.5707963267948966</v>
      </c>
      <c r="I34" s="10">
        <v>1.4</v>
      </c>
      <c r="J34" s="10">
        <v>0</v>
      </c>
      <c r="K34" s="10">
        <v>0</v>
      </c>
      <c r="L34" s="8">
        <v>2.5964039377868202E-3</v>
      </c>
      <c r="M34" s="8">
        <v>0.18914604187011699</v>
      </c>
      <c r="N34" s="8">
        <v>2.9903646558523199E-2</v>
      </c>
      <c r="O34" s="8">
        <v>-6.4636766910552996E-3</v>
      </c>
      <c r="P34" s="8">
        <v>0.158803179860115</v>
      </c>
      <c r="Q34" s="8">
        <v>-1.0939816236496001</v>
      </c>
      <c r="R34" s="8">
        <v>-2.0000000000000001E-4</v>
      </c>
      <c r="S34" s="8">
        <v>0.189</v>
      </c>
      <c r="T34" s="8">
        <v>-1E-4</v>
      </c>
      <c r="U34" s="8">
        <v>-1.3599999999999999E-2</v>
      </c>
      <c r="V34" s="8">
        <v>-5.0000000000000001E-4</v>
      </c>
      <c r="W34" s="8">
        <v>-1.0999000000000001</v>
      </c>
      <c r="X34" s="8">
        <f t="shared" si="3"/>
        <v>2.7964039377868202E-3</v>
      </c>
      <c r="Y34" s="8">
        <f t="shared" si="4"/>
        <v>1.4604187011699188E-4</v>
      </c>
      <c r="Z34" s="8">
        <f t="shared" si="5"/>
        <v>3.0003646558523198E-2</v>
      </c>
      <c r="AA34" s="8">
        <f t="shared" si="6"/>
        <v>7.1363233089446997E-3</v>
      </c>
      <c r="AB34" s="8">
        <f t="shared" si="7"/>
        <v>0.159303179860115</v>
      </c>
      <c r="AC34" s="8">
        <f t="shared" si="8"/>
        <v>5.9183763504000453E-3</v>
      </c>
    </row>
    <row r="35" spans="1:29" x14ac:dyDescent="0.25">
      <c r="A35" s="10">
        <v>0.9</v>
      </c>
      <c r="B35" s="11">
        <v>0.12</v>
      </c>
      <c r="C35" s="10">
        <v>4.7119999999999997</v>
      </c>
      <c r="D35" s="10">
        <f t="shared" si="1"/>
        <v>1.5707963267948966</v>
      </c>
      <c r="E35" s="11">
        <v>0.9</v>
      </c>
      <c r="F35" s="11">
        <v>0.02</v>
      </c>
      <c r="G35" s="10">
        <v>3.1419999999999999</v>
      </c>
      <c r="H35" s="10">
        <f t="shared" si="2"/>
        <v>1.5707963267948966</v>
      </c>
      <c r="I35" s="10">
        <v>0</v>
      </c>
      <c r="J35" s="10">
        <v>0</v>
      </c>
      <c r="K35" s="10">
        <v>0</v>
      </c>
      <c r="L35" s="8">
        <v>-7.47585669159889E-4</v>
      </c>
      <c r="M35" s="8">
        <v>0.23934969305992099</v>
      </c>
      <c r="N35" s="8">
        <v>-9.9573642015457195E-2</v>
      </c>
      <c r="O35" s="8">
        <v>-0.13754428923129999</v>
      </c>
      <c r="P35" s="8">
        <v>-0.88355565071106001</v>
      </c>
      <c r="Q35" s="8">
        <v>-1.16920530796051</v>
      </c>
      <c r="R35" s="8">
        <v>0</v>
      </c>
      <c r="S35" s="8">
        <v>0.1888</v>
      </c>
      <c r="T35" s="8">
        <v>-9.9099999999999994E-2</v>
      </c>
      <c r="U35" s="8">
        <v>-5.5800000000000002E-2</v>
      </c>
      <c r="V35" s="8">
        <v>-0.90029999999999999</v>
      </c>
      <c r="W35" s="8">
        <v>-0.89859999999999995</v>
      </c>
      <c r="X35" s="8">
        <f t="shared" si="3"/>
        <v>7.47585669159889E-4</v>
      </c>
      <c r="Y35" s="8">
        <f t="shared" si="4"/>
        <v>5.0549693059920991E-2</v>
      </c>
      <c r="Z35" s="8">
        <f t="shared" si="5"/>
        <v>4.736420154572013E-4</v>
      </c>
      <c r="AA35" s="8">
        <f t="shared" si="6"/>
        <v>8.1744289231299991E-2</v>
      </c>
      <c r="AB35" s="8">
        <f t="shared" si="7"/>
        <v>1.6744349288939975E-2</v>
      </c>
      <c r="AC35" s="8">
        <f t="shared" si="8"/>
        <v>0.27060530796051008</v>
      </c>
    </row>
    <row r="36" spans="1:29" x14ac:dyDescent="0.25">
      <c r="A36" s="10">
        <v>1</v>
      </c>
      <c r="B36" s="11">
        <v>0.12</v>
      </c>
      <c r="C36" s="10">
        <v>4.7119999999999997</v>
      </c>
      <c r="D36" s="10">
        <f t="shared" si="1"/>
        <v>1.5707963267948966</v>
      </c>
      <c r="E36" s="11">
        <v>0.8</v>
      </c>
      <c r="F36" s="11">
        <v>0.08</v>
      </c>
      <c r="G36" s="10">
        <v>3.1419999999999999</v>
      </c>
      <c r="H36" s="10">
        <f t="shared" si="2"/>
        <v>1.5707963267948966</v>
      </c>
      <c r="I36" s="10">
        <v>1.2</v>
      </c>
      <c r="J36" s="10">
        <v>0</v>
      </c>
      <c r="K36" s="10">
        <v>0</v>
      </c>
      <c r="L36" s="8">
        <v>-5.7288859970867599E-3</v>
      </c>
      <c r="M36" s="8">
        <v>0.26700088381767301</v>
      </c>
      <c r="N36" s="8">
        <v>-0.13192363083362599</v>
      </c>
      <c r="O36" s="8">
        <v>-0.16222637891769401</v>
      </c>
      <c r="P36" s="8">
        <v>-0.74046343564987205</v>
      </c>
      <c r="Q36" s="8">
        <v>-1.2301561832428001</v>
      </c>
      <c r="R36" s="8">
        <v>-5.0000000000000001E-4</v>
      </c>
      <c r="S36" s="8">
        <v>0.20979999999999999</v>
      </c>
      <c r="T36" s="8">
        <v>-0.13600000000000001</v>
      </c>
      <c r="U36" s="8">
        <v>-5.9700000000000003E-2</v>
      </c>
      <c r="V36" s="8">
        <v>-0.80020000000000002</v>
      </c>
      <c r="W36" s="8">
        <v>-0.99880000000000002</v>
      </c>
      <c r="X36" s="8">
        <f t="shared" si="3"/>
        <v>5.2288859970867595E-3</v>
      </c>
      <c r="Y36" s="8">
        <f t="shared" si="4"/>
        <v>5.7200883817673021E-2</v>
      </c>
      <c r="Z36" s="8">
        <f t="shared" si="5"/>
        <v>4.076369166374022E-3</v>
      </c>
      <c r="AA36" s="8">
        <f t="shared" si="6"/>
        <v>0.10252637891769401</v>
      </c>
      <c r="AB36" s="8">
        <f t="shared" si="7"/>
        <v>5.9736564350127974E-2</v>
      </c>
      <c r="AC36" s="8">
        <f t="shared" si="8"/>
        <v>0.23135618324280005</v>
      </c>
    </row>
    <row r="37" spans="1:29" x14ac:dyDescent="0.25">
      <c r="A37" s="10">
        <v>0.3</v>
      </c>
      <c r="B37" s="11">
        <v>0.18</v>
      </c>
      <c r="C37" s="10">
        <v>4.7119999999999997</v>
      </c>
      <c r="D37" s="10">
        <f t="shared" si="1"/>
        <v>1.5707963267948966</v>
      </c>
      <c r="E37" s="11">
        <v>0.3</v>
      </c>
      <c r="F37" s="11">
        <v>0.06</v>
      </c>
      <c r="G37" s="10">
        <v>3.1419999999999999</v>
      </c>
      <c r="H37" s="10">
        <f t="shared" si="2"/>
        <v>1.5707963267948966</v>
      </c>
      <c r="I37" s="10">
        <v>1.4</v>
      </c>
      <c r="J37" s="10">
        <v>0</v>
      </c>
      <c r="K37" s="10">
        <v>0</v>
      </c>
      <c r="L37" s="8">
        <v>-3.59367998316884E-3</v>
      </c>
      <c r="M37" s="8">
        <v>8.4611706435680403E-2</v>
      </c>
      <c r="N37" s="8">
        <v>-4.8628196120262097E-2</v>
      </c>
      <c r="O37" s="8">
        <v>3.4434549510479001E-2</v>
      </c>
      <c r="P37" s="8">
        <v>-0.30159375071525601</v>
      </c>
      <c r="Q37" s="8">
        <v>-0.31295472383499101</v>
      </c>
      <c r="R37" s="8">
        <v>-1.5E-3</v>
      </c>
      <c r="S37" s="8">
        <v>8.0699999999999994E-2</v>
      </c>
      <c r="T37" s="8">
        <v>-4.5100000000000001E-2</v>
      </c>
      <c r="U37" s="8">
        <v>-2.87E-2</v>
      </c>
      <c r="V37" s="8">
        <v>-0.3009</v>
      </c>
      <c r="W37" s="8">
        <v>-0.29870000000000002</v>
      </c>
      <c r="X37" s="8">
        <f t="shared" si="3"/>
        <v>2.0936799831688399E-3</v>
      </c>
      <c r="Y37" s="8">
        <f t="shared" si="4"/>
        <v>3.9117064356804093E-3</v>
      </c>
      <c r="Z37" s="8">
        <f t="shared" si="5"/>
        <v>3.5281961202620962E-3</v>
      </c>
      <c r="AA37" s="8">
        <f t="shared" si="6"/>
        <v>6.3134549510479004E-2</v>
      </c>
      <c r="AB37" s="8">
        <f t="shared" si="7"/>
        <v>6.9375071525601406E-4</v>
      </c>
      <c r="AC37" s="8">
        <f t="shared" si="8"/>
        <v>1.425472383499099E-2</v>
      </c>
    </row>
    <row r="38" spans="1:29" x14ac:dyDescent="0.25">
      <c r="A38" s="10">
        <v>0.9</v>
      </c>
      <c r="B38" s="11">
        <v>0.18</v>
      </c>
      <c r="C38" s="10">
        <v>4.7119999999999997</v>
      </c>
      <c r="D38" s="10">
        <f t="shared" si="1"/>
        <v>1.5707963267948966</v>
      </c>
      <c r="E38" s="11">
        <v>0.2</v>
      </c>
      <c r="F38" s="11">
        <v>0.08</v>
      </c>
      <c r="G38" s="10">
        <v>3.1419999999999999</v>
      </c>
      <c r="H38" s="10">
        <f t="shared" si="2"/>
        <v>1.5707963267948966</v>
      </c>
      <c r="I38" s="10">
        <v>0.2</v>
      </c>
      <c r="J38" s="10">
        <v>0</v>
      </c>
      <c r="K38" s="10">
        <v>0</v>
      </c>
      <c r="L38" s="8">
        <v>-2.5372554082423401E-3</v>
      </c>
      <c r="M38" s="8">
        <v>0.23767614364624001</v>
      </c>
      <c r="N38" s="8">
        <v>-4.0118761360645301E-2</v>
      </c>
      <c r="O38" s="8">
        <v>-0.48286521434783902</v>
      </c>
      <c r="P38" s="8">
        <v>-0.22859935462474801</v>
      </c>
      <c r="Q38" s="8">
        <v>-0.81168925762176503</v>
      </c>
      <c r="R38" s="8">
        <v>-6.9999999999999999E-4</v>
      </c>
      <c r="S38" s="8">
        <v>0.22470000000000001</v>
      </c>
      <c r="T38" s="8">
        <v>-3.4200000000000001E-2</v>
      </c>
      <c r="U38" s="8">
        <v>-0.40560000000000002</v>
      </c>
      <c r="V38" s="8">
        <v>-0.20150000000000001</v>
      </c>
      <c r="W38" s="8">
        <v>-0.80369999999999997</v>
      </c>
      <c r="X38" s="8">
        <f t="shared" si="3"/>
        <v>1.83725540824234E-3</v>
      </c>
      <c r="Y38" s="8">
        <f t="shared" si="4"/>
        <v>1.2976143646240001E-2</v>
      </c>
      <c r="Z38" s="8">
        <f t="shared" si="5"/>
        <v>5.9187613606452999E-3</v>
      </c>
      <c r="AA38" s="8">
        <f t="shared" si="6"/>
        <v>7.7265214347839006E-2</v>
      </c>
      <c r="AB38" s="8">
        <f t="shared" si="7"/>
        <v>2.7099354624747996E-2</v>
      </c>
      <c r="AC38" s="8">
        <f t="shared" si="8"/>
        <v>7.9892576217650557E-3</v>
      </c>
    </row>
    <row r="39" spans="1:29" x14ac:dyDescent="0.25">
      <c r="A39" s="10">
        <v>0.1</v>
      </c>
      <c r="B39" s="11">
        <v>0.18</v>
      </c>
      <c r="C39" s="10">
        <v>4.7119999999999997</v>
      </c>
      <c r="D39" s="10">
        <f t="shared" si="1"/>
        <v>1.5707963267948966</v>
      </c>
      <c r="E39" s="11">
        <v>1</v>
      </c>
      <c r="F39" s="11">
        <v>0.02</v>
      </c>
      <c r="G39" s="10">
        <v>4.7119999999999997</v>
      </c>
      <c r="H39" s="10">
        <f t="shared" si="2"/>
        <v>1.5707963267948966</v>
      </c>
      <c r="I39" s="10">
        <v>0</v>
      </c>
      <c r="J39" s="10">
        <v>0</v>
      </c>
      <c r="K39" s="10">
        <v>0</v>
      </c>
      <c r="L39" s="8">
        <v>5.4148025810718502E-5</v>
      </c>
      <c r="M39" s="8">
        <v>0.130592405796051</v>
      </c>
      <c r="N39" s="8">
        <v>-1.0551102459430699E-3</v>
      </c>
      <c r="O39" s="8">
        <v>5.6034162640571601E-2</v>
      </c>
      <c r="P39" s="8">
        <v>-1.5731915831565899E-2</v>
      </c>
      <c r="Q39" s="8">
        <v>-1.0787600278854399</v>
      </c>
      <c r="R39" s="8">
        <v>0</v>
      </c>
      <c r="S39" s="8">
        <v>0.13700000000000001</v>
      </c>
      <c r="T39" s="8">
        <v>-1E-4</v>
      </c>
      <c r="U39" s="8">
        <v>-5.7000000000000002E-3</v>
      </c>
      <c r="V39" s="8">
        <v>-4.0000000000000002E-4</v>
      </c>
      <c r="W39" s="8">
        <v>-1.0999000000000001</v>
      </c>
      <c r="X39" s="8">
        <f t="shared" si="3"/>
        <v>5.4148025810718502E-5</v>
      </c>
      <c r="Y39" s="8">
        <f t="shared" si="4"/>
        <v>6.407594203949013E-3</v>
      </c>
      <c r="Z39" s="8">
        <f t="shared" si="5"/>
        <v>9.5511024594306985E-4</v>
      </c>
      <c r="AA39" s="8">
        <f t="shared" si="6"/>
        <v>6.1734162640571605E-2</v>
      </c>
      <c r="AB39" s="8">
        <f t="shared" si="7"/>
        <v>1.5331915831565899E-2</v>
      </c>
      <c r="AC39" s="8">
        <f t="shared" si="8"/>
        <v>2.1139972114560202E-2</v>
      </c>
    </row>
    <row r="40" spans="1:29" x14ac:dyDescent="0.25">
      <c r="A40" s="10">
        <v>0.8</v>
      </c>
      <c r="B40" s="11">
        <v>0.18</v>
      </c>
      <c r="C40" s="10">
        <v>4.7119999999999997</v>
      </c>
      <c r="D40" s="10">
        <f t="shared" si="1"/>
        <v>1.5707963267948966</v>
      </c>
      <c r="E40" s="11">
        <v>0.6</v>
      </c>
      <c r="F40" s="11">
        <v>0.06</v>
      </c>
      <c r="G40" s="10">
        <v>4.7119999999999997</v>
      </c>
      <c r="H40" s="10">
        <f t="shared" si="2"/>
        <v>1.5707963267948966</v>
      </c>
      <c r="I40" s="10">
        <v>1</v>
      </c>
      <c r="J40" s="10">
        <v>0</v>
      </c>
      <c r="K40" s="10">
        <v>0</v>
      </c>
      <c r="L40" s="8">
        <v>-5.3779371082782702E-3</v>
      </c>
      <c r="M40" s="8">
        <v>0.29702112078666698</v>
      </c>
      <c r="N40" s="8">
        <v>-2.0560383796691901E-2</v>
      </c>
      <c r="O40" s="8">
        <v>-0.30376738309860202</v>
      </c>
      <c r="P40" s="8">
        <v>-0.130133211612701</v>
      </c>
      <c r="Q40" s="8">
        <v>-1.3058658838272099</v>
      </c>
      <c r="R40" s="8">
        <v>-3.0000000000000001E-3</v>
      </c>
      <c r="S40" s="8">
        <v>0.29499999999999998</v>
      </c>
      <c r="T40" s="8">
        <v>-1.1000000000000001E-3</v>
      </c>
      <c r="U40" s="8">
        <v>-0.32169999999999999</v>
      </c>
      <c r="V40" s="8">
        <v>-8.3999999999999995E-3</v>
      </c>
      <c r="W40" s="8">
        <v>-1.3415999999999999</v>
      </c>
      <c r="X40" s="8">
        <f t="shared" si="3"/>
        <v>2.3779371082782701E-3</v>
      </c>
      <c r="Y40" s="8">
        <f t="shared" si="4"/>
        <v>2.0211207866669967E-3</v>
      </c>
      <c r="Z40" s="8">
        <f t="shared" si="5"/>
        <v>1.9460383796691901E-2</v>
      </c>
      <c r="AA40" s="8">
        <f t="shared" si="6"/>
        <v>1.7932616901397969E-2</v>
      </c>
      <c r="AB40" s="8">
        <f t="shared" si="7"/>
        <v>0.12173321161270099</v>
      </c>
      <c r="AC40" s="8">
        <f t="shared" si="8"/>
        <v>3.5734116172789987E-2</v>
      </c>
    </row>
    <row r="41" spans="1:29" x14ac:dyDescent="0.25">
      <c r="A41" s="10">
        <v>1</v>
      </c>
      <c r="B41" s="11">
        <v>0.2</v>
      </c>
      <c r="C41" s="10">
        <v>4.7119999999999997</v>
      </c>
      <c r="D41" s="10">
        <f t="shared" si="1"/>
        <v>1.5707963267948966</v>
      </c>
      <c r="E41" s="11">
        <v>0.8</v>
      </c>
      <c r="F41" s="11">
        <v>0.02</v>
      </c>
      <c r="G41" s="10">
        <v>3.1419999999999999</v>
      </c>
      <c r="H41" s="10">
        <f t="shared" si="2"/>
        <v>1.5707963267948966</v>
      </c>
      <c r="I41" s="10">
        <v>1.4</v>
      </c>
      <c r="J41" s="10">
        <v>0</v>
      </c>
      <c r="K41" s="10">
        <v>0</v>
      </c>
      <c r="L41" s="8">
        <v>-1.2866270728409301E-2</v>
      </c>
      <c r="M41" s="8">
        <v>0.26722592115402199</v>
      </c>
      <c r="N41" s="8">
        <v>-0.10332116484642</v>
      </c>
      <c r="O41" s="8">
        <v>-0.63931977748870905</v>
      </c>
      <c r="P41" s="8">
        <v>-0.86686456203460704</v>
      </c>
      <c r="Q41" s="8">
        <v>-0.873266160488129</v>
      </c>
      <c r="R41" s="8">
        <v>-6.8999999999999999E-3</v>
      </c>
      <c r="S41" s="8">
        <v>0.2477</v>
      </c>
      <c r="T41" s="8">
        <v>-9.1300000000000006E-2</v>
      </c>
      <c r="U41" s="8">
        <v>-0.59930000000000005</v>
      </c>
      <c r="V41" s="8">
        <v>-0.82720000000000005</v>
      </c>
      <c r="W41" s="8">
        <v>-0.80030000000000001</v>
      </c>
      <c r="X41" s="8">
        <f t="shared" si="3"/>
        <v>5.9662707284093008E-3</v>
      </c>
      <c r="Y41" s="8">
        <f t="shared" si="4"/>
        <v>1.9525921154021991E-2</v>
      </c>
      <c r="Z41" s="8">
        <f t="shared" si="5"/>
        <v>1.2021164846419991E-2</v>
      </c>
      <c r="AA41" s="8">
        <f t="shared" si="6"/>
        <v>4.0019777488708996E-2</v>
      </c>
      <c r="AB41" s="8">
        <f t="shared" si="7"/>
        <v>3.9664562034606998E-2</v>
      </c>
      <c r="AC41" s="8">
        <f t="shared" si="8"/>
        <v>7.2966160488128984E-2</v>
      </c>
    </row>
    <row r="42" spans="1:29" x14ac:dyDescent="0.25">
      <c r="A42" s="10">
        <v>0.2</v>
      </c>
      <c r="B42" s="11">
        <v>0.2</v>
      </c>
      <c r="C42" s="10">
        <v>4.7119999999999997</v>
      </c>
      <c r="D42" s="10">
        <f t="shared" si="1"/>
        <v>1.5707963267948966</v>
      </c>
      <c r="E42" s="11">
        <v>0.1</v>
      </c>
      <c r="F42" s="11">
        <v>0.08</v>
      </c>
      <c r="G42" s="10">
        <v>3.927</v>
      </c>
      <c r="H42" s="10">
        <f t="shared" si="2"/>
        <v>1.5707963267948966</v>
      </c>
      <c r="I42" s="10">
        <v>0</v>
      </c>
      <c r="J42" s="10">
        <v>0</v>
      </c>
      <c r="K42" s="10">
        <v>0</v>
      </c>
      <c r="L42" s="8">
        <v>-1.2752725742757301E-3</v>
      </c>
      <c r="M42" s="8">
        <v>4.2479593306779903E-2</v>
      </c>
      <c r="N42" s="8">
        <v>-1.04580884799361E-2</v>
      </c>
      <c r="O42" s="8">
        <v>-2.78243236243725E-3</v>
      </c>
      <c r="P42" s="8">
        <v>-5.4970372468233102E-2</v>
      </c>
      <c r="Q42" s="8">
        <v>-0.153516501188278</v>
      </c>
      <c r="R42" s="8">
        <v>0</v>
      </c>
      <c r="S42" s="8">
        <v>6.9000000000000006E-2</v>
      </c>
      <c r="T42" s="8">
        <v>-1.2E-2</v>
      </c>
      <c r="U42" s="8">
        <v>-3.0099999999999998E-2</v>
      </c>
      <c r="V42" s="8">
        <v>-7.0800000000000002E-2</v>
      </c>
      <c r="W42" s="8">
        <v>-0.26860000000000001</v>
      </c>
      <c r="X42" s="8">
        <f t="shared" si="3"/>
        <v>1.2752725742757301E-3</v>
      </c>
      <c r="Y42" s="8">
        <f t="shared" si="4"/>
        <v>2.6520406693220103E-2</v>
      </c>
      <c r="Z42" s="8">
        <f t="shared" si="5"/>
        <v>1.5419115200638999E-3</v>
      </c>
      <c r="AA42" s="8">
        <f t="shared" si="6"/>
        <v>2.7317567637562747E-2</v>
      </c>
      <c r="AB42" s="8">
        <f t="shared" si="7"/>
        <v>1.58296275317669E-2</v>
      </c>
      <c r="AC42" s="8">
        <f t="shared" si="8"/>
        <v>0.115083498811722</v>
      </c>
    </row>
    <row r="43" spans="1:29" ht="15.75" x14ac:dyDescent="0.25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5.75" x14ac:dyDescent="0.25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/>
      <c r="Y44" s="7"/>
      <c r="Z44" s="7"/>
      <c r="AA44" s="7"/>
      <c r="AB44" s="7"/>
      <c r="AC44" s="7"/>
    </row>
    <row r="45" spans="1:29" ht="15.75" x14ac:dyDescent="0.25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5.75" x14ac:dyDescent="0.25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</row>
    <row r="47" spans="1:29" ht="15.75" x14ac:dyDescent="0.25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5.75" x14ac:dyDescent="0.25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5.75" x14ac:dyDescent="0.25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5.75" x14ac:dyDescent="0.25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5.75" x14ac:dyDescent="0.25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5.75" x14ac:dyDescent="0.25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6AF4-6514-4C61-8746-7EF28C671104}">
  <dimension ref="A1:AR52"/>
  <sheetViews>
    <sheetView topLeftCell="R1" workbookViewId="0">
      <selection activeCell="AL26" sqref="AL26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11" bestFit="1" customWidth="1"/>
    <col min="27" max="27" width="13.85546875" bestFit="1" customWidth="1"/>
    <col min="28" max="28" width="11.140625" bestFit="1" customWidth="1"/>
    <col min="34" max="34" width="11" bestFit="1" customWidth="1"/>
    <col min="35" max="35" width="13.85546875" bestFit="1" customWidth="1"/>
    <col min="37" max="37" width="11" bestFit="1" customWidth="1"/>
    <col min="38" max="38" width="13.85546875" bestFit="1" customWidth="1"/>
    <col min="39" max="39" width="11.140625" bestFit="1" customWidth="1"/>
  </cols>
  <sheetData>
    <row r="1" spans="1:44" ht="15.75" x14ac:dyDescent="0.25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24" t="s">
        <v>6</v>
      </c>
      <c r="M1" s="25"/>
      <c r="N1" s="25"/>
      <c r="O1" s="25"/>
      <c r="P1" s="25"/>
      <c r="Q1" s="25"/>
      <c r="R1" s="35" t="s">
        <v>7</v>
      </c>
      <c r="S1" s="36"/>
      <c r="T1" s="36"/>
      <c r="U1" s="36"/>
      <c r="V1" s="36"/>
      <c r="W1" s="36"/>
      <c r="X1" s="36"/>
      <c r="Y1" s="36"/>
      <c r="Z1" s="37" t="s">
        <v>13</v>
      </c>
      <c r="AA1" s="37"/>
      <c r="AB1" s="37"/>
      <c r="AC1" s="37"/>
      <c r="AD1" s="37"/>
      <c r="AE1" s="37"/>
      <c r="AF1" s="37"/>
      <c r="AG1" s="37"/>
      <c r="AH1" s="34" t="s">
        <v>36</v>
      </c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4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3" t="s">
        <v>23</v>
      </c>
      <c r="AA2" s="1" t="s">
        <v>24</v>
      </c>
      <c r="AB2" s="1" t="s">
        <v>25</v>
      </c>
      <c r="AC2" s="1" t="s">
        <v>29</v>
      </c>
      <c r="AD2" s="1" t="s">
        <v>26</v>
      </c>
      <c r="AE2" s="1" t="s">
        <v>27</v>
      </c>
      <c r="AF2" s="1" t="s">
        <v>28</v>
      </c>
      <c r="AG2" s="1" t="s">
        <v>30</v>
      </c>
      <c r="AH2" s="20" t="s">
        <v>33</v>
      </c>
      <c r="AI2" s="20" t="s">
        <v>34</v>
      </c>
      <c r="AJ2" s="20" t="s">
        <v>35</v>
      </c>
      <c r="AK2" s="33" t="s">
        <v>31</v>
      </c>
      <c r="AL2" s="33"/>
      <c r="AM2" s="33"/>
      <c r="AN2" s="33"/>
      <c r="AO2" s="33"/>
      <c r="AP2" s="33"/>
      <c r="AQ2" s="33"/>
      <c r="AR2" s="33"/>
    </row>
    <row r="3" spans="1:44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-1.9976701587438601E-3</v>
      </c>
      <c r="M3" s="8">
        <f>'Proximal Validation (double)'!M3</f>
        <v>-3.3190850168466603E-2</v>
      </c>
      <c r="N3" s="8">
        <f>'Proximal Validation (double)'!N3</f>
        <v>-0.13983803987503099</v>
      </c>
      <c r="O3" s="8">
        <f>'Proximal Validation (double)'!O3</f>
        <v>-1.5990611165761899E-2</v>
      </c>
      <c r="P3" s="8">
        <f>'Proximal Validation (double)'!P3</f>
        <v>-1.04125440120697</v>
      </c>
      <c r="Q3" s="8">
        <f>'Proximal Validation (double)'!Q3</f>
        <v>0.195114254951477</v>
      </c>
      <c r="R3" s="8">
        <v>0.3629</v>
      </c>
      <c r="S3" s="8">
        <v>0.1089</v>
      </c>
      <c r="T3" s="8">
        <v>2.5762999999999998</v>
      </c>
      <c r="U3" s="8">
        <v>1.5708</v>
      </c>
      <c r="V3" s="8">
        <v>0.73470000000000002</v>
      </c>
      <c r="W3" s="8">
        <v>0.02</v>
      </c>
      <c r="X3" s="8">
        <v>3.1415999999999999</v>
      </c>
      <c r="Y3" s="8">
        <v>1.5708</v>
      </c>
      <c r="Z3" s="8">
        <f>R3-A3</f>
        <v>0.16289999999999999</v>
      </c>
      <c r="AA3" s="8">
        <f>S3-B3</f>
        <v>8.8999999999999913E-3</v>
      </c>
      <c r="AB3" s="8">
        <f>T3-C3</f>
        <v>1.0052999999999999</v>
      </c>
      <c r="AC3" s="8">
        <f>U3-D3</f>
        <v>3.6732051034160662E-6</v>
      </c>
      <c r="AD3" s="8">
        <f t="shared" ref="AD3:AG3" si="0">V3-E3</f>
        <v>-0.26529999999999998</v>
      </c>
      <c r="AE3" s="8">
        <f t="shared" si="0"/>
        <v>-0.02</v>
      </c>
      <c r="AF3" s="8">
        <f t="shared" si="0"/>
        <v>-3.9999999999995595E-4</v>
      </c>
      <c r="AG3" s="8">
        <f t="shared" si="0"/>
        <v>3.6732051034160662E-6</v>
      </c>
      <c r="AH3" s="22">
        <f>AVERAGE(ABS(Z3),ABS(AD3))</f>
        <v>0.21409999999999998</v>
      </c>
      <c r="AI3" s="22">
        <f t="shared" ref="AI3:AJ3" si="1">AVERAGE(ABS(AA3),ABS(AE3))</f>
        <v>1.4449999999999996E-2</v>
      </c>
      <c r="AJ3" s="22">
        <f t="shared" si="1"/>
        <v>0.50284999999999991</v>
      </c>
      <c r="AK3" s="1" t="s">
        <v>23</v>
      </c>
      <c r="AL3" s="1" t="s">
        <v>24</v>
      </c>
      <c r="AM3" s="1" t="s">
        <v>25</v>
      </c>
      <c r="AN3" s="1" t="s">
        <v>29</v>
      </c>
      <c r="AO3" s="1" t="s">
        <v>26</v>
      </c>
      <c r="AP3" s="1" t="s">
        <v>27</v>
      </c>
      <c r="AQ3" s="1" t="s">
        <v>28</v>
      </c>
      <c r="AR3" s="1" t="s">
        <v>30</v>
      </c>
    </row>
    <row r="4" spans="1:44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-1.30753358826041E-3</v>
      </c>
      <c r="M4" s="8">
        <f>'Proximal Validation (double)'!M4</f>
        <v>-0.21146439015865301</v>
      </c>
      <c r="N4" s="8">
        <f>'Proximal Validation (double)'!N4</f>
        <v>-0.15480977296829199</v>
      </c>
      <c r="O4" s="8">
        <f>'Proximal Validation (double)'!O4</f>
        <v>-0.115148775279522</v>
      </c>
      <c r="P4" s="8">
        <f>'Proximal Validation (double)'!P4</f>
        <v>-0.885367691516876</v>
      </c>
      <c r="Q4" s="8">
        <f>'Proximal Validation (double)'!Q4</f>
        <v>1.0914549827575699</v>
      </c>
      <c r="R4" s="8">
        <v>1</v>
      </c>
      <c r="S4" s="8">
        <v>0.12720000000000001</v>
      </c>
      <c r="T4" s="8">
        <v>1.5759000000000001</v>
      </c>
      <c r="U4" s="8">
        <v>1.5708</v>
      </c>
      <c r="V4" s="8">
        <v>0.88200000000000001</v>
      </c>
      <c r="W4" s="8">
        <v>0.08</v>
      </c>
      <c r="X4" s="8">
        <v>3.1415999999999999</v>
      </c>
      <c r="Y4" s="8">
        <v>1.5708</v>
      </c>
      <c r="Z4" s="8">
        <f t="shared" ref="Z4:Z42" si="2">R4-A4</f>
        <v>0</v>
      </c>
      <c r="AA4" s="8">
        <f t="shared" ref="AA4:AA42" si="3">S4-B4</f>
        <v>2.7200000000000002E-2</v>
      </c>
      <c r="AB4" s="8">
        <f t="shared" ref="AB4:AB42" si="4">T4-C4</f>
        <v>4.9000000000001265E-3</v>
      </c>
      <c r="AC4" s="8">
        <f t="shared" ref="AC4:AC42" si="5">U4-D4</f>
        <v>3.6732051034160662E-6</v>
      </c>
      <c r="AD4" s="8">
        <f t="shared" ref="AD4:AD42" si="6">V4-E4</f>
        <v>-0.11799999999999999</v>
      </c>
      <c r="AE4" s="8">
        <f t="shared" ref="AE4:AE42" si="7">W4-F4</f>
        <v>0</v>
      </c>
      <c r="AF4" s="8">
        <f t="shared" ref="AF4:AF42" si="8">X4-G4</f>
        <v>-3.9999999999995595E-4</v>
      </c>
      <c r="AG4" s="8">
        <f t="shared" ref="AG4:AG42" si="9">Y4-H4</f>
        <v>3.6732051034160662E-6</v>
      </c>
      <c r="AH4" s="22">
        <f t="shared" ref="AH4:AH42" si="10">AVERAGE(ABS(Z4),ABS(AD4))</f>
        <v>5.8999999999999997E-2</v>
      </c>
      <c r="AI4" s="22">
        <f t="shared" ref="AI4:AI42" si="11">AVERAGE(ABS(AA4),ABS(AE4))</f>
        <v>1.3600000000000001E-2</v>
      </c>
      <c r="AJ4" s="22">
        <f t="shared" ref="AJ4:AJ42" si="12">AVERAGE(ABS(AB4),ABS(AF4))</f>
        <v>2.6500000000000412E-3</v>
      </c>
      <c r="AK4" s="21" cm="1">
        <f t="array" ref="AK4">AVERAGE(ABS(Z3:Z42))</f>
        <v>0.10450750000000002</v>
      </c>
      <c r="AL4" s="21" cm="1">
        <f t="array" ref="AL4">AVERAGE(ABS(AA3:AA42))</f>
        <v>2.6852500000000001E-2</v>
      </c>
      <c r="AM4" s="21" cm="1">
        <f t="array" ref="AM4">AVERAGE(ABS(AB3:AB42))</f>
        <v>0.40527499999999989</v>
      </c>
      <c r="AN4" s="21" cm="1">
        <f t="array" ref="AN4">AVERAGE(ABS(AC3:AC42))</f>
        <v>3.6732051034160662E-6</v>
      </c>
      <c r="AO4" s="21" cm="1">
        <f t="array" ref="AO4">AVERAGE(ABS(AD3:AD42))</f>
        <v>0.13817499999999996</v>
      </c>
      <c r="AP4" s="21" cm="1">
        <f t="array" ref="AP4">AVERAGE(ABS(AE3:AE42))</f>
        <v>1.5289999999999998E-2</v>
      </c>
      <c r="AQ4" s="21" cm="1">
        <f t="array" ref="AQ4">AVERAGE(ABS(AF3:AF42))</f>
        <v>0.20804750000000002</v>
      </c>
      <c r="AR4" s="21" cm="1">
        <f t="array" ref="AR4">AVERAGE(ABS(AG3:AG42))</f>
        <v>3.6732051034160662E-6</v>
      </c>
    </row>
    <row r="5" spans="1:44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4.8654910642653698E-4</v>
      </c>
      <c r="M5" s="8">
        <f>'Proximal Validation (double)'!M5</f>
        <v>-9.9444381892681094E-2</v>
      </c>
      <c r="N5" s="8">
        <f>'Proximal Validation (double)'!N5</f>
        <v>-1.08874747529626E-2</v>
      </c>
      <c r="O5" s="8">
        <f>'Proximal Validation (double)'!O5</f>
        <v>-2.9133602976799001E-2</v>
      </c>
      <c r="P5" s="8">
        <f>'Proximal Validation (double)'!P5</f>
        <v>-0.12781015038490301</v>
      </c>
      <c r="Q5" s="8">
        <f>'Proximal Validation (double)'!Q5</f>
        <v>0.45268994569778398</v>
      </c>
      <c r="R5" s="8">
        <v>0.52090000000000003</v>
      </c>
      <c r="S5" s="8">
        <v>0.12790000000000001</v>
      </c>
      <c r="T5" s="8">
        <v>1.5718000000000001</v>
      </c>
      <c r="U5" s="8">
        <v>1.5708</v>
      </c>
      <c r="V5" s="8">
        <v>0.14399999999999999</v>
      </c>
      <c r="W5" s="8">
        <v>3.3000000000000002E-2</v>
      </c>
      <c r="X5" s="8">
        <v>3.6412</v>
      </c>
      <c r="Y5" s="8">
        <v>1.5708</v>
      </c>
      <c r="Z5" s="8">
        <f t="shared" si="2"/>
        <v>2.090000000000003E-2</v>
      </c>
      <c r="AA5" s="8">
        <f t="shared" si="3"/>
        <v>2.7900000000000008E-2</v>
      </c>
      <c r="AB5" s="8">
        <f t="shared" si="4"/>
        <v>8.0000000000013394E-4</v>
      </c>
      <c r="AC5" s="8">
        <f t="shared" si="5"/>
        <v>3.6732051034160662E-6</v>
      </c>
      <c r="AD5" s="8">
        <f t="shared" si="6"/>
        <v>-5.6000000000000022E-2</v>
      </c>
      <c r="AE5" s="8">
        <f t="shared" si="7"/>
        <v>1.3000000000000001E-2</v>
      </c>
      <c r="AF5" s="8">
        <f t="shared" si="8"/>
        <v>-0.28580000000000005</v>
      </c>
      <c r="AG5" s="8">
        <f t="shared" si="9"/>
        <v>3.6732051034160662E-6</v>
      </c>
      <c r="AH5" s="22">
        <f t="shared" si="10"/>
        <v>3.8450000000000026E-2</v>
      </c>
      <c r="AI5" s="22">
        <f t="shared" si="11"/>
        <v>2.0450000000000003E-2</v>
      </c>
      <c r="AJ5" s="22">
        <f t="shared" si="12"/>
        <v>0.14330000000000009</v>
      </c>
      <c r="AK5" s="33" t="s">
        <v>32</v>
      </c>
      <c r="AL5" s="33"/>
      <c r="AM5" s="33"/>
      <c r="AN5" s="33"/>
      <c r="AO5" s="33"/>
      <c r="AP5" s="33"/>
      <c r="AQ5" s="33"/>
      <c r="AR5" s="33"/>
    </row>
    <row r="6" spans="1:44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2.1138784941285801E-3</v>
      </c>
      <c r="M6" s="8">
        <f>'Proximal Validation (double)'!M6</f>
        <v>-0.17721578478813199</v>
      </c>
      <c r="N6" s="8">
        <f>'Proximal Validation (double)'!N6</f>
        <v>3.8662729784846302E-3</v>
      </c>
      <c r="O6" s="8">
        <f>'Proximal Validation (double)'!O6</f>
        <v>-9.7615689039230305E-2</v>
      </c>
      <c r="P6" s="8">
        <f>'Proximal Validation (double)'!P6</f>
        <v>2.8949752449989302E-2</v>
      </c>
      <c r="Q6" s="8">
        <f>'Proximal Validation (double)'!Q6</f>
        <v>0.88741946220397905</v>
      </c>
      <c r="R6" s="8">
        <v>0.98919999999999997</v>
      </c>
      <c r="S6" s="8">
        <v>0.1245</v>
      </c>
      <c r="T6" s="8">
        <v>1.5708</v>
      </c>
      <c r="U6" s="8">
        <v>1.5708</v>
      </c>
      <c r="V6" s="8">
        <v>0.1</v>
      </c>
      <c r="W6" s="8">
        <v>0.08</v>
      </c>
      <c r="X6" s="8">
        <v>4.7122999999999999</v>
      </c>
      <c r="Y6" s="8">
        <v>1.5708</v>
      </c>
      <c r="Z6" s="8">
        <f t="shared" si="2"/>
        <v>8.9199999999999946E-2</v>
      </c>
      <c r="AA6" s="8">
        <f t="shared" si="3"/>
        <v>2.4499999999999994E-2</v>
      </c>
      <c r="AB6" s="8">
        <f t="shared" si="4"/>
        <v>-1.9999999999997797E-4</v>
      </c>
      <c r="AC6" s="8">
        <f t="shared" si="5"/>
        <v>3.6732051034160662E-6</v>
      </c>
      <c r="AD6" s="8">
        <f t="shared" si="6"/>
        <v>-0.1</v>
      </c>
      <c r="AE6" s="8">
        <f t="shared" si="7"/>
        <v>0</v>
      </c>
      <c r="AF6" s="8">
        <f t="shared" si="8"/>
        <v>3.00000000000189E-4</v>
      </c>
      <c r="AG6" s="8">
        <f t="shared" si="9"/>
        <v>3.6732051034160662E-6</v>
      </c>
      <c r="AH6" s="22">
        <f t="shared" si="10"/>
        <v>9.4599999999999976E-2</v>
      </c>
      <c r="AI6" s="22">
        <f t="shared" si="11"/>
        <v>1.2249999999999997E-2</v>
      </c>
      <c r="AJ6" s="22">
        <f t="shared" si="12"/>
        <v>2.5000000000008349E-4</v>
      </c>
      <c r="AK6" s="20" t="s">
        <v>33</v>
      </c>
      <c r="AL6" s="20" t="s">
        <v>34</v>
      </c>
      <c r="AM6" s="20" t="s">
        <v>35</v>
      </c>
      <c r="AN6" s="21"/>
      <c r="AO6" s="21"/>
      <c r="AP6" s="21"/>
      <c r="AQ6" s="21"/>
      <c r="AR6" s="21"/>
    </row>
    <row r="7" spans="1:44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-1.4075441285967801E-3</v>
      </c>
      <c r="M7" s="8">
        <f>'Proximal Validation (double)'!M7</f>
        <v>7.2883039712905898E-2</v>
      </c>
      <c r="N7" s="8">
        <f>'Proximal Validation (double)'!N7</f>
        <v>-0.11806334555149101</v>
      </c>
      <c r="O7" s="8">
        <f>'Proximal Validation (double)'!O7</f>
        <v>2.7194060385227199E-3</v>
      </c>
      <c r="P7" s="8">
        <f>'Proximal Validation (double)'!P7</f>
        <v>-0.75840699672698997</v>
      </c>
      <c r="Q7" s="8">
        <f>'Proximal Validation (double)'!Q7</f>
        <v>-0.50915515422821001</v>
      </c>
      <c r="R7" s="8">
        <v>0.2014</v>
      </c>
      <c r="S7" s="8">
        <v>0.1</v>
      </c>
      <c r="T7" s="8">
        <v>3.2376</v>
      </c>
      <c r="U7" s="8">
        <v>1.5708</v>
      </c>
      <c r="V7" s="8">
        <v>0.74260000000000004</v>
      </c>
      <c r="W7" s="8">
        <v>5.04E-2</v>
      </c>
      <c r="X7" s="8">
        <v>3.8620000000000001</v>
      </c>
      <c r="Y7" s="8">
        <v>1.5708</v>
      </c>
      <c r="Z7" s="8">
        <f t="shared" si="2"/>
        <v>0.10139999999999999</v>
      </c>
      <c r="AA7" s="8">
        <f t="shared" si="3"/>
        <v>-1.999999999999999E-2</v>
      </c>
      <c r="AB7" s="8">
        <f t="shared" si="4"/>
        <v>1.6666000000000001</v>
      </c>
      <c r="AC7" s="8">
        <f t="shared" si="5"/>
        <v>3.6732051034160662E-6</v>
      </c>
      <c r="AD7" s="8">
        <f t="shared" si="6"/>
        <v>-0.25739999999999996</v>
      </c>
      <c r="AE7" s="8">
        <f t="shared" si="7"/>
        <v>-9.5999999999999974E-3</v>
      </c>
      <c r="AF7" s="8">
        <f t="shared" si="8"/>
        <v>-6.4999999999999947E-2</v>
      </c>
      <c r="AG7" s="8">
        <f t="shared" si="9"/>
        <v>3.6732051034160662E-6</v>
      </c>
      <c r="AH7" s="22">
        <f t="shared" si="10"/>
        <v>0.17939999999999998</v>
      </c>
      <c r="AI7" s="22">
        <f t="shared" si="11"/>
        <v>1.4799999999999994E-2</v>
      </c>
      <c r="AJ7" s="22">
        <f t="shared" si="12"/>
        <v>0.86580000000000001</v>
      </c>
      <c r="AK7" s="21">
        <f>AVERAGE(AK4,AO4)</f>
        <v>0.12134124999999998</v>
      </c>
      <c r="AL7" s="21">
        <f t="shared" ref="AL7:AM7" si="13">AVERAGE(AL4,AP4)</f>
        <v>2.107125E-2</v>
      </c>
      <c r="AM7" s="21">
        <f t="shared" si="13"/>
        <v>0.30666124999999994</v>
      </c>
      <c r="AN7" s="21"/>
      <c r="AO7" s="21"/>
      <c r="AP7" s="21"/>
      <c r="AQ7" s="21"/>
      <c r="AR7" s="21"/>
    </row>
    <row r="8" spans="1:44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3.4910831600427602E-3</v>
      </c>
      <c r="M8" s="8">
        <f>'Proximal Validation (double)'!M8</f>
        <v>-0.18494510650634799</v>
      </c>
      <c r="N8" s="8">
        <f>'Proximal Validation (double)'!N8</f>
        <v>-9.0413324534892994E-2</v>
      </c>
      <c r="O8" s="8">
        <f>'Proximal Validation (double)'!O8</f>
        <v>-0.40126189589500399</v>
      </c>
      <c r="P8" s="8">
        <f>'Proximal Validation (double)'!P8</f>
        <v>-0.60379952192306496</v>
      </c>
      <c r="Q8" s="8">
        <f>'Proximal Validation (double)'!Q8</f>
        <v>0.49847054481506298</v>
      </c>
      <c r="R8" s="8">
        <v>0.90759999999999996</v>
      </c>
      <c r="S8" s="8">
        <v>0.1739</v>
      </c>
      <c r="T8" s="8">
        <v>1.7493000000000001</v>
      </c>
      <c r="U8" s="8">
        <v>1.5708</v>
      </c>
      <c r="V8" s="8">
        <v>0.53449999999999998</v>
      </c>
      <c r="W8" s="8">
        <v>0.02</v>
      </c>
      <c r="X8" s="8">
        <v>3.7360000000000002</v>
      </c>
      <c r="Y8" s="8">
        <v>1.5708</v>
      </c>
      <c r="Z8" s="8">
        <f t="shared" si="2"/>
        <v>0.10759999999999992</v>
      </c>
      <c r="AA8" s="8">
        <f t="shared" si="3"/>
        <v>1.3899999999999996E-2</v>
      </c>
      <c r="AB8" s="8">
        <f t="shared" si="4"/>
        <v>0.17830000000000013</v>
      </c>
      <c r="AC8" s="8">
        <f t="shared" si="5"/>
        <v>3.6732051034160662E-6</v>
      </c>
      <c r="AD8" s="8">
        <f t="shared" si="6"/>
        <v>-0.26550000000000007</v>
      </c>
      <c r="AE8" s="8">
        <f t="shared" si="7"/>
        <v>-3.9999999999999994E-2</v>
      </c>
      <c r="AF8" s="8">
        <f t="shared" si="8"/>
        <v>-0.19099999999999984</v>
      </c>
      <c r="AG8" s="8">
        <f t="shared" si="9"/>
        <v>3.6732051034160662E-6</v>
      </c>
      <c r="AH8" s="23">
        <f t="shared" si="10"/>
        <v>0.18654999999999999</v>
      </c>
      <c r="AI8" s="23">
        <f t="shared" si="11"/>
        <v>2.6949999999999995E-2</v>
      </c>
      <c r="AJ8" s="23">
        <f t="shared" si="12"/>
        <v>0.18464999999999998</v>
      </c>
    </row>
    <row r="9" spans="1:44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1.5908150235191001E-3</v>
      </c>
      <c r="M9" s="8">
        <f>'Proximal Validation (double)'!M9</f>
        <v>-3.4777380526065799E-2</v>
      </c>
      <c r="N9" s="8">
        <f>'Proximal Validation (double)'!N9</f>
        <v>-1.5904162079095799E-2</v>
      </c>
      <c r="O9" s="8">
        <f>'Proximal Validation (double)'!O9</f>
        <v>-2.0381897687912001E-2</v>
      </c>
      <c r="P9" s="8">
        <f>'Proximal Validation (double)'!P9</f>
        <v>-0.14476515352725999</v>
      </c>
      <c r="Q9" s="8">
        <f>'Proximal Validation (double)'!Q9</f>
        <v>0.117096215486526</v>
      </c>
      <c r="R9" s="8">
        <v>0.15629999999999999</v>
      </c>
      <c r="S9" s="8">
        <v>0.17380000000000001</v>
      </c>
      <c r="T9" s="8">
        <v>1.5708</v>
      </c>
      <c r="U9" s="8">
        <v>1.5708</v>
      </c>
      <c r="V9" s="8">
        <v>0.14879999999999999</v>
      </c>
      <c r="W9" s="8">
        <v>2.5499999999999998E-2</v>
      </c>
      <c r="X9" s="8">
        <v>3.4020000000000001</v>
      </c>
      <c r="Y9" s="8">
        <v>1.5708</v>
      </c>
      <c r="Z9" s="8">
        <f t="shared" si="2"/>
        <v>5.6299999999999989E-2</v>
      </c>
      <c r="AA9" s="8">
        <f t="shared" si="3"/>
        <v>-6.1999999999999833E-3</v>
      </c>
      <c r="AB9" s="8">
        <f t="shared" si="4"/>
        <v>-1.9999999999997797E-4</v>
      </c>
      <c r="AC9" s="8">
        <f t="shared" si="5"/>
        <v>3.6732051034160662E-6</v>
      </c>
      <c r="AD9" s="8">
        <f t="shared" si="6"/>
        <v>4.8799999999999982E-2</v>
      </c>
      <c r="AE9" s="8">
        <f t="shared" si="7"/>
        <v>5.4999999999999979E-3</v>
      </c>
      <c r="AF9" s="8">
        <f t="shared" si="8"/>
        <v>0.26000000000000023</v>
      </c>
      <c r="AG9" s="8">
        <f t="shared" si="9"/>
        <v>3.6732051034160662E-6</v>
      </c>
      <c r="AH9" s="22">
        <f t="shared" si="10"/>
        <v>5.2549999999999986E-2</v>
      </c>
      <c r="AI9" s="22">
        <f t="shared" si="11"/>
        <v>5.8499999999999906E-3</v>
      </c>
      <c r="AJ9" s="22">
        <f t="shared" si="12"/>
        <v>0.1301000000000001</v>
      </c>
    </row>
    <row r="10" spans="1:44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2.3236712440848398E-3</v>
      </c>
      <c r="M10" s="8">
        <f>'Proximal Validation (double)'!M10</f>
        <v>-0.204822152853012</v>
      </c>
      <c r="N10" s="8">
        <f>'Proximal Validation (double)'!N10</f>
        <v>6.1566708609461802E-3</v>
      </c>
      <c r="O10" s="8">
        <f>'Proximal Validation (double)'!O10</f>
        <v>-0.39857342839241</v>
      </c>
      <c r="P10" s="8">
        <f>'Proximal Validation (double)'!P10</f>
        <v>2.7593433856964101E-2</v>
      </c>
      <c r="Q10" s="8">
        <f>'Proximal Validation (double)'!Q10</f>
        <v>0.66701602935791005</v>
      </c>
      <c r="R10" s="8">
        <v>0.86890000000000001</v>
      </c>
      <c r="S10" s="8">
        <v>0.182</v>
      </c>
      <c r="T10" s="8">
        <v>1.5708</v>
      </c>
      <c r="U10" s="8">
        <v>1.5708</v>
      </c>
      <c r="V10" s="8">
        <v>0.10489999999999999</v>
      </c>
      <c r="W10" s="8">
        <v>3.2899999999999999E-2</v>
      </c>
      <c r="X10" s="8">
        <v>4.7123999999999997</v>
      </c>
      <c r="Y10" s="8">
        <v>1.5708</v>
      </c>
      <c r="Z10" s="8">
        <f t="shared" si="2"/>
        <v>-3.1100000000000017E-2</v>
      </c>
      <c r="AA10" s="8">
        <f t="shared" si="3"/>
        <v>2.0000000000000018E-3</v>
      </c>
      <c r="AB10" s="8">
        <f t="shared" si="4"/>
        <v>-1.9999999999997797E-4</v>
      </c>
      <c r="AC10" s="8">
        <f t="shared" si="5"/>
        <v>3.6732051034160662E-6</v>
      </c>
      <c r="AD10" s="8">
        <f t="shared" si="6"/>
        <v>4.8999999999999877E-3</v>
      </c>
      <c r="AE10" s="8">
        <f t="shared" si="7"/>
        <v>-4.7100000000000003E-2</v>
      </c>
      <c r="AF10" s="8">
        <f t="shared" si="8"/>
        <v>3.9999999999995595E-4</v>
      </c>
      <c r="AG10" s="8">
        <f t="shared" si="9"/>
        <v>3.6732051034160662E-6</v>
      </c>
      <c r="AH10" s="22">
        <f t="shared" si="10"/>
        <v>1.8000000000000002E-2</v>
      </c>
      <c r="AI10" s="22">
        <f t="shared" si="11"/>
        <v>2.4550000000000002E-2</v>
      </c>
      <c r="AJ10" s="22">
        <f t="shared" si="12"/>
        <v>2.9999999999996696E-4</v>
      </c>
    </row>
    <row r="11" spans="1:44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1.6893346328288299E-3</v>
      </c>
      <c r="M11" s="8">
        <f>'Proximal Validation (double)'!M11</f>
        <v>9.5554247498512296E-2</v>
      </c>
      <c r="N11" s="8">
        <f>'Proximal Validation (double)'!N11</f>
        <v>-8.84410343132913E-4</v>
      </c>
      <c r="O11" s="8">
        <f>'Proximal Validation (double)'!O11</f>
        <v>-4.5536972582340199E-2</v>
      </c>
      <c r="P11" s="8">
        <f>'Proximal Validation (double)'!P11</f>
        <v>-5.9180781245231602E-3</v>
      </c>
      <c r="Q11" s="8">
        <f>'Proximal Validation (double)'!Q11</f>
        <v>-0.73156416416168202</v>
      </c>
      <c r="R11" s="8">
        <v>0.20469999999999999</v>
      </c>
      <c r="S11" s="8">
        <v>0.1123</v>
      </c>
      <c r="T11" s="8">
        <v>4.6962999999999999</v>
      </c>
      <c r="U11" s="8">
        <v>1.5708</v>
      </c>
      <c r="V11" s="8">
        <v>0.52680000000000005</v>
      </c>
      <c r="W11" s="8">
        <v>0.02</v>
      </c>
      <c r="X11" s="8">
        <v>4.7068000000000003</v>
      </c>
      <c r="Y11" s="8">
        <v>1.5708</v>
      </c>
      <c r="Z11" s="8">
        <f t="shared" si="2"/>
        <v>-9.5299999999999996E-2</v>
      </c>
      <c r="AA11" s="8">
        <f t="shared" si="3"/>
        <v>-6.7699999999999996E-2</v>
      </c>
      <c r="AB11" s="8">
        <f t="shared" si="4"/>
        <v>3.1253000000000002</v>
      </c>
      <c r="AC11" s="8">
        <f t="shared" si="5"/>
        <v>3.6732051034160662E-6</v>
      </c>
      <c r="AD11" s="8">
        <f t="shared" si="6"/>
        <v>-0.37319999999999998</v>
      </c>
      <c r="AE11" s="8">
        <f t="shared" si="7"/>
        <v>-0.06</v>
      </c>
      <c r="AF11" s="8">
        <f t="shared" si="8"/>
        <v>-5.1999999999994273E-3</v>
      </c>
      <c r="AG11" s="8">
        <f t="shared" si="9"/>
        <v>3.6732051034160662E-6</v>
      </c>
      <c r="AH11" s="22">
        <f t="shared" si="10"/>
        <v>0.23424999999999999</v>
      </c>
      <c r="AI11" s="22">
        <f t="shared" si="11"/>
        <v>6.384999999999999E-2</v>
      </c>
      <c r="AJ11" s="22">
        <f t="shared" si="12"/>
        <v>1.5652499999999998</v>
      </c>
    </row>
    <row r="12" spans="1:44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1.2135198339819899E-3</v>
      </c>
      <c r="M12" s="8">
        <f>'Proximal Validation (double)'!M12</f>
        <v>-0.182935655117035</v>
      </c>
      <c r="N12" s="8">
        <f>'Proximal Validation (double)'!N12</f>
        <v>-0.104798644781113</v>
      </c>
      <c r="O12" s="8">
        <f>'Proximal Validation (double)'!O12</f>
        <v>-0.48353463411331199</v>
      </c>
      <c r="P12" s="8">
        <f>'Proximal Validation (double)'!P12</f>
        <v>-0.98798036575317405</v>
      </c>
      <c r="Q12" s="8">
        <f>'Proximal Validation (double)'!Q12</f>
        <v>0.51245713233947798</v>
      </c>
      <c r="R12" s="8">
        <v>0.84030000000000005</v>
      </c>
      <c r="S12" s="8">
        <v>0.2</v>
      </c>
      <c r="T12" s="8">
        <v>1.5708</v>
      </c>
      <c r="U12" s="8">
        <v>1.5708</v>
      </c>
      <c r="V12" s="8">
        <v>0.99680000000000002</v>
      </c>
      <c r="W12" s="8">
        <v>0.02</v>
      </c>
      <c r="X12" s="8">
        <v>3.3195000000000001</v>
      </c>
      <c r="Y12" s="8">
        <v>1.5708</v>
      </c>
      <c r="Z12" s="8">
        <f t="shared" si="2"/>
        <v>-5.9699999999999975E-2</v>
      </c>
      <c r="AA12" s="8">
        <f t="shared" si="3"/>
        <v>0</v>
      </c>
      <c r="AB12" s="8">
        <f t="shared" si="4"/>
        <v>-1.9999999999997797E-4</v>
      </c>
      <c r="AC12" s="8">
        <f t="shared" si="5"/>
        <v>3.6732051034160662E-6</v>
      </c>
      <c r="AD12" s="8">
        <f t="shared" si="6"/>
        <v>-3.1999999999999806E-3</v>
      </c>
      <c r="AE12" s="8">
        <f t="shared" si="7"/>
        <v>0</v>
      </c>
      <c r="AF12" s="8">
        <f t="shared" si="8"/>
        <v>0.17750000000000021</v>
      </c>
      <c r="AG12" s="8">
        <f t="shared" si="9"/>
        <v>3.6732051034160662E-6</v>
      </c>
      <c r="AH12" s="22">
        <f t="shared" si="10"/>
        <v>3.1449999999999978E-2</v>
      </c>
      <c r="AI12" s="22">
        <f t="shared" si="11"/>
        <v>0</v>
      </c>
      <c r="AJ12" s="22">
        <f t="shared" si="12"/>
        <v>8.8850000000000096E-2</v>
      </c>
    </row>
    <row r="13" spans="1:44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-6.5936520695686297E-4</v>
      </c>
      <c r="M13" s="8">
        <f>'Proximal Validation (double)'!M13</f>
        <v>3.10139125213027E-3</v>
      </c>
      <c r="N13" s="8">
        <f>'Proximal Validation (double)'!N13</f>
        <v>-6.7128308117389707E-2</v>
      </c>
      <c r="O13" s="8">
        <f>'Proximal Validation (double)'!O13</f>
        <v>3.1099312007427202E-2</v>
      </c>
      <c r="P13" s="8">
        <f>'Proximal Validation (double)'!P13</f>
        <v>-0.38181251287460299</v>
      </c>
      <c r="Q13" s="8">
        <f>'Proximal Validation (double)'!Q13</f>
        <v>-3.04524004459381E-2</v>
      </c>
      <c r="R13" s="8">
        <v>0.18010000000000001</v>
      </c>
      <c r="S13" s="8">
        <v>0.1</v>
      </c>
      <c r="T13" s="8">
        <v>3.0131000000000001</v>
      </c>
      <c r="U13" s="8">
        <v>1.5708</v>
      </c>
      <c r="V13" s="8">
        <v>0.2107</v>
      </c>
      <c r="W13" s="8">
        <v>4.9200000000000001E-2</v>
      </c>
      <c r="X13" s="8">
        <v>3.3986000000000001</v>
      </c>
      <c r="Y13" s="8">
        <v>1.5708</v>
      </c>
      <c r="Z13" s="8">
        <f t="shared" si="2"/>
        <v>8.0100000000000005E-2</v>
      </c>
      <c r="AA13" s="8">
        <f t="shared" si="3"/>
        <v>-0.1</v>
      </c>
      <c r="AB13" s="8">
        <f t="shared" si="4"/>
        <v>1.4421000000000002</v>
      </c>
      <c r="AC13" s="8">
        <f t="shared" si="5"/>
        <v>3.6732051034160662E-6</v>
      </c>
      <c r="AD13" s="8">
        <f t="shared" si="6"/>
        <v>-8.929999999999999E-2</v>
      </c>
      <c r="AE13" s="8">
        <f t="shared" si="7"/>
        <v>-3.0800000000000001E-2</v>
      </c>
      <c r="AF13" s="8">
        <f t="shared" si="8"/>
        <v>0.25660000000000016</v>
      </c>
      <c r="AG13" s="8">
        <f t="shared" si="9"/>
        <v>3.6732051034160662E-6</v>
      </c>
      <c r="AH13" s="22">
        <f t="shared" si="10"/>
        <v>8.4699999999999998E-2</v>
      </c>
      <c r="AI13" s="22">
        <f t="shared" si="11"/>
        <v>6.54E-2</v>
      </c>
      <c r="AJ13" s="22">
        <f t="shared" si="12"/>
        <v>0.84935000000000016</v>
      </c>
    </row>
    <row r="14" spans="1:44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8.7932776659727097E-3</v>
      </c>
      <c r="M14" s="8">
        <f>'Proximal Validation (double)'!M14</f>
        <v>-0.16019897162914301</v>
      </c>
      <c r="N14" s="8">
        <f>'Proximal Validation (double)'!N14</f>
        <v>-2.4834894575178602E-3</v>
      </c>
      <c r="O14" s="8">
        <f>'Proximal Validation (double)'!O14</f>
        <v>-0.46627718210220298</v>
      </c>
      <c r="P14" s="8">
        <f>'Proximal Validation (double)'!P14</f>
        <v>-1.91364511847496E-2</v>
      </c>
      <c r="Q14" s="8">
        <f>'Proximal Validation (double)'!Q14</f>
        <v>0.27873134613037098</v>
      </c>
      <c r="R14" s="8">
        <v>0.8367</v>
      </c>
      <c r="S14" s="8">
        <v>0.1908</v>
      </c>
      <c r="T14" s="8">
        <v>1.5709</v>
      </c>
      <c r="U14" s="8">
        <v>1.5708</v>
      </c>
      <c r="V14" s="8">
        <v>0.4153</v>
      </c>
      <c r="W14" s="8">
        <v>2.1499999999999998E-2</v>
      </c>
      <c r="X14" s="8">
        <v>4.7123999999999997</v>
      </c>
      <c r="Y14" s="8">
        <v>1.5708</v>
      </c>
      <c r="Z14" s="8">
        <f t="shared" si="2"/>
        <v>-6.3300000000000023E-2</v>
      </c>
      <c r="AA14" s="8">
        <f t="shared" si="3"/>
        <v>-9.2000000000000137E-3</v>
      </c>
      <c r="AB14" s="8">
        <f t="shared" si="4"/>
        <v>-9.9999999999988987E-5</v>
      </c>
      <c r="AC14" s="8">
        <f t="shared" si="5"/>
        <v>3.6732051034160662E-6</v>
      </c>
      <c r="AD14" s="8">
        <f t="shared" si="6"/>
        <v>0.11530000000000001</v>
      </c>
      <c r="AE14" s="8">
        <f t="shared" si="7"/>
        <v>1.4999999999999979E-3</v>
      </c>
      <c r="AF14" s="8">
        <f t="shared" si="8"/>
        <v>3.9999999999995595E-4</v>
      </c>
      <c r="AG14" s="8">
        <f t="shared" si="9"/>
        <v>3.6732051034160662E-6</v>
      </c>
      <c r="AH14" s="22">
        <f t="shared" si="10"/>
        <v>8.9300000000000018E-2</v>
      </c>
      <c r="AI14" s="22">
        <f t="shared" si="11"/>
        <v>5.3500000000000058E-3</v>
      </c>
      <c r="AJ14" s="22">
        <f t="shared" si="12"/>
        <v>2.4999999999997247E-4</v>
      </c>
    </row>
    <row r="15" spans="1:44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-7.9012457281351107E-3</v>
      </c>
      <c r="M15" s="8">
        <f>'Proximal Validation (double)'!M15</f>
        <v>-4.3984718620777102E-2</v>
      </c>
      <c r="N15" s="8">
        <f>'Proximal Validation (double)'!N15</f>
        <v>-0.141960874199867</v>
      </c>
      <c r="O15" s="8">
        <f>'Proximal Validation (double)'!O15</f>
        <v>8.6025655269622803E-2</v>
      </c>
      <c r="P15" s="8">
        <f>'Proximal Validation (double)'!P15</f>
        <v>-0.69405859708786</v>
      </c>
      <c r="Q15" s="8">
        <f>'Proximal Validation (double)'!Q15</f>
        <v>-0.18663805723190299</v>
      </c>
      <c r="R15" s="8">
        <v>0.60899999999999999</v>
      </c>
      <c r="S15" s="8">
        <v>0.1</v>
      </c>
      <c r="T15" s="8">
        <v>2.4152</v>
      </c>
      <c r="U15" s="8">
        <v>1.5708</v>
      </c>
      <c r="V15" s="8">
        <v>0.63549999999999995</v>
      </c>
      <c r="W15" s="8">
        <v>0.02</v>
      </c>
      <c r="X15" s="8">
        <v>4.3217999999999996</v>
      </c>
      <c r="Y15" s="8">
        <v>1.5708</v>
      </c>
      <c r="Z15" s="8">
        <f t="shared" si="2"/>
        <v>-0.29100000000000004</v>
      </c>
      <c r="AA15" s="8">
        <f t="shared" si="3"/>
        <v>0</v>
      </c>
      <c r="AB15" s="8">
        <f t="shared" si="4"/>
        <v>5.9200000000000141E-2</v>
      </c>
      <c r="AC15" s="8">
        <f t="shared" si="5"/>
        <v>3.6732051034160662E-6</v>
      </c>
      <c r="AD15" s="8">
        <f t="shared" si="6"/>
        <v>-0.26450000000000007</v>
      </c>
      <c r="AE15" s="8">
        <f t="shared" si="7"/>
        <v>0</v>
      </c>
      <c r="AF15" s="8">
        <f t="shared" si="8"/>
        <v>-0.3902000000000001</v>
      </c>
      <c r="AG15" s="8">
        <f t="shared" si="9"/>
        <v>3.6732051034160662E-6</v>
      </c>
      <c r="AH15" s="22">
        <f t="shared" si="10"/>
        <v>0.27775000000000005</v>
      </c>
      <c r="AI15" s="22">
        <f t="shared" si="11"/>
        <v>0</v>
      </c>
      <c r="AJ15" s="22">
        <f t="shared" si="12"/>
        <v>0.22470000000000012</v>
      </c>
    </row>
    <row r="16" spans="1:44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-3.90403810888529E-3</v>
      </c>
      <c r="M16" s="8">
        <f>'Proximal Validation (double)'!M16</f>
        <v>-6.7934043705463396E-2</v>
      </c>
      <c r="N16" s="8">
        <f>'Proximal Validation (double)'!N16</f>
        <v>-8.5464723408222198E-2</v>
      </c>
      <c r="O16" s="8">
        <f>'Proximal Validation (double)'!O16</f>
        <v>2.6761934161186201E-2</v>
      </c>
      <c r="P16" s="8">
        <f>'Proximal Validation (double)'!P16</f>
        <v>-0.412941753864288</v>
      </c>
      <c r="Q16" s="8">
        <f>'Proximal Validation (double)'!Q16</f>
        <v>0.30062127113342302</v>
      </c>
      <c r="R16" s="8">
        <v>0.44479999999999997</v>
      </c>
      <c r="S16" s="8">
        <v>0.1</v>
      </c>
      <c r="T16" s="8">
        <v>2.2770000000000001</v>
      </c>
      <c r="U16" s="8">
        <v>1.5708</v>
      </c>
      <c r="V16" s="8">
        <v>0.13070000000000001</v>
      </c>
      <c r="W16" s="8">
        <v>7.9699999999999993E-2</v>
      </c>
      <c r="X16" s="8">
        <v>3.4281000000000001</v>
      </c>
      <c r="Y16" s="8">
        <v>1.5708</v>
      </c>
      <c r="Z16" s="8">
        <f t="shared" si="2"/>
        <v>4.4799999999999951E-2</v>
      </c>
      <c r="AA16" s="8">
        <f t="shared" si="3"/>
        <v>-1.999999999999999E-2</v>
      </c>
      <c r="AB16" s="8">
        <f t="shared" si="4"/>
        <v>-7.8999999999999737E-2</v>
      </c>
      <c r="AC16" s="8">
        <f t="shared" si="5"/>
        <v>3.6732051034160662E-6</v>
      </c>
      <c r="AD16" s="8">
        <f t="shared" si="6"/>
        <v>3.0700000000000005E-2</v>
      </c>
      <c r="AE16" s="8">
        <f t="shared" si="7"/>
        <v>1.9699999999999995E-2</v>
      </c>
      <c r="AF16" s="8">
        <f t="shared" si="8"/>
        <v>0.28610000000000024</v>
      </c>
      <c r="AG16" s="8">
        <f t="shared" si="9"/>
        <v>3.6732051034160662E-6</v>
      </c>
      <c r="AH16" s="22">
        <f t="shared" si="10"/>
        <v>3.7749999999999978E-2</v>
      </c>
      <c r="AI16" s="22">
        <f t="shared" si="11"/>
        <v>1.9849999999999993E-2</v>
      </c>
      <c r="AJ16" s="22">
        <f t="shared" si="12"/>
        <v>0.18254999999999999</v>
      </c>
    </row>
    <row r="17" spans="1:36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-2.8297975659370401E-3</v>
      </c>
      <c r="M17" s="8">
        <f>'Proximal Validation (double)'!M17</f>
        <v>-0.18058618903160101</v>
      </c>
      <c r="N17" s="8">
        <f>'Proximal Validation (double)'!N17</f>
        <v>-0.23388142883777599</v>
      </c>
      <c r="O17" s="8">
        <f>'Proximal Validation (double)'!O17</f>
        <v>-0.26429381966590898</v>
      </c>
      <c r="P17" s="8">
        <f>'Proximal Validation (double)'!P17</f>
        <v>-1.1066045761108401</v>
      </c>
      <c r="Q17" s="8">
        <f>'Proximal Validation (double)'!Q17</f>
        <v>0.67185997962951705</v>
      </c>
      <c r="R17" s="8">
        <v>1</v>
      </c>
      <c r="S17" s="8">
        <v>0.15279999999999999</v>
      </c>
      <c r="T17" s="8">
        <v>2.1778</v>
      </c>
      <c r="U17" s="8">
        <v>1.5708</v>
      </c>
      <c r="V17" s="8">
        <v>0.56740000000000002</v>
      </c>
      <c r="W17" s="8">
        <v>0.08</v>
      </c>
      <c r="X17" s="8">
        <v>3.3569</v>
      </c>
      <c r="Y17" s="8">
        <v>1.5708</v>
      </c>
      <c r="Z17" s="8">
        <f t="shared" si="2"/>
        <v>0</v>
      </c>
      <c r="AA17" s="8">
        <f t="shared" si="3"/>
        <v>1.2799999999999978E-2</v>
      </c>
      <c r="AB17" s="8">
        <f t="shared" si="4"/>
        <v>-0.17819999999999991</v>
      </c>
      <c r="AC17" s="8">
        <f t="shared" si="5"/>
        <v>3.6732051034160662E-6</v>
      </c>
      <c r="AD17" s="8">
        <f t="shared" si="6"/>
        <v>0.16739999999999999</v>
      </c>
      <c r="AE17" s="8">
        <f t="shared" si="7"/>
        <v>0.04</v>
      </c>
      <c r="AF17" s="8">
        <f t="shared" si="8"/>
        <v>-0.57010000000000005</v>
      </c>
      <c r="AG17" s="8">
        <f t="shared" si="9"/>
        <v>3.6732051034160662E-6</v>
      </c>
      <c r="AH17" s="22">
        <f t="shared" si="10"/>
        <v>8.3699999999999997E-2</v>
      </c>
      <c r="AI17" s="22">
        <f t="shared" si="11"/>
        <v>2.6399999999999989E-2</v>
      </c>
      <c r="AJ17" s="22">
        <f t="shared" si="12"/>
        <v>0.37414999999999998</v>
      </c>
    </row>
    <row r="18" spans="1:36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-6.22342247515917E-3</v>
      </c>
      <c r="M18" s="8">
        <f>'Proximal Validation (double)'!M18</f>
        <v>-5.8960229158401503E-2</v>
      </c>
      <c r="N18" s="8">
        <f>'Proximal Validation (double)'!N18</f>
        <v>-0.15366320312023199</v>
      </c>
      <c r="O18" s="8">
        <f>'Proximal Validation (double)'!O18</f>
        <v>-5.5010270327329601E-2</v>
      </c>
      <c r="P18" s="8">
        <f>'Proximal Validation (double)'!P18</f>
        <v>-0.88742548227310203</v>
      </c>
      <c r="Q18" s="8">
        <f>'Proximal Validation (double)'!Q18</f>
        <v>0.18511915206909199</v>
      </c>
      <c r="R18" s="8">
        <v>0.46539999999999998</v>
      </c>
      <c r="S18" s="8">
        <v>0.1525</v>
      </c>
      <c r="T18" s="8">
        <v>2.4117000000000002</v>
      </c>
      <c r="U18" s="8">
        <v>1.5708</v>
      </c>
      <c r="V18" s="8">
        <v>0.55679999999999996</v>
      </c>
      <c r="W18" s="8">
        <v>3.8899999999999997E-2</v>
      </c>
      <c r="X18" s="8">
        <v>3.3643999999999998</v>
      </c>
      <c r="Y18" s="8">
        <v>1.5708</v>
      </c>
      <c r="Z18" s="8">
        <f t="shared" si="2"/>
        <v>6.5399999999999958E-2</v>
      </c>
      <c r="AA18" s="8">
        <f t="shared" si="3"/>
        <v>-2.7499999999999997E-2</v>
      </c>
      <c r="AB18" s="8">
        <f t="shared" si="4"/>
        <v>5.5700000000000305E-2</v>
      </c>
      <c r="AC18" s="8">
        <f t="shared" si="5"/>
        <v>3.6732051034160662E-6</v>
      </c>
      <c r="AD18" s="8">
        <f t="shared" si="6"/>
        <v>-0.14319999999999999</v>
      </c>
      <c r="AE18" s="8">
        <f t="shared" si="7"/>
        <v>-1.1000000000000038E-3</v>
      </c>
      <c r="AF18" s="8">
        <f t="shared" si="8"/>
        <v>0.22239999999999993</v>
      </c>
      <c r="AG18" s="8">
        <f t="shared" si="9"/>
        <v>3.6732051034160662E-6</v>
      </c>
      <c r="AH18" s="22">
        <f t="shared" si="10"/>
        <v>0.10429999999999998</v>
      </c>
      <c r="AI18" s="22">
        <f t="shared" si="11"/>
        <v>1.43E-2</v>
      </c>
      <c r="AJ18" s="22">
        <f t="shared" si="12"/>
        <v>0.13905000000000012</v>
      </c>
    </row>
    <row r="19" spans="1:36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3.3402333501726402E-3</v>
      </c>
      <c r="M19" s="8">
        <f>'Proximal Validation (double)'!M19</f>
        <v>1.4506237581372299E-2</v>
      </c>
      <c r="N19" s="8">
        <f>'Proximal Validation (double)'!N19</f>
        <v>-1.5207892283797301E-2</v>
      </c>
      <c r="O19" s="8">
        <f>'Proximal Validation (double)'!O19</f>
        <v>-1.86226963996887E-2</v>
      </c>
      <c r="P19" s="8">
        <f>'Proximal Validation (double)'!P19</f>
        <v>-4.76582162082195E-2</v>
      </c>
      <c r="Q19" s="8">
        <f>'Proximal Validation (double)'!Q19</f>
        <v>-0.14300855994224501</v>
      </c>
      <c r="R19" s="8">
        <v>0.1522</v>
      </c>
      <c r="S19" s="8">
        <v>0.19919999999999999</v>
      </c>
      <c r="T19" s="8">
        <v>1.8935999999999999</v>
      </c>
      <c r="U19" s="8">
        <v>1.5708</v>
      </c>
      <c r="V19" s="8">
        <v>0.28760000000000002</v>
      </c>
      <c r="W19" s="8">
        <v>0.08</v>
      </c>
      <c r="X19" s="8">
        <v>4.7123999999999997</v>
      </c>
      <c r="Y19" s="8">
        <v>1.5708</v>
      </c>
      <c r="Z19" s="8">
        <f t="shared" si="2"/>
        <v>5.2199999999999996E-2</v>
      </c>
      <c r="AA19" s="8">
        <f t="shared" si="3"/>
        <v>1.9199999999999995E-2</v>
      </c>
      <c r="AB19" s="8">
        <f t="shared" si="4"/>
        <v>-0.46239999999999992</v>
      </c>
      <c r="AC19" s="8">
        <f t="shared" si="5"/>
        <v>3.6732051034160662E-6</v>
      </c>
      <c r="AD19" s="8">
        <f t="shared" si="6"/>
        <v>8.7600000000000011E-2</v>
      </c>
      <c r="AE19" s="8">
        <f t="shared" si="7"/>
        <v>2.0000000000000004E-2</v>
      </c>
      <c r="AF19" s="8">
        <f t="shared" si="8"/>
        <v>3.9999999999995595E-4</v>
      </c>
      <c r="AG19" s="8">
        <f t="shared" si="9"/>
        <v>3.6732051034160662E-6</v>
      </c>
      <c r="AH19" s="22">
        <f t="shared" si="10"/>
        <v>6.9900000000000004E-2</v>
      </c>
      <c r="AI19" s="22">
        <f t="shared" si="11"/>
        <v>1.9599999999999999E-2</v>
      </c>
      <c r="AJ19" s="22">
        <f t="shared" si="12"/>
        <v>0.23139999999999994</v>
      </c>
    </row>
    <row r="20" spans="1:36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9.9984761327505094E-3</v>
      </c>
      <c r="M20" s="8">
        <f>'Proximal Validation (double)'!M20</f>
        <v>-0.16704940795898399</v>
      </c>
      <c r="N20" s="8">
        <f>'Proximal Validation (double)'!N20</f>
        <v>-0.211101770401001</v>
      </c>
      <c r="O20" s="8">
        <f>'Proximal Validation (double)'!O20</f>
        <v>-0.65643388032913197</v>
      </c>
      <c r="P20" s="8">
        <f>'Proximal Validation (double)'!P20</f>
        <v>-0.80316579341888406</v>
      </c>
      <c r="Q20" s="8">
        <f>'Proximal Validation (double)'!Q20</f>
        <v>0.504788398742676</v>
      </c>
      <c r="R20" s="8">
        <v>1</v>
      </c>
      <c r="S20" s="8">
        <v>0.2</v>
      </c>
      <c r="T20" s="8">
        <v>2.2614999999999998</v>
      </c>
      <c r="U20" s="8">
        <v>1.5708</v>
      </c>
      <c r="V20" s="8">
        <v>0.3014</v>
      </c>
      <c r="W20" s="8">
        <v>0.08</v>
      </c>
      <c r="X20" s="8">
        <v>3.3893</v>
      </c>
      <c r="Y20" s="8">
        <v>1.5708</v>
      </c>
      <c r="Z20" s="8">
        <f t="shared" si="2"/>
        <v>9.9999999999999978E-2</v>
      </c>
      <c r="AA20" s="8">
        <f t="shared" si="3"/>
        <v>0</v>
      </c>
      <c r="AB20" s="8">
        <f t="shared" si="4"/>
        <v>-9.4500000000000028E-2</v>
      </c>
      <c r="AC20" s="8">
        <f t="shared" si="5"/>
        <v>3.6732051034160662E-6</v>
      </c>
      <c r="AD20" s="8">
        <f t="shared" si="6"/>
        <v>1.4000000000000123E-3</v>
      </c>
      <c r="AE20" s="8">
        <f t="shared" si="7"/>
        <v>2.0000000000000004E-2</v>
      </c>
      <c r="AF20" s="8">
        <f t="shared" si="8"/>
        <v>0.24730000000000008</v>
      </c>
      <c r="AG20" s="8">
        <f t="shared" si="9"/>
        <v>3.6732051034160662E-6</v>
      </c>
      <c r="AH20" s="22">
        <f t="shared" si="10"/>
        <v>5.0699999999999995E-2</v>
      </c>
      <c r="AI20" s="22">
        <f t="shared" si="11"/>
        <v>1.0000000000000002E-2</v>
      </c>
      <c r="AJ20" s="22">
        <f t="shared" si="12"/>
        <v>0.17090000000000005</v>
      </c>
    </row>
    <row r="21" spans="1:36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-4.1311280801892302E-4</v>
      </c>
      <c r="M21" s="8">
        <f>'Proximal Validation (double)'!M21</f>
        <v>3.3949088305234902E-2</v>
      </c>
      <c r="N21" s="8">
        <f>'Proximal Validation (double)'!N21</f>
        <v>-5.4488845169544199E-2</v>
      </c>
      <c r="O21" s="8">
        <f>'Proximal Validation (double)'!O21</f>
        <v>-5.7915411889553096E-3</v>
      </c>
      <c r="P21" s="8">
        <f>'Proximal Validation (double)'!P21</f>
        <v>-0.31081974506378202</v>
      </c>
      <c r="Q21" s="8">
        <f>'Proximal Validation (double)'!Q21</f>
        <v>-0.19208578765392301</v>
      </c>
      <c r="R21" s="8">
        <v>0.1241</v>
      </c>
      <c r="S21" s="8">
        <v>0.1013</v>
      </c>
      <c r="T21" s="8">
        <v>2.3405999999999998</v>
      </c>
      <c r="U21" s="8">
        <v>1.5708</v>
      </c>
      <c r="V21" s="8">
        <v>0.36</v>
      </c>
      <c r="W21" s="8">
        <v>0.08</v>
      </c>
      <c r="X21" s="8">
        <v>4.0404999999999998</v>
      </c>
      <c r="Y21" s="8">
        <v>1.5708</v>
      </c>
      <c r="Z21" s="8">
        <f t="shared" si="2"/>
        <v>2.4099999999999996E-2</v>
      </c>
      <c r="AA21" s="8">
        <f t="shared" si="3"/>
        <v>1.2999999999999956E-3</v>
      </c>
      <c r="AB21" s="8">
        <f t="shared" si="4"/>
        <v>-0.80140000000000011</v>
      </c>
      <c r="AC21" s="8">
        <f t="shared" si="5"/>
        <v>3.6732051034160662E-6</v>
      </c>
      <c r="AD21" s="8">
        <f t="shared" si="6"/>
        <v>0.06</v>
      </c>
      <c r="AE21" s="8">
        <f t="shared" si="7"/>
        <v>0</v>
      </c>
      <c r="AF21" s="8">
        <f t="shared" si="8"/>
        <v>0.11349999999999971</v>
      </c>
      <c r="AG21" s="8">
        <f t="shared" si="9"/>
        <v>3.6732051034160662E-6</v>
      </c>
      <c r="AH21" s="22">
        <f t="shared" si="10"/>
        <v>4.2049999999999997E-2</v>
      </c>
      <c r="AI21" s="22">
        <f t="shared" si="11"/>
        <v>6.499999999999978E-4</v>
      </c>
      <c r="AJ21" s="22">
        <f t="shared" si="12"/>
        <v>0.45744999999999991</v>
      </c>
    </row>
    <row r="22" spans="1:36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-1.08309416100383E-3</v>
      </c>
      <c r="M22" s="8">
        <f>'Proximal Validation (double)'!M22</f>
        <v>4.8130437731742901E-2</v>
      </c>
      <c r="N22" s="8">
        <f>'Proximal Validation (double)'!N22</f>
        <v>-8.1404998898506206E-2</v>
      </c>
      <c r="O22" s="8">
        <f>'Proximal Validation (double)'!O22</f>
        <v>-3.8113974034786197E-2</v>
      </c>
      <c r="P22" s="8">
        <f>'Proximal Validation (double)'!P22</f>
        <v>-0.69519579410553001</v>
      </c>
      <c r="Q22" s="8">
        <f>'Proximal Validation (double)'!Q22</f>
        <v>-0.43949088454246499</v>
      </c>
      <c r="R22" s="8">
        <v>0.1</v>
      </c>
      <c r="S22" s="8">
        <v>0.1</v>
      </c>
      <c r="T22" s="8">
        <v>2.7570999999999999</v>
      </c>
      <c r="U22" s="8">
        <v>1.5708</v>
      </c>
      <c r="V22" s="8">
        <v>0.76839999999999997</v>
      </c>
      <c r="W22" s="8">
        <v>0.02</v>
      </c>
      <c r="X22" s="8">
        <v>3.8117000000000001</v>
      </c>
      <c r="Y22" s="8">
        <v>1.5708</v>
      </c>
      <c r="Z22" s="8">
        <f t="shared" si="2"/>
        <v>0</v>
      </c>
      <c r="AA22" s="8">
        <f t="shared" si="3"/>
        <v>-0.1</v>
      </c>
      <c r="AB22" s="8">
        <f t="shared" si="4"/>
        <v>-0.38490000000000002</v>
      </c>
      <c r="AC22" s="8">
        <f t="shared" si="5"/>
        <v>3.6732051034160662E-6</v>
      </c>
      <c r="AD22" s="8">
        <f t="shared" si="6"/>
        <v>-3.1600000000000072E-2</v>
      </c>
      <c r="AE22" s="8">
        <f t="shared" si="7"/>
        <v>0</v>
      </c>
      <c r="AF22" s="8">
        <f t="shared" si="8"/>
        <v>-0.11529999999999996</v>
      </c>
      <c r="AG22" s="8">
        <f t="shared" si="9"/>
        <v>3.6732051034160662E-6</v>
      </c>
      <c r="AH22" s="22">
        <f t="shared" si="10"/>
        <v>1.5800000000000036E-2</v>
      </c>
      <c r="AI22" s="22">
        <f t="shared" si="11"/>
        <v>0.05</v>
      </c>
      <c r="AJ22" s="22">
        <f t="shared" si="12"/>
        <v>0.25009999999999999</v>
      </c>
    </row>
    <row r="23" spans="1:36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-1.0050361976027501E-2</v>
      </c>
      <c r="M23" s="8">
        <f>'Proximal Validation (double)'!M23</f>
        <v>0.127486452460289</v>
      </c>
      <c r="N23" s="8">
        <f>'Proximal Validation (double)'!N23</f>
        <v>-0.178982153534889</v>
      </c>
      <c r="O23" s="8">
        <f>'Proximal Validation (double)'!O23</f>
        <v>2.8237748891115199E-2</v>
      </c>
      <c r="P23" s="8">
        <f>'Proximal Validation (double)'!P23</f>
        <v>-1.01243340969086</v>
      </c>
      <c r="Q23" s="8">
        <f>'Proximal Validation (double)'!Q23</f>
        <v>-0.60584980249404896</v>
      </c>
      <c r="R23" s="8">
        <v>0.46500000000000002</v>
      </c>
      <c r="S23" s="8">
        <v>0.13719999999999999</v>
      </c>
      <c r="T23" s="8">
        <v>3.8883000000000001</v>
      </c>
      <c r="U23" s="8">
        <v>1.5708</v>
      </c>
      <c r="V23" s="8">
        <v>0.73270000000000002</v>
      </c>
      <c r="W23" s="8">
        <v>4.8099999999999997E-2</v>
      </c>
      <c r="X23" s="8">
        <v>3.552</v>
      </c>
      <c r="Y23" s="8">
        <v>1.5708</v>
      </c>
      <c r="Z23" s="8">
        <f t="shared" si="2"/>
        <v>-0.435</v>
      </c>
      <c r="AA23" s="8">
        <f t="shared" si="3"/>
        <v>3.7199999999999983E-2</v>
      </c>
      <c r="AB23" s="8">
        <f t="shared" si="4"/>
        <v>-3.8699999999999957E-2</v>
      </c>
      <c r="AC23" s="8">
        <f t="shared" si="5"/>
        <v>3.6732051034160662E-6</v>
      </c>
      <c r="AD23" s="8">
        <f t="shared" si="6"/>
        <v>0.53269999999999995</v>
      </c>
      <c r="AE23" s="8">
        <f t="shared" si="7"/>
        <v>2.8099999999999997E-2</v>
      </c>
      <c r="AF23" s="8">
        <f t="shared" si="8"/>
        <v>0.41000000000000014</v>
      </c>
      <c r="AG23" s="8">
        <f t="shared" si="9"/>
        <v>3.6732051034160662E-6</v>
      </c>
      <c r="AH23" s="22">
        <f t="shared" si="10"/>
        <v>0.48385</v>
      </c>
      <c r="AI23" s="22">
        <f t="shared" si="11"/>
        <v>3.2649999999999992E-2</v>
      </c>
      <c r="AJ23" s="22">
        <f t="shared" si="12"/>
        <v>0.22435000000000005</v>
      </c>
    </row>
    <row r="24" spans="1:36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-1.8197204917669299E-4</v>
      </c>
      <c r="M24" s="8">
        <f>'Proximal Validation (double)'!M24</f>
        <v>4.8199806362390497E-2</v>
      </c>
      <c r="N24" s="8">
        <f>'Proximal Validation (double)'!N24</f>
        <v>-2.8443846851587299E-2</v>
      </c>
      <c r="O24" s="8">
        <f>'Proximal Validation (double)'!O24</f>
        <v>1.3900646939873701E-2</v>
      </c>
      <c r="P24" s="8">
        <f>'Proximal Validation (double)'!P24</f>
        <v>-0.13246817886829401</v>
      </c>
      <c r="Q24" s="8">
        <f>'Proximal Validation (double)'!Q24</f>
        <v>-0.32060724496841397</v>
      </c>
      <c r="R24" s="8">
        <v>0.13650000000000001</v>
      </c>
      <c r="S24" s="8">
        <v>0.15959999999999999</v>
      </c>
      <c r="T24" s="8">
        <v>3.7867000000000002</v>
      </c>
      <c r="U24" s="8">
        <v>1.5708</v>
      </c>
      <c r="V24" s="8">
        <v>0.2397</v>
      </c>
      <c r="W24" s="8">
        <v>2.6499999999999999E-2</v>
      </c>
      <c r="X24" s="8">
        <v>4.6148999999999996</v>
      </c>
      <c r="Y24" s="8">
        <v>1.5708</v>
      </c>
      <c r="Z24" s="8">
        <f t="shared" si="2"/>
        <v>-6.3500000000000001E-2</v>
      </c>
      <c r="AA24" s="8">
        <f t="shared" si="3"/>
        <v>3.9599999999999996E-2</v>
      </c>
      <c r="AB24" s="8">
        <f t="shared" si="4"/>
        <v>-0.14029999999999987</v>
      </c>
      <c r="AC24" s="8">
        <f t="shared" si="5"/>
        <v>3.6732051034160662E-6</v>
      </c>
      <c r="AD24" s="8">
        <f t="shared" si="6"/>
        <v>3.9699999999999985E-2</v>
      </c>
      <c r="AE24" s="8">
        <f t="shared" si="7"/>
        <v>6.4999999999999988E-3</v>
      </c>
      <c r="AF24" s="8">
        <f t="shared" si="8"/>
        <v>-9.7100000000000186E-2</v>
      </c>
      <c r="AG24" s="8">
        <f t="shared" si="9"/>
        <v>3.6732051034160662E-6</v>
      </c>
      <c r="AH24" s="22">
        <f t="shared" si="10"/>
        <v>5.1599999999999993E-2</v>
      </c>
      <c r="AI24" s="22">
        <f t="shared" si="11"/>
        <v>2.3049999999999998E-2</v>
      </c>
      <c r="AJ24" s="22">
        <f t="shared" si="12"/>
        <v>0.11870000000000003</v>
      </c>
    </row>
    <row r="25" spans="1:36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-9.4277318567037604E-4</v>
      </c>
      <c r="M25" s="8">
        <f>'Proximal Validation (double)'!M25</f>
        <v>0.193720102310181</v>
      </c>
      <c r="N25" s="8">
        <f>'Proximal Validation (double)'!N25</f>
        <v>-0.115528546273708</v>
      </c>
      <c r="O25" s="8">
        <f>'Proximal Validation (double)'!O25</f>
        <v>4.3163940310478197E-2</v>
      </c>
      <c r="P25" s="8">
        <f>'Proximal Validation (double)'!P25</f>
        <v>-0.53577321767806996</v>
      </c>
      <c r="Q25" s="8">
        <f>'Proximal Validation (double)'!Q25</f>
        <v>-0.986228287220001</v>
      </c>
      <c r="R25" s="8">
        <v>0.59809999999999997</v>
      </c>
      <c r="S25" s="8">
        <v>0.1</v>
      </c>
      <c r="T25" s="8">
        <v>4.0458999999999996</v>
      </c>
      <c r="U25" s="8">
        <v>1.5708</v>
      </c>
      <c r="V25" s="8">
        <v>0.54720000000000002</v>
      </c>
      <c r="W25" s="8">
        <v>5.0200000000000002E-2</v>
      </c>
      <c r="X25" s="8">
        <v>4.3982999999999999</v>
      </c>
      <c r="Y25" s="8">
        <v>1.5708</v>
      </c>
      <c r="Z25" s="8">
        <f t="shared" si="2"/>
        <v>-1.9000000000000128E-3</v>
      </c>
      <c r="AA25" s="8">
        <f t="shared" si="3"/>
        <v>-1.999999999999999E-2</v>
      </c>
      <c r="AB25" s="8">
        <f t="shared" si="4"/>
        <v>0.11889999999999956</v>
      </c>
      <c r="AC25" s="8">
        <f t="shared" si="5"/>
        <v>3.6732051034160662E-6</v>
      </c>
      <c r="AD25" s="8">
        <f t="shared" si="6"/>
        <v>4.720000000000002E-2</v>
      </c>
      <c r="AE25" s="8">
        <f t="shared" si="7"/>
        <v>-2.98E-2</v>
      </c>
      <c r="AF25" s="8">
        <f t="shared" si="8"/>
        <v>-0.31369999999999987</v>
      </c>
      <c r="AG25" s="8">
        <f t="shared" si="9"/>
        <v>3.6732051034160662E-6</v>
      </c>
      <c r="AH25" s="22">
        <f t="shared" si="10"/>
        <v>2.4550000000000016E-2</v>
      </c>
      <c r="AI25" s="22">
        <f t="shared" si="11"/>
        <v>2.4899999999999995E-2</v>
      </c>
      <c r="AJ25" s="22">
        <f t="shared" si="12"/>
        <v>0.21629999999999971</v>
      </c>
    </row>
    <row r="26" spans="1:36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-1.8966067582368901E-3</v>
      </c>
      <c r="M26" s="8">
        <f>'Proximal Validation (double)'!M26</f>
        <v>0.20827016234397899</v>
      </c>
      <c r="N26" s="8">
        <f>'Proximal Validation (double)'!N26</f>
        <v>-0.236072272062302</v>
      </c>
      <c r="O26" s="8">
        <f>'Proximal Validation (double)'!O26</f>
        <v>-2.9216319322586101E-2</v>
      </c>
      <c r="P26" s="8">
        <f>'Proximal Validation (double)'!P26</f>
        <v>-1.3177623748779299</v>
      </c>
      <c r="Q26" s="8">
        <f>'Proximal Validation (double)'!Q26</f>
        <v>-1.11354172229767</v>
      </c>
      <c r="R26" s="8">
        <v>0.87009999999999998</v>
      </c>
      <c r="S26" s="8">
        <v>0.1</v>
      </c>
      <c r="T26" s="8">
        <v>4.0541</v>
      </c>
      <c r="U26" s="8">
        <v>1.5708</v>
      </c>
      <c r="V26" s="8">
        <v>0.89459999999999995</v>
      </c>
      <c r="W26" s="8">
        <v>7.2999999999999995E-2</v>
      </c>
      <c r="X26" s="8">
        <v>3.6385000000000001</v>
      </c>
      <c r="Y26" s="8">
        <v>1.5708</v>
      </c>
      <c r="Z26" s="8">
        <f t="shared" si="2"/>
        <v>0.17010000000000003</v>
      </c>
      <c r="AA26" s="8">
        <f t="shared" si="3"/>
        <v>-0.06</v>
      </c>
      <c r="AB26" s="8">
        <f t="shared" si="4"/>
        <v>0.12709999999999999</v>
      </c>
      <c r="AC26" s="8">
        <f t="shared" si="5"/>
        <v>3.6732051034160662E-6</v>
      </c>
      <c r="AD26" s="8">
        <f t="shared" si="6"/>
        <v>-0.10540000000000005</v>
      </c>
      <c r="AE26" s="8">
        <f t="shared" si="7"/>
        <v>3.2999999999999995E-2</v>
      </c>
      <c r="AF26" s="8">
        <f t="shared" si="8"/>
        <v>-0.28849999999999998</v>
      </c>
      <c r="AG26" s="8">
        <f t="shared" si="9"/>
        <v>3.6732051034160662E-6</v>
      </c>
      <c r="AH26" s="22">
        <f t="shared" si="10"/>
        <v>0.13775000000000004</v>
      </c>
      <c r="AI26" s="22">
        <f t="shared" si="11"/>
        <v>4.65E-2</v>
      </c>
      <c r="AJ26" s="22">
        <f t="shared" si="12"/>
        <v>0.20779999999999998</v>
      </c>
    </row>
    <row r="27" spans="1:36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-2.1010981872677799E-3</v>
      </c>
      <c r="M27" s="8">
        <f>'Proximal Validation (double)'!M27</f>
        <v>1.5756551176309599E-2</v>
      </c>
      <c r="N27" s="8">
        <f>'Proximal Validation (double)'!N27</f>
        <v>-0.160715162754059</v>
      </c>
      <c r="O27" s="8">
        <f>'Proximal Validation (double)'!O27</f>
        <v>2.54940949380398E-2</v>
      </c>
      <c r="P27" s="8">
        <f>'Proximal Validation (double)'!P27</f>
        <v>-0.88553363084793102</v>
      </c>
      <c r="Q27" s="8">
        <f>'Proximal Validation (double)'!Q27</f>
        <v>-5.3425669670105001E-2</v>
      </c>
      <c r="R27" s="8">
        <v>0.47760000000000002</v>
      </c>
      <c r="S27" s="8">
        <v>0.1</v>
      </c>
      <c r="T27" s="8">
        <v>3.2526999999999999</v>
      </c>
      <c r="U27" s="8">
        <v>1.5708</v>
      </c>
      <c r="V27" s="8">
        <v>0.41260000000000002</v>
      </c>
      <c r="W27" s="8">
        <v>4.9399999999999999E-2</v>
      </c>
      <c r="X27" s="8">
        <v>3.1455000000000002</v>
      </c>
      <c r="Y27" s="8">
        <v>1.5708</v>
      </c>
      <c r="Z27" s="8">
        <f t="shared" si="2"/>
        <v>0.37760000000000005</v>
      </c>
      <c r="AA27" s="8">
        <f t="shared" si="3"/>
        <v>-7.9999999999999988E-2</v>
      </c>
      <c r="AB27" s="8">
        <f t="shared" si="4"/>
        <v>-0.67430000000000012</v>
      </c>
      <c r="AC27" s="8">
        <f t="shared" si="5"/>
        <v>3.6732051034160662E-6</v>
      </c>
      <c r="AD27" s="8">
        <f t="shared" si="6"/>
        <v>-0.4874</v>
      </c>
      <c r="AE27" s="8">
        <f t="shared" si="7"/>
        <v>-3.0600000000000002E-2</v>
      </c>
      <c r="AF27" s="8">
        <f t="shared" si="8"/>
        <v>3.5000000000002807E-3</v>
      </c>
      <c r="AG27" s="8">
        <f t="shared" si="9"/>
        <v>3.6732051034160662E-6</v>
      </c>
      <c r="AH27" s="22">
        <f t="shared" si="10"/>
        <v>0.4325</v>
      </c>
      <c r="AI27" s="22">
        <f t="shared" si="11"/>
        <v>5.5299999999999995E-2</v>
      </c>
      <c r="AJ27" s="22">
        <f t="shared" si="12"/>
        <v>0.3389000000000002</v>
      </c>
    </row>
    <row r="28" spans="1:36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-2.0807487890124299E-3</v>
      </c>
      <c r="M28" s="8">
        <f>'Proximal Validation (double)'!M28</f>
        <v>0.205877780914307</v>
      </c>
      <c r="N28" s="8">
        <f>'Proximal Validation (double)'!N28</f>
        <v>-0.19408226013183599</v>
      </c>
      <c r="O28" s="8">
        <f>'Proximal Validation (double)'!O28</f>
        <v>-0.39274537563324002</v>
      </c>
      <c r="P28" s="8">
        <f>'Proximal Validation (double)'!P28</f>
        <v>-0.65224993228912398</v>
      </c>
      <c r="Q28" s="8">
        <f>'Proximal Validation (double)'!Q28</f>
        <v>-0.73969256877899203</v>
      </c>
      <c r="R28" s="8">
        <v>0.99139999999999995</v>
      </c>
      <c r="S28" s="8">
        <v>0.17949999999999999</v>
      </c>
      <c r="T28" s="8">
        <v>3.9272999999999998</v>
      </c>
      <c r="U28" s="8">
        <v>1.5708</v>
      </c>
      <c r="V28" s="8">
        <v>0.1</v>
      </c>
      <c r="W28" s="8">
        <v>0.08</v>
      </c>
      <c r="X28" s="8">
        <v>4.6334999999999997</v>
      </c>
      <c r="Y28" s="8">
        <v>1.5708</v>
      </c>
      <c r="Z28" s="8">
        <f t="shared" si="2"/>
        <v>-8.600000000000052E-3</v>
      </c>
      <c r="AA28" s="8">
        <f t="shared" si="3"/>
        <v>-5.0000000000000044E-4</v>
      </c>
      <c r="AB28" s="8">
        <f t="shared" si="4"/>
        <v>2.9999999999974492E-4</v>
      </c>
      <c r="AC28" s="8">
        <f t="shared" si="5"/>
        <v>3.6732051034160662E-6</v>
      </c>
      <c r="AD28" s="8">
        <f t="shared" si="6"/>
        <v>0</v>
      </c>
      <c r="AE28" s="8">
        <f t="shared" si="7"/>
        <v>0</v>
      </c>
      <c r="AF28" s="8">
        <f t="shared" si="8"/>
        <v>-7.8500000000000014E-2</v>
      </c>
      <c r="AG28" s="8">
        <f t="shared" si="9"/>
        <v>3.6732051034160662E-6</v>
      </c>
      <c r="AH28" s="22">
        <f t="shared" si="10"/>
        <v>4.300000000000026E-3</v>
      </c>
      <c r="AI28" s="22">
        <f t="shared" si="11"/>
        <v>2.5000000000000022E-4</v>
      </c>
      <c r="AJ28" s="22">
        <f t="shared" si="12"/>
        <v>3.939999999999988E-2</v>
      </c>
    </row>
    <row r="29" spans="1:36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-1.87318958342075E-3</v>
      </c>
      <c r="M29" s="8">
        <f>'Proximal Validation (double)'!M29</f>
        <v>0.13435347378253901</v>
      </c>
      <c r="N29" s="8">
        <f>'Proximal Validation (double)'!N29</f>
        <v>-0.13989627361297599</v>
      </c>
      <c r="O29" s="8">
        <f>'Proximal Validation (double)'!O29</f>
        <v>-0.26602268218994102</v>
      </c>
      <c r="P29" s="8">
        <f>'Proximal Validation (double)'!P29</f>
        <v>-0.53642767667770397</v>
      </c>
      <c r="Q29" s="8">
        <f>'Proximal Validation (double)'!Q29</f>
        <v>-0.50663030147552501</v>
      </c>
      <c r="R29" s="8">
        <v>0.66139999999999999</v>
      </c>
      <c r="S29" s="8">
        <v>0.19489999999999999</v>
      </c>
      <c r="T29" s="8">
        <v>3.9150999999999998</v>
      </c>
      <c r="U29" s="8">
        <v>1.5708</v>
      </c>
      <c r="V29" s="8">
        <v>0.13250000000000001</v>
      </c>
      <c r="W29" s="8">
        <v>4.0800000000000003E-2</v>
      </c>
      <c r="X29" s="8">
        <v>3.8288000000000002</v>
      </c>
      <c r="Y29" s="8">
        <v>1.5708</v>
      </c>
      <c r="Z29" s="8">
        <f t="shared" si="2"/>
        <v>-3.8599999999999968E-2</v>
      </c>
      <c r="AA29" s="8">
        <f t="shared" si="3"/>
        <v>-5.1000000000000212E-3</v>
      </c>
      <c r="AB29" s="8">
        <f t="shared" si="4"/>
        <v>-1.1900000000000244E-2</v>
      </c>
      <c r="AC29" s="8">
        <f t="shared" si="5"/>
        <v>3.6732051034160662E-6</v>
      </c>
      <c r="AD29" s="8">
        <f t="shared" si="6"/>
        <v>-6.7500000000000004E-2</v>
      </c>
      <c r="AE29" s="8">
        <f t="shared" si="7"/>
        <v>2.0800000000000003E-2</v>
      </c>
      <c r="AF29" s="8">
        <f t="shared" si="8"/>
        <v>-9.8199999999999843E-2</v>
      </c>
      <c r="AG29" s="8">
        <f t="shared" si="9"/>
        <v>3.6732051034160662E-6</v>
      </c>
      <c r="AH29" s="22">
        <f t="shared" si="10"/>
        <v>5.3049999999999986E-2</v>
      </c>
      <c r="AI29" s="22">
        <f t="shared" si="11"/>
        <v>1.2950000000000012E-2</v>
      </c>
      <c r="AJ29" s="22">
        <f t="shared" si="12"/>
        <v>5.5050000000000043E-2</v>
      </c>
    </row>
    <row r="30" spans="1:36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-3.7020025774836501E-3</v>
      </c>
      <c r="M30" s="8">
        <f>'Proximal Validation (double)'!M30</f>
        <v>0.26659435033798201</v>
      </c>
      <c r="N30" s="8">
        <f>'Proximal Validation (double)'!N30</f>
        <v>-0.30219966173172003</v>
      </c>
      <c r="O30" s="8">
        <f>'Proximal Validation (double)'!O30</f>
        <v>-0.59528750181198098</v>
      </c>
      <c r="P30" s="8">
        <f>'Proximal Validation (double)'!P30</f>
        <v>-1.3395630121231099</v>
      </c>
      <c r="Q30" s="8">
        <f>'Proximal Validation (double)'!Q30</f>
        <v>-1.10396945476532</v>
      </c>
      <c r="R30" s="8">
        <v>0.97</v>
      </c>
      <c r="S30" s="8">
        <v>0.18590000000000001</v>
      </c>
      <c r="T30" s="8">
        <v>3.9573</v>
      </c>
      <c r="U30" s="8">
        <v>1.5708</v>
      </c>
      <c r="V30" s="8">
        <v>0.93500000000000005</v>
      </c>
      <c r="W30" s="8">
        <v>0.08</v>
      </c>
      <c r="X30" s="8">
        <v>3.7202999999999999</v>
      </c>
      <c r="Y30" s="8">
        <v>1.5708</v>
      </c>
      <c r="Z30" s="8">
        <f t="shared" si="2"/>
        <v>-3.0000000000000027E-2</v>
      </c>
      <c r="AA30" s="8">
        <f t="shared" si="3"/>
        <v>-1.4100000000000001E-2</v>
      </c>
      <c r="AB30" s="8">
        <f t="shared" si="4"/>
        <v>3.0299999999999994E-2</v>
      </c>
      <c r="AC30" s="8">
        <f t="shared" si="5"/>
        <v>3.6732051034160662E-6</v>
      </c>
      <c r="AD30" s="8">
        <f t="shared" si="6"/>
        <v>-6.4999999999999947E-2</v>
      </c>
      <c r="AE30" s="8">
        <f t="shared" si="7"/>
        <v>2.0000000000000004E-2</v>
      </c>
      <c r="AF30" s="8">
        <f t="shared" si="8"/>
        <v>-0.20670000000000011</v>
      </c>
      <c r="AG30" s="8">
        <f t="shared" si="9"/>
        <v>3.6732051034160662E-6</v>
      </c>
      <c r="AH30" s="22">
        <f t="shared" si="10"/>
        <v>4.7499999999999987E-2</v>
      </c>
      <c r="AI30" s="22">
        <f t="shared" si="11"/>
        <v>1.7050000000000003E-2</v>
      </c>
      <c r="AJ30" s="22">
        <f t="shared" si="12"/>
        <v>0.11850000000000005</v>
      </c>
    </row>
    <row r="31" spans="1:36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-2.9836385510861901E-4</v>
      </c>
      <c r="M31" s="8">
        <f>'Proximal Validation (double)'!M31</f>
        <v>1.1398071423172999E-2</v>
      </c>
      <c r="N31" s="8">
        <f>'Proximal Validation (double)'!N31</f>
        <v>-2.4645710363984101E-2</v>
      </c>
      <c r="O31" s="8">
        <f>'Proximal Validation (double)'!O31</f>
        <v>1.9913738593459102E-2</v>
      </c>
      <c r="P31" s="8">
        <f>'Proximal Validation (double)'!P31</f>
        <v>-0.214856266975403</v>
      </c>
      <c r="Q31" s="8">
        <f>'Proximal Validation (double)'!Q31</f>
        <v>-6.1887651681899997E-2</v>
      </c>
      <c r="R31" s="8">
        <v>0.10059999999999999</v>
      </c>
      <c r="S31" s="8">
        <v>0.1</v>
      </c>
      <c r="T31" s="8">
        <v>2.9687999999999999</v>
      </c>
      <c r="U31" s="8">
        <v>1.5708</v>
      </c>
      <c r="V31" s="8">
        <v>0.1399</v>
      </c>
      <c r="W31" s="8">
        <v>2.6200000000000001E-2</v>
      </c>
      <c r="X31" s="8">
        <v>3.7555999999999998</v>
      </c>
      <c r="Y31" s="8">
        <v>1.5708</v>
      </c>
      <c r="Z31" s="8">
        <f t="shared" si="2"/>
        <v>5.9999999999998943E-4</v>
      </c>
      <c r="AA31" s="8">
        <f t="shared" si="3"/>
        <v>0</v>
      </c>
      <c r="AB31" s="8">
        <f t="shared" si="4"/>
        <v>-1.7431999999999999</v>
      </c>
      <c r="AC31" s="8">
        <f t="shared" si="5"/>
        <v>3.6732051034160662E-6</v>
      </c>
      <c r="AD31" s="8">
        <f t="shared" si="6"/>
        <v>-6.0100000000000015E-2</v>
      </c>
      <c r="AE31" s="8">
        <f t="shared" si="7"/>
        <v>6.2000000000000006E-3</v>
      </c>
      <c r="AF31" s="8">
        <f t="shared" si="8"/>
        <v>0.61359999999999992</v>
      </c>
      <c r="AG31" s="8">
        <f t="shared" si="9"/>
        <v>3.6732051034160662E-6</v>
      </c>
      <c r="AH31" s="22">
        <f t="shared" si="10"/>
        <v>3.0350000000000002E-2</v>
      </c>
      <c r="AI31" s="22">
        <f t="shared" si="11"/>
        <v>3.1000000000000003E-3</v>
      </c>
      <c r="AJ31" s="22">
        <f t="shared" si="12"/>
        <v>1.1783999999999999</v>
      </c>
    </row>
    <row r="32" spans="1:36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1.33801531046629E-3</v>
      </c>
      <c r="M32" s="8">
        <f>'Proximal Validation (double)'!M32</f>
        <v>0.12020714581012699</v>
      </c>
      <c r="N32" s="8">
        <f>'Proximal Validation (double)'!N32</f>
        <v>-7.8008078038692502E-2</v>
      </c>
      <c r="O32" s="8">
        <f>'Proximal Validation (double)'!O32</f>
        <v>1.24355498701334E-2</v>
      </c>
      <c r="P32" s="8">
        <f>'Proximal Validation (double)'!P32</f>
        <v>-0.59375947713851895</v>
      </c>
      <c r="Q32" s="8">
        <f>'Proximal Validation (double)'!Q32</f>
        <v>-0.77984750270843495</v>
      </c>
      <c r="R32" s="8">
        <v>0.2261</v>
      </c>
      <c r="S32" s="8">
        <v>0.1</v>
      </c>
      <c r="T32" s="8">
        <v>4.33</v>
      </c>
      <c r="U32" s="8">
        <v>1.5708</v>
      </c>
      <c r="V32" s="8">
        <v>0.76459999999999995</v>
      </c>
      <c r="W32" s="8">
        <v>4.1399999999999999E-2</v>
      </c>
      <c r="X32" s="8">
        <v>3.9847000000000001</v>
      </c>
      <c r="Y32" s="8">
        <v>1.5708</v>
      </c>
      <c r="Z32" s="8">
        <f t="shared" si="2"/>
        <v>-7.3899999999999993E-2</v>
      </c>
      <c r="AA32" s="8">
        <f t="shared" si="3"/>
        <v>0</v>
      </c>
      <c r="AB32" s="8">
        <f t="shared" si="4"/>
        <v>-0.38199999999999967</v>
      </c>
      <c r="AC32" s="8">
        <f t="shared" si="5"/>
        <v>3.6732051034160662E-6</v>
      </c>
      <c r="AD32" s="8">
        <f t="shared" si="6"/>
        <v>-3.5400000000000098E-2</v>
      </c>
      <c r="AE32" s="8">
        <f t="shared" si="7"/>
        <v>1.3999999999999985E-3</v>
      </c>
      <c r="AF32" s="8">
        <f t="shared" si="8"/>
        <v>5.7700000000000085E-2</v>
      </c>
      <c r="AG32" s="8">
        <f t="shared" si="9"/>
        <v>3.6732051034160662E-6</v>
      </c>
      <c r="AH32" s="22">
        <f t="shared" si="10"/>
        <v>5.4650000000000046E-2</v>
      </c>
      <c r="AI32" s="22">
        <f t="shared" si="11"/>
        <v>6.9999999999999923E-4</v>
      </c>
      <c r="AJ32" s="22">
        <f t="shared" si="12"/>
        <v>0.21984999999999988</v>
      </c>
    </row>
    <row r="33" spans="1:36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2.7945239562541199E-3</v>
      </c>
      <c r="M33" s="8">
        <f>'Proximal Validation (double)'!M33</f>
        <v>0.24397116899490401</v>
      </c>
      <c r="N33" s="8">
        <f>'Proximal Validation (double)'!N33</f>
        <v>1.2453994713723699E-2</v>
      </c>
      <c r="O33" s="8">
        <f>'Proximal Validation (double)'!O33</f>
        <v>-6.59529305994511E-3</v>
      </c>
      <c r="P33" s="8">
        <f>'Proximal Validation (double)'!P33</f>
        <v>6.8884432315826402E-2</v>
      </c>
      <c r="Q33" s="8">
        <f>'Proximal Validation (double)'!Q33</f>
        <v>-1.3081740140914899</v>
      </c>
      <c r="R33" s="8">
        <v>0.31040000000000001</v>
      </c>
      <c r="S33" s="8">
        <v>0.1</v>
      </c>
      <c r="T33" s="8">
        <v>4.7123999999999997</v>
      </c>
      <c r="U33" s="8">
        <v>1.5708</v>
      </c>
      <c r="V33" s="8">
        <v>1</v>
      </c>
      <c r="W33" s="8">
        <v>7.8399999999999997E-2</v>
      </c>
      <c r="X33" s="8">
        <v>4.7123999999999997</v>
      </c>
      <c r="Y33" s="8">
        <v>1.5708</v>
      </c>
      <c r="Z33" s="8">
        <f t="shared" si="2"/>
        <v>-0.68959999999999999</v>
      </c>
      <c r="AA33" s="8">
        <f t="shared" si="3"/>
        <v>0</v>
      </c>
      <c r="AB33" s="8">
        <f t="shared" si="4"/>
        <v>3.9999999999995595E-4</v>
      </c>
      <c r="AC33" s="8">
        <f t="shared" si="5"/>
        <v>3.6732051034160662E-6</v>
      </c>
      <c r="AD33" s="8">
        <f t="shared" si="6"/>
        <v>0.9</v>
      </c>
      <c r="AE33" s="8">
        <f t="shared" si="7"/>
        <v>3.8399999999999997E-2</v>
      </c>
      <c r="AF33" s="8">
        <f t="shared" si="8"/>
        <v>3.9999999999995595E-4</v>
      </c>
      <c r="AG33" s="8">
        <f t="shared" si="9"/>
        <v>3.6732051034160662E-6</v>
      </c>
      <c r="AH33" s="22">
        <f t="shared" si="10"/>
        <v>0.79479999999999995</v>
      </c>
      <c r="AI33" s="22">
        <f t="shared" si="11"/>
        <v>1.9199999999999998E-2</v>
      </c>
      <c r="AJ33" s="22">
        <f t="shared" si="12"/>
        <v>3.9999999999995595E-4</v>
      </c>
    </row>
    <row r="34" spans="1:36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2.5964039377868202E-3</v>
      </c>
      <c r="M34" s="8">
        <f>'Proximal Validation (double)'!M34</f>
        <v>0.18914604187011699</v>
      </c>
      <c r="N34" s="8">
        <f>'Proximal Validation (double)'!N34</f>
        <v>2.9903646558523199E-2</v>
      </c>
      <c r="O34" s="8">
        <f>'Proximal Validation (double)'!O34</f>
        <v>-6.4636766910552996E-3</v>
      </c>
      <c r="P34" s="8">
        <f>'Proximal Validation (double)'!P34</f>
        <v>0.158803179860115</v>
      </c>
      <c r="Q34" s="8">
        <f>'Proximal Validation (double)'!Q34</f>
        <v>-1.0939816236496001</v>
      </c>
      <c r="R34" s="8">
        <v>0.32600000000000001</v>
      </c>
      <c r="S34" s="8">
        <v>0.13539999999999999</v>
      </c>
      <c r="T34" s="8">
        <v>4.7123999999999997</v>
      </c>
      <c r="U34" s="8">
        <v>1.5708</v>
      </c>
      <c r="V34" s="8">
        <v>0.76829999999999998</v>
      </c>
      <c r="W34" s="8">
        <v>5.5899999999999998E-2</v>
      </c>
      <c r="X34" s="8">
        <v>4.7123999999999997</v>
      </c>
      <c r="Y34" s="8">
        <v>1.5708</v>
      </c>
      <c r="Z34" s="8">
        <f t="shared" si="2"/>
        <v>0.22600000000000001</v>
      </c>
      <c r="AA34" s="8">
        <f t="shared" si="3"/>
        <v>3.5399999999999987E-2</v>
      </c>
      <c r="AB34" s="8">
        <f t="shared" si="4"/>
        <v>3.9999999999995595E-4</v>
      </c>
      <c r="AC34" s="8">
        <f t="shared" si="5"/>
        <v>3.6732051034160662E-6</v>
      </c>
      <c r="AD34" s="8">
        <f t="shared" si="6"/>
        <v>-0.23170000000000002</v>
      </c>
      <c r="AE34" s="8">
        <f t="shared" si="7"/>
        <v>-2.4100000000000003E-2</v>
      </c>
      <c r="AF34" s="8">
        <f t="shared" si="8"/>
        <v>3.9999999999995595E-4</v>
      </c>
      <c r="AG34" s="8">
        <f t="shared" si="9"/>
        <v>3.6732051034160662E-6</v>
      </c>
      <c r="AH34" s="22">
        <f t="shared" si="10"/>
        <v>0.22885</v>
      </c>
      <c r="AI34" s="22">
        <f t="shared" si="11"/>
        <v>2.9749999999999995E-2</v>
      </c>
      <c r="AJ34" s="22">
        <f t="shared" si="12"/>
        <v>3.9999999999995595E-4</v>
      </c>
    </row>
    <row r="35" spans="1:36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-7.47585669159889E-4</v>
      </c>
      <c r="M35" s="8">
        <f>'Proximal Validation (double)'!M35</f>
        <v>0.23934969305992099</v>
      </c>
      <c r="N35" s="8">
        <f>'Proximal Validation (double)'!N35</f>
        <v>-9.9573642015457195E-2</v>
      </c>
      <c r="O35" s="8">
        <f>'Proximal Validation (double)'!O35</f>
        <v>-0.13754428923129999</v>
      </c>
      <c r="P35" s="8">
        <f>'Proximal Validation (double)'!P35</f>
        <v>-0.88355565071106001</v>
      </c>
      <c r="Q35" s="8">
        <f>'Proximal Validation (double)'!Q35</f>
        <v>-1.16920530796051</v>
      </c>
      <c r="R35" s="8">
        <v>0.91859999999999997</v>
      </c>
      <c r="S35" s="8">
        <v>0.14050000000000001</v>
      </c>
      <c r="T35" s="8">
        <v>4.7070999999999996</v>
      </c>
      <c r="U35" s="8">
        <v>1.5708</v>
      </c>
      <c r="V35" s="8">
        <v>0.91659999999999997</v>
      </c>
      <c r="W35" s="8">
        <v>2.2200000000000001E-2</v>
      </c>
      <c r="X35" s="8">
        <v>3.4300999999999999</v>
      </c>
      <c r="Y35" s="8">
        <v>1.5708</v>
      </c>
      <c r="Z35" s="8">
        <f t="shared" si="2"/>
        <v>1.859999999999995E-2</v>
      </c>
      <c r="AA35" s="8">
        <f t="shared" si="3"/>
        <v>2.0500000000000018E-2</v>
      </c>
      <c r="AB35" s="8">
        <f t="shared" si="4"/>
        <v>-4.9000000000001265E-3</v>
      </c>
      <c r="AC35" s="8">
        <f t="shared" si="5"/>
        <v>3.6732051034160662E-6</v>
      </c>
      <c r="AD35" s="8">
        <f t="shared" si="6"/>
        <v>1.6599999999999948E-2</v>
      </c>
      <c r="AE35" s="8">
        <f t="shared" si="7"/>
        <v>2.2000000000000006E-3</v>
      </c>
      <c r="AF35" s="8">
        <f t="shared" si="8"/>
        <v>0.28810000000000002</v>
      </c>
      <c r="AG35" s="8">
        <f t="shared" si="9"/>
        <v>3.6732051034160662E-6</v>
      </c>
      <c r="AH35" s="22">
        <f t="shared" si="10"/>
        <v>1.7599999999999949E-2</v>
      </c>
      <c r="AI35" s="22">
        <f t="shared" si="11"/>
        <v>1.1350000000000009E-2</v>
      </c>
      <c r="AJ35" s="22">
        <f t="shared" si="12"/>
        <v>0.14650000000000007</v>
      </c>
    </row>
    <row r="36" spans="1:36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-5.7288859970867599E-3</v>
      </c>
      <c r="M36" s="8">
        <f>'Proximal Validation (double)'!M36</f>
        <v>0.26700088381767301</v>
      </c>
      <c r="N36" s="8">
        <f>'Proximal Validation (double)'!N36</f>
        <v>-0.13192363083362599</v>
      </c>
      <c r="O36" s="8">
        <f>'Proximal Validation (double)'!O36</f>
        <v>-0.16222637891769401</v>
      </c>
      <c r="P36" s="8">
        <f>'Proximal Validation (double)'!P36</f>
        <v>-0.74046343564987205</v>
      </c>
      <c r="Q36" s="8">
        <f>'Proximal Validation (double)'!Q36</f>
        <v>-1.2301561832428001</v>
      </c>
      <c r="R36" s="8">
        <v>0.76700000000000002</v>
      </c>
      <c r="S36" s="8">
        <v>0.15670000000000001</v>
      </c>
      <c r="T36" s="8">
        <v>4.5819000000000001</v>
      </c>
      <c r="U36" s="8">
        <v>1.5708</v>
      </c>
      <c r="V36" s="8">
        <v>0.80220000000000002</v>
      </c>
      <c r="W36" s="8">
        <v>7.7899999999999997E-2</v>
      </c>
      <c r="X36" s="8">
        <v>3.7865000000000002</v>
      </c>
      <c r="Y36" s="8">
        <v>1.5708</v>
      </c>
      <c r="Z36" s="8">
        <f t="shared" si="2"/>
        <v>-0.23299999999999998</v>
      </c>
      <c r="AA36" s="8">
        <f t="shared" si="3"/>
        <v>3.670000000000001E-2</v>
      </c>
      <c r="AB36" s="8">
        <f t="shared" si="4"/>
        <v>-0.13009999999999966</v>
      </c>
      <c r="AC36" s="8">
        <f t="shared" si="5"/>
        <v>3.6732051034160662E-6</v>
      </c>
      <c r="AD36" s="8">
        <f t="shared" si="6"/>
        <v>2.1999999999999797E-3</v>
      </c>
      <c r="AE36" s="8">
        <f t="shared" si="7"/>
        <v>-2.1000000000000046E-3</v>
      </c>
      <c r="AF36" s="8">
        <f t="shared" si="8"/>
        <v>0.64450000000000029</v>
      </c>
      <c r="AG36" s="8">
        <f t="shared" si="9"/>
        <v>3.6732051034160662E-6</v>
      </c>
      <c r="AH36" s="22">
        <f t="shared" si="10"/>
        <v>0.11759999999999998</v>
      </c>
      <c r="AI36" s="22">
        <f t="shared" si="11"/>
        <v>1.9400000000000008E-2</v>
      </c>
      <c r="AJ36" s="22">
        <f t="shared" si="12"/>
        <v>0.38729999999999998</v>
      </c>
    </row>
    <row r="37" spans="1:36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-3.59367998316884E-3</v>
      </c>
      <c r="M37" s="8">
        <f>'Proximal Validation (double)'!M37</f>
        <v>8.4611706435680403E-2</v>
      </c>
      <c r="N37" s="8">
        <f>'Proximal Validation (double)'!N37</f>
        <v>-4.8628196120262097E-2</v>
      </c>
      <c r="O37" s="8">
        <f>'Proximal Validation (double)'!O37</f>
        <v>3.4434549510479001E-2</v>
      </c>
      <c r="P37" s="8">
        <f>'Proximal Validation (double)'!P37</f>
        <v>-0.30159375071525601</v>
      </c>
      <c r="Q37" s="8">
        <f>'Proximal Validation (double)'!Q37</f>
        <v>-0.31295472383499101</v>
      </c>
      <c r="R37" s="8">
        <v>0.22320000000000001</v>
      </c>
      <c r="S37" s="8">
        <v>0.15809999999999999</v>
      </c>
      <c r="T37" s="8">
        <v>4.1444999999999999</v>
      </c>
      <c r="U37" s="8">
        <v>1.5708</v>
      </c>
      <c r="V37" s="8">
        <v>0.22209999999999999</v>
      </c>
      <c r="W37" s="8">
        <v>5.4399999999999997E-2</v>
      </c>
      <c r="X37" s="8">
        <v>3.7553000000000001</v>
      </c>
      <c r="Y37" s="8">
        <v>1.5708</v>
      </c>
      <c r="Z37" s="8">
        <f t="shared" si="2"/>
        <v>-7.6799999999999979E-2</v>
      </c>
      <c r="AA37" s="8">
        <f t="shared" si="3"/>
        <v>-2.1900000000000003E-2</v>
      </c>
      <c r="AB37" s="8">
        <f t="shared" si="4"/>
        <v>-0.56749999999999989</v>
      </c>
      <c r="AC37" s="8">
        <f t="shared" si="5"/>
        <v>3.6732051034160662E-6</v>
      </c>
      <c r="AD37" s="8">
        <f t="shared" si="6"/>
        <v>-7.7899999999999997E-2</v>
      </c>
      <c r="AE37" s="8">
        <f t="shared" si="7"/>
        <v>-5.6000000000000008E-3</v>
      </c>
      <c r="AF37" s="8">
        <f t="shared" si="8"/>
        <v>0.61330000000000018</v>
      </c>
      <c r="AG37" s="8">
        <f t="shared" si="9"/>
        <v>3.6732051034160662E-6</v>
      </c>
      <c r="AH37" s="22">
        <f t="shared" si="10"/>
        <v>7.7349999999999988E-2</v>
      </c>
      <c r="AI37" s="22">
        <f t="shared" si="11"/>
        <v>1.3750000000000002E-2</v>
      </c>
      <c r="AJ37" s="22">
        <f t="shared" si="12"/>
        <v>0.59040000000000004</v>
      </c>
    </row>
    <row r="38" spans="1:36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-2.5372554082423401E-3</v>
      </c>
      <c r="M38" s="8">
        <f>'Proximal Validation (double)'!M38</f>
        <v>0.23767614364624001</v>
      </c>
      <c r="N38" s="8">
        <f>'Proximal Validation (double)'!N38</f>
        <v>-4.0118761360645301E-2</v>
      </c>
      <c r="O38" s="8">
        <f>'Proximal Validation (double)'!O38</f>
        <v>-0.48286521434783902</v>
      </c>
      <c r="P38" s="8">
        <f>'Proximal Validation (double)'!P38</f>
        <v>-0.22859935462474801</v>
      </c>
      <c r="Q38" s="8">
        <f>'Proximal Validation (double)'!Q38</f>
        <v>-0.81168925762176503</v>
      </c>
      <c r="R38" s="8">
        <v>0.8629</v>
      </c>
      <c r="S38" s="8">
        <v>0.1968</v>
      </c>
      <c r="T38" s="8">
        <v>4.6984000000000004</v>
      </c>
      <c r="U38" s="8">
        <v>1.5708</v>
      </c>
      <c r="V38" s="8">
        <v>0.23599999999999999</v>
      </c>
      <c r="W38" s="8">
        <v>0.08</v>
      </c>
      <c r="X38" s="8">
        <v>3.5472000000000001</v>
      </c>
      <c r="Y38" s="8">
        <v>1.5708</v>
      </c>
      <c r="Z38" s="8">
        <f t="shared" si="2"/>
        <v>-3.7100000000000022E-2</v>
      </c>
      <c r="AA38" s="8">
        <f t="shared" si="3"/>
        <v>1.6800000000000009E-2</v>
      </c>
      <c r="AB38" s="8">
        <f t="shared" si="4"/>
        <v>-1.359999999999939E-2</v>
      </c>
      <c r="AC38" s="8">
        <f t="shared" si="5"/>
        <v>3.6732051034160662E-6</v>
      </c>
      <c r="AD38" s="8">
        <f t="shared" si="6"/>
        <v>3.5999999999999976E-2</v>
      </c>
      <c r="AE38" s="8">
        <f t="shared" si="7"/>
        <v>0</v>
      </c>
      <c r="AF38" s="8">
        <f t="shared" si="8"/>
        <v>0.40520000000000023</v>
      </c>
      <c r="AG38" s="8">
        <f t="shared" si="9"/>
        <v>3.6732051034160662E-6</v>
      </c>
      <c r="AH38" s="22">
        <f t="shared" si="10"/>
        <v>3.6549999999999999E-2</v>
      </c>
      <c r="AI38" s="22">
        <f t="shared" si="11"/>
        <v>8.4000000000000047E-3</v>
      </c>
      <c r="AJ38" s="22">
        <f t="shared" si="12"/>
        <v>0.20939999999999981</v>
      </c>
    </row>
    <row r="39" spans="1:36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5.4148025810718502E-5</v>
      </c>
      <c r="M39" s="8">
        <f>'Proximal Validation (double)'!M39</f>
        <v>0.130592405796051</v>
      </c>
      <c r="N39" s="8">
        <f>'Proximal Validation (double)'!N39</f>
        <v>-1.0551102459430699E-3</v>
      </c>
      <c r="O39" s="8">
        <f>'Proximal Validation (double)'!O39</f>
        <v>5.6034162640571601E-2</v>
      </c>
      <c r="P39" s="8">
        <f>'Proximal Validation (double)'!P39</f>
        <v>-1.5731915831565899E-2</v>
      </c>
      <c r="Q39" s="8">
        <f>'Proximal Validation (double)'!Q39</f>
        <v>-1.0787600278854399</v>
      </c>
      <c r="R39" s="8">
        <v>0.10009999999999999</v>
      </c>
      <c r="S39" s="8">
        <v>0.1</v>
      </c>
      <c r="T39" s="8">
        <v>4.7123999999999997</v>
      </c>
      <c r="U39" s="8">
        <v>1.5708</v>
      </c>
      <c r="V39" s="8">
        <v>0.97860000000000003</v>
      </c>
      <c r="W39" s="8">
        <v>2.3300000000000001E-2</v>
      </c>
      <c r="X39" s="8">
        <v>4.6962999999999999</v>
      </c>
      <c r="Y39" s="8">
        <v>1.5708</v>
      </c>
      <c r="Z39" s="8">
        <f t="shared" si="2"/>
        <v>9.9999999999988987E-5</v>
      </c>
      <c r="AA39" s="8">
        <f t="shared" si="3"/>
        <v>-7.9999999999999988E-2</v>
      </c>
      <c r="AB39" s="8">
        <f t="shared" si="4"/>
        <v>3.9999999999995595E-4</v>
      </c>
      <c r="AC39" s="8">
        <f t="shared" si="5"/>
        <v>3.6732051034160662E-6</v>
      </c>
      <c r="AD39" s="8">
        <f t="shared" si="6"/>
        <v>-2.1399999999999975E-2</v>
      </c>
      <c r="AE39" s="8">
        <f t="shared" si="7"/>
        <v>3.3000000000000008E-3</v>
      </c>
      <c r="AF39" s="8">
        <f t="shared" si="8"/>
        <v>-1.5699999999999825E-2</v>
      </c>
      <c r="AG39" s="8">
        <f t="shared" si="9"/>
        <v>3.6732051034160662E-6</v>
      </c>
      <c r="AH39" s="22">
        <f t="shared" si="10"/>
        <v>1.0749999999999982E-2</v>
      </c>
      <c r="AI39" s="22">
        <f t="shared" si="11"/>
        <v>4.1649999999999993E-2</v>
      </c>
      <c r="AJ39" s="22">
        <f t="shared" si="12"/>
        <v>8.0499999999998906E-3</v>
      </c>
    </row>
    <row r="40" spans="1:36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-5.3779371082782702E-3</v>
      </c>
      <c r="M40" s="8">
        <f>'Proximal Validation (double)'!M40</f>
        <v>0.29702112078666698</v>
      </c>
      <c r="N40" s="8">
        <f>'Proximal Validation (double)'!N40</f>
        <v>-2.0560383796691901E-2</v>
      </c>
      <c r="O40" s="8">
        <f>'Proximal Validation (double)'!O40</f>
        <v>-0.30376738309860202</v>
      </c>
      <c r="P40" s="8">
        <f>'Proximal Validation (double)'!P40</f>
        <v>-0.130133211612701</v>
      </c>
      <c r="Q40" s="8">
        <f>'Proximal Validation (double)'!Q40</f>
        <v>-1.3058658838272099</v>
      </c>
      <c r="R40" s="8">
        <v>0.64600000000000002</v>
      </c>
      <c r="S40" s="8">
        <v>0.19800000000000001</v>
      </c>
      <c r="T40" s="8">
        <v>4.7123999999999997</v>
      </c>
      <c r="U40" s="8">
        <v>1.5708</v>
      </c>
      <c r="V40" s="8">
        <v>0.72729999999999995</v>
      </c>
      <c r="W40" s="8">
        <v>0.08</v>
      </c>
      <c r="X40" s="8">
        <v>4.5430000000000001</v>
      </c>
      <c r="Y40" s="8">
        <v>1.5708</v>
      </c>
      <c r="Z40" s="8">
        <f t="shared" si="2"/>
        <v>-0.15400000000000003</v>
      </c>
      <c r="AA40" s="8">
        <f t="shared" si="3"/>
        <v>1.8000000000000016E-2</v>
      </c>
      <c r="AB40" s="8">
        <f t="shared" si="4"/>
        <v>3.9999999999995595E-4</v>
      </c>
      <c r="AC40" s="8">
        <f t="shared" si="5"/>
        <v>3.6732051034160662E-6</v>
      </c>
      <c r="AD40" s="8">
        <f t="shared" si="6"/>
        <v>0.12729999999999997</v>
      </c>
      <c r="AE40" s="8">
        <f t="shared" si="7"/>
        <v>2.0000000000000004E-2</v>
      </c>
      <c r="AF40" s="8">
        <f t="shared" si="8"/>
        <v>-0.16899999999999959</v>
      </c>
      <c r="AG40" s="8">
        <f t="shared" si="9"/>
        <v>3.6732051034160662E-6</v>
      </c>
      <c r="AH40" s="22">
        <f t="shared" si="10"/>
        <v>0.14065</v>
      </c>
      <c r="AI40" s="22">
        <f t="shared" si="11"/>
        <v>1.900000000000001E-2</v>
      </c>
      <c r="AJ40" s="22">
        <f t="shared" si="12"/>
        <v>8.4699999999999775E-2</v>
      </c>
    </row>
    <row r="41" spans="1:36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-1.2866270728409301E-2</v>
      </c>
      <c r="M41" s="8">
        <f>'Proximal Validation (double)'!M41</f>
        <v>0.26722592115402199</v>
      </c>
      <c r="N41" s="8">
        <f>'Proximal Validation (double)'!N41</f>
        <v>-0.10332116484642</v>
      </c>
      <c r="O41" s="8">
        <f>'Proximal Validation (double)'!O41</f>
        <v>-0.63931977748870905</v>
      </c>
      <c r="P41" s="8">
        <f>'Proximal Validation (double)'!P41</f>
        <v>-0.86686456203460704</v>
      </c>
      <c r="Q41" s="8">
        <f>'Proximal Validation (double)'!Q41</f>
        <v>-0.873266160488129</v>
      </c>
      <c r="R41" s="8">
        <v>1</v>
      </c>
      <c r="S41" s="8">
        <v>0.2</v>
      </c>
      <c r="T41" s="8">
        <v>4.7123999999999997</v>
      </c>
      <c r="U41" s="8">
        <v>1.5708</v>
      </c>
      <c r="V41" s="8">
        <v>0.84309999999999996</v>
      </c>
      <c r="W41" s="8">
        <v>3.1199999999999999E-2</v>
      </c>
      <c r="X41" s="8">
        <v>3.2303999999999999</v>
      </c>
      <c r="Y41" s="8">
        <v>1.5708</v>
      </c>
      <c r="Z41" s="8">
        <f t="shared" si="2"/>
        <v>0</v>
      </c>
      <c r="AA41" s="8">
        <f t="shared" si="3"/>
        <v>0</v>
      </c>
      <c r="AB41" s="8">
        <f t="shared" si="4"/>
        <v>3.9999999999995595E-4</v>
      </c>
      <c r="AC41" s="8">
        <f t="shared" si="5"/>
        <v>3.6732051034160662E-6</v>
      </c>
      <c r="AD41" s="8">
        <f t="shared" si="6"/>
        <v>4.3099999999999916E-2</v>
      </c>
      <c r="AE41" s="8">
        <f t="shared" si="7"/>
        <v>1.1199999999999998E-2</v>
      </c>
      <c r="AF41" s="8">
        <f t="shared" si="8"/>
        <v>8.8400000000000034E-2</v>
      </c>
      <c r="AG41" s="8">
        <f t="shared" si="9"/>
        <v>3.6732051034160662E-6</v>
      </c>
      <c r="AH41" s="22">
        <f t="shared" si="10"/>
        <v>2.1549999999999958E-2</v>
      </c>
      <c r="AI41" s="22">
        <f t="shared" si="11"/>
        <v>5.5999999999999991E-3</v>
      </c>
      <c r="AJ41" s="22">
        <f t="shared" si="12"/>
        <v>4.4399999999999995E-2</v>
      </c>
    </row>
    <row r="42" spans="1:36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-1.2752725742757301E-3</v>
      </c>
      <c r="M42" s="15">
        <f>'Proximal Validation (double)'!M42</f>
        <v>4.2479593306779903E-2</v>
      </c>
      <c r="N42" s="15">
        <f>'Proximal Validation (double)'!N42</f>
        <v>-1.04580884799361E-2</v>
      </c>
      <c r="O42" s="15">
        <f>'Proximal Validation (double)'!O42</f>
        <v>-2.78243236243725E-3</v>
      </c>
      <c r="P42" s="15">
        <f>'Proximal Validation (double)'!P42</f>
        <v>-5.4970372468233102E-2</v>
      </c>
      <c r="Q42" s="15">
        <f>'Proximal Validation (double)'!Q42</f>
        <v>-0.153516501188278</v>
      </c>
      <c r="R42" s="15">
        <v>0.1</v>
      </c>
      <c r="S42" s="15">
        <v>0.1</v>
      </c>
      <c r="T42" s="15">
        <v>2.0255999999999998</v>
      </c>
      <c r="U42" s="15">
        <v>1.5708</v>
      </c>
      <c r="V42" s="15">
        <v>0.24709999999999999</v>
      </c>
      <c r="W42" s="15">
        <v>0.08</v>
      </c>
      <c r="X42" s="15">
        <v>4.6680999999999999</v>
      </c>
      <c r="Y42" s="15">
        <v>1.5708</v>
      </c>
      <c r="Z42" s="15">
        <f t="shared" si="2"/>
        <v>-0.1</v>
      </c>
      <c r="AA42" s="15">
        <f t="shared" si="3"/>
        <v>-0.1</v>
      </c>
      <c r="AB42" s="15">
        <f t="shared" si="4"/>
        <v>-2.6863999999999999</v>
      </c>
      <c r="AC42" s="15">
        <f t="shared" si="5"/>
        <v>3.6732051034160662E-6</v>
      </c>
      <c r="AD42" s="15">
        <f t="shared" si="6"/>
        <v>0.14709999999999998</v>
      </c>
      <c r="AE42" s="15">
        <f t="shared" si="7"/>
        <v>0</v>
      </c>
      <c r="AF42" s="15">
        <f t="shared" si="8"/>
        <v>0.74109999999999987</v>
      </c>
      <c r="AG42" s="15">
        <f t="shared" si="9"/>
        <v>3.6732051034160662E-6</v>
      </c>
      <c r="AH42" s="22">
        <f t="shared" si="10"/>
        <v>0.12354999999999999</v>
      </c>
      <c r="AI42" s="22">
        <f t="shared" si="11"/>
        <v>0.05</v>
      </c>
      <c r="AJ42" s="22">
        <f t="shared" si="12"/>
        <v>1.7137499999999999</v>
      </c>
    </row>
    <row r="43" spans="1:36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</row>
    <row r="44" spans="1:36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</row>
    <row r="45" spans="1:36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</row>
    <row r="46" spans="1:36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</row>
    <row r="47" spans="1:36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</row>
    <row r="48" spans="1:36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</row>
    <row r="49" spans="1:25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</row>
    <row r="50" spans="1:25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</row>
    <row r="51" spans="1:25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</row>
    <row r="52" spans="1:25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</row>
  </sheetData>
  <mergeCells count="7">
    <mergeCell ref="AK2:AR2"/>
    <mergeCell ref="AK5:AR5"/>
    <mergeCell ref="AH1:AR1"/>
    <mergeCell ref="A1:K1"/>
    <mergeCell ref="L1:Q1"/>
    <mergeCell ref="R1:Y1"/>
    <mergeCell ref="Z1:A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9767-5560-4646-90E1-68D67C83546D}">
  <dimension ref="A1:AR52"/>
  <sheetViews>
    <sheetView tabSelected="1" topLeftCell="R1" workbookViewId="0">
      <selection activeCell="V23" sqref="V2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11" bestFit="1" customWidth="1"/>
    <col min="27" max="27" width="13.85546875" bestFit="1" customWidth="1"/>
    <col min="28" max="28" width="11.140625" bestFit="1" customWidth="1"/>
    <col min="34" max="34" width="11" bestFit="1" customWidth="1"/>
    <col min="35" max="35" width="13.85546875" bestFit="1" customWidth="1"/>
    <col min="37" max="37" width="11" bestFit="1" customWidth="1"/>
    <col min="38" max="38" width="13.85546875" bestFit="1" customWidth="1"/>
    <col min="39" max="39" width="11.140625" bestFit="1" customWidth="1"/>
  </cols>
  <sheetData>
    <row r="1" spans="1:44" ht="15.75" x14ac:dyDescent="0.25">
      <c r="A1" s="28" t="s">
        <v>11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24" t="s">
        <v>6</v>
      </c>
      <c r="M1" s="25"/>
      <c r="N1" s="25"/>
      <c r="O1" s="25"/>
      <c r="P1" s="25"/>
      <c r="Q1" s="25"/>
      <c r="R1" s="35" t="s">
        <v>7</v>
      </c>
      <c r="S1" s="36"/>
      <c r="T1" s="36"/>
      <c r="U1" s="36"/>
      <c r="V1" s="36"/>
      <c r="W1" s="36"/>
      <c r="X1" s="36"/>
      <c r="Y1" s="36"/>
      <c r="Z1" s="37" t="s">
        <v>13</v>
      </c>
      <c r="AA1" s="37"/>
      <c r="AB1" s="37"/>
      <c r="AC1" s="37"/>
      <c r="AD1" s="37"/>
      <c r="AE1" s="37"/>
      <c r="AF1" s="37"/>
      <c r="AG1" s="37"/>
      <c r="AH1" s="34" t="s">
        <v>36</v>
      </c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4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3" t="s">
        <v>23</v>
      </c>
      <c r="AA2" s="1" t="s">
        <v>24</v>
      </c>
      <c r="AB2" s="1" t="s">
        <v>25</v>
      </c>
      <c r="AC2" s="1" t="s">
        <v>29</v>
      </c>
      <c r="AD2" s="1" t="s">
        <v>26</v>
      </c>
      <c r="AE2" s="1" t="s">
        <v>27</v>
      </c>
      <c r="AF2" s="1" t="s">
        <v>28</v>
      </c>
      <c r="AG2" s="1" t="s">
        <v>30</v>
      </c>
      <c r="AH2" s="20" t="s">
        <v>33</v>
      </c>
      <c r="AI2" s="20" t="s">
        <v>34</v>
      </c>
      <c r="AJ2" s="20" t="s">
        <v>35</v>
      </c>
      <c r="AK2" s="33" t="s">
        <v>31</v>
      </c>
      <c r="AL2" s="33"/>
      <c r="AM2" s="33"/>
      <c r="AN2" s="33"/>
      <c r="AO2" s="33"/>
      <c r="AP2" s="33"/>
      <c r="AQ2" s="33"/>
      <c r="AR2" s="33"/>
    </row>
    <row r="3" spans="1:44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-1.9976701587438601E-3</v>
      </c>
      <c r="M3" s="8">
        <f>'Proximal Validation (double)'!M3</f>
        <v>-3.3190850168466603E-2</v>
      </c>
      <c r="N3" s="8">
        <f>'Proximal Validation (double)'!N3</f>
        <v>-0.13983803987503099</v>
      </c>
      <c r="O3" s="8">
        <f>'Proximal Validation (double)'!O3</f>
        <v>-1.5990611165761899E-2</v>
      </c>
      <c r="P3" s="8">
        <f>'Proximal Validation (double)'!P3</f>
        <v>-1.04125440120697</v>
      </c>
      <c r="Q3" s="8">
        <f>'Proximal Validation (double)'!Q3</f>
        <v>0.195114254951477</v>
      </c>
      <c r="R3" s="8">
        <v>0.4249</v>
      </c>
      <c r="S3" s="8">
        <v>9.4299999999999995E-2</v>
      </c>
      <c r="T3" s="8">
        <v>2.7183999999999999</v>
      </c>
      <c r="U3" s="8">
        <v>1.5708</v>
      </c>
      <c r="V3" s="8">
        <v>0.65339999999999998</v>
      </c>
      <c r="W3" s="8">
        <v>0.02</v>
      </c>
      <c r="X3" s="8">
        <v>3.1093000000000002</v>
      </c>
      <c r="Y3" s="8">
        <v>1.5708</v>
      </c>
      <c r="Z3" s="8">
        <f>R3-A3</f>
        <v>0.22489999999999999</v>
      </c>
      <c r="AA3" s="8">
        <f>S3-B3</f>
        <v>-5.7000000000000106E-3</v>
      </c>
      <c r="AB3" s="8">
        <f>T3-C3</f>
        <v>1.1474</v>
      </c>
      <c r="AC3" s="8">
        <f>U3-D3</f>
        <v>3.6732051034160662E-6</v>
      </c>
      <c r="AD3" s="8">
        <f t="shared" ref="AD3:AG18" si="0">V3-E3</f>
        <v>-0.34660000000000002</v>
      </c>
      <c r="AE3" s="8">
        <f t="shared" si="0"/>
        <v>-0.02</v>
      </c>
      <c r="AF3" s="8">
        <f t="shared" si="0"/>
        <v>-3.2699999999999729E-2</v>
      </c>
      <c r="AG3" s="8">
        <f t="shared" si="0"/>
        <v>3.6732051034160662E-6</v>
      </c>
      <c r="AH3" s="22">
        <f>AVERAGE(ABS(Z3),ABS(AD3))</f>
        <v>0.28575</v>
      </c>
      <c r="AI3" s="22">
        <f t="shared" ref="AI3:AJ18" si="1">AVERAGE(ABS(AA3),ABS(AE3))</f>
        <v>1.2850000000000006E-2</v>
      </c>
      <c r="AJ3" s="22">
        <f t="shared" si="1"/>
        <v>0.59004999999999985</v>
      </c>
      <c r="AK3" s="1" t="s">
        <v>23</v>
      </c>
      <c r="AL3" s="1" t="s">
        <v>24</v>
      </c>
      <c r="AM3" s="1" t="s">
        <v>25</v>
      </c>
      <c r="AN3" s="1" t="s">
        <v>29</v>
      </c>
      <c r="AO3" s="1" t="s">
        <v>26</v>
      </c>
      <c r="AP3" s="1" t="s">
        <v>27</v>
      </c>
      <c r="AQ3" s="1" t="s">
        <v>28</v>
      </c>
      <c r="AR3" s="1" t="s">
        <v>30</v>
      </c>
    </row>
    <row r="4" spans="1:44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-1.30753358826041E-3</v>
      </c>
      <c r="M4" s="8">
        <f>'Proximal Validation (double)'!M4</f>
        <v>-0.21146439015865301</v>
      </c>
      <c r="N4" s="8">
        <f>'Proximal Validation (double)'!N4</f>
        <v>-0.15480977296829199</v>
      </c>
      <c r="O4" s="8">
        <f>'Proximal Validation (double)'!O4</f>
        <v>-0.115148775279522</v>
      </c>
      <c r="P4" s="8">
        <f>'Proximal Validation (double)'!P4</f>
        <v>-0.885367691516876</v>
      </c>
      <c r="Q4" s="8">
        <f>'Proximal Validation (double)'!Q4</f>
        <v>1.0914549827575699</v>
      </c>
      <c r="R4" s="8">
        <v>1</v>
      </c>
      <c r="S4" s="8">
        <v>0.12559999999999999</v>
      </c>
      <c r="T4" s="8">
        <v>2.3028</v>
      </c>
      <c r="U4" s="8">
        <v>1.5708</v>
      </c>
      <c r="V4" s="8">
        <v>0.1</v>
      </c>
      <c r="W4" s="8">
        <v>0.02</v>
      </c>
      <c r="X4" s="8">
        <v>6.2831999999999999</v>
      </c>
      <c r="Y4" s="8">
        <v>1.5708</v>
      </c>
      <c r="Z4" s="8">
        <f t="shared" ref="Z4:AG42" si="2">R4-A4</f>
        <v>0</v>
      </c>
      <c r="AA4" s="8">
        <f t="shared" si="2"/>
        <v>2.5599999999999984E-2</v>
      </c>
      <c r="AB4" s="8">
        <f t="shared" si="2"/>
        <v>0.73180000000000001</v>
      </c>
      <c r="AC4" s="8">
        <f t="shared" si="2"/>
        <v>3.6732051034160662E-6</v>
      </c>
      <c r="AD4" s="8">
        <f t="shared" si="0"/>
        <v>-0.9</v>
      </c>
      <c r="AE4" s="8">
        <f t="shared" si="0"/>
        <v>-0.06</v>
      </c>
      <c r="AF4" s="8">
        <f t="shared" si="0"/>
        <v>3.1412</v>
      </c>
      <c r="AG4" s="8">
        <f t="shared" si="0"/>
        <v>3.6732051034160662E-6</v>
      </c>
      <c r="AH4" s="22">
        <f t="shared" ref="AH4:AJ42" si="3">AVERAGE(ABS(Z4),ABS(AD4))</f>
        <v>0.45</v>
      </c>
      <c r="AI4" s="22">
        <f t="shared" si="1"/>
        <v>4.2799999999999991E-2</v>
      </c>
      <c r="AJ4" s="22">
        <f t="shared" si="1"/>
        <v>1.9365000000000001</v>
      </c>
      <c r="AK4" s="21" cm="1">
        <f t="array" ref="AK4">AVERAGE(ABS(Z3:Z42))</f>
        <v>0.2527375</v>
      </c>
      <c r="AL4" s="21" cm="1">
        <f t="array" ref="AL4">AVERAGE(ABS(AA3:AA42))</f>
        <v>4.0082500000000007E-2</v>
      </c>
      <c r="AM4" s="21" cm="1">
        <f t="array" ref="AM4">AVERAGE(ABS(AB3:AB42))</f>
        <v>0.84705250000000021</v>
      </c>
      <c r="AN4" s="21" cm="1">
        <f t="array" ref="AN4">AVERAGE(ABS(AC3:AC42))</f>
        <v>3.6732051034160662E-6</v>
      </c>
      <c r="AO4" s="21" cm="1">
        <f t="array" ref="AO4">AVERAGE(ABS(AD3:AD42))</f>
        <v>0.27661249999999998</v>
      </c>
      <c r="AP4" s="21" cm="1">
        <f t="array" ref="AP4">AVERAGE(ABS(AE3:AE42))</f>
        <v>4.4955000000000016E-2</v>
      </c>
      <c r="AQ4" s="21" cm="1">
        <f t="array" ref="AQ4">AVERAGE(ABS(AF3:AF42))</f>
        <v>0.78733000000000009</v>
      </c>
      <c r="AR4" s="21" cm="1">
        <f t="array" ref="AR4">AVERAGE(ABS(AG3:AG42))</f>
        <v>3.6732051034160662E-6</v>
      </c>
    </row>
    <row r="5" spans="1:44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4.8654910642653698E-4</v>
      </c>
      <c r="M5" s="8">
        <f>'Proximal Validation (double)'!M5</f>
        <v>-9.9444381892681094E-2</v>
      </c>
      <c r="N5" s="8">
        <f>'Proximal Validation (double)'!N5</f>
        <v>-1.08874747529626E-2</v>
      </c>
      <c r="O5" s="8">
        <f>'Proximal Validation (double)'!O5</f>
        <v>-2.9133602976799001E-2</v>
      </c>
      <c r="P5" s="8">
        <f>'Proximal Validation (double)'!P5</f>
        <v>-0.12781015038490301</v>
      </c>
      <c r="Q5" s="8">
        <f>'Proximal Validation (double)'!Q5</f>
        <v>0.45268994569778398</v>
      </c>
      <c r="R5" s="8">
        <v>0.22309999999999999</v>
      </c>
      <c r="S5" s="8">
        <v>0.2</v>
      </c>
      <c r="T5" s="8">
        <v>6.2815000000000003</v>
      </c>
      <c r="U5" s="8">
        <v>1.5708</v>
      </c>
      <c r="V5" s="8">
        <v>0.57320000000000004</v>
      </c>
      <c r="W5" s="8">
        <v>0.1265</v>
      </c>
      <c r="X5" s="8">
        <v>2.2263000000000002</v>
      </c>
      <c r="Y5" s="8">
        <v>1.5708</v>
      </c>
      <c r="Z5" s="8">
        <f t="shared" si="2"/>
        <v>-0.27690000000000003</v>
      </c>
      <c r="AA5" s="8">
        <f t="shared" si="2"/>
        <v>0.1</v>
      </c>
      <c r="AB5" s="8">
        <f t="shared" si="2"/>
        <v>4.7105000000000006</v>
      </c>
      <c r="AC5" s="8">
        <f t="shared" si="2"/>
        <v>3.6732051034160662E-6</v>
      </c>
      <c r="AD5" s="8">
        <f t="shared" si="0"/>
        <v>0.37320000000000003</v>
      </c>
      <c r="AE5" s="8">
        <f t="shared" si="0"/>
        <v>0.1065</v>
      </c>
      <c r="AF5" s="8">
        <f t="shared" si="0"/>
        <v>-1.7006999999999999</v>
      </c>
      <c r="AG5" s="8">
        <f t="shared" si="0"/>
        <v>3.6732051034160662E-6</v>
      </c>
      <c r="AH5" s="22">
        <f t="shared" si="3"/>
        <v>0.32505000000000006</v>
      </c>
      <c r="AI5" s="22">
        <f t="shared" si="1"/>
        <v>0.10325000000000001</v>
      </c>
      <c r="AJ5" s="22">
        <f t="shared" si="1"/>
        <v>3.2056000000000004</v>
      </c>
      <c r="AK5" s="33" t="s">
        <v>32</v>
      </c>
      <c r="AL5" s="33"/>
      <c r="AM5" s="33"/>
      <c r="AN5" s="33"/>
      <c r="AO5" s="33"/>
      <c r="AP5" s="33"/>
      <c r="AQ5" s="33"/>
      <c r="AR5" s="33"/>
    </row>
    <row r="6" spans="1:44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2.1138784941285801E-3</v>
      </c>
      <c r="M6" s="8">
        <f>'Proximal Validation (double)'!M6</f>
        <v>-0.17721578478813199</v>
      </c>
      <c r="N6" s="8">
        <f>'Proximal Validation (double)'!N6</f>
        <v>3.8662729784846302E-3</v>
      </c>
      <c r="O6" s="8">
        <f>'Proximal Validation (double)'!O6</f>
        <v>-9.7615689039230305E-2</v>
      </c>
      <c r="P6" s="8">
        <f>'Proximal Validation (double)'!P6</f>
        <v>2.8949752449989302E-2</v>
      </c>
      <c r="Q6" s="8">
        <f>'Proximal Validation (double)'!Q6</f>
        <v>0.88741946220397905</v>
      </c>
      <c r="R6" s="8">
        <v>0.45989999999999998</v>
      </c>
      <c r="S6" s="8">
        <v>0.17349999999999999</v>
      </c>
      <c r="T6" s="8">
        <v>1.5680000000000001</v>
      </c>
      <c r="U6" s="8">
        <v>1.5708</v>
      </c>
      <c r="V6" s="8">
        <v>0.43830000000000002</v>
      </c>
      <c r="W6" s="8">
        <v>4.2299999999999997E-2</v>
      </c>
      <c r="X6" s="8">
        <v>1.5075000000000001</v>
      </c>
      <c r="Y6" s="8">
        <v>1.5708</v>
      </c>
      <c r="Z6" s="8">
        <f t="shared" si="2"/>
        <v>-0.44010000000000005</v>
      </c>
      <c r="AA6" s="8">
        <f t="shared" si="2"/>
        <v>7.3499999999999982E-2</v>
      </c>
      <c r="AB6" s="8">
        <f t="shared" si="2"/>
        <v>-2.9999999999998916E-3</v>
      </c>
      <c r="AC6" s="8">
        <f t="shared" si="2"/>
        <v>3.6732051034160662E-6</v>
      </c>
      <c r="AD6" s="8">
        <f t="shared" si="0"/>
        <v>0.23830000000000001</v>
      </c>
      <c r="AE6" s="8">
        <f t="shared" si="0"/>
        <v>-3.7700000000000004E-2</v>
      </c>
      <c r="AF6" s="8">
        <f t="shared" si="0"/>
        <v>-3.2044999999999995</v>
      </c>
      <c r="AG6" s="8">
        <f t="shared" si="0"/>
        <v>3.6732051034160662E-6</v>
      </c>
      <c r="AH6" s="22">
        <f t="shared" si="3"/>
        <v>0.33920000000000006</v>
      </c>
      <c r="AI6" s="22">
        <f t="shared" si="1"/>
        <v>5.5599999999999997E-2</v>
      </c>
      <c r="AJ6" s="22">
        <f t="shared" si="1"/>
        <v>1.6037499999999998</v>
      </c>
      <c r="AK6" s="20" t="s">
        <v>33</v>
      </c>
      <c r="AL6" s="20" t="s">
        <v>34</v>
      </c>
      <c r="AM6" s="20" t="s">
        <v>35</v>
      </c>
      <c r="AN6" s="21"/>
      <c r="AO6" s="21"/>
      <c r="AP6" s="21"/>
      <c r="AQ6" s="21"/>
      <c r="AR6" s="21"/>
    </row>
    <row r="7" spans="1:44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-1.4075441285967801E-3</v>
      </c>
      <c r="M7" s="8">
        <f>'Proximal Validation (double)'!M7</f>
        <v>7.2883039712905898E-2</v>
      </c>
      <c r="N7" s="8">
        <f>'Proximal Validation (double)'!N7</f>
        <v>-0.11806334555149101</v>
      </c>
      <c r="O7" s="8">
        <f>'Proximal Validation (double)'!O7</f>
        <v>2.7194060385227199E-3</v>
      </c>
      <c r="P7" s="8">
        <f>'Proximal Validation (double)'!P7</f>
        <v>-0.75840699672698997</v>
      </c>
      <c r="Q7" s="8">
        <f>'Proximal Validation (double)'!Q7</f>
        <v>-0.50915515422821001</v>
      </c>
      <c r="R7" s="8">
        <v>0.47699999999999998</v>
      </c>
      <c r="S7" s="8">
        <v>7.1199999999999999E-2</v>
      </c>
      <c r="T7" s="8">
        <v>3.2608999999999999</v>
      </c>
      <c r="U7" s="8">
        <v>1.5708</v>
      </c>
      <c r="V7" s="8">
        <v>0.53439999999999999</v>
      </c>
      <c r="W7" s="8">
        <v>5.0500000000000003E-2</v>
      </c>
      <c r="X7" s="8">
        <v>4.1509999999999998</v>
      </c>
      <c r="Y7" s="8">
        <v>1.5708</v>
      </c>
      <c r="Z7" s="8">
        <f t="shared" si="2"/>
        <v>0.377</v>
      </c>
      <c r="AA7" s="8">
        <f t="shared" si="2"/>
        <v>-4.8799999999999996E-2</v>
      </c>
      <c r="AB7" s="8">
        <f t="shared" si="2"/>
        <v>1.6899</v>
      </c>
      <c r="AC7" s="8">
        <f t="shared" si="2"/>
        <v>3.6732051034160662E-6</v>
      </c>
      <c r="AD7" s="8">
        <f t="shared" si="0"/>
        <v>-0.46560000000000001</v>
      </c>
      <c r="AE7" s="8">
        <f t="shared" si="0"/>
        <v>-9.4999999999999946E-3</v>
      </c>
      <c r="AF7" s="8">
        <f t="shared" si="0"/>
        <v>0.22399999999999975</v>
      </c>
      <c r="AG7" s="8">
        <f t="shared" si="0"/>
        <v>3.6732051034160662E-6</v>
      </c>
      <c r="AH7" s="22">
        <f t="shared" si="3"/>
        <v>0.42130000000000001</v>
      </c>
      <c r="AI7" s="22">
        <f t="shared" si="1"/>
        <v>2.9149999999999995E-2</v>
      </c>
      <c r="AJ7" s="22">
        <f t="shared" si="1"/>
        <v>0.95694999999999986</v>
      </c>
      <c r="AK7" s="21">
        <f>AVERAGE(AK4,AO4)</f>
        <v>0.26467499999999999</v>
      </c>
      <c r="AL7" s="21">
        <f t="shared" ref="AL7:AM7" si="4">AVERAGE(AL4,AP4)</f>
        <v>4.2518750000000008E-2</v>
      </c>
      <c r="AM7" s="21">
        <f t="shared" si="4"/>
        <v>0.81719125000000015</v>
      </c>
      <c r="AN7" s="21"/>
      <c r="AO7" s="21"/>
      <c r="AP7" s="21"/>
      <c r="AQ7" s="21"/>
      <c r="AR7" s="21"/>
    </row>
    <row r="8" spans="1:44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3.4910831600427602E-3</v>
      </c>
      <c r="M8" s="8">
        <f>'Proximal Validation (double)'!M8</f>
        <v>-0.18494510650634799</v>
      </c>
      <c r="N8" s="8">
        <f>'Proximal Validation (double)'!N8</f>
        <v>-9.0413324534892994E-2</v>
      </c>
      <c r="O8" s="8">
        <f>'Proximal Validation (double)'!O8</f>
        <v>-0.40126189589500399</v>
      </c>
      <c r="P8" s="8">
        <f>'Proximal Validation (double)'!P8</f>
        <v>-0.60379952192306496</v>
      </c>
      <c r="Q8" s="8">
        <f>'Proximal Validation (double)'!Q8</f>
        <v>0.49847054481506298</v>
      </c>
      <c r="R8" s="8">
        <v>0.16070000000000001</v>
      </c>
      <c r="S8" s="8">
        <v>0.2</v>
      </c>
      <c r="T8" s="8">
        <v>6.2827999999999999</v>
      </c>
      <c r="U8" s="8">
        <v>1.5708</v>
      </c>
      <c r="V8" s="8">
        <v>1</v>
      </c>
      <c r="W8" s="8">
        <v>0.18310000000000001</v>
      </c>
      <c r="X8" s="8">
        <v>2.5270000000000001</v>
      </c>
      <c r="Y8" s="8">
        <v>1.5708</v>
      </c>
      <c r="Z8" s="8">
        <f t="shared" si="2"/>
        <v>-0.63929999999999998</v>
      </c>
      <c r="AA8" s="8">
        <f t="shared" si="2"/>
        <v>4.0000000000000008E-2</v>
      </c>
      <c r="AB8" s="8">
        <f t="shared" si="2"/>
        <v>4.7118000000000002</v>
      </c>
      <c r="AC8" s="8">
        <f t="shared" si="2"/>
        <v>3.6732051034160662E-6</v>
      </c>
      <c r="AD8" s="8">
        <f t="shared" si="0"/>
        <v>0.19999999999999996</v>
      </c>
      <c r="AE8" s="8">
        <f t="shared" si="0"/>
        <v>0.12310000000000001</v>
      </c>
      <c r="AF8" s="8">
        <f t="shared" si="0"/>
        <v>-1.4</v>
      </c>
      <c r="AG8" s="8">
        <f t="shared" si="0"/>
        <v>3.6732051034160662E-6</v>
      </c>
      <c r="AH8" s="23">
        <f t="shared" si="3"/>
        <v>0.41964999999999997</v>
      </c>
      <c r="AI8" s="23">
        <f t="shared" si="1"/>
        <v>8.1550000000000011E-2</v>
      </c>
      <c r="AJ8" s="23">
        <f t="shared" si="1"/>
        <v>3.0559000000000003</v>
      </c>
    </row>
    <row r="9" spans="1:44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1.5908150235191001E-3</v>
      </c>
      <c r="M9" s="8">
        <f>'Proximal Validation (double)'!M9</f>
        <v>-3.4777380526065799E-2</v>
      </c>
      <c r="N9" s="8">
        <f>'Proximal Validation (double)'!N9</f>
        <v>-1.5904162079095799E-2</v>
      </c>
      <c r="O9" s="8">
        <f>'Proximal Validation (double)'!O9</f>
        <v>-2.0381897687912001E-2</v>
      </c>
      <c r="P9" s="8">
        <f>'Proximal Validation (double)'!P9</f>
        <v>-0.14476515352725999</v>
      </c>
      <c r="Q9" s="8">
        <f>'Proximal Validation (double)'!Q9</f>
        <v>0.117096215486526</v>
      </c>
      <c r="R9" s="8">
        <v>0.60780000000000001</v>
      </c>
      <c r="S9" s="8">
        <v>0.17549999999999999</v>
      </c>
      <c r="T9" s="8">
        <v>6.2831999999999999</v>
      </c>
      <c r="U9" s="8">
        <v>1.5708</v>
      </c>
      <c r="V9" s="8">
        <v>0.7591</v>
      </c>
      <c r="W9" s="8">
        <v>0.14299999999999999</v>
      </c>
      <c r="X9" s="8">
        <v>2.9847999999999999</v>
      </c>
      <c r="Y9" s="8">
        <v>1.5708</v>
      </c>
      <c r="Z9" s="8">
        <f t="shared" si="2"/>
        <v>0.50780000000000003</v>
      </c>
      <c r="AA9" s="8">
        <f t="shared" si="2"/>
        <v>-4.500000000000004E-3</v>
      </c>
      <c r="AB9" s="8">
        <f t="shared" si="2"/>
        <v>4.7122000000000002</v>
      </c>
      <c r="AC9" s="8">
        <f t="shared" si="2"/>
        <v>3.6732051034160662E-6</v>
      </c>
      <c r="AD9" s="8">
        <f t="shared" si="0"/>
        <v>0.65910000000000002</v>
      </c>
      <c r="AE9" s="8">
        <f t="shared" si="0"/>
        <v>0.12299999999999998</v>
      </c>
      <c r="AF9" s="8">
        <f t="shared" si="0"/>
        <v>-0.15720000000000001</v>
      </c>
      <c r="AG9" s="8">
        <f t="shared" si="0"/>
        <v>3.6732051034160662E-6</v>
      </c>
      <c r="AH9" s="22">
        <f t="shared" si="3"/>
        <v>0.58345000000000002</v>
      </c>
      <c r="AI9" s="22">
        <f t="shared" si="1"/>
        <v>6.3750000000000001E-2</v>
      </c>
      <c r="AJ9" s="22">
        <f t="shared" si="1"/>
        <v>2.4347000000000003</v>
      </c>
    </row>
    <row r="10" spans="1:44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2.3236712440848398E-3</v>
      </c>
      <c r="M10" s="8">
        <f>'Proximal Validation (double)'!M10</f>
        <v>-0.204822152853012</v>
      </c>
      <c r="N10" s="8">
        <f>'Proximal Validation (double)'!N10</f>
        <v>6.1566708609461802E-3</v>
      </c>
      <c r="O10" s="8">
        <f>'Proximal Validation (double)'!O10</f>
        <v>-0.39857342839241</v>
      </c>
      <c r="P10" s="8">
        <f>'Proximal Validation (double)'!P10</f>
        <v>2.7593433856964101E-2</v>
      </c>
      <c r="Q10" s="8">
        <f>'Proximal Validation (double)'!Q10</f>
        <v>0.66701602935791005</v>
      </c>
      <c r="R10" s="8">
        <v>0.46710000000000002</v>
      </c>
      <c r="S10" s="8">
        <v>0.19869999999999999</v>
      </c>
      <c r="T10" s="8">
        <v>1.851</v>
      </c>
      <c r="U10" s="8">
        <v>1.5708</v>
      </c>
      <c r="V10" s="8">
        <v>0.36609999999999998</v>
      </c>
      <c r="W10" s="8">
        <v>0.1956</v>
      </c>
      <c r="X10" s="8">
        <v>1.1171</v>
      </c>
      <c r="Y10" s="8">
        <v>1.5708</v>
      </c>
      <c r="Z10" s="8">
        <f t="shared" si="2"/>
        <v>-0.43290000000000001</v>
      </c>
      <c r="AA10" s="8">
        <f t="shared" si="2"/>
        <v>1.8699999999999994E-2</v>
      </c>
      <c r="AB10" s="8">
        <f t="shared" si="2"/>
        <v>0.28000000000000003</v>
      </c>
      <c r="AC10" s="8">
        <f t="shared" si="2"/>
        <v>3.6732051034160662E-6</v>
      </c>
      <c r="AD10" s="8">
        <f t="shared" si="0"/>
        <v>0.2661</v>
      </c>
      <c r="AE10" s="8">
        <f t="shared" si="0"/>
        <v>0.11559999999999999</v>
      </c>
      <c r="AF10" s="8">
        <f t="shared" si="0"/>
        <v>-3.5949</v>
      </c>
      <c r="AG10" s="8">
        <f t="shared" si="0"/>
        <v>3.6732051034160662E-6</v>
      </c>
      <c r="AH10" s="22">
        <f t="shared" si="3"/>
        <v>0.34950000000000003</v>
      </c>
      <c r="AI10" s="22">
        <f t="shared" si="1"/>
        <v>6.7149999999999987E-2</v>
      </c>
      <c r="AJ10" s="22">
        <f t="shared" si="1"/>
        <v>1.9374500000000001</v>
      </c>
    </row>
    <row r="11" spans="1:44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1.6893346328288299E-3</v>
      </c>
      <c r="M11" s="8">
        <f>'Proximal Validation (double)'!M11</f>
        <v>9.5554247498512296E-2</v>
      </c>
      <c r="N11" s="8">
        <f>'Proximal Validation (double)'!N11</f>
        <v>-8.84410343132913E-4</v>
      </c>
      <c r="O11" s="8">
        <f>'Proximal Validation (double)'!O11</f>
        <v>-4.5536972582340199E-2</v>
      </c>
      <c r="P11" s="8">
        <f>'Proximal Validation (double)'!P11</f>
        <v>-5.9180781245231602E-3</v>
      </c>
      <c r="Q11" s="8">
        <f>'Proximal Validation (double)'!Q11</f>
        <v>-0.73156416416168202</v>
      </c>
      <c r="R11" s="8">
        <v>0.21529999999999999</v>
      </c>
      <c r="S11" s="8">
        <v>0.2</v>
      </c>
      <c r="T11" s="8">
        <v>4.7069999999999999</v>
      </c>
      <c r="U11" s="8">
        <v>1.5708</v>
      </c>
      <c r="V11" s="8">
        <v>0.51680000000000004</v>
      </c>
      <c r="W11" s="8">
        <v>0.02</v>
      </c>
      <c r="X11" s="8">
        <v>4.7030000000000003</v>
      </c>
      <c r="Y11" s="8">
        <v>1.5708</v>
      </c>
      <c r="Z11" s="8">
        <f t="shared" si="2"/>
        <v>-8.4699999999999998E-2</v>
      </c>
      <c r="AA11" s="8">
        <f t="shared" si="2"/>
        <v>2.0000000000000018E-2</v>
      </c>
      <c r="AB11" s="8">
        <f t="shared" si="2"/>
        <v>3.1360000000000001</v>
      </c>
      <c r="AC11" s="8">
        <f t="shared" si="2"/>
        <v>3.6732051034160662E-6</v>
      </c>
      <c r="AD11" s="8">
        <f t="shared" si="0"/>
        <v>-0.38319999999999999</v>
      </c>
      <c r="AE11" s="8">
        <f t="shared" si="0"/>
        <v>-0.06</v>
      </c>
      <c r="AF11" s="8">
        <f t="shared" si="0"/>
        <v>-8.9999999999994529E-3</v>
      </c>
      <c r="AG11" s="8">
        <f t="shared" si="0"/>
        <v>3.6732051034160662E-6</v>
      </c>
      <c r="AH11" s="22">
        <f t="shared" si="3"/>
        <v>0.23394999999999999</v>
      </c>
      <c r="AI11" s="22">
        <f t="shared" si="1"/>
        <v>4.0000000000000008E-2</v>
      </c>
      <c r="AJ11" s="22">
        <f t="shared" si="1"/>
        <v>1.5724999999999998</v>
      </c>
    </row>
    <row r="12" spans="1:44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1.2135198339819899E-3</v>
      </c>
      <c r="M12" s="8">
        <f>'Proximal Validation (double)'!M12</f>
        <v>-0.182935655117035</v>
      </c>
      <c r="N12" s="8">
        <f>'Proximal Validation (double)'!N12</f>
        <v>-0.104798644781113</v>
      </c>
      <c r="O12" s="8">
        <f>'Proximal Validation (double)'!O12</f>
        <v>-0.48353463411331199</v>
      </c>
      <c r="P12" s="8">
        <f>'Proximal Validation (double)'!P12</f>
        <v>-0.98798036575317405</v>
      </c>
      <c r="Q12" s="8">
        <f>'Proximal Validation (double)'!Q12</f>
        <v>0.51245713233947798</v>
      </c>
      <c r="R12" s="8">
        <v>0.92320000000000002</v>
      </c>
      <c r="S12" s="8">
        <v>0.1981</v>
      </c>
      <c r="T12" s="8">
        <v>1.6182000000000001</v>
      </c>
      <c r="U12" s="8">
        <v>1.5708</v>
      </c>
      <c r="V12" s="8">
        <v>0.94199999999999995</v>
      </c>
      <c r="W12" s="8">
        <v>6.1800000000000001E-2</v>
      </c>
      <c r="X12" s="8">
        <v>3.4260999999999999</v>
      </c>
      <c r="Y12" s="8">
        <v>1.5708</v>
      </c>
      <c r="Z12" s="8">
        <f t="shared" si="2"/>
        <v>2.3199999999999998E-2</v>
      </c>
      <c r="AA12" s="8">
        <f t="shared" si="2"/>
        <v>-1.9000000000000128E-3</v>
      </c>
      <c r="AB12" s="8">
        <f t="shared" si="2"/>
        <v>4.7200000000000131E-2</v>
      </c>
      <c r="AC12" s="8">
        <f t="shared" si="2"/>
        <v>3.6732051034160662E-6</v>
      </c>
      <c r="AD12" s="8">
        <f t="shared" si="0"/>
        <v>-5.8000000000000052E-2</v>
      </c>
      <c r="AE12" s="8">
        <f t="shared" si="0"/>
        <v>4.1800000000000004E-2</v>
      </c>
      <c r="AF12" s="8">
        <f t="shared" si="0"/>
        <v>0.28410000000000002</v>
      </c>
      <c r="AG12" s="8">
        <f t="shared" si="0"/>
        <v>3.6732051034160662E-6</v>
      </c>
      <c r="AH12" s="22">
        <f t="shared" si="3"/>
        <v>4.0600000000000025E-2</v>
      </c>
      <c r="AI12" s="22">
        <f t="shared" si="1"/>
        <v>2.1850000000000008E-2</v>
      </c>
      <c r="AJ12" s="22">
        <f t="shared" si="1"/>
        <v>0.16565000000000007</v>
      </c>
    </row>
    <row r="13" spans="1:44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-6.5936520695686297E-4</v>
      </c>
      <c r="M13" s="8">
        <f>'Proximal Validation (double)'!M13</f>
        <v>3.10139125213027E-3</v>
      </c>
      <c r="N13" s="8">
        <f>'Proximal Validation (double)'!N13</f>
        <v>-6.7128308117389707E-2</v>
      </c>
      <c r="O13" s="8">
        <f>'Proximal Validation (double)'!O13</f>
        <v>3.1099312007427202E-2</v>
      </c>
      <c r="P13" s="8">
        <f>'Proximal Validation (double)'!P13</f>
        <v>-0.38181251287460299</v>
      </c>
      <c r="Q13" s="8">
        <f>'Proximal Validation (double)'!Q13</f>
        <v>-3.04524004459381E-2</v>
      </c>
      <c r="R13" s="8">
        <v>0.8286</v>
      </c>
      <c r="S13" s="8">
        <v>4.7500000000000001E-2</v>
      </c>
      <c r="T13" s="8">
        <v>3.1312000000000002</v>
      </c>
      <c r="U13" s="8">
        <v>1.5708</v>
      </c>
      <c r="V13" s="8">
        <v>0.44800000000000001</v>
      </c>
      <c r="W13" s="8">
        <v>0.02</v>
      </c>
      <c r="X13" s="8">
        <v>6.1969000000000003</v>
      </c>
      <c r="Y13" s="8">
        <v>1.5708</v>
      </c>
      <c r="Z13" s="8">
        <f t="shared" si="2"/>
        <v>0.72860000000000003</v>
      </c>
      <c r="AA13" s="8">
        <f t="shared" si="2"/>
        <v>-0.15250000000000002</v>
      </c>
      <c r="AB13" s="8">
        <f t="shared" si="2"/>
        <v>1.5602000000000003</v>
      </c>
      <c r="AC13" s="8">
        <f t="shared" si="2"/>
        <v>3.6732051034160662E-6</v>
      </c>
      <c r="AD13" s="8">
        <f t="shared" si="0"/>
        <v>0.14800000000000002</v>
      </c>
      <c r="AE13" s="8">
        <f t="shared" si="0"/>
        <v>-0.06</v>
      </c>
      <c r="AF13" s="8">
        <f t="shared" si="0"/>
        <v>3.0549000000000004</v>
      </c>
      <c r="AG13" s="8">
        <f t="shared" si="0"/>
        <v>3.6732051034160662E-6</v>
      </c>
      <c r="AH13" s="22">
        <f t="shared" si="3"/>
        <v>0.43830000000000002</v>
      </c>
      <c r="AI13" s="22">
        <f t="shared" si="1"/>
        <v>0.10625000000000001</v>
      </c>
      <c r="AJ13" s="22">
        <f t="shared" si="1"/>
        <v>2.3075500000000004</v>
      </c>
    </row>
    <row r="14" spans="1:44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8.7932776659727097E-3</v>
      </c>
      <c r="M14" s="8">
        <f>'Proximal Validation (double)'!M14</f>
        <v>-0.16019897162914301</v>
      </c>
      <c r="N14" s="8">
        <f>'Proximal Validation (double)'!N14</f>
        <v>-2.4834894575178602E-3</v>
      </c>
      <c r="O14" s="8">
        <f>'Proximal Validation (double)'!O14</f>
        <v>-0.46627718210220298</v>
      </c>
      <c r="P14" s="8">
        <f>'Proximal Validation (double)'!P14</f>
        <v>-1.91364511847496E-2</v>
      </c>
      <c r="Q14" s="8">
        <f>'Proximal Validation (double)'!Q14</f>
        <v>0.27873134613037098</v>
      </c>
      <c r="R14" s="8">
        <v>0.83160000000000001</v>
      </c>
      <c r="S14" s="8">
        <v>0.2</v>
      </c>
      <c r="T14" s="8">
        <v>6.2797999999999998</v>
      </c>
      <c r="U14" s="8">
        <v>1.5708</v>
      </c>
      <c r="V14" s="8">
        <v>0.77270000000000005</v>
      </c>
      <c r="W14" s="8">
        <v>9.01E-2</v>
      </c>
      <c r="X14" s="8">
        <v>2.7477999999999998</v>
      </c>
      <c r="Y14" s="8">
        <v>1.5708</v>
      </c>
      <c r="Z14" s="8">
        <f t="shared" si="2"/>
        <v>-6.8400000000000016E-2</v>
      </c>
      <c r="AA14" s="8">
        <f t="shared" si="2"/>
        <v>0</v>
      </c>
      <c r="AB14" s="8">
        <f t="shared" si="2"/>
        <v>4.7088000000000001</v>
      </c>
      <c r="AC14" s="8">
        <f t="shared" si="2"/>
        <v>3.6732051034160662E-6</v>
      </c>
      <c r="AD14" s="8">
        <f t="shared" si="0"/>
        <v>0.47270000000000006</v>
      </c>
      <c r="AE14" s="8">
        <f t="shared" si="0"/>
        <v>7.0099999999999996E-2</v>
      </c>
      <c r="AF14" s="8">
        <f t="shared" si="0"/>
        <v>-1.9641999999999999</v>
      </c>
      <c r="AG14" s="8">
        <f t="shared" si="0"/>
        <v>3.6732051034160662E-6</v>
      </c>
      <c r="AH14" s="22">
        <f t="shared" si="3"/>
        <v>0.27055000000000007</v>
      </c>
      <c r="AI14" s="22">
        <f t="shared" si="1"/>
        <v>3.5049999999999998E-2</v>
      </c>
      <c r="AJ14" s="22">
        <f t="shared" si="1"/>
        <v>3.3365</v>
      </c>
    </row>
    <row r="15" spans="1:44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-7.9012457281351107E-3</v>
      </c>
      <c r="M15" s="8">
        <f>'Proximal Validation (double)'!M15</f>
        <v>-4.3984718620777102E-2</v>
      </c>
      <c r="N15" s="8">
        <f>'Proximal Validation (double)'!N15</f>
        <v>-0.141960874199867</v>
      </c>
      <c r="O15" s="8">
        <f>'Proximal Validation (double)'!O15</f>
        <v>8.6025655269622803E-2</v>
      </c>
      <c r="P15" s="8">
        <f>'Proximal Validation (double)'!P15</f>
        <v>-0.69405859708786</v>
      </c>
      <c r="Q15" s="8">
        <f>'Proximal Validation (double)'!Q15</f>
        <v>-0.18663805723190299</v>
      </c>
      <c r="R15" s="8">
        <v>0.98</v>
      </c>
      <c r="S15" s="8">
        <v>6.7699999999999996E-2</v>
      </c>
      <c r="T15" s="8">
        <v>2.3816000000000002</v>
      </c>
      <c r="U15" s="8">
        <v>1.5708</v>
      </c>
      <c r="V15" s="8">
        <v>0.85850000000000004</v>
      </c>
      <c r="W15" s="8">
        <v>0.02</v>
      </c>
      <c r="X15" s="8">
        <v>4.7276999999999996</v>
      </c>
      <c r="Y15" s="8">
        <v>1.5708</v>
      </c>
      <c r="Z15" s="8">
        <f t="shared" si="2"/>
        <v>7.999999999999996E-2</v>
      </c>
      <c r="AA15" s="8">
        <f t="shared" si="2"/>
        <v>-3.2300000000000009E-2</v>
      </c>
      <c r="AB15" s="8">
        <f t="shared" si="2"/>
        <v>2.5600000000000289E-2</v>
      </c>
      <c r="AC15" s="8">
        <f t="shared" si="2"/>
        <v>3.6732051034160662E-6</v>
      </c>
      <c r="AD15" s="8">
        <f t="shared" si="0"/>
        <v>-4.1499999999999981E-2</v>
      </c>
      <c r="AE15" s="8">
        <f t="shared" si="0"/>
        <v>0</v>
      </c>
      <c r="AF15" s="8">
        <f t="shared" si="0"/>
        <v>1.5699999999999825E-2</v>
      </c>
      <c r="AG15" s="8">
        <f t="shared" si="0"/>
        <v>3.6732051034160662E-6</v>
      </c>
      <c r="AH15" s="22">
        <f t="shared" si="3"/>
        <v>6.0749999999999971E-2</v>
      </c>
      <c r="AI15" s="22">
        <f t="shared" si="1"/>
        <v>1.6150000000000005E-2</v>
      </c>
      <c r="AJ15" s="22">
        <f t="shared" si="1"/>
        <v>2.0650000000000057E-2</v>
      </c>
    </row>
    <row r="16" spans="1:44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-3.90403810888529E-3</v>
      </c>
      <c r="M16" s="8">
        <f>'Proximal Validation (double)'!M16</f>
        <v>-6.7934043705463396E-2</v>
      </c>
      <c r="N16" s="8">
        <f>'Proximal Validation (double)'!N16</f>
        <v>-8.5464723408222198E-2</v>
      </c>
      <c r="O16" s="8">
        <f>'Proximal Validation (double)'!O16</f>
        <v>2.6761934161186201E-2</v>
      </c>
      <c r="P16" s="8">
        <f>'Proximal Validation (double)'!P16</f>
        <v>-0.412941753864288</v>
      </c>
      <c r="Q16" s="8">
        <f>'Proximal Validation (double)'!Q16</f>
        <v>0.30062127113342302</v>
      </c>
      <c r="R16" s="8">
        <v>1</v>
      </c>
      <c r="S16" s="8">
        <v>6.0499999999999998E-2</v>
      </c>
      <c r="T16" s="8">
        <v>2.4186000000000001</v>
      </c>
      <c r="U16" s="8">
        <v>1.5708</v>
      </c>
      <c r="V16" s="8">
        <v>0.49209999999999998</v>
      </c>
      <c r="W16" s="8">
        <v>0.02</v>
      </c>
      <c r="X16" s="8">
        <v>5.4634999999999998</v>
      </c>
      <c r="Y16" s="8">
        <v>1.5708</v>
      </c>
      <c r="Z16" s="8">
        <f t="shared" si="2"/>
        <v>0.6</v>
      </c>
      <c r="AA16" s="8">
        <f t="shared" si="2"/>
        <v>-5.9499999999999997E-2</v>
      </c>
      <c r="AB16" s="8">
        <f t="shared" si="2"/>
        <v>6.2600000000000211E-2</v>
      </c>
      <c r="AC16" s="8">
        <f t="shared" si="2"/>
        <v>3.6732051034160662E-6</v>
      </c>
      <c r="AD16" s="8">
        <f t="shared" si="0"/>
        <v>0.3921</v>
      </c>
      <c r="AE16" s="8">
        <f t="shared" si="0"/>
        <v>-3.9999999999999994E-2</v>
      </c>
      <c r="AF16" s="8">
        <f t="shared" si="0"/>
        <v>2.3214999999999999</v>
      </c>
      <c r="AG16" s="8">
        <f t="shared" si="0"/>
        <v>3.6732051034160662E-6</v>
      </c>
      <c r="AH16" s="22">
        <f t="shared" si="3"/>
        <v>0.49604999999999999</v>
      </c>
      <c r="AI16" s="22">
        <f t="shared" si="1"/>
        <v>4.9749999999999996E-2</v>
      </c>
      <c r="AJ16" s="22">
        <f t="shared" si="1"/>
        <v>1.1920500000000001</v>
      </c>
    </row>
    <row r="17" spans="1:36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-2.8297975659370401E-3</v>
      </c>
      <c r="M17" s="8">
        <f>'Proximal Validation (double)'!M17</f>
        <v>-0.18058618903160101</v>
      </c>
      <c r="N17" s="8">
        <f>'Proximal Validation (double)'!N17</f>
        <v>-0.23388142883777599</v>
      </c>
      <c r="O17" s="8">
        <f>'Proximal Validation (double)'!O17</f>
        <v>-0.26429381966590898</v>
      </c>
      <c r="P17" s="8">
        <f>'Proximal Validation (double)'!P17</f>
        <v>-1.1066045761108401</v>
      </c>
      <c r="Q17" s="8">
        <f>'Proximal Validation (double)'!Q17</f>
        <v>0.67185997962951705</v>
      </c>
      <c r="R17" s="8">
        <v>0.7339</v>
      </c>
      <c r="S17" s="8">
        <v>0.1678</v>
      </c>
      <c r="T17" s="8">
        <v>2.0849000000000002</v>
      </c>
      <c r="U17" s="8">
        <v>1.5708</v>
      </c>
      <c r="V17" s="8">
        <v>0.76700000000000002</v>
      </c>
      <c r="W17" s="8">
        <v>9.3799999999999994E-2</v>
      </c>
      <c r="X17" s="8">
        <v>3.0604</v>
      </c>
      <c r="Y17" s="8">
        <v>1.5708</v>
      </c>
      <c r="Z17" s="8">
        <f t="shared" si="2"/>
        <v>-0.2661</v>
      </c>
      <c r="AA17" s="8">
        <f t="shared" si="2"/>
        <v>2.7799999999999991E-2</v>
      </c>
      <c r="AB17" s="8">
        <f t="shared" si="2"/>
        <v>-0.27109999999999967</v>
      </c>
      <c r="AC17" s="8">
        <f t="shared" si="2"/>
        <v>3.6732051034160662E-6</v>
      </c>
      <c r="AD17" s="8">
        <f t="shared" si="0"/>
        <v>0.36699999999999999</v>
      </c>
      <c r="AE17" s="8">
        <f t="shared" si="0"/>
        <v>5.3799999999999994E-2</v>
      </c>
      <c r="AF17" s="8">
        <f t="shared" si="0"/>
        <v>-0.86660000000000004</v>
      </c>
      <c r="AG17" s="8">
        <f t="shared" si="0"/>
        <v>3.6732051034160662E-6</v>
      </c>
      <c r="AH17" s="22">
        <f t="shared" si="3"/>
        <v>0.31655</v>
      </c>
      <c r="AI17" s="22">
        <f t="shared" si="1"/>
        <v>4.0799999999999989E-2</v>
      </c>
      <c r="AJ17" s="22">
        <f t="shared" si="1"/>
        <v>0.56884999999999986</v>
      </c>
    </row>
    <row r="18" spans="1:36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-6.22342247515917E-3</v>
      </c>
      <c r="M18" s="8">
        <f>'Proximal Validation (double)'!M18</f>
        <v>-5.8960229158401503E-2</v>
      </c>
      <c r="N18" s="8">
        <f>'Proximal Validation (double)'!N18</f>
        <v>-0.15366320312023199</v>
      </c>
      <c r="O18" s="8">
        <f>'Proximal Validation (double)'!O18</f>
        <v>-5.5010270327329601E-2</v>
      </c>
      <c r="P18" s="8">
        <f>'Proximal Validation (double)'!P18</f>
        <v>-0.88742548227310203</v>
      </c>
      <c r="Q18" s="8">
        <f>'Proximal Validation (double)'!Q18</f>
        <v>0.18511915206909199</v>
      </c>
      <c r="R18" s="8">
        <v>0.56169999999999998</v>
      </c>
      <c r="S18" s="8">
        <v>0.14219999999999999</v>
      </c>
      <c r="T18" s="8">
        <v>2.5411000000000001</v>
      </c>
      <c r="U18" s="8">
        <v>1.5708</v>
      </c>
      <c r="V18" s="8">
        <v>0.44540000000000002</v>
      </c>
      <c r="W18" s="8">
        <v>0.02</v>
      </c>
      <c r="X18" s="8">
        <v>3.4398</v>
      </c>
      <c r="Y18" s="8">
        <v>1.5708</v>
      </c>
      <c r="Z18" s="8">
        <f t="shared" si="2"/>
        <v>0.16169999999999995</v>
      </c>
      <c r="AA18" s="8">
        <f t="shared" si="2"/>
        <v>-3.78E-2</v>
      </c>
      <c r="AB18" s="8">
        <f t="shared" si="2"/>
        <v>0.18510000000000026</v>
      </c>
      <c r="AC18" s="8">
        <f t="shared" si="2"/>
        <v>3.6732051034160662E-6</v>
      </c>
      <c r="AD18" s="8">
        <f t="shared" si="0"/>
        <v>-0.25459999999999994</v>
      </c>
      <c r="AE18" s="8">
        <f t="shared" si="0"/>
        <v>-0.02</v>
      </c>
      <c r="AF18" s="8">
        <f t="shared" si="0"/>
        <v>0.29780000000000006</v>
      </c>
      <c r="AG18" s="8">
        <f t="shared" si="0"/>
        <v>3.6732051034160662E-6</v>
      </c>
      <c r="AH18" s="22">
        <f t="shared" si="3"/>
        <v>0.20814999999999995</v>
      </c>
      <c r="AI18" s="22">
        <f t="shared" si="1"/>
        <v>2.8900000000000002E-2</v>
      </c>
      <c r="AJ18" s="22">
        <f t="shared" si="1"/>
        <v>0.24145000000000016</v>
      </c>
    </row>
    <row r="19" spans="1:36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3.3402333501726402E-3</v>
      </c>
      <c r="M19" s="8">
        <f>'Proximal Validation (double)'!M19</f>
        <v>1.4506237581372299E-2</v>
      </c>
      <c r="N19" s="8">
        <f>'Proximal Validation (double)'!N19</f>
        <v>-1.5207892283797301E-2</v>
      </c>
      <c r="O19" s="8">
        <f>'Proximal Validation (double)'!O19</f>
        <v>-1.86226963996887E-2</v>
      </c>
      <c r="P19" s="8">
        <f>'Proximal Validation (double)'!P19</f>
        <v>-4.76582162082195E-2</v>
      </c>
      <c r="Q19" s="8">
        <f>'Proximal Validation (double)'!Q19</f>
        <v>-0.14300855994224501</v>
      </c>
      <c r="R19" s="8">
        <v>0.2681</v>
      </c>
      <c r="S19" s="8">
        <v>0.18279999999999999</v>
      </c>
      <c r="T19" s="8">
        <v>1.9035</v>
      </c>
      <c r="U19" s="8">
        <v>1.5708</v>
      </c>
      <c r="V19" s="8">
        <v>0.39689999999999998</v>
      </c>
      <c r="W19" s="8">
        <v>0.1201</v>
      </c>
      <c r="X19" s="8">
        <v>4.8110999999999997</v>
      </c>
      <c r="Y19" s="8">
        <v>1.5708</v>
      </c>
      <c r="Z19" s="8">
        <f t="shared" si="2"/>
        <v>0.1681</v>
      </c>
      <c r="AA19" s="8">
        <f t="shared" si="2"/>
        <v>2.7999999999999969E-3</v>
      </c>
      <c r="AB19" s="8">
        <f t="shared" si="2"/>
        <v>-0.4524999999999999</v>
      </c>
      <c r="AC19" s="8">
        <f t="shared" si="2"/>
        <v>3.6732051034160662E-6</v>
      </c>
      <c r="AD19" s="8">
        <f t="shared" si="2"/>
        <v>0.19689999999999996</v>
      </c>
      <c r="AE19" s="8">
        <f t="shared" si="2"/>
        <v>6.0100000000000001E-2</v>
      </c>
      <c r="AF19" s="8">
        <f t="shared" si="2"/>
        <v>9.9099999999999966E-2</v>
      </c>
      <c r="AG19" s="8">
        <f t="shared" si="2"/>
        <v>3.6732051034160662E-6</v>
      </c>
      <c r="AH19" s="22">
        <f t="shared" si="3"/>
        <v>0.1825</v>
      </c>
      <c r="AI19" s="22">
        <f t="shared" si="3"/>
        <v>3.1449999999999999E-2</v>
      </c>
      <c r="AJ19" s="22">
        <f t="shared" si="3"/>
        <v>0.27579999999999993</v>
      </c>
    </row>
    <row r="20" spans="1:36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9.9984761327505094E-3</v>
      </c>
      <c r="M20" s="8">
        <f>'Proximal Validation (double)'!M20</f>
        <v>-0.16704940795898399</v>
      </c>
      <c r="N20" s="8">
        <f>'Proximal Validation (double)'!N20</f>
        <v>-0.211101770401001</v>
      </c>
      <c r="O20" s="8">
        <f>'Proximal Validation (double)'!O20</f>
        <v>-0.65643388032913197</v>
      </c>
      <c r="P20" s="8">
        <f>'Proximal Validation (double)'!P20</f>
        <v>-0.80316579341888406</v>
      </c>
      <c r="Q20" s="8">
        <f>'Proximal Validation (double)'!Q20</f>
        <v>0.504788398742676</v>
      </c>
      <c r="R20" s="8">
        <v>0.90769999999999995</v>
      </c>
      <c r="S20" s="8">
        <v>0.19980000000000001</v>
      </c>
      <c r="T20" s="8">
        <v>1.9741</v>
      </c>
      <c r="U20" s="8">
        <v>1.5708</v>
      </c>
      <c r="V20" s="8">
        <v>0.59870000000000001</v>
      </c>
      <c r="W20" s="8">
        <v>0.1449</v>
      </c>
      <c r="X20" s="8">
        <v>3.4083000000000001</v>
      </c>
      <c r="Y20" s="8">
        <v>1.5708</v>
      </c>
      <c r="Z20" s="8">
        <f t="shared" si="2"/>
        <v>7.6999999999999291E-3</v>
      </c>
      <c r="AA20" s="8">
        <f t="shared" si="2"/>
        <v>-2.0000000000000573E-4</v>
      </c>
      <c r="AB20" s="8">
        <f t="shared" si="2"/>
        <v>-0.38189999999999991</v>
      </c>
      <c r="AC20" s="8">
        <f t="shared" si="2"/>
        <v>3.6732051034160662E-6</v>
      </c>
      <c r="AD20" s="8">
        <f t="shared" si="2"/>
        <v>0.29870000000000002</v>
      </c>
      <c r="AE20" s="8">
        <f t="shared" si="2"/>
        <v>8.4900000000000003E-2</v>
      </c>
      <c r="AF20" s="8">
        <f t="shared" si="2"/>
        <v>0.2663000000000002</v>
      </c>
      <c r="AG20" s="8">
        <f t="shared" si="2"/>
        <v>3.6732051034160662E-6</v>
      </c>
      <c r="AH20" s="22">
        <f t="shared" si="3"/>
        <v>0.15319999999999998</v>
      </c>
      <c r="AI20" s="22">
        <f t="shared" si="3"/>
        <v>4.2550000000000004E-2</v>
      </c>
      <c r="AJ20" s="22">
        <f t="shared" si="3"/>
        <v>0.32410000000000005</v>
      </c>
    </row>
    <row r="21" spans="1:36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-4.1311280801892302E-4</v>
      </c>
      <c r="M21" s="8">
        <f>'Proximal Validation (double)'!M21</f>
        <v>3.3949088305234902E-2</v>
      </c>
      <c r="N21" s="8">
        <f>'Proximal Validation (double)'!N21</f>
        <v>-5.4488845169544199E-2</v>
      </c>
      <c r="O21" s="8">
        <f>'Proximal Validation (double)'!O21</f>
        <v>-5.7915411889553096E-3</v>
      </c>
      <c r="P21" s="8">
        <f>'Proximal Validation (double)'!P21</f>
        <v>-0.31081974506378202</v>
      </c>
      <c r="Q21" s="8">
        <f>'Proximal Validation (double)'!Q21</f>
        <v>-0.19208578765392301</v>
      </c>
      <c r="R21" s="8">
        <v>0.24329999999999999</v>
      </c>
      <c r="S21" s="8">
        <v>8.8700000000000001E-2</v>
      </c>
      <c r="T21" s="8">
        <v>4.4824999999999999</v>
      </c>
      <c r="U21" s="8">
        <v>1.5708</v>
      </c>
      <c r="V21" s="8">
        <v>0.25940000000000002</v>
      </c>
      <c r="W21" s="8">
        <v>8.5300000000000001E-2</v>
      </c>
      <c r="X21" s="8">
        <v>2.9674</v>
      </c>
      <c r="Y21" s="8">
        <v>1.5708</v>
      </c>
      <c r="Z21" s="8">
        <f t="shared" si="2"/>
        <v>0.14329999999999998</v>
      </c>
      <c r="AA21" s="8">
        <f t="shared" si="2"/>
        <v>-1.1300000000000004E-2</v>
      </c>
      <c r="AB21" s="8">
        <f t="shared" si="2"/>
        <v>1.3405</v>
      </c>
      <c r="AC21" s="8">
        <f t="shared" si="2"/>
        <v>3.6732051034160662E-6</v>
      </c>
      <c r="AD21" s="8">
        <f t="shared" si="2"/>
        <v>-4.0599999999999969E-2</v>
      </c>
      <c r="AE21" s="8">
        <f t="shared" si="2"/>
        <v>5.2999999999999992E-3</v>
      </c>
      <c r="AF21" s="8">
        <f t="shared" si="2"/>
        <v>-0.95960000000000001</v>
      </c>
      <c r="AG21" s="8">
        <f t="shared" si="2"/>
        <v>3.6732051034160662E-6</v>
      </c>
      <c r="AH21" s="22">
        <f t="shared" si="3"/>
        <v>9.1949999999999976E-2</v>
      </c>
      <c r="AI21" s="22">
        <f t="shared" si="3"/>
        <v>8.3000000000000018E-3</v>
      </c>
      <c r="AJ21" s="22">
        <f t="shared" si="3"/>
        <v>1.15005</v>
      </c>
    </row>
    <row r="22" spans="1:36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-1.08309416100383E-3</v>
      </c>
      <c r="M22" s="8">
        <f>'Proximal Validation (double)'!M22</f>
        <v>4.8130437731742901E-2</v>
      </c>
      <c r="N22" s="8">
        <f>'Proximal Validation (double)'!N22</f>
        <v>-8.1404998898506206E-2</v>
      </c>
      <c r="O22" s="8">
        <f>'Proximal Validation (double)'!O22</f>
        <v>-3.8113974034786197E-2</v>
      </c>
      <c r="P22" s="8">
        <f>'Proximal Validation (double)'!P22</f>
        <v>-0.69519579410553001</v>
      </c>
      <c r="Q22" s="8">
        <f>'Proximal Validation (double)'!Q22</f>
        <v>-0.43949088454246499</v>
      </c>
      <c r="R22" s="8">
        <v>0.4148</v>
      </c>
      <c r="S22" s="8">
        <v>3.0700000000000002E-2</v>
      </c>
      <c r="T22" s="8">
        <v>3.3532999999999999</v>
      </c>
      <c r="U22" s="8">
        <v>1.5708</v>
      </c>
      <c r="V22" s="8">
        <v>0.45540000000000003</v>
      </c>
      <c r="W22" s="8">
        <v>2.1299999999999999E-2</v>
      </c>
      <c r="X22" s="8">
        <v>4.0236999999999998</v>
      </c>
      <c r="Y22" s="8">
        <v>1.5708</v>
      </c>
      <c r="Z22" s="8">
        <f t="shared" si="2"/>
        <v>0.31479999999999997</v>
      </c>
      <c r="AA22" s="8">
        <f t="shared" si="2"/>
        <v>-0.16930000000000001</v>
      </c>
      <c r="AB22" s="8">
        <f t="shared" si="2"/>
        <v>0.21130000000000004</v>
      </c>
      <c r="AC22" s="8">
        <f t="shared" si="2"/>
        <v>3.6732051034160662E-6</v>
      </c>
      <c r="AD22" s="8">
        <f t="shared" si="2"/>
        <v>-0.34460000000000002</v>
      </c>
      <c r="AE22" s="8">
        <f t="shared" si="2"/>
        <v>1.2999999999999991E-3</v>
      </c>
      <c r="AF22" s="8">
        <f t="shared" si="2"/>
        <v>9.6699999999999786E-2</v>
      </c>
      <c r="AG22" s="8">
        <f t="shared" si="2"/>
        <v>3.6732051034160662E-6</v>
      </c>
      <c r="AH22" s="22">
        <f t="shared" si="3"/>
        <v>0.32969999999999999</v>
      </c>
      <c r="AI22" s="22">
        <f t="shared" si="3"/>
        <v>8.5300000000000001E-2</v>
      </c>
      <c r="AJ22" s="22">
        <f t="shared" si="3"/>
        <v>0.15399999999999991</v>
      </c>
    </row>
    <row r="23" spans="1:36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-1.0050361976027501E-2</v>
      </c>
      <c r="M23" s="8">
        <f>'Proximal Validation (double)'!M23</f>
        <v>0.127486452460289</v>
      </c>
      <c r="N23" s="8">
        <f>'Proximal Validation (double)'!N23</f>
        <v>-0.178982153534889</v>
      </c>
      <c r="O23" s="8">
        <f>'Proximal Validation (double)'!O23</f>
        <v>2.8237748891115199E-2</v>
      </c>
      <c r="P23" s="8">
        <f>'Proximal Validation (double)'!P23</f>
        <v>-1.01243340969086</v>
      </c>
      <c r="Q23" s="8">
        <f>'Proximal Validation (double)'!Q23</f>
        <v>-0.60584980249404896</v>
      </c>
      <c r="R23" s="8">
        <v>0.66220000000000001</v>
      </c>
      <c r="S23" s="8">
        <v>9.2899999999999996E-2</v>
      </c>
      <c r="T23" s="8">
        <v>3.9731999999999998</v>
      </c>
      <c r="U23" s="8">
        <v>1.5708</v>
      </c>
      <c r="V23" s="8">
        <v>0.58069999999999999</v>
      </c>
      <c r="W23" s="8">
        <v>5.0099999999999999E-2</v>
      </c>
      <c r="X23" s="8">
        <v>3.3485999999999998</v>
      </c>
      <c r="Y23" s="8">
        <v>1.5708</v>
      </c>
      <c r="Z23" s="8">
        <f t="shared" si="2"/>
        <v>-0.23780000000000001</v>
      </c>
      <c r="AA23" s="8">
        <f t="shared" si="2"/>
        <v>-7.1000000000000091E-3</v>
      </c>
      <c r="AB23" s="8">
        <f t="shared" si="2"/>
        <v>4.6199999999999797E-2</v>
      </c>
      <c r="AC23" s="8">
        <f t="shared" si="2"/>
        <v>3.6732051034160662E-6</v>
      </c>
      <c r="AD23" s="8">
        <f t="shared" si="2"/>
        <v>0.38069999999999998</v>
      </c>
      <c r="AE23" s="8">
        <f t="shared" si="2"/>
        <v>3.0099999999999998E-2</v>
      </c>
      <c r="AF23" s="8">
        <f t="shared" si="2"/>
        <v>0.20659999999999989</v>
      </c>
      <c r="AG23" s="8">
        <f t="shared" si="2"/>
        <v>3.6732051034160662E-6</v>
      </c>
      <c r="AH23" s="22">
        <f t="shared" si="3"/>
        <v>0.30925000000000002</v>
      </c>
      <c r="AI23" s="22">
        <f t="shared" si="3"/>
        <v>1.8600000000000005E-2</v>
      </c>
      <c r="AJ23" s="22">
        <f t="shared" si="3"/>
        <v>0.12639999999999985</v>
      </c>
    </row>
    <row r="24" spans="1:36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-1.8197204917669299E-4</v>
      </c>
      <c r="M24" s="8">
        <f>'Proximal Validation (double)'!M24</f>
        <v>4.8199806362390497E-2</v>
      </c>
      <c r="N24" s="8">
        <f>'Proximal Validation (double)'!N24</f>
        <v>-2.8443846851587299E-2</v>
      </c>
      <c r="O24" s="8">
        <f>'Proximal Validation (double)'!O24</f>
        <v>1.3900646939873701E-2</v>
      </c>
      <c r="P24" s="8">
        <f>'Proximal Validation (double)'!P24</f>
        <v>-0.13246817886829401</v>
      </c>
      <c r="Q24" s="8">
        <f>'Proximal Validation (double)'!Q24</f>
        <v>-0.32060724496841397</v>
      </c>
      <c r="R24" s="8">
        <v>0.19470000000000001</v>
      </c>
      <c r="S24" s="8">
        <v>9.1399999999999995E-2</v>
      </c>
      <c r="T24" s="8">
        <v>3.6017999999999999</v>
      </c>
      <c r="U24" s="8">
        <v>1.5708</v>
      </c>
      <c r="V24" s="8">
        <v>0.23849999999999999</v>
      </c>
      <c r="W24" s="8">
        <v>4.4200000000000003E-2</v>
      </c>
      <c r="X24" s="8">
        <v>4.8902000000000001</v>
      </c>
      <c r="Y24" s="8">
        <v>1.5708</v>
      </c>
      <c r="Z24" s="8">
        <f t="shared" si="2"/>
        <v>-5.2999999999999992E-3</v>
      </c>
      <c r="AA24" s="8">
        <f t="shared" si="2"/>
        <v>-2.86E-2</v>
      </c>
      <c r="AB24" s="8">
        <f t="shared" si="2"/>
        <v>-0.32520000000000016</v>
      </c>
      <c r="AC24" s="8">
        <f t="shared" si="2"/>
        <v>3.6732051034160662E-6</v>
      </c>
      <c r="AD24" s="8">
        <f t="shared" si="2"/>
        <v>3.8499999999999979E-2</v>
      </c>
      <c r="AE24" s="8">
        <f t="shared" si="2"/>
        <v>2.4200000000000003E-2</v>
      </c>
      <c r="AF24" s="8">
        <f t="shared" si="2"/>
        <v>0.17820000000000036</v>
      </c>
      <c r="AG24" s="8">
        <f t="shared" si="2"/>
        <v>3.6732051034160662E-6</v>
      </c>
      <c r="AH24" s="22">
        <f t="shared" si="3"/>
        <v>2.1899999999999989E-2</v>
      </c>
      <c r="AI24" s="22">
        <f t="shared" si="3"/>
        <v>2.64E-2</v>
      </c>
      <c r="AJ24" s="22">
        <f t="shared" si="3"/>
        <v>0.25170000000000026</v>
      </c>
    </row>
    <row r="25" spans="1:36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-9.4277318567037604E-4</v>
      </c>
      <c r="M25" s="8">
        <f>'Proximal Validation (double)'!M25</f>
        <v>0.193720102310181</v>
      </c>
      <c r="N25" s="8">
        <f>'Proximal Validation (double)'!N25</f>
        <v>-0.115528546273708</v>
      </c>
      <c r="O25" s="8">
        <f>'Proximal Validation (double)'!O25</f>
        <v>4.3163940310478197E-2</v>
      </c>
      <c r="P25" s="8">
        <f>'Proximal Validation (double)'!P25</f>
        <v>-0.53577321767806996</v>
      </c>
      <c r="Q25" s="8">
        <f>'Proximal Validation (double)'!Q25</f>
        <v>-0.986228287220001</v>
      </c>
      <c r="R25" s="8">
        <v>0.62549999999999994</v>
      </c>
      <c r="S25" s="8">
        <v>9.4700000000000006E-2</v>
      </c>
      <c r="T25" s="8">
        <v>4.0175000000000001</v>
      </c>
      <c r="U25" s="8">
        <v>1.5708</v>
      </c>
      <c r="V25" s="8">
        <v>0.52859999999999996</v>
      </c>
      <c r="W25" s="8">
        <v>5.0999999999999997E-2</v>
      </c>
      <c r="X25" s="8">
        <v>4.4470999999999998</v>
      </c>
      <c r="Y25" s="8">
        <v>1.5708</v>
      </c>
      <c r="Z25" s="8">
        <f t="shared" si="2"/>
        <v>2.5499999999999967E-2</v>
      </c>
      <c r="AA25" s="8">
        <f t="shared" si="2"/>
        <v>-2.5299999999999989E-2</v>
      </c>
      <c r="AB25" s="8">
        <f t="shared" si="2"/>
        <v>9.0500000000000025E-2</v>
      </c>
      <c r="AC25" s="8">
        <f t="shared" si="2"/>
        <v>3.6732051034160662E-6</v>
      </c>
      <c r="AD25" s="8">
        <f t="shared" si="2"/>
        <v>2.8599999999999959E-2</v>
      </c>
      <c r="AE25" s="8">
        <f t="shared" si="2"/>
        <v>-2.9000000000000005E-2</v>
      </c>
      <c r="AF25" s="8">
        <f t="shared" si="2"/>
        <v>-0.26489999999999991</v>
      </c>
      <c r="AG25" s="8">
        <f t="shared" si="2"/>
        <v>3.6732051034160662E-6</v>
      </c>
      <c r="AH25" s="22">
        <f t="shared" si="3"/>
        <v>2.7049999999999963E-2</v>
      </c>
      <c r="AI25" s="22">
        <f t="shared" si="3"/>
        <v>2.7149999999999997E-2</v>
      </c>
      <c r="AJ25" s="22">
        <f t="shared" si="3"/>
        <v>0.17769999999999997</v>
      </c>
    </row>
    <row r="26" spans="1:36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-1.8966067582368901E-3</v>
      </c>
      <c r="M26" s="8">
        <f>'Proximal Validation (double)'!M26</f>
        <v>0.20827016234397899</v>
      </c>
      <c r="N26" s="8">
        <f>'Proximal Validation (double)'!N26</f>
        <v>-0.236072272062302</v>
      </c>
      <c r="O26" s="8">
        <f>'Proximal Validation (double)'!O26</f>
        <v>-2.9216319322586101E-2</v>
      </c>
      <c r="P26" s="8">
        <f>'Proximal Validation (double)'!P26</f>
        <v>-1.3177623748779299</v>
      </c>
      <c r="Q26" s="8">
        <f>'Proximal Validation (double)'!Q26</f>
        <v>-1.11354172229767</v>
      </c>
      <c r="R26" s="8">
        <v>0.87239999999999995</v>
      </c>
      <c r="S26" s="8">
        <v>8.9200000000000002E-2</v>
      </c>
      <c r="T26" s="8">
        <v>3.9388999999999998</v>
      </c>
      <c r="U26" s="8">
        <v>1.5708</v>
      </c>
      <c r="V26" s="8">
        <v>0.86270000000000002</v>
      </c>
      <c r="W26" s="8">
        <v>7.5499999999999998E-2</v>
      </c>
      <c r="X26" s="8">
        <v>3.7475999999999998</v>
      </c>
      <c r="Y26" s="8">
        <v>1.5708</v>
      </c>
      <c r="Z26" s="8">
        <f t="shared" si="2"/>
        <v>0.1724</v>
      </c>
      <c r="AA26" s="8">
        <f t="shared" si="2"/>
        <v>-7.0800000000000002E-2</v>
      </c>
      <c r="AB26" s="8">
        <f t="shared" si="2"/>
        <v>1.18999999999998E-2</v>
      </c>
      <c r="AC26" s="8">
        <f t="shared" si="2"/>
        <v>3.6732051034160662E-6</v>
      </c>
      <c r="AD26" s="8">
        <f t="shared" si="2"/>
        <v>-0.13729999999999998</v>
      </c>
      <c r="AE26" s="8">
        <f t="shared" si="2"/>
        <v>3.5499999999999997E-2</v>
      </c>
      <c r="AF26" s="8">
        <f t="shared" si="2"/>
        <v>-0.17940000000000023</v>
      </c>
      <c r="AG26" s="8">
        <f t="shared" si="2"/>
        <v>3.6732051034160662E-6</v>
      </c>
      <c r="AH26" s="22">
        <f t="shared" si="3"/>
        <v>0.15484999999999999</v>
      </c>
      <c r="AI26" s="22">
        <f t="shared" si="3"/>
        <v>5.3150000000000003E-2</v>
      </c>
      <c r="AJ26" s="22">
        <f t="shared" si="3"/>
        <v>9.5650000000000013E-2</v>
      </c>
    </row>
    <row r="27" spans="1:36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-2.1010981872677799E-3</v>
      </c>
      <c r="M27" s="8">
        <f>'Proximal Validation (double)'!M27</f>
        <v>1.5756551176309599E-2</v>
      </c>
      <c r="N27" s="8">
        <f>'Proximal Validation (double)'!N27</f>
        <v>-0.160715162754059</v>
      </c>
      <c r="O27" s="8">
        <f>'Proximal Validation (double)'!O27</f>
        <v>2.54940949380398E-2</v>
      </c>
      <c r="P27" s="8">
        <f>'Proximal Validation (double)'!P27</f>
        <v>-0.88553363084793102</v>
      </c>
      <c r="Q27" s="8">
        <f>'Proximal Validation (double)'!Q27</f>
        <v>-5.3425669670105001E-2</v>
      </c>
      <c r="R27" s="8">
        <v>0.43330000000000002</v>
      </c>
      <c r="S27" s="8">
        <v>9.6299999999999997E-2</v>
      </c>
      <c r="T27" s="8">
        <v>3.4138000000000002</v>
      </c>
      <c r="U27" s="8">
        <v>1.5708</v>
      </c>
      <c r="V27" s="8">
        <v>0.47539999999999999</v>
      </c>
      <c r="W27" s="8">
        <v>4.9399999999999999E-2</v>
      </c>
      <c r="X27" s="8">
        <v>3.0070000000000001</v>
      </c>
      <c r="Y27" s="8">
        <v>1.5708</v>
      </c>
      <c r="Z27" s="8">
        <f t="shared" si="2"/>
        <v>0.33330000000000004</v>
      </c>
      <c r="AA27" s="8">
        <f t="shared" si="2"/>
        <v>-8.3699999999999997E-2</v>
      </c>
      <c r="AB27" s="8">
        <f t="shared" si="2"/>
        <v>-0.51319999999999988</v>
      </c>
      <c r="AC27" s="8">
        <f t="shared" si="2"/>
        <v>3.6732051034160662E-6</v>
      </c>
      <c r="AD27" s="8">
        <f t="shared" si="2"/>
        <v>-0.42460000000000003</v>
      </c>
      <c r="AE27" s="8">
        <f t="shared" si="2"/>
        <v>-3.0600000000000002E-2</v>
      </c>
      <c r="AF27" s="8">
        <f t="shared" si="2"/>
        <v>-0.13499999999999979</v>
      </c>
      <c r="AG27" s="8">
        <f t="shared" si="2"/>
        <v>3.6732051034160662E-6</v>
      </c>
      <c r="AH27" s="22">
        <f t="shared" si="3"/>
        <v>0.37895000000000001</v>
      </c>
      <c r="AI27" s="22">
        <f t="shared" si="3"/>
        <v>5.7149999999999999E-2</v>
      </c>
      <c r="AJ27" s="22">
        <f t="shared" si="3"/>
        <v>0.32409999999999983</v>
      </c>
    </row>
    <row r="28" spans="1:36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-2.0807487890124299E-3</v>
      </c>
      <c r="M28" s="8">
        <f>'Proximal Validation (double)'!M28</f>
        <v>0.205877780914307</v>
      </c>
      <c r="N28" s="8">
        <f>'Proximal Validation (double)'!N28</f>
        <v>-0.19408226013183599</v>
      </c>
      <c r="O28" s="8">
        <f>'Proximal Validation (double)'!O28</f>
        <v>-0.39274537563324002</v>
      </c>
      <c r="P28" s="8">
        <f>'Proximal Validation (double)'!P28</f>
        <v>-0.65224993228912398</v>
      </c>
      <c r="Q28" s="8">
        <f>'Proximal Validation (double)'!Q28</f>
        <v>-0.73969256877899203</v>
      </c>
      <c r="R28" s="8">
        <v>0.56599999999999995</v>
      </c>
      <c r="S28" s="8">
        <v>0.19350000000000001</v>
      </c>
      <c r="T28" s="8">
        <v>3.7902999999999998</v>
      </c>
      <c r="U28" s="8">
        <v>1.5708</v>
      </c>
      <c r="V28" s="8">
        <v>0.52470000000000006</v>
      </c>
      <c r="W28" s="8">
        <v>0.13519999999999999</v>
      </c>
      <c r="X28" s="8">
        <v>4.1898999999999997</v>
      </c>
      <c r="Y28" s="8">
        <v>1.5708</v>
      </c>
      <c r="Z28" s="8">
        <f t="shared" si="2"/>
        <v>-0.43400000000000005</v>
      </c>
      <c r="AA28" s="8">
        <f t="shared" si="2"/>
        <v>1.3500000000000012E-2</v>
      </c>
      <c r="AB28" s="8">
        <f t="shared" si="2"/>
        <v>-0.13670000000000027</v>
      </c>
      <c r="AC28" s="8">
        <f t="shared" si="2"/>
        <v>3.6732051034160662E-6</v>
      </c>
      <c r="AD28" s="8">
        <f t="shared" si="2"/>
        <v>0.42470000000000008</v>
      </c>
      <c r="AE28" s="8">
        <f t="shared" si="2"/>
        <v>5.5199999999999985E-2</v>
      </c>
      <c r="AF28" s="8">
        <f t="shared" si="2"/>
        <v>-0.52210000000000001</v>
      </c>
      <c r="AG28" s="8">
        <f t="shared" si="2"/>
        <v>3.6732051034160662E-6</v>
      </c>
      <c r="AH28" s="22">
        <f t="shared" si="3"/>
        <v>0.42935000000000006</v>
      </c>
      <c r="AI28" s="22">
        <f t="shared" si="3"/>
        <v>3.4349999999999999E-2</v>
      </c>
      <c r="AJ28" s="22">
        <f t="shared" si="3"/>
        <v>0.32940000000000014</v>
      </c>
    </row>
    <row r="29" spans="1:36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-1.87318958342075E-3</v>
      </c>
      <c r="M29" s="8">
        <f>'Proximal Validation (double)'!M29</f>
        <v>0.13435347378253901</v>
      </c>
      <c r="N29" s="8">
        <f>'Proximal Validation (double)'!N29</f>
        <v>-0.13989627361297599</v>
      </c>
      <c r="O29" s="8">
        <f>'Proximal Validation (double)'!O29</f>
        <v>-0.26602268218994102</v>
      </c>
      <c r="P29" s="8">
        <f>'Proximal Validation (double)'!P29</f>
        <v>-0.53642767667770397</v>
      </c>
      <c r="Q29" s="8">
        <f>'Proximal Validation (double)'!Q29</f>
        <v>-0.50663030147552501</v>
      </c>
      <c r="R29" s="8">
        <v>0.42899999999999999</v>
      </c>
      <c r="S29" s="8">
        <v>0.17799999999999999</v>
      </c>
      <c r="T29" s="8">
        <v>3.9716</v>
      </c>
      <c r="U29" s="8">
        <v>1.5708</v>
      </c>
      <c r="V29" s="8">
        <v>0.35709999999999997</v>
      </c>
      <c r="W29" s="8">
        <v>0.1643</v>
      </c>
      <c r="X29" s="8">
        <v>3.8138000000000001</v>
      </c>
      <c r="Y29" s="8">
        <v>1.5708</v>
      </c>
      <c r="Z29" s="8">
        <f t="shared" si="2"/>
        <v>-0.27099999999999996</v>
      </c>
      <c r="AA29" s="8">
        <f t="shared" si="2"/>
        <v>-2.200000000000002E-2</v>
      </c>
      <c r="AB29" s="8">
        <f t="shared" si="2"/>
        <v>4.4599999999999973E-2</v>
      </c>
      <c r="AC29" s="8">
        <f t="shared" si="2"/>
        <v>3.6732051034160662E-6</v>
      </c>
      <c r="AD29" s="8">
        <f t="shared" si="2"/>
        <v>0.15709999999999996</v>
      </c>
      <c r="AE29" s="8">
        <f t="shared" si="2"/>
        <v>0.14430000000000001</v>
      </c>
      <c r="AF29" s="8">
        <f t="shared" si="2"/>
        <v>-0.11319999999999997</v>
      </c>
      <c r="AG29" s="8">
        <f t="shared" si="2"/>
        <v>3.6732051034160662E-6</v>
      </c>
      <c r="AH29" s="22">
        <f t="shared" si="3"/>
        <v>0.21404999999999996</v>
      </c>
      <c r="AI29" s="22">
        <f t="shared" si="3"/>
        <v>8.3150000000000016E-2</v>
      </c>
      <c r="AJ29" s="22">
        <f t="shared" si="3"/>
        <v>7.889999999999997E-2</v>
      </c>
    </row>
    <row r="30" spans="1:36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-3.7020025774836501E-3</v>
      </c>
      <c r="M30" s="8">
        <f>'Proximal Validation (double)'!M30</f>
        <v>0.26659435033798201</v>
      </c>
      <c r="N30" s="8">
        <f>'Proximal Validation (double)'!N30</f>
        <v>-0.30219966173172003</v>
      </c>
      <c r="O30" s="8">
        <f>'Proximal Validation (double)'!O30</f>
        <v>-0.59528750181198098</v>
      </c>
      <c r="P30" s="8">
        <f>'Proximal Validation (double)'!P30</f>
        <v>-1.3395630121231099</v>
      </c>
      <c r="Q30" s="8">
        <f>'Proximal Validation (double)'!Q30</f>
        <v>-1.10396945476532</v>
      </c>
      <c r="R30" s="8">
        <v>0.89990000000000003</v>
      </c>
      <c r="S30" s="8">
        <v>0.1525</v>
      </c>
      <c r="T30" s="8">
        <v>3.8807</v>
      </c>
      <c r="U30" s="8">
        <v>1.5708</v>
      </c>
      <c r="V30" s="8">
        <v>0.91320000000000001</v>
      </c>
      <c r="W30" s="8">
        <v>0.1346</v>
      </c>
      <c r="X30" s="8">
        <v>3.7858000000000001</v>
      </c>
      <c r="Y30" s="8">
        <v>1.5708</v>
      </c>
      <c r="Z30" s="8">
        <f t="shared" si="2"/>
        <v>-0.10009999999999997</v>
      </c>
      <c r="AA30" s="8">
        <f t="shared" si="2"/>
        <v>-4.7500000000000014E-2</v>
      </c>
      <c r="AB30" s="8">
        <f t="shared" si="2"/>
        <v>-4.6300000000000008E-2</v>
      </c>
      <c r="AC30" s="8">
        <f t="shared" si="2"/>
        <v>3.6732051034160662E-6</v>
      </c>
      <c r="AD30" s="8">
        <f t="shared" si="2"/>
        <v>-8.6799999999999988E-2</v>
      </c>
      <c r="AE30" s="8">
        <f t="shared" si="2"/>
        <v>7.46E-2</v>
      </c>
      <c r="AF30" s="8">
        <f t="shared" si="2"/>
        <v>-0.14119999999999999</v>
      </c>
      <c r="AG30" s="8">
        <f t="shared" si="2"/>
        <v>3.6732051034160662E-6</v>
      </c>
      <c r="AH30" s="22">
        <f t="shared" si="3"/>
        <v>9.3449999999999978E-2</v>
      </c>
      <c r="AI30" s="22">
        <f t="shared" si="3"/>
        <v>6.1050000000000007E-2</v>
      </c>
      <c r="AJ30" s="22">
        <f t="shared" si="3"/>
        <v>9.375E-2</v>
      </c>
    </row>
    <row r="31" spans="1:36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-2.9836385510861901E-4</v>
      </c>
      <c r="M31" s="8">
        <f>'Proximal Validation (double)'!M31</f>
        <v>1.1398071423172999E-2</v>
      </c>
      <c r="N31" s="8">
        <f>'Proximal Validation (double)'!N31</f>
        <v>-2.4645710363984101E-2</v>
      </c>
      <c r="O31" s="8">
        <f>'Proximal Validation (double)'!O31</f>
        <v>1.9913738593459102E-2</v>
      </c>
      <c r="P31" s="8">
        <f>'Proximal Validation (double)'!P31</f>
        <v>-0.214856266975403</v>
      </c>
      <c r="Q31" s="8">
        <f>'Proximal Validation (double)'!Q31</f>
        <v>-6.1887651681899997E-2</v>
      </c>
      <c r="R31" s="8">
        <v>0.1749</v>
      </c>
      <c r="S31" s="8">
        <v>9.4399999999999998E-2</v>
      </c>
      <c r="T31" s="8">
        <v>5.9793000000000003</v>
      </c>
      <c r="U31" s="8">
        <v>1.5708</v>
      </c>
      <c r="V31" s="8">
        <v>0.38169999999999998</v>
      </c>
      <c r="W31" s="8">
        <v>6.0699999999999997E-2</v>
      </c>
      <c r="X31" s="8">
        <v>3.1667000000000001</v>
      </c>
      <c r="Y31" s="8">
        <v>1.5708</v>
      </c>
      <c r="Z31" s="8">
        <f t="shared" si="2"/>
        <v>7.4899999999999994E-2</v>
      </c>
      <c r="AA31" s="8">
        <f t="shared" si="2"/>
        <v>-5.6000000000000077E-3</v>
      </c>
      <c r="AB31" s="8">
        <f t="shared" si="2"/>
        <v>1.2673000000000005</v>
      </c>
      <c r="AC31" s="8">
        <f t="shared" si="2"/>
        <v>3.6732051034160662E-6</v>
      </c>
      <c r="AD31" s="8">
        <f t="shared" si="2"/>
        <v>0.18169999999999997</v>
      </c>
      <c r="AE31" s="8">
        <f t="shared" si="2"/>
        <v>4.07E-2</v>
      </c>
      <c r="AF31" s="8">
        <f t="shared" si="2"/>
        <v>2.4700000000000166E-2</v>
      </c>
      <c r="AG31" s="8">
        <f t="shared" si="2"/>
        <v>3.6732051034160662E-6</v>
      </c>
      <c r="AH31" s="22">
        <f t="shared" si="3"/>
        <v>0.12829999999999997</v>
      </c>
      <c r="AI31" s="22">
        <f t="shared" si="3"/>
        <v>2.3150000000000004E-2</v>
      </c>
      <c r="AJ31" s="22">
        <f t="shared" si="3"/>
        <v>0.64600000000000035</v>
      </c>
    </row>
    <row r="32" spans="1:36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1.33801531046629E-3</v>
      </c>
      <c r="M32" s="8">
        <f>'Proximal Validation (double)'!M32</f>
        <v>0.12020714581012699</v>
      </c>
      <c r="N32" s="8">
        <f>'Proximal Validation (double)'!N32</f>
        <v>-7.8008078038692502E-2</v>
      </c>
      <c r="O32" s="8">
        <f>'Proximal Validation (double)'!O32</f>
        <v>1.24355498701334E-2</v>
      </c>
      <c r="P32" s="8">
        <f>'Proximal Validation (double)'!P32</f>
        <v>-0.59375947713851895</v>
      </c>
      <c r="Q32" s="8">
        <f>'Proximal Validation (double)'!Q32</f>
        <v>-0.77984750270843495</v>
      </c>
      <c r="R32" s="8">
        <v>0.58050000000000002</v>
      </c>
      <c r="S32" s="8">
        <v>6.4600000000000005E-2</v>
      </c>
      <c r="T32" s="8">
        <v>4.6375999999999999</v>
      </c>
      <c r="U32" s="8">
        <v>1.5708</v>
      </c>
      <c r="V32" s="8">
        <v>0.58609999999999995</v>
      </c>
      <c r="W32" s="8">
        <v>4.1300000000000003E-2</v>
      </c>
      <c r="X32" s="8">
        <v>3.4925000000000002</v>
      </c>
      <c r="Y32" s="8">
        <v>1.5708</v>
      </c>
      <c r="Z32" s="8">
        <f t="shared" si="2"/>
        <v>0.28050000000000003</v>
      </c>
      <c r="AA32" s="8">
        <f t="shared" si="2"/>
        <v>-3.5400000000000001E-2</v>
      </c>
      <c r="AB32" s="8">
        <f t="shared" si="2"/>
        <v>-7.43999999999998E-2</v>
      </c>
      <c r="AC32" s="8">
        <f t="shared" si="2"/>
        <v>3.6732051034160662E-6</v>
      </c>
      <c r="AD32" s="8">
        <f t="shared" si="2"/>
        <v>-0.21390000000000009</v>
      </c>
      <c r="AE32" s="8">
        <f t="shared" si="2"/>
        <v>1.3000000000000025E-3</v>
      </c>
      <c r="AF32" s="8">
        <f t="shared" si="2"/>
        <v>-0.43449999999999989</v>
      </c>
      <c r="AG32" s="8">
        <f t="shared" si="2"/>
        <v>3.6732051034160662E-6</v>
      </c>
      <c r="AH32" s="22">
        <f t="shared" si="3"/>
        <v>0.24720000000000006</v>
      </c>
      <c r="AI32" s="22">
        <f t="shared" si="3"/>
        <v>1.8350000000000002E-2</v>
      </c>
      <c r="AJ32" s="22">
        <f t="shared" si="3"/>
        <v>0.25444999999999984</v>
      </c>
    </row>
    <row r="33" spans="1:36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2.7945239562541199E-3</v>
      </c>
      <c r="M33" s="8">
        <f>'Proximal Validation (double)'!M33</f>
        <v>0.24397116899490401</v>
      </c>
      <c r="N33" s="8">
        <f>'Proximal Validation (double)'!N33</f>
        <v>1.2453994713723699E-2</v>
      </c>
      <c r="O33" s="8">
        <f>'Proximal Validation (double)'!O33</f>
        <v>-6.59529305994511E-3</v>
      </c>
      <c r="P33" s="8">
        <f>'Proximal Validation (double)'!P33</f>
        <v>6.8884432315826402E-2</v>
      </c>
      <c r="Q33" s="8">
        <f>'Proximal Validation (double)'!Q33</f>
        <v>-1.3081740140914899</v>
      </c>
      <c r="R33" s="8">
        <v>0.76980000000000004</v>
      </c>
      <c r="S33" s="8">
        <v>8.5599999999999996E-2</v>
      </c>
      <c r="T33" s="8">
        <v>4.6916000000000002</v>
      </c>
      <c r="U33" s="8">
        <v>1.5708</v>
      </c>
      <c r="V33" s="8">
        <v>0.54710000000000003</v>
      </c>
      <c r="W33" s="8">
        <v>8.1500000000000003E-2</v>
      </c>
      <c r="X33" s="8">
        <v>4.8684000000000003</v>
      </c>
      <c r="Y33" s="8">
        <v>1.5708</v>
      </c>
      <c r="Z33" s="8">
        <f t="shared" si="2"/>
        <v>-0.23019999999999996</v>
      </c>
      <c r="AA33" s="8">
        <f t="shared" si="2"/>
        <v>-1.440000000000001E-2</v>
      </c>
      <c r="AB33" s="8">
        <f t="shared" si="2"/>
        <v>-2.039999999999953E-2</v>
      </c>
      <c r="AC33" s="8">
        <f t="shared" si="2"/>
        <v>3.6732051034160662E-6</v>
      </c>
      <c r="AD33" s="8">
        <f t="shared" si="2"/>
        <v>0.44710000000000005</v>
      </c>
      <c r="AE33" s="8">
        <f t="shared" si="2"/>
        <v>4.1500000000000002E-2</v>
      </c>
      <c r="AF33" s="8">
        <f t="shared" si="2"/>
        <v>0.15640000000000054</v>
      </c>
      <c r="AG33" s="8">
        <f t="shared" si="2"/>
        <v>3.6732051034160662E-6</v>
      </c>
      <c r="AH33" s="22">
        <f t="shared" si="3"/>
        <v>0.33865000000000001</v>
      </c>
      <c r="AI33" s="22">
        <f t="shared" si="3"/>
        <v>2.7950000000000006E-2</v>
      </c>
      <c r="AJ33" s="22">
        <f t="shared" si="3"/>
        <v>8.8400000000000034E-2</v>
      </c>
    </row>
    <row r="34" spans="1:36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2.5964039377868202E-3</v>
      </c>
      <c r="M34" s="8">
        <f>'Proximal Validation (double)'!M34</f>
        <v>0.18914604187011699</v>
      </c>
      <c r="N34" s="8">
        <f>'Proximal Validation (double)'!N34</f>
        <v>2.9903646558523199E-2</v>
      </c>
      <c r="O34" s="8">
        <f>'Proximal Validation (double)'!O34</f>
        <v>-6.4636766910552996E-3</v>
      </c>
      <c r="P34" s="8">
        <f>'Proximal Validation (double)'!P34</f>
        <v>0.158803179860115</v>
      </c>
      <c r="Q34" s="8">
        <f>'Proximal Validation (double)'!Q34</f>
        <v>-1.0939816236496001</v>
      </c>
      <c r="R34" s="8">
        <v>0.64219999999999999</v>
      </c>
      <c r="S34" s="8">
        <v>9.6000000000000002E-2</v>
      </c>
      <c r="T34" s="8">
        <v>4.8878000000000004</v>
      </c>
      <c r="U34" s="8">
        <v>1.5708</v>
      </c>
      <c r="V34" s="8">
        <v>0.46489999999999998</v>
      </c>
      <c r="W34" s="8">
        <v>5.2600000000000001E-2</v>
      </c>
      <c r="X34" s="8">
        <v>4.8140999999999998</v>
      </c>
      <c r="Y34" s="8">
        <v>1.5708</v>
      </c>
      <c r="Z34" s="8">
        <f t="shared" si="2"/>
        <v>0.54220000000000002</v>
      </c>
      <c r="AA34" s="8">
        <f t="shared" si="2"/>
        <v>-4.0000000000000036E-3</v>
      </c>
      <c r="AB34" s="8">
        <f t="shared" si="2"/>
        <v>0.17580000000000062</v>
      </c>
      <c r="AC34" s="8">
        <f t="shared" si="2"/>
        <v>3.6732051034160662E-6</v>
      </c>
      <c r="AD34" s="8">
        <f t="shared" si="2"/>
        <v>-0.53510000000000002</v>
      </c>
      <c r="AE34" s="8">
        <f t="shared" si="2"/>
        <v>-2.7400000000000001E-2</v>
      </c>
      <c r="AF34" s="8">
        <f t="shared" si="2"/>
        <v>0.10210000000000008</v>
      </c>
      <c r="AG34" s="8">
        <f t="shared" si="2"/>
        <v>3.6732051034160662E-6</v>
      </c>
      <c r="AH34" s="22">
        <f t="shared" si="3"/>
        <v>0.53865000000000007</v>
      </c>
      <c r="AI34" s="22">
        <f t="shared" si="3"/>
        <v>1.5700000000000002E-2</v>
      </c>
      <c r="AJ34" s="22">
        <f t="shared" si="3"/>
        <v>0.13895000000000035</v>
      </c>
    </row>
    <row r="35" spans="1:36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-7.47585669159889E-4</v>
      </c>
      <c r="M35" s="8">
        <f>'Proximal Validation (double)'!M35</f>
        <v>0.23934969305992099</v>
      </c>
      <c r="N35" s="8">
        <f>'Proximal Validation (double)'!N35</f>
        <v>-9.9573642015457195E-2</v>
      </c>
      <c r="O35" s="8">
        <f>'Proximal Validation (double)'!O35</f>
        <v>-0.13754428923129999</v>
      </c>
      <c r="P35" s="8">
        <f>'Proximal Validation (double)'!P35</f>
        <v>-0.88355565071106001</v>
      </c>
      <c r="Q35" s="8">
        <f>'Proximal Validation (double)'!Q35</f>
        <v>-1.16920530796051</v>
      </c>
      <c r="R35" s="8">
        <v>0.90410000000000001</v>
      </c>
      <c r="S35" s="8">
        <v>0.14149999999999999</v>
      </c>
      <c r="T35" s="8">
        <v>4.6839000000000004</v>
      </c>
      <c r="U35" s="8">
        <v>1.5708</v>
      </c>
      <c r="V35" s="8">
        <v>0.90169999999999995</v>
      </c>
      <c r="W35" s="8">
        <v>2.01E-2</v>
      </c>
      <c r="X35" s="8">
        <v>3.4525999999999999</v>
      </c>
      <c r="Y35" s="8">
        <v>1.5708</v>
      </c>
      <c r="Z35" s="8">
        <f t="shared" si="2"/>
        <v>4.0999999999999925E-3</v>
      </c>
      <c r="AA35" s="8">
        <f t="shared" si="2"/>
        <v>2.1499999999999991E-2</v>
      </c>
      <c r="AB35" s="8">
        <f t="shared" si="2"/>
        <v>-2.8099999999999348E-2</v>
      </c>
      <c r="AC35" s="8">
        <f t="shared" si="2"/>
        <v>3.6732051034160662E-6</v>
      </c>
      <c r="AD35" s="8">
        <f t="shared" si="2"/>
        <v>1.6999999999999238E-3</v>
      </c>
      <c r="AE35" s="8">
        <f t="shared" si="2"/>
        <v>9.9999999999999395E-5</v>
      </c>
      <c r="AF35" s="8">
        <f t="shared" si="2"/>
        <v>0.31059999999999999</v>
      </c>
      <c r="AG35" s="8">
        <f t="shared" si="2"/>
        <v>3.6732051034160662E-6</v>
      </c>
      <c r="AH35" s="22">
        <f t="shared" si="3"/>
        <v>2.8999999999999582E-3</v>
      </c>
      <c r="AI35" s="22">
        <f t="shared" si="3"/>
        <v>1.0799999999999995E-2</v>
      </c>
      <c r="AJ35" s="22">
        <f t="shared" si="3"/>
        <v>0.16934999999999967</v>
      </c>
    </row>
    <row r="36" spans="1:36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-5.7288859970867599E-3</v>
      </c>
      <c r="M36" s="8">
        <f>'Proximal Validation (double)'!M36</f>
        <v>0.26700088381767301</v>
      </c>
      <c r="N36" s="8">
        <f>'Proximal Validation (double)'!N36</f>
        <v>-0.13192363083362599</v>
      </c>
      <c r="O36" s="8">
        <f>'Proximal Validation (double)'!O36</f>
        <v>-0.16222637891769401</v>
      </c>
      <c r="P36" s="8">
        <f>'Proximal Validation (double)'!P36</f>
        <v>-0.74046343564987205</v>
      </c>
      <c r="Q36" s="8">
        <f>'Proximal Validation (double)'!Q36</f>
        <v>-1.2301561832428001</v>
      </c>
      <c r="R36" s="8">
        <v>0.77059999999999995</v>
      </c>
      <c r="S36" s="8">
        <v>0.14699999999999999</v>
      </c>
      <c r="T36" s="8">
        <v>4.5594000000000001</v>
      </c>
      <c r="U36" s="8">
        <v>1.5708</v>
      </c>
      <c r="V36" s="8">
        <v>0.78800000000000003</v>
      </c>
      <c r="W36" s="8">
        <v>8.2299999999999998E-2</v>
      </c>
      <c r="X36" s="8">
        <v>3.7974000000000001</v>
      </c>
      <c r="Y36" s="8">
        <v>1.5708</v>
      </c>
      <c r="Z36" s="8">
        <f t="shared" si="2"/>
        <v>-0.22940000000000005</v>
      </c>
      <c r="AA36" s="8">
        <f t="shared" si="2"/>
        <v>2.6999999999999996E-2</v>
      </c>
      <c r="AB36" s="8">
        <f t="shared" si="2"/>
        <v>-0.15259999999999962</v>
      </c>
      <c r="AC36" s="8">
        <f t="shared" si="2"/>
        <v>3.6732051034160662E-6</v>
      </c>
      <c r="AD36" s="8">
        <f t="shared" si="2"/>
        <v>-1.2000000000000011E-2</v>
      </c>
      <c r="AE36" s="8">
        <f t="shared" si="2"/>
        <v>2.2999999999999965E-3</v>
      </c>
      <c r="AF36" s="8">
        <f t="shared" si="2"/>
        <v>0.6554000000000002</v>
      </c>
      <c r="AG36" s="8">
        <f t="shared" si="2"/>
        <v>3.6732051034160662E-6</v>
      </c>
      <c r="AH36" s="22">
        <f t="shared" si="3"/>
        <v>0.12070000000000003</v>
      </c>
      <c r="AI36" s="22">
        <f t="shared" si="3"/>
        <v>1.4649999999999996E-2</v>
      </c>
      <c r="AJ36" s="22">
        <f t="shared" si="3"/>
        <v>0.40399999999999991</v>
      </c>
    </row>
    <row r="37" spans="1:36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-3.59367998316884E-3</v>
      </c>
      <c r="M37" s="8">
        <f>'Proximal Validation (double)'!M37</f>
        <v>8.4611706435680403E-2</v>
      </c>
      <c r="N37" s="8">
        <f>'Proximal Validation (double)'!N37</f>
        <v>-4.8628196120262097E-2</v>
      </c>
      <c r="O37" s="8">
        <f>'Proximal Validation (double)'!O37</f>
        <v>3.4434549510479001E-2</v>
      </c>
      <c r="P37" s="8">
        <f>'Proximal Validation (double)'!P37</f>
        <v>-0.30159375071525601</v>
      </c>
      <c r="Q37" s="8">
        <f>'Proximal Validation (double)'!Q37</f>
        <v>-0.31295472383499101</v>
      </c>
      <c r="R37" s="8">
        <v>0.56279999999999997</v>
      </c>
      <c r="S37" s="8">
        <v>9.3299999999999994E-2</v>
      </c>
      <c r="T37" s="8">
        <v>4.7515999999999998</v>
      </c>
      <c r="U37" s="8">
        <v>1.5708</v>
      </c>
      <c r="V37" s="8">
        <v>0.40600000000000003</v>
      </c>
      <c r="W37" s="8">
        <v>5.8799999999999998E-2</v>
      </c>
      <c r="X37" s="8">
        <v>2.4847999999999999</v>
      </c>
      <c r="Y37" s="8">
        <v>1.5708</v>
      </c>
      <c r="Z37" s="8">
        <f t="shared" si="2"/>
        <v>0.26279999999999998</v>
      </c>
      <c r="AA37" s="8">
        <f t="shared" si="2"/>
        <v>-8.6699999999999999E-2</v>
      </c>
      <c r="AB37" s="8">
        <f t="shared" si="2"/>
        <v>3.960000000000008E-2</v>
      </c>
      <c r="AC37" s="8">
        <f t="shared" si="2"/>
        <v>3.6732051034160662E-6</v>
      </c>
      <c r="AD37" s="8">
        <f t="shared" si="2"/>
        <v>0.10600000000000004</v>
      </c>
      <c r="AE37" s="8">
        <f t="shared" si="2"/>
        <v>-1.1999999999999997E-3</v>
      </c>
      <c r="AF37" s="8">
        <f t="shared" si="2"/>
        <v>-0.65720000000000001</v>
      </c>
      <c r="AG37" s="8">
        <f t="shared" si="2"/>
        <v>3.6732051034160662E-6</v>
      </c>
      <c r="AH37" s="22">
        <f t="shared" si="3"/>
        <v>0.18440000000000001</v>
      </c>
      <c r="AI37" s="22">
        <f t="shared" si="3"/>
        <v>4.3950000000000003E-2</v>
      </c>
      <c r="AJ37" s="22">
        <f t="shared" si="3"/>
        <v>0.34840000000000004</v>
      </c>
    </row>
    <row r="38" spans="1:36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-2.5372554082423401E-3</v>
      </c>
      <c r="M38" s="8">
        <f>'Proximal Validation (double)'!M38</f>
        <v>0.23767614364624001</v>
      </c>
      <c r="N38" s="8">
        <f>'Proximal Validation (double)'!N38</f>
        <v>-4.0118761360645301E-2</v>
      </c>
      <c r="O38" s="8">
        <f>'Proximal Validation (double)'!O38</f>
        <v>-0.48286521434783902</v>
      </c>
      <c r="P38" s="8">
        <f>'Proximal Validation (double)'!P38</f>
        <v>-0.22859935462474801</v>
      </c>
      <c r="Q38" s="8">
        <f>'Proximal Validation (double)'!Q38</f>
        <v>-0.81168925762176503</v>
      </c>
      <c r="R38" s="8">
        <v>0.52390000000000003</v>
      </c>
      <c r="S38" s="8">
        <v>0.2</v>
      </c>
      <c r="T38" s="8">
        <v>4.9278000000000004</v>
      </c>
      <c r="U38" s="8">
        <v>1.5708</v>
      </c>
      <c r="V38" s="8">
        <v>0.55679999999999996</v>
      </c>
      <c r="W38" s="8">
        <v>0.16589999999999999</v>
      </c>
      <c r="X38" s="8">
        <v>4.0205000000000002</v>
      </c>
      <c r="Y38" s="8">
        <v>1.5708</v>
      </c>
      <c r="Z38" s="8">
        <f t="shared" si="2"/>
        <v>-0.37609999999999999</v>
      </c>
      <c r="AA38" s="8">
        <f t="shared" si="2"/>
        <v>2.0000000000000018E-2</v>
      </c>
      <c r="AB38" s="8">
        <f t="shared" si="2"/>
        <v>0.21580000000000066</v>
      </c>
      <c r="AC38" s="8">
        <f t="shared" si="2"/>
        <v>3.6732051034160662E-6</v>
      </c>
      <c r="AD38" s="8">
        <f t="shared" si="2"/>
        <v>0.35679999999999995</v>
      </c>
      <c r="AE38" s="8">
        <f t="shared" si="2"/>
        <v>8.589999999999999E-2</v>
      </c>
      <c r="AF38" s="8">
        <f t="shared" si="2"/>
        <v>0.87850000000000028</v>
      </c>
      <c r="AG38" s="8">
        <f t="shared" si="2"/>
        <v>3.6732051034160662E-6</v>
      </c>
      <c r="AH38" s="22">
        <f t="shared" si="3"/>
        <v>0.36644999999999994</v>
      </c>
      <c r="AI38" s="22">
        <f t="shared" si="3"/>
        <v>5.2950000000000004E-2</v>
      </c>
      <c r="AJ38" s="22">
        <f t="shared" si="3"/>
        <v>0.54715000000000047</v>
      </c>
    </row>
    <row r="39" spans="1:36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5.4148025810718502E-5</v>
      </c>
      <c r="M39" s="8">
        <f>'Proximal Validation (double)'!M39</f>
        <v>0.130592405796051</v>
      </c>
      <c r="N39" s="8">
        <f>'Proximal Validation (double)'!N39</f>
        <v>-1.0551102459430699E-3</v>
      </c>
      <c r="O39" s="8">
        <f>'Proximal Validation (double)'!O39</f>
        <v>5.6034162640571601E-2</v>
      </c>
      <c r="P39" s="8">
        <f>'Proximal Validation (double)'!P39</f>
        <v>-1.5731915831565899E-2</v>
      </c>
      <c r="Q39" s="8">
        <f>'Proximal Validation (double)'!Q39</f>
        <v>-1.0787600278854399</v>
      </c>
      <c r="R39" s="8">
        <v>0.57769999999999999</v>
      </c>
      <c r="S39" s="8">
        <v>3.9399999999999998E-2</v>
      </c>
      <c r="T39" s="8">
        <v>4.7766000000000002</v>
      </c>
      <c r="U39" s="8">
        <v>1.5708</v>
      </c>
      <c r="V39" s="8">
        <v>0.50519999999999998</v>
      </c>
      <c r="W39" s="8">
        <v>0.02</v>
      </c>
      <c r="X39" s="8">
        <v>4.6074000000000002</v>
      </c>
      <c r="Y39" s="8">
        <v>1.5708</v>
      </c>
      <c r="Z39" s="8">
        <f t="shared" si="2"/>
        <v>0.47770000000000001</v>
      </c>
      <c r="AA39" s="8">
        <f t="shared" si="2"/>
        <v>-0.1406</v>
      </c>
      <c r="AB39" s="8">
        <f t="shared" si="2"/>
        <v>6.4600000000000435E-2</v>
      </c>
      <c r="AC39" s="8">
        <f t="shared" si="2"/>
        <v>3.6732051034160662E-6</v>
      </c>
      <c r="AD39" s="8">
        <f t="shared" si="2"/>
        <v>-0.49480000000000002</v>
      </c>
      <c r="AE39" s="8">
        <f t="shared" si="2"/>
        <v>0</v>
      </c>
      <c r="AF39" s="8">
        <f t="shared" si="2"/>
        <v>-0.10459999999999958</v>
      </c>
      <c r="AG39" s="8">
        <f t="shared" si="2"/>
        <v>3.6732051034160662E-6</v>
      </c>
      <c r="AH39" s="22">
        <f t="shared" si="3"/>
        <v>0.48625000000000002</v>
      </c>
      <c r="AI39" s="22">
        <f t="shared" si="3"/>
        <v>7.0300000000000001E-2</v>
      </c>
      <c r="AJ39" s="22">
        <f t="shared" si="3"/>
        <v>8.4600000000000009E-2</v>
      </c>
    </row>
    <row r="40" spans="1:36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-5.3779371082782702E-3</v>
      </c>
      <c r="M40" s="8">
        <f>'Proximal Validation (double)'!M40</f>
        <v>0.29702112078666698</v>
      </c>
      <c r="N40" s="8">
        <f>'Proximal Validation (double)'!N40</f>
        <v>-2.0560383796691901E-2</v>
      </c>
      <c r="O40" s="8">
        <f>'Proximal Validation (double)'!O40</f>
        <v>-0.30376738309860202</v>
      </c>
      <c r="P40" s="8">
        <f>'Proximal Validation (double)'!P40</f>
        <v>-0.130133211612701</v>
      </c>
      <c r="Q40" s="8">
        <f>'Proximal Validation (double)'!Q40</f>
        <v>-1.3058658838272099</v>
      </c>
      <c r="R40" s="8">
        <v>0.73599999999999999</v>
      </c>
      <c r="S40" s="8">
        <v>0.17280000000000001</v>
      </c>
      <c r="T40" s="8">
        <v>4.7626999999999997</v>
      </c>
      <c r="U40" s="8">
        <v>1.5708</v>
      </c>
      <c r="V40" s="8">
        <v>0.63890000000000002</v>
      </c>
      <c r="W40" s="8">
        <v>9.3600000000000003E-2</v>
      </c>
      <c r="X40" s="8">
        <v>4.4497</v>
      </c>
      <c r="Y40" s="8">
        <v>1.5708</v>
      </c>
      <c r="Z40" s="8">
        <f t="shared" si="2"/>
        <v>-6.4000000000000057E-2</v>
      </c>
      <c r="AA40" s="8">
        <f t="shared" si="2"/>
        <v>-7.1999999999999842E-3</v>
      </c>
      <c r="AB40" s="8">
        <f t="shared" si="2"/>
        <v>5.0699999999999967E-2</v>
      </c>
      <c r="AC40" s="8">
        <f t="shared" si="2"/>
        <v>3.6732051034160662E-6</v>
      </c>
      <c r="AD40" s="8">
        <f t="shared" si="2"/>
        <v>3.8900000000000046E-2</v>
      </c>
      <c r="AE40" s="8">
        <f t="shared" si="2"/>
        <v>3.3600000000000005E-2</v>
      </c>
      <c r="AF40" s="8">
        <f t="shared" si="2"/>
        <v>-0.26229999999999976</v>
      </c>
      <c r="AG40" s="8">
        <f t="shared" si="2"/>
        <v>3.6732051034160662E-6</v>
      </c>
      <c r="AH40" s="22">
        <f t="shared" si="3"/>
        <v>5.1450000000000051E-2</v>
      </c>
      <c r="AI40" s="22">
        <f t="shared" si="3"/>
        <v>2.0399999999999995E-2</v>
      </c>
      <c r="AJ40" s="22">
        <f t="shared" si="3"/>
        <v>0.15649999999999986</v>
      </c>
    </row>
    <row r="41" spans="1:36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-1.2866270728409301E-2</v>
      </c>
      <c r="M41" s="8">
        <f>'Proximal Validation (double)'!M41</f>
        <v>0.26722592115402199</v>
      </c>
      <c r="N41" s="8">
        <f>'Proximal Validation (double)'!N41</f>
        <v>-0.10332116484642</v>
      </c>
      <c r="O41" s="8">
        <f>'Proximal Validation (double)'!O41</f>
        <v>-0.63931977748870905</v>
      </c>
      <c r="P41" s="8">
        <f>'Proximal Validation (double)'!P41</f>
        <v>-0.86686456203460704</v>
      </c>
      <c r="Q41" s="8">
        <f>'Proximal Validation (double)'!Q41</f>
        <v>-0.873266160488129</v>
      </c>
      <c r="R41" s="8">
        <v>0.99980000000000002</v>
      </c>
      <c r="S41" s="8">
        <v>0.19839999999999999</v>
      </c>
      <c r="T41" s="8">
        <v>4.8326000000000002</v>
      </c>
      <c r="U41" s="8">
        <v>1.5708</v>
      </c>
      <c r="V41" s="8">
        <v>0.96550000000000002</v>
      </c>
      <c r="W41" s="8">
        <v>5.0599999999999999E-2</v>
      </c>
      <c r="X41" s="8">
        <v>3.2576999999999998</v>
      </c>
      <c r="Y41" s="8">
        <v>1.5708</v>
      </c>
      <c r="Z41" s="8">
        <f t="shared" si="2"/>
        <v>-1.9999999999997797E-4</v>
      </c>
      <c r="AA41" s="8">
        <f t="shared" si="2"/>
        <v>-1.6000000000000181E-3</v>
      </c>
      <c r="AB41" s="8">
        <f t="shared" si="2"/>
        <v>0.12060000000000048</v>
      </c>
      <c r="AC41" s="8">
        <f t="shared" si="2"/>
        <v>3.6732051034160662E-6</v>
      </c>
      <c r="AD41" s="8">
        <f t="shared" si="2"/>
        <v>0.16549999999999998</v>
      </c>
      <c r="AE41" s="8">
        <f t="shared" si="2"/>
        <v>3.0599999999999999E-2</v>
      </c>
      <c r="AF41" s="8">
        <f t="shared" si="2"/>
        <v>0.11569999999999991</v>
      </c>
      <c r="AG41" s="8">
        <f t="shared" si="2"/>
        <v>3.6732051034160662E-6</v>
      </c>
      <c r="AH41" s="22">
        <f t="shared" si="3"/>
        <v>8.2849999999999979E-2</v>
      </c>
      <c r="AI41" s="22">
        <f t="shared" si="3"/>
        <v>1.610000000000001E-2</v>
      </c>
      <c r="AJ41" s="22">
        <f t="shared" si="3"/>
        <v>0.1181500000000002</v>
      </c>
    </row>
    <row r="42" spans="1:36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-1.2752725742757301E-3</v>
      </c>
      <c r="M42" s="15">
        <f>'Proximal Validation (double)'!M42</f>
        <v>4.2479593306779903E-2</v>
      </c>
      <c r="N42" s="15">
        <f>'Proximal Validation (double)'!N42</f>
        <v>-1.04580884799361E-2</v>
      </c>
      <c r="O42" s="15">
        <f>'Proximal Validation (double)'!O42</f>
        <v>-2.78243236243725E-3</v>
      </c>
      <c r="P42" s="15">
        <f>'Proximal Validation (double)'!P42</f>
        <v>-5.4970372468233102E-2</v>
      </c>
      <c r="Q42" s="15">
        <f>'Proximal Validation (double)'!Q42</f>
        <v>-0.153516501188278</v>
      </c>
      <c r="R42" s="15">
        <v>0.64249999999999996</v>
      </c>
      <c r="S42" s="15">
        <v>9.1399999999999995E-2</v>
      </c>
      <c r="T42" s="15">
        <v>4.6238000000000001</v>
      </c>
      <c r="U42" s="15">
        <v>1.5708</v>
      </c>
      <c r="V42" s="15">
        <v>0.4859</v>
      </c>
      <c r="W42" s="15">
        <v>6.2600000000000003E-2</v>
      </c>
      <c r="X42" s="15">
        <v>1.5670999999999999</v>
      </c>
      <c r="Y42" s="15">
        <v>1.5708</v>
      </c>
      <c r="Z42" s="15">
        <f t="shared" si="2"/>
        <v>0.44249999999999995</v>
      </c>
      <c r="AA42" s="15">
        <f t="shared" si="2"/>
        <v>-0.10860000000000002</v>
      </c>
      <c r="AB42" s="15">
        <f t="shared" si="2"/>
        <v>-8.8199999999999612E-2</v>
      </c>
      <c r="AC42" s="15">
        <f t="shared" si="2"/>
        <v>3.6732051034160662E-6</v>
      </c>
      <c r="AD42" s="15">
        <f t="shared" si="2"/>
        <v>0.38590000000000002</v>
      </c>
      <c r="AE42" s="15">
        <f t="shared" si="2"/>
        <v>-1.7399999999999999E-2</v>
      </c>
      <c r="AF42" s="15">
        <f t="shared" si="2"/>
        <v>-2.3599000000000001</v>
      </c>
      <c r="AG42" s="15">
        <f t="shared" si="2"/>
        <v>3.6732051034160662E-6</v>
      </c>
      <c r="AH42" s="22">
        <f t="shared" si="3"/>
        <v>0.41420000000000001</v>
      </c>
      <c r="AI42" s="22">
        <f t="shared" si="3"/>
        <v>6.3E-2</v>
      </c>
      <c r="AJ42" s="22">
        <f t="shared" si="3"/>
        <v>1.2240499999999999</v>
      </c>
    </row>
    <row r="43" spans="1:36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</row>
    <row r="44" spans="1:36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</row>
    <row r="45" spans="1:36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</row>
    <row r="46" spans="1:36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</row>
    <row r="47" spans="1:36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</row>
    <row r="48" spans="1:36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</row>
    <row r="49" spans="1:25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</row>
    <row r="50" spans="1:25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</row>
    <row r="51" spans="1:25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</row>
    <row r="52" spans="1:25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</row>
  </sheetData>
  <mergeCells count="7">
    <mergeCell ref="AK5:AR5"/>
    <mergeCell ref="A1:K1"/>
    <mergeCell ref="L1:Q1"/>
    <mergeCell ref="R1:Y1"/>
    <mergeCell ref="Z1:AG1"/>
    <mergeCell ref="AH1:AR1"/>
    <mergeCell ref="AK2:AR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3"/>
  <sheetViews>
    <sheetView topLeftCell="A12" workbookViewId="0">
      <selection activeCell="H36" sqref="H36:M43"/>
    </sheetView>
  </sheetViews>
  <sheetFormatPr defaultRowHeight="15" x14ac:dyDescent="0.25"/>
  <sheetData>
    <row r="1" spans="1:13" ht="15.75" x14ac:dyDescent="0.25">
      <c r="A1" s="38" t="s">
        <v>21</v>
      </c>
      <c r="B1" s="39"/>
      <c r="C1" s="39"/>
      <c r="D1" s="39"/>
      <c r="E1" s="39"/>
      <c r="F1" s="40"/>
      <c r="H1" s="38" t="s">
        <v>22</v>
      </c>
      <c r="I1" s="39"/>
      <c r="J1" s="39"/>
      <c r="K1" s="39"/>
      <c r="L1" s="39"/>
      <c r="M1" s="40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0.195114254951477</v>
      </c>
      <c r="B3">
        <v>1.04125440120697</v>
      </c>
      <c r="C3">
        <v>-1.5990611165761899E-2</v>
      </c>
      <c r="D3">
        <v>-0.13983803987503099</v>
      </c>
      <c r="E3">
        <v>3.3190850168466603E-2</v>
      </c>
      <c r="F3" s="4">
        <v>-1.9976701587438601E-3</v>
      </c>
      <c r="H3">
        <f>$F3</f>
        <v>-1.9976701587438601E-3</v>
      </c>
      <c r="I3">
        <f>-1*$E3</f>
        <v>-3.3190850168466603E-2</v>
      </c>
      <c r="J3">
        <f>$D3</f>
        <v>-0.13983803987503099</v>
      </c>
      <c r="K3">
        <f>$C3</f>
        <v>-1.5990611165761899E-2</v>
      </c>
      <c r="L3">
        <f>-1*$B3</f>
        <v>-1.04125440120697</v>
      </c>
      <c r="M3">
        <f>$A3</f>
        <v>0.195114254951477</v>
      </c>
    </row>
    <row r="4" spans="1:13" x14ac:dyDescent="0.25">
      <c r="A4">
        <v>1.0914549827575699</v>
      </c>
      <c r="B4">
        <v>0.885367691516876</v>
      </c>
      <c r="C4">
        <v>-0.115148775279522</v>
      </c>
      <c r="D4">
        <v>-0.15480977296829199</v>
      </c>
      <c r="E4">
        <v>0.21146439015865301</v>
      </c>
      <c r="F4">
        <v>-1.30753358826041E-3</v>
      </c>
      <c r="H4">
        <f t="shared" ref="H4:H43" si="0">$F4</f>
        <v>-1.30753358826041E-3</v>
      </c>
      <c r="I4">
        <f t="shared" ref="I4:I43" si="1">-1*$E4</f>
        <v>-0.21146439015865301</v>
      </c>
      <c r="J4">
        <f t="shared" ref="J4:J43" si="2">$D4</f>
        <v>-0.15480977296829199</v>
      </c>
      <c r="K4">
        <f t="shared" ref="K4:K43" si="3">$C4</f>
        <v>-0.115148775279522</v>
      </c>
      <c r="L4">
        <f t="shared" ref="L4:L43" si="4">-1*$B4</f>
        <v>-0.885367691516876</v>
      </c>
      <c r="M4">
        <f t="shared" ref="M4:M43" si="5">$A4</f>
        <v>1.0914549827575699</v>
      </c>
    </row>
    <row r="5" spans="1:13" x14ac:dyDescent="0.25">
      <c r="A5">
        <v>0.559031963348389</v>
      </c>
      <c r="B5">
        <v>0.16426452994346599</v>
      </c>
      <c r="C5">
        <v>-2.8092034161090899E-2</v>
      </c>
      <c r="D5">
        <v>-1.5087915584445E-2</v>
      </c>
      <c r="E5">
        <v>0.1097217425704</v>
      </c>
      <c r="F5">
        <v>-6.2641571275889901E-5</v>
      </c>
      <c r="H5">
        <f t="shared" si="0"/>
        <v>-6.2641571275889901E-5</v>
      </c>
      <c r="I5">
        <f t="shared" si="1"/>
        <v>-0.1097217425704</v>
      </c>
      <c r="J5">
        <f t="shared" si="2"/>
        <v>-1.5087915584445E-2</v>
      </c>
      <c r="K5">
        <f t="shared" si="3"/>
        <v>-2.8092034161090899E-2</v>
      </c>
      <c r="L5">
        <f t="shared" si="4"/>
        <v>-0.16426452994346599</v>
      </c>
      <c r="M5">
        <f t="shared" si="5"/>
        <v>0.559031963348389</v>
      </c>
    </row>
    <row r="6" spans="1:13" x14ac:dyDescent="0.25">
      <c r="A6">
        <v>0.45268994569778398</v>
      </c>
      <c r="B6">
        <v>0.12781015038490301</v>
      </c>
      <c r="C6">
        <v>-2.9133602976799001E-2</v>
      </c>
      <c r="D6">
        <v>-1.08874747529626E-2</v>
      </c>
      <c r="E6">
        <v>9.9444381892681094E-2</v>
      </c>
      <c r="F6">
        <v>4.8654910642653698E-4</v>
      </c>
      <c r="H6">
        <f t="shared" si="0"/>
        <v>4.8654910642653698E-4</v>
      </c>
      <c r="I6">
        <f t="shared" si="1"/>
        <v>-9.9444381892681094E-2</v>
      </c>
      <c r="J6">
        <f t="shared" si="2"/>
        <v>-1.08874747529626E-2</v>
      </c>
      <c r="K6">
        <f t="shared" si="3"/>
        <v>-2.9133602976799001E-2</v>
      </c>
      <c r="L6">
        <f t="shared" si="4"/>
        <v>-0.12781015038490301</v>
      </c>
      <c r="M6">
        <f t="shared" si="5"/>
        <v>0.45268994569778398</v>
      </c>
    </row>
    <row r="7" spans="1:13" x14ac:dyDescent="0.25">
      <c r="A7">
        <v>0.88741946220397905</v>
      </c>
      <c r="B7">
        <v>-2.8949752449989302E-2</v>
      </c>
      <c r="C7">
        <v>-9.7615689039230305E-2</v>
      </c>
      <c r="D7">
        <v>3.8662729784846302E-3</v>
      </c>
      <c r="E7">
        <v>0.17721578478813199</v>
      </c>
      <c r="F7">
        <v>2.1138784941285801E-3</v>
      </c>
      <c r="H7">
        <f t="shared" si="0"/>
        <v>2.1138784941285801E-3</v>
      </c>
      <c r="I7">
        <f t="shared" si="1"/>
        <v>-0.17721578478813199</v>
      </c>
      <c r="J7">
        <f t="shared" si="2"/>
        <v>3.8662729784846302E-3</v>
      </c>
      <c r="K7">
        <f t="shared" si="3"/>
        <v>-9.7615689039230305E-2</v>
      </c>
      <c r="L7">
        <f t="shared" si="4"/>
        <v>2.8949752449989302E-2</v>
      </c>
      <c r="M7">
        <f t="shared" si="5"/>
        <v>0.88741946220397905</v>
      </c>
    </row>
    <row r="8" spans="1:13" x14ac:dyDescent="0.25">
      <c r="A8">
        <v>-0.50915515422821001</v>
      </c>
      <c r="B8">
        <v>0.75840699672698997</v>
      </c>
      <c r="C8">
        <v>2.7194060385227199E-3</v>
      </c>
      <c r="D8">
        <v>-0.11806334555149101</v>
      </c>
      <c r="E8">
        <v>-7.2883039712905898E-2</v>
      </c>
      <c r="F8">
        <v>-1.4075441285967801E-3</v>
      </c>
      <c r="H8">
        <f t="shared" si="0"/>
        <v>-1.4075441285967801E-3</v>
      </c>
      <c r="I8">
        <f t="shared" si="1"/>
        <v>7.2883039712905898E-2</v>
      </c>
      <c r="J8">
        <f t="shared" si="2"/>
        <v>-0.11806334555149101</v>
      </c>
      <c r="K8">
        <f t="shared" si="3"/>
        <v>2.7194060385227199E-3</v>
      </c>
      <c r="L8">
        <f t="shared" si="4"/>
        <v>-0.75840699672698997</v>
      </c>
      <c r="M8">
        <f t="shared" si="5"/>
        <v>-0.50915515422821001</v>
      </c>
    </row>
    <row r="9" spans="1:13" x14ac:dyDescent="0.25">
      <c r="A9">
        <v>0.49847054481506298</v>
      </c>
      <c r="B9">
        <v>0.60379952192306496</v>
      </c>
      <c r="C9">
        <v>-0.40126189589500399</v>
      </c>
      <c r="D9">
        <v>-9.0413324534892994E-2</v>
      </c>
      <c r="E9">
        <v>0.18494510650634799</v>
      </c>
      <c r="F9">
        <v>3.4910831600427602E-3</v>
      </c>
      <c r="H9">
        <f t="shared" si="0"/>
        <v>3.4910831600427602E-3</v>
      </c>
      <c r="I9">
        <f t="shared" si="1"/>
        <v>-0.18494510650634799</v>
      </c>
      <c r="J9">
        <f t="shared" si="2"/>
        <v>-9.0413324534892994E-2</v>
      </c>
      <c r="K9">
        <f t="shared" si="3"/>
        <v>-0.40126189589500399</v>
      </c>
      <c r="L9">
        <f t="shared" si="4"/>
        <v>-0.60379952192306496</v>
      </c>
      <c r="M9">
        <f t="shared" si="5"/>
        <v>0.49847054481506298</v>
      </c>
    </row>
    <row r="10" spans="1:13" x14ac:dyDescent="0.25">
      <c r="A10">
        <v>0.117096215486526</v>
      </c>
      <c r="B10">
        <v>0.14476515352725999</v>
      </c>
      <c r="C10">
        <v>-2.0381897687912001E-2</v>
      </c>
      <c r="D10">
        <v>-1.5904162079095799E-2</v>
      </c>
      <c r="E10">
        <v>3.4777380526065799E-2</v>
      </c>
      <c r="F10">
        <v>1.5908150235191001E-3</v>
      </c>
      <c r="H10">
        <f t="shared" si="0"/>
        <v>1.5908150235191001E-3</v>
      </c>
      <c r="I10">
        <f t="shared" si="1"/>
        <v>-3.4777380526065799E-2</v>
      </c>
      <c r="J10">
        <f t="shared" si="2"/>
        <v>-1.5904162079095799E-2</v>
      </c>
      <c r="K10">
        <f t="shared" si="3"/>
        <v>-2.0381897687912001E-2</v>
      </c>
      <c r="L10">
        <f t="shared" si="4"/>
        <v>-0.14476515352725999</v>
      </c>
      <c r="M10">
        <f t="shared" si="5"/>
        <v>0.117096215486526</v>
      </c>
    </row>
    <row r="11" spans="1:13" x14ac:dyDescent="0.25">
      <c r="A11">
        <v>0.66701602935791005</v>
      </c>
      <c r="B11">
        <v>-2.7593433856964101E-2</v>
      </c>
      <c r="C11">
        <v>-0.39857342839241</v>
      </c>
      <c r="D11">
        <v>6.1566708609461802E-3</v>
      </c>
      <c r="E11">
        <v>0.204822152853012</v>
      </c>
      <c r="F11">
        <v>2.3236712440848398E-3</v>
      </c>
      <c r="H11">
        <f t="shared" si="0"/>
        <v>2.3236712440848398E-3</v>
      </c>
      <c r="I11">
        <f t="shared" si="1"/>
        <v>-0.204822152853012</v>
      </c>
      <c r="J11">
        <f t="shared" si="2"/>
        <v>6.1566708609461802E-3</v>
      </c>
      <c r="K11">
        <f t="shared" si="3"/>
        <v>-0.39857342839241</v>
      </c>
      <c r="L11">
        <f t="shared" si="4"/>
        <v>2.7593433856964101E-2</v>
      </c>
      <c r="M11">
        <f t="shared" si="5"/>
        <v>0.66701602935791005</v>
      </c>
    </row>
    <row r="12" spans="1:13" x14ac:dyDescent="0.25">
      <c r="A12">
        <v>-0.73156416416168202</v>
      </c>
      <c r="B12">
        <v>5.9180781245231602E-3</v>
      </c>
      <c r="C12">
        <v>-4.5536972582340199E-2</v>
      </c>
      <c r="D12">
        <v>-8.84410343132913E-4</v>
      </c>
      <c r="E12">
        <v>-9.5554247498512296E-2</v>
      </c>
      <c r="F12">
        <v>1.6893346328288299E-3</v>
      </c>
      <c r="H12">
        <f t="shared" si="0"/>
        <v>1.6893346328288299E-3</v>
      </c>
      <c r="I12">
        <f t="shared" si="1"/>
        <v>9.5554247498512296E-2</v>
      </c>
      <c r="J12">
        <f t="shared" si="2"/>
        <v>-8.84410343132913E-4</v>
      </c>
      <c r="K12">
        <f t="shared" si="3"/>
        <v>-4.5536972582340199E-2</v>
      </c>
      <c r="L12">
        <f t="shared" si="4"/>
        <v>-5.9180781245231602E-3</v>
      </c>
      <c r="M12">
        <f t="shared" si="5"/>
        <v>-0.73156416416168202</v>
      </c>
    </row>
    <row r="13" spans="1:13" x14ac:dyDescent="0.25">
      <c r="A13">
        <v>0.51245713233947798</v>
      </c>
      <c r="B13">
        <v>0.98798036575317405</v>
      </c>
      <c r="C13">
        <v>-0.48353463411331199</v>
      </c>
      <c r="D13">
        <v>-0.104798644781113</v>
      </c>
      <c r="E13">
        <v>0.182935655117035</v>
      </c>
      <c r="F13">
        <v>1.2135198339819899E-3</v>
      </c>
      <c r="H13">
        <f t="shared" si="0"/>
        <v>1.2135198339819899E-3</v>
      </c>
      <c r="I13">
        <f t="shared" si="1"/>
        <v>-0.182935655117035</v>
      </c>
      <c r="J13">
        <f t="shared" si="2"/>
        <v>-0.104798644781113</v>
      </c>
      <c r="K13">
        <f t="shared" si="3"/>
        <v>-0.48353463411331199</v>
      </c>
      <c r="L13">
        <f t="shared" si="4"/>
        <v>-0.98798036575317405</v>
      </c>
      <c r="M13">
        <f t="shared" si="5"/>
        <v>0.51245713233947798</v>
      </c>
    </row>
    <row r="14" spans="1:13" x14ac:dyDescent="0.25">
      <c r="A14">
        <v>-3.04524004459381E-2</v>
      </c>
      <c r="B14">
        <v>0.38181251287460299</v>
      </c>
      <c r="C14">
        <v>3.1099312007427202E-2</v>
      </c>
      <c r="D14">
        <v>-6.7128308117389707E-2</v>
      </c>
      <c r="E14">
        <v>-3.10139125213027E-3</v>
      </c>
      <c r="F14">
        <v>-6.5936520695686297E-4</v>
      </c>
      <c r="H14">
        <f t="shared" si="0"/>
        <v>-6.5936520695686297E-4</v>
      </c>
      <c r="I14">
        <f t="shared" si="1"/>
        <v>3.10139125213027E-3</v>
      </c>
      <c r="J14">
        <f t="shared" si="2"/>
        <v>-6.7128308117389707E-2</v>
      </c>
      <c r="K14">
        <f t="shared" si="3"/>
        <v>3.1099312007427202E-2</v>
      </c>
      <c r="L14">
        <f t="shared" si="4"/>
        <v>-0.38181251287460299</v>
      </c>
      <c r="M14">
        <f t="shared" si="5"/>
        <v>-3.04524004459381E-2</v>
      </c>
    </row>
    <row r="15" spans="1:13" x14ac:dyDescent="0.25">
      <c r="A15">
        <v>0.27873134613037098</v>
      </c>
      <c r="B15">
        <v>1.91364511847496E-2</v>
      </c>
      <c r="C15">
        <v>-0.46627718210220298</v>
      </c>
      <c r="D15">
        <v>-2.4834894575178602E-3</v>
      </c>
      <c r="E15">
        <v>0.16019897162914301</v>
      </c>
      <c r="F15">
        <v>8.7932776659727097E-3</v>
      </c>
      <c r="H15">
        <f t="shared" si="0"/>
        <v>8.7932776659727097E-3</v>
      </c>
      <c r="I15">
        <f t="shared" si="1"/>
        <v>-0.16019897162914301</v>
      </c>
      <c r="J15">
        <f t="shared" si="2"/>
        <v>-2.4834894575178602E-3</v>
      </c>
      <c r="K15">
        <f t="shared" si="3"/>
        <v>-0.46627718210220298</v>
      </c>
      <c r="L15">
        <f t="shared" si="4"/>
        <v>-1.91364511847496E-2</v>
      </c>
      <c r="M15">
        <f t="shared" si="5"/>
        <v>0.27873134613037098</v>
      </c>
    </row>
    <row r="16" spans="1:13" x14ac:dyDescent="0.25">
      <c r="A16">
        <v>-0.18663805723190299</v>
      </c>
      <c r="B16">
        <v>0.69405859708786</v>
      </c>
      <c r="C16">
        <v>8.6025655269622803E-2</v>
      </c>
      <c r="D16">
        <v>-0.141960874199867</v>
      </c>
      <c r="E16">
        <v>4.3984718620777102E-2</v>
      </c>
      <c r="F16">
        <v>-7.9012457281351107E-3</v>
      </c>
      <c r="H16">
        <f t="shared" si="0"/>
        <v>-7.9012457281351107E-3</v>
      </c>
      <c r="I16">
        <f t="shared" si="1"/>
        <v>-4.3984718620777102E-2</v>
      </c>
      <c r="J16">
        <f t="shared" si="2"/>
        <v>-0.141960874199867</v>
      </c>
      <c r="K16">
        <f t="shared" si="3"/>
        <v>8.6025655269622803E-2</v>
      </c>
      <c r="L16">
        <f t="shared" si="4"/>
        <v>-0.69405859708786</v>
      </c>
      <c r="M16">
        <f t="shared" si="5"/>
        <v>-0.18663805723190299</v>
      </c>
    </row>
    <row r="17" spans="1:13" x14ac:dyDescent="0.25">
      <c r="A17">
        <v>0.30062127113342302</v>
      </c>
      <c r="B17">
        <v>0.412941753864288</v>
      </c>
      <c r="C17">
        <v>2.6761934161186201E-2</v>
      </c>
      <c r="D17">
        <v>-8.5464723408222198E-2</v>
      </c>
      <c r="E17">
        <v>6.7934043705463396E-2</v>
      </c>
      <c r="F17">
        <v>-3.90403810888529E-3</v>
      </c>
      <c r="H17">
        <f t="shared" si="0"/>
        <v>-3.90403810888529E-3</v>
      </c>
      <c r="I17">
        <f t="shared" si="1"/>
        <v>-6.7934043705463396E-2</v>
      </c>
      <c r="J17">
        <f t="shared" si="2"/>
        <v>-8.5464723408222198E-2</v>
      </c>
      <c r="K17">
        <f t="shared" si="3"/>
        <v>2.6761934161186201E-2</v>
      </c>
      <c r="L17">
        <f t="shared" si="4"/>
        <v>-0.412941753864288</v>
      </c>
      <c r="M17">
        <f t="shared" si="5"/>
        <v>0.30062127113342302</v>
      </c>
    </row>
    <row r="18" spans="1:13" x14ac:dyDescent="0.25">
      <c r="A18">
        <v>0.67185997962951705</v>
      </c>
      <c r="B18">
        <v>1.1066045761108401</v>
      </c>
      <c r="C18">
        <v>-0.26429381966590898</v>
      </c>
      <c r="D18">
        <v>-0.23388142883777599</v>
      </c>
      <c r="E18">
        <v>0.18058618903160101</v>
      </c>
      <c r="F18">
        <v>-2.8297975659370401E-3</v>
      </c>
      <c r="H18">
        <f t="shared" si="0"/>
        <v>-2.8297975659370401E-3</v>
      </c>
      <c r="I18">
        <f t="shared" si="1"/>
        <v>-0.18058618903160101</v>
      </c>
      <c r="J18">
        <f t="shared" si="2"/>
        <v>-0.23388142883777599</v>
      </c>
      <c r="K18">
        <f t="shared" si="3"/>
        <v>-0.26429381966590898</v>
      </c>
      <c r="L18">
        <f t="shared" si="4"/>
        <v>-1.1066045761108401</v>
      </c>
      <c r="M18">
        <f t="shared" si="5"/>
        <v>0.67185997962951705</v>
      </c>
    </row>
    <row r="19" spans="1:13" x14ac:dyDescent="0.25">
      <c r="A19">
        <v>0.18511915206909199</v>
      </c>
      <c r="B19">
        <v>0.88742548227310203</v>
      </c>
      <c r="C19">
        <v>-5.5010270327329601E-2</v>
      </c>
      <c r="D19">
        <v>-0.15366320312023199</v>
      </c>
      <c r="E19">
        <v>5.8960229158401503E-2</v>
      </c>
      <c r="F19">
        <v>-6.22342247515917E-3</v>
      </c>
      <c r="H19">
        <f t="shared" si="0"/>
        <v>-6.22342247515917E-3</v>
      </c>
      <c r="I19">
        <f t="shared" si="1"/>
        <v>-5.8960229158401503E-2</v>
      </c>
      <c r="J19">
        <f t="shared" si="2"/>
        <v>-0.15366320312023199</v>
      </c>
      <c r="K19">
        <f t="shared" si="3"/>
        <v>-5.5010270327329601E-2</v>
      </c>
      <c r="L19">
        <f t="shared" si="4"/>
        <v>-0.88742548227310203</v>
      </c>
      <c r="M19">
        <f t="shared" si="5"/>
        <v>0.18511915206909199</v>
      </c>
    </row>
    <row r="20" spans="1:13" x14ac:dyDescent="0.25">
      <c r="A20">
        <v>-0.14300855994224501</v>
      </c>
      <c r="B20">
        <v>4.76582162082195E-2</v>
      </c>
      <c r="C20">
        <v>-1.86226963996887E-2</v>
      </c>
      <c r="D20">
        <v>-1.5207892283797301E-2</v>
      </c>
      <c r="E20">
        <v>-1.4506237581372299E-2</v>
      </c>
      <c r="F20">
        <v>3.3402333501726402E-3</v>
      </c>
      <c r="H20">
        <f t="shared" si="0"/>
        <v>3.3402333501726402E-3</v>
      </c>
      <c r="I20">
        <f t="shared" si="1"/>
        <v>1.4506237581372299E-2</v>
      </c>
      <c r="J20">
        <f t="shared" si="2"/>
        <v>-1.5207892283797301E-2</v>
      </c>
      <c r="K20">
        <f t="shared" si="3"/>
        <v>-1.86226963996887E-2</v>
      </c>
      <c r="L20">
        <f t="shared" si="4"/>
        <v>-4.76582162082195E-2</v>
      </c>
      <c r="M20">
        <f t="shared" si="5"/>
        <v>-0.14300855994224501</v>
      </c>
    </row>
    <row r="21" spans="1:13" x14ac:dyDescent="0.25">
      <c r="A21">
        <v>0.504788398742676</v>
      </c>
      <c r="B21">
        <v>0.80316579341888406</v>
      </c>
      <c r="C21">
        <v>-0.65643388032913197</v>
      </c>
      <c r="D21">
        <v>-0.211101770401001</v>
      </c>
      <c r="E21">
        <v>0.16704940795898399</v>
      </c>
      <c r="F21">
        <v>9.9984761327505094E-3</v>
      </c>
      <c r="H21">
        <f t="shared" si="0"/>
        <v>9.9984761327505094E-3</v>
      </c>
      <c r="I21">
        <f t="shared" si="1"/>
        <v>-0.16704940795898399</v>
      </c>
      <c r="J21">
        <f t="shared" si="2"/>
        <v>-0.211101770401001</v>
      </c>
      <c r="K21">
        <f t="shared" si="3"/>
        <v>-0.65643388032913197</v>
      </c>
      <c r="L21">
        <f t="shared" si="4"/>
        <v>-0.80316579341888406</v>
      </c>
      <c r="M21">
        <f t="shared" si="5"/>
        <v>0.504788398742676</v>
      </c>
    </row>
    <row r="22" spans="1:13" x14ac:dyDescent="0.25">
      <c r="A22">
        <v>-0.19208578765392301</v>
      </c>
      <c r="B22">
        <v>0.31081974506378202</v>
      </c>
      <c r="C22">
        <v>-5.7915411889553096E-3</v>
      </c>
      <c r="D22">
        <v>-5.4488845169544199E-2</v>
      </c>
      <c r="E22">
        <v>-3.3949088305234902E-2</v>
      </c>
      <c r="F22">
        <v>-4.1311280801892302E-4</v>
      </c>
      <c r="H22">
        <f t="shared" si="0"/>
        <v>-4.1311280801892302E-4</v>
      </c>
      <c r="I22">
        <f t="shared" si="1"/>
        <v>3.3949088305234902E-2</v>
      </c>
      <c r="J22">
        <f t="shared" si="2"/>
        <v>-5.4488845169544199E-2</v>
      </c>
      <c r="K22">
        <f t="shared" si="3"/>
        <v>-5.7915411889553096E-3</v>
      </c>
      <c r="L22">
        <f t="shared" si="4"/>
        <v>-0.31081974506378202</v>
      </c>
      <c r="M22">
        <f t="shared" si="5"/>
        <v>-0.19208578765392301</v>
      </c>
    </row>
    <row r="23" spans="1:13" x14ac:dyDescent="0.25">
      <c r="A23">
        <v>-0.43949088454246499</v>
      </c>
      <c r="B23">
        <v>0.69519579410553001</v>
      </c>
      <c r="C23">
        <v>-3.8113974034786197E-2</v>
      </c>
      <c r="D23">
        <v>-8.1404998898506206E-2</v>
      </c>
      <c r="E23">
        <v>-4.8130437731742901E-2</v>
      </c>
      <c r="F23">
        <v>-1.08309416100383E-3</v>
      </c>
      <c r="H23">
        <f t="shared" si="0"/>
        <v>-1.08309416100383E-3</v>
      </c>
      <c r="I23">
        <f t="shared" si="1"/>
        <v>4.8130437731742901E-2</v>
      </c>
      <c r="J23">
        <f t="shared" si="2"/>
        <v>-8.1404998898506206E-2</v>
      </c>
      <c r="K23">
        <f t="shared" si="3"/>
        <v>-3.8113974034786197E-2</v>
      </c>
      <c r="L23">
        <f t="shared" si="4"/>
        <v>-0.69519579410553001</v>
      </c>
      <c r="M23">
        <f t="shared" si="5"/>
        <v>-0.43949088454246499</v>
      </c>
    </row>
    <row r="24" spans="1:13" x14ac:dyDescent="0.25">
      <c r="A24">
        <v>-0.60584980249404896</v>
      </c>
      <c r="B24">
        <v>1.01243340969086</v>
      </c>
      <c r="C24">
        <v>2.8237748891115199E-2</v>
      </c>
      <c r="D24">
        <v>-0.178982153534889</v>
      </c>
      <c r="E24">
        <v>-0.127486452460289</v>
      </c>
      <c r="F24">
        <v>-1.0050361976027501E-2</v>
      </c>
      <c r="H24">
        <f t="shared" si="0"/>
        <v>-1.0050361976027501E-2</v>
      </c>
      <c r="I24">
        <f t="shared" si="1"/>
        <v>0.127486452460289</v>
      </c>
      <c r="J24">
        <f t="shared" si="2"/>
        <v>-0.178982153534889</v>
      </c>
      <c r="K24">
        <f t="shared" si="3"/>
        <v>2.8237748891115199E-2</v>
      </c>
      <c r="L24">
        <f t="shared" si="4"/>
        <v>-1.01243340969086</v>
      </c>
      <c r="M24">
        <f t="shared" si="5"/>
        <v>-0.60584980249404896</v>
      </c>
    </row>
    <row r="25" spans="1:13" x14ac:dyDescent="0.25">
      <c r="A25">
        <v>-0.32060724496841397</v>
      </c>
      <c r="B25">
        <v>0.13246817886829401</v>
      </c>
      <c r="C25">
        <v>1.3900646939873701E-2</v>
      </c>
      <c r="D25">
        <v>-2.8443846851587299E-2</v>
      </c>
      <c r="E25">
        <v>-4.8199806362390497E-2</v>
      </c>
      <c r="F25">
        <v>-1.8197204917669299E-4</v>
      </c>
      <c r="H25">
        <f t="shared" si="0"/>
        <v>-1.8197204917669299E-4</v>
      </c>
      <c r="I25">
        <f t="shared" si="1"/>
        <v>4.8199806362390497E-2</v>
      </c>
      <c r="J25">
        <f t="shared" si="2"/>
        <v>-2.8443846851587299E-2</v>
      </c>
      <c r="K25">
        <f t="shared" si="3"/>
        <v>1.3900646939873701E-2</v>
      </c>
      <c r="L25">
        <f t="shared" si="4"/>
        <v>-0.13246817886829401</v>
      </c>
      <c r="M25">
        <f t="shared" si="5"/>
        <v>-0.32060724496841397</v>
      </c>
    </row>
    <row r="26" spans="1:13" x14ac:dyDescent="0.25">
      <c r="A26">
        <v>-0.986228287220001</v>
      </c>
      <c r="B26">
        <v>0.53577321767806996</v>
      </c>
      <c r="C26">
        <v>4.3163940310478197E-2</v>
      </c>
      <c r="D26">
        <v>-0.115528546273708</v>
      </c>
      <c r="E26">
        <v>-0.193720102310181</v>
      </c>
      <c r="F26">
        <v>-9.4277318567037604E-4</v>
      </c>
      <c r="H26">
        <f t="shared" si="0"/>
        <v>-9.4277318567037604E-4</v>
      </c>
      <c r="I26">
        <f t="shared" si="1"/>
        <v>0.193720102310181</v>
      </c>
      <c r="J26">
        <f t="shared" si="2"/>
        <v>-0.115528546273708</v>
      </c>
      <c r="K26">
        <f t="shared" si="3"/>
        <v>4.3163940310478197E-2</v>
      </c>
      <c r="L26">
        <f t="shared" si="4"/>
        <v>-0.53577321767806996</v>
      </c>
      <c r="M26">
        <f t="shared" si="5"/>
        <v>-0.986228287220001</v>
      </c>
    </row>
    <row r="27" spans="1:13" x14ac:dyDescent="0.25">
      <c r="A27">
        <v>-1.11354172229767</v>
      </c>
      <c r="B27">
        <v>1.3177623748779299</v>
      </c>
      <c r="C27">
        <v>-2.9216319322586101E-2</v>
      </c>
      <c r="D27">
        <v>-0.236072272062302</v>
      </c>
      <c r="E27">
        <v>-0.20827016234397899</v>
      </c>
      <c r="F27">
        <v>-1.8966067582368901E-3</v>
      </c>
      <c r="H27">
        <f t="shared" si="0"/>
        <v>-1.8966067582368901E-3</v>
      </c>
      <c r="I27">
        <f t="shared" si="1"/>
        <v>0.20827016234397899</v>
      </c>
      <c r="J27">
        <f t="shared" si="2"/>
        <v>-0.236072272062302</v>
      </c>
      <c r="K27">
        <f t="shared" si="3"/>
        <v>-2.9216319322586101E-2</v>
      </c>
      <c r="L27">
        <f t="shared" si="4"/>
        <v>-1.3177623748779299</v>
      </c>
      <c r="M27">
        <f t="shared" si="5"/>
        <v>-1.11354172229767</v>
      </c>
    </row>
    <row r="28" spans="1:13" x14ac:dyDescent="0.25">
      <c r="A28">
        <v>-5.3425669670105001E-2</v>
      </c>
      <c r="B28">
        <v>0.88553363084793102</v>
      </c>
      <c r="C28">
        <v>2.54940949380398E-2</v>
      </c>
      <c r="D28">
        <v>-0.160715162754059</v>
      </c>
      <c r="E28">
        <v>-1.5756551176309599E-2</v>
      </c>
      <c r="F28">
        <v>-2.1010981872677799E-3</v>
      </c>
      <c r="H28">
        <f t="shared" si="0"/>
        <v>-2.1010981872677799E-3</v>
      </c>
      <c r="I28">
        <f t="shared" si="1"/>
        <v>1.5756551176309599E-2</v>
      </c>
      <c r="J28">
        <f t="shared" si="2"/>
        <v>-0.160715162754059</v>
      </c>
      <c r="K28">
        <f t="shared" si="3"/>
        <v>2.54940949380398E-2</v>
      </c>
      <c r="L28">
        <f t="shared" si="4"/>
        <v>-0.88553363084793102</v>
      </c>
      <c r="M28">
        <f t="shared" si="5"/>
        <v>-5.3425669670105001E-2</v>
      </c>
    </row>
    <row r="29" spans="1:13" x14ac:dyDescent="0.25">
      <c r="A29">
        <v>-0.73969256877899203</v>
      </c>
      <c r="B29">
        <v>0.65224993228912398</v>
      </c>
      <c r="C29">
        <v>-0.39274537563324002</v>
      </c>
      <c r="D29">
        <v>-0.19408226013183599</v>
      </c>
      <c r="E29">
        <v>-0.205877780914307</v>
      </c>
      <c r="F29">
        <v>-2.0807487890124299E-3</v>
      </c>
      <c r="H29">
        <f t="shared" si="0"/>
        <v>-2.0807487890124299E-3</v>
      </c>
      <c r="I29">
        <f t="shared" si="1"/>
        <v>0.205877780914307</v>
      </c>
      <c r="J29">
        <f t="shared" si="2"/>
        <v>-0.19408226013183599</v>
      </c>
      <c r="K29">
        <f t="shared" si="3"/>
        <v>-0.39274537563324002</v>
      </c>
      <c r="L29">
        <f t="shared" si="4"/>
        <v>-0.65224993228912398</v>
      </c>
      <c r="M29">
        <f t="shared" si="5"/>
        <v>-0.73969256877899203</v>
      </c>
    </row>
    <row r="30" spans="1:13" x14ac:dyDescent="0.25">
      <c r="A30">
        <v>-0.50663030147552501</v>
      </c>
      <c r="B30">
        <v>0.53642767667770397</v>
      </c>
      <c r="C30">
        <v>-0.26602268218994102</v>
      </c>
      <c r="D30">
        <v>-0.13989627361297599</v>
      </c>
      <c r="E30">
        <v>-0.13435347378253901</v>
      </c>
      <c r="F30">
        <v>-1.87318958342075E-3</v>
      </c>
      <c r="H30">
        <f t="shared" si="0"/>
        <v>-1.87318958342075E-3</v>
      </c>
      <c r="I30">
        <f t="shared" si="1"/>
        <v>0.13435347378253901</v>
      </c>
      <c r="J30">
        <f t="shared" si="2"/>
        <v>-0.13989627361297599</v>
      </c>
      <c r="K30">
        <f t="shared" si="3"/>
        <v>-0.26602268218994102</v>
      </c>
      <c r="L30">
        <f t="shared" si="4"/>
        <v>-0.53642767667770397</v>
      </c>
      <c r="M30">
        <f t="shared" si="5"/>
        <v>-0.50663030147552501</v>
      </c>
    </row>
    <row r="31" spans="1:13" x14ac:dyDescent="0.25">
      <c r="A31">
        <v>-1.10396945476532</v>
      </c>
      <c r="B31">
        <v>1.3395630121231099</v>
      </c>
      <c r="C31">
        <v>-0.59528750181198098</v>
      </c>
      <c r="D31">
        <v>-0.30219966173172003</v>
      </c>
      <c r="E31">
        <v>-0.26659435033798201</v>
      </c>
      <c r="F31">
        <v>-3.7020025774836501E-3</v>
      </c>
      <c r="H31">
        <f t="shared" si="0"/>
        <v>-3.7020025774836501E-3</v>
      </c>
      <c r="I31">
        <f t="shared" si="1"/>
        <v>0.26659435033798201</v>
      </c>
      <c r="J31">
        <f t="shared" si="2"/>
        <v>-0.30219966173172003</v>
      </c>
      <c r="K31">
        <f t="shared" si="3"/>
        <v>-0.59528750181198098</v>
      </c>
      <c r="L31">
        <f t="shared" si="4"/>
        <v>-1.3395630121231099</v>
      </c>
      <c r="M31">
        <f t="shared" si="5"/>
        <v>-1.10396945476532</v>
      </c>
    </row>
    <row r="32" spans="1:13" x14ac:dyDescent="0.25">
      <c r="A32">
        <v>-6.1887651681899997E-2</v>
      </c>
      <c r="B32">
        <v>0.214856266975403</v>
      </c>
      <c r="C32">
        <v>1.9913738593459102E-2</v>
      </c>
      <c r="D32">
        <v>-2.4645710363984101E-2</v>
      </c>
      <c r="E32">
        <v>-1.1398071423172999E-2</v>
      </c>
      <c r="F32">
        <v>-2.9836385510861901E-4</v>
      </c>
      <c r="H32">
        <f t="shared" si="0"/>
        <v>-2.9836385510861901E-4</v>
      </c>
      <c r="I32">
        <f t="shared" si="1"/>
        <v>1.1398071423172999E-2</v>
      </c>
      <c r="J32">
        <f t="shared" si="2"/>
        <v>-2.4645710363984101E-2</v>
      </c>
      <c r="K32">
        <f t="shared" si="3"/>
        <v>1.9913738593459102E-2</v>
      </c>
      <c r="L32">
        <f t="shared" si="4"/>
        <v>-0.214856266975403</v>
      </c>
      <c r="M32">
        <f t="shared" si="5"/>
        <v>-6.1887651681899997E-2</v>
      </c>
    </row>
    <row r="33" spans="1:13" x14ac:dyDescent="0.25">
      <c r="A33">
        <v>-0.77984750270843495</v>
      </c>
      <c r="B33">
        <v>0.59375947713851895</v>
      </c>
      <c r="C33">
        <v>1.24355498701334E-2</v>
      </c>
      <c r="D33">
        <v>-7.8008078038692502E-2</v>
      </c>
      <c r="E33">
        <v>-0.12020714581012699</v>
      </c>
      <c r="F33">
        <v>1.33801531046629E-3</v>
      </c>
      <c r="H33">
        <f t="shared" si="0"/>
        <v>1.33801531046629E-3</v>
      </c>
      <c r="I33">
        <f t="shared" si="1"/>
        <v>0.12020714581012699</v>
      </c>
      <c r="J33">
        <f t="shared" si="2"/>
        <v>-7.8008078038692502E-2</v>
      </c>
      <c r="K33">
        <f t="shared" si="3"/>
        <v>1.24355498701334E-2</v>
      </c>
      <c r="L33">
        <f t="shared" si="4"/>
        <v>-0.59375947713851895</v>
      </c>
      <c r="M33">
        <f t="shared" si="5"/>
        <v>-0.77984750270843495</v>
      </c>
    </row>
    <row r="34" spans="1:13" x14ac:dyDescent="0.25">
      <c r="A34">
        <v>-1.3081740140914899</v>
      </c>
      <c r="B34">
        <v>-6.8884432315826402E-2</v>
      </c>
      <c r="C34">
        <v>-6.59529305994511E-3</v>
      </c>
      <c r="D34">
        <v>1.2453994713723699E-2</v>
      </c>
      <c r="E34">
        <v>-0.24397116899490401</v>
      </c>
      <c r="F34">
        <v>2.7945239562541199E-3</v>
      </c>
      <c r="H34">
        <f t="shared" si="0"/>
        <v>2.7945239562541199E-3</v>
      </c>
      <c r="I34">
        <f t="shared" si="1"/>
        <v>0.24397116899490401</v>
      </c>
      <c r="J34">
        <f t="shared" si="2"/>
        <v>1.2453994713723699E-2</v>
      </c>
      <c r="K34">
        <f t="shared" si="3"/>
        <v>-6.59529305994511E-3</v>
      </c>
      <c r="L34">
        <f t="shared" si="4"/>
        <v>6.8884432315826402E-2</v>
      </c>
      <c r="M34">
        <f t="shared" si="5"/>
        <v>-1.3081740140914899</v>
      </c>
    </row>
    <row r="35" spans="1:13" x14ac:dyDescent="0.25">
      <c r="A35">
        <v>-1.0939816236496001</v>
      </c>
      <c r="B35">
        <v>-0.158803179860115</v>
      </c>
      <c r="C35">
        <v>-6.4636766910552996E-3</v>
      </c>
      <c r="D35">
        <v>2.9903646558523199E-2</v>
      </c>
      <c r="E35">
        <v>-0.18914604187011699</v>
      </c>
      <c r="F35">
        <v>2.5964039377868202E-3</v>
      </c>
      <c r="H35">
        <f t="shared" si="0"/>
        <v>2.5964039377868202E-3</v>
      </c>
      <c r="I35">
        <f t="shared" si="1"/>
        <v>0.18914604187011699</v>
      </c>
      <c r="J35">
        <f t="shared" si="2"/>
        <v>2.9903646558523199E-2</v>
      </c>
      <c r="K35">
        <f t="shared" si="3"/>
        <v>-6.4636766910552996E-3</v>
      </c>
      <c r="L35">
        <f t="shared" si="4"/>
        <v>0.158803179860115</v>
      </c>
      <c r="M35">
        <f t="shared" si="5"/>
        <v>-1.0939816236496001</v>
      </c>
    </row>
    <row r="36" spans="1:13" x14ac:dyDescent="0.25">
      <c r="A36">
        <v>-1.16920530796051</v>
      </c>
      <c r="B36">
        <v>0.88355565071106001</v>
      </c>
      <c r="C36">
        <v>-0.13754428923129999</v>
      </c>
      <c r="D36">
        <v>-9.9573642015457195E-2</v>
      </c>
      <c r="E36">
        <v>-0.23934969305992099</v>
      </c>
      <c r="F36">
        <v>-7.47585669159889E-4</v>
      </c>
      <c r="H36">
        <f t="shared" si="0"/>
        <v>-7.47585669159889E-4</v>
      </c>
      <c r="I36">
        <f t="shared" si="1"/>
        <v>0.23934969305992099</v>
      </c>
      <c r="J36">
        <f t="shared" si="2"/>
        <v>-9.9573642015457195E-2</v>
      </c>
      <c r="K36">
        <f t="shared" si="3"/>
        <v>-0.13754428923129999</v>
      </c>
      <c r="L36">
        <f t="shared" si="4"/>
        <v>-0.88355565071106001</v>
      </c>
      <c r="M36">
        <f t="shared" si="5"/>
        <v>-1.16920530796051</v>
      </c>
    </row>
    <row r="37" spans="1:13" x14ac:dyDescent="0.25">
      <c r="A37">
        <v>-1.2301561832428001</v>
      </c>
      <c r="B37">
        <v>0.74046343564987205</v>
      </c>
      <c r="C37">
        <v>-0.16222637891769401</v>
      </c>
      <c r="D37">
        <v>-0.13192363083362599</v>
      </c>
      <c r="E37">
        <v>-0.26700088381767301</v>
      </c>
      <c r="F37">
        <v>-5.7288859970867599E-3</v>
      </c>
      <c r="H37">
        <f t="shared" si="0"/>
        <v>-5.7288859970867599E-3</v>
      </c>
      <c r="I37">
        <f t="shared" si="1"/>
        <v>0.26700088381767301</v>
      </c>
      <c r="J37">
        <f t="shared" si="2"/>
        <v>-0.13192363083362599</v>
      </c>
      <c r="K37">
        <f t="shared" si="3"/>
        <v>-0.16222637891769401</v>
      </c>
      <c r="L37">
        <f t="shared" si="4"/>
        <v>-0.74046343564987205</v>
      </c>
      <c r="M37">
        <f t="shared" si="5"/>
        <v>-1.2301561832428001</v>
      </c>
    </row>
    <row r="38" spans="1:13" x14ac:dyDescent="0.25">
      <c r="A38">
        <v>-0.31295472383499101</v>
      </c>
      <c r="B38">
        <v>0.30159375071525601</v>
      </c>
      <c r="C38">
        <v>3.4434549510479001E-2</v>
      </c>
      <c r="D38">
        <v>-4.8628196120262097E-2</v>
      </c>
      <c r="E38">
        <v>-8.4611706435680403E-2</v>
      </c>
      <c r="F38">
        <v>-3.59367998316884E-3</v>
      </c>
      <c r="H38">
        <f t="shared" si="0"/>
        <v>-3.59367998316884E-3</v>
      </c>
      <c r="I38">
        <f t="shared" si="1"/>
        <v>8.4611706435680403E-2</v>
      </c>
      <c r="J38">
        <f t="shared" si="2"/>
        <v>-4.8628196120262097E-2</v>
      </c>
      <c r="K38">
        <f t="shared" si="3"/>
        <v>3.4434549510479001E-2</v>
      </c>
      <c r="L38">
        <f t="shared" si="4"/>
        <v>-0.30159375071525601</v>
      </c>
      <c r="M38">
        <f t="shared" si="5"/>
        <v>-0.31295472383499101</v>
      </c>
    </row>
    <row r="39" spans="1:13" x14ac:dyDescent="0.25">
      <c r="A39">
        <v>-0.81168925762176503</v>
      </c>
      <c r="B39">
        <v>0.22859935462474801</v>
      </c>
      <c r="C39">
        <v>-0.48286521434783902</v>
      </c>
      <c r="D39">
        <v>-4.0118761360645301E-2</v>
      </c>
      <c r="E39">
        <v>-0.23767614364624001</v>
      </c>
      <c r="F39">
        <v>-2.5372554082423401E-3</v>
      </c>
      <c r="H39">
        <f t="shared" si="0"/>
        <v>-2.5372554082423401E-3</v>
      </c>
      <c r="I39">
        <f t="shared" si="1"/>
        <v>0.23767614364624001</v>
      </c>
      <c r="J39">
        <f t="shared" si="2"/>
        <v>-4.0118761360645301E-2</v>
      </c>
      <c r="K39">
        <f t="shared" si="3"/>
        <v>-0.48286521434783902</v>
      </c>
      <c r="L39">
        <f t="shared" si="4"/>
        <v>-0.22859935462474801</v>
      </c>
      <c r="M39">
        <f t="shared" si="5"/>
        <v>-0.81168925762176503</v>
      </c>
    </row>
    <row r="40" spans="1:13" x14ac:dyDescent="0.25">
      <c r="A40">
        <v>-1.0787600278854399</v>
      </c>
      <c r="B40">
        <v>1.5731915831565899E-2</v>
      </c>
      <c r="C40">
        <v>5.6034162640571601E-2</v>
      </c>
      <c r="D40">
        <v>-1.0551102459430699E-3</v>
      </c>
      <c r="E40">
        <v>-0.130592405796051</v>
      </c>
      <c r="F40">
        <v>5.4148025810718502E-5</v>
      </c>
      <c r="H40">
        <f t="shared" si="0"/>
        <v>5.4148025810718502E-5</v>
      </c>
      <c r="I40">
        <f t="shared" si="1"/>
        <v>0.130592405796051</v>
      </c>
      <c r="J40">
        <f t="shared" si="2"/>
        <v>-1.0551102459430699E-3</v>
      </c>
      <c r="K40">
        <f t="shared" si="3"/>
        <v>5.6034162640571601E-2</v>
      </c>
      <c r="L40">
        <f t="shared" si="4"/>
        <v>-1.5731915831565899E-2</v>
      </c>
      <c r="M40">
        <f t="shared" si="5"/>
        <v>-1.0787600278854399</v>
      </c>
    </row>
    <row r="41" spans="1:13" x14ac:dyDescent="0.25">
      <c r="A41">
        <v>-1.3058658838272099</v>
      </c>
      <c r="B41">
        <v>0.130133211612701</v>
      </c>
      <c r="C41">
        <v>-0.30376738309860202</v>
      </c>
      <c r="D41">
        <v>-2.0560383796691901E-2</v>
      </c>
      <c r="E41">
        <v>-0.29702112078666698</v>
      </c>
      <c r="F41">
        <v>-5.3779371082782702E-3</v>
      </c>
      <c r="H41">
        <f t="shared" si="0"/>
        <v>-5.3779371082782702E-3</v>
      </c>
      <c r="I41">
        <f t="shared" si="1"/>
        <v>0.29702112078666698</v>
      </c>
      <c r="J41">
        <f t="shared" si="2"/>
        <v>-2.0560383796691901E-2</v>
      </c>
      <c r="K41">
        <f t="shared" si="3"/>
        <v>-0.30376738309860202</v>
      </c>
      <c r="L41">
        <f t="shared" si="4"/>
        <v>-0.130133211612701</v>
      </c>
      <c r="M41">
        <f t="shared" si="5"/>
        <v>-1.3058658838272099</v>
      </c>
    </row>
    <row r="42" spans="1:13" x14ac:dyDescent="0.25">
      <c r="A42">
        <v>-0.873266160488129</v>
      </c>
      <c r="B42">
        <v>0.86686456203460704</v>
      </c>
      <c r="C42">
        <v>-0.63931977748870905</v>
      </c>
      <c r="D42">
        <v>-0.10332116484642</v>
      </c>
      <c r="E42">
        <v>-0.26722592115402199</v>
      </c>
      <c r="F42">
        <v>-1.2866270728409301E-2</v>
      </c>
      <c r="H42">
        <f t="shared" si="0"/>
        <v>-1.2866270728409301E-2</v>
      </c>
      <c r="I42">
        <f t="shared" si="1"/>
        <v>0.26722592115402199</v>
      </c>
      <c r="J42">
        <f t="shared" si="2"/>
        <v>-0.10332116484642</v>
      </c>
      <c r="K42">
        <f t="shared" si="3"/>
        <v>-0.63931977748870905</v>
      </c>
      <c r="L42">
        <f t="shared" si="4"/>
        <v>-0.86686456203460704</v>
      </c>
      <c r="M42">
        <f t="shared" si="5"/>
        <v>-0.873266160488129</v>
      </c>
    </row>
    <row r="43" spans="1:13" x14ac:dyDescent="0.25">
      <c r="A43">
        <v>-0.153516501188278</v>
      </c>
      <c r="B43">
        <v>5.4970372468233102E-2</v>
      </c>
      <c r="C43">
        <v>-2.78243236243725E-3</v>
      </c>
      <c r="D43">
        <v>-1.04580884799361E-2</v>
      </c>
      <c r="E43">
        <v>-4.2479593306779903E-2</v>
      </c>
      <c r="F43">
        <v>-1.2752725742757301E-3</v>
      </c>
      <c r="H43">
        <f t="shared" si="0"/>
        <v>-1.2752725742757301E-3</v>
      </c>
      <c r="I43">
        <f t="shared" si="1"/>
        <v>4.2479593306779903E-2</v>
      </c>
      <c r="J43">
        <f t="shared" si="2"/>
        <v>-1.04580884799361E-2</v>
      </c>
      <c r="K43">
        <f t="shared" si="3"/>
        <v>-2.78243236243725E-3</v>
      </c>
      <c r="L43">
        <f t="shared" si="4"/>
        <v>-5.4970372468233102E-2</v>
      </c>
      <c r="M43">
        <f t="shared" si="5"/>
        <v>-0.153516501188278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(double)</vt:lpstr>
      <vt:lpstr>Distal Vali (double, tight)</vt:lpstr>
      <vt:lpstr>Distal Vali (double, loose)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2025-10-05T08:47:40Z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