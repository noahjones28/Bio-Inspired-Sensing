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to1.0)(3tendon)/"/>
    </mc:Choice>
  </mc:AlternateContent>
  <xr:revisionPtr revIDLastSave="1847" documentId="8_{DFFD6B0C-681F-42C8-B2E4-5D4B90AAE966}" xr6:coauthVersionLast="47" xr6:coauthVersionMax="47" xr10:uidLastSave="{58874392-1897-4443-9EAA-DDCAEA409A9E}"/>
  <bookViews>
    <workbookView xWindow="-120" yWindow="-120" windowWidth="29040" windowHeight="15720" firstSheet="3" activeTab="4" xr2:uid="{3D16C37F-3C74-4527-A308-796C339DFE9F}"/>
  </bookViews>
  <sheets>
    <sheet name="Proximal Validation (prelim)" sheetId="1" r:id="rId1"/>
    <sheet name="Distal Validation (prelim)" sheetId="3" r:id="rId2"/>
    <sheet name="Proximal Validation (single)" sheetId="8" r:id="rId3"/>
    <sheet name="Distal Validation (single)" sheetId="9" r:id="rId4"/>
    <sheet name="Proximal Validation (double)" sheetId="12" r:id="rId5"/>
    <sheet name="Distal Validation (double)" sheetId="16" r:id="rId6"/>
    <sheet name="Conversion" sheetId="4" r:id="rId7"/>
  </sheets>
  <definedNames>
    <definedName name="_xlnm._FilterDatabase" localSheetId="1" hidden="1">'Distal Validation (prelim)'!$A$3:$V$23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6" l="1" a="1"/>
  <c r="AO3" i="16" s="1"/>
  <c r="A3" i="16"/>
  <c r="AE3" i="16" s="1"/>
  <c r="B3" i="16"/>
  <c r="AF3" i="16" s="1"/>
  <c r="C3" i="16"/>
  <c r="AG3" i="16" s="1"/>
  <c r="D3" i="16"/>
  <c r="AH3" i="16" s="1"/>
  <c r="E3" i="16"/>
  <c r="F3" i="16"/>
  <c r="G3" i="16"/>
  <c r="J3" i="16"/>
  <c r="AI3" i="16" s="1"/>
  <c r="K3" i="16"/>
  <c r="AJ3" i="16" s="1"/>
  <c r="N3" i="16"/>
  <c r="O3" i="16"/>
  <c r="P3" i="16"/>
  <c r="Q3" i="16"/>
  <c r="R3" i="16"/>
  <c r="S3" i="16"/>
  <c r="T3" i="16"/>
  <c r="U3" i="16"/>
  <c r="V3" i="16"/>
  <c r="A4" i="16"/>
  <c r="AE4" i="16" s="1"/>
  <c r="B4" i="16"/>
  <c r="AF4" i="16" s="1"/>
  <c r="C4" i="16"/>
  <c r="AG4" i="16" s="1"/>
  <c r="D4" i="16"/>
  <c r="AH4" i="16" s="1"/>
  <c r="E4" i="16"/>
  <c r="F4" i="16"/>
  <c r="G4" i="16"/>
  <c r="J4" i="16"/>
  <c r="AI4" i="16" s="1"/>
  <c r="K4" i="16"/>
  <c r="AJ4" i="16" s="1"/>
  <c r="N4" i="16"/>
  <c r="O4" i="16"/>
  <c r="P4" i="16"/>
  <c r="Q4" i="16"/>
  <c r="R4" i="16"/>
  <c r="S4" i="16"/>
  <c r="T4" i="16"/>
  <c r="U4" i="16"/>
  <c r="V4" i="16"/>
  <c r="A5" i="16"/>
  <c r="AE5" i="16" s="1"/>
  <c r="B5" i="16"/>
  <c r="AF5" i="16" s="1"/>
  <c r="C5" i="16"/>
  <c r="AG5" i="16" s="1"/>
  <c r="D5" i="16"/>
  <c r="AH5" i="16" s="1"/>
  <c r="E5" i="16"/>
  <c r="F5" i="16"/>
  <c r="G5" i="16"/>
  <c r="J5" i="16"/>
  <c r="AI5" i="16" s="1"/>
  <c r="K5" i="16"/>
  <c r="AJ5" i="16" s="1"/>
  <c r="N5" i="16"/>
  <c r="O5" i="16"/>
  <c r="P5" i="16"/>
  <c r="Q5" i="16"/>
  <c r="R5" i="16"/>
  <c r="S5" i="16"/>
  <c r="T5" i="16"/>
  <c r="U5" i="16"/>
  <c r="V5" i="16"/>
  <c r="A6" i="16"/>
  <c r="AE6" i="16" s="1"/>
  <c r="B6" i="16"/>
  <c r="AF6" i="16" s="1"/>
  <c r="C6" i="16"/>
  <c r="AG6" i="16" s="1"/>
  <c r="D6" i="16"/>
  <c r="AH6" i="16" s="1"/>
  <c r="E6" i="16"/>
  <c r="F6" i="16"/>
  <c r="G6" i="16"/>
  <c r="J6" i="16"/>
  <c r="AI6" i="16" s="1"/>
  <c r="K6" i="16"/>
  <c r="AJ6" i="16" s="1"/>
  <c r="N6" i="16"/>
  <c r="O6" i="16"/>
  <c r="P6" i="16"/>
  <c r="Q6" i="16"/>
  <c r="R6" i="16"/>
  <c r="S6" i="16"/>
  <c r="T6" i="16"/>
  <c r="U6" i="16"/>
  <c r="V6" i="16"/>
  <c r="A7" i="16"/>
  <c r="AE7" i="16" s="1"/>
  <c r="B7" i="16"/>
  <c r="AF7" i="16" s="1"/>
  <c r="C7" i="16"/>
  <c r="AG7" i="16" s="1"/>
  <c r="D7" i="16"/>
  <c r="AH7" i="16" s="1"/>
  <c r="E7" i="16"/>
  <c r="F7" i="16"/>
  <c r="G7" i="16"/>
  <c r="J7" i="16"/>
  <c r="AI7" i="16" s="1"/>
  <c r="K7" i="16"/>
  <c r="AJ7" i="16" s="1"/>
  <c r="N7" i="16"/>
  <c r="O7" i="16"/>
  <c r="P7" i="16"/>
  <c r="Q7" i="16"/>
  <c r="R7" i="16"/>
  <c r="S7" i="16"/>
  <c r="T7" i="16"/>
  <c r="U7" i="16"/>
  <c r="V7" i="16"/>
  <c r="A8" i="16"/>
  <c r="AE8" i="16" s="1"/>
  <c r="B8" i="16"/>
  <c r="AF8" i="16" s="1"/>
  <c r="C8" i="16"/>
  <c r="AG8" i="16" s="1"/>
  <c r="D8" i="16"/>
  <c r="AH8" i="16" s="1"/>
  <c r="E8" i="16"/>
  <c r="F8" i="16"/>
  <c r="G8" i="16"/>
  <c r="J8" i="16"/>
  <c r="AI8" i="16" s="1"/>
  <c r="K8" i="16"/>
  <c r="AJ8" i="16" s="1"/>
  <c r="N8" i="16"/>
  <c r="O8" i="16"/>
  <c r="P8" i="16"/>
  <c r="Q8" i="16"/>
  <c r="R8" i="16"/>
  <c r="S8" i="16"/>
  <c r="T8" i="16"/>
  <c r="U8" i="16"/>
  <c r="V8" i="16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L4" i="16"/>
  <c r="AK4" i="16" s="1"/>
  <c r="L5" i="16"/>
  <c r="AK5" i="16" s="1"/>
  <c r="L6" i="16"/>
  <c r="AK6" i="16" s="1"/>
  <c r="L7" i="16"/>
  <c r="AK7" i="16" s="1"/>
  <c r="L8" i="16"/>
  <c r="AK8" i="16" s="1"/>
  <c r="L3" i="16"/>
  <c r="AK3" i="16" s="1"/>
  <c r="M4" i="16"/>
  <c r="AL4" i="16" s="1"/>
  <c r="M5" i="16"/>
  <c r="AL5" i="16" s="1"/>
  <c r="M6" i="16"/>
  <c r="AL6" i="16" s="1"/>
  <c r="M7" i="16"/>
  <c r="AL7" i="16" s="1"/>
  <c r="M8" i="16"/>
  <c r="AL8" i="16" s="1"/>
  <c r="M3" i="16"/>
  <c r="AL3" i="16" s="1"/>
  <c r="H3" i="16"/>
  <c r="I3" i="16"/>
  <c r="H4" i="16"/>
  <c r="I4" i="16"/>
  <c r="H5" i="16"/>
  <c r="I5" i="16"/>
  <c r="H6" i="16"/>
  <c r="I6" i="16"/>
  <c r="H7" i="16"/>
  <c r="I7" i="16"/>
  <c r="H8" i="16"/>
  <c r="I8" i="16"/>
  <c r="AH8" i="12"/>
  <c r="AG8" i="12"/>
  <c r="AF8" i="12"/>
  <c r="AE8" i="12"/>
  <c r="AD8" i="12"/>
  <c r="AC8" i="12"/>
  <c r="AH7" i="12"/>
  <c r="AG7" i="12"/>
  <c r="AF7" i="12"/>
  <c r="AE7" i="12"/>
  <c r="AD7" i="12"/>
  <c r="AC7" i="12"/>
  <c r="AH6" i="12"/>
  <c r="AG6" i="12"/>
  <c r="AF6" i="12"/>
  <c r="AE6" i="12"/>
  <c r="AD6" i="12"/>
  <c r="AC6" i="12"/>
  <c r="AH5" i="12"/>
  <c r="AG5" i="12"/>
  <c r="AF5" i="12"/>
  <c r="AE5" i="12"/>
  <c r="AD5" i="12"/>
  <c r="AC5" i="12"/>
  <c r="AH4" i="12"/>
  <c r="AG4" i="12"/>
  <c r="AF4" i="12"/>
  <c r="AE4" i="12"/>
  <c r="AD4" i="12"/>
  <c r="AC4" i="12"/>
  <c r="AH3" i="12"/>
  <c r="AG3" i="12"/>
  <c r="AF3" i="12"/>
  <c r="AE3" i="12"/>
  <c r="AD3" i="12"/>
  <c r="AC3" i="12"/>
  <c r="T18" i="9" a="1"/>
  <c r="T18" i="9"/>
  <c r="A3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A4" i="9"/>
  <c r="T4" i="9" s="1"/>
  <c r="B4" i="9"/>
  <c r="U4" i="9" s="1"/>
  <c r="C4" i="9"/>
  <c r="Z4" i="9" s="1"/>
  <c r="D4" i="9"/>
  <c r="E4" i="9"/>
  <c r="F4" i="9"/>
  <c r="G4" i="9"/>
  <c r="H4" i="9"/>
  <c r="I4" i="9"/>
  <c r="J4" i="9"/>
  <c r="K4" i="9"/>
  <c r="L4" i="9"/>
  <c r="M4" i="9"/>
  <c r="N4" i="9"/>
  <c r="O4" i="9"/>
  <c r="A5" i="9"/>
  <c r="B5" i="9"/>
  <c r="U5" i="9" s="1"/>
  <c r="C5" i="9"/>
  <c r="D5" i="9"/>
  <c r="E5" i="9"/>
  <c r="F5" i="9"/>
  <c r="G5" i="9"/>
  <c r="H5" i="9"/>
  <c r="I5" i="9"/>
  <c r="J5" i="9"/>
  <c r="K5" i="9"/>
  <c r="L5" i="9"/>
  <c r="M5" i="9"/>
  <c r="N5" i="9"/>
  <c r="O5" i="9"/>
  <c r="A6" i="9"/>
  <c r="T6" i="9" s="1"/>
  <c r="B6" i="9"/>
  <c r="U6" i="9" s="1"/>
  <c r="C6" i="9"/>
  <c r="Y6" i="9" s="1"/>
  <c r="D6" i="9"/>
  <c r="E6" i="9"/>
  <c r="F6" i="9"/>
  <c r="G6" i="9"/>
  <c r="H6" i="9"/>
  <c r="I6" i="9"/>
  <c r="J6" i="9"/>
  <c r="K6" i="9"/>
  <c r="L6" i="9"/>
  <c r="M6" i="9"/>
  <c r="N6" i="9"/>
  <c r="O6" i="9"/>
  <c r="A7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A8" i="9"/>
  <c r="T8" i="9" s="1"/>
  <c r="B8" i="9"/>
  <c r="U8" i="9" s="1"/>
  <c r="C8" i="9"/>
  <c r="Z8" i="9" s="1"/>
  <c r="D8" i="9"/>
  <c r="E8" i="9"/>
  <c r="F8" i="9"/>
  <c r="G8" i="9"/>
  <c r="H8" i="9"/>
  <c r="I8" i="9"/>
  <c r="J8" i="9"/>
  <c r="K8" i="9"/>
  <c r="L8" i="9"/>
  <c r="M8" i="9"/>
  <c r="N8" i="9"/>
  <c r="O8" i="9"/>
  <c r="A9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A10" i="9"/>
  <c r="T10" i="9" s="1"/>
  <c r="B10" i="9"/>
  <c r="U10" i="9" s="1"/>
  <c r="C10" i="9"/>
  <c r="Z10" i="9" s="1"/>
  <c r="D10" i="9"/>
  <c r="E10" i="9"/>
  <c r="F10" i="9"/>
  <c r="G10" i="9"/>
  <c r="H10" i="9"/>
  <c r="I10" i="9"/>
  <c r="J10" i="9"/>
  <c r="K10" i="9"/>
  <c r="L10" i="9"/>
  <c r="M10" i="9"/>
  <c r="N10" i="9"/>
  <c r="O10" i="9"/>
  <c r="A11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A12" i="9"/>
  <c r="T12" i="9" s="1"/>
  <c r="B12" i="9"/>
  <c r="U12" i="9" s="1"/>
  <c r="C12" i="9"/>
  <c r="Z12" i="9" s="1"/>
  <c r="D12" i="9"/>
  <c r="E12" i="9"/>
  <c r="F12" i="9"/>
  <c r="G12" i="9"/>
  <c r="H12" i="9"/>
  <c r="I12" i="9"/>
  <c r="J12" i="9"/>
  <c r="K12" i="9"/>
  <c r="L12" i="9"/>
  <c r="M12" i="9"/>
  <c r="N12" i="9"/>
  <c r="O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A14" i="9"/>
  <c r="T14" i="9" s="1"/>
  <c r="B14" i="9"/>
  <c r="U14" i="9" s="1"/>
  <c r="C14" i="9"/>
  <c r="X14" i="9" s="1"/>
  <c r="D14" i="9"/>
  <c r="E14" i="9"/>
  <c r="F14" i="9"/>
  <c r="G14" i="9"/>
  <c r="H14" i="9"/>
  <c r="I14" i="9"/>
  <c r="J14" i="9"/>
  <c r="K14" i="9"/>
  <c r="L14" i="9"/>
  <c r="M14" i="9"/>
  <c r="N14" i="9"/>
  <c r="O14" i="9"/>
  <c r="A15" i="9"/>
  <c r="B15" i="9"/>
  <c r="C15" i="9"/>
  <c r="Z15" i="9" s="1"/>
  <c r="D15" i="9"/>
  <c r="E15" i="9"/>
  <c r="F15" i="9"/>
  <c r="G15" i="9"/>
  <c r="H15" i="9"/>
  <c r="I15" i="9"/>
  <c r="J15" i="9"/>
  <c r="K15" i="9"/>
  <c r="L15" i="9"/>
  <c r="M15" i="9"/>
  <c r="N15" i="9"/>
  <c r="O15" i="9"/>
  <c r="A16" i="9"/>
  <c r="B16" i="9"/>
  <c r="U16" i="9" s="1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Z17" i="9"/>
  <c r="U3" i="9"/>
  <c r="Y3" i="9"/>
  <c r="T3" i="9"/>
  <c r="AC17" i="9"/>
  <c r="AB17" i="9"/>
  <c r="AA17" i="9"/>
  <c r="X17" i="9"/>
  <c r="AC16" i="9"/>
  <c r="AB16" i="9"/>
  <c r="AA16" i="9"/>
  <c r="Z16" i="9"/>
  <c r="T16" i="9"/>
  <c r="AC15" i="9"/>
  <c r="AB15" i="9"/>
  <c r="AA15" i="9"/>
  <c r="Y15" i="9"/>
  <c r="X15" i="9"/>
  <c r="U15" i="9"/>
  <c r="T15" i="9"/>
  <c r="AC14" i="9"/>
  <c r="AB14" i="9"/>
  <c r="AA14" i="9"/>
  <c r="AC13" i="9"/>
  <c r="AB13" i="9"/>
  <c r="AA13" i="9"/>
  <c r="Z13" i="9"/>
  <c r="U13" i="9"/>
  <c r="T13" i="9"/>
  <c r="AC12" i="9"/>
  <c r="AB12" i="9"/>
  <c r="AA12" i="9"/>
  <c r="AC11" i="9"/>
  <c r="AB11" i="9"/>
  <c r="AA11" i="9"/>
  <c r="Z11" i="9"/>
  <c r="Y11" i="9"/>
  <c r="U11" i="9"/>
  <c r="T11" i="9"/>
  <c r="AC10" i="9"/>
  <c r="AB10" i="9"/>
  <c r="AA10" i="9"/>
  <c r="AC9" i="9"/>
  <c r="AB9" i="9"/>
  <c r="AA9" i="9"/>
  <c r="U9" i="9"/>
  <c r="T9" i="9"/>
  <c r="AC8" i="9"/>
  <c r="AB8" i="9"/>
  <c r="AA8" i="9"/>
  <c r="AC7" i="9"/>
  <c r="AB7" i="9"/>
  <c r="AA7" i="9"/>
  <c r="Z7" i="9"/>
  <c r="Y7" i="9"/>
  <c r="U7" i="9"/>
  <c r="T7" i="9"/>
  <c r="AC6" i="9"/>
  <c r="AB6" i="9"/>
  <c r="AA6" i="9"/>
  <c r="AC5" i="9"/>
  <c r="AB5" i="9"/>
  <c r="AA5" i="9"/>
  <c r="T5" i="9"/>
  <c r="AC4" i="9"/>
  <c r="AB4" i="9"/>
  <c r="AA4" i="9"/>
  <c r="X4" i="9"/>
  <c r="AC3" i="9"/>
  <c r="AB3" i="9"/>
  <c r="AA3" i="9"/>
  <c r="V3" i="9" s="1"/>
  <c r="Z3" i="9"/>
  <c r="X3" i="9"/>
  <c r="Y17" i="8"/>
  <c r="Z16" i="8"/>
  <c r="Y16" i="8"/>
  <c r="X16" i="8"/>
  <c r="W16" i="8"/>
  <c r="V16" i="8"/>
  <c r="Y15" i="8"/>
  <c r="X15" i="8"/>
  <c r="AA17" i="8"/>
  <c r="Z17" i="8"/>
  <c r="X17" i="8"/>
  <c r="W17" i="8"/>
  <c r="V17" i="8"/>
  <c r="I17" i="8"/>
  <c r="H17" i="8"/>
  <c r="AA16" i="8"/>
  <c r="I16" i="8"/>
  <c r="H16" i="8"/>
  <c r="AA15" i="8"/>
  <c r="Z15" i="8"/>
  <c r="W15" i="8"/>
  <c r="V15" i="8"/>
  <c r="I15" i="8"/>
  <c r="H15" i="8"/>
  <c r="AA14" i="8"/>
  <c r="Z14" i="8"/>
  <c r="Y14" i="8"/>
  <c r="X14" i="8"/>
  <c r="W14" i="8"/>
  <c r="V14" i="8"/>
  <c r="I14" i="8"/>
  <c r="H14" i="8"/>
  <c r="AA13" i="8"/>
  <c r="Z13" i="8"/>
  <c r="Y13" i="8"/>
  <c r="X13" i="8"/>
  <c r="W13" i="8"/>
  <c r="V13" i="8"/>
  <c r="I13" i="8"/>
  <c r="H13" i="8"/>
  <c r="AA12" i="8"/>
  <c r="Z12" i="8"/>
  <c r="Y12" i="8"/>
  <c r="X12" i="8"/>
  <c r="W12" i="8"/>
  <c r="V12" i="8"/>
  <c r="I12" i="8"/>
  <c r="H12" i="8"/>
  <c r="AA11" i="8"/>
  <c r="Z11" i="8"/>
  <c r="Y11" i="8"/>
  <c r="X11" i="8"/>
  <c r="W11" i="8"/>
  <c r="V11" i="8"/>
  <c r="I11" i="8"/>
  <c r="H11" i="8"/>
  <c r="AA10" i="8"/>
  <c r="Z10" i="8"/>
  <c r="Y10" i="8"/>
  <c r="X10" i="8"/>
  <c r="W10" i="8"/>
  <c r="V10" i="8"/>
  <c r="I10" i="8"/>
  <c r="H10" i="8"/>
  <c r="AA9" i="8"/>
  <c r="Z9" i="8"/>
  <c r="Y9" i="8"/>
  <c r="X9" i="8"/>
  <c r="W9" i="8"/>
  <c r="V9" i="8"/>
  <c r="I9" i="8"/>
  <c r="H9" i="8"/>
  <c r="AA8" i="8"/>
  <c r="Z8" i="8"/>
  <c r="Y8" i="8"/>
  <c r="X8" i="8"/>
  <c r="W8" i="8"/>
  <c r="V8" i="8"/>
  <c r="I8" i="8"/>
  <c r="H8" i="8"/>
  <c r="AA7" i="8"/>
  <c r="Z7" i="8"/>
  <c r="Y7" i="8"/>
  <c r="X7" i="8"/>
  <c r="W7" i="8"/>
  <c r="V7" i="8"/>
  <c r="I7" i="8"/>
  <c r="H7" i="8"/>
  <c r="AA6" i="8"/>
  <c r="Z6" i="8"/>
  <c r="Y6" i="8"/>
  <c r="X6" i="8"/>
  <c r="W6" i="8"/>
  <c r="V6" i="8"/>
  <c r="I6" i="8"/>
  <c r="H6" i="8"/>
  <c r="AA5" i="8"/>
  <c r="Z5" i="8"/>
  <c r="Y5" i="8"/>
  <c r="X5" i="8"/>
  <c r="W5" i="8"/>
  <c r="V5" i="8"/>
  <c r="I5" i="8"/>
  <c r="H5" i="8"/>
  <c r="AA4" i="8"/>
  <c r="Z4" i="8"/>
  <c r="Y4" i="8"/>
  <c r="X4" i="8"/>
  <c r="W4" i="8"/>
  <c r="V4" i="8"/>
  <c r="I4" i="8"/>
  <c r="H4" i="8"/>
  <c r="AA3" i="8"/>
  <c r="Z3" i="8"/>
  <c r="Y3" i="8"/>
  <c r="X3" i="8"/>
  <c r="W3" i="8"/>
  <c r="V3" i="8"/>
  <c r="I3" i="8"/>
  <c r="H3" i="8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4" i="3"/>
  <c r="AA5" i="3"/>
  <c r="AB5" i="3"/>
  <c r="AC5" i="3"/>
  <c r="AA6" i="3"/>
  <c r="AB6" i="3"/>
  <c r="AC6" i="3"/>
  <c r="Z7" i="3"/>
  <c r="AA7" i="3"/>
  <c r="AB7" i="3"/>
  <c r="AC7" i="3"/>
  <c r="AA8" i="3"/>
  <c r="AB8" i="3"/>
  <c r="AC8" i="3"/>
  <c r="AA9" i="3"/>
  <c r="AB9" i="3"/>
  <c r="AC9" i="3"/>
  <c r="AA10" i="3"/>
  <c r="AB10" i="3"/>
  <c r="AC10" i="3"/>
  <c r="AA11" i="3"/>
  <c r="AB11" i="3"/>
  <c r="AC11" i="3"/>
  <c r="AA12" i="3"/>
  <c r="AB12" i="3"/>
  <c r="AC12" i="3"/>
  <c r="Z13" i="3"/>
  <c r="AA13" i="3"/>
  <c r="AB13" i="3"/>
  <c r="AC13" i="3"/>
  <c r="X14" i="3"/>
  <c r="Y14" i="3"/>
  <c r="AA14" i="3"/>
  <c r="AB14" i="3"/>
  <c r="AC14" i="3"/>
  <c r="AA15" i="3"/>
  <c r="AB15" i="3"/>
  <c r="AC15" i="3"/>
  <c r="AA16" i="3"/>
  <c r="AB16" i="3"/>
  <c r="AC16" i="3"/>
  <c r="Z17" i="3"/>
  <c r="AA17" i="3"/>
  <c r="AB17" i="3"/>
  <c r="AC17" i="3"/>
  <c r="AA18" i="3"/>
  <c r="AB18" i="3"/>
  <c r="AC18" i="3"/>
  <c r="AC4" i="3"/>
  <c r="AB4" i="3"/>
  <c r="AA4" i="3"/>
  <c r="M8" i="3"/>
  <c r="L8" i="3"/>
  <c r="K8" i="3"/>
  <c r="AA7" i="1"/>
  <c r="Z7" i="1"/>
  <c r="Y7" i="1"/>
  <c r="X7" i="1"/>
  <c r="W7" i="1"/>
  <c r="V7" i="1"/>
  <c r="K6" i="3"/>
  <c r="J6" i="3"/>
  <c r="O5" i="3"/>
  <c r="Z5" i="1"/>
  <c r="Y5" i="1"/>
  <c r="X5" i="1"/>
  <c r="W5" i="1"/>
  <c r="V5" i="1"/>
  <c r="X4" i="1"/>
  <c r="W4" i="1"/>
  <c r="J4" i="3"/>
  <c r="H4" i="1"/>
  <c r="H5" i="1"/>
  <c r="H6" i="1"/>
  <c r="H7" i="1"/>
  <c r="H8" i="1"/>
  <c r="H9" i="1"/>
  <c r="H10" i="1"/>
  <c r="H11" i="1"/>
  <c r="H12" i="1"/>
  <c r="H13" i="1"/>
  <c r="H14" i="1"/>
  <c r="H15" i="1"/>
  <c r="H15" i="3" s="1"/>
  <c r="H16" i="1"/>
  <c r="H17" i="1"/>
  <c r="H18" i="1"/>
  <c r="I4" i="1"/>
  <c r="I5" i="1"/>
  <c r="I6" i="1"/>
  <c r="I7" i="1"/>
  <c r="I8" i="1"/>
  <c r="I9" i="1"/>
  <c r="I9" i="3" s="1"/>
  <c r="I10" i="1"/>
  <c r="I10" i="3" s="1"/>
  <c r="I11" i="1"/>
  <c r="I11" i="3" s="1"/>
  <c r="I12" i="1"/>
  <c r="I12" i="3" s="1"/>
  <c r="I13" i="1"/>
  <c r="I14" i="1"/>
  <c r="I15" i="1"/>
  <c r="I16" i="1"/>
  <c r="I17" i="1"/>
  <c r="I18" i="1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M12" i="3"/>
  <c r="N7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D6" i="3"/>
  <c r="D9" i="3"/>
  <c r="C13" i="3"/>
  <c r="C14" i="3"/>
  <c r="D14" i="3"/>
  <c r="H18" i="3"/>
  <c r="D18" i="3"/>
  <c r="D5" i="3"/>
  <c r="D13" i="3"/>
  <c r="H17" i="3"/>
  <c r="H16" i="3"/>
  <c r="C16" i="3"/>
  <c r="C8" i="3"/>
  <c r="H10" i="3"/>
  <c r="H11" i="3"/>
  <c r="M5" i="3"/>
  <c r="N5" i="3"/>
  <c r="L6" i="3"/>
  <c r="M6" i="3"/>
  <c r="N6" i="3"/>
  <c r="O6" i="3"/>
  <c r="M7" i="3"/>
  <c r="O7" i="3"/>
  <c r="J8" i="3"/>
  <c r="N8" i="3"/>
  <c r="O8" i="3"/>
  <c r="J9" i="3"/>
  <c r="K9" i="3"/>
  <c r="L9" i="3"/>
  <c r="M9" i="3"/>
  <c r="N9" i="3"/>
  <c r="O9" i="3"/>
  <c r="J10" i="3"/>
  <c r="K10" i="3"/>
  <c r="L10" i="3"/>
  <c r="M10" i="3"/>
  <c r="N10" i="3"/>
  <c r="O10" i="3"/>
  <c r="J11" i="3"/>
  <c r="K11" i="3"/>
  <c r="L11" i="3"/>
  <c r="M11" i="3"/>
  <c r="N11" i="3"/>
  <c r="O11" i="3"/>
  <c r="J12" i="3"/>
  <c r="K12" i="3"/>
  <c r="L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K4" i="3"/>
  <c r="L4" i="3"/>
  <c r="M4" i="3"/>
  <c r="N4" i="3"/>
  <c r="O4" i="3"/>
  <c r="A5" i="3"/>
  <c r="B5" i="3"/>
  <c r="U5" i="3" s="1"/>
  <c r="E5" i="3"/>
  <c r="A6" i="3"/>
  <c r="B6" i="3"/>
  <c r="U6" i="3" s="1"/>
  <c r="E6" i="3"/>
  <c r="A7" i="3"/>
  <c r="B7" i="3"/>
  <c r="U7" i="3" s="1"/>
  <c r="C7" i="3"/>
  <c r="E7" i="3"/>
  <c r="A8" i="3"/>
  <c r="B8" i="3"/>
  <c r="U8" i="3" s="1"/>
  <c r="E8" i="3"/>
  <c r="A9" i="3"/>
  <c r="B9" i="3"/>
  <c r="U9" i="3" s="1"/>
  <c r="E9" i="3"/>
  <c r="A10" i="3"/>
  <c r="B10" i="3"/>
  <c r="U10" i="3" s="1"/>
  <c r="C10" i="3"/>
  <c r="E10" i="3"/>
  <c r="A11" i="3"/>
  <c r="B11" i="3"/>
  <c r="U11" i="3" s="1"/>
  <c r="C11" i="3"/>
  <c r="E11" i="3"/>
  <c r="A12" i="3"/>
  <c r="B12" i="3"/>
  <c r="U12" i="3" s="1"/>
  <c r="C12" i="3"/>
  <c r="E12" i="3"/>
  <c r="A13" i="3"/>
  <c r="B13" i="3"/>
  <c r="U13" i="3" s="1"/>
  <c r="E13" i="3"/>
  <c r="A14" i="3"/>
  <c r="B14" i="3"/>
  <c r="U14" i="3" s="1"/>
  <c r="E14" i="3"/>
  <c r="A15" i="3"/>
  <c r="B15" i="3"/>
  <c r="U15" i="3" s="1"/>
  <c r="D15" i="3"/>
  <c r="E15" i="3"/>
  <c r="A16" i="3"/>
  <c r="B16" i="3"/>
  <c r="U16" i="3" s="1"/>
  <c r="E16" i="3"/>
  <c r="A17" i="3"/>
  <c r="B17" i="3"/>
  <c r="U17" i="3" s="1"/>
  <c r="C17" i="3"/>
  <c r="E17" i="3"/>
  <c r="A18" i="3"/>
  <c r="B18" i="3"/>
  <c r="U18" i="3" s="1"/>
  <c r="E18" i="3"/>
  <c r="A4" i="3"/>
  <c r="B4" i="3"/>
  <c r="U4" i="3" s="1"/>
  <c r="E4" i="3"/>
  <c r="AA5" i="1"/>
  <c r="V6" i="1"/>
  <c r="W6" i="1"/>
  <c r="X6" i="1"/>
  <c r="Y6" i="1"/>
  <c r="Z6" i="1"/>
  <c r="AA6" i="1"/>
  <c r="V8" i="1"/>
  <c r="W8" i="1"/>
  <c r="X8" i="1"/>
  <c r="Y8" i="1"/>
  <c r="Z8" i="1"/>
  <c r="AA8" i="1"/>
  <c r="V9" i="1"/>
  <c r="W9" i="1"/>
  <c r="X9" i="1"/>
  <c r="Y9" i="1"/>
  <c r="Z9" i="1"/>
  <c r="AA9" i="1"/>
  <c r="V10" i="1"/>
  <c r="W10" i="1"/>
  <c r="X10" i="1"/>
  <c r="Y10" i="1"/>
  <c r="Z10" i="1"/>
  <c r="AA10" i="1"/>
  <c r="V11" i="1"/>
  <c r="W11" i="1"/>
  <c r="X11" i="1"/>
  <c r="Y11" i="1"/>
  <c r="Z11" i="1"/>
  <c r="AA11" i="1"/>
  <c r="V12" i="1"/>
  <c r="W12" i="1"/>
  <c r="X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AA4" i="1"/>
  <c r="Y4" i="1"/>
  <c r="Z4" i="1"/>
  <c r="AM3" i="16" l="1" a="1"/>
  <c r="AM3" i="16" s="1"/>
  <c r="AN3" i="16" a="1"/>
  <c r="AN3" i="16" s="1"/>
  <c r="X5" i="9"/>
  <c r="V5" i="9" s="1"/>
  <c r="X12" i="9"/>
  <c r="X7" i="9"/>
  <c r="Y13" i="9"/>
  <c r="X9" i="9"/>
  <c r="Y9" i="9"/>
  <c r="V9" i="9" s="1"/>
  <c r="Y5" i="9"/>
  <c r="Y16" i="9"/>
  <c r="Z5" i="9"/>
  <c r="Z9" i="9"/>
  <c r="X11" i="9"/>
  <c r="V11" i="9" s="1"/>
  <c r="X8" i="9"/>
  <c r="T22" i="9"/>
  <c r="U22" i="9"/>
  <c r="U20" i="9"/>
  <c r="T20" i="9"/>
  <c r="U18" i="9" a="1"/>
  <c r="U18" i="9" s="1"/>
  <c r="V7" i="9"/>
  <c r="Y4" i="9"/>
  <c r="V4" i="9" s="1"/>
  <c r="Y8" i="9"/>
  <c r="V8" i="9" s="1"/>
  <c r="Y12" i="9"/>
  <c r="V12" i="9" s="1"/>
  <c r="V15" i="9"/>
  <c r="Y14" i="9"/>
  <c r="Y17" i="9"/>
  <c r="X6" i="9"/>
  <c r="V6" i="9" s="1"/>
  <c r="X10" i="9"/>
  <c r="V10" i="9" s="1"/>
  <c r="Z14" i="9"/>
  <c r="Y10" i="9"/>
  <c r="Z6" i="9"/>
  <c r="X13" i="9"/>
  <c r="V13" i="9" s="1"/>
  <c r="X16" i="9"/>
  <c r="V16" i="9" s="1"/>
  <c r="Z16" i="3"/>
  <c r="Z14" i="3"/>
  <c r="Z12" i="3"/>
  <c r="Z10" i="3"/>
  <c r="Z8" i="3"/>
  <c r="X12" i="3"/>
  <c r="Y12" i="3"/>
  <c r="Z11" i="3"/>
  <c r="Y13" i="3"/>
  <c r="Y11" i="3"/>
  <c r="X13" i="3"/>
  <c r="T25" i="3" a="1"/>
  <c r="T25" i="3" s="1"/>
  <c r="U25" i="3" a="1"/>
  <c r="U25" i="3" s="1"/>
  <c r="T27" i="3"/>
  <c r="T29" i="3"/>
  <c r="U27" i="3"/>
  <c r="U29" i="3"/>
  <c r="L5" i="3"/>
  <c r="K7" i="3"/>
  <c r="L7" i="3"/>
  <c r="K5" i="3"/>
  <c r="J7" i="3"/>
  <c r="J5" i="3"/>
  <c r="V4" i="1"/>
  <c r="Y12" i="1"/>
  <c r="H6" i="3"/>
  <c r="H12" i="3"/>
  <c r="D11" i="3"/>
  <c r="X11" i="3" s="1"/>
  <c r="D10" i="3"/>
  <c r="Y10" i="3" s="1"/>
  <c r="H4" i="3"/>
  <c r="D16" i="3"/>
  <c r="I17" i="3"/>
  <c r="I16" i="3"/>
  <c r="D17" i="3"/>
  <c r="Y17" i="3" s="1"/>
  <c r="I18" i="3"/>
  <c r="C18" i="3"/>
  <c r="I15" i="3"/>
  <c r="C15" i="3"/>
  <c r="H14" i="3"/>
  <c r="I14" i="3"/>
  <c r="H13" i="3"/>
  <c r="I13" i="3"/>
  <c r="I8" i="3"/>
  <c r="C9" i="3"/>
  <c r="H9" i="3"/>
  <c r="I7" i="3"/>
  <c r="H8" i="3"/>
  <c r="H7" i="3"/>
  <c r="D12" i="3"/>
  <c r="D8" i="3"/>
  <c r="H5" i="3"/>
  <c r="D7" i="3"/>
  <c r="Y7" i="3" s="1"/>
  <c r="I6" i="3"/>
  <c r="C6" i="3"/>
  <c r="C5" i="3"/>
  <c r="I5" i="3"/>
  <c r="I4" i="3"/>
  <c r="D4" i="3"/>
  <c r="C4" i="3"/>
  <c r="V14" i="9" l="1"/>
  <c r="V22" i="9" s="1"/>
  <c r="Y6" i="3"/>
  <c r="X6" i="3"/>
  <c r="Z6" i="3"/>
  <c r="Y8" i="3"/>
  <c r="X8" i="3"/>
  <c r="X10" i="3"/>
  <c r="Y18" i="3"/>
  <c r="Z18" i="3"/>
  <c r="X18" i="3"/>
  <c r="X15" i="3"/>
  <c r="Y15" i="3"/>
  <c r="Z15" i="3"/>
  <c r="X9" i="3"/>
  <c r="Y9" i="3"/>
  <c r="Z9" i="3"/>
  <c r="X17" i="3"/>
  <c r="Z4" i="3"/>
  <c r="Y4" i="3"/>
  <c r="X4" i="3"/>
  <c r="X7" i="3"/>
  <c r="X5" i="3"/>
  <c r="Y5" i="3"/>
  <c r="Z5" i="3"/>
  <c r="X16" i="3"/>
  <c r="Y16" i="3"/>
  <c r="V18" i="9" l="1" a="1"/>
  <c r="V18" i="9" s="1"/>
  <c r="V20" i="9"/>
  <c r="V29" i="3"/>
  <c r="V27" i="3"/>
  <c r="V25" i="3" a="1"/>
  <c r="V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<sst xmlns="http://schemas.openxmlformats.org/spreadsheetml/2006/main" count="238" uniqueCount="41">
  <si>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</si>
  <si>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</si>
  <si>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</si>
  <si>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</si>
  <si>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</si>
  <si>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</si>
  <si>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</si>
  <si>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</si>
  <si>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</si>
  <si>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el (rad)</t>
  </si>
  <si>
    <t>az (rad)</t>
  </si>
  <si>
    <t>SoRoSim get_distal_value</t>
  </si>
  <si>
    <t>`</t>
  </si>
  <si>
    <t>az (deg)</t>
  </si>
  <si>
    <t>tau1 (N)</t>
  </si>
  <si>
    <t>tau2 (N)</t>
  </si>
  <si>
    <t>tau3 (N)</t>
  </si>
  <si>
    <t>Ground Truth</t>
  </si>
  <si>
    <t>SoRoSim get_proximal_value</t>
  </si>
  <si>
    <t>α_roll (deg)</t>
  </si>
  <si>
    <t>β_pitch (deg)</t>
  </si>
  <si>
    <t>Gimbal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</si>
  <si>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</si>
  <si>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</si>
  <si>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</si>
  <si>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</si>
  <si>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</si>
  <si>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</si>
  <si>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</si>
  <si>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</si>
  <si>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</si>
  <si>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</si>
  <si>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Mean Error</t>
  </si>
  <si>
    <t>ABS Mean Error</t>
  </si>
  <si>
    <t>STDEV</t>
  </si>
  <si>
    <t>Ground-truth unit vector</t>
  </si>
  <si>
    <t>x</t>
  </si>
  <si>
    <t>y</t>
  </si>
  <si>
    <t>z</t>
  </si>
  <si>
    <t>Predicted unit vector</t>
  </si>
  <si>
    <t>Combiend
Angular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</si>
</sst>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10" borderId="0" applyNumberFormat="0" applyBorder="0" applyAlignment="0" applyProtection="0"/>
  </cellStyleXfs>
  <cellXfs count="54">
    <xf numFmtId="0" fontId="0" fillId="0" borderId="0" xfId="0"/>
    <xf numFmtId="164" fontId="2" fillId="0" borderId="1" xfId="0" applyNumberFormat="1" applyFont="1" applyBorder="1"/>
    <xf numFmtId="0" fontId="3" fillId="8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6" borderId="1" xfId="0" applyFont="1" applyFill="1" applyBorder="1"/>
    <xf numFmtId="0" fontId="4" fillId="6" borderId="9" xfId="0" applyFont="1" applyFill="1" applyBorder="1"/>
    <xf numFmtId="0" fontId="4" fillId="6" borderId="6" xfId="0" applyFont="1" applyFill="1" applyBorder="1"/>
    <xf numFmtId="165" fontId="2" fillId="0" borderId="0" xfId="0" applyNumberFormat="1" applyFont="1"/>
    <xf numFmtId="165" fontId="2" fillId="0" borderId="1" xfId="0" applyNumberFormat="1" applyFont="1" applyBorder="1"/>
    <xf numFmtId="0" fontId="2" fillId="0" borderId="1" xfId="0" applyFont="1" applyBorder="1"/>
    <xf numFmtId="0" fontId="4" fillId="6" borderId="1" xfId="0" applyFont="1" applyFill="1" applyBorder="1" applyAlignment="1">
      <alignment wrapText="1"/>
    </xf>
    <xf numFmtId="0" fontId="4" fillId="2" borderId="7" xfId="0" applyFont="1" applyFill="1" applyBorder="1" applyAlignment="1">
      <alignment horizontal="center"/>
    </xf>
    <xf numFmtId="165" fontId="6" fillId="10" borderId="1" xfId="1" applyNumberFormat="1" applyBorder="1"/>
    <xf numFmtId="164" fontId="6" fillId="10" borderId="1" xfId="1" applyNumberFormat="1" applyBorder="1"/>
    <xf numFmtId="11" fontId="0" fillId="0" borderId="0" xfId="0" applyNumberFormat="1"/>
    <xf numFmtId="0" fontId="4" fillId="6" borderId="2" xfId="0" applyFont="1" applyFill="1" applyBorder="1"/>
    <xf numFmtId="164" fontId="2" fillId="0" borderId="2" xfId="0" applyNumberFormat="1" applyFont="1" applyBorder="1"/>
    <xf numFmtId="164" fontId="2" fillId="0" borderId="15" xfId="0" applyNumberFormat="1" applyFont="1" applyBorder="1"/>
    <xf numFmtId="164" fontId="2" fillId="0" borderId="16" xfId="0" applyNumberFormat="1" applyFont="1" applyBorder="1"/>
    <xf numFmtId="164" fontId="2" fillId="0" borderId="0" xfId="0" applyNumberFormat="1" applyFont="1"/>
    <xf numFmtId="0" fontId="3" fillId="8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0" fillId="6" borderId="0" xfId="0" applyFill="1"/>
    <xf numFmtId="164" fontId="2" fillId="11" borderId="1" xfId="0" applyNumberFormat="1" applyFont="1" applyFill="1" applyBorder="1"/>
    <xf numFmtId="2" fontId="2" fillId="11" borderId="1" xfId="0" applyNumberFormat="1" applyFont="1" applyFill="1" applyBorder="1"/>
    <xf numFmtId="165" fontId="2" fillId="11" borderId="1" xfId="0" applyNumberFormat="1" applyFont="1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(prelim)'!$A$4:$A$23</c:f>
              <c:numCache>
                <c:formatCode>0.000</c:formatCode>
                <c:ptCount val="20"/>
                <c:pt idx="0">
                  <c:v>0.71299999999999997</c:v>
                </c:pt>
                <c:pt idx="1">
                  <c:v>0.42</c:v>
                </c:pt>
                <c:pt idx="2">
                  <c:v>0.85199999999999998</c:v>
                </c:pt>
                <c:pt idx="3">
                  <c:v>0.61099999999999999</c:v>
                </c:pt>
                <c:pt idx="4">
                  <c:v>0.65800000000000003</c:v>
                </c:pt>
                <c:pt idx="5">
                  <c:v>0.36299999999999999</c:v>
                </c:pt>
                <c:pt idx="6">
                  <c:v>0.216</c:v>
                </c:pt>
                <c:pt idx="7">
                  <c:v>0.16600000000000001</c:v>
                </c:pt>
                <c:pt idx="8">
                  <c:v>0.184</c:v>
                </c:pt>
                <c:pt idx="9">
                  <c:v>0.96099999999999997</c:v>
                </c:pt>
                <c:pt idx="10">
                  <c:v>0.51</c:v>
                </c:pt>
                <c:pt idx="11">
                  <c:v>0.309</c:v>
                </c:pt>
                <c:pt idx="12">
                  <c:v>0.89700000000000002</c:v>
                </c:pt>
                <c:pt idx="13">
                  <c:v>0.20399999999999999</c:v>
                </c:pt>
                <c:pt idx="14">
                  <c:v>0.42899999999999999</c:v>
                </c:pt>
              </c:numCache>
            </c:numRef>
          </c:xVal>
          <c:yVal>
            <c:numRef>
              <c:f>'Distal Validation (prelim)'!$P$4:$P$23</c:f>
              <c:numCache>
                <c:formatCode>0.0000</c:formatCode>
                <c:ptCount val="20"/>
                <c:pt idx="0">
                  <c:v>0.69714399999999999</c:v>
                </c:pt>
                <c:pt idx="1">
                  <c:v>0.32856099999999999</c:v>
                </c:pt>
                <c:pt idx="2">
                  <c:v>0.73812500000000003</c:v>
                </c:pt>
                <c:pt idx="3">
                  <c:v>0.68630599999999997</c:v>
                </c:pt>
                <c:pt idx="4">
                  <c:v>0.62629599999999996</c:v>
                </c:pt>
                <c:pt idx="5">
                  <c:v>0.26</c:v>
                </c:pt>
                <c:pt idx="6">
                  <c:v>0.20170299999999999</c:v>
                </c:pt>
                <c:pt idx="7">
                  <c:v>0.13594500000000001</c:v>
                </c:pt>
                <c:pt idx="8">
                  <c:v>0.10292800000000001</c:v>
                </c:pt>
                <c:pt idx="9">
                  <c:v>0.95029399999999997</c:v>
                </c:pt>
                <c:pt idx="10">
                  <c:v>0.45205899999999999</c:v>
                </c:pt>
                <c:pt idx="11">
                  <c:v>0.20016600000000001</c:v>
                </c:pt>
                <c:pt idx="12">
                  <c:v>0.631247</c:v>
                </c:pt>
                <c:pt idx="13">
                  <c:v>0.143626</c:v>
                </c:pt>
                <c:pt idx="14">
                  <c:v>0.24848700000000001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5-4531-A8B9-35064E669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(prelim)'!$B$4:$B$23</c:f>
              <c:numCache>
                <c:formatCode>0.000</c:formatCode>
                <c:ptCount val="20"/>
                <c:pt idx="0">
                  <c:v>0.04</c:v>
                </c:pt>
                <c:pt idx="1">
                  <c:v>0.1</c:v>
                </c:pt>
                <c:pt idx="2">
                  <c:v>0.06</c:v>
                </c:pt>
                <c:pt idx="3">
                  <c:v>0.1</c:v>
                </c:pt>
                <c:pt idx="4">
                  <c:v>0.04</c:v>
                </c:pt>
                <c:pt idx="5">
                  <c:v>0.18</c:v>
                </c:pt>
                <c:pt idx="6">
                  <c:v>0.04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0.06</c:v>
                </c:pt>
                <c:pt idx="11">
                  <c:v>0.12</c:v>
                </c:pt>
                <c:pt idx="12">
                  <c:v>0.2</c:v>
                </c:pt>
                <c:pt idx="13">
                  <c:v>0.2</c:v>
                </c:pt>
                <c:pt idx="14">
                  <c:v>0.18</c:v>
                </c:pt>
              </c:numCache>
            </c:numRef>
          </c:xVal>
          <c:yVal>
            <c:numRef>
              <c:f>'Distal Validation (prelim)'!$Q$4:$Q$23</c:f>
              <c:numCache>
                <c:formatCode>0.0000</c:formatCode>
                <c:ptCount val="20"/>
                <c:pt idx="0">
                  <c:v>4.2011E-2</c:v>
                </c:pt>
                <c:pt idx="1">
                  <c:v>0.10237499999999999</c:v>
                </c:pt>
                <c:pt idx="2">
                  <c:v>7.2557999999999997E-2</c:v>
                </c:pt>
                <c:pt idx="3">
                  <c:v>0.11468299999999999</c:v>
                </c:pt>
                <c:pt idx="4">
                  <c:v>3.5715999999999998E-2</c:v>
                </c:pt>
                <c:pt idx="5">
                  <c:v>0.180788</c:v>
                </c:pt>
                <c:pt idx="6">
                  <c:v>3.6476000000000001E-2</c:v>
                </c:pt>
                <c:pt idx="7">
                  <c:v>0.103683</c:v>
                </c:pt>
                <c:pt idx="8">
                  <c:v>0.118312</c:v>
                </c:pt>
                <c:pt idx="9">
                  <c:v>0.13730200000000001</c:v>
                </c:pt>
                <c:pt idx="10">
                  <c:v>6.4912999999999998E-2</c:v>
                </c:pt>
                <c:pt idx="11">
                  <c:v>0.13009599999999999</c:v>
                </c:pt>
                <c:pt idx="12">
                  <c:v>0.17327400000000001</c:v>
                </c:pt>
                <c:pt idx="13">
                  <c:v>0.2</c:v>
                </c:pt>
                <c:pt idx="1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C-4AA0-B225-3FB21A4C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581025</xdr:colOff>
      <xdr:row>2</xdr:row>
      <xdr:rowOff>23812</xdr:rowOff>
    </xdr:from>
    <xdr:to>
      <xdr:col>38</xdr:col>
      <xdr:colOff>352425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5B41C-3F92-A807-6853-72C628D77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523875</xdr:colOff>
      <xdr:row>16</xdr:row>
      <xdr:rowOff>171450</xdr:rowOff>
    </xdr:from>
    <xdr:to>
      <xdr:col>38</xdr:col>
      <xdr:colOff>295275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3A4A0D-212D-40B1-9B31-588F18427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16C8-6FFA-4564-9592-20AD22887E1B}">
  <dimension ref="A1:AJ26"/>
  <sheetViews>
    <sheetView workbookViewId="0">
      <selection activeCell="A2" sqref="A2:AA23"/>
    </sheetView>
  </sheetViews>
  <sheetFormatPr defaultColWidth="8" defaultRowHeight="15.75" x14ac:dyDescent="0.25"/>
  <cols>
    <col min="1" max="7" width="9.28515625" style="3" customWidth="1"/>
    <col min="8" max="8" width="11.28515625" style="3" bestFit="1" customWidth="1"/>
    <col min="9" max="9" width="12.5703125" style="3" bestFit="1" customWidth="1"/>
    <col min="10" max="27" width="9.28515625" style="3" customWidth="1"/>
    <col min="28" max="16384" width="8" style="3"/>
  </cols>
  <sheetData>
    <row r="1" spans="1:36" ht="16.5" thickBot="1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"/>
      <c r="W1" s="2"/>
      <c r="X1" s="2"/>
      <c r="Y1" s="2"/>
      <c r="Z1" s="2"/>
      <c r="AA1" s="2"/>
    </row>
    <row r="2" spans="1:36" x14ac:dyDescent="0.25">
      <c r="A2" s="27" t="s">
        <v>17</v>
      </c>
      <c r="B2" s="27"/>
      <c r="C2" s="27"/>
      <c r="D2" s="27"/>
      <c r="E2" s="27"/>
      <c r="F2" s="27"/>
      <c r="G2" s="28"/>
      <c r="H2" s="32" t="s">
        <v>21</v>
      </c>
      <c r="I2" s="33"/>
      <c r="J2" s="23" t="s">
        <v>6</v>
      </c>
      <c r="K2" s="24"/>
      <c r="L2" s="24"/>
      <c r="M2" s="24"/>
      <c r="N2" s="24"/>
      <c r="O2" s="24"/>
      <c r="P2" s="25" t="s">
        <v>18</v>
      </c>
      <c r="Q2" s="26"/>
      <c r="R2" s="26"/>
      <c r="S2" s="26"/>
      <c r="T2" s="26"/>
      <c r="U2" s="26"/>
      <c r="V2" s="29" t="s">
        <v>23</v>
      </c>
      <c r="W2" s="30"/>
      <c r="X2" s="30"/>
      <c r="Y2" s="30"/>
      <c r="Z2" s="30"/>
      <c r="AA2" s="31"/>
      <c r="AB2" s="4"/>
      <c r="AC2" s="4"/>
      <c r="AD2" s="4"/>
      <c r="AE2" s="4"/>
      <c r="AF2" s="4"/>
      <c r="AG2" s="4"/>
      <c r="AH2" s="4"/>
      <c r="AI2" s="5"/>
      <c r="AJ2" s="5"/>
    </row>
    <row r="3" spans="1:36" x14ac:dyDescent="0.25">
      <c r="A3" s="6" t="s">
        <v>7</v>
      </c>
      <c r="B3" s="6" t="s">
        <v>8</v>
      </c>
      <c r="C3" s="6" t="s">
        <v>9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3</v>
      </c>
      <c r="Q3" s="6" t="s">
        <v>4</v>
      </c>
      <c r="R3" s="6" t="s">
        <v>5</v>
      </c>
      <c r="S3" s="6" t="s">
        <v>0</v>
      </c>
      <c r="T3" s="6" t="s">
        <v>1</v>
      </c>
      <c r="U3" s="6" t="s">
        <v>2</v>
      </c>
      <c r="V3" s="6" t="s">
        <v>3</v>
      </c>
      <c r="W3" s="6" t="s">
        <v>4</v>
      </c>
      <c r="X3" s="6" t="s">
        <v>5</v>
      </c>
      <c r="Y3" s="6" t="s">
        <v>0</v>
      </c>
      <c r="Z3" s="6" t="s">
        <v>1</v>
      </c>
      <c r="AA3" s="6" t="s">
        <v>2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25">
      <c r="A4" s="1">
        <v>0.71299999999999997</v>
      </c>
      <c r="B4" s="1">
        <v>0.04</v>
      </c>
      <c r="C4" s="1">
        <v>1.571</v>
      </c>
      <c r="D4" s="1">
        <v>-3.1419999999999999</v>
      </c>
      <c r="E4" s="1">
        <v>1.19</v>
      </c>
      <c r="F4" s="1">
        <v>0.377</v>
      </c>
      <c r="G4" s="1">
        <v>0.33800000000000002</v>
      </c>
      <c r="H4" s="1">
        <f>DEGREES(ATAN2(COS($C4) * SIN($D4), -SIN($C4)))+90</f>
        <v>-4.7535757374816967E-6</v>
      </c>
      <c r="I4" s="1">
        <f>DEGREES(ACOS(COS($C4) * COS($D4)))</f>
        <v>89.988330385915845</v>
      </c>
      <c r="J4" s="1">
        <v>-5.5012269876897303E-4</v>
      </c>
      <c r="K4" s="1">
        <v>-9.1992929577827495E-2</v>
      </c>
      <c r="L4" s="1">
        <v>8.3513604477047899E-4</v>
      </c>
      <c r="M4" s="1">
        <v>-1.1971754953265201E-2</v>
      </c>
      <c r="N4" s="1">
        <v>7.0847868919372602E-3</v>
      </c>
      <c r="O4" s="1">
        <v>0.69741022586822499</v>
      </c>
      <c r="P4" s="1">
        <v>1.0900000000000001E-4</v>
      </c>
      <c r="Q4" s="1">
        <v>-9.2649999999999996E-2</v>
      </c>
      <c r="R4" s="1">
        <v>-3.5999999999999998E-6</v>
      </c>
      <c r="S4" s="1">
        <v>-1.6209999999999999E-2</v>
      </c>
      <c r="T4" s="1">
        <v>-4.6999999999999997E-5</v>
      </c>
      <c r="U4" s="1">
        <v>0.71281099999999997</v>
      </c>
      <c r="V4" s="10">
        <f t="shared" ref="V4:V18" si="0">ABS(J4-P4)</f>
        <v>6.5912269876897307E-4</v>
      </c>
      <c r="W4" s="10">
        <f t="shared" ref="W4:W18" si="1">ABS(K4-Q4)</f>
        <v>6.57070422172501E-4</v>
      </c>
      <c r="X4" s="10">
        <f t="shared" ref="X4:X18" si="2">ABS(L4-R4)</f>
        <v>8.3873604477047896E-4</v>
      </c>
      <c r="Y4" s="10">
        <f t="shared" ref="Y4:Y18" si="3">ABS(M4-S4)</f>
        <v>4.2382450467347982E-3</v>
      </c>
      <c r="Z4" s="10">
        <f t="shared" ref="Z4:Z18" si="4">ABS(N4-T4)</f>
        <v>7.1317868919372604E-3</v>
      </c>
      <c r="AA4" s="10">
        <f t="shared" ref="AA4:AA18" si="5">ABS(O4-U4)</f>
        <v>1.5400774131774986E-2</v>
      </c>
    </row>
    <row r="5" spans="1:36" x14ac:dyDescent="0.25">
      <c r="A5" s="1">
        <v>0.42</v>
      </c>
      <c r="B5" s="1">
        <v>0.1</v>
      </c>
      <c r="C5" s="1">
        <v>1.571</v>
      </c>
      <c r="D5" s="1">
        <v>-3.1419999999999999</v>
      </c>
      <c r="E5" s="1">
        <v>0.45500000000000002</v>
      </c>
      <c r="F5" s="1">
        <v>0.61899999999999999</v>
      </c>
      <c r="G5" s="1">
        <v>0.95</v>
      </c>
      <c r="H5" s="1">
        <f t="shared" ref="H5:H18" si="6">DEGREES(ATAN2(COS($C5) * SIN($D5), -SIN($C5)))+90</f>
        <v>-4.7535757374816967E-6</v>
      </c>
      <c r="I5" s="1">
        <f t="shared" ref="I5:I18" si="7">DEGREES(ACOS(COS($C5) * COS($D5)))</f>
        <v>89.988330385915845</v>
      </c>
      <c r="J5" s="1">
        <v>1.51168322190642E-4</v>
      </c>
      <c r="K5" s="1">
        <v>-6.4147308468818706E-2</v>
      </c>
      <c r="L5" s="1">
        <v>3.7789688212797002E-4</v>
      </c>
      <c r="M5" s="1">
        <v>-1.6753859817981699E-2</v>
      </c>
      <c r="N5" s="1">
        <v>1.62634998559952E-4</v>
      </c>
      <c r="O5" s="1">
        <v>0.32800155878067</v>
      </c>
      <c r="P5" s="1">
        <v>-9.8999999999999994E-5</v>
      </c>
      <c r="Q5" s="1">
        <v>-7.9680000000000001E-2</v>
      </c>
      <c r="R5" s="1">
        <v>1.3799999999999999E-6</v>
      </c>
      <c r="S5" s="1">
        <v>-2.886E-2</v>
      </c>
      <c r="T5" s="1">
        <v>4.3300000000000002E-5</v>
      </c>
      <c r="U5" s="1">
        <v>0.41900700000000002</v>
      </c>
      <c r="V5" s="10">
        <f t="shared" si="0"/>
        <v>2.50168322190642E-4</v>
      </c>
      <c r="W5" s="10">
        <f t="shared" si="1"/>
        <v>1.5532691531181295E-2</v>
      </c>
      <c r="X5" s="10">
        <f t="shared" si="2"/>
        <v>3.7651688212797003E-4</v>
      </c>
      <c r="Y5" s="10">
        <f t="shared" si="3"/>
        <v>1.2106140182018301E-2</v>
      </c>
      <c r="Z5" s="10">
        <f t="shared" si="4"/>
        <v>1.19334998559952E-4</v>
      </c>
      <c r="AA5" s="10">
        <f t="shared" si="5"/>
        <v>9.1005441219330019E-2</v>
      </c>
    </row>
    <row r="6" spans="1:36" x14ac:dyDescent="0.25">
      <c r="A6" s="1">
        <v>0.85199999999999998</v>
      </c>
      <c r="B6" s="1">
        <v>0.06</v>
      </c>
      <c r="C6" s="1">
        <v>0.78500000000000003</v>
      </c>
      <c r="D6" s="1">
        <v>-3.1419999999999999</v>
      </c>
      <c r="E6" s="1">
        <v>0.308</v>
      </c>
      <c r="F6" s="1">
        <v>0.69399999999999995</v>
      </c>
      <c r="G6" s="1">
        <v>1.2999999999999999E-2</v>
      </c>
      <c r="H6" s="1">
        <f t="shared" si="6"/>
        <v>2.3357821223058295E-2</v>
      </c>
      <c r="I6" s="1">
        <f t="shared" si="7"/>
        <v>135.02280832486795</v>
      </c>
      <c r="J6" s="1">
        <v>6.2456959858536699E-4</v>
      </c>
      <c r="K6" s="1">
        <v>-8.14679190516472E-2</v>
      </c>
      <c r="L6" s="1">
        <v>-9.6467416733503298E-4</v>
      </c>
      <c r="M6" s="1">
        <v>-0.55178427696228005</v>
      </c>
      <c r="N6" s="1">
        <v>-2.5920420885086099E-3</v>
      </c>
      <c r="O6" s="1">
        <v>0.49018782377242998</v>
      </c>
      <c r="P6" s="1">
        <v>-1E-4</v>
      </c>
      <c r="Q6" s="1">
        <v>-8.7120000000000003E-2</v>
      </c>
      <c r="R6" s="1">
        <v>5.1099999999999995E-4</v>
      </c>
      <c r="S6" s="1">
        <v>-0.62927</v>
      </c>
      <c r="T6" s="1">
        <v>4.0569999999999998E-3</v>
      </c>
      <c r="U6" s="1">
        <v>0.57435899999999995</v>
      </c>
      <c r="V6" s="10">
        <f t="shared" si="0"/>
        <v>7.2456959858536703E-4</v>
      </c>
      <c r="W6" s="10">
        <f t="shared" si="1"/>
        <v>5.6520809483528028E-3</v>
      </c>
      <c r="X6" s="10">
        <f t="shared" si="2"/>
        <v>1.4756741673350329E-3</v>
      </c>
      <c r="Y6" s="10">
        <f t="shared" si="3"/>
        <v>7.7485723037719945E-2</v>
      </c>
      <c r="Z6" s="10">
        <f t="shared" si="4"/>
        <v>6.6490420885086093E-3</v>
      </c>
      <c r="AA6" s="10">
        <f t="shared" si="5"/>
        <v>8.4171176227569977E-2</v>
      </c>
    </row>
    <row r="7" spans="1:36" x14ac:dyDescent="0.25">
      <c r="A7" s="1">
        <v>0.61099999999999999</v>
      </c>
      <c r="B7" s="1">
        <v>0.1</v>
      </c>
      <c r="C7" s="1">
        <v>0.78500000000000003</v>
      </c>
      <c r="D7" s="1">
        <v>-3.1419999999999999</v>
      </c>
      <c r="E7" s="1">
        <v>1.008</v>
      </c>
      <c r="F7" s="1">
        <v>4.5999999999999999E-2</v>
      </c>
      <c r="G7" s="1">
        <v>1.286</v>
      </c>
      <c r="H7" s="1">
        <f t="shared" si="6"/>
        <v>2.3357821223058295E-2</v>
      </c>
      <c r="I7" s="1">
        <f t="shared" si="7"/>
        <v>135.02280832486795</v>
      </c>
      <c r="J7" s="1">
        <v>1.44871312659234E-3</v>
      </c>
      <c r="K7" s="1">
        <v>-9.2176184058189406E-2</v>
      </c>
      <c r="L7" s="1">
        <v>-7.6768390135839603E-4</v>
      </c>
      <c r="M7" s="1">
        <v>-0.53396070003509499</v>
      </c>
      <c r="N7" s="1">
        <v>-9.1972947120666504E-3</v>
      </c>
      <c r="O7" s="1">
        <v>0.43053609132766701</v>
      </c>
      <c r="P7" s="1">
        <v>5.9000000000000003E-4</v>
      </c>
      <c r="Q7" s="1">
        <v>-7.9000000000000001E-2</v>
      </c>
      <c r="R7" s="1">
        <v>-2.0799999999999998E-3</v>
      </c>
      <c r="S7" s="1">
        <v>-0.45588000000000001</v>
      </c>
      <c r="T7" s="1">
        <v>-1.3950000000000001E-2</v>
      </c>
      <c r="U7" s="1">
        <v>0.406559</v>
      </c>
      <c r="V7" s="10">
        <f t="shared" si="0"/>
        <v>8.5871312659234001E-4</v>
      </c>
      <c r="W7" s="10">
        <f t="shared" si="1"/>
        <v>1.3176184058189405E-2</v>
      </c>
      <c r="X7" s="10">
        <f t="shared" si="2"/>
        <v>1.3123160986416038E-3</v>
      </c>
      <c r="Y7" s="10">
        <f t="shared" si="3"/>
        <v>7.8080700035094985E-2</v>
      </c>
      <c r="Z7" s="10">
        <f t="shared" si="4"/>
        <v>4.7527052879333502E-3</v>
      </c>
      <c r="AA7" s="10">
        <f t="shared" si="5"/>
        <v>2.3977091327667011E-2</v>
      </c>
    </row>
    <row r="8" spans="1:36" x14ac:dyDescent="0.25">
      <c r="A8" s="1">
        <v>0.65800000000000003</v>
      </c>
      <c r="B8" s="1">
        <v>0.04</v>
      </c>
      <c r="C8" s="1">
        <v>-0.78500000000000003</v>
      </c>
      <c r="D8" s="1">
        <v>0</v>
      </c>
      <c r="E8" s="1">
        <v>0.39700000000000002</v>
      </c>
      <c r="F8" s="1">
        <v>0.309</v>
      </c>
      <c r="G8" s="1">
        <v>6.5000000000000002E-2</v>
      </c>
      <c r="H8" s="1">
        <f t="shared" si="6"/>
        <v>180</v>
      </c>
      <c r="I8" s="1">
        <f t="shared" si="7"/>
        <v>44.977186917769622</v>
      </c>
      <c r="J8" s="1">
        <v>1.33992568589747E-3</v>
      </c>
      <c r="K8" s="1">
        <v>6.0653578490018803E-2</v>
      </c>
      <c r="L8" s="1">
        <v>1.84963247738779E-3</v>
      </c>
      <c r="M8" s="1">
        <v>0.39459440112114003</v>
      </c>
      <c r="N8" s="1">
        <v>4.6048462390899702E-3</v>
      </c>
      <c r="O8" s="1">
        <v>-0.48639550805091902</v>
      </c>
      <c r="P8" s="1">
        <v>-7.7000000000000008E-6</v>
      </c>
      <c r="Q8" s="1">
        <v>6.0845000000000003E-2</v>
      </c>
      <c r="R8" s="1">
        <v>4.5599999999999997E-5</v>
      </c>
      <c r="S8" s="1">
        <v>0.46150200000000002</v>
      </c>
      <c r="T8" s="1">
        <v>4.0000000000000002E-4</v>
      </c>
      <c r="U8" s="1">
        <v>-0.46901999999999999</v>
      </c>
      <c r="V8" s="10">
        <f t="shared" si="0"/>
        <v>1.34762568589747E-3</v>
      </c>
      <c r="W8" s="10">
        <f t="shared" si="1"/>
        <v>1.9142150998120028E-4</v>
      </c>
      <c r="X8" s="10">
        <f t="shared" si="2"/>
        <v>1.80403247738779E-3</v>
      </c>
      <c r="Y8" s="10">
        <f t="shared" si="3"/>
        <v>6.6907598878859997E-2</v>
      </c>
      <c r="Z8" s="10">
        <f t="shared" si="4"/>
        <v>4.20484623908997E-3</v>
      </c>
      <c r="AA8" s="10">
        <f t="shared" si="5"/>
        <v>1.7375508050919031E-2</v>
      </c>
    </row>
    <row r="9" spans="1:36" x14ac:dyDescent="0.25">
      <c r="A9" s="1">
        <v>0.36299999999999999</v>
      </c>
      <c r="B9" s="1">
        <v>0.18</v>
      </c>
      <c r="C9" s="1">
        <v>-0.78500000000000003</v>
      </c>
      <c r="D9" s="1">
        <v>0</v>
      </c>
      <c r="E9" s="1">
        <v>0.75600000000000001</v>
      </c>
      <c r="F9" s="1">
        <v>1.339</v>
      </c>
      <c r="G9" s="1">
        <v>0.39400000000000002</v>
      </c>
      <c r="H9" s="1">
        <f t="shared" si="6"/>
        <v>180</v>
      </c>
      <c r="I9" s="1">
        <f t="shared" si="7"/>
        <v>44.977186917769622</v>
      </c>
      <c r="J9" s="1">
        <v>9.1653369599953305E-4</v>
      </c>
      <c r="K9" s="1">
        <v>4.3244335800409303E-2</v>
      </c>
      <c r="L9" s="1">
        <v>3.8156479131430401E-3</v>
      </c>
      <c r="M9" s="1">
        <v>0.19862668216228499</v>
      </c>
      <c r="N9" s="1">
        <v>9.9807931110262905E-3</v>
      </c>
      <c r="O9" s="1">
        <v>-0.167230039834976</v>
      </c>
      <c r="P9" s="1">
        <v>1.1299999999999999E-3</v>
      </c>
      <c r="Q9" s="1">
        <v>7.5068999999999997E-2</v>
      </c>
      <c r="R9" s="1">
        <v>-4.5799999999999999E-3</v>
      </c>
      <c r="S9" s="1">
        <v>0.209427</v>
      </c>
      <c r="T9" s="1">
        <v>-2.112E-2</v>
      </c>
      <c r="U9" s="1">
        <v>-0.29570000000000002</v>
      </c>
      <c r="V9" s="10">
        <f t="shared" si="0"/>
        <v>2.1346630400046688E-4</v>
      </c>
      <c r="W9" s="10">
        <f t="shared" si="1"/>
        <v>3.1824664199590694E-2</v>
      </c>
      <c r="X9" s="10">
        <f t="shared" si="2"/>
        <v>8.3956479131430395E-3</v>
      </c>
      <c r="Y9" s="10">
        <f t="shared" si="3"/>
        <v>1.0800317837715012E-2</v>
      </c>
      <c r="Z9" s="10">
        <f t="shared" si="4"/>
        <v>3.110079311102629E-2</v>
      </c>
      <c r="AA9" s="10">
        <f t="shared" si="5"/>
        <v>0.12846996016502402</v>
      </c>
    </row>
    <row r="10" spans="1:36" x14ac:dyDescent="0.25">
      <c r="A10" s="1">
        <v>0.216</v>
      </c>
      <c r="B10" s="1">
        <v>0.04</v>
      </c>
      <c r="C10" s="1">
        <v>-1.0469999999999999</v>
      </c>
      <c r="D10" s="1">
        <v>0</v>
      </c>
      <c r="E10" s="1">
        <v>1.1060000000000001</v>
      </c>
      <c r="F10" s="1">
        <v>0.21299999999999999</v>
      </c>
      <c r="G10" s="1">
        <v>0.41899999999999998</v>
      </c>
      <c r="H10" s="1">
        <f t="shared" si="6"/>
        <v>180</v>
      </c>
      <c r="I10" s="1">
        <f t="shared" si="7"/>
        <v>59.988681150197188</v>
      </c>
      <c r="J10" s="1">
        <v>4.51221945695579E-4</v>
      </c>
      <c r="K10" s="1">
        <v>2.2093700245022801E-2</v>
      </c>
      <c r="L10" s="1">
        <v>4.1068563587032302E-4</v>
      </c>
      <c r="M10" s="1">
        <v>0.101665928959846</v>
      </c>
      <c r="N10" s="1">
        <v>-2.31991522014141E-3</v>
      </c>
      <c r="O10" s="1">
        <v>-0.17379917204379999</v>
      </c>
      <c r="P10" s="1">
        <v>-3.1000000000000001E-5</v>
      </c>
      <c r="Q10" s="1">
        <v>2.4329E-2</v>
      </c>
      <c r="R10" s="1">
        <v>1.07E-4</v>
      </c>
      <c r="S10" s="1">
        <v>0.107658</v>
      </c>
      <c r="T10" s="1">
        <v>9.41E-4</v>
      </c>
      <c r="U10" s="1">
        <v>-0.18726000000000001</v>
      </c>
      <c r="V10" s="10">
        <f t="shared" si="0"/>
        <v>4.8222194569557899E-4</v>
      </c>
      <c r="W10" s="10">
        <f t="shared" si="1"/>
        <v>2.2352997549771984E-3</v>
      </c>
      <c r="X10" s="10">
        <f t="shared" si="2"/>
        <v>3.0368563587032302E-4</v>
      </c>
      <c r="Y10" s="10">
        <f t="shared" si="3"/>
        <v>5.9920710401540067E-3</v>
      </c>
      <c r="Z10" s="10">
        <f t="shared" si="4"/>
        <v>3.26091522014141E-3</v>
      </c>
      <c r="AA10" s="10">
        <f t="shared" si="5"/>
        <v>1.3460827956200017E-2</v>
      </c>
    </row>
    <row r="11" spans="1:36" x14ac:dyDescent="0.25">
      <c r="A11" s="1">
        <v>0.16600000000000001</v>
      </c>
      <c r="B11" s="1">
        <v>0.1</v>
      </c>
      <c r="C11" s="1">
        <v>-1.0469999999999999</v>
      </c>
      <c r="D11" s="1">
        <v>0</v>
      </c>
      <c r="E11" s="1">
        <v>0.96199999999999997</v>
      </c>
      <c r="F11" s="1">
        <v>0.95899999999999996</v>
      </c>
      <c r="G11" s="1">
        <v>0.77900000000000003</v>
      </c>
      <c r="H11" s="1">
        <f t="shared" si="6"/>
        <v>180</v>
      </c>
      <c r="I11" s="1">
        <f t="shared" si="7"/>
        <v>59.988681150197188</v>
      </c>
      <c r="J11" s="1">
        <v>3.32413648720831E-4</v>
      </c>
      <c r="K11" s="1">
        <v>2.2209085524082201E-2</v>
      </c>
      <c r="L11" s="1">
        <v>2.3622061416972399E-4</v>
      </c>
      <c r="M11" s="1">
        <v>7.42084756493568E-2</v>
      </c>
      <c r="N11" s="1">
        <v>-2.9545556753873799E-3</v>
      </c>
      <c r="O11" s="1">
        <v>-0.114348046481609</v>
      </c>
      <c r="P11" s="1">
        <v>-6.1999999999999999E-7</v>
      </c>
      <c r="Q11" s="1">
        <v>2.7531E-2</v>
      </c>
      <c r="R11" s="1">
        <v>1.31E-6</v>
      </c>
      <c r="S11" s="1">
        <v>7.9839999999999994E-2</v>
      </c>
      <c r="T11" s="1">
        <v>8.6600000000000001E-6</v>
      </c>
      <c r="U11" s="1">
        <v>-0.14554</v>
      </c>
      <c r="V11" s="10">
        <f t="shared" si="0"/>
        <v>3.3303364872083101E-4</v>
      </c>
      <c r="W11" s="10">
        <f t="shared" si="1"/>
        <v>5.3219144759177987E-3</v>
      </c>
      <c r="X11" s="10">
        <f t="shared" si="2"/>
        <v>2.3491061416972399E-4</v>
      </c>
      <c r="Y11" s="10">
        <f t="shared" si="3"/>
        <v>5.6315243506431939E-3</v>
      </c>
      <c r="Z11" s="10">
        <f t="shared" si="4"/>
        <v>2.9632156753873801E-3</v>
      </c>
      <c r="AA11" s="10">
        <f t="shared" si="5"/>
        <v>3.1191953518391005E-2</v>
      </c>
    </row>
    <row r="12" spans="1:36" x14ac:dyDescent="0.25">
      <c r="A12" s="1">
        <v>0.184</v>
      </c>
      <c r="B12" s="1">
        <v>0.12</v>
      </c>
      <c r="C12" s="1">
        <v>-1.0469999999999999</v>
      </c>
      <c r="D12" s="1">
        <v>0</v>
      </c>
      <c r="E12" s="1">
        <v>0.27600000000000002</v>
      </c>
      <c r="F12" s="1">
        <v>0.89400000000000002</v>
      </c>
      <c r="G12" s="1">
        <v>0.747</v>
      </c>
      <c r="H12" s="1">
        <f t="shared" si="6"/>
        <v>180</v>
      </c>
      <c r="I12" s="1">
        <f t="shared" si="7"/>
        <v>59.988681150197188</v>
      </c>
      <c r="J12" s="1">
        <v>4.1037553455680598E-4</v>
      </c>
      <c r="K12" s="1">
        <v>1.80904343724251E-2</v>
      </c>
      <c r="L12" s="1">
        <v>3.2764772186055801E-4</v>
      </c>
      <c r="M12" s="1">
        <v>5.53087517619133E-2</v>
      </c>
      <c r="N12" s="1">
        <v>-1.7109047621488601E-4</v>
      </c>
      <c r="O12" s="1">
        <v>-8.7187305092811598E-2</v>
      </c>
      <c r="P12" s="1">
        <v>2.2499999999999999E-4</v>
      </c>
      <c r="Q12" s="1">
        <v>3.4216999999999997E-2</v>
      </c>
      <c r="R12" s="1">
        <v>-4.4999999999999999E-4</v>
      </c>
      <c r="S12" s="1">
        <v>8.2173999999999997E-2</v>
      </c>
      <c r="T12" s="1">
        <v>-2.7000000000000001E-3</v>
      </c>
      <c r="U12" s="1">
        <v>-0.16461000000000001</v>
      </c>
      <c r="V12" s="10">
        <f t="shared" si="0"/>
        <v>1.8537553455680599E-4</v>
      </c>
      <c r="W12" s="10">
        <f t="shared" si="1"/>
        <v>1.6126565627574897E-2</v>
      </c>
      <c r="X12" s="10">
        <f t="shared" si="2"/>
        <v>7.77647721860558E-4</v>
      </c>
      <c r="Y12" s="10">
        <f t="shared" si="3"/>
        <v>2.6865248238086697E-2</v>
      </c>
      <c r="Z12" s="10">
        <f t="shared" si="4"/>
        <v>2.528909523785114E-3</v>
      </c>
      <c r="AA12" s="10">
        <f t="shared" si="5"/>
        <v>7.7422694907188408E-2</v>
      </c>
    </row>
    <row r="13" spans="1:36" x14ac:dyDescent="0.25">
      <c r="A13" s="1">
        <v>0.96099999999999997</v>
      </c>
      <c r="B13" s="1">
        <v>0.14000000000000001</v>
      </c>
      <c r="C13" s="1">
        <v>-1.0469999999999999</v>
      </c>
      <c r="D13" s="1">
        <v>0</v>
      </c>
      <c r="E13" s="1">
        <v>0.61</v>
      </c>
      <c r="F13" s="1">
        <v>0.64800000000000002</v>
      </c>
      <c r="G13" s="1">
        <v>1.244</v>
      </c>
      <c r="H13" s="1">
        <f t="shared" si="6"/>
        <v>180</v>
      </c>
      <c r="I13" s="1">
        <f t="shared" si="7"/>
        <v>59.988681150197188</v>
      </c>
      <c r="J13" s="1">
        <v>1.6050215344876101E-3</v>
      </c>
      <c r="K13" s="1">
        <v>0.20343686640262601</v>
      </c>
      <c r="L13" s="1">
        <v>-9.4352685846388297E-4</v>
      </c>
      <c r="M13" s="1">
        <v>0.16312500834464999</v>
      </c>
      <c r="N13" s="1">
        <v>-1.1226713657379201E-2</v>
      </c>
      <c r="O13" s="1">
        <v>-0.93589824438095104</v>
      </c>
      <c r="P13" s="1">
        <v>1.12E-4</v>
      </c>
      <c r="Q13" s="1">
        <v>0.21312900000000001</v>
      </c>
      <c r="R13" s="1">
        <v>-2.1000000000000001E-4</v>
      </c>
      <c r="S13" s="1">
        <v>4.9297000000000001E-2</v>
      </c>
      <c r="T13" s="1">
        <v>-9.7000000000000005E-4</v>
      </c>
      <c r="U13" s="1">
        <v>-0.95955999999999997</v>
      </c>
      <c r="V13" s="10">
        <f t="shared" si="0"/>
        <v>1.4930215344876102E-3</v>
      </c>
      <c r="W13" s="10">
        <f t="shared" si="1"/>
        <v>9.692133597374003E-3</v>
      </c>
      <c r="X13" s="10">
        <f t="shared" si="2"/>
        <v>7.3352685846388296E-4</v>
      </c>
      <c r="Y13" s="10">
        <f t="shared" si="3"/>
        <v>0.11382800834464998</v>
      </c>
      <c r="Z13" s="10">
        <f t="shared" si="4"/>
        <v>1.02567136573792E-2</v>
      </c>
      <c r="AA13" s="10">
        <f t="shared" si="5"/>
        <v>2.366175561904893E-2</v>
      </c>
    </row>
    <row r="14" spans="1:36" x14ac:dyDescent="0.25">
      <c r="A14" s="1">
        <v>0.51</v>
      </c>
      <c r="B14" s="1">
        <v>0.06</v>
      </c>
      <c r="C14" s="1">
        <v>-1.571</v>
      </c>
      <c r="D14" s="1">
        <v>-3.1419999999999999</v>
      </c>
      <c r="E14" s="1">
        <v>0.77</v>
      </c>
      <c r="F14" s="1">
        <v>0.72299999999999998</v>
      </c>
      <c r="G14" s="1">
        <v>0.80800000000000005</v>
      </c>
      <c r="H14" s="1">
        <f t="shared" si="6"/>
        <v>180.00000475357575</v>
      </c>
      <c r="I14" s="1">
        <f t="shared" si="7"/>
        <v>89.988330385915845</v>
      </c>
      <c r="J14" s="1">
        <v>1.13705324474722E-3</v>
      </c>
      <c r="K14" s="1">
        <v>6.9547608494758606E-2</v>
      </c>
      <c r="L14" s="1">
        <v>-1.9496295135468201E-4</v>
      </c>
      <c r="M14" s="1">
        <v>5.8881053701043103E-3</v>
      </c>
      <c r="N14" s="1">
        <v>-4.1733607649803196E-3</v>
      </c>
      <c r="O14" s="1">
        <v>-0.45174664258956898</v>
      </c>
      <c r="P14" s="1">
        <v>-1.1E-5</v>
      </c>
      <c r="Q14" s="1">
        <v>7.646E-2</v>
      </c>
      <c r="R14" s="1">
        <v>-2.6E-7</v>
      </c>
      <c r="S14" s="1">
        <v>-1.6199999999999999E-2</v>
      </c>
      <c r="T14" s="1">
        <v>-3.9999999999999998E-6</v>
      </c>
      <c r="U14" s="1">
        <v>-0.50973999999999997</v>
      </c>
      <c r="V14" s="10">
        <f t="shared" si="0"/>
        <v>1.1480532447472199E-3</v>
      </c>
      <c r="W14" s="10">
        <f t="shared" si="1"/>
        <v>6.9123915052413942E-3</v>
      </c>
      <c r="X14" s="10">
        <f t="shared" si="2"/>
        <v>1.9470295135468201E-4</v>
      </c>
      <c r="Y14" s="10">
        <f t="shared" si="3"/>
        <v>2.2088105370104309E-2</v>
      </c>
      <c r="Z14" s="10">
        <f t="shared" si="4"/>
        <v>4.16936076498032E-3</v>
      </c>
      <c r="AA14" s="10">
        <f t="shared" si="5"/>
        <v>5.799335741043099E-2</v>
      </c>
    </row>
    <row r="15" spans="1:36" x14ac:dyDescent="0.25">
      <c r="A15" s="1">
        <v>0.309</v>
      </c>
      <c r="B15" s="1">
        <v>0.12</v>
      </c>
      <c r="C15" s="1">
        <v>-1.571</v>
      </c>
      <c r="D15" s="1">
        <v>0</v>
      </c>
      <c r="E15" s="1">
        <v>7.4999999999999997E-2</v>
      </c>
      <c r="F15" s="1">
        <v>0.871</v>
      </c>
      <c r="G15" s="1">
        <v>0.308</v>
      </c>
      <c r="H15" s="1">
        <f t="shared" si="6"/>
        <v>180</v>
      </c>
      <c r="I15" s="1">
        <f t="shared" si="7"/>
        <v>90.011669615052327</v>
      </c>
      <c r="J15" s="1">
        <v>1.1122038122266501E-3</v>
      </c>
      <c r="K15" s="1">
        <v>4.4223316013812998E-2</v>
      </c>
      <c r="L15" s="1">
        <v>3.0775432242080602E-4</v>
      </c>
      <c r="M15" s="1">
        <v>-7.6349931769073001E-3</v>
      </c>
      <c r="N15" s="1">
        <v>1.9808746874332402E-3</v>
      </c>
      <c r="O15" s="1">
        <v>-0.20005062222480799</v>
      </c>
      <c r="P15" s="15">
        <v>5.5800000000000001E-4</v>
      </c>
      <c r="Q15" s="15">
        <v>6.4725000000000005E-2</v>
      </c>
      <c r="R15" s="15">
        <v>1.26E-5</v>
      </c>
      <c r="S15" s="15">
        <v>-2.776E-2</v>
      </c>
      <c r="T15" s="15">
        <v>2.99E-4</v>
      </c>
      <c r="U15" s="15">
        <v>-0.30775000000000002</v>
      </c>
      <c r="V15" s="10">
        <f t="shared" si="0"/>
        <v>5.5420381222665005E-4</v>
      </c>
      <c r="W15" s="10">
        <f t="shared" si="1"/>
        <v>2.0501683986187007E-2</v>
      </c>
      <c r="X15" s="10">
        <f t="shared" si="2"/>
        <v>2.9515432242080604E-4</v>
      </c>
      <c r="Y15" s="10">
        <f t="shared" si="3"/>
        <v>2.0125006823092699E-2</v>
      </c>
      <c r="Z15" s="10">
        <f t="shared" si="4"/>
        <v>1.6818746874332402E-3</v>
      </c>
      <c r="AA15" s="10">
        <f t="shared" si="5"/>
        <v>0.10769937777519203</v>
      </c>
    </row>
    <row r="16" spans="1:36" x14ac:dyDescent="0.25">
      <c r="A16" s="1">
        <v>0.89700000000000002</v>
      </c>
      <c r="B16" s="1">
        <v>0.2</v>
      </c>
      <c r="C16" s="1">
        <v>-1.571</v>
      </c>
      <c r="D16" s="1">
        <v>-3.1419999999999999</v>
      </c>
      <c r="E16" s="1">
        <v>1.266</v>
      </c>
      <c r="F16" s="1">
        <v>0.65300000000000002</v>
      </c>
      <c r="G16" s="1">
        <v>0.55800000000000005</v>
      </c>
      <c r="H16" s="1">
        <f t="shared" si="6"/>
        <v>180.00000475357575</v>
      </c>
      <c r="I16" s="1">
        <f t="shared" si="7"/>
        <v>89.988330385915845</v>
      </c>
      <c r="J16" s="1">
        <v>-4.1023571975529203E-3</v>
      </c>
      <c r="K16" s="1">
        <v>0.17719669640064201</v>
      </c>
      <c r="L16" s="1">
        <v>-6.9909039884805697E-3</v>
      </c>
      <c r="M16" s="1">
        <v>-0.30781817436218301</v>
      </c>
      <c r="N16" s="1">
        <v>-3.4374743700027501E-2</v>
      </c>
      <c r="O16" s="1">
        <v>-0.54552924633026101</v>
      </c>
      <c r="P16" s="1">
        <v>-4.6299999999999996E-3</v>
      </c>
      <c r="Q16" s="1">
        <v>0.18691099999999999</v>
      </c>
      <c r="R16" s="1">
        <v>-1.5100000000000001E-3</v>
      </c>
      <c r="S16" s="1">
        <v>-0.75729999999999997</v>
      </c>
      <c r="T16" s="1">
        <v>-2.264E-2</v>
      </c>
      <c r="U16" s="1">
        <v>-0.48016999999999999</v>
      </c>
      <c r="V16" s="10">
        <f t="shared" si="0"/>
        <v>5.2764280244707931E-4</v>
      </c>
      <c r="W16" s="10">
        <f t="shared" si="1"/>
        <v>9.7143035993579874E-3</v>
      </c>
      <c r="X16" s="10">
        <f t="shared" si="2"/>
        <v>5.4809039884805696E-3</v>
      </c>
      <c r="Y16" s="10">
        <f t="shared" si="3"/>
        <v>0.44948182563781697</v>
      </c>
      <c r="Z16" s="10">
        <f t="shared" si="4"/>
        <v>1.17347437000275E-2</v>
      </c>
      <c r="AA16" s="10">
        <f t="shared" si="5"/>
        <v>6.5359246330261023E-2</v>
      </c>
    </row>
    <row r="17" spans="1:35" x14ac:dyDescent="0.25">
      <c r="A17" s="1">
        <v>0.20399999999999999</v>
      </c>
      <c r="B17" s="1">
        <v>0.2</v>
      </c>
      <c r="C17" s="1">
        <v>-1.571</v>
      </c>
      <c r="D17" s="1">
        <v>0</v>
      </c>
      <c r="E17" s="1">
        <v>0.78500000000000003</v>
      </c>
      <c r="F17" s="1">
        <v>1.3149999999999999</v>
      </c>
      <c r="G17" s="1">
        <v>0.40100000000000002</v>
      </c>
      <c r="H17" s="1">
        <f t="shared" si="6"/>
        <v>180</v>
      </c>
      <c r="I17" s="1">
        <f t="shared" si="7"/>
        <v>90.011669615052327</v>
      </c>
      <c r="J17" s="1">
        <v>7.0603069616481705E-4</v>
      </c>
      <c r="K17" s="1">
        <v>4.2444258928298999E-2</v>
      </c>
      <c r="L17" s="1">
        <v>2.9280404560267899E-3</v>
      </c>
      <c r="M17" s="1">
        <v>2.2136436309665398E-3</v>
      </c>
      <c r="N17" s="1">
        <v>5.8320853859186199E-3</v>
      </c>
      <c r="O17" s="1">
        <v>-0.14324781298637401</v>
      </c>
      <c r="P17" s="1">
        <v>9.5699999999999995E-4</v>
      </c>
      <c r="Q17" s="1">
        <v>5.7190999999999999E-2</v>
      </c>
      <c r="R17" s="1">
        <v>-8.7999999999999998E-5</v>
      </c>
      <c r="S17" s="1">
        <v>-2.87E-2</v>
      </c>
      <c r="T17" s="1">
        <v>1.6799999999999999E-4</v>
      </c>
      <c r="U17" s="1">
        <v>-0.20196</v>
      </c>
      <c r="V17" s="10">
        <f t="shared" si="0"/>
        <v>2.509693038351829E-4</v>
      </c>
      <c r="W17" s="10">
        <f t="shared" si="1"/>
        <v>1.4746741071701E-2</v>
      </c>
      <c r="X17" s="10">
        <f t="shared" si="2"/>
        <v>3.0160404560267899E-3</v>
      </c>
      <c r="Y17" s="10">
        <f t="shared" si="3"/>
        <v>3.091364363096654E-2</v>
      </c>
      <c r="Z17" s="10">
        <f t="shared" si="4"/>
        <v>5.6640853859186201E-3</v>
      </c>
      <c r="AA17" s="10">
        <f t="shared" si="5"/>
        <v>5.8712187013625988E-2</v>
      </c>
    </row>
    <row r="18" spans="1:35" x14ac:dyDescent="0.25">
      <c r="A18" s="1">
        <v>0.42899999999999999</v>
      </c>
      <c r="B18" s="1">
        <v>0.18</v>
      </c>
      <c r="C18" s="1">
        <v>-1.0469999999999999</v>
      </c>
      <c r="D18" s="1">
        <v>-3.1419999999999999</v>
      </c>
      <c r="E18" s="1">
        <v>1.105</v>
      </c>
      <c r="F18" s="1">
        <v>1.337</v>
      </c>
      <c r="G18" s="1">
        <v>0.40699999999999997</v>
      </c>
      <c r="H18" s="1">
        <f t="shared" si="6"/>
        <v>179.98651894154622</v>
      </c>
      <c r="I18" s="1">
        <f t="shared" si="7"/>
        <v>120.01131610407238</v>
      </c>
      <c r="J18" s="1">
        <v>8.6086941882967895E-4</v>
      </c>
      <c r="K18" s="1">
        <v>6.4414083957672105E-2</v>
      </c>
      <c r="L18" s="1">
        <v>1.1422571260482101E-3</v>
      </c>
      <c r="M18" s="1">
        <v>-0.119277931749821</v>
      </c>
      <c r="N18" s="1">
        <v>-8.5563957691192605E-4</v>
      </c>
      <c r="O18" s="1">
        <v>-0.21797420084476499</v>
      </c>
      <c r="P18" s="1">
        <v>5.8500000000000002E-4</v>
      </c>
      <c r="Q18" s="1">
        <v>8.9930999999999997E-2</v>
      </c>
      <c r="R18" s="1">
        <v>1.2459999999999999E-3</v>
      </c>
      <c r="S18" s="1">
        <v>-0.30026000000000003</v>
      </c>
      <c r="T18" s="1">
        <v>6.1609999999999998E-3</v>
      </c>
      <c r="U18" s="1">
        <v>-0.30629000000000001</v>
      </c>
      <c r="V18" s="10">
        <f t="shared" si="0"/>
        <v>2.7586941882967893E-4</v>
      </c>
      <c r="W18" s="10">
        <f t="shared" si="1"/>
        <v>2.5516916042327892E-2</v>
      </c>
      <c r="X18" s="10">
        <f t="shared" si="2"/>
        <v>1.0374287395178983E-4</v>
      </c>
      <c r="Y18" s="10">
        <f t="shared" si="3"/>
        <v>0.18098206825017904</v>
      </c>
      <c r="Z18" s="10">
        <f t="shared" si="4"/>
        <v>7.0166395769119261E-3</v>
      </c>
      <c r="AA18" s="10">
        <f t="shared" si="5"/>
        <v>8.831579915523502E-2</v>
      </c>
    </row>
    <row r="19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  <c r="AI19" s="3" t="s">
        <v>12</v>
      </c>
    </row>
    <row r="20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0"/>
      <c r="X23" s="10"/>
      <c r="Y23" s="10"/>
      <c r="Z23" s="10"/>
      <c r="AA23" s="10"/>
    </row>
    <row r="26" spans="1:35" x14ac:dyDescent="0.25">
      <c r="P26" s="3">
        <v>1.7147952457889899E-3</v>
      </c>
      <c r="Q26" s="3">
        <v>6.6436305642128005E-2</v>
      </c>
      <c r="R26" s="3">
        <v>4.7061666846275304E-3</v>
      </c>
      <c r="S26" s="3">
        <v>-2.7332892641425102E-2</v>
      </c>
      <c r="T26" s="3">
        <v>1.42727103084326E-2</v>
      </c>
      <c r="U26" s="3">
        <v>-0.30307316780090299</v>
      </c>
    </row>
  </sheetData>
  <mergeCells count="6">
    <mergeCell ref="A1:U1"/>
    <mergeCell ref="J2:O2"/>
    <mergeCell ref="P2:U2"/>
    <mergeCell ref="A2:G2"/>
    <mergeCell ref="V2:AA2"/>
    <mergeCell ref="H2:I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EB2-5DD9-4DA0-BCDE-0457543667A5}">
  <dimension ref="A1:AD29"/>
  <sheetViews>
    <sheetView workbookViewId="0">
      <selection activeCell="J2" sqref="J2:O2"/>
    </sheetView>
  </sheetViews>
  <sheetFormatPr defaultColWidth="9" defaultRowHeight="15.75" x14ac:dyDescent="0.25"/>
  <cols>
    <col min="1" max="1" width="9" style="3"/>
    <col min="2" max="2" width="14.42578125" style="3" bestFit="1" customWidth="1"/>
    <col min="3" max="3" width="12.42578125" style="3" bestFit="1" customWidth="1"/>
    <col min="4" max="7" width="9" style="3"/>
    <col min="8" max="8" width="11.28515625" style="3" bestFit="1" customWidth="1"/>
    <col min="9" max="9" width="12.5703125" style="3" bestFit="1" customWidth="1"/>
    <col min="10" max="21" width="9" style="3"/>
    <col min="22" max="22" width="13.7109375" style="3" bestFit="1" customWidth="1"/>
    <col min="23" max="16384" width="9" style="3"/>
  </cols>
  <sheetData>
    <row r="1" spans="1:30" ht="16.5" thickBot="1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30" x14ac:dyDescent="0.25">
      <c r="A2" s="27" t="s">
        <v>17</v>
      </c>
      <c r="B2" s="27"/>
      <c r="C2" s="27"/>
      <c r="D2" s="27"/>
      <c r="E2" s="27"/>
      <c r="F2" s="27"/>
      <c r="G2" s="28"/>
      <c r="H2" s="32" t="s">
        <v>21</v>
      </c>
      <c r="I2" s="33"/>
      <c r="J2" s="23" t="s">
        <v>6</v>
      </c>
      <c r="K2" s="24"/>
      <c r="L2" s="24"/>
      <c r="M2" s="24"/>
      <c r="N2" s="24"/>
      <c r="O2" s="37"/>
      <c r="P2" s="38" t="s">
        <v>11</v>
      </c>
      <c r="Q2" s="39"/>
      <c r="R2" s="39"/>
      <c r="S2" s="40"/>
      <c r="T2" s="41" t="s">
        <v>22</v>
      </c>
      <c r="U2" s="42"/>
      <c r="V2" s="43"/>
      <c r="W2" s="4"/>
      <c r="X2" s="35" t="s">
        <v>35</v>
      </c>
      <c r="Y2" s="35"/>
      <c r="Z2" s="35"/>
      <c r="AA2" s="36" t="s">
        <v>39</v>
      </c>
      <c r="AB2" s="36"/>
      <c r="AC2" s="36"/>
      <c r="AD2" s="5"/>
    </row>
    <row r="3" spans="1:30" ht="31.5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7</v>
      </c>
      <c r="Q3" s="6" t="s">
        <v>8</v>
      </c>
      <c r="R3" s="6" t="s">
        <v>9</v>
      </c>
      <c r="S3" s="6" t="s">
        <v>10</v>
      </c>
      <c r="T3" s="8" t="s">
        <v>7</v>
      </c>
      <c r="U3" s="6" t="s">
        <v>8</v>
      </c>
      <c r="V3" s="12" t="s">
        <v>40</v>
      </c>
      <c r="W3" s="4"/>
      <c r="X3" s="6" t="s">
        <v>36</v>
      </c>
      <c r="Y3" s="6" t="s">
        <v>37</v>
      </c>
      <c r="Z3" s="6" t="s">
        <v>38</v>
      </c>
      <c r="AA3" s="6" t="s">
        <v>36</v>
      </c>
      <c r="AB3" s="6" t="s">
        <v>37</v>
      </c>
      <c r="AC3" s="6" t="s">
        <v>38</v>
      </c>
      <c r="AD3" s="4"/>
    </row>
    <row r="4" spans="1:30" x14ac:dyDescent="0.25">
      <c r="A4" s="1">
        <f>'Proximal Validation (prelim)'!A4</f>
        <v>0.71299999999999997</v>
      </c>
      <c r="B4" s="1">
        <f>'Proximal Validation (prelim)'!B4</f>
        <v>0.04</v>
      </c>
      <c r="C4" s="1">
        <f>'Proximal Validation (prelim)'!C4</f>
        <v>1.571</v>
      </c>
      <c r="D4" s="1">
        <f>'Proximal Validation (prelim)'!D4</f>
        <v>-3.1419999999999999</v>
      </c>
      <c r="E4" s="1">
        <f>'Proximal Validation (prelim)'!E4</f>
        <v>1.19</v>
      </c>
      <c r="F4" s="1">
        <f>'Proximal Validation (prelim)'!F4</f>
        <v>0.377</v>
      </c>
      <c r="G4" s="1">
        <f>'Proximal Validation (prelim)'!G4</f>
        <v>0.33800000000000002</v>
      </c>
      <c r="H4" s="1">
        <f>'Proximal Validation (prelim)'!H4</f>
        <v>-4.7535757374816967E-6</v>
      </c>
      <c r="I4" s="1">
        <f>'Proximal Validation (prelim)'!I4</f>
        <v>89.988330385915845</v>
      </c>
      <c r="J4" s="10">
        <f>'Proximal Validation (prelim)'!J4</f>
        <v>-5.5012269876897303E-4</v>
      </c>
      <c r="K4" s="10">
        <f>'Proximal Validation (prelim)'!K4</f>
        <v>-9.1992929577827495E-2</v>
      </c>
      <c r="L4" s="10">
        <f>'Proximal Validation (prelim)'!L4</f>
        <v>8.3513604477047899E-4</v>
      </c>
      <c r="M4" s="10">
        <f>'Proximal Validation (prelim)'!M4</f>
        <v>-1.1971754953265201E-2</v>
      </c>
      <c r="N4" s="10">
        <f>'Proximal Validation (prelim)'!N4</f>
        <v>7.0847868919372602E-3</v>
      </c>
      <c r="O4" s="10">
        <f>'Proximal Validation (prelim)'!O4</f>
        <v>0.69741022586822499</v>
      </c>
      <c r="P4" s="10">
        <v>0.69714399999999999</v>
      </c>
      <c r="Q4" s="10">
        <v>4.2011E-2</v>
      </c>
      <c r="R4" s="10">
        <v>1.5581579999999999</v>
      </c>
      <c r="S4" s="10">
        <v>0.92186699999999999</v>
      </c>
      <c r="T4" s="10">
        <f t="shared" ref="T4:T18" si="0">P4-A4</f>
        <v>-1.5855999999999981E-2</v>
      </c>
      <c r="U4" s="10">
        <f t="shared" ref="U4:U18" si="1">Q4-B4</f>
        <v>2.0109999999999989E-3</v>
      </c>
      <c r="V4" s="10">
        <f>DEGREES(ACOS( MAX(-1, MIN(1, AA4*X4 + AB4*Y4 + AC4*Z4)) ))</f>
        <v>0.71713453882099676</v>
      </c>
      <c r="X4" s="11">
        <f t="shared" ref="X4:X18" si="2">COS(C4)*COS(D4)</f>
        <v>2.0367318679731896E-4</v>
      </c>
      <c r="Y4" s="11">
        <f t="shared" ref="Y4:Y18" si="3">COS(C4)*SIN(D4)</f>
        <v>-8.2965546086094279E-8</v>
      </c>
      <c r="Z4" s="11">
        <f t="shared" ref="Z4:Z18" si="4">SIN(C4)</f>
        <v>0.99999997925861284</v>
      </c>
      <c r="AA4" s="11">
        <f t="shared" ref="AA4:AA18" si="5">COS(R4)*COS(S4)</f>
        <v>7.6375636384934534E-3</v>
      </c>
      <c r="AB4" s="11">
        <f t="shared" ref="AB4:AB18" si="6">COS(R4)*SIN(S4)</f>
        <v>1.0069082468284441E-2</v>
      </c>
      <c r="AC4" s="11">
        <f t="shared" ref="AC4:AC18" si="7">SIN(R4)</f>
        <v>0.99992013741094088</v>
      </c>
    </row>
    <row r="5" spans="1:30" x14ac:dyDescent="0.25">
      <c r="A5" s="1">
        <f>'Proximal Validation (prelim)'!A5</f>
        <v>0.42</v>
      </c>
      <c r="B5" s="1">
        <f>'Proximal Validation (prelim)'!B5</f>
        <v>0.1</v>
      </c>
      <c r="C5" s="1">
        <f>'Proximal Validation (prelim)'!C5</f>
        <v>1.571</v>
      </c>
      <c r="D5" s="1">
        <f>'Proximal Validation (prelim)'!D5</f>
        <v>-3.1419999999999999</v>
      </c>
      <c r="E5" s="1">
        <f>'Proximal Validation (prelim)'!E5</f>
        <v>0.45500000000000002</v>
      </c>
      <c r="F5" s="1">
        <f>'Proximal Validation (prelim)'!F5</f>
        <v>0.61899999999999999</v>
      </c>
      <c r="G5" s="1">
        <f>'Proximal Validation (prelim)'!G5</f>
        <v>0.95</v>
      </c>
      <c r="H5" s="1">
        <f>'Proximal Validation (prelim)'!H5</f>
        <v>-4.7535757374816967E-6</v>
      </c>
      <c r="I5" s="1">
        <f>'Proximal Validation (prelim)'!I5</f>
        <v>89.988330385915845</v>
      </c>
      <c r="J5" s="10">
        <f>'Proximal Validation (prelim)'!J5</f>
        <v>1.51168322190642E-4</v>
      </c>
      <c r="K5" s="10">
        <f>'Proximal Validation (prelim)'!K5</f>
        <v>-6.4147308468818706E-2</v>
      </c>
      <c r="L5" s="10">
        <f>'Proximal Validation (prelim)'!L5</f>
        <v>3.7789688212797002E-4</v>
      </c>
      <c r="M5" s="10">
        <f>'Proximal Validation (prelim)'!M5</f>
        <v>-1.6753859817981699E-2</v>
      </c>
      <c r="N5" s="10">
        <f>'Proximal Validation (prelim)'!N5</f>
        <v>1.62634998559952E-4</v>
      </c>
      <c r="O5" s="10">
        <f>'Proximal Validation (prelim)'!O5</f>
        <v>0.32800155878067</v>
      </c>
      <c r="P5" s="10">
        <v>0.32856099999999999</v>
      </c>
      <c r="Q5" s="10">
        <v>0.10237499999999999</v>
      </c>
      <c r="R5" s="10">
        <v>1.5707960000000001</v>
      </c>
      <c r="S5" s="10">
        <v>-2.1379899999999998</v>
      </c>
      <c r="T5" s="14">
        <f t="shared" si="0"/>
        <v>-9.1438999999999993E-2</v>
      </c>
      <c r="U5" s="10">
        <f t="shared" si="1"/>
        <v>2.3749999999999882E-3</v>
      </c>
      <c r="V5" s="10">
        <f t="shared" ref="V5:V18" si="8">DEGREES(ACOS( MAX(-1, MIN(1, AA5*X5 + AB5*Y5 + AC5*Z5)) ))</f>
        <v>1.1679679077224748E-2</v>
      </c>
      <c r="X5" s="11">
        <f t="shared" si="2"/>
        <v>2.0367318679731896E-4</v>
      </c>
      <c r="Y5" s="11">
        <f t="shared" si="3"/>
        <v>-8.2965546086094279E-8</v>
      </c>
      <c r="Z5" s="11">
        <f t="shared" si="4"/>
        <v>0.99999997925861284</v>
      </c>
      <c r="AA5" s="11">
        <f t="shared" si="5"/>
        <v>-1.7557620441076673E-7</v>
      </c>
      <c r="AB5" s="11">
        <f t="shared" si="6"/>
        <v>-2.756227509624298E-7</v>
      </c>
      <c r="AC5" s="11">
        <f t="shared" si="7"/>
        <v>0.9999999999999466</v>
      </c>
    </row>
    <row r="6" spans="1:30" x14ac:dyDescent="0.25">
      <c r="A6" s="1">
        <f>'Proximal Validation (prelim)'!A6</f>
        <v>0.85199999999999998</v>
      </c>
      <c r="B6" s="1">
        <f>'Proximal Validation (prelim)'!B6</f>
        <v>0.06</v>
      </c>
      <c r="C6" s="1">
        <f>'Proximal Validation (prelim)'!C6</f>
        <v>0.78500000000000003</v>
      </c>
      <c r="D6" s="1">
        <f>'Proximal Validation (prelim)'!D6</f>
        <v>-3.1419999999999999</v>
      </c>
      <c r="E6" s="1">
        <f>'Proximal Validation (prelim)'!E6</f>
        <v>0.308</v>
      </c>
      <c r="F6" s="1">
        <f>'Proximal Validation (prelim)'!F6</f>
        <v>0.69399999999999995</v>
      </c>
      <c r="G6" s="1">
        <f>'Proximal Validation (prelim)'!G6</f>
        <v>1.2999999999999999E-2</v>
      </c>
      <c r="H6" s="1">
        <f>'Proximal Validation (prelim)'!H6</f>
        <v>2.3357821223058295E-2</v>
      </c>
      <c r="I6" s="1">
        <f>'Proximal Validation (prelim)'!I6</f>
        <v>135.02280832486795</v>
      </c>
      <c r="J6" s="10">
        <f>'Proximal Validation (prelim)'!J6</f>
        <v>6.2456959858536699E-4</v>
      </c>
      <c r="K6" s="10">
        <f>'Proximal Validation (prelim)'!K6</f>
        <v>-8.14679190516472E-2</v>
      </c>
      <c r="L6" s="10">
        <f>'Proximal Validation (prelim)'!L6</f>
        <v>-9.6467416733503298E-4</v>
      </c>
      <c r="M6" s="10">
        <f>'Proximal Validation (prelim)'!M6</f>
        <v>-0.55178427696228005</v>
      </c>
      <c r="N6" s="10">
        <f>'Proximal Validation (prelim)'!N6</f>
        <v>-2.5920420885086099E-3</v>
      </c>
      <c r="O6" s="10">
        <f>'Proximal Validation (prelim)'!O6</f>
        <v>0.49018782377242998</v>
      </c>
      <c r="P6" s="10">
        <v>0.73812500000000003</v>
      </c>
      <c r="Q6" s="10">
        <v>7.2557999999999997E-2</v>
      </c>
      <c r="R6" s="10">
        <v>0.78626499999999999</v>
      </c>
      <c r="S6" s="10">
        <v>-3.1267499999999999</v>
      </c>
      <c r="T6" s="10">
        <f t="shared" si="0"/>
        <v>-0.11387499999999995</v>
      </c>
      <c r="U6" s="10">
        <f t="shared" si="1"/>
        <v>1.2558E-2</v>
      </c>
      <c r="V6" s="10">
        <f t="shared" si="8"/>
        <v>0.62193186598537464</v>
      </c>
      <c r="X6" s="11">
        <f t="shared" si="2"/>
        <v>-0.70738821047834455</v>
      </c>
      <c r="Y6" s="11">
        <f t="shared" si="3"/>
        <v>2.8815206409866709E-4</v>
      </c>
      <c r="Z6" s="11">
        <f t="shared" si="4"/>
        <v>0.70682518110536596</v>
      </c>
      <c r="AA6" s="11">
        <f t="shared" si="5"/>
        <v>-0.70641574918132954</v>
      </c>
      <c r="AB6" s="11">
        <f t="shared" si="6"/>
        <v>-1.0485854293274954E-2</v>
      </c>
      <c r="AC6" s="11">
        <f t="shared" si="7"/>
        <v>0.707719461487616</v>
      </c>
    </row>
    <row r="7" spans="1:30" x14ac:dyDescent="0.25">
      <c r="A7" s="1">
        <f>'Proximal Validation (prelim)'!A7</f>
        <v>0.61099999999999999</v>
      </c>
      <c r="B7" s="1">
        <f>'Proximal Validation (prelim)'!B7</f>
        <v>0.1</v>
      </c>
      <c r="C7" s="1">
        <f>'Proximal Validation (prelim)'!C7</f>
        <v>0.78500000000000003</v>
      </c>
      <c r="D7" s="1">
        <f>'Proximal Validation (prelim)'!D7</f>
        <v>-3.1419999999999999</v>
      </c>
      <c r="E7" s="1">
        <f>'Proximal Validation (prelim)'!E7</f>
        <v>1.008</v>
      </c>
      <c r="F7" s="1">
        <f>'Proximal Validation (prelim)'!F7</f>
        <v>4.5999999999999999E-2</v>
      </c>
      <c r="G7" s="1">
        <f>'Proximal Validation (prelim)'!G7</f>
        <v>1.286</v>
      </c>
      <c r="H7" s="1">
        <f>'Proximal Validation (prelim)'!H7</f>
        <v>2.3357821223058295E-2</v>
      </c>
      <c r="I7" s="1">
        <f>'Proximal Validation (prelim)'!I7</f>
        <v>135.02280832486795</v>
      </c>
      <c r="J7" s="10">
        <f>'Proximal Validation (prelim)'!J7</f>
        <v>1.44871312659234E-3</v>
      </c>
      <c r="K7" s="10">
        <f>'Proximal Validation (prelim)'!K7</f>
        <v>-9.2176184058189406E-2</v>
      </c>
      <c r="L7" s="10">
        <f>'Proximal Validation (prelim)'!L7</f>
        <v>-7.6768390135839603E-4</v>
      </c>
      <c r="M7" s="10">
        <f>'Proximal Validation (prelim)'!M7</f>
        <v>-0.53396070003509499</v>
      </c>
      <c r="N7" s="10">
        <f>'Proximal Validation (prelim)'!N7</f>
        <v>-9.1972947120666504E-3</v>
      </c>
      <c r="O7" s="10">
        <f>'Proximal Validation (prelim)'!O7</f>
        <v>0.43053609132766701</v>
      </c>
      <c r="P7" s="10">
        <v>0.68630599999999997</v>
      </c>
      <c r="Q7" s="10">
        <v>0.11468299999999999</v>
      </c>
      <c r="R7" s="10">
        <v>0.77568999999999999</v>
      </c>
      <c r="S7" s="10">
        <v>3.1152790000000001</v>
      </c>
      <c r="T7" s="10">
        <f t="shared" si="0"/>
        <v>7.5305999999999984E-2</v>
      </c>
      <c r="U7" s="10">
        <f t="shared" si="1"/>
        <v>1.4682999999999988E-2</v>
      </c>
      <c r="V7" s="10">
        <f t="shared" si="8"/>
        <v>1.1820394991224989</v>
      </c>
      <c r="X7" s="11">
        <f t="shared" si="2"/>
        <v>-0.70738821047834455</v>
      </c>
      <c r="Y7" s="11">
        <f t="shared" si="3"/>
        <v>2.8815206409866709E-4</v>
      </c>
      <c r="Z7" s="11">
        <f t="shared" si="4"/>
        <v>0.70682518110536596</v>
      </c>
      <c r="AA7" s="11">
        <f t="shared" si="5"/>
        <v>-0.71369090585330675</v>
      </c>
      <c r="AB7" s="11">
        <f t="shared" si="6"/>
        <v>1.8784150901354858E-2</v>
      </c>
      <c r="AC7" s="11">
        <f t="shared" si="7"/>
        <v>0.70020885925358134</v>
      </c>
    </row>
    <row r="8" spans="1:30" x14ac:dyDescent="0.25">
      <c r="A8" s="1">
        <f>'Proximal Validation (prelim)'!A8</f>
        <v>0.65800000000000003</v>
      </c>
      <c r="B8" s="1">
        <f>'Proximal Validation (prelim)'!B8</f>
        <v>0.04</v>
      </c>
      <c r="C8" s="1">
        <f>'Proximal Validation (prelim)'!C8</f>
        <v>-0.78500000000000003</v>
      </c>
      <c r="D8" s="1">
        <f>'Proximal Validation (prelim)'!D8</f>
        <v>0</v>
      </c>
      <c r="E8" s="1">
        <f>'Proximal Validation (prelim)'!E8</f>
        <v>0.39700000000000002</v>
      </c>
      <c r="F8" s="1">
        <f>'Proximal Validation (prelim)'!F8</f>
        <v>0.309</v>
      </c>
      <c r="G8" s="1">
        <f>'Proximal Validation (prelim)'!G8</f>
        <v>6.5000000000000002E-2</v>
      </c>
      <c r="H8" s="1">
        <f>'Proximal Validation (prelim)'!H8</f>
        <v>180</v>
      </c>
      <c r="I8" s="1">
        <f>'Proximal Validation (prelim)'!I8</f>
        <v>44.977186917769622</v>
      </c>
      <c r="J8" s="10">
        <f>'Proximal Validation (prelim)'!J8</f>
        <v>1.33992568589747E-3</v>
      </c>
      <c r="K8" s="10">
        <f>'Proximal Validation (prelim)'!K8</f>
        <v>6.0653578490018803E-2</v>
      </c>
      <c r="L8" s="10">
        <f>'Proximal Validation (prelim)'!L8</f>
        <v>1.84963247738779E-3</v>
      </c>
      <c r="M8" s="10">
        <f>'Proximal Validation (prelim)'!M8</f>
        <v>0.39459440112114003</v>
      </c>
      <c r="N8" s="10">
        <f>'Proximal Validation (prelim)'!N8</f>
        <v>4.6048462390899702E-3</v>
      </c>
      <c r="O8" s="10">
        <f>'Proximal Validation (prelim)'!O8</f>
        <v>-0.48639550805091902</v>
      </c>
      <c r="P8" s="10">
        <v>0.62629599999999996</v>
      </c>
      <c r="Q8" s="10">
        <v>3.5715999999999998E-2</v>
      </c>
      <c r="R8" s="10">
        <v>-0.88149</v>
      </c>
      <c r="S8" s="10">
        <v>1.2137999999999999E-2</v>
      </c>
      <c r="T8" s="10">
        <f t="shared" si="0"/>
        <v>-3.1704000000000065E-2</v>
      </c>
      <c r="U8" s="10">
        <f t="shared" si="1"/>
        <v>-4.2840000000000031E-3</v>
      </c>
      <c r="V8" s="10">
        <f t="shared" si="8"/>
        <v>5.5481450045460097</v>
      </c>
      <c r="X8" s="11">
        <f t="shared" si="2"/>
        <v>0.70738826916719977</v>
      </c>
      <c r="Y8" s="11">
        <f t="shared" si="3"/>
        <v>0</v>
      </c>
      <c r="Z8" s="11">
        <f t="shared" si="4"/>
        <v>-0.70682518110536596</v>
      </c>
      <c r="AA8" s="11">
        <f t="shared" si="5"/>
        <v>0.63595518557766473</v>
      </c>
      <c r="AB8" s="11">
        <f t="shared" si="6"/>
        <v>7.7196031586629589E-3</v>
      </c>
      <c r="AC8" s="11">
        <f t="shared" si="7"/>
        <v>-0.77168737819401367</v>
      </c>
    </row>
    <row r="9" spans="1:30" x14ac:dyDescent="0.25">
      <c r="A9" s="1">
        <f>'Proximal Validation (prelim)'!A9</f>
        <v>0.36299999999999999</v>
      </c>
      <c r="B9" s="1">
        <f>'Proximal Validation (prelim)'!B9</f>
        <v>0.18</v>
      </c>
      <c r="C9" s="1">
        <f>'Proximal Validation (prelim)'!C9</f>
        <v>-0.78500000000000003</v>
      </c>
      <c r="D9" s="1">
        <f>'Proximal Validation (prelim)'!D9</f>
        <v>0</v>
      </c>
      <c r="E9" s="1">
        <f>'Proximal Validation (prelim)'!E9</f>
        <v>0.75600000000000001</v>
      </c>
      <c r="F9" s="1">
        <f>'Proximal Validation (prelim)'!F9</f>
        <v>1.339</v>
      </c>
      <c r="G9" s="1">
        <f>'Proximal Validation (prelim)'!G9</f>
        <v>0.39400000000000002</v>
      </c>
      <c r="H9" s="1">
        <f>'Proximal Validation (prelim)'!H9</f>
        <v>180</v>
      </c>
      <c r="I9" s="1">
        <f>'Proximal Validation (prelim)'!I9</f>
        <v>44.977186917769622</v>
      </c>
      <c r="J9" s="10">
        <f>'Proximal Validation (prelim)'!J9</f>
        <v>9.1653369599953305E-4</v>
      </c>
      <c r="K9" s="10">
        <f>'Proximal Validation (prelim)'!K9</f>
        <v>4.3244335800409303E-2</v>
      </c>
      <c r="L9" s="10">
        <f>'Proximal Validation (prelim)'!L9</f>
        <v>3.8156479131430401E-3</v>
      </c>
      <c r="M9" s="10">
        <f>'Proximal Validation (prelim)'!M9</f>
        <v>0.19862668216228499</v>
      </c>
      <c r="N9" s="10">
        <f>'Proximal Validation (prelim)'!N9</f>
        <v>9.9807931110262905E-3</v>
      </c>
      <c r="O9" s="10">
        <f>'Proximal Validation (prelim)'!O9</f>
        <v>-0.167230039834976</v>
      </c>
      <c r="P9" s="10">
        <v>0.26</v>
      </c>
      <c r="Q9" s="10">
        <v>0.180788</v>
      </c>
      <c r="R9" s="10">
        <v>-0.63807999999999998</v>
      </c>
      <c r="S9" s="10">
        <v>0.10852199999999999</v>
      </c>
      <c r="T9" s="10">
        <f t="shared" si="0"/>
        <v>-0.10299999999999998</v>
      </c>
      <c r="U9" s="10">
        <f t="shared" si="1"/>
        <v>7.8800000000001091E-4</v>
      </c>
      <c r="V9" s="10">
        <f t="shared" si="8"/>
        <v>9.6383926188758053</v>
      </c>
      <c r="X9" s="11">
        <f t="shared" si="2"/>
        <v>0.70738826916719977</v>
      </c>
      <c r="Y9" s="11">
        <f t="shared" si="3"/>
        <v>0</v>
      </c>
      <c r="Z9" s="11">
        <f t="shared" si="4"/>
        <v>-0.70682518110536596</v>
      </c>
      <c r="AA9" s="11">
        <f t="shared" si="5"/>
        <v>0.7985156403515361</v>
      </c>
      <c r="AB9" s="11">
        <f t="shared" si="6"/>
        <v>8.6998309843219379E-2</v>
      </c>
      <c r="AC9" s="11">
        <f t="shared" si="7"/>
        <v>-0.59565431770314525</v>
      </c>
    </row>
    <row r="10" spans="1:30" x14ac:dyDescent="0.25">
      <c r="A10" s="1">
        <f>'Proximal Validation (prelim)'!A10</f>
        <v>0.216</v>
      </c>
      <c r="B10" s="1">
        <f>'Proximal Validation (prelim)'!B10</f>
        <v>0.04</v>
      </c>
      <c r="C10" s="1">
        <f>'Proximal Validation (prelim)'!C10</f>
        <v>-1.0469999999999999</v>
      </c>
      <c r="D10" s="1">
        <f>'Proximal Validation (prelim)'!D10</f>
        <v>0</v>
      </c>
      <c r="E10" s="1">
        <f>'Proximal Validation (prelim)'!E10</f>
        <v>1.1060000000000001</v>
      </c>
      <c r="F10" s="1">
        <f>'Proximal Validation (prelim)'!F10</f>
        <v>0.21299999999999999</v>
      </c>
      <c r="G10" s="1">
        <f>'Proximal Validation (prelim)'!G10</f>
        <v>0.41899999999999998</v>
      </c>
      <c r="H10" s="1">
        <f>'Proximal Validation (prelim)'!H10</f>
        <v>180</v>
      </c>
      <c r="I10" s="1">
        <f>'Proximal Validation (prelim)'!I10</f>
        <v>59.988681150197188</v>
      </c>
      <c r="J10" s="10">
        <f>'Proximal Validation (prelim)'!J10</f>
        <v>4.51221945695579E-4</v>
      </c>
      <c r="K10" s="10">
        <f>'Proximal Validation (prelim)'!K10</f>
        <v>2.2093700245022801E-2</v>
      </c>
      <c r="L10" s="10">
        <f>'Proximal Validation (prelim)'!L10</f>
        <v>4.1068563587032302E-4</v>
      </c>
      <c r="M10" s="10">
        <f>'Proximal Validation (prelim)'!M10</f>
        <v>0.101665928959846</v>
      </c>
      <c r="N10" s="10">
        <f>'Proximal Validation (prelim)'!N10</f>
        <v>-2.31991522014141E-3</v>
      </c>
      <c r="O10" s="10">
        <f>'Proximal Validation (prelim)'!O10</f>
        <v>-0.17379917204379999</v>
      </c>
      <c r="P10" s="10">
        <v>0.20170299999999999</v>
      </c>
      <c r="Q10" s="10">
        <v>3.6476000000000001E-2</v>
      </c>
      <c r="R10" s="10">
        <v>-1.0392999999999999</v>
      </c>
      <c r="S10" s="10">
        <v>-2.6950000000000002E-2</v>
      </c>
      <c r="T10" s="10">
        <f t="shared" si="0"/>
        <v>-1.4297000000000004E-2</v>
      </c>
      <c r="U10" s="10">
        <f t="shared" si="1"/>
        <v>-3.5239999999999994E-3</v>
      </c>
      <c r="V10" s="10">
        <f t="shared" si="8"/>
        <v>0.89388793804857092</v>
      </c>
      <c r="X10" s="11">
        <f t="shared" si="2"/>
        <v>0.50017107459707011</v>
      </c>
      <c r="Y10" s="11">
        <f t="shared" si="3"/>
        <v>0</v>
      </c>
      <c r="Z10" s="11">
        <f t="shared" si="4"/>
        <v>-0.86592661128782278</v>
      </c>
      <c r="AA10" s="11">
        <f t="shared" si="5"/>
        <v>0.50663977355585588</v>
      </c>
      <c r="AB10" s="11">
        <f t="shared" si="6"/>
        <v>-1.3657248488679491E-2</v>
      </c>
      <c r="AC10" s="11">
        <f t="shared" si="7"/>
        <v>-0.86204966180318732</v>
      </c>
    </row>
    <row r="11" spans="1:30" x14ac:dyDescent="0.25">
      <c r="A11" s="1">
        <f>'Proximal Validation (prelim)'!A11</f>
        <v>0.16600000000000001</v>
      </c>
      <c r="B11" s="1">
        <f>'Proximal Validation (prelim)'!B11</f>
        <v>0.1</v>
      </c>
      <c r="C11" s="1">
        <f>'Proximal Validation (prelim)'!C11</f>
        <v>-1.0469999999999999</v>
      </c>
      <c r="D11" s="1">
        <f>'Proximal Validation (prelim)'!D11</f>
        <v>0</v>
      </c>
      <c r="E11" s="1">
        <f>'Proximal Validation (prelim)'!E11</f>
        <v>0.96199999999999997</v>
      </c>
      <c r="F11" s="1">
        <f>'Proximal Validation (prelim)'!F11</f>
        <v>0.95899999999999996</v>
      </c>
      <c r="G11" s="1">
        <f>'Proximal Validation (prelim)'!G11</f>
        <v>0.77900000000000003</v>
      </c>
      <c r="H11" s="1">
        <f>'Proximal Validation (prelim)'!H11</f>
        <v>180</v>
      </c>
      <c r="I11" s="1">
        <f>'Proximal Validation (prelim)'!I11</f>
        <v>59.988681150197188</v>
      </c>
      <c r="J11" s="10">
        <f>'Proximal Validation (prelim)'!J11</f>
        <v>3.32413648720831E-4</v>
      </c>
      <c r="K11" s="10">
        <f>'Proximal Validation (prelim)'!K11</f>
        <v>2.2209085524082201E-2</v>
      </c>
      <c r="L11" s="10">
        <f>'Proximal Validation (prelim)'!L11</f>
        <v>2.3622061416972399E-4</v>
      </c>
      <c r="M11" s="10">
        <f>'Proximal Validation (prelim)'!M11</f>
        <v>7.42084756493568E-2</v>
      </c>
      <c r="N11" s="10">
        <f>'Proximal Validation (prelim)'!N11</f>
        <v>-2.9545556753873799E-3</v>
      </c>
      <c r="O11" s="10">
        <f>'Proximal Validation (prelim)'!O11</f>
        <v>-0.114348046481609</v>
      </c>
      <c r="P11" s="10">
        <v>0.13594500000000001</v>
      </c>
      <c r="Q11" s="10">
        <v>0.103683</v>
      </c>
      <c r="R11" s="10">
        <v>-0.97736000000000001</v>
      </c>
      <c r="S11" s="10">
        <v>-3.7539999999999997E-2</v>
      </c>
      <c r="T11" s="10">
        <f t="shared" si="0"/>
        <v>-3.0054999999999998E-2</v>
      </c>
      <c r="U11" s="10">
        <f t="shared" si="1"/>
        <v>3.6829999999999918E-3</v>
      </c>
      <c r="V11" s="10">
        <f t="shared" si="8"/>
        <v>4.1491742029520085</v>
      </c>
      <c r="X11" s="11">
        <f t="shared" si="2"/>
        <v>0.50017107459707011</v>
      </c>
      <c r="Y11" s="11">
        <f t="shared" si="3"/>
        <v>0</v>
      </c>
      <c r="Z11" s="11">
        <f t="shared" si="4"/>
        <v>-0.86592661128782278</v>
      </c>
      <c r="AA11" s="11">
        <f t="shared" si="5"/>
        <v>0.55881912644958132</v>
      </c>
      <c r="AB11" s="11">
        <f t="shared" si="6"/>
        <v>-2.0987930024626927E-2</v>
      </c>
      <c r="AC11" s="11">
        <f t="shared" si="7"/>
        <v>-0.82902393856112999</v>
      </c>
    </row>
    <row r="12" spans="1:30" x14ac:dyDescent="0.25">
      <c r="A12" s="1">
        <f>'Proximal Validation (prelim)'!A12</f>
        <v>0.184</v>
      </c>
      <c r="B12" s="1">
        <f>'Proximal Validation (prelim)'!B12</f>
        <v>0.12</v>
      </c>
      <c r="C12" s="1">
        <f>'Proximal Validation (prelim)'!C12</f>
        <v>-1.0469999999999999</v>
      </c>
      <c r="D12" s="1">
        <f>'Proximal Validation (prelim)'!D12</f>
        <v>0</v>
      </c>
      <c r="E12" s="1">
        <f>'Proximal Validation (prelim)'!E12</f>
        <v>0.27600000000000002</v>
      </c>
      <c r="F12" s="1">
        <f>'Proximal Validation (prelim)'!F12</f>
        <v>0.89400000000000002</v>
      </c>
      <c r="G12" s="1">
        <f>'Proximal Validation (prelim)'!G12</f>
        <v>0.747</v>
      </c>
      <c r="H12" s="1">
        <f>'Proximal Validation (prelim)'!H12</f>
        <v>180</v>
      </c>
      <c r="I12" s="1">
        <f>'Proximal Validation (prelim)'!I12</f>
        <v>59.988681150197188</v>
      </c>
      <c r="J12" s="10">
        <f>'Proximal Validation (prelim)'!J12</f>
        <v>4.1037553455680598E-4</v>
      </c>
      <c r="K12" s="10">
        <f>'Proximal Validation (prelim)'!K12</f>
        <v>1.80904343724251E-2</v>
      </c>
      <c r="L12" s="10">
        <f>'Proximal Validation (prelim)'!L12</f>
        <v>3.2764772186055801E-4</v>
      </c>
      <c r="M12" s="10">
        <f>'Proximal Validation (prelim)'!M12</f>
        <v>5.53087517619133E-2</v>
      </c>
      <c r="N12" s="10">
        <f>'Proximal Validation (prelim)'!N12</f>
        <v>-1.7109047621488601E-4</v>
      </c>
      <c r="O12" s="10">
        <f>'Proximal Validation (prelim)'!O12</f>
        <v>-8.7187305092811598E-2</v>
      </c>
      <c r="P12" s="10">
        <v>0.10292800000000001</v>
      </c>
      <c r="Q12" s="10">
        <v>0.118312</v>
      </c>
      <c r="R12" s="10">
        <v>-0.97177000000000002</v>
      </c>
      <c r="S12" s="10">
        <v>2.8124E-2</v>
      </c>
      <c r="T12" s="10">
        <f t="shared" si="0"/>
        <v>-8.1071999999999991E-2</v>
      </c>
      <c r="U12" s="10">
        <f t="shared" si="1"/>
        <v>-1.6879999999999951E-3</v>
      </c>
      <c r="V12" s="10">
        <f t="shared" si="8"/>
        <v>4.3945586088311295</v>
      </c>
      <c r="X12" s="11">
        <f t="shared" si="2"/>
        <v>0.50017107459707011</v>
      </c>
      <c r="Y12" s="11">
        <f t="shared" si="3"/>
        <v>0</v>
      </c>
      <c r="Z12" s="11">
        <f t="shared" si="4"/>
        <v>-0.86592661128782278</v>
      </c>
      <c r="AA12" s="11">
        <f t="shared" si="5"/>
        <v>0.56361562668119314</v>
      </c>
      <c r="AB12" s="11">
        <f t="shared" si="6"/>
        <v>1.5855306406315512E-2</v>
      </c>
      <c r="AC12" s="11">
        <f t="shared" si="7"/>
        <v>-0.82588500084426275</v>
      </c>
    </row>
    <row r="13" spans="1:30" x14ac:dyDescent="0.25">
      <c r="A13" s="1">
        <f>'Proximal Validation (prelim)'!A13</f>
        <v>0.96099999999999997</v>
      </c>
      <c r="B13" s="1">
        <f>'Proximal Validation (prelim)'!B13</f>
        <v>0.14000000000000001</v>
      </c>
      <c r="C13" s="1">
        <f>'Proximal Validation (prelim)'!C13</f>
        <v>-1.0469999999999999</v>
      </c>
      <c r="D13" s="1">
        <f>'Proximal Validation (prelim)'!D13</f>
        <v>0</v>
      </c>
      <c r="E13" s="1">
        <f>'Proximal Validation (prelim)'!E13</f>
        <v>0.61</v>
      </c>
      <c r="F13" s="1">
        <f>'Proximal Validation (prelim)'!F13</f>
        <v>0.64800000000000002</v>
      </c>
      <c r="G13" s="1">
        <f>'Proximal Validation (prelim)'!G13</f>
        <v>1.244</v>
      </c>
      <c r="H13" s="1">
        <f>'Proximal Validation (prelim)'!H13</f>
        <v>180</v>
      </c>
      <c r="I13" s="1">
        <f>'Proximal Validation (prelim)'!I13</f>
        <v>59.988681150197188</v>
      </c>
      <c r="J13" s="10">
        <f>'Proximal Validation (prelim)'!J13</f>
        <v>1.6050215344876101E-3</v>
      </c>
      <c r="K13" s="10">
        <f>'Proximal Validation (prelim)'!K13</f>
        <v>0.20343686640262601</v>
      </c>
      <c r="L13" s="10">
        <f>'Proximal Validation (prelim)'!L13</f>
        <v>-9.4352685846388297E-4</v>
      </c>
      <c r="M13" s="10">
        <f>'Proximal Validation (prelim)'!M13</f>
        <v>0.16312500834464999</v>
      </c>
      <c r="N13" s="10">
        <f>'Proximal Validation (prelim)'!N13</f>
        <v>-1.1226713657379201E-2</v>
      </c>
      <c r="O13" s="10">
        <f>'Proximal Validation (prelim)'!O13</f>
        <v>-0.93589824438095104</v>
      </c>
      <c r="P13" s="10">
        <v>0.95029399999999997</v>
      </c>
      <c r="Q13" s="10">
        <v>0.13730200000000001</v>
      </c>
      <c r="R13" s="10">
        <v>-0.97116999999999998</v>
      </c>
      <c r="S13" s="10">
        <v>-1.532E-2</v>
      </c>
      <c r="T13" s="10">
        <f t="shared" si="0"/>
        <v>-1.0705999999999993E-2</v>
      </c>
      <c r="U13" s="10">
        <f t="shared" si="1"/>
        <v>-2.6980000000000059E-3</v>
      </c>
      <c r="V13" s="10">
        <f t="shared" si="8"/>
        <v>4.3697186733460329</v>
      </c>
      <c r="X13" s="11">
        <f t="shared" si="2"/>
        <v>0.50017107459707011</v>
      </c>
      <c r="Y13" s="11">
        <f t="shared" si="3"/>
        <v>0</v>
      </c>
      <c r="Z13" s="11">
        <f t="shared" si="4"/>
        <v>-0.86592661128782278</v>
      </c>
      <c r="AA13" s="11">
        <f t="shared" si="5"/>
        <v>0.56426780419657141</v>
      </c>
      <c r="AB13" s="11">
        <f t="shared" si="6"/>
        <v>-8.6452591252296138E-3</v>
      </c>
      <c r="AC13" s="11">
        <f t="shared" si="7"/>
        <v>-0.82554654904604707</v>
      </c>
    </row>
    <row r="14" spans="1:30" x14ac:dyDescent="0.25">
      <c r="A14" s="1">
        <f>'Proximal Validation (prelim)'!A14</f>
        <v>0.51</v>
      </c>
      <c r="B14" s="1">
        <f>'Proximal Validation (prelim)'!B14</f>
        <v>0.06</v>
      </c>
      <c r="C14" s="1">
        <f>'Proximal Validation (prelim)'!C14</f>
        <v>-1.571</v>
      </c>
      <c r="D14" s="1">
        <f>'Proximal Validation (prelim)'!D14</f>
        <v>-3.1419999999999999</v>
      </c>
      <c r="E14" s="1">
        <f>'Proximal Validation (prelim)'!E14</f>
        <v>0.77</v>
      </c>
      <c r="F14" s="1">
        <f>'Proximal Validation (prelim)'!F14</f>
        <v>0.72299999999999998</v>
      </c>
      <c r="G14" s="1">
        <f>'Proximal Validation (prelim)'!G14</f>
        <v>0.80800000000000005</v>
      </c>
      <c r="H14" s="1">
        <f>'Proximal Validation (prelim)'!H14</f>
        <v>180.00000475357575</v>
      </c>
      <c r="I14" s="1">
        <f>'Proximal Validation (prelim)'!I14</f>
        <v>89.988330385915845</v>
      </c>
      <c r="J14" s="10">
        <f>'Proximal Validation (prelim)'!J14</f>
        <v>1.13705324474722E-3</v>
      </c>
      <c r="K14" s="10">
        <f>'Proximal Validation (prelim)'!K14</f>
        <v>6.9547608494758606E-2</v>
      </c>
      <c r="L14" s="10">
        <f>'Proximal Validation (prelim)'!L14</f>
        <v>-1.9496295135468201E-4</v>
      </c>
      <c r="M14" s="10">
        <f>'Proximal Validation (prelim)'!M14</f>
        <v>5.8881053701043103E-3</v>
      </c>
      <c r="N14" s="10">
        <f>'Proximal Validation (prelim)'!N14</f>
        <v>-4.1733607649803196E-3</v>
      </c>
      <c r="O14" s="10">
        <f>'Proximal Validation (prelim)'!O14</f>
        <v>-0.45174664258956898</v>
      </c>
      <c r="P14" s="10">
        <v>0.45205899999999999</v>
      </c>
      <c r="Q14" s="10">
        <v>6.4912999999999998E-2</v>
      </c>
      <c r="R14" s="10">
        <v>-1.52278</v>
      </c>
      <c r="S14" s="10">
        <v>-0.18149000000000001</v>
      </c>
      <c r="T14" s="10">
        <f t="shared" si="0"/>
        <v>-5.794100000000002E-2</v>
      </c>
      <c r="U14" s="10">
        <f t="shared" si="1"/>
        <v>4.9130000000000007E-3</v>
      </c>
      <c r="V14" s="10">
        <f t="shared" si="8"/>
        <v>2.7396548699970205</v>
      </c>
      <c r="X14" s="11">
        <f t="shared" si="2"/>
        <v>2.0367318679731896E-4</v>
      </c>
      <c r="Y14" s="11">
        <f t="shared" si="3"/>
        <v>-8.2965546086094279E-8</v>
      </c>
      <c r="Z14" s="11">
        <f t="shared" si="4"/>
        <v>-0.99999997925861284</v>
      </c>
      <c r="AA14" s="11">
        <f t="shared" si="5"/>
        <v>4.7209553599124279E-2</v>
      </c>
      <c r="AB14" s="11">
        <f t="shared" si="6"/>
        <v>-8.6633914684527465E-3</v>
      </c>
      <c r="AC14" s="11">
        <f t="shared" si="7"/>
        <v>-0.99884743764863093</v>
      </c>
    </row>
    <row r="15" spans="1:30" x14ac:dyDescent="0.25">
      <c r="A15" s="1">
        <f>'Proximal Validation (prelim)'!A15</f>
        <v>0.309</v>
      </c>
      <c r="B15" s="1">
        <f>'Proximal Validation (prelim)'!B15</f>
        <v>0.12</v>
      </c>
      <c r="C15" s="1">
        <f>'Proximal Validation (prelim)'!C15</f>
        <v>-1.571</v>
      </c>
      <c r="D15" s="1">
        <f>'Proximal Validation (prelim)'!D15</f>
        <v>0</v>
      </c>
      <c r="E15" s="1">
        <f>'Proximal Validation (prelim)'!E15</f>
        <v>7.4999999999999997E-2</v>
      </c>
      <c r="F15" s="1">
        <f>'Proximal Validation (prelim)'!F15</f>
        <v>0.871</v>
      </c>
      <c r="G15" s="1">
        <f>'Proximal Validation (prelim)'!G15</f>
        <v>0.308</v>
      </c>
      <c r="H15" s="1">
        <f>'Proximal Validation (prelim)'!H15</f>
        <v>180</v>
      </c>
      <c r="I15" s="1">
        <f>'Proximal Validation (prelim)'!I15</f>
        <v>90.011669615052327</v>
      </c>
      <c r="J15" s="10">
        <f>'Proximal Validation (prelim)'!J15</f>
        <v>1.1122038122266501E-3</v>
      </c>
      <c r="K15" s="10">
        <f>'Proximal Validation (prelim)'!K15</f>
        <v>4.4223316013812998E-2</v>
      </c>
      <c r="L15" s="10">
        <f>'Proximal Validation (prelim)'!L15</f>
        <v>3.0775432242080602E-4</v>
      </c>
      <c r="M15" s="10">
        <f>'Proximal Validation (prelim)'!M15</f>
        <v>-7.6349931769073001E-3</v>
      </c>
      <c r="N15" s="10">
        <f>'Proximal Validation (prelim)'!N15</f>
        <v>1.9808746874332402E-3</v>
      </c>
      <c r="O15" s="10">
        <f>'Proximal Validation (prelim)'!O15</f>
        <v>-0.20005062222480799</v>
      </c>
      <c r="P15" s="10">
        <v>0.20016600000000001</v>
      </c>
      <c r="Q15" s="10">
        <v>0.13009599999999999</v>
      </c>
      <c r="R15" s="10">
        <v>-1.5410999999999999</v>
      </c>
      <c r="S15" s="10">
        <v>0.34453899999999998</v>
      </c>
      <c r="T15" s="14">
        <f t="shared" si="0"/>
        <v>-0.10883399999999999</v>
      </c>
      <c r="U15" s="10">
        <f t="shared" si="1"/>
        <v>1.0095999999999994E-2</v>
      </c>
      <c r="V15" s="10">
        <f t="shared" si="8"/>
        <v>1.7124625336871118</v>
      </c>
      <c r="X15" s="11">
        <f t="shared" si="2"/>
        <v>-2.0367320369517786E-4</v>
      </c>
      <c r="Y15" s="11">
        <f t="shared" si="3"/>
        <v>0</v>
      </c>
      <c r="Z15" s="11">
        <f t="shared" si="4"/>
        <v>-0.99999997925861284</v>
      </c>
      <c r="AA15" s="11">
        <f t="shared" si="5"/>
        <v>2.794700308916041E-2</v>
      </c>
      <c r="AB15" s="11">
        <f t="shared" si="6"/>
        <v>1.0028840475574723E-2</v>
      </c>
      <c r="AC15" s="11">
        <f t="shared" si="7"/>
        <v>-0.99955909649057262</v>
      </c>
    </row>
    <row r="16" spans="1:30" x14ac:dyDescent="0.25">
      <c r="A16" s="1">
        <f>'Proximal Validation (prelim)'!A16</f>
        <v>0.89700000000000002</v>
      </c>
      <c r="B16" s="1">
        <f>'Proximal Validation (prelim)'!B16</f>
        <v>0.2</v>
      </c>
      <c r="C16" s="1">
        <f>'Proximal Validation (prelim)'!C16</f>
        <v>-1.571</v>
      </c>
      <c r="D16" s="1">
        <f>'Proximal Validation (prelim)'!D16</f>
        <v>-3.1419999999999999</v>
      </c>
      <c r="E16" s="1">
        <f>'Proximal Validation (prelim)'!E16</f>
        <v>1.266</v>
      </c>
      <c r="F16" s="1">
        <f>'Proximal Validation (prelim)'!F16</f>
        <v>0.65300000000000002</v>
      </c>
      <c r="G16" s="1">
        <f>'Proximal Validation (prelim)'!G16</f>
        <v>0.55800000000000005</v>
      </c>
      <c r="H16" s="1">
        <f>'Proximal Validation (prelim)'!H16</f>
        <v>180.00000475357575</v>
      </c>
      <c r="I16" s="1">
        <f>'Proximal Validation (prelim)'!I16</f>
        <v>89.988330385915845</v>
      </c>
      <c r="J16" s="10">
        <f>'Proximal Validation (prelim)'!J16</f>
        <v>-4.1023571975529203E-3</v>
      </c>
      <c r="K16" s="10">
        <f>'Proximal Validation (prelim)'!K16</f>
        <v>0.17719669640064201</v>
      </c>
      <c r="L16" s="10">
        <f>'Proximal Validation (prelim)'!L16</f>
        <v>-6.9909039884805697E-3</v>
      </c>
      <c r="M16" s="10">
        <f>'Proximal Validation (prelim)'!M16</f>
        <v>-0.30781817436218301</v>
      </c>
      <c r="N16" s="10">
        <f>'Proximal Validation (prelim)'!N16</f>
        <v>-3.4374743700027501E-2</v>
      </c>
      <c r="O16" s="10">
        <f>'Proximal Validation (prelim)'!O16</f>
        <v>-0.54552924633026101</v>
      </c>
      <c r="P16" s="10">
        <v>0.631247</v>
      </c>
      <c r="Q16" s="10">
        <v>0.17327400000000001</v>
      </c>
      <c r="R16" s="10">
        <v>-1.5708</v>
      </c>
      <c r="S16" s="10">
        <v>3.1415929999999999</v>
      </c>
      <c r="T16" s="10">
        <f t="shared" si="0"/>
        <v>-0.26575300000000002</v>
      </c>
      <c r="U16" s="10">
        <f t="shared" si="1"/>
        <v>-2.6726E-2</v>
      </c>
      <c r="V16" s="10">
        <f t="shared" si="8"/>
        <v>1.1459155918696087E-2</v>
      </c>
      <c r="X16" s="11">
        <f t="shared" si="2"/>
        <v>2.0367318679731896E-4</v>
      </c>
      <c r="Y16" s="11">
        <f t="shared" si="3"/>
        <v>-8.2965546086094279E-8</v>
      </c>
      <c r="Z16" s="11">
        <f t="shared" si="4"/>
        <v>-0.99999997925861284</v>
      </c>
      <c r="AA16" s="11">
        <f t="shared" si="5"/>
        <v>3.6732051033463283E-6</v>
      </c>
      <c r="AB16" s="11">
        <f t="shared" si="6"/>
        <v>1.272435738805504E-12</v>
      </c>
      <c r="AC16" s="11">
        <f t="shared" si="7"/>
        <v>-0.99999999999325373</v>
      </c>
    </row>
    <row r="17" spans="1:29" x14ac:dyDescent="0.25">
      <c r="A17" s="1">
        <f>'Proximal Validation (prelim)'!A17</f>
        <v>0.20399999999999999</v>
      </c>
      <c r="B17" s="1">
        <f>'Proximal Validation (prelim)'!B17</f>
        <v>0.2</v>
      </c>
      <c r="C17" s="1">
        <f>'Proximal Validation (prelim)'!C17</f>
        <v>-1.571</v>
      </c>
      <c r="D17" s="1">
        <f>'Proximal Validation (prelim)'!D17</f>
        <v>0</v>
      </c>
      <c r="E17" s="1">
        <f>'Proximal Validation (prelim)'!E17</f>
        <v>0.78500000000000003</v>
      </c>
      <c r="F17" s="1">
        <f>'Proximal Validation (prelim)'!F17</f>
        <v>1.3149999999999999</v>
      </c>
      <c r="G17" s="1">
        <f>'Proximal Validation (prelim)'!G17</f>
        <v>0.40100000000000002</v>
      </c>
      <c r="H17" s="1">
        <f>'Proximal Validation (prelim)'!H17</f>
        <v>180</v>
      </c>
      <c r="I17" s="1">
        <f>'Proximal Validation (prelim)'!I17</f>
        <v>90.011669615052327</v>
      </c>
      <c r="J17" s="10">
        <f>'Proximal Validation (prelim)'!J17</f>
        <v>7.0603069616481705E-4</v>
      </c>
      <c r="K17" s="10">
        <f>'Proximal Validation (prelim)'!K17</f>
        <v>4.2444258928298999E-2</v>
      </c>
      <c r="L17" s="10">
        <f>'Proximal Validation (prelim)'!L17</f>
        <v>2.9280404560267899E-3</v>
      </c>
      <c r="M17" s="10">
        <f>'Proximal Validation (prelim)'!M17</f>
        <v>2.2136436309665398E-3</v>
      </c>
      <c r="N17" s="10">
        <f>'Proximal Validation (prelim)'!N17</f>
        <v>5.8320853859186199E-3</v>
      </c>
      <c r="O17" s="10">
        <f>'Proximal Validation (prelim)'!O17</f>
        <v>-0.14324781298637401</v>
      </c>
      <c r="P17" s="10">
        <v>0.143626</v>
      </c>
      <c r="Q17" s="10">
        <v>0.2</v>
      </c>
      <c r="R17" s="10">
        <v>-1.48105</v>
      </c>
      <c r="S17" s="10">
        <v>0.60115399999999997</v>
      </c>
      <c r="T17" s="10">
        <f t="shared" si="0"/>
        <v>-6.0373999999999983E-2</v>
      </c>
      <c r="U17" s="10">
        <f t="shared" si="1"/>
        <v>0</v>
      </c>
      <c r="V17" s="10">
        <f t="shared" si="8"/>
        <v>5.151713707472001</v>
      </c>
      <c r="X17" s="11">
        <f t="shared" si="2"/>
        <v>-2.0367320369517786E-4</v>
      </c>
      <c r="Y17" s="11">
        <f t="shared" si="3"/>
        <v>0</v>
      </c>
      <c r="Z17" s="11">
        <f t="shared" si="4"/>
        <v>-0.99999997925861284</v>
      </c>
      <c r="AA17" s="11">
        <f t="shared" si="5"/>
        <v>7.3912997866435806E-2</v>
      </c>
      <c r="AB17" s="11">
        <f t="shared" si="6"/>
        <v>5.0691919070186775E-2</v>
      </c>
      <c r="AC17" s="11">
        <f t="shared" si="7"/>
        <v>-0.99597550074656849</v>
      </c>
    </row>
    <row r="18" spans="1:29" x14ac:dyDescent="0.25">
      <c r="A18" s="1">
        <f>'Proximal Validation (prelim)'!A18</f>
        <v>0.42899999999999999</v>
      </c>
      <c r="B18" s="1">
        <f>'Proximal Validation (prelim)'!B18</f>
        <v>0.18</v>
      </c>
      <c r="C18" s="1">
        <f>'Proximal Validation (prelim)'!C18</f>
        <v>-1.0469999999999999</v>
      </c>
      <c r="D18" s="1">
        <f>'Proximal Validation (prelim)'!D18</f>
        <v>-3.1419999999999999</v>
      </c>
      <c r="E18" s="1">
        <f>'Proximal Validation (prelim)'!E18</f>
        <v>1.105</v>
      </c>
      <c r="F18" s="1">
        <f>'Proximal Validation (prelim)'!F18</f>
        <v>1.337</v>
      </c>
      <c r="G18" s="1">
        <f>'Proximal Validation (prelim)'!G18</f>
        <v>0.40699999999999997</v>
      </c>
      <c r="H18" s="1">
        <f>'Proximal Validation (prelim)'!H18</f>
        <v>179.98651894154622</v>
      </c>
      <c r="I18" s="1">
        <f>'Proximal Validation (prelim)'!I18</f>
        <v>120.01131610407238</v>
      </c>
      <c r="J18" s="10">
        <f>'Proximal Validation (prelim)'!J18</f>
        <v>8.6086941882967895E-4</v>
      </c>
      <c r="K18" s="10">
        <f>'Proximal Validation (prelim)'!K18</f>
        <v>6.4414083957672105E-2</v>
      </c>
      <c r="L18" s="10">
        <f>'Proximal Validation (prelim)'!L18</f>
        <v>1.1422571260482101E-3</v>
      </c>
      <c r="M18" s="10">
        <f>'Proximal Validation (prelim)'!M18</f>
        <v>-0.119277931749821</v>
      </c>
      <c r="N18" s="10">
        <f>'Proximal Validation (prelim)'!N18</f>
        <v>-8.5563957691192605E-4</v>
      </c>
      <c r="O18" s="10">
        <f>'Proximal Validation (prelim)'!O18</f>
        <v>-0.21797420084476499</v>
      </c>
      <c r="P18" s="10">
        <v>0.24848700000000001</v>
      </c>
      <c r="Q18" s="10">
        <v>0.2</v>
      </c>
      <c r="R18" s="10">
        <v>-1.22007</v>
      </c>
      <c r="S18" s="10">
        <v>-3.0945399999999998</v>
      </c>
      <c r="T18" s="10">
        <f t="shared" si="0"/>
        <v>-0.18051299999999998</v>
      </c>
      <c r="U18" s="10">
        <f t="shared" si="1"/>
        <v>2.0000000000000018E-2</v>
      </c>
      <c r="V18" s="10">
        <f t="shared" si="8"/>
        <v>9.9803565441606281</v>
      </c>
      <c r="X18" s="11">
        <f t="shared" si="2"/>
        <v>-0.50017103310010291</v>
      </c>
      <c r="Y18" s="11">
        <f t="shared" si="3"/>
        <v>2.0374288609177995E-4</v>
      </c>
      <c r="Z18" s="11">
        <f t="shared" si="4"/>
        <v>-0.86592661128782278</v>
      </c>
      <c r="AA18" s="11">
        <f t="shared" si="5"/>
        <v>-0.34319974382475577</v>
      </c>
      <c r="AB18" s="11">
        <f t="shared" si="6"/>
        <v>-1.6160386526739741E-2</v>
      </c>
      <c r="AC18" s="11">
        <f t="shared" si="7"/>
        <v>-0.93912340922049664</v>
      </c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9" x14ac:dyDescent="0.25">
      <c r="T24" s="34" t="s">
        <v>33</v>
      </c>
      <c r="U24" s="34"/>
      <c r="V24" s="34"/>
    </row>
    <row r="25" spans="1:29" x14ac:dyDescent="0.25">
      <c r="T25" s="3" cm="1">
        <f t="array" ref="T25">AVERAGE(ABS(T4:T18))</f>
        <v>8.2714999999999997E-2</v>
      </c>
      <c r="U25" s="3" cm="1">
        <f t="array" ref="U25">AVERAGE(ABS(U4:U18))</f>
        <v>7.335133333333332E-3</v>
      </c>
      <c r="V25" s="3" cm="1">
        <f t="array" ref="V25">AVERAGE(ABS(V4:V18))</f>
        <v>3.4081539627227402</v>
      </c>
    </row>
    <row r="26" spans="1:29" x14ac:dyDescent="0.25">
      <c r="T26" s="34" t="s">
        <v>32</v>
      </c>
      <c r="U26" s="34"/>
      <c r="V26" s="34"/>
    </row>
    <row r="27" spans="1:29" x14ac:dyDescent="0.25">
      <c r="T27" s="9">
        <f>AVERAGE(T4:T18)</f>
        <v>-7.2674199999999994E-2</v>
      </c>
      <c r="U27" s="9">
        <f t="shared" ref="U27:V27" si="9">AVERAGE(U4:U18)</f>
        <v>2.1457999999999989E-3</v>
      </c>
      <c r="V27" s="9">
        <f t="shared" si="9"/>
        <v>3.4081539627227402</v>
      </c>
    </row>
    <row r="28" spans="1:29" x14ac:dyDescent="0.25">
      <c r="T28" s="34" t="s">
        <v>34</v>
      </c>
      <c r="U28" s="34"/>
      <c r="V28" s="34"/>
    </row>
    <row r="29" spans="1:29" x14ac:dyDescent="0.25">
      <c r="T29" s="3">
        <f>_xlfn.STDEV.S(T4:T18)</f>
        <v>7.9952521667728343E-2</v>
      </c>
      <c r="U29" s="3">
        <f t="shared" ref="U29:V29" si="10">_xlfn.STDEV.S(U4:U18)</f>
        <v>1.0721616377340553E-2</v>
      </c>
      <c r="V29" s="3">
        <f t="shared" si="10"/>
        <v>3.2155155833112685</v>
      </c>
    </row>
  </sheetData>
  <mergeCells count="11">
    <mergeCell ref="T26:V26"/>
    <mergeCell ref="T28:V28"/>
    <mergeCell ref="X2:Z2"/>
    <mergeCell ref="AA2:AC2"/>
    <mergeCell ref="A1:V1"/>
    <mergeCell ref="T24:V24"/>
    <mergeCell ref="J2:O2"/>
    <mergeCell ref="P2:S2"/>
    <mergeCell ref="T2:V2"/>
    <mergeCell ref="H2:I2"/>
    <mergeCell ref="A2:G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AA22"/>
  <sheetViews>
    <sheetView workbookViewId="0">
      <selection activeCell="E3" sqref="E3:G17"/>
    </sheetView>
  </sheetViews>
  <sheetFormatPr defaultRowHeight="15" x14ac:dyDescent="0.25"/>
  <sheetData>
    <row r="1" spans="1:27" ht="15.75" x14ac:dyDescent="0.25">
      <c r="A1" s="27" t="s">
        <v>17</v>
      </c>
      <c r="B1" s="27"/>
      <c r="C1" s="27"/>
      <c r="D1" s="27"/>
      <c r="E1" s="27"/>
      <c r="F1" s="27"/>
      <c r="G1" s="28"/>
      <c r="H1" s="32" t="s">
        <v>21</v>
      </c>
      <c r="I1" s="33"/>
      <c r="J1" s="23" t="s">
        <v>6</v>
      </c>
      <c r="K1" s="24"/>
      <c r="L1" s="24"/>
      <c r="M1" s="24"/>
      <c r="N1" s="24"/>
      <c r="O1" s="24"/>
      <c r="P1" s="25" t="s">
        <v>18</v>
      </c>
      <c r="Q1" s="26"/>
      <c r="R1" s="26"/>
      <c r="S1" s="26"/>
      <c r="T1" s="26"/>
      <c r="U1" s="26"/>
      <c r="V1" s="29" t="s">
        <v>23</v>
      </c>
      <c r="W1" s="30"/>
      <c r="X1" s="30"/>
      <c r="Y1" s="30"/>
      <c r="Z1" s="30"/>
      <c r="AA1" s="31"/>
    </row>
    <row r="2" spans="1:27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7" t="s">
        <v>3</v>
      </c>
      <c r="K2" s="6" t="s">
        <v>4</v>
      </c>
      <c r="L2" s="6" t="s">
        <v>5</v>
      </c>
      <c r="M2" s="6" t="s">
        <v>0</v>
      </c>
      <c r="N2" s="6" t="s">
        <v>1</v>
      </c>
      <c r="O2" s="6" t="s">
        <v>2</v>
      </c>
      <c r="P2" s="8" t="s">
        <v>3</v>
      </c>
      <c r="Q2" s="6" t="s">
        <v>4</v>
      </c>
      <c r="R2" s="6" t="s">
        <v>5</v>
      </c>
      <c r="S2" s="6" t="s">
        <v>0</v>
      </c>
      <c r="T2" s="6" t="s">
        <v>1</v>
      </c>
      <c r="U2" s="6" t="s">
        <v>2</v>
      </c>
      <c r="V2" s="6" t="s">
        <v>3</v>
      </c>
      <c r="W2" s="6" t="s">
        <v>4</v>
      </c>
      <c r="X2" s="6" t="s">
        <v>5</v>
      </c>
      <c r="Y2" s="6" t="s">
        <v>0</v>
      </c>
      <c r="Z2" s="6" t="s">
        <v>1</v>
      </c>
      <c r="AA2" s="6" t="s">
        <v>2</v>
      </c>
    </row>
    <row r="3" spans="1:27" ht="15.75" x14ac:dyDescent="0.25">
      <c r="A3" s="1">
        <v>0.71299999999999997</v>
      </c>
      <c r="B3" s="1">
        <v>0.04</v>
      </c>
      <c r="C3" s="1">
        <v>1.571</v>
      </c>
      <c r="D3" s="1">
        <v>-3.1419999999999999</v>
      </c>
      <c r="E3" s="1">
        <v>1.19</v>
      </c>
      <c r="F3" s="1">
        <v>0.377</v>
      </c>
      <c r="G3" s="1">
        <v>0.33800000000000002</v>
      </c>
      <c r="H3" s="1">
        <f>DEGREES(ATAN2(COS($C3) * SIN($D3), -SIN($C3)))+90</f>
        <v>-4.7535757374816967E-6</v>
      </c>
      <c r="I3" s="1">
        <f>DEGREES(ACOS(COS($C3) * COS($D3)))</f>
        <v>89.988330385915845</v>
      </c>
      <c r="J3" s="1">
        <v>-1.6326946206390901E-4</v>
      </c>
      <c r="K3" s="1">
        <v>-0.100881785154343</v>
      </c>
      <c r="L3" s="1">
        <v>1.53157627210021E-3</v>
      </c>
      <c r="M3" s="1">
        <v>-2.8801660984754601E-2</v>
      </c>
      <c r="N3" s="1">
        <v>1.2661367654800399E-2</v>
      </c>
      <c r="O3" s="1">
        <v>0.76009643077850297</v>
      </c>
      <c r="P3" s="1">
        <v>1.0900000000000001E-4</v>
      </c>
      <c r="Q3" s="1">
        <v>-9.2649999999999996E-2</v>
      </c>
      <c r="R3" s="1">
        <v>-3.5999999999999998E-6</v>
      </c>
      <c r="S3" s="1">
        <v>-1.6209999999999999E-2</v>
      </c>
      <c r="T3" s="1">
        <v>-4.6999999999999997E-5</v>
      </c>
      <c r="U3" s="1">
        <v>0.71281099999999997</v>
      </c>
      <c r="V3" s="10">
        <f t="shared" ref="V3:AA17" si="0">ABS(J3-P3)</f>
        <v>2.72269462063909E-4</v>
      </c>
      <c r="W3" s="10">
        <f t="shared" si="0"/>
        <v>8.2317851543430021E-3</v>
      </c>
      <c r="X3" s="10">
        <f t="shared" si="0"/>
        <v>1.5351762721002101E-3</v>
      </c>
      <c r="Y3" s="10">
        <f t="shared" si="0"/>
        <v>1.2591660984754602E-2</v>
      </c>
      <c r="Z3" s="10">
        <f t="shared" si="0"/>
        <v>1.27083676548004E-2</v>
      </c>
      <c r="AA3" s="10">
        <f t="shared" si="0"/>
        <v>4.7285430778503001E-2</v>
      </c>
    </row>
    <row r="4" spans="1:27" ht="15.75" x14ac:dyDescent="0.25">
      <c r="A4" s="1">
        <v>0.42</v>
      </c>
      <c r="B4" s="1">
        <v>0.1</v>
      </c>
      <c r="C4" s="1">
        <v>1.571</v>
      </c>
      <c r="D4" s="1">
        <v>-3.1419999999999999</v>
      </c>
      <c r="E4" s="1">
        <v>0.45500000000000002</v>
      </c>
      <c r="F4" s="1">
        <v>0.61899999999999999</v>
      </c>
      <c r="G4" s="1">
        <v>0.95</v>
      </c>
      <c r="H4" s="1">
        <f t="shared" ref="H4:H17" si="1">DEGREES(ATAN2(COS($C4) * SIN($D4), -SIN($C4)))+90</f>
        <v>-4.7535757374816967E-6</v>
      </c>
      <c r="I4" s="1">
        <f t="shared" ref="I4:I17" si="2">DEGREES(ACOS(COS($C4) * COS($D4)))</f>
        <v>89.988330385915845</v>
      </c>
      <c r="J4" s="1">
        <v>-5.1882280968129602E-4</v>
      </c>
      <c r="K4" s="1">
        <v>-7.1877092123031602E-2</v>
      </c>
      <c r="L4" s="1">
        <v>1.6076841857284301E-3</v>
      </c>
      <c r="M4" s="1">
        <v>4.4302064925432197E-3</v>
      </c>
      <c r="N4" s="1">
        <v>8.9177526533603703E-3</v>
      </c>
      <c r="O4" s="1">
        <v>0.37066662311553999</v>
      </c>
      <c r="P4" s="1">
        <v>-9.8999999999999994E-5</v>
      </c>
      <c r="Q4" s="1">
        <v>-7.9680000000000001E-2</v>
      </c>
      <c r="R4" s="1">
        <v>1.3799999999999999E-6</v>
      </c>
      <c r="S4" s="1">
        <v>-2.886E-2</v>
      </c>
      <c r="T4" s="1">
        <v>4.3300000000000002E-5</v>
      </c>
      <c r="U4" s="1">
        <v>0.41900700000000002</v>
      </c>
      <c r="V4" s="10">
        <f t="shared" si="0"/>
        <v>4.19822809681296E-4</v>
      </c>
      <c r="W4" s="10">
        <f t="shared" si="0"/>
        <v>7.8029078769683985E-3</v>
      </c>
      <c r="X4" s="10">
        <f t="shared" si="0"/>
        <v>1.6063041857284301E-3</v>
      </c>
      <c r="Y4" s="10">
        <f t="shared" si="0"/>
        <v>3.3290206492543217E-2</v>
      </c>
      <c r="Z4" s="10">
        <f t="shared" si="0"/>
        <v>8.8744526533603707E-3</v>
      </c>
      <c r="AA4" s="10">
        <f t="shared" si="0"/>
        <v>4.8340376884460023E-2</v>
      </c>
    </row>
    <row r="5" spans="1:27" ht="15.75" x14ac:dyDescent="0.25">
      <c r="A5" s="1">
        <v>0.85199999999999998</v>
      </c>
      <c r="B5" s="1">
        <v>0.06</v>
      </c>
      <c r="C5" s="1">
        <v>0.78500000000000003</v>
      </c>
      <c r="D5" s="1">
        <v>-3.1419999999999999</v>
      </c>
      <c r="E5" s="1">
        <v>0.308</v>
      </c>
      <c r="F5" s="1">
        <v>0.69399999999999995</v>
      </c>
      <c r="G5" s="1">
        <v>1.2999999999999999E-2</v>
      </c>
      <c r="H5" s="1">
        <f t="shared" si="1"/>
        <v>2.3357821223058295E-2</v>
      </c>
      <c r="I5" s="1">
        <f t="shared" si="2"/>
        <v>135.02280832486795</v>
      </c>
      <c r="J5" s="1">
        <v>5.0875842571258502E-3</v>
      </c>
      <c r="K5" s="1">
        <v>-9.5912657678127303E-2</v>
      </c>
      <c r="L5" s="1">
        <v>-3.1094127334654301E-3</v>
      </c>
      <c r="M5" s="1">
        <v>-0.68315470218658403</v>
      </c>
      <c r="N5" s="1">
        <v>-1.7542302608490001E-2</v>
      </c>
      <c r="O5" s="1">
        <v>0.53376686573028598</v>
      </c>
      <c r="P5" s="1">
        <v>-1E-4</v>
      </c>
      <c r="Q5" s="1">
        <v>-8.7120000000000003E-2</v>
      </c>
      <c r="R5" s="1">
        <v>5.1099999999999995E-4</v>
      </c>
      <c r="S5" s="1">
        <v>-0.62927</v>
      </c>
      <c r="T5" s="1">
        <v>4.0569999999999998E-3</v>
      </c>
      <c r="U5" s="1">
        <v>0.57435899999999995</v>
      </c>
      <c r="V5" s="10">
        <f t="shared" si="0"/>
        <v>5.1875842571258504E-3</v>
      </c>
      <c r="W5" s="10">
        <f t="shared" si="0"/>
        <v>8.7926576781272997E-3</v>
      </c>
      <c r="X5" s="10">
        <f t="shared" si="0"/>
        <v>3.6204127334654298E-3</v>
      </c>
      <c r="Y5" s="10">
        <f t="shared" si="0"/>
        <v>5.3884702186584033E-2</v>
      </c>
      <c r="Z5" s="10">
        <f t="shared" si="0"/>
        <v>2.1599302608490002E-2</v>
      </c>
      <c r="AA5" s="10">
        <f t="shared" si="0"/>
        <v>4.0592134269713975E-2</v>
      </c>
    </row>
    <row r="6" spans="1:27" ht="15.75" x14ac:dyDescent="0.25">
      <c r="A6" s="1">
        <v>0.61099999999999999</v>
      </c>
      <c r="B6" s="1">
        <v>0.1</v>
      </c>
      <c r="C6" s="1">
        <v>0.78500000000000003</v>
      </c>
      <c r="D6" s="1">
        <v>-3.1419999999999999</v>
      </c>
      <c r="E6" s="1">
        <v>1.008</v>
      </c>
      <c r="F6" s="1">
        <v>4.5999999999999999E-2</v>
      </c>
      <c r="G6" s="1">
        <v>1.286</v>
      </c>
      <c r="H6" s="1">
        <f t="shared" si="1"/>
        <v>2.3357821223058295E-2</v>
      </c>
      <c r="I6" s="1">
        <f t="shared" si="2"/>
        <v>135.02280832486795</v>
      </c>
      <c r="J6" s="1">
        <v>1.3818801380693899E-3</v>
      </c>
      <c r="K6" s="1">
        <v>-7.7725052833557101E-2</v>
      </c>
      <c r="L6" s="1">
        <v>7.5050460873171698E-4</v>
      </c>
      <c r="M6" s="1">
        <v>-0.47689080238342302</v>
      </c>
      <c r="N6" s="1">
        <v>-5.1729008555412301E-3</v>
      </c>
      <c r="O6" s="1">
        <v>0.36760026216507002</v>
      </c>
      <c r="P6" s="1">
        <v>5.9000000000000003E-4</v>
      </c>
      <c r="Q6" s="1">
        <v>-7.9000000000000001E-2</v>
      </c>
      <c r="R6" s="1">
        <v>-2.0799999999999998E-3</v>
      </c>
      <c r="S6" s="1">
        <v>-0.45588000000000001</v>
      </c>
      <c r="T6" s="1">
        <v>-1.3950000000000001E-2</v>
      </c>
      <c r="U6" s="1">
        <v>0.406559</v>
      </c>
      <c r="V6" s="10">
        <f t="shared" si="0"/>
        <v>7.9188013806938992E-4</v>
      </c>
      <c r="W6" s="10">
        <f t="shared" si="0"/>
        <v>1.2749471664428996E-3</v>
      </c>
      <c r="X6" s="10">
        <f t="shared" si="0"/>
        <v>2.8305046087317167E-3</v>
      </c>
      <c r="Y6" s="10">
        <f t="shared" si="0"/>
        <v>2.1010802383423011E-2</v>
      </c>
      <c r="Z6" s="10">
        <f t="shared" si="0"/>
        <v>8.7770991444587713E-3</v>
      </c>
      <c r="AA6" s="10">
        <f t="shared" si="0"/>
        <v>3.895873783492998E-2</v>
      </c>
    </row>
    <row r="7" spans="1:27" ht="15.75" x14ac:dyDescent="0.25">
      <c r="A7" s="1">
        <v>0.65800000000000003</v>
      </c>
      <c r="B7" s="1">
        <v>0.04</v>
      </c>
      <c r="C7" s="1">
        <v>-0.78500000000000003</v>
      </c>
      <c r="D7" s="1">
        <v>0</v>
      </c>
      <c r="E7" s="1">
        <v>0.39700000000000002</v>
      </c>
      <c r="F7" s="1">
        <v>0.309</v>
      </c>
      <c r="G7" s="1">
        <v>6.5000000000000002E-2</v>
      </c>
      <c r="H7" s="1">
        <f t="shared" si="1"/>
        <v>180</v>
      </c>
      <c r="I7" s="1">
        <f t="shared" si="2"/>
        <v>44.977186917769622</v>
      </c>
      <c r="J7" s="1">
        <v>1.07296812348068E-3</v>
      </c>
      <c r="K7" s="1">
        <v>5.7813204824924497E-2</v>
      </c>
      <c r="L7" s="1">
        <v>8.9241954265162305E-4</v>
      </c>
      <c r="M7" s="1">
        <v>0.47709453105926503</v>
      </c>
      <c r="N7" s="1">
        <v>-8.8123306632041896E-3</v>
      </c>
      <c r="O7" s="1">
        <v>-0.472019493579865</v>
      </c>
      <c r="P7" s="1">
        <v>-7.7000000000000008E-6</v>
      </c>
      <c r="Q7" s="1">
        <v>6.0845000000000003E-2</v>
      </c>
      <c r="R7" s="1">
        <v>4.5599999999999997E-5</v>
      </c>
      <c r="S7" s="1">
        <v>0.46150200000000002</v>
      </c>
      <c r="T7" s="1">
        <v>4.0000000000000002E-4</v>
      </c>
      <c r="U7" s="1">
        <v>-0.46901999999999999</v>
      </c>
      <c r="V7" s="10">
        <f t="shared" si="0"/>
        <v>1.08066812348068E-3</v>
      </c>
      <c r="W7" s="10">
        <f t="shared" si="0"/>
        <v>3.0317951750755065E-3</v>
      </c>
      <c r="X7" s="10">
        <f t="shared" si="0"/>
        <v>8.4681954265162303E-4</v>
      </c>
      <c r="Y7" s="10">
        <f t="shared" si="0"/>
        <v>1.5592531059265002E-2</v>
      </c>
      <c r="Z7" s="10">
        <f t="shared" si="0"/>
        <v>9.212330663204189E-3</v>
      </c>
      <c r="AA7" s="10">
        <f t="shared" si="0"/>
        <v>2.9994935798650091E-3</v>
      </c>
    </row>
    <row r="8" spans="1:27" ht="15.75" x14ac:dyDescent="0.25">
      <c r="A8" s="1">
        <v>0.36299999999999999</v>
      </c>
      <c r="B8" s="1">
        <v>0.18</v>
      </c>
      <c r="C8" s="1">
        <v>-0.78500000000000003</v>
      </c>
      <c r="D8" s="1">
        <v>0</v>
      </c>
      <c r="E8" s="1">
        <v>0.75600000000000001</v>
      </c>
      <c r="F8" s="1">
        <v>1.339</v>
      </c>
      <c r="G8" s="1">
        <v>0.39400000000000002</v>
      </c>
      <c r="H8" s="1">
        <f t="shared" si="1"/>
        <v>180</v>
      </c>
      <c r="I8" s="1">
        <f t="shared" si="2"/>
        <v>44.977186917769622</v>
      </c>
      <c r="J8" s="1">
        <v>2.4311949964612701E-3</v>
      </c>
      <c r="K8" s="1">
        <v>7.3576457798481001E-2</v>
      </c>
      <c r="L8" s="1">
        <v>5.0929910503327803E-3</v>
      </c>
      <c r="M8" s="1">
        <v>0.17550502717495001</v>
      </c>
      <c r="N8" s="1">
        <v>1.23990438878536E-2</v>
      </c>
      <c r="O8" s="1">
        <v>-0.29193350672721902</v>
      </c>
      <c r="P8" s="1">
        <v>1.1299999999999999E-3</v>
      </c>
      <c r="Q8" s="1">
        <v>7.5068999999999997E-2</v>
      </c>
      <c r="R8" s="1">
        <v>-4.5799999999999999E-3</v>
      </c>
      <c r="S8" s="1">
        <v>0.209427</v>
      </c>
      <c r="T8" s="1">
        <v>-2.112E-2</v>
      </c>
      <c r="U8" s="1">
        <v>-0.29570000000000002</v>
      </c>
      <c r="V8" s="10">
        <f t="shared" si="0"/>
        <v>1.3011949964612701E-3</v>
      </c>
      <c r="W8" s="10">
        <f t="shared" si="0"/>
        <v>1.4925422015189954E-3</v>
      </c>
      <c r="X8" s="10">
        <f t="shared" si="0"/>
        <v>9.6729910503327802E-3</v>
      </c>
      <c r="Y8" s="10">
        <f t="shared" si="0"/>
        <v>3.3921972825049995E-2</v>
      </c>
      <c r="Z8" s="10">
        <f t="shared" si="0"/>
        <v>3.3519043887853602E-2</v>
      </c>
      <c r="AA8" s="10">
        <f t="shared" si="0"/>
        <v>3.7664932727810019E-3</v>
      </c>
    </row>
    <row r="9" spans="1:27" ht="15.75" x14ac:dyDescent="0.25">
      <c r="A9" s="1">
        <v>0.216</v>
      </c>
      <c r="B9" s="1">
        <v>0.04</v>
      </c>
      <c r="C9" s="1">
        <v>-1.0469999999999999</v>
      </c>
      <c r="D9" s="1">
        <v>0</v>
      </c>
      <c r="E9" s="1">
        <v>1.1060000000000001</v>
      </c>
      <c r="F9" s="1">
        <v>0.21299999999999999</v>
      </c>
      <c r="G9" s="1">
        <v>0.41899999999999998</v>
      </c>
      <c r="H9" s="1">
        <f t="shared" si="1"/>
        <v>180</v>
      </c>
      <c r="I9" s="1">
        <f t="shared" si="2"/>
        <v>59.988681150197188</v>
      </c>
      <c r="J9" s="1">
        <v>3.5711145028471898E-4</v>
      </c>
      <c r="K9" s="1">
        <v>1.85544919222593E-2</v>
      </c>
      <c r="L9" s="1">
        <v>4.15118120145053E-4</v>
      </c>
      <c r="M9" s="1">
        <v>8.16621333360672E-2</v>
      </c>
      <c r="N9" s="1">
        <v>-3.1207241117954302E-3</v>
      </c>
      <c r="O9" s="1">
        <v>-0.143352866172791</v>
      </c>
      <c r="P9" s="1">
        <v>-3.1000000000000001E-5</v>
      </c>
      <c r="Q9" s="1">
        <v>2.4329E-2</v>
      </c>
      <c r="R9" s="1">
        <v>1.07E-4</v>
      </c>
      <c r="S9" s="1">
        <v>0.107658</v>
      </c>
      <c r="T9" s="1">
        <v>9.41E-4</v>
      </c>
      <c r="U9" s="1">
        <v>-0.18726000000000001</v>
      </c>
      <c r="V9" s="10">
        <f t="shared" si="0"/>
        <v>3.8811145028471897E-4</v>
      </c>
      <c r="W9" s="10">
        <f t="shared" si="0"/>
        <v>5.7745080777407004E-3</v>
      </c>
      <c r="X9" s="10">
        <f t="shared" si="0"/>
        <v>3.08118120145053E-4</v>
      </c>
      <c r="Y9" s="10">
        <f t="shared" si="0"/>
        <v>2.5995866663932804E-2</v>
      </c>
      <c r="Z9" s="10">
        <f t="shared" si="0"/>
        <v>4.0617241117954297E-3</v>
      </c>
      <c r="AA9" s="10">
        <f t="shared" si="0"/>
        <v>4.3907133827209011E-2</v>
      </c>
    </row>
    <row r="10" spans="1:27" ht="15.75" x14ac:dyDescent="0.25">
      <c r="A10" s="1">
        <v>0.16600000000000001</v>
      </c>
      <c r="B10" s="1">
        <v>0.1</v>
      </c>
      <c r="C10" s="1">
        <v>-1.0469999999999999</v>
      </c>
      <c r="D10" s="1">
        <v>0</v>
      </c>
      <c r="E10" s="1">
        <v>0.96199999999999997</v>
      </c>
      <c r="F10" s="1">
        <v>0.95899999999999996</v>
      </c>
      <c r="G10" s="1">
        <v>0.77900000000000003</v>
      </c>
      <c r="H10" s="1">
        <f t="shared" si="1"/>
        <v>180</v>
      </c>
      <c r="I10" s="1">
        <f t="shared" si="2"/>
        <v>59.988681150197188</v>
      </c>
      <c r="J10" s="1">
        <v>1.57059723278508E-4</v>
      </c>
      <c r="K10" s="1">
        <v>1.61643829196692E-2</v>
      </c>
      <c r="L10" s="1">
        <v>3.0920116114430102E-4</v>
      </c>
      <c r="M10" s="1">
        <v>6.02265410125256E-2</v>
      </c>
      <c r="N10" s="1">
        <v>-2.8210813179612199E-3</v>
      </c>
      <c r="O10" s="1">
        <v>-8.4745019674301106E-2</v>
      </c>
      <c r="P10" s="1">
        <v>-6.1999999999999999E-7</v>
      </c>
      <c r="Q10" s="1">
        <v>2.7531E-2</v>
      </c>
      <c r="R10" s="1">
        <v>1.31E-6</v>
      </c>
      <c r="S10" s="1">
        <v>7.9839999999999994E-2</v>
      </c>
      <c r="T10" s="1">
        <v>8.6600000000000001E-6</v>
      </c>
      <c r="U10" s="1">
        <v>-0.14554</v>
      </c>
      <c r="V10" s="10">
        <f t="shared" si="0"/>
        <v>1.57679723278508E-4</v>
      </c>
      <c r="W10" s="10">
        <f t="shared" si="0"/>
        <v>1.13666170803308E-2</v>
      </c>
      <c r="X10" s="10">
        <f t="shared" si="0"/>
        <v>3.07891161144301E-4</v>
      </c>
      <c r="Y10" s="10">
        <f t="shared" si="0"/>
        <v>1.9613458987474394E-2</v>
      </c>
      <c r="Z10" s="10">
        <f t="shared" si="0"/>
        <v>2.8297413179612201E-3</v>
      </c>
      <c r="AA10" s="10">
        <f t="shared" si="0"/>
        <v>6.0794980325698897E-2</v>
      </c>
    </row>
    <row r="11" spans="1:27" ht="15.75" x14ac:dyDescent="0.25">
      <c r="A11" s="1">
        <v>0.184</v>
      </c>
      <c r="B11" s="1">
        <v>0.12</v>
      </c>
      <c r="C11" s="1">
        <v>-1.0469999999999999</v>
      </c>
      <c r="D11" s="1">
        <v>0</v>
      </c>
      <c r="E11" s="1">
        <v>0.27600000000000002</v>
      </c>
      <c r="F11" s="1">
        <v>0.89400000000000002</v>
      </c>
      <c r="G11" s="1">
        <v>0.747</v>
      </c>
      <c r="H11" s="1">
        <f t="shared" si="1"/>
        <v>180</v>
      </c>
      <c r="I11" s="1">
        <f t="shared" si="2"/>
        <v>59.988681150197188</v>
      </c>
      <c r="J11" s="1">
        <v>2.1470242063514899E-4</v>
      </c>
      <c r="K11" s="1">
        <v>1.5533366240561E-2</v>
      </c>
      <c r="L11" s="1">
        <v>3.6654109135270102E-4</v>
      </c>
      <c r="M11" s="1">
        <v>4.6168811619281797E-2</v>
      </c>
      <c r="N11" s="1">
        <v>-1.54446065425873E-3</v>
      </c>
      <c r="O11" s="1">
        <v>-7.3661819100379902E-2</v>
      </c>
      <c r="P11" s="1">
        <v>2.2499999999999999E-4</v>
      </c>
      <c r="Q11" s="1">
        <v>3.4216999999999997E-2</v>
      </c>
      <c r="R11" s="1">
        <v>-4.4999999999999999E-4</v>
      </c>
      <c r="S11" s="1">
        <v>8.2173999999999997E-2</v>
      </c>
      <c r="T11" s="1">
        <v>-2.7000000000000001E-3</v>
      </c>
      <c r="U11" s="1">
        <v>-0.16461000000000001</v>
      </c>
      <c r="V11" s="10">
        <f t="shared" si="0"/>
        <v>1.0297579364851003E-5</v>
      </c>
      <c r="W11" s="10">
        <f t="shared" si="0"/>
        <v>1.8683633759438996E-2</v>
      </c>
      <c r="X11" s="10">
        <f t="shared" si="0"/>
        <v>8.1654109135270107E-4</v>
      </c>
      <c r="Y11" s="10">
        <f t="shared" si="0"/>
        <v>3.60051883807182E-2</v>
      </c>
      <c r="Z11" s="10">
        <f t="shared" si="0"/>
        <v>1.1555393457412702E-3</v>
      </c>
      <c r="AA11" s="10">
        <f t="shared" si="0"/>
        <v>9.0948180899620104E-2</v>
      </c>
    </row>
    <row r="12" spans="1:27" ht="15.75" x14ac:dyDescent="0.25">
      <c r="A12" s="1">
        <v>0.96099999999999997</v>
      </c>
      <c r="B12" s="1">
        <v>0.14000000000000001</v>
      </c>
      <c r="C12" s="1">
        <v>-1.0469999999999999</v>
      </c>
      <c r="D12" s="1">
        <v>0</v>
      </c>
      <c r="E12" s="1">
        <v>0.61</v>
      </c>
      <c r="F12" s="1">
        <v>0.64800000000000002</v>
      </c>
      <c r="G12" s="1">
        <v>1.244</v>
      </c>
      <c r="H12" s="1">
        <f t="shared" si="1"/>
        <v>180</v>
      </c>
      <c r="I12" s="1">
        <f t="shared" si="2"/>
        <v>59.988681150197188</v>
      </c>
      <c r="J12" s="1">
        <v>3.1155147589743098E-3</v>
      </c>
      <c r="K12" s="1">
        <v>0.20931206643581399</v>
      </c>
      <c r="L12" s="1">
        <v>-5.0425098743289698E-4</v>
      </c>
      <c r="M12" s="1">
        <v>7.1921110153198201E-2</v>
      </c>
      <c r="N12" s="1">
        <v>-1.0019063949585001E-2</v>
      </c>
      <c r="O12" s="1">
        <v>-0.94342941045761097</v>
      </c>
      <c r="P12" s="1">
        <v>1.12E-4</v>
      </c>
      <c r="Q12" s="1">
        <v>0.21312900000000001</v>
      </c>
      <c r="R12" s="1">
        <v>-2.1000000000000001E-4</v>
      </c>
      <c r="S12" s="1">
        <v>4.9297000000000001E-2</v>
      </c>
      <c r="T12" s="1">
        <v>-9.7000000000000005E-4</v>
      </c>
      <c r="U12" s="1">
        <v>-0.95955999999999997</v>
      </c>
      <c r="V12" s="10">
        <f t="shared" si="0"/>
        <v>3.0035147589743097E-3</v>
      </c>
      <c r="W12" s="10">
        <f t="shared" si="0"/>
        <v>3.8169335641860258E-3</v>
      </c>
      <c r="X12" s="10">
        <f t="shared" si="0"/>
        <v>2.9425098743289697E-4</v>
      </c>
      <c r="Y12" s="10">
        <f t="shared" si="0"/>
        <v>2.26241101531982E-2</v>
      </c>
      <c r="Z12" s="10">
        <f t="shared" si="0"/>
        <v>9.0490639495850005E-3</v>
      </c>
      <c r="AA12" s="10">
        <f t="shared" si="0"/>
        <v>1.6130589542388996E-2</v>
      </c>
    </row>
    <row r="13" spans="1:27" ht="15.75" x14ac:dyDescent="0.25">
      <c r="A13" s="1">
        <v>0.51</v>
      </c>
      <c r="B13" s="1">
        <v>0.06</v>
      </c>
      <c r="C13" s="1">
        <v>-1.571</v>
      </c>
      <c r="D13" s="1">
        <v>-3.1419999999999999</v>
      </c>
      <c r="E13" s="1">
        <v>0.77</v>
      </c>
      <c r="F13" s="1">
        <v>0.72299999999999998</v>
      </c>
      <c r="G13" s="1">
        <v>0.80800000000000005</v>
      </c>
      <c r="H13" s="1">
        <f t="shared" si="1"/>
        <v>180.00000475357575</v>
      </c>
      <c r="I13" s="1">
        <f t="shared" si="2"/>
        <v>89.988330385915845</v>
      </c>
      <c r="J13" s="1">
        <v>1.2828013859689201E-3</v>
      </c>
      <c r="K13" s="1">
        <v>7.6031476259231595E-2</v>
      </c>
      <c r="L13" s="1">
        <v>1.58086710143834E-4</v>
      </c>
      <c r="M13" s="1">
        <v>7.8634992241859401E-3</v>
      </c>
      <c r="N13" s="1">
        <v>-3.59749794006348E-3</v>
      </c>
      <c r="O13" s="1">
        <v>-0.493918687105179</v>
      </c>
      <c r="P13" s="1">
        <v>-1.1E-5</v>
      </c>
      <c r="Q13" s="1">
        <v>7.646E-2</v>
      </c>
      <c r="R13" s="1">
        <v>-2.6E-7</v>
      </c>
      <c r="S13" s="1">
        <v>-1.6199999999999999E-2</v>
      </c>
      <c r="T13" s="1">
        <v>-3.9999999999999998E-6</v>
      </c>
      <c r="U13" s="1">
        <v>-0.50973999999999997</v>
      </c>
      <c r="V13" s="10">
        <f t="shared" si="0"/>
        <v>1.29380138596892E-3</v>
      </c>
      <c r="W13" s="10">
        <f t="shared" si="0"/>
        <v>4.2852374076840505E-4</v>
      </c>
      <c r="X13" s="10">
        <f t="shared" si="0"/>
        <v>1.58346710143834E-4</v>
      </c>
      <c r="Y13" s="10">
        <f t="shared" si="0"/>
        <v>2.4063499224185939E-2</v>
      </c>
      <c r="Z13" s="10">
        <f t="shared" si="0"/>
        <v>3.5934979400634799E-3</v>
      </c>
      <c r="AA13" s="10">
        <f t="shared" si="0"/>
        <v>1.5821312894820971E-2</v>
      </c>
    </row>
    <row r="14" spans="1:27" ht="15.75" x14ac:dyDescent="0.25">
      <c r="A14" s="1">
        <v>0.309</v>
      </c>
      <c r="B14" s="1">
        <v>0.12</v>
      </c>
      <c r="C14" s="1">
        <v>-1.571</v>
      </c>
      <c r="D14" s="1">
        <v>0</v>
      </c>
      <c r="E14" s="1">
        <v>7.4999999999999997E-2</v>
      </c>
      <c r="F14" s="1">
        <v>0.871</v>
      </c>
      <c r="G14" s="1">
        <v>0.308</v>
      </c>
      <c r="H14" s="1">
        <f t="shared" si="1"/>
        <v>180</v>
      </c>
      <c r="I14" s="1">
        <f t="shared" si="2"/>
        <v>90.011669615052327</v>
      </c>
      <c r="J14" s="1">
        <v>1.0434185387566701E-3</v>
      </c>
      <c r="K14" s="1">
        <v>5.3879972547292702E-2</v>
      </c>
      <c r="L14" s="1">
        <v>5.6870019761845502E-4</v>
      </c>
      <c r="M14" s="1">
        <v>-1.8664564937353099E-2</v>
      </c>
      <c r="N14" s="1">
        <v>-2.4635009467601802E-3</v>
      </c>
      <c r="O14" s="1">
        <v>-0.247733265161514</v>
      </c>
      <c r="P14" s="1">
        <v>5.5800000000000001E-4</v>
      </c>
      <c r="Q14" s="1">
        <v>6.4725000000000005E-2</v>
      </c>
      <c r="R14" s="1">
        <v>1.26E-5</v>
      </c>
      <c r="S14" s="1">
        <v>-2.776E-2</v>
      </c>
      <c r="T14" s="1">
        <v>2.99E-4</v>
      </c>
      <c r="U14" s="1">
        <v>-0.30775000000000002</v>
      </c>
      <c r="V14" s="10">
        <f t="shared" si="0"/>
        <v>4.8541853875667007E-4</v>
      </c>
      <c r="W14" s="10">
        <f t="shared" si="0"/>
        <v>1.0845027452707302E-2</v>
      </c>
      <c r="X14" s="10">
        <f t="shared" si="0"/>
        <v>5.5610019761845504E-4</v>
      </c>
      <c r="Y14" s="10">
        <f t="shared" si="0"/>
        <v>9.0954350626469005E-3</v>
      </c>
      <c r="Z14" s="10">
        <f t="shared" si="0"/>
        <v>2.76250094676018E-3</v>
      </c>
      <c r="AA14" s="10">
        <f t="shared" si="0"/>
        <v>6.0016734838486019E-2</v>
      </c>
    </row>
    <row r="15" spans="1:27" ht="15.75" x14ac:dyDescent="0.25">
      <c r="A15" s="1">
        <v>0.89700000000000002</v>
      </c>
      <c r="B15" s="1">
        <v>0.2</v>
      </c>
      <c r="C15" s="1">
        <v>-1.571</v>
      </c>
      <c r="D15" s="1">
        <v>-3.1419999999999999</v>
      </c>
      <c r="E15" s="1">
        <v>1.266</v>
      </c>
      <c r="F15" s="1">
        <v>0.65300000000000002</v>
      </c>
      <c r="G15" s="1">
        <v>0.55800000000000005</v>
      </c>
      <c r="H15" s="1">
        <f t="shared" si="1"/>
        <v>180.00000475357575</v>
      </c>
      <c r="I15" s="1">
        <f t="shared" si="2"/>
        <v>89.988330385915845</v>
      </c>
      <c r="J15" s="1">
        <v>-3.10788210481405E-3</v>
      </c>
      <c r="K15" s="1">
        <v>0.22791178524494199</v>
      </c>
      <c r="L15" s="1">
        <v>-5.8306278660893397E-3</v>
      </c>
      <c r="M15" s="1">
        <v>-0.77614384889602706</v>
      </c>
      <c r="N15" s="1">
        <v>-3.3872868865728399E-2</v>
      </c>
      <c r="O15" s="1">
        <v>-0.54873698949813798</v>
      </c>
      <c r="P15" s="1">
        <v>-4.6299999999999996E-3</v>
      </c>
      <c r="Q15" s="1">
        <v>0.18691099999999999</v>
      </c>
      <c r="R15" s="1">
        <v>-1.5100000000000001E-3</v>
      </c>
      <c r="S15" s="1">
        <v>-0.75729999999999997</v>
      </c>
      <c r="T15" s="1">
        <v>-2.264E-2</v>
      </c>
      <c r="U15" s="1">
        <v>-0.48016999999999999</v>
      </c>
      <c r="V15" s="10">
        <f t="shared" si="0"/>
        <v>1.5221178951859496E-3</v>
      </c>
      <c r="W15" s="10">
        <f t="shared" si="0"/>
        <v>4.1000785244941995E-2</v>
      </c>
      <c r="X15" s="10">
        <f t="shared" si="0"/>
        <v>4.3206278660893396E-3</v>
      </c>
      <c r="Y15" s="10">
        <f t="shared" si="0"/>
        <v>1.8843848896027082E-2</v>
      </c>
      <c r="Z15" s="10">
        <f t="shared" si="0"/>
        <v>1.1232868865728399E-2</v>
      </c>
      <c r="AA15" s="10">
        <f t="shared" si="0"/>
        <v>6.8566989498137998E-2</v>
      </c>
    </row>
    <row r="16" spans="1:27" ht="15.75" x14ac:dyDescent="0.25">
      <c r="A16" s="1">
        <v>0.20399999999999999</v>
      </c>
      <c r="B16" s="1">
        <v>0.2</v>
      </c>
      <c r="C16" s="1">
        <v>-1.571</v>
      </c>
      <c r="D16" s="1">
        <v>0</v>
      </c>
      <c r="E16" s="1">
        <v>0.78500000000000003</v>
      </c>
      <c r="F16" s="1">
        <v>1.3149999999999999</v>
      </c>
      <c r="G16" s="1">
        <v>0.40100000000000002</v>
      </c>
      <c r="H16" s="1">
        <f t="shared" si="1"/>
        <v>180</v>
      </c>
      <c r="I16" s="1">
        <f t="shared" si="2"/>
        <v>90.011669615052327</v>
      </c>
      <c r="J16" s="1">
        <v>1.49496179074049E-3</v>
      </c>
      <c r="K16" s="1">
        <v>5.0945803523063701E-2</v>
      </c>
      <c r="L16" s="1">
        <v>2.6319327298551798E-3</v>
      </c>
      <c r="M16" s="1">
        <v>1.1242396431043701E-3</v>
      </c>
      <c r="N16" s="1">
        <v>1.5216418541967899E-3</v>
      </c>
      <c r="O16" s="1">
        <v>-0.16968628764152499</v>
      </c>
      <c r="P16" s="1">
        <v>9.5699999999999995E-4</v>
      </c>
      <c r="Q16" s="1">
        <v>5.7190999999999999E-2</v>
      </c>
      <c r="R16" s="1">
        <v>-8.7999999999999998E-5</v>
      </c>
      <c r="S16" s="1">
        <v>-2.87E-2</v>
      </c>
      <c r="T16" s="1">
        <v>1.6799999999999999E-4</v>
      </c>
      <c r="U16" s="1">
        <v>-0.20196</v>
      </c>
      <c r="V16" s="10">
        <f t="shared" si="0"/>
        <v>5.3796179074049001E-4</v>
      </c>
      <c r="W16" s="10">
        <f t="shared" si="0"/>
        <v>6.2451964769362975E-3</v>
      </c>
      <c r="X16" s="10">
        <f t="shared" si="0"/>
        <v>2.7199327298551798E-3</v>
      </c>
      <c r="Y16" s="10">
        <f t="shared" si="0"/>
        <v>2.9824239643104371E-2</v>
      </c>
      <c r="Z16" s="10">
        <f t="shared" si="0"/>
        <v>1.35364185419679E-3</v>
      </c>
      <c r="AA16" s="10">
        <f t="shared" si="0"/>
        <v>3.227371235847501E-2</v>
      </c>
    </row>
    <row r="17" spans="1:27" ht="15.75" x14ac:dyDescent="0.25">
      <c r="A17" s="1">
        <v>0.42899999999999999</v>
      </c>
      <c r="B17" s="1">
        <v>0.18</v>
      </c>
      <c r="C17" s="1">
        <v>-1.0469999999999999</v>
      </c>
      <c r="D17" s="1">
        <v>-3.1419999999999999</v>
      </c>
      <c r="E17" s="1">
        <v>1.105</v>
      </c>
      <c r="F17" s="1">
        <v>1.337</v>
      </c>
      <c r="G17" s="1">
        <v>0.40699999999999997</v>
      </c>
      <c r="H17" s="1">
        <f t="shared" si="1"/>
        <v>179.98651894154622</v>
      </c>
      <c r="I17" s="1">
        <f t="shared" si="2"/>
        <v>120.01131610407238</v>
      </c>
      <c r="J17" s="1">
        <v>-3.3441791310906399E-4</v>
      </c>
      <c r="K17" s="1">
        <v>9.3109056353569003E-2</v>
      </c>
      <c r="L17" s="1">
        <v>-2.0891900639981001E-3</v>
      </c>
      <c r="M17" s="1">
        <v>-0.34180399775505099</v>
      </c>
      <c r="N17" s="1">
        <v>-2.30632536113262E-2</v>
      </c>
      <c r="O17" s="1">
        <v>-1.4767043292522399E-2</v>
      </c>
      <c r="P17" s="1">
        <v>5.8500000000000002E-4</v>
      </c>
      <c r="Q17" s="1">
        <v>8.9930999999999997E-2</v>
      </c>
      <c r="R17" s="1">
        <v>1.2459999999999999E-3</v>
      </c>
      <c r="S17" s="1">
        <v>-0.30026000000000003</v>
      </c>
      <c r="T17" s="1">
        <v>6.1609999999999998E-3</v>
      </c>
      <c r="U17" s="1">
        <v>-0.30629000000000001</v>
      </c>
      <c r="V17" s="10">
        <f t="shared" si="0"/>
        <v>9.1941791310906401E-4</v>
      </c>
      <c r="W17" s="10">
        <f t="shared" si="0"/>
        <v>3.178056353569006E-3</v>
      </c>
      <c r="X17" s="10">
        <f t="shared" si="0"/>
        <v>3.3351900639981003E-3</v>
      </c>
      <c r="Y17" s="10">
        <f t="shared" si="0"/>
        <v>4.1543997755050965E-2</v>
      </c>
      <c r="Z17" s="10">
        <f t="shared" si="0"/>
        <v>2.92242536113262E-2</v>
      </c>
      <c r="AA17" s="10">
        <f t="shared" si="0"/>
        <v>0.29152295670747763</v>
      </c>
    </row>
    <row r="18" spans="1:2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0"/>
      <c r="X18" s="10"/>
      <c r="Y18" s="10"/>
      <c r="Z18" s="10"/>
      <c r="AA18" s="10"/>
    </row>
    <row r="19" spans="1:27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</row>
    <row r="20" spans="1:27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2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2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</sheetData>
  <mergeCells count="5">
    <mergeCell ref="A1:G1"/>
    <mergeCell ref="H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AC22"/>
  <sheetViews>
    <sheetView workbookViewId="0">
      <selection activeCell="P26" sqref="P26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140625" bestFit="1" customWidth="1"/>
    <col min="5" max="7" width="8.42578125" bestFit="1" customWidth="1"/>
    <col min="8" max="8" width="11.28515625" bestFit="1" customWidth="1"/>
    <col min="9" max="9" width="13.140625" bestFit="1" customWidth="1"/>
    <col min="10" max="11" width="8.140625" bestFit="1" customWidth="1"/>
    <col min="12" max="15" width="8" bestFit="1" customWidth="1"/>
    <col min="16" max="17" width="7.28515625" bestFit="1" customWidth="1"/>
    <col min="18" max="19" width="8" bestFit="1" customWidth="1"/>
    <col min="20" max="21" width="9" bestFit="1" customWidth="1"/>
    <col min="22" max="22" width="13.28515625" bestFit="1" customWidth="1"/>
    <col min="24" max="29" width="14.42578125" bestFit="1" customWidth="1"/>
  </cols>
  <sheetData>
    <row r="1" spans="1:29" ht="15.75" x14ac:dyDescent="0.25">
      <c r="A1" s="27" t="s">
        <v>17</v>
      </c>
      <c r="B1" s="27"/>
      <c r="C1" s="27"/>
      <c r="D1" s="27"/>
      <c r="E1" s="27"/>
      <c r="F1" s="27"/>
      <c r="G1" s="28"/>
      <c r="H1" s="32" t="s">
        <v>21</v>
      </c>
      <c r="I1" s="33"/>
      <c r="J1" s="23" t="s">
        <v>6</v>
      </c>
      <c r="K1" s="24"/>
      <c r="L1" s="24"/>
      <c r="M1" s="24"/>
      <c r="N1" s="24"/>
      <c r="O1" s="37"/>
      <c r="P1" s="38" t="s">
        <v>11</v>
      </c>
      <c r="Q1" s="39"/>
      <c r="R1" s="39"/>
      <c r="S1" s="40"/>
      <c r="T1" s="41" t="s">
        <v>22</v>
      </c>
      <c r="U1" s="42"/>
      <c r="V1" s="43"/>
      <c r="W1" s="4"/>
      <c r="X1" s="35" t="s">
        <v>35</v>
      </c>
      <c r="Y1" s="35"/>
      <c r="Z1" s="35"/>
      <c r="AA1" s="36" t="s">
        <v>39</v>
      </c>
      <c r="AB1" s="36"/>
      <c r="AC1" s="36"/>
    </row>
    <row r="2" spans="1:29" ht="31.5" x14ac:dyDescent="0.25">
      <c r="A2" s="6" t="s">
        <v>7</v>
      </c>
      <c r="B2" s="6" t="s">
        <v>8</v>
      </c>
      <c r="C2" s="6" t="s">
        <v>9</v>
      </c>
      <c r="D2" s="6" t="s">
        <v>10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7" t="s">
        <v>3</v>
      </c>
      <c r="K2" s="6" t="s">
        <v>4</v>
      </c>
      <c r="L2" s="6" t="s">
        <v>5</v>
      </c>
      <c r="M2" s="6" t="s">
        <v>0</v>
      </c>
      <c r="N2" s="6" t="s">
        <v>1</v>
      </c>
      <c r="O2" s="6" t="s">
        <v>2</v>
      </c>
      <c r="P2" s="8" t="s">
        <v>7</v>
      </c>
      <c r="Q2" s="6" t="s">
        <v>8</v>
      </c>
      <c r="R2" s="6" t="s">
        <v>9</v>
      </c>
      <c r="S2" s="6" t="s">
        <v>10</v>
      </c>
      <c r="T2" s="8" t="s">
        <v>7</v>
      </c>
      <c r="U2" s="6" t="s">
        <v>8</v>
      </c>
      <c r="V2" s="12" t="s">
        <v>40</v>
      </c>
      <c r="W2" s="4"/>
      <c r="X2" s="6" t="s">
        <v>36</v>
      </c>
      <c r="Y2" s="6" t="s">
        <v>37</v>
      </c>
      <c r="Z2" s="6" t="s">
        <v>38</v>
      </c>
      <c r="AA2" s="6" t="s">
        <v>36</v>
      </c>
      <c r="AB2" s="6" t="s">
        <v>37</v>
      </c>
      <c r="AC2" s="6" t="s">
        <v>38</v>
      </c>
    </row>
    <row r="3" spans="1:29" ht="15.75" x14ac:dyDescent="0.25">
      <c r="A3" s="1">
        <f>'Proximal Validation (single)'!A3</f>
        <v>0.71299999999999997</v>
      </c>
      <c r="B3" s="1">
        <f>'Proximal Validation (single)'!B3</f>
        <v>0.04</v>
      </c>
      <c r="C3" s="1">
        <f>'Proximal Validation (single)'!C3</f>
        <v>1.571</v>
      </c>
      <c r="D3" s="1">
        <f>'Proximal Validation (single)'!D3</f>
        <v>-3.1419999999999999</v>
      </c>
      <c r="E3" s="1">
        <f>'Proximal Validation (single)'!E3</f>
        <v>1.19</v>
      </c>
      <c r="F3" s="1">
        <f>'Proximal Validation (single)'!F3</f>
        <v>0.377</v>
      </c>
      <c r="G3" s="1">
        <f>'Proximal Validation (single)'!G3</f>
        <v>0.33800000000000002</v>
      </c>
      <c r="H3" s="1">
        <f>'Proximal Validation (single)'!H3</f>
        <v>-4.7535757374816967E-6</v>
      </c>
      <c r="I3" s="1">
        <f>'Proximal Validation (single)'!I3</f>
        <v>89.988330385915845</v>
      </c>
      <c r="J3" s="10">
        <f>'Proximal Validation (single)'!J3</f>
        <v>-1.6326946206390901E-4</v>
      </c>
      <c r="K3" s="10">
        <f>'Proximal Validation (single)'!K3</f>
        <v>-0.100881785154343</v>
      </c>
      <c r="L3" s="10">
        <f>'Proximal Validation (single)'!L3</f>
        <v>1.53157627210021E-3</v>
      </c>
      <c r="M3" s="10">
        <f>'Proximal Validation (single)'!M3</f>
        <v>-2.8801660984754601E-2</v>
      </c>
      <c r="N3" s="10">
        <f>'Proximal Validation (single)'!N3</f>
        <v>1.2661367654800399E-2</v>
      </c>
      <c r="O3" s="10">
        <f>'Proximal Validation (single)'!O3</f>
        <v>0.76009643077850297</v>
      </c>
      <c r="P3" s="10">
        <v>0.76075300000000001</v>
      </c>
      <c r="Q3" s="10">
        <v>4.2729999999999997E-2</v>
      </c>
      <c r="R3" s="10">
        <v>1.5510870000000001</v>
      </c>
      <c r="S3" s="10">
        <v>2.1208629999999999</v>
      </c>
      <c r="T3" s="10">
        <f t="shared" ref="T3:U16" si="0">P3-A3</f>
        <v>4.7753000000000045E-2</v>
      </c>
      <c r="U3" s="10">
        <f t="shared" si="0"/>
        <v>2.7299999999999963E-3</v>
      </c>
      <c r="V3" s="10">
        <f>DEGREES(ACOS( MAX(-1, MIN(1, AA3*X3 + AB3*Y3 + AC3*Z3)) ))</f>
        <v>1.1354090719064835</v>
      </c>
      <c r="W3" s="3"/>
      <c r="X3" s="11">
        <f t="shared" ref="X3:X16" si="1">COS(C3)*COS(D3)</f>
        <v>2.0367318679731896E-4</v>
      </c>
      <c r="Y3" s="11">
        <f t="shared" ref="Y3:Y16" si="2">COS(C3)*SIN(D3)</f>
        <v>-8.2965546086094279E-8</v>
      </c>
      <c r="Z3" s="11">
        <f t="shared" ref="Z3:Z16" si="3">SIN(C3)</f>
        <v>0.99999997925861284</v>
      </c>
      <c r="AA3" s="11">
        <f t="shared" ref="AA3:AA16" si="4">COS(R3)*COS(S3)</f>
        <v>-1.0302266643310593E-2</v>
      </c>
      <c r="AB3" s="11">
        <f t="shared" ref="AB3:AB16" si="5">COS(R3)*SIN(S3)</f>
        <v>1.6800909724297208E-2</v>
      </c>
      <c r="AC3" s="11">
        <f t="shared" ref="AC3:AC16" si="6">SIN(R3)</f>
        <v>0.9998057775060345</v>
      </c>
    </row>
    <row r="4" spans="1:29" ht="15.75" x14ac:dyDescent="0.25">
      <c r="A4" s="1">
        <f>'Proximal Validation (single)'!A4</f>
        <v>0.42</v>
      </c>
      <c r="B4" s="1">
        <f>'Proximal Validation (single)'!B4</f>
        <v>0.1</v>
      </c>
      <c r="C4" s="1">
        <f>'Proximal Validation (single)'!C4</f>
        <v>1.571</v>
      </c>
      <c r="D4" s="1">
        <f>'Proximal Validation (single)'!D4</f>
        <v>-3.1419999999999999</v>
      </c>
      <c r="E4" s="1">
        <f>'Proximal Validation (single)'!E4</f>
        <v>0.45500000000000002</v>
      </c>
      <c r="F4" s="1">
        <f>'Proximal Validation (single)'!F4</f>
        <v>0.61899999999999999</v>
      </c>
      <c r="G4" s="1">
        <f>'Proximal Validation (single)'!G4</f>
        <v>0.95</v>
      </c>
      <c r="H4" s="1">
        <f>'Proximal Validation (single)'!H4</f>
        <v>-4.7535757374816967E-6</v>
      </c>
      <c r="I4" s="1">
        <f>'Proximal Validation (single)'!I4</f>
        <v>89.988330385915845</v>
      </c>
      <c r="J4" s="10">
        <f>'Proximal Validation (single)'!J4</f>
        <v>-5.1882280968129602E-4</v>
      </c>
      <c r="K4" s="10">
        <f>'Proximal Validation (single)'!K4</f>
        <v>-7.1877092123031602E-2</v>
      </c>
      <c r="L4" s="10">
        <f>'Proximal Validation (single)'!L4</f>
        <v>1.6076841857284301E-3</v>
      </c>
      <c r="M4" s="10">
        <f>'Proximal Validation (single)'!M4</f>
        <v>4.4302064925432197E-3</v>
      </c>
      <c r="N4" s="10">
        <f>'Proximal Validation (single)'!N4</f>
        <v>8.9177526533603703E-3</v>
      </c>
      <c r="O4" s="10">
        <f>'Proximal Validation (single)'!O4</f>
        <v>0.37066662311553999</v>
      </c>
      <c r="P4" s="10">
        <v>0.371952</v>
      </c>
      <c r="Q4" s="10">
        <v>7.1114999999999998E-2</v>
      </c>
      <c r="R4" s="10">
        <v>1.5707960000000001</v>
      </c>
      <c r="S4" s="10">
        <v>-2.0684900000000002</v>
      </c>
      <c r="T4" s="10">
        <f t="shared" si="0"/>
        <v>-4.804799999999998E-2</v>
      </c>
      <c r="U4" s="10">
        <f t="shared" si="0"/>
        <v>-2.8885000000000008E-2</v>
      </c>
      <c r="V4" s="10">
        <f t="shared" ref="V4:V16" si="7">DEGREES(ACOS( MAX(-1, MIN(1, AA4*X4 + AB4*Y4 + AC4*Z4)) ))</f>
        <v>1.1678558762969303E-2</v>
      </c>
      <c r="W4" s="3"/>
      <c r="X4" s="11">
        <f t="shared" si="1"/>
        <v>2.0367318679731896E-4</v>
      </c>
      <c r="Y4" s="11">
        <f t="shared" si="2"/>
        <v>-8.2965546086094279E-8</v>
      </c>
      <c r="Z4" s="11">
        <f t="shared" si="3"/>
        <v>0.99999997925861284</v>
      </c>
      <c r="AA4" s="11">
        <f t="shared" si="4"/>
        <v>-1.5601197287307602E-7</v>
      </c>
      <c r="AB4" s="11">
        <f t="shared" si="5"/>
        <v>-2.8715008048691112E-7</v>
      </c>
      <c r="AC4" s="11">
        <f t="shared" si="6"/>
        <v>0.9999999999999466</v>
      </c>
    </row>
    <row r="5" spans="1:29" ht="15.75" x14ac:dyDescent="0.25">
      <c r="A5" s="1">
        <f>'Proximal Validation (single)'!A5</f>
        <v>0.85199999999999998</v>
      </c>
      <c r="B5" s="1">
        <f>'Proximal Validation (single)'!B5</f>
        <v>0.06</v>
      </c>
      <c r="C5" s="1">
        <f>'Proximal Validation (single)'!C5</f>
        <v>0.78500000000000003</v>
      </c>
      <c r="D5" s="1">
        <f>'Proximal Validation (single)'!D5</f>
        <v>-3.1419999999999999</v>
      </c>
      <c r="E5" s="1">
        <f>'Proximal Validation (single)'!E5</f>
        <v>0.308</v>
      </c>
      <c r="F5" s="1">
        <f>'Proximal Validation (single)'!F5</f>
        <v>0.69399999999999995</v>
      </c>
      <c r="G5" s="1">
        <f>'Proximal Validation (single)'!G5</f>
        <v>1.2999999999999999E-2</v>
      </c>
      <c r="H5" s="1">
        <f>'Proximal Validation (single)'!H5</f>
        <v>2.3357821223058295E-2</v>
      </c>
      <c r="I5" s="1">
        <f>'Proximal Validation (single)'!I5</f>
        <v>135.02280832486795</v>
      </c>
      <c r="J5" s="10">
        <f>'Proximal Validation (single)'!J5</f>
        <v>5.0875842571258502E-3</v>
      </c>
      <c r="K5" s="10">
        <f>'Proximal Validation (single)'!K5</f>
        <v>-9.5912657678127303E-2</v>
      </c>
      <c r="L5" s="10">
        <f>'Proximal Validation (single)'!L5</f>
        <v>-3.1094127334654301E-3</v>
      </c>
      <c r="M5" s="10">
        <f>'Proximal Validation (single)'!M5</f>
        <v>-0.68315470218658403</v>
      </c>
      <c r="N5" s="10">
        <f>'Proximal Validation (single)'!N5</f>
        <v>-1.7542302608490001E-2</v>
      </c>
      <c r="O5" s="10">
        <f>'Proximal Validation (single)'!O5</f>
        <v>0.53376686573028598</v>
      </c>
      <c r="P5" s="10">
        <v>0.86715299999999995</v>
      </c>
      <c r="Q5" s="10">
        <v>8.4087999999999996E-2</v>
      </c>
      <c r="R5" s="10">
        <v>0.75554200000000005</v>
      </c>
      <c r="S5" s="10">
        <v>-3.1001400000000001</v>
      </c>
      <c r="T5" s="10">
        <f t="shared" si="0"/>
        <v>1.5152999999999972E-2</v>
      </c>
      <c r="U5" s="10">
        <f t="shared" si="0"/>
        <v>2.4087999999999998E-2</v>
      </c>
      <c r="V5" s="10">
        <f t="shared" si="7"/>
        <v>2.4105749562530598</v>
      </c>
      <c r="W5" s="3"/>
      <c r="X5" s="11">
        <f t="shared" si="1"/>
        <v>-0.70738821047834455</v>
      </c>
      <c r="Y5" s="11">
        <f t="shared" si="2"/>
        <v>2.8815206409866709E-4</v>
      </c>
      <c r="Z5" s="11">
        <f t="shared" si="3"/>
        <v>0.70682518110536596</v>
      </c>
      <c r="AA5" s="11">
        <f t="shared" si="4"/>
        <v>-0.7272747158397288</v>
      </c>
      <c r="AB5" s="11">
        <f t="shared" si="5"/>
        <v>-3.0164746427267967E-2</v>
      </c>
      <c r="AC5" s="11">
        <f t="shared" si="6"/>
        <v>0.68568329115796633</v>
      </c>
    </row>
    <row r="6" spans="1:29" ht="15.75" x14ac:dyDescent="0.25">
      <c r="A6" s="1">
        <f>'Proximal Validation (single)'!A6</f>
        <v>0.61099999999999999</v>
      </c>
      <c r="B6" s="1">
        <f>'Proximal Validation (single)'!B6</f>
        <v>0.1</v>
      </c>
      <c r="C6" s="1">
        <f>'Proximal Validation (single)'!C6</f>
        <v>0.78500000000000003</v>
      </c>
      <c r="D6" s="1">
        <f>'Proximal Validation (single)'!D6</f>
        <v>-3.1419999999999999</v>
      </c>
      <c r="E6" s="1">
        <f>'Proximal Validation (single)'!E6</f>
        <v>1.008</v>
      </c>
      <c r="F6" s="1">
        <f>'Proximal Validation (single)'!F6</f>
        <v>4.5999999999999999E-2</v>
      </c>
      <c r="G6" s="1">
        <f>'Proximal Validation (single)'!G6</f>
        <v>1.286</v>
      </c>
      <c r="H6" s="1">
        <f>'Proximal Validation (single)'!H6</f>
        <v>2.3357821223058295E-2</v>
      </c>
      <c r="I6" s="1">
        <f>'Proximal Validation (single)'!I6</f>
        <v>135.02280832486795</v>
      </c>
      <c r="J6" s="10">
        <f>'Proximal Validation (single)'!J6</f>
        <v>1.3818801380693899E-3</v>
      </c>
      <c r="K6" s="10">
        <f>'Proximal Validation (single)'!K6</f>
        <v>-7.7725052833557101E-2</v>
      </c>
      <c r="L6" s="10">
        <f>'Proximal Validation (single)'!L6</f>
        <v>7.5050460873171698E-4</v>
      </c>
      <c r="M6" s="10">
        <f>'Proximal Validation (single)'!M6</f>
        <v>-0.47689080238342302</v>
      </c>
      <c r="N6" s="10">
        <f>'Proximal Validation (single)'!N6</f>
        <v>-5.1729008555412301E-3</v>
      </c>
      <c r="O6" s="10">
        <f>'Proximal Validation (single)'!O6</f>
        <v>0.36760026216507002</v>
      </c>
      <c r="P6" s="10">
        <v>0.60215300000000005</v>
      </c>
      <c r="Q6" s="10">
        <v>0.11426699999999999</v>
      </c>
      <c r="R6" s="10">
        <v>0.73087199999999997</v>
      </c>
      <c r="S6" s="10">
        <v>3.1077300000000001</v>
      </c>
      <c r="T6" s="10">
        <f t="shared" si="0"/>
        <v>-8.8469999999999382E-3</v>
      </c>
      <c r="U6" s="10">
        <f t="shared" si="0"/>
        <v>1.4266999999999988E-2</v>
      </c>
      <c r="V6" s="10">
        <f t="shared" si="7"/>
        <v>3.3991579158026095</v>
      </c>
      <c r="W6" s="3"/>
      <c r="X6" s="11">
        <f t="shared" si="1"/>
        <v>-0.70738821047834455</v>
      </c>
      <c r="Y6" s="11">
        <f t="shared" si="2"/>
        <v>2.8815206409866709E-4</v>
      </c>
      <c r="Z6" s="11">
        <f t="shared" si="3"/>
        <v>0.70682518110536596</v>
      </c>
      <c r="AA6" s="11">
        <f t="shared" si="4"/>
        <v>-0.74416574511075206</v>
      </c>
      <c r="AB6" s="11">
        <f t="shared" si="5"/>
        <v>2.5209063147112902E-2</v>
      </c>
      <c r="AC6" s="11">
        <f t="shared" si="6"/>
        <v>0.66751917346170975</v>
      </c>
    </row>
    <row r="7" spans="1:29" ht="15.75" x14ac:dyDescent="0.25">
      <c r="A7" s="1">
        <f>'Proximal Validation (single)'!A7</f>
        <v>0.65800000000000003</v>
      </c>
      <c r="B7" s="1">
        <f>'Proximal Validation (single)'!B7</f>
        <v>0.04</v>
      </c>
      <c r="C7" s="1">
        <f>'Proximal Validation (single)'!C7</f>
        <v>-0.78500000000000003</v>
      </c>
      <c r="D7" s="1">
        <f>'Proximal Validation (single)'!D7</f>
        <v>0</v>
      </c>
      <c r="E7" s="1">
        <f>'Proximal Validation (single)'!E7</f>
        <v>0.39700000000000002</v>
      </c>
      <c r="F7" s="1">
        <f>'Proximal Validation (single)'!F7</f>
        <v>0.309</v>
      </c>
      <c r="G7" s="1">
        <f>'Proximal Validation (single)'!G7</f>
        <v>6.5000000000000002E-2</v>
      </c>
      <c r="H7" s="1">
        <f>'Proximal Validation (single)'!H7</f>
        <v>180</v>
      </c>
      <c r="I7" s="1">
        <f>'Proximal Validation (single)'!I7</f>
        <v>44.977186917769622</v>
      </c>
      <c r="J7" s="10">
        <f>'Proximal Validation (single)'!J7</f>
        <v>1.07296812348068E-3</v>
      </c>
      <c r="K7" s="10">
        <f>'Proximal Validation (single)'!K7</f>
        <v>5.7813204824924497E-2</v>
      </c>
      <c r="L7" s="10">
        <f>'Proximal Validation (single)'!L7</f>
        <v>8.9241954265162305E-4</v>
      </c>
      <c r="M7" s="10">
        <f>'Proximal Validation (single)'!M7</f>
        <v>0.47709453105926503</v>
      </c>
      <c r="N7" s="10">
        <f>'Proximal Validation (single)'!N7</f>
        <v>-8.8123306632041896E-3</v>
      </c>
      <c r="O7" s="10">
        <f>'Proximal Validation (single)'!O7</f>
        <v>-0.472019493579865</v>
      </c>
      <c r="P7" s="10">
        <v>0.67119300000000004</v>
      </c>
      <c r="Q7" s="10">
        <v>3.2551999999999998E-2</v>
      </c>
      <c r="R7" s="10">
        <v>-0.77480000000000004</v>
      </c>
      <c r="S7" s="10">
        <v>-1.84E-2</v>
      </c>
      <c r="T7" s="10">
        <f t="shared" si="0"/>
        <v>1.319300000000001E-2</v>
      </c>
      <c r="U7" s="10">
        <f t="shared" si="0"/>
        <v>-7.4480000000000032E-3</v>
      </c>
      <c r="V7" s="10">
        <f t="shared" si="7"/>
        <v>0.9504421658144363</v>
      </c>
      <c r="W7" s="3"/>
      <c r="X7" s="11">
        <f t="shared" si="1"/>
        <v>0.70738826916719977</v>
      </c>
      <c r="Y7" s="11">
        <f t="shared" si="2"/>
        <v>0</v>
      </c>
      <c r="Z7" s="11">
        <f t="shared" si="3"/>
        <v>-0.70682518110536596</v>
      </c>
      <c r="AA7" s="11">
        <f t="shared" si="4"/>
        <v>0.71444000551450459</v>
      </c>
      <c r="AB7" s="11">
        <f t="shared" si="5"/>
        <v>-1.3147179838024785E-2</v>
      </c>
      <c r="AC7" s="11">
        <f t="shared" si="6"/>
        <v>-0.69957317714642353</v>
      </c>
    </row>
    <row r="8" spans="1:29" ht="15.75" x14ac:dyDescent="0.25">
      <c r="A8" s="1">
        <f>'Proximal Validation (single)'!A8</f>
        <v>0.36299999999999999</v>
      </c>
      <c r="B8" s="1">
        <f>'Proximal Validation (single)'!B8</f>
        <v>0.18</v>
      </c>
      <c r="C8" s="1">
        <f>'Proximal Validation (single)'!C8</f>
        <v>-0.78500000000000003</v>
      </c>
      <c r="D8" s="1">
        <f>'Proximal Validation (single)'!D8</f>
        <v>0</v>
      </c>
      <c r="E8" s="1">
        <f>'Proximal Validation (single)'!E8</f>
        <v>0.75600000000000001</v>
      </c>
      <c r="F8" s="1">
        <f>'Proximal Validation (single)'!F8</f>
        <v>1.339</v>
      </c>
      <c r="G8" s="1">
        <f>'Proximal Validation (single)'!G8</f>
        <v>0.39400000000000002</v>
      </c>
      <c r="H8" s="1">
        <f>'Proximal Validation (single)'!H8</f>
        <v>180</v>
      </c>
      <c r="I8" s="1">
        <f>'Proximal Validation (single)'!I8</f>
        <v>44.977186917769622</v>
      </c>
      <c r="J8" s="10">
        <f>'Proximal Validation (single)'!J8</f>
        <v>2.4311949964612701E-3</v>
      </c>
      <c r="K8" s="10">
        <f>'Proximal Validation (single)'!K8</f>
        <v>7.3576457798481001E-2</v>
      </c>
      <c r="L8" s="10">
        <f>'Proximal Validation (single)'!L8</f>
        <v>5.0929910503327803E-3</v>
      </c>
      <c r="M8" s="10">
        <f>'Proximal Validation (single)'!M8</f>
        <v>0.17550502717495001</v>
      </c>
      <c r="N8" s="10">
        <f>'Proximal Validation (single)'!N8</f>
        <v>1.23990438878536E-2</v>
      </c>
      <c r="O8" s="10">
        <f>'Proximal Validation (single)'!O8</f>
        <v>-0.29193350672721902</v>
      </c>
      <c r="P8" s="10">
        <v>0.34079999999999999</v>
      </c>
      <c r="Q8" s="10">
        <v>0.1754</v>
      </c>
      <c r="R8" s="10">
        <v>-0.87</v>
      </c>
      <c r="S8" s="10">
        <v>0.1104</v>
      </c>
      <c r="T8" s="10">
        <f t="shared" si="0"/>
        <v>-2.2199999999999998E-2</v>
      </c>
      <c r="U8" s="10">
        <f t="shared" si="0"/>
        <v>-4.599999999999993E-3</v>
      </c>
      <c r="V8" s="10">
        <f t="shared" si="7"/>
        <v>6.4792811391850655</v>
      </c>
      <c r="W8" s="3"/>
      <c r="X8" s="11">
        <f t="shared" si="1"/>
        <v>0.70738826916719977</v>
      </c>
      <c r="Y8" s="11">
        <f t="shared" si="2"/>
        <v>0</v>
      </c>
      <c r="Z8" s="11">
        <f t="shared" si="3"/>
        <v>-0.70682518110536596</v>
      </c>
      <c r="AA8" s="11">
        <f t="shared" si="4"/>
        <v>0.64090091229489843</v>
      </c>
      <c r="AB8" s="11">
        <f t="shared" si="5"/>
        <v>7.1044328732337472E-2</v>
      </c>
      <c r="AC8" s="11">
        <f t="shared" si="6"/>
        <v>-0.76432893702550508</v>
      </c>
    </row>
    <row r="9" spans="1:29" ht="15.75" x14ac:dyDescent="0.25">
      <c r="A9" s="1">
        <f>'Proximal Validation (single)'!A9</f>
        <v>0.216</v>
      </c>
      <c r="B9" s="1">
        <f>'Proximal Validation (single)'!B9</f>
        <v>0.04</v>
      </c>
      <c r="C9" s="1">
        <f>'Proximal Validation (single)'!C9</f>
        <v>-1.0469999999999999</v>
      </c>
      <c r="D9" s="1">
        <f>'Proximal Validation (single)'!D9</f>
        <v>0</v>
      </c>
      <c r="E9" s="1">
        <f>'Proximal Validation (single)'!E9</f>
        <v>1.1060000000000001</v>
      </c>
      <c r="F9" s="1">
        <f>'Proximal Validation (single)'!F9</f>
        <v>0.21299999999999999</v>
      </c>
      <c r="G9" s="1">
        <f>'Proximal Validation (single)'!G9</f>
        <v>0.41899999999999998</v>
      </c>
      <c r="H9" s="1">
        <f>'Proximal Validation (single)'!H9</f>
        <v>180</v>
      </c>
      <c r="I9" s="1">
        <f>'Proximal Validation (single)'!I9</f>
        <v>59.988681150197188</v>
      </c>
      <c r="J9" s="10">
        <f>'Proximal Validation (single)'!J9</f>
        <v>3.5711145028471898E-4</v>
      </c>
      <c r="K9" s="10">
        <f>'Proximal Validation (single)'!K9</f>
        <v>1.85544919222593E-2</v>
      </c>
      <c r="L9" s="10">
        <f>'Proximal Validation (single)'!L9</f>
        <v>4.15118120145053E-4</v>
      </c>
      <c r="M9" s="10">
        <f>'Proximal Validation (single)'!M9</f>
        <v>8.16621333360672E-2</v>
      </c>
      <c r="N9" s="10">
        <f>'Proximal Validation (single)'!N9</f>
        <v>-3.1207241117954302E-3</v>
      </c>
      <c r="O9" s="10">
        <f>'Proximal Validation (single)'!O9</f>
        <v>-0.143352866172791</v>
      </c>
      <c r="P9" s="10">
        <v>0.16501099999999999</v>
      </c>
      <c r="Q9" s="10">
        <v>3.9321000000000002E-2</v>
      </c>
      <c r="R9" s="10">
        <v>-1.0518700000000001</v>
      </c>
      <c r="S9" s="10">
        <v>-4.5289999999999997E-2</v>
      </c>
      <c r="T9" s="10">
        <f t="shared" si="0"/>
        <v>-5.0989000000000007E-2</v>
      </c>
      <c r="U9" s="10">
        <f t="shared" si="0"/>
        <v>-6.7899999999999905E-4</v>
      </c>
      <c r="V9" s="10">
        <f t="shared" si="7"/>
        <v>1.3221154382274709</v>
      </c>
      <c r="W9" s="3"/>
      <c r="X9" s="11">
        <f t="shared" si="1"/>
        <v>0.50017107459707011</v>
      </c>
      <c r="Y9" s="11">
        <f t="shared" si="2"/>
        <v>0</v>
      </c>
      <c r="Z9" s="11">
        <f t="shared" si="3"/>
        <v>-0.86592661128782278</v>
      </c>
      <c r="AA9" s="11">
        <f t="shared" si="4"/>
        <v>0.49543954393844791</v>
      </c>
      <c r="AB9" s="11">
        <f t="shared" si="5"/>
        <v>-2.2453811345013879E-2</v>
      </c>
      <c r="AC9" s="11">
        <f t="shared" si="6"/>
        <v>-0.86835216626559142</v>
      </c>
    </row>
    <row r="10" spans="1:29" ht="15.75" x14ac:dyDescent="0.25">
      <c r="A10" s="1">
        <f>'Proximal Validation (single)'!A10</f>
        <v>0.16600000000000001</v>
      </c>
      <c r="B10" s="1">
        <f>'Proximal Validation (single)'!B10</f>
        <v>0.1</v>
      </c>
      <c r="C10" s="1">
        <f>'Proximal Validation (single)'!C10</f>
        <v>-1.0469999999999999</v>
      </c>
      <c r="D10" s="1">
        <f>'Proximal Validation (single)'!D10</f>
        <v>0</v>
      </c>
      <c r="E10" s="1">
        <f>'Proximal Validation (single)'!E10</f>
        <v>0.96199999999999997</v>
      </c>
      <c r="F10" s="1">
        <f>'Proximal Validation (single)'!F10</f>
        <v>0.95899999999999996</v>
      </c>
      <c r="G10" s="1">
        <f>'Proximal Validation (single)'!G10</f>
        <v>0.77900000000000003</v>
      </c>
      <c r="H10" s="1">
        <f>'Proximal Validation (single)'!H10</f>
        <v>180</v>
      </c>
      <c r="I10" s="1">
        <f>'Proximal Validation (single)'!I10</f>
        <v>59.988681150197188</v>
      </c>
      <c r="J10" s="10">
        <f>'Proximal Validation (single)'!J10</f>
        <v>1.57059723278508E-4</v>
      </c>
      <c r="K10" s="10">
        <f>'Proximal Validation (single)'!K10</f>
        <v>1.61643829196692E-2</v>
      </c>
      <c r="L10" s="10">
        <f>'Proximal Validation (single)'!L10</f>
        <v>3.0920116114430102E-4</v>
      </c>
      <c r="M10" s="10">
        <f>'Proximal Validation (single)'!M10</f>
        <v>6.02265410125256E-2</v>
      </c>
      <c r="N10" s="10">
        <f>'Proximal Validation (single)'!N10</f>
        <v>-2.8210813179612199E-3</v>
      </c>
      <c r="O10" s="10">
        <f>'Proximal Validation (single)'!O10</f>
        <v>-8.4745019674301106E-2</v>
      </c>
      <c r="P10" s="10">
        <v>0.104004</v>
      </c>
      <c r="Q10" s="10">
        <v>0.100994</v>
      </c>
      <c r="R10" s="10">
        <v>-0.94237000000000004</v>
      </c>
      <c r="S10" s="10">
        <v>-4.317E-2</v>
      </c>
      <c r="T10" s="10">
        <f t="shared" si="0"/>
        <v>-6.1996000000000009E-2</v>
      </c>
      <c r="U10" s="10">
        <f t="shared" si="0"/>
        <v>9.9399999999999489E-4</v>
      </c>
      <c r="V10" s="10">
        <f t="shared" si="7"/>
        <v>6.1433151569616742</v>
      </c>
      <c r="W10" s="3"/>
      <c r="X10" s="11">
        <f t="shared" si="1"/>
        <v>0.50017107459707011</v>
      </c>
      <c r="Y10" s="11">
        <f t="shared" si="2"/>
        <v>0</v>
      </c>
      <c r="Z10" s="11">
        <f t="shared" si="3"/>
        <v>-0.86592661128782278</v>
      </c>
      <c r="AA10" s="11">
        <f t="shared" si="4"/>
        <v>0.5873247488751886</v>
      </c>
      <c r="AB10" s="11">
        <f t="shared" si="5"/>
        <v>-2.537057198029391E-2</v>
      </c>
      <c r="AC10" s="11">
        <f t="shared" si="6"/>
        <v>-0.80895362873040466</v>
      </c>
    </row>
    <row r="11" spans="1:29" ht="15.75" x14ac:dyDescent="0.25">
      <c r="A11" s="1">
        <f>'Proximal Validation (single)'!A11</f>
        <v>0.184</v>
      </c>
      <c r="B11" s="1">
        <f>'Proximal Validation (single)'!B11</f>
        <v>0.12</v>
      </c>
      <c r="C11" s="1">
        <f>'Proximal Validation (single)'!C11</f>
        <v>-1.0469999999999999</v>
      </c>
      <c r="D11" s="1">
        <f>'Proximal Validation (single)'!D11</f>
        <v>0</v>
      </c>
      <c r="E11" s="1">
        <f>'Proximal Validation (single)'!E11</f>
        <v>0.27600000000000002</v>
      </c>
      <c r="F11" s="1">
        <f>'Proximal Validation (single)'!F11</f>
        <v>0.89400000000000002</v>
      </c>
      <c r="G11" s="1">
        <f>'Proximal Validation (single)'!G11</f>
        <v>0.747</v>
      </c>
      <c r="H11" s="1">
        <f>'Proximal Validation (single)'!H11</f>
        <v>180</v>
      </c>
      <c r="I11" s="1">
        <f>'Proximal Validation (single)'!I11</f>
        <v>59.988681150197188</v>
      </c>
      <c r="J11" s="10">
        <f>'Proximal Validation (single)'!J11</f>
        <v>2.1470242063514899E-4</v>
      </c>
      <c r="K11" s="10">
        <f>'Proximal Validation (single)'!K11</f>
        <v>1.5533366240561E-2</v>
      </c>
      <c r="L11" s="10">
        <f>'Proximal Validation (single)'!L11</f>
        <v>3.6654109135270102E-4</v>
      </c>
      <c r="M11" s="10">
        <f>'Proximal Validation (single)'!M11</f>
        <v>4.6168811619281797E-2</v>
      </c>
      <c r="N11" s="10">
        <f>'Proximal Validation (single)'!N11</f>
        <v>-1.54446065425873E-3</v>
      </c>
      <c r="O11" s="10">
        <f>'Proximal Validation (single)'!O11</f>
        <v>-7.3661819100379902E-2</v>
      </c>
      <c r="P11" s="10">
        <v>8.6946999999999997E-2</v>
      </c>
      <c r="Q11" s="10">
        <v>0.122346</v>
      </c>
      <c r="R11" s="10">
        <v>-0.97684000000000004</v>
      </c>
      <c r="S11" s="10">
        <v>1.6639999999999999E-3</v>
      </c>
      <c r="T11" s="10">
        <f t="shared" si="0"/>
        <v>-9.7053E-2</v>
      </c>
      <c r="U11" s="10">
        <f t="shared" si="0"/>
        <v>2.3460000000000009E-3</v>
      </c>
      <c r="V11" s="10">
        <f t="shared" si="7"/>
        <v>4.0201886134922917</v>
      </c>
      <c r="W11" s="3"/>
      <c r="X11" s="11">
        <f t="shared" si="1"/>
        <v>0.50017107459707011</v>
      </c>
      <c r="Y11" s="11">
        <f t="shared" si="2"/>
        <v>0</v>
      </c>
      <c r="Z11" s="11">
        <f t="shared" si="3"/>
        <v>-0.86592661128782278</v>
      </c>
      <c r="AA11" s="11">
        <f t="shared" si="4"/>
        <v>0.55964335819144062</v>
      </c>
      <c r="AB11" s="11">
        <f t="shared" si="5"/>
        <v>9.3124740753978963E-4</v>
      </c>
      <c r="AC11" s="11">
        <f t="shared" si="6"/>
        <v>-0.8287330356697945</v>
      </c>
    </row>
    <row r="12" spans="1:29" ht="15.75" x14ac:dyDescent="0.25">
      <c r="A12" s="1">
        <f>'Proximal Validation (single)'!A12</f>
        <v>0.96099999999999997</v>
      </c>
      <c r="B12" s="1">
        <f>'Proximal Validation (single)'!B12</f>
        <v>0.14000000000000001</v>
      </c>
      <c r="C12" s="1">
        <f>'Proximal Validation (single)'!C12</f>
        <v>-1.0469999999999999</v>
      </c>
      <c r="D12" s="1">
        <f>'Proximal Validation (single)'!D12</f>
        <v>0</v>
      </c>
      <c r="E12" s="1">
        <f>'Proximal Validation (single)'!E12</f>
        <v>0.61</v>
      </c>
      <c r="F12" s="1">
        <f>'Proximal Validation (single)'!F12</f>
        <v>0.64800000000000002</v>
      </c>
      <c r="G12" s="1">
        <f>'Proximal Validation (single)'!G12</f>
        <v>1.244</v>
      </c>
      <c r="H12" s="1">
        <f>'Proximal Validation (single)'!H12</f>
        <v>180</v>
      </c>
      <c r="I12" s="1">
        <f>'Proximal Validation (single)'!I12</f>
        <v>59.988681150197188</v>
      </c>
      <c r="J12" s="10">
        <f>'Proximal Validation (single)'!J12</f>
        <v>3.1155147589743098E-3</v>
      </c>
      <c r="K12" s="10">
        <f>'Proximal Validation (single)'!K12</f>
        <v>0.20931206643581399</v>
      </c>
      <c r="L12" s="10">
        <f>'Proximal Validation (single)'!L12</f>
        <v>-5.0425098743289698E-4</v>
      </c>
      <c r="M12" s="10">
        <f>'Proximal Validation (single)'!M12</f>
        <v>7.1921110153198201E-2</v>
      </c>
      <c r="N12" s="10">
        <f>'Proximal Validation (single)'!N12</f>
        <v>-1.0019063949585001E-2</v>
      </c>
      <c r="O12" s="10">
        <f>'Proximal Validation (single)'!O12</f>
        <v>-0.94342941045761097</v>
      </c>
      <c r="P12" s="10">
        <v>0.94640000000000002</v>
      </c>
      <c r="Q12" s="10">
        <v>0.1404</v>
      </c>
      <c r="R12" s="10">
        <v>-1.0283</v>
      </c>
      <c r="S12" s="10">
        <v>-1.55E-2</v>
      </c>
      <c r="T12" s="10">
        <f t="shared" si="0"/>
        <v>-1.4599999999999946E-2</v>
      </c>
      <c r="U12" s="10">
        <f t="shared" si="0"/>
        <v>3.999999999999837E-4</v>
      </c>
      <c r="V12" s="10">
        <f t="shared" si="7"/>
        <v>1.1625983025477167</v>
      </c>
      <c r="W12" s="3"/>
      <c r="X12" s="11">
        <f t="shared" si="1"/>
        <v>0.50017107459707011</v>
      </c>
      <c r="Y12" s="11">
        <f t="shared" si="2"/>
        <v>0</v>
      </c>
      <c r="Z12" s="11">
        <f t="shared" si="3"/>
        <v>-0.86592661128782278</v>
      </c>
      <c r="AA12" s="11">
        <f t="shared" si="4"/>
        <v>0.51621349228269831</v>
      </c>
      <c r="AB12" s="11">
        <f t="shared" si="5"/>
        <v>-8.0019499634721453E-3</v>
      </c>
      <c r="AC12" s="11">
        <f t="shared" si="6"/>
        <v>-0.85642255877696416</v>
      </c>
    </row>
    <row r="13" spans="1:29" ht="15.75" x14ac:dyDescent="0.25">
      <c r="A13" s="1">
        <f>'Proximal Validation (single)'!A13</f>
        <v>0.51</v>
      </c>
      <c r="B13" s="1">
        <f>'Proximal Validation (single)'!B13</f>
        <v>0.06</v>
      </c>
      <c r="C13" s="1">
        <f>'Proximal Validation (single)'!C13</f>
        <v>-1.571</v>
      </c>
      <c r="D13" s="1">
        <f>'Proximal Validation (single)'!D13</f>
        <v>-3.1419999999999999</v>
      </c>
      <c r="E13" s="1">
        <f>'Proximal Validation (single)'!E13</f>
        <v>0.77</v>
      </c>
      <c r="F13" s="1">
        <f>'Proximal Validation (single)'!F13</f>
        <v>0.72299999999999998</v>
      </c>
      <c r="G13" s="1">
        <f>'Proximal Validation (single)'!G13</f>
        <v>0.80800000000000005</v>
      </c>
      <c r="H13" s="1">
        <f>'Proximal Validation (single)'!H13</f>
        <v>180.00000475357575</v>
      </c>
      <c r="I13" s="1">
        <f>'Proximal Validation (single)'!I13</f>
        <v>89.988330385915845</v>
      </c>
      <c r="J13" s="10">
        <f>'Proximal Validation (single)'!J13</f>
        <v>1.2828013859689201E-3</v>
      </c>
      <c r="K13" s="10">
        <f>'Proximal Validation (single)'!K13</f>
        <v>7.6031476259231595E-2</v>
      </c>
      <c r="L13" s="10">
        <f>'Proximal Validation (single)'!L13</f>
        <v>1.58086710143834E-4</v>
      </c>
      <c r="M13" s="10">
        <f>'Proximal Validation (single)'!M13</f>
        <v>7.8634992241859401E-3</v>
      </c>
      <c r="N13" s="10">
        <f>'Proximal Validation (single)'!N13</f>
        <v>-3.59749794006348E-3</v>
      </c>
      <c r="O13" s="10">
        <f>'Proximal Validation (single)'!O13</f>
        <v>-0.493918687105179</v>
      </c>
      <c r="P13" s="10">
        <v>0.49399599999999999</v>
      </c>
      <c r="Q13" s="10">
        <v>6.3988000000000003E-2</v>
      </c>
      <c r="R13" s="10">
        <v>-1.5185999999999999</v>
      </c>
      <c r="S13" s="10">
        <v>-0.13633999999999999</v>
      </c>
      <c r="T13" s="10">
        <f t="shared" si="0"/>
        <v>-1.6004000000000018E-2</v>
      </c>
      <c r="U13" s="10">
        <f t="shared" si="0"/>
        <v>3.9880000000000054E-3</v>
      </c>
      <c r="V13" s="10">
        <f t="shared" si="7"/>
        <v>2.9790676835661412</v>
      </c>
      <c r="W13" s="3"/>
      <c r="X13" s="11">
        <f t="shared" si="1"/>
        <v>2.0367318679731896E-4</v>
      </c>
      <c r="Y13" s="11">
        <f t="shared" si="2"/>
        <v>-8.2965546086094279E-8</v>
      </c>
      <c r="Z13" s="11">
        <f t="shared" si="3"/>
        <v>-0.99999997925861284</v>
      </c>
      <c r="AA13" s="11">
        <f t="shared" si="4"/>
        <v>5.1688471650440257E-2</v>
      </c>
      <c r="AB13" s="11">
        <f t="shared" si="5"/>
        <v>-7.0911992500963328E-3</v>
      </c>
      <c r="AC13" s="11">
        <f t="shared" si="6"/>
        <v>-0.99863808098411566</v>
      </c>
    </row>
    <row r="14" spans="1:29" ht="15.75" x14ac:dyDescent="0.25">
      <c r="A14" s="1">
        <f>'Proximal Validation (single)'!A14</f>
        <v>0.309</v>
      </c>
      <c r="B14" s="1">
        <f>'Proximal Validation (single)'!B14</f>
        <v>0.12</v>
      </c>
      <c r="C14" s="1">
        <f>'Proximal Validation (single)'!C14</f>
        <v>-1.571</v>
      </c>
      <c r="D14" s="1">
        <f>'Proximal Validation (single)'!D14</f>
        <v>0</v>
      </c>
      <c r="E14" s="1">
        <f>'Proximal Validation (single)'!E14</f>
        <v>7.4999999999999997E-2</v>
      </c>
      <c r="F14" s="1">
        <f>'Proximal Validation (single)'!F14</f>
        <v>0.871</v>
      </c>
      <c r="G14" s="1">
        <f>'Proximal Validation (single)'!G14</f>
        <v>0.308</v>
      </c>
      <c r="H14" s="1">
        <f>'Proximal Validation (single)'!H14</f>
        <v>180</v>
      </c>
      <c r="I14" s="1">
        <f>'Proximal Validation (single)'!I14</f>
        <v>90.011669615052327</v>
      </c>
      <c r="J14" s="10">
        <f>'Proximal Validation (single)'!J14</f>
        <v>1.0434185387566701E-3</v>
      </c>
      <c r="K14" s="10">
        <f>'Proximal Validation (single)'!K14</f>
        <v>5.3879972547292702E-2</v>
      </c>
      <c r="L14" s="10">
        <f>'Proximal Validation (single)'!L14</f>
        <v>5.6870019761845502E-4</v>
      </c>
      <c r="M14" s="10">
        <f>'Proximal Validation (single)'!M14</f>
        <v>-1.8664564937353099E-2</v>
      </c>
      <c r="N14" s="10">
        <f>'Proximal Validation (single)'!N14</f>
        <v>-2.4635009467601802E-3</v>
      </c>
      <c r="O14" s="10">
        <f>'Proximal Validation (single)'!O14</f>
        <v>-0.247733265161514</v>
      </c>
      <c r="P14" s="10">
        <v>0.248444</v>
      </c>
      <c r="Q14" s="10">
        <v>0.127307</v>
      </c>
      <c r="R14" s="10">
        <v>-1.5584800000000001</v>
      </c>
      <c r="S14" s="10">
        <v>-0.8972</v>
      </c>
      <c r="T14" s="10">
        <f t="shared" si="0"/>
        <v>-6.0555999999999999E-2</v>
      </c>
      <c r="U14" s="10">
        <f t="shared" si="0"/>
        <v>7.3070000000000079E-3</v>
      </c>
      <c r="V14" s="10">
        <f t="shared" si="7"/>
        <v>0.71301139567809257</v>
      </c>
      <c r="W14" s="3"/>
      <c r="X14" s="11">
        <f t="shared" si="1"/>
        <v>-2.0367320369517786E-4</v>
      </c>
      <c r="Y14" s="11">
        <f t="shared" si="2"/>
        <v>0</v>
      </c>
      <c r="Z14" s="11">
        <f t="shared" si="3"/>
        <v>-0.99999997925861284</v>
      </c>
      <c r="AA14" s="11">
        <f t="shared" si="4"/>
        <v>7.682740811786117E-3</v>
      </c>
      <c r="AB14" s="11">
        <f t="shared" si="5"/>
        <v>-9.6259923825016726E-3</v>
      </c>
      <c r="AC14" s="11">
        <f t="shared" si="6"/>
        <v>-0.99992415500590393</v>
      </c>
    </row>
    <row r="15" spans="1:29" ht="15.75" x14ac:dyDescent="0.25">
      <c r="A15" s="1">
        <f>'Proximal Validation (single)'!A15</f>
        <v>0.89700000000000002</v>
      </c>
      <c r="B15" s="1">
        <f>'Proximal Validation (single)'!B15</f>
        <v>0.2</v>
      </c>
      <c r="C15" s="1">
        <f>'Proximal Validation (single)'!C15</f>
        <v>-1.571</v>
      </c>
      <c r="D15" s="1">
        <f>'Proximal Validation (single)'!D15</f>
        <v>-3.1419999999999999</v>
      </c>
      <c r="E15" s="1">
        <f>'Proximal Validation (single)'!E15</f>
        <v>1.266</v>
      </c>
      <c r="F15" s="1">
        <f>'Proximal Validation (single)'!F15</f>
        <v>0.65300000000000002</v>
      </c>
      <c r="G15" s="1">
        <f>'Proximal Validation (single)'!G15</f>
        <v>0.55800000000000005</v>
      </c>
      <c r="H15" s="1">
        <f>'Proximal Validation (single)'!H15</f>
        <v>180.00000475357575</v>
      </c>
      <c r="I15" s="1">
        <f>'Proximal Validation (single)'!I15</f>
        <v>89.988330385915845</v>
      </c>
      <c r="J15" s="10">
        <f>'Proximal Validation (single)'!J15</f>
        <v>-3.10788210481405E-3</v>
      </c>
      <c r="K15" s="10">
        <f>'Proximal Validation (single)'!K15</f>
        <v>0.22791178524494199</v>
      </c>
      <c r="L15" s="10">
        <f>'Proximal Validation (single)'!L15</f>
        <v>-5.8306278660893397E-3</v>
      </c>
      <c r="M15" s="10">
        <f>'Proximal Validation (single)'!M15</f>
        <v>-0.77614384889602706</v>
      </c>
      <c r="N15" s="10">
        <f>'Proximal Validation (single)'!N15</f>
        <v>-3.3872868865728399E-2</v>
      </c>
      <c r="O15" s="10">
        <f>'Proximal Validation (single)'!O15</f>
        <v>-0.54873698949813798</v>
      </c>
      <c r="P15" s="10">
        <v>0.95530300000000001</v>
      </c>
      <c r="Q15" s="10">
        <v>0.186392</v>
      </c>
      <c r="R15" s="10">
        <v>-1.5708</v>
      </c>
      <c r="S15" s="10">
        <v>3.1415929999999999</v>
      </c>
      <c r="T15" s="10">
        <f t="shared" si="0"/>
        <v>5.8302999999999994E-2</v>
      </c>
      <c r="U15" s="10">
        <f t="shared" si="0"/>
        <v>-1.3608000000000009E-2</v>
      </c>
      <c r="V15" s="10">
        <f t="shared" si="7"/>
        <v>1.1459155918696087E-2</v>
      </c>
      <c r="W15" s="3"/>
      <c r="X15" s="11">
        <f t="shared" si="1"/>
        <v>2.0367318679731896E-4</v>
      </c>
      <c r="Y15" s="11">
        <f t="shared" si="2"/>
        <v>-8.2965546086094279E-8</v>
      </c>
      <c r="Z15" s="11">
        <f t="shared" si="3"/>
        <v>-0.99999997925861284</v>
      </c>
      <c r="AA15" s="11">
        <f t="shared" si="4"/>
        <v>3.6732051033463283E-6</v>
      </c>
      <c r="AB15" s="11">
        <f t="shared" si="5"/>
        <v>1.272435738805504E-12</v>
      </c>
      <c r="AC15" s="11">
        <f t="shared" si="6"/>
        <v>-0.99999999999325373</v>
      </c>
    </row>
    <row r="16" spans="1:29" ht="15.75" x14ac:dyDescent="0.25">
      <c r="A16" s="1">
        <f>'Proximal Validation (single)'!A16</f>
        <v>0.20399999999999999</v>
      </c>
      <c r="B16" s="1">
        <f>'Proximal Validation (single)'!B16</f>
        <v>0.2</v>
      </c>
      <c r="C16" s="1">
        <f>'Proximal Validation (single)'!C16</f>
        <v>-1.571</v>
      </c>
      <c r="D16" s="1">
        <f>'Proximal Validation (single)'!D16</f>
        <v>0</v>
      </c>
      <c r="E16" s="1">
        <f>'Proximal Validation (single)'!E16</f>
        <v>0.78500000000000003</v>
      </c>
      <c r="F16" s="1">
        <f>'Proximal Validation (single)'!F16</f>
        <v>1.3149999999999999</v>
      </c>
      <c r="G16" s="1">
        <f>'Proximal Validation (single)'!G16</f>
        <v>0.40100000000000002</v>
      </c>
      <c r="H16" s="1">
        <f>'Proximal Validation (single)'!H16</f>
        <v>180</v>
      </c>
      <c r="I16" s="1">
        <f>'Proximal Validation (single)'!I16</f>
        <v>90.011669615052327</v>
      </c>
      <c r="J16" s="10">
        <f>'Proximal Validation (single)'!J16</f>
        <v>1.49496179074049E-3</v>
      </c>
      <c r="K16" s="10">
        <f>'Proximal Validation (single)'!K16</f>
        <v>5.0945803523063701E-2</v>
      </c>
      <c r="L16" s="10">
        <f>'Proximal Validation (single)'!L16</f>
        <v>2.6319327298551798E-3</v>
      </c>
      <c r="M16" s="10">
        <f>'Proximal Validation (single)'!M16</f>
        <v>1.1242396431043701E-3</v>
      </c>
      <c r="N16" s="10">
        <f>'Proximal Validation (single)'!N16</f>
        <v>1.5216418541967899E-3</v>
      </c>
      <c r="O16" s="10">
        <f>'Proximal Validation (single)'!O16</f>
        <v>-0.16968628764152499</v>
      </c>
      <c r="P16" s="10">
        <v>0.17055899999999999</v>
      </c>
      <c r="Q16" s="10">
        <v>0.2</v>
      </c>
      <c r="R16" s="10">
        <v>-1.4662500000000001</v>
      </c>
      <c r="S16" s="10">
        <v>0.199435</v>
      </c>
      <c r="T16" s="10">
        <f t="shared" si="0"/>
        <v>-3.3440999999999999E-2</v>
      </c>
      <c r="U16" s="10">
        <f t="shared" si="0"/>
        <v>0</v>
      </c>
      <c r="V16" s="10">
        <f t="shared" si="7"/>
        <v>6.0015020403837376</v>
      </c>
      <c r="W16" s="3"/>
      <c r="X16" s="11">
        <f t="shared" si="1"/>
        <v>-2.0367320369517786E-4</v>
      </c>
      <c r="Y16" s="11">
        <f t="shared" si="2"/>
        <v>0</v>
      </c>
      <c r="Z16" s="11">
        <f t="shared" si="3"/>
        <v>-0.99999997925861284</v>
      </c>
      <c r="AA16" s="11">
        <f t="shared" si="4"/>
        <v>0.10228750900103031</v>
      </c>
      <c r="AB16" s="11">
        <f t="shared" si="5"/>
        <v>2.0674544252961571E-2</v>
      </c>
      <c r="AC16" s="11">
        <f t="shared" si="6"/>
        <v>-0.99454000860814873</v>
      </c>
    </row>
    <row r="17" spans="20:29" ht="15.75" x14ac:dyDescent="0.25">
      <c r="T17" s="34" t="s">
        <v>33</v>
      </c>
      <c r="U17" s="34"/>
      <c r="V17" s="34"/>
      <c r="W17" s="3"/>
      <c r="X17" s="11" t="e">
        <f>COS(#REF!)*COS(#REF!)</f>
        <v>#REF!</v>
      </c>
      <c r="Y17" s="11" t="e">
        <f>COS(#REF!)*SIN(#REF!)</f>
        <v>#REF!</v>
      </c>
      <c r="Z17" s="11" t="e">
        <f>SIN(#REF!)</f>
        <v>#REF!</v>
      </c>
      <c r="AA17" s="11" t="e">
        <f>COS(#REF!)*COS(#REF!)</f>
        <v>#REF!</v>
      </c>
      <c r="AB17" s="11" t="e">
        <f>COS(#REF!)*SIN(#REF!)</f>
        <v>#REF!</v>
      </c>
      <c r="AC17" s="11" t="e">
        <f>SIN(#REF!)</f>
        <v>#REF!</v>
      </c>
    </row>
    <row r="18" spans="20:29" ht="15.75" x14ac:dyDescent="0.25">
      <c r="T18" s="3" cm="1">
        <f t="array" ref="T18">AVERAGE(ABS(T3:T16))</f>
        <v>3.9152571428571425E-2</v>
      </c>
      <c r="U18" s="3" cm="1">
        <f t="array" ref="U18">AVERAGE(ABS(U3:U16))</f>
        <v>7.9528571428571417E-3</v>
      </c>
      <c r="V18" s="3" cm="1">
        <f t="array" ref="V18">AVERAGE(ABS(V3:V16))</f>
        <v>2.6242715424643177</v>
      </c>
    </row>
    <row r="19" spans="20:29" ht="15.75" x14ac:dyDescent="0.25">
      <c r="T19" s="34" t="s">
        <v>32</v>
      </c>
      <c r="U19" s="34"/>
      <c r="V19" s="34"/>
    </row>
    <row r="20" spans="20:29" ht="15.75" x14ac:dyDescent="0.25">
      <c r="T20" s="9">
        <f>AVERAGE(T3:T16)</f>
        <v>-1.9952285714285704E-2</v>
      </c>
      <c r="U20" s="9">
        <f>AVERAGE(U3:U16)</f>
        <v>6.4285714285711672E-5</v>
      </c>
      <c r="V20" s="9">
        <f>AVERAGE(V3:V16)</f>
        <v>2.6242715424643177</v>
      </c>
    </row>
    <row r="21" spans="20:29" ht="15.75" x14ac:dyDescent="0.25">
      <c r="T21" s="34" t="s">
        <v>34</v>
      </c>
      <c r="U21" s="34"/>
      <c r="V21" s="34"/>
    </row>
    <row r="22" spans="20:29" ht="15.75" x14ac:dyDescent="0.25">
      <c r="T22" s="3">
        <f>_xlfn.STDEV.S(T3:T16)</f>
        <v>4.3418314015079951E-2</v>
      </c>
      <c r="U22" s="3">
        <f>_xlfn.STDEV.S(U3:U16)</f>
        <v>1.2290511834047318E-2</v>
      </c>
      <c r="V22" s="3">
        <f>_xlfn.STDEV.S(V3:V16)</f>
        <v>2.2791174761975612</v>
      </c>
    </row>
  </sheetData>
  <mergeCells count="10">
    <mergeCell ref="AA1:AC1"/>
    <mergeCell ref="T17:V17"/>
    <mergeCell ref="T19:V19"/>
    <mergeCell ref="T21:V21"/>
    <mergeCell ref="A1:G1"/>
    <mergeCell ref="H1:I1"/>
    <mergeCell ref="J1:O1"/>
    <mergeCell ref="P1:S1"/>
    <mergeCell ref="T1:V1"/>
    <mergeCell ref="X1:Z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H52"/>
  <sheetViews>
    <sheetView tabSelected="1" workbookViewId="0">
      <selection activeCell="N7" sqref="N7"/>
    </sheetView>
  </sheetViews>
  <sheetFormatPr defaultRowHeight="15" x14ac:dyDescent="0.25"/>
  <cols>
    <col min="1" max="1" width="6.140625" bestFit="1" customWidth="1"/>
    <col min="2" max="2" width="5.7109375" bestFit="1" customWidth="1"/>
    <col min="3" max="3" width="7.5703125" bestFit="1" customWidth="1"/>
    <col min="4" max="4" width="8.28515625" bestFit="1" customWidth="1"/>
    <col min="5" max="7" width="8.42578125" bestFit="1" customWidth="1"/>
    <col min="8" max="8" width="11.28515625" bestFit="1" customWidth="1"/>
    <col min="9" max="9" width="12.85546875" bestFit="1" customWidth="1"/>
    <col min="10" max="11" width="6.140625" bestFit="1" customWidth="1"/>
    <col min="12" max="12" width="7.5703125" bestFit="1" customWidth="1"/>
    <col min="13" max="13" width="8.28515625" bestFit="1" customWidth="1"/>
    <col min="14" max="16" width="8.42578125" bestFit="1" customWidth="1"/>
    <col min="17" max="18" width="8.140625" bestFit="1" customWidth="1"/>
    <col min="19" max="19" width="7.7109375" bestFit="1" customWidth="1"/>
    <col min="20" max="22" width="6.42578125" bestFit="1" customWidth="1"/>
    <col min="23" max="24" width="8.140625" bestFit="1" customWidth="1"/>
    <col min="25" max="25" width="7.7109375" bestFit="1" customWidth="1"/>
    <col min="26" max="28" width="6.42578125" bestFit="1" customWidth="1"/>
    <col min="29" max="30" width="8.140625" bestFit="1" customWidth="1"/>
    <col min="31" max="31" width="7.7109375" bestFit="1" customWidth="1"/>
    <col min="32" max="34" width="7.28515625" bestFit="1" customWidth="1"/>
  </cols>
  <sheetData>
    <row r="1" spans="1:34" ht="15.75" x14ac:dyDescent="0.25">
      <c r="A1" s="27" t="s">
        <v>17</v>
      </c>
      <c r="B1" s="27"/>
      <c r="C1" s="27"/>
      <c r="D1" s="27"/>
      <c r="E1" s="27"/>
      <c r="F1" s="27"/>
      <c r="G1" s="28"/>
      <c r="H1" s="32" t="s">
        <v>21</v>
      </c>
      <c r="I1" s="33"/>
      <c r="J1" s="13"/>
      <c r="K1" s="13"/>
      <c r="L1" s="13"/>
      <c r="M1" s="13"/>
      <c r="N1" s="13"/>
      <c r="O1" s="13"/>
      <c r="P1" s="13"/>
      <c r="Q1" s="23" t="s">
        <v>6</v>
      </c>
      <c r="R1" s="24"/>
      <c r="S1" s="24"/>
      <c r="T1" s="24"/>
      <c r="U1" s="24"/>
      <c r="V1" s="24"/>
      <c r="W1" s="25" t="s">
        <v>18</v>
      </c>
      <c r="X1" s="26"/>
      <c r="Y1" s="26"/>
      <c r="Z1" s="26"/>
      <c r="AA1" s="26"/>
      <c r="AB1" s="26"/>
      <c r="AC1" s="29" t="s">
        <v>23</v>
      </c>
      <c r="AD1" s="30"/>
      <c r="AE1" s="30"/>
      <c r="AF1" s="30"/>
      <c r="AG1" s="30"/>
      <c r="AH1" s="31"/>
    </row>
    <row r="2" spans="1:34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6" t="s">
        <v>7</v>
      </c>
      <c r="K2" s="6" t="s">
        <v>8</v>
      </c>
      <c r="L2" s="6" t="s">
        <v>9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3</v>
      </c>
      <c r="R2" s="6" t="s">
        <v>4</v>
      </c>
      <c r="S2" s="6" t="s">
        <v>5</v>
      </c>
      <c r="T2" s="6" t="s">
        <v>0</v>
      </c>
      <c r="U2" s="6" t="s">
        <v>1</v>
      </c>
      <c r="V2" s="6" t="s">
        <v>2</v>
      </c>
      <c r="W2" s="8" t="s">
        <v>3</v>
      </c>
      <c r="X2" s="6" t="s">
        <v>4</v>
      </c>
      <c r="Y2" s="6" t="s">
        <v>5</v>
      </c>
      <c r="Z2" s="6" t="s">
        <v>0</v>
      </c>
      <c r="AA2" s="6" t="s">
        <v>1</v>
      </c>
      <c r="AB2" s="6" t="s">
        <v>2</v>
      </c>
      <c r="AC2" s="6" t="s">
        <v>3</v>
      </c>
      <c r="AD2" s="6" t="s">
        <v>4</v>
      </c>
      <c r="AE2" s="6" t="s">
        <v>5</v>
      </c>
      <c r="AF2" s="6" t="s">
        <v>0</v>
      </c>
      <c r="AG2" s="6" t="s">
        <v>1</v>
      </c>
      <c r="AH2" s="6" t="s">
        <v>2</v>
      </c>
    </row>
    <row r="3" spans="1:34" ht="15.75" x14ac:dyDescent="0.25">
      <c r="A3" s="51">
        <v>0.2</v>
      </c>
      <c r="B3" s="52">
        <v>0.12</v>
      </c>
      <c r="C3" s="51"/>
      <c r="D3" s="51">
        <v>0</v>
      </c>
      <c r="E3" s="51"/>
      <c r="F3" s="51"/>
      <c r="G3" s="51"/>
      <c r="H3" s="51"/>
      <c r="I3" s="51"/>
      <c r="J3" s="52">
        <v>1</v>
      </c>
      <c r="K3" s="52">
        <v>0.04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3">
        <f t="shared" ref="AC3:AH8" si="0">ABS(Q3-W3)</f>
        <v>0</v>
      </c>
      <c r="AD3" s="53">
        <f t="shared" si="0"/>
        <v>0</v>
      </c>
      <c r="AE3" s="53">
        <f t="shared" si="0"/>
        <v>0</v>
      </c>
      <c r="AF3" s="53">
        <f t="shared" si="0"/>
        <v>0</v>
      </c>
      <c r="AG3" s="53">
        <f t="shared" si="0"/>
        <v>0</v>
      </c>
      <c r="AH3" s="53">
        <f t="shared" si="0"/>
        <v>0</v>
      </c>
    </row>
    <row r="4" spans="1:34" s="50" customFormat="1" ht="15.75" x14ac:dyDescent="0.25">
      <c r="A4" s="51">
        <v>0.2</v>
      </c>
      <c r="B4" s="52">
        <v>0.12</v>
      </c>
      <c r="C4" s="51"/>
      <c r="D4" s="51">
        <v>0</v>
      </c>
      <c r="E4" s="51"/>
      <c r="F4" s="51"/>
      <c r="G4" s="51"/>
      <c r="H4" s="51"/>
      <c r="I4" s="51"/>
      <c r="J4" s="52">
        <v>1</v>
      </c>
      <c r="K4" s="52">
        <v>0.04</v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3">
        <f t="shared" si="0"/>
        <v>0</v>
      </c>
      <c r="AD4" s="53">
        <f t="shared" si="0"/>
        <v>0</v>
      </c>
      <c r="AE4" s="53">
        <f t="shared" si="0"/>
        <v>0</v>
      </c>
      <c r="AF4" s="53">
        <f t="shared" si="0"/>
        <v>0</v>
      </c>
      <c r="AG4" s="53">
        <f t="shared" si="0"/>
        <v>0</v>
      </c>
      <c r="AH4" s="53">
        <f t="shared" si="0"/>
        <v>0</v>
      </c>
    </row>
    <row r="5" spans="1:34" ht="15.75" x14ac:dyDescent="0.25">
      <c r="A5" s="51">
        <v>0.4</v>
      </c>
      <c r="B5" s="52">
        <v>0.12</v>
      </c>
      <c r="C5" s="51"/>
      <c r="D5" s="51">
        <v>0</v>
      </c>
      <c r="E5" s="51"/>
      <c r="F5" s="51"/>
      <c r="G5" s="51"/>
      <c r="H5" s="51"/>
      <c r="I5" s="51"/>
      <c r="J5" s="52">
        <v>1</v>
      </c>
      <c r="K5" s="52">
        <v>0.04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3">
        <f t="shared" si="0"/>
        <v>0</v>
      </c>
      <c r="AD5" s="53">
        <f t="shared" si="0"/>
        <v>0</v>
      </c>
      <c r="AE5" s="53">
        <f t="shared" si="0"/>
        <v>0</v>
      </c>
      <c r="AF5" s="53">
        <f t="shared" si="0"/>
        <v>0</v>
      </c>
      <c r="AG5" s="53">
        <f t="shared" si="0"/>
        <v>0</v>
      </c>
      <c r="AH5" s="53">
        <f t="shared" si="0"/>
        <v>0</v>
      </c>
    </row>
    <row r="6" spans="1:34" ht="15.75" x14ac:dyDescent="0.25">
      <c r="A6" s="51">
        <v>0.4</v>
      </c>
      <c r="B6" s="52">
        <v>0.12</v>
      </c>
      <c r="C6" s="51"/>
      <c r="D6" s="51">
        <v>0</v>
      </c>
      <c r="E6" s="51"/>
      <c r="F6" s="51"/>
      <c r="G6" s="51"/>
      <c r="H6" s="51"/>
      <c r="I6" s="51"/>
      <c r="J6" s="52">
        <v>1</v>
      </c>
      <c r="K6" s="52">
        <v>0.04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3">
        <f t="shared" si="0"/>
        <v>0</v>
      </c>
      <c r="AD6" s="53">
        <f t="shared" si="0"/>
        <v>0</v>
      </c>
      <c r="AE6" s="53">
        <f t="shared" si="0"/>
        <v>0</v>
      </c>
      <c r="AF6" s="53">
        <f t="shared" si="0"/>
        <v>0</v>
      </c>
      <c r="AG6" s="53">
        <f t="shared" si="0"/>
        <v>0</v>
      </c>
      <c r="AH6" s="53">
        <f t="shared" si="0"/>
        <v>0</v>
      </c>
    </row>
    <row r="7" spans="1:34" ht="15.75" x14ac:dyDescent="0.25">
      <c r="A7" s="51">
        <v>0.6</v>
      </c>
      <c r="B7" s="52">
        <v>0.12</v>
      </c>
      <c r="C7" s="51"/>
      <c r="D7" s="51">
        <v>0</v>
      </c>
      <c r="E7" s="51"/>
      <c r="F7" s="51"/>
      <c r="G7" s="51"/>
      <c r="H7" s="51"/>
      <c r="I7" s="51"/>
      <c r="J7" s="52">
        <v>1</v>
      </c>
      <c r="K7" s="52">
        <v>0.04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3">
        <f t="shared" si="0"/>
        <v>0</v>
      </c>
      <c r="AD7" s="53">
        <f t="shared" si="0"/>
        <v>0</v>
      </c>
      <c r="AE7" s="53">
        <f t="shared" si="0"/>
        <v>0</v>
      </c>
      <c r="AF7" s="53">
        <f t="shared" si="0"/>
        <v>0</v>
      </c>
      <c r="AG7" s="53">
        <f t="shared" si="0"/>
        <v>0</v>
      </c>
      <c r="AH7" s="53">
        <f t="shared" si="0"/>
        <v>0</v>
      </c>
    </row>
    <row r="8" spans="1:34" ht="15.75" x14ac:dyDescent="0.25">
      <c r="A8" s="51">
        <v>0.6</v>
      </c>
      <c r="B8" s="52">
        <v>0.12</v>
      </c>
      <c r="C8" s="51"/>
      <c r="D8" s="51">
        <v>0</v>
      </c>
      <c r="E8" s="51"/>
      <c r="F8" s="51"/>
      <c r="G8" s="51"/>
      <c r="H8" s="51"/>
      <c r="I8" s="51"/>
      <c r="J8" s="52">
        <v>1</v>
      </c>
      <c r="K8" s="52">
        <v>0.04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3">
        <f t="shared" si="0"/>
        <v>0</v>
      </c>
      <c r="AD8" s="53">
        <f t="shared" si="0"/>
        <v>0</v>
      </c>
      <c r="AE8" s="53">
        <f t="shared" si="0"/>
        <v>0</v>
      </c>
      <c r="AF8" s="53">
        <f t="shared" si="0"/>
        <v>0</v>
      </c>
      <c r="AG8" s="53">
        <f t="shared" si="0"/>
        <v>0</v>
      </c>
      <c r="AH8" s="53">
        <f t="shared" si="0"/>
        <v>0</v>
      </c>
    </row>
    <row r="9" spans="1:34" ht="15.75" x14ac:dyDescent="0.25">
      <c r="A9" s="51">
        <v>0.8</v>
      </c>
      <c r="B9" s="52">
        <v>0.12</v>
      </c>
      <c r="C9" s="51"/>
      <c r="D9" s="51">
        <v>0</v>
      </c>
      <c r="E9" s="51"/>
      <c r="F9" s="51"/>
      <c r="G9" s="51"/>
      <c r="H9" s="51"/>
      <c r="I9" s="51"/>
      <c r="J9" s="52">
        <v>1</v>
      </c>
      <c r="K9" s="52">
        <v>0.04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3"/>
      <c r="AD9" s="53"/>
      <c r="AE9" s="53"/>
      <c r="AF9" s="53"/>
      <c r="AG9" s="53"/>
      <c r="AH9" s="53"/>
    </row>
    <row r="10" spans="1:34" ht="15.75" x14ac:dyDescent="0.25">
      <c r="A10" s="51">
        <v>0.8</v>
      </c>
      <c r="B10" s="52">
        <v>0.12</v>
      </c>
      <c r="C10" s="51"/>
      <c r="D10" s="51">
        <v>0</v>
      </c>
      <c r="E10" s="51"/>
      <c r="F10" s="51"/>
      <c r="G10" s="51"/>
      <c r="H10" s="51"/>
      <c r="I10" s="51"/>
      <c r="J10" s="52">
        <v>1</v>
      </c>
      <c r="K10" s="52">
        <v>0.04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3"/>
      <c r="AD10" s="53"/>
      <c r="AE10" s="53"/>
      <c r="AF10" s="53"/>
      <c r="AG10" s="53"/>
      <c r="AH10" s="53"/>
    </row>
    <row r="11" spans="1:34" ht="15.75" x14ac:dyDescent="0.25">
      <c r="A11" s="51">
        <v>1</v>
      </c>
      <c r="B11" s="52">
        <v>0.12</v>
      </c>
      <c r="C11" s="51"/>
      <c r="D11" s="51">
        <v>0</v>
      </c>
      <c r="E11" s="51"/>
      <c r="F11" s="51"/>
      <c r="G11" s="51"/>
      <c r="H11" s="51"/>
      <c r="I11" s="51"/>
      <c r="J11" s="52">
        <v>1</v>
      </c>
      <c r="K11" s="52">
        <v>0.04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3"/>
      <c r="AD11" s="53"/>
      <c r="AE11" s="53"/>
      <c r="AF11" s="53"/>
      <c r="AG11" s="53"/>
      <c r="AH11" s="53"/>
    </row>
    <row r="12" spans="1:34" ht="15.75" x14ac:dyDescent="0.25">
      <c r="A12" s="51">
        <v>1</v>
      </c>
      <c r="B12" s="52">
        <v>0.12</v>
      </c>
      <c r="C12" s="51"/>
      <c r="D12" s="51">
        <v>0</v>
      </c>
      <c r="E12" s="51"/>
      <c r="F12" s="51"/>
      <c r="G12" s="51"/>
      <c r="H12" s="51"/>
      <c r="I12" s="51"/>
      <c r="J12" s="52">
        <v>1</v>
      </c>
      <c r="K12" s="52">
        <v>0.04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3"/>
      <c r="AD12" s="53"/>
      <c r="AE12" s="53"/>
      <c r="AF12" s="53"/>
      <c r="AG12" s="53"/>
      <c r="AH12" s="53"/>
    </row>
    <row r="13" spans="1:34" ht="15.75" x14ac:dyDescent="0.25">
      <c r="A13" s="51">
        <v>0.2</v>
      </c>
      <c r="B13" s="52">
        <v>0.14000000000000001</v>
      </c>
      <c r="C13" s="51"/>
      <c r="D13" s="51">
        <v>0</v>
      </c>
      <c r="E13" s="51"/>
      <c r="F13" s="51"/>
      <c r="G13" s="51"/>
      <c r="H13" s="51"/>
      <c r="I13" s="51"/>
      <c r="J13" s="52">
        <v>1</v>
      </c>
      <c r="K13" s="52">
        <v>0.04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3"/>
      <c r="AD13" s="53"/>
      <c r="AE13" s="53"/>
      <c r="AF13" s="53"/>
      <c r="AG13" s="53"/>
      <c r="AH13" s="53"/>
    </row>
    <row r="14" spans="1:34" ht="15.75" x14ac:dyDescent="0.25">
      <c r="A14" s="51">
        <v>0.2</v>
      </c>
      <c r="B14" s="52">
        <v>0.14000000000000001</v>
      </c>
      <c r="C14" s="51"/>
      <c r="D14" s="51">
        <v>0</v>
      </c>
      <c r="E14" s="51"/>
      <c r="F14" s="51"/>
      <c r="G14" s="51"/>
      <c r="H14" s="51"/>
      <c r="I14" s="51"/>
      <c r="J14" s="52">
        <v>1</v>
      </c>
      <c r="K14" s="52">
        <v>0.04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3"/>
      <c r="AD14" s="53"/>
      <c r="AE14" s="53"/>
      <c r="AF14" s="53"/>
      <c r="AG14" s="53"/>
      <c r="AH14" s="53"/>
    </row>
    <row r="15" spans="1:34" ht="15.75" x14ac:dyDescent="0.25">
      <c r="A15" s="51">
        <v>0.4</v>
      </c>
      <c r="B15" s="52">
        <v>0.14000000000000001</v>
      </c>
      <c r="C15" s="51"/>
      <c r="D15" s="51">
        <v>0</v>
      </c>
      <c r="E15" s="51"/>
      <c r="F15" s="51"/>
      <c r="G15" s="51"/>
      <c r="H15" s="51"/>
      <c r="I15" s="51"/>
      <c r="J15" s="52">
        <v>1</v>
      </c>
      <c r="K15" s="52">
        <v>0.04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3"/>
      <c r="AD15" s="53"/>
      <c r="AE15" s="53"/>
      <c r="AF15" s="53"/>
      <c r="AG15" s="53"/>
      <c r="AH15" s="53"/>
    </row>
    <row r="16" spans="1:34" ht="15.75" x14ac:dyDescent="0.25">
      <c r="A16" s="51">
        <v>0.4</v>
      </c>
      <c r="B16" s="52">
        <v>0.14000000000000001</v>
      </c>
      <c r="C16" s="51"/>
      <c r="D16" s="51">
        <v>0</v>
      </c>
      <c r="E16" s="51"/>
      <c r="F16" s="51"/>
      <c r="G16" s="51"/>
      <c r="H16" s="51"/>
      <c r="I16" s="51"/>
      <c r="J16" s="52">
        <v>1</v>
      </c>
      <c r="K16" s="52">
        <v>0.04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3"/>
      <c r="AD16" s="53"/>
      <c r="AE16" s="53"/>
      <c r="AF16" s="53"/>
      <c r="AG16" s="53"/>
      <c r="AH16" s="53"/>
    </row>
    <row r="17" spans="1:34" ht="15.75" x14ac:dyDescent="0.25">
      <c r="A17" s="51">
        <v>0.6</v>
      </c>
      <c r="B17" s="52">
        <v>0.14000000000000001</v>
      </c>
      <c r="C17" s="51"/>
      <c r="D17" s="51">
        <v>0</v>
      </c>
      <c r="E17" s="51"/>
      <c r="F17" s="51"/>
      <c r="G17" s="51"/>
      <c r="H17" s="51"/>
      <c r="I17" s="51"/>
      <c r="J17" s="52">
        <v>1</v>
      </c>
      <c r="K17" s="52">
        <v>0.04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3"/>
      <c r="AD17" s="53"/>
      <c r="AE17" s="53"/>
      <c r="AF17" s="53"/>
      <c r="AG17" s="53"/>
      <c r="AH17" s="53"/>
    </row>
    <row r="18" spans="1:34" ht="15.75" x14ac:dyDescent="0.25">
      <c r="A18" s="51">
        <v>0.6</v>
      </c>
      <c r="B18" s="52">
        <v>0.14000000000000001</v>
      </c>
      <c r="C18" s="51"/>
      <c r="D18" s="51">
        <v>0</v>
      </c>
      <c r="E18" s="51"/>
      <c r="F18" s="51"/>
      <c r="G18" s="51"/>
      <c r="H18" s="51"/>
      <c r="I18" s="51"/>
      <c r="J18" s="52">
        <v>1</v>
      </c>
      <c r="K18" s="52">
        <v>0.04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3"/>
      <c r="AD18" s="53"/>
      <c r="AE18" s="53"/>
      <c r="AF18" s="53"/>
      <c r="AG18" s="53"/>
      <c r="AH18" s="53"/>
    </row>
    <row r="19" spans="1:34" ht="15.75" x14ac:dyDescent="0.25">
      <c r="A19" s="51">
        <v>0.8</v>
      </c>
      <c r="B19" s="52">
        <v>0.14000000000000001</v>
      </c>
      <c r="C19" s="51"/>
      <c r="D19" s="51">
        <v>0</v>
      </c>
      <c r="E19" s="51"/>
      <c r="F19" s="51"/>
      <c r="G19" s="51"/>
      <c r="H19" s="51"/>
      <c r="I19" s="51"/>
      <c r="J19" s="52">
        <v>1</v>
      </c>
      <c r="K19" s="52">
        <v>0.04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3"/>
      <c r="AD19" s="53"/>
      <c r="AE19" s="53"/>
      <c r="AF19" s="53"/>
      <c r="AG19" s="53"/>
      <c r="AH19" s="53"/>
    </row>
    <row r="20" spans="1:34" ht="15.75" x14ac:dyDescent="0.25">
      <c r="A20" s="51">
        <v>0.8</v>
      </c>
      <c r="B20" s="52">
        <v>0.14000000000000001</v>
      </c>
      <c r="C20" s="51"/>
      <c r="D20" s="51">
        <v>0</v>
      </c>
      <c r="E20" s="51"/>
      <c r="F20" s="51"/>
      <c r="G20" s="51"/>
      <c r="H20" s="51"/>
      <c r="I20" s="51"/>
      <c r="J20" s="52">
        <v>1</v>
      </c>
      <c r="K20" s="52">
        <v>0.04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3"/>
      <c r="AD20" s="53"/>
      <c r="AE20" s="53"/>
      <c r="AF20" s="53"/>
      <c r="AG20" s="53"/>
      <c r="AH20" s="53"/>
    </row>
    <row r="21" spans="1:34" ht="15.75" x14ac:dyDescent="0.25">
      <c r="A21" s="51">
        <v>1</v>
      </c>
      <c r="B21" s="52">
        <v>0.14000000000000001</v>
      </c>
      <c r="C21" s="51"/>
      <c r="D21" s="51">
        <v>0</v>
      </c>
      <c r="E21" s="51"/>
      <c r="F21" s="51"/>
      <c r="G21" s="51"/>
      <c r="H21" s="51"/>
      <c r="I21" s="51"/>
      <c r="J21" s="52">
        <v>1</v>
      </c>
      <c r="K21" s="52">
        <v>0.04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3"/>
      <c r="AD21" s="53"/>
      <c r="AE21" s="53"/>
      <c r="AF21" s="53"/>
      <c r="AG21" s="53"/>
      <c r="AH21" s="53"/>
    </row>
    <row r="22" spans="1:34" ht="15.75" x14ac:dyDescent="0.25">
      <c r="A22" s="51">
        <v>1</v>
      </c>
      <c r="B22" s="52">
        <v>0.14000000000000001</v>
      </c>
      <c r="C22" s="51"/>
      <c r="D22" s="51">
        <v>0</v>
      </c>
      <c r="E22" s="51"/>
      <c r="F22" s="51"/>
      <c r="G22" s="51"/>
      <c r="H22" s="51"/>
      <c r="I22" s="51"/>
      <c r="J22" s="52">
        <v>1</v>
      </c>
      <c r="K22" s="52">
        <v>0.04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3"/>
      <c r="AD22" s="53"/>
      <c r="AE22" s="53"/>
      <c r="AF22" s="53"/>
      <c r="AG22" s="53"/>
      <c r="AH22" s="53"/>
    </row>
    <row r="23" spans="1:34" ht="15.75" x14ac:dyDescent="0.25">
      <c r="A23" s="51">
        <v>0.2</v>
      </c>
      <c r="B23" s="52">
        <v>0.16</v>
      </c>
      <c r="C23" s="51"/>
      <c r="D23" s="51">
        <v>0</v>
      </c>
      <c r="E23" s="51"/>
      <c r="F23" s="51"/>
      <c r="G23" s="51"/>
      <c r="H23" s="51"/>
      <c r="I23" s="51"/>
      <c r="J23" s="52">
        <v>1</v>
      </c>
      <c r="K23" s="52">
        <v>0.04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3"/>
      <c r="AD23" s="53"/>
      <c r="AE23" s="53"/>
      <c r="AF23" s="53"/>
      <c r="AG23" s="53"/>
      <c r="AH23" s="53"/>
    </row>
    <row r="24" spans="1:34" ht="15.75" x14ac:dyDescent="0.25">
      <c r="A24" s="51">
        <v>0.2</v>
      </c>
      <c r="B24" s="52">
        <v>0.16</v>
      </c>
      <c r="C24" s="51"/>
      <c r="D24" s="51">
        <v>0</v>
      </c>
      <c r="E24" s="51"/>
      <c r="F24" s="51"/>
      <c r="G24" s="51"/>
      <c r="H24" s="51"/>
      <c r="I24" s="51"/>
      <c r="J24" s="52">
        <v>1</v>
      </c>
      <c r="K24" s="52">
        <v>0.04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3"/>
      <c r="AD24" s="53"/>
      <c r="AE24" s="53"/>
      <c r="AF24" s="53"/>
      <c r="AG24" s="53"/>
      <c r="AH24" s="53"/>
    </row>
    <row r="25" spans="1:34" ht="15.75" x14ac:dyDescent="0.25">
      <c r="A25" s="51">
        <v>0.4</v>
      </c>
      <c r="B25" s="52">
        <v>0.16</v>
      </c>
      <c r="C25" s="51"/>
      <c r="D25" s="51">
        <v>0</v>
      </c>
      <c r="E25" s="51"/>
      <c r="F25" s="51"/>
      <c r="G25" s="51"/>
      <c r="H25" s="51"/>
      <c r="I25" s="51"/>
      <c r="J25" s="52">
        <v>1</v>
      </c>
      <c r="K25" s="52">
        <v>0.04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3"/>
      <c r="AD25" s="53"/>
      <c r="AE25" s="53"/>
      <c r="AF25" s="53"/>
      <c r="AG25" s="53"/>
      <c r="AH25" s="53"/>
    </row>
    <row r="26" spans="1:34" ht="15.75" x14ac:dyDescent="0.25">
      <c r="A26" s="51">
        <v>0.4</v>
      </c>
      <c r="B26" s="52">
        <v>0.16</v>
      </c>
      <c r="C26" s="51"/>
      <c r="D26" s="51">
        <v>0</v>
      </c>
      <c r="E26" s="51"/>
      <c r="F26" s="51"/>
      <c r="G26" s="51"/>
      <c r="H26" s="51"/>
      <c r="I26" s="51"/>
      <c r="J26" s="52">
        <v>1</v>
      </c>
      <c r="K26" s="52">
        <v>0.04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3"/>
      <c r="AD26" s="53"/>
      <c r="AE26" s="53"/>
      <c r="AF26" s="53"/>
      <c r="AG26" s="53"/>
      <c r="AH26" s="53"/>
    </row>
    <row r="27" spans="1:34" ht="15.75" x14ac:dyDescent="0.25">
      <c r="A27" s="51">
        <v>0.6</v>
      </c>
      <c r="B27" s="52">
        <v>0.16</v>
      </c>
      <c r="C27" s="51"/>
      <c r="D27" s="51">
        <v>0</v>
      </c>
      <c r="E27" s="51"/>
      <c r="F27" s="51"/>
      <c r="G27" s="51"/>
      <c r="H27" s="51"/>
      <c r="I27" s="51"/>
      <c r="J27" s="52">
        <v>1</v>
      </c>
      <c r="K27" s="52">
        <v>0.04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3"/>
      <c r="AD27" s="53"/>
      <c r="AE27" s="53"/>
      <c r="AF27" s="53"/>
      <c r="AG27" s="53"/>
      <c r="AH27" s="53"/>
    </row>
    <row r="28" spans="1:34" ht="15.75" x14ac:dyDescent="0.25">
      <c r="A28" s="51">
        <v>0.6</v>
      </c>
      <c r="B28" s="52">
        <v>0.16</v>
      </c>
      <c r="C28" s="51"/>
      <c r="D28" s="51">
        <v>0</v>
      </c>
      <c r="E28" s="51"/>
      <c r="F28" s="51"/>
      <c r="G28" s="51"/>
      <c r="H28" s="51"/>
      <c r="I28" s="51"/>
      <c r="J28" s="52">
        <v>1</v>
      </c>
      <c r="K28" s="52">
        <v>0.04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3"/>
      <c r="AD28" s="53"/>
      <c r="AE28" s="53"/>
      <c r="AF28" s="53"/>
      <c r="AG28" s="53"/>
      <c r="AH28" s="53"/>
    </row>
    <row r="29" spans="1:34" ht="15.75" x14ac:dyDescent="0.25">
      <c r="A29" s="51">
        <v>0.8</v>
      </c>
      <c r="B29" s="52">
        <v>0.16</v>
      </c>
      <c r="C29" s="51"/>
      <c r="D29" s="51">
        <v>0</v>
      </c>
      <c r="E29" s="51"/>
      <c r="F29" s="51"/>
      <c r="G29" s="51"/>
      <c r="H29" s="51"/>
      <c r="I29" s="51"/>
      <c r="J29" s="52">
        <v>1</v>
      </c>
      <c r="K29" s="52">
        <v>0.04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3"/>
      <c r="AD29" s="53"/>
      <c r="AE29" s="53"/>
      <c r="AF29" s="53"/>
      <c r="AG29" s="53"/>
      <c r="AH29" s="53"/>
    </row>
    <row r="30" spans="1:34" ht="15.75" x14ac:dyDescent="0.25">
      <c r="A30" s="51">
        <v>0.8</v>
      </c>
      <c r="B30" s="52">
        <v>0.16</v>
      </c>
      <c r="C30" s="51"/>
      <c r="D30" s="51">
        <v>0</v>
      </c>
      <c r="E30" s="51"/>
      <c r="F30" s="51"/>
      <c r="G30" s="51"/>
      <c r="H30" s="51"/>
      <c r="I30" s="51"/>
      <c r="J30" s="52">
        <v>1</v>
      </c>
      <c r="K30" s="52">
        <v>0.04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3"/>
      <c r="AD30" s="53"/>
      <c r="AE30" s="53"/>
      <c r="AF30" s="53"/>
      <c r="AG30" s="53"/>
      <c r="AH30" s="53"/>
    </row>
    <row r="31" spans="1:34" ht="15.75" x14ac:dyDescent="0.25">
      <c r="A31" s="51">
        <v>1</v>
      </c>
      <c r="B31" s="52">
        <v>0.16</v>
      </c>
      <c r="C31" s="51"/>
      <c r="D31" s="51">
        <v>0</v>
      </c>
      <c r="E31" s="51"/>
      <c r="F31" s="51"/>
      <c r="G31" s="51"/>
      <c r="H31" s="51"/>
      <c r="I31" s="51"/>
      <c r="J31" s="52">
        <v>1</v>
      </c>
      <c r="K31" s="52">
        <v>0.04</v>
      </c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3"/>
      <c r="AD31" s="53"/>
      <c r="AE31" s="53"/>
      <c r="AF31" s="53"/>
      <c r="AG31" s="53"/>
      <c r="AH31" s="53"/>
    </row>
    <row r="32" spans="1:34" ht="15.75" x14ac:dyDescent="0.25">
      <c r="A32" s="51">
        <v>1</v>
      </c>
      <c r="B32" s="52">
        <v>0.16</v>
      </c>
      <c r="C32" s="51"/>
      <c r="D32" s="51">
        <v>0</v>
      </c>
      <c r="E32" s="51"/>
      <c r="F32" s="51"/>
      <c r="G32" s="51"/>
      <c r="H32" s="51"/>
      <c r="I32" s="51"/>
      <c r="J32" s="52">
        <v>1</v>
      </c>
      <c r="K32" s="52">
        <v>0.04</v>
      </c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3"/>
      <c r="AD32" s="53"/>
      <c r="AE32" s="53"/>
      <c r="AF32" s="53"/>
      <c r="AG32" s="53"/>
      <c r="AH32" s="53"/>
    </row>
    <row r="33" spans="1:34" ht="15.75" x14ac:dyDescent="0.25">
      <c r="A33" s="51">
        <v>0.2</v>
      </c>
      <c r="B33" s="52">
        <v>0.18</v>
      </c>
      <c r="C33" s="51"/>
      <c r="D33" s="51">
        <v>0</v>
      </c>
      <c r="E33" s="51"/>
      <c r="F33" s="51"/>
      <c r="G33" s="51"/>
      <c r="H33" s="51"/>
      <c r="I33" s="51"/>
      <c r="J33" s="52">
        <v>1</v>
      </c>
      <c r="K33" s="52">
        <v>0.04</v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3"/>
      <c r="AD33" s="53"/>
      <c r="AE33" s="53"/>
      <c r="AF33" s="53"/>
      <c r="AG33" s="53"/>
      <c r="AH33" s="53"/>
    </row>
    <row r="34" spans="1:34" ht="15.75" x14ac:dyDescent="0.25">
      <c r="A34" s="51">
        <v>0.2</v>
      </c>
      <c r="B34" s="52">
        <v>0.18</v>
      </c>
      <c r="C34" s="51"/>
      <c r="D34" s="51">
        <v>0</v>
      </c>
      <c r="E34" s="51"/>
      <c r="F34" s="51"/>
      <c r="G34" s="51"/>
      <c r="H34" s="51"/>
      <c r="I34" s="51"/>
      <c r="J34" s="52">
        <v>1</v>
      </c>
      <c r="K34" s="52">
        <v>0.04</v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3"/>
      <c r="AD34" s="53"/>
      <c r="AE34" s="53"/>
      <c r="AF34" s="53"/>
      <c r="AG34" s="53"/>
      <c r="AH34" s="53"/>
    </row>
    <row r="35" spans="1:34" ht="15.75" x14ac:dyDescent="0.25">
      <c r="A35" s="51">
        <v>0.4</v>
      </c>
      <c r="B35" s="52">
        <v>0.18</v>
      </c>
      <c r="C35" s="51"/>
      <c r="D35" s="51">
        <v>0</v>
      </c>
      <c r="E35" s="51"/>
      <c r="F35" s="51"/>
      <c r="G35" s="51"/>
      <c r="H35" s="51"/>
      <c r="I35" s="51"/>
      <c r="J35" s="52">
        <v>1</v>
      </c>
      <c r="K35" s="52">
        <v>0.04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3"/>
      <c r="AD35" s="53"/>
      <c r="AE35" s="53"/>
      <c r="AF35" s="53"/>
      <c r="AG35" s="53"/>
      <c r="AH35" s="53"/>
    </row>
    <row r="36" spans="1:34" ht="15.75" x14ac:dyDescent="0.25">
      <c r="A36" s="51">
        <v>0.4</v>
      </c>
      <c r="B36" s="52">
        <v>0.18</v>
      </c>
      <c r="C36" s="51"/>
      <c r="D36" s="51">
        <v>0</v>
      </c>
      <c r="E36" s="51"/>
      <c r="F36" s="51"/>
      <c r="G36" s="51"/>
      <c r="H36" s="51"/>
      <c r="I36" s="51"/>
      <c r="J36" s="52">
        <v>1</v>
      </c>
      <c r="K36" s="52">
        <v>0.04</v>
      </c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3"/>
      <c r="AD36" s="53"/>
      <c r="AE36" s="53"/>
      <c r="AF36" s="53"/>
      <c r="AG36" s="53"/>
      <c r="AH36" s="53"/>
    </row>
    <row r="37" spans="1:34" ht="15.75" x14ac:dyDescent="0.25">
      <c r="A37" s="51">
        <v>0.6</v>
      </c>
      <c r="B37" s="52">
        <v>0.18</v>
      </c>
      <c r="C37" s="51"/>
      <c r="D37" s="51">
        <v>0</v>
      </c>
      <c r="E37" s="51"/>
      <c r="F37" s="51"/>
      <c r="G37" s="51"/>
      <c r="H37" s="51"/>
      <c r="I37" s="51"/>
      <c r="J37" s="52">
        <v>1</v>
      </c>
      <c r="K37" s="52">
        <v>0.04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3"/>
      <c r="AD37" s="53"/>
      <c r="AE37" s="53"/>
      <c r="AF37" s="53"/>
      <c r="AG37" s="53"/>
      <c r="AH37" s="53"/>
    </row>
    <row r="38" spans="1:34" ht="15.75" x14ac:dyDescent="0.25">
      <c r="A38" s="51">
        <v>0.6</v>
      </c>
      <c r="B38" s="52">
        <v>0.18</v>
      </c>
      <c r="C38" s="51"/>
      <c r="D38" s="51">
        <v>0</v>
      </c>
      <c r="E38" s="51"/>
      <c r="F38" s="51"/>
      <c r="G38" s="51"/>
      <c r="H38" s="51"/>
      <c r="I38" s="51"/>
      <c r="J38" s="52">
        <v>1</v>
      </c>
      <c r="K38" s="52">
        <v>0.04</v>
      </c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3"/>
      <c r="AD38" s="53"/>
      <c r="AE38" s="53"/>
      <c r="AF38" s="53"/>
      <c r="AG38" s="53"/>
      <c r="AH38" s="53"/>
    </row>
    <row r="39" spans="1:34" ht="15.75" x14ac:dyDescent="0.25">
      <c r="A39" s="51">
        <v>0.8</v>
      </c>
      <c r="B39" s="52">
        <v>0.18</v>
      </c>
      <c r="C39" s="51"/>
      <c r="D39" s="51">
        <v>0</v>
      </c>
      <c r="E39" s="51"/>
      <c r="F39" s="51"/>
      <c r="G39" s="51"/>
      <c r="H39" s="51"/>
      <c r="I39" s="51"/>
      <c r="J39" s="52">
        <v>1</v>
      </c>
      <c r="K39" s="52">
        <v>0.04</v>
      </c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3"/>
      <c r="AD39" s="53"/>
      <c r="AE39" s="53"/>
      <c r="AF39" s="53"/>
      <c r="AG39" s="53"/>
      <c r="AH39" s="53"/>
    </row>
    <row r="40" spans="1:34" ht="15.75" x14ac:dyDescent="0.25">
      <c r="A40" s="51">
        <v>0.8</v>
      </c>
      <c r="B40" s="52">
        <v>0.18</v>
      </c>
      <c r="C40" s="51"/>
      <c r="D40" s="51">
        <v>0</v>
      </c>
      <c r="E40" s="51"/>
      <c r="F40" s="51"/>
      <c r="G40" s="51"/>
      <c r="H40" s="51"/>
      <c r="I40" s="51"/>
      <c r="J40" s="52">
        <v>1</v>
      </c>
      <c r="K40" s="52">
        <v>0.04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3"/>
      <c r="AD40" s="53"/>
      <c r="AE40" s="53"/>
      <c r="AF40" s="53"/>
      <c r="AG40" s="53"/>
      <c r="AH40" s="53"/>
    </row>
    <row r="41" spans="1:34" ht="15.75" x14ac:dyDescent="0.25">
      <c r="A41" s="51">
        <v>1</v>
      </c>
      <c r="B41" s="52">
        <v>0.18</v>
      </c>
      <c r="C41" s="51"/>
      <c r="D41" s="51">
        <v>0</v>
      </c>
      <c r="E41" s="51"/>
      <c r="F41" s="51"/>
      <c r="G41" s="51"/>
      <c r="H41" s="51"/>
      <c r="I41" s="51"/>
      <c r="J41" s="52">
        <v>1</v>
      </c>
      <c r="K41" s="52">
        <v>0.04</v>
      </c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3"/>
      <c r="AD41" s="53"/>
      <c r="AE41" s="53"/>
      <c r="AF41" s="53"/>
      <c r="AG41" s="53"/>
      <c r="AH41" s="53"/>
    </row>
    <row r="42" spans="1:34" ht="15.75" x14ac:dyDescent="0.25">
      <c r="A42" s="51">
        <v>1</v>
      </c>
      <c r="B42" s="52">
        <v>0.18</v>
      </c>
      <c r="C42" s="51"/>
      <c r="D42" s="51">
        <v>0</v>
      </c>
      <c r="E42" s="51"/>
      <c r="F42" s="51"/>
      <c r="G42" s="51"/>
      <c r="H42" s="51"/>
      <c r="I42" s="51"/>
      <c r="J42" s="52">
        <v>1</v>
      </c>
      <c r="K42" s="52">
        <v>0.04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3"/>
      <c r="AD42" s="53"/>
      <c r="AE42" s="53"/>
      <c r="AF42" s="53"/>
      <c r="AG42" s="53"/>
      <c r="AH42" s="53"/>
    </row>
    <row r="43" spans="1:34" ht="15.75" x14ac:dyDescent="0.25">
      <c r="A43" s="51">
        <v>0.2</v>
      </c>
      <c r="B43" s="52">
        <v>0.2</v>
      </c>
      <c r="C43" s="51"/>
      <c r="D43" s="51">
        <v>0</v>
      </c>
      <c r="E43" s="51"/>
      <c r="F43" s="51"/>
      <c r="G43" s="51"/>
      <c r="H43" s="51"/>
      <c r="I43" s="51"/>
      <c r="J43" s="52">
        <v>1</v>
      </c>
      <c r="K43" s="52">
        <v>0.04</v>
      </c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3"/>
      <c r="AD43" s="53"/>
      <c r="AE43" s="53"/>
      <c r="AF43" s="53"/>
      <c r="AG43" s="53"/>
      <c r="AH43" s="53"/>
    </row>
    <row r="44" spans="1:34" ht="15.75" x14ac:dyDescent="0.25">
      <c r="A44" s="51">
        <v>0.2</v>
      </c>
      <c r="B44" s="52">
        <v>0.2</v>
      </c>
      <c r="C44" s="51"/>
      <c r="D44" s="51">
        <v>0</v>
      </c>
      <c r="E44" s="51"/>
      <c r="F44" s="51"/>
      <c r="G44" s="51"/>
      <c r="H44" s="51"/>
      <c r="I44" s="51"/>
      <c r="J44" s="52">
        <v>1</v>
      </c>
      <c r="K44" s="52">
        <v>0.04</v>
      </c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3"/>
      <c r="AD44" s="53"/>
      <c r="AE44" s="53"/>
      <c r="AF44" s="53"/>
      <c r="AG44" s="53"/>
      <c r="AH44" s="53"/>
    </row>
    <row r="45" spans="1:34" ht="15.75" x14ac:dyDescent="0.25">
      <c r="A45" s="51">
        <v>0.4</v>
      </c>
      <c r="B45" s="52">
        <v>0.2</v>
      </c>
      <c r="C45" s="51"/>
      <c r="D45" s="51">
        <v>0</v>
      </c>
      <c r="E45" s="51"/>
      <c r="F45" s="51"/>
      <c r="G45" s="51"/>
      <c r="H45" s="51"/>
      <c r="I45" s="51"/>
      <c r="J45" s="52">
        <v>1</v>
      </c>
      <c r="K45" s="52">
        <v>0.04</v>
      </c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3"/>
      <c r="AD45" s="53"/>
      <c r="AE45" s="53"/>
      <c r="AF45" s="53"/>
      <c r="AG45" s="53"/>
      <c r="AH45" s="53"/>
    </row>
    <row r="46" spans="1:34" ht="15.75" x14ac:dyDescent="0.25">
      <c r="A46" s="51">
        <v>0.4</v>
      </c>
      <c r="B46" s="52">
        <v>0.2</v>
      </c>
      <c r="C46" s="51"/>
      <c r="D46" s="51">
        <v>0</v>
      </c>
      <c r="E46" s="51"/>
      <c r="F46" s="51"/>
      <c r="G46" s="51"/>
      <c r="H46" s="51"/>
      <c r="I46" s="51"/>
      <c r="J46" s="52">
        <v>1</v>
      </c>
      <c r="K46" s="52">
        <v>0.04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3"/>
      <c r="AD46" s="53"/>
      <c r="AE46" s="53"/>
      <c r="AF46" s="53"/>
      <c r="AG46" s="53"/>
      <c r="AH46" s="53"/>
    </row>
    <row r="47" spans="1:34" ht="15.75" x14ac:dyDescent="0.25">
      <c r="A47" s="51">
        <v>0.6</v>
      </c>
      <c r="B47" s="52">
        <v>0.2</v>
      </c>
      <c r="C47" s="51"/>
      <c r="D47" s="51">
        <v>0</v>
      </c>
      <c r="E47" s="51"/>
      <c r="F47" s="51"/>
      <c r="G47" s="51"/>
      <c r="H47" s="51"/>
      <c r="I47" s="51"/>
      <c r="J47" s="52">
        <v>1</v>
      </c>
      <c r="K47" s="52">
        <v>0.04</v>
      </c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3"/>
      <c r="AD47" s="53"/>
      <c r="AE47" s="53"/>
      <c r="AF47" s="53"/>
      <c r="AG47" s="53"/>
      <c r="AH47" s="53"/>
    </row>
    <row r="48" spans="1:34" ht="15.75" x14ac:dyDescent="0.25">
      <c r="A48" s="51">
        <v>0.6</v>
      </c>
      <c r="B48" s="52">
        <v>0.2</v>
      </c>
      <c r="C48" s="51"/>
      <c r="D48" s="51">
        <v>0</v>
      </c>
      <c r="E48" s="51"/>
      <c r="F48" s="51"/>
      <c r="G48" s="51"/>
      <c r="H48" s="51"/>
      <c r="I48" s="51"/>
      <c r="J48" s="52">
        <v>1</v>
      </c>
      <c r="K48" s="52">
        <v>0.04</v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3"/>
      <c r="AD48" s="53"/>
      <c r="AE48" s="53"/>
      <c r="AF48" s="53"/>
      <c r="AG48" s="53"/>
      <c r="AH48" s="53"/>
    </row>
    <row r="49" spans="1:34" ht="15.75" x14ac:dyDescent="0.25">
      <c r="A49" s="51">
        <v>0.8</v>
      </c>
      <c r="B49" s="52">
        <v>0.2</v>
      </c>
      <c r="C49" s="51"/>
      <c r="D49" s="51">
        <v>0</v>
      </c>
      <c r="E49" s="51"/>
      <c r="F49" s="51"/>
      <c r="G49" s="51"/>
      <c r="H49" s="51"/>
      <c r="I49" s="51"/>
      <c r="J49" s="52">
        <v>1</v>
      </c>
      <c r="K49" s="52">
        <v>0.04</v>
      </c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3"/>
      <c r="AD49" s="53"/>
      <c r="AE49" s="53"/>
      <c r="AF49" s="53"/>
      <c r="AG49" s="53"/>
      <c r="AH49" s="53"/>
    </row>
    <row r="50" spans="1:34" ht="15.75" x14ac:dyDescent="0.25">
      <c r="A50" s="51">
        <v>0.8</v>
      </c>
      <c r="B50" s="52">
        <v>0.2</v>
      </c>
      <c r="C50" s="51"/>
      <c r="D50" s="51">
        <v>0</v>
      </c>
      <c r="E50" s="51"/>
      <c r="F50" s="51"/>
      <c r="G50" s="51"/>
      <c r="H50" s="51"/>
      <c r="I50" s="51"/>
      <c r="J50" s="52">
        <v>1</v>
      </c>
      <c r="K50" s="52">
        <v>0.04</v>
      </c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3"/>
      <c r="AD50" s="53"/>
      <c r="AE50" s="53"/>
      <c r="AF50" s="53"/>
      <c r="AG50" s="53"/>
      <c r="AH50" s="53"/>
    </row>
    <row r="51" spans="1:34" ht="15.75" x14ac:dyDescent="0.25">
      <c r="A51" s="51">
        <v>1</v>
      </c>
      <c r="B51" s="52">
        <v>0.2</v>
      </c>
      <c r="C51" s="51"/>
      <c r="D51" s="51">
        <v>0</v>
      </c>
      <c r="E51" s="51"/>
      <c r="F51" s="51"/>
      <c r="G51" s="51"/>
      <c r="H51" s="51"/>
      <c r="I51" s="51"/>
      <c r="J51" s="52">
        <v>1</v>
      </c>
      <c r="K51" s="52">
        <v>0.04</v>
      </c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3"/>
      <c r="AD51" s="53"/>
      <c r="AE51" s="53"/>
      <c r="AF51" s="53"/>
      <c r="AG51" s="53"/>
      <c r="AH51" s="53"/>
    </row>
    <row r="52" spans="1:34" ht="15.75" x14ac:dyDescent="0.25">
      <c r="A52" s="51">
        <v>1</v>
      </c>
      <c r="B52" s="52">
        <v>0.2</v>
      </c>
      <c r="C52" s="51"/>
      <c r="D52" s="51">
        <v>0</v>
      </c>
      <c r="E52" s="51"/>
      <c r="F52" s="51"/>
      <c r="G52" s="51"/>
      <c r="H52" s="51"/>
      <c r="I52" s="51"/>
      <c r="J52" s="52">
        <v>1</v>
      </c>
      <c r="K52" s="52">
        <v>0.04</v>
      </c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3"/>
      <c r="AD52" s="53"/>
      <c r="AE52" s="53"/>
      <c r="AF52" s="53"/>
      <c r="AG52" s="53"/>
      <c r="AH52" s="53"/>
    </row>
  </sheetData>
  <mergeCells count="5">
    <mergeCell ref="A1:G1"/>
    <mergeCell ref="H1:I1"/>
    <mergeCell ref="Q1:V1"/>
    <mergeCell ref="W1:AB1"/>
    <mergeCell ref="AC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88C6-F1B0-4881-80A2-CA76B02448CF}">
  <dimension ref="A1:AO14"/>
  <sheetViews>
    <sheetView topLeftCell="I1" workbookViewId="0">
      <selection activeCell="AD22" sqref="AD22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28515625" bestFit="1" customWidth="1"/>
    <col min="5" max="7" width="8.42578125" bestFit="1" customWidth="1"/>
    <col min="8" max="8" width="11.28515625" bestFit="1" customWidth="1"/>
    <col min="9" max="9" width="12.85546875" bestFit="1" customWidth="1"/>
    <col min="10" max="11" width="6.140625" bestFit="1" customWidth="1"/>
    <col min="12" max="12" width="7.5703125" bestFit="1" customWidth="1"/>
    <col min="13" max="13" width="8.28515625" bestFit="1" customWidth="1"/>
    <col min="14" max="16" width="8.42578125" bestFit="1" customWidth="1"/>
    <col min="17" max="18" width="8.140625" bestFit="1" customWidth="1"/>
    <col min="19" max="19" width="7.7109375" bestFit="1" customWidth="1"/>
    <col min="20" max="22" width="6.85546875" bestFit="1" customWidth="1"/>
    <col min="23" max="24" width="6.140625" bestFit="1" customWidth="1"/>
    <col min="25" max="25" width="7.5703125" bestFit="1" customWidth="1"/>
    <col min="26" max="26" width="8" bestFit="1" customWidth="1"/>
    <col min="27" max="28" width="6.140625" bestFit="1" customWidth="1"/>
    <col min="29" max="29" width="7.5703125" bestFit="1" customWidth="1"/>
    <col min="30" max="30" width="8" customWidth="1"/>
    <col min="31" max="31" width="8" bestFit="1" customWidth="1"/>
    <col min="32" max="32" width="8.140625" bestFit="1" customWidth="1"/>
    <col min="33" max="33" width="7.7109375" bestFit="1" customWidth="1"/>
    <col min="34" max="34" width="7.28515625" bestFit="1" customWidth="1"/>
    <col min="35" max="36" width="8" bestFit="1" customWidth="1"/>
  </cols>
  <sheetData>
    <row r="1" spans="1:41" ht="15.75" x14ac:dyDescent="0.25">
      <c r="A1" s="27" t="s">
        <v>17</v>
      </c>
      <c r="B1" s="27"/>
      <c r="C1" s="27"/>
      <c r="D1" s="27"/>
      <c r="E1" s="27"/>
      <c r="F1" s="27"/>
      <c r="G1" s="28"/>
      <c r="H1" s="32" t="s">
        <v>21</v>
      </c>
      <c r="I1" s="33"/>
      <c r="J1" s="13"/>
      <c r="K1" s="13"/>
      <c r="L1" s="13"/>
      <c r="M1" s="13"/>
      <c r="N1" s="13"/>
      <c r="O1" s="13"/>
      <c r="P1" s="13"/>
      <c r="Q1" s="23" t="s">
        <v>6</v>
      </c>
      <c r="R1" s="24"/>
      <c r="S1" s="24"/>
      <c r="T1" s="24"/>
      <c r="U1" s="24"/>
      <c r="V1" s="24"/>
      <c r="W1" s="44" t="s">
        <v>11</v>
      </c>
      <c r="X1" s="45"/>
      <c r="Y1" s="45"/>
      <c r="Z1" s="45"/>
      <c r="AA1" s="45"/>
      <c r="AB1" s="45"/>
      <c r="AC1" s="45"/>
      <c r="AD1" s="46"/>
      <c r="AE1" s="29" t="s">
        <v>23</v>
      </c>
      <c r="AF1" s="30"/>
      <c r="AG1" s="30"/>
      <c r="AH1" s="30"/>
      <c r="AI1" s="30"/>
      <c r="AJ1" s="31"/>
    </row>
    <row r="2" spans="1:41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6" t="s">
        <v>7</v>
      </c>
      <c r="K2" s="6" t="s">
        <v>8</v>
      </c>
      <c r="L2" s="6" t="s">
        <v>9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3</v>
      </c>
      <c r="R2" s="6" t="s">
        <v>4</v>
      </c>
      <c r="S2" s="6" t="s">
        <v>5</v>
      </c>
      <c r="T2" s="6" t="s">
        <v>0</v>
      </c>
      <c r="U2" s="6" t="s">
        <v>1</v>
      </c>
      <c r="V2" s="17" t="s">
        <v>2</v>
      </c>
      <c r="W2" s="8" t="s">
        <v>7</v>
      </c>
      <c r="X2" s="6" t="s">
        <v>8</v>
      </c>
      <c r="Y2" s="6" t="s">
        <v>9</v>
      </c>
      <c r="Z2" s="6" t="s">
        <v>10</v>
      </c>
      <c r="AA2" s="8" t="s">
        <v>7</v>
      </c>
      <c r="AB2" s="6" t="s">
        <v>8</v>
      </c>
      <c r="AC2" s="6" t="s">
        <v>9</v>
      </c>
      <c r="AD2" s="6" t="s">
        <v>10</v>
      </c>
      <c r="AE2" s="8" t="s">
        <v>7</v>
      </c>
      <c r="AF2" s="6" t="s">
        <v>8</v>
      </c>
      <c r="AG2" s="6" t="s">
        <v>9</v>
      </c>
      <c r="AH2" s="6" t="s">
        <v>10</v>
      </c>
      <c r="AI2" s="8" t="s">
        <v>7</v>
      </c>
      <c r="AJ2" s="6" t="s">
        <v>8</v>
      </c>
      <c r="AK2" s="6" t="s">
        <v>9</v>
      </c>
      <c r="AL2" s="6" t="s">
        <v>10</v>
      </c>
      <c r="AM2" s="34" t="s">
        <v>33</v>
      </c>
      <c r="AN2" s="34"/>
      <c r="AO2" s="34"/>
    </row>
    <row r="3" spans="1:41" ht="15.75" x14ac:dyDescent="0.25">
      <c r="A3" s="1">
        <f>'Proximal Validation (double)'!A3</f>
        <v>0.2</v>
      </c>
      <c r="B3" s="1">
        <f>'Proximal Validation (double)'!B3</f>
        <v>0.12</v>
      </c>
      <c r="C3" s="1">
        <f>'Proximal Validation (double)'!C3</f>
        <v>0</v>
      </c>
      <c r="D3" s="1">
        <f>'Proximal Validation (double)'!D3</f>
        <v>0</v>
      </c>
      <c r="E3" s="1">
        <f>'Proximal Validation (double)'!E3</f>
        <v>0</v>
      </c>
      <c r="F3" s="1">
        <f>'Proximal Validation (double)'!F3</f>
        <v>0</v>
      </c>
      <c r="G3" s="1">
        <f>'Proximal Validation (double)'!G3</f>
        <v>0</v>
      </c>
      <c r="H3" s="1">
        <f>'Proximal Validation (double)'!H3</f>
        <v>0</v>
      </c>
      <c r="I3" s="1">
        <f>'Proximal Validation (double)'!I3</f>
        <v>0</v>
      </c>
      <c r="J3" s="1">
        <f>'Proximal Validation (double)'!J3</f>
        <v>1</v>
      </c>
      <c r="K3" s="1">
        <f>'Proximal Validation (double)'!K3</f>
        <v>0.04</v>
      </c>
      <c r="L3" s="1">
        <f>'Proximal Validation (double)'!L3</f>
        <v>0</v>
      </c>
      <c r="M3" s="1">
        <f>'Proximal Validation (double)'!M3</f>
        <v>0</v>
      </c>
      <c r="N3" s="1">
        <f>'Proximal Validation (double)'!N3</f>
        <v>0</v>
      </c>
      <c r="O3" s="1">
        <f>'Proximal Validation (double)'!O3</f>
        <v>0</v>
      </c>
      <c r="P3" s="1">
        <f>'Proximal Validation (double)'!P3</f>
        <v>0</v>
      </c>
      <c r="Q3" s="1">
        <f>'Proximal Validation (double)'!Q3</f>
        <v>0</v>
      </c>
      <c r="R3" s="1">
        <f>'Proximal Validation (double)'!R3</f>
        <v>0</v>
      </c>
      <c r="S3" s="1">
        <f>'Proximal Validation (double)'!S3</f>
        <v>0</v>
      </c>
      <c r="T3" s="1">
        <f>'Proximal Validation (double)'!T3</f>
        <v>0</v>
      </c>
      <c r="U3" s="1">
        <f>'Proximal Validation (double)'!U3</f>
        <v>0</v>
      </c>
      <c r="V3" s="18">
        <f>'Proximal Validation (double)'!V3</f>
        <v>0</v>
      </c>
      <c r="W3" s="1">
        <v>0.70589999999999997</v>
      </c>
      <c r="X3" s="1">
        <v>0.2</v>
      </c>
      <c r="Y3" s="1">
        <v>1.5539000000000001</v>
      </c>
      <c r="Z3" s="1">
        <v>1.5708</v>
      </c>
      <c r="AA3" s="1">
        <v>1</v>
      </c>
      <c r="AB3" s="1">
        <v>5.0200000000000002E-2</v>
      </c>
      <c r="AC3" s="1">
        <v>3.7631999999999999</v>
      </c>
      <c r="AD3" s="1">
        <v>1.5708</v>
      </c>
      <c r="AE3" s="10">
        <f>W3-A3</f>
        <v>0.50590000000000002</v>
      </c>
      <c r="AF3" s="10">
        <f t="shared" ref="AF3:AH3" si="0">X3-B3</f>
        <v>8.0000000000000016E-2</v>
      </c>
      <c r="AG3" s="10">
        <f t="shared" si="0"/>
        <v>1.5539000000000001</v>
      </c>
      <c r="AH3" s="10">
        <f t="shared" si="0"/>
        <v>1.5708</v>
      </c>
      <c r="AI3" s="10">
        <f>AA3-J3</f>
        <v>0</v>
      </c>
      <c r="AJ3" s="10">
        <f t="shared" ref="AJ3:AL3" si="1">AB3-K3</f>
        <v>1.0200000000000001E-2</v>
      </c>
      <c r="AK3" s="10">
        <f t="shared" si="1"/>
        <v>3.7631999999999999</v>
      </c>
      <c r="AL3" s="10">
        <f t="shared" si="1"/>
        <v>1.5708</v>
      </c>
      <c r="AM3" s="3" cm="1">
        <f t="array" ref="AM3">AVERAGE(ABS(AE3:AE8), ABS(AI3:AI8))</f>
        <v>0.21989166666666668</v>
      </c>
      <c r="AN3" s="3" cm="1">
        <f t="array" ref="AN3">AVERAGE(ABS(AF3:AF8), ABS(AJ3:AJ8))</f>
        <v>3.8200000000000012E-2</v>
      </c>
      <c r="AO3" s="3" t="e" cm="1">
        <f t="array" ref="AO3">AVERAGE(ABS(#REF!))</f>
        <v>#REF!</v>
      </c>
    </row>
    <row r="4" spans="1:41" ht="15.75" x14ac:dyDescent="0.25">
      <c r="A4" s="1">
        <f>'Proximal Validation (double)'!A4</f>
        <v>0.2</v>
      </c>
      <c r="B4" s="1">
        <f>'Proximal Validation (double)'!B4</f>
        <v>0.12</v>
      </c>
      <c r="C4" s="1">
        <f>'Proximal Validation (double)'!C4</f>
        <v>0</v>
      </c>
      <c r="D4" s="1">
        <f>'Proximal Validation (double)'!D4</f>
        <v>0</v>
      </c>
      <c r="E4" s="1">
        <f>'Proximal Validation (double)'!E4</f>
        <v>0</v>
      </c>
      <c r="F4" s="1">
        <f>'Proximal Validation (double)'!F4</f>
        <v>0</v>
      </c>
      <c r="G4" s="1">
        <f>'Proximal Validation (double)'!G4</f>
        <v>0</v>
      </c>
      <c r="H4" s="1">
        <f>'Proximal Validation (double)'!H4</f>
        <v>0</v>
      </c>
      <c r="I4" s="1">
        <f>'Proximal Validation (double)'!I4</f>
        <v>0</v>
      </c>
      <c r="J4" s="1">
        <f>'Proximal Validation (double)'!J4</f>
        <v>1</v>
      </c>
      <c r="K4" s="1">
        <f>'Proximal Validation (double)'!K4</f>
        <v>0.04</v>
      </c>
      <c r="L4" s="1">
        <f>'Proximal Validation (double)'!L4</f>
        <v>0</v>
      </c>
      <c r="M4" s="1">
        <f>'Proximal Validation (double)'!M4</f>
        <v>0</v>
      </c>
      <c r="N4" s="1">
        <f>'Proximal Validation (double)'!N4</f>
        <v>0</v>
      </c>
      <c r="O4" s="1">
        <f>'Proximal Validation (double)'!O4</f>
        <v>0</v>
      </c>
      <c r="P4" s="1">
        <f>'Proximal Validation (double)'!P4</f>
        <v>0</v>
      </c>
      <c r="Q4" s="1">
        <f>'Proximal Validation (double)'!Q4</f>
        <v>0</v>
      </c>
      <c r="R4" s="1">
        <f>'Proximal Validation (double)'!R4</f>
        <v>0</v>
      </c>
      <c r="S4" s="1">
        <f>'Proximal Validation (double)'!S4</f>
        <v>0</v>
      </c>
      <c r="T4" s="1">
        <f>'Proximal Validation (double)'!T4</f>
        <v>0</v>
      </c>
      <c r="U4" s="1">
        <f>'Proximal Validation (double)'!U4</f>
        <v>0</v>
      </c>
      <c r="V4" s="18">
        <f>'Proximal Validation (double)'!V4</f>
        <v>0</v>
      </c>
      <c r="W4" s="1">
        <v>0.65090000000000003</v>
      </c>
      <c r="X4" s="1">
        <v>0.17810000000000001</v>
      </c>
      <c r="Y4" s="1">
        <v>1.5548999999999999</v>
      </c>
      <c r="Z4" s="1">
        <v>1.5708</v>
      </c>
      <c r="AA4" s="1">
        <v>0.77939999999999998</v>
      </c>
      <c r="AB4" s="1">
        <v>2.35E-2</v>
      </c>
      <c r="AC4" s="1">
        <v>3.5415000000000001</v>
      </c>
      <c r="AD4" s="1">
        <v>1.5708</v>
      </c>
      <c r="AE4" s="10">
        <f t="shared" ref="AE4:AE8" si="2">W4-A4</f>
        <v>0.45090000000000002</v>
      </c>
      <c r="AF4" s="10">
        <f t="shared" ref="AF4:AF8" si="3">X4-B4</f>
        <v>5.8100000000000013E-2</v>
      </c>
      <c r="AG4" s="10">
        <f t="shared" ref="AG4:AG8" si="4">Y4-C4</f>
        <v>1.5548999999999999</v>
      </c>
      <c r="AH4" s="10">
        <f t="shared" ref="AH4:AH8" si="5">Z4-D4</f>
        <v>1.5708</v>
      </c>
      <c r="AI4" s="10">
        <f t="shared" ref="AI4:AI8" si="6">AA4-J4</f>
        <v>-0.22060000000000002</v>
      </c>
      <c r="AJ4" s="10">
        <f t="shared" ref="AJ4:AJ8" si="7">AB4-K4</f>
        <v>-1.6500000000000001E-2</v>
      </c>
      <c r="AK4" s="10">
        <f t="shared" ref="AK4:AK8" si="8">AC4-L4</f>
        <v>3.5415000000000001</v>
      </c>
      <c r="AL4" s="10">
        <f t="shared" ref="AL4:AL8" si="9">AD4-M4</f>
        <v>1.5708</v>
      </c>
      <c r="AM4" s="9"/>
      <c r="AN4" s="9"/>
      <c r="AO4" s="9"/>
    </row>
    <row r="5" spans="1:41" ht="15.75" x14ac:dyDescent="0.25">
      <c r="A5" s="1">
        <f>'Proximal Validation (double)'!A5</f>
        <v>0.4</v>
      </c>
      <c r="B5" s="1">
        <f>'Proximal Validation (double)'!B5</f>
        <v>0.12</v>
      </c>
      <c r="C5" s="1">
        <f>'Proximal Validation (double)'!C5</f>
        <v>0</v>
      </c>
      <c r="D5" s="1">
        <f>'Proximal Validation (double)'!D5</f>
        <v>0</v>
      </c>
      <c r="E5" s="1">
        <f>'Proximal Validation (double)'!E5</f>
        <v>0</v>
      </c>
      <c r="F5" s="1">
        <f>'Proximal Validation (double)'!F5</f>
        <v>0</v>
      </c>
      <c r="G5" s="1">
        <f>'Proximal Validation (double)'!G5</f>
        <v>0</v>
      </c>
      <c r="H5" s="1">
        <f>'Proximal Validation (double)'!H5</f>
        <v>0</v>
      </c>
      <c r="I5" s="1">
        <f>'Proximal Validation (double)'!I5</f>
        <v>0</v>
      </c>
      <c r="J5" s="1">
        <f>'Proximal Validation (double)'!J5</f>
        <v>1</v>
      </c>
      <c r="K5" s="1">
        <f>'Proximal Validation (double)'!K5</f>
        <v>0.04</v>
      </c>
      <c r="L5" s="1">
        <f>'Proximal Validation (double)'!L5</f>
        <v>0</v>
      </c>
      <c r="M5" s="1">
        <f>'Proximal Validation (double)'!M5</f>
        <v>0</v>
      </c>
      <c r="N5" s="1">
        <f>'Proximal Validation (double)'!N5</f>
        <v>0</v>
      </c>
      <c r="O5" s="1">
        <f>'Proximal Validation (double)'!O5</f>
        <v>0</v>
      </c>
      <c r="P5" s="1">
        <f>'Proximal Validation (double)'!P5</f>
        <v>0</v>
      </c>
      <c r="Q5" s="1">
        <f>'Proximal Validation (double)'!Q5</f>
        <v>0</v>
      </c>
      <c r="R5" s="1">
        <f>'Proximal Validation (double)'!R5</f>
        <v>0</v>
      </c>
      <c r="S5" s="1">
        <f>'Proximal Validation (double)'!S5</f>
        <v>0</v>
      </c>
      <c r="T5" s="1">
        <f>'Proximal Validation (double)'!T5</f>
        <v>0</v>
      </c>
      <c r="U5" s="1">
        <f>'Proximal Validation (double)'!U5</f>
        <v>0</v>
      </c>
      <c r="V5" s="18">
        <f>'Proximal Validation (double)'!V5</f>
        <v>0</v>
      </c>
      <c r="W5" s="1">
        <v>0.37130000000000002</v>
      </c>
      <c r="X5" s="1">
        <v>0.1825</v>
      </c>
      <c r="Y5" s="1">
        <v>1.4414</v>
      </c>
      <c r="Z5" s="1">
        <v>1.5708</v>
      </c>
      <c r="AA5" s="1">
        <v>0.94069999999999998</v>
      </c>
      <c r="AB5" s="1">
        <v>3.1300000000000001E-2</v>
      </c>
      <c r="AC5" s="1">
        <v>3.8820000000000001</v>
      </c>
      <c r="AD5" s="1">
        <v>1.5708</v>
      </c>
      <c r="AE5" s="10">
        <f t="shared" si="2"/>
        <v>-2.8700000000000003E-2</v>
      </c>
      <c r="AF5" s="10">
        <f t="shared" si="3"/>
        <v>6.25E-2</v>
      </c>
      <c r="AG5" s="10">
        <f t="shared" si="4"/>
        <v>1.4414</v>
      </c>
      <c r="AH5" s="10">
        <f t="shared" si="5"/>
        <v>1.5708</v>
      </c>
      <c r="AI5" s="10">
        <f t="shared" si="6"/>
        <v>-5.9300000000000019E-2</v>
      </c>
      <c r="AJ5" s="10">
        <f t="shared" si="7"/>
        <v>-8.6999999999999994E-3</v>
      </c>
      <c r="AK5" s="10">
        <f t="shared" si="8"/>
        <v>3.8820000000000001</v>
      </c>
      <c r="AL5" s="10">
        <f t="shared" si="9"/>
        <v>1.5708</v>
      </c>
      <c r="AM5" s="3"/>
      <c r="AN5" s="3"/>
      <c r="AO5" s="3"/>
    </row>
    <row r="6" spans="1:41" ht="15.75" x14ac:dyDescent="0.25">
      <c r="A6" s="1">
        <f>'Proximal Validation (double)'!A6</f>
        <v>0.4</v>
      </c>
      <c r="B6" s="1">
        <f>'Proximal Validation (double)'!B6</f>
        <v>0.12</v>
      </c>
      <c r="C6" s="1">
        <f>'Proximal Validation (double)'!C6</f>
        <v>0</v>
      </c>
      <c r="D6" s="1">
        <f>'Proximal Validation (double)'!D6</f>
        <v>0</v>
      </c>
      <c r="E6" s="1">
        <f>'Proximal Validation (double)'!E6</f>
        <v>0</v>
      </c>
      <c r="F6" s="1">
        <f>'Proximal Validation (double)'!F6</f>
        <v>0</v>
      </c>
      <c r="G6" s="1">
        <f>'Proximal Validation (double)'!G6</f>
        <v>0</v>
      </c>
      <c r="H6" s="1">
        <f>'Proximal Validation (double)'!H6</f>
        <v>0</v>
      </c>
      <c r="I6" s="1">
        <f>'Proximal Validation (double)'!I6</f>
        <v>0</v>
      </c>
      <c r="J6" s="1">
        <f>'Proximal Validation (double)'!J6</f>
        <v>1</v>
      </c>
      <c r="K6" s="1">
        <f>'Proximal Validation (double)'!K6</f>
        <v>0.04</v>
      </c>
      <c r="L6" s="1">
        <f>'Proximal Validation (double)'!L6</f>
        <v>0</v>
      </c>
      <c r="M6" s="1">
        <f>'Proximal Validation (double)'!M6</f>
        <v>0</v>
      </c>
      <c r="N6" s="1">
        <f>'Proximal Validation (double)'!N6</f>
        <v>0</v>
      </c>
      <c r="O6" s="1">
        <f>'Proximal Validation (double)'!O6</f>
        <v>0</v>
      </c>
      <c r="P6" s="1">
        <f>'Proximal Validation (double)'!P6</f>
        <v>0</v>
      </c>
      <c r="Q6" s="1">
        <f>'Proximal Validation (double)'!Q6</f>
        <v>0</v>
      </c>
      <c r="R6" s="1">
        <f>'Proximal Validation (double)'!R6</f>
        <v>0</v>
      </c>
      <c r="S6" s="1">
        <f>'Proximal Validation (double)'!S6</f>
        <v>0</v>
      </c>
      <c r="T6" s="1">
        <f>'Proximal Validation (double)'!T6</f>
        <v>0</v>
      </c>
      <c r="U6" s="1">
        <f>'Proximal Validation (double)'!U6</f>
        <v>0</v>
      </c>
      <c r="V6" s="18">
        <f>'Proximal Validation (double)'!V6</f>
        <v>0</v>
      </c>
      <c r="W6" s="1">
        <v>0.27639999999999998</v>
      </c>
      <c r="X6" s="1">
        <v>0.18310000000000001</v>
      </c>
      <c r="Y6" s="1">
        <v>4.1990999999999996</v>
      </c>
      <c r="Z6" s="1">
        <v>1.5708</v>
      </c>
      <c r="AA6" s="1">
        <v>0.77310000000000001</v>
      </c>
      <c r="AB6" s="1">
        <v>1.18E-2</v>
      </c>
      <c r="AC6" s="1">
        <v>3.8603999999999998</v>
      </c>
      <c r="AD6" s="1">
        <v>1.5708</v>
      </c>
      <c r="AE6" s="10">
        <f t="shared" si="2"/>
        <v>-0.12360000000000004</v>
      </c>
      <c r="AF6" s="10">
        <f t="shared" si="3"/>
        <v>6.3100000000000017E-2</v>
      </c>
      <c r="AG6" s="10">
        <f t="shared" si="4"/>
        <v>4.1990999999999996</v>
      </c>
      <c r="AH6" s="10">
        <f t="shared" si="5"/>
        <v>1.5708</v>
      </c>
      <c r="AI6" s="10">
        <f t="shared" si="6"/>
        <v>-0.22689999999999999</v>
      </c>
      <c r="AJ6" s="10">
        <f t="shared" si="7"/>
        <v>-2.8200000000000003E-2</v>
      </c>
      <c r="AK6" s="10">
        <f t="shared" si="8"/>
        <v>3.8603999999999998</v>
      </c>
      <c r="AL6" s="10">
        <f t="shared" si="9"/>
        <v>1.5708</v>
      </c>
    </row>
    <row r="7" spans="1:41" ht="15.75" x14ac:dyDescent="0.25">
      <c r="A7" s="1">
        <f>'Proximal Validation (double)'!A7</f>
        <v>0.6</v>
      </c>
      <c r="B7" s="1">
        <f>'Proximal Validation (double)'!B7</f>
        <v>0.12</v>
      </c>
      <c r="C7" s="1">
        <f>'Proximal Validation (double)'!C7</f>
        <v>0</v>
      </c>
      <c r="D7" s="1">
        <f>'Proximal Validation (double)'!D7</f>
        <v>0</v>
      </c>
      <c r="E7" s="1">
        <f>'Proximal Validation (double)'!E7</f>
        <v>0</v>
      </c>
      <c r="F7" s="1">
        <f>'Proximal Validation (double)'!F7</f>
        <v>0</v>
      </c>
      <c r="G7" s="1">
        <f>'Proximal Validation (double)'!G7</f>
        <v>0</v>
      </c>
      <c r="H7" s="1">
        <f>'Proximal Validation (double)'!H7</f>
        <v>0</v>
      </c>
      <c r="I7" s="1">
        <f>'Proximal Validation (double)'!I7</f>
        <v>0</v>
      </c>
      <c r="J7" s="1">
        <f>'Proximal Validation (double)'!J7</f>
        <v>1</v>
      </c>
      <c r="K7" s="1">
        <f>'Proximal Validation (double)'!K7</f>
        <v>0.04</v>
      </c>
      <c r="L7" s="1">
        <f>'Proximal Validation (double)'!L7</f>
        <v>0</v>
      </c>
      <c r="M7" s="1">
        <f>'Proximal Validation (double)'!M7</f>
        <v>0</v>
      </c>
      <c r="N7" s="1">
        <f>'Proximal Validation (double)'!N7</f>
        <v>0</v>
      </c>
      <c r="O7" s="1">
        <f>'Proximal Validation (double)'!O7</f>
        <v>0</v>
      </c>
      <c r="P7" s="1">
        <f>'Proximal Validation (double)'!P7</f>
        <v>0</v>
      </c>
      <c r="Q7" s="1">
        <f>'Proximal Validation (double)'!Q7</f>
        <v>0</v>
      </c>
      <c r="R7" s="1">
        <f>'Proximal Validation (double)'!R7</f>
        <v>0</v>
      </c>
      <c r="S7" s="1">
        <f>'Proximal Validation (double)'!S7</f>
        <v>0</v>
      </c>
      <c r="T7" s="1">
        <f>'Proximal Validation (double)'!T7</f>
        <v>0</v>
      </c>
      <c r="U7" s="1">
        <f>'Proximal Validation (double)'!U7</f>
        <v>0</v>
      </c>
      <c r="V7" s="18">
        <f>'Proximal Validation (double)'!V7</f>
        <v>0</v>
      </c>
      <c r="W7" s="1">
        <v>0.38790000000000002</v>
      </c>
      <c r="X7" s="1">
        <v>0.16500000000000001</v>
      </c>
      <c r="Y7" s="1">
        <v>4.3216999999999999</v>
      </c>
      <c r="Z7" s="1">
        <v>1.5708</v>
      </c>
      <c r="AA7" s="1">
        <v>0.76759999999999995</v>
      </c>
      <c r="AB7" s="1">
        <v>0.01</v>
      </c>
      <c r="AC7" s="1">
        <v>3.9121999999999999</v>
      </c>
      <c r="AD7" s="1">
        <v>1.5708</v>
      </c>
      <c r="AE7" s="10">
        <f t="shared" si="2"/>
        <v>-0.21209999999999996</v>
      </c>
      <c r="AF7" s="10">
        <f t="shared" si="3"/>
        <v>4.5000000000000012E-2</v>
      </c>
      <c r="AG7" s="10">
        <f t="shared" si="4"/>
        <v>4.3216999999999999</v>
      </c>
      <c r="AH7" s="10">
        <f t="shared" si="5"/>
        <v>1.5708</v>
      </c>
      <c r="AI7" s="10">
        <f t="shared" si="6"/>
        <v>-0.23240000000000005</v>
      </c>
      <c r="AJ7" s="10">
        <f t="shared" si="7"/>
        <v>-0.03</v>
      </c>
      <c r="AK7" s="10">
        <f t="shared" si="8"/>
        <v>3.9121999999999999</v>
      </c>
      <c r="AL7" s="10">
        <f t="shared" si="9"/>
        <v>1.5708</v>
      </c>
    </row>
    <row r="8" spans="1:41" ht="15.75" x14ac:dyDescent="0.25">
      <c r="A8" s="19">
        <f>'Proximal Validation (double)'!A8</f>
        <v>0.6</v>
      </c>
      <c r="B8" s="19">
        <f>'Proximal Validation (double)'!B8</f>
        <v>0.12</v>
      </c>
      <c r="C8" s="19">
        <f>'Proximal Validation (double)'!C8</f>
        <v>0</v>
      </c>
      <c r="D8" s="19">
        <f>'Proximal Validation (double)'!D8</f>
        <v>0</v>
      </c>
      <c r="E8" s="19">
        <f>'Proximal Validation (double)'!E8</f>
        <v>0</v>
      </c>
      <c r="F8" s="19">
        <f>'Proximal Validation (double)'!F8</f>
        <v>0</v>
      </c>
      <c r="G8" s="19">
        <f>'Proximal Validation (double)'!G8</f>
        <v>0</v>
      </c>
      <c r="H8" s="19">
        <f>'Proximal Validation (double)'!H8</f>
        <v>0</v>
      </c>
      <c r="I8" s="19">
        <f>'Proximal Validation (double)'!I8</f>
        <v>0</v>
      </c>
      <c r="J8" s="19">
        <f>'Proximal Validation (double)'!J8</f>
        <v>1</v>
      </c>
      <c r="K8" s="19">
        <f>'Proximal Validation (double)'!K8</f>
        <v>0.04</v>
      </c>
      <c r="L8" s="19">
        <f>'Proximal Validation (double)'!L8</f>
        <v>0</v>
      </c>
      <c r="M8" s="19">
        <f>'Proximal Validation (double)'!M8</f>
        <v>0</v>
      </c>
      <c r="N8" s="19">
        <f>'Proximal Validation (double)'!N8</f>
        <v>0</v>
      </c>
      <c r="O8" s="19">
        <f>'Proximal Validation (double)'!O8</f>
        <v>0</v>
      </c>
      <c r="P8" s="19">
        <f>'Proximal Validation (double)'!P8</f>
        <v>0</v>
      </c>
      <c r="Q8" s="19">
        <f>'Proximal Validation (double)'!Q8</f>
        <v>0</v>
      </c>
      <c r="R8" s="19">
        <f>'Proximal Validation (double)'!R8</f>
        <v>0</v>
      </c>
      <c r="S8" s="19">
        <f>'Proximal Validation (double)'!S8</f>
        <v>0</v>
      </c>
      <c r="T8" s="19">
        <f>'Proximal Validation (double)'!T8</f>
        <v>0</v>
      </c>
      <c r="U8" s="19">
        <f>'Proximal Validation (double)'!U8</f>
        <v>0</v>
      </c>
      <c r="V8" s="20">
        <f>'Proximal Validation (double)'!V8</f>
        <v>0</v>
      </c>
      <c r="W8" s="19">
        <v>0.32719999999999999</v>
      </c>
      <c r="X8" s="19">
        <v>0.14610000000000001</v>
      </c>
      <c r="Y8" s="19">
        <v>4.2333999999999996</v>
      </c>
      <c r="Z8" s="19">
        <v>1.5708</v>
      </c>
      <c r="AA8" s="19">
        <v>0.69450000000000001</v>
      </c>
      <c r="AB8" s="19">
        <v>0.01</v>
      </c>
      <c r="AC8" s="19">
        <v>3.7793000000000001</v>
      </c>
      <c r="AD8" s="19">
        <v>1.5708</v>
      </c>
      <c r="AE8" s="10">
        <f t="shared" si="2"/>
        <v>-0.27279999999999999</v>
      </c>
      <c r="AF8" s="10">
        <f t="shared" si="3"/>
        <v>2.6100000000000012E-2</v>
      </c>
      <c r="AG8" s="10">
        <f t="shared" si="4"/>
        <v>4.2333999999999996</v>
      </c>
      <c r="AH8" s="10">
        <f t="shared" si="5"/>
        <v>1.5708</v>
      </c>
      <c r="AI8" s="10">
        <f t="shared" si="6"/>
        <v>-0.30549999999999999</v>
      </c>
      <c r="AJ8" s="10">
        <f t="shared" si="7"/>
        <v>-0.03</v>
      </c>
      <c r="AK8" s="10">
        <f t="shared" si="8"/>
        <v>3.7793000000000001</v>
      </c>
      <c r="AL8" s="10">
        <f t="shared" si="9"/>
        <v>1.5708</v>
      </c>
    </row>
    <row r="9" spans="1:41" ht="15.75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9"/>
      <c r="AF9" s="9"/>
      <c r="AG9" s="9"/>
      <c r="AH9" s="9"/>
      <c r="AI9" s="9"/>
      <c r="AJ9" s="9"/>
      <c r="AK9" s="9"/>
      <c r="AL9" s="9"/>
    </row>
    <row r="10" spans="1:41" ht="15.75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9"/>
      <c r="AF10" s="9"/>
      <c r="AG10" s="9"/>
      <c r="AH10" s="9"/>
      <c r="AI10" s="9"/>
      <c r="AJ10" s="9"/>
    </row>
    <row r="11" spans="1:41" ht="15.75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9"/>
      <c r="AF11" s="9"/>
      <c r="AG11" s="9"/>
      <c r="AH11" s="9"/>
      <c r="AI11" s="9"/>
      <c r="AJ11" s="9"/>
    </row>
    <row r="12" spans="1:41" ht="15.75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9"/>
      <c r="AF12" s="9"/>
      <c r="AG12" s="9"/>
      <c r="AH12" s="9"/>
      <c r="AI12" s="9"/>
      <c r="AJ12" s="9"/>
    </row>
    <row r="13" spans="1:41" ht="15.75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9"/>
      <c r="AF13" s="9"/>
      <c r="AG13" s="9"/>
      <c r="AH13" s="9"/>
      <c r="AI13" s="9"/>
      <c r="AJ13" s="9"/>
    </row>
    <row r="14" spans="1:41" ht="15.75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9"/>
      <c r="AF14" s="9"/>
      <c r="AG14" s="9"/>
      <c r="AH14" s="9"/>
      <c r="AI14" s="9"/>
      <c r="AJ14" s="9"/>
    </row>
  </sheetData>
  <mergeCells count="6">
    <mergeCell ref="AM2:AO2"/>
    <mergeCell ref="A1:G1"/>
    <mergeCell ref="H1:I1"/>
    <mergeCell ref="Q1:V1"/>
    <mergeCell ref="AE1:AJ1"/>
    <mergeCell ref="W1:AD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H24" sqref="H24:M28"/>
    </sheetView>
  </sheetViews>
  <sheetFormatPr defaultRowHeight="15" x14ac:dyDescent="0.25"/>
  <sheetData>
    <row r="1" spans="1:13" ht="15.75" x14ac:dyDescent="0.25">
      <c r="A1" s="47" t="s">
        <v>30</v>
      </c>
      <c r="B1" s="48"/>
      <c r="C1" s="48"/>
      <c r="D1" s="48"/>
      <c r="E1" s="48"/>
      <c r="F1" s="49"/>
      <c r="H1" s="47" t="s">
        <v>31</v>
      </c>
      <c r="I1" s="48"/>
      <c r="J1" s="48"/>
      <c r="K1" s="48"/>
      <c r="L1" s="48"/>
      <c r="M1" s="49"/>
    </row>
    <row r="2" spans="1:13" ht="15.75" x14ac:dyDescent="0.2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H2" s="8" t="s">
        <v>27</v>
      </c>
      <c r="I2" s="8" t="s">
        <v>28</v>
      </c>
      <c r="J2" s="8" t="s">
        <v>29</v>
      </c>
      <c r="K2" s="8" t="s">
        <v>24</v>
      </c>
      <c r="L2" s="8" t="s">
        <v>25</v>
      </c>
      <c r="M2" s="8" t="s">
        <v>26</v>
      </c>
    </row>
    <row r="3" spans="1:13" x14ac:dyDescent="0.25">
      <c r="A3">
        <v>0.72479081153869596</v>
      </c>
      <c r="B3">
        <v>-9.9455118179321306E-3</v>
      </c>
      <c r="C3">
        <v>-1.05452788993716E-2</v>
      </c>
      <c r="D3">
        <v>1.43176561687142E-3</v>
      </c>
      <c r="E3">
        <v>9.6430309116840404E-2</v>
      </c>
      <c r="F3" s="16">
        <v>6.0397665947675698E-5</v>
      </c>
      <c r="H3">
        <f>$F3</f>
        <v>6.0397665947675698E-5</v>
      </c>
      <c r="I3">
        <f>-1*$E3</f>
        <v>-9.6430309116840404E-2</v>
      </c>
      <c r="J3">
        <f>$D3</f>
        <v>1.43176561687142E-3</v>
      </c>
      <c r="K3">
        <f>$C3</f>
        <v>-1.05452788993716E-2</v>
      </c>
      <c r="L3">
        <f>-1*$B3</f>
        <v>9.9455118179321306E-3</v>
      </c>
      <c r="M3">
        <f>$A3</f>
        <v>0.72479081153869596</v>
      </c>
    </row>
    <row r="4" spans="1:13" x14ac:dyDescent="0.25">
      <c r="A4">
        <v>0.37508684396743802</v>
      </c>
      <c r="B4">
        <v>-2.0568072795867898E-3</v>
      </c>
      <c r="C4">
        <v>7.3846946470439399E-3</v>
      </c>
      <c r="D4">
        <v>1.5578495804220399E-3</v>
      </c>
      <c r="E4">
        <v>7.3722399771213504E-2</v>
      </c>
      <c r="F4">
        <v>-1.07635313179344E-3</v>
      </c>
      <c r="H4">
        <f t="shared" ref="H4:H28" si="0">$F4</f>
        <v>-1.07635313179344E-3</v>
      </c>
      <c r="I4">
        <f t="shared" ref="I4:I28" si="1">-1*$E4</f>
        <v>-7.3722399771213504E-2</v>
      </c>
      <c r="J4">
        <f t="shared" ref="J4:J28" si="2">$D4</f>
        <v>1.5578495804220399E-3</v>
      </c>
      <c r="K4">
        <f t="shared" ref="K4:K28" si="3">$C4</f>
        <v>7.3846946470439399E-3</v>
      </c>
      <c r="L4">
        <f t="shared" ref="L4:L28" si="4">-1*$B4</f>
        <v>2.0568072795867898E-3</v>
      </c>
      <c r="M4">
        <f t="shared" ref="M4:M28" si="5">$A4</f>
        <v>0.37508684396743802</v>
      </c>
    </row>
    <row r="5" spans="1:13" x14ac:dyDescent="0.25">
      <c r="A5">
        <v>0.88607919216155995</v>
      </c>
      <c r="B5">
        <v>-2.1314799785614E-2</v>
      </c>
      <c r="C5">
        <v>-1.14569589495659E-2</v>
      </c>
      <c r="D5">
        <v>2.7415291406214198E-3</v>
      </c>
      <c r="E5">
        <v>0.13645045459270499</v>
      </c>
      <c r="F5">
        <v>-1.07112433761358E-3</v>
      </c>
      <c r="H5">
        <f t="shared" si="0"/>
        <v>-1.07112433761358E-3</v>
      </c>
      <c r="I5">
        <f t="shared" si="1"/>
        <v>-0.13645045459270499</v>
      </c>
      <c r="J5">
        <f t="shared" si="2"/>
        <v>2.7415291406214198E-3</v>
      </c>
      <c r="K5">
        <f t="shared" si="3"/>
        <v>-1.14569589495659E-2</v>
      </c>
      <c r="L5">
        <f t="shared" si="4"/>
        <v>2.1314799785614E-2</v>
      </c>
      <c r="M5">
        <f t="shared" si="5"/>
        <v>0.88607919216155995</v>
      </c>
    </row>
    <row r="6" spans="1:13" x14ac:dyDescent="0.25">
      <c r="A6">
        <v>0.60131728649139404</v>
      </c>
      <c r="B6">
        <v>-1.04728862643242E-2</v>
      </c>
      <c r="C6">
        <v>-3.2842449843883501E-2</v>
      </c>
      <c r="D6">
        <v>2.0242251921445101E-3</v>
      </c>
      <c r="E6">
        <v>0.117412120103836</v>
      </c>
      <c r="F6">
        <v>-5.2221235819160895E-4</v>
      </c>
      <c r="H6">
        <f t="shared" si="0"/>
        <v>-5.2221235819160895E-4</v>
      </c>
      <c r="I6">
        <f t="shared" si="1"/>
        <v>-0.117412120103836</v>
      </c>
      <c r="J6">
        <f t="shared" si="2"/>
        <v>2.0242251921445101E-3</v>
      </c>
      <c r="K6">
        <f t="shared" si="3"/>
        <v>-3.2842449843883501E-2</v>
      </c>
      <c r="L6">
        <f t="shared" si="4"/>
        <v>1.04728862643242E-2</v>
      </c>
      <c r="M6">
        <f t="shared" si="5"/>
        <v>0.60131728649139404</v>
      </c>
    </row>
    <row r="7" spans="1:13" x14ac:dyDescent="0.25">
      <c r="A7">
        <v>0.71892863512039196</v>
      </c>
      <c r="B7">
        <v>-1.2147843837738001E-2</v>
      </c>
      <c r="C7">
        <v>-1.0973541997373101E-2</v>
      </c>
      <c r="D7">
        <v>1.45735358819366E-3</v>
      </c>
      <c r="E7">
        <v>9.5774993300437899E-2</v>
      </c>
      <c r="F7">
        <v>-3.3149123191833502E-4</v>
      </c>
      <c r="H7">
        <f t="shared" si="0"/>
        <v>-3.3149123191833502E-4</v>
      </c>
      <c r="I7">
        <f t="shared" si="1"/>
        <v>-9.5774993300437899E-2</v>
      </c>
      <c r="J7">
        <f t="shared" si="2"/>
        <v>1.45735358819366E-3</v>
      </c>
      <c r="K7">
        <f t="shared" si="3"/>
        <v>-1.0973541997373101E-2</v>
      </c>
      <c r="L7">
        <f t="shared" si="4"/>
        <v>1.2147843837738001E-2</v>
      </c>
      <c r="M7">
        <f t="shared" si="5"/>
        <v>0.71892863512039196</v>
      </c>
    </row>
    <row r="8" spans="1:13" x14ac:dyDescent="0.25">
      <c r="A8">
        <v>0.208737373352051</v>
      </c>
      <c r="B8">
        <v>-2.3408532142639198E-2</v>
      </c>
      <c r="C8">
        <v>-6.8221449851989704E-2</v>
      </c>
      <c r="D8">
        <v>5.4139029234647803E-3</v>
      </c>
      <c r="E8">
        <v>5.98103515803814E-2</v>
      </c>
      <c r="F8">
        <v>-3.8271623197942998E-3</v>
      </c>
      <c r="H8">
        <f t="shared" si="0"/>
        <v>-3.8271623197942998E-3</v>
      </c>
      <c r="I8">
        <f t="shared" si="1"/>
        <v>-5.98103515803814E-2</v>
      </c>
      <c r="J8">
        <f t="shared" si="2"/>
        <v>5.4139029234647803E-3</v>
      </c>
      <c r="K8">
        <f t="shared" si="3"/>
        <v>-6.8221449851989704E-2</v>
      </c>
      <c r="L8">
        <f t="shared" si="4"/>
        <v>2.3408532142639198E-2</v>
      </c>
      <c r="M8">
        <f t="shared" si="5"/>
        <v>0.208737373352051</v>
      </c>
    </row>
    <row r="9" spans="1:13" x14ac:dyDescent="0.25">
      <c r="A9">
        <v>-0.248909622430801</v>
      </c>
      <c r="B9">
        <v>1.8294841051101698E-2</v>
      </c>
      <c r="C9">
        <v>6.2404554337263099E-3</v>
      </c>
      <c r="D9">
        <v>-3.2205851748585701E-3</v>
      </c>
      <c r="E9">
        <v>-6.3227377831935896E-2</v>
      </c>
      <c r="F9">
        <v>-1.74268917180598E-3</v>
      </c>
      <c r="H9">
        <f t="shared" si="0"/>
        <v>-1.74268917180598E-3</v>
      </c>
      <c r="I9">
        <f t="shared" si="1"/>
        <v>6.3227377831935896E-2</v>
      </c>
      <c r="J9">
        <f t="shared" si="2"/>
        <v>-3.2205851748585701E-3</v>
      </c>
      <c r="K9">
        <f t="shared" si="3"/>
        <v>6.2404554337263099E-3</v>
      </c>
      <c r="L9">
        <f t="shared" si="4"/>
        <v>-1.8294841051101698E-2</v>
      </c>
      <c r="M9">
        <f t="shared" si="5"/>
        <v>-0.248909622430801</v>
      </c>
    </row>
    <row r="10" spans="1:13" x14ac:dyDescent="0.25">
      <c r="A10">
        <v>-0.11845400929451</v>
      </c>
      <c r="B10">
        <v>8.7108798325061798E-3</v>
      </c>
      <c r="C10">
        <v>-2.4364162236452098E-3</v>
      </c>
      <c r="D10">
        <v>-1.5496299602091299E-4</v>
      </c>
      <c r="E10">
        <v>-2.3816853761673001E-2</v>
      </c>
      <c r="F10">
        <v>7.6294876635074602E-5</v>
      </c>
      <c r="H10">
        <f t="shared" si="0"/>
        <v>7.6294876635074602E-5</v>
      </c>
      <c r="I10">
        <f t="shared" si="1"/>
        <v>2.3816853761673001E-2</v>
      </c>
      <c r="J10">
        <f t="shared" si="2"/>
        <v>-1.5496299602091299E-4</v>
      </c>
      <c r="K10">
        <f t="shared" si="3"/>
        <v>-2.4364162236452098E-3</v>
      </c>
      <c r="L10">
        <f t="shared" si="4"/>
        <v>-8.7108798325061798E-3</v>
      </c>
      <c r="M10">
        <f t="shared" si="5"/>
        <v>-0.11845400929451</v>
      </c>
    </row>
    <row r="11" spans="1:13" x14ac:dyDescent="0.25">
      <c r="A11">
        <v>-0.132789611816406</v>
      </c>
      <c r="B11">
        <v>3.0621141195297198E-4</v>
      </c>
      <c r="C11">
        <v>-1.0298398556187699E-3</v>
      </c>
      <c r="D11">
        <v>2.06932978471741E-4</v>
      </c>
      <c r="E11">
        <v>-2.95719504356384E-2</v>
      </c>
      <c r="F11">
        <v>8.89442046172917E-4</v>
      </c>
      <c r="H11">
        <f t="shared" si="0"/>
        <v>8.89442046172917E-4</v>
      </c>
      <c r="I11">
        <f t="shared" si="1"/>
        <v>2.95719504356384E-2</v>
      </c>
      <c r="J11">
        <f t="shared" si="2"/>
        <v>2.06932978471741E-4</v>
      </c>
      <c r="K11">
        <f t="shared" si="3"/>
        <v>-1.0298398556187699E-3</v>
      </c>
      <c r="L11">
        <f t="shared" si="4"/>
        <v>-3.0621141195297198E-4</v>
      </c>
      <c r="M11">
        <f t="shared" si="5"/>
        <v>-0.132789611816406</v>
      </c>
    </row>
    <row r="12" spans="1:13" x14ac:dyDescent="0.25">
      <c r="A12">
        <v>2.6867632865905802</v>
      </c>
      <c r="B12">
        <v>0.17441225051879899</v>
      </c>
      <c r="C12">
        <v>-0.177777379751205</v>
      </c>
      <c r="D12">
        <v>-1.4844695106148701E-2</v>
      </c>
      <c r="E12">
        <v>7.6463408768177005E-2</v>
      </c>
      <c r="F12">
        <v>-2.1618284285068502E-2</v>
      </c>
      <c r="H12">
        <f t="shared" si="0"/>
        <v>-2.1618284285068502E-2</v>
      </c>
      <c r="I12">
        <f t="shared" si="1"/>
        <v>-7.6463408768177005E-2</v>
      </c>
      <c r="J12">
        <f t="shared" si="2"/>
        <v>-1.4844695106148701E-2</v>
      </c>
      <c r="K12">
        <f t="shared" si="3"/>
        <v>-0.177777379751205</v>
      </c>
      <c r="L12">
        <f t="shared" si="4"/>
        <v>-0.17441225051879899</v>
      </c>
      <c r="M12">
        <f t="shared" si="5"/>
        <v>2.6867632865905802</v>
      </c>
    </row>
    <row r="13" spans="1:13" x14ac:dyDescent="0.25">
      <c r="A13">
        <v>-0.178995937108994</v>
      </c>
      <c r="B13">
        <v>7.49364644289017E-2</v>
      </c>
      <c r="C13">
        <v>-0.33283504843711897</v>
      </c>
      <c r="D13">
        <v>-7.33206607401371E-3</v>
      </c>
      <c r="E13">
        <v>-0.14413125813007399</v>
      </c>
      <c r="F13">
        <v>-6.2490333802998101E-3</v>
      </c>
      <c r="H13">
        <f t="shared" si="0"/>
        <v>-6.2490333802998101E-3</v>
      </c>
      <c r="I13">
        <f t="shared" si="1"/>
        <v>0.14413125813007399</v>
      </c>
      <c r="J13">
        <f t="shared" si="2"/>
        <v>-7.33206607401371E-3</v>
      </c>
      <c r="K13">
        <f t="shared" si="3"/>
        <v>-0.33283504843711897</v>
      </c>
      <c r="L13">
        <f t="shared" si="4"/>
        <v>-7.49364644289017E-2</v>
      </c>
      <c r="M13">
        <f t="shared" si="5"/>
        <v>-0.178995937108994</v>
      </c>
    </row>
    <row r="14" spans="1:13" x14ac:dyDescent="0.25">
      <c r="A14">
        <v>-0.48203146457672102</v>
      </c>
      <c r="B14">
        <v>-1.8385780975222601E-2</v>
      </c>
      <c r="C14">
        <v>-4.9640357494354199E-2</v>
      </c>
      <c r="D14">
        <v>5.4728158283978701E-4</v>
      </c>
      <c r="E14">
        <v>-8.6795210838317899E-2</v>
      </c>
      <c r="F14">
        <v>3.9984090253710703E-3</v>
      </c>
      <c r="H14">
        <f t="shared" si="0"/>
        <v>3.9984090253710703E-3</v>
      </c>
      <c r="I14">
        <f t="shared" si="1"/>
        <v>8.6795210838317899E-2</v>
      </c>
      <c r="J14">
        <f t="shared" si="2"/>
        <v>5.4728158283978701E-4</v>
      </c>
      <c r="K14">
        <f t="shared" si="3"/>
        <v>-4.9640357494354199E-2</v>
      </c>
      <c r="L14">
        <f t="shared" si="4"/>
        <v>1.8385780975222601E-2</v>
      </c>
      <c r="M14">
        <f t="shared" si="5"/>
        <v>-0.48203146457672102</v>
      </c>
    </row>
    <row r="15" spans="1:13" x14ac:dyDescent="0.25">
      <c r="A15">
        <v>-0.31458106637000999</v>
      </c>
      <c r="B15">
        <v>-3.6124847829341901E-3</v>
      </c>
      <c r="C15">
        <v>-4.2442351579666103E-2</v>
      </c>
      <c r="D15">
        <v>3.65573214367032E-4</v>
      </c>
      <c r="E15">
        <v>-6.8961665034294101E-2</v>
      </c>
      <c r="F15">
        <v>2.1052830852568202E-3</v>
      </c>
      <c r="H15">
        <f t="shared" si="0"/>
        <v>2.1052830852568202E-3</v>
      </c>
      <c r="I15">
        <f t="shared" si="1"/>
        <v>6.8961665034294101E-2</v>
      </c>
      <c r="J15">
        <f t="shared" si="2"/>
        <v>3.65573214367032E-4</v>
      </c>
      <c r="K15">
        <f t="shared" si="3"/>
        <v>-4.2442351579666103E-2</v>
      </c>
      <c r="L15">
        <f t="shared" si="4"/>
        <v>3.6124847829341901E-3</v>
      </c>
      <c r="M15">
        <f t="shared" si="5"/>
        <v>-0.31458106637000999</v>
      </c>
    </row>
    <row r="16" spans="1:13" x14ac:dyDescent="0.25">
      <c r="A16">
        <v>-0.48867994546890298</v>
      </c>
      <c r="B16">
        <v>7.7776528894901303E-2</v>
      </c>
      <c r="C16">
        <v>-0.71341270208358798</v>
      </c>
      <c r="D16">
        <v>-1.35293249040842E-2</v>
      </c>
      <c r="E16">
        <v>-0.20579643547534901</v>
      </c>
      <c r="F16">
        <v>-1.1072987690568E-2</v>
      </c>
      <c r="H16">
        <f t="shared" si="0"/>
        <v>-1.1072987690568E-2</v>
      </c>
      <c r="I16">
        <f t="shared" si="1"/>
        <v>0.20579643547534901</v>
      </c>
      <c r="J16">
        <f t="shared" si="2"/>
        <v>-1.35293249040842E-2</v>
      </c>
      <c r="K16">
        <f t="shared" si="3"/>
        <v>-0.71341270208358798</v>
      </c>
      <c r="L16">
        <f t="shared" si="4"/>
        <v>-7.7776528894901303E-2</v>
      </c>
      <c r="M16">
        <f t="shared" si="5"/>
        <v>-0.48867994546890298</v>
      </c>
    </row>
    <row r="17" spans="1:13" x14ac:dyDescent="0.25">
      <c r="A17">
        <v>-0.16943296790123</v>
      </c>
      <c r="B17">
        <v>-1.9806435331702201E-2</v>
      </c>
      <c r="C17">
        <v>-3.70087437331676E-2</v>
      </c>
      <c r="D17">
        <v>5.7616606354713397E-3</v>
      </c>
      <c r="E17">
        <v>-5.19213676452637E-2</v>
      </c>
      <c r="F17">
        <v>4.1690329089760798E-3</v>
      </c>
      <c r="H17">
        <f t="shared" si="0"/>
        <v>4.1690329089760798E-3</v>
      </c>
      <c r="I17">
        <f t="shared" si="1"/>
        <v>5.19213676452637E-2</v>
      </c>
      <c r="J17">
        <f t="shared" si="2"/>
        <v>5.7616606354713397E-3</v>
      </c>
      <c r="K17">
        <f t="shared" si="3"/>
        <v>-3.70087437331676E-2</v>
      </c>
      <c r="L17">
        <f t="shared" si="4"/>
        <v>1.9806435331702201E-2</v>
      </c>
      <c r="M17">
        <f t="shared" si="5"/>
        <v>-0.16943296790123</v>
      </c>
    </row>
    <row r="18" spans="1:13" x14ac:dyDescent="0.25">
      <c r="A18">
        <v>-0.64776724576950095</v>
      </c>
      <c r="B18">
        <v>4.5517861843109103E-2</v>
      </c>
      <c r="C18">
        <v>-0.37167415022849998</v>
      </c>
      <c r="D18">
        <v>-8.7317191064357792E-3</v>
      </c>
      <c r="E18">
        <v>-0.18185724318027499</v>
      </c>
      <c r="F18">
        <v>-4.3210666626691801E-3</v>
      </c>
      <c r="H18">
        <f t="shared" si="0"/>
        <v>-4.3210666626691801E-3</v>
      </c>
      <c r="I18">
        <f t="shared" si="1"/>
        <v>0.18185724318027499</v>
      </c>
      <c r="J18">
        <f t="shared" si="2"/>
        <v>-8.7317191064357792E-3</v>
      </c>
      <c r="K18">
        <f t="shared" si="3"/>
        <v>-0.37167415022849998</v>
      </c>
      <c r="L18">
        <f t="shared" si="4"/>
        <v>-4.5517861843109103E-2</v>
      </c>
      <c r="M18">
        <f t="shared" si="5"/>
        <v>-0.64776724576950095</v>
      </c>
    </row>
    <row r="19" spans="1:13" x14ac:dyDescent="0.25">
      <c r="A19">
        <v>-0.148947387933731</v>
      </c>
      <c r="B19">
        <v>0.824510097503662</v>
      </c>
      <c r="C19">
        <v>-0.47880077362060502</v>
      </c>
      <c r="D19">
        <v>-0.110146977007389</v>
      </c>
      <c r="E19">
        <v>6.2523871660232502E-2</v>
      </c>
      <c r="F19">
        <v>5.9407576918601998E-3</v>
      </c>
      <c r="H19">
        <f t="shared" si="0"/>
        <v>5.9407576918601998E-3</v>
      </c>
      <c r="I19">
        <f t="shared" si="1"/>
        <v>-6.2523871660232502E-2</v>
      </c>
      <c r="J19">
        <f t="shared" si="2"/>
        <v>-0.110146977007389</v>
      </c>
      <c r="K19">
        <f t="shared" si="3"/>
        <v>-0.47880077362060502</v>
      </c>
      <c r="L19">
        <f t="shared" si="4"/>
        <v>-0.824510097503662</v>
      </c>
      <c r="M19">
        <f t="shared" si="5"/>
        <v>-0.148947387933731</v>
      </c>
    </row>
    <row r="20" spans="1:13" x14ac:dyDescent="0.25">
      <c r="A20">
        <v>-0.168305069208145</v>
      </c>
      <c r="B20">
        <v>0.647533059120178</v>
      </c>
      <c r="C20">
        <v>5.10686822235584E-3</v>
      </c>
      <c r="D20">
        <v>-7.3162265121936798E-2</v>
      </c>
      <c r="E20">
        <v>1.49308573454618E-2</v>
      </c>
      <c r="F20">
        <v>-4.4273911044001601E-4</v>
      </c>
      <c r="H20">
        <f t="shared" si="0"/>
        <v>-4.4273911044001601E-4</v>
      </c>
      <c r="I20">
        <f t="shared" si="1"/>
        <v>-1.49308573454618E-2</v>
      </c>
      <c r="J20">
        <f t="shared" si="2"/>
        <v>-7.3162265121936798E-2</v>
      </c>
      <c r="K20">
        <f t="shared" si="3"/>
        <v>5.10686822235584E-3</v>
      </c>
      <c r="L20">
        <f t="shared" si="4"/>
        <v>-0.647533059120178</v>
      </c>
      <c r="M20">
        <f t="shared" si="5"/>
        <v>-0.168305069208145</v>
      </c>
    </row>
    <row r="21" spans="1:13" x14ac:dyDescent="0.25">
      <c r="A21">
        <v>0.20617163181304901</v>
      </c>
      <c r="B21">
        <v>0.69591957330703702</v>
      </c>
      <c r="C21">
        <v>-0.38883593678474399</v>
      </c>
      <c r="D21">
        <v>-7.8161440789699596E-2</v>
      </c>
      <c r="E21">
        <v>0.11762320250272799</v>
      </c>
      <c r="F21">
        <v>-2.7322419919073599E-3</v>
      </c>
      <c r="H21">
        <f t="shared" si="0"/>
        <v>-2.7322419919073599E-3</v>
      </c>
      <c r="I21">
        <f t="shared" si="1"/>
        <v>-0.11762320250272799</v>
      </c>
      <c r="J21">
        <f t="shared" si="2"/>
        <v>-7.8161440789699596E-2</v>
      </c>
      <c r="K21">
        <f t="shared" si="3"/>
        <v>-0.38883593678474399</v>
      </c>
      <c r="L21">
        <f t="shared" si="4"/>
        <v>-0.69591957330703702</v>
      </c>
      <c r="M21">
        <f t="shared" si="5"/>
        <v>0.20617163181304901</v>
      </c>
    </row>
    <row r="22" spans="1:13" x14ac:dyDescent="0.25">
      <c r="A22">
        <v>0.11682870984077499</v>
      </c>
      <c r="B22">
        <v>0.678988456726074</v>
      </c>
      <c r="C22">
        <v>-9.0356886386871296E-2</v>
      </c>
      <c r="D22">
        <v>-7.6524302363395705E-2</v>
      </c>
      <c r="E22">
        <v>7.33006596565247E-2</v>
      </c>
      <c r="F22">
        <v>-1.8785069696605199E-3</v>
      </c>
      <c r="H22">
        <f t="shared" si="0"/>
        <v>-1.8785069696605199E-3</v>
      </c>
      <c r="I22">
        <f t="shared" si="1"/>
        <v>-7.33006596565247E-2</v>
      </c>
      <c r="J22">
        <f t="shared" si="2"/>
        <v>-7.6524302363395705E-2</v>
      </c>
      <c r="K22">
        <f t="shared" si="3"/>
        <v>-9.0356886386871296E-2</v>
      </c>
      <c r="L22">
        <f t="shared" si="4"/>
        <v>-0.678988456726074</v>
      </c>
      <c r="M22">
        <f t="shared" si="5"/>
        <v>0.11682870984077499</v>
      </c>
    </row>
    <row r="23" spans="1:13" x14ac:dyDescent="0.25">
      <c r="A23">
        <v>-0.30394464731216397</v>
      </c>
      <c r="B23">
        <v>0.63992625474929798</v>
      </c>
      <c r="C23">
        <v>-0.13470298051834101</v>
      </c>
      <c r="D23">
        <v>-7.08786696195602E-2</v>
      </c>
      <c r="E23">
        <v>1.7460349947214099E-2</v>
      </c>
      <c r="F23">
        <v>-4.6365833841264196E-3</v>
      </c>
      <c r="H23">
        <f t="shared" si="0"/>
        <v>-4.6365833841264196E-3</v>
      </c>
      <c r="I23">
        <f t="shared" si="1"/>
        <v>-1.7460349947214099E-2</v>
      </c>
      <c r="J23">
        <f t="shared" si="2"/>
        <v>-7.08786696195602E-2</v>
      </c>
      <c r="K23">
        <f t="shared" si="3"/>
        <v>-0.13470298051834101</v>
      </c>
      <c r="L23">
        <f t="shared" si="4"/>
        <v>-0.63992625474929798</v>
      </c>
      <c r="M23">
        <f t="shared" si="5"/>
        <v>-0.30394464731216397</v>
      </c>
    </row>
    <row r="24" spans="1:13" x14ac:dyDescent="0.25">
      <c r="A24">
        <v>-0.74709540605545</v>
      </c>
      <c r="B24">
        <v>0.71555197238922097</v>
      </c>
      <c r="C24">
        <v>-5.4698091000318499E-2</v>
      </c>
      <c r="D24">
        <v>-9.7281925380230005E-2</v>
      </c>
      <c r="E24">
        <v>-0.11834384500980399</v>
      </c>
      <c r="F24">
        <v>-2.8513786382973198E-3</v>
      </c>
      <c r="H24">
        <f t="shared" si="0"/>
        <v>-2.8513786382973198E-3</v>
      </c>
      <c r="I24">
        <f t="shared" si="1"/>
        <v>0.11834384500980399</v>
      </c>
      <c r="J24">
        <f t="shared" si="2"/>
        <v>-9.7281925380230005E-2</v>
      </c>
      <c r="K24">
        <f t="shared" si="3"/>
        <v>-5.4698091000318499E-2</v>
      </c>
      <c r="L24">
        <f t="shared" si="4"/>
        <v>-0.71555197238922097</v>
      </c>
      <c r="M24">
        <f t="shared" si="5"/>
        <v>-0.74709540605545</v>
      </c>
    </row>
    <row r="25" spans="1:13" x14ac:dyDescent="0.25">
      <c r="A25">
        <v>-0.77303338050842296</v>
      </c>
      <c r="B25">
        <v>0.75769031047821001</v>
      </c>
      <c r="C25">
        <v>3.8986749947071103E-2</v>
      </c>
      <c r="D25">
        <v>-8.6382135748863206E-2</v>
      </c>
      <c r="E25">
        <v>-9.7560778260231004E-2</v>
      </c>
      <c r="F25">
        <v>-2.76920106261969E-3</v>
      </c>
      <c r="H25">
        <f t="shared" si="0"/>
        <v>-2.76920106261969E-3</v>
      </c>
      <c r="I25">
        <f t="shared" si="1"/>
        <v>9.7560778260231004E-2</v>
      </c>
      <c r="J25">
        <f t="shared" si="2"/>
        <v>-8.6382135748863206E-2</v>
      </c>
      <c r="K25">
        <f t="shared" si="3"/>
        <v>3.8986749947071103E-2</v>
      </c>
      <c r="L25">
        <f t="shared" si="4"/>
        <v>-0.75769031047821001</v>
      </c>
      <c r="M25">
        <f t="shared" si="5"/>
        <v>-0.77303338050842296</v>
      </c>
    </row>
    <row r="26" spans="1:13" x14ac:dyDescent="0.25">
      <c r="A26">
        <v>-0.98279035091400102</v>
      </c>
      <c r="B26">
        <v>0.69786107540130604</v>
      </c>
      <c r="C26">
        <v>-9.8183140158653301E-2</v>
      </c>
      <c r="D26">
        <v>-7.8621163964271504E-2</v>
      </c>
      <c r="E26">
        <v>-0.16263124346733099</v>
      </c>
      <c r="F26">
        <v>-6.3605979084968599E-4</v>
      </c>
      <c r="H26">
        <f t="shared" si="0"/>
        <v>-6.3605979084968599E-4</v>
      </c>
      <c r="I26">
        <f t="shared" si="1"/>
        <v>0.16263124346733099</v>
      </c>
      <c r="J26">
        <f t="shared" si="2"/>
        <v>-7.8621163964271504E-2</v>
      </c>
      <c r="K26">
        <f t="shared" si="3"/>
        <v>-9.8183140158653301E-2</v>
      </c>
      <c r="L26">
        <f t="shared" si="4"/>
        <v>-0.69786107540130604</v>
      </c>
      <c r="M26">
        <f t="shared" si="5"/>
        <v>-0.98279035091400102</v>
      </c>
    </row>
    <row r="27" spans="1:13" x14ac:dyDescent="0.25">
      <c r="A27">
        <v>-0.879430711269379</v>
      </c>
      <c r="B27">
        <v>0.68874275684356701</v>
      </c>
      <c r="C27">
        <v>-0.13017064332962</v>
      </c>
      <c r="D27">
        <v>-9.2977710068225902E-2</v>
      </c>
      <c r="E27">
        <v>-0.144062966108322</v>
      </c>
      <c r="F27">
        <v>6.6061317920684804E-4</v>
      </c>
      <c r="H27">
        <f t="shared" si="0"/>
        <v>6.6061317920684804E-4</v>
      </c>
      <c r="I27">
        <f t="shared" si="1"/>
        <v>0.144062966108322</v>
      </c>
      <c r="J27">
        <f t="shared" si="2"/>
        <v>-9.2977710068225902E-2</v>
      </c>
      <c r="K27">
        <f t="shared" si="3"/>
        <v>-0.13017064332962</v>
      </c>
      <c r="L27">
        <f t="shared" si="4"/>
        <v>-0.68874275684356701</v>
      </c>
      <c r="M27">
        <f t="shared" si="5"/>
        <v>-0.879430711269379</v>
      </c>
    </row>
    <row r="28" spans="1:13" x14ac:dyDescent="0.25">
      <c r="A28">
        <v>-0.70020294189453103</v>
      </c>
      <c r="B28">
        <v>0.70478248596191395</v>
      </c>
      <c r="C28">
        <v>-6.9652721285819993E-2</v>
      </c>
      <c r="D28">
        <v>-9.2105731368064894E-2</v>
      </c>
      <c r="E28">
        <v>-0.110368900001049</v>
      </c>
      <c r="F28">
        <v>8.87607224285603E-4</v>
      </c>
      <c r="H28">
        <f t="shared" si="0"/>
        <v>8.87607224285603E-4</v>
      </c>
      <c r="I28">
        <f t="shared" si="1"/>
        <v>0.110368900001049</v>
      </c>
      <c r="J28">
        <f t="shared" si="2"/>
        <v>-9.2105731368064894E-2</v>
      </c>
      <c r="K28">
        <f t="shared" si="3"/>
        <v>-6.9652721285819993E-2</v>
      </c>
      <c r="L28">
        <f t="shared" si="4"/>
        <v>-0.70478248596191395</v>
      </c>
      <c r="M28">
        <f t="shared" si="5"/>
        <v>-0.70020294189453103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Proximal Validation (prelim)</vt:lpstr>
      <vt:lpstr>Distal Validation (prelim)</vt:lpstr>
      <vt:lpstr>Proximal Validation (single)</vt:lpstr>
      <vt:lpstr>Distal Validation (single)</vt:lpstr>
      <vt:lpstr>Proximal Validation (double)</vt:lpstr>
      <vt:lpstr>Distal Validation (double)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2025-10-01T02:52:28Z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