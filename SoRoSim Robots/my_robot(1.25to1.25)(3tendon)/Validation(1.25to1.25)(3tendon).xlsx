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25to1.25)(3tendon)/"/>
    </mc:Choice>
  </mc:AlternateContent>
  <xr:revisionPtr revIDLastSave="1797" documentId="8_{DFFD6B0C-681F-42C8-B2E4-5D4B90AAE966}" xr6:coauthVersionLast="47" xr6:coauthVersionMax="47" xr10:uidLastSave="{579A9153-B66B-4577-A9C3-7702EA99D4AF}"/>
  <bookViews>
    <workbookView xWindow="-120" yWindow="-120" windowWidth="29040" windowHeight="15720" activeTab="1" xr2:uid="{3D16C37F-3C74-4527-A308-796C339DFE9F}"/>
  </bookViews>
  <sheets>
    <sheet name="Proximal Validation (single)" sheetId="8" r:id="rId1"/>
    <sheet name="Distal Validation (single)" sheetId="9" r:id="rId2"/>
    <sheet name="Proximal Validation (3 sensor)" sheetId="11" r:id="rId3"/>
    <sheet name="Distal Validation (3 sensor)" sheetId="15" r:id="rId4"/>
    <sheet name="Sheet2" sheetId="14" r:id="rId5"/>
    <sheet name="Proximal Validation (double)" sheetId="12" r:id="rId6"/>
    <sheet name="Conversion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5" l="1" a="1"/>
  <c r="S15" i="15"/>
  <c r="A3" i="15"/>
  <c r="B3" i="15"/>
  <c r="C3" i="15"/>
  <c r="D3" i="15"/>
  <c r="E3" i="15"/>
  <c r="F3" i="15"/>
  <c r="G3" i="15"/>
  <c r="H3" i="15"/>
  <c r="I3" i="15"/>
  <c r="J3" i="15"/>
  <c r="K3" i="15"/>
  <c r="L3" i="15"/>
  <c r="A4" i="15"/>
  <c r="B4" i="15"/>
  <c r="C4" i="15"/>
  <c r="D4" i="15"/>
  <c r="E4" i="15"/>
  <c r="F4" i="15"/>
  <c r="G4" i="15"/>
  <c r="H4" i="15"/>
  <c r="I4" i="15"/>
  <c r="J4" i="15"/>
  <c r="K4" i="15"/>
  <c r="L4" i="15"/>
  <c r="A5" i="15"/>
  <c r="B5" i="15"/>
  <c r="C5" i="15"/>
  <c r="D5" i="15"/>
  <c r="E5" i="15"/>
  <c r="F5" i="15"/>
  <c r="G5" i="15"/>
  <c r="H5" i="15"/>
  <c r="I5" i="15"/>
  <c r="J5" i="15"/>
  <c r="K5" i="15"/>
  <c r="L5" i="15"/>
  <c r="A6" i="15"/>
  <c r="B6" i="15"/>
  <c r="C6" i="15"/>
  <c r="D6" i="15"/>
  <c r="E6" i="15"/>
  <c r="F6" i="15"/>
  <c r="G6" i="15"/>
  <c r="H6" i="15"/>
  <c r="I6" i="15"/>
  <c r="J6" i="15"/>
  <c r="K6" i="15"/>
  <c r="L6" i="15"/>
  <c r="A7" i="15"/>
  <c r="B7" i="15"/>
  <c r="C7" i="15"/>
  <c r="D7" i="15"/>
  <c r="E7" i="15"/>
  <c r="F7" i="15"/>
  <c r="G7" i="15"/>
  <c r="H7" i="15"/>
  <c r="I7" i="15"/>
  <c r="J7" i="15"/>
  <c r="K7" i="15"/>
  <c r="L7" i="15"/>
  <c r="A8" i="15"/>
  <c r="B8" i="15"/>
  <c r="C8" i="15"/>
  <c r="D8" i="15"/>
  <c r="E8" i="15"/>
  <c r="F8" i="15"/>
  <c r="G8" i="15"/>
  <c r="H8" i="15"/>
  <c r="I8" i="15"/>
  <c r="J8" i="15"/>
  <c r="K8" i="15"/>
  <c r="L8" i="15"/>
  <c r="A9" i="15"/>
  <c r="B9" i="15"/>
  <c r="C9" i="15"/>
  <c r="D9" i="15"/>
  <c r="E9" i="15"/>
  <c r="F9" i="15"/>
  <c r="G9" i="15"/>
  <c r="H9" i="15"/>
  <c r="I9" i="15"/>
  <c r="J9" i="15"/>
  <c r="K9" i="15"/>
  <c r="L9" i="15"/>
  <c r="A10" i="15"/>
  <c r="B10" i="15"/>
  <c r="C10" i="15"/>
  <c r="D10" i="15"/>
  <c r="E10" i="15"/>
  <c r="F10" i="15"/>
  <c r="G10" i="15"/>
  <c r="H10" i="15"/>
  <c r="I10" i="15"/>
  <c r="J10" i="15"/>
  <c r="K10" i="15"/>
  <c r="L10" i="15"/>
  <c r="A11" i="15"/>
  <c r="B11" i="15"/>
  <c r="C11" i="15"/>
  <c r="D11" i="15"/>
  <c r="E11" i="15"/>
  <c r="F11" i="15"/>
  <c r="G11" i="15"/>
  <c r="H11" i="15"/>
  <c r="I11" i="15"/>
  <c r="J11" i="15"/>
  <c r="K11" i="15"/>
  <c r="L11" i="15"/>
  <c r="A12" i="15"/>
  <c r="B12" i="15"/>
  <c r="C12" i="15"/>
  <c r="V12" i="15" s="1"/>
  <c r="D12" i="15"/>
  <c r="E12" i="15"/>
  <c r="F12" i="15"/>
  <c r="G12" i="15"/>
  <c r="H12" i="15"/>
  <c r="I12" i="15"/>
  <c r="J12" i="15"/>
  <c r="K12" i="15"/>
  <c r="L12" i="15"/>
  <c r="A13" i="15"/>
  <c r="B13" i="15"/>
  <c r="C13" i="15"/>
  <c r="D13" i="15"/>
  <c r="E13" i="15"/>
  <c r="F13" i="15"/>
  <c r="G13" i="15"/>
  <c r="H13" i="15"/>
  <c r="I13" i="15"/>
  <c r="J13" i="15"/>
  <c r="K13" i="15"/>
  <c r="L13" i="15"/>
  <c r="Z13" i="15"/>
  <c r="Y13" i="15"/>
  <c r="X13" i="15"/>
  <c r="W13" i="15"/>
  <c r="V13" i="15"/>
  <c r="U13" i="15"/>
  <c r="S13" i="15" s="1"/>
  <c r="Z12" i="15"/>
  <c r="Y12" i="15"/>
  <c r="X12" i="15"/>
  <c r="W12" i="15"/>
  <c r="U12" i="15"/>
  <c r="Z11" i="15"/>
  <c r="Y11" i="15"/>
  <c r="X11" i="15"/>
  <c r="W11" i="15"/>
  <c r="V11" i="15"/>
  <c r="U11" i="15"/>
  <c r="S11" i="15" s="1"/>
  <c r="Z10" i="15"/>
  <c r="Y10" i="15"/>
  <c r="X10" i="15"/>
  <c r="W10" i="15"/>
  <c r="V10" i="15"/>
  <c r="U10" i="15"/>
  <c r="Z9" i="15"/>
  <c r="Y9" i="15"/>
  <c r="X9" i="15"/>
  <c r="W9" i="15"/>
  <c r="V9" i="15"/>
  <c r="U9" i="15"/>
  <c r="S9" i="15" s="1"/>
  <c r="Z8" i="15"/>
  <c r="Y8" i="15"/>
  <c r="X8" i="15"/>
  <c r="W8" i="15"/>
  <c r="V8" i="15"/>
  <c r="U8" i="15"/>
  <c r="Z7" i="15"/>
  <c r="Y7" i="15"/>
  <c r="X7" i="15"/>
  <c r="W7" i="15"/>
  <c r="V7" i="15"/>
  <c r="U7" i="15"/>
  <c r="S7" i="15" s="1"/>
  <c r="Z6" i="15"/>
  <c r="Y6" i="15"/>
  <c r="X6" i="15"/>
  <c r="W6" i="15"/>
  <c r="V6" i="15"/>
  <c r="U6" i="15"/>
  <c r="Z5" i="15"/>
  <c r="Y5" i="15"/>
  <c r="X5" i="15"/>
  <c r="W5" i="15"/>
  <c r="V5" i="15"/>
  <c r="U5" i="15"/>
  <c r="S5" i="15" s="1"/>
  <c r="Z4" i="15"/>
  <c r="Y4" i="15"/>
  <c r="X4" i="15"/>
  <c r="W4" i="15"/>
  <c r="V4" i="15"/>
  <c r="U4" i="15"/>
  <c r="Y3" i="15"/>
  <c r="X3" i="15"/>
  <c r="W3" i="15"/>
  <c r="V3" i="15"/>
  <c r="U3" i="15"/>
  <c r="S3" i="15" s="1"/>
  <c r="Z3" i="15"/>
  <c r="S19" i="15"/>
  <c r="R19" i="15"/>
  <c r="Q19" i="15"/>
  <c r="S17" i="15"/>
  <c r="R17" i="15"/>
  <c r="Q17" i="15"/>
  <c r="Q4" i="15"/>
  <c r="R4" i="15"/>
  <c r="Q5" i="15"/>
  <c r="R5" i="15"/>
  <c r="Q6" i="15"/>
  <c r="R6" i="15"/>
  <c r="R15" i="15" s="1" a="1"/>
  <c r="R15" i="15" s="1"/>
  <c r="Q7" i="15"/>
  <c r="Q15" i="15" s="1" a="1"/>
  <c r="Q15" i="15" s="1"/>
  <c r="R7" i="15"/>
  <c r="Q8" i="15"/>
  <c r="R8" i="15"/>
  <c r="Q9" i="15"/>
  <c r="R9" i="15"/>
  <c r="Q10" i="15"/>
  <c r="R10" i="15"/>
  <c r="Q11" i="15"/>
  <c r="R11" i="15"/>
  <c r="Q12" i="15"/>
  <c r="R12" i="15"/>
  <c r="Q13" i="15"/>
  <c r="R13" i="15"/>
  <c r="R3" i="15"/>
  <c r="Q3" i="15"/>
  <c r="S4" i="15" l="1"/>
  <c r="S6" i="15"/>
  <c r="S8" i="15"/>
  <c r="S10" i="15"/>
  <c r="S12" i="15"/>
  <c r="Z4" i="9" l="1"/>
  <c r="AA4" i="9"/>
  <c r="AB4" i="9"/>
  <c r="AC4" i="9"/>
  <c r="X5" i="9"/>
  <c r="AA5" i="9"/>
  <c r="AB5" i="9"/>
  <c r="AC5" i="9"/>
  <c r="AA6" i="9"/>
  <c r="AB6" i="9"/>
  <c r="AC6" i="9"/>
  <c r="AA7" i="9"/>
  <c r="AB7" i="9"/>
  <c r="AC7" i="9"/>
  <c r="A4" i="9"/>
  <c r="B4" i="9"/>
  <c r="C4" i="9"/>
  <c r="X4" i="9" s="1"/>
  <c r="D4" i="9"/>
  <c r="E4" i="9"/>
  <c r="F4" i="9"/>
  <c r="G4" i="9"/>
  <c r="H4" i="9"/>
  <c r="I4" i="9"/>
  <c r="J4" i="9"/>
  <c r="K4" i="9"/>
  <c r="L4" i="9"/>
  <c r="M4" i="9"/>
  <c r="N4" i="9"/>
  <c r="O4" i="9"/>
  <c r="A5" i="9"/>
  <c r="B5" i="9"/>
  <c r="U5" i="9" s="1"/>
  <c r="C5" i="9"/>
  <c r="Z5" i="9" s="1"/>
  <c r="D5" i="9"/>
  <c r="Y5" i="9" s="1"/>
  <c r="E5" i="9"/>
  <c r="F5" i="9"/>
  <c r="G5" i="9"/>
  <c r="H5" i="9"/>
  <c r="I5" i="9"/>
  <c r="J5" i="9"/>
  <c r="K5" i="9"/>
  <c r="L5" i="9"/>
  <c r="M5" i="9"/>
  <c r="N5" i="9"/>
  <c r="O5" i="9"/>
  <c r="A6" i="9"/>
  <c r="T6" i="9" s="1"/>
  <c r="B6" i="9"/>
  <c r="U6" i="9" s="1"/>
  <c r="C6" i="9"/>
  <c r="X6" i="9" s="1"/>
  <c r="D6" i="9"/>
  <c r="E6" i="9"/>
  <c r="F6" i="9"/>
  <c r="G6" i="9"/>
  <c r="H6" i="9"/>
  <c r="I6" i="9"/>
  <c r="J6" i="9"/>
  <c r="K6" i="9"/>
  <c r="L6" i="9"/>
  <c r="M6" i="9"/>
  <c r="N6" i="9"/>
  <c r="O6" i="9"/>
  <c r="A7" i="9"/>
  <c r="T7" i="9" s="1"/>
  <c r="B7" i="9"/>
  <c r="U7" i="9" s="1"/>
  <c r="C7" i="9"/>
  <c r="X7" i="9" s="1"/>
  <c r="D7" i="9"/>
  <c r="E7" i="9"/>
  <c r="F7" i="9"/>
  <c r="G7" i="9"/>
  <c r="H7" i="9"/>
  <c r="I7" i="9"/>
  <c r="J7" i="9"/>
  <c r="K7" i="9"/>
  <c r="L7" i="9"/>
  <c r="M7" i="9"/>
  <c r="N7" i="9"/>
  <c r="O7" i="9"/>
  <c r="A8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A9" i="9"/>
  <c r="T9" i="9" s="1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A10" i="9"/>
  <c r="T10" i="9" s="1"/>
  <c r="B10" i="9"/>
  <c r="U10" i="9" s="1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A11" i="9"/>
  <c r="T11" i="9" s="1"/>
  <c r="B11" i="9"/>
  <c r="U11" i="9" s="1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A12" i="9"/>
  <c r="B12" i="9"/>
  <c r="U12" i="9" s="1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A13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A14" i="9"/>
  <c r="B14" i="9"/>
  <c r="C14" i="9"/>
  <c r="A15" i="9"/>
  <c r="B15" i="9"/>
  <c r="C15" i="9"/>
  <c r="A16" i="9"/>
  <c r="B16" i="9"/>
  <c r="C16" i="9"/>
  <c r="A17" i="9"/>
  <c r="B17" i="9"/>
  <c r="C17" i="9"/>
  <c r="A3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T4" i="9"/>
  <c r="U4" i="9"/>
  <c r="T5" i="9"/>
  <c r="T8" i="9"/>
  <c r="U8" i="9"/>
  <c r="U9" i="9"/>
  <c r="T12" i="9"/>
  <c r="T13" i="9"/>
  <c r="U13" i="9"/>
  <c r="V5" i="9" l="1"/>
  <c r="Y7" i="9"/>
  <c r="V7" i="9" s="1"/>
  <c r="Z7" i="9"/>
  <c r="Z6" i="9"/>
  <c r="Y6" i="9"/>
  <c r="V6" i="9" s="1"/>
  <c r="Y4" i="9"/>
  <c r="V4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L4" i="12"/>
  <c r="L5" i="12"/>
  <c r="L6" i="12"/>
  <c r="L7" i="12"/>
  <c r="L8" i="12"/>
  <c r="L9" i="12"/>
  <c r="L10" i="12"/>
  <c r="L11" i="12"/>
  <c r="L12" i="12"/>
  <c r="L3" i="12"/>
  <c r="M4" i="12"/>
  <c r="M5" i="12"/>
  <c r="M6" i="12"/>
  <c r="M7" i="12"/>
  <c r="M8" i="12"/>
  <c r="M9" i="12"/>
  <c r="M10" i="12"/>
  <c r="M11" i="12"/>
  <c r="M12" i="12"/>
  <c r="M3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AH13" i="12"/>
  <c r="AG13" i="12"/>
  <c r="AF13" i="12"/>
  <c r="AE13" i="12"/>
  <c r="AD13" i="12"/>
  <c r="AC13" i="12"/>
  <c r="AH12" i="12"/>
  <c r="AG12" i="12"/>
  <c r="AF12" i="12"/>
  <c r="AE12" i="12"/>
  <c r="AD12" i="12"/>
  <c r="AC12" i="12"/>
  <c r="AH11" i="12"/>
  <c r="AG11" i="12"/>
  <c r="AF11" i="12"/>
  <c r="AE11" i="12"/>
  <c r="AD11" i="12"/>
  <c r="AC11" i="12"/>
  <c r="AH10" i="12"/>
  <c r="AG10" i="12"/>
  <c r="AF10" i="12"/>
  <c r="AE10" i="12"/>
  <c r="AD10" i="12"/>
  <c r="AC10" i="12"/>
  <c r="AH9" i="12"/>
  <c r="AG9" i="12"/>
  <c r="AF9" i="12"/>
  <c r="AE9" i="12"/>
  <c r="AD9" i="12"/>
  <c r="AC9" i="12"/>
  <c r="AH8" i="12"/>
  <c r="AG8" i="12"/>
  <c r="AF8" i="12"/>
  <c r="AE8" i="12"/>
  <c r="AD8" i="12"/>
  <c r="AC8" i="12"/>
  <c r="AH7" i="12"/>
  <c r="AG7" i="12"/>
  <c r="AF7" i="12"/>
  <c r="AE7" i="12"/>
  <c r="AD7" i="12"/>
  <c r="AC7" i="12"/>
  <c r="AH6" i="12"/>
  <c r="AG6" i="12"/>
  <c r="AF6" i="12"/>
  <c r="AE6" i="12"/>
  <c r="AD6" i="12"/>
  <c r="AC6" i="12"/>
  <c r="AH5" i="12"/>
  <c r="AG5" i="12"/>
  <c r="AF5" i="12"/>
  <c r="AE5" i="12"/>
  <c r="AD5" i="12"/>
  <c r="AC5" i="12"/>
  <c r="AH4" i="12"/>
  <c r="AG4" i="12"/>
  <c r="AF4" i="12"/>
  <c r="AE4" i="12"/>
  <c r="AD4" i="12"/>
  <c r="AC4" i="12"/>
  <c r="AH3" i="12"/>
  <c r="AG3" i="12"/>
  <c r="AF3" i="12"/>
  <c r="AE3" i="12"/>
  <c r="AD3" i="12"/>
  <c r="AC3" i="12"/>
  <c r="P8" i="11"/>
  <c r="Q8" i="11"/>
  <c r="R8" i="11"/>
  <c r="P13" i="11"/>
  <c r="Q13" i="11"/>
  <c r="R13" i="11"/>
  <c r="H13" i="11"/>
  <c r="I13" i="11"/>
  <c r="R12" i="11"/>
  <c r="Q12" i="11"/>
  <c r="P12" i="11"/>
  <c r="I12" i="11"/>
  <c r="H12" i="11"/>
  <c r="R11" i="11"/>
  <c r="Q11" i="11"/>
  <c r="P11" i="11"/>
  <c r="I11" i="11"/>
  <c r="H11" i="11"/>
  <c r="R10" i="11"/>
  <c r="Q10" i="11"/>
  <c r="P10" i="11"/>
  <c r="I10" i="11"/>
  <c r="H10" i="11"/>
  <c r="R9" i="11"/>
  <c r="Q9" i="11"/>
  <c r="P9" i="11"/>
  <c r="I9" i="11"/>
  <c r="H9" i="11"/>
  <c r="I8" i="11"/>
  <c r="H8" i="11"/>
  <c r="R7" i="11"/>
  <c r="Q7" i="11"/>
  <c r="P7" i="11"/>
  <c r="I7" i="11"/>
  <c r="H7" i="11"/>
  <c r="R6" i="11"/>
  <c r="Q6" i="11"/>
  <c r="P6" i="11"/>
  <c r="I6" i="11"/>
  <c r="H6" i="11"/>
  <c r="R5" i="11"/>
  <c r="Q5" i="11"/>
  <c r="P5" i="11"/>
  <c r="I5" i="11"/>
  <c r="H5" i="11"/>
  <c r="R4" i="11"/>
  <c r="Q4" i="11"/>
  <c r="P4" i="11"/>
  <c r="I4" i="11"/>
  <c r="H4" i="11"/>
  <c r="R3" i="11"/>
  <c r="Q3" i="11"/>
  <c r="P3" i="11"/>
  <c r="I3" i="11"/>
  <c r="H3" i="11"/>
  <c r="Z8" i="9"/>
  <c r="Z10" i="9"/>
  <c r="Z12" i="9"/>
  <c r="X14" i="9"/>
  <c r="Z15" i="9"/>
  <c r="Z17" i="9"/>
  <c r="U3" i="9"/>
  <c r="U15" i="9" s="1" a="1"/>
  <c r="U15" i="9" s="1"/>
  <c r="Y3" i="9"/>
  <c r="T3" i="9"/>
  <c r="T15" i="9" s="1" a="1"/>
  <c r="T15" i="9" s="1"/>
  <c r="AC17" i="9"/>
  <c r="AB17" i="9"/>
  <c r="AA17" i="9"/>
  <c r="X17" i="9"/>
  <c r="AC16" i="9"/>
  <c r="AB16" i="9"/>
  <c r="AA16" i="9"/>
  <c r="Z16" i="9"/>
  <c r="AC15" i="9"/>
  <c r="AB15" i="9"/>
  <c r="AA15" i="9"/>
  <c r="Y15" i="9"/>
  <c r="X15" i="9"/>
  <c r="AC14" i="9"/>
  <c r="AB14" i="9"/>
  <c r="AA14" i="9"/>
  <c r="AC13" i="9"/>
  <c r="AB13" i="9"/>
  <c r="AA13" i="9"/>
  <c r="Z13" i="9"/>
  <c r="AC12" i="9"/>
  <c r="AB12" i="9"/>
  <c r="AA12" i="9"/>
  <c r="AC11" i="9"/>
  <c r="AB11" i="9"/>
  <c r="AA11" i="9"/>
  <c r="Z11" i="9"/>
  <c r="Y11" i="9"/>
  <c r="AC10" i="9"/>
  <c r="AB10" i="9"/>
  <c r="AA10" i="9"/>
  <c r="AC9" i="9"/>
  <c r="AB9" i="9"/>
  <c r="AA9" i="9"/>
  <c r="AC8" i="9"/>
  <c r="AB8" i="9"/>
  <c r="AA8" i="9"/>
  <c r="AC3" i="9"/>
  <c r="AB3" i="9"/>
  <c r="AA3" i="9"/>
  <c r="Z3" i="9"/>
  <c r="X3" i="9"/>
  <c r="Y17" i="8"/>
  <c r="Y16" i="8"/>
  <c r="X16" i="8"/>
  <c r="AA17" i="8"/>
  <c r="Z17" i="8"/>
  <c r="X17" i="8"/>
  <c r="W17" i="8"/>
  <c r="V17" i="8"/>
  <c r="I17" i="8"/>
  <c r="H17" i="8"/>
  <c r="AA16" i="8"/>
  <c r="Z16" i="8"/>
  <c r="W16" i="8"/>
  <c r="V16" i="8"/>
  <c r="I16" i="8"/>
  <c r="H16" i="8"/>
  <c r="AA15" i="8"/>
  <c r="Z15" i="8"/>
  <c r="Y15" i="8"/>
  <c r="X15" i="8"/>
  <c r="W15" i="8"/>
  <c r="V15" i="8"/>
  <c r="I15" i="8"/>
  <c r="H15" i="8"/>
  <c r="AA14" i="8"/>
  <c r="Z14" i="8"/>
  <c r="Y14" i="8"/>
  <c r="X14" i="8"/>
  <c r="W14" i="8"/>
  <c r="V14" i="8"/>
  <c r="I14" i="8"/>
  <c r="H14" i="8"/>
  <c r="AA11" i="8"/>
  <c r="Z11" i="8"/>
  <c r="Y11" i="8"/>
  <c r="X11" i="8"/>
  <c r="W11" i="8"/>
  <c r="V11" i="8"/>
  <c r="I11" i="8"/>
  <c r="H11" i="8"/>
  <c r="AA10" i="8"/>
  <c r="Z10" i="8"/>
  <c r="Y10" i="8"/>
  <c r="X10" i="8"/>
  <c r="W10" i="8"/>
  <c r="V10" i="8"/>
  <c r="I10" i="8"/>
  <c r="H10" i="8"/>
  <c r="AA9" i="8"/>
  <c r="Z9" i="8"/>
  <c r="Y9" i="8"/>
  <c r="X9" i="8"/>
  <c r="W9" i="8"/>
  <c r="V9" i="8"/>
  <c r="I9" i="8"/>
  <c r="H9" i="8"/>
  <c r="AA8" i="8"/>
  <c r="Z8" i="8"/>
  <c r="Y8" i="8"/>
  <c r="X8" i="8"/>
  <c r="W8" i="8"/>
  <c r="V8" i="8"/>
  <c r="I8" i="8"/>
  <c r="H8" i="8"/>
  <c r="AA7" i="8"/>
  <c r="Z7" i="8"/>
  <c r="Y7" i="8"/>
  <c r="X7" i="8"/>
  <c r="W7" i="8"/>
  <c r="V7" i="8"/>
  <c r="I7" i="8"/>
  <c r="H7" i="8"/>
  <c r="AA6" i="8"/>
  <c r="Z6" i="8"/>
  <c r="Y6" i="8"/>
  <c r="X6" i="8"/>
  <c r="W6" i="8"/>
  <c r="V6" i="8"/>
  <c r="I6" i="8"/>
  <c r="H6" i="8"/>
  <c r="AA5" i="8"/>
  <c r="Z5" i="8"/>
  <c r="Y5" i="8"/>
  <c r="X5" i="8"/>
  <c r="W5" i="8"/>
  <c r="V5" i="8"/>
  <c r="I5" i="8"/>
  <c r="H5" i="8"/>
  <c r="AA4" i="8"/>
  <c r="Z4" i="8"/>
  <c r="Y4" i="8"/>
  <c r="X4" i="8"/>
  <c r="W4" i="8"/>
  <c r="V4" i="8"/>
  <c r="I4" i="8"/>
  <c r="H4" i="8"/>
  <c r="AA3" i="8"/>
  <c r="Z3" i="8"/>
  <c r="Y3" i="8"/>
  <c r="X3" i="8"/>
  <c r="W3" i="8"/>
  <c r="V3" i="8"/>
  <c r="I3" i="8"/>
  <c r="H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V11" i="9" l="1"/>
  <c r="V3" i="9"/>
  <c r="X12" i="9"/>
  <c r="V12" i="9" s="1"/>
  <c r="Y13" i="9"/>
  <c r="V13" i="9" s="1"/>
  <c r="X9" i="9"/>
  <c r="V9" i="9" s="1"/>
  <c r="Y9" i="9"/>
  <c r="Y16" i="9"/>
  <c r="Z9" i="9"/>
  <c r="X11" i="9"/>
  <c r="X8" i="9"/>
  <c r="V8" i="9" s="1"/>
  <c r="T19" i="9"/>
  <c r="U19" i="9"/>
  <c r="U17" i="9"/>
  <c r="T17" i="9"/>
  <c r="Y8" i="9"/>
  <c r="Y12" i="9"/>
  <c r="Y14" i="9"/>
  <c r="Y17" i="9"/>
  <c r="X10" i="9"/>
  <c r="V10" i="9" s="1"/>
  <c r="Z14" i="9"/>
  <c r="Y10" i="9"/>
  <c r="X13" i="9"/>
  <c r="X16" i="9"/>
  <c r="V15" i="9" l="1" a="1"/>
  <c r="V15" i="9" s="1"/>
  <c r="V17" i="9"/>
  <c r="V19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<sst xmlns="http://schemas.openxmlformats.org/spreadsheetml/2006/main" count="181" uniqueCount="40">
  <si>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</si>
  <si>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</si>
  <si>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</si>
  <si>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</si>
  <si>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</si>
  <si>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</si>
  <si>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</si>
  <si>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</si>
  <si>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</si>
  <si>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el (rad)</t>
  </si>
  <si>
    <t>az (rad)</t>
  </si>
  <si>
    <t>SoRoSim get_distal_value</t>
  </si>
  <si>
    <t>az (deg)</t>
  </si>
  <si>
    <t>tau1 (N)</t>
  </si>
  <si>
    <t>tau2 (N)</t>
  </si>
  <si>
    <t>tau3 (N)</t>
  </si>
  <si>
    <t>Ground Truth</t>
  </si>
  <si>
    <t>SoRoSim get_proximal_value</t>
  </si>
  <si>
    <t>α_roll (deg)</t>
  </si>
  <si>
    <t>β_pitch (deg)</t>
  </si>
  <si>
    <t>Gimbal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</si>
  <si>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</si>
  <si>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</si>
  <si>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</si>
  <si>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</si>
  <si>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</si>
  <si>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</si>
  <si>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</si>
  <si>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</si>
  <si>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</si>
  <si>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</si>
  <si>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Mean Error</t>
  </si>
  <si>
    <t>ABS Mean Error</t>
  </si>
  <si>
    <t>STDEV</t>
  </si>
  <si>
    <t>Ground-truth unit vector</t>
  </si>
  <si>
    <t>x</t>
  </si>
  <si>
    <t>y</t>
  </si>
  <si>
    <t>z</t>
  </si>
  <si>
    <t>Predicted unit vector</t>
  </si>
  <si>
    <t>Combiend
Angular 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</si>
</sst>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42">
    <xf numFmtId="0" fontId="0" fillId="0" borderId="0" xfId="0"/>
    <xf numFmtId="164" fontId="1" fillId="0" borderId="1" xfId="0" applyNumberFormat="1" applyFont="1" applyBorder="1"/>
    <xf numFmtId="0" fontId="1" fillId="0" borderId="0" xfId="0" applyFont="1"/>
    <xf numFmtId="0" fontId="2" fillId="0" borderId="0" xfId="0" applyFont="1"/>
    <xf numFmtId="0" fontId="2" fillId="6" borderId="1" xfId="0" applyFont="1" applyFill="1" applyBorder="1"/>
    <xf numFmtId="0" fontId="2" fillId="6" borderId="9" xfId="0" applyFont="1" applyFill="1" applyBorder="1"/>
    <xf numFmtId="0" fontId="2" fillId="6" borderId="6" xfId="0" applyFont="1" applyFill="1" applyBorder="1"/>
    <xf numFmtId="165" fontId="1" fillId="0" borderId="0" xfId="0" applyNumberFormat="1" applyFont="1"/>
    <xf numFmtId="165" fontId="1" fillId="0" borderId="1" xfId="0" applyNumberFormat="1" applyFont="1" applyBorder="1"/>
    <xf numFmtId="0" fontId="1" fillId="0" borderId="1" xfId="0" applyFont="1" applyBorder="1"/>
    <xf numFmtId="0" fontId="2" fillId="6" borderId="1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1" fontId="0" fillId="0" borderId="0" xfId="0" applyNumberFormat="1"/>
    <xf numFmtId="164" fontId="3" fillId="9" borderId="1" xfId="1" applyNumberFormat="1" applyBorder="1"/>
    <xf numFmtId="165" fontId="3" fillId="9" borderId="1" xfId="1" applyNumberFormat="1" applyBorder="1"/>
    <xf numFmtId="164" fontId="1" fillId="0" borderId="15" xfId="0" applyNumberFormat="1" applyFont="1" applyBorder="1"/>
    <xf numFmtId="165" fontId="1" fillId="0" borderId="16" xfId="0" applyNumberFormat="1" applyFont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AA22"/>
  <sheetViews>
    <sheetView workbookViewId="0">
      <selection activeCell="G31" sqref="G31"/>
    </sheetView>
  </sheetViews>
  <sheetFormatPr defaultRowHeight="15" x14ac:dyDescent="0.25"/>
  <sheetData>
    <row r="1" spans="1:27" ht="15.75" x14ac:dyDescent="0.25">
      <c r="A1" s="18" t="s">
        <v>16</v>
      </c>
      <c r="B1" s="18"/>
      <c r="C1" s="18"/>
      <c r="D1" s="18"/>
      <c r="E1" s="18"/>
      <c r="F1" s="18"/>
      <c r="G1" s="19"/>
      <c r="H1" s="20" t="s">
        <v>20</v>
      </c>
      <c r="I1" s="21"/>
      <c r="J1" s="22" t="s">
        <v>6</v>
      </c>
      <c r="K1" s="23"/>
      <c r="L1" s="23"/>
      <c r="M1" s="23"/>
      <c r="N1" s="23"/>
      <c r="O1" s="23"/>
      <c r="P1" s="24" t="s">
        <v>17</v>
      </c>
      <c r="Q1" s="25"/>
      <c r="R1" s="25"/>
      <c r="S1" s="25"/>
      <c r="T1" s="25"/>
      <c r="U1" s="25"/>
      <c r="V1" s="26" t="s">
        <v>22</v>
      </c>
      <c r="W1" s="27"/>
      <c r="X1" s="27"/>
      <c r="Y1" s="27"/>
      <c r="Z1" s="27"/>
      <c r="AA1" s="28"/>
    </row>
    <row r="2" spans="1:27" ht="15.75" x14ac:dyDescent="0.25">
      <c r="A2" s="4" t="s">
        <v>7</v>
      </c>
      <c r="B2" s="4" t="s">
        <v>8</v>
      </c>
      <c r="C2" s="4" t="s">
        <v>9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18</v>
      </c>
      <c r="I2" s="4" t="s">
        <v>19</v>
      </c>
      <c r="J2" s="5" t="s">
        <v>3</v>
      </c>
      <c r="K2" s="4" t="s">
        <v>4</v>
      </c>
      <c r="L2" s="4" t="s">
        <v>5</v>
      </c>
      <c r="M2" s="4" t="s">
        <v>0</v>
      </c>
      <c r="N2" s="4" t="s">
        <v>1</v>
      </c>
      <c r="O2" s="4" t="s">
        <v>2</v>
      </c>
      <c r="P2" s="6" t="s">
        <v>3</v>
      </c>
      <c r="Q2" s="4" t="s">
        <v>4</v>
      </c>
      <c r="R2" s="4" t="s">
        <v>5</v>
      </c>
      <c r="S2" s="4" t="s">
        <v>0</v>
      </c>
      <c r="T2" s="4" t="s">
        <v>1</v>
      </c>
      <c r="U2" s="4" t="s">
        <v>2</v>
      </c>
      <c r="V2" s="4" t="s">
        <v>3</v>
      </c>
      <c r="W2" s="4" t="s">
        <v>4</v>
      </c>
      <c r="X2" s="4" t="s">
        <v>5</v>
      </c>
      <c r="Y2" s="4" t="s">
        <v>0</v>
      </c>
      <c r="Z2" s="4" t="s">
        <v>1</v>
      </c>
      <c r="AA2" s="4" t="s">
        <v>2</v>
      </c>
    </row>
    <row r="3" spans="1:27" ht="15.75" x14ac:dyDescent="0.25">
      <c r="A3" s="1">
        <v>0.71299999999999997</v>
      </c>
      <c r="B3" s="1">
        <v>0.04</v>
      </c>
      <c r="C3" s="1">
        <v>1.571</v>
      </c>
      <c r="D3" s="1">
        <v>-3.1419999999999999</v>
      </c>
      <c r="E3" s="1">
        <v>1.19</v>
      </c>
      <c r="F3" s="1">
        <v>0.377</v>
      </c>
      <c r="G3" s="1">
        <v>0.33800000000000002</v>
      </c>
      <c r="H3" s="1">
        <f>DEGREES(ATAN2(COS($C3) * SIN($D3), -SIN($C3)))+90</f>
        <v>-4.7535757374816967E-6</v>
      </c>
      <c r="I3" s="1">
        <f>DEGREES(ACOS(COS($C3) * COS($D3)))</f>
        <v>89.988330385915845</v>
      </c>
      <c r="J3" s="1">
        <v>1.0888772085309E-3</v>
      </c>
      <c r="K3" s="1">
        <v>-9.6208736300468403E-2</v>
      </c>
      <c r="L3" s="1">
        <v>5.2786292508244504E-4</v>
      </c>
      <c r="M3" s="1">
        <v>-0.10211792588233901</v>
      </c>
      <c r="N3" s="1">
        <v>4.1469931602478E-4</v>
      </c>
      <c r="O3" s="1">
        <v>0.71999621391296398</v>
      </c>
      <c r="P3" s="1"/>
      <c r="Q3" s="1"/>
      <c r="R3" s="1"/>
      <c r="S3" s="1"/>
      <c r="T3" s="1"/>
      <c r="U3" s="1"/>
      <c r="V3" s="8">
        <f t="shared" ref="V3:AA17" si="0">ABS(J3-P3)</f>
        <v>1.0888772085309E-3</v>
      </c>
      <c r="W3" s="8">
        <f t="shared" si="0"/>
        <v>9.6208736300468403E-2</v>
      </c>
      <c r="X3" s="8">
        <f t="shared" si="0"/>
        <v>5.2786292508244504E-4</v>
      </c>
      <c r="Y3" s="8">
        <f t="shared" si="0"/>
        <v>0.10211792588233901</v>
      </c>
      <c r="Z3" s="8">
        <f t="shared" si="0"/>
        <v>4.1469931602478E-4</v>
      </c>
      <c r="AA3" s="8">
        <f t="shared" si="0"/>
        <v>0.71999621391296398</v>
      </c>
    </row>
    <row r="4" spans="1:27" ht="15.75" x14ac:dyDescent="0.25">
      <c r="A4" s="1">
        <v>0.42</v>
      </c>
      <c r="B4" s="1">
        <v>0.1</v>
      </c>
      <c r="C4" s="1">
        <v>1.571</v>
      </c>
      <c r="D4" s="1">
        <v>-3.1419999999999999</v>
      </c>
      <c r="E4" s="1">
        <v>0.45500000000000002</v>
      </c>
      <c r="F4" s="1">
        <v>0.61899999999999999</v>
      </c>
      <c r="G4" s="1">
        <v>0.95</v>
      </c>
      <c r="H4" s="1">
        <f t="shared" ref="H4:H17" si="1">DEGREES(ATAN2(COS($C4) * SIN($D4), -SIN($C4)))+90</f>
        <v>-4.7535757374816967E-6</v>
      </c>
      <c r="I4" s="1">
        <f t="shared" ref="I4:I17" si="2">DEGREES(ACOS(COS($C4) * COS($D4)))</f>
        <v>89.988330385915845</v>
      </c>
      <c r="J4" s="1">
        <v>2.36164894886315E-4</v>
      </c>
      <c r="K4" s="1">
        <v>-7.60961323976517E-2</v>
      </c>
      <c r="L4" s="1">
        <v>-3.30834882333875E-6</v>
      </c>
      <c r="M4" s="1">
        <v>-9.4495028257369995E-2</v>
      </c>
      <c r="N4" s="1">
        <v>3.4726411104202298E-4</v>
      </c>
      <c r="O4" s="1">
        <v>0.37701070308685303</v>
      </c>
      <c r="P4" s="1"/>
      <c r="Q4" s="1"/>
      <c r="R4" s="1"/>
      <c r="S4" s="1"/>
      <c r="T4" s="1"/>
      <c r="U4" s="1"/>
      <c r="V4" s="8">
        <f t="shared" si="0"/>
        <v>2.36164894886315E-4</v>
      </c>
      <c r="W4" s="8">
        <f t="shared" si="0"/>
        <v>7.60961323976517E-2</v>
      </c>
      <c r="X4" s="8">
        <f t="shared" si="0"/>
        <v>3.30834882333875E-6</v>
      </c>
      <c r="Y4" s="8">
        <f t="shared" si="0"/>
        <v>9.4495028257369995E-2</v>
      </c>
      <c r="Z4" s="8">
        <f t="shared" si="0"/>
        <v>3.4726411104202298E-4</v>
      </c>
      <c r="AA4" s="8">
        <f t="shared" si="0"/>
        <v>0.37701070308685303</v>
      </c>
    </row>
    <row r="5" spans="1:27" ht="15.75" x14ac:dyDescent="0.25">
      <c r="A5" s="1">
        <v>0.85199999999999998</v>
      </c>
      <c r="B5" s="1">
        <v>0.06</v>
      </c>
      <c r="C5" s="1">
        <v>0.78500000000000003</v>
      </c>
      <c r="D5" s="1">
        <v>-3.1419999999999999</v>
      </c>
      <c r="E5" s="1">
        <v>0.308</v>
      </c>
      <c r="F5" s="1">
        <v>0.69399999999999995</v>
      </c>
      <c r="G5" s="1">
        <v>1.2999999999999999E-2</v>
      </c>
      <c r="H5" s="1">
        <f t="shared" si="1"/>
        <v>2.3357821223058295E-2</v>
      </c>
      <c r="I5" s="1">
        <f t="shared" si="2"/>
        <v>135.02280832486795</v>
      </c>
      <c r="J5" s="1">
        <v>-5.80515991896391E-3</v>
      </c>
      <c r="K5" s="1">
        <v>-5.7722970843315097E-2</v>
      </c>
      <c r="L5" s="1">
        <v>2.57922168821096E-2</v>
      </c>
      <c r="M5" s="1">
        <v>-0.70404148101806596</v>
      </c>
      <c r="N5" s="1">
        <v>0.260549336671829</v>
      </c>
      <c r="O5" s="1">
        <v>-0.166554510593414</v>
      </c>
      <c r="P5" s="1"/>
      <c r="Q5" s="1"/>
      <c r="R5" s="1"/>
      <c r="S5" s="1"/>
      <c r="T5" s="1"/>
      <c r="U5" s="1"/>
      <c r="V5" s="8">
        <f t="shared" si="0"/>
        <v>5.80515991896391E-3</v>
      </c>
      <c r="W5" s="8">
        <f t="shared" si="0"/>
        <v>5.7722970843315097E-2</v>
      </c>
      <c r="X5" s="8">
        <f t="shared" si="0"/>
        <v>2.57922168821096E-2</v>
      </c>
      <c r="Y5" s="8">
        <f t="shared" si="0"/>
        <v>0.70404148101806596</v>
      </c>
      <c r="Z5" s="8">
        <f t="shared" si="0"/>
        <v>0.260549336671829</v>
      </c>
      <c r="AA5" s="8">
        <f t="shared" si="0"/>
        <v>0.166554510593414</v>
      </c>
    </row>
    <row r="6" spans="1:27" ht="15.75" x14ac:dyDescent="0.25">
      <c r="A6" s="1">
        <v>0.61099999999999999</v>
      </c>
      <c r="B6" s="1">
        <v>0.1</v>
      </c>
      <c r="C6" s="1">
        <v>0.78500000000000003</v>
      </c>
      <c r="D6" s="1">
        <v>-3.1419999999999999</v>
      </c>
      <c r="E6" s="1">
        <v>1.008</v>
      </c>
      <c r="F6" s="1">
        <v>4.5999999999999999E-2</v>
      </c>
      <c r="G6" s="1">
        <v>1.286</v>
      </c>
      <c r="H6" s="1">
        <f t="shared" si="1"/>
        <v>2.3357821223058295E-2</v>
      </c>
      <c r="I6" s="1">
        <f t="shared" si="2"/>
        <v>135.02280832486795</v>
      </c>
      <c r="J6" s="1">
        <v>1.5627356246113801E-2</v>
      </c>
      <c r="K6" s="1">
        <v>-5.4018210619687999E-2</v>
      </c>
      <c r="L6" s="1">
        <v>-6.95881946012378E-3</v>
      </c>
      <c r="M6" s="1">
        <v>-0.60411417484283403</v>
      </c>
      <c r="N6" s="1">
        <v>4.1902124881744399E-2</v>
      </c>
      <c r="O6" s="1">
        <v>-2.8247416019439701E-2</v>
      </c>
      <c r="P6" s="1"/>
      <c r="Q6" s="1"/>
      <c r="R6" s="1"/>
      <c r="S6" s="1"/>
      <c r="T6" s="1"/>
      <c r="U6" s="1"/>
      <c r="V6" s="8">
        <f t="shared" si="0"/>
        <v>1.5627356246113801E-2</v>
      </c>
      <c r="W6" s="8">
        <f t="shared" si="0"/>
        <v>5.4018210619687999E-2</v>
      </c>
      <c r="X6" s="8">
        <f t="shared" si="0"/>
        <v>6.95881946012378E-3</v>
      </c>
      <c r="Y6" s="8">
        <f t="shared" si="0"/>
        <v>0.60411417484283403</v>
      </c>
      <c r="Z6" s="8">
        <f t="shared" si="0"/>
        <v>4.1902124881744399E-2</v>
      </c>
      <c r="AA6" s="8">
        <f t="shared" si="0"/>
        <v>2.8247416019439701E-2</v>
      </c>
    </row>
    <row r="7" spans="1:27" ht="15.75" x14ac:dyDescent="0.25">
      <c r="A7" s="1">
        <v>0.65800000000000003</v>
      </c>
      <c r="B7" s="1">
        <v>0.04</v>
      </c>
      <c r="C7" s="1">
        <v>-0.78500000000000003</v>
      </c>
      <c r="D7" s="1">
        <v>0</v>
      </c>
      <c r="E7" s="1">
        <v>0.39700000000000002</v>
      </c>
      <c r="F7" s="1">
        <v>0.309</v>
      </c>
      <c r="G7" s="1">
        <v>6.5000000000000002E-2</v>
      </c>
      <c r="H7" s="1">
        <f t="shared" si="1"/>
        <v>180</v>
      </c>
      <c r="I7" s="1">
        <f t="shared" si="2"/>
        <v>44.977186917769622</v>
      </c>
      <c r="J7" s="1">
        <v>9.8052504472434499E-4</v>
      </c>
      <c r="K7" s="1">
        <v>8.5509866476059002E-2</v>
      </c>
      <c r="L7" s="1">
        <v>4.0061371400952296E-3</v>
      </c>
      <c r="M7" s="1">
        <v>0.62881785631179798</v>
      </c>
      <c r="N7" s="1">
        <v>1.40583515167236E-2</v>
      </c>
      <c r="O7" s="1">
        <v>-0.70932924747466997</v>
      </c>
      <c r="P7" s="1"/>
      <c r="Q7" s="1"/>
      <c r="R7" s="1"/>
      <c r="S7" s="1"/>
      <c r="T7" s="1"/>
      <c r="U7" s="1"/>
      <c r="V7" s="8">
        <f t="shared" si="0"/>
        <v>9.8052504472434499E-4</v>
      </c>
      <c r="W7" s="8">
        <f t="shared" si="0"/>
        <v>8.5509866476059002E-2</v>
      </c>
      <c r="X7" s="8">
        <f t="shared" si="0"/>
        <v>4.0061371400952296E-3</v>
      </c>
      <c r="Y7" s="8">
        <f t="shared" si="0"/>
        <v>0.62881785631179798</v>
      </c>
      <c r="Z7" s="8">
        <f t="shared" si="0"/>
        <v>1.40583515167236E-2</v>
      </c>
      <c r="AA7" s="8">
        <f t="shared" si="0"/>
        <v>0.70932924747466997</v>
      </c>
    </row>
    <row r="8" spans="1:27" ht="15.75" x14ac:dyDescent="0.25">
      <c r="A8" s="1">
        <v>0.36299999999999999</v>
      </c>
      <c r="B8" s="1">
        <v>0.18</v>
      </c>
      <c r="C8" s="1">
        <v>-0.78500000000000003</v>
      </c>
      <c r="D8" s="1">
        <v>0</v>
      </c>
      <c r="E8" s="1">
        <v>0.75600000000000001</v>
      </c>
      <c r="F8" s="1">
        <v>1.339</v>
      </c>
      <c r="G8" s="1">
        <v>0.39400000000000002</v>
      </c>
      <c r="H8" s="1">
        <f t="shared" si="1"/>
        <v>180</v>
      </c>
      <c r="I8" s="1">
        <f t="shared" si="2"/>
        <v>44.977186917769622</v>
      </c>
      <c r="J8" s="1">
        <v>6.17829151451588E-4</v>
      </c>
      <c r="K8" s="1">
        <v>4.1015565395355197E-2</v>
      </c>
      <c r="L8" s="1">
        <v>2.6633208617567999E-3</v>
      </c>
      <c r="M8" s="1">
        <v>0.14830487966537501</v>
      </c>
      <c r="N8" s="1">
        <v>5.13132847845554E-3</v>
      </c>
      <c r="O8" s="1">
        <v>-0.172794073820114</v>
      </c>
      <c r="P8" s="1"/>
      <c r="Q8" s="1"/>
      <c r="R8" s="1"/>
      <c r="S8" s="1"/>
      <c r="T8" s="1"/>
      <c r="U8" s="1"/>
      <c r="V8" s="8">
        <f t="shared" si="0"/>
        <v>6.17829151451588E-4</v>
      </c>
      <c r="W8" s="8">
        <f t="shared" si="0"/>
        <v>4.1015565395355197E-2</v>
      </c>
      <c r="X8" s="8">
        <f t="shared" si="0"/>
        <v>2.6633208617567999E-3</v>
      </c>
      <c r="Y8" s="8">
        <f t="shared" si="0"/>
        <v>0.14830487966537501</v>
      </c>
      <c r="Z8" s="8">
        <f t="shared" si="0"/>
        <v>5.13132847845554E-3</v>
      </c>
      <c r="AA8" s="8">
        <f t="shared" si="0"/>
        <v>0.172794073820114</v>
      </c>
    </row>
    <row r="9" spans="1:27" ht="15.75" x14ac:dyDescent="0.25">
      <c r="A9" s="1">
        <v>0.216</v>
      </c>
      <c r="B9" s="1">
        <v>0.04</v>
      </c>
      <c r="C9" s="1">
        <v>-1.0469999999999999</v>
      </c>
      <c r="D9" s="1">
        <v>0</v>
      </c>
      <c r="E9" s="1">
        <v>1.1060000000000001</v>
      </c>
      <c r="F9" s="1">
        <v>0.21299999999999999</v>
      </c>
      <c r="G9" s="1">
        <v>0.41899999999999998</v>
      </c>
      <c r="H9" s="1">
        <f t="shared" si="1"/>
        <v>180</v>
      </c>
      <c r="I9" s="1">
        <f t="shared" si="2"/>
        <v>59.988681150197188</v>
      </c>
      <c r="J9" s="1">
        <v>2.04859534278512E-4</v>
      </c>
      <c r="K9" s="1">
        <v>1.75231695175171E-2</v>
      </c>
      <c r="L9" s="1">
        <v>1.11881282646209E-3</v>
      </c>
      <c r="M9" s="1">
        <v>7.7061228454113007E-2</v>
      </c>
      <c r="N9" s="1">
        <v>8.1693381071090698E-4</v>
      </c>
      <c r="O9" s="1">
        <v>-0.13907811045646701</v>
      </c>
      <c r="P9" s="1"/>
      <c r="Q9" s="1"/>
      <c r="R9" s="1"/>
      <c r="S9" s="1"/>
      <c r="T9" s="1"/>
      <c r="U9" s="1"/>
      <c r="V9" s="8">
        <f t="shared" si="0"/>
        <v>2.04859534278512E-4</v>
      </c>
      <c r="W9" s="8">
        <f t="shared" si="0"/>
        <v>1.75231695175171E-2</v>
      </c>
      <c r="X9" s="8">
        <f t="shared" si="0"/>
        <v>1.11881282646209E-3</v>
      </c>
      <c r="Y9" s="8">
        <f t="shared" si="0"/>
        <v>7.7061228454113007E-2</v>
      </c>
      <c r="Z9" s="8">
        <f t="shared" si="0"/>
        <v>8.1693381071090698E-4</v>
      </c>
      <c r="AA9" s="8">
        <f t="shared" si="0"/>
        <v>0.13907811045646701</v>
      </c>
    </row>
    <row r="10" spans="1:27" ht="15.75" x14ac:dyDescent="0.25">
      <c r="A10" s="1">
        <v>0.16600000000000001</v>
      </c>
      <c r="B10" s="1">
        <v>0.1</v>
      </c>
      <c r="C10" s="1">
        <v>-1.0469999999999999</v>
      </c>
      <c r="D10" s="1">
        <v>0</v>
      </c>
      <c r="E10" s="1">
        <v>0.96199999999999997</v>
      </c>
      <c r="F10" s="1">
        <v>0.95899999999999996</v>
      </c>
      <c r="G10" s="1">
        <v>0.77900000000000003</v>
      </c>
      <c r="H10" s="1">
        <f t="shared" si="1"/>
        <v>180</v>
      </c>
      <c r="I10" s="1">
        <f t="shared" si="2"/>
        <v>59.988681150197188</v>
      </c>
      <c r="J10" s="1">
        <v>1.53300730744377E-4</v>
      </c>
      <c r="K10" s="1">
        <v>1.5153425745665999E-2</v>
      </c>
      <c r="L10" s="1">
        <v>1.19251162686851E-4</v>
      </c>
      <c r="M10" s="1">
        <v>4.9468118697404903E-2</v>
      </c>
      <c r="N10" s="1">
        <v>-7.5629539787769296E-4</v>
      </c>
      <c r="O10" s="1">
        <v>-8.0783911049365997E-2</v>
      </c>
      <c r="P10" s="1"/>
      <c r="Q10" s="1"/>
      <c r="R10" s="1"/>
      <c r="S10" s="1"/>
      <c r="T10" s="1"/>
      <c r="U10" s="1"/>
      <c r="V10" s="8">
        <f t="shared" si="0"/>
        <v>1.53300730744377E-4</v>
      </c>
      <c r="W10" s="8">
        <f t="shared" si="0"/>
        <v>1.5153425745665999E-2</v>
      </c>
      <c r="X10" s="8">
        <f t="shared" si="0"/>
        <v>1.19251162686851E-4</v>
      </c>
      <c r="Y10" s="8">
        <f t="shared" si="0"/>
        <v>4.9468118697404903E-2</v>
      </c>
      <c r="Z10" s="8">
        <f t="shared" si="0"/>
        <v>7.5629539787769296E-4</v>
      </c>
      <c r="AA10" s="8">
        <f t="shared" si="0"/>
        <v>8.0783911049365997E-2</v>
      </c>
    </row>
    <row r="11" spans="1:27" ht="15.75" x14ac:dyDescent="0.25">
      <c r="A11" s="1">
        <v>0.184</v>
      </c>
      <c r="B11" s="1">
        <v>0.12</v>
      </c>
      <c r="C11" s="1">
        <v>-1.0469999999999999</v>
      </c>
      <c r="D11" s="1">
        <v>0</v>
      </c>
      <c r="E11" s="1">
        <v>0.27600000000000002</v>
      </c>
      <c r="F11" s="1">
        <v>0.89400000000000002</v>
      </c>
      <c r="G11" s="1">
        <v>0.747</v>
      </c>
      <c r="H11" s="1">
        <f t="shared" si="1"/>
        <v>180</v>
      </c>
      <c r="I11" s="1">
        <f t="shared" si="2"/>
        <v>59.988681150197188</v>
      </c>
      <c r="J11" s="1">
        <v>9.8040979355573698E-4</v>
      </c>
      <c r="K11" s="1">
        <v>2.5940375402569799E-2</v>
      </c>
      <c r="L11" s="1">
        <v>1.2594839790836E-3</v>
      </c>
      <c r="M11" s="1">
        <v>4.5787166804075199E-2</v>
      </c>
      <c r="N11" s="1">
        <v>6.5520424395799602E-3</v>
      </c>
      <c r="O11" s="1">
        <v>-0.12449070066213599</v>
      </c>
      <c r="P11" s="1"/>
      <c r="Q11" s="1"/>
      <c r="R11" s="1"/>
      <c r="S11" s="1"/>
      <c r="T11" s="1"/>
      <c r="U11" s="1"/>
      <c r="V11" s="8">
        <f t="shared" si="0"/>
        <v>9.8040979355573698E-4</v>
      </c>
      <c r="W11" s="8">
        <f t="shared" si="0"/>
        <v>2.5940375402569799E-2</v>
      </c>
      <c r="X11" s="8">
        <f t="shared" si="0"/>
        <v>1.2594839790836E-3</v>
      </c>
      <c r="Y11" s="8">
        <f t="shared" si="0"/>
        <v>4.5787166804075199E-2</v>
      </c>
      <c r="Z11" s="8">
        <f t="shared" si="0"/>
        <v>6.5520424395799602E-3</v>
      </c>
      <c r="AA11" s="8">
        <f t="shared" si="0"/>
        <v>0.12449070066213599</v>
      </c>
    </row>
    <row r="12" spans="1:27" ht="15.75" x14ac:dyDescent="0.25">
      <c r="A12" s="1">
        <v>0.309</v>
      </c>
      <c r="B12" s="1">
        <v>0.12</v>
      </c>
      <c r="C12" s="1">
        <v>-1.571</v>
      </c>
      <c r="D12" s="1">
        <v>0</v>
      </c>
      <c r="E12" s="1">
        <v>7.4999999999999997E-2</v>
      </c>
      <c r="F12" s="1">
        <v>0.871</v>
      </c>
      <c r="G12" s="1">
        <v>0.308</v>
      </c>
      <c r="H12" s="1">
        <v>180</v>
      </c>
      <c r="I12" s="1">
        <v>90.011669615052327</v>
      </c>
      <c r="J12" s="1">
        <v>1.8741261446848501E-3</v>
      </c>
      <c r="K12" s="1">
        <v>4.3207850307226202E-2</v>
      </c>
      <c r="L12" s="1">
        <v>1.3261496787890801E-3</v>
      </c>
      <c r="M12" s="1">
        <v>-5.6303322315216099E-2</v>
      </c>
      <c r="N12" s="1">
        <v>9.1080330312251993E-3</v>
      </c>
      <c r="O12" s="1">
        <v>-0.19526579976081801</v>
      </c>
      <c r="P12" s="1"/>
      <c r="Q12" s="1"/>
      <c r="R12" s="1"/>
      <c r="S12" s="1"/>
      <c r="T12" s="1"/>
      <c r="U12" s="1"/>
      <c r="V12" s="8"/>
      <c r="W12" s="8"/>
      <c r="X12" s="8"/>
      <c r="Y12" s="8"/>
      <c r="Z12" s="8"/>
      <c r="AA12" s="8"/>
    </row>
    <row r="13" spans="1:27" ht="15.75" x14ac:dyDescent="0.25">
      <c r="A13" s="1">
        <v>0.20399999999999999</v>
      </c>
      <c r="B13" s="1">
        <v>0.2</v>
      </c>
      <c r="C13" s="1">
        <v>-1.571</v>
      </c>
      <c r="D13" s="1">
        <v>0</v>
      </c>
      <c r="E13" s="1">
        <v>0.78500000000000003</v>
      </c>
      <c r="F13" s="1">
        <v>1.3149999999999999</v>
      </c>
      <c r="G13" s="1">
        <v>0.40100000000000002</v>
      </c>
      <c r="H13" s="1">
        <v>180</v>
      </c>
      <c r="I13" s="1">
        <v>90.011669615052327</v>
      </c>
      <c r="J13" s="1">
        <v>1.5600752085447301E-3</v>
      </c>
      <c r="K13" s="1">
        <v>3.00981402397156E-2</v>
      </c>
      <c r="L13" s="1">
        <v>2.0784591324627399E-3</v>
      </c>
      <c r="M13" s="1">
        <v>-2.7036491781473201E-2</v>
      </c>
      <c r="N13" s="1">
        <v>8.2853538915514894E-3</v>
      </c>
      <c r="O13" s="1">
        <v>-9.4623744487762507E-2</v>
      </c>
      <c r="P13" s="1"/>
      <c r="Q13" s="1"/>
      <c r="R13" s="1"/>
      <c r="S13" s="1"/>
      <c r="T13" s="1"/>
      <c r="U13" s="1"/>
      <c r="V13" s="8"/>
      <c r="W13" s="8"/>
      <c r="X13" s="8"/>
      <c r="Y13" s="8"/>
      <c r="Z13" s="8"/>
      <c r="AA13" s="8"/>
    </row>
    <row r="14" spans="1:27" ht="15.75" x14ac:dyDescent="0.25">
      <c r="A14" s="14">
        <v>0.96099999999999997</v>
      </c>
      <c r="B14" s="14">
        <v>0.14000000000000001</v>
      </c>
      <c r="C14" s="14">
        <v>-1.0469999999999999</v>
      </c>
      <c r="D14" s="14">
        <v>0</v>
      </c>
      <c r="E14" s="14">
        <v>0.61</v>
      </c>
      <c r="F14" s="14">
        <v>0.64800000000000002</v>
      </c>
      <c r="G14" s="14">
        <v>1.244</v>
      </c>
      <c r="H14" s="14">
        <f t="shared" si="1"/>
        <v>180</v>
      </c>
      <c r="I14" s="14">
        <f t="shared" si="2"/>
        <v>59.988681150197188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8">
        <f t="shared" si="0"/>
        <v>0</v>
      </c>
      <c r="W14" s="8">
        <f t="shared" si="0"/>
        <v>0</v>
      </c>
      <c r="X14" s="8">
        <f t="shared" si="0"/>
        <v>0</v>
      </c>
      <c r="Y14" s="8">
        <f t="shared" si="0"/>
        <v>0</v>
      </c>
      <c r="Z14" s="8">
        <f t="shared" si="0"/>
        <v>0</v>
      </c>
      <c r="AA14" s="8">
        <f t="shared" si="0"/>
        <v>0</v>
      </c>
    </row>
    <row r="15" spans="1:27" ht="15.75" x14ac:dyDescent="0.25">
      <c r="A15" s="14">
        <v>0.51</v>
      </c>
      <c r="B15" s="14">
        <v>0.06</v>
      </c>
      <c r="C15" s="14">
        <v>-1.571</v>
      </c>
      <c r="D15" s="14">
        <v>-3.1419999999999999</v>
      </c>
      <c r="E15" s="14">
        <v>0.77</v>
      </c>
      <c r="F15" s="14">
        <v>0.72299999999999998</v>
      </c>
      <c r="G15" s="14">
        <v>0.80800000000000005</v>
      </c>
      <c r="H15" s="14">
        <f t="shared" si="1"/>
        <v>180.00000475357575</v>
      </c>
      <c r="I15" s="14">
        <f t="shared" si="2"/>
        <v>89.988330385915845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8">
        <f t="shared" si="0"/>
        <v>0</v>
      </c>
      <c r="W15" s="8">
        <f t="shared" si="0"/>
        <v>0</v>
      </c>
      <c r="X15" s="8">
        <f t="shared" si="0"/>
        <v>0</v>
      </c>
      <c r="Y15" s="8">
        <f t="shared" si="0"/>
        <v>0</v>
      </c>
      <c r="Z15" s="8">
        <f t="shared" si="0"/>
        <v>0</v>
      </c>
      <c r="AA15" s="8">
        <f t="shared" si="0"/>
        <v>0</v>
      </c>
    </row>
    <row r="16" spans="1:27" ht="15.75" x14ac:dyDescent="0.25">
      <c r="A16" s="14">
        <v>0.89700000000000002</v>
      </c>
      <c r="B16" s="14">
        <v>0.2</v>
      </c>
      <c r="C16" s="14">
        <v>-1.571</v>
      </c>
      <c r="D16" s="14">
        <v>-3.1419999999999999</v>
      </c>
      <c r="E16" s="14">
        <v>1.266</v>
      </c>
      <c r="F16" s="14">
        <v>0.65300000000000002</v>
      </c>
      <c r="G16" s="14">
        <v>0.55800000000000005</v>
      </c>
      <c r="H16" s="14">
        <f t="shared" si="1"/>
        <v>180.00000475357575</v>
      </c>
      <c r="I16" s="14">
        <f t="shared" si="2"/>
        <v>89.988330385915845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8">
        <f t="shared" si="0"/>
        <v>0</v>
      </c>
      <c r="W16" s="8">
        <f t="shared" si="0"/>
        <v>0</v>
      </c>
      <c r="X16" s="8">
        <f t="shared" si="0"/>
        <v>0</v>
      </c>
      <c r="Y16" s="8">
        <f t="shared" si="0"/>
        <v>0</v>
      </c>
      <c r="Z16" s="8">
        <f t="shared" si="0"/>
        <v>0</v>
      </c>
      <c r="AA16" s="8">
        <f t="shared" si="0"/>
        <v>0</v>
      </c>
    </row>
    <row r="17" spans="1:27" ht="15.75" x14ac:dyDescent="0.25">
      <c r="A17" s="14">
        <v>0.42899999999999999</v>
      </c>
      <c r="B17" s="14">
        <v>0.18</v>
      </c>
      <c r="C17" s="14">
        <v>-1.0469999999999999</v>
      </c>
      <c r="D17" s="14">
        <v>-3.1419999999999999</v>
      </c>
      <c r="E17" s="14">
        <v>1.105</v>
      </c>
      <c r="F17" s="14">
        <v>1.337</v>
      </c>
      <c r="G17" s="14">
        <v>0.40699999999999997</v>
      </c>
      <c r="H17" s="14">
        <f t="shared" si="1"/>
        <v>179.98651894154622</v>
      </c>
      <c r="I17" s="14">
        <f t="shared" si="2"/>
        <v>120.01131610407238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8">
        <f t="shared" si="0"/>
        <v>0</v>
      </c>
      <c r="W17" s="8">
        <f t="shared" si="0"/>
        <v>0</v>
      </c>
      <c r="X17" s="8">
        <f t="shared" si="0"/>
        <v>0</v>
      </c>
      <c r="Y17" s="8">
        <f t="shared" si="0"/>
        <v>0</v>
      </c>
      <c r="Z17" s="8">
        <f t="shared" si="0"/>
        <v>0</v>
      </c>
      <c r="AA17" s="8">
        <f t="shared" si="0"/>
        <v>0</v>
      </c>
    </row>
    <row r="18" spans="1:27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/>
      <c r="W18" s="8"/>
      <c r="X18" s="8"/>
      <c r="Y18" s="8"/>
      <c r="Z18" s="8"/>
      <c r="AA18" s="8"/>
    </row>
    <row r="19" spans="1:27" ht="15.7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8"/>
      <c r="W19" s="8"/>
      <c r="X19" s="8"/>
      <c r="Y19" s="8"/>
      <c r="Z19" s="8"/>
      <c r="AA19" s="8"/>
    </row>
    <row r="20" spans="1:27" ht="15.7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8"/>
      <c r="W20" s="8"/>
      <c r="X20" s="8"/>
      <c r="Y20" s="8"/>
      <c r="Z20" s="8"/>
      <c r="AA20" s="8"/>
    </row>
    <row r="21" spans="1:27" ht="15.7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8"/>
      <c r="W21" s="8"/>
      <c r="X21" s="8"/>
      <c r="Y21" s="8"/>
      <c r="Z21" s="8"/>
      <c r="AA21" s="8"/>
    </row>
    <row r="22" spans="1:27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8"/>
      <c r="W22" s="8"/>
      <c r="X22" s="8"/>
      <c r="Y22" s="8"/>
      <c r="Z22" s="8"/>
      <c r="AA22" s="8"/>
    </row>
  </sheetData>
  <mergeCells count="5">
    <mergeCell ref="A1:G1"/>
    <mergeCell ref="H1:I1"/>
    <mergeCell ref="J1:O1"/>
    <mergeCell ref="P1:U1"/>
    <mergeCell ref="V1:A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AC19"/>
  <sheetViews>
    <sheetView tabSelected="1" workbookViewId="0">
      <selection activeCell="P19" sqref="P19"/>
    </sheetView>
  </sheetViews>
  <sheetFormatPr defaultRowHeight="15" x14ac:dyDescent="0.25"/>
  <cols>
    <col min="1" max="2" width="6.140625" bestFit="1" customWidth="1"/>
    <col min="3" max="3" width="7.5703125" bestFit="1" customWidth="1"/>
    <col min="4" max="4" width="8.140625" bestFit="1" customWidth="1"/>
    <col min="5" max="7" width="8.42578125" bestFit="1" customWidth="1"/>
    <col min="8" max="8" width="11.28515625" bestFit="1" customWidth="1"/>
    <col min="9" max="9" width="13.140625" bestFit="1" customWidth="1"/>
    <col min="10" max="11" width="8.140625" bestFit="1" customWidth="1"/>
    <col min="12" max="15" width="8" bestFit="1" customWidth="1"/>
    <col min="16" max="17" width="7.28515625" bestFit="1" customWidth="1"/>
    <col min="18" max="19" width="8" bestFit="1" customWidth="1"/>
    <col min="20" max="21" width="9" bestFit="1" customWidth="1"/>
    <col min="22" max="22" width="13.28515625" bestFit="1" customWidth="1"/>
    <col min="24" max="29" width="14.42578125" bestFit="1" customWidth="1"/>
  </cols>
  <sheetData>
    <row r="1" spans="1:29" ht="15.75" x14ac:dyDescent="0.25">
      <c r="A1" s="18" t="s">
        <v>16</v>
      </c>
      <c r="B1" s="18"/>
      <c r="C1" s="18"/>
      <c r="D1" s="18"/>
      <c r="E1" s="18"/>
      <c r="F1" s="18"/>
      <c r="G1" s="19"/>
      <c r="H1" s="20" t="s">
        <v>20</v>
      </c>
      <c r="I1" s="21"/>
      <c r="J1" s="22" t="s">
        <v>6</v>
      </c>
      <c r="K1" s="23"/>
      <c r="L1" s="23"/>
      <c r="M1" s="23"/>
      <c r="N1" s="23"/>
      <c r="O1" s="31"/>
      <c r="P1" s="32" t="s">
        <v>11</v>
      </c>
      <c r="Q1" s="33"/>
      <c r="R1" s="33"/>
      <c r="S1" s="34"/>
      <c r="T1" s="35" t="s">
        <v>21</v>
      </c>
      <c r="U1" s="36"/>
      <c r="V1" s="37"/>
      <c r="W1" s="3"/>
      <c r="X1" s="38" t="s">
        <v>34</v>
      </c>
      <c r="Y1" s="38"/>
      <c r="Z1" s="38"/>
      <c r="AA1" s="29" t="s">
        <v>38</v>
      </c>
      <c r="AB1" s="29"/>
      <c r="AC1" s="29"/>
    </row>
    <row r="2" spans="1:29" ht="31.5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13</v>
      </c>
      <c r="F2" s="4" t="s">
        <v>14</v>
      </c>
      <c r="G2" s="4" t="s">
        <v>15</v>
      </c>
      <c r="H2" s="4" t="s">
        <v>18</v>
      </c>
      <c r="I2" s="4" t="s">
        <v>19</v>
      </c>
      <c r="J2" s="5" t="s">
        <v>3</v>
      </c>
      <c r="K2" s="4" t="s">
        <v>4</v>
      </c>
      <c r="L2" s="4" t="s">
        <v>5</v>
      </c>
      <c r="M2" s="4" t="s">
        <v>0</v>
      </c>
      <c r="N2" s="4" t="s">
        <v>1</v>
      </c>
      <c r="O2" s="4" t="s">
        <v>2</v>
      </c>
      <c r="P2" s="6" t="s">
        <v>7</v>
      </c>
      <c r="Q2" s="4" t="s">
        <v>8</v>
      </c>
      <c r="R2" s="4" t="s">
        <v>9</v>
      </c>
      <c r="S2" s="4" t="s">
        <v>10</v>
      </c>
      <c r="T2" s="6" t="s">
        <v>7</v>
      </c>
      <c r="U2" s="4" t="s">
        <v>8</v>
      </c>
      <c r="V2" s="10" t="s">
        <v>39</v>
      </c>
      <c r="W2" s="3"/>
      <c r="X2" s="4" t="s">
        <v>35</v>
      </c>
      <c r="Y2" s="4" t="s">
        <v>36</v>
      </c>
      <c r="Z2" s="4" t="s">
        <v>37</v>
      </c>
      <c r="AA2" s="4" t="s">
        <v>35</v>
      </c>
      <c r="AB2" s="4" t="s">
        <v>36</v>
      </c>
      <c r="AC2" s="4" t="s">
        <v>37</v>
      </c>
    </row>
    <row r="3" spans="1:29" ht="15.75" x14ac:dyDescent="0.25">
      <c r="A3" s="1">
        <f>'Proximal Validation (single)'!A3</f>
        <v>0.71299999999999997</v>
      </c>
      <c r="B3" s="1">
        <f>'Proximal Validation (single)'!B3</f>
        <v>0.04</v>
      </c>
      <c r="C3" s="1">
        <f>'Proximal Validation (single)'!C3</f>
        <v>1.571</v>
      </c>
      <c r="D3" s="1">
        <f>'Proximal Validation (single)'!D3</f>
        <v>-3.1419999999999999</v>
      </c>
      <c r="E3" s="1">
        <f>'Proximal Validation (single)'!E3</f>
        <v>1.19</v>
      </c>
      <c r="F3" s="1">
        <f>'Proximal Validation (single)'!F3</f>
        <v>0.377</v>
      </c>
      <c r="G3" s="1">
        <f>'Proximal Validation (single)'!G3</f>
        <v>0.33800000000000002</v>
      </c>
      <c r="H3" s="1">
        <f>'Proximal Validation (single)'!H3</f>
        <v>-4.7535757374816967E-6</v>
      </c>
      <c r="I3" s="1">
        <f>'Proximal Validation (single)'!I3</f>
        <v>89.988330385915845</v>
      </c>
      <c r="J3" s="8">
        <f>'Proximal Validation (single)'!J3</f>
        <v>1.0888772085309E-3</v>
      </c>
      <c r="K3" s="8">
        <f>'Proximal Validation (single)'!K3</f>
        <v>-9.6208736300468403E-2</v>
      </c>
      <c r="L3" s="8">
        <f>'Proximal Validation (single)'!L3</f>
        <v>5.2786292508244504E-4</v>
      </c>
      <c r="M3" s="8">
        <f>'Proximal Validation (single)'!M3</f>
        <v>-0.10211792588233901</v>
      </c>
      <c r="N3" s="8">
        <f>'Proximal Validation (single)'!N3</f>
        <v>4.1469931602478E-4</v>
      </c>
      <c r="O3" s="8">
        <f>'Proximal Validation (single)'!O3</f>
        <v>0.71999621391296398</v>
      </c>
      <c r="P3" s="8">
        <v>0.72741299999999998</v>
      </c>
      <c r="Q3" s="8">
        <v>4.1686000000000001E-2</v>
      </c>
      <c r="R3" s="8">
        <v>1.5707960000000001</v>
      </c>
      <c r="S3" s="8">
        <v>3.138989</v>
      </c>
      <c r="T3" s="8">
        <f t="shared" ref="T3:U11" si="0">P3-A3</f>
        <v>1.4413000000000009E-2</v>
      </c>
      <c r="U3" s="8">
        <f t="shared" si="0"/>
        <v>1.686E-3</v>
      </c>
      <c r="V3" s="8">
        <f>DEGREES(ACOS( MAX(-1, MIN(1, AA3*X3 + AB3*Y3 + AC3*Z3)) ))</f>
        <v>1.1688338975675635E-2</v>
      </c>
      <c r="W3" s="2"/>
      <c r="X3" s="9">
        <f t="shared" ref="X3:X13" si="1">COS(C3)*COS(D3)</f>
        <v>2.0367318679731896E-4</v>
      </c>
      <c r="Y3" s="9">
        <f t="shared" ref="Y3:Y13" si="2">COS(C3)*SIN(D3)</f>
        <v>-8.2965546086094279E-8</v>
      </c>
      <c r="Z3" s="9">
        <f t="shared" ref="Z3:Z16" si="3">SIN(C3)</f>
        <v>0.99999997925861284</v>
      </c>
      <c r="AA3" s="9">
        <f t="shared" ref="AA3:AA11" si="4">COS(R3)*COS(S3)</f>
        <v>-3.2679378886552405E-7</v>
      </c>
      <c r="AB3" s="9">
        <f t="shared" ref="AB3:AB11" si="5">COS(R3)*SIN(S3)</f>
        <v>8.5085974416552448E-10</v>
      </c>
      <c r="AC3" s="9">
        <f t="shared" ref="AC3:AC11" si="6">SIN(R3)</f>
        <v>0.9999999999999466</v>
      </c>
    </row>
    <row r="4" spans="1:29" ht="15.75" x14ac:dyDescent="0.25">
      <c r="A4" s="1">
        <f>'Proximal Validation (single)'!A4</f>
        <v>0.42</v>
      </c>
      <c r="B4" s="1">
        <f>'Proximal Validation (single)'!B4</f>
        <v>0.1</v>
      </c>
      <c r="C4" s="1">
        <f>'Proximal Validation (single)'!C4</f>
        <v>1.571</v>
      </c>
      <c r="D4" s="1">
        <f>'Proximal Validation (single)'!D4</f>
        <v>-3.1419999999999999</v>
      </c>
      <c r="E4" s="1">
        <f>'Proximal Validation (single)'!E4</f>
        <v>0.45500000000000002</v>
      </c>
      <c r="F4" s="1">
        <f>'Proximal Validation (single)'!F4</f>
        <v>0.61899999999999999</v>
      </c>
      <c r="G4" s="1">
        <f>'Proximal Validation (single)'!G4</f>
        <v>0.95</v>
      </c>
      <c r="H4" s="1">
        <f>'Proximal Validation (single)'!H4</f>
        <v>-4.7535757374816967E-6</v>
      </c>
      <c r="I4" s="1">
        <f>'Proximal Validation (single)'!I4</f>
        <v>89.988330385915845</v>
      </c>
      <c r="J4" s="8">
        <f>'Proximal Validation (single)'!J4</f>
        <v>2.36164894886315E-4</v>
      </c>
      <c r="K4" s="8">
        <f>'Proximal Validation (single)'!K4</f>
        <v>-7.60961323976517E-2</v>
      </c>
      <c r="L4" s="8">
        <f>'Proximal Validation (single)'!L4</f>
        <v>-3.30834882333875E-6</v>
      </c>
      <c r="M4" s="8">
        <f>'Proximal Validation (single)'!M4</f>
        <v>-9.4495028257369995E-2</v>
      </c>
      <c r="N4" s="8">
        <f>'Proximal Validation (single)'!N4</f>
        <v>3.4726411104202298E-4</v>
      </c>
      <c r="O4" s="8">
        <f>'Proximal Validation (single)'!O4</f>
        <v>0.37701070308685303</v>
      </c>
      <c r="P4" s="8">
        <v>0.38932099999999997</v>
      </c>
      <c r="Q4" s="8">
        <v>9.3090000000000006E-2</v>
      </c>
      <c r="R4" s="8">
        <v>1.5707960000000001</v>
      </c>
      <c r="S4" s="8">
        <v>3.0832259999999998</v>
      </c>
      <c r="T4" s="8">
        <f t="shared" si="0"/>
        <v>-3.0679000000000012E-2</v>
      </c>
      <c r="U4" s="8">
        <f t="shared" si="0"/>
        <v>-6.9099999999999995E-3</v>
      </c>
      <c r="V4" s="8">
        <f t="shared" ref="V4:V13" si="7">DEGREES(ACOS( MAX(-1, MIN(1, AA4*X4 + AB4*Y4 + AC4*Z4)) ))</f>
        <v>1.1688307637823026E-2</v>
      </c>
      <c r="W4" s="2"/>
      <c r="X4" s="9">
        <f t="shared" ref="X4:X7" si="8">COS(C4)*COS(D4)</f>
        <v>2.0367318679731896E-4</v>
      </c>
      <c r="Y4" s="9">
        <f t="shared" ref="Y4:Y7" si="9">COS(C4)*SIN(D4)</f>
        <v>-8.2965546086094279E-8</v>
      </c>
      <c r="Z4" s="9">
        <f t="shared" ref="Z4:Z7" si="10">SIN(C4)</f>
        <v>0.99999997925861284</v>
      </c>
      <c r="AA4" s="9">
        <f t="shared" ref="AA4:AA7" si="11">COS(R4)*COS(S4)</f>
        <v>-3.2623841397171233E-7</v>
      </c>
      <c r="AB4" s="9">
        <f t="shared" ref="AB4:AB7" si="12">COS(R4)*SIN(S4)</f>
        <v>1.9063096616515221E-8</v>
      </c>
      <c r="AC4" s="9">
        <f t="shared" ref="AC4:AC7" si="13">SIN(R4)</f>
        <v>0.9999999999999466</v>
      </c>
    </row>
    <row r="5" spans="1:29" ht="15.75" x14ac:dyDescent="0.25">
      <c r="A5" s="1">
        <f>'Proximal Validation (single)'!A5</f>
        <v>0.85199999999999998</v>
      </c>
      <c r="B5" s="1">
        <f>'Proximal Validation (single)'!B5</f>
        <v>0.06</v>
      </c>
      <c r="C5" s="1">
        <f>'Proximal Validation (single)'!C5</f>
        <v>0.78500000000000003</v>
      </c>
      <c r="D5" s="1">
        <f>'Proximal Validation (single)'!D5</f>
        <v>-3.1419999999999999</v>
      </c>
      <c r="E5" s="1">
        <f>'Proximal Validation (single)'!E5</f>
        <v>0.308</v>
      </c>
      <c r="F5" s="1">
        <f>'Proximal Validation (single)'!F5</f>
        <v>0.69399999999999995</v>
      </c>
      <c r="G5" s="1">
        <f>'Proximal Validation (single)'!G5</f>
        <v>1.2999999999999999E-2</v>
      </c>
      <c r="H5" s="1">
        <f>'Proximal Validation (single)'!H5</f>
        <v>2.3357821223058295E-2</v>
      </c>
      <c r="I5" s="1">
        <f>'Proximal Validation (single)'!I5</f>
        <v>135.02280832486795</v>
      </c>
      <c r="J5" s="8">
        <f>'Proximal Validation (single)'!J5</f>
        <v>-5.80515991896391E-3</v>
      </c>
      <c r="K5" s="8">
        <f>'Proximal Validation (single)'!K5</f>
        <v>-5.7722970843315097E-2</v>
      </c>
      <c r="L5" s="8">
        <f>'Proximal Validation (single)'!L5</f>
        <v>2.57922168821096E-2</v>
      </c>
      <c r="M5" s="8">
        <f>'Proximal Validation (single)'!M5</f>
        <v>-0.70404148101806596</v>
      </c>
      <c r="N5" s="8">
        <f>'Proximal Validation (single)'!N5</f>
        <v>0.260549336671829</v>
      </c>
      <c r="O5" s="8">
        <f>'Proximal Validation (single)'!O5</f>
        <v>-0.166554510593414</v>
      </c>
      <c r="P5" s="8">
        <v>0.76753400000000005</v>
      </c>
      <c r="Q5" s="8">
        <v>0.01</v>
      </c>
      <c r="R5" s="8">
        <v>-0.20250000000000001</v>
      </c>
      <c r="S5" s="8">
        <v>2.7902680000000002</v>
      </c>
      <c r="T5" s="8">
        <f t="shared" si="0"/>
        <v>-8.446599999999993E-2</v>
      </c>
      <c r="U5" s="15">
        <f t="shared" si="0"/>
        <v>-4.9999999999999996E-2</v>
      </c>
      <c r="V5" s="8">
        <f t="shared" si="7"/>
        <v>59.432754869500478</v>
      </c>
      <c r="W5" s="2"/>
      <c r="X5" s="9">
        <f t="shared" si="8"/>
        <v>-0.70738821047834455</v>
      </c>
      <c r="Y5" s="9">
        <f t="shared" si="9"/>
        <v>2.8815206409866709E-4</v>
      </c>
      <c r="Z5" s="9">
        <f t="shared" si="10"/>
        <v>0.70682518110536596</v>
      </c>
      <c r="AA5" s="9">
        <f t="shared" si="11"/>
        <v>-0.9197326152526849</v>
      </c>
      <c r="AB5" s="9">
        <f t="shared" si="12"/>
        <v>0.33710994500806996</v>
      </c>
      <c r="AC5" s="9">
        <f t="shared" si="13"/>
        <v>-0.20111887384607305</v>
      </c>
    </row>
    <row r="6" spans="1:29" ht="15.75" x14ac:dyDescent="0.25">
      <c r="A6" s="1">
        <f>'Proximal Validation (single)'!A6</f>
        <v>0.61099999999999999</v>
      </c>
      <c r="B6" s="1">
        <f>'Proximal Validation (single)'!B6</f>
        <v>0.1</v>
      </c>
      <c r="C6" s="1">
        <f>'Proximal Validation (single)'!C6</f>
        <v>0.78500000000000003</v>
      </c>
      <c r="D6" s="1">
        <f>'Proximal Validation (single)'!D6</f>
        <v>-3.1419999999999999</v>
      </c>
      <c r="E6" s="1">
        <f>'Proximal Validation (single)'!E6</f>
        <v>1.008</v>
      </c>
      <c r="F6" s="1">
        <f>'Proximal Validation (single)'!F6</f>
        <v>4.5999999999999999E-2</v>
      </c>
      <c r="G6" s="1">
        <f>'Proximal Validation (single)'!G6</f>
        <v>1.286</v>
      </c>
      <c r="H6" s="1">
        <f>'Proximal Validation (single)'!H6</f>
        <v>2.3357821223058295E-2</v>
      </c>
      <c r="I6" s="1">
        <f>'Proximal Validation (single)'!I6</f>
        <v>135.02280832486795</v>
      </c>
      <c r="J6" s="8">
        <f>'Proximal Validation (single)'!J6</f>
        <v>1.5627356246113801E-2</v>
      </c>
      <c r="K6" s="8">
        <f>'Proximal Validation (single)'!K6</f>
        <v>-5.4018210619687999E-2</v>
      </c>
      <c r="L6" s="8">
        <f>'Proximal Validation (single)'!L6</f>
        <v>-6.95881946012378E-3</v>
      </c>
      <c r="M6" s="8">
        <f>'Proximal Validation (single)'!M6</f>
        <v>-0.60411417484283403</v>
      </c>
      <c r="N6" s="8">
        <f>'Proximal Validation (single)'!N6</f>
        <v>4.1902124881744399E-2</v>
      </c>
      <c r="O6" s="8">
        <f>'Proximal Validation (single)'!O6</f>
        <v>-2.8247416019439701E-2</v>
      </c>
      <c r="P6" s="8">
        <v>0.60583600000000004</v>
      </c>
      <c r="Q6" s="8">
        <v>0.01</v>
      </c>
      <c r="R6" s="8">
        <v>-5.0810000000000001E-2</v>
      </c>
      <c r="S6" s="8">
        <v>3.0582729999999998</v>
      </c>
      <c r="T6" s="8">
        <f t="shared" si="0"/>
        <v>-5.1639999999999464E-3</v>
      </c>
      <c r="U6" s="15">
        <f t="shared" si="0"/>
        <v>-9.0000000000000011E-2</v>
      </c>
      <c r="V6" s="8">
        <f t="shared" si="7"/>
        <v>48.075552215077991</v>
      </c>
      <c r="W6" s="2"/>
      <c r="X6" s="9">
        <f t="shared" si="8"/>
        <v>-0.70738821047834455</v>
      </c>
      <c r="Y6" s="9">
        <f t="shared" si="9"/>
        <v>2.8815206409866709E-4</v>
      </c>
      <c r="Z6" s="9">
        <f t="shared" si="10"/>
        <v>0.70682518110536596</v>
      </c>
      <c r="AA6" s="9">
        <f t="shared" si="11"/>
        <v>-0.99524485191493417</v>
      </c>
      <c r="AB6" s="9">
        <f t="shared" si="12"/>
        <v>8.3115880080943755E-2</v>
      </c>
      <c r="AC6" s="9">
        <f t="shared" si="13"/>
        <v>-5.0788140497469866E-2</v>
      </c>
    </row>
    <row r="7" spans="1:29" ht="15.75" x14ac:dyDescent="0.25">
      <c r="A7" s="1">
        <f>'Proximal Validation (single)'!A7</f>
        <v>0.65800000000000003</v>
      </c>
      <c r="B7" s="1">
        <f>'Proximal Validation (single)'!B7</f>
        <v>0.04</v>
      </c>
      <c r="C7" s="1">
        <f>'Proximal Validation (single)'!C7</f>
        <v>-0.78500000000000003</v>
      </c>
      <c r="D7" s="1">
        <f>'Proximal Validation (single)'!D7</f>
        <v>0</v>
      </c>
      <c r="E7" s="1">
        <f>'Proximal Validation (single)'!E7</f>
        <v>0.39700000000000002</v>
      </c>
      <c r="F7" s="1">
        <f>'Proximal Validation (single)'!F7</f>
        <v>0.309</v>
      </c>
      <c r="G7" s="1">
        <f>'Proximal Validation (single)'!G7</f>
        <v>6.5000000000000002E-2</v>
      </c>
      <c r="H7" s="1">
        <f>'Proximal Validation (single)'!H7</f>
        <v>180</v>
      </c>
      <c r="I7" s="1">
        <f>'Proximal Validation (single)'!I7</f>
        <v>44.977186917769622</v>
      </c>
      <c r="J7" s="8">
        <f>'Proximal Validation (single)'!J7</f>
        <v>9.8052504472434499E-4</v>
      </c>
      <c r="K7" s="8">
        <f>'Proximal Validation (single)'!K7</f>
        <v>8.5509866476059002E-2</v>
      </c>
      <c r="L7" s="8">
        <f>'Proximal Validation (single)'!L7</f>
        <v>4.0061371400952296E-3</v>
      </c>
      <c r="M7" s="8">
        <f>'Proximal Validation (single)'!M7</f>
        <v>0.62881785631179798</v>
      </c>
      <c r="N7" s="8">
        <f>'Proximal Validation (single)'!N7</f>
        <v>1.40583515167236E-2</v>
      </c>
      <c r="O7" s="8">
        <f>'Proximal Validation (single)'!O7</f>
        <v>-0.70932924747466997</v>
      </c>
      <c r="P7" s="8">
        <v>0.94792600000000005</v>
      </c>
      <c r="Q7" s="8">
        <v>3.2318E-2</v>
      </c>
      <c r="R7" s="8">
        <v>-0.79464000000000001</v>
      </c>
      <c r="S7" s="8">
        <v>1.6899999999999998E-2</v>
      </c>
      <c r="T7" s="8">
        <f t="shared" si="0"/>
        <v>0.28992600000000002</v>
      </c>
      <c r="U7" s="8">
        <f t="shared" si="0"/>
        <v>-7.6820000000000013E-3</v>
      </c>
      <c r="V7" s="8">
        <f t="shared" si="7"/>
        <v>0.87732833473508887</v>
      </c>
      <c r="W7" s="2"/>
      <c r="X7" s="9">
        <f t="shared" si="8"/>
        <v>0.70738826916719977</v>
      </c>
      <c r="Y7" s="9">
        <f t="shared" si="9"/>
        <v>0</v>
      </c>
      <c r="Z7" s="9">
        <f t="shared" si="10"/>
        <v>-0.70682518110536596</v>
      </c>
      <c r="AA7" s="9">
        <f t="shared" si="11"/>
        <v>0.70044167307672756</v>
      </c>
      <c r="AB7" s="9">
        <f t="shared" si="12"/>
        <v>1.1838591369817882E-2</v>
      </c>
      <c r="AC7" s="9">
        <f t="shared" si="13"/>
        <v>-0.71361145616634636</v>
      </c>
    </row>
    <row r="8" spans="1:29" ht="15.75" x14ac:dyDescent="0.25">
      <c r="A8" s="1">
        <f>'Proximal Validation (single)'!A8</f>
        <v>0.36299999999999999</v>
      </c>
      <c r="B8" s="1">
        <f>'Proximal Validation (single)'!B8</f>
        <v>0.18</v>
      </c>
      <c r="C8" s="1">
        <f>'Proximal Validation (single)'!C8</f>
        <v>-0.78500000000000003</v>
      </c>
      <c r="D8" s="1">
        <f>'Proximal Validation (single)'!D8</f>
        <v>0</v>
      </c>
      <c r="E8" s="1">
        <f>'Proximal Validation (single)'!E8</f>
        <v>0.75600000000000001</v>
      </c>
      <c r="F8" s="1">
        <f>'Proximal Validation (single)'!F8</f>
        <v>1.339</v>
      </c>
      <c r="G8" s="1">
        <f>'Proximal Validation (single)'!G8</f>
        <v>0.39400000000000002</v>
      </c>
      <c r="H8" s="1">
        <f>'Proximal Validation (single)'!H8</f>
        <v>180</v>
      </c>
      <c r="I8" s="1">
        <f>'Proximal Validation (single)'!I8</f>
        <v>44.977186917769622</v>
      </c>
      <c r="J8" s="8">
        <f>'Proximal Validation (single)'!J8</f>
        <v>6.17829151451588E-4</v>
      </c>
      <c r="K8" s="8">
        <f>'Proximal Validation (single)'!K8</f>
        <v>4.1015565395355197E-2</v>
      </c>
      <c r="L8" s="8">
        <f>'Proximal Validation (single)'!L8</f>
        <v>2.6633208617567999E-3</v>
      </c>
      <c r="M8" s="8">
        <f>'Proximal Validation (single)'!M8</f>
        <v>0.14830487966537501</v>
      </c>
      <c r="N8" s="8">
        <f>'Proximal Validation (single)'!N8</f>
        <v>5.13132847845554E-3</v>
      </c>
      <c r="O8" s="8">
        <f>'Proximal Validation (single)'!O8</f>
        <v>-0.172794073820114</v>
      </c>
      <c r="P8" s="8">
        <v>0.22773099999999999</v>
      </c>
      <c r="Q8" s="8">
        <v>0.17791199999999999</v>
      </c>
      <c r="R8" s="8">
        <v>-0.64051999999999998</v>
      </c>
      <c r="S8" s="8">
        <v>0.114735</v>
      </c>
      <c r="T8" s="8">
        <f t="shared" si="0"/>
        <v>-0.135269</v>
      </c>
      <c r="U8" s="8">
        <f t="shared" si="0"/>
        <v>-2.0880000000000065E-3</v>
      </c>
      <c r="V8" s="8">
        <f t="shared" si="7"/>
        <v>9.6494175758048151</v>
      </c>
      <c r="W8" s="2"/>
      <c r="X8" s="9">
        <f t="shared" si="1"/>
        <v>0.70738826916719977</v>
      </c>
      <c r="Y8" s="9">
        <f t="shared" si="2"/>
        <v>0</v>
      </c>
      <c r="Z8" s="9">
        <f t="shared" si="3"/>
        <v>-0.70682518110536596</v>
      </c>
      <c r="AA8" s="9">
        <f t="shared" si="4"/>
        <v>0.79651349686685868</v>
      </c>
      <c r="AB8" s="9">
        <f t="shared" si="5"/>
        <v>9.1791113075141539E-2</v>
      </c>
      <c r="AC8" s="9">
        <f t="shared" si="6"/>
        <v>-0.59761245039687316</v>
      </c>
    </row>
    <row r="9" spans="1:29" ht="15.75" x14ac:dyDescent="0.25">
      <c r="A9" s="1">
        <f>'Proximal Validation (single)'!A9</f>
        <v>0.216</v>
      </c>
      <c r="B9" s="1">
        <f>'Proximal Validation (single)'!B9</f>
        <v>0.04</v>
      </c>
      <c r="C9" s="1">
        <f>'Proximal Validation (single)'!C9</f>
        <v>-1.0469999999999999</v>
      </c>
      <c r="D9" s="1">
        <f>'Proximal Validation (single)'!D9</f>
        <v>0</v>
      </c>
      <c r="E9" s="1">
        <f>'Proximal Validation (single)'!E9</f>
        <v>1.1060000000000001</v>
      </c>
      <c r="F9" s="1">
        <f>'Proximal Validation (single)'!F9</f>
        <v>0.21299999999999999</v>
      </c>
      <c r="G9" s="1">
        <f>'Proximal Validation (single)'!G9</f>
        <v>0.41899999999999998</v>
      </c>
      <c r="H9" s="1">
        <f>'Proximal Validation (single)'!H9</f>
        <v>180</v>
      </c>
      <c r="I9" s="1">
        <f>'Proximal Validation (single)'!I9</f>
        <v>59.988681150197188</v>
      </c>
      <c r="J9" s="8">
        <f>'Proximal Validation (single)'!J9</f>
        <v>2.04859534278512E-4</v>
      </c>
      <c r="K9" s="8">
        <f>'Proximal Validation (single)'!K9</f>
        <v>1.75231695175171E-2</v>
      </c>
      <c r="L9" s="8">
        <f>'Proximal Validation (single)'!L9</f>
        <v>1.11881282646209E-3</v>
      </c>
      <c r="M9" s="8">
        <f>'Proximal Validation (single)'!M9</f>
        <v>7.7061228454113007E-2</v>
      </c>
      <c r="N9" s="8">
        <f>'Proximal Validation (single)'!N9</f>
        <v>8.1693381071090698E-4</v>
      </c>
      <c r="O9" s="8">
        <f>'Proximal Validation (single)'!O9</f>
        <v>-0.13907811045646701</v>
      </c>
      <c r="P9" s="8">
        <v>0.158911</v>
      </c>
      <c r="Q9" s="8">
        <v>3.9528000000000001E-2</v>
      </c>
      <c r="R9" s="8">
        <v>-1.05898</v>
      </c>
      <c r="S9" s="8">
        <v>-2.9440000000000001E-2</v>
      </c>
      <c r="T9" s="8">
        <f t="shared" si="0"/>
        <v>-5.7089000000000001E-2</v>
      </c>
      <c r="U9" s="8">
        <f t="shared" si="0"/>
        <v>-4.720000000000002E-4</v>
      </c>
      <c r="V9" s="8">
        <f t="shared" si="7"/>
        <v>1.0807934984993295</v>
      </c>
      <c r="W9" s="2"/>
      <c r="X9" s="9">
        <f t="shared" si="1"/>
        <v>0.50017107459707011</v>
      </c>
      <c r="Y9" s="9">
        <f t="shared" si="2"/>
        <v>0</v>
      </c>
      <c r="Z9" s="9">
        <f t="shared" si="3"/>
        <v>-0.86592661128782278</v>
      </c>
      <c r="AA9" s="9">
        <f t="shared" si="4"/>
        <v>0.48954940378320116</v>
      </c>
      <c r="AB9" s="9">
        <f t="shared" si="5"/>
        <v>-1.4416499680166728E-2</v>
      </c>
      <c r="AC9" s="9">
        <f t="shared" si="6"/>
        <v>-0.87185637910867175</v>
      </c>
    </row>
    <row r="10" spans="1:29" ht="15.75" x14ac:dyDescent="0.25">
      <c r="A10" s="1">
        <f>'Proximal Validation (single)'!A10</f>
        <v>0.16600000000000001</v>
      </c>
      <c r="B10" s="1">
        <f>'Proximal Validation (single)'!B10</f>
        <v>0.1</v>
      </c>
      <c r="C10" s="1">
        <f>'Proximal Validation (single)'!C10</f>
        <v>-1.0469999999999999</v>
      </c>
      <c r="D10" s="1">
        <f>'Proximal Validation (single)'!D10</f>
        <v>0</v>
      </c>
      <c r="E10" s="1">
        <f>'Proximal Validation (single)'!E10</f>
        <v>0.96199999999999997</v>
      </c>
      <c r="F10" s="1">
        <f>'Proximal Validation (single)'!F10</f>
        <v>0.95899999999999996</v>
      </c>
      <c r="G10" s="1">
        <f>'Proximal Validation (single)'!G10</f>
        <v>0.77900000000000003</v>
      </c>
      <c r="H10" s="1">
        <f>'Proximal Validation (single)'!H10</f>
        <v>180</v>
      </c>
      <c r="I10" s="1">
        <f>'Proximal Validation (single)'!I10</f>
        <v>59.988681150197188</v>
      </c>
      <c r="J10" s="8">
        <f>'Proximal Validation (single)'!J10</f>
        <v>1.53300730744377E-4</v>
      </c>
      <c r="K10" s="8">
        <f>'Proximal Validation (single)'!K10</f>
        <v>1.5153425745665999E-2</v>
      </c>
      <c r="L10" s="8">
        <f>'Proximal Validation (single)'!L10</f>
        <v>1.19251162686851E-4</v>
      </c>
      <c r="M10" s="8">
        <f>'Proximal Validation (single)'!M10</f>
        <v>4.9468118697404903E-2</v>
      </c>
      <c r="N10" s="8">
        <f>'Proximal Validation (single)'!N10</f>
        <v>-7.5629539787769296E-4</v>
      </c>
      <c r="O10" s="8">
        <f>'Proximal Validation (single)'!O10</f>
        <v>-8.0783911049365997E-2</v>
      </c>
      <c r="P10" s="8">
        <v>9.4672999999999993E-2</v>
      </c>
      <c r="Q10" s="8">
        <v>9.7114000000000006E-2</v>
      </c>
      <c r="R10" s="8">
        <v>-0.98511000000000004</v>
      </c>
      <c r="S10" s="8">
        <v>-1.806E-2</v>
      </c>
      <c r="T10" s="8">
        <f t="shared" si="0"/>
        <v>-7.1327000000000015E-2</v>
      </c>
      <c r="U10" s="8">
        <f t="shared" si="0"/>
        <v>-2.8859999999999997E-3</v>
      </c>
      <c r="V10" s="8">
        <f t="shared" si="7"/>
        <v>3.5875603659502593</v>
      </c>
      <c r="W10" s="2"/>
      <c r="X10" s="9">
        <f t="shared" si="1"/>
        <v>0.50017107459707011</v>
      </c>
      <c r="Y10" s="9">
        <f t="shared" si="2"/>
        <v>0</v>
      </c>
      <c r="Z10" s="9">
        <f t="shared" si="3"/>
        <v>-0.86592661128782278</v>
      </c>
      <c r="AA10" s="9">
        <f t="shared" si="4"/>
        <v>0.55268130666080062</v>
      </c>
      <c r="AB10" s="9">
        <f t="shared" si="5"/>
        <v>-9.9825097323311528E-3</v>
      </c>
      <c r="AC10" s="9">
        <f t="shared" si="6"/>
        <v>-0.83333290032684659</v>
      </c>
    </row>
    <row r="11" spans="1:29" ht="15.75" x14ac:dyDescent="0.25">
      <c r="A11" s="1">
        <f>'Proximal Validation (single)'!A11</f>
        <v>0.184</v>
      </c>
      <c r="B11" s="1">
        <f>'Proximal Validation (single)'!B11</f>
        <v>0.12</v>
      </c>
      <c r="C11" s="1">
        <f>'Proximal Validation (single)'!C11</f>
        <v>-1.0469999999999999</v>
      </c>
      <c r="D11" s="1">
        <f>'Proximal Validation (single)'!D11</f>
        <v>0</v>
      </c>
      <c r="E11" s="1">
        <f>'Proximal Validation (single)'!E11</f>
        <v>0.27600000000000002</v>
      </c>
      <c r="F11" s="1">
        <f>'Proximal Validation (single)'!F11</f>
        <v>0.89400000000000002</v>
      </c>
      <c r="G11" s="1">
        <f>'Proximal Validation (single)'!G11</f>
        <v>0.747</v>
      </c>
      <c r="H11" s="1">
        <f>'Proximal Validation (single)'!H11</f>
        <v>180</v>
      </c>
      <c r="I11" s="1">
        <f>'Proximal Validation (single)'!I11</f>
        <v>59.988681150197188</v>
      </c>
      <c r="J11" s="8">
        <f>'Proximal Validation (single)'!J11</f>
        <v>9.8040979355573698E-4</v>
      </c>
      <c r="K11" s="8">
        <f>'Proximal Validation (single)'!K11</f>
        <v>2.5940375402569799E-2</v>
      </c>
      <c r="L11" s="8">
        <f>'Proximal Validation (single)'!L11</f>
        <v>1.2594839790836E-3</v>
      </c>
      <c r="M11" s="8">
        <f>'Proximal Validation (single)'!M11</f>
        <v>4.5787166804075199E-2</v>
      </c>
      <c r="N11" s="8">
        <f>'Proximal Validation (single)'!N11</f>
        <v>6.5520424395799602E-3</v>
      </c>
      <c r="O11" s="8">
        <f>'Proximal Validation (single)'!O11</f>
        <v>-0.12449070066213599</v>
      </c>
      <c r="P11" s="8">
        <v>0.13244400000000001</v>
      </c>
      <c r="Q11" s="8">
        <v>0.12658</v>
      </c>
      <c r="R11" s="8">
        <v>-1.0182899999999999</v>
      </c>
      <c r="S11" s="8">
        <v>0.172927</v>
      </c>
      <c r="T11" s="8">
        <f t="shared" si="0"/>
        <v>-5.1555999999999991E-2</v>
      </c>
      <c r="U11" s="8">
        <f t="shared" si="0"/>
        <v>6.5800000000000025E-3</v>
      </c>
      <c r="V11" s="8">
        <f t="shared" si="7"/>
        <v>5.3321029118095229</v>
      </c>
      <c r="W11" s="2"/>
      <c r="X11" s="9">
        <f t="shared" si="1"/>
        <v>0.50017107459707011</v>
      </c>
      <c r="Y11" s="9">
        <f t="shared" si="2"/>
        <v>0</v>
      </c>
      <c r="Z11" s="9">
        <f t="shared" si="3"/>
        <v>-0.86592661128782278</v>
      </c>
      <c r="AA11" s="9">
        <f t="shared" si="4"/>
        <v>0.51699474876258877</v>
      </c>
      <c r="AB11" s="9">
        <f t="shared" si="5"/>
        <v>9.0304296179029506E-2</v>
      </c>
      <c r="AC11" s="9">
        <f t="shared" si="6"/>
        <v>-0.8512118207846493</v>
      </c>
    </row>
    <row r="12" spans="1:29" ht="15.75" x14ac:dyDescent="0.25">
      <c r="A12" s="1">
        <f>'Proximal Validation (single)'!A12</f>
        <v>0.309</v>
      </c>
      <c r="B12" s="1">
        <f>'Proximal Validation (single)'!B12</f>
        <v>0.12</v>
      </c>
      <c r="C12" s="1">
        <f>'Proximal Validation (single)'!C12</f>
        <v>-1.571</v>
      </c>
      <c r="D12" s="1">
        <f>'Proximal Validation (single)'!D12</f>
        <v>0</v>
      </c>
      <c r="E12" s="1">
        <f>'Proximal Validation (single)'!E12</f>
        <v>7.4999999999999997E-2</v>
      </c>
      <c r="F12" s="1">
        <f>'Proximal Validation (single)'!F12</f>
        <v>0.871</v>
      </c>
      <c r="G12" s="1">
        <f>'Proximal Validation (single)'!G12</f>
        <v>0.308</v>
      </c>
      <c r="H12" s="1">
        <f>'Proximal Validation (single)'!H12</f>
        <v>180</v>
      </c>
      <c r="I12" s="1">
        <f>'Proximal Validation (single)'!I12</f>
        <v>90.011669615052327</v>
      </c>
      <c r="J12" s="8">
        <f>'Proximal Validation (single)'!J12</f>
        <v>1.8741261446848501E-3</v>
      </c>
      <c r="K12" s="8">
        <f>'Proximal Validation (single)'!K12</f>
        <v>4.3207850307226202E-2</v>
      </c>
      <c r="L12" s="8">
        <f>'Proximal Validation (single)'!L12</f>
        <v>1.3261496787890801E-3</v>
      </c>
      <c r="M12" s="8">
        <f>'Proximal Validation (single)'!M12</f>
        <v>-5.6303322315216099E-2</v>
      </c>
      <c r="N12" s="8">
        <f>'Proximal Validation (single)'!N12</f>
        <v>9.1080330312251993E-3</v>
      </c>
      <c r="O12" s="8">
        <f>'Proximal Validation (single)'!O12</f>
        <v>-0.19526579976081801</v>
      </c>
      <c r="P12" s="8">
        <v>0.203072</v>
      </c>
      <c r="Q12" s="8">
        <v>0.12699299999999999</v>
      </c>
      <c r="R12" s="8">
        <v>-1.5327999999999999</v>
      </c>
      <c r="S12" s="8">
        <v>2.1274519999999999</v>
      </c>
      <c r="T12" s="8">
        <f t="shared" ref="T12:U13" si="14">P12-A12</f>
        <v>-0.10592799999999999</v>
      </c>
      <c r="U12" s="8">
        <f t="shared" si="14"/>
        <v>6.9929999999999992E-3</v>
      </c>
      <c r="V12" s="8">
        <f t="shared" si="7"/>
        <v>2.1708861229567042</v>
      </c>
      <c r="W12" s="2"/>
      <c r="X12" s="9">
        <f t="shared" si="1"/>
        <v>-2.0367320369517786E-4</v>
      </c>
      <c r="Y12" s="9">
        <f t="shared" si="2"/>
        <v>0</v>
      </c>
      <c r="Z12" s="9">
        <f t="shared" si="3"/>
        <v>-0.99999997925861284</v>
      </c>
      <c r="AA12" s="9">
        <f>COS(R12)*COS(S12)</f>
        <v>-2.0070518997126825E-2</v>
      </c>
      <c r="AB12" s="9">
        <f>COS(R12)*SIN(S12)</f>
        <v>3.2252139063754334E-2</v>
      </c>
      <c r="AC12" s="9">
        <f>SIN(R12)</f>
        <v>-0.99927822641794728</v>
      </c>
    </row>
    <row r="13" spans="1:29" ht="15.75" x14ac:dyDescent="0.25">
      <c r="A13" s="1">
        <f>'Proximal Validation (single)'!A13</f>
        <v>0.20399999999999999</v>
      </c>
      <c r="B13" s="1">
        <f>'Proximal Validation (single)'!B13</f>
        <v>0.2</v>
      </c>
      <c r="C13" s="1">
        <f>'Proximal Validation (single)'!C13</f>
        <v>-1.571</v>
      </c>
      <c r="D13" s="1">
        <f>'Proximal Validation (single)'!D13</f>
        <v>0</v>
      </c>
      <c r="E13" s="1">
        <f>'Proximal Validation (single)'!E13</f>
        <v>0.78500000000000003</v>
      </c>
      <c r="F13" s="1">
        <f>'Proximal Validation (single)'!F13</f>
        <v>1.3149999999999999</v>
      </c>
      <c r="G13" s="1">
        <f>'Proximal Validation (single)'!G13</f>
        <v>0.40100000000000002</v>
      </c>
      <c r="H13" s="1">
        <f>'Proximal Validation (single)'!H13</f>
        <v>180</v>
      </c>
      <c r="I13" s="1">
        <f>'Proximal Validation (single)'!I13</f>
        <v>90.011669615052327</v>
      </c>
      <c r="J13" s="8">
        <f>'Proximal Validation (single)'!J13</f>
        <v>1.5600752085447301E-3</v>
      </c>
      <c r="K13" s="8">
        <f>'Proximal Validation (single)'!K13</f>
        <v>3.00981402397156E-2</v>
      </c>
      <c r="L13" s="8">
        <f>'Proximal Validation (single)'!L13</f>
        <v>2.0784591324627399E-3</v>
      </c>
      <c r="M13" s="8">
        <f>'Proximal Validation (single)'!M13</f>
        <v>-2.7036491781473201E-2</v>
      </c>
      <c r="N13" s="8">
        <f>'Proximal Validation (single)'!N13</f>
        <v>8.2853538915514894E-3</v>
      </c>
      <c r="O13" s="8">
        <f>'Proximal Validation (single)'!O13</f>
        <v>-9.4623744487762507E-2</v>
      </c>
      <c r="P13" s="8">
        <v>9.9816000000000002E-2</v>
      </c>
      <c r="Q13" s="8">
        <v>0.2</v>
      </c>
      <c r="R13" s="8">
        <v>-1.4206099999999999</v>
      </c>
      <c r="S13" s="8">
        <v>2.692517</v>
      </c>
      <c r="T13" s="8">
        <f t="shared" si="14"/>
        <v>-0.10418399999999998</v>
      </c>
      <c r="U13" s="8">
        <f t="shared" si="14"/>
        <v>0</v>
      </c>
      <c r="V13" s="8">
        <f t="shared" si="7"/>
        <v>8.5945315893959062</v>
      </c>
      <c r="W13" s="2"/>
      <c r="X13" s="9">
        <f t="shared" si="1"/>
        <v>-2.0367320369517786E-4</v>
      </c>
      <c r="Y13" s="9">
        <f t="shared" si="2"/>
        <v>0</v>
      </c>
      <c r="Z13" s="9">
        <f t="shared" si="3"/>
        <v>-0.99999997925861284</v>
      </c>
      <c r="AA13" s="9">
        <f>COS(R13)*COS(S13)</f>
        <v>-0.1347871239207574</v>
      </c>
      <c r="AB13" s="9">
        <f>COS(R13)*SIN(S13)</f>
        <v>6.4956009430138392E-2</v>
      </c>
      <c r="AC13" s="9">
        <f>SIN(R13)</f>
        <v>-0.98874321644402807</v>
      </c>
    </row>
    <row r="14" spans="1:29" ht="15.75" x14ac:dyDescent="0.25">
      <c r="A14" s="1">
        <f>'Proximal Validation (single)'!A14</f>
        <v>0.96099999999999997</v>
      </c>
      <c r="B14" s="1">
        <f>'Proximal Validation (single)'!B14</f>
        <v>0.14000000000000001</v>
      </c>
      <c r="C14" s="1">
        <f>'Proximal Validation (single)'!C14</f>
        <v>-1.0469999999999999</v>
      </c>
      <c r="T14" s="30" t="s">
        <v>32</v>
      </c>
      <c r="U14" s="30"/>
      <c r="V14" s="30"/>
      <c r="W14" s="2"/>
      <c r="X14" s="9" t="e">
        <f>COS(C14)*COS(#REF!)</f>
        <v>#REF!</v>
      </c>
      <c r="Y14" s="9" t="e">
        <f>COS(C14)*SIN(#REF!)</f>
        <v>#REF!</v>
      </c>
      <c r="Z14" s="9">
        <f t="shared" si="3"/>
        <v>-0.86592661128782278</v>
      </c>
      <c r="AA14" s="9" t="e">
        <f>COS(#REF!)*COS(#REF!)</f>
        <v>#REF!</v>
      </c>
      <c r="AB14" s="9" t="e">
        <f>COS(#REF!)*SIN(#REF!)</f>
        <v>#REF!</v>
      </c>
      <c r="AC14" s="9" t="e">
        <f>SIN(#REF!)</f>
        <v>#REF!</v>
      </c>
    </row>
    <row r="15" spans="1:29" ht="15.75" x14ac:dyDescent="0.25">
      <c r="A15" s="1">
        <f>'Proximal Validation (single)'!A15</f>
        <v>0.51</v>
      </c>
      <c r="B15" s="1">
        <f>'Proximal Validation (single)'!B15</f>
        <v>0.06</v>
      </c>
      <c r="C15" s="1">
        <f>'Proximal Validation (single)'!C15</f>
        <v>-1.571</v>
      </c>
      <c r="T15" s="2" cm="1">
        <f t="array" ref="T15">AVERAGE(ABS(T3:T13))</f>
        <v>8.6363727272727273E-2</v>
      </c>
      <c r="U15" s="2" cm="1">
        <f t="array" ref="U15">AVERAGE(ABS(U3:U13))</f>
        <v>1.593609090909091E-2</v>
      </c>
      <c r="V15" s="2" cm="1">
        <f t="array" ref="V15">AVERAGE(ABS(V3:V13))</f>
        <v>12.620391284576691</v>
      </c>
      <c r="W15" s="2"/>
      <c r="X15" s="9" t="e">
        <f>COS(C15)*COS(#REF!)</f>
        <v>#REF!</v>
      </c>
      <c r="Y15" s="9" t="e">
        <f>COS(C15)*SIN(#REF!)</f>
        <v>#REF!</v>
      </c>
      <c r="Z15" s="9">
        <f t="shared" si="3"/>
        <v>-0.99999997925861284</v>
      </c>
      <c r="AA15" s="9" t="e">
        <f>COS(#REF!)*COS(#REF!)</f>
        <v>#REF!</v>
      </c>
      <c r="AB15" s="9" t="e">
        <f>COS(#REF!)*SIN(#REF!)</f>
        <v>#REF!</v>
      </c>
      <c r="AC15" s="9" t="e">
        <f>SIN(#REF!)</f>
        <v>#REF!</v>
      </c>
    </row>
    <row r="16" spans="1:29" ht="15.75" x14ac:dyDescent="0.25">
      <c r="A16" s="1">
        <f>'Proximal Validation (single)'!A16</f>
        <v>0.89700000000000002</v>
      </c>
      <c r="B16" s="1">
        <f>'Proximal Validation (single)'!B16</f>
        <v>0.2</v>
      </c>
      <c r="C16" s="1">
        <f>'Proximal Validation (single)'!C16</f>
        <v>-1.571</v>
      </c>
      <c r="T16" s="12" t="s">
        <v>31</v>
      </c>
      <c r="U16" s="12"/>
      <c r="V16" s="12"/>
      <c r="W16" s="2"/>
      <c r="X16" s="9" t="e">
        <f>COS(C16)*COS(#REF!)</f>
        <v>#REF!</v>
      </c>
      <c r="Y16" s="9" t="e">
        <f>COS(C16)*SIN(#REF!)</f>
        <v>#REF!</v>
      </c>
      <c r="Z16" s="9">
        <f t="shared" si="3"/>
        <v>-0.99999997925861284</v>
      </c>
      <c r="AA16" s="9" t="e">
        <f>COS(#REF!)*COS(#REF!)</f>
        <v>#REF!</v>
      </c>
      <c r="AB16" s="9" t="e">
        <f>COS(#REF!)*SIN(#REF!)</f>
        <v>#REF!</v>
      </c>
      <c r="AC16" s="9" t="e">
        <f>SIN(#REF!)</f>
        <v>#REF!</v>
      </c>
    </row>
    <row r="17" spans="1:29" ht="15.75" x14ac:dyDescent="0.25">
      <c r="A17" s="1">
        <f>'Proximal Validation (single)'!A17</f>
        <v>0.42899999999999999</v>
      </c>
      <c r="B17" s="1">
        <f>'Proximal Validation (single)'!B17</f>
        <v>0.18</v>
      </c>
      <c r="C17" s="1">
        <f>'Proximal Validation (single)'!C17</f>
        <v>-1.0469999999999999</v>
      </c>
      <c r="T17" s="7">
        <f>AVERAGE(T3:T13)</f>
        <v>-3.1029363636363619E-2</v>
      </c>
      <c r="U17" s="7">
        <f>AVERAGE(U3:U13)</f>
        <v>-1.3161727272727275E-2</v>
      </c>
      <c r="V17" s="7">
        <f>AVERAGE(V3:V13)</f>
        <v>12.620391284576691</v>
      </c>
      <c r="W17" s="2"/>
      <c r="X17" s="9" t="e">
        <f>COS(#REF!)*COS(#REF!)</f>
        <v>#REF!</v>
      </c>
      <c r="Y17" s="9" t="e">
        <f>COS(#REF!)*SIN(#REF!)</f>
        <v>#REF!</v>
      </c>
      <c r="Z17" s="9" t="e">
        <f>SIN(#REF!)</f>
        <v>#REF!</v>
      </c>
      <c r="AA17" s="9" t="e">
        <f>COS(#REF!)*COS(#REF!)</f>
        <v>#REF!</v>
      </c>
      <c r="AB17" s="9" t="e">
        <f>COS(#REF!)*SIN(#REF!)</f>
        <v>#REF!</v>
      </c>
      <c r="AC17" s="9" t="e">
        <f>SIN(#REF!)</f>
        <v>#REF!</v>
      </c>
    </row>
    <row r="18" spans="1:29" ht="15.75" x14ac:dyDescent="0.25">
      <c r="T18" s="12" t="s">
        <v>33</v>
      </c>
      <c r="U18" s="12"/>
      <c r="V18" s="12"/>
    </row>
    <row r="19" spans="1:29" ht="15.75" x14ac:dyDescent="0.25">
      <c r="T19" s="2">
        <f>_xlfn.STDEV.S(T3:T13)</f>
        <v>0.11539221075988858</v>
      </c>
      <c r="U19" s="2">
        <f>_xlfn.STDEV.S(U3:U13)</f>
        <v>2.984823626310576E-2</v>
      </c>
      <c r="V19" s="2">
        <f>_xlfn.STDEV.S(V3:V13)</f>
        <v>20.751925253454502</v>
      </c>
    </row>
  </sheetData>
  <mergeCells count="8">
    <mergeCell ref="AA1:AC1"/>
    <mergeCell ref="T14:V14"/>
    <mergeCell ref="A1:G1"/>
    <mergeCell ref="H1:I1"/>
    <mergeCell ref="J1:O1"/>
    <mergeCell ref="P1:S1"/>
    <mergeCell ref="T1:V1"/>
    <mergeCell ref="X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CA6E-B136-417F-82A8-A5886F505439}">
  <dimension ref="A1:R13"/>
  <sheetViews>
    <sheetView workbookViewId="0">
      <selection activeCell="A3" sqref="A3:L13"/>
    </sheetView>
  </sheetViews>
  <sheetFormatPr defaultRowHeight="15" x14ac:dyDescent="0.25"/>
  <cols>
    <col min="9" max="9" width="12.85546875" bestFit="1" customWidth="1"/>
  </cols>
  <sheetData>
    <row r="1" spans="1:18" ht="15.75" x14ac:dyDescent="0.25">
      <c r="A1" s="18" t="s">
        <v>16</v>
      </c>
      <c r="B1" s="18"/>
      <c r="C1" s="18"/>
      <c r="D1" s="18"/>
      <c r="E1" s="18"/>
      <c r="F1" s="18"/>
      <c r="G1" s="19"/>
      <c r="H1" s="20" t="s">
        <v>20</v>
      </c>
      <c r="I1" s="21"/>
      <c r="J1" s="23" t="s">
        <v>6</v>
      </c>
      <c r="K1" s="23"/>
      <c r="L1" s="23"/>
      <c r="M1" s="25" t="s">
        <v>17</v>
      </c>
      <c r="N1" s="25"/>
      <c r="O1" s="25"/>
      <c r="P1" s="27" t="s">
        <v>22</v>
      </c>
      <c r="Q1" s="27"/>
      <c r="R1" s="27"/>
    </row>
    <row r="2" spans="1:18" ht="15.75" x14ac:dyDescent="0.25">
      <c r="A2" s="4" t="s">
        <v>7</v>
      </c>
      <c r="B2" s="4" t="s">
        <v>8</v>
      </c>
      <c r="C2" s="4" t="s">
        <v>9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18</v>
      </c>
      <c r="I2" s="4" t="s">
        <v>19</v>
      </c>
      <c r="J2" s="4" t="s">
        <v>4</v>
      </c>
      <c r="K2" s="4" t="s">
        <v>5</v>
      </c>
      <c r="L2" s="4" t="s">
        <v>0</v>
      </c>
      <c r="M2" s="4" t="s">
        <v>4</v>
      </c>
      <c r="N2" s="4" t="s">
        <v>5</v>
      </c>
      <c r="O2" s="4" t="s">
        <v>0</v>
      </c>
      <c r="P2" s="4" t="s">
        <v>4</v>
      </c>
      <c r="Q2" s="4" t="s">
        <v>5</v>
      </c>
      <c r="R2" s="4" t="s">
        <v>0</v>
      </c>
    </row>
    <row r="3" spans="1:18" ht="15.75" x14ac:dyDescent="0.25">
      <c r="A3" s="1">
        <v>0.71299999999999997</v>
      </c>
      <c r="B3" s="1">
        <v>0.04</v>
      </c>
      <c r="C3" s="1">
        <v>1.571</v>
      </c>
      <c r="D3" s="1">
        <v>0</v>
      </c>
      <c r="E3" s="1">
        <v>1.19</v>
      </c>
      <c r="F3" s="1">
        <v>0</v>
      </c>
      <c r="G3" s="1">
        <v>0</v>
      </c>
      <c r="H3" s="1">
        <f>DEGREES(ATAN2(COS($C3) * SIN($D3), -SIN($C3)))+90</f>
        <v>0</v>
      </c>
      <c r="I3" s="1">
        <f>DEGREES(ACOS(COS($C3) * COS($D3)))</f>
        <v>90.011669615052327</v>
      </c>
      <c r="J3" s="1">
        <v>-8.4983475506305695E-2</v>
      </c>
      <c r="K3" s="1">
        <v>-5.5668631102889798E-4</v>
      </c>
      <c r="L3" s="1">
        <v>-6.9050580263137804E-2</v>
      </c>
      <c r="M3" s="1"/>
      <c r="N3" s="1"/>
      <c r="O3" s="1"/>
      <c r="P3" s="8">
        <f t="shared" ref="P3:P13" si="0">ABS(J3-M3)</f>
        <v>8.4983475506305695E-2</v>
      </c>
      <c r="Q3" s="8">
        <f t="shared" ref="Q3:Q13" si="1">ABS(K3-N3)</f>
        <v>5.5668631102889798E-4</v>
      </c>
      <c r="R3" s="8">
        <f t="shared" ref="R3:R13" si="2">ABS(L3-O3)</f>
        <v>6.9050580263137804E-2</v>
      </c>
    </row>
    <row r="4" spans="1:18" ht="15.75" x14ac:dyDescent="0.25">
      <c r="A4" s="1">
        <v>0.42</v>
      </c>
      <c r="B4" s="1">
        <v>0.1</v>
      </c>
      <c r="C4" s="1">
        <v>1.571</v>
      </c>
      <c r="D4" s="1">
        <v>0</v>
      </c>
      <c r="E4" s="1">
        <v>0</v>
      </c>
      <c r="F4" s="1">
        <v>0</v>
      </c>
      <c r="G4" s="1">
        <v>0.95</v>
      </c>
      <c r="H4" s="1">
        <f t="shared" ref="H4:H13" si="3">DEGREES(ATAN2(COS($C4) * SIN($D4), -SIN($C4)))+90</f>
        <v>0</v>
      </c>
      <c r="I4" s="1">
        <f t="shared" ref="I4:I13" si="4">DEGREES(ACOS(COS($C4) * COS($D4)))</f>
        <v>90.011669615052327</v>
      </c>
      <c r="J4" s="1">
        <v>-7.1131989359855693E-2</v>
      </c>
      <c r="K4" s="1">
        <v>6.4605905208736699E-5</v>
      </c>
      <c r="L4" s="1">
        <v>-5.7656042277812999E-2</v>
      </c>
      <c r="M4" s="1"/>
      <c r="N4" s="1"/>
      <c r="O4" s="1"/>
      <c r="P4" s="8">
        <f t="shared" si="0"/>
        <v>7.1131989359855693E-2</v>
      </c>
      <c r="Q4" s="8">
        <f t="shared" si="1"/>
        <v>6.4605905208736699E-5</v>
      </c>
      <c r="R4" s="8">
        <f t="shared" si="2"/>
        <v>5.7656042277812999E-2</v>
      </c>
    </row>
    <row r="5" spans="1:18" ht="15.75" x14ac:dyDescent="0.25">
      <c r="A5" s="1">
        <v>0.85199999999999998</v>
      </c>
      <c r="B5" s="1">
        <v>0.06</v>
      </c>
      <c r="C5" s="1">
        <v>1.571</v>
      </c>
      <c r="D5" s="1">
        <v>0</v>
      </c>
      <c r="E5" s="1">
        <v>0</v>
      </c>
      <c r="F5" s="1">
        <v>0.69399999999999995</v>
      </c>
      <c r="G5" s="1">
        <v>0</v>
      </c>
      <c r="H5" s="1">
        <f t="shared" si="3"/>
        <v>0</v>
      </c>
      <c r="I5" s="1">
        <f t="shared" si="4"/>
        <v>90.011669615052327</v>
      </c>
      <c r="J5" s="1">
        <v>-0.129271820187569</v>
      </c>
      <c r="K5" s="1">
        <v>1.9186139106750499E-3</v>
      </c>
      <c r="L5" s="1">
        <v>-0.186502620577812</v>
      </c>
      <c r="M5" s="1"/>
      <c r="N5" s="1"/>
      <c r="O5" s="1"/>
      <c r="P5" s="8">
        <f t="shared" si="0"/>
        <v>0.129271820187569</v>
      </c>
      <c r="Q5" s="8">
        <f t="shared" si="1"/>
        <v>1.9186139106750499E-3</v>
      </c>
      <c r="R5" s="8">
        <f t="shared" si="2"/>
        <v>0.186502620577812</v>
      </c>
    </row>
    <row r="6" spans="1:18" ht="15.75" x14ac:dyDescent="0.25">
      <c r="A6" s="1">
        <v>0.61099999999999999</v>
      </c>
      <c r="B6" s="1">
        <v>0.1</v>
      </c>
      <c r="C6" s="1">
        <v>1.571</v>
      </c>
      <c r="D6" s="1">
        <v>0</v>
      </c>
      <c r="E6" s="1">
        <v>0</v>
      </c>
      <c r="F6" s="1">
        <v>0</v>
      </c>
      <c r="G6" s="1">
        <v>1.286</v>
      </c>
      <c r="H6" s="1">
        <f t="shared" si="3"/>
        <v>0</v>
      </c>
      <c r="I6" s="1">
        <f t="shared" si="4"/>
        <v>90.011669615052327</v>
      </c>
      <c r="J6" s="1">
        <v>-0.115747280418873</v>
      </c>
      <c r="K6" s="1">
        <v>6.9219834404066205E-4</v>
      </c>
      <c r="L6" s="1">
        <v>-9.8316870629787403E-2</v>
      </c>
      <c r="M6" s="1"/>
      <c r="N6" s="1"/>
      <c r="O6" s="1"/>
      <c r="P6" s="8">
        <f t="shared" si="0"/>
        <v>0.115747280418873</v>
      </c>
      <c r="Q6" s="8">
        <f t="shared" si="1"/>
        <v>6.9219834404066205E-4</v>
      </c>
      <c r="R6" s="8">
        <f t="shared" si="2"/>
        <v>9.8316870629787403E-2</v>
      </c>
    </row>
    <row r="7" spans="1:18" ht="15.75" x14ac:dyDescent="0.25">
      <c r="A7" s="1">
        <v>0.65800000000000003</v>
      </c>
      <c r="B7" s="1">
        <v>0.04</v>
      </c>
      <c r="C7" s="1">
        <v>1.571</v>
      </c>
      <c r="D7" s="1">
        <v>0</v>
      </c>
      <c r="E7" s="1">
        <v>0.39700000000000002</v>
      </c>
      <c r="F7" s="1">
        <v>0</v>
      </c>
      <c r="G7" s="1">
        <v>0</v>
      </c>
      <c r="H7" s="1">
        <f t="shared" si="3"/>
        <v>0</v>
      </c>
      <c r="I7" s="1">
        <f t="shared" si="4"/>
        <v>90.011669615052327</v>
      </c>
      <c r="J7" s="1">
        <v>-8.5103943943977398E-2</v>
      </c>
      <c r="K7" s="1">
        <v>2.7206784579902898E-4</v>
      </c>
      <c r="L7" s="1">
        <v>-0.10715988278389001</v>
      </c>
      <c r="M7" s="1"/>
      <c r="N7" s="1"/>
      <c r="O7" s="1"/>
      <c r="P7" s="8">
        <f t="shared" si="0"/>
        <v>8.5103943943977398E-2</v>
      </c>
      <c r="Q7" s="8">
        <f t="shared" si="1"/>
        <v>2.7206784579902898E-4</v>
      </c>
      <c r="R7" s="8">
        <f t="shared" si="2"/>
        <v>0.10715988278389001</v>
      </c>
    </row>
    <row r="8" spans="1:18" ht="15.75" x14ac:dyDescent="0.25">
      <c r="A8" s="1">
        <v>0.216</v>
      </c>
      <c r="B8" s="1">
        <v>0.16</v>
      </c>
      <c r="C8" s="1">
        <v>-1.571</v>
      </c>
      <c r="D8" s="1">
        <v>0</v>
      </c>
      <c r="E8" s="1">
        <v>1.1060000000000001</v>
      </c>
      <c r="F8" s="1">
        <v>0</v>
      </c>
      <c r="G8" s="1">
        <v>0</v>
      </c>
      <c r="H8" s="1">
        <f t="shared" si="3"/>
        <v>180</v>
      </c>
      <c r="I8" s="1">
        <f t="shared" si="4"/>
        <v>90.011669615052327</v>
      </c>
      <c r="J8" s="1">
        <v>3.0075471848249401E-2</v>
      </c>
      <c r="K8" s="1">
        <v>-5.06441807374358E-3</v>
      </c>
      <c r="L8" s="1">
        <v>-9.0518351644277607E-3</v>
      </c>
      <c r="M8" s="1"/>
      <c r="N8" s="1"/>
      <c r="O8" s="1"/>
      <c r="P8" s="8">
        <f t="shared" si="0"/>
        <v>3.0075471848249401E-2</v>
      </c>
      <c r="Q8" s="8">
        <f t="shared" si="1"/>
        <v>5.06441807374358E-3</v>
      </c>
      <c r="R8" s="8">
        <f t="shared" si="2"/>
        <v>9.0518351644277607E-3</v>
      </c>
    </row>
    <row r="9" spans="1:18" ht="15.75" x14ac:dyDescent="0.25">
      <c r="A9" s="1">
        <v>0.16600000000000001</v>
      </c>
      <c r="B9" s="1">
        <v>0.1</v>
      </c>
      <c r="C9" s="1">
        <v>-1.571</v>
      </c>
      <c r="D9" s="1">
        <v>0</v>
      </c>
      <c r="E9" s="1">
        <v>0.96199999999999997</v>
      </c>
      <c r="F9" s="1">
        <v>0</v>
      </c>
      <c r="G9" s="1">
        <v>0</v>
      </c>
      <c r="H9" s="1">
        <f t="shared" si="3"/>
        <v>180</v>
      </c>
      <c r="I9" s="1">
        <f t="shared" si="4"/>
        <v>90.011669615052327</v>
      </c>
      <c r="J9" s="1">
        <v>2.36951168626547E-2</v>
      </c>
      <c r="K9" s="1">
        <v>-9.2211924493312803E-4</v>
      </c>
      <c r="L9" s="1">
        <v>2.83675594255328E-3</v>
      </c>
      <c r="M9" s="1"/>
      <c r="N9" s="1"/>
      <c r="O9" s="1"/>
      <c r="P9" s="8">
        <f t="shared" si="0"/>
        <v>2.36951168626547E-2</v>
      </c>
      <c r="Q9" s="8">
        <f t="shared" si="1"/>
        <v>9.2211924493312803E-4</v>
      </c>
      <c r="R9" s="8">
        <f t="shared" si="2"/>
        <v>2.83675594255328E-3</v>
      </c>
    </row>
    <row r="10" spans="1:18" ht="15.75" x14ac:dyDescent="0.25">
      <c r="A10" s="1">
        <v>0.184</v>
      </c>
      <c r="B10" s="1">
        <v>0.12</v>
      </c>
      <c r="C10" s="1">
        <v>-1.571</v>
      </c>
      <c r="D10" s="1">
        <v>0</v>
      </c>
      <c r="E10" s="1">
        <v>0</v>
      </c>
      <c r="F10" s="1">
        <v>0.89400000000000002</v>
      </c>
      <c r="G10" s="1">
        <v>0</v>
      </c>
      <c r="H10" s="1">
        <f t="shared" si="3"/>
        <v>180</v>
      </c>
      <c r="I10" s="1">
        <f t="shared" si="4"/>
        <v>90.011669615052327</v>
      </c>
      <c r="J10" s="1">
        <v>2.88164354860783E-2</v>
      </c>
      <c r="K10" s="1">
        <v>-4.5914298971183598E-4</v>
      </c>
      <c r="L10" s="1">
        <v>-3.6490749567747102E-2</v>
      </c>
      <c r="M10" s="1"/>
      <c r="N10" s="1"/>
      <c r="O10" s="1"/>
      <c r="P10" s="8">
        <f t="shared" si="0"/>
        <v>2.88164354860783E-2</v>
      </c>
      <c r="Q10" s="8">
        <f t="shared" si="1"/>
        <v>4.5914298971183598E-4</v>
      </c>
      <c r="R10" s="8">
        <f t="shared" si="2"/>
        <v>3.6490749567747102E-2</v>
      </c>
    </row>
    <row r="11" spans="1:18" ht="15.75" x14ac:dyDescent="0.25">
      <c r="A11" s="1">
        <v>0.309</v>
      </c>
      <c r="B11" s="1">
        <v>0.12</v>
      </c>
      <c r="C11" s="1">
        <v>-1.571</v>
      </c>
      <c r="D11" s="1">
        <v>0</v>
      </c>
      <c r="E11" s="1">
        <v>0</v>
      </c>
      <c r="F11" s="1">
        <v>0.871</v>
      </c>
      <c r="G11" s="1">
        <v>0</v>
      </c>
      <c r="H11" s="1">
        <f t="shared" si="3"/>
        <v>180</v>
      </c>
      <c r="I11" s="1">
        <f t="shared" si="4"/>
        <v>90.011669615052327</v>
      </c>
      <c r="J11" s="1">
        <v>4.3275639414787299E-2</v>
      </c>
      <c r="K11" s="1">
        <v>1.8532184185460199E-3</v>
      </c>
      <c r="L11" s="1">
        <v>-5.2716843783855397E-2</v>
      </c>
      <c r="M11" s="1"/>
      <c r="N11" s="1"/>
      <c r="O11" s="1"/>
      <c r="P11" s="8">
        <f t="shared" si="0"/>
        <v>4.3275639414787299E-2</v>
      </c>
      <c r="Q11" s="8">
        <f t="shared" si="1"/>
        <v>1.8532184185460199E-3</v>
      </c>
      <c r="R11" s="8">
        <f t="shared" si="2"/>
        <v>5.2716843783855397E-2</v>
      </c>
    </row>
    <row r="12" spans="1:18" ht="15.75" x14ac:dyDescent="0.25">
      <c r="A12" s="1">
        <v>0.20399999999999999</v>
      </c>
      <c r="B12" s="1">
        <v>0.2</v>
      </c>
      <c r="C12" s="1">
        <v>-1.571</v>
      </c>
      <c r="D12" s="1">
        <v>0</v>
      </c>
      <c r="E12" s="1">
        <v>0</v>
      </c>
      <c r="F12" s="1">
        <v>1.3149999999999999</v>
      </c>
      <c r="G12" s="1">
        <v>0</v>
      </c>
      <c r="H12" s="1">
        <f t="shared" si="3"/>
        <v>180</v>
      </c>
      <c r="I12" s="1">
        <f t="shared" si="4"/>
        <v>90.011669615052327</v>
      </c>
      <c r="J12" s="1">
        <v>3.17124165594578E-2</v>
      </c>
      <c r="K12" s="1">
        <v>8.5735479369759594E-3</v>
      </c>
      <c r="L12" s="1">
        <v>-2.6578258723020599E-2</v>
      </c>
      <c r="M12" s="1"/>
      <c r="N12" s="1"/>
      <c r="O12" s="1"/>
      <c r="P12" s="8">
        <f t="shared" si="0"/>
        <v>3.17124165594578E-2</v>
      </c>
      <c r="Q12" s="8">
        <f t="shared" si="1"/>
        <v>8.5735479369759594E-3</v>
      </c>
      <c r="R12" s="8">
        <f t="shared" si="2"/>
        <v>2.6578258723020599E-2</v>
      </c>
    </row>
    <row r="13" spans="1:18" ht="15.75" x14ac:dyDescent="0.25">
      <c r="A13" s="1">
        <v>0.78300000000000003</v>
      </c>
      <c r="B13" s="1">
        <v>0.16</v>
      </c>
      <c r="C13" s="1">
        <v>-1.571</v>
      </c>
      <c r="D13" s="1">
        <v>0</v>
      </c>
      <c r="E13" s="1">
        <v>1.3440000000000001</v>
      </c>
      <c r="F13" s="1">
        <v>0</v>
      </c>
      <c r="G13" s="1">
        <v>0</v>
      </c>
      <c r="H13" s="1">
        <f t="shared" si="3"/>
        <v>180</v>
      </c>
      <c r="I13" s="1">
        <f t="shared" si="4"/>
        <v>90.011669615052327</v>
      </c>
      <c r="J13" s="1">
        <v>-0.244008228182793</v>
      </c>
      <c r="K13" s="1">
        <v>3.4461081027984598E-2</v>
      </c>
      <c r="L13" s="1">
        <v>2.3404412269592298</v>
      </c>
      <c r="M13" s="1"/>
      <c r="N13" s="1"/>
      <c r="O13" s="1"/>
      <c r="P13" s="8">
        <f t="shared" si="0"/>
        <v>0.244008228182793</v>
      </c>
      <c r="Q13" s="8">
        <f t="shared" si="1"/>
        <v>3.4461081027984598E-2</v>
      </c>
      <c r="R13" s="8">
        <f t="shared" si="2"/>
        <v>2.3404412269592298</v>
      </c>
    </row>
  </sheetData>
  <mergeCells count="5">
    <mergeCell ref="A1:G1"/>
    <mergeCell ref="H1:I1"/>
    <mergeCell ref="J1:L1"/>
    <mergeCell ref="M1:O1"/>
    <mergeCell ref="P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740A-A599-42FB-9490-8447694836E0}">
  <dimension ref="A1:Z19"/>
  <sheetViews>
    <sheetView workbookViewId="0">
      <selection activeCell="O18" sqref="O18"/>
    </sheetView>
  </sheetViews>
  <sheetFormatPr defaultRowHeight="15" x14ac:dyDescent="0.25"/>
  <cols>
    <col min="9" max="9" width="12.85546875" bestFit="1" customWidth="1"/>
    <col min="19" max="19" width="14.28515625" customWidth="1"/>
    <col min="22" max="22" width="14.42578125" bestFit="1" customWidth="1"/>
    <col min="24" max="24" width="13.7109375" bestFit="1" customWidth="1"/>
  </cols>
  <sheetData>
    <row r="1" spans="1:26" ht="15.75" x14ac:dyDescent="0.25">
      <c r="A1" s="18" t="s">
        <v>16</v>
      </c>
      <c r="B1" s="18"/>
      <c r="C1" s="18"/>
      <c r="D1" s="18"/>
      <c r="E1" s="18"/>
      <c r="F1" s="18"/>
      <c r="G1" s="19"/>
      <c r="H1" s="20" t="s">
        <v>20</v>
      </c>
      <c r="I1" s="21"/>
      <c r="J1" s="23" t="s">
        <v>6</v>
      </c>
      <c r="K1" s="23"/>
      <c r="L1" s="23"/>
      <c r="M1" s="32" t="s">
        <v>11</v>
      </c>
      <c r="N1" s="33"/>
      <c r="O1" s="33"/>
      <c r="P1" s="34"/>
      <c r="Q1" s="35" t="s">
        <v>21</v>
      </c>
      <c r="R1" s="36"/>
      <c r="S1" s="37"/>
      <c r="U1" s="38" t="s">
        <v>34</v>
      </c>
      <c r="V1" s="38"/>
      <c r="W1" s="38"/>
      <c r="X1" s="29" t="s">
        <v>38</v>
      </c>
      <c r="Y1" s="29"/>
      <c r="Z1" s="29"/>
    </row>
    <row r="2" spans="1:26" ht="31.5" x14ac:dyDescent="0.25">
      <c r="A2" s="4" t="s">
        <v>7</v>
      </c>
      <c r="B2" s="4" t="s">
        <v>8</v>
      </c>
      <c r="C2" s="4" t="s">
        <v>9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18</v>
      </c>
      <c r="I2" s="4" t="s">
        <v>19</v>
      </c>
      <c r="J2" s="4" t="s">
        <v>4</v>
      </c>
      <c r="K2" s="4" t="s">
        <v>5</v>
      </c>
      <c r="L2" s="4" t="s">
        <v>0</v>
      </c>
      <c r="M2" s="6" t="s">
        <v>7</v>
      </c>
      <c r="N2" s="4" t="s">
        <v>8</v>
      </c>
      <c r="O2" s="4" t="s">
        <v>9</v>
      </c>
      <c r="P2" s="4" t="s">
        <v>10</v>
      </c>
      <c r="Q2" s="6" t="s">
        <v>7</v>
      </c>
      <c r="R2" s="4" t="s">
        <v>8</v>
      </c>
      <c r="S2" s="10" t="s">
        <v>39</v>
      </c>
      <c r="U2" s="4" t="s">
        <v>35</v>
      </c>
      <c r="V2" s="4" t="s">
        <v>36</v>
      </c>
      <c r="W2" s="4" t="s">
        <v>37</v>
      </c>
      <c r="X2" s="4" t="s">
        <v>35</v>
      </c>
      <c r="Y2" s="4" t="s">
        <v>36</v>
      </c>
      <c r="Z2" s="4" t="s">
        <v>37</v>
      </c>
    </row>
    <row r="3" spans="1:26" ht="15.75" x14ac:dyDescent="0.25">
      <c r="A3" s="1">
        <f>'Proximal Validation (3 sensor)'!A3</f>
        <v>0.71299999999999997</v>
      </c>
      <c r="B3" s="1">
        <f>'Proximal Validation (3 sensor)'!B3</f>
        <v>0.04</v>
      </c>
      <c r="C3" s="1">
        <f>'Proximal Validation (3 sensor)'!C3</f>
        <v>1.571</v>
      </c>
      <c r="D3" s="1">
        <f>'Proximal Validation (3 sensor)'!D3</f>
        <v>0</v>
      </c>
      <c r="E3" s="1">
        <f>'Proximal Validation (3 sensor)'!E3</f>
        <v>1.19</v>
      </c>
      <c r="F3" s="1">
        <f>'Proximal Validation (3 sensor)'!F3</f>
        <v>0</v>
      </c>
      <c r="G3" s="1">
        <f>'Proximal Validation (3 sensor)'!G3</f>
        <v>0</v>
      </c>
      <c r="H3" s="1">
        <f>'Proximal Validation (3 sensor)'!H3</f>
        <v>0</v>
      </c>
      <c r="I3" s="1">
        <f>'Proximal Validation (3 sensor)'!I3</f>
        <v>90.011669615052327</v>
      </c>
      <c r="J3" s="1">
        <f>'Proximal Validation (3 sensor)'!J3</f>
        <v>-8.4983475506305695E-2</v>
      </c>
      <c r="K3" s="1">
        <f>'Proximal Validation (3 sensor)'!K3</f>
        <v>-5.5668631102889798E-4</v>
      </c>
      <c r="L3" s="1">
        <f>'Proximal Validation (3 sensor)'!L3</f>
        <v>-6.9050580263137804E-2</v>
      </c>
      <c r="M3" s="8">
        <v>0.68860100000000002</v>
      </c>
      <c r="N3" s="8">
        <v>3.4008999999999998E-2</v>
      </c>
      <c r="O3" s="8">
        <v>1.5707960000000001</v>
      </c>
      <c r="P3" s="8">
        <v>0</v>
      </c>
      <c r="Q3" s="8">
        <f>M3-A3</f>
        <v>-2.4398999999999949E-2</v>
      </c>
      <c r="R3" s="8">
        <f>N3-B3</f>
        <v>-5.9910000000000033E-3</v>
      </c>
      <c r="S3" s="8">
        <f>MIN(DEGREES(ACOS( MAX(-1, MIN(1, X3*U3 + Y3*V3 + Z3*W3)) )),180-DEGREES(ACOS( MAX(-1, MIN(1, X3*U3 + Y3*V3 + Z3*W3)) )))</f>
        <v>1.1688339006857793E-2</v>
      </c>
      <c r="U3" s="9">
        <f>COS(C3)*COS(D3)</f>
        <v>-2.0367320369517786E-4</v>
      </c>
      <c r="V3" s="9">
        <f>COS(C3)*SIN(D3)</f>
        <v>0</v>
      </c>
      <c r="W3" s="9">
        <f>SIN(C3)</f>
        <v>0.99999997925861284</v>
      </c>
      <c r="X3" s="9">
        <f>COS(O3)*COS(P3)</f>
        <v>3.2679489653816344E-7</v>
      </c>
      <c r="Y3" s="9">
        <f>COS(O3)*SIN(P3)</f>
        <v>0</v>
      </c>
      <c r="Z3" s="9">
        <f t="shared" ref="Z3" si="0">SIN(O3)</f>
        <v>0.9999999999999466</v>
      </c>
    </row>
    <row r="4" spans="1:26" ht="15.75" x14ac:dyDescent="0.25">
      <c r="A4" s="1">
        <f>'Proximal Validation (3 sensor)'!A4</f>
        <v>0.42</v>
      </c>
      <c r="B4" s="1">
        <f>'Proximal Validation (3 sensor)'!B4</f>
        <v>0.1</v>
      </c>
      <c r="C4" s="1">
        <f>'Proximal Validation (3 sensor)'!C4</f>
        <v>1.571</v>
      </c>
      <c r="D4" s="1">
        <f>'Proximal Validation (3 sensor)'!D4</f>
        <v>0</v>
      </c>
      <c r="E4" s="1">
        <f>'Proximal Validation (3 sensor)'!E4</f>
        <v>0</v>
      </c>
      <c r="F4" s="1">
        <f>'Proximal Validation (3 sensor)'!F4</f>
        <v>0</v>
      </c>
      <c r="G4" s="1">
        <f>'Proximal Validation (3 sensor)'!G4</f>
        <v>0.95</v>
      </c>
      <c r="H4" s="1">
        <f>'Proximal Validation (3 sensor)'!H4</f>
        <v>0</v>
      </c>
      <c r="I4" s="1">
        <f>'Proximal Validation (3 sensor)'!I4</f>
        <v>90.011669615052327</v>
      </c>
      <c r="J4" s="1">
        <f>'Proximal Validation (3 sensor)'!J4</f>
        <v>-7.1131989359855693E-2</v>
      </c>
      <c r="K4" s="1">
        <f>'Proximal Validation (3 sensor)'!K4</f>
        <v>6.4605905208736699E-5</v>
      </c>
      <c r="L4" s="1">
        <f>'Proximal Validation (3 sensor)'!L4</f>
        <v>-5.7656042277812999E-2</v>
      </c>
      <c r="M4" s="8">
        <v>0.33541799999999999</v>
      </c>
      <c r="N4" s="8">
        <v>0.1237</v>
      </c>
      <c r="O4" s="8">
        <v>1.4534899999999999</v>
      </c>
      <c r="P4" s="8">
        <v>0</v>
      </c>
      <c r="Q4" s="8">
        <f t="shared" ref="Q4:Q13" si="1">M4-A4</f>
        <v>-8.4581999999999991E-2</v>
      </c>
      <c r="R4" s="8">
        <f t="shared" ref="R4:R13" si="2">N4-B4</f>
        <v>2.3699999999999999E-2</v>
      </c>
      <c r="S4" s="8">
        <f t="shared" ref="S4:S13" si="3">MIN(DEGREES(ACOS( MAX(-1, MIN(1, X4*U4 + Y4*V4 + Z4*W4)) )),180-DEGREES(ACOS( MAX(-1, MIN(1, X4*U4 + Y4*V4 + Z4*W4)) )))</f>
        <v>6.7328270505823165</v>
      </c>
      <c r="U4" s="9">
        <f t="shared" ref="U4:U13" si="4">COS(C4)*COS(D4)</f>
        <v>-2.0367320369517786E-4</v>
      </c>
      <c r="V4" s="9">
        <f t="shared" ref="V4:V13" si="5">COS(C4)*SIN(D4)</f>
        <v>0</v>
      </c>
      <c r="W4" s="9">
        <f t="shared" ref="W4:W13" si="6">SIN(C4)</f>
        <v>0.99999997925861284</v>
      </c>
      <c r="X4" s="9">
        <f t="shared" ref="X4:X13" si="7">COS(O4)*COS(P4)</f>
        <v>0.11703747419462691</v>
      </c>
      <c r="Y4" s="9">
        <f t="shared" ref="Y4:Y13" si="8">COS(O4)*SIN(P4)</f>
        <v>0</v>
      </c>
      <c r="Z4" s="9">
        <f t="shared" ref="Z4:Z12" si="9">SIN(O4)</f>
        <v>0.99312749918333343</v>
      </c>
    </row>
    <row r="5" spans="1:26" ht="15.75" x14ac:dyDescent="0.25">
      <c r="A5" s="1">
        <f>'Proximal Validation (3 sensor)'!A5</f>
        <v>0.85199999999999998</v>
      </c>
      <c r="B5" s="1">
        <f>'Proximal Validation (3 sensor)'!B5</f>
        <v>0.06</v>
      </c>
      <c r="C5" s="1">
        <f>'Proximal Validation (3 sensor)'!C5</f>
        <v>1.571</v>
      </c>
      <c r="D5" s="1">
        <f>'Proximal Validation (3 sensor)'!D5</f>
        <v>0</v>
      </c>
      <c r="E5" s="1">
        <f>'Proximal Validation (3 sensor)'!E5</f>
        <v>0</v>
      </c>
      <c r="F5" s="1">
        <f>'Proximal Validation (3 sensor)'!F5</f>
        <v>0.69399999999999995</v>
      </c>
      <c r="G5" s="1">
        <f>'Proximal Validation (3 sensor)'!G5</f>
        <v>0</v>
      </c>
      <c r="H5" s="1">
        <f>'Proximal Validation (3 sensor)'!H5</f>
        <v>0</v>
      </c>
      <c r="I5" s="1">
        <f>'Proximal Validation (3 sensor)'!I5</f>
        <v>90.011669615052327</v>
      </c>
      <c r="J5" s="1">
        <f>'Proximal Validation (3 sensor)'!J5</f>
        <v>-0.129271820187569</v>
      </c>
      <c r="K5" s="1">
        <f>'Proximal Validation (3 sensor)'!K5</f>
        <v>1.9186139106750499E-3</v>
      </c>
      <c r="L5" s="1">
        <f>'Proximal Validation (3 sensor)'!L5</f>
        <v>-0.186502620577812</v>
      </c>
      <c r="M5" s="8">
        <v>0.24531900000000001</v>
      </c>
      <c r="N5" s="8">
        <v>0.2</v>
      </c>
      <c r="O5" s="8">
        <v>-1.5708</v>
      </c>
      <c r="P5" s="8">
        <v>0</v>
      </c>
      <c r="Q5" s="8">
        <f t="shared" si="1"/>
        <v>-0.60668100000000003</v>
      </c>
      <c r="R5" s="8">
        <f t="shared" si="2"/>
        <v>0.14000000000000001</v>
      </c>
      <c r="S5" s="8">
        <f t="shared" si="3"/>
        <v>1.1880074244288608E-2</v>
      </c>
      <c r="U5" s="9">
        <f t="shared" si="4"/>
        <v>-2.0367320369517786E-4</v>
      </c>
      <c r="V5" s="9">
        <f t="shared" si="5"/>
        <v>0</v>
      </c>
      <c r="W5" s="9">
        <f t="shared" si="6"/>
        <v>0.99999997925861284</v>
      </c>
      <c r="X5" s="9">
        <f t="shared" si="7"/>
        <v>-3.6732051033465485E-6</v>
      </c>
      <c r="Y5" s="9">
        <f t="shared" si="8"/>
        <v>0</v>
      </c>
      <c r="Z5" s="9">
        <f t="shared" si="9"/>
        <v>-0.99999999999325373</v>
      </c>
    </row>
    <row r="6" spans="1:26" ht="15.75" x14ac:dyDescent="0.25">
      <c r="A6" s="1">
        <f>'Proximal Validation (3 sensor)'!A6</f>
        <v>0.61099999999999999</v>
      </c>
      <c r="B6" s="1">
        <f>'Proximal Validation (3 sensor)'!B6</f>
        <v>0.1</v>
      </c>
      <c r="C6" s="1">
        <f>'Proximal Validation (3 sensor)'!C6</f>
        <v>1.571</v>
      </c>
      <c r="D6" s="1">
        <f>'Proximal Validation (3 sensor)'!D6</f>
        <v>0</v>
      </c>
      <c r="E6" s="1">
        <f>'Proximal Validation (3 sensor)'!E6</f>
        <v>0</v>
      </c>
      <c r="F6" s="1">
        <f>'Proximal Validation (3 sensor)'!F6</f>
        <v>0</v>
      </c>
      <c r="G6" s="1">
        <f>'Proximal Validation (3 sensor)'!G6</f>
        <v>1.286</v>
      </c>
      <c r="H6" s="1">
        <f>'Proximal Validation (3 sensor)'!H6</f>
        <v>0</v>
      </c>
      <c r="I6" s="1">
        <f>'Proximal Validation (3 sensor)'!I6</f>
        <v>90.011669615052327</v>
      </c>
      <c r="J6" s="1">
        <f>'Proximal Validation (3 sensor)'!J6</f>
        <v>-0.115747280418873</v>
      </c>
      <c r="K6" s="1">
        <f>'Proximal Validation (3 sensor)'!K6</f>
        <v>6.9219834404066205E-4</v>
      </c>
      <c r="L6" s="1">
        <f>'Proximal Validation (3 sensor)'!L6</f>
        <v>-9.8316870629787403E-2</v>
      </c>
      <c r="M6" s="8">
        <v>0.61879200000000001</v>
      </c>
      <c r="N6" s="8">
        <v>9.9812999999999999E-2</v>
      </c>
      <c r="O6" s="8">
        <v>1.369394</v>
      </c>
      <c r="P6" s="8">
        <v>0</v>
      </c>
      <c r="Q6" s="8">
        <f t="shared" si="1"/>
        <v>7.7920000000000211E-3</v>
      </c>
      <c r="R6" s="8">
        <f t="shared" si="2"/>
        <v>-1.8700000000000661E-4</v>
      </c>
      <c r="S6" s="8">
        <f t="shared" si="3"/>
        <v>11.551172924514486</v>
      </c>
      <c r="U6" s="9">
        <f t="shared" si="4"/>
        <v>-2.0367320369517786E-4</v>
      </c>
      <c r="V6" s="9">
        <f t="shared" si="5"/>
        <v>0</v>
      </c>
      <c r="W6" s="9">
        <f t="shared" si="6"/>
        <v>0.99999997925861284</v>
      </c>
      <c r="X6" s="9">
        <f t="shared" si="7"/>
        <v>0.20004350862387718</v>
      </c>
      <c r="Y6" s="9">
        <f t="shared" si="8"/>
        <v>0</v>
      </c>
      <c r="Z6" s="9">
        <f t="shared" si="9"/>
        <v>0.97978701494633458</v>
      </c>
    </row>
    <row r="7" spans="1:26" ht="15.75" x14ac:dyDescent="0.25">
      <c r="A7" s="1">
        <f>'Proximal Validation (3 sensor)'!A7</f>
        <v>0.65800000000000003</v>
      </c>
      <c r="B7" s="1">
        <f>'Proximal Validation (3 sensor)'!B7</f>
        <v>0.04</v>
      </c>
      <c r="C7" s="1">
        <f>'Proximal Validation (3 sensor)'!C7</f>
        <v>1.571</v>
      </c>
      <c r="D7" s="1">
        <f>'Proximal Validation (3 sensor)'!D7</f>
        <v>0</v>
      </c>
      <c r="E7" s="1">
        <f>'Proximal Validation (3 sensor)'!E7</f>
        <v>0.39700000000000002</v>
      </c>
      <c r="F7" s="1">
        <f>'Proximal Validation (3 sensor)'!F7</f>
        <v>0</v>
      </c>
      <c r="G7" s="1">
        <f>'Proximal Validation (3 sensor)'!G7</f>
        <v>0</v>
      </c>
      <c r="H7" s="1">
        <f>'Proximal Validation (3 sensor)'!H7</f>
        <v>0</v>
      </c>
      <c r="I7" s="1">
        <f>'Proximal Validation (3 sensor)'!I7</f>
        <v>90.011669615052327</v>
      </c>
      <c r="J7" s="1">
        <f>'Proximal Validation (3 sensor)'!J7</f>
        <v>-8.5103943943977398E-2</v>
      </c>
      <c r="K7" s="1">
        <f>'Proximal Validation (3 sensor)'!K7</f>
        <v>2.7206784579902898E-4</v>
      </c>
      <c r="L7" s="1">
        <f>'Proximal Validation (3 sensor)'!L7</f>
        <v>-0.10715988278389001</v>
      </c>
      <c r="M7" s="8">
        <v>0.16164799999999999</v>
      </c>
      <c r="N7" s="8">
        <v>0.2</v>
      </c>
      <c r="O7" s="8">
        <v>-1.5708</v>
      </c>
      <c r="P7" s="8">
        <v>0</v>
      </c>
      <c r="Q7" s="8">
        <f t="shared" si="1"/>
        <v>-0.49635200000000002</v>
      </c>
      <c r="R7" s="8">
        <f t="shared" si="2"/>
        <v>0.16</v>
      </c>
      <c r="S7" s="8">
        <f t="shared" si="3"/>
        <v>1.1880074244288608E-2</v>
      </c>
      <c r="U7" s="9">
        <f t="shared" si="4"/>
        <v>-2.0367320369517786E-4</v>
      </c>
      <c r="V7" s="9">
        <f t="shared" si="5"/>
        <v>0</v>
      </c>
      <c r="W7" s="9">
        <f t="shared" si="6"/>
        <v>0.99999997925861284</v>
      </c>
      <c r="X7" s="9">
        <f t="shared" si="7"/>
        <v>-3.6732051033465485E-6</v>
      </c>
      <c r="Y7" s="9">
        <f t="shared" si="8"/>
        <v>0</v>
      </c>
      <c r="Z7" s="9">
        <f t="shared" si="9"/>
        <v>-0.99999999999325373</v>
      </c>
    </row>
    <row r="8" spans="1:26" ht="15.75" x14ac:dyDescent="0.25">
      <c r="A8" s="1">
        <f>'Proximal Validation (3 sensor)'!A8</f>
        <v>0.216</v>
      </c>
      <c r="B8" s="1">
        <f>'Proximal Validation (3 sensor)'!B8</f>
        <v>0.16</v>
      </c>
      <c r="C8" s="1">
        <f>'Proximal Validation (3 sensor)'!C8</f>
        <v>-1.571</v>
      </c>
      <c r="D8" s="1">
        <f>'Proximal Validation (3 sensor)'!D8</f>
        <v>0</v>
      </c>
      <c r="E8" s="1">
        <f>'Proximal Validation (3 sensor)'!E8</f>
        <v>1.1060000000000001</v>
      </c>
      <c r="F8" s="1">
        <f>'Proximal Validation (3 sensor)'!F8</f>
        <v>0</v>
      </c>
      <c r="G8" s="1">
        <f>'Proximal Validation (3 sensor)'!G8</f>
        <v>0</v>
      </c>
      <c r="H8" s="1">
        <f>'Proximal Validation (3 sensor)'!H8</f>
        <v>180</v>
      </c>
      <c r="I8" s="1">
        <f>'Proximal Validation (3 sensor)'!I8</f>
        <v>90.011669615052327</v>
      </c>
      <c r="J8" s="1">
        <f>'Proximal Validation (3 sensor)'!J8</f>
        <v>3.0075471848249401E-2</v>
      </c>
      <c r="K8" s="1">
        <f>'Proximal Validation (3 sensor)'!K8</f>
        <v>-5.06441807374358E-3</v>
      </c>
      <c r="L8" s="1">
        <f>'Proximal Validation (3 sensor)'!L8</f>
        <v>-9.0518351644277607E-3</v>
      </c>
      <c r="M8" s="8">
        <v>0.163243</v>
      </c>
      <c r="N8" s="8">
        <v>9.4347E-2</v>
      </c>
      <c r="O8" s="8">
        <v>-1.5708</v>
      </c>
      <c r="P8" s="8">
        <v>0</v>
      </c>
      <c r="Q8" s="8">
        <f t="shared" si="1"/>
        <v>-5.2756999999999998E-2</v>
      </c>
      <c r="R8" s="8">
        <f t="shared" si="2"/>
        <v>-6.5653000000000003E-2</v>
      </c>
      <c r="S8" s="8">
        <f t="shared" si="3"/>
        <v>1.1459155918696087E-2</v>
      </c>
      <c r="U8" s="9">
        <f t="shared" si="4"/>
        <v>-2.0367320369517786E-4</v>
      </c>
      <c r="V8" s="9">
        <f t="shared" si="5"/>
        <v>0</v>
      </c>
      <c r="W8" s="9">
        <f t="shared" si="6"/>
        <v>-0.99999997925861284</v>
      </c>
      <c r="X8" s="9">
        <f t="shared" si="7"/>
        <v>-3.6732051033465485E-6</v>
      </c>
      <c r="Y8" s="9">
        <f t="shared" si="8"/>
        <v>0</v>
      </c>
      <c r="Z8" s="9">
        <f t="shared" si="9"/>
        <v>-0.99999999999325373</v>
      </c>
    </row>
    <row r="9" spans="1:26" ht="15.75" x14ac:dyDescent="0.25">
      <c r="A9" s="1">
        <f>'Proximal Validation (3 sensor)'!A9</f>
        <v>0.16600000000000001</v>
      </c>
      <c r="B9" s="1">
        <f>'Proximal Validation (3 sensor)'!B9</f>
        <v>0.1</v>
      </c>
      <c r="C9" s="1">
        <f>'Proximal Validation (3 sensor)'!C9</f>
        <v>-1.571</v>
      </c>
      <c r="D9" s="1">
        <f>'Proximal Validation (3 sensor)'!D9</f>
        <v>0</v>
      </c>
      <c r="E9" s="1">
        <f>'Proximal Validation (3 sensor)'!E9</f>
        <v>0.96199999999999997</v>
      </c>
      <c r="F9" s="1">
        <f>'Proximal Validation (3 sensor)'!F9</f>
        <v>0</v>
      </c>
      <c r="G9" s="1">
        <f>'Proximal Validation (3 sensor)'!G9</f>
        <v>0</v>
      </c>
      <c r="H9" s="1">
        <f>'Proximal Validation (3 sensor)'!H9</f>
        <v>180</v>
      </c>
      <c r="I9" s="1">
        <f>'Proximal Validation (3 sensor)'!I9</f>
        <v>90.011669615052327</v>
      </c>
      <c r="J9" s="1">
        <f>'Proximal Validation (3 sensor)'!J9</f>
        <v>2.36951168626547E-2</v>
      </c>
      <c r="K9" s="1">
        <f>'Proximal Validation (3 sensor)'!K9</f>
        <v>-9.2211924493312803E-4</v>
      </c>
      <c r="L9" s="1">
        <f>'Proximal Validation (3 sensor)'!L9</f>
        <v>2.83675594255328E-3</v>
      </c>
      <c r="M9" s="8">
        <v>0.05</v>
      </c>
      <c r="N9" s="8">
        <v>0.01</v>
      </c>
      <c r="O9" s="8">
        <v>1.4975689999999999</v>
      </c>
      <c r="P9" s="8">
        <v>0</v>
      </c>
      <c r="Q9" s="8">
        <f t="shared" si="1"/>
        <v>-0.11600000000000001</v>
      </c>
      <c r="R9" s="8">
        <f t="shared" si="2"/>
        <v>-9.0000000000000011E-2</v>
      </c>
      <c r="S9" s="8">
        <f t="shared" si="3"/>
        <v>4.1839471553204532</v>
      </c>
      <c r="U9" s="9">
        <f t="shared" si="4"/>
        <v>-2.0367320369517786E-4</v>
      </c>
      <c r="V9" s="9">
        <f t="shared" si="5"/>
        <v>0</v>
      </c>
      <c r="W9" s="9">
        <f t="shared" si="6"/>
        <v>-0.99999997925861284</v>
      </c>
      <c r="X9" s="9">
        <f t="shared" si="7"/>
        <v>7.3161900571823188E-2</v>
      </c>
      <c r="Y9" s="9">
        <f t="shared" si="8"/>
        <v>0</v>
      </c>
      <c r="Z9" s="9">
        <f t="shared" si="9"/>
        <v>0.99732007715914284</v>
      </c>
    </row>
    <row r="10" spans="1:26" ht="15.75" x14ac:dyDescent="0.25">
      <c r="A10" s="1">
        <f>'Proximal Validation (3 sensor)'!A10</f>
        <v>0.184</v>
      </c>
      <c r="B10" s="1">
        <f>'Proximal Validation (3 sensor)'!B10</f>
        <v>0.12</v>
      </c>
      <c r="C10" s="1">
        <f>'Proximal Validation (3 sensor)'!C10</f>
        <v>-1.571</v>
      </c>
      <c r="D10" s="1">
        <f>'Proximal Validation (3 sensor)'!D10</f>
        <v>0</v>
      </c>
      <c r="E10" s="1">
        <f>'Proximal Validation (3 sensor)'!E10</f>
        <v>0</v>
      </c>
      <c r="F10" s="1">
        <f>'Proximal Validation (3 sensor)'!F10</f>
        <v>0.89400000000000002</v>
      </c>
      <c r="G10" s="1">
        <f>'Proximal Validation (3 sensor)'!G10</f>
        <v>0</v>
      </c>
      <c r="H10" s="1">
        <f>'Proximal Validation (3 sensor)'!H10</f>
        <v>180</v>
      </c>
      <c r="I10" s="1">
        <f>'Proximal Validation (3 sensor)'!I10</f>
        <v>90.011669615052327</v>
      </c>
      <c r="J10" s="1">
        <f>'Proximal Validation (3 sensor)'!J10</f>
        <v>2.88164354860783E-2</v>
      </c>
      <c r="K10" s="1">
        <f>'Proximal Validation (3 sensor)'!K10</f>
        <v>-4.5914298971183598E-4</v>
      </c>
      <c r="L10" s="1">
        <f>'Proximal Validation (3 sensor)'!L10</f>
        <v>-3.6490749567747102E-2</v>
      </c>
      <c r="M10" s="8">
        <v>0.12295399999999999</v>
      </c>
      <c r="N10" s="8">
        <v>0.2</v>
      </c>
      <c r="O10" s="8">
        <v>-1.5708</v>
      </c>
      <c r="P10" s="8">
        <v>0</v>
      </c>
      <c r="Q10" s="8">
        <f t="shared" si="1"/>
        <v>-6.1046000000000003E-2</v>
      </c>
      <c r="R10" s="8">
        <f t="shared" si="2"/>
        <v>8.0000000000000016E-2</v>
      </c>
      <c r="S10" s="8">
        <f t="shared" si="3"/>
        <v>1.1459155918696087E-2</v>
      </c>
      <c r="U10" s="9">
        <f t="shared" si="4"/>
        <v>-2.0367320369517786E-4</v>
      </c>
      <c r="V10" s="9">
        <f t="shared" si="5"/>
        <v>0</v>
      </c>
      <c r="W10" s="9">
        <f t="shared" si="6"/>
        <v>-0.99999997925861284</v>
      </c>
      <c r="X10" s="9">
        <f t="shared" si="7"/>
        <v>-3.6732051033465485E-6</v>
      </c>
      <c r="Y10" s="9">
        <f t="shared" si="8"/>
        <v>0</v>
      </c>
      <c r="Z10" s="9">
        <f t="shared" si="9"/>
        <v>-0.99999999999325373</v>
      </c>
    </row>
    <row r="11" spans="1:26" ht="15.75" x14ac:dyDescent="0.25">
      <c r="A11" s="1">
        <f>'Proximal Validation (3 sensor)'!A11</f>
        <v>0.309</v>
      </c>
      <c r="B11" s="1">
        <f>'Proximal Validation (3 sensor)'!B11</f>
        <v>0.12</v>
      </c>
      <c r="C11" s="1">
        <f>'Proximal Validation (3 sensor)'!C11</f>
        <v>-1.571</v>
      </c>
      <c r="D11" s="1">
        <f>'Proximal Validation (3 sensor)'!D11</f>
        <v>0</v>
      </c>
      <c r="E11" s="1">
        <f>'Proximal Validation (3 sensor)'!E11</f>
        <v>0</v>
      </c>
      <c r="F11" s="1">
        <f>'Proximal Validation (3 sensor)'!F11</f>
        <v>0.871</v>
      </c>
      <c r="G11" s="1">
        <f>'Proximal Validation (3 sensor)'!G11</f>
        <v>0</v>
      </c>
      <c r="H11" s="1">
        <f>'Proximal Validation (3 sensor)'!H11</f>
        <v>180</v>
      </c>
      <c r="I11" s="1">
        <f>'Proximal Validation (3 sensor)'!I11</f>
        <v>90.011669615052327</v>
      </c>
      <c r="J11" s="1">
        <f>'Proximal Validation (3 sensor)'!J11</f>
        <v>4.3275639414787299E-2</v>
      </c>
      <c r="K11" s="1">
        <f>'Proximal Validation (3 sensor)'!K11</f>
        <v>1.8532184185460199E-3</v>
      </c>
      <c r="L11" s="1">
        <f>'Proximal Validation (3 sensor)'!L11</f>
        <v>-5.2716843783855397E-2</v>
      </c>
      <c r="M11" s="8">
        <v>6.9371000000000002E-2</v>
      </c>
      <c r="N11" s="8">
        <v>0.2</v>
      </c>
      <c r="O11" s="8">
        <v>1.5707960000000001</v>
      </c>
      <c r="P11" s="8">
        <v>0</v>
      </c>
      <c r="Q11" s="8">
        <f t="shared" si="1"/>
        <v>-0.23962899999999998</v>
      </c>
      <c r="R11" s="8">
        <f t="shared" si="2"/>
        <v>8.0000000000000016E-2</v>
      </c>
      <c r="S11" s="8">
        <f t="shared" si="3"/>
        <v>1.1650891129562524E-2</v>
      </c>
      <c r="U11" s="9">
        <f t="shared" si="4"/>
        <v>-2.0367320369517786E-4</v>
      </c>
      <c r="V11" s="9">
        <f t="shared" si="5"/>
        <v>0</v>
      </c>
      <c r="W11" s="9">
        <f t="shared" si="6"/>
        <v>-0.99999997925861284</v>
      </c>
      <c r="X11" s="9">
        <f t="shared" si="7"/>
        <v>3.2679489653816344E-7</v>
      </c>
      <c r="Y11" s="9">
        <f t="shared" si="8"/>
        <v>0</v>
      </c>
      <c r="Z11" s="9">
        <f t="shared" si="9"/>
        <v>0.9999999999999466</v>
      </c>
    </row>
    <row r="12" spans="1:26" ht="15.75" x14ac:dyDescent="0.25">
      <c r="A12" s="1">
        <f>'Proximal Validation (3 sensor)'!A12</f>
        <v>0.20399999999999999</v>
      </c>
      <c r="B12" s="1">
        <f>'Proximal Validation (3 sensor)'!B12</f>
        <v>0.2</v>
      </c>
      <c r="C12" s="1">
        <f>'Proximal Validation (3 sensor)'!C12</f>
        <v>-1.571</v>
      </c>
      <c r="D12" s="1">
        <f>'Proximal Validation (3 sensor)'!D12</f>
        <v>0</v>
      </c>
      <c r="E12" s="1">
        <f>'Proximal Validation (3 sensor)'!E12</f>
        <v>0</v>
      </c>
      <c r="F12" s="1">
        <f>'Proximal Validation (3 sensor)'!F12</f>
        <v>1.3149999999999999</v>
      </c>
      <c r="G12" s="1">
        <f>'Proximal Validation (3 sensor)'!G12</f>
        <v>0</v>
      </c>
      <c r="H12" s="1">
        <f>'Proximal Validation (3 sensor)'!H12</f>
        <v>180</v>
      </c>
      <c r="I12" s="1">
        <f>'Proximal Validation (3 sensor)'!I12</f>
        <v>90.011669615052327</v>
      </c>
      <c r="J12" s="1">
        <f>'Proximal Validation (3 sensor)'!J12</f>
        <v>3.17124165594578E-2</v>
      </c>
      <c r="K12" s="1">
        <f>'Proximal Validation (3 sensor)'!K12</f>
        <v>8.5735479369759594E-3</v>
      </c>
      <c r="L12" s="1">
        <f>'Proximal Validation (3 sensor)'!L12</f>
        <v>-2.6578258723020599E-2</v>
      </c>
      <c r="M12" s="8">
        <v>0.121723</v>
      </c>
      <c r="N12" s="8">
        <v>0.2</v>
      </c>
      <c r="O12" s="8">
        <v>-1.5708</v>
      </c>
      <c r="P12" s="8">
        <v>0</v>
      </c>
      <c r="Q12" s="8">
        <f t="shared" si="1"/>
        <v>-8.2276999999999989E-2</v>
      </c>
      <c r="R12" s="8">
        <f t="shared" si="2"/>
        <v>0</v>
      </c>
      <c r="S12" s="8">
        <f t="shared" si="3"/>
        <v>1.1459155918696087E-2</v>
      </c>
      <c r="U12" s="9">
        <f t="shared" si="4"/>
        <v>-2.0367320369517786E-4</v>
      </c>
      <c r="V12" s="9">
        <f t="shared" si="5"/>
        <v>0</v>
      </c>
      <c r="W12" s="9">
        <f t="shared" si="6"/>
        <v>-0.99999997925861284</v>
      </c>
      <c r="X12" s="9">
        <f t="shared" si="7"/>
        <v>-3.6732051033465485E-6</v>
      </c>
      <c r="Y12" s="9">
        <f t="shared" si="8"/>
        <v>0</v>
      </c>
      <c r="Z12" s="9">
        <f t="shared" si="9"/>
        <v>-0.99999999999325373</v>
      </c>
    </row>
    <row r="13" spans="1:26" ht="15.75" x14ac:dyDescent="0.25">
      <c r="A13" s="1">
        <f>'Proximal Validation (3 sensor)'!A13</f>
        <v>0.78300000000000003</v>
      </c>
      <c r="B13" s="1">
        <f>'Proximal Validation (3 sensor)'!B13</f>
        <v>0.16</v>
      </c>
      <c r="C13" s="1">
        <f>'Proximal Validation (3 sensor)'!C13</f>
        <v>-1.571</v>
      </c>
      <c r="D13" s="1">
        <f>'Proximal Validation (3 sensor)'!D13</f>
        <v>0</v>
      </c>
      <c r="E13" s="1">
        <f>'Proximal Validation (3 sensor)'!E13</f>
        <v>1.3440000000000001</v>
      </c>
      <c r="F13" s="1">
        <f>'Proximal Validation (3 sensor)'!F13</f>
        <v>0</v>
      </c>
      <c r="G13" s="1">
        <f>'Proximal Validation (3 sensor)'!G13</f>
        <v>0</v>
      </c>
      <c r="H13" s="1">
        <f>'Proximal Validation (3 sensor)'!H13</f>
        <v>180</v>
      </c>
      <c r="I13" s="1">
        <f>'Proximal Validation (3 sensor)'!I13</f>
        <v>90.011669615052327</v>
      </c>
      <c r="J13" s="1">
        <f>'Proximal Validation (3 sensor)'!J13</f>
        <v>-0.244008228182793</v>
      </c>
      <c r="K13" s="1">
        <f>'Proximal Validation (3 sensor)'!K13</f>
        <v>3.4461081027984598E-2</v>
      </c>
      <c r="L13" s="1">
        <f>'Proximal Validation (3 sensor)'!L13</f>
        <v>2.3404412269592298</v>
      </c>
      <c r="M13" s="17">
        <v>1</v>
      </c>
      <c r="N13" s="17">
        <v>0.01</v>
      </c>
      <c r="O13" s="17">
        <v>6.3680000000000004E-3</v>
      </c>
      <c r="P13" s="17">
        <v>0</v>
      </c>
      <c r="Q13" s="8">
        <f t="shared" si="1"/>
        <v>0.21699999999999997</v>
      </c>
      <c r="R13" s="8">
        <f t="shared" si="2"/>
        <v>-0.15</v>
      </c>
      <c r="S13" s="8">
        <f t="shared" si="3"/>
        <v>89.623470861008371</v>
      </c>
      <c r="U13" s="9">
        <f t="shared" si="4"/>
        <v>-2.0367320369517786E-4</v>
      </c>
      <c r="V13" s="9">
        <f t="shared" si="5"/>
        <v>0</v>
      </c>
      <c r="W13" s="9">
        <f t="shared" si="6"/>
        <v>-0.99999997925861284</v>
      </c>
      <c r="X13" s="9">
        <f t="shared" si="7"/>
        <v>0.99997972435651727</v>
      </c>
      <c r="Y13" s="9">
        <f t="shared" si="8"/>
        <v>0</v>
      </c>
      <c r="Z13" s="9">
        <f>SIN(O13)</f>
        <v>6.3679569615092586E-3</v>
      </c>
    </row>
    <row r="14" spans="1:26" ht="15.75" x14ac:dyDescent="0.25">
      <c r="M14" s="7"/>
      <c r="N14" s="7"/>
      <c r="O14" s="7"/>
      <c r="P14" s="7"/>
      <c r="Q14" s="30" t="s">
        <v>32</v>
      </c>
      <c r="R14" s="30"/>
      <c r="S14" s="30"/>
      <c r="U14" s="2"/>
      <c r="V14" s="2"/>
      <c r="W14" s="2"/>
      <c r="X14" s="2"/>
      <c r="Y14" s="2"/>
      <c r="Z14" s="2"/>
    </row>
    <row r="15" spans="1:26" ht="15.75" x14ac:dyDescent="0.25">
      <c r="M15" s="7"/>
      <c r="N15" s="7"/>
      <c r="O15" s="7"/>
      <c r="P15" s="7"/>
      <c r="Q15" s="2" cm="1">
        <f t="array" ref="Q15">AVERAGE(ABS(Q3:Q13))</f>
        <v>0.18077409090909091</v>
      </c>
      <c r="R15" s="2" cm="1">
        <f t="array" ref="R15">AVERAGE(ABS(R3:R13))</f>
        <v>7.232100000000001E-2</v>
      </c>
      <c r="S15" s="2" cm="1">
        <f t="array" ref="S15">AVERAGE(ABS(S3:S13))</f>
        <v>10.197535894346066</v>
      </c>
      <c r="U15" s="2"/>
      <c r="V15" s="2"/>
      <c r="W15" s="2"/>
      <c r="X15" s="2"/>
      <c r="Y15" s="2"/>
      <c r="Z15" s="2"/>
    </row>
    <row r="16" spans="1:26" ht="15.75" x14ac:dyDescent="0.25">
      <c r="M16" s="7"/>
      <c r="N16" s="7"/>
      <c r="O16" s="7"/>
      <c r="P16" s="7"/>
      <c r="Q16" s="12" t="s">
        <v>31</v>
      </c>
      <c r="R16" s="12"/>
      <c r="S16" s="12"/>
      <c r="U16" s="2"/>
      <c r="V16" s="2"/>
      <c r="W16" s="2"/>
      <c r="X16" s="2"/>
      <c r="Y16" s="2"/>
      <c r="Z16" s="2"/>
    </row>
    <row r="17" spans="17:26" ht="15.75" x14ac:dyDescent="0.25">
      <c r="Q17" s="7" t="e">
        <f>AVERAGE(#REF!)</f>
        <v>#REF!</v>
      </c>
      <c r="R17" s="7" t="e">
        <f>AVERAGE(#REF!)</f>
        <v>#REF!</v>
      </c>
      <c r="S17" s="7" t="e">
        <f>AVERAGE(#REF!)</f>
        <v>#REF!</v>
      </c>
      <c r="U17" s="2"/>
      <c r="V17" s="2"/>
      <c r="W17" s="2"/>
      <c r="X17" s="2"/>
      <c r="Y17" s="2"/>
      <c r="Z17" s="2"/>
    </row>
    <row r="18" spans="17:26" ht="15.75" x14ac:dyDescent="0.25">
      <c r="Q18" s="12" t="s">
        <v>33</v>
      </c>
      <c r="R18" s="12"/>
      <c r="S18" s="12"/>
    </row>
    <row r="19" spans="17:26" ht="15.75" x14ac:dyDescent="0.25">
      <c r="Q19" s="2" t="e">
        <f>_xlfn.STDEV.S(#REF!)</f>
        <v>#REF!</v>
      </c>
      <c r="R19" s="2" t="e">
        <f>_xlfn.STDEV.S(#REF!)</f>
        <v>#REF!</v>
      </c>
      <c r="S19" s="2" t="e">
        <f>_xlfn.STDEV.S(#REF!)</f>
        <v>#REF!</v>
      </c>
    </row>
  </sheetData>
  <mergeCells count="8">
    <mergeCell ref="Q14:S14"/>
    <mergeCell ref="U1:W1"/>
    <mergeCell ref="X1:Z1"/>
    <mergeCell ref="A1:G1"/>
    <mergeCell ref="H1:I1"/>
    <mergeCell ref="J1:L1"/>
    <mergeCell ref="M1:P1"/>
    <mergeCell ref="Q1:S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8617-C53C-4B09-B93A-9C31B4088F4D}">
  <dimension ref="A1:I11"/>
  <sheetViews>
    <sheetView workbookViewId="0">
      <selection sqref="A1:I11"/>
    </sheetView>
  </sheetViews>
  <sheetFormatPr defaultRowHeight="15" x14ac:dyDescent="0.25"/>
  <sheetData>
    <row r="1" spans="1:9" ht="15.75" x14ac:dyDescent="0.25">
      <c r="A1">
        <v>0</v>
      </c>
      <c r="B1" s="1">
        <v>-8.4983475506305695E-2</v>
      </c>
      <c r="C1" s="1">
        <v>-5.5668631102889798E-4</v>
      </c>
      <c r="D1" s="1">
        <v>-6.9050580263137804E-2</v>
      </c>
      <c r="E1" s="16">
        <v>0</v>
      </c>
      <c r="F1" s="16">
        <v>0</v>
      </c>
      <c r="G1">
        <v>1.19</v>
      </c>
      <c r="H1">
        <v>0</v>
      </c>
      <c r="I1">
        <v>0</v>
      </c>
    </row>
    <row r="2" spans="1:9" ht="15.75" x14ac:dyDescent="0.25">
      <c r="A2">
        <v>0</v>
      </c>
      <c r="B2" s="1">
        <v>-7.1131989359855693E-2</v>
      </c>
      <c r="C2" s="1">
        <v>6.4605905208736699E-5</v>
      </c>
      <c r="D2" s="1">
        <v>-5.7656042277812999E-2</v>
      </c>
      <c r="E2" s="16">
        <v>0</v>
      </c>
      <c r="F2" s="16">
        <v>0</v>
      </c>
      <c r="G2">
        <v>0</v>
      </c>
      <c r="H2">
        <v>0</v>
      </c>
      <c r="I2">
        <v>0.95</v>
      </c>
    </row>
    <row r="3" spans="1:9" ht="15.75" x14ac:dyDescent="0.25">
      <c r="A3">
        <v>0</v>
      </c>
      <c r="B3" s="1">
        <v>-0.129271820187569</v>
      </c>
      <c r="C3" s="1">
        <v>1.9186139106750499E-3</v>
      </c>
      <c r="D3" s="1">
        <v>-0.186502620577812</v>
      </c>
      <c r="E3" s="16">
        <v>0</v>
      </c>
      <c r="F3" s="16">
        <v>0</v>
      </c>
      <c r="G3">
        <v>0</v>
      </c>
      <c r="H3">
        <v>0.69399999999999995</v>
      </c>
      <c r="I3">
        <v>0</v>
      </c>
    </row>
    <row r="4" spans="1:9" ht="15.75" x14ac:dyDescent="0.25">
      <c r="A4">
        <v>0</v>
      </c>
      <c r="B4" s="1">
        <v>-0.115747280418873</v>
      </c>
      <c r="C4" s="1">
        <v>6.9219834404066205E-4</v>
      </c>
      <c r="D4" s="1">
        <v>-9.8316870629787403E-2</v>
      </c>
      <c r="E4" s="16">
        <v>0</v>
      </c>
      <c r="F4" s="16">
        <v>0</v>
      </c>
      <c r="G4">
        <v>0</v>
      </c>
      <c r="H4">
        <v>0</v>
      </c>
      <c r="I4">
        <v>1.286</v>
      </c>
    </row>
    <row r="5" spans="1:9" ht="15.75" x14ac:dyDescent="0.25">
      <c r="A5">
        <v>0</v>
      </c>
      <c r="B5" s="1">
        <v>-8.5103943943977398E-2</v>
      </c>
      <c r="C5" s="1">
        <v>2.7206784579902898E-4</v>
      </c>
      <c r="D5" s="1">
        <v>-0.10715988278389001</v>
      </c>
      <c r="E5" s="16">
        <v>0</v>
      </c>
      <c r="F5" s="16">
        <v>0</v>
      </c>
      <c r="G5">
        <v>0.39700000000000002</v>
      </c>
      <c r="H5">
        <v>0</v>
      </c>
      <c r="I5">
        <v>0</v>
      </c>
    </row>
    <row r="6" spans="1:9" ht="15.75" x14ac:dyDescent="0.25">
      <c r="A6">
        <v>0</v>
      </c>
      <c r="B6" s="1">
        <v>3.0075471848249401E-2</v>
      </c>
      <c r="C6" s="1">
        <v>-5.06441807374358E-3</v>
      </c>
      <c r="D6" s="1">
        <v>-9.0518351644277607E-3</v>
      </c>
      <c r="E6" s="16">
        <v>0</v>
      </c>
      <c r="F6" s="16">
        <v>0</v>
      </c>
      <c r="G6">
        <v>1.1060000000000001</v>
      </c>
      <c r="H6">
        <v>0</v>
      </c>
      <c r="I6">
        <v>0</v>
      </c>
    </row>
    <row r="7" spans="1:9" ht="15.75" x14ac:dyDescent="0.25">
      <c r="A7">
        <v>0</v>
      </c>
      <c r="B7" s="1">
        <v>2.36951168626547E-2</v>
      </c>
      <c r="C7" s="1">
        <v>-9.2211924493312803E-4</v>
      </c>
      <c r="D7" s="1">
        <v>2.83675594255328E-3</v>
      </c>
      <c r="E7" s="16">
        <v>0</v>
      </c>
      <c r="F7" s="16">
        <v>0</v>
      </c>
      <c r="G7">
        <v>0.96199999999999997</v>
      </c>
      <c r="H7">
        <v>0</v>
      </c>
      <c r="I7">
        <v>0</v>
      </c>
    </row>
    <row r="8" spans="1:9" ht="15.75" x14ac:dyDescent="0.25">
      <c r="A8">
        <v>0</v>
      </c>
      <c r="B8" s="1">
        <v>2.88164354860783E-2</v>
      </c>
      <c r="C8" s="1">
        <v>-4.5914298971183598E-4</v>
      </c>
      <c r="D8" s="1">
        <v>-3.6490749567747102E-2</v>
      </c>
      <c r="E8" s="16">
        <v>0</v>
      </c>
      <c r="F8" s="16">
        <v>0</v>
      </c>
      <c r="G8">
        <v>0</v>
      </c>
      <c r="H8">
        <v>0.89400000000000002</v>
      </c>
      <c r="I8">
        <v>0</v>
      </c>
    </row>
    <row r="9" spans="1:9" ht="15.75" x14ac:dyDescent="0.25">
      <c r="A9">
        <v>0</v>
      </c>
      <c r="B9" s="1">
        <v>4.3275639414787299E-2</v>
      </c>
      <c r="C9" s="1">
        <v>1.8532184185460199E-3</v>
      </c>
      <c r="D9" s="1">
        <v>-5.2716843783855397E-2</v>
      </c>
      <c r="E9" s="16">
        <v>0</v>
      </c>
      <c r="F9" s="16">
        <v>0</v>
      </c>
      <c r="G9">
        <v>0</v>
      </c>
      <c r="H9">
        <v>0.871</v>
      </c>
      <c r="I9">
        <v>0</v>
      </c>
    </row>
    <row r="10" spans="1:9" ht="15.75" x14ac:dyDescent="0.25">
      <c r="A10">
        <v>0</v>
      </c>
      <c r="B10" s="1">
        <v>3.17124165594578E-2</v>
      </c>
      <c r="C10" s="1">
        <v>8.5735479369759594E-3</v>
      </c>
      <c r="D10" s="1">
        <v>-2.6578258723020599E-2</v>
      </c>
      <c r="E10" s="16">
        <v>0</v>
      </c>
      <c r="F10" s="16">
        <v>0</v>
      </c>
      <c r="G10">
        <v>0</v>
      </c>
      <c r="H10">
        <v>1.3149999999999999</v>
      </c>
      <c r="I10">
        <v>0</v>
      </c>
    </row>
    <row r="11" spans="1:9" ht="15.75" x14ac:dyDescent="0.25">
      <c r="A11">
        <v>0</v>
      </c>
      <c r="B11" s="1">
        <v>-0.244008228182793</v>
      </c>
      <c r="C11" s="1">
        <v>3.4461081027984598E-2</v>
      </c>
      <c r="D11" s="1">
        <v>2.3404412269592298</v>
      </c>
      <c r="E11" s="16">
        <v>0</v>
      </c>
      <c r="F11" s="16">
        <v>0</v>
      </c>
      <c r="G11">
        <v>1.3440000000000001</v>
      </c>
      <c r="H11">
        <v>0</v>
      </c>
      <c r="I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H18"/>
  <sheetViews>
    <sheetView workbookViewId="0">
      <selection activeCell="S27" sqref="S27"/>
    </sheetView>
  </sheetViews>
  <sheetFormatPr defaultRowHeight="15" x14ac:dyDescent="0.25"/>
  <cols>
    <col min="9" max="9" width="12.85546875" bestFit="1" customWidth="1"/>
  </cols>
  <sheetData>
    <row r="1" spans="1:34" ht="15.75" x14ac:dyDescent="0.25">
      <c r="A1" s="18" t="s">
        <v>16</v>
      </c>
      <c r="B1" s="18"/>
      <c r="C1" s="18"/>
      <c r="D1" s="18"/>
      <c r="E1" s="18"/>
      <c r="F1" s="18"/>
      <c r="G1" s="19"/>
      <c r="H1" s="20" t="s">
        <v>20</v>
      </c>
      <c r="I1" s="21"/>
      <c r="J1" s="11"/>
      <c r="K1" s="11"/>
      <c r="L1" s="11"/>
      <c r="M1" s="11"/>
      <c r="N1" s="11"/>
      <c r="O1" s="11"/>
      <c r="P1" s="11"/>
      <c r="Q1" s="22" t="s">
        <v>6</v>
      </c>
      <c r="R1" s="23"/>
      <c r="S1" s="23"/>
      <c r="T1" s="23"/>
      <c r="U1" s="23"/>
      <c r="V1" s="23"/>
      <c r="W1" s="24" t="s">
        <v>17</v>
      </c>
      <c r="X1" s="25"/>
      <c r="Y1" s="25"/>
      <c r="Z1" s="25"/>
      <c r="AA1" s="25"/>
      <c r="AB1" s="25"/>
      <c r="AC1" s="26" t="s">
        <v>22</v>
      </c>
      <c r="AD1" s="27"/>
      <c r="AE1" s="27"/>
      <c r="AF1" s="27"/>
      <c r="AG1" s="27"/>
      <c r="AH1" s="28"/>
    </row>
    <row r="2" spans="1:34" ht="15.75" x14ac:dyDescent="0.25">
      <c r="A2" s="4" t="s">
        <v>7</v>
      </c>
      <c r="B2" s="4" t="s">
        <v>8</v>
      </c>
      <c r="C2" s="4" t="s">
        <v>9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18</v>
      </c>
      <c r="I2" s="4" t="s">
        <v>19</v>
      </c>
      <c r="J2" s="4" t="s">
        <v>7</v>
      </c>
      <c r="K2" s="4" t="s">
        <v>8</v>
      </c>
      <c r="L2" s="4" t="s">
        <v>9</v>
      </c>
      <c r="M2" s="4" t="s">
        <v>12</v>
      </c>
      <c r="N2" s="4" t="s">
        <v>13</v>
      </c>
      <c r="O2" s="4" t="s">
        <v>14</v>
      </c>
      <c r="P2" s="4" t="s">
        <v>15</v>
      </c>
      <c r="Q2" s="5" t="s">
        <v>3</v>
      </c>
      <c r="R2" s="4" t="s">
        <v>4</v>
      </c>
      <c r="S2" s="4" t="s">
        <v>5</v>
      </c>
      <c r="T2" s="4" t="s">
        <v>0</v>
      </c>
      <c r="U2" s="4" t="s">
        <v>1</v>
      </c>
      <c r="V2" s="4" t="s">
        <v>2</v>
      </c>
      <c r="W2" s="6" t="s">
        <v>3</v>
      </c>
      <c r="X2" s="4" t="s">
        <v>4</v>
      </c>
      <c r="Y2" s="4" t="s">
        <v>5</v>
      </c>
      <c r="Z2" s="4" t="s">
        <v>0</v>
      </c>
      <c r="AA2" s="4" t="s">
        <v>1</v>
      </c>
      <c r="AB2" s="4" t="s">
        <v>2</v>
      </c>
      <c r="AC2" s="4" t="s">
        <v>3</v>
      </c>
      <c r="AD2" s="4" t="s">
        <v>4</v>
      </c>
      <c r="AE2" s="4" t="s">
        <v>5</v>
      </c>
      <c r="AF2" s="4" t="s">
        <v>0</v>
      </c>
      <c r="AG2" s="4" t="s">
        <v>1</v>
      </c>
      <c r="AH2" s="4" t="s">
        <v>2</v>
      </c>
    </row>
    <row r="3" spans="1:34" ht="15.75" x14ac:dyDescent="0.25">
      <c r="A3" s="1">
        <v>0.71299999999999997</v>
      </c>
      <c r="B3" s="1">
        <v>0.16</v>
      </c>
      <c r="C3" s="1">
        <v>1.571</v>
      </c>
      <c r="D3" s="1">
        <v>-3.1419999999999999</v>
      </c>
      <c r="E3" s="1">
        <v>1.19</v>
      </c>
      <c r="F3" s="1">
        <v>0</v>
      </c>
      <c r="G3" s="1">
        <v>0</v>
      </c>
      <c r="H3" s="1">
        <f t="shared" ref="H3:H12" si="0">DEGREES(ATAN2(COS($C3) * SIN($D3), -SIN($C3)))+90</f>
        <v>-4.7535757374816967E-6</v>
      </c>
      <c r="I3" s="1">
        <f t="shared" ref="I3:I12" si="1">DEGREES(ACOS(COS($C3) * COS($D3)))</f>
        <v>89.988330385915845</v>
      </c>
      <c r="J3" s="1">
        <v>1.1200000000000001</v>
      </c>
      <c r="K3" s="1">
        <v>0.04</v>
      </c>
      <c r="L3" s="1">
        <f>-1*PI()/4</f>
        <v>-0.78539816339744828</v>
      </c>
      <c r="M3" s="1">
        <f>-1*PI()/2</f>
        <v>-1.5707963267948966</v>
      </c>
      <c r="N3" s="1">
        <v>1.19</v>
      </c>
      <c r="O3" s="1">
        <v>0.377</v>
      </c>
      <c r="P3" s="1">
        <v>0.33800000000000002</v>
      </c>
      <c r="Q3" s="1">
        <v>5.9407576918601998E-3</v>
      </c>
      <c r="R3" s="1">
        <v>-6.2523871660232502E-2</v>
      </c>
      <c r="S3" s="1">
        <v>-0.110146977007389</v>
      </c>
      <c r="T3" s="1">
        <v>-0.47880077362060502</v>
      </c>
      <c r="U3" s="1">
        <v>-0.824510097503662</v>
      </c>
      <c r="V3" s="1">
        <v>-0.148947387933731</v>
      </c>
      <c r="W3" s="1"/>
      <c r="X3" s="1"/>
      <c r="Y3" s="1"/>
      <c r="Z3" s="1"/>
      <c r="AA3" s="1"/>
      <c r="AB3" s="1"/>
      <c r="AC3" s="8">
        <f t="shared" ref="AC3:AH13" si="2">ABS(Q3-W3)</f>
        <v>5.9407576918601998E-3</v>
      </c>
      <c r="AD3" s="8">
        <f t="shared" si="2"/>
        <v>6.2523871660232502E-2</v>
      </c>
      <c r="AE3" s="8">
        <f t="shared" si="2"/>
        <v>0.110146977007389</v>
      </c>
      <c r="AF3" s="8">
        <f t="shared" si="2"/>
        <v>0.47880077362060502</v>
      </c>
      <c r="AG3" s="8">
        <f t="shared" si="2"/>
        <v>0.824510097503662</v>
      </c>
      <c r="AH3" s="8">
        <f t="shared" si="2"/>
        <v>0.148947387933731</v>
      </c>
    </row>
    <row r="4" spans="1:34" ht="15.75" x14ac:dyDescent="0.25">
      <c r="A4" s="1">
        <v>0.42</v>
      </c>
      <c r="B4" s="1">
        <v>0.1</v>
      </c>
      <c r="C4" s="1">
        <v>1.571</v>
      </c>
      <c r="D4" s="1">
        <v>-3.1419999999999999</v>
      </c>
      <c r="E4" s="1">
        <v>0</v>
      </c>
      <c r="F4" s="1">
        <v>0</v>
      </c>
      <c r="G4" s="1">
        <v>0.95</v>
      </c>
      <c r="H4" s="1">
        <f t="shared" si="0"/>
        <v>-4.7535757374816967E-6</v>
      </c>
      <c r="I4" s="1">
        <f t="shared" si="1"/>
        <v>89.988330385915845</v>
      </c>
      <c r="J4" s="1">
        <v>0.9</v>
      </c>
      <c r="K4" s="1">
        <v>0.04</v>
      </c>
      <c r="L4" s="1">
        <f t="shared" ref="L4:L12" si="3">-1*PI()/4</f>
        <v>-0.78539816339744828</v>
      </c>
      <c r="M4" s="1">
        <f t="shared" ref="M4:M12" si="4">-1*PI()/2</f>
        <v>-1.5707963267948966</v>
      </c>
      <c r="N4" s="1">
        <v>0.45500000000000002</v>
      </c>
      <c r="O4" s="1">
        <v>0.61899999999999999</v>
      </c>
      <c r="P4" s="1">
        <v>0.95</v>
      </c>
      <c r="Q4" s="1">
        <v>-4.4273911044001601E-4</v>
      </c>
      <c r="R4" s="1">
        <v>-1.49308573454618E-2</v>
      </c>
      <c r="S4" s="1">
        <v>-7.3162265121936798E-2</v>
      </c>
      <c r="T4" s="1">
        <v>5.10686822235584E-3</v>
      </c>
      <c r="U4" s="1">
        <v>-0.647533059120178</v>
      </c>
      <c r="V4" s="1">
        <v>-0.168305069208145</v>
      </c>
      <c r="W4" s="1"/>
      <c r="X4" s="1"/>
      <c r="Y4" s="1"/>
      <c r="Z4" s="1"/>
      <c r="AA4" s="1"/>
      <c r="AB4" s="1"/>
      <c r="AC4" s="8">
        <f t="shared" si="2"/>
        <v>4.4273911044001601E-4</v>
      </c>
      <c r="AD4" s="8">
        <f t="shared" si="2"/>
        <v>1.49308573454618E-2</v>
      </c>
      <c r="AE4" s="8">
        <f t="shared" si="2"/>
        <v>7.3162265121936798E-2</v>
      </c>
      <c r="AF4" s="8">
        <f t="shared" si="2"/>
        <v>5.10686822235584E-3</v>
      </c>
      <c r="AG4" s="8">
        <f t="shared" si="2"/>
        <v>0.647533059120178</v>
      </c>
      <c r="AH4" s="8">
        <f t="shared" si="2"/>
        <v>0.168305069208145</v>
      </c>
    </row>
    <row r="5" spans="1:34" ht="15.75" x14ac:dyDescent="0.25">
      <c r="A5" s="1">
        <v>0.85199999999999998</v>
      </c>
      <c r="B5" s="1">
        <v>0.12</v>
      </c>
      <c r="C5" s="1">
        <v>1.571</v>
      </c>
      <c r="D5" s="1">
        <v>-3.1419999999999999</v>
      </c>
      <c r="E5" s="1">
        <v>0</v>
      </c>
      <c r="F5" s="1">
        <v>0.69399999999999995</v>
      </c>
      <c r="G5" s="1">
        <v>0</v>
      </c>
      <c r="H5" s="1">
        <f t="shared" si="0"/>
        <v>-4.7535757374816967E-6</v>
      </c>
      <c r="I5" s="1">
        <f t="shared" si="1"/>
        <v>89.988330385915845</v>
      </c>
      <c r="J5" s="1">
        <v>1</v>
      </c>
      <c r="K5" s="1">
        <v>0.04</v>
      </c>
      <c r="L5" s="1">
        <f t="shared" si="3"/>
        <v>-0.78539816339744828</v>
      </c>
      <c r="M5" s="1">
        <f t="shared" si="4"/>
        <v>-1.5707963267948966</v>
      </c>
      <c r="N5" s="1">
        <v>0.308</v>
      </c>
      <c r="O5" s="1">
        <v>0.69399999999999995</v>
      </c>
      <c r="P5" s="1">
        <v>1.2999999999999999E-2</v>
      </c>
      <c r="Q5" s="1">
        <v>-2.7322419919073599E-3</v>
      </c>
      <c r="R5" s="1">
        <v>-0.11762320250272799</v>
      </c>
      <c r="S5" s="1">
        <v>-7.8161440789699596E-2</v>
      </c>
      <c r="T5" s="1">
        <v>-0.38883593678474399</v>
      </c>
      <c r="U5" s="1">
        <v>-0.69591957330703702</v>
      </c>
      <c r="V5" s="1">
        <v>0.20617163181304901</v>
      </c>
      <c r="W5" s="1"/>
      <c r="X5" s="1"/>
      <c r="Y5" s="1"/>
      <c r="Z5" s="1"/>
      <c r="AA5" s="1"/>
      <c r="AB5" s="1"/>
      <c r="AC5" s="8">
        <f t="shared" si="2"/>
        <v>2.7322419919073599E-3</v>
      </c>
      <c r="AD5" s="8">
        <f t="shared" si="2"/>
        <v>0.11762320250272799</v>
      </c>
      <c r="AE5" s="8">
        <f t="shared" si="2"/>
        <v>7.8161440789699596E-2</v>
      </c>
      <c r="AF5" s="8">
        <f t="shared" si="2"/>
        <v>0.38883593678474399</v>
      </c>
      <c r="AG5" s="8">
        <f t="shared" si="2"/>
        <v>0.69591957330703702</v>
      </c>
      <c r="AH5" s="8">
        <f t="shared" si="2"/>
        <v>0.20617163181304901</v>
      </c>
    </row>
    <row r="6" spans="1:34" ht="15.75" x14ac:dyDescent="0.25">
      <c r="A6" s="1">
        <v>0.61099999999999999</v>
      </c>
      <c r="B6" s="1">
        <v>0.1</v>
      </c>
      <c r="C6" s="1">
        <v>1.571</v>
      </c>
      <c r="D6" s="1">
        <v>-3.1419999999999999</v>
      </c>
      <c r="E6" s="1">
        <v>0</v>
      </c>
      <c r="F6" s="1">
        <v>0</v>
      </c>
      <c r="G6" s="1">
        <v>1.286</v>
      </c>
      <c r="H6" s="1">
        <f t="shared" si="0"/>
        <v>-4.7535757374816967E-6</v>
      </c>
      <c r="I6" s="1">
        <f t="shared" si="1"/>
        <v>89.988330385915845</v>
      </c>
      <c r="J6" s="1">
        <v>0.96</v>
      </c>
      <c r="K6" s="1">
        <v>0.04</v>
      </c>
      <c r="L6" s="1">
        <f t="shared" si="3"/>
        <v>-0.78539816339744828</v>
      </c>
      <c r="M6" s="1">
        <f t="shared" si="4"/>
        <v>-1.5707963267948966</v>
      </c>
      <c r="N6" s="1">
        <v>1.008</v>
      </c>
      <c r="O6" s="1">
        <v>4.5999999999999999E-2</v>
      </c>
      <c r="P6" s="1">
        <v>1.286</v>
      </c>
      <c r="Q6" s="1">
        <v>-1.8785069696605199E-3</v>
      </c>
      <c r="R6" s="1">
        <v>-7.33006596565247E-2</v>
      </c>
      <c r="S6" s="1">
        <v>-7.6524302363395705E-2</v>
      </c>
      <c r="T6" s="1">
        <v>-9.0356886386871296E-2</v>
      </c>
      <c r="U6" s="1">
        <v>-0.678988456726074</v>
      </c>
      <c r="V6" s="1">
        <v>0.11682870984077499</v>
      </c>
      <c r="W6" s="1"/>
      <c r="X6" s="1"/>
      <c r="Y6" s="1"/>
      <c r="Z6" s="1"/>
      <c r="AA6" s="1"/>
      <c r="AB6" s="1"/>
      <c r="AC6" s="8">
        <f t="shared" si="2"/>
        <v>1.8785069696605199E-3</v>
      </c>
      <c r="AD6" s="8">
        <f t="shared" si="2"/>
        <v>7.33006596565247E-2</v>
      </c>
      <c r="AE6" s="8">
        <f t="shared" si="2"/>
        <v>7.6524302363395705E-2</v>
      </c>
      <c r="AF6" s="8">
        <f t="shared" si="2"/>
        <v>9.0356886386871296E-2</v>
      </c>
      <c r="AG6" s="8">
        <f t="shared" si="2"/>
        <v>0.678988456726074</v>
      </c>
      <c r="AH6" s="8">
        <f t="shared" si="2"/>
        <v>0.11682870984077499</v>
      </c>
    </row>
    <row r="7" spans="1:34" ht="15.75" x14ac:dyDescent="0.25">
      <c r="A7" s="1">
        <v>0.36299999999999999</v>
      </c>
      <c r="B7" s="1">
        <v>0.18</v>
      </c>
      <c r="C7" s="1">
        <v>1.571</v>
      </c>
      <c r="D7" s="1">
        <v>0</v>
      </c>
      <c r="E7" s="1">
        <v>0</v>
      </c>
      <c r="F7" s="1">
        <v>1.339</v>
      </c>
      <c r="G7" s="1">
        <v>0</v>
      </c>
      <c r="H7" s="1">
        <f t="shared" si="0"/>
        <v>0</v>
      </c>
      <c r="I7" s="1">
        <f t="shared" si="1"/>
        <v>90.011669615052327</v>
      </c>
      <c r="J7" s="1">
        <v>0.93</v>
      </c>
      <c r="K7" s="1">
        <v>0.04</v>
      </c>
      <c r="L7" s="1">
        <f t="shared" si="3"/>
        <v>-0.78539816339744828</v>
      </c>
      <c r="M7" s="1">
        <f t="shared" si="4"/>
        <v>-1.5707963267948966</v>
      </c>
      <c r="N7" s="1">
        <v>0.75600000000000001</v>
      </c>
      <c r="O7" s="1">
        <v>1.339</v>
      </c>
      <c r="P7" s="1">
        <v>0.39400000000000002</v>
      </c>
      <c r="Q7" s="1">
        <v>-4.6365833841264196E-3</v>
      </c>
      <c r="R7" s="1">
        <v>-1.7460349947214099E-2</v>
      </c>
      <c r="S7" s="1">
        <v>-7.08786696195602E-2</v>
      </c>
      <c r="T7" s="1">
        <v>-0.13470298051834101</v>
      </c>
      <c r="U7" s="1">
        <v>-0.63992625474929798</v>
      </c>
      <c r="V7" s="1">
        <v>-0.30394464731216397</v>
      </c>
      <c r="W7" s="1"/>
      <c r="X7" s="1"/>
      <c r="Y7" s="1"/>
      <c r="Z7" s="1"/>
      <c r="AA7" s="1"/>
      <c r="AB7" s="1"/>
      <c r="AC7" s="8">
        <f t="shared" si="2"/>
        <v>4.6365833841264196E-3</v>
      </c>
      <c r="AD7" s="8">
        <f t="shared" si="2"/>
        <v>1.7460349947214099E-2</v>
      </c>
      <c r="AE7" s="8">
        <f t="shared" si="2"/>
        <v>7.08786696195602E-2</v>
      </c>
      <c r="AF7" s="8">
        <f t="shared" si="2"/>
        <v>0.13470298051834101</v>
      </c>
      <c r="AG7" s="8">
        <f t="shared" si="2"/>
        <v>0.63992625474929798</v>
      </c>
      <c r="AH7" s="8">
        <f t="shared" si="2"/>
        <v>0.30394464731216397</v>
      </c>
    </row>
    <row r="8" spans="1:34" ht="15.75" x14ac:dyDescent="0.25">
      <c r="A8" s="1">
        <v>0.216</v>
      </c>
      <c r="B8" s="1">
        <v>0.16</v>
      </c>
      <c r="C8" s="1">
        <v>-1.571</v>
      </c>
      <c r="D8" s="1">
        <v>0</v>
      </c>
      <c r="E8" s="1">
        <v>1.1060000000000001</v>
      </c>
      <c r="F8" s="1">
        <v>0</v>
      </c>
      <c r="G8" s="1">
        <v>0</v>
      </c>
      <c r="H8" s="1">
        <f t="shared" si="0"/>
        <v>180</v>
      </c>
      <c r="I8" s="1">
        <f t="shared" si="1"/>
        <v>90.011669615052327</v>
      </c>
      <c r="J8" s="1">
        <v>0.96</v>
      </c>
      <c r="K8" s="1">
        <v>0.04</v>
      </c>
      <c r="L8" s="1">
        <f t="shared" si="3"/>
        <v>-0.78539816339744828</v>
      </c>
      <c r="M8" s="1">
        <f t="shared" si="4"/>
        <v>-1.5707963267948966</v>
      </c>
      <c r="N8" s="1">
        <v>1.1060000000000001</v>
      </c>
      <c r="O8" s="1">
        <v>0.21299999999999999</v>
      </c>
      <c r="P8" s="1">
        <v>0.41899999999999998</v>
      </c>
      <c r="Q8" s="1">
        <v>-2.8513786382973198E-3</v>
      </c>
      <c r="R8" s="1">
        <v>0.11834384500980399</v>
      </c>
      <c r="S8" s="1">
        <v>-9.7281925380230005E-2</v>
      </c>
      <c r="T8" s="1">
        <v>-5.4698091000318499E-2</v>
      </c>
      <c r="U8" s="1">
        <v>-0.71555197238922097</v>
      </c>
      <c r="V8" s="1">
        <v>-0.74709540605545</v>
      </c>
      <c r="W8" s="1"/>
      <c r="X8" s="1"/>
      <c r="Y8" s="1"/>
      <c r="Z8" s="1"/>
      <c r="AA8" s="1"/>
      <c r="AB8" s="1"/>
      <c r="AC8" s="8">
        <f t="shared" si="2"/>
        <v>2.8513786382973198E-3</v>
      </c>
      <c r="AD8" s="8">
        <f t="shared" si="2"/>
        <v>0.11834384500980399</v>
      </c>
      <c r="AE8" s="8">
        <f t="shared" si="2"/>
        <v>9.7281925380230005E-2</v>
      </c>
      <c r="AF8" s="8">
        <f t="shared" si="2"/>
        <v>5.4698091000318499E-2</v>
      </c>
      <c r="AG8" s="8">
        <f t="shared" si="2"/>
        <v>0.71555197238922097</v>
      </c>
      <c r="AH8" s="8">
        <f t="shared" si="2"/>
        <v>0.74709540605545</v>
      </c>
    </row>
    <row r="9" spans="1:34" ht="15.75" x14ac:dyDescent="0.25">
      <c r="A9" s="1">
        <v>0.16600000000000001</v>
      </c>
      <c r="B9" s="1">
        <v>0.1</v>
      </c>
      <c r="C9" s="1">
        <v>-1.571</v>
      </c>
      <c r="D9" s="1">
        <v>0</v>
      </c>
      <c r="E9" s="1">
        <v>0.96199999999999997</v>
      </c>
      <c r="F9" s="1">
        <v>0</v>
      </c>
      <c r="G9" s="1">
        <v>0</v>
      </c>
      <c r="H9" s="1">
        <f t="shared" si="0"/>
        <v>180</v>
      </c>
      <c r="I9" s="1">
        <f t="shared" si="1"/>
        <v>90.011669615052327</v>
      </c>
      <c r="J9" s="1">
        <v>1.02</v>
      </c>
      <c r="K9" s="1">
        <v>0.04</v>
      </c>
      <c r="L9" s="1">
        <f t="shared" si="3"/>
        <v>-0.78539816339744828</v>
      </c>
      <c r="M9" s="1">
        <f t="shared" si="4"/>
        <v>-1.5707963267948966</v>
      </c>
      <c r="N9" s="1">
        <v>0.96199999999999997</v>
      </c>
      <c r="O9" s="1">
        <v>0.95899999999999996</v>
      </c>
      <c r="P9" s="1">
        <v>0.77900000000000003</v>
      </c>
      <c r="Q9" s="1">
        <v>-2.76920106261969E-3</v>
      </c>
      <c r="R9" s="1">
        <v>9.7560778260231004E-2</v>
      </c>
      <c r="S9" s="1">
        <v>-8.6382135748863206E-2</v>
      </c>
      <c r="T9" s="1">
        <v>3.8986749947071103E-2</v>
      </c>
      <c r="U9" s="1">
        <v>-0.75769031047821001</v>
      </c>
      <c r="V9" s="1">
        <v>-0.77303338050842296</v>
      </c>
      <c r="W9" s="1"/>
      <c r="X9" s="1"/>
      <c r="Y9" s="1"/>
      <c r="Z9" s="1"/>
      <c r="AA9" s="1"/>
      <c r="AB9" s="1"/>
      <c r="AC9" s="8">
        <f t="shared" si="2"/>
        <v>2.76920106261969E-3</v>
      </c>
      <c r="AD9" s="8">
        <f t="shared" si="2"/>
        <v>9.7560778260231004E-2</v>
      </c>
      <c r="AE9" s="8">
        <f t="shared" si="2"/>
        <v>8.6382135748863206E-2</v>
      </c>
      <c r="AF9" s="8">
        <f t="shared" si="2"/>
        <v>3.8986749947071103E-2</v>
      </c>
      <c r="AG9" s="8">
        <f t="shared" si="2"/>
        <v>0.75769031047821001</v>
      </c>
      <c r="AH9" s="8">
        <f t="shared" si="2"/>
        <v>0.77303338050842296</v>
      </c>
    </row>
    <row r="10" spans="1:34" ht="15.75" x14ac:dyDescent="0.25">
      <c r="A10" s="1">
        <v>0.51</v>
      </c>
      <c r="B10" s="1">
        <v>0.14000000000000001</v>
      </c>
      <c r="C10" s="1">
        <v>-1.571</v>
      </c>
      <c r="D10" s="1">
        <v>-3.1419999999999999</v>
      </c>
      <c r="E10" s="1">
        <v>0</v>
      </c>
      <c r="F10" s="1">
        <v>0</v>
      </c>
      <c r="G10" s="1">
        <v>0.80800000000000005</v>
      </c>
      <c r="H10" s="1">
        <f t="shared" si="0"/>
        <v>180.00000475357575</v>
      </c>
      <c r="I10" s="1">
        <f t="shared" si="1"/>
        <v>89.988330385915845</v>
      </c>
      <c r="J10" s="1">
        <v>0.95</v>
      </c>
      <c r="K10" s="1">
        <v>0.04</v>
      </c>
      <c r="L10" s="1">
        <f t="shared" si="3"/>
        <v>-0.78539816339744828</v>
      </c>
      <c r="M10" s="1">
        <f t="shared" si="4"/>
        <v>-1.5707963267948966</v>
      </c>
      <c r="N10" s="1">
        <v>0.61</v>
      </c>
      <c r="O10" s="1">
        <v>0.64800000000000002</v>
      </c>
      <c r="P10" s="1">
        <v>1.244</v>
      </c>
      <c r="Q10" s="1">
        <v>-6.3605979084968599E-4</v>
      </c>
      <c r="R10" s="1">
        <v>0.16263124346733099</v>
      </c>
      <c r="S10" s="1">
        <v>-7.8621163964271504E-2</v>
      </c>
      <c r="T10" s="1">
        <v>-9.8183140158653301E-2</v>
      </c>
      <c r="U10" s="1">
        <v>-0.69786107540130604</v>
      </c>
      <c r="V10" s="1">
        <v>-0.98279035091400102</v>
      </c>
      <c r="W10" s="1"/>
      <c r="X10" s="1"/>
      <c r="Y10" s="1"/>
      <c r="Z10" s="1"/>
      <c r="AA10" s="1"/>
      <c r="AB10" s="1"/>
      <c r="AC10" s="8">
        <f t="shared" si="2"/>
        <v>6.3605979084968599E-4</v>
      </c>
      <c r="AD10" s="8">
        <f t="shared" si="2"/>
        <v>0.16263124346733099</v>
      </c>
      <c r="AE10" s="8">
        <f t="shared" si="2"/>
        <v>7.8621163964271504E-2</v>
      </c>
      <c r="AF10" s="8">
        <f t="shared" si="2"/>
        <v>9.8183140158653301E-2</v>
      </c>
      <c r="AG10" s="8">
        <f t="shared" si="2"/>
        <v>0.69786107540130604</v>
      </c>
      <c r="AH10" s="8">
        <f t="shared" si="2"/>
        <v>0.98279035091400102</v>
      </c>
    </row>
    <row r="11" spans="1:34" ht="15.75" x14ac:dyDescent="0.25">
      <c r="A11" s="1">
        <v>0.309</v>
      </c>
      <c r="B11" s="1">
        <v>0.12</v>
      </c>
      <c r="C11" s="1">
        <v>-1.571</v>
      </c>
      <c r="D11" s="1">
        <v>0</v>
      </c>
      <c r="E11" s="1">
        <v>0</v>
      </c>
      <c r="F11" s="1">
        <v>0.871</v>
      </c>
      <c r="G11" s="1">
        <v>0</v>
      </c>
      <c r="H11" s="1">
        <f t="shared" si="0"/>
        <v>180</v>
      </c>
      <c r="I11" s="1">
        <f t="shared" si="1"/>
        <v>90.011669615052327</v>
      </c>
      <c r="J11" s="1">
        <v>0.96</v>
      </c>
      <c r="K11" s="1">
        <v>0.04</v>
      </c>
      <c r="L11" s="1">
        <f t="shared" si="3"/>
        <v>-0.78539816339744828</v>
      </c>
      <c r="M11" s="1">
        <f t="shared" si="4"/>
        <v>-1.5707963267948966</v>
      </c>
      <c r="N11" s="1">
        <v>0.77</v>
      </c>
      <c r="O11" s="1">
        <v>0.72299999999999998</v>
      </c>
      <c r="P11" s="1">
        <v>0.80800000000000005</v>
      </c>
      <c r="Q11" s="1">
        <v>6.6061317920684804E-4</v>
      </c>
      <c r="R11" s="1">
        <v>0.144062966108322</v>
      </c>
      <c r="S11" s="1">
        <v>-9.2977710068225902E-2</v>
      </c>
      <c r="T11" s="1">
        <v>-0.13017064332962</v>
      </c>
      <c r="U11" s="1">
        <v>-0.68874275684356701</v>
      </c>
      <c r="V11" s="1">
        <v>-0.879430711269379</v>
      </c>
      <c r="W11" s="1"/>
      <c r="X11" s="1"/>
      <c r="Y11" s="1"/>
      <c r="Z11" s="1"/>
      <c r="AA11" s="1"/>
      <c r="AB11" s="1"/>
      <c r="AC11" s="8">
        <f t="shared" si="2"/>
        <v>6.6061317920684804E-4</v>
      </c>
      <c r="AD11" s="8">
        <f t="shared" si="2"/>
        <v>0.144062966108322</v>
      </c>
      <c r="AE11" s="8">
        <f t="shared" si="2"/>
        <v>9.2977710068225902E-2</v>
      </c>
      <c r="AF11" s="8">
        <f t="shared" si="2"/>
        <v>0.13017064332962</v>
      </c>
      <c r="AG11" s="8">
        <f t="shared" si="2"/>
        <v>0.68874275684356701</v>
      </c>
      <c r="AH11" s="8">
        <f t="shared" si="2"/>
        <v>0.879430711269379</v>
      </c>
    </row>
    <row r="12" spans="1:34" ht="15.75" x14ac:dyDescent="0.25">
      <c r="A12" s="1">
        <v>0.20399999999999999</v>
      </c>
      <c r="B12" s="1">
        <v>0.2</v>
      </c>
      <c r="C12" s="1">
        <v>-1.571</v>
      </c>
      <c r="D12" s="1">
        <v>0</v>
      </c>
      <c r="E12" s="1">
        <v>0</v>
      </c>
      <c r="F12" s="1">
        <v>1.3149999999999999</v>
      </c>
      <c r="G12" s="1">
        <v>0</v>
      </c>
      <c r="H12" s="1">
        <f t="shared" si="0"/>
        <v>180</v>
      </c>
      <c r="I12" s="1">
        <f t="shared" si="1"/>
        <v>90.011669615052327</v>
      </c>
      <c r="J12" s="1">
        <v>0.99</v>
      </c>
      <c r="K12" s="1">
        <v>0.04</v>
      </c>
      <c r="L12" s="1">
        <f t="shared" si="3"/>
        <v>-0.78539816339744828</v>
      </c>
      <c r="M12" s="1">
        <f t="shared" si="4"/>
        <v>-1.5707963267948966</v>
      </c>
      <c r="N12" s="1">
        <v>1.266</v>
      </c>
      <c r="O12" s="1">
        <v>0.65300000000000002</v>
      </c>
      <c r="P12" s="1">
        <v>0.55800000000000005</v>
      </c>
      <c r="Q12" s="1">
        <v>8.87607224285603E-4</v>
      </c>
      <c r="R12" s="1">
        <v>0.110368900001049</v>
      </c>
      <c r="S12" s="1">
        <v>-9.2105731368064894E-2</v>
      </c>
      <c r="T12" s="1">
        <v>-6.9652721285819993E-2</v>
      </c>
      <c r="U12" s="1">
        <v>-0.70478248596191395</v>
      </c>
      <c r="V12" s="1">
        <v>-0.70020294189453103</v>
      </c>
      <c r="W12" s="1"/>
      <c r="X12" s="1"/>
      <c r="Y12" s="1"/>
      <c r="Z12" s="1"/>
      <c r="AA12" s="1"/>
      <c r="AB12" s="1"/>
      <c r="AC12" s="8">
        <f t="shared" si="2"/>
        <v>8.87607224285603E-4</v>
      </c>
      <c r="AD12" s="8">
        <f t="shared" si="2"/>
        <v>0.110368900001049</v>
      </c>
      <c r="AE12" s="8">
        <f t="shared" si="2"/>
        <v>9.2105731368064894E-2</v>
      </c>
      <c r="AF12" s="8">
        <f t="shared" si="2"/>
        <v>6.9652721285819993E-2</v>
      </c>
      <c r="AG12" s="8">
        <f t="shared" si="2"/>
        <v>0.70478248596191395</v>
      </c>
      <c r="AH12" s="8">
        <f t="shared" si="2"/>
        <v>0.70020294189453103</v>
      </c>
    </row>
    <row r="13" spans="1:34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8">
        <f t="shared" si="2"/>
        <v>0</v>
      </c>
      <c r="AD13" s="8">
        <f t="shared" si="2"/>
        <v>0</v>
      </c>
      <c r="AE13" s="8">
        <f t="shared" si="2"/>
        <v>0</v>
      </c>
      <c r="AF13" s="8">
        <f t="shared" si="2"/>
        <v>0</v>
      </c>
      <c r="AG13" s="8">
        <f t="shared" si="2"/>
        <v>0</v>
      </c>
      <c r="AH13" s="8">
        <f t="shared" si="2"/>
        <v>0</v>
      </c>
    </row>
    <row r="14" spans="1:34" ht="15.7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8"/>
      <c r="AD14" s="8"/>
      <c r="AE14" s="8"/>
      <c r="AF14" s="8"/>
      <c r="AG14" s="8"/>
      <c r="AH14" s="8"/>
    </row>
    <row r="15" spans="1:34" ht="15.7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8"/>
      <c r="AD15" s="8"/>
      <c r="AE15" s="8"/>
      <c r="AF15" s="8"/>
      <c r="AG15" s="8"/>
      <c r="AH15" s="8"/>
    </row>
    <row r="16" spans="1:34" ht="15.7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8"/>
      <c r="AD16" s="8"/>
      <c r="AE16" s="8"/>
      <c r="AF16" s="8"/>
      <c r="AG16" s="8"/>
      <c r="AH16" s="8"/>
    </row>
    <row r="17" spans="1:34" ht="15.7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8"/>
      <c r="AD17" s="8"/>
      <c r="AE17" s="8"/>
      <c r="AF17" s="8"/>
      <c r="AG17" s="8"/>
      <c r="AH17" s="8"/>
    </row>
    <row r="18" spans="1:34" ht="15.7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8"/>
      <c r="AD18" s="8"/>
      <c r="AE18" s="8"/>
      <c r="AF18" s="8"/>
      <c r="AG18" s="8"/>
      <c r="AH18" s="8"/>
    </row>
  </sheetData>
  <mergeCells count="5">
    <mergeCell ref="A1:G1"/>
    <mergeCell ref="H1:I1"/>
    <mergeCell ref="Q1:V1"/>
    <mergeCell ref="W1:AB1"/>
    <mergeCell ref="AC1:A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H13" sqref="H13:M13"/>
    </sheetView>
  </sheetViews>
  <sheetFormatPr defaultRowHeight="15" x14ac:dyDescent="0.25"/>
  <sheetData>
    <row r="1" spans="1:13" ht="15.75" x14ac:dyDescent="0.25">
      <c r="A1" s="39" t="s">
        <v>29</v>
      </c>
      <c r="B1" s="40"/>
      <c r="C1" s="40"/>
      <c r="D1" s="40"/>
      <c r="E1" s="40"/>
      <c r="F1" s="41"/>
      <c r="H1" s="39" t="s">
        <v>30</v>
      </c>
      <c r="I1" s="40"/>
      <c r="J1" s="40"/>
      <c r="K1" s="40"/>
      <c r="L1" s="40"/>
      <c r="M1" s="41"/>
    </row>
    <row r="2" spans="1:13" ht="15.75" x14ac:dyDescent="0.25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H2" s="6" t="s">
        <v>26</v>
      </c>
      <c r="I2" s="6" t="s">
        <v>27</v>
      </c>
      <c r="J2" s="6" t="s">
        <v>28</v>
      </c>
      <c r="K2" s="6" t="s">
        <v>23</v>
      </c>
      <c r="L2" s="6" t="s">
        <v>24</v>
      </c>
      <c r="M2" s="6" t="s">
        <v>25</v>
      </c>
    </row>
    <row r="3" spans="1:13" x14ac:dyDescent="0.25">
      <c r="A3">
        <v>0.71999621391296398</v>
      </c>
      <c r="B3">
        <v>-4.1469931602478E-4</v>
      </c>
      <c r="C3">
        <v>-0.10211792588233901</v>
      </c>
      <c r="D3">
        <v>5.2786292508244504E-4</v>
      </c>
      <c r="E3">
        <v>9.6208736300468403E-2</v>
      </c>
      <c r="F3" s="13">
        <v>1.0888772085309E-3</v>
      </c>
      <c r="H3">
        <f>$F3</f>
        <v>1.0888772085309E-3</v>
      </c>
      <c r="I3">
        <f>-1*$E3</f>
        <v>-9.6208736300468403E-2</v>
      </c>
      <c r="J3">
        <f>$D3</f>
        <v>5.2786292508244504E-4</v>
      </c>
      <c r="K3">
        <f>$C3</f>
        <v>-0.10211792588233901</v>
      </c>
      <c r="L3">
        <f>-1*$B3</f>
        <v>4.1469931602478E-4</v>
      </c>
      <c r="M3">
        <f>$A3</f>
        <v>0.71999621391296398</v>
      </c>
    </row>
    <row r="4" spans="1:13" x14ac:dyDescent="0.25">
      <c r="A4">
        <v>0.37701070308685303</v>
      </c>
      <c r="B4">
        <v>-3.4726411104202298E-4</v>
      </c>
      <c r="C4">
        <v>-9.4495028257369995E-2</v>
      </c>
      <c r="D4">
        <v>-3.30834882333875E-6</v>
      </c>
      <c r="E4">
        <v>7.60961323976517E-2</v>
      </c>
      <c r="F4">
        <v>2.36164894886315E-4</v>
      </c>
      <c r="H4">
        <f t="shared" ref="H4:H28" si="0">$F4</f>
        <v>2.36164894886315E-4</v>
      </c>
      <c r="I4">
        <f t="shared" ref="I4:I28" si="1">-1*$E4</f>
        <v>-7.60961323976517E-2</v>
      </c>
      <c r="J4">
        <f t="shared" ref="J4:J28" si="2">$D4</f>
        <v>-3.30834882333875E-6</v>
      </c>
      <c r="K4">
        <f t="shared" ref="K4:K28" si="3">$C4</f>
        <v>-9.4495028257369995E-2</v>
      </c>
      <c r="L4">
        <f t="shared" ref="L4:L28" si="4">-1*$B4</f>
        <v>3.4726411104202298E-4</v>
      </c>
      <c r="M4">
        <f t="shared" ref="M4:M28" si="5">$A4</f>
        <v>0.37701070308685303</v>
      </c>
    </row>
    <row r="5" spans="1:13" x14ac:dyDescent="0.25">
      <c r="A5">
        <v>-0.166554510593414</v>
      </c>
      <c r="B5">
        <v>-0.260549336671829</v>
      </c>
      <c r="C5">
        <v>-0.70404148101806596</v>
      </c>
      <c r="D5">
        <v>2.57922168821096E-2</v>
      </c>
      <c r="E5">
        <v>5.7722970843315097E-2</v>
      </c>
      <c r="F5">
        <v>-5.80515991896391E-3</v>
      </c>
      <c r="H5">
        <f t="shared" si="0"/>
        <v>-5.80515991896391E-3</v>
      </c>
      <c r="I5">
        <f t="shared" si="1"/>
        <v>-5.7722970843315097E-2</v>
      </c>
      <c r="J5">
        <f t="shared" si="2"/>
        <v>2.57922168821096E-2</v>
      </c>
      <c r="K5">
        <f t="shared" si="3"/>
        <v>-0.70404148101806596</v>
      </c>
      <c r="L5">
        <f t="shared" si="4"/>
        <v>0.260549336671829</v>
      </c>
      <c r="M5">
        <f t="shared" si="5"/>
        <v>-0.166554510593414</v>
      </c>
    </row>
    <row r="6" spans="1:13" x14ac:dyDescent="0.25">
      <c r="A6">
        <v>-2.8247416019439701E-2</v>
      </c>
      <c r="B6">
        <v>-4.1902124881744399E-2</v>
      </c>
      <c r="C6">
        <v>-0.60411417484283403</v>
      </c>
      <c r="D6">
        <v>-6.95881946012378E-3</v>
      </c>
      <c r="E6">
        <v>5.4018210619687999E-2</v>
      </c>
      <c r="F6">
        <v>1.5627356246113801E-2</v>
      </c>
      <c r="H6">
        <f t="shared" si="0"/>
        <v>1.5627356246113801E-2</v>
      </c>
      <c r="I6">
        <f t="shared" si="1"/>
        <v>-5.4018210619687999E-2</v>
      </c>
      <c r="J6">
        <f t="shared" si="2"/>
        <v>-6.95881946012378E-3</v>
      </c>
      <c r="K6">
        <f t="shared" si="3"/>
        <v>-0.60411417484283403</v>
      </c>
      <c r="L6">
        <f t="shared" si="4"/>
        <v>4.1902124881744399E-2</v>
      </c>
      <c r="M6">
        <f t="shared" si="5"/>
        <v>-2.8247416019439701E-2</v>
      </c>
    </row>
    <row r="7" spans="1:13" x14ac:dyDescent="0.25">
      <c r="A7">
        <v>-0.70932924747466997</v>
      </c>
      <c r="B7">
        <v>-1.40583515167236E-2</v>
      </c>
      <c r="C7">
        <v>0.62881785631179798</v>
      </c>
      <c r="D7">
        <v>4.0061371400952296E-3</v>
      </c>
      <c r="E7">
        <v>-8.5509866476059002E-2</v>
      </c>
      <c r="F7">
        <v>9.8052504472434499E-4</v>
      </c>
      <c r="H7">
        <f t="shared" si="0"/>
        <v>9.8052504472434499E-4</v>
      </c>
      <c r="I7">
        <f t="shared" si="1"/>
        <v>8.5509866476059002E-2</v>
      </c>
      <c r="J7">
        <f t="shared" si="2"/>
        <v>4.0061371400952296E-3</v>
      </c>
      <c r="K7">
        <f t="shared" si="3"/>
        <v>0.62881785631179798</v>
      </c>
      <c r="L7">
        <f t="shared" si="4"/>
        <v>1.40583515167236E-2</v>
      </c>
      <c r="M7">
        <f t="shared" si="5"/>
        <v>-0.70932924747466997</v>
      </c>
    </row>
    <row r="8" spans="1:13" x14ac:dyDescent="0.25">
      <c r="A8">
        <v>-0.172794073820114</v>
      </c>
      <c r="B8">
        <v>-5.13132847845554E-3</v>
      </c>
      <c r="C8">
        <v>0.14830487966537501</v>
      </c>
      <c r="D8">
        <v>2.6633208617567999E-3</v>
      </c>
      <c r="E8">
        <v>-4.1015565395355197E-2</v>
      </c>
      <c r="F8">
        <v>6.17829151451588E-4</v>
      </c>
      <c r="H8">
        <f t="shared" si="0"/>
        <v>6.17829151451588E-4</v>
      </c>
      <c r="I8">
        <f t="shared" si="1"/>
        <v>4.1015565395355197E-2</v>
      </c>
      <c r="J8">
        <f t="shared" si="2"/>
        <v>2.6633208617567999E-3</v>
      </c>
      <c r="K8">
        <f t="shared" si="3"/>
        <v>0.14830487966537501</v>
      </c>
      <c r="L8">
        <f t="shared" si="4"/>
        <v>5.13132847845554E-3</v>
      </c>
      <c r="M8">
        <f t="shared" si="5"/>
        <v>-0.172794073820114</v>
      </c>
    </row>
    <row r="9" spans="1:13" x14ac:dyDescent="0.25">
      <c r="A9">
        <v>-0.13907811045646701</v>
      </c>
      <c r="B9">
        <v>-8.1693381071090698E-4</v>
      </c>
      <c r="C9">
        <v>7.7061228454113007E-2</v>
      </c>
      <c r="D9">
        <v>1.11881282646209E-3</v>
      </c>
      <c r="E9">
        <v>-1.75231695175171E-2</v>
      </c>
      <c r="F9">
        <v>2.04859534278512E-4</v>
      </c>
      <c r="H9">
        <f t="shared" si="0"/>
        <v>2.04859534278512E-4</v>
      </c>
      <c r="I9">
        <f t="shared" si="1"/>
        <v>1.75231695175171E-2</v>
      </c>
      <c r="J9">
        <f t="shared" si="2"/>
        <v>1.11881282646209E-3</v>
      </c>
      <c r="K9">
        <f t="shared" si="3"/>
        <v>7.7061228454113007E-2</v>
      </c>
      <c r="L9">
        <f t="shared" si="4"/>
        <v>8.1693381071090698E-4</v>
      </c>
      <c r="M9">
        <f t="shared" si="5"/>
        <v>-0.13907811045646701</v>
      </c>
    </row>
    <row r="10" spans="1:13" x14ac:dyDescent="0.25">
      <c r="A10">
        <v>-8.0783911049365997E-2</v>
      </c>
      <c r="B10">
        <v>7.5629539787769296E-4</v>
      </c>
      <c r="C10">
        <v>4.9468118697404903E-2</v>
      </c>
      <c r="D10">
        <v>1.19251162686851E-4</v>
      </c>
      <c r="E10">
        <v>-1.5153425745665999E-2</v>
      </c>
      <c r="F10">
        <v>1.53300730744377E-4</v>
      </c>
      <c r="H10">
        <f t="shared" si="0"/>
        <v>1.53300730744377E-4</v>
      </c>
      <c r="I10">
        <f t="shared" si="1"/>
        <v>1.5153425745665999E-2</v>
      </c>
      <c r="J10">
        <f t="shared" si="2"/>
        <v>1.19251162686851E-4</v>
      </c>
      <c r="K10">
        <f t="shared" si="3"/>
        <v>4.9468118697404903E-2</v>
      </c>
      <c r="L10">
        <f t="shared" si="4"/>
        <v>-7.5629539787769296E-4</v>
      </c>
      <c r="M10">
        <f t="shared" si="5"/>
        <v>-8.0783911049365997E-2</v>
      </c>
    </row>
    <row r="11" spans="1:13" x14ac:dyDescent="0.25">
      <c r="A11">
        <v>-0.12449070066213599</v>
      </c>
      <c r="B11">
        <v>-6.5520424395799602E-3</v>
      </c>
      <c r="C11">
        <v>4.5787166804075199E-2</v>
      </c>
      <c r="D11">
        <v>1.2594839790836E-3</v>
      </c>
      <c r="E11">
        <v>-2.5940375402569799E-2</v>
      </c>
      <c r="F11">
        <v>9.8040979355573698E-4</v>
      </c>
      <c r="H11">
        <f t="shared" si="0"/>
        <v>9.8040979355573698E-4</v>
      </c>
      <c r="I11">
        <f t="shared" si="1"/>
        <v>2.5940375402569799E-2</v>
      </c>
      <c r="J11">
        <f t="shared" si="2"/>
        <v>1.2594839790836E-3</v>
      </c>
      <c r="K11">
        <f t="shared" si="3"/>
        <v>4.5787166804075199E-2</v>
      </c>
      <c r="L11">
        <f t="shared" si="4"/>
        <v>6.5520424395799602E-3</v>
      </c>
      <c r="M11">
        <f t="shared" si="5"/>
        <v>-0.12449070066213599</v>
      </c>
    </row>
    <row r="12" spans="1:13" x14ac:dyDescent="0.25">
      <c r="A12">
        <v>-0.19526579976081801</v>
      </c>
      <c r="B12">
        <v>-9.1080330312251993E-3</v>
      </c>
      <c r="C12">
        <v>-5.6303322315216099E-2</v>
      </c>
      <c r="D12">
        <v>1.3261496787890801E-3</v>
      </c>
      <c r="E12">
        <v>-4.3207850307226202E-2</v>
      </c>
      <c r="F12">
        <v>1.8741261446848501E-3</v>
      </c>
      <c r="H12">
        <f t="shared" si="0"/>
        <v>1.8741261446848501E-3</v>
      </c>
      <c r="I12">
        <f t="shared" si="1"/>
        <v>4.3207850307226202E-2</v>
      </c>
      <c r="J12">
        <f t="shared" si="2"/>
        <v>1.3261496787890801E-3</v>
      </c>
      <c r="K12">
        <f t="shared" si="3"/>
        <v>-5.6303322315216099E-2</v>
      </c>
      <c r="L12">
        <f t="shared" si="4"/>
        <v>9.1080330312251993E-3</v>
      </c>
      <c r="M12">
        <f t="shared" si="5"/>
        <v>-0.19526579976081801</v>
      </c>
    </row>
    <row r="13" spans="1:13" x14ac:dyDescent="0.25">
      <c r="A13">
        <v>-9.4623744487762507E-2</v>
      </c>
      <c r="B13">
        <v>-8.2853538915514894E-3</v>
      </c>
      <c r="C13">
        <v>-2.7036491781473201E-2</v>
      </c>
      <c r="D13">
        <v>2.0784591324627399E-3</v>
      </c>
      <c r="E13">
        <v>-3.00981402397156E-2</v>
      </c>
      <c r="F13">
        <v>1.5600752085447301E-3</v>
      </c>
      <c r="H13">
        <f t="shared" si="0"/>
        <v>1.5600752085447301E-3</v>
      </c>
      <c r="I13">
        <f t="shared" si="1"/>
        <v>3.00981402397156E-2</v>
      </c>
      <c r="J13">
        <f t="shared" si="2"/>
        <v>2.0784591324627399E-3</v>
      </c>
      <c r="K13">
        <f t="shared" si="3"/>
        <v>-2.7036491781473201E-2</v>
      </c>
      <c r="L13">
        <f t="shared" si="4"/>
        <v>8.2853538915514894E-3</v>
      </c>
      <c r="M13">
        <f t="shared" si="5"/>
        <v>-9.4623744487762507E-2</v>
      </c>
    </row>
    <row r="14" spans="1:13" x14ac:dyDescent="0.25">
      <c r="H14">
        <f t="shared" si="0"/>
        <v>0</v>
      </c>
      <c r="I14">
        <f t="shared" si="1"/>
        <v>0</v>
      </c>
      <c r="J14">
        <f t="shared" si="2"/>
        <v>0</v>
      </c>
      <c r="K14">
        <f t="shared" si="3"/>
        <v>0</v>
      </c>
      <c r="L14">
        <f t="shared" si="4"/>
        <v>0</v>
      </c>
      <c r="M14">
        <f t="shared" si="5"/>
        <v>0</v>
      </c>
    </row>
    <row r="15" spans="1:13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8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8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8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8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8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8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8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8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8:13" x14ac:dyDescent="0.2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8:13" x14ac:dyDescent="0.2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08a9f8ec-165a-4165-a8e9-ed45c2de7bcb"/>
    <ds:schemaRef ds:uri="c2b20bf0-79f3-4559-a8ab-bcb74dcd8cd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Proximal Validation (single)</vt:lpstr>
      <vt:lpstr>Distal Validation (single)</vt:lpstr>
      <vt:lpstr>Proximal Validation (3 sensor)</vt:lpstr>
      <vt:lpstr>Distal Validation (3 sensor)</vt:lpstr>
      <vt:lpstr>Sheet2</vt:lpstr>
      <vt:lpstr>Proximal Validation (double)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dcterms:created xsi:type="dcterms:W3CDTF">2025-08-20T18:12:27Z</dcterms:created>
  <dcterms:modified xsi:type="dcterms:W3CDTF">2025-09-25T20:11:52Z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