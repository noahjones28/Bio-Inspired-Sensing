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jpropertycom-my.sharepoint.com/personal/noah_familiajones_org/Documents/Work and Projects/Github/Whisker_Inspired_Sensing_CR/SoRoSim Robots/my_robot(1.5)(3tendon)/10-09-2025/"/>
    </mc:Choice>
  </mc:AlternateContent>
  <xr:revisionPtr revIDLastSave="2188" documentId="8_{DFFD6B0C-681F-42C8-B2E4-5D4B90AAE966}" xr6:coauthVersionLast="47" xr6:coauthVersionMax="47" xr10:uidLastSave="{026C8F0E-D128-4E55-8484-8CF61F93670D}"/>
  <bookViews>
    <workbookView xWindow="-110" yWindow="-110" windowWidth="19420" windowHeight="10300" firstSheet="5" activeTab="6" xr2:uid="{3D16C37F-3C74-4527-A308-796C339DFE9F}"/>
  </bookViews>
  <sheets>
    <sheet name="Proximal Validation (single)" sheetId="8" r:id="rId1"/>
    <sheet name="Distal Validation (single)" sheetId="9" r:id="rId2"/>
    <sheet name="Distal Vali (noise 0.5x spec)" sheetId="13" r:id="rId3"/>
    <sheet name="Distal Vali (noise 1.0x spec)" sheetId="16" r:id="rId4"/>
    <sheet name="Distal Vali (noise 0.5x spec 2)" sheetId="17" r:id="rId5"/>
    <sheet name="Distal Vali (noise 1.0x spec 2)" sheetId="18" r:id="rId6"/>
    <sheet name="Distal Vali (noise 2.0x spec 2)" sheetId="19" r:id="rId7"/>
    <sheet name="Sheet1" sheetId="12" r:id="rId8"/>
    <sheet name="Conversion" sheetId="4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78" i="19" l="1"/>
  <c r="U78" i="19"/>
  <c r="T78" i="19"/>
  <c r="S78" i="19"/>
  <c r="V77" i="19"/>
  <c r="U77" i="19"/>
  <c r="T77" i="19"/>
  <c r="S77" i="19"/>
  <c r="V76" i="19"/>
  <c r="U76" i="19"/>
  <c r="T76" i="19"/>
  <c r="S76" i="19"/>
  <c r="V75" i="19"/>
  <c r="U75" i="19"/>
  <c r="T75" i="19"/>
  <c r="S75" i="19"/>
  <c r="V74" i="19"/>
  <c r="U74" i="19"/>
  <c r="T74" i="19"/>
  <c r="S74" i="19"/>
  <c r="V73" i="19"/>
  <c r="U73" i="19"/>
  <c r="T73" i="19"/>
  <c r="S73" i="19"/>
  <c r="V72" i="19"/>
  <c r="U72" i="19"/>
  <c r="T72" i="19"/>
  <c r="S72" i="19"/>
  <c r="V71" i="19"/>
  <c r="U71" i="19"/>
  <c r="T71" i="19"/>
  <c r="S71" i="19"/>
  <c r="V70" i="19"/>
  <c r="U70" i="19"/>
  <c r="T70" i="19"/>
  <c r="S70" i="19"/>
  <c r="V69" i="19"/>
  <c r="U69" i="19"/>
  <c r="T69" i="19"/>
  <c r="S69" i="19"/>
  <c r="V68" i="19"/>
  <c r="U68" i="19"/>
  <c r="T68" i="19"/>
  <c r="S68" i="19"/>
  <c r="V67" i="19"/>
  <c r="U67" i="19"/>
  <c r="T67" i="19"/>
  <c r="S67" i="19"/>
  <c r="V66" i="19"/>
  <c r="U66" i="19"/>
  <c r="T66" i="19"/>
  <c r="S66" i="19"/>
  <c r="V65" i="19"/>
  <c r="U65" i="19"/>
  <c r="T65" i="19"/>
  <c r="S65" i="19"/>
  <c r="V64" i="19"/>
  <c r="U64" i="19"/>
  <c r="T64" i="19"/>
  <c r="S64" i="19"/>
  <c r="V63" i="19"/>
  <c r="U63" i="19"/>
  <c r="T63" i="19"/>
  <c r="S63" i="19"/>
  <c r="V62" i="19"/>
  <c r="U62" i="19"/>
  <c r="T62" i="19"/>
  <c r="S62" i="19"/>
  <c r="V61" i="19"/>
  <c r="U61" i="19"/>
  <c r="T61" i="19"/>
  <c r="S61" i="19"/>
  <c r="V60" i="19"/>
  <c r="U60" i="19"/>
  <c r="T60" i="19"/>
  <c r="S60" i="19"/>
  <c r="V59" i="19"/>
  <c r="U59" i="19"/>
  <c r="T59" i="19"/>
  <c r="S59" i="19"/>
  <c r="V58" i="19"/>
  <c r="U58" i="19"/>
  <c r="T58" i="19"/>
  <c r="S58" i="19"/>
  <c r="V57" i="19"/>
  <c r="U57" i="19"/>
  <c r="T57" i="19"/>
  <c r="S57" i="19"/>
  <c r="V56" i="19"/>
  <c r="U56" i="19"/>
  <c r="T56" i="19"/>
  <c r="S56" i="19"/>
  <c r="V55" i="19"/>
  <c r="U55" i="19"/>
  <c r="T55" i="19"/>
  <c r="S55" i="19"/>
  <c r="V54" i="19"/>
  <c r="U54" i="19"/>
  <c r="T54" i="19"/>
  <c r="S54" i="19"/>
  <c r="V53" i="19"/>
  <c r="U53" i="19"/>
  <c r="T53" i="19"/>
  <c r="S53" i="19"/>
  <c r="V52" i="19"/>
  <c r="U52" i="19"/>
  <c r="T52" i="19"/>
  <c r="S52" i="19"/>
  <c r="V51" i="19"/>
  <c r="U51" i="19"/>
  <c r="T51" i="19"/>
  <c r="S51" i="19"/>
  <c r="V50" i="19"/>
  <c r="U50" i="19"/>
  <c r="T50" i="19"/>
  <c r="S50" i="19"/>
  <c r="V49" i="19"/>
  <c r="U49" i="19"/>
  <c r="T49" i="19"/>
  <c r="S49" i="19"/>
  <c r="V48" i="19"/>
  <c r="U48" i="19"/>
  <c r="T48" i="19"/>
  <c r="S48" i="19"/>
  <c r="V47" i="19"/>
  <c r="U47" i="19"/>
  <c r="T47" i="19"/>
  <c r="S47" i="19"/>
  <c r="V46" i="19"/>
  <c r="U46" i="19"/>
  <c r="T46" i="19"/>
  <c r="S46" i="19"/>
  <c r="V45" i="19"/>
  <c r="U45" i="19"/>
  <c r="T45" i="19"/>
  <c r="S45" i="19"/>
  <c r="V44" i="19"/>
  <c r="U44" i="19"/>
  <c r="T44" i="19"/>
  <c r="S44" i="19"/>
  <c r="V43" i="19"/>
  <c r="U43" i="19"/>
  <c r="T43" i="19"/>
  <c r="S43" i="19"/>
  <c r="V42" i="19"/>
  <c r="U42" i="19"/>
  <c r="T42" i="19"/>
  <c r="S42" i="19"/>
  <c r="V41" i="19"/>
  <c r="U41" i="19"/>
  <c r="T41" i="19"/>
  <c r="S41" i="19"/>
  <c r="V40" i="19"/>
  <c r="U40" i="19"/>
  <c r="T40" i="19"/>
  <c r="S40" i="19"/>
  <c r="V39" i="19"/>
  <c r="U39" i="19"/>
  <c r="T39" i="19"/>
  <c r="S39" i="19"/>
  <c r="V38" i="19"/>
  <c r="U38" i="19"/>
  <c r="T38" i="19"/>
  <c r="S38" i="19"/>
  <c r="V37" i="19"/>
  <c r="U37" i="19"/>
  <c r="T37" i="19"/>
  <c r="S37" i="19"/>
  <c r="V36" i="19"/>
  <c r="U36" i="19"/>
  <c r="T36" i="19"/>
  <c r="S36" i="19"/>
  <c r="V35" i="19"/>
  <c r="U35" i="19"/>
  <c r="T35" i="19"/>
  <c r="S35" i="19"/>
  <c r="V34" i="19"/>
  <c r="U34" i="19"/>
  <c r="T34" i="19"/>
  <c r="S34" i="19"/>
  <c r="V33" i="19"/>
  <c r="U33" i="19"/>
  <c r="T33" i="19"/>
  <c r="S33" i="19"/>
  <c r="V32" i="19"/>
  <c r="U32" i="19"/>
  <c r="T32" i="19"/>
  <c r="S32" i="19"/>
  <c r="V31" i="19"/>
  <c r="U31" i="19"/>
  <c r="T31" i="19"/>
  <c r="S31" i="19"/>
  <c r="V30" i="19"/>
  <c r="U30" i="19"/>
  <c r="T30" i="19"/>
  <c r="S30" i="19"/>
  <c r="V29" i="19"/>
  <c r="U29" i="19"/>
  <c r="T29" i="19"/>
  <c r="S29" i="19"/>
  <c r="V28" i="19"/>
  <c r="U28" i="19"/>
  <c r="T28" i="19"/>
  <c r="S28" i="19"/>
  <c r="V27" i="19"/>
  <c r="U27" i="19"/>
  <c r="T27" i="19"/>
  <c r="S27" i="19"/>
  <c r="V26" i="19"/>
  <c r="U26" i="19"/>
  <c r="T26" i="19"/>
  <c r="S26" i="19"/>
  <c r="V25" i="19"/>
  <c r="U25" i="19"/>
  <c r="T25" i="19"/>
  <c r="S25" i="19"/>
  <c r="V24" i="19"/>
  <c r="U24" i="19"/>
  <c r="T24" i="19"/>
  <c r="S24" i="19"/>
  <c r="V23" i="19"/>
  <c r="U23" i="19"/>
  <c r="T23" i="19"/>
  <c r="S23" i="19"/>
  <c r="V22" i="19"/>
  <c r="U22" i="19"/>
  <c r="T22" i="19"/>
  <c r="S22" i="19"/>
  <c r="V21" i="19"/>
  <c r="U21" i="19"/>
  <c r="T21" i="19"/>
  <c r="S21" i="19"/>
  <c r="V20" i="19"/>
  <c r="U20" i="19"/>
  <c r="T20" i="19"/>
  <c r="S20" i="19"/>
  <c r="V19" i="19"/>
  <c r="U19" i="19"/>
  <c r="T19" i="19"/>
  <c r="S19" i="19"/>
  <c r="V18" i="19"/>
  <c r="U18" i="19"/>
  <c r="T18" i="19"/>
  <c r="S18" i="19"/>
  <c r="M18" i="19"/>
  <c r="L18" i="19"/>
  <c r="K18" i="19"/>
  <c r="J18" i="19"/>
  <c r="I18" i="19"/>
  <c r="H18" i="19"/>
  <c r="V17" i="19"/>
  <c r="U17" i="19"/>
  <c r="T17" i="19"/>
  <c r="S17" i="19"/>
  <c r="M17" i="19"/>
  <c r="L17" i="19"/>
  <c r="K17" i="19"/>
  <c r="J17" i="19"/>
  <c r="I17" i="19"/>
  <c r="H17" i="19"/>
  <c r="V16" i="19"/>
  <c r="U16" i="19"/>
  <c r="T16" i="19"/>
  <c r="S16" i="19"/>
  <c r="M16" i="19"/>
  <c r="L16" i="19"/>
  <c r="K16" i="19"/>
  <c r="J16" i="19"/>
  <c r="I16" i="19"/>
  <c r="H16" i="19"/>
  <c r="V15" i="19"/>
  <c r="U15" i="19"/>
  <c r="T15" i="19"/>
  <c r="S15" i="19"/>
  <c r="M15" i="19"/>
  <c r="L15" i="19"/>
  <c r="K15" i="19"/>
  <c r="J15" i="19"/>
  <c r="I15" i="19"/>
  <c r="H15" i="19"/>
  <c r="V14" i="19"/>
  <c r="U14" i="19"/>
  <c r="T14" i="19"/>
  <c r="S14" i="19"/>
  <c r="M14" i="19"/>
  <c r="L14" i="19"/>
  <c r="K14" i="19"/>
  <c r="J14" i="19"/>
  <c r="I14" i="19"/>
  <c r="H14" i="19"/>
  <c r="V13" i="19"/>
  <c r="U13" i="19"/>
  <c r="T13" i="19"/>
  <c r="S13" i="19"/>
  <c r="M13" i="19"/>
  <c r="L13" i="19"/>
  <c r="K13" i="19"/>
  <c r="J13" i="19"/>
  <c r="I13" i="19"/>
  <c r="H13" i="19"/>
  <c r="V12" i="19"/>
  <c r="U12" i="19"/>
  <c r="T12" i="19"/>
  <c r="S12" i="19"/>
  <c r="M12" i="19"/>
  <c r="L12" i="19"/>
  <c r="K12" i="19"/>
  <c r="J12" i="19"/>
  <c r="I12" i="19"/>
  <c r="H12" i="19"/>
  <c r="V11" i="19"/>
  <c r="U11" i="19"/>
  <c r="T11" i="19"/>
  <c r="S11" i="19"/>
  <c r="M11" i="19"/>
  <c r="L11" i="19"/>
  <c r="K11" i="19"/>
  <c r="J11" i="19"/>
  <c r="I11" i="19"/>
  <c r="H11" i="19"/>
  <c r="V10" i="19"/>
  <c r="U10" i="19"/>
  <c r="T10" i="19"/>
  <c r="S10" i="19"/>
  <c r="M10" i="19"/>
  <c r="L10" i="19"/>
  <c r="K10" i="19"/>
  <c r="J10" i="19"/>
  <c r="I10" i="19"/>
  <c r="H10" i="19"/>
  <c r="V9" i="19"/>
  <c r="U9" i="19"/>
  <c r="T9" i="19"/>
  <c r="S9" i="19"/>
  <c r="M9" i="19"/>
  <c r="L9" i="19"/>
  <c r="K9" i="19"/>
  <c r="J9" i="19"/>
  <c r="I9" i="19"/>
  <c r="H9" i="19"/>
  <c r="V8" i="19"/>
  <c r="U8" i="19"/>
  <c r="T8" i="19"/>
  <c r="S8" i="19"/>
  <c r="M8" i="19"/>
  <c r="L8" i="19"/>
  <c r="K8" i="19"/>
  <c r="J8" i="19"/>
  <c r="I8" i="19"/>
  <c r="H8" i="19"/>
  <c r="V7" i="19"/>
  <c r="U7" i="19"/>
  <c r="T7" i="19"/>
  <c r="S7" i="19"/>
  <c r="M7" i="19"/>
  <c r="L7" i="19"/>
  <c r="K7" i="19"/>
  <c r="J7" i="19"/>
  <c r="I7" i="19"/>
  <c r="H7" i="19"/>
  <c r="V6" i="19"/>
  <c r="U6" i="19"/>
  <c r="T6" i="19"/>
  <c r="S6" i="19"/>
  <c r="M6" i="19"/>
  <c r="L6" i="19"/>
  <c r="K6" i="19"/>
  <c r="J6" i="19"/>
  <c r="I6" i="19"/>
  <c r="H6" i="19"/>
  <c r="V5" i="19"/>
  <c r="U5" i="19"/>
  <c r="T5" i="19"/>
  <c r="S5" i="19"/>
  <c r="M5" i="19"/>
  <c r="L5" i="19"/>
  <c r="K5" i="19"/>
  <c r="J5" i="19"/>
  <c r="I5" i="19"/>
  <c r="H5" i="19"/>
  <c r="V4" i="19"/>
  <c r="U4" i="19"/>
  <c r="T4" i="19"/>
  <c r="S4" i="19"/>
  <c r="M4" i="19"/>
  <c r="L4" i="19"/>
  <c r="K4" i="19"/>
  <c r="J4" i="19"/>
  <c r="I4" i="19"/>
  <c r="H4" i="19"/>
  <c r="X4" i="19" l="1"/>
  <c r="Y4" i="19"/>
  <c r="Z4" i="19"/>
  <c r="W4" i="19"/>
  <c r="V78" i="18"/>
  <c r="U78" i="18"/>
  <c r="T78" i="18"/>
  <c r="S78" i="18"/>
  <c r="V77" i="18"/>
  <c r="U77" i="18"/>
  <c r="T77" i="18"/>
  <c r="S77" i="18"/>
  <c r="V76" i="18"/>
  <c r="U76" i="18"/>
  <c r="T76" i="18"/>
  <c r="S76" i="18"/>
  <c r="V75" i="18"/>
  <c r="U75" i="18"/>
  <c r="T75" i="18"/>
  <c r="S75" i="18"/>
  <c r="V74" i="18"/>
  <c r="U74" i="18"/>
  <c r="T74" i="18"/>
  <c r="S74" i="18"/>
  <c r="V73" i="18"/>
  <c r="U73" i="18"/>
  <c r="T73" i="18"/>
  <c r="S73" i="18"/>
  <c r="V72" i="18"/>
  <c r="U72" i="18"/>
  <c r="T72" i="18"/>
  <c r="S72" i="18"/>
  <c r="V71" i="18"/>
  <c r="U71" i="18"/>
  <c r="T71" i="18"/>
  <c r="S71" i="18"/>
  <c r="V70" i="18"/>
  <c r="U70" i="18"/>
  <c r="T70" i="18"/>
  <c r="S70" i="18"/>
  <c r="V69" i="18"/>
  <c r="U69" i="18"/>
  <c r="T69" i="18"/>
  <c r="S69" i="18"/>
  <c r="V68" i="18"/>
  <c r="U68" i="18"/>
  <c r="T68" i="18"/>
  <c r="S68" i="18"/>
  <c r="V67" i="18"/>
  <c r="U67" i="18"/>
  <c r="T67" i="18"/>
  <c r="S67" i="18"/>
  <c r="V66" i="18"/>
  <c r="U66" i="18"/>
  <c r="T66" i="18"/>
  <c r="S66" i="18"/>
  <c r="V65" i="18"/>
  <c r="U65" i="18"/>
  <c r="T65" i="18"/>
  <c r="S65" i="18"/>
  <c r="V64" i="18"/>
  <c r="U64" i="18"/>
  <c r="T64" i="18"/>
  <c r="S64" i="18"/>
  <c r="V63" i="18"/>
  <c r="U63" i="18"/>
  <c r="T63" i="18"/>
  <c r="S63" i="18"/>
  <c r="V62" i="18"/>
  <c r="U62" i="18"/>
  <c r="T62" i="18"/>
  <c r="S62" i="18"/>
  <c r="V61" i="18"/>
  <c r="U61" i="18"/>
  <c r="T61" i="18"/>
  <c r="S61" i="18"/>
  <c r="V60" i="18"/>
  <c r="U60" i="18"/>
  <c r="T60" i="18"/>
  <c r="S60" i="18"/>
  <c r="V59" i="18"/>
  <c r="U59" i="18"/>
  <c r="T59" i="18"/>
  <c r="S59" i="18"/>
  <c r="V58" i="18"/>
  <c r="U58" i="18"/>
  <c r="T58" i="18"/>
  <c r="S58" i="18"/>
  <c r="V57" i="18"/>
  <c r="U57" i="18"/>
  <c r="T57" i="18"/>
  <c r="S57" i="18"/>
  <c r="V56" i="18"/>
  <c r="U56" i="18"/>
  <c r="T56" i="18"/>
  <c r="S56" i="18"/>
  <c r="V55" i="18"/>
  <c r="U55" i="18"/>
  <c r="T55" i="18"/>
  <c r="S55" i="18"/>
  <c r="V54" i="18"/>
  <c r="U54" i="18"/>
  <c r="T54" i="18"/>
  <c r="S54" i="18"/>
  <c r="V53" i="18"/>
  <c r="U53" i="18"/>
  <c r="T53" i="18"/>
  <c r="S53" i="18"/>
  <c r="V52" i="18"/>
  <c r="U52" i="18"/>
  <c r="T52" i="18"/>
  <c r="S52" i="18"/>
  <c r="V51" i="18"/>
  <c r="U51" i="18"/>
  <c r="T51" i="18"/>
  <c r="S51" i="18"/>
  <c r="V50" i="18"/>
  <c r="U50" i="18"/>
  <c r="T50" i="18"/>
  <c r="S50" i="18"/>
  <c r="V49" i="18"/>
  <c r="U49" i="18"/>
  <c r="T49" i="18"/>
  <c r="S49" i="18"/>
  <c r="V48" i="18"/>
  <c r="U48" i="18"/>
  <c r="T48" i="18"/>
  <c r="S48" i="18"/>
  <c r="V47" i="18"/>
  <c r="U47" i="18"/>
  <c r="T47" i="18"/>
  <c r="S47" i="18"/>
  <c r="V46" i="18"/>
  <c r="U46" i="18"/>
  <c r="T46" i="18"/>
  <c r="S46" i="18"/>
  <c r="V45" i="18"/>
  <c r="U45" i="18"/>
  <c r="T45" i="18"/>
  <c r="S45" i="18"/>
  <c r="V44" i="18"/>
  <c r="U44" i="18"/>
  <c r="T44" i="18"/>
  <c r="S44" i="18"/>
  <c r="V43" i="18"/>
  <c r="U43" i="18"/>
  <c r="T43" i="18"/>
  <c r="S43" i="18"/>
  <c r="V42" i="18"/>
  <c r="U42" i="18"/>
  <c r="T42" i="18"/>
  <c r="S42" i="18"/>
  <c r="V41" i="18"/>
  <c r="U41" i="18"/>
  <c r="T41" i="18"/>
  <c r="S41" i="18"/>
  <c r="V40" i="18"/>
  <c r="U40" i="18"/>
  <c r="T40" i="18"/>
  <c r="S40" i="18"/>
  <c r="V39" i="18"/>
  <c r="U39" i="18"/>
  <c r="T39" i="18"/>
  <c r="S39" i="18"/>
  <c r="V38" i="18"/>
  <c r="U38" i="18"/>
  <c r="T38" i="18"/>
  <c r="S38" i="18"/>
  <c r="V37" i="18"/>
  <c r="U37" i="18"/>
  <c r="T37" i="18"/>
  <c r="S37" i="18"/>
  <c r="V36" i="18"/>
  <c r="U36" i="18"/>
  <c r="T36" i="18"/>
  <c r="S36" i="18"/>
  <c r="V35" i="18"/>
  <c r="U35" i="18"/>
  <c r="T35" i="18"/>
  <c r="S35" i="18"/>
  <c r="V34" i="18"/>
  <c r="U34" i="18"/>
  <c r="T34" i="18"/>
  <c r="S34" i="18"/>
  <c r="V33" i="18"/>
  <c r="U33" i="18"/>
  <c r="T33" i="18"/>
  <c r="S33" i="18"/>
  <c r="V32" i="18"/>
  <c r="U32" i="18"/>
  <c r="T32" i="18"/>
  <c r="S32" i="18"/>
  <c r="V31" i="18"/>
  <c r="U31" i="18"/>
  <c r="T31" i="18"/>
  <c r="S31" i="18"/>
  <c r="V30" i="18"/>
  <c r="U30" i="18"/>
  <c r="T30" i="18"/>
  <c r="S30" i="18"/>
  <c r="V29" i="18"/>
  <c r="U29" i="18"/>
  <c r="T29" i="18"/>
  <c r="S29" i="18"/>
  <c r="V28" i="18"/>
  <c r="U28" i="18"/>
  <c r="T28" i="18"/>
  <c r="S28" i="18"/>
  <c r="V27" i="18"/>
  <c r="U27" i="18"/>
  <c r="T27" i="18"/>
  <c r="S27" i="18"/>
  <c r="V26" i="18"/>
  <c r="U26" i="18"/>
  <c r="T26" i="18"/>
  <c r="S26" i="18"/>
  <c r="V25" i="18"/>
  <c r="U25" i="18"/>
  <c r="T25" i="18"/>
  <c r="S25" i="18"/>
  <c r="V24" i="18"/>
  <c r="U24" i="18"/>
  <c r="T24" i="18"/>
  <c r="S24" i="18"/>
  <c r="V23" i="18"/>
  <c r="U23" i="18"/>
  <c r="T23" i="18"/>
  <c r="S23" i="18"/>
  <c r="V22" i="18"/>
  <c r="U22" i="18"/>
  <c r="T22" i="18"/>
  <c r="S22" i="18"/>
  <c r="V21" i="18"/>
  <c r="U21" i="18"/>
  <c r="T21" i="18"/>
  <c r="S21" i="18"/>
  <c r="V20" i="18"/>
  <c r="U20" i="18"/>
  <c r="T20" i="18"/>
  <c r="S20" i="18"/>
  <c r="V19" i="18"/>
  <c r="U19" i="18"/>
  <c r="T19" i="18"/>
  <c r="S19" i="18"/>
  <c r="V18" i="18"/>
  <c r="U18" i="18"/>
  <c r="T18" i="18"/>
  <c r="S18" i="18"/>
  <c r="M18" i="18"/>
  <c r="L18" i="18"/>
  <c r="K18" i="18"/>
  <c r="J18" i="18"/>
  <c r="I18" i="18"/>
  <c r="H18" i="18"/>
  <c r="V17" i="18"/>
  <c r="U17" i="18"/>
  <c r="T17" i="18"/>
  <c r="S17" i="18"/>
  <c r="M17" i="18"/>
  <c r="L17" i="18"/>
  <c r="K17" i="18"/>
  <c r="J17" i="18"/>
  <c r="I17" i="18"/>
  <c r="H17" i="18"/>
  <c r="V16" i="18"/>
  <c r="U16" i="18"/>
  <c r="T16" i="18"/>
  <c r="S16" i="18"/>
  <c r="M16" i="18"/>
  <c r="L16" i="18"/>
  <c r="K16" i="18"/>
  <c r="J16" i="18"/>
  <c r="I16" i="18"/>
  <c r="H16" i="18"/>
  <c r="V15" i="18"/>
  <c r="U15" i="18"/>
  <c r="T15" i="18"/>
  <c r="S15" i="18"/>
  <c r="M15" i="18"/>
  <c r="L15" i="18"/>
  <c r="K15" i="18"/>
  <c r="J15" i="18"/>
  <c r="I15" i="18"/>
  <c r="H15" i="18"/>
  <c r="V14" i="18"/>
  <c r="U14" i="18"/>
  <c r="T14" i="18"/>
  <c r="S14" i="18"/>
  <c r="M14" i="18"/>
  <c r="L14" i="18"/>
  <c r="K14" i="18"/>
  <c r="J14" i="18"/>
  <c r="I14" i="18"/>
  <c r="H14" i="18"/>
  <c r="V13" i="18"/>
  <c r="U13" i="18"/>
  <c r="T13" i="18"/>
  <c r="S13" i="18"/>
  <c r="M13" i="18"/>
  <c r="L13" i="18"/>
  <c r="K13" i="18"/>
  <c r="J13" i="18"/>
  <c r="I13" i="18"/>
  <c r="H13" i="18"/>
  <c r="V12" i="18"/>
  <c r="U12" i="18"/>
  <c r="T12" i="18"/>
  <c r="S12" i="18"/>
  <c r="M12" i="18"/>
  <c r="L12" i="18"/>
  <c r="K12" i="18"/>
  <c r="J12" i="18"/>
  <c r="I12" i="18"/>
  <c r="H12" i="18"/>
  <c r="V11" i="18"/>
  <c r="U11" i="18"/>
  <c r="T11" i="18"/>
  <c r="S11" i="18"/>
  <c r="M11" i="18"/>
  <c r="L11" i="18"/>
  <c r="K11" i="18"/>
  <c r="J11" i="18"/>
  <c r="I11" i="18"/>
  <c r="H11" i="18"/>
  <c r="V10" i="18"/>
  <c r="U10" i="18"/>
  <c r="T10" i="18"/>
  <c r="S10" i="18"/>
  <c r="M10" i="18"/>
  <c r="L10" i="18"/>
  <c r="K10" i="18"/>
  <c r="J10" i="18"/>
  <c r="I10" i="18"/>
  <c r="H10" i="18"/>
  <c r="V9" i="18"/>
  <c r="U9" i="18"/>
  <c r="T9" i="18"/>
  <c r="S9" i="18"/>
  <c r="M9" i="18"/>
  <c r="L9" i="18"/>
  <c r="K9" i="18"/>
  <c r="J9" i="18"/>
  <c r="I9" i="18"/>
  <c r="H9" i="18"/>
  <c r="V8" i="18"/>
  <c r="U8" i="18"/>
  <c r="T8" i="18"/>
  <c r="S8" i="18"/>
  <c r="M8" i="18"/>
  <c r="L8" i="18"/>
  <c r="K8" i="18"/>
  <c r="J8" i="18"/>
  <c r="I8" i="18"/>
  <c r="H8" i="18"/>
  <c r="V7" i="18"/>
  <c r="U7" i="18"/>
  <c r="T7" i="18"/>
  <c r="S7" i="18"/>
  <c r="M7" i="18"/>
  <c r="L7" i="18"/>
  <c r="K7" i="18"/>
  <c r="J7" i="18"/>
  <c r="I7" i="18"/>
  <c r="H7" i="18"/>
  <c r="V6" i="18"/>
  <c r="U6" i="18"/>
  <c r="T6" i="18"/>
  <c r="S6" i="18"/>
  <c r="M6" i="18"/>
  <c r="L6" i="18"/>
  <c r="K6" i="18"/>
  <c r="J6" i="18"/>
  <c r="I6" i="18"/>
  <c r="H6" i="18"/>
  <c r="V5" i="18"/>
  <c r="U5" i="18"/>
  <c r="T5" i="18"/>
  <c r="S5" i="18"/>
  <c r="M5" i="18"/>
  <c r="L5" i="18"/>
  <c r="K5" i="18"/>
  <c r="J5" i="18"/>
  <c r="I5" i="18"/>
  <c r="H5" i="18"/>
  <c r="V4" i="18"/>
  <c r="U4" i="18"/>
  <c r="T4" i="18"/>
  <c r="S4" i="18"/>
  <c r="M4" i="18"/>
  <c r="L4" i="18"/>
  <c r="K4" i="18"/>
  <c r="J4" i="18"/>
  <c r="I4" i="18"/>
  <c r="H4" i="18"/>
  <c r="V78" i="17"/>
  <c r="U78" i="17"/>
  <c r="T78" i="17"/>
  <c r="S78" i="17"/>
  <c r="V77" i="17"/>
  <c r="U77" i="17"/>
  <c r="T77" i="17"/>
  <c r="S77" i="17"/>
  <c r="V76" i="17"/>
  <c r="U76" i="17"/>
  <c r="T76" i="17"/>
  <c r="S76" i="17"/>
  <c r="V75" i="17"/>
  <c r="U75" i="17"/>
  <c r="T75" i="17"/>
  <c r="S75" i="17"/>
  <c r="V74" i="17"/>
  <c r="U74" i="17"/>
  <c r="T74" i="17"/>
  <c r="S74" i="17"/>
  <c r="V73" i="17"/>
  <c r="U73" i="17"/>
  <c r="T73" i="17"/>
  <c r="S73" i="17"/>
  <c r="V72" i="17"/>
  <c r="U72" i="17"/>
  <c r="T72" i="17"/>
  <c r="S72" i="17"/>
  <c r="V71" i="17"/>
  <c r="U71" i="17"/>
  <c r="T71" i="17"/>
  <c r="S71" i="17"/>
  <c r="V70" i="17"/>
  <c r="U70" i="17"/>
  <c r="T70" i="17"/>
  <c r="S70" i="17"/>
  <c r="V69" i="17"/>
  <c r="U69" i="17"/>
  <c r="T69" i="17"/>
  <c r="S69" i="17"/>
  <c r="V68" i="17"/>
  <c r="U68" i="17"/>
  <c r="T68" i="17"/>
  <c r="S68" i="17"/>
  <c r="V67" i="17"/>
  <c r="U67" i="17"/>
  <c r="T67" i="17"/>
  <c r="S67" i="17"/>
  <c r="V66" i="17"/>
  <c r="U66" i="17"/>
  <c r="T66" i="17"/>
  <c r="S66" i="17"/>
  <c r="V65" i="17"/>
  <c r="U65" i="17"/>
  <c r="T65" i="17"/>
  <c r="S65" i="17"/>
  <c r="V64" i="17"/>
  <c r="U64" i="17"/>
  <c r="T64" i="17"/>
  <c r="S64" i="17"/>
  <c r="V63" i="17"/>
  <c r="U63" i="17"/>
  <c r="T63" i="17"/>
  <c r="S63" i="17"/>
  <c r="V62" i="17"/>
  <c r="U62" i="17"/>
  <c r="T62" i="17"/>
  <c r="S62" i="17"/>
  <c r="V61" i="17"/>
  <c r="U61" i="17"/>
  <c r="T61" i="17"/>
  <c r="S61" i="17"/>
  <c r="V60" i="17"/>
  <c r="U60" i="17"/>
  <c r="T60" i="17"/>
  <c r="S60" i="17"/>
  <c r="V59" i="17"/>
  <c r="U59" i="17"/>
  <c r="T59" i="17"/>
  <c r="S59" i="17"/>
  <c r="V58" i="17"/>
  <c r="U58" i="17"/>
  <c r="T58" i="17"/>
  <c r="S58" i="17"/>
  <c r="V57" i="17"/>
  <c r="U57" i="17"/>
  <c r="T57" i="17"/>
  <c r="S57" i="17"/>
  <c r="V56" i="17"/>
  <c r="U56" i="17"/>
  <c r="T56" i="17"/>
  <c r="S56" i="17"/>
  <c r="V55" i="17"/>
  <c r="U55" i="17"/>
  <c r="T55" i="17"/>
  <c r="S55" i="17"/>
  <c r="V54" i="17"/>
  <c r="U54" i="17"/>
  <c r="T54" i="17"/>
  <c r="S54" i="17"/>
  <c r="V53" i="17"/>
  <c r="U53" i="17"/>
  <c r="T53" i="17"/>
  <c r="S53" i="17"/>
  <c r="V52" i="17"/>
  <c r="U52" i="17"/>
  <c r="T52" i="17"/>
  <c r="S52" i="17"/>
  <c r="V51" i="17"/>
  <c r="U51" i="17"/>
  <c r="T51" i="17"/>
  <c r="S51" i="17"/>
  <c r="V50" i="17"/>
  <c r="U50" i="17"/>
  <c r="T50" i="17"/>
  <c r="S50" i="17"/>
  <c r="V49" i="17"/>
  <c r="U49" i="17"/>
  <c r="T49" i="17"/>
  <c r="S49" i="17"/>
  <c r="V48" i="17"/>
  <c r="U48" i="17"/>
  <c r="T48" i="17"/>
  <c r="S48" i="17"/>
  <c r="V47" i="17"/>
  <c r="U47" i="17"/>
  <c r="T47" i="17"/>
  <c r="S47" i="17"/>
  <c r="V46" i="17"/>
  <c r="U46" i="17"/>
  <c r="T46" i="17"/>
  <c r="S46" i="17"/>
  <c r="V45" i="17"/>
  <c r="U45" i="17"/>
  <c r="T45" i="17"/>
  <c r="S45" i="17"/>
  <c r="V44" i="17"/>
  <c r="U44" i="17"/>
  <c r="T44" i="17"/>
  <c r="S44" i="17"/>
  <c r="V43" i="17"/>
  <c r="U43" i="17"/>
  <c r="T43" i="17"/>
  <c r="S43" i="17"/>
  <c r="V42" i="17"/>
  <c r="U42" i="17"/>
  <c r="T42" i="17"/>
  <c r="S42" i="17"/>
  <c r="V41" i="17"/>
  <c r="U41" i="17"/>
  <c r="T41" i="17"/>
  <c r="S41" i="17"/>
  <c r="V40" i="17"/>
  <c r="U40" i="17"/>
  <c r="T40" i="17"/>
  <c r="S40" i="17"/>
  <c r="V39" i="17"/>
  <c r="U39" i="17"/>
  <c r="T39" i="17"/>
  <c r="S39" i="17"/>
  <c r="V38" i="17"/>
  <c r="U38" i="17"/>
  <c r="T38" i="17"/>
  <c r="S38" i="17"/>
  <c r="V37" i="17"/>
  <c r="U37" i="17"/>
  <c r="T37" i="17"/>
  <c r="S37" i="17"/>
  <c r="V36" i="17"/>
  <c r="U36" i="17"/>
  <c r="T36" i="17"/>
  <c r="S36" i="17"/>
  <c r="V35" i="17"/>
  <c r="U35" i="17"/>
  <c r="T35" i="17"/>
  <c r="S35" i="17"/>
  <c r="V34" i="17"/>
  <c r="U34" i="17"/>
  <c r="T34" i="17"/>
  <c r="S34" i="17"/>
  <c r="V33" i="17"/>
  <c r="U33" i="17"/>
  <c r="T33" i="17"/>
  <c r="S33" i="17"/>
  <c r="V32" i="17"/>
  <c r="U32" i="17"/>
  <c r="T32" i="17"/>
  <c r="S32" i="17"/>
  <c r="V31" i="17"/>
  <c r="U31" i="17"/>
  <c r="T31" i="17"/>
  <c r="S31" i="17"/>
  <c r="V30" i="17"/>
  <c r="U30" i="17"/>
  <c r="T30" i="17"/>
  <c r="S30" i="17"/>
  <c r="V29" i="17"/>
  <c r="U29" i="17"/>
  <c r="T29" i="17"/>
  <c r="S29" i="17"/>
  <c r="V28" i="17"/>
  <c r="U28" i="17"/>
  <c r="T28" i="17"/>
  <c r="S28" i="17"/>
  <c r="V27" i="17"/>
  <c r="U27" i="17"/>
  <c r="T27" i="17"/>
  <c r="S27" i="17"/>
  <c r="V26" i="17"/>
  <c r="U26" i="17"/>
  <c r="T26" i="17"/>
  <c r="S26" i="17"/>
  <c r="V25" i="17"/>
  <c r="U25" i="17"/>
  <c r="T25" i="17"/>
  <c r="S25" i="17"/>
  <c r="V24" i="17"/>
  <c r="U24" i="17"/>
  <c r="T24" i="17"/>
  <c r="S24" i="17"/>
  <c r="V23" i="17"/>
  <c r="U23" i="17"/>
  <c r="T23" i="17"/>
  <c r="S23" i="17"/>
  <c r="V22" i="17"/>
  <c r="U22" i="17"/>
  <c r="T22" i="17"/>
  <c r="S22" i="17"/>
  <c r="V21" i="17"/>
  <c r="U21" i="17"/>
  <c r="T21" i="17"/>
  <c r="S21" i="17"/>
  <c r="V20" i="17"/>
  <c r="U20" i="17"/>
  <c r="T20" i="17"/>
  <c r="S20" i="17"/>
  <c r="V19" i="17"/>
  <c r="U19" i="17"/>
  <c r="T19" i="17"/>
  <c r="S19" i="17"/>
  <c r="V18" i="17"/>
  <c r="U18" i="17"/>
  <c r="T18" i="17"/>
  <c r="S18" i="17"/>
  <c r="M18" i="17"/>
  <c r="L18" i="17"/>
  <c r="K18" i="17"/>
  <c r="J18" i="17"/>
  <c r="I18" i="17"/>
  <c r="H18" i="17"/>
  <c r="V17" i="17"/>
  <c r="U17" i="17"/>
  <c r="T17" i="17"/>
  <c r="S17" i="17"/>
  <c r="M17" i="17"/>
  <c r="L17" i="17"/>
  <c r="K17" i="17"/>
  <c r="J17" i="17"/>
  <c r="I17" i="17"/>
  <c r="H17" i="17"/>
  <c r="V16" i="17"/>
  <c r="U16" i="17"/>
  <c r="T16" i="17"/>
  <c r="S16" i="17"/>
  <c r="M16" i="17"/>
  <c r="L16" i="17"/>
  <c r="K16" i="17"/>
  <c r="J16" i="17"/>
  <c r="I16" i="17"/>
  <c r="H16" i="17"/>
  <c r="V15" i="17"/>
  <c r="U15" i="17"/>
  <c r="T15" i="17"/>
  <c r="S15" i="17"/>
  <c r="M15" i="17"/>
  <c r="L15" i="17"/>
  <c r="K15" i="17"/>
  <c r="J15" i="17"/>
  <c r="I15" i="17"/>
  <c r="H15" i="17"/>
  <c r="V14" i="17"/>
  <c r="U14" i="17"/>
  <c r="T14" i="17"/>
  <c r="S14" i="17"/>
  <c r="M14" i="17"/>
  <c r="L14" i="17"/>
  <c r="K14" i="17"/>
  <c r="J14" i="17"/>
  <c r="I14" i="17"/>
  <c r="H14" i="17"/>
  <c r="V13" i="17"/>
  <c r="U13" i="17"/>
  <c r="T13" i="17"/>
  <c r="S13" i="17"/>
  <c r="M13" i="17"/>
  <c r="L13" i="17"/>
  <c r="K13" i="17"/>
  <c r="J13" i="17"/>
  <c r="I13" i="17"/>
  <c r="H13" i="17"/>
  <c r="V12" i="17"/>
  <c r="U12" i="17"/>
  <c r="T12" i="17"/>
  <c r="S12" i="17"/>
  <c r="M12" i="17"/>
  <c r="L12" i="17"/>
  <c r="K12" i="17"/>
  <c r="J12" i="17"/>
  <c r="I12" i="17"/>
  <c r="H12" i="17"/>
  <c r="V11" i="17"/>
  <c r="U11" i="17"/>
  <c r="T11" i="17"/>
  <c r="S11" i="17"/>
  <c r="M11" i="17"/>
  <c r="L11" i="17"/>
  <c r="K11" i="17"/>
  <c r="J11" i="17"/>
  <c r="I11" i="17"/>
  <c r="H11" i="17"/>
  <c r="V10" i="17"/>
  <c r="U10" i="17"/>
  <c r="T10" i="17"/>
  <c r="S10" i="17"/>
  <c r="M10" i="17"/>
  <c r="L10" i="17"/>
  <c r="K10" i="17"/>
  <c r="J10" i="17"/>
  <c r="I10" i="17"/>
  <c r="H10" i="17"/>
  <c r="V9" i="17"/>
  <c r="U9" i="17"/>
  <c r="T9" i="17"/>
  <c r="S9" i="17"/>
  <c r="M9" i="17"/>
  <c r="L9" i="17"/>
  <c r="K9" i="17"/>
  <c r="J9" i="17"/>
  <c r="I9" i="17"/>
  <c r="H9" i="17"/>
  <c r="V8" i="17"/>
  <c r="U8" i="17"/>
  <c r="T8" i="17"/>
  <c r="S8" i="17"/>
  <c r="M8" i="17"/>
  <c r="L8" i="17"/>
  <c r="K8" i="17"/>
  <c r="J8" i="17"/>
  <c r="I8" i="17"/>
  <c r="H8" i="17"/>
  <c r="V7" i="17"/>
  <c r="U7" i="17"/>
  <c r="T7" i="17"/>
  <c r="S7" i="17"/>
  <c r="M7" i="17"/>
  <c r="L7" i="17"/>
  <c r="K7" i="17"/>
  <c r="J7" i="17"/>
  <c r="I7" i="17"/>
  <c r="H7" i="17"/>
  <c r="V6" i="17"/>
  <c r="U6" i="17"/>
  <c r="T6" i="17"/>
  <c r="S6" i="17"/>
  <c r="M6" i="17"/>
  <c r="L6" i="17"/>
  <c r="K6" i="17"/>
  <c r="J6" i="17"/>
  <c r="I6" i="17"/>
  <c r="H6" i="17"/>
  <c r="V5" i="17"/>
  <c r="U5" i="17"/>
  <c r="T5" i="17"/>
  <c r="S5" i="17"/>
  <c r="M5" i="17"/>
  <c r="L5" i="17"/>
  <c r="K5" i="17"/>
  <c r="J5" i="17"/>
  <c r="I5" i="17"/>
  <c r="H5" i="17"/>
  <c r="V4" i="17"/>
  <c r="U4" i="17"/>
  <c r="T4" i="17"/>
  <c r="S4" i="17"/>
  <c r="M4" i="17"/>
  <c r="L4" i="17"/>
  <c r="K4" i="17"/>
  <c r="J4" i="17"/>
  <c r="I4" i="17"/>
  <c r="H4" i="17"/>
  <c r="Z7" i="16"/>
  <c r="Y7" i="16"/>
  <c r="X7" i="16"/>
  <c r="W7" i="16"/>
  <c r="X6" i="16"/>
  <c r="Y6" i="16"/>
  <c r="Z6" i="16"/>
  <c r="W6" i="16"/>
  <c r="W4" i="17" l="1"/>
  <c r="X4" i="17"/>
  <c r="Y4" i="17"/>
  <c r="Z4" i="17"/>
  <c r="W4" i="18"/>
  <c r="Z4" i="18"/>
  <c r="X4" i="18"/>
  <c r="Y4" i="18"/>
  <c r="R153" i="16"/>
  <c r="X3" i="16"/>
  <c r="Y3" i="16"/>
  <c r="Z3" i="16"/>
  <c r="X3" i="13"/>
  <c r="W3" i="13"/>
  <c r="V152" i="16"/>
  <c r="U152" i="16"/>
  <c r="T152" i="16"/>
  <c r="S152" i="16"/>
  <c r="V151" i="16"/>
  <c r="U151" i="16"/>
  <c r="T151" i="16"/>
  <c r="S151" i="16"/>
  <c r="V150" i="16"/>
  <c r="U150" i="16"/>
  <c r="T150" i="16"/>
  <c r="S150" i="16"/>
  <c r="V149" i="16"/>
  <c r="U149" i="16"/>
  <c r="T149" i="16"/>
  <c r="S149" i="16"/>
  <c r="V148" i="16"/>
  <c r="U148" i="16"/>
  <c r="T148" i="16"/>
  <c r="S148" i="16"/>
  <c r="V147" i="16"/>
  <c r="U147" i="16"/>
  <c r="T147" i="16"/>
  <c r="S147" i="16"/>
  <c r="V146" i="16"/>
  <c r="U146" i="16"/>
  <c r="T146" i="16"/>
  <c r="S146" i="16"/>
  <c r="V145" i="16"/>
  <c r="U145" i="16"/>
  <c r="T145" i="16"/>
  <c r="S145" i="16"/>
  <c r="V144" i="16"/>
  <c r="U144" i="16"/>
  <c r="T144" i="16"/>
  <c r="S144" i="16"/>
  <c r="V143" i="16"/>
  <c r="U143" i="16"/>
  <c r="T143" i="16"/>
  <c r="S143" i="16"/>
  <c r="V142" i="16"/>
  <c r="U142" i="16"/>
  <c r="T142" i="16"/>
  <c r="S142" i="16"/>
  <c r="V141" i="16"/>
  <c r="U141" i="16"/>
  <c r="T141" i="16"/>
  <c r="S141" i="16"/>
  <c r="V140" i="16"/>
  <c r="U140" i="16"/>
  <c r="T140" i="16"/>
  <c r="S140" i="16"/>
  <c r="V139" i="16"/>
  <c r="U139" i="16"/>
  <c r="T139" i="16"/>
  <c r="S139" i="16"/>
  <c r="V138" i="16"/>
  <c r="U138" i="16"/>
  <c r="T138" i="16"/>
  <c r="S138" i="16"/>
  <c r="V137" i="16"/>
  <c r="U137" i="16"/>
  <c r="T137" i="16"/>
  <c r="S137" i="16"/>
  <c r="V136" i="16"/>
  <c r="U136" i="16"/>
  <c r="T136" i="16"/>
  <c r="S136" i="16"/>
  <c r="V135" i="16"/>
  <c r="U135" i="16"/>
  <c r="T135" i="16"/>
  <c r="S135" i="16"/>
  <c r="V134" i="16"/>
  <c r="U134" i="16"/>
  <c r="T134" i="16"/>
  <c r="S134" i="16"/>
  <c r="V133" i="16"/>
  <c r="U133" i="16"/>
  <c r="T133" i="16"/>
  <c r="S133" i="16"/>
  <c r="V132" i="16"/>
  <c r="U132" i="16"/>
  <c r="T132" i="16"/>
  <c r="S132" i="16"/>
  <c r="V131" i="16"/>
  <c r="U131" i="16"/>
  <c r="T131" i="16"/>
  <c r="S131" i="16"/>
  <c r="V130" i="16"/>
  <c r="U130" i="16"/>
  <c r="T130" i="16"/>
  <c r="S130" i="16"/>
  <c r="V129" i="16"/>
  <c r="U129" i="16"/>
  <c r="T129" i="16"/>
  <c r="S129" i="16"/>
  <c r="V128" i="16"/>
  <c r="U128" i="16"/>
  <c r="T128" i="16"/>
  <c r="S128" i="16"/>
  <c r="V127" i="16"/>
  <c r="U127" i="16"/>
  <c r="T127" i="16"/>
  <c r="S127" i="16"/>
  <c r="V126" i="16"/>
  <c r="U126" i="16"/>
  <c r="T126" i="16"/>
  <c r="S126" i="16"/>
  <c r="V125" i="16"/>
  <c r="U125" i="16"/>
  <c r="T125" i="16"/>
  <c r="S125" i="16"/>
  <c r="V124" i="16"/>
  <c r="U124" i="16"/>
  <c r="T124" i="16"/>
  <c r="S124" i="16"/>
  <c r="V123" i="16"/>
  <c r="U123" i="16"/>
  <c r="T123" i="16"/>
  <c r="S123" i="16"/>
  <c r="V122" i="16"/>
  <c r="U122" i="16"/>
  <c r="T122" i="16"/>
  <c r="S122" i="16"/>
  <c r="V121" i="16"/>
  <c r="U121" i="16"/>
  <c r="T121" i="16"/>
  <c r="S121" i="16"/>
  <c r="V120" i="16"/>
  <c r="U120" i="16"/>
  <c r="T120" i="16"/>
  <c r="S120" i="16"/>
  <c r="V119" i="16"/>
  <c r="U119" i="16"/>
  <c r="T119" i="16"/>
  <c r="S119" i="16"/>
  <c r="V118" i="16"/>
  <c r="U118" i="16"/>
  <c r="T118" i="16"/>
  <c r="S118" i="16"/>
  <c r="V117" i="16"/>
  <c r="U117" i="16"/>
  <c r="T117" i="16"/>
  <c r="S117" i="16"/>
  <c r="V116" i="16"/>
  <c r="U116" i="16"/>
  <c r="T116" i="16"/>
  <c r="S116" i="16"/>
  <c r="V115" i="16"/>
  <c r="U115" i="16"/>
  <c r="T115" i="16"/>
  <c r="S115" i="16"/>
  <c r="V114" i="16"/>
  <c r="U114" i="16"/>
  <c r="T114" i="16"/>
  <c r="S114" i="16"/>
  <c r="V113" i="16"/>
  <c r="U113" i="16"/>
  <c r="T113" i="16"/>
  <c r="S113" i="16"/>
  <c r="V112" i="16"/>
  <c r="U112" i="16"/>
  <c r="T112" i="16"/>
  <c r="S112" i="16"/>
  <c r="V111" i="16"/>
  <c r="U111" i="16"/>
  <c r="T111" i="16"/>
  <c r="S111" i="16"/>
  <c r="V110" i="16"/>
  <c r="U110" i="16"/>
  <c r="T110" i="16"/>
  <c r="S110" i="16"/>
  <c r="V109" i="16"/>
  <c r="U109" i="16"/>
  <c r="T109" i="16"/>
  <c r="S109" i="16"/>
  <c r="V108" i="16"/>
  <c r="U108" i="16"/>
  <c r="T108" i="16"/>
  <c r="S108" i="16"/>
  <c r="V107" i="16"/>
  <c r="U107" i="16"/>
  <c r="T107" i="16"/>
  <c r="S107" i="16"/>
  <c r="V106" i="16"/>
  <c r="U106" i="16"/>
  <c r="T106" i="16"/>
  <c r="S106" i="16"/>
  <c r="V105" i="16"/>
  <c r="U105" i="16"/>
  <c r="T105" i="16"/>
  <c r="S105" i="16"/>
  <c r="V104" i="16"/>
  <c r="U104" i="16"/>
  <c r="T104" i="16"/>
  <c r="S104" i="16"/>
  <c r="V103" i="16"/>
  <c r="U103" i="16"/>
  <c r="T103" i="16"/>
  <c r="S103" i="16"/>
  <c r="V102" i="16"/>
  <c r="U102" i="16"/>
  <c r="T102" i="16"/>
  <c r="S102" i="16"/>
  <c r="V101" i="16"/>
  <c r="U101" i="16"/>
  <c r="T101" i="16"/>
  <c r="S101" i="16"/>
  <c r="V100" i="16"/>
  <c r="U100" i="16"/>
  <c r="T100" i="16"/>
  <c r="S100" i="16"/>
  <c r="V99" i="16"/>
  <c r="U99" i="16"/>
  <c r="T99" i="16"/>
  <c r="S99" i="16"/>
  <c r="V98" i="16"/>
  <c r="U98" i="16"/>
  <c r="T98" i="16"/>
  <c r="S98" i="16"/>
  <c r="V97" i="16"/>
  <c r="U97" i="16"/>
  <c r="T97" i="16"/>
  <c r="S97" i="16"/>
  <c r="V96" i="16"/>
  <c r="U96" i="16"/>
  <c r="T96" i="16"/>
  <c r="S96" i="16"/>
  <c r="V95" i="16"/>
  <c r="U95" i="16"/>
  <c r="T95" i="16"/>
  <c r="S95" i="16"/>
  <c r="V94" i="16"/>
  <c r="U94" i="16"/>
  <c r="T94" i="16"/>
  <c r="S94" i="16"/>
  <c r="V93" i="16"/>
  <c r="U93" i="16"/>
  <c r="T93" i="16"/>
  <c r="S93" i="16"/>
  <c r="V92" i="16"/>
  <c r="U92" i="16"/>
  <c r="T92" i="16"/>
  <c r="S92" i="16"/>
  <c r="V91" i="16"/>
  <c r="U91" i="16"/>
  <c r="T91" i="16"/>
  <c r="S91" i="16"/>
  <c r="V90" i="16"/>
  <c r="U90" i="16"/>
  <c r="T90" i="16"/>
  <c r="S90" i="16"/>
  <c r="V89" i="16"/>
  <c r="U89" i="16"/>
  <c r="T89" i="16"/>
  <c r="S89" i="16"/>
  <c r="V88" i="16"/>
  <c r="U88" i="16"/>
  <c r="T88" i="16"/>
  <c r="S88" i="16"/>
  <c r="V87" i="16"/>
  <c r="U87" i="16"/>
  <c r="T87" i="16"/>
  <c r="S87" i="16"/>
  <c r="V86" i="16"/>
  <c r="U86" i="16"/>
  <c r="T86" i="16"/>
  <c r="S86" i="16"/>
  <c r="V85" i="16"/>
  <c r="U85" i="16"/>
  <c r="T85" i="16"/>
  <c r="S85" i="16"/>
  <c r="V84" i="16"/>
  <c r="U84" i="16"/>
  <c r="T84" i="16"/>
  <c r="S84" i="16"/>
  <c r="V83" i="16"/>
  <c r="U83" i="16"/>
  <c r="T83" i="16"/>
  <c r="S83" i="16"/>
  <c r="V82" i="16"/>
  <c r="U82" i="16"/>
  <c r="T82" i="16"/>
  <c r="S82" i="16"/>
  <c r="V81" i="16"/>
  <c r="U81" i="16"/>
  <c r="T81" i="16"/>
  <c r="S81" i="16"/>
  <c r="V80" i="16"/>
  <c r="U80" i="16"/>
  <c r="T80" i="16"/>
  <c r="S80" i="16"/>
  <c r="V79" i="16"/>
  <c r="U79" i="16"/>
  <c r="T79" i="16"/>
  <c r="S79" i="16"/>
  <c r="V78" i="16"/>
  <c r="U78" i="16"/>
  <c r="T78" i="16"/>
  <c r="S78" i="16"/>
  <c r="V77" i="16"/>
  <c r="U77" i="16"/>
  <c r="T77" i="16"/>
  <c r="S77" i="16"/>
  <c r="V76" i="16"/>
  <c r="U76" i="16"/>
  <c r="T76" i="16"/>
  <c r="S76" i="16"/>
  <c r="V75" i="16"/>
  <c r="U75" i="16"/>
  <c r="T75" i="16"/>
  <c r="S75" i="16"/>
  <c r="V74" i="16"/>
  <c r="U74" i="16"/>
  <c r="T74" i="16"/>
  <c r="S74" i="16"/>
  <c r="V73" i="16"/>
  <c r="U73" i="16"/>
  <c r="T73" i="16"/>
  <c r="S73" i="16"/>
  <c r="V72" i="16"/>
  <c r="U72" i="16"/>
  <c r="T72" i="16"/>
  <c r="S72" i="16"/>
  <c r="V71" i="16"/>
  <c r="U71" i="16"/>
  <c r="T71" i="16"/>
  <c r="S71" i="16"/>
  <c r="V70" i="16"/>
  <c r="U70" i="16"/>
  <c r="T70" i="16"/>
  <c r="S70" i="16"/>
  <c r="V69" i="16"/>
  <c r="U69" i="16"/>
  <c r="T69" i="16"/>
  <c r="S69" i="16"/>
  <c r="V68" i="16"/>
  <c r="U68" i="16"/>
  <c r="T68" i="16"/>
  <c r="S68" i="16"/>
  <c r="V67" i="16"/>
  <c r="U67" i="16"/>
  <c r="T67" i="16"/>
  <c r="S67" i="16"/>
  <c r="V66" i="16"/>
  <c r="U66" i="16"/>
  <c r="T66" i="16"/>
  <c r="S66" i="16"/>
  <c r="V65" i="16"/>
  <c r="U65" i="16"/>
  <c r="T65" i="16"/>
  <c r="S65" i="16"/>
  <c r="V64" i="16"/>
  <c r="U64" i="16"/>
  <c r="T64" i="16"/>
  <c r="S64" i="16"/>
  <c r="V63" i="16"/>
  <c r="U63" i="16"/>
  <c r="T63" i="16"/>
  <c r="S63" i="16"/>
  <c r="V62" i="16"/>
  <c r="U62" i="16"/>
  <c r="T62" i="16"/>
  <c r="S62" i="16"/>
  <c r="V61" i="16"/>
  <c r="U61" i="16"/>
  <c r="T61" i="16"/>
  <c r="S61" i="16"/>
  <c r="V60" i="16"/>
  <c r="U60" i="16"/>
  <c r="T60" i="16"/>
  <c r="S60" i="16"/>
  <c r="V59" i="16"/>
  <c r="U59" i="16"/>
  <c r="T59" i="16"/>
  <c r="S59" i="16"/>
  <c r="V58" i="16"/>
  <c r="U58" i="16"/>
  <c r="T58" i="16"/>
  <c r="S58" i="16"/>
  <c r="V57" i="16"/>
  <c r="U57" i="16"/>
  <c r="T57" i="16"/>
  <c r="S57" i="16"/>
  <c r="V56" i="16"/>
  <c r="U56" i="16"/>
  <c r="T56" i="16"/>
  <c r="S56" i="16"/>
  <c r="V55" i="16"/>
  <c r="U55" i="16"/>
  <c r="T55" i="16"/>
  <c r="S55" i="16"/>
  <c r="V54" i="16"/>
  <c r="U54" i="16"/>
  <c r="T54" i="16"/>
  <c r="S54" i="16"/>
  <c r="V53" i="16"/>
  <c r="U53" i="16"/>
  <c r="T53" i="16"/>
  <c r="S53" i="16"/>
  <c r="V52" i="16"/>
  <c r="U52" i="16"/>
  <c r="T52" i="16"/>
  <c r="S52" i="16"/>
  <c r="V51" i="16"/>
  <c r="U51" i="16"/>
  <c r="T51" i="16"/>
  <c r="S51" i="16"/>
  <c r="V50" i="16"/>
  <c r="U50" i="16"/>
  <c r="T50" i="16"/>
  <c r="S50" i="16"/>
  <c r="V49" i="16"/>
  <c r="U49" i="16"/>
  <c r="T49" i="16"/>
  <c r="S49" i="16"/>
  <c r="V48" i="16"/>
  <c r="U48" i="16"/>
  <c r="T48" i="16"/>
  <c r="S48" i="16"/>
  <c r="V47" i="16"/>
  <c r="U47" i="16"/>
  <c r="T47" i="16"/>
  <c r="S47" i="16"/>
  <c r="V46" i="16"/>
  <c r="U46" i="16"/>
  <c r="T46" i="16"/>
  <c r="S46" i="16"/>
  <c r="V45" i="16"/>
  <c r="U45" i="16"/>
  <c r="T45" i="16"/>
  <c r="S45" i="16"/>
  <c r="V44" i="16"/>
  <c r="U44" i="16"/>
  <c r="T44" i="16"/>
  <c r="S44" i="16"/>
  <c r="V43" i="16"/>
  <c r="U43" i="16"/>
  <c r="T43" i="16"/>
  <c r="S43" i="16"/>
  <c r="V42" i="16"/>
  <c r="U42" i="16"/>
  <c r="T42" i="16"/>
  <c r="S42" i="16"/>
  <c r="V41" i="16"/>
  <c r="U41" i="16"/>
  <c r="T41" i="16"/>
  <c r="S41" i="16"/>
  <c r="V40" i="16"/>
  <c r="U40" i="16"/>
  <c r="T40" i="16"/>
  <c r="S40" i="16"/>
  <c r="V39" i="16"/>
  <c r="U39" i="16"/>
  <c r="T39" i="16"/>
  <c r="S39" i="16"/>
  <c r="V38" i="16"/>
  <c r="U38" i="16"/>
  <c r="T38" i="16"/>
  <c r="S38" i="16"/>
  <c r="V37" i="16"/>
  <c r="U37" i="16"/>
  <c r="T37" i="16"/>
  <c r="S37" i="16"/>
  <c r="V36" i="16"/>
  <c r="U36" i="16"/>
  <c r="T36" i="16"/>
  <c r="S36" i="16"/>
  <c r="V35" i="16"/>
  <c r="U35" i="16"/>
  <c r="T35" i="16"/>
  <c r="S35" i="16"/>
  <c r="V34" i="16"/>
  <c r="U34" i="16"/>
  <c r="T34" i="16"/>
  <c r="S34" i="16"/>
  <c r="V33" i="16"/>
  <c r="U33" i="16"/>
  <c r="T33" i="16"/>
  <c r="S33" i="16"/>
  <c r="V32" i="16"/>
  <c r="U32" i="16"/>
  <c r="T32" i="16"/>
  <c r="S32" i="16"/>
  <c r="V31" i="16"/>
  <c r="U31" i="16"/>
  <c r="T31" i="16"/>
  <c r="S31" i="16"/>
  <c r="V30" i="16"/>
  <c r="U30" i="16"/>
  <c r="T30" i="16"/>
  <c r="S30" i="16"/>
  <c r="V29" i="16"/>
  <c r="U29" i="16"/>
  <c r="T29" i="16"/>
  <c r="S29" i="16"/>
  <c r="V28" i="16"/>
  <c r="U28" i="16"/>
  <c r="T28" i="16"/>
  <c r="S28" i="16"/>
  <c r="V27" i="16"/>
  <c r="U27" i="16"/>
  <c r="T27" i="16"/>
  <c r="S27" i="16"/>
  <c r="V26" i="16"/>
  <c r="U26" i="16"/>
  <c r="T26" i="16"/>
  <c r="S26" i="16"/>
  <c r="V25" i="16"/>
  <c r="U25" i="16"/>
  <c r="T25" i="16"/>
  <c r="S25" i="16"/>
  <c r="V24" i="16"/>
  <c r="U24" i="16"/>
  <c r="T24" i="16"/>
  <c r="S24" i="16"/>
  <c r="V23" i="16"/>
  <c r="U23" i="16"/>
  <c r="T23" i="16"/>
  <c r="S23" i="16"/>
  <c r="V22" i="16"/>
  <c r="U22" i="16"/>
  <c r="T22" i="16"/>
  <c r="S22" i="16"/>
  <c r="V21" i="16"/>
  <c r="U21" i="16"/>
  <c r="T21" i="16"/>
  <c r="S21" i="16"/>
  <c r="V20" i="16"/>
  <c r="U20" i="16"/>
  <c r="T20" i="16"/>
  <c r="S20" i="16"/>
  <c r="V19" i="16"/>
  <c r="U19" i="16"/>
  <c r="T19" i="16"/>
  <c r="S19" i="16"/>
  <c r="V18" i="16"/>
  <c r="U18" i="16"/>
  <c r="T18" i="16"/>
  <c r="S18" i="16"/>
  <c r="V17" i="16"/>
  <c r="U17" i="16"/>
  <c r="T17" i="16"/>
  <c r="S17" i="16"/>
  <c r="M17" i="16"/>
  <c r="L17" i="16"/>
  <c r="K17" i="16"/>
  <c r="J17" i="16"/>
  <c r="I17" i="16"/>
  <c r="H17" i="16"/>
  <c r="V16" i="16"/>
  <c r="U16" i="16"/>
  <c r="T16" i="16"/>
  <c r="S16" i="16"/>
  <c r="M16" i="16"/>
  <c r="L16" i="16"/>
  <c r="K16" i="16"/>
  <c r="J16" i="16"/>
  <c r="I16" i="16"/>
  <c r="H16" i="16"/>
  <c r="V15" i="16"/>
  <c r="U15" i="16"/>
  <c r="T15" i="16"/>
  <c r="S15" i="16"/>
  <c r="M15" i="16"/>
  <c r="L15" i="16"/>
  <c r="K15" i="16"/>
  <c r="J15" i="16"/>
  <c r="I15" i="16"/>
  <c r="H15" i="16"/>
  <c r="V14" i="16"/>
  <c r="U14" i="16"/>
  <c r="T14" i="16"/>
  <c r="S14" i="16"/>
  <c r="M14" i="16"/>
  <c r="L14" i="16"/>
  <c r="K14" i="16"/>
  <c r="J14" i="16"/>
  <c r="I14" i="16"/>
  <c r="H14" i="16"/>
  <c r="V13" i="16"/>
  <c r="U13" i="16"/>
  <c r="T13" i="16"/>
  <c r="S13" i="16"/>
  <c r="M13" i="16"/>
  <c r="L13" i="16"/>
  <c r="K13" i="16"/>
  <c r="J13" i="16"/>
  <c r="I13" i="16"/>
  <c r="H13" i="16"/>
  <c r="V12" i="16"/>
  <c r="U12" i="16"/>
  <c r="T12" i="16"/>
  <c r="S12" i="16"/>
  <c r="M12" i="16"/>
  <c r="L12" i="16"/>
  <c r="K12" i="16"/>
  <c r="J12" i="16"/>
  <c r="I12" i="16"/>
  <c r="H12" i="16"/>
  <c r="V11" i="16"/>
  <c r="U11" i="16"/>
  <c r="T11" i="16"/>
  <c r="S11" i="16"/>
  <c r="M11" i="16"/>
  <c r="L11" i="16"/>
  <c r="K11" i="16"/>
  <c r="J11" i="16"/>
  <c r="I11" i="16"/>
  <c r="H11" i="16"/>
  <c r="V10" i="16"/>
  <c r="U10" i="16"/>
  <c r="T10" i="16"/>
  <c r="S10" i="16"/>
  <c r="M10" i="16"/>
  <c r="L10" i="16"/>
  <c r="K10" i="16"/>
  <c r="J10" i="16"/>
  <c r="I10" i="16"/>
  <c r="H10" i="16"/>
  <c r="V9" i="16"/>
  <c r="U9" i="16"/>
  <c r="T9" i="16"/>
  <c r="S9" i="16"/>
  <c r="M9" i="16"/>
  <c r="L9" i="16"/>
  <c r="K9" i="16"/>
  <c r="J9" i="16"/>
  <c r="I9" i="16"/>
  <c r="H9" i="16"/>
  <c r="V8" i="16"/>
  <c r="U8" i="16"/>
  <c r="T8" i="16"/>
  <c r="S8" i="16"/>
  <c r="M8" i="16"/>
  <c r="L8" i="16"/>
  <c r="K8" i="16"/>
  <c r="J8" i="16"/>
  <c r="I8" i="16"/>
  <c r="H8" i="16"/>
  <c r="V7" i="16"/>
  <c r="U7" i="16"/>
  <c r="T7" i="16"/>
  <c r="S7" i="16"/>
  <c r="M7" i="16"/>
  <c r="L7" i="16"/>
  <c r="K7" i="16"/>
  <c r="J7" i="16"/>
  <c r="I7" i="16"/>
  <c r="H7" i="16"/>
  <c r="V6" i="16"/>
  <c r="U6" i="16"/>
  <c r="T6" i="16"/>
  <c r="S6" i="16"/>
  <c r="M6" i="16"/>
  <c r="L6" i="16"/>
  <c r="K6" i="16"/>
  <c r="J6" i="16"/>
  <c r="I6" i="16"/>
  <c r="H6" i="16"/>
  <c r="V5" i="16"/>
  <c r="U5" i="16"/>
  <c r="T5" i="16"/>
  <c r="S5" i="16"/>
  <c r="M5" i="16"/>
  <c r="L5" i="16"/>
  <c r="K5" i="16"/>
  <c r="J5" i="16"/>
  <c r="I5" i="16"/>
  <c r="H5" i="16"/>
  <c r="V4" i="16"/>
  <c r="U4" i="16"/>
  <c r="T4" i="16"/>
  <c r="S4" i="16"/>
  <c r="M4" i="16"/>
  <c r="L4" i="16"/>
  <c r="K4" i="16"/>
  <c r="J4" i="16"/>
  <c r="I4" i="16"/>
  <c r="H4" i="16"/>
  <c r="V3" i="16"/>
  <c r="U3" i="16"/>
  <c r="T3" i="16"/>
  <c r="S3" i="16"/>
  <c r="M3" i="16"/>
  <c r="L3" i="16"/>
  <c r="K3" i="16"/>
  <c r="J3" i="16"/>
  <c r="I3" i="16"/>
  <c r="H3" i="16"/>
  <c r="S32" i="13"/>
  <c r="V31" i="13"/>
  <c r="U31" i="13"/>
  <c r="U29" i="13"/>
  <c r="S29" i="13"/>
  <c r="T28" i="13"/>
  <c r="S28" i="13"/>
  <c r="S27" i="13"/>
  <c r="T26" i="13"/>
  <c r="S26" i="13"/>
  <c r="S25" i="13"/>
  <c r="T23" i="13"/>
  <c r="S23" i="13"/>
  <c r="U21" i="13"/>
  <c r="T21" i="13"/>
  <c r="S21" i="13"/>
  <c r="S20" i="13"/>
  <c r="U19" i="13"/>
  <c r="T19" i="13"/>
  <c r="S19" i="13"/>
  <c r="V19" i="13"/>
  <c r="V20" i="13"/>
  <c r="U22" i="13"/>
  <c r="T24" i="13"/>
  <c r="U24" i="13"/>
  <c r="T25" i="13"/>
  <c r="U25" i="13"/>
  <c r="U26" i="13"/>
  <c r="V26" i="13"/>
  <c r="T29" i="13"/>
  <c r="S31" i="13"/>
  <c r="T31" i="13"/>
  <c r="T32" i="13"/>
  <c r="U32" i="13"/>
  <c r="V32" i="13"/>
  <c r="S33" i="13"/>
  <c r="T33" i="13"/>
  <c r="U33" i="13"/>
  <c r="S35" i="13"/>
  <c r="V36" i="13"/>
  <c r="U37" i="13"/>
  <c r="V37" i="13"/>
  <c r="U38" i="13"/>
  <c r="V38" i="13"/>
  <c r="S40" i="13"/>
  <c r="T40" i="13"/>
  <c r="S41" i="13"/>
  <c r="T41" i="13"/>
  <c r="U41" i="13"/>
  <c r="V41" i="13"/>
  <c r="U42" i="13"/>
  <c r="S43" i="13"/>
  <c r="V43" i="13"/>
  <c r="V61" i="13"/>
  <c r="U61" i="13"/>
  <c r="V59" i="13"/>
  <c r="U59" i="13"/>
  <c r="T59" i="13"/>
  <c r="V57" i="13"/>
  <c r="V56" i="13"/>
  <c r="U56" i="13"/>
  <c r="T56" i="13"/>
  <c r="V53" i="13"/>
  <c r="U53" i="13"/>
  <c r="T53" i="13"/>
  <c r="S53" i="13"/>
  <c r="V52" i="13"/>
  <c r="U52" i="13"/>
  <c r="U51" i="13"/>
  <c r="V49" i="13"/>
  <c r="U49" i="13"/>
  <c r="U45" i="13"/>
  <c r="T45" i="13"/>
  <c r="S45" i="13"/>
  <c r="T43" i="13"/>
  <c r="V39" i="13"/>
  <c r="S39" i="13"/>
  <c r="U36" i="13"/>
  <c r="T36" i="13"/>
  <c r="S36" i="13"/>
  <c r="V28" i="13"/>
  <c r="V27" i="13"/>
  <c r="V24" i="13"/>
  <c r="S24" i="13"/>
  <c r="V152" i="13"/>
  <c r="U152" i="13"/>
  <c r="T152" i="13"/>
  <c r="S152" i="13"/>
  <c r="V151" i="13"/>
  <c r="U151" i="13"/>
  <c r="T151" i="13"/>
  <c r="S151" i="13"/>
  <c r="V150" i="13"/>
  <c r="U150" i="13"/>
  <c r="T150" i="13"/>
  <c r="S150" i="13"/>
  <c r="V149" i="13"/>
  <c r="U149" i="13"/>
  <c r="T149" i="13"/>
  <c r="S149" i="13"/>
  <c r="V148" i="13"/>
  <c r="U148" i="13"/>
  <c r="T148" i="13"/>
  <c r="S148" i="13"/>
  <c r="V147" i="13"/>
  <c r="U147" i="13"/>
  <c r="T147" i="13"/>
  <c r="S147" i="13"/>
  <c r="V146" i="13"/>
  <c r="U146" i="13"/>
  <c r="T146" i="13"/>
  <c r="S146" i="13"/>
  <c r="V145" i="13"/>
  <c r="U145" i="13"/>
  <c r="T145" i="13"/>
  <c r="S145" i="13"/>
  <c r="V144" i="13"/>
  <c r="U144" i="13"/>
  <c r="T144" i="13"/>
  <c r="S144" i="13"/>
  <c r="V143" i="13"/>
  <c r="U143" i="13"/>
  <c r="T143" i="13"/>
  <c r="S143" i="13"/>
  <c r="V142" i="13"/>
  <c r="U142" i="13"/>
  <c r="T142" i="13"/>
  <c r="S142" i="13"/>
  <c r="V141" i="13"/>
  <c r="U141" i="13"/>
  <c r="T141" i="13"/>
  <c r="S141" i="13"/>
  <c r="V140" i="13"/>
  <c r="U140" i="13"/>
  <c r="T140" i="13"/>
  <c r="S140" i="13"/>
  <c r="V139" i="13"/>
  <c r="U139" i="13"/>
  <c r="T139" i="13"/>
  <c r="S139" i="13"/>
  <c r="V138" i="13"/>
  <c r="U138" i="13"/>
  <c r="T138" i="13"/>
  <c r="S138" i="13"/>
  <c r="V137" i="13"/>
  <c r="U137" i="13"/>
  <c r="T137" i="13"/>
  <c r="S137" i="13"/>
  <c r="V136" i="13"/>
  <c r="U136" i="13"/>
  <c r="T136" i="13"/>
  <c r="S136" i="13"/>
  <c r="V135" i="13"/>
  <c r="U135" i="13"/>
  <c r="T135" i="13"/>
  <c r="S135" i="13"/>
  <c r="V134" i="13"/>
  <c r="U134" i="13"/>
  <c r="T134" i="13"/>
  <c r="S134" i="13"/>
  <c r="V133" i="13"/>
  <c r="U133" i="13"/>
  <c r="T133" i="13"/>
  <c r="S133" i="13"/>
  <c r="V132" i="13"/>
  <c r="U132" i="13"/>
  <c r="T132" i="13"/>
  <c r="S132" i="13"/>
  <c r="V131" i="13"/>
  <c r="U131" i="13"/>
  <c r="T131" i="13"/>
  <c r="S131" i="13"/>
  <c r="V130" i="13"/>
  <c r="U130" i="13"/>
  <c r="T130" i="13"/>
  <c r="S130" i="13"/>
  <c r="V129" i="13"/>
  <c r="U129" i="13"/>
  <c r="T129" i="13"/>
  <c r="S129" i="13"/>
  <c r="V128" i="13"/>
  <c r="U128" i="13"/>
  <c r="T128" i="13"/>
  <c r="S128" i="13"/>
  <c r="V127" i="13"/>
  <c r="U127" i="13"/>
  <c r="T127" i="13"/>
  <c r="S127" i="13"/>
  <c r="V126" i="13"/>
  <c r="U126" i="13"/>
  <c r="T126" i="13"/>
  <c r="S126" i="13"/>
  <c r="V125" i="13"/>
  <c r="U125" i="13"/>
  <c r="T125" i="13"/>
  <c r="S125" i="13"/>
  <c r="V124" i="13"/>
  <c r="U124" i="13"/>
  <c r="T124" i="13"/>
  <c r="S124" i="13"/>
  <c r="V123" i="13"/>
  <c r="U123" i="13"/>
  <c r="T123" i="13"/>
  <c r="S123" i="13"/>
  <c r="V122" i="13"/>
  <c r="U122" i="13"/>
  <c r="T122" i="13"/>
  <c r="S122" i="13"/>
  <c r="V121" i="13"/>
  <c r="U121" i="13"/>
  <c r="T121" i="13"/>
  <c r="S121" i="13"/>
  <c r="V120" i="13"/>
  <c r="U120" i="13"/>
  <c r="T120" i="13"/>
  <c r="S120" i="13"/>
  <c r="V119" i="13"/>
  <c r="U119" i="13"/>
  <c r="T119" i="13"/>
  <c r="S119" i="13"/>
  <c r="V118" i="13"/>
  <c r="U118" i="13"/>
  <c r="T118" i="13"/>
  <c r="S118" i="13"/>
  <c r="V117" i="13"/>
  <c r="U117" i="13"/>
  <c r="T117" i="13"/>
  <c r="S117" i="13"/>
  <c r="V116" i="13"/>
  <c r="U116" i="13"/>
  <c r="T116" i="13"/>
  <c r="S116" i="13"/>
  <c r="V115" i="13"/>
  <c r="U115" i="13"/>
  <c r="T115" i="13"/>
  <c r="S115" i="13"/>
  <c r="V114" i="13"/>
  <c r="U114" i="13"/>
  <c r="T114" i="13"/>
  <c r="S114" i="13"/>
  <c r="V113" i="13"/>
  <c r="U113" i="13"/>
  <c r="T113" i="13"/>
  <c r="S113" i="13"/>
  <c r="V112" i="13"/>
  <c r="U112" i="13"/>
  <c r="T112" i="13"/>
  <c r="S112" i="13"/>
  <c r="V111" i="13"/>
  <c r="U111" i="13"/>
  <c r="T111" i="13"/>
  <c r="S111" i="13"/>
  <c r="V110" i="13"/>
  <c r="U110" i="13"/>
  <c r="T110" i="13"/>
  <c r="S110" i="13"/>
  <c r="V109" i="13"/>
  <c r="U109" i="13"/>
  <c r="T109" i="13"/>
  <c r="S109" i="13"/>
  <c r="V108" i="13"/>
  <c r="U108" i="13"/>
  <c r="T108" i="13"/>
  <c r="S108" i="13"/>
  <c r="V107" i="13"/>
  <c r="U107" i="13"/>
  <c r="T107" i="13"/>
  <c r="S107" i="13"/>
  <c r="V106" i="13"/>
  <c r="U106" i="13"/>
  <c r="T106" i="13"/>
  <c r="S106" i="13"/>
  <c r="V105" i="13"/>
  <c r="U105" i="13"/>
  <c r="T105" i="13"/>
  <c r="S105" i="13"/>
  <c r="V104" i="13"/>
  <c r="U104" i="13"/>
  <c r="T104" i="13"/>
  <c r="S104" i="13"/>
  <c r="V103" i="13"/>
  <c r="U103" i="13"/>
  <c r="T103" i="13"/>
  <c r="S103" i="13"/>
  <c r="V102" i="13"/>
  <c r="U102" i="13"/>
  <c r="T102" i="13"/>
  <c r="S102" i="13"/>
  <c r="V101" i="13"/>
  <c r="U101" i="13"/>
  <c r="T101" i="13"/>
  <c r="S101" i="13"/>
  <c r="V100" i="13"/>
  <c r="U100" i="13"/>
  <c r="T100" i="13"/>
  <c r="S100" i="13"/>
  <c r="V99" i="13"/>
  <c r="U99" i="13"/>
  <c r="T99" i="13"/>
  <c r="S99" i="13"/>
  <c r="V98" i="13"/>
  <c r="U98" i="13"/>
  <c r="T98" i="13"/>
  <c r="S98" i="13"/>
  <c r="V97" i="13"/>
  <c r="U97" i="13"/>
  <c r="T97" i="13"/>
  <c r="S97" i="13"/>
  <c r="V96" i="13"/>
  <c r="U96" i="13"/>
  <c r="T96" i="13"/>
  <c r="S96" i="13"/>
  <c r="V95" i="13"/>
  <c r="U95" i="13"/>
  <c r="T95" i="13"/>
  <c r="S95" i="13"/>
  <c r="V94" i="13"/>
  <c r="U94" i="13"/>
  <c r="T94" i="13"/>
  <c r="S94" i="13"/>
  <c r="V93" i="13"/>
  <c r="U93" i="13"/>
  <c r="T93" i="13"/>
  <c r="S93" i="13"/>
  <c r="V92" i="13"/>
  <c r="U92" i="13"/>
  <c r="T92" i="13"/>
  <c r="S92" i="13"/>
  <c r="V91" i="13"/>
  <c r="U91" i="13"/>
  <c r="T91" i="13"/>
  <c r="S91" i="13"/>
  <c r="V90" i="13"/>
  <c r="U90" i="13"/>
  <c r="T90" i="13"/>
  <c r="S90" i="13"/>
  <c r="V89" i="13"/>
  <c r="U89" i="13"/>
  <c r="T89" i="13"/>
  <c r="S89" i="13"/>
  <c r="V88" i="13"/>
  <c r="U88" i="13"/>
  <c r="T88" i="13"/>
  <c r="S88" i="13"/>
  <c r="V87" i="13"/>
  <c r="U87" i="13"/>
  <c r="T87" i="13"/>
  <c r="S87" i="13"/>
  <c r="V86" i="13"/>
  <c r="U86" i="13"/>
  <c r="T86" i="13"/>
  <c r="S86" i="13"/>
  <c r="V85" i="13"/>
  <c r="U85" i="13"/>
  <c r="T85" i="13"/>
  <c r="S85" i="13"/>
  <c r="V84" i="13"/>
  <c r="U84" i="13"/>
  <c r="T84" i="13"/>
  <c r="S84" i="13"/>
  <c r="V83" i="13"/>
  <c r="U83" i="13"/>
  <c r="T83" i="13"/>
  <c r="S83" i="13"/>
  <c r="V82" i="13"/>
  <c r="U82" i="13"/>
  <c r="T82" i="13"/>
  <c r="S82" i="13"/>
  <c r="V81" i="13"/>
  <c r="U81" i="13"/>
  <c r="T81" i="13"/>
  <c r="S81" i="13"/>
  <c r="V80" i="13"/>
  <c r="U80" i="13"/>
  <c r="T80" i="13"/>
  <c r="S80" i="13"/>
  <c r="V79" i="13"/>
  <c r="U79" i="13"/>
  <c r="T79" i="13"/>
  <c r="S79" i="13"/>
  <c r="V78" i="13"/>
  <c r="U78" i="13"/>
  <c r="T78" i="13"/>
  <c r="S78" i="13"/>
  <c r="V77" i="13"/>
  <c r="U77" i="13"/>
  <c r="T77" i="13"/>
  <c r="S77" i="13"/>
  <c r="V76" i="13"/>
  <c r="U76" i="13"/>
  <c r="T76" i="13"/>
  <c r="S76" i="13"/>
  <c r="V75" i="13"/>
  <c r="U75" i="13"/>
  <c r="T75" i="13"/>
  <c r="S75" i="13"/>
  <c r="V74" i="13"/>
  <c r="U74" i="13"/>
  <c r="T74" i="13"/>
  <c r="S74" i="13"/>
  <c r="V73" i="13"/>
  <c r="U73" i="13"/>
  <c r="T73" i="13"/>
  <c r="S73" i="13"/>
  <c r="V72" i="13"/>
  <c r="U72" i="13"/>
  <c r="T72" i="13"/>
  <c r="S72" i="13"/>
  <c r="V71" i="13"/>
  <c r="U71" i="13"/>
  <c r="T71" i="13"/>
  <c r="S71" i="13"/>
  <c r="V70" i="13"/>
  <c r="U70" i="13"/>
  <c r="T70" i="13"/>
  <c r="S70" i="13"/>
  <c r="V69" i="13"/>
  <c r="U69" i="13"/>
  <c r="T69" i="13"/>
  <c r="S69" i="13"/>
  <c r="V68" i="13"/>
  <c r="U68" i="13"/>
  <c r="T68" i="13"/>
  <c r="S68" i="13"/>
  <c r="V67" i="13"/>
  <c r="U67" i="13"/>
  <c r="T67" i="13"/>
  <c r="S67" i="13"/>
  <c r="V66" i="13"/>
  <c r="U66" i="13"/>
  <c r="T66" i="13"/>
  <c r="S66" i="13"/>
  <c r="V65" i="13"/>
  <c r="U65" i="13"/>
  <c r="T65" i="13"/>
  <c r="S65" i="13"/>
  <c r="V64" i="13"/>
  <c r="U64" i="13"/>
  <c r="T64" i="13"/>
  <c r="S64" i="13"/>
  <c r="V63" i="13"/>
  <c r="U63" i="13"/>
  <c r="T63" i="13"/>
  <c r="S63" i="13"/>
  <c r="V62" i="13"/>
  <c r="U62" i="13"/>
  <c r="T62" i="13"/>
  <c r="S62" i="13"/>
  <c r="T61" i="13"/>
  <c r="S61" i="13"/>
  <c r="V60" i="13"/>
  <c r="U60" i="13"/>
  <c r="T60" i="13"/>
  <c r="S60" i="13"/>
  <c r="S59" i="13"/>
  <c r="V58" i="13"/>
  <c r="U58" i="13"/>
  <c r="T58" i="13"/>
  <c r="S58" i="13"/>
  <c r="U57" i="13"/>
  <c r="T57" i="13"/>
  <c r="S57" i="13"/>
  <c r="S56" i="13"/>
  <c r="V55" i="13"/>
  <c r="U55" i="13"/>
  <c r="T55" i="13"/>
  <c r="S55" i="13"/>
  <c r="V54" i="13"/>
  <c r="U54" i="13"/>
  <c r="T54" i="13"/>
  <c r="S54" i="13"/>
  <c r="T52" i="13"/>
  <c r="S52" i="13"/>
  <c r="V51" i="13"/>
  <c r="T51" i="13"/>
  <c r="S51" i="13"/>
  <c r="V50" i="13"/>
  <c r="U50" i="13"/>
  <c r="T50" i="13"/>
  <c r="S50" i="13"/>
  <c r="T49" i="13"/>
  <c r="S49" i="13"/>
  <c r="V48" i="13"/>
  <c r="U48" i="13"/>
  <c r="T48" i="13"/>
  <c r="S48" i="13"/>
  <c r="V47" i="13"/>
  <c r="U47" i="13"/>
  <c r="T47" i="13"/>
  <c r="S47" i="13"/>
  <c r="V46" i="13"/>
  <c r="U46" i="13"/>
  <c r="T46" i="13"/>
  <c r="S46" i="13"/>
  <c r="V45" i="13"/>
  <c r="V44" i="13"/>
  <c r="U44" i="13"/>
  <c r="T44" i="13"/>
  <c r="S44" i="13"/>
  <c r="U43" i="13"/>
  <c r="V42" i="13"/>
  <c r="T42" i="13"/>
  <c r="S42" i="13"/>
  <c r="V40" i="13"/>
  <c r="U40" i="13"/>
  <c r="U39" i="13"/>
  <c r="T39" i="13"/>
  <c r="T38" i="13"/>
  <c r="S38" i="13"/>
  <c r="T37" i="13"/>
  <c r="S37" i="13"/>
  <c r="V35" i="13"/>
  <c r="U35" i="13"/>
  <c r="T35" i="13"/>
  <c r="V34" i="13"/>
  <c r="U34" i="13"/>
  <c r="T34" i="13"/>
  <c r="S34" i="13"/>
  <c r="V33" i="13"/>
  <c r="V30" i="13"/>
  <c r="U30" i="13"/>
  <c r="T30" i="13"/>
  <c r="S30" i="13"/>
  <c r="V29" i="13"/>
  <c r="U28" i="13"/>
  <c r="U27" i="13"/>
  <c r="T27" i="13"/>
  <c r="V25" i="13"/>
  <c r="V23" i="13"/>
  <c r="U23" i="13"/>
  <c r="V22" i="13"/>
  <c r="T22" i="13"/>
  <c r="S22" i="13"/>
  <c r="V21" i="13"/>
  <c r="U20" i="13"/>
  <c r="T20" i="13"/>
  <c r="V18" i="13"/>
  <c r="U18" i="13"/>
  <c r="T18" i="13"/>
  <c r="S18" i="13"/>
  <c r="Z4" i="16" l="1"/>
  <c r="Y4" i="16"/>
  <c r="W3" i="16"/>
  <c r="I18" i="8" a="1"/>
  <c r="I18" i="8"/>
  <c r="J18" i="8" a="1"/>
  <c r="J18" i="8" s="1"/>
  <c r="K18" i="8" a="1"/>
  <c r="K18" i="8" s="1"/>
  <c r="L18" i="8" a="1"/>
  <c r="L18" i="8" s="1"/>
  <c r="M18" i="8" a="1"/>
  <c r="M18" i="8"/>
  <c r="H18" i="8" a="1"/>
  <c r="H18" i="8" s="1"/>
  <c r="S17" i="13"/>
  <c r="M17" i="13"/>
  <c r="L17" i="13"/>
  <c r="K17" i="13"/>
  <c r="J17" i="13"/>
  <c r="I17" i="13"/>
  <c r="H17" i="13"/>
  <c r="V17" i="13"/>
  <c r="U17" i="13"/>
  <c r="T17" i="13"/>
  <c r="U16" i="13"/>
  <c r="T16" i="13"/>
  <c r="S16" i="13"/>
  <c r="M16" i="13"/>
  <c r="L16" i="13"/>
  <c r="K16" i="13"/>
  <c r="J16" i="13"/>
  <c r="I16" i="13"/>
  <c r="H16" i="13"/>
  <c r="V16" i="13"/>
  <c r="M15" i="13"/>
  <c r="L15" i="13"/>
  <c r="K15" i="13"/>
  <c r="J15" i="13"/>
  <c r="I15" i="13"/>
  <c r="H15" i="13"/>
  <c r="V15" i="13"/>
  <c r="U15" i="13"/>
  <c r="T15" i="13"/>
  <c r="S15" i="13"/>
  <c r="V14" i="13"/>
  <c r="M14" i="13"/>
  <c r="L14" i="13"/>
  <c r="K14" i="13"/>
  <c r="J14" i="13"/>
  <c r="I14" i="13"/>
  <c r="H14" i="13"/>
  <c r="U14" i="13"/>
  <c r="T14" i="13"/>
  <c r="S14" i="13"/>
  <c r="T13" i="13"/>
  <c r="M13" i="13"/>
  <c r="L13" i="13"/>
  <c r="K13" i="13"/>
  <c r="J13" i="13"/>
  <c r="I13" i="13"/>
  <c r="H13" i="13"/>
  <c r="V13" i="13"/>
  <c r="U13" i="13"/>
  <c r="S13" i="13"/>
  <c r="S12" i="13"/>
  <c r="M12" i="13"/>
  <c r="L12" i="13"/>
  <c r="K12" i="13"/>
  <c r="J12" i="13"/>
  <c r="I12" i="13"/>
  <c r="H12" i="13"/>
  <c r="V12" i="13"/>
  <c r="U12" i="13"/>
  <c r="T12" i="13"/>
  <c r="T11" i="13"/>
  <c r="M11" i="13"/>
  <c r="L11" i="13"/>
  <c r="K11" i="13"/>
  <c r="J11" i="13"/>
  <c r="I11" i="13"/>
  <c r="H11" i="13"/>
  <c r="V11" i="13"/>
  <c r="U11" i="13"/>
  <c r="S11" i="13"/>
  <c r="M10" i="13"/>
  <c r="L10" i="13"/>
  <c r="K10" i="13"/>
  <c r="J10" i="13"/>
  <c r="I10" i="13"/>
  <c r="H10" i="13"/>
  <c r="V10" i="13"/>
  <c r="U10" i="13"/>
  <c r="T10" i="13"/>
  <c r="S10" i="13"/>
  <c r="V9" i="13"/>
  <c r="M9" i="13"/>
  <c r="L9" i="13"/>
  <c r="K9" i="13"/>
  <c r="J9" i="13"/>
  <c r="I9" i="13"/>
  <c r="H9" i="13"/>
  <c r="U9" i="13"/>
  <c r="T9" i="13"/>
  <c r="S9" i="13"/>
  <c r="U8" i="13"/>
  <c r="M8" i="13"/>
  <c r="L8" i="13"/>
  <c r="K8" i="13"/>
  <c r="J8" i="13"/>
  <c r="I8" i="13"/>
  <c r="H8" i="13"/>
  <c r="V8" i="13"/>
  <c r="T8" i="13"/>
  <c r="S8" i="13"/>
  <c r="T7" i="13"/>
  <c r="M7" i="13"/>
  <c r="L7" i="13"/>
  <c r="K7" i="13"/>
  <c r="J7" i="13"/>
  <c r="I7" i="13"/>
  <c r="H7" i="13"/>
  <c r="V7" i="13"/>
  <c r="U7" i="13"/>
  <c r="S7" i="13"/>
  <c r="U6" i="13"/>
  <c r="S6" i="13"/>
  <c r="M6" i="13"/>
  <c r="L6" i="13"/>
  <c r="K6" i="13"/>
  <c r="J6" i="13"/>
  <c r="I6" i="13"/>
  <c r="H6" i="13"/>
  <c r="V6" i="13"/>
  <c r="T6" i="13"/>
  <c r="M5" i="13"/>
  <c r="L5" i="13"/>
  <c r="K5" i="13"/>
  <c r="J5" i="13"/>
  <c r="I5" i="13"/>
  <c r="H5" i="13"/>
  <c r="V5" i="13"/>
  <c r="U5" i="13"/>
  <c r="T5" i="13"/>
  <c r="S5" i="13"/>
  <c r="U4" i="13"/>
  <c r="S4" i="13"/>
  <c r="M4" i="13"/>
  <c r="L4" i="13"/>
  <c r="K4" i="13"/>
  <c r="J4" i="13"/>
  <c r="I4" i="13"/>
  <c r="H4" i="13"/>
  <c r="V4" i="13"/>
  <c r="T4" i="13"/>
  <c r="V3" i="13"/>
  <c r="M3" i="13"/>
  <c r="L3" i="13"/>
  <c r="K3" i="13"/>
  <c r="J3" i="13"/>
  <c r="I3" i="13"/>
  <c r="H3" i="13"/>
  <c r="U3" i="13"/>
  <c r="T3" i="13"/>
  <c r="S3" i="13"/>
  <c r="Z3" i="13" l="1"/>
  <c r="Z4" i="13" s="1"/>
  <c r="Y3" i="13"/>
  <c r="Y4" i="13" s="1"/>
  <c r="W3" i="9" l="1"/>
  <c r="A3" i="9"/>
  <c r="S3" i="9" s="1"/>
  <c r="B3" i="9"/>
  <c r="T3" i="9" s="1"/>
  <c r="C3" i="9"/>
  <c r="U3" i="9" s="1"/>
  <c r="Y3" i="9" s="1"/>
  <c r="Y4" i="9" s="1"/>
  <c r="D3" i="9"/>
  <c r="V3" i="9" s="1"/>
  <c r="E3" i="9"/>
  <c r="F3" i="9"/>
  <c r="G3" i="9"/>
  <c r="H3" i="9"/>
  <c r="I3" i="9"/>
  <c r="J3" i="9"/>
  <c r="K3" i="9"/>
  <c r="L3" i="9"/>
  <c r="M3" i="9"/>
  <c r="A4" i="9"/>
  <c r="S4" i="9" s="1"/>
  <c r="B4" i="9"/>
  <c r="T4" i="9" s="1"/>
  <c r="C4" i="9"/>
  <c r="U4" i="9" s="1"/>
  <c r="D4" i="9"/>
  <c r="V4" i="9" s="1"/>
  <c r="E4" i="9"/>
  <c r="F4" i="9"/>
  <c r="G4" i="9"/>
  <c r="H4" i="9"/>
  <c r="I4" i="9"/>
  <c r="J4" i="9"/>
  <c r="K4" i="9"/>
  <c r="L4" i="9"/>
  <c r="M4" i="9"/>
  <c r="A5" i="9"/>
  <c r="S5" i="9" s="1"/>
  <c r="B5" i="9"/>
  <c r="T5" i="9" s="1"/>
  <c r="C5" i="9"/>
  <c r="U5" i="9" s="1"/>
  <c r="D5" i="9"/>
  <c r="V5" i="9" s="1"/>
  <c r="E5" i="9"/>
  <c r="F5" i="9"/>
  <c r="G5" i="9"/>
  <c r="H5" i="9"/>
  <c r="I5" i="9"/>
  <c r="J5" i="9"/>
  <c r="K5" i="9"/>
  <c r="L5" i="9"/>
  <c r="M5" i="9"/>
  <c r="A6" i="9"/>
  <c r="S6" i="9" s="1"/>
  <c r="B6" i="9"/>
  <c r="T6" i="9" s="1"/>
  <c r="C6" i="9"/>
  <c r="U6" i="9" s="1"/>
  <c r="D6" i="9"/>
  <c r="V6" i="9" s="1"/>
  <c r="E6" i="9"/>
  <c r="F6" i="9"/>
  <c r="G6" i="9"/>
  <c r="H6" i="9"/>
  <c r="I6" i="9"/>
  <c r="J6" i="9"/>
  <c r="K6" i="9"/>
  <c r="L6" i="9"/>
  <c r="M6" i="9"/>
  <c r="A7" i="9"/>
  <c r="S7" i="9" s="1"/>
  <c r="B7" i="9"/>
  <c r="T7" i="9" s="1"/>
  <c r="C7" i="9"/>
  <c r="U7" i="9" s="1"/>
  <c r="D7" i="9"/>
  <c r="V7" i="9" s="1"/>
  <c r="E7" i="9"/>
  <c r="F7" i="9"/>
  <c r="G7" i="9"/>
  <c r="H7" i="9"/>
  <c r="I7" i="9"/>
  <c r="J7" i="9"/>
  <c r="K7" i="9"/>
  <c r="L7" i="9"/>
  <c r="M7" i="9"/>
  <c r="A8" i="9"/>
  <c r="S8" i="9" s="1"/>
  <c r="B8" i="9"/>
  <c r="T8" i="9" s="1"/>
  <c r="C8" i="9"/>
  <c r="U8" i="9" s="1"/>
  <c r="D8" i="9"/>
  <c r="V8" i="9" s="1"/>
  <c r="E8" i="9"/>
  <c r="F8" i="9"/>
  <c r="G8" i="9"/>
  <c r="H8" i="9"/>
  <c r="I8" i="9"/>
  <c r="J8" i="9"/>
  <c r="K8" i="9"/>
  <c r="L8" i="9"/>
  <c r="M8" i="9"/>
  <c r="A9" i="9"/>
  <c r="S9" i="9" s="1"/>
  <c r="B9" i="9"/>
  <c r="T9" i="9" s="1"/>
  <c r="C9" i="9"/>
  <c r="U9" i="9" s="1"/>
  <c r="D9" i="9"/>
  <c r="V9" i="9" s="1"/>
  <c r="E9" i="9"/>
  <c r="F9" i="9"/>
  <c r="G9" i="9"/>
  <c r="H9" i="9"/>
  <c r="I9" i="9"/>
  <c r="J9" i="9"/>
  <c r="K9" i="9"/>
  <c r="L9" i="9"/>
  <c r="M9" i="9"/>
  <c r="A10" i="9"/>
  <c r="S10" i="9" s="1"/>
  <c r="B10" i="9"/>
  <c r="T10" i="9" s="1"/>
  <c r="C10" i="9"/>
  <c r="U10" i="9" s="1"/>
  <c r="D10" i="9"/>
  <c r="V10" i="9" s="1"/>
  <c r="E10" i="9"/>
  <c r="F10" i="9"/>
  <c r="G10" i="9"/>
  <c r="H10" i="9"/>
  <c r="I10" i="9"/>
  <c r="J10" i="9"/>
  <c r="K10" i="9"/>
  <c r="L10" i="9"/>
  <c r="M10" i="9"/>
  <c r="A11" i="9"/>
  <c r="S11" i="9" s="1"/>
  <c r="B11" i="9"/>
  <c r="T11" i="9" s="1"/>
  <c r="C11" i="9"/>
  <c r="U11" i="9" s="1"/>
  <c r="D11" i="9"/>
  <c r="V11" i="9" s="1"/>
  <c r="E11" i="9"/>
  <c r="F11" i="9"/>
  <c r="G11" i="9"/>
  <c r="H11" i="9"/>
  <c r="I11" i="9"/>
  <c r="J11" i="9"/>
  <c r="K11" i="9"/>
  <c r="L11" i="9"/>
  <c r="M11" i="9"/>
  <c r="A12" i="9"/>
  <c r="S12" i="9" s="1"/>
  <c r="B12" i="9"/>
  <c r="T12" i="9" s="1"/>
  <c r="C12" i="9"/>
  <c r="U12" i="9" s="1"/>
  <c r="D12" i="9"/>
  <c r="V12" i="9" s="1"/>
  <c r="E12" i="9"/>
  <c r="F12" i="9"/>
  <c r="G12" i="9"/>
  <c r="H12" i="9"/>
  <c r="I12" i="9"/>
  <c r="J12" i="9"/>
  <c r="K12" i="9"/>
  <c r="L12" i="9"/>
  <c r="M12" i="9"/>
  <c r="A13" i="9"/>
  <c r="S13" i="9" s="1"/>
  <c r="B13" i="9"/>
  <c r="T13" i="9" s="1"/>
  <c r="C13" i="9"/>
  <c r="U13" i="9" s="1"/>
  <c r="D13" i="9"/>
  <c r="V13" i="9" s="1"/>
  <c r="E13" i="9"/>
  <c r="F13" i="9"/>
  <c r="G13" i="9"/>
  <c r="H13" i="9"/>
  <c r="I13" i="9"/>
  <c r="J13" i="9"/>
  <c r="K13" i="9"/>
  <c r="L13" i="9"/>
  <c r="M13" i="9"/>
  <c r="A14" i="9"/>
  <c r="S14" i="9" s="1"/>
  <c r="B14" i="9"/>
  <c r="T14" i="9" s="1"/>
  <c r="C14" i="9"/>
  <c r="U14" i="9" s="1"/>
  <c r="D14" i="9"/>
  <c r="V14" i="9" s="1"/>
  <c r="E14" i="9"/>
  <c r="F14" i="9"/>
  <c r="G14" i="9"/>
  <c r="H14" i="9"/>
  <c r="I14" i="9"/>
  <c r="J14" i="9"/>
  <c r="K14" i="9"/>
  <c r="L14" i="9"/>
  <c r="M14" i="9"/>
  <c r="A15" i="9"/>
  <c r="S15" i="9" s="1"/>
  <c r="B15" i="9"/>
  <c r="T15" i="9" s="1"/>
  <c r="C15" i="9"/>
  <c r="U15" i="9" s="1"/>
  <c r="D15" i="9"/>
  <c r="V15" i="9" s="1"/>
  <c r="E15" i="9"/>
  <c r="F15" i="9"/>
  <c r="G15" i="9"/>
  <c r="H15" i="9"/>
  <c r="I15" i="9"/>
  <c r="J15" i="9"/>
  <c r="K15" i="9"/>
  <c r="L15" i="9"/>
  <c r="M15" i="9"/>
  <c r="A16" i="9"/>
  <c r="S16" i="9" s="1"/>
  <c r="B16" i="9"/>
  <c r="T16" i="9" s="1"/>
  <c r="C16" i="9"/>
  <c r="U16" i="9" s="1"/>
  <c r="D16" i="9"/>
  <c r="V16" i="9" s="1"/>
  <c r="E16" i="9"/>
  <c r="F16" i="9"/>
  <c r="G16" i="9"/>
  <c r="H16" i="9"/>
  <c r="I16" i="9"/>
  <c r="J16" i="9"/>
  <c r="K16" i="9"/>
  <c r="L16" i="9"/>
  <c r="M16" i="9"/>
  <c r="A17" i="9"/>
  <c r="S17" i="9" s="1"/>
  <c r="B17" i="9"/>
  <c r="T17" i="9" s="1"/>
  <c r="C17" i="9"/>
  <c r="U17" i="9" s="1"/>
  <c r="D17" i="9"/>
  <c r="V17" i="9" s="1"/>
  <c r="E17" i="9"/>
  <c r="F17" i="9"/>
  <c r="G17" i="9"/>
  <c r="H17" i="9"/>
  <c r="I17" i="9"/>
  <c r="J17" i="9"/>
  <c r="K17" i="9"/>
  <c r="L17" i="9"/>
  <c r="M17" i="9"/>
  <c r="Z3" i="9" l="1"/>
  <c r="Z4" i="9" s="1"/>
  <c r="X3" i="9"/>
  <c r="H24" i="4"/>
  <c r="I24" i="4"/>
  <c r="J24" i="4"/>
  <c r="K24" i="4"/>
  <c r="L24" i="4"/>
  <c r="M24" i="4"/>
  <c r="H25" i="4"/>
  <c r="I25" i="4"/>
  <c r="J25" i="4"/>
  <c r="K25" i="4"/>
  <c r="L25" i="4"/>
  <c r="M25" i="4"/>
  <c r="H26" i="4"/>
  <c r="I26" i="4"/>
  <c r="J26" i="4"/>
  <c r="K26" i="4"/>
  <c r="L26" i="4"/>
  <c r="M26" i="4"/>
  <c r="H27" i="4"/>
  <c r="I27" i="4"/>
  <c r="J27" i="4"/>
  <c r="K27" i="4"/>
  <c r="L27" i="4"/>
  <c r="M27" i="4"/>
  <c r="H28" i="4"/>
  <c r="I28" i="4"/>
  <c r="J28" i="4"/>
  <c r="K28" i="4"/>
  <c r="L28" i="4"/>
  <c r="M28" i="4"/>
  <c r="H22" i="4"/>
  <c r="I22" i="4"/>
  <c r="J22" i="4"/>
  <c r="K22" i="4"/>
  <c r="L22" i="4"/>
  <c r="M22" i="4"/>
  <c r="H23" i="4"/>
  <c r="I23" i="4"/>
  <c r="J23" i="4"/>
  <c r="K23" i="4"/>
  <c r="L23" i="4"/>
  <c r="M23" i="4"/>
  <c r="W17" i="8"/>
  <c r="X16" i="8"/>
  <c r="W16" i="8"/>
  <c r="V16" i="8"/>
  <c r="U16" i="8"/>
  <c r="T16" i="8"/>
  <c r="W15" i="8"/>
  <c r="V15" i="8"/>
  <c r="Y17" i="8"/>
  <c r="X17" i="8"/>
  <c r="V17" i="8"/>
  <c r="U17" i="8"/>
  <c r="T17" i="8"/>
  <c r="Y16" i="8"/>
  <c r="Y15" i="8"/>
  <c r="X15" i="8"/>
  <c r="U15" i="8"/>
  <c r="T15" i="8"/>
  <c r="Y14" i="8"/>
  <c r="X14" i="8"/>
  <c r="W14" i="8"/>
  <c r="V14" i="8"/>
  <c r="U14" i="8"/>
  <c r="T14" i="8"/>
  <c r="Y13" i="8"/>
  <c r="X13" i="8"/>
  <c r="W13" i="8"/>
  <c r="V13" i="8"/>
  <c r="U13" i="8"/>
  <c r="T13" i="8"/>
  <c r="Y12" i="8"/>
  <c r="X12" i="8"/>
  <c r="W12" i="8"/>
  <c r="V12" i="8"/>
  <c r="U12" i="8"/>
  <c r="T12" i="8"/>
  <c r="Y11" i="8"/>
  <c r="X11" i="8"/>
  <c r="W11" i="8"/>
  <c r="V11" i="8"/>
  <c r="U11" i="8"/>
  <c r="T11" i="8"/>
  <c r="Y10" i="8"/>
  <c r="X10" i="8"/>
  <c r="W10" i="8"/>
  <c r="V10" i="8"/>
  <c r="U10" i="8"/>
  <c r="T10" i="8"/>
  <c r="Y9" i="8"/>
  <c r="X9" i="8"/>
  <c r="W9" i="8"/>
  <c r="V9" i="8"/>
  <c r="U9" i="8"/>
  <c r="T9" i="8"/>
  <c r="Y8" i="8"/>
  <c r="X8" i="8"/>
  <c r="W8" i="8"/>
  <c r="V8" i="8"/>
  <c r="U8" i="8"/>
  <c r="T8" i="8"/>
  <c r="Y7" i="8"/>
  <c r="X7" i="8"/>
  <c r="W7" i="8"/>
  <c r="V7" i="8"/>
  <c r="U7" i="8"/>
  <c r="T7" i="8"/>
  <c r="Y6" i="8"/>
  <c r="X6" i="8"/>
  <c r="W6" i="8"/>
  <c r="V6" i="8"/>
  <c r="U6" i="8"/>
  <c r="T6" i="8"/>
  <c r="Y5" i="8"/>
  <c r="X5" i="8"/>
  <c r="W5" i="8"/>
  <c r="V5" i="8"/>
  <c r="U5" i="8"/>
  <c r="T5" i="8"/>
  <c r="Y4" i="8"/>
  <c r="X4" i="8"/>
  <c r="W4" i="8"/>
  <c r="V4" i="8"/>
  <c r="U4" i="8"/>
  <c r="T4" i="8"/>
  <c r="Y3" i="8"/>
  <c r="X3" i="8"/>
  <c r="W3" i="8"/>
  <c r="V3" i="8"/>
  <c r="U3" i="8"/>
  <c r="T3" i="8"/>
  <c r="H4" i="4"/>
  <c r="I4" i="4"/>
  <c r="J4" i="4"/>
  <c r="K4" i="4"/>
  <c r="L4" i="4"/>
  <c r="M4" i="4"/>
  <c r="H5" i="4"/>
  <c r="I5" i="4"/>
  <c r="J5" i="4"/>
  <c r="K5" i="4"/>
  <c r="L5" i="4"/>
  <c r="M5" i="4"/>
  <c r="H6" i="4"/>
  <c r="I6" i="4"/>
  <c r="J6" i="4"/>
  <c r="K6" i="4"/>
  <c r="L6" i="4"/>
  <c r="M6" i="4"/>
  <c r="H7" i="4"/>
  <c r="I7" i="4"/>
  <c r="J7" i="4"/>
  <c r="K7" i="4"/>
  <c r="L7" i="4"/>
  <c r="M7" i="4"/>
  <c r="H8" i="4"/>
  <c r="I8" i="4"/>
  <c r="J8" i="4"/>
  <c r="K8" i="4"/>
  <c r="L8" i="4"/>
  <c r="M8" i="4"/>
  <c r="H9" i="4"/>
  <c r="I9" i="4"/>
  <c r="J9" i="4"/>
  <c r="K9" i="4"/>
  <c r="L9" i="4"/>
  <c r="M9" i="4"/>
  <c r="H10" i="4"/>
  <c r="I10" i="4"/>
  <c r="J10" i="4"/>
  <c r="K10" i="4"/>
  <c r="L10" i="4"/>
  <c r="M10" i="4"/>
  <c r="H11" i="4"/>
  <c r="I11" i="4"/>
  <c r="J11" i="4"/>
  <c r="K11" i="4"/>
  <c r="L11" i="4"/>
  <c r="M11" i="4"/>
  <c r="H12" i="4"/>
  <c r="I12" i="4"/>
  <c r="J12" i="4"/>
  <c r="K12" i="4"/>
  <c r="L12" i="4"/>
  <c r="M12" i="4"/>
  <c r="H13" i="4"/>
  <c r="I13" i="4"/>
  <c r="J13" i="4"/>
  <c r="K13" i="4"/>
  <c r="L13" i="4"/>
  <c r="M13" i="4"/>
  <c r="H14" i="4"/>
  <c r="I14" i="4"/>
  <c r="J14" i="4"/>
  <c r="K14" i="4"/>
  <c r="L14" i="4"/>
  <c r="M14" i="4"/>
  <c r="H15" i="4"/>
  <c r="I15" i="4"/>
  <c r="J15" i="4"/>
  <c r="K15" i="4"/>
  <c r="L15" i="4"/>
  <c r="M15" i="4"/>
  <c r="H16" i="4"/>
  <c r="I16" i="4"/>
  <c r="J16" i="4"/>
  <c r="K16" i="4"/>
  <c r="L16" i="4"/>
  <c r="M16" i="4"/>
  <c r="H17" i="4"/>
  <c r="I17" i="4"/>
  <c r="J17" i="4"/>
  <c r="K17" i="4"/>
  <c r="L17" i="4"/>
  <c r="M17" i="4"/>
  <c r="H18" i="4"/>
  <c r="I18" i="4"/>
  <c r="J18" i="4"/>
  <c r="K18" i="4"/>
  <c r="L18" i="4"/>
  <c r="M18" i="4"/>
  <c r="H19" i="4"/>
  <c r="I19" i="4"/>
  <c r="J19" i="4"/>
  <c r="K19" i="4"/>
  <c r="L19" i="4"/>
  <c r="M19" i="4"/>
  <c r="H20" i="4"/>
  <c r="I20" i="4"/>
  <c r="J20" i="4"/>
  <c r="K20" i="4"/>
  <c r="L20" i="4"/>
  <c r="M20" i="4"/>
  <c r="H21" i="4"/>
  <c r="I21" i="4"/>
  <c r="J21" i="4"/>
  <c r="K21" i="4"/>
  <c r="L21" i="4"/>
  <c r="M21" i="4"/>
  <c r="M3" i="4"/>
  <c r="L3" i="4"/>
  <c r="K3" i="4"/>
  <c r="J3" i="4"/>
  <c r="I3" i="4"/>
  <c r="H3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<sst xmlns="http://schemas.openxmlformats.org/spreadsheetml/2006/main" count="232" uniqueCount="36">
  <si>
    <t>Fx (N)</t>
  </si>
  <si>
    <t>Fy (N)</t>
  </si>
  <si>
    <t>Fz (N)</t>
  </si>
  <si>
    <t>Tx (Nm)</t>
  </si>
  <si>
    <t>Ty (Nm)</t>
  </si>
  <si>
    <t>Tz(Nm)</t>
  </si>
  <si>
    <t>6-Axis FT Sensor</t>
  </si>
  <si>
    <t>F (N)</t>
  </si>
  <si>
    <t>s (m)</t>
  </si>
  <si>
    <t>SoRoSim get_distal_value</t>
  </si>
  <si>
    <t>tau1 (N)</t>
  </si>
  <si>
    <t>tau2 (N)</t>
  </si>
  <si>
    <t>tau3 (N)</t>
  </si>
  <si>
    <t>Ground Truth</t>
  </si>
  <si>
    <t>SoRoSim get_proximal_value</t>
  </si>
  <si>
    <t>Distal Errors</t>
  </si>
  <si>
    <t>Proximal Errors</t>
  </si>
  <si>
    <t>Fx</t>
  </si>
  <si>
    <t>Fy</t>
  </si>
  <si>
    <t>Fz</t>
  </si>
  <si>
    <t>Tx</t>
  </si>
  <si>
    <t>Ty</t>
  </si>
  <si>
    <t>Tz</t>
  </si>
  <si>
    <t>Raw Data</t>
  </si>
  <si>
    <t>Converted</t>
  </si>
  <si>
    <t>roll (rad)</t>
  </si>
  <si>
    <t>pitch (deg)</t>
  </si>
  <si>
    <t>f_final</t>
  </si>
  <si>
    <t>Force Error</t>
  </si>
  <si>
    <t>Position Error</t>
  </si>
  <si>
    <t>Mean Average Error</t>
  </si>
  <si>
    <t>Roll Error</t>
  </si>
  <si>
    <t>Pitch Error</t>
  </si>
  <si>
    <t>σ = [0, 0.003125, 0, 0.150, 0, 0]</t>
  </si>
  <si>
    <t>σ = [0, 0.006250, 0.006250, 0.300, 0, 0]</t>
  </si>
  <si>
    <t>σ = [0, 0.01250, 0.01250, 0.600, 0, 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</si>
</sst>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6" formatCode="0.00000"/>
  </numFmts>
  <fonts count="4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B1BDF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9" borderId="0" applyNumberFormat="0" applyBorder="0" applyAlignment="0" applyProtection="0"/>
  </cellStyleXfs>
  <cellXfs count="31">
    <xf numFmtId="0" fontId="0" fillId="0" borderId="0" xfId="0"/>
    <xf numFmtId="0" fontId="1" fillId="6" borderId="1" xfId="0" applyFont="1" applyFill="1" applyBorder="1"/>
    <xf numFmtId="0" fontId="1" fillId="6" borderId="8" xfId="0" applyFont="1" applyFill="1" applyBorder="1"/>
    <xf numFmtId="0" fontId="1" fillId="6" borderId="5" xfId="0" applyFont="1" applyFill="1" applyBorder="1"/>
    <xf numFmtId="0" fontId="1" fillId="6" borderId="1" xfId="0" applyFont="1" applyFill="1" applyBorder="1" applyAlignment="1">
      <alignment wrapText="1"/>
    </xf>
    <xf numFmtId="11" fontId="0" fillId="0" borderId="0" xfId="0" applyNumberFormat="1"/>
    <xf numFmtId="0" fontId="1" fillId="4" borderId="1" xfId="0" applyFont="1" applyFill="1" applyBorder="1" applyAlignment="1">
      <alignment horizontal="center"/>
    </xf>
    <xf numFmtId="166" fontId="2" fillId="8" borderId="1" xfId="0" applyNumberFormat="1" applyFont="1" applyFill="1" applyBorder="1"/>
    <xf numFmtId="165" fontId="2" fillId="8" borderId="1" xfId="0" applyNumberFormat="1" applyFont="1" applyFill="1" applyBorder="1"/>
    <xf numFmtId="164" fontId="2" fillId="8" borderId="1" xfId="0" applyNumberFormat="1" applyFont="1" applyFill="1" applyBorder="1"/>
    <xf numFmtId="11" fontId="2" fillId="8" borderId="1" xfId="0" applyNumberFormat="1" applyFont="1" applyFill="1" applyBorder="1"/>
    <xf numFmtId="164" fontId="3" fillId="9" borderId="1" xfId="1" applyNumberFormat="1" applyBorder="1"/>
    <xf numFmtId="165" fontId="0" fillId="0" borderId="0" xfId="0" applyNumberFormat="1"/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9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1" fillId="6" borderId="10" xfId="0" applyFont="1" applyFill="1" applyBorder="1" applyAlignment="1">
      <alignment horizontal="center"/>
    </xf>
    <xf numFmtId="0" fontId="1" fillId="6" borderId="9" xfId="0" applyFont="1" applyFill="1" applyBorder="1" applyAlignment="1">
      <alignment horizontal="center"/>
    </xf>
    <xf numFmtId="0" fontId="1" fillId="6" borderId="8" xfId="0" applyFont="1" applyFill="1" applyBorder="1" applyAlignment="1">
      <alignment horizontal="center"/>
    </xf>
    <xf numFmtId="0" fontId="0" fillId="0" borderId="6" xfId="0" applyBorder="1" applyAlignment="1">
      <alignment horizontal="center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colors>
    <mruColors>
      <color rgb="FFB1BDF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B4A24-01F9-43FA-AE7F-5A1710EEAA53}">
  <dimension ref="A1:Y18"/>
  <sheetViews>
    <sheetView workbookViewId="0">
      <selection activeCell="G17" sqref="A3:G17"/>
    </sheetView>
  </sheetViews>
  <sheetFormatPr defaultRowHeight="14.5" x14ac:dyDescent="0.35"/>
  <cols>
    <col min="4" max="4" width="10.81640625" bestFit="1" customWidth="1"/>
  </cols>
  <sheetData>
    <row r="1" spans="1:25" ht="16" x14ac:dyDescent="0.4">
      <c r="A1" s="13" t="s">
        <v>13</v>
      </c>
      <c r="B1" s="13"/>
      <c r="C1" s="13"/>
      <c r="D1" s="13"/>
      <c r="E1" s="13"/>
      <c r="F1" s="13"/>
      <c r="G1" s="14"/>
      <c r="H1" s="15" t="s">
        <v>6</v>
      </c>
      <c r="I1" s="16"/>
      <c r="J1" s="16"/>
      <c r="K1" s="16"/>
      <c r="L1" s="16"/>
      <c r="M1" s="16"/>
      <c r="N1" s="17" t="s">
        <v>14</v>
      </c>
      <c r="O1" s="18"/>
      <c r="P1" s="18"/>
      <c r="Q1" s="18"/>
      <c r="R1" s="18"/>
      <c r="S1" s="18"/>
      <c r="T1" s="19" t="s">
        <v>16</v>
      </c>
      <c r="U1" s="20"/>
      <c r="V1" s="20"/>
      <c r="W1" s="20"/>
      <c r="X1" s="20"/>
      <c r="Y1" s="21"/>
    </row>
    <row r="2" spans="1:25" ht="16" x14ac:dyDescent="0.4">
      <c r="A2" s="1" t="s">
        <v>7</v>
      </c>
      <c r="B2" s="1" t="s">
        <v>8</v>
      </c>
      <c r="C2" s="1" t="s">
        <v>25</v>
      </c>
      <c r="D2" s="1" t="s">
        <v>26</v>
      </c>
      <c r="E2" s="1" t="s">
        <v>10</v>
      </c>
      <c r="F2" s="1" t="s">
        <v>11</v>
      </c>
      <c r="G2" s="1" t="s">
        <v>12</v>
      </c>
      <c r="H2" s="2" t="s">
        <v>3</v>
      </c>
      <c r="I2" s="1" t="s">
        <v>4</v>
      </c>
      <c r="J2" s="1" t="s">
        <v>5</v>
      </c>
      <c r="K2" s="1" t="s">
        <v>0</v>
      </c>
      <c r="L2" s="1" t="s">
        <v>1</v>
      </c>
      <c r="M2" s="1" t="s">
        <v>2</v>
      </c>
      <c r="N2" s="3" t="s">
        <v>3</v>
      </c>
      <c r="O2" s="1" t="s">
        <v>4</v>
      </c>
      <c r="P2" s="1" t="s">
        <v>5</v>
      </c>
      <c r="Q2" s="1" t="s">
        <v>0</v>
      </c>
      <c r="R2" s="1" t="s">
        <v>1</v>
      </c>
      <c r="S2" s="1" t="s">
        <v>2</v>
      </c>
      <c r="T2" s="1" t="s">
        <v>3</v>
      </c>
      <c r="U2" s="1" t="s">
        <v>4</v>
      </c>
      <c r="V2" s="1" t="s">
        <v>5</v>
      </c>
      <c r="W2" s="1" t="s">
        <v>0</v>
      </c>
      <c r="X2" s="1" t="s">
        <v>1</v>
      </c>
      <c r="Y2" s="1" t="s">
        <v>2</v>
      </c>
    </row>
    <row r="3" spans="1:25" x14ac:dyDescent="0.35">
      <c r="A3" s="11">
        <v>0.3</v>
      </c>
      <c r="B3" s="11">
        <v>0.08</v>
      </c>
      <c r="C3" s="11">
        <v>1.571</v>
      </c>
      <c r="D3" s="11">
        <v>0.78500000000000003</v>
      </c>
      <c r="E3" s="11">
        <v>1.4</v>
      </c>
      <c r="F3" s="11">
        <v>0</v>
      </c>
      <c r="G3" s="11">
        <v>0</v>
      </c>
      <c r="H3" s="9">
        <v>8.3457410801202102E-4</v>
      </c>
      <c r="I3" s="9">
        <v>-3.4524299204349497E-2</v>
      </c>
      <c r="J3" s="9">
        <v>-1.46811630111188E-3</v>
      </c>
      <c r="K3" s="9">
        <v>0.179403036832809</v>
      </c>
      <c r="L3" s="9">
        <v>-7.5630694627761797E-3</v>
      </c>
      <c r="M3" s="9">
        <v>0.203822165727615</v>
      </c>
      <c r="N3" s="9">
        <v>6.4981485602738382E-4</v>
      </c>
      <c r="O3" s="9">
        <v>-3.8734583219832086E-2</v>
      </c>
      <c r="P3" s="9">
        <v>2.0651667526055714E-3</v>
      </c>
      <c r="Q3" s="9">
        <v>0.18685538653671591</v>
      </c>
      <c r="R3" s="9">
        <v>1.5592853916163447E-2</v>
      </c>
      <c r="S3" s="9">
        <v>0.23417892864469997</v>
      </c>
      <c r="T3" s="7">
        <f t="shared" ref="T3:Y17" si="0">ABS(H3-N3)</f>
        <v>1.847592519846372E-4</v>
      </c>
      <c r="U3" s="7">
        <f t="shared" si="0"/>
        <v>4.2102840154825891E-3</v>
      </c>
      <c r="V3" s="7">
        <f t="shared" si="0"/>
        <v>3.5332830537174514E-3</v>
      </c>
      <c r="W3" s="7">
        <f t="shared" si="0"/>
        <v>7.452349703906902E-3</v>
      </c>
      <c r="X3" s="7">
        <f t="shared" si="0"/>
        <v>2.3155923378939628E-2</v>
      </c>
      <c r="Y3" s="7">
        <f t="shared" si="0"/>
        <v>3.0356762917084973E-2</v>
      </c>
    </row>
    <row r="4" spans="1:25" x14ac:dyDescent="0.35">
      <c r="A4" s="11">
        <v>0.4</v>
      </c>
      <c r="B4" s="11">
        <v>0.14000000000000001</v>
      </c>
      <c r="C4" s="11">
        <v>1.571</v>
      </c>
      <c r="D4" s="11">
        <v>0.78500000000000003</v>
      </c>
      <c r="E4" s="11">
        <v>0</v>
      </c>
      <c r="F4" s="11">
        <v>0</v>
      </c>
      <c r="G4" s="11">
        <v>0</v>
      </c>
      <c r="H4" s="9">
        <v>-8.0810196232050701E-4</v>
      </c>
      <c r="I4" s="9">
        <v>-6.6743046045303303E-2</v>
      </c>
      <c r="J4" s="9">
        <v>4.4342974433675398E-4</v>
      </c>
      <c r="K4" s="9">
        <v>0.21195751428604101</v>
      </c>
      <c r="L4" s="9">
        <v>1.1818818747997299E-3</v>
      </c>
      <c r="M4" s="9">
        <v>0.30656093358993503</v>
      </c>
      <c r="N4" s="9">
        <v>-3.7772879150691558E-22</v>
      </c>
      <c r="O4" s="9">
        <v>-7.4513816241618541E-2</v>
      </c>
      <c r="P4" s="9">
        <v>-1.5176467988265224E-5</v>
      </c>
      <c r="Q4" s="9">
        <v>0.19288278176015389</v>
      </c>
      <c r="R4" s="9">
        <v>-7.1371717917089524E-5</v>
      </c>
      <c r="S4" s="9">
        <v>0.35042271217748283</v>
      </c>
      <c r="T4" s="7">
        <f t="shared" si="0"/>
        <v>8.0810196232050701E-4</v>
      </c>
      <c r="U4" s="7">
        <f t="shared" si="0"/>
        <v>7.7707701963152381E-3</v>
      </c>
      <c r="V4" s="7">
        <f t="shared" si="0"/>
        <v>4.5860621232501919E-4</v>
      </c>
      <c r="W4" s="7">
        <f t="shared" si="0"/>
        <v>1.9074732525887123E-2</v>
      </c>
      <c r="X4" s="7">
        <f t="shared" si="0"/>
        <v>1.2532535927168194E-3</v>
      </c>
      <c r="Y4" s="7">
        <f t="shared" si="0"/>
        <v>4.3861778587547806E-2</v>
      </c>
    </row>
    <row r="5" spans="1:25" x14ac:dyDescent="0.35">
      <c r="A5" s="11">
        <v>0.6</v>
      </c>
      <c r="B5" s="11">
        <v>0.16</v>
      </c>
      <c r="C5" s="11">
        <v>1.571</v>
      </c>
      <c r="D5" s="11">
        <v>0.78500000000000003</v>
      </c>
      <c r="E5" s="11">
        <v>1.4</v>
      </c>
      <c r="F5" s="11">
        <v>0</v>
      </c>
      <c r="G5" s="11">
        <v>0</v>
      </c>
      <c r="H5" s="9">
        <v>7.8557301312684995E-3</v>
      </c>
      <c r="I5" s="9">
        <v>-0.127810284495354</v>
      </c>
      <c r="J5" s="9">
        <v>-1.16112818941474E-2</v>
      </c>
      <c r="K5" s="9">
        <v>2.8561159968376201E-2</v>
      </c>
      <c r="L5" s="9">
        <v>-4.7612398862838697E-2</v>
      </c>
      <c r="M5" s="9">
        <v>0.55316102504730202</v>
      </c>
      <c r="N5" s="9">
        <v>5.5029484993798956E-3</v>
      </c>
      <c r="O5" s="9">
        <v>-0.13325240767769686</v>
      </c>
      <c r="P5" s="9">
        <v>1.1318003160214779E-2</v>
      </c>
      <c r="Q5" s="9">
        <v>6.2601520337215708E-2</v>
      </c>
      <c r="R5" s="9">
        <v>5.3035798594496968E-2</v>
      </c>
      <c r="S5" s="9">
        <v>0.5943549640460597</v>
      </c>
      <c r="T5" s="7">
        <f t="shared" si="0"/>
        <v>2.3527816318886039E-3</v>
      </c>
      <c r="U5" s="7">
        <f t="shared" si="0"/>
        <v>5.4421231823428562E-3</v>
      </c>
      <c r="V5" s="7">
        <f t="shared" si="0"/>
        <v>2.2929285054362179E-2</v>
      </c>
      <c r="W5" s="7">
        <f t="shared" si="0"/>
        <v>3.4040360368839506E-2</v>
      </c>
      <c r="X5" s="7">
        <f t="shared" si="0"/>
        <v>0.10064819745733566</v>
      </c>
      <c r="Y5" s="7">
        <f t="shared" si="0"/>
        <v>4.1193938998757673E-2</v>
      </c>
    </row>
    <row r="6" spans="1:25" x14ac:dyDescent="0.35">
      <c r="A6" s="11">
        <v>0.4</v>
      </c>
      <c r="B6" s="11">
        <v>0.06</v>
      </c>
      <c r="C6" s="11">
        <v>1.571</v>
      </c>
      <c r="D6" s="11">
        <v>1.571</v>
      </c>
      <c r="E6" s="11">
        <v>1.4</v>
      </c>
      <c r="F6" s="11">
        <v>0</v>
      </c>
      <c r="G6" s="11">
        <v>0</v>
      </c>
      <c r="H6" s="9">
        <v>1.1252735275775201E-3</v>
      </c>
      <c r="I6" s="9">
        <v>-5.59809319674969E-2</v>
      </c>
      <c r="J6" s="9">
        <v>-7.4938102625310399E-4</v>
      </c>
      <c r="K6" s="9">
        <v>-3.5423979163169902E-2</v>
      </c>
      <c r="L6" s="9">
        <v>-1.04948431253433E-2</v>
      </c>
      <c r="M6" s="9">
        <v>0.35301661491393999</v>
      </c>
      <c r="N6" s="9">
        <v>6.8201095839045861E-4</v>
      </c>
      <c r="O6" s="9">
        <v>-5.9716798748166919E-2</v>
      </c>
      <c r="P6" s="9">
        <v>-7.8735273971794386E-5</v>
      </c>
      <c r="Q6" s="9">
        <v>-4.0876345904461077E-2</v>
      </c>
      <c r="R6" s="9">
        <v>-9.914633187196268E-4</v>
      </c>
      <c r="S6" s="9">
        <v>0.39790140046488587</v>
      </c>
      <c r="T6" s="7">
        <f t="shared" si="0"/>
        <v>4.4326256918706146E-4</v>
      </c>
      <c r="U6" s="7">
        <f t="shared" si="0"/>
        <v>3.7358667806700191E-3</v>
      </c>
      <c r="V6" s="7">
        <f t="shared" si="0"/>
        <v>6.7064575228130961E-4</v>
      </c>
      <c r="W6" s="7">
        <f t="shared" si="0"/>
        <v>5.4523667412911744E-3</v>
      </c>
      <c r="X6" s="7">
        <f t="shared" si="0"/>
        <v>9.5033798066236734E-3</v>
      </c>
      <c r="Y6" s="7">
        <f t="shared" si="0"/>
        <v>4.4884785550945883E-2</v>
      </c>
    </row>
    <row r="7" spans="1:25" x14ac:dyDescent="0.35">
      <c r="A7" s="11">
        <v>0.8</v>
      </c>
      <c r="B7" s="11">
        <v>0.08</v>
      </c>
      <c r="C7" s="11">
        <v>1.571</v>
      </c>
      <c r="D7" s="11">
        <v>1.571</v>
      </c>
      <c r="E7" s="11">
        <v>0</v>
      </c>
      <c r="F7" s="11">
        <v>0</v>
      </c>
      <c r="G7" s="11">
        <v>0</v>
      </c>
      <c r="H7" s="9">
        <v>-5.5839424021542105E-4</v>
      </c>
      <c r="I7" s="9">
        <v>-0.11975701153278399</v>
      </c>
      <c r="J7" s="9">
        <v>-9.9074037279933691E-4</v>
      </c>
      <c r="K7" s="9">
        <v>-0.19020733237266499</v>
      </c>
      <c r="L7" s="9">
        <v>-2.60122120380402E-3</v>
      </c>
      <c r="M7" s="9">
        <v>0.66739636659622203</v>
      </c>
      <c r="N7" s="9">
        <v>-3.6558238181758091E-22</v>
      </c>
      <c r="O7" s="9">
        <v>-0.13340417150290032</v>
      </c>
      <c r="P7" s="9">
        <v>-2.7170855559857866E-5</v>
      </c>
      <c r="Q7" s="9">
        <v>-0.19526641839411424</v>
      </c>
      <c r="R7" s="9">
        <v>-1.580094483947608E-4</v>
      </c>
      <c r="S7" s="9">
        <v>0.77579888886073778</v>
      </c>
      <c r="T7" s="7">
        <f t="shared" si="0"/>
        <v>5.5839424021542105E-4</v>
      </c>
      <c r="U7" s="7">
        <f t="shared" si="0"/>
        <v>1.3647159970116327E-2</v>
      </c>
      <c r="V7" s="7">
        <f t="shared" si="0"/>
        <v>9.6356951723947906E-4</v>
      </c>
      <c r="W7" s="7">
        <f t="shared" si="0"/>
        <v>5.0590860214492495E-3</v>
      </c>
      <c r="X7" s="7">
        <f t="shared" si="0"/>
        <v>2.4432117554092593E-3</v>
      </c>
      <c r="Y7" s="7">
        <f t="shared" si="0"/>
        <v>0.10840252226451574</v>
      </c>
    </row>
    <row r="8" spans="1:25" x14ac:dyDescent="0.35">
      <c r="A8" s="11">
        <v>0.7</v>
      </c>
      <c r="B8" s="11">
        <v>0.16</v>
      </c>
      <c r="C8" s="11">
        <v>1.571</v>
      </c>
      <c r="D8" s="11">
        <v>1.571</v>
      </c>
      <c r="E8" s="11">
        <v>1.4</v>
      </c>
      <c r="F8" s="11">
        <v>0</v>
      </c>
      <c r="G8" s="11">
        <v>0</v>
      </c>
      <c r="H8" s="9">
        <v>1.04370433837175E-2</v>
      </c>
      <c r="I8" s="9">
        <v>-0.129757210612297</v>
      </c>
      <c r="J8" s="9">
        <v>-7.3771281167864799E-3</v>
      </c>
      <c r="K8" s="9">
        <v>-0.55726921558380105</v>
      </c>
      <c r="L8" s="9">
        <v>-6.0898363590240499E-2</v>
      </c>
      <c r="M8" s="9">
        <v>0.32599642872810403</v>
      </c>
      <c r="N8" s="9">
        <v>8.1742887197970102E-3</v>
      </c>
      <c r="O8" s="9">
        <v>-0.13915055668366916</v>
      </c>
      <c r="P8" s="9">
        <v>-1.0658797430286927E-3</v>
      </c>
      <c r="Q8" s="9">
        <v>-0.5610053796184401</v>
      </c>
      <c r="R8" s="9">
        <v>-3.615060424031849E-2</v>
      </c>
      <c r="S8" s="9">
        <v>0.41707689487013627</v>
      </c>
      <c r="T8" s="7">
        <f t="shared" si="0"/>
        <v>2.2627546639204903E-3</v>
      </c>
      <c r="U8" s="7">
        <f t="shared" si="0"/>
        <v>9.393346071372155E-3</v>
      </c>
      <c r="V8" s="7">
        <f t="shared" si="0"/>
        <v>6.3112483737577871E-3</v>
      </c>
      <c r="W8" s="7">
        <f t="shared" si="0"/>
        <v>3.7361640346390557E-3</v>
      </c>
      <c r="X8" s="7">
        <f t="shared" si="0"/>
        <v>2.4747759349922009E-2</v>
      </c>
      <c r="Y8" s="7">
        <f t="shared" si="0"/>
        <v>9.1080466142032246E-2</v>
      </c>
    </row>
    <row r="9" spans="1:25" x14ac:dyDescent="0.35">
      <c r="A9" s="11">
        <v>0.7</v>
      </c>
      <c r="B9" s="11">
        <v>0.2</v>
      </c>
      <c r="C9" s="11">
        <v>1.571</v>
      </c>
      <c r="D9" s="11">
        <v>1.571</v>
      </c>
      <c r="E9" s="11">
        <v>0</v>
      </c>
      <c r="F9" s="11">
        <v>0</v>
      </c>
      <c r="G9" s="11">
        <v>0</v>
      </c>
      <c r="H9" s="9">
        <v>-5.38935419172049E-4</v>
      </c>
      <c r="I9" s="9">
        <v>-0.118809439241886</v>
      </c>
      <c r="J9" s="9">
        <v>3.4749228507280402E-3</v>
      </c>
      <c r="K9" s="9">
        <v>-0.621493339538574</v>
      </c>
      <c r="L9" s="9">
        <v>1.56053192913532E-2</v>
      </c>
      <c r="M9" s="9">
        <v>0.10576334595680199</v>
      </c>
      <c r="N9" s="9">
        <v>7.3177614929371502E-21</v>
      </c>
      <c r="O9" s="9">
        <v>-0.13611420659338222</v>
      </c>
      <c r="P9" s="9">
        <v>-2.7722817100311156E-5</v>
      </c>
      <c r="Q9" s="9">
        <v>-0.66683139601733965</v>
      </c>
      <c r="R9" s="9">
        <v>-4.3366484921137266E-5</v>
      </c>
      <c r="S9" s="9">
        <v>0.21292189269315726</v>
      </c>
      <c r="T9" s="7">
        <f t="shared" si="0"/>
        <v>5.38935419172049E-4</v>
      </c>
      <c r="U9" s="7">
        <f t="shared" si="0"/>
        <v>1.730476735149622E-2</v>
      </c>
      <c r="V9" s="7">
        <f t="shared" si="0"/>
        <v>3.5026456678283512E-3</v>
      </c>
      <c r="W9" s="7">
        <f t="shared" si="0"/>
        <v>4.5338056478765654E-2</v>
      </c>
      <c r="X9" s="7">
        <f t="shared" si="0"/>
        <v>1.5648685776274335E-2</v>
      </c>
      <c r="Y9" s="7">
        <f t="shared" si="0"/>
        <v>0.10715854673635526</v>
      </c>
    </row>
    <row r="10" spans="1:25" x14ac:dyDescent="0.35">
      <c r="A10" s="11">
        <v>0.7</v>
      </c>
      <c r="B10" s="11">
        <v>0.06</v>
      </c>
      <c r="C10" s="11">
        <v>3.665</v>
      </c>
      <c r="D10" s="11">
        <v>0.78500000000000003</v>
      </c>
      <c r="E10" s="11">
        <v>0</v>
      </c>
      <c r="F10" s="11">
        <v>0</v>
      </c>
      <c r="G10" s="11">
        <v>0</v>
      </c>
      <c r="H10" s="9">
        <v>-7.8150304034352303E-4</v>
      </c>
      <c r="I10" s="9">
        <v>4.4897478073835401E-2</v>
      </c>
      <c r="J10" s="9">
        <v>-8.2051888108253507E-2</v>
      </c>
      <c r="K10" s="9">
        <v>0.48326423764228799</v>
      </c>
      <c r="L10" s="9">
        <v>-0.55701375007629395</v>
      </c>
      <c r="M10" s="9">
        <v>-0.30146327614784202</v>
      </c>
      <c r="N10" s="9">
        <v>-1.0114603316691302E-19</v>
      </c>
      <c r="O10" s="9">
        <v>3.9354429696197957E-2</v>
      </c>
      <c r="P10" s="9">
        <v>-6.8194016077989653E-2</v>
      </c>
      <c r="Q10" s="9">
        <v>0.45002174213907664</v>
      </c>
      <c r="R10" s="9">
        <v>-0.46438878522479088</v>
      </c>
      <c r="S10" s="9">
        <v>-0.26799647316460812</v>
      </c>
      <c r="T10" s="7">
        <f t="shared" si="0"/>
        <v>7.8150304034352292E-4</v>
      </c>
      <c r="U10" s="7">
        <f t="shared" si="0"/>
        <v>5.543048377637444E-3</v>
      </c>
      <c r="V10" s="7">
        <f t="shared" si="0"/>
        <v>1.3857872030263854E-2</v>
      </c>
      <c r="W10" s="7">
        <f t="shared" si="0"/>
        <v>3.3242495503211344E-2</v>
      </c>
      <c r="X10" s="7">
        <f t="shared" si="0"/>
        <v>9.2624964851503067E-2</v>
      </c>
      <c r="Y10" s="7">
        <f t="shared" si="0"/>
        <v>3.3466802983233901E-2</v>
      </c>
    </row>
    <row r="11" spans="1:25" x14ac:dyDescent="0.35">
      <c r="A11" s="11">
        <v>0.6</v>
      </c>
      <c r="B11" s="11">
        <v>0.1</v>
      </c>
      <c r="C11" s="11">
        <v>3.665</v>
      </c>
      <c r="D11" s="11">
        <v>0.78500000000000003</v>
      </c>
      <c r="E11" s="11">
        <v>0</v>
      </c>
      <c r="F11" s="11">
        <v>0</v>
      </c>
      <c r="G11" s="11">
        <v>0</v>
      </c>
      <c r="H11" s="9">
        <v>-4.8895599320530902E-4</v>
      </c>
      <c r="I11" s="9">
        <v>4.6247739344835302E-2</v>
      </c>
      <c r="J11" s="9">
        <v>-8.3231396973133101E-2</v>
      </c>
      <c r="K11" s="9">
        <v>0.33926415443420399</v>
      </c>
      <c r="L11" s="9">
        <v>-0.45690825581550598</v>
      </c>
      <c r="M11" s="9">
        <v>-0.25065129995346103</v>
      </c>
      <c r="N11" s="9">
        <v>7.4470673862340312E-19</v>
      </c>
      <c r="O11" s="9">
        <v>4.531498804758681E-2</v>
      </c>
      <c r="P11" s="9">
        <v>-7.852257159731095E-2</v>
      </c>
      <c r="Q11" s="9">
        <v>0.32464755289510622</v>
      </c>
      <c r="R11" s="9">
        <v>-0.43702874828974553</v>
      </c>
      <c r="S11" s="9">
        <v>-0.25220713104968956</v>
      </c>
      <c r="T11" s="7">
        <f t="shared" si="0"/>
        <v>4.8895599320530978E-4</v>
      </c>
      <c r="U11" s="7">
        <f t="shared" si="0"/>
        <v>9.3275129724849221E-4</v>
      </c>
      <c r="V11" s="7">
        <f t="shared" si="0"/>
        <v>4.708825375822151E-3</v>
      </c>
      <c r="W11" s="7">
        <f t="shared" si="0"/>
        <v>1.4616601539097773E-2</v>
      </c>
      <c r="X11" s="7">
        <f t="shared" si="0"/>
        <v>1.9879507525760454E-2</v>
      </c>
      <c r="Y11" s="7">
        <f t="shared" si="0"/>
        <v>1.5558310962285327E-3</v>
      </c>
    </row>
    <row r="12" spans="1:25" x14ac:dyDescent="0.35">
      <c r="A12" s="11">
        <v>0.8</v>
      </c>
      <c r="B12" s="11">
        <v>0.18</v>
      </c>
      <c r="C12" s="11">
        <v>3.665</v>
      </c>
      <c r="D12" s="11">
        <v>0.78500000000000003</v>
      </c>
      <c r="E12" s="11">
        <v>1.4</v>
      </c>
      <c r="F12" s="11">
        <v>0</v>
      </c>
      <c r="G12" s="11">
        <v>0</v>
      </c>
      <c r="H12" s="9">
        <v>1.7005717381834999E-3</v>
      </c>
      <c r="I12" s="9">
        <v>8.4788650274276706E-2</v>
      </c>
      <c r="J12" s="9">
        <v>-0.143600359559059</v>
      </c>
      <c r="K12" s="9">
        <v>0.28701612353324901</v>
      </c>
      <c r="L12" s="9">
        <v>-0.64443814754486095</v>
      </c>
      <c r="M12" s="9">
        <v>-0.37070235610008201</v>
      </c>
      <c r="N12" s="9">
        <v>2.3827043678584632E-6</v>
      </c>
      <c r="O12" s="9">
        <v>9.5040234528640313E-2</v>
      </c>
      <c r="P12" s="9">
        <v>-0.16469730367249624</v>
      </c>
      <c r="Q12" s="9">
        <v>1.361440049427721E-2</v>
      </c>
      <c r="R12" s="9">
        <v>-0.69280155020472534</v>
      </c>
      <c r="S12" s="9">
        <v>-0.39978791232879007</v>
      </c>
      <c r="T12" s="7">
        <f t="shared" si="0"/>
        <v>1.6981890338156414E-3</v>
      </c>
      <c r="U12" s="7">
        <f t="shared" si="0"/>
        <v>1.0251584254363608E-2</v>
      </c>
      <c r="V12" s="7">
        <f t="shared" si="0"/>
        <v>2.1096944113437238E-2</v>
      </c>
      <c r="W12" s="7">
        <f t="shared" si="0"/>
        <v>0.27340172303897181</v>
      </c>
      <c r="X12" s="7">
        <f t="shared" si="0"/>
        <v>4.8363402659864385E-2</v>
      </c>
      <c r="Y12" s="7">
        <f t="shared" si="0"/>
        <v>2.9085556228708065E-2</v>
      </c>
    </row>
    <row r="13" spans="1:25" x14ac:dyDescent="0.35">
      <c r="A13" s="11">
        <v>0.4</v>
      </c>
      <c r="B13" s="11">
        <v>0.2</v>
      </c>
      <c r="C13" s="11">
        <v>3.665</v>
      </c>
      <c r="D13" s="11">
        <v>0.78500000000000003</v>
      </c>
      <c r="E13" s="11">
        <v>1.4</v>
      </c>
      <c r="F13" s="11">
        <v>0</v>
      </c>
      <c r="G13" s="11">
        <v>0</v>
      </c>
      <c r="H13" s="9">
        <v>1.0739560239017001E-3</v>
      </c>
      <c r="I13" s="9">
        <v>4.1172292083501802E-2</v>
      </c>
      <c r="J13" s="9">
        <v>-6.7707680165767697E-2</v>
      </c>
      <c r="K13" s="9">
        <v>0.187965422868729</v>
      </c>
      <c r="L13" s="9">
        <v>-0.244067072868347</v>
      </c>
      <c r="M13" s="9">
        <v>-0.14198835194110901</v>
      </c>
      <c r="N13" s="9">
        <v>1.3548912864416416E-6</v>
      </c>
      <c r="O13" s="9">
        <v>4.5873251672895833E-2</v>
      </c>
      <c r="P13" s="9">
        <v>-7.9495578624347238E-2</v>
      </c>
      <c r="Q13" s="9">
        <v>0.17563387740408509</v>
      </c>
      <c r="R13" s="9">
        <v>-0.31127058231921212</v>
      </c>
      <c r="S13" s="9">
        <v>-0.17961698196848605</v>
      </c>
      <c r="T13" s="7">
        <f t="shared" si="0"/>
        <v>1.0726011326152585E-3</v>
      </c>
      <c r="U13" s="7">
        <f t="shared" si="0"/>
        <v>4.7009595893940312E-3</v>
      </c>
      <c r="V13" s="7">
        <f t="shared" si="0"/>
        <v>1.178789845857954E-2</v>
      </c>
      <c r="W13" s="7">
        <f t="shared" si="0"/>
        <v>1.2331545464643906E-2</v>
      </c>
      <c r="X13" s="7">
        <f t="shared" si="0"/>
        <v>6.7203509450865118E-2</v>
      </c>
      <c r="Y13" s="7">
        <f t="shared" si="0"/>
        <v>3.7628630027377041E-2</v>
      </c>
    </row>
    <row r="14" spans="1:25" x14ac:dyDescent="0.35">
      <c r="A14" s="11">
        <v>0.4</v>
      </c>
      <c r="B14" s="11">
        <v>0.1</v>
      </c>
      <c r="C14" s="11">
        <v>3.665</v>
      </c>
      <c r="D14" s="11">
        <v>1.571</v>
      </c>
      <c r="E14" s="11">
        <v>1.4</v>
      </c>
      <c r="F14" s="11">
        <v>0</v>
      </c>
      <c r="G14" s="11">
        <v>0</v>
      </c>
      <c r="H14" s="9">
        <v>-4.8927497118711504E-4</v>
      </c>
      <c r="I14" s="9">
        <v>3.26927192509174E-2</v>
      </c>
      <c r="J14" s="9">
        <v>-5.8575917035341298E-2</v>
      </c>
      <c r="K14" s="9">
        <v>-1.28835095092654E-2</v>
      </c>
      <c r="L14" s="9">
        <v>-0.29204529523849498</v>
      </c>
      <c r="M14" s="9">
        <v>-0.16083618998527499</v>
      </c>
      <c r="N14" s="9">
        <v>4.4731453236950502E-7</v>
      </c>
      <c r="O14" s="9">
        <v>3.7910529330259499E-2</v>
      </c>
      <c r="P14" s="9">
        <v>-6.5692039111055353E-2</v>
      </c>
      <c r="Q14" s="9">
        <v>-3.4339529763514752E-2</v>
      </c>
      <c r="R14" s="9">
        <v>-0.34516714598695269</v>
      </c>
      <c r="S14" s="9">
        <v>-0.19919437346520763</v>
      </c>
      <c r="T14" s="7">
        <f t="shared" si="0"/>
        <v>4.8972228571948458E-4</v>
      </c>
      <c r="U14" s="7">
        <f t="shared" si="0"/>
        <v>5.2178100793420987E-3</v>
      </c>
      <c r="V14" s="7">
        <f t="shared" si="0"/>
        <v>7.1161220757140556E-3</v>
      </c>
      <c r="W14" s="7">
        <f t="shared" si="0"/>
        <v>2.145602025424935E-2</v>
      </c>
      <c r="X14" s="7">
        <f t="shared" si="0"/>
        <v>5.3121850748457711E-2</v>
      </c>
      <c r="Y14" s="7">
        <f t="shared" si="0"/>
        <v>3.8358183479932639E-2</v>
      </c>
    </row>
    <row r="15" spans="1:25" x14ac:dyDescent="0.35">
      <c r="A15" s="11">
        <v>0.7</v>
      </c>
      <c r="B15" s="11">
        <v>0.1</v>
      </c>
      <c r="C15" s="11">
        <v>3.665</v>
      </c>
      <c r="D15" s="11">
        <v>1.571</v>
      </c>
      <c r="E15" s="11">
        <v>1.4</v>
      </c>
      <c r="F15" s="11">
        <v>0</v>
      </c>
      <c r="G15" s="11">
        <v>0</v>
      </c>
      <c r="H15" s="9">
        <v>-1.61128584295511E-4</v>
      </c>
      <c r="I15" s="9">
        <v>6.6224433481693296E-2</v>
      </c>
      <c r="J15" s="9">
        <v>-0.118051804602146</v>
      </c>
      <c r="K15" s="9">
        <v>-0.18827667832374601</v>
      </c>
      <c r="L15" s="9">
        <v>-0.57758575677871704</v>
      </c>
      <c r="M15" s="9">
        <v>-0.318100035190582</v>
      </c>
      <c r="N15" s="9">
        <v>7.8275549040786961E-7</v>
      </c>
      <c r="O15" s="9">
        <v>6.5485799436450429E-2</v>
      </c>
      <c r="P15" s="9">
        <v>-0.11347489079493984</v>
      </c>
      <c r="Q15" s="9">
        <v>-0.16082361766027395</v>
      </c>
      <c r="R15" s="9">
        <v>-0.59006471211239453</v>
      </c>
      <c r="S15" s="9">
        <v>-0.34052454254295622</v>
      </c>
      <c r="T15" s="7">
        <f t="shared" si="0"/>
        <v>1.6191133978591887E-4</v>
      </c>
      <c r="U15" s="7">
        <f t="shared" si="0"/>
        <v>7.3863404524286691E-4</v>
      </c>
      <c r="V15" s="7">
        <f t="shared" si="0"/>
        <v>4.576913807206151E-3</v>
      </c>
      <c r="W15" s="7">
        <f t="shared" si="0"/>
        <v>2.7453060663472056E-2</v>
      </c>
      <c r="X15" s="7">
        <f t="shared" si="0"/>
        <v>1.2478955333677488E-2</v>
      </c>
      <c r="Y15" s="7">
        <f t="shared" si="0"/>
        <v>2.2424507352374223E-2</v>
      </c>
    </row>
    <row r="16" spans="1:25" x14ac:dyDescent="0.35">
      <c r="A16" s="11">
        <v>0.4</v>
      </c>
      <c r="B16" s="11">
        <v>0.16</v>
      </c>
      <c r="C16" s="11">
        <v>3.665</v>
      </c>
      <c r="D16" s="11">
        <v>1.571</v>
      </c>
      <c r="E16" s="11">
        <v>0</v>
      </c>
      <c r="F16" s="11">
        <v>0</v>
      </c>
      <c r="G16" s="11">
        <v>0</v>
      </c>
      <c r="H16" s="9">
        <v>3.27638350427151E-4</v>
      </c>
      <c r="I16" s="9">
        <v>4.1303895413875601E-2</v>
      </c>
      <c r="J16" s="9">
        <v>-7.1706265211105305E-2</v>
      </c>
      <c r="K16" s="9">
        <v>-0.16764184832572901</v>
      </c>
      <c r="L16" s="9">
        <v>-0.24127176403999301</v>
      </c>
      <c r="M16" s="9">
        <v>-0.13795974850654599</v>
      </c>
      <c r="N16" s="9">
        <v>1.367592483114211E-18</v>
      </c>
      <c r="O16" s="9">
        <v>4.7072220555871E-2</v>
      </c>
      <c r="P16" s="9">
        <v>-8.1567533571039533E-2</v>
      </c>
      <c r="Q16" s="9">
        <v>-0.19051392909413226</v>
      </c>
      <c r="R16" s="9">
        <v>-0.30462860510100198</v>
      </c>
      <c r="S16" s="9">
        <v>-0.17579966267403405</v>
      </c>
      <c r="T16" s="7">
        <f t="shared" si="0"/>
        <v>3.2763835042714964E-4</v>
      </c>
      <c r="U16" s="7">
        <f t="shared" si="0"/>
        <v>5.7683251419953993E-3</v>
      </c>
      <c r="V16" s="7">
        <f t="shared" si="0"/>
        <v>9.8612683599342277E-3</v>
      </c>
      <c r="W16" s="7">
        <f t="shared" si="0"/>
        <v>2.2872080768403247E-2</v>
      </c>
      <c r="X16" s="7">
        <f t="shared" si="0"/>
        <v>6.3356841061008973E-2</v>
      </c>
      <c r="Y16" s="7">
        <f t="shared" si="0"/>
        <v>3.7839914167488053E-2</v>
      </c>
    </row>
    <row r="17" spans="1:25" x14ac:dyDescent="0.35">
      <c r="A17" s="11">
        <v>0.3</v>
      </c>
      <c r="B17" s="11">
        <v>0.18</v>
      </c>
      <c r="C17" s="11">
        <v>3.665</v>
      </c>
      <c r="D17" s="11">
        <v>1.571</v>
      </c>
      <c r="E17" s="11">
        <v>0</v>
      </c>
      <c r="F17" s="11">
        <v>0</v>
      </c>
      <c r="G17" s="11">
        <v>0</v>
      </c>
      <c r="H17" s="9">
        <v>3.5051628947258001E-4</v>
      </c>
      <c r="I17" s="9">
        <v>3.2155215740203899E-2</v>
      </c>
      <c r="J17" s="9">
        <v>-5.4656162858009297E-2</v>
      </c>
      <c r="K17" s="9">
        <v>-0.106987468898296</v>
      </c>
      <c r="L17" s="9">
        <v>-0.16471621394157401</v>
      </c>
      <c r="M17" s="9">
        <v>-9.7047880291938796E-2</v>
      </c>
      <c r="N17" s="9">
        <v>2.4885534982546837E-19</v>
      </c>
      <c r="O17" s="9">
        <v>3.848032813826683E-2</v>
      </c>
      <c r="P17" s="9">
        <v>-6.6679358232468691E-2</v>
      </c>
      <c r="Q17" s="9">
        <v>-0.13700255611111528</v>
      </c>
      <c r="R17" s="9">
        <v>-0.23115898155849329</v>
      </c>
      <c r="S17" s="9">
        <v>-0.13340070597960632</v>
      </c>
      <c r="T17" s="7">
        <f t="shared" si="0"/>
        <v>3.5051628947257974E-4</v>
      </c>
      <c r="U17" s="7">
        <f t="shared" si="0"/>
        <v>6.3251123980629306E-3</v>
      </c>
      <c r="V17" s="7">
        <f t="shared" si="0"/>
        <v>1.2023195374459394E-2</v>
      </c>
      <c r="W17" s="7">
        <f t="shared" si="0"/>
        <v>3.0015087212819286E-2</v>
      </c>
      <c r="X17" s="7">
        <f t="shared" si="0"/>
        <v>6.6442767616919279E-2</v>
      </c>
      <c r="Y17" s="7">
        <f t="shared" si="0"/>
        <v>3.6352825687667525E-2</v>
      </c>
    </row>
    <row r="18" spans="1:25" x14ac:dyDescent="0.35">
      <c r="H18" cm="1">
        <f t="array" ref="H18">AVERAGE(ABS(H3:H17))</f>
        <v>1.8354398508866605E-3</v>
      </c>
      <c r="I18" cm="1">
        <f t="array" ref="I18">AVERAGE(ABS(I3:I17))</f>
        <v>6.952430978417401E-2</v>
      </c>
      <c r="J18" cm="1">
        <f t="array" ref="J18">AVERAGE(ABS(J3:J17))</f>
        <v>4.7046431654598549E-2</v>
      </c>
      <c r="K18" cm="1">
        <f t="array" ref="K18">AVERAGE(ABS(K3:K17))</f>
        <v>0.23984100141872949</v>
      </c>
      <c r="L18" cm="1">
        <f t="array" ref="L18">AVERAGE(ABS(L3:L17))</f>
        <v>0.22160022358099615</v>
      </c>
      <c r="M18" cm="1">
        <f t="array" ref="M18">AVERAGE(ABS(M3:M17))</f>
        <v>0.28629773457845042</v>
      </c>
    </row>
  </sheetData>
  <mergeCells count="4">
    <mergeCell ref="A1:G1"/>
    <mergeCell ref="H1:M1"/>
    <mergeCell ref="N1:S1"/>
    <mergeCell ref="T1:Y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6F75F-00D5-499A-8B94-C01DFDD9DEC2}">
  <dimension ref="A1:Z17"/>
  <sheetViews>
    <sheetView topLeftCell="J1" workbookViewId="0">
      <selection activeCell="X11" sqref="X11"/>
    </sheetView>
  </sheetViews>
  <sheetFormatPr defaultRowHeight="14.5" x14ac:dyDescent="0.35"/>
  <cols>
    <col min="1" max="2" width="6.1796875" bestFit="1" customWidth="1"/>
    <col min="3" max="3" width="8.81640625" bestFit="1" customWidth="1"/>
    <col min="4" max="4" width="10.81640625" bestFit="1" customWidth="1"/>
    <col min="5" max="7" width="8.453125" bestFit="1" customWidth="1"/>
    <col min="8" max="9" width="8.1796875" bestFit="1" customWidth="1"/>
    <col min="10" max="13" width="8" bestFit="1" customWidth="1"/>
    <col min="14" max="15" width="7.26953125" bestFit="1" customWidth="1"/>
    <col min="16" max="16" width="8.81640625" bestFit="1" customWidth="1"/>
    <col min="17" max="17" width="10.81640625" bestFit="1" customWidth="1"/>
    <col min="18" max="18" width="15" customWidth="1"/>
    <col min="19" max="19" width="11.1796875" bestFit="1" customWidth="1"/>
    <col min="20" max="20" width="13.453125" bestFit="1" customWidth="1"/>
    <col min="21" max="21" width="11.7265625" bestFit="1" customWidth="1"/>
    <col min="22" max="22" width="11.7265625" customWidth="1"/>
    <col min="23" max="23" width="11.1796875" bestFit="1" customWidth="1"/>
    <col min="24" max="24" width="13.54296875" bestFit="1" customWidth="1"/>
    <col min="25" max="25" width="11.7265625" bestFit="1" customWidth="1"/>
    <col min="26" max="26" width="12.54296875" customWidth="1"/>
  </cols>
  <sheetData>
    <row r="1" spans="1:26" ht="16" x14ac:dyDescent="0.4">
      <c r="A1" s="23" t="s">
        <v>13</v>
      </c>
      <c r="B1" s="23"/>
      <c r="C1" s="23"/>
      <c r="D1" s="23"/>
      <c r="E1" s="23"/>
      <c r="F1" s="23"/>
      <c r="G1" s="23"/>
      <c r="H1" s="24" t="s">
        <v>6</v>
      </c>
      <c r="I1" s="24"/>
      <c r="J1" s="24"/>
      <c r="K1" s="24"/>
      <c r="L1" s="24"/>
      <c r="M1" s="24"/>
      <c r="N1" s="26" t="s">
        <v>9</v>
      </c>
      <c r="O1" s="26"/>
      <c r="P1" s="26"/>
      <c r="Q1" s="26"/>
      <c r="R1" s="26"/>
      <c r="S1" s="25" t="s">
        <v>15</v>
      </c>
      <c r="T1" s="25"/>
      <c r="U1" s="25"/>
      <c r="V1" s="6"/>
      <c r="W1" s="22" t="s">
        <v>30</v>
      </c>
      <c r="X1" s="22"/>
      <c r="Y1" s="22"/>
    </row>
    <row r="2" spans="1:26" ht="16" x14ac:dyDescent="0.4">
      <c r="A2" s="1" t="s">
        <v>7</v>
      </c>
      <c r="B2" s="1" t="s">
        <v>8</v>
      </c>
      <c r="C2" s="1" t="s">
        <v>25</v>
      </c>
      <c r="D2" s="1" t="s">
        <v>26</v>
      </c>
      <c r="E2" s="1" t="s">
        <v>10</v>
      </c>
      <c r="F2" s="1" t="s">
        <v>11</v>
      </c>
      <c r="G2" s="1" t="s">
        <v>12</v>
      </c>
      <c r="H2" s="1" t="s">
        <v>3</v>
      </c>
      <c r="I2" s="1" t="s">
        <v>4</v>
      </c>
      <c r="J2" s="1" t="s">
        <v>5</v>
      </c>
      <c r="K2" s="1" t="s">
        <v>0</v>
      </c>
      <c r="L2" s="1" t="s">
        <v>1</v>
      </c>
      <c r="M2" s="1" t="s">
        <v>2</v>
      </c>
      <c r="N2" s="1" t="s">
        <v>7</v>
      </c>
      <c r="O2" s="1" t="s">
        <v>8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4" t="s">
        <v>31</v>
      </c>
      <c r="V2" s="4" t="s">
        <v>32</v>
      </c>
      <c r="W2" s="1" t="s">
        <v>28</v>
      </c>
      <c r="X2" s="1" t="s">
        <v>29</v>
      </c>
      <c r="Y2" s="4" t="s">
        <v>31</v>
      </c>
      <c r="Z2" s="4" t="s">
        <v>32</v>
      </c>
    </row>
    <row r="3" spans="1:26" x14ac:dyDescent="0.35">
      <c r="A3" s="9">
        <f>'Proximal Validation (single)'!A3</f>
        <v>0.3</v>
      </c>
      <c r="B3" s="9">
        <f>'Proximal Validation (single)'!B3</f>
        <v>0.08</v>
      </c>
      <c r="C3" s="9">
        <f>'Proximal Validation (single)'!C3</f>
        <v>1.571</v>
      </c>
      <c r="D3" s="9">
        <f>'Proximal Validation (single)'!D3</f>
        <v>0.78500000000000003</v>
      </c>
      <c r="E3" s="9">
        <f>'Proximal Validation (single)'!E3</f>
        <v>1.4</v>
      </c>
      <c r="F3" s="9">
        <f>'Proximal Validation (single)'!F3</f>
        <v>0</v>
      </c>
      <c r="G3" s="9">
        <f>'Proximal Validation (single)'!G3</f>
        <v>0</v>
      </c>
      <c r="H3" s="9">
        <f>'Proximal Validation (single)'!H3</f>
        <v>8.3457410801202102E-4</v>
      </c>
      <c r="I3" s="9">
        <f>'Proximal Validation (single)'!I3</f>
        <v>-3.4524299204349497E-2</v>
      </c>
      <c r="J3" s="9">
        <f>'Proximal Validation (single)'!J3</f>
        <v>-1.46811630111188E-3</v>
      </c>
      <c r="K3" s="9">
        <f>'Proximal Validation (single)'!K3</f>
        <v>0.179403036832809</v>
      </c>
      <c r="L3" s="9">
        <f>'Proximal Validation (single)'!L3</f>
        <v>-7.5630694627761797E-3</v>
      </c>
      <c r="M3" s="9">
        <f>'Proximal Validation (single)'!M3</f>
        <v>0.203822165727615</v>
      </c>
      <c r="N3" s="9">
        <v>0.27164045436541223</v>
      </c>
      <c r="O3" s="9">
        <v>8.4499381774932922E-2</v>
      </c>
      <c r="P3" s="9">
        <v>1.6893020754003887</v>
      </c>
      <c r="Q3" s="9">
        <v>0.74434928291357283</v>
      </c>
      <c r="R3" s="10">
        <v>1.8059252375507145E-7</v>
      </c>
      <c r="S3" s="8">
        <f>ABS(N3-A3)</f>
        <v>2.8359545634587757E-2</v>
      </c>
      <c r="T3" s="8">
        <f t="shared" ref="T3:V3" si="0">ABS(O3-B3)</f>
        <v>4.4993817749329201E-3</v>
      </c>
      <c r="U3" s="8">
        <f t="shared" si="0"/>
        <v>0.11830207540038873</v>
      </c>
      <c r="V3" s="8">
        <f t="shared" si="0"/>
        <v>4.0650717086427202E-2</v>
      </c>
      <c r="W3" s="9">
        <f>AVERAGE(S3:S17)</f>
        <v>5.2210427082380689E-2</v>
      </c>
      <c r="X3" s="9">
        <f t="shared" ref="X3:Z3" si="1">AVERAGE(T3:T17)</f>
        <v>8.5104303615158063E-3</v>
      </c>
      <c r="Y3" s="9">
        <f>AVERAGE(U3:U17)</f>
        <v>3.8349265737858192E-2</v>
      </c>
      <c r="Z3" s="9">
        <f t="shared" si="1"/>
        <v>7.3272113589242058E-2</v>
      </c>
    </row>
    <row r="4" spans="1:26" x14ac:dyDescent="0.35">
      <c r="A4" s="9">
        <f>'Proximal Validation (single)'!A4</f>
        <v>0.4</v>
      </c>
      <c r="B4" s="9">
        <f>'Proximal Validation (single)'!B4</f>
        <v>0.14000000000000001</v>
      </c>
      <c r="C4" s="9">
        <f>'Proximal Validation (single)'!C4</f>
        <v>1.571</v>
      </c>
      <c r="D4" s="9">
        <f>'Proximal Validation (single)'!D4</f>
        <v>0.78500000000000003</v>
      </c>
      <c r="E4" s="9">
        <f>'Proximal Validation (single)'!E4</f>
        <v>0</v>
      </c>
      <c r="F4" s="9">
        <f>'Proximal Validation (single)'!F4</f>
        <v>0</v>
      </c>
      <c r="G4" s="9">
        <f>'Proximal Validation (single)'!G4</f>
        <v>0</v>
      </c>
      <c r="H4" s="9">
        <f>'Proximal Validation (single)'!H4</f>
        <v>-8.0810196232050701E-4</v>
      </c>
      <c r="I4" s="9">
        <f>'Proximal Validation (single)'!I4</f>
        <v>-6.6743046045303303E-2</v>
      </c>
      <c r="J4" s="9">
        <f>'Proximal Validation (single)'!J4</f>
        <v>4.4342974433675398E-4</v>
      </c>
      <c r="K4" s="9">
        <f>'Proximal Validation (single)'!K4</f>
        <v>0.21195751428604101</v>
      </c>
      <c r="L4" s="9">
        <f>'Proximal Validation (single)'!L4</f>
        <v>1.1818818747997299E-3</v>
      </c>
      <c r="M4" s="9">
        <f>'Proximal Validation (single)'!M4</f>
        <v>0.30656093358993503</v>
      </c>
      <c r="N4" s="9">
        <v>0.37270240523735076</v>
      </c>
      <c r="O4" s="9">
        <v>0.14931753824764529</v>
      </c>
      <c r="P4" s="9">
        <v>1.5668148587968287</v>
      </c>
      <c r="Q4" s="9">
        <v>0.69337967389776611</v>
      </c>
      <c r="R4" s="10">
        <v>6.8609990871115686E-7</v>
      </c>
      <c r="S4" s="8">
        <f t="shared" ref="S4:S17" si="2">ABS(N4-A4)</f>
        <v>2.7297594762649258E-2</v>
      </c>
      <c r="T4" s="8">
        <f t="shared" ref="T4:T17" si="3">ABS(O4-B4)</f>
        <v>9.3175382476452795E-3</v>
      </c>
      <c r="U4" s="8">
        <f t="shared" ref="U4:U17" si="4">ABS(P4-C4)</f>
        <v>4.1851412031712609E-3</v>
      </c>
      <c r="V4" s="8">
        <f t="shared" ref="V4:V17" si="5">ABS(Q4-D4)</f>
        <v>9.1620326102233918E-2</v>
      </c>
      <c r="Y4">
        <f>DEGREES(Y3)</f>
        <v>2.1972510742049254</v>
      </c>
      <c r="Z4">
        <f>DEGREES(Z3)</f>
        <v>4.1981828646667356</v>
      </c>
    </row>
    <row r="5" spans="1:26" x14ac:dyDescent="0.35">
      <c r="A5" s="9">
        <f>'Proximal Validation (single)'!A5</f>
        <v>0.6</v>
      </c>
      <c r="B5" s="9">
        <f>'Proximal Validation (single)'!B5</f>
        <v>0.16</v>
      </c>
      <c r="C5" s="9">
        <f>'Proximal Validation (single)'!C5</f>
        <v>1.571</v>
      </c>
      <c r="D5" s="9">
        <f>'Proximal Validation (single)'!D5</f>
        <v>0.78500000000000003</v>
      </c>
      <c r="E5" s="9">
        <f>'Proximal Validation (single)'!E5</f>
        <v>1.4</v>
      </c>
      <c r="F5" s="9">
        <f>'Proximal Validation (single)'!F5</f>
        <v>0</v>
      </c>
      <c r="G5" s="9">
        <f>'Proximal Validation (single)'!G5</f>
        <v>0</v>
      </c>
      <c r="H5" s="9">
        <f>'Proximal Validation (single)'!H5</f>
        <v>7.8557301312684995E-3</v>
      </c>
      <c r="I5" s="9">
        <f>'Proximal Validation (single)'!I5</f>
        <v>-0.127810284495354</v>
      </c>
      <c r="J5" s="9">
        <f>'Proximal Validation (single)'!J5</f>
        <v>-1.16112818941474E-2</v>
      </c>
      <c r="K5" s="9">
        <f>'Proximal Validation (single)'!K5</f>
        <v>2.8561159968376201E-2</v>
      </c>
      <c r="L5" s="9">
        <f>'Proximal Validation (single)'!L5</f>
        <v>-4.7612398862838697E-2</v>
      </c>
      <c r="M5" s="9">
        <f>'Proximal Validation (single)'!M5</f>
        <v>0.55316102504730202</v>
      </c>
      <c r="N5" s="9">
        <v>0.55589379228810687</v>
      </c>
      <c r="O5" s="9">
        <v>0.16425033324818564</v>
      </c>
      <c r="P5" s="9">
        <v>1.7447593274984587</v>
      </c>
      <c r="Q5" s="9">
        <v>0.85072996481120045</v>
      </c>
      <c r="R5" s="10">
        <v>3.0592110857951358E-6</v>
      </c>
      <c r="S5" s="8">
        <f t="shared" si="2"/>
        <v>4.4106207711893108E-2</v>
      </c>
      <c r="T5" s="8">
        <f t="shared" si="3"/>
        <v>4.2503332481856337E-3</v>
      </c>
      <c r="U5" s="8">
        <f t="shared" si="4"/>
        <v>0.17375932749845879</v>
      </c>
      <c r="V5" s="8">
        <f t="shared" si="5"/>
        <v>6.5729964811200414E-2</v>
      </c>
    </row>
    <row r="6" spans="1:26" x14ac:dyDescent="0.35">
      <c r="A6" s="9">
        <f>'Proximal Validation (single)'!A6</f>
        <v>0.4</v>
      </c>
      <c r="B6" s="9">
        <f>'Proximal Validation (single)'!B6</f>
        <v>0.06</v>
      </c>
      <c r="C6" s="9">
        <f>'Proximal Validation (single)'!C6</f>
        <v>1.571</v>
      </c>
      <c r="D6" s="9">
        <f>'Proximal Validation (single)'!D6</f>
        <v>1.571</v>
      </c>
      <c r="E6" s="9">
        <f>'Proximal Validation (single)'!E6</f>
        <v>1.4</v>
      </c>
      <c r="F6" s="9">
        <f>'Proximal Validation (single)'!F6</f>
        <v>0</v>
      </c>
      <c r="G6" s="9">
        <f>'Proximal Validation (single)'!G6</f>
        <v>0</v>
      </c>
      <c r="H6" s="9">
        <f>'Proximal Validation (single)'!H6</f>
        <v>1.1252735275775201E-3</v>
      </c>
      <c r="I6" s="9">
        <f>'Proximal Validation (single)'!I6</f>
        <v>-5.59809319674969E-2</v>
      </c>
      <c r="J6" s="9">
        <f>'Proximal Validation (single)'!J6</f>
        <v>-7.4938102625310399E-4</v>
      </c>
      <c r="K6" s="9">
        <f>'Proximal Validation (single)'!K6</f>
        <v>-3.5423979163169902E-2</v>
      </c>
      <c r="L6" s="9">
        <f>'Proximal Validation (single)'!L6</f>
        <v>-1.04948431253433E-2</v>
      </c>
      <c r="M6" s="9">
        <f>'Proximal Validation (single)'!M6</f>
        <v>0.35301661491393999</v>
      </c>
      <c r="N6" s="9">
        <v>0.3549439896405856</v>
      </c>
      <c r="O6" s="9">
        <v>6.844872470190598E-2</v>
      </c>
      <c r="P6" s="9">
        <v>1.5982333785595157</v>
      </c>
      <c r="Q6" s="9">
        <v>1.5552473460912224</v>
      </c>
      <c r="R6" s="10">
        <v>7.8555777295611276E-7</v>
      </c>
      <c r="S6" s="8">
        <f t="shared" si="2"/>
        <v>4.5056010359414422E-2</v>
      </c>
      <c r="T6" s="8">
        <f t="shared" si="3"/>
        <v>8.4487247019059825E-3</v>
      </c>
      <c r="U6" s="8">
        <f t="shared" si="4"/>
        <v>2.7233378559515797E-2</v>
      </c>
      <c r="V6" s="8">
        <f t="shared" si="5"/>
        <v>1.5752653908777559E-2</v>
      </c>
    </row>
    <row r="7" spans="1:26" x14ac:dyDescent="0.35">
      <c r="A7" s="9">
        <f>'Proximal Validation (single)'!A7</f>
        <v>0.8</v>
      </c>
      <c r="B7" s="9">
        <f>'Proximal Validation (single)'!B7</f>
        <v>0.08</v>
      </c>
      <c r="C7" s="9">
        <f>'Proximal Validation (single)'!C7</f>
        <v>1.571</v>
      </c>
      <c r="D7" s="9">
        <f>'Proximal Validation (single)'!D7</f>
        <v>1.571</v>
      </c>
      <c r="E7" s="9">
        <f>'Proximal Validation (single)'!E7</f>
        <v>0</v>
      </c>
      <c r="F7" s="9">
        <f>'Proximal Validation (single)'!F7</f>
        <v>0</v>
      </c>
      <c r="G7" s="9">
        <f>'Proximal Validation (single)'!G7</f>
        <v>0</v>
      </c>
      <c r="H7" s="9">
        <f>'Proximal Validation (single)'!H7</f>
        <v>-5.5839424021542105E-4</v>
      </c>
      <c r="I7" s="9">
        <f>'Proximal Validation (single)'!I7</f>
        <v>-0.11975701153278399</v>
      </c>
      <c r="J7" s="9">
        <f>'Proximal Validation (single)'!J7</f>
        <v>-9.9074037279933691E-4</v>
      </c>
      <c r="K7" s="9">
        <f>'Proximal Validation (single)'!K7</f>
        <v>-0.19020733237266499</v>
      </c>
      <c r="L7" s="9">
        <f>'Proximal Validation (single)'!L7</f>
        <v>-2.60122120380402E-3</v>
      </c>
      <c r="M7" s="9">
        <f>'Proximal Validation (single)'!M7</f>
        <v>0.66739636659622203</v>
      </c>
      <c r="N7" s="9">
        <v>0.69397993592036789</v>
      </c>
      <c r="O7" s="9">
        <v>8.6808378855014204E-2</v>
      </c>
      <c r="P7" s="9">
        <v>1.574830357416094</v>
      </c>
      <c r="Q7" s="9">
        <v>1.5963838693409937</v>
      </c>
      <c r="R7" s="10">
        <v>5.7778930102626813E-7</v>
      </c>
      <c r="S7" s="8">
        <f t="shared" si="2"/>
        <v>0.10602006407963216</v>
      </c>
      <c r="T7" s="8">
        <f t="shared" si="3"/>
        <v>6.8083788550142021E-3</v>
      </c>
      <c r="U7" s="8">
        <f t="shared" si="4"/>
        <v>3.8303574160940546E-3</v>
      </c>
      <c r="V7" s="8">
        <f t="shared" si="5"/>
        <v>2.5383869340993792E-2</v>
      </c>
    </row>
    <row r="8" spans="1:26" x14ac:dyDescent="0.35">
      <c r="A8" s="9">
        <f>'Proximal Validation (single)'!A8</f>
        <v>0.7</v>
      </c>
      <c r="B8" s="9">
        <f>'Proximal Validation (single)'!B8</f>
        <v>0.16</v>
      </c>
      <c r="C8" s="9">
        <f>'Proximal Validation (single)'!C8</f>
        <v>1.571</v>
      </c>
      <c r="D8" s="9">
        <f>'Proximal Validation (single)'!D8</f>
        <v>1.571</v>
      </c>
      <c r="E8" s="9">
        <f>'Proximal Validation (single)'!E8</f>
        <v>1.4</v>
      </c>
      <c r="F8" s="9">
        <f>'Proximal Validation (single)'!F8</f>
        <v>0</v>
      </c>
      <c r="G8" s="9">
        <f>'Proximal Validation (single)'!G8</f>
        <v>0</v>
      </c>
      <c r="H8" s="9">
        <f>'Proximal Validation (single)'!H8</f>
        <v>1.04370433837175E-2</v>
      </c>
      <c r="I8" s="9">
        <f>'Proximal Validation (single)'!I8</f>
        <v>-0.129757210612297</v>
      </c>
      <c r="J8" s="9">
        <f>'Proximal Validation (single)'!J8</f>
        <v>-7.3771281167864799E-3</v>
      </c>
      <c r="K8" s="9">
        <f>'Proximal Validation (single)'!K8</f>
        <v>-0.55726921558380105</v>
      </c>
      <c r="L8" s="9">
        <f>'Proximal Validation (single)'!L8</f>
        <v>-6.0898363590240499E-2</v>
      </c>
      <c r="M8" s="9">
        <f>'Proximal Validation (single)'!M8</f>
        <v>0.32599642872810403</v>
      </c>
      <c r="N8" s="9">
        <v>0.64844297699333153</v>
      </c>
      <c r="O8" s="9">
        <v>0.17566910767777402</v>
      </c>
      <c r="P8" s="9">
        <v>1.6243455689744202</v>
      </c>
      <c r="Q8" s="9">
        <v>1.5862147570441274</v>
      </c>
      <c r="R8" s="10">
        <v>2.1500991197949991E-6</v>
      </c>
      <c r="S8" s="8">
        <f t="shared" si="2"/>
        <v>5.1557023006668423E-2</v>
      </c>
      <c r="T8" s="8">
        <f t="shared" si="3"/>
        <v>1.5669107677774019E-2</v>
      </c>
      <c r="U8" s="8">
        <f t="shared" si="4"/>
        <v>5.3345568974420221E-2</v>
      </c>
      <c r="V8" s="8">
        <f t="shared" si="5"/>
        <v>1.5214757044127447E-2</v>
      </c>
    </row>
    <row r="9" spans="1:26" x14ac:dyDescent="0.35">
      <c r="A9" s="9">
        <f>'Proximal Validation (single)'!A9</f>
        <v>0.7</v>
      </c>
      <c r="B9" s="9">
        <f>'Proximal Validation (single)'!B9</f>
        <v>0.2</v>
      </c>
      <c r="C9" s="9">
        <f>'Proximal Validation (single)'!C9</f>
        <v>1.571</v>
      </c>
      <c r="D9" s="9">
        <f>'Proximal Validation (single)'!D9</f>
        <v>1.571</v>
      </c>
      <c r="E9" s="9">
        <f>'Proximal Validation (single)'!E9</f>
        <v>0</v>
      </c>
      <c r="F9" s="9">
        <f>'Proximal Validation (single)'!F9</f>
        <v>0</v>
      </c>
      <c r="G9" s="9">
        <f>'Proximal Validation (single)'!G9</f>
        <v>0</v>
      </c>
      <c r="H9" s="9">
        <f>'Proximal Validation (single)'!H9</f>
        <v>-5.38935419172049E-4</v>
      </c>
      <c r="I9" s="9">
        <f>'Proximal Validation (single)'!I9</f>
        <v>-0.118809439241886</v>
      </c>
      <c r="J9" s="9">
        <f>'Proximal Validation (single)'!J9</f>
        <v>3.4749228507280402E-3</v>
      </c>
      <c r="K9" s="9">
        <f>'Proximal Validation (single)'!K9</f>
        <v>-0.621493339538574</v>
      </c>
      <c r="L9" s="9">
        <f>'Proximal Validation (single)'!L9</f>
        <v>1.56053192913532E-2</v>
      </c>
      <c r="M9" s="9">
        <f>'Proximal Validation (single)'!M9</f>
        <v>0.10576334595680199</v>
      </c>
      <c r="N9" s="9">
        <v>0.6363586788512906</v>
      </c>
      <c r="O9" s="9">
        <v>0.2</v>
      </c>
      <c r="P9" s="9">
        <v>1.4819608041671946</v>
      </c>
      <c r="Q9" s="9">
        <v>1.9605262281107738</v>
      </c>
      <c r="R9" s="10">
        <v>5.4437031791322729E-4</v>
      </c>
      <c r="S9" s="8">
        <f t="shared" si="2"/>
        <v>6.3641321148709351E-2</v>
      </c>
      <c r="T9" s="8">
        <f t="shared" si="3"/>
        <v>0</v>
      </c>
      <c r="U9" s="8">
        <f t="shared" si="4"/>
        <v>8.9039195832805396E-2</v>
      </c>
      <c r="V9" s="8">
        <f t="shared" si="5"/>
        <v>0.38952622811077386</v>
      </c>
    </row>
    <row r="10" spans="1:26" x14ac:dyDescent="0.35">
      <c r="A10" s="9">
        <f>'Proximal Validation (single)'!A10</f>
        <v>0.7</v>
      </c>
      <c r="B10" s="9">
        <f>'Proximal Validation (single)'!B10</f>
        <v>0.06</v>
      </c>
      <c r="C10" s="9">
        <f>'Proximal Validation (single)'!C10</f>
        <v>3.665</v>
      </c>
      <c r="D10" s="9">
        <f>'Proximal Validation (single)'!D10</f>
        <v>0.78500000000000003</v>
      </c>
      <c r="E10" s="9">
        <f>'Proximal Validation (single)'!E10</f>
        <v>0</v>
      </c>
      <c r="F10" s="9">
        <f>'Proximal Validation (single)'!F10</f>
        <v>0</v>
      </c>
      <c r="G10" s="9">
        <f>'Proximal Validation (single)'!G10</f>
        <v>0</v>
      </c>
      <c r="H10" s="9">
        <f>'Proximal Validation (single)'!H10</f>
        <v>-7.8150304034352303E-4</v>
      </c>
      <c r="I10" s="9">
        <f>'Proximal Validation (single)'!I10</f>
        <v>4.4897478073835401E-2</v>
      </c>
      <c r="J10" s="9">
        <f>'Proximal Validation (single)'!J10</f>
        <v>-8.2051888108253507E-2</v>
      </c>
      <c r="K10" s="9">
        <f>'Proximal Validation (single)'!K10</f>
        <v>0.48326423764228799</v>
      </c>
      <c r="L10" s="9">
        <f>'Proximal Validation (single)'!L10</f>
        <v>-0.55701375007629395</v>
      </c>
      <c r="M10" s="9">
        <f>'Proximal Validation (single)'!M10</f>
        <v>-0.30146327614784202</v>
      </c>
      <c r="N10" s="9">
        <v>0.79667511424520754</v>
      </c>
      <c r="O10" s="9">
        <v>6.1275299393619892E-2</v>
      </c>
      <c r="P10" s="9">
        <v>3.6377631674938162</v>
      </c>
      <c r="Q10" s="9">
        <v>0.81215353404643786</v>
      </c>
      <c r="R10" s="10">
        <v>7.924150002692917E-7</v>
      </c>
      <c r="S10" s="8">
        <f t="shared" si="2"/>
        <v>9.6675114245207583E-2</v>
      </c>
      <c r="T10" s="8">
        <f t="shared" si="3"/>
        <v>1.2752993936198942E-3</v>
      </c>
      <c r="U10" s="8">
        <f t="shared" si="4"/>
        <v>2.7236832506183806E-2</v>
      </c>
      <c r="V10" s="8">
        <f t="shared" si="5"/>
        <v>2.7153534046437833E-2</v>
      </c>
    </row>
    <row r="11" spans="1:26" x14ac:dyDescent="0.35">
      <c r="A11" s="9">
        <f>'Proximal Validation (single)'!A11</f>
        <v>0.6</v>
      </c>
      <c r="B11" s="9">
        <f>'Proximal Validation (single)'!B11</f>
        <v>0.1</v>
      </c>
      <c r="C11" s="9">
        <f>'Proximal Validation (single)'!C11</f>
        <v>3.665</v>
      </c>
      <c r="D11" s="9">
        <f>'Proximal Validation (single)'!D11</f>
        <v>0.78500000000000003</v>
      </c>
      <c r="E11" s="9">
        <f>'Proximal Validation (single)'!E11</f>
        <v>0</v>
      </c>
      <c r="F11" s="9">
        <f>'Proximal Validation (single)'!F11</f>
        <v>0</v>
      </c>
      <c r="G11" s="9">
        <f>'Proximal Validation (single)'!G11</f>
        <v>0</v>
      </c>
      <c r="H11" s="9">
        <f>'Proximal Validation (single)'!H11</f>
        <v>-4.8895599320530902E-4</v>
      </c>
      <c r="I11" s="9">
        <f>'Proximal Validation (single)'!I11</f>
        <v>4.6247739344835302E-2</v>
      </c>
      <c r="J11" s="9">
        <f>'Proximal Validation (single)'!J11</f>
        <v>-8.3231396973133101E-2</v>
      </c>
      <c r="K11" s="9">
        <f>'Proximal Validation (single)'!K11</f>
        <v>0.33926415443420399</v>
      </c>
      <c r="L11" s="9">
        <f>'Proximal Validation (single)'!L11</f>
        <v>-0.45690825581550598</v>
      </c>
      <c r="M11" s="9">
        <f>'Proximal Validation (single)'!M11</f>
        <v>-0.25065129995346103</v>
      </c>
      <c r="N11" s="9">
        <v>0.62184636460543607</v>
      </c>
      <c r="O11" s="9">
        <v>0.10513156143345881</v>
      </c>
      <c r="P11" s="9">
        <v>3.6435210188457798</v>
      </c>
      <c r="Q11" s="9">
        <v>0.75420788054793886</v>
      </c>
      <c r="R11" s="10">
        <v>4.9674370725552209E-7</v>
      </c>
      <c r="S11" s="8">
        <f t="shared" si="2"/>
        <v>2.1846364605436097E-2</v>
      </c>
      <c r="T11" s="8">
        <f t="shared" si="3"/>
        <v>5.1315614334588033E-3</v>
      </c>
      <c r="U11" s="8">
        <f t="shared" si="4"/>
        <v>2.14789811542202E-2</v>
      </c>
      <c r="V11" s="8">
        <f t="shared" si="5"/>
        <v>3.0792119452061173E-2</v>
      </c>
    </row>
    <row r="12" spans="1:26" x14ac:dyDescent="0.35">
      <c r="A12" s="9">
        <f>'Proximal Validation (single)'!A12</f>
        <v>0.8</v>
      </c>
      <c r="B12" s="9">
        <f>'Proximal Validation (single)'!B12</f>
        <v>0.18</v>
      </c>
      <c r="C12" s="9">
        <f>'Proximal Validation (single)'!C12</f>
        <v>3.665</v>
      </c>
      <c r="D12" s="9">
        <f>'Proximal Validation (single)'!D12</f>
        <v>0.78500000000000003</v>
      </c>
      <c r="E12" s="9">
        <f>'Proximal Validation (single)'!E12</f>
        <v>1.4</v>
      </c>
      <c r="F12" s="9">
        <f>'Proximal Validation (single)'!F12</f>
        <v>0</v>
      </c>
      <c r="G12" s="9">
        <f>'Proximal Validation (single)'!G12</f>
        <v>0</v>
      </c>
      <c r="H12" s="9">
        <f>'Proximal Validation (single)'!H12</f>
        <v>1.7005717381834999E-3</v>
      </c>
      <c r="I12" s="9">
        <f>'Proximal Validation (single)'!I12</f>
        <v>8.4788650274276706E-2</v>
      </c>
      <c r="J12" s="9">
        <f>'Proximal Validation (single)'!J12</f>
        <v>-0.143600359559059</v>
      </c>
      <c r="K12" s="9">
        <f>'Proximal Validation (single)'!K12</f>
        <v>0.28701612353324901</v>
      </c>
      <c r="L12" s="9">
        <f>'Proximal Validation (single)'!L12</f>
        <v>-0.64443814754486095</v>
      </c>
      <c r="M12" s="9">
        <f>'Proximal Validation (single)'!M12</f>
        <v>-0.37070235610008201</v>
      </c>
      <c r="N12" s="9">
        <v>0.79694073518939224</v>
      </c>
      <c r="O12" s="9">
        <v>0.18685469672895019</v>
      </c>
      <c r="P12" s="9">
        <v>3.6643085882694635</v>
      </c>
      <c r="Q12" s="9">
        <v>0.58530558122060272</v>
      </c>
      <c r="R12" s="10">
        <v>6.263742101950072E-6</v>
      </c>
      <c r="S12" s="8">
        <f t="shared" si="2"/>
        <v>3.0592648106078091E-3</v>
      </c>
      <c r="T12" s="8">
        <f t="shared" si="3"/>
        <v>6.8546967289501992E-3</v>
      </c>
      <c r="U12" s="8">
        <f t="shared" si="4"/>
        <v>6.9141173053655081E-4</v>
      </c>
      <c r="V12" s="8">
        <f t="shared" si="5"/>
        <v>0.19969441877939731</v>
      </c>
    </row>
    <row r="13" spans="1:26" x14ac:dyDescent="0.35">
      <c r="A13" s="9">
        <f>'Proximal Validation (single)'!A13</f>
        <v>0.4</v>
      </c>
      <c r="B13" s="9">
        <f>'Proximal Validation (single)'!B13</f>
        <v>0.2</v>
      </c>
      <c r="C13" s="9">
        <f>'Proximal Validation (single)'!C13</f>
        <v>3.665</v>
      </c>
      <c r="D13" s="9">
        <f>'Proximal Validation (single)'!D13</f>
        <v>0.78500000000000003</v>
      </c>
      <c r="E13" s="9">
        <f>'Proximal Validation (single)'!E13</f>
        <v>1.4</v>
      </c>
      <c r="F13" s="9">
        <f>'Proximal Validation (single)'!F13</f>
        <v>0</v>
      </c>
      <c r="G13" s="9">
        <f>'Proximal Validation (single)'!G13</f>
        <v>0</v>
      </c>
      <c r="H13" s="9">
        <f>'Proximal Validation (single)'!H13</f>
        <v>1.0739560239017001E-3</v>
      </c>
      <c r="I13" s="9">
        <f>'Proximal Validation (single)'!I13</f>
        <v>4.1172292083501802E-2</v>
      </c>
      <c r="J13" s="9">
        <f>'Proximal Validation (single)'!J13</f>
        <v>-6.7707680165767697E-2</v>
      </c>
      <c r="K13" s="9">
        <f>'Proximal Validation (single)'!K13</f>
        <v>0.187965422868729</v>
      </c>
      <c r="L13" s="9">
        <f>'Proximal Validation (single)'!L13</f>
        <v>-0.244067072868347</v>
      </c>
      <c r="M13" s="9">
        <f>'Proximal Validation (single)'!M13</f>
        <v>-0.14198835194110901</v>
      </c>
      <c r="N13" s="9">
        <v>0.34027249218185662</v>
      </c>
      <c r="O13" s="9">
        <v>0.2</v>
      </c>
      <c r="P13" s="9">
        <v>3.6689281498403044</v>
      </c>
      <c r="Q13" s="9">
        <v>0.75660415014262228</v>
      </c>
      <c r="R13" s="10">
        <v>3.8676444514864052E-5</v>
      </c>
      <c r="S13" s="8">
        <f t="shared" si="2"/>
        <v>5.9727507818143399E-2</v>
      </c>
      <c r="T13" s="8">
        <f t="shared" si="3"/>
        <v>0</v>
      </c>
      <c r="U13" s="8">
        <f t="shared" si="4"/>
        <v>3.928149840304318E-3</v>
      </c>
      <c r="V13" s="8">
        <f t="shared" si="5"/>
        <v>2.8395849857377753E-2</v>
      </c>
    </row>
    <row r="14" spans="1:26" x14ac:dyDescent="0.35">
      <c r="A14" s="9">
        <f>'Proximal Validation (single)'!A14</f>
        <v>0.4</v>
      </c>
      <c r="B14" s="9">
        <f>'Proximal Validation (single)'!B14</f>
        <v>0.1</v>
      </c>
      <c r="C14" s="9">
        <f>'Proximal Validation (single)'!C14</f>
        <v>3.665</v>
      </c>
      <c r="D14" s="9">
        <f>'Proximal Validation (single)'!D14</f>
        <v>1.571</v>
      </c>
      <c r="E14" s="9">
        <f>'Proximal Validation (single)'!E14</f>
        <v>1.4</v>
      </c>
      <c r="F14" s="9">
        <f>'Proximal Validation (single)'!F14</f>
        <v>0</v>
      </c>
      <c r="G14" s="9">
        <f>'Proximal Validation (single)'!G14</f>
        <v>0</v>
      </c>
      <c r="H14" s="9">
        <f>'Proximal Validation (single)'!H14</f>
        <v>-4.8927497118711504E-4</v>
      </c>
      <c r="I14" s="9">
        <f>'Proximal Validation (single)'!I14</f>
        <v>3.26927192509174E-2</v>
      </c>
      <c r="J14" s="9">
        <f>'Proximal Validation (single)'!J14</f>
        <v>-5.8575917035341298E-2</v>
      </c>
      <c r="K14" s="9">
        <f>'Proximal Validation (single)'!K14</f>
        <v>-1.28835095092654E-2</v>
      </c>
      <c r="L14" s="9">
        <f>'Proximal Validation (single)'!L14</f>
        <v>-0.29204529523849498</v>
      </c>
      <c r="M14" s="9">
        <f>'Proximal Validation (single)'!M14</f>
        <v>-0.16083618998527499</v>
      </c>
      <c r="N14" s="9">
        <v>0.33365639837767536</v>
      </c>
      <c r="O14" s="9">
        <v>0.11119871452038525</v>
      </c>
      <c r="P14" s="9">
        <v>3.6453055076012579</v>
      </c>
      <c r="Q14" s="9">
        <v>1.5291751760004793</v>
      </c>
      <c r="R14" s="10">
        <v>4.2538904386354797E-7</v>
      </c>
      <c r="S14" s="8">
        <f t="shared" si="2"/>
        <v>6.6343601622324666E-2</v>
      </c>
      <c r="T14" s="8">
        <f t="shared" si="3"/>
        <v>1.1198714520385247E-2</v>
      </c>
      <c r="U14" s="8">
        <f t="shared" si="4"/>
        <v>1.9694492398742103E-2</v>
      </c>
      <c r="V14" s="8">
        <f t="shared" si="5"/>
        <v>4.1824823999520699E-2</v>
      </c>
    </row>
    <row r="15" spans="1:26" x14ac:dyDescent="0.35">
      <c r="A15" s="9">
        <f>'Proximal Validation (single)'!A15</f>
        <v>0.7</v>
      </c>
      <c r="B15" s="9">
        <f>'Proximal Validation (single)'!B15</f>
        <v>0.1</v>
      </c>
      <c r="C15" s="9">
        <f>'Proximal Validation (single)'!C15</f>
        <v>3.665</v>
      </c>
      <c r="D15" s="9">
        <f>'Proximal Validation (single)'!D15</f>
        <v>1.571</v>
      </c>
      <c r="E15" s="9">
        <f>'Proximal Validation (single)'!E15</f>
        <v>1.4</v>
      </c>
      <c r="F15" s="9">
        <f>'Proximal Validation (single)'!F15</f>
        <v>0</v>
      </c>
      <c r="G15" s="9">
        <f>'Proximal Validation (single)'!G15</f>
        <v>0</v>
      </c>
      <c r="H15" s="9">
        <f>'Proximal Validation (single)'!H15</f>
        <v>-1.61128584295511E-4</v>
      </c>
      <c r="I15" s="9">
        <f>'Proximal Validation (single)'!I15</f>
        <v>6.6224433481693296E-2</v>
      </c>
      <c r="J15" s="9">
        <f>'Proximal Validation (single)'!J15</f>
        <v>-0.118051804602146</v>
      </c>
      <c r="K15" s="9">
        <f>'Proximal Validation (single)'!K15</f>
        <v>-0.18827667832374601</v>
      </c>
      <c r="L15" s="9">
        <f>'Proximal Validation (single)'!L15</f>
        <v>-0.57758575677871704</v>
      </c>
      <c r="M15" s="9">
        <f>'Proximal Validation (single)'!M15</f>
        <v>-0.318100035190582</v>
      </c>
      <c r="N15" s="9">
        <v>0.6857434710098802</v>
      </c>
      <c r="O15" s="9">
        <v>0.11148287153938879</v>
      </c>
      <c r="P15" s="9">
        <v>3.645167832722104</v>
      </c>
      <c r="Q15" s="9">
        <v>1.5541720319053915</v>
      </c>
      <c r="R15" s="10">
        <v>1.1951937740222743E-6</v>
      </c>
      <c r="S15" s="8">
        <f t="shared" si="2"/>
        <v>1.4256528990119754E-2</v>
      </c>
      <c r="T15" s="8">
        <f t="shared" si="3"/>
        <v>1.1482871539388789E-2</v>
      </c>
      <c r="U15" s="8">
        <f t="shared" si="4"/>
        <v>1.9832167277896051E-2</v>
      </c>
      <c r="V15" s="8">
        <f t="shared" si="5"/>
        <v>1.6827968094608403E-2</v>
      </c>
    </row>
    <row r="16" spans="1:26" x14ac:dyDescent="0.35">
      <c r="A16" s="9">
        <f>'Proximal Validation (single)'!A16</f>
        <v>0.4</v>
      </c>
      <c r="B16" s="9">
        <f>'Proximal Validation (single)'!B16</f>
        <v>0.16</v>
      </c>
      <c r="C16" s="9">
        <f>'Proximal Validation (single)'!C16</f>
        <v>3.665</v>
      </c>
      <c r="D16" s="9">
        <f>'Proximal Validation (single)'!D16</f>
        <v>1.571</v>
      </c>
      <c r="E16" s="9">
        <f>'Proximal Validation (single)'!E16</f>
        <v>0</v>
      </c>
      <c r="F16" s="9">
        <f>'Proximal Validation (single)'!F16</f>
        <v>0</v>
      </c>
      <c r="G16" s="9">
        <f>'Proximal Validation (single)'!G16</f>
        <v>0</v>
      </c>
      <c r="H16" s="9">
        <f>'Proximal Validation (single)'!H16</f>
        <v>3.27638350427151E-4</v>
      </c>
      <c r="I16" s="9">
        <f>'Proximal Validation (single)'!I16</f>
        <v>4.1303895413875601E-2</v>
      </c>
      <c r="J16" s="9">
        <f>'Proximal Validation (single)'!J16</f>
        <v>-7.1706265211105305E-2</v>
      </c>
      <c r="K16" s="9">
        <f>'Proximal Validation (single)'!K16</f>
        <v>-0.16764184832572901</v>
      </c>
      <c r="L16" s="9">
        <f>'Proximal Validation (single)'!L16</f>
        <v>-0.24127176403999301</v>
      </c>
      <c r="M16" s="9">
        <f>'Proximal Validation (single)'!M16</f>
        <v>-0.13795974850654599</v>
      </c>
      <c r="N16" s="9">
        <v>0.32457483684727473</v>
      </c>
      <c r="O16" s="9">
        <v>0.18271984730147611</v>
      </c>
      <c r="P16" s="9">
        <v>3.6612785141067263</v>
      </c>
      <c r="Q16" s="9">
        <v>1.5859514565312853</v>
      </c>
      <c r="R16" s="10">
        <v>1.705181979437898E-7</v>
      </c>
      <c r="S16" s="8">
        <f t="shared" si="2"/>
        <v>7.5425163152725294E-2</v>
      </c>
      <c r="T16" s="8">
        <f t="shared" si="3"/>
        <v>2.2719847301476109E-2</v>
      </c>
      <c r="U16" s="8">
        <f t="shared" si="4"/>
        <v>3.7214858932737016E-3</v>
      </c>
      <c r="V16" s="8">
        <f t="shared" si="5"/>
        <v>1.4951456531285379E-2</v>
      </c>
    </row>
    <row r="17" spans="1:22" x14ac:dyDescent="0.35">
      <c r="A17" s="9">
        <f>'Proximal Validation (single)'!A17</f>
        <v>0.3</v>
      </c>
      <c r="B17" s="9">
        <f>'Proximal Validation (single)'!B17</f>
        <v>0.18</v>
      </c>
      <c r="C17" s="9">
        <f>'Proximal Validation (single)'!C17</f>
        <v>3.665</v>
      </c>
      <c r="D17" s="9">
        <f>'Proximal Validation (single)'!D17</f>
        <v>1.571</v>
      </c>
      <c r="E17" s="9">
        <f>'Proximal Validation (single)'!E17</f>
        <v>0</v>
      </c>
      <c r="F17" s="9">
        <f>'Proximal Validation (single)'!F17</f>
        <v>0</v>
      </c>
      <c r="G17" s="9">
        <f>'Proximal Validation (single)'!G17</f>
        <v>0</v>
      </c>
      <c r="H17" s="9">
        <f>'Proximal Validation (single)'!H17</f>
        <v>3.5051628947258001E-4</v>
      </c>
      <c r="I17" s="9">
        <f>'Proximal Validation (single)'!I17</f>
        <v>3.2155215740203899E-2</v>
      </c>
      <c r="J17" s="9">
        <f>'Proximal Validation (single)'!J17</f>
        <v>-5.4656162858009297E-2</v>
      </c>
      <c r="K17" s="9">
        <f>'Proximal Validation (single)'!K17</f>
        <v>-0.106987468898296</v>
      </c>
      <c r="L17" s="9">
        <f>'Proximal Validation (single)'!L17</f>
        <v>-0.16471621394157401</v>
      </c>
      <c r="M17" s="9">
        <f>'Proximal Validation (single)'!M17</f>
        <v>-9.7047880291938796E-2</v>
      </c>
      <c r="N17" s="9">
        <v>0.2202149057124087</v>
      </c>
      <c r="O17" s="9">
        <v>0.2</v>
      </c>
      <c r="P17" s="9">
        <v>3.6739604203818619</v>
      </c>
      <c r="Q17" s="9">
        <v>1.6665630166734082</v>
      </c>
      <c r="R17" s="10">
        <v>1.8029033248738099E-5</v>
      </c>
      <c r="S17" s="8">
        <f t="shared" si="2"/>
        <v>7.9785094287591285E-2</v>
      </c>
      <c r="T17" s="8">
        <f t="shared" si="3"/>
        <v>2.0000000000000018E-2</v>
      </c>
      <c r="U17" s="8">
        <f t="shared" si="4"/>
        <v>8.9604203818618444E-3</v>
      </c>
      <c r="V17" s="8">
        <f t="shared" si="5"/>
        <v>9.5563016673408274E-2</v>
      </c>
    </row>
  </sheetData>
  <mergeCells count="5">
    <mergeCell ref="W1:Y1"/>
    <mergeCell ref="A1:G1"/>
    <mergeCell ref="H1:M1"/>
    <mergeCell ref="S1:U1"/>
    <mergeCell ref="N1:R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C1EEA-6489-4659-B29B-A96532753335}">
  <dimension ref="A1:Z152"/>
  <sheetViews>
    <sheetView topLeftCell="N1" workbookViewId="0">
      <selection activeCell="Z3" sqref="Z3"/>
    </sheetView>
  </sheetViews>
  <sheetFormatPr defaultRowHeight="14.5" x14ac:dyDescent="0.35"/>
  <cols>
    <col min="1" max="2" width="6.1796875" bestFit="1" customWidth="1"/>
    <col min="3" max="3" width="8.81640625" bestFit="1" customWidth="1"/>
    <col min="4" max="4" width="10.81640625" bestFit="1" customWidth="1"/>
    <col min="5" max="7" width="8.453125" bestFit="1" customWidth="1"/>
    <col min="8" max="9" width="8.1796875" bestFit="1" customWidth="1"/>
    <col min="10" max="13" width="8" bestFit="1" customWidth="1"/>
    <col min="14" max="15" width="7.26953125" bestFit="1" customWidth="1"/>
    <col min="16" max="16" width="8.81640625" bestFit="1" customWidth="1"/>
    <col min="17" max="17" width="10.81640625" bestFit="1" customWidth="1"/>
    <col min="18" max="18" width="15" customWidth="1"/>
    <col min="19" max="19" width="11.1796875" bestFit="1" customWidth="1"/>
    <col min="20" max="20" width="13.453125" bestFit="1" customWidth="1"/>
    <col min="21" max="21" width="11.7265625" bestFit="1" customWidth="1"/>
    <col min="22" max="22" width="11.7265625" customWidth="1"/>
    <col min="23" max="23" width="11.1796875" bestFit="1" customWidth="1"/>
    <col min="24" max="24" width="13.54296875" bestFit="1" customWidth="1"/>
    <col min="25" max="25" width="11.7265625" bestFit="1" customWidth="1"/>
    <col min="26" max="26" width="12.54296875" customWidth="1"/>
  </cols>
  <sheetData>
    <row r="1" spans="1:26" ht="16" x14ac:dyDescent="0.4">
      <c r="A1" s="23" t="s">
        <v>13</v>
      </c>
      <c r="B1" s="23"/>
      <c r="C1" s="23"/>
      <c r="D1" s="23"/>
      <c r="E1" s="23"/>
      <c r="F1" s="23"/>
      <c r="G1" s="23"/>
      <c r="H1" s="24" t="s">
        <v>6</v>
      </c>
      <c r="I1" s="24"/>
      <c r="J1" s="24"/>
      <c r="K1" s="24"/>
      <c r="L1" s="24"/>
      <c r="M1" s="24"/>
      <c r="N1" s="26" t="s">
        <v>9</v>
      </c>
      <c r="O1" s="26"/>
      <c r="P1" s="26"/>
      <c r="Q1" s="26"/>
      <c r="R1" s="26"/>
      <c r="S1" s="25" t="s">
        <v>15</v>
      </c>
      <c r="T1" s="25"/>
      <c r="U1" s="25"/>
      <c r="V1" s="6"/>
      <c r="W1" s="22" t="s">
        <v>30</v>
      </c>
      <c r="X1" s="22"/>
      <c r="Y1" s="22"/>
    </row>
    <row r="2" spans="1:26" ht="16" x14ac:dyDescent="0.4">
      <c r="A2" s="1" t="s">
        <v>7</v>
      </c>
      <c r="B2" s="1" t="s">
        <v>8</v>
      </c>
      <c r="C2" s="1" t="s">
        <v>25</v>
      </c>
      <c r="D2" s="1" t="s">
        <v>26</v>
      </c>
      <c r="E2" s="1" t="s">
        <v>10</v>
      </c>
      <c r="F2" s="1" t="s">
        <v>11</v>
      </c>
      <c r="G2" s="1" t="s">
        <v>12</v>
      </c>
      <c r="H2" s="1" t="s">
        <v>3</v>
      </c>
      <c r="I2" s="1" t="s">
        <v>4</v>
      </c>
      <c r="J2" s="1" t="s">
        <v>5</v>
      </c>
      <c r="K2" s="1" t="s">
        <v>0</v>
      </c>
      <c r="L2" s="1" t="s">
        <v>1</v>
      </c>
      <c r="M2" s="1" t="s">
        <v>2</v>
      </c>
      <c r="N2" s="1" t="s">
        <v>7</v>
      </c>
      <c r="O2" s="1" t="s">
        <v>8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4" t="s">
        <v>31</v>
      </c>
      <c r="V2" s="4" t="s">
        <v>32</v>
      </c>
      <c r="W2" s="1" t="s">
        <v>28</v>
      </c>
      <c r="X2" s="1" t="s">
        <v>29</v>
      </c>
      <c r="Y2" s="4" t="s">
        <v>31</v>
      </c>
      <c r="Z2" s="4" t="s">
        <v>32</v>
      </c>
    </row>
    <row r="3" spans="1:26" x14ac:dyDescent="0.35">
      <c r="A3" s="9">
        <v>0.3</v>
      </c>
      <c r="B3" s="9">
        <v>0.08</v>
      </c>
      <c r="C3" s="9">
        <v>1.571</v>
      </c>
      <c r="D3" s="9">
        <v>0.78500000000000003</v>
      </c>
      <c r="E3" s="9">
        <v>1.4</v>
      </c>
      <c r="F3" s="9">
        <v>0</v>
      </c>
      <c r="G3" s="9">
        <v>0</v>
      </c>
      <c r="H3" s="9">
        <f>'Proximal Validation (single)'!H3</f>
        <v>8.3457410801202102E-4</v>
      </c>
      <c r="I3" s="9">
        <f>'Proximal Validation (single)'!I3</f>
        <v>-3.4524299204349497E-2</v>
      </c>
      <c r="J3" s="9">
        <f>'Proximal Validation (single)'!J3</f>
        <v>-1.46811630111188E-3</v>
      </c>
      <c r="K3" s="9">
        <f>'Proximal Validation (single)'!K3</f>
        <v>0.179403036832809</v>
      </c>
      <c r="L3" s="9">
        <f>'Proximal Validation (single)'!L3</f>
        <v>-7.5630694627761797E-3</v>
      </c>
      <c r="M3" s="9">
        <f>'Proximal Validation (single)'!M3</f>
        <v>0.203822165727615</v>
      </c>
      <c r="N3" s="9">
        <v>0.28805770863368668</v>
      </c>
      <c r="O3" s="9">
        <v>4.0666101574591947E-2</v>
      </c>
      <c r="P3" s="9">
        <v>1.6397822574572751</v>
      </c>
      <c r="Q3" s="9">
        <v>1.4004752339118156</v>
      </c>
      <c r="R3" s="10">
        <v>3.3600282332872017E-5</v>
      </c>
      <c r="S3" s="8">
        <f>ABS(N3-A3)</f>
        <v>1.1942291366313307E-2</v>
      </c>
      <c r="T3" s="8">
        <f t="shared" ref="T3:V17" si="0">ABS(O3-B3)</f>
        <v>3.9333898425408055E-2</v>
      </c>
      <c r="U3" s="8">
        <f t="shared" si="0"/>
        <v>6.8782257457275175E-2</v>
      </c>
      <c r="V3" s="8">
        <f t="shared" si="0"/>
        <v>0.61547523391181558</v>
      </c>
      <c r="W3" s="9">
        <f>AVERAGE(S3:S152)</f>
        <v>7.4192433651850562E-2</v>
      </c>
      <c r="X3" s="9">
        <f t="shared" ref="X3:Z3" si="1">AVERAGE(T3:T152)</f>
        <v>2.5400424123349735E-2</v>
      </c>
      <c r="Y3" s="9">
        <f t="shared" si="1"/>
        <v>0.15641092240458535</v>
      </c>
      <c r="Z3" s="9">
        <f t="shared" si="1"/>
        <v>0.27675098375900825</v>
      </c>
    </row>
    <row r="4" spans="1:26" x14ac:dyDescent="0.35">
      <c r="A4" s="9">
        <v>0.4</v>
      </c>
      <c r="B4" s="9">
        <v>0.14000000000000001</v>
      </c>
      <c r="C4" s="9">
        <v>1.571</v>
      </c>
      <c r="D4" s="9">
        <v>0.78500000000000003</v>
      </c>
      <c r="E4" s="9">
        <v>0</v>
      </c>
      <c r="F4" s="9">
        <v>0</v>
      </c>
      <c r="G4" s="9">
        <v>0</v>
      </c>
      <c r="H4" s="9">
        <f>'Proximal Validation (single)'!H4</f>
        <v>-8.0810196232050701E-4</v>
      </c>
      <c r="I4" s="9">
        <f>'Proximal Validation (single)'!I4</f>
        <v>-6.6743046045303303E-2</v>
      </c>
      <c r="J4" s="9">
        <f>'Proximal Validation (single)'!J4</f>
        <v>4.4342974433675398E-4</v>
      </c>
      <c r="K4" s="9">
        <f>'Proximal Validation (single)'!K4</f>
        <v>0.21195751428604101</v>
      </c>
      <c r="L4" s="9">
        <f>'Proximal Validation (single)'!L4</f>
        <v>1.1818818747997299E-3</v>
      </c>
      <c r="M4" s="9">
        <f>'Proximal Validation (single)'!M4</f>
        <v>0.30656093358993503</v>
      </c>
      <c r="N4" s="9">
        <v>0.41359235224120577</v>
      </c>
      <c r="O4" s="9">
        <v>0.13166106658947643</v>
      </c>
      <c r="P4" s="9">
        <v>1.2728763612712928</v>
      </c>
      <c r="Q4" s="9">
        <v>0.61932133409355083</v>
      </c>
      <c r="R4" s="10">
        <v>4.2446249274151997E-4</v>
      </c>
      <c r="S4" s="8">
        <f t="shared" ref="S4:S18" si="2">ABS(N4-A4)</f>
        <v>1.3592352241205752E-2</v>
      </c>
      <c r="T4" s="8">
        <f t="shared" si="0"/>
        <v>8.3389334105235802E-3</v>
      </c>
      <c r="U4" s="8">
        <f t="shared" si="0"/>
        <v>0.29812363872870717</v>
      </c>
      <c r="V4" s="8">
        <f t="shared" si="0"/>
        <v>0.1656786659064492</v>
      </c>
      <c r="Y4">
        <f>DEGREES(Y3)</f>
        <v>8.9616857235309499</v>
      </c>
      <c r="Z4">
        <f>DEGREES(Z3)</f>
        <v>15.856663345484764</v>
      </c>
    </row>
    <row r="5" spans="1:26" x14ac:dyDescent="0.35">
      <c r="A5" s="9">
        <v>0.6</v>
      </c>
      <c r="B5" s="9">
        <v>0.16</v>
      </c>
      <c r="C5" s="9">
        <v>1.571</v>
      </c>
      <c r="D5" s="9">
        <v>0.78500000000000003</v>
      </c>
      <c r="E5" s="9">
        <v>1.4</v>
      </c>
      <c r="F5" s="9">
        <v>0</v>
      </c>
      <c r="G5" s="9">
        <v>0</v>
      </c>
      <c r="H5" s="9">
        <f>'Proximal Validation (single)'!H5</f>
        <v>7.8557301312684995E-3</v>
      </c>
      <c r="I5" s="9">
        <f>'Proximal Validation (single)'!I5</f>
        <v>-0.127810284495354</v>
      </c>
      <c r="J5" s="9">
        <f>'Proximal Validation (single)'!J5</f>
        <v>-1.16112818941474E-2</v>
      </c>
      <c r="K5" s="9">
        <f>'Proximal Validation (single)'!K5</f>
        <v>2.8561159968376201E-2</v>
      </c>
      <c r="L5" s="9">
        <f>'Proximal Validation (single)'!L5</f>
        <v>-4.7612398862838697E-2</v>
      </c>
      <c r="M5" s="9">
        <f>'Proximal Validation (single)'!M5</f>
        <v>0.55316102504730202</v>
      </c>
      <c r="N5" s="9">
        <v>0.55661180676566457</v>
      </c>
      <c r="O5" s="9">
        <v>0.19075714758795878</v>
      </c>
      <c r="P5" s="9">
        <v>1.9950279461722809</v>
      </c>
      <c r="Q5" s="9">
        <v>0.51042089856414785</v>
      </c>
      <c r="R5" s="10">
        <v>4.1302128821291888E-4</v>
      </c>
      <c r="S5" s="8">
        <f t="shared" si="2"/>
        <v>4.3388193234335404E-2</v>
      </c>
      <c r="T5" s="8">
        <f t="shared" si="0"/>
        <v>3.0757147587958777E-2</v>
      </c>
      <c r="U5" s="8">
        <f t="shared" si="0"/>
        <v>0.4240279461722809</v>
      </c>
      <c r="V5" s="8">
        <f t="shared" si="0"/>
        <v>0.27457910143585218</v>
      </c>
    </row>
    <row r="6" spans="1:26" x14ac:dyDescent="0.35">
      <c r="A6" s="9">
        <v>0.4</v>
      </c>
      <c r="B6" s="9">
        <v>0.06</v>
      </c>
      <c r="C6" s="9">
        <v>1.571</v>
      </c>
      <c r="D6" s="9">
        <v>1.571</v>
      </c>
      <c r="E6" s="9">
        <v>1.4</v>
      </c>
      <c r="F6" s="9">
        <v>0</v>
      </c>
      <c r="G6" s="9">
        <v>0</v>
      </c>
      <c r="H6" s="9">
        <f>'Proximal Validation (single)'!H6</f>
        <v>1.1252735275775201E-3</v>
      </c>
      <c r="I6" s="9">
        <f>'Proximal Validation (single)'!I6</f>
        <v>-5.59809319674969E-2</v>
      </c>
      <c r="J6" s="9">
        <f>'Proximal Validation (single)'!J6</f>
        <v>-7.4938102625310399E-4</v>
      </c>
      <c r="K6" s="9">
        <f>'Proximal Validation (single)'!K6</f>
        <v>-3.5423979163169902E-2</v>
      </c>
      <c r="L6" s="9">
        <f>'Proximal Validation (single)'!L6</f>
        <v>-1.04948431253433E-2</v>
      </c>
      <c r="M6" s="9">
        <f>'Proximal Validation (single)'!M6</f>
        <v>0.35301661491393999</v>
      </c>
      <c r="N6" s="9">
        <v>0.38372204776884872</v>
      </c>
      <c r="O6" s="9">
        <v>5.9156393784560342E-2</v>
      </c>
      <c r="P6" s="9">
        <v>1.5180655374117644</v>
      </c>
      <c r="Q6" s="9">
        <v>1.6423707326354597</v>
      </c>
      <c r="R6" s="10">
        <v>8.5791101148567921E-5</v>
      </c>
      <c r="S6" s="8">
        <f t="shared" si="2"/>
        <v>1.6277952231151305E-2</v>
      </c>
      <c r="T6" s="8">
        <f t="shared" si="0"/>
        <v>8.4360621543965592E-4</v>
      </c>
      <c r="U6" s="8">
        <f t="shared" si="0"/>
        <v>5.2934462588235531E-2</v>
      </c>
      <c r="V6" s="8">
        <f t="shared" si="0"/>
        <v>7.1370732635459788E-2</v>
      </c>
    </row>
    <row r="7" spans="1:26" x14ac:dyDescent="0.35">
      <c r="A7" s="9">
        <v>0.8</v>
      </c>
      <c r="B7" s="9">
        <v>0.08</v>
      </c>
      <c r="C7" s="9">
        <v>1.571</v>
      </c>
      <c r="D7" s="9">
        <v>1.571</v>
      </c>
      <c r="E7" s="9">
        <v>0</v>
      </c>
      <c r="F7" s="9">
        <v>0</v>
      </c>
      <c r="G7" s="9">
        <v>0</v>
      </c>
      <c r="H7" s="9">
        <f>'Proximal Validation (single)'!H7</f>
        <v>-5.5839424021542105E-4</v>
      </c>
      <c r="I7" s="9">
        <f>'Proximal Validation (single)'!I7</f>
        <v>-0.11975701153278399</v>
      </c>
      <c r="J7" s="9">
        <f>'Proximal Validation (single)'!J7</f>
        <v>-9.9074037279933691E-4</v>
      </c>
      <c r="K7" s="9">
        <f>'Proximal Validation (single)'!K7</f>
        <v>-0.19020733237266499</v>
      </c>
      <c r="L7" s="9">
        <f>'Proximal Validation (single)'!L7</f>
        <v>-2.60122120380402E-3</v>
      </c>
      <c r="M7" s="9">
        <f>'Proximal Validation (single)'!M7</f>
        <v>0.66739636659622203</v>
      </c>
      <c r="N7" s="9">
        <v>0.72018107822087496</v>
      </c>
      <c r="O7" s="9">
        <v>7.5769159017561802E-2</v>
      </c>
      <c r="P7" s="9">
        <v>1.5019972118058147</v>
      </c>
      <c r="Q7" s="9">
        <v>1.4642363833183265</v>
      </c>
      <c r="R7" s="10">
        <v>1.5740035085194746E-4</v>
      </c>
      <c r="S7" s="8">
        <f t="shared" si="2"/>
        <v>7.9818921779125085E-2</v>
      </c>
      <c r="T7" s="8">
        <f t="shared" si="0"/>
        <v>4.2308409824381998E-3</v>
      </c>
      <c r="U7" s="8">
        <f t="shared" si="0"/>
        <v>6.9002788194185261E-2</v>
      </c>
      <c r="V7" s="8">
        <f t="shared" si="0"/>
        <v>0.10676361668167345</v>
      </c>
    </row>
    <row r="8" spans="1:26" x14ac:dyDescent="0.35">
      <c r="A8" s="9">
        <v>0.7</v>
      </c>
      <c r="B8" s="9">
        <v>0.16</v>
      </c>
      <c r="C8" s="9">
        <v>1.571</v>
      </c>
      <c r="D8" s="9">
        <v>1.571</v>
      </c>
      <c r="E8" s="9">
        <v>1.4</v>
      </c>
      <c r="F8" s="9">
        <v>0</v>
      </c>
      <c r="G8" s="9">
        <v>0</v>
      </c>
      <c r="H8" s="9">
        <f>'Proximal Validation (single)'!H8</f>
        <v>1.04370433837175E-2</v>
      </c>
      <c r="I8" s="9">
        <f>'Proximal Validation (single)'!I8</f>
        <v>-0.129757210612297</v>
      </c>
      <c r="J8" s="9">
        <f>'Proximal Validation (single)'!J8</f>
        <v>-7.3771281167864799E-3</v>
      </c>
      <c r="K8" s="9">
        <f>'Proximal Validation (single)'!K8</f>
        <v>-0.55726921558380105</v>
      </c>
      <c r="L8" s="9">
        <f>'Proximal Validation (single)'!L8</f>
        <v>-6.0898363590240499E-2</v>
      </c>
      <c r="M8" s="9">
        <f>'Proximal Validation (single)'!M8</f>
        <v>0.32599642872810403</v>
      </c>
      <c r="N8" s="9">
        <v>0.70593715694974346</v>
      </c>
      <c r="O8" s="9">
        <v>0.17982832831076448</v>
      </c>
      <c r="P8" s="9">
        <v>1.6884655265740385</v>
      </c>
      <c r="Q8" s="9">
        <v>1.5645918437312563</v>
      </c>
      <c r="R8" s="10">
        <v>1.5592001218362448E-4</v>
      </c>
      <c r="S8" s="8">
        <f t="shared" si="2"/>
        <v>5.9371569497435051E-3</v>
      </c>
      <c r="T8" s="8">
        <f t="shared" si="0"/>
        <v>1.9828328310764476E-2</v>
      </c>
      <c r="U8" s="8">
        <f t="shared" si="0"/>
        <v>0.11746552657403853</v>
      </c>
      <c r="V8" s="8">
        <f t="shared" si="0"/>
        <v>6.4081562687436922E-3</v>
      </c>
    </row>
    <row r="9" spans="1:26" x14ac:dyDescent="0.35">
      <c r="A9" s="9">
        <v>0.7</v>
      </c>
      <c r="B9" s="9">
        <v>0.2</v>
      </c>
      <c r="C9" s="9">
        <v>1.571</v>
      </c>
      <c r="D9" s="9">
        <v>1.571</v>
      </c>
      <c r="E9" s="9">
        <v>0</v>
      </c>
      <c r="F9" s="9">
        <v>0</v>
      </c>
      <c r="G9" s="9">
        <v>0</v>
      </c>
      <c r="H9" s="9">
        <f>'Proximal Validation (single)'!H9</f>
        <v>-5.38935419172049E-4</v>
      </c>
      <c r="I9" s="9">
        <f>'Proximal Validation (single)'!I9</f>
        <v>-0.118809439241886</v>
      </c>
      <c r="J9" s="9">
        <f>'Proximal Validation (single)'!J9</f>
        <v>3.4749228507280402E-3</v>
      </c>
      <c r="K9" s="9">
        <f>'Proximal Validation (single)'!K9</f>
        <v>-0.621493339538574</v>
      </c>
      <c r="L9" s="9">
        <f>'Proximal Validation (single)'!L9</f>
        <v>1.56053192913532E-2</v>
      </c>
      <c r="M9" s="9">
        <f>'Proximal Validation (single)'!M9</f>
        <v>0.10576334595680199</v>
      </c>
      <c r="N9" s="9">
        <v>0.8745349335407544</v>
      </c>
      <c r="O9" s="9">
        <v>0.19324761802076318</v>
      </c>
      <c r="P9" s="9">
        <v>1.5675293137809494</v>
      </c>
      <c r="Q9" s="9">
        <v>1.7481863828837627</v>
      </c>
      <c r="R9" s="10">
        <v>6.0809956077663679E-4</v>
      </c>
      <c r="S9" s="8">
        <f t="shared" si="2"/>
        <v>0.17453493354075444</v>
      </c>
      <c r="T9" s="8">
        <f t="shared" si="0"/>
        <v>6.7523819792368323E-3</v>
      </c>
      <c r="U9" s="8">
        <f t="shared" si="0"/>
        <v>3.4706862190505561E-3</v>
      </c>
      <c r="V9" s="8">
        <f t="shared" si="0"/>
        <v>0.17718638288376276</v>
      </c>
    </row>
    <row r="10" spans="1:26" x14ac:dyDescent="0.35">
      <c r="A10" s="9">
        <v>0.7</v>
      </c>
      <c r="B10" s="9">
        <v>0.06</v>
      </c>
      <c r="C10" s="9">
        <v>3.665</v>
      </c>
      <c r="D10" s="9">
        <v>0.78500000000000003</v>
      </c>
      <c r="E10" s="9">
        <v>0</v>
      </c>
      <c r="F10" s="9">
        <v>0</v>
      </c>
      <c r="G10" s="9">
        <v>0</v>
      </c>
      <c r="H10" s="9">
        <f>'Proximal Validation (single)'!H10</f>
        <v>-7.8150304034352303E-4</v>
      </c>
      <c r="I10" s="9">
        <f>'Proximal Validation (single)'!I10</f>
        <v>4.4897478073835401E-2</v>
      </c>
      <c r="J10" s="9">
        <f>'Proximal Validation (single)'!J10</f>
        <v>-8.2051888108253507E-2</v>
      </c>
      <c r="K10" s="9">
        <f>'Proximal Validation (single)'!K10</f>
        <v>0.48326423764228799</v>
      </c>
      <c r="L10" s="9">
        <f>'Proximal Validation (single)'!L10</f>
        <v>-0.55701375007629395</v>
      </c>
      <c r="M10" s="9">
        <f>'Proximal Validation (single)'!M10</f>
        <v>-0.30146327614784202</v>
      </c>
      <c r="N10" s="9">
        <v>0.87736650514544889</v>
      </c>
      <c r="O10" s="9">
        <v>3.5561110947658625E-2</v>
      </c>
      <c r="P10" s="9">
        <v>3.5684016968920105</v>
      </c>
      <c r="Q10" s="9">
        <v>0.92087949061447938</v>
      </c>
      <c r="R10" s="10">
        <v>1.6568779842205417E-4</v>
      </c>
      <c r="S10" s="8">
        <f t="shared" si="2"/>
        <v>0.17736650514544894</v>
      </c>
      <c r="T10" s="8">
        <f t="shared" si="0"/>
        <v>2.4438889052341373E-2</v>
      </c>
      <c r="U10" s="8">
        <f t="shared" si="0"/>
        <v>9.6598303107989558E-2</v>
      </c>
      <c r="V10" s="8">
        <f t="shared" si="0"/>
        <v>0.13587949061447935</v>
      </c>
    </row>
    <row r="11" spans="1:26" x14ac:dyDescent="0.35">
      <c r="A11" s="9">
        <v>0.6</v>
      </c>
      <c r="B11" s="9">
        <v>0.1</v>
      </c>
      <c r="C11" s="9">
        <v>3.665</v>
      </c>
      <c r="D11" s="9">
        <v>0.78500000000000003</v>
      </c>
      <c r="E11" s="9">
        <v>0</v>
      </c>
      <c r="F11" s="9">
        <v>0</v>
      </c>
      <c r="G11" s="9">
        <v>0</v>
      </c>
      <c r="H11" s="9">
        <f>'Proximal Validation (single)'!H11</f>
        <v>-4.8895599320530902E-4</v>
      </c>
      <c r="I11" s="9">
        <f>'Proximal Validation (single)'!I11</f>
        <v>4.6247739344835302E-2</v>
      </c>
      <c r="J11" s="9">
        <f>'Proximal Validation (single)'!J11</f>
        <v>-8.3231396973133101E-2</v>
      </c>
      <c r="K11" s="9">
        <f>'Proximal Validation (single)'!K11</f>
        <v>0.33926415443420399</v>
      </c>
      <c r="L11" s="9">
        <f>'Proximal Validation (single)'!L11</f>
        <v>-0.45690825581550598</v>
      </c>
      <c r="M11" s="9">
        <f>'Proximal Validation (single)'!M11</f>
        <v>-0.25065129995346103</v>
      </c>
      <c r="N11" s="9">
        <v>0.6132092953148347</v>
      </c>
      <c r="O11" s="9">
        <v>9.2890103767158477E-2</v>
      </c>
      <c r="P11" s="9">
        <v>3.5252250041115718</v>
      </c>
      <c r="Q11" s="9">
        <v>0.94630097682156855</v>
      </c>
      <c r="R11" s="10">
        <v>1.1004704371223861E-4</v>
      </c>
      <c r="S11" s="8">
        <f t="shared" si="2"/>
        <v>1.3209295314834724E-2</v>
      </c>
      <c r="T11" s="8">
        <f t="shared" si="0"/>
        <v>7.1098962328415283E-3</v>
      </c>
      <c r="U11" s="8">
        <f t="shared" si="0"/>
        <v>0.13977499588842823</v>
      </c>
      <c r="V11" s="8">
        <f t="shared" si="0"/>
        <v>0.16130097682156852</v>
      </c>
    </row>
    <row r="12" spans="1:26" x14ac:dyDescent="0.35">
      <c r="A12" s="9">
        <v>0.8</v>
      </c>
      <c r="B12" s="9">
        <v>0.18</v>
      </c>
      <c r="C12" s="9">
        <v>3.665</v>
      </c>
      <c r="D12" s="9">
        <v>0.78500000000000003</v>
      </c>
      <c r="E12" s="9">
        <v>1.4</v>
      </c>
      <c r="F12" s="9">
        <v>0</v>
      </c>
      <c r="G12" s="9">
        <v>0</v>
      </c>
      <c r="H12" s="9">
        <f>'Proximal Validation (single)'!H12</f>
        <v>1.7005717381834999E-3</v>
      </c>
      <c r="I12" s="9">
        <f>'Proximal Validation (single)'!I12</f>
        <v>8.4788650274276706E-2</v>
      </c>
      <c r="J12" s="9">
        <f>'Proximal Validation (single)'!J12</f>
        <v>-0.143600359559059</v>
      </c>
      <c r="K12" s="9">
        <f>'Proximal Validation (single)'!K12</f>
        <v>0.28701612353324901</v>
      </c>
      <c r="L12" s="9">
        <f>'Proximal Validation (single)'!L12</f>
        <v>-0.64443814754486095</v>
      </c>
      <c r="M12" s="9">
        <f>'Proximal Validation (single)'!M12</f>
        <v>-0.37070235610008201</v>
      </c>
      <c r="N12" s="9">
        <v>0.84468688159816907</v>
      </c>
      <c r="O12" s="9">
        <v>0.1841563251445682</v>
      </c>
      <c r="P12" s="9">
        <v>3.7149972621762228</v>
      </c>
      <c r="Q12" s="9">
        <v>0.52258082940582584</v>
      </c>
      <c r="R12" s="10">
        <v>7.8199390102443622E-5</v>
      </c>
      <c r="S12" s="8">
        <f t="shared" si="2"/>
        <v>4.4686881598169026E-2</v>
      </c>
      <c r="T12" s="8">
        <f t="shared" si="0"/>
        <v>4.156325144568207E-3</v>
      </c>
      <c r="U12" s="8">
        <f t="shared" si="0"/>
        <v>4.9997262176222801E-2</v>
      </c>
      <c r="V12" s="8">
        <f t="shared" si="0"/>
        <v>0.26241917059417419</v>
      </c>
    </row>
    <row r="13" spans="1:26" x14ac:dyDescent="0.35">
      <c r="A13" s="9">
        <v>0.4</v>
      </c>
      <c r="B13" s="9">
        <v>0.2</v>
      </c>
      <c r="C13" s="9">
        <v>3.665</v>
      </c>
      <c r="D13" s="9">
        <v>0.78500000000000003</v>
      </c>
      <c r="E13" s="9">
        <v>1.4</v>
      </c>
      <c r="F13" s="9">
        <v>0</v>
      </c>
      <c r="G13" s="9">
        <v>0</v>
      </c>
      <c r="H13" s="9">
        <f>'Proximal Validation (single)'!H13</f>
        <v>1.0739560239017001E-3</v>
      </c>
      <c r="I13" s="9">
        <f>'Proximal Validation (single)'!I13</f>
        <v>4.1172292083501802E-2</v>
      </c>
      <c r="J13" s="9">
        <f>'Proximal Validation (single)'!J13</f>
        <v>-6.7707680165767697E-2</v>
      </c>
      <c r="K13" s="9">
        <f>'Proximal Validation (single)'!K13</f>
        <v>0.187965422868729</v>
      </c>
      <c r="L13" s="9">
        <f>'Proximal Validation (single)'!L13</f>
        <v>-0.244067072868347</v>
      </c>
      <c r="M13" s="9">
        <f>'Proximal Validation (single)'!M13</f>
        <v>-0.14198835194110901</v>
      </c>
      <c r="N13" s="9">
        <v>0.35460713293345353</v>
      </c>
      <c r="O13" s="9">
        <v>0.19715739642070945</v>
      </c>
      <c r="P13" s="9">
        <v>3.6486761551143116</v>
      </c>
      <c r="Q13" s="9">
        <v>0.74723783058275439</v>
      </c>
      <c r="R13" s="10">
        <v>3.642622802585685E-5</v>
      </c>
      <c r="S13" s="8">
        <f t="shared" si="2"/>
        <v>4.5392867066546494E-2</v>
      </c>
      <c r="T13" s="8">
        <f t="shared" si="0"/>
        <v>2.8426035792905591E-3</v>
      </c>
      <c r="U13" s="8">
        <f t="shared" si="0"/>
        <v>1.6323844885688388E-2</v>
      </c>
      <c r="V13" s="8">
        <f t="shared" si="0"/>
        <v>3.7762169417245639E-2</v>
      </c>
    </row>
    <row r="14" spans="1:26" x14ac:dyDescent="0.35">
      <c r="A14" s="9">
        <v>0.4</v>
      </c>
      <c r="B14" s="9">
        <v>0.1</v>
      </c>
      <c r="C14" s="9">
        <v>3.665</v>
      </c>
      <c r="D14" s="9">
        <v>1.571</v>
      </c>
      <c r="E14" s="9">
        <v>1.4</v>
      </c>
      <c r="F14" s="9">
        <v>0</v>
      </c>
      <c r="G14" s="9">
        <v>0</v>
      </c>
      <c r="H14" s="9">
        <f>'Proximal Validation (single)'!H14</f>
        <v>-4.8927497118711504E-4</v>
      </c>
      <c r="I14" s="9">
        <f>'Proximal Validation (single)'!I14</f>
        <v>3.26927192509174E-2</v>
      </c>
      <c r="J14" s="9">
        <f>'Proximal Validation (single)'!J14</f>
        <v>-5.8575917035341298E-2</v>
      </c>
      <c r="K14" s="9">
        <f>'Proximal Validation (single)'!K14</f>
        <v>-1.28835095092654E-2</v>
      </c>
      <c r="L14" s="9">
        <f>'Proximal Validation (single)'!L14</f>
        <v>-0.29204529523849498</v>
      </c>
      <c r="M14" s="9">
        <f>'Proximal Validation (single)'!M14</f>
        <v>-0.16083618998527499</v>
      </c>
      <c r="N14" s="9">
        <v>0.40106908649770506</v>
      </c>
      <c r="O14" s="9">
        <v>0.13464288400225216</v>
      </c>
      <c r="P14" s="9">
        <v>3.0027021040196011</v>
      </c>
      <c r="Q14" s="9">
        <v>2.4838913857122407</v>
      </c>
      <c r="R14" s="10">
        <v>1.0564612737976418E-3</v>
      </c>
      <c r="S14" s="8">
        <f t="shared" si="2"/>
        <v>1.0690864977050407E-3</v>
      </c>
      <c r="T14" s="8">
        <f t="shared" si="0"/>
        <v>3.4642884002252156E-2</v>
      </c>
      <c r="U14" s="8">
        <f t="shared" si="0"/>
        <v>0.6622978959803989</v>
      </c>
      <c r="V14" s="8">
        <f t="shared" si="0"/>
        <v>0.91289138571224071</v>
      </c>
    </row>
    <row r="15" spans="1:26" x14ac:dyDescent="0.35">
      <c r="A15" s="9">
        <v>0.7</v>
      </c>
      <c r="B15" s="9">
        <v>0.1</v>
      </c>
      <c r="C15" s="9">
        <v>3.665</v>
      </c>
      <c r="D15" s="9">
        <v>1.571</v>
      </c>
      <c r="E15" s="9">
        <v>1.4</v>
      </c>
      <c r="F15" s="9">
        <v>0</v>
      </c>
      <c r="G15" s="9">
        <v>0</v>
      </c>
      <c r="H15" s="9">
        <f>'Proximal Validation (single)'!H15</f>
        <v>-1.61128584295511E-4</v>
      </c>
      <c r="I15" s="9">
        <f>'Proximal Validation (single)'!I15</f>
        <v>6.6224433481693296E-2</v>
      </c>
      <c r="J15" s="9">
        <f>'Proximal Validation (single)'!J15</f>
        <v>-0.118051804602146</v>
      </c>
      <c r="K15" s="9">
        <f>'Proximal Validation (single)'!K15</f>
        <v>-0.18827667832374601</v>
      </c>
      <c r="L15" s="9">
        <f>'Proximal Validation (single)'!L15</f>
        <v>-0.57758575677871704</v>
      </c>
      <c r="M15" s="9">
        <f>'Proximal Validation (single)'!M15</f>
        <v>-0.318100035190582</v>
      </c>
      <c r="N15" s="9">
        <v>0.66070929079036778</v>
      </c>
      <c r="O15" s="9">
        <v>0.11484240728951461</v>
      </c>
      <c r="P15" s="9">
        <v>3.6249085037792059</v>
      </c>
      <c r="Q15" s="9">
        <v>1.476123680663477</v>
      </c>
      <c r="R15" s="10">
        <v>1.2145035103121214E-4</v>
      </c>
      <c r="S15" s="8">
        <f t="shared" si="2"/>
        <v>3.929070920963218E-2</v>
      </c>
      <c r="T15" s="8">
        <f t="shared" si="0"/>
        <v>1.4842407289514609E-2</v>
      </c>
      <c r="U15" s="8">
        <f t="shared" si="0"/>
        <v>4.0091496220794109E-2</v>
      </c>
      <c r="V15" s="8">
        <f t="shared" si="0"/>
        <v>9.4876319336522963E-2</v>
      </c>
    </row>
    <row r="16" spans="1:26" x14ac:dyDescent="0.35">
      <c r="A16" s="9">
        <v>0.4</v>
      </c>
      <c r="B16" s="9">
        <v>0.16</v>
      </c>
      <c r="C16" s="9">
        <v>3.665</v>
      </c>
      <c r="D16" s="9">
        <v>1.571</v>
      </c>
      <c r="E16" s="9">
        <v>0</v>
      </c>
      <c r="F16" s="9">
        <v>0</v>
      </c>
      <c r="G16" s="9">
        <v>0</v>
      </c>
      <c r="H16" s="9">
        <f>'Proximal Validation (single)'!H16</f>
        <v>3.27638350427151E-4</v>
      </c>
      <c r="I16" s="9">
        <f>'Proximal Validation (single)'!I16</f>
        <v>4.1303895413875601E-2</v>
      </c>
      <c r="J16" s="9">
        <f>'Proximal Validation (single)'!J16</f>
        <v>-7.1706265211105305E-2</v>
      </c>
      <c r="K16" s="9">
        <f>'Proximal Validation (single)'!K16</f>
        <v>-0.16764184832572901</v>
      </c>
      <c r="L16" s="9">
        <f>'Proximal Validation (single)'!L16</f>
        <v>-0.24127176403999301</v>
      </c>
      <c r="M16" s="9">
        <f>'Proximal Validation (single)'!M16</f>
        <v>-0.13795974850654599</v>
      </c>
      <c r="N16" s="9">
        <v>0.534769828786265</v>
      </c>
      <c r="O16" s="9">
        <v>9.8005479113837696E-2</v>
      </c>
      <c r="P16" s="9">
        <v>3.6654957852354402</v>
      </c>
      <c r="Q16" s="9">
        <v>2.0161467323889259</v>
      </c>
      <c r="R16" s="10">
        <v>6.1697274739759526E-6</v>
      </c>
      <c r="S16" s="8">
        <f t="shared" si="2"/>
        <v>0.13476982878626498</v>
      </c>
      <c r="T16" s="8">
        <f t="shared" si="0"/>
        <v>6.1994520886162308E-2</v>
      </c>
      <c r="U16" s="8">
        <f t="shared" si="0"/>
        <v>4.9578523544013819E-4</v>
      </c>
      <c r="V16" s="8">
        <f t="shared" si="0"/>
        <v>0.44514673238892599</v>
      </c>
    </row>
    <row r="17" spans="1:22" x14ac:dyDescent="0.35">
      <c r="A17" s="9">
        <v>0.3</v>
      </c>
      <c r="B17" s="9">
        <v>0.18</v>
      </c>
      <c r="C17" s="9">
        <v>3.665</v>
      </c>
      <c r="D17" s="9">
        <v>1.571</v>
      </c>
      <c r="E17" s="9">
        <v>0</v>
      </c>
      <c r="F17" s="9">
        <v>0</v>
      </c>
      <c r="G17" s="9">
        <v>0</v>
      </c>
      <c r="H17" s="9">
        <f>'Proximal Validation (single)'!H17</f>
        <v>3.5051628947258001E-4</v>
      </c>
      <c r="I17" s="9">
        <f>'Proximal Validation (single)'!I17</f>
        <v>3.2155215740203899E-2</v>
      </c>
      <c r="J17" s="9">
        <f>'Proximal Validation (single)'!J17</f>
        <v>-5.4656162858009297E-2</v>
      </c>
      <c r="K17" s="9">
        <f>'Proximal Validation (single)'!K17</f>
        <v>-0.106987468898296</v>
      </c>
      <c r="L17" s="9">
        <f>'Proximal Validation (single)'!L17</f>
        <v>-0.16471621394157401</v>
      </c>
      <c r="M17" s="9">
        <f>'Proximal Validation (single)'!M17</f>
        <v>-9.7047880291938796E-2</v>
      </c>
      <c r="N17" s="9">
        <v>0.22358121049093199</v>
      </c>
      <c r="O17" s="9">
        <v>0.19957279980495143</v>
      </c>
      <c r="P17" s="9">
        <v>3.8951705344854486</v>
      </c>
      <c r="Q17" s="9">
        <v>1.9098086980168365</v>
      </c>
      <c r="R17" s="10">
        <v>2.7717719058531818E-4</v>
      </c>
      <c r="S17" s="8">
        <f t="shared" si="2"/>
        <v>7.6418789509067997E-2</v>
      </c>
      <c r="T17" s="8">
        <f t="shared" si="0"/>
        <v>1.9572799804951441E-2</v>
      </c>
      <c r="U17" s="8">
        <f t="shared" si="0"/>
        <v>0.23017053448544855</v>
      </c>
      <c r="V17" s="8">
        <f t="shared" si="0"/>
        <v>0.33880869801683655</v>
      </c>
    </row>
    <row r="18" spans="1:22" x14ac:dyDescent="0.35">
      <c r="A18" s="9">
        <v>0.3</v>
      </c>
      <c r="B18" s="9">
        <v>0.08</v>
      </c>
      <c r="C18" s="9">
        <v>1.571</v>
      </c>
      <c r="D18" s="9">
        <v>0.78500000000000003</v>
      </c>
      <c r="E18" s="9">
        <v>1.4</v>
      </c>
      <c r="F18" s="9">
        <v>0</v>
      </c>
      <c r="G18" s="9">
        <v>0</v>
      </c>
      <c r="N18" s="9">
        <v>0.45758985192838453</v>
      </c>
      <c r="O18" s="9">
        <v>3.1488737661416133E-2</v>
      </c>
      <c r="P18" s="9">
        <v>1.7756162349333688</v>
      </c>
      <c r="Q18" s="9">
        <v>0.63025865626351485</v>
      </c>
      <c r="R18" s="10">
        <v>4.2340555774226186E-5</v>
      </c>
      <c r="S18" s="8">
        <f t="shared" si="2"/>
        <v>0.15758985192838454</v>
      </c>
      <c r="T18" s="8">
        <f t="shared" ref="T18:T81" si="3">ABS(O18-B18)</f>
        <v>4.8511262338583869E-2</v>
      </c>
      <c r="U18" s="8">
        <f t="shared" ref="U18:U81" si="4">ABS(P18-C18)</f>
        <v>0.20461623493336889</v>
      </c>
      <c r="V18" s="8">
        <f t="shared" ref="V18:V81" si="5">ABS(Q18-D18)</f>
        <v>0.15474134373648518</v>
      </c>
    </row>
    <row r="19" spans="1:22" x14ac:dyDescent="0.35">
      <c r="A19" s="9">
        <v>0.4</v>
      </c>
      <c r="B19" s="9">
        <v>0.14000000000000001</v>
      </c>
      <c r="C19" s="9">
        <v>1.571</v>
      </c>
      <c r="D19" s="9">
        <v>0.78500000000000003</v>
      </c>
      <c r="E19" s="9">
        <v>0</v>
      </c>
      <c r="F19" s="9">
        <v>0</v>
      </c>
      <c r="G19" s="9">
        <v>0</v>
      </c>
      <c r="N19" s="9">
        <v>0.34686101733499586</v>
      </c>
      <c r="O19" s="9">
        <v>9.3176044432171146E-2</v>
      </c>
      <c r="P19" s="9">
        <v>1.8055943789122781</v>
      </c>
      <c r="Q19" s="9">
        <v>1.4305022417919742</v>
      </c>
      <c r="R19" s="10">
        <v>3.4437643727323468E-4</v>
      </c>
      <c r="S19" s="8">
        <f t="shared" ref="S19:S82" si="6">ABS(N19-A19)</f>
        <v>5.3138982665004164E-2</v>
      </c>
      <c r="T19" s="8">
        <f t="shared" si="3"/>
        <v>4.6823955567828868E-2</v>
      </c>
      <c r="U19" s="8">
        <f t="shared" si="4"/>
        <v>0.23459437891227819</v>
      </c>
      <c r="V19" s="8">
        <f t="shared" si="5"/>
        <v>0.64550224179197413</v>
      </c>
    </row>
    <row r="20" spans="1:22" x14ac:dyDescent="0.35">
      <c r="A20" s="9">
        <v>0.6</v>
      </c>
      <c r="B20" s="9">
        <v>0.16</v>
      </c>
      <c r="C20" s="9">
        <v>1.571</v>
      </c>
      <c r="D20" s="9">
        <v>0.78500000000000003</v>
      </c>
      <c r="E20" s="9">
        <v>1.4</v>
      </c>
      <c r="F20" s="9">
        <v>0</v>
      </c>
      <c r="G20" s="9">
        <v>0</v>
      </c>
      <c r="N20" s="9">
        <v>0.50296530526124739</v>
      </c>
      <c r="O20" s="9">
        <v>0.19139395003965085</v>
      </c>
      <c r="P20" s="9">
        <v>1.7711513860263586</v>
      </c>
      <c r="Q20" s="9">
        <v>0.70421754271532977</v>
      </c>
      <c r="R20" s="10">
        <v>1.3160038457429122E-4</v>
      </c>
      <c r="S20" s="8">
        <f t="shared" si="6"/>
        <v>9.7034694738752592E-2</v>
      </c>
      <c r="T20" s="8">
        <f t="shared" si="3"/>
        <v>3.1393950039650842E-2</v>
      </c>
      <c r="U20" s="8">
        <f t="shared" si="4"/>
        <v>0.20015138602635862</v>
      </c>
      <c r="V20" s="8">
        <f t="shared" si="5"/>
        <v>8.0782457284670262E-2</v>
      </c>
    </row>
    <row r="21" spans="1:22" x14ac:dyDescent="0.35">
      <c r="A21" s="9">
        <v>0.4</v>
      </c>
      <c r="B21" s="9">
        <v>0.06</v>
      </c>
      <c r="C21" s="9">
        <v>1.571</v>
      </c>
      <c r="D21" s="9">
        <v>1.571</v>
      </c>
      <c r="E21" s="9">
        <v>1.4</v>
      </c>
      <c r="F21" s="9">
        <v>0</v>
      </c>
      <c r="G21" s="9">
        <v>0</v>
      </c>
      <c r="N21" s="9">
        <v>0.36066405713231248</v>
      </c>
      <c r="O21" s="9">
        <v>7.3809144262480433E-2</v>
      </c>
      <c r="P21" s="9">
        <v>1.7010567668476013</v>
      </c>
      <c r="Q21" s="9">
        <v>1.1531301231501596</v>
      </c>
      <c r="R21" s="10">
        <v>1.3520143728160014E-4</v>
      </c>
      <c r="S21" s="8">
        <f t="shared" si="6"/>
        <v>3.9335942867687546E-2</v>
      </c>
      <c r="T21" s="8">
        <f t="shared" si="3"/>
        <v>1.3809144262480436E-2</v>
      </c>
      <c r="U21" s="8">
        <f t="shared" si="4"/>
        <v>0.13005676684760137</v>
      </c>
      <c r="V21" s="8">
        <f t="shared" si="5"/>
        <v>0.41786987684984034</v>
      </c>
    </row>
    <row r="22" spans="1:22" x14ac:dyDescent="0.35">
      <c r="A22" s="9">
        <v>0.8</v>
      </c>
      <c r="B22" s="9">
        <v>0.08</v>
      </c>
      <c r="C22" s="9">
        <v>1.571</v>
      </c>
      <c r="D22" s="9">
        <v>1.571</v>
      </c>
      <c r="E22" s="9">
        <v>0</v>
      </c>
      <c r="F22" s="9">
        <v>0</v>
      </c>
      <c r="G22" s="9">
        <v>0</v>
      </c>
      <c r="N22" s="9">
        <v>0.80620973230823967</v>
      </c>
      <c r="O22" s="9">
        <v>6.0368067572877153E-2</v>
      </c>
      <c r="P22" s="9">
        <v>1.4958334333553298</v>
      </c>
      <c r="Q22" s="9">
        <v>1.7574370076771111</v>
      </c>
      <c r="R22" s="10">
        <v>1.1406114010284186E-4</v>
      </c>
      <c r="S22" s="8">
        <f t="shared" si="6"/>
        <v>6.2097323082396239E-3</v>
      </c>
      <c r="T22" s="8">
        <f t="shared" si="3"/>
        <v>1.9631932427122849E-2</v>
      </c>
      <c r="U22" s="8">
        <f t="shared" si="4"/>
        <v>7.5166566644670141E-2</v>
      </c>
      <c r="V22" s="8">
        <f t="shared" si="5"/>
        <v>0.18643700767711113</v>
      </c>
    </row>
    <row r="23" spans="1:22" x14ac:dyDescent="0.35">
      <c r="A23" s="9">
        <v>0.7</v>
      </c>
      <c r="B23" s="9">
        <v>0.16</v>
      </c>
      <c r="C23" s="9">
        <v>1.571</v>
      </c>
      <c r="D23" s="9">
        <v>1.571</v>
      </c>
      <c r="E23" s="9">
        <v>1.4</v>
      </c>
      <c r="F23" s="9">
        <v>0</v>
      </c>
      <c r="G23" s="9">
        <v>0</v>
      </c>
      <c r="N23" s="9">
        <v>0.46093035023456896</v>
      </c>
      <c r="O23" s="9">
        <v>0.19999647569610374</v>
      </c>
      <c r="P23" s="9">
        <v>1.6143800595768714</v>
      </c>
      <c r="Q23" s="9">
        <v>1.3483746521041418</v>
      </c>
      <c r="R23" s="10">
        <v>5.122229061175239E-4</v>
      </c>
      <c r="S23" s="8">
        <f t="shared" si="6"/>
        <v>0.23906964976543099</v>
      </c>
      <c r="T23" s="8">
        <f t="shared" si="3"/>
        <v>3.9996475696103734E-2</v>
      </c>
      <c r="U23" s="8">
        <f t="shared" si="4"/>
        <v>4.338005957687141E-2</v>
      </c>
      <c r="V23" s="8">
        <f t="shared" si="5"/>
        <v>0.22262534789585819</v>
      </c>
    </row>
    <row r="24" spans="1:22" x14ac:dyDescent="0.35">
      <c r="A24" s="9">
        <v>0.7</v>
      </c>
      <c r="B24" s="9">
        <v>0.2</v>
      </c>
      <c r="C24" s="9">
        <v>1.571</v>
      </c>
      <c r="D24" s="9">
        <v>1.571</v>
      </c>
      <c r="E24" s="9">
        <v>0</v>
      </c>
      <c r="F24" s="9">
        <v>0</v>
      </c>
      <c r="G24" s="9">
        <v>0</v>
      </c>
      <c r="N24" s="9">
        <v>0.6565190720484686</v>
      </c>
      <c r="O24" s="9">
        <v>0.19999798219363227</v>
      </c>
      <c r="P24" s="9">
        <v>1.6598015034067208</v>
      </c>
      <c r="Q24" s="9">
        <v>2.2565183436483216</v>
      </c>
      <c r="R24" s="10">
        <v>4.3749251188956997E-3</v>
      </c>
      <c r="S24" s="8">
        <f t="shared" si="6"/>
        <v>4.3480927951531356E-2</v>
      </c>
      <c r="T24" s="8">
        <f t="shared" si="3"/>
        <v>2.0178063677434022E-6</v>
      </c>
      <c r="U24" s="8">
        <f t="shared" si="4"/>
        <v>8.8801503406720883E-2</v>
      </c>
      <c r="V24" s="8">
        <f t="shared" si="5"/>
        <v>0.68551834364832165</v>
      </c>
    </row>
    <row r="25" spans="1:22" x14ac:dyDescent="0.35">
      <c r="A25" s="9">
        <v>0.7</v>
      </c>
      <c r="B25" s="9">
        <v>0.06</v>
      </c>
      <c r="C25" s="9">
        <v>3.665</v>
      </c>
      <c r="D25" s="9">
        <v>0.78500000000000003</v>
      </c>
      <c r="E25" s="9">
        <v>0</v>
      </c>
      <c r="F25" s="9">
        <v>0</v>
      </c>
      <c r="G25" s="9">
        <v>0</v>
      </c>
      <c r="N25" s="9">
        <v>0.66181285879099427</v>
      </c>
      <c r="O25" s="9">
        <v>9.2598179573543785E-2</v>
      </c>
      <c r="P25" s="9">
        <v>3.7779420747396344</v>
      </c>
      <c r="Q25" s="9">
        <v>0.79567669398972651</v>
      </c>
      <c r="R25" s="10">
        <v>1.8288722966156037E-4</v>
      </c>
      <c r="S25" s="8">
        <f t="shared" si="6"/>
        <v>3.8187141209005682E-2</v>
      </c>
      <c r="T25" s="8">
        <f t="shared" si="3"/>
        <v>3.2598179573543787E-2</v>
      </c>
      <c r="U25" s="8">
        <f t="shared" si="4"/>
        <v>0.11294207473963436</v>
      </c>
      <c r="V25" s="8">
        <f t="shared" si="5"/>
        <v>1.0676693989726482E-2</v>
      </c>
    </row>
    <row r="26" spans="1:22" x14ac:dyDescent="0.35">
      <c r="A26" s="9">
        <v>0.6</v>
      </c>
      <c r="B26" s="9">
        <v>0.1</v>
      </c>
      <c r="C26" s="9">
        <v>3.665</v>
      </c>
      <c r="D26" s="9">
        <v>0.78500000000000003</v>
      </c>
      <c r="E26" s="9">
        <v>0</v>
      </c>
      <c r="F26" s="9">
        <v>0</v>
      </c>
      <c r="G26" s="9">
        <v>0</v>
      </c>
      <c r="N26" s="9">
        <v>0.65440247444183797</v>
      </c>
      <c r="O26" s="9">
        <v>0.10758936741816731</v>
      </c>
      <c r="P26" s="9">
        <v>3.5447642068473084</v>
      </c>
      <c r="Q26" s="9">
        <v>0.64439739301027332</v>
      </c>
      <c r="R26" s="10">
        <v>1.9881183746156138E-4</v>
      </c>
      <c r="S26" s="8">
        <f t="shared" si="6"/>
        <v>5.4402474441837989E-2</v>
      </c>
      <c r="T26" s="8">
        <f t="shared" si="3"/>
        <v>7.589367418167306E-3</v>
      </c>
      <c r="U26" s="8">
        <f t="shared" si="4"/>
        <v>0.12023579315269162</v>
      </c>
      <c r="V26" s="8">
        <f t="shared" si="5"/>
        <v>0.14060260698972671</v>
      </c>
    </row>
    <row r="27" spans="1:22" x14ac:dyDescent="0.35">
      <c r="A27" s="9">
        <v>0.8</v>
      </c>
      <c r="B27" s="9">
        <v>0.18</v>
      </c>
      <c r="C27" s="9">
        <v>3.665</v>
      </c>
      <c r="D27" s="9">
        <v>0.78500000000000003</v>
      </c>
      <c r="E27" s="9">
        <v>1.4</v>
      </c>
      <c r="F27" s="9">
        <v>0</v>
      </c>
      <c r="G27" s="9">
        <v>0</v>
      </c>
      <c r="N27" s="9">
        <v>0.84437806278826288</v>
      </c>
      <c r="O27" s="9">
        <v>0.13699665934602853</v>
      </c>
      <c r="P27" s="9">
        <v>3.6404423523225433</v>
      </c>
      <c r="Q27" s="9">
        <v>0.84310759716496864</v>
      </c>
      <c r="R27" s="10">
        <v>1.6404349942138419E-4</v>
      </c>
      <c r="S27" s="8">
        <f t="shared" si="6"/>
        <v>4.437806278826284E-2</v>
      </c>
      <c r="T27" s="8">
        <f t="shared" si="3"/>
        <v>4.3003340653971461E-2</v>
      </c>
      <c r="U27" s="8">
        <f t="shared" si="4"/>
        <v>2.4557647677456718E-2</v>
      </c>
      <c r="V27" s="8">
        <f t="shared" si="5"/>
        <v>5.8107597164968605E-2</v>
      </c>
    </row>
    <row r="28" spans="1:22" x14ac:dyDescent="0.35">
      <c r="A28" s="9">
        <v>0.4</v>
      </c>
      <c r="B28" s="9">
        <v>0.2</v>
      </c>
      <c r="C28" s="9">
        <v>3.665</v>
      </c>
      <c r="D28" s="9">
        <v>0.78500000000000003</v>
      </c>
      <c r="E28" s="9">
        <v>1.4</v>
      </c>
      <c r="F28" s="9">
        <v>0</v>
      </c>
      <c r="G28" s="9">
        <v>0</v>
      </c>
      <c r="N28" s="9">
        <v>0.41809296524051254</v>
      </c>
      <c r="O28" s="9">
        <v>0.19999597051165394</v>
      </c>
      <c r="P28" s="9">
        <v>3.4933289009554165</v>
      </c>
      <c r="Q28" s="9">
        <v>0.46083992668352325</v>
      </c>
      <c r="R28" s="10">
        <v>5.0939087957803787E-4</v>
      </c>
      <c r="S28" s="8">
        <f t="shared" si="6"/>
        <v>1.8092965240512515E-2</v>
      </c>
      <c r="T28" s="8">
        <f t="shared" si="3"/>
        <v>4.0294883460745279E-6</v>
      </c>
      <c r="U28" s="8">
        <f t="shared" si="4"/>
        <v>0.17167109904458355</v>
      </c>
      <c r="V28" s="8">
        <f t="shared" si="5"/>
        <v>0.32416007331647678</v>
      </c>
    </row>
    <row r="29" spans="1:22" x14ac:dyDescent="0.35">
      <c r="A29" s="9">
        <v>0.4</v>
      </c>
      <c r="B29" s="9">
        <v>0.1</v>
      </c>
      <c r="C29" s="9">
        <v>3.665</v>
      </c>
      <c r="D29" s="9">
        <v>1.571</v>
      </c>
      <c r="E29" s="9">
        <v>1.4</v>
      </c>
      <c r="F29" s="9">
        <v>0</v>
      </c>
      <c r="G29" s="9">
        <v>0</v>
      </c>
      <c r="N29" s="9">
        <v>0.34044180035121546</v>
      </c>
      <c r="O29" s="9">
        <v>0.11523272025670012</v>
      </c>
      <c r="P29" s="9">
        <v>3.5574010495777171</v>
      </c>
      <c r="Q29" s="9">
        <v>1.3988885315267214</v>
      </c>
      <c r="R29" s="10">
        <v>2.9027480611108117E-5</v>
      </c>
      <c r="S29" s="8">
        <f t="shared" si="6"/>
        <v>5.955819964878456E-2</v>
      </c>
      <c r="T29" s="8">
        <f t="shared" si="3"/>
        <v>1.5232720256700111E-2</v>
      </c>
      <c r="U29" s="8">
        <f t="shared" si="4"/>
        <v>0.10759895042228296</v>
      </c>
      <c r="V29" s="8">
        <f t="shared" si="5"/>
        <v>0.17211146847327852</v>
      </c>
    </row>
    <row r="30" spans="1:22" x14ac:dyDescent="0.35">
      <c r="A30" s="9">
        <v>0.7</v>
      </c>
      <c r="B30" s="9">
        <v>0.1</v>
      </c>
      <c r="C30" s="9">
        <v>3.665</v>
      </c>
      <c r="D30" s="9">
        <v>1.571</v>
      </c>
      <c r="E30" s="9">
        <v>1.4</v>
      </c>
      <c r="F30" s="9">
        <v>0</v>
      </c>
      <c r="G30" s="9">
        <v>0</v>
      </c>
      <c r="N30" s="9">
        <v>0.73547973293153313</v>
      </c>
      <c r="O30" s="9">
        <v>0.11231799582524883</v>
      </c>
      <c r="P30" s="9">
        <v>3.7891623568286534</v>
      </c>
      <c r="Q30" s="9">
        <v>1.7910599799789026</v>
      </c>
      <c r="R30" s="10">
        <v>2.2686214045468205E-4</v>
      </c>
      <c r="S30" s="8">
        <f t="shared" si="6"/>
        <v>3.547973293153317E-2</v>
      </c>
      <c r="T30" s="8">
        <f t="shared" si="3"/>
        <v>1.2317995825248826E-2</v>
      </c>
      <c r="U30" s="8">
        <f t="shared" si="4"/>
        <v>0.1241623568286534</v>
      </c>
      <c r="V30" s="8">
        <f t="shared" si="5"/>
        <v>0.2200599799789027</v>
      </c>
    </row>
    <row r="31" spans="1:22" x14ac:dyDescent="0.35">
      <c r="A31" s="9">
        <v>0.4</v>
      </c>
      <c r="B31" s="9">
        <v>0.16</v>
      </c>
      <c r="C31" s="9">
        <v>3.665</v>
      </c>
      <c r="D31" s="9">
        <v>1.571</v>
      </c>
      <c r="E31" s="9">
        <v>0</v>
      </c>
      <c r="F31" s="9">
        <v>0</v>
      </c>
      <c r="G31" s="9">
        <v>0</v>
      </c>
      <c r="N31" s="9">
        <v>0.30644746053272992</v>
      </c>
      <c r="O31" s="9">
        <v>0.1632199933775571</v>
      </c>
      <c r="P31" s="9">
        <v>3.755786084398737</v>
      </c>
      <c r="Q31" s="9">
        <v>1.424757601809024</v>
      </c>
      <c r="R31" s="10">
        <v>2.4424024412330388E-4</v>
      </c>
      <c r="S31" s="8">
        <f t="shared" si="6"/>
        <v>9.3552539467270102E-2</v>
      </c>
      <c r="T31" s="8">
        <f t="shared" si="3"/>
        <v>3.219993377557101E-3</v>
      </c>
      <c r="U31" s="8">
        <f t="shared" si="4"/>
        <v>9.0786084398736921E-2</v>
      </c>
      <c r="V31" s="8">
        <f t="shared" si="5"/>
        <v>0.14624239819097595</v>
      </c>
    </row>
    <row r="32" spans="1:22" x14ac:dyDescent="0.35">
      <c r="A32" s="9">
        <v>0.3</v>
      </c>
      <c r="B32" s="9">
        <v>0.18</v>
      </c>
      <c r="C32" s="9">
        <v>3.665</v>
      </c>
      <c r="D32" s="9">
        <v>1.571</v>
      </c>
      <c r="E32" s="9">
        <v>0</v>
      </c>
      <c r="F32" s="9">
        <v>0</v>
      </c>
      <c r="G32" s="9">
        <v>0</v>
      </c>
      <c r="N32" s="9">
        <v>0.39350001403616464</v>
      </c>
      <c r="O32" s="9">
        <v>0.10155062598322226</v>
      </c>
      <c r="P32" s="9">
        <v>3.3033187271024915</v>
      </c>
      <c r="Q32" s="9">
        <v>1.9783473877371451</v>
      </c>
      <c r="R32" s="10">
        <v>5.0509527815016599E-4</v>
      </c>
      <c r="S32" s="8">
        <f t="shared" si="6"/>
        <v>9.3500014036164647E-2</v>
      </c>
      <c r="T32" s="8">
        <f t="shared" si="3"/>
        <v>7.8449374016777734E-2</v>
      </c>
      <c r="U32" s="8">
        <f t="shared" si="4"/>
        <v>0.36168127289750851</v>
      </c>
      <c r="V32" s="8">
        <f t="shared" si="5"/>
        <v>0.40734738773714518</v>
      </c>
    </row>
    <row r="33" spans="1:22" x14ac:dyDescent="0.35">
      <c r="A33" s="9">
        <v>0.3</v>
      </c>
      <c r="B33" s="9">
        <v>0.08</v>
      </c>
      <c r="C33" s="9">
        <v>1.571</v>
      </c>
      <c r="D33" s="9">
        <v>0.78500000000000003</v>
      </c>
      <c r="E33" s="9">
        <v>1.4</v>
      </c>
      <c r="F33" s="9">
        <v>0</v>
      </c>
      <c r="G33" s="9">
        <v>0</v>
      </c>
      <c r="N33" s="9">
        <v>0.27277128455778193</v>
      </c>
      <c r="O33" s="9">
        <v>6.4941447853670731E-2</v>
      </c>
      <c r="P33" s="9">
        <v>1.4539874917426601</v>
      </c>
      <c r="Q33" s="9">
        <v>0.80474986981969643</v>
      </c>
      <c r="R33" s="10">
        <v>1.8283784635810827E-5</v>
      </c>
      <c r="S33" s="8">
        <f t="shared" si="6"/>
        <v>2.7228715442218054E-2</v>
      </c>
      <c r="T33" s="8">
        <f t="shared" si="3"/>
        <v>1.5058552146329271E-2</v>
      </c>
      <c r="U33" s="8">
        <f t="shared" si="4"/>
        <v>0.11701250825733989</v>
      </c>
      <c r="V33" s="8">
        <f t="shared" si="5"/>
        <v>1.9749869819696397E-2</v>
      </c>
    </row>
    <row r="34" spans="1:22" x14ac:dyDescent="0.35">
      <c r="A34" s="9">
        <v>0.4</v>
      </c>
      <c r="B34" s="9">
        <v>0.14000000000000001</v>
      </c>
      <c r="C34" s="9">
        <v>1.571</v>
      </c>
      <c r="D34" s="9">
        <v>0.78500000000000003</v>
      </c>
      <c r="E34" s="9">
        <v>0</v>
      </c>
      <c r="F34" s="9">
        <v>0</v>
      </c>
      <c r="G34" s="9">
        <v>0</v>
      </c>
      <c r="N34" s="9">
        <v>0.55667959211141183</v>
      </c>
      <c r="O34" s="9">
        <v>0.1996599783757356</v>
      </c>
      <c r="P34" s="9">
        <v>1.7643075392764511</v>
      </c>
      <c r="Q34" s="9">
        <v>0.16325246149142986</v>
      </c>
      <c r="R34" s="10">
        <v>8.1767338436899658E-4</v>
      </c>
      <c r="S34" s="8">
        <f t="shared" si="6"/>
        <v>0.1566795921114118</v>
      </c>
      <c r="T34" s="8">
        <f t="shared" si="3"/>
        <v>5.9659978375735584E-2</v>
      </c>
      <c r="U34" s="8">
        <f t="shared" si="4"/>
        <v>0.19330753927645117</v>
      </c>
      <c r="V34" s="8">
        <f t="shared" si="5"/>
        <v>0.62174753850857023</v>
      </c>
    </row>
    <row r="35" spans="1:22" x14ac:dyDescent="0.35">
      <c r="A35" s="9">
        <v>0.6</v>
      </c>
      <c r="B35" s="9">
        <v>0.16</v>
      </c>
      <c r="C35" s="9">
        <v>1.571</v>
      </c>
      <c r="D35" s="9">
        <v>0.78500000000000003</v>
      </c>
      <c r="E35" s="9">
        <v>1.4</v>
      </c>
      <c r="F35" s="9">
        <v>0</v>
      </c>
      <c r="G35" s="9">
        <v>0</v>
      </c>
      <c r="N35" s="9">
        <v>0.61091801387007061</v>
      </c>
      <c r="O35" s="9">
        <v>0.1280661769162148</v>
      </c>
      <c r="P35" s="9">
        <v>1.8067067387601037</v>
      </c>
      <c r="Q35" s="9">
        <v>1.4302983676560537</v>
      </c>
      <c r="R35" s="10">
        <v>4.6260545746593448E-4</v>
      </c>
      <c r="S35" s="8">
        <f t="shared" si="6"/>
        <v>1.0918013870070631E-2</v>
      </c>
      <c r="T35" s="8">
        <f t="shared" si="3"/>
        <v>3.1933823083785201E-2</v>
      </c>
      <c r="U35" s="8">
        <f t="shared" si="4"/>
        <v>0.23570673876010373</v>
      </c>
      <c r="V35" s="8">
        <f t="shared" si="5"/>
        <v>0.64529836765605364</v>
      </c>
    </row>
    <row r="36" spans="1:22" x14ac:dyDescent="0.35">
      <c r="A36" s="9">
        <v>0.4</v>
      </c>
      <c r="B36" s="9">
        <v>0.06</v>
      </c>
      <c r="C36" s="9">
        <v>1.571</v>
      </c>
      <c r="D36" s="9">
        <v>1.571</v>
      </c>
      <c r="E36" s="9">
        <v>1.4</v>
      </c>
      <c r="F36" s="9">
        <v>0</v>
      </c>
      <c r="G36" s="9">
        <v>0</v>
      </c>
      <c r="N36" s="9">
        <v>0.47023838354034497</v>
      </c>
      <c r="O36" s="9">
        <v>2.4327085255820509E-2</v>
      </c>
      <c r="P36" s="9">
        <v>1.5702591508286219</v>
      </c>
      <c r="Q36" s="9">
        <v>1.5869255591348803</v>
      </c>
      <c r="R36" s="10">
        <v>6.8579343293601732E-6</v>
      </c>
      <c r="S36" s="8">
        <f t="shared" si="6"/>
        <v>7.0238383540344951E-2</v>
      </c>
      <c r="T36" s="8">
        <f t="shared" si="3"/>
        <v>3.5672914744179489E-2</v>
      </c>
      <c r="U36" s="8">
        <f t="shared" si="4"/>
        <v>7.4084917137806627E-4</v>
      </c>
      <c r="V36" s="8">
        <f t="shared" si="5"/>
        <v>1.5925559134880363E-2</v>
      </c>
    </row>
    <row r="37" spans="1:22" x14ac:dyDescent="0.35">
      <c r="A37" s="9">
        <v>0.8</v>
      </c>
      <c r="B37" s="9">
        <v>0.08</v>
      </c>
      <c r="C37" s="9">
        <v>1.571</v>
      </c>
      <c r="D37" s="9">
        <v>1.571</v>
      </c>
      <c r="E37" s="9">
        <v>0</v>
      </c>
      <c r="F37" s="9">
        <v>0</v>
      </c>
      <c r="G37" s="9">
        <v>0</v>
      </c>
      <c r="N37" s="9">
        <v>0.70768039632415769</v>
      </c>
      <c r="O37" s="9">
        <v>7.9046190333238495E-2</v>
      </c>
      <c r="P37" s="9">
        <v>1.6153161401699043</v>
      </c>
      <c r="Q37" s="9">
        <v>1.4546096523020402</v>
      </c>
      <c r="R37" s="10">
        <v>3.1651993249264133E-5</v>
      </c>
      <c r="S37" s="8">
        <f t="shared" si="6"/>
        <v>9.2319603675842354E-2</v>
      </c>
      <c r="T37" s="8">
        <f t="shared" si="3"/>
        <v>9.5380966676150702E-4</v>
      </c>
      <c r="U37" s="8">
        <f t="shared" si="4"/>
        <v>4.4316140169904372E-2</v>
      </c>
      <c r="V37" s="8">
        <f t="shared" si="5"/>
        <v>0.11639034769795975</v>
      </c>
    </row>
    <row r="38" spans="1:22" x14ac:dyDescent="0.35">
      <c r="A38" s="9">
        <v>0.7</v>
      </c>
      <c r="B38" s="9">
        <v>0.16</v>
      </c>
      <c r="C38" s="9">
        <v>1.571</v>
      </c>
      <c r="D38" s="9">
        <v>1.571</v>
      </c>
      <c r="E38" s="9">
        <v>1.4</v>
      </c>
      <c r="F38" s="9">
        <v>0</v>
      </c>
      <c r="G38" s="9">
        <v>0</v>
      </c>
      <c r="N38" s="9">
        <v>0.6976384254142699</v>
      </c>
      <c r="O38" s="9">
        <v>0.17573939995638899</v>
      </c>
      <c r="P38" s="9">
        <v>1.4501222177052924</v>
      </c>
      <c r="Q38" s="9">
        <v>1.62957325837784</v>
      </c>
      <c r="R38" s="10">
        <v>8.0525555007169517E-4</v>
      </c>
      <c r="S38" s="8">
        <f t="shared" si="6"/>
        <v>2.361574585730053E-3</v>
      </c>
      <c r="T38" s="8">
        <f t="shared" si="3"/>
        <v>1.5739399956388983E-2</v>
      </c>
      <c r="U38" s="8">
        <f t="shared" si="4"/>
        <v>0.12087778229470758</v>
      </c>
      <c r="V38" s="8">
        <f t="shared" si="5"/>
        <v>5.8573258377839998E-2</v>
      </c>
    </row>
    <row r="39" spans="1:22" x14ac:dyDescent="0.35">
      <c r="A39" s="9">
        <v>0.7</v>
      </c>
      <c r="B39" s="9">
        <v>0.2</v>
      </c>
      <c r="C39" s="9">
        <v>1.571</v>
      </c>
      <c r="D39" s="9">
        <v>1.571</v>
      </c>
      <c r="E39" s="9">
        <v>0</v>
      </c>
      <c r="F39" s="9">
        <v>0</v>
      </c>
      <c r="G39" s="9">
        <v>0</v>
      </c>
      <c r="N39" s="9">
        <v>0.43473974760157663</v>
      </c>
      <c r="O39" s="9">
        <v>0.19999870995669602</v>
      </c>
      <c r="P39" s="9">
        <v>1.2424358680425782</v>
      </c>
      <c r="Q39" s="9">
        <v>2.3499680909817133</v>
      </c>
      <c r="R39" s="10">
        <v>4.5936809561430078E-3</v>
      </c>
      <c r="S39" s="8">
        <f t="shared" si="6"/>
        <v>0.26526025239842332</v>
      </c>
      <c r="T39" s="8">
        <f t="shared" si="3"/>
        <v>1.2900433039864101E-6</v>
      </c>
      <c r="U39" s="8">
        <f t="shared" si="4"/>
        <v>0.32856413195742173</v>
      </c>
      <c r="V39" s="8">
        <f t="shared" si="5"/>
        <v>0.77896809098171338</v>
      </c>
    </row>
    <row r="40" spans="1:22" x14ac:dyDescent="0.35">
      <c r="A40" s="9">
        <v>0.7</v>
      </c>
      <c r="B40" s="9">
        <v>0.06</v>
      </c>
      <c r="C40" s="9">
        <v>3.665</v>
      </c>
      <c r="D40" s="9">
        <v>0.78500000000000003</v>
      </c>
      <c r="E40" s="9">
        <v>0</v>
      </c>
      <c r="F40" s="9">
        <v>0</v>
      </c>
      <c r="G40" s="9">
        <v>0</v>
      </c>
      <c r="N40" s="9">
        <v>0.79664980168870758</v>
      </c>
      <c r="O40" s="9">
        <v>5.0687296161461337E-2</v>
      </c>
      <c r="P40" s="9">
        <v>3.5157572251923175</v>
      </c>
      <c r="Q40" s="9">
        <v>0.88914120814525677</v>
      </c>
      <c r="R40" s="10">
        <v>1.4811065863950778E-4</v>
      </c>
      <c r="S40" s="8">
        <f t="shared" si="6"/>
        <v>9.6649801688707626E-2</v>
      </c>
      <c r="T40" s="8">
        <f t="shared" si="3"/>
        <v>9.3127038385386607E-3</v>
      </c>
      <c r="U40" s="8">
        <f t="shared" si="4"/>
        <v>0.14924277480768255</v>
      </c>
      <c r="V40" s="8">
        <f t="shared" si="5"/>
        <v>0.10414120814525674</v>
      </c>
    </row>
    <row r="41" spans="1:22" x14ac:dyDescent="0.35">
      <c r="A41" s="9">
        <v>0.6</v>
      </c>
      <c r="B41" s="9">
        <v>0.1</v>
      </c>
      <c r="C41" s="9">
        <v>3.665</v>
      </c>
      <c r="D41" s="9">
        <v>0.78500000000000003</v>
      </c>
      <c r="E41" s="9">
        <v>0</v>
      </c>
      <c r="F41" s="9">
        <v>0</v>
      </c>
      <c r="G41" s="9">
        <v>0</v>
      </c>
      <c r="N41" s="9">
        <v>0.47108391161874397</v>
      </c>
      <c r="O41" s="9">
        <v>0.14766380104080551</v>
      </c>
      <c r="P41" s="9">
        <v>3.7191298692817911</v>
      </c>
      <c r="Q41" s="9">
        <v>0.77463374127031459</v>
      </c>
      <c r="R41" s="10">
        <v>8.9860354459692429E-5</v>
      </c>
      <c r="S41" s="8">
        <f t="shared" si="6"/>
        <v>0.12891608838125601</v>
      </c>
      <c r="T41" s="8">
        <f t="shared" si="3"/>
        <v>4.7663801040805504E-2</v>
      </c>
      <c r="U41" s="8">
        <f t="shared" si="4"/>
        <v>5.4129869281791088E-2</v>
      </c>
      <c r="V41" s="8">
        <f t="shared" si="5"/>
        <v>1.036625872968544E-2</v>
      </c>
    </row>
    <row r="42" spans="1:22" x14ac:dyDescent="0.35">
      <c r="A42" s="9">
        <v>0.8</v>
      </c>
      <c r="B42" s="9">
        <v>0.18</v>
      </c>
      <c r="C42" s="9">
        <v>3.665</v>
      </c>
      <c r="D42" s="9">
        <v>0.78500000000000003</v>
      </c>
      <c r="E42" s="9">
        <v>1.4</v>
      </c>
      <c r="F42" s="9">
        <v>0</v>
      </c>
      <c r="G42" s="9">
        <v>0</v>
      </c>
      <c r="N42" s="9">
        <v>0.86976081910043357</v>
      </c>
      <c r="O42" s="9">
        <v>0.13717571654502816</v>
      </c>
      <c r="P42" s="9">
        <v>3.7366662653843545</v>
      </c>
      <c r="Q42" s="9">
        <v>0.74145410833931835</v>
      </c>
      <c r="R42" s="10">
        <v>1.201685432617211E-4</v>
      </c>
      <c r="S42" s="8">
        <f t="shared" si="6"/>
        <v>6.9760819100433524E-2</v>
      </c>
      <c r="T42" s="8">
        <f t="shared" si="3"/>
        <v>4.2824283454971829E-2</v>
      </c>
      <c r="U42" s="8">
        <f t="shared" si="4"/>
        <v>7.1666265384354499E-2</v>
      </c>
      <c r="V42" s="8">
        <f t="shared" si="5"/>
        <v>4.3545891660681679E-2</v>
      </c>
    </row>
    <row r="43" spans="1:22" x14ac:dyDescent="0.35">
      <c r="A43" s="9">
        <v>0.4</v>
      </c>
      <c r="B43" s="9">
        <v>0.2</v>
      </c>
      <c r="C43" s="9">
        <v>3.665</v>
      </c>
      <c r="D43" s="9">
        <v>0.78500000000000003</v>
      </c>
      <c r="E43" s="9">
        <v>1.4</v>
      </c>
      <c r="F43" s="9">
        <v>0</v>
      </c>
      <c r="G43" s="9">
        <v>0</v>
      </c>
      <c r="N43" s="9">
        <v>0.37241226637611635</v>
      </c>
      <c r="O43" s="9">
        <v>0.15388910528116215</v>
      </c>
      <c r="P43" s="9">
        <v>3.7919729707498817</v>
      </c>
      <c r="Q43" s="9">
        <v>0.98140134018718372</v>
      </c>
      <c r="R43" s="10">
        <v>2.5097885024996923E-4</v>
      </c>
      <c r="S43" s="8">
        <f t="shared" si="6"/>
        <v>2.758773362388367E-2</v>
      </c>
      <c r="T43" s="8">
        <f t="shared" si="3"/>
        <v>4.6110894718837864E-2</v>
      </c>
      <c r="U43" s="8">
        <f t="shared" si="4"/>
        <v>0.12697297074988168</v>
      </c>
      <c r="V43" s="8">
        <f t="shared" si="5"/>
        <v>0.19640134018718369</v>
      </c>
    </row>
    <row r="44" spans="1:22" x14ac:dyDescent="0.35">
      <c r="A44" s="9">
        <v>0.4</v>
      </c>
      <c r="B44" s="9">
        <v>0.1</v>
      </c>
      <c r="C44" s="9">
        <v>3.665</v>
      </c>
      <c r="D44" s="9">
        <v>1.571</v>
      </c>
      <c r="E44" s="9">
        <v>1.4</v>
      </c>
      <c r="F44" s="9">
        <v>0</v>
      </c>
      <c r="G44" s="9">
        <v>0</v>
      </c>
      <c r="N44" s="9">
        <v>0.31622540891057616</v>
      </c>
      <c r="O44" s="9">
        <v>0.17119983199384139</v>
      </c>
      <c r="P44" s="9">
        <v>3.6906287882822815</v>
      </c>
      <c r="Q44" s="9">
        <v>0.857413625247887</v>
      </c>
      <c r="R44" s="10">
        <v>5.2414334170479166E-6</v>
      </c>
      <c r="S44" s="8">
        <f t="shared" si="6"/>
        <v>8.3774591089423867E-2</v>
      </c>
      <c r="T44" s="8">
        <f t="shared" si="3"/>
        <v>7.1199831993841389E-2</v>
      </c>
      <c r="U44" s="8">
        <f t="shared" si="4"/>
        <v>2.5628788282281434E-2</v>
      </c>
      <c r="V44" s="8">
        <f t="shared" si="5"/>
        <v>0.71358637475211295</v>
      </c>
    </row>
    <row r="45" spans="1:22" x14ac:dyDescent="0.35">
      <c r="A45" s="9">
        <v>0.7</v>
      </c>
      <c r="B45" s="9">
        <v>0.1</v>
      </c>
      <c r="C45" s="9">
        <v>3.665</v>
      </c>
      <c r="D45" s="9">
        <v>1.571</v>
      </c>
      <c r="E45" s="9">
        <v>1.4</v>
      </c>
      <c r="F45" s="9">
        <v>0</v>
      </c>
      <c r="G45" s="9">
        <v>0</v>
      </c>
      <c r="N45" s="9">
        <v>0.7155242338463691</v>
      </c>
      <c r="O45" s="9">
        <v>0.10300527195915132</v>
      </c>
      <c r="P45" s="9">
        <v>3.5058996498359956</v>
      </c>
      <c r="Q45" s="9">
        <v>1.5031876074087207</v>
      </c>
      <c r="R45" s="10">
        <v>5.7140817622094553E-4</v>
      </c>
      <c r="S45" s="8">
        <f t="shared" si="6"/>
        <v>1.552423384636914E-2</v>
      </c>
      <c r="T45" s="8">
        <f t="shared" si="3"/>
        <v>3.0052719591513177E-3</v>
      </c>
      <c r="U45" s="8">
        <f t="shared" si="4"/>
        <v>0.15910035016400448</v>
      </c>
      <c r="V45" s="8">
        <f t="shared" si="5"/>
        <v>6.7812392591279247E-2</v>
      </c>
    </row>
    <row r="46" spans="1:22" x14ac:dyDescent="0.35">
      <c r="A46" s="9">
        <v>0.4</v>
      </c>
      <c r="B46" s="9">
        <v>0.16</v>
      </c>
      <c r="C46" s="9">
        <v>3.665</v>
      </c>
      <c r="D46" s="9">
        <v>1.571</v>
      </c>
      <c r="E46" s="9">
        <v>0</v>
      </c>
      <c r="F46" s="9">
        <v>0</v>
      </c>
      <c r="G46" s="9">
        <v>0</v>
      </c>
      <c r="N46" s="9">
        <v>0.43154651845106717</v>
      </c>
      <c r="O46" s="9">
        <v>0.15408664558543048</v>
      </c>
      <c r="P46" s="9">
        <v>3.746049112513044</v>
      </c>
      <c r="Q46" s="9">
        <v>2.0181949177348839</v>
      </c>
      <c r="R46" s="10">
        <v>4.7218805099700938E-5</v>
      </c>
      <c r="S46" s="8">
        <f t="shared" si="6"/>
        <v>3.1546518451067151E-2</v>
      </c>
      <c r="T46" s="8">
        <f t="shared" si="3"/>
        <v>5.9133544145695272E-3</v>
      </c>
      <c r="U46" s="8">
        <f t="shared" si="4"/>
        <v>8.1049112513043919E-2</v>
      </c>
      <c r="V46" s="8">
        <f t="shared" si="5"/>
        <v>0.44719491773488396</v>
      </c>
    </row>
    <row r="47" spans="1:22" x14ac:dyDescent="0.35">
      <c r="A47" s="9">
        <v>0.3</v>
      </c>
      <c r="B47" s="9">
        <v>0.18</v>
      </c>
      <c r="C47" s="9">
        <v>3.665</v>
      </c>
      <c r="D47" s="9">
        <v>1.571</v>
      </c>
      <c r="E47" s="9">
        <v>0</v>
      </c>
      <c r="F47" s="9">
        <v>0</v>
      </c>
      <c r="G47" s="9">
        <v>0</v>
      </c>
      <c r="N47" s="9">
        <v>0.32272577141550135</v>
      </c>
      <c r="O47" s="9">
        <v>4.4867889751895929E-2</v>
      </c>
      <c r="P47" s="9">
        <v>4.5502952866339879</v>
      </c>
      <c r="Q47" s="9">
        <v>1.8654061545679415</v>
      </c>
      <c r="R47" s="10">
        <v>1.9969393009894028E-3</v>
      </c>
      <c r="S47" s="8">
        <f t="shared" si="6"/>
        <v>2.2725771415501361E-2</v>
      </c>
      <c r="T47" s="8">
        <f t="shared" si="3"/>
        <v>0.13513211024810406</v>
      </c>
      <c r="U47" s="8">
        <f t="shared" si="4"/>
        <v>0.88529528663398782</v>
      </c>
      <c r="V47" s="8">
        <f t="shared" si="5"/>
        <v>0.2944061545679415</v>
      </c>
    </row>
    <row r="48" spans="1:22" x14ac:dyDescent="0.35">
      <c r="A48" s="9">
        <v>0.3</v>
      </c>
      <c r="B48" s="9">
        <v>0.08</v>
      </c>
      <c r="C48" s="9">
        <v>1.571</v>
      </c>
      <c r="D48" s="9">
        <v>0.78500000000000003</v>
      </c>
      <c r="E48" s="9">
        <v>1.4</v>
      </c>
      <c r="F48" s="9">
        <v>0</v>
      </c>
      <c r="G48" s="9">
        <v>0</v>
      </c>
      <c r="N48" s="9">
        <v>0.26126966564091808</v>
      </c>
      <c r="O48" s="9">
        <v>0.10056892134170509</v>
      </c>
      <c r="P48" s="9">
        <v>1.5637659437360636</v>
      </c>
      <c r="Q48" s="9">
        <v>2.0824345894892762</v>
      </c>
      <c r="R48" s="10">
        <v>1.9444408681409509E-6</v>
      </c>
      <c r="S48" s="8">
        <f t="shared" si="6"/>
        <v>3.8730334359081908E-2</v>
      </c>
      <c r="T48" s="8">
        <f t="shared" si="3"/>
        <v>2.0568921341705085E-2</v>
      </c>
      <c r="U48" s="8">
        <f t="shared" si="4"/>
        <v>7.2340562639363615E-3</v>
      </c>
      <c r="V48" s="8">
        <f t="shared" si="5"/>
        <v>1.297434589489276</v>
      </c>
    </row>
    <row r="49" spans="1:22" x14ac:dyDescent="0.35">
      <c r="A49" s="9">
        <v>0.4</v>
      </c>
      <c r="B49" s="9">
        <v>0.14000000000000001</v>
      </c>
      <c r="C49" s="9">
        <v>1.571</v>
      </c>
      <c r="D49" s="9">
        <v>0.78500000000000003</v>
      </c>
      <c r="E49" s="9">
        <v>0</v>
      </c>
      <c r="F49" s="9">
        <v>0</v>
      </c>
      <c r="G49" s="9">
        <v>0</v>
      </c>
      <c r="N49" s="9">
        <v>0.36972441061159694</v>
      </c>
      <c r="O49" s="9">
        <v>0.1065071561358978</v>
      </c>
      <c r="P49" s="9">
        <v>1.4641252432208616</v>
      </c>
      <c r="Q49" s="9">
        <v>1.0694691987974765</v>
      </c>
      <c r="R49" s="10">
        <v>3.4227697572599351E-5</v>
      </c>
      <c r="S49" s="8">
        <f t="shared" si="6"/>
        <v>3.0275589388403079E-2</v>
      </c>
      <c r="T49" s="8">
        <f t="shared" si="3"/>
        <v>3.3492843864102215E-2</v>
      </c>
      <c r="U49" s="8">
        <f t="shared" si="4"/>
        <v>0.10687475677913838</v>
      </c>
      <c r="V49" s="8">
        <f t="shared" si="5"/>
        <v>0.28446919879747645</v>
      </c>
    </row>
    <row r="50" spans="1:22" x14ac:dyDescent="0.35">
      <c r="A50" s="9">
        <v>0.6</v>
      </c>
      <c r="B50" s="9">
        <v>0.16</v>
      </c>
      <c r="C50" s="9">
        <v>1.571</v>
      </c>
      <c r="D50" s="9">
        <v>0.78500000000000003</v>
      </c>
      <c r="E50" s="9">
        <v>1.4</v>
      </c>
      <c r="F50" s="9">
        <v>0</v>
      </c>
      <c r="G50" s="9">
        <v>0</v>
      </c>
      <c r="N50" s="9">
        <v>0.53786022683909318</v>
      </c>
      <c r="O50" s="9">
        <v>0.18954308082428059</v>
      </c>
      <c r="P50" s="9">
        <v>1.9192374884766239</v>
      </c>
      <c r="Q50" s="9">
        <v>0.62355290598895075</v>
      </c>
      <c r="R50" s="10">
        <v>1.5502098163861397E-4</v>
      </c>
      <c r="S50" s="8">
        <f t="shared" si="6"/>
        <v>6.2139773160906797E-2</v>
      </c>
      <c r="T50" s="8">
        <f t="shared" si="3"/>
        <v>2.9543080824280588E-2</v>
      </c>
      <c r="U50" s="8">
        <f t="shared" si="4"/>
        <v>0.34823748847662395</v>
      </c>
      <c r="V50" s="8">
        <f t="shared" si="5"/>
        <v>0.16144709401104929</v>
      </c>
    </row>
    <row r="51" spans="1:22" x14ac:dyDescent="0.35">
      <c r="A51" s="9">
        <v>0.4</v>
      </c>
      <c r="B51" s="9">
        <v>0.06</v>
      </c>
      <c r="C51" s="9">
        <v>1.571</v>
      </c>
      <c r="D51" s="9">
        <v>1.571</v>
      </c>
      <c r="E51" s="9">
        <v>1.4</v>
      </c>
      <c r="F51" s="9">
        <v>0</v>
      </c>
      <c r="G51" s="9">
        <v>0</v>
      </c>
      <c r="N51" s="9">
        <v>0.3399780525111426</v>
      </c>
      <c r="O51" s="9">
        <v>8.1928995878347038E-2</v>
      </c>
      <c r="P51" s="9">
        <v>1.6143313920084306</v>
      </c>
      <c r="Q51" s="9">
        <v>1.9269060577487787</v>
      </c>
      <c r="R51" s="10">
        <v>4.8419212220663397E-5</v>
      </c>
      <c r="S51" s="8">
        <f t="shared" si="6"/>
        <v>6.0021947488857419E-2</v>
      </c>
      <c r="T51" s="8">
        <f t="shared" si="3"/>
        <v>2.1928995878347041E-2</v>
      </c>
      <c r="U51" s="8">
        <f t="shared" si="4"/>
        <v>4.3331392008430614E-2</v>
      </c>
      <c r="V51" s="8">
        <f t="shared" si="5"/>
        <v>0.3559060577487787</v>
      </c>
    </row>
    <row r="52" spans="1:22" x14ac:dyDescent="0.35">
      <c r="A52" s="9">
        <v>0.8</v>
      </c>
      <c r="B52" s="9">
        <v>0.08</v>
      </c>
      <c r="C52" s="9">
        <v>1.571</v>
      </c>
      <c r="D52" s="9">
        <v>1.571</v>
      </c>
      <c r="E52" s="9">
        <v>0</v>
      </c>
      <c r="F52" s="9">
        <v>0</v>
      </c>
      <c r="G52" s="9">
        <v>0</v>
      </c>
      <c r="N52" s="9">
        <v>0.71168924461493643</v>
      </c>
      <c r="O52" s="9">
        <v>7.9775167014335416E-2</v>
      </c>
      <c r="P52" s="9">
        <v>1.4581709331874153</v>
      </c>
      <c r="Q52" s="9">
        <v>1.5107953776358993</v>
      </c>
      <c r="R52" s="10">
        <v>2.8783220973802812E-4</v>
      </c>
      <c r="S52" s="8">
        <f t="shared" si="6"/>
        <v>8.8310755385063611E-2</v>
      </c>
      <c r="T52" s="8">
        <f t="shared" si="3"/>
        <v>2.2483298566458587E-4</v>
      </c>
      <c r="U52" s="8">
        <f t="shared" si="4"/>
        <v>0.11282906681258464</v>
      </c>
      <c r="V52" s="8">
        <f t="shared" si="5"/>
        <v>6.0204622364100624E-2</v>
      </c>
    </row>
    <row r="53" spans="1:22" x14ac:dyDescent="0.35">
      <c r="A53" s="9">
        <v>0.7</v>
      </c>
      <c r="B53" s="9">
        <v>0.16</v>
      </c>
      <c r="C53" s="9">
        <v>1.571</v>
      </c>
      <c r="D53" s="9">
        <v>1.571</v>
      </c>
      <c r="E53" s="9">
        <v>1.4</v>
      </c>
      <c r="F53" s="9">
        <v>0</v>
      </c>
      <c r="G53" s="9">
        <v>0</v>
      </c>
      <c r="N53" s="9">
        <v>0.53872617448222004</v>
      </c>
      <c r="O53" s="9">
        <v>0.17900195830739468</v>
      </c>
      <c r="P53" s="9">
        <v>1.8163374765687459</v>
      </c>
      <c r="Q53" s="9">
        <v>1.3089835929854023</v>
      </c>
      <c r="R53" s="10">
        <v>9.4283262440175675E-4</v>
      </c>
      <c r="S53" s="8">
        <f t="shared" si="6"/>
        <v>0.16127382551777991</v>
      </c>
      <c r="T53" s="8">
        <f t="shared" si="3"/>
        <v>1.9001958307394679E-2</v>
      </c>
      <c r="U53" s="8">
        <f t="shared" si="4"/>
        <v>0.24533747656874594</v>
      </c>
      <c r="V53" s="8">
        <f t="shared" si="5"/>
        <v>0.26201640701459761</v>
      </c>
    </row>
    <row r="54" spans="1:22" x14ac:dyDescent="0.35">
      <c r="A54" s="9">
        <v>0.7</v>
      </c>
      <c r="B54" s="9">
        <v>0.2</v>
      </c>
      <c r="C54" s="9">
        <v>1.571</v>
      </c>
      <c r="D54" s="9">
        <v>1.571</v>
      </c>
      <c r="E54" s="9">
        <v>0</v>
      </c>
      <c r="F54" s="9">
        <v>0</v>
      </c>
      <c r="G54" s="9">
        <v>0</v>
      </c>
      <c r="N54" s="9">
        <v>0.65328817825724739</v>
      </c>
      <c r="O54" s="9">
        <v>0.19997934441247994</v>
      </c>
      <c r="P54" s="9">
        <v>1.3560558513664462</v>
      </c>
      <c r="Q54" s="9">
        <v>1.9366742735333533</v>
      </c>
      <c r="R54" s="10">
        <v>1.1555188052983535E-3</v>
      </c>
      <c r="S54" s="8">
        <f t="shared" si="6"/>
        <v>4.6711821742752568E-2</v>
      </c>
      <c r="T54" s="8">
        <f t="shared" si="3"/>
        <v>2.0655587520068686E-5</v>
      </c>
      <c r="U54" s="8">
        <f t="shared" si="4"/>
        <v>0.21494414863355371</v>
      </c>
      <c r="V54" s="8">
        <f t="shared" si="5"/>
        <v>0.36567427353335336</v>
      </c>
    </row>
    <row r="55" spans="1:22" x14ac:dyDescent="0.35">
      <c r="A55" s="9">
        <v>0.7</v>
      </c>
      <c r="B55" s="9">
        <v>0.06</v>
      </c>
      <c r="C55" s="9">
        <v>3.665</v>
      </c>
      <c r="D55" s="9">
        <v>0.78500000000000003</v>
      </c>
      <c r="E55" s="9">
        <v>0</v>
      </c>
      <c r="F55" s="9">
        <v>0</v>
      </c>
      <c r="G55" s="9">
        <v>0</v>
      </c>
      <c r="N55" s="9">
        <v>0.89601360753481873</v>
      </c>
      <c r="O55" s="9">
        <v>5.8253338270468101E-2</v>
      </c>
      <c r="P55" s="9">
        <v>3.8021836484870057</v>
      </c>
      <c r="Q55" s="9">
        <v>0.70493690717727275</v>
      </c>
      <c r="R55" s="10">
        <v>2.653632065433592E-4</v>
      </c>
      <c r="S55" s="8">
        <f t="shared" si="6"/>
        <v>0.19601360753481878</v>
      </c>
      <c r="T55" s="8">
        <f t="shared" si="3"/>
        <v>1.7466617295318967E-3</v>
      </c>
      <c r="U55" s="8">
        <f t="shared" si="4"/>
        <v>0.1371836484870057</v>
      </c>
      <c r="V55" s="8">
        <f t="shared" si="5"/>
        <v>8.0063092822727278E-2</v>
      </c>
    </row>
    <row r="56" spans="1:22" x14ac:dyDescent="0.35">
      <c r="A56" s="9">
        <v>0.6</v>
      </c>
      <c r="B56" s="9">
        <v>0.1</v>
      </c>
      <c r="C56" s="9">
        <v>3.665</v>
      </c>
      <c r="D56" s="9">
        <v>0.78500000000000003</v>
      </c>
      <c r="E56" s="9">
        <v>0</v>
      </c>
      <c r="F56" s="9">
        <v>0</v>
      </c>
      <c r="G56" s="9">
        <v>0</v>
      </c>
      <c r="N56" s="9">
        <v>0.61106834214370587</v>
      </c>
      <c r="O56" s="9">
        <v>8.8902462870748919E-2</v>
      </c>
      <c r="P56" s="9">
        <v>3.6001775812825434</v>
      </c>
      <c r="Q56" s="9">
        <v>0.92109310785927156</v>
      </c>
      <c r="R56" s="10">
        <v>1.3918601378262125E-4</v>
      </c>
      <c r="S56" s="8">
        <f t="shared" si="6"/>
        <v>1.1068342143705889E-2</v>
      </c>
      <c r="T56" s="8">
        <f t="shared" si="3"/>
        <v>1.1097537129251087E-2</v>
      </c>
      <c r="U56" s="8">
        <f t="shared" si="4"/>
        <v>6.4822418717456642E-2</v>
      </c>
      <c r="V56" s="8">
        <f t="shared" si="5"/>
        <v>0.13609310785927153</v>
      </c>
    </row>
    <row r="57" spans="1:22" x14ac:dyDescent="0.35">
      <c r="A57" s="9">
        <v>0.8</v>
      </c>
      <c r="B57" s="9">
        <v>0.18</v>
      </c>
      <c r="C57" s="9">
        <v>3.665</v>
      </c>
      <c r="D57" s="9">
        <v>0.78500000000000003</v>
      </c>
      <c r="E57" s="9">
        <v>1.4</v>
      </c>
      <c r="F57" s="9">
        <v>0</v>
      </c>
      <c r="G57" s="9">
        <v>0</v>
      </c>
      <c r="N57" s="9">
        <v>0.71616032357182902</v>
      </c>
      <c r="O57" s="9">
        <v>0.17181921727739299</v>
      </c>
      <c r="P57" s="9">
        <v>3.6101603388052039</v>
      </c>
      <c r="Q57" s="9">
        <v>0.84629453212841121</v>
      </c>
      <c r="R57" s="10">
        <v>1.5914515640671995E-4</v>
      </c>
      <c r="S57" s="8">
        <f t="shared" si="6"/>
        <v>8.3839676428171028E-2</v>
      </c>
      <c r="T57" s="8">
        <f t="shared" si="3"/>
        <v>8.1807827226069996E-3</v>
      </c>
      <c r="U57" s="8">
        <f t="shared" si="4"/>
        <v>5.4839661194796108E-2</v>
      </c>
      <c r="V57" s="8">
        <f t="shared" si="5"/>
        <v>6.1294532128411183E-2</v>
      </c>
    </row>
    <row r="58" spans="1:22" x14ac:dyDescent="0.35">
      <c r="A58" s="9">
        <v>0.4</v>
      </c>
      <c r="B58" s="9">
        <v>0.2</v>
      </c>
      <c r="C58" s="9">
        <v>3.665</v>
      </c>
      <c r="D58" s="9">
        <v>0.78500000000000003</v>
      </c>
      <c r="E58" s="9">
        <v>1.4</v>
      </c>
      <c r="F58" s="9">
        <v>0</v>
      </c>
      <c r="G58" s="9">
        <v>0</v>
      </c>
      <c r="N58" s="9">
        <v>0.4506689268630365</v>
      </c>
      <c r="O58" s="9">
        <v>0.10991339998025236</v>
      </c>
      <c r="P58" s="9">
        <v>3.6002812839644918</v>
      </c>
      <c r="Q58" s="9">
        <v>0.97223579980339614</v>
      </c>
      <c r="R58" s="10">
        <v>9.4309882889853194E-5</v>
      </c>
      <c r="S58" s="8">
        <f t="shared" si="6"/>
        <v>5.0668926863036479E-2</v>
      </c>
      <c r="T58" s="8">
        <f t="shared" si="3"/>
        <v>9.0086600019747651E-2</v>
      </c>
      <c r="U58" s="8">
        <f t="shared" si="4"/>
        <v>6.4718716035508272E-2</v>
      </c>
      <c r="V58" s="8">
        <f t="shared" si="5"/>
        <v>0.18723579980339611</v>
      </c>
    </row>
    <row r="59" spans="1:22" x14ac:dyDescent="0.35">
      <c r="A59" s="9">
        <v>0.4</v>
      </c>
      <c r="B59" s="9">
        <v>0.1</v>
      </c>
      <c r="C59" s="9">
        <v>3.665</v>
      </c>
      <c r="D59" s="9">
        <v>1.571</v>
      </c>
      <c r="E59" s="9">
        <v>1.4</v>
      </c>
      <c r="F59" s="9">
        <v>0</v>
      </c>
      <c r="G59" s="9">
        <v>0</v>
      </c>
      <c r="N59" s="9">
        <v>0.36329293818808178</v>
      </c>
      <c r="O59" s="9">
        <v>0.18782235007394801</v>
      </c>
      <c r="P59" s="9">
        <v>3.7714601590326229</v>
      </c>
      <c r="Q59" s="9">
        <v>0.62450345266445484</v>
      </c>
      <c r="R59" s="10">
        <v>1.6582781243181413E-4</v>
      </c>
      <c r="S59" s="8">
        <f t="shared" si="6"/>
        <v>3.670706181191824E-2</v>
      </c>
      <c r="T59" s="8">
        <f t="shared" si="3"/>
        <v>8.7822350073948008E-2</v>
      </c>
      <c r="U59" s="8">
        <f t="shared" si="4"/>
        <v>0.10646015903262285</v>
      </c>
      <c r="V59" s="8">
        <f t="shared" si="5"/>
        <v>0.94649654733554511</v>
      </c>
    </row>
    <row r="60" spans="1:22" x14ac:dyDescent="0.35">
      <c r="A60" s="9">
        <v>0.7</v>
      </c>
      <c r="B60" s="9">
        <v>0.1</v>
      </c>
      <c r="C60" s="9">
        <v>3.665</v>
      </c>
      <c r="D60" s="9">
        <v>1.571</v>
      </c>
      <c r="E60" s="9">
        <v>1.4</v>
      </c>
      <c r="F60" s="9">
        <v>0</v>
      </c>
      <c r="G60" s="9">
        <v>0</v>
      </c>
      <c r="N60" s="9">
        <v>0.76933116220165465</v>
      </c>
      <c r="O60" s="9">
        <v>9.6088016279071486E-2</v>
      </c>
      <c r="P60" s="9">
        <v>3.7926884884005925</v>
      </c>
      <c r="Q60" s="9">
        <v>1.595455286649426</v>
      </c>
      <c r="R60" s="10">
        <v>3.3616289512802025E-4</v>
      </c>
      <c r="S60" s="8">
        <f t="shared" si="6"/>
        <v>6.9331162201654695E-2</v>
      </c>
      <c r="T60" s="8">
        <f t="shared" si="3"/>
        <v>3.9119837209285191E-3</v>
      </c>
      <c r="U60" s="8">
        <f t="shared" si="4"/>
        <v>0.12768848840059244</v>
      </c>
      <c r="V60" s="8">
        <f t="shared" si="5"/>
        <v>2.4455286649426089E-2</v>
      </c>
    </row>
    <row r="61" spans="1:22" x14ac:dyDescent="0.35">
      <c r="A61" s="9">
        <v>0.4</v>
      </c>
      <c r="B61" s="9">
        <v>0.16</v>
      </c>
      <c r="C61" s="9">
        <v>3.665</v>
      </c>
      <c r="D61" s="9">
        <v>1.571</v>
      </c>
      <c r="E61" s="9">
        <v>0</v>
      </c>
      <c r="F61" s="9">
        <v>0</v>
      </c>
      <c r="G61" s="9">
        <v>0</v>
      </c>
      <c r="N61" s="9">
        <v>0.39819873902164699</v>
      </c>
      <c r="O61" s="9">
        <v>0.15905315363677286</v>
      </c>
      <c r="P61" s="9">
        <v>3.8258495347597172</v>
      </c>
      <c r="Q61" s="9">
        <v>1.9326750471675074</v>
      </c>
      <c r="R61" s="10">
        <v>1.2191460633375176E-4</v>
      </c>
      <c r="S61" s="8">
        <f t="shared" si="6"/>
        <v>1.8012609783530364E-3</v>
      </c>
      <c r="T61" s="8">
        <f t="shared" si="3"/>
        <v>9.4684636322714399E-4</v>
      </c>
      <c r="U61" s="8">
        <f t="shared" si="4"/>
        <v>0.16084953475971719</v>
      </c>
      <c r="V61" s="8">
        <f t="shared" si="5"/>
        <v>0.36167504716750742</v>
      </c>
    </row>
    <row r="62" spans="1:22" x14ac:dyDescent="0.35">
      <c r="A62" s="9">
        <v>0.3</v>
      </c>
      <c r="B62" s="9">
        <v>0.18</v>
      </c>
      <c r="C62" s="9">
        <v>3.665</v>
      </c>
      <c r="D62" s="9">
        <v>1.571</v>
      </c>
      <c r="E62" s="9">
        <v>0</v>
      </c>
      <c r="F62" s="9">
        <v>0</v>
      </c>
      <c r="G62" s="9">
        <v>0</v>
      </c>
      <c r="N62" s="9">
        <v>0.22968117240542588</v>
      </c>
      <c r="O62" s="9">
        <v>0.1771019359870705</v>
      </c>
      <c r="P62" s="9">
        <v>3.3863775667963263</v>
      </c>
      <c r="Q62" s="9">
        <v>1.3222510226710162</v>
      </c>
      <c r="R62" s="10">
        <v>2.4261117844958762E-4</v>
      </c>
      <c r="S62" s="8">
        <f t="shared" si="6"/>
        <v>7.0318827594574113E-2</v>
      </c>
      <c r="T62" s="8">
        <f t="shared" si="3"/>
        <v>2.8980640129294966E-3</v>
      </c>
      <c r="U62" s="8">
        <f t="shared" si="4"/>
        <v>0.27862243320367375</v>
      </c>
      <c r="V62" s="8">
        <f t="shared" si="5"/>
        <v>0.24874897732898371</v>
      </c>
    </row>
    <row r="63" spans="1:22" x14ac:dyDescent="0.35">
      <c r="A63" s="9">
        <v>0.3</v>
      </c>
      <c r="B63" s="9">
        <v>0.08</v>
      </c>
      <c r="C63" s="9">
        <v>1.571</v>
      </c>
      <c r="D63" s="9">
        <v>0.78500000000000003</v>
      </c>
      <c r="E63" s="9">
        <v>1.4</v>
      </c>
      <c r="F63" s="9">
        <v>0</v>
      </c>
      <c r="G63" s="9">
        <v>0</v>
      </c>
      <c r="N63" s="9">
        <v>0.2309764871999016</v>
      </c>
      <c r="O63" s="9">
        <v>4.7552165689073431E-2</v>
      </c>
      <c r="P63" s="9">
        <v>1.7397442790355899</v>
      </c>
      <c r="Q63" s="9">
        <v>1.6249425966263236</v>
      </c>
      <c r="R63" s="10">
        <v>2.5299192786523778E-5</v>
      </c>
      <c r="S63" s="8">
        <f t="shared" si="6"/>
        <v>6.9023512800098386E-2</v>
      </c>
      <c r="T63" s="8">
        <f t="shared" si="3"/>
        <v>3.2447834310926571E-2</v>
      </c>
      <c r="U63" s="8">
        <f t="shared" si="4"/>
        <v>0.16874427903558997</v>
      </c>
      <c r="V63" s="8">
        <f t="shared" si="5"/>
        <v>0.83994259662632353</v>
      </c>
    </row>
    <row r="64" spans="1:22" x14ac:dyDescent="0.35">
      <c r="A64" s="9">
        <v>0.4</v>
      </c>
      <c r="B64" s="9">
        <v>0.14000000000000001</v>
      </c>
      <c r="C64" s="9">
        <v>1.571</v>
      </c>
      <c r="D64" s="9">
        <v>0.78500000000000003</v>
      </c>
      <c r="E64" s="9">
        <v>0</v>
      </c>
      <c r="F64" s="9">
        <v>0</v>
      </c>
      <c r="G64" s="9">
        <v>0</v>
      </c>
      <c r="N64" s="9">
        <v>0.34840330030208994</v>
      </c>
      <c r="O64" s="9">
        <v>0.19999880600434117</v>
      </c>
      <c r="P64" s="9">
        <v>1.3561732828132398</v>
      </c>
      <c r="Q64" s="9">
        <v>0.46034414862728817</v>
      </c>
      <c r="R64" s="10">
        <v>1.7293465053479329E-4</v>
      </c>
      <c r="S64" s="8">
        <f t="shared" si="6"/>
        <v>5.1596699697910087E-2</v>
      </c>
      <c r="T64" s="8">
        <f t="shared" si="3"/>
        <v>5.9998806004341154E-2</v>
      </c>
      <c r="U64" s="8">
        <f t="shared" si="4"/>
        <v>0.21482671718676016</v>
      </c>
      <c r="V64" s="8">
        <f t="shared" si="5"/>
        <v>0.32465585137271186</v>
      </c>
    </row>
    <row r="65" spans="1:22" x14ac:dyDescent="0.35">
      <c r="A65" s="9">
        <v>0.6</v>
      </c>
      <c r="B65" s="9">
        <v>0.16</v>
      </c>
      <c r="C65" s="9">
        <v>1.571</v>
      </c>
      <c r="D65" s="9">
        <v>0.78500000000000003</v>
      </c>
      <c r="E65" s="9">
        <v>1.4</v>
      </c>
      <c r="F65" s="9">
        <v>0</v>
      </c>
      <c r="G65" s="9">
        <v>0</v>
      </c>
      <c r="N65" s="9">
        <v>0.58447336208779688</v>
      </c>
      <c r="O65" s="9">
        <v>0.18815600572916422</v>
      </c>
      <c r="P65" s="9">
        <v>2.0147373209261525</v>
      </c>
      <c r="Q65" s="9">
        <v>0.57972158074940605</v>
      </c>
      <c r="R65" s="10">
        <v>5.8511279568233734E-4</v>
      </c>
      <c r="S65" s="8">
        <f t="shared" si="6"/>
        <v>1.5526637912203101E-2</v>
      </c>
      <c r="T65" s="8">
        <f t="shared" si="3"/>
        <v>2.8156005729164213E-2</v>
      </c>
      <c r="U65" s="8">
        <f t="shared" si="4"/>
        <v>0.44373732092615259</v>
      </c>
      <c r="V65" s="8">
        <f t="shared" si="5"/>
        <v>0.20527841925059398</v>
      </c>
    </row>
    <row r="66" spans="1:22" x14ac:dyDescent="0.35">
      <c r="A66" s="9">
        <v>0.4</v>
      </c>
      <c r="B66" s="9">
        <v>0.06</v>
      </c>
      <c r="C66" s="9">
        <v>1.571</v>
      </c>
      <c r="D66" s="9">
        <v>1.571</v>
      </c>
      <c r="E66" s="9">
        <v>1.4</v>
      </c>
      <c r="F66" s="9">
        <v>0</v>
      </c>
      <c r="G66" s="9">
        <v>0</v>
      </c>
      <c r="N66" s="9">
        <v>0.44088518556801332</v>
      </c>
      <c r="O66" s="9">
        <v>4.1002168026640522E-2</v>
      </c>
      <c r="P66" s="9">
        <v>1.5682720624161997</v>
      </c>
      <c r="Q66" s="9">
        <v>1.7367208845942084</v>
      </c>
      <c r="R66" s="10">
        <v>3.0978538049614154E-5</v>
      </c>
      <c r="S66" s="8">
        <f t="shared" si="6"/>
        <v>4.0885185568013294E-2</v>
      </c>
      <c r="T66" s="8">
        <f t="shared" si="3"/>
        <v>1.8997831973359476E-2</v>
      </c>
      <c r="U66" s="8">
        <f t="shared" si="4"/>
        <v>2.7279375838002995E-3</v>
      </c>
      <c r="V66" s="8">
        <f t="shared" si="5"/>
        <v>0.16572088459420842</v>
      </c>
    </row>
    <row r="67" spans="1:22" x14ac:dyDescent="0.35">
      <c r="A67" s="9">
        <v>0.8</v>
      </c>
      <c r="B67" s="9">
        <v>0.08</v>
      </c>
      <c r="C67" s="9">
        <v>1.571</v>
      </c>
      <c r="D67" s="9">
        <v>1.571</v>
      </c>
      <c r="E67" s="9">
        <v>0</v>
      </c>
      <c r="F67" s="9">
        <v>0</v>
      </c>
      <c r="G67" s="9">
        <v>0</v>
      </c>
      <c r="N67" s="9">
        <v>0.69558360874400049</v>
      </c>
      <c r="O67" s="9">
        <v>8.1468963916790552E-2</v>
      </c>
      <c r="P67" s="9">
        <v>1.4775519614325279</v>
      </c>
      <c r="Q67" s="9">
        <v>1.5386131274075394</v>
      </c>
      <c r="R67" s="10">
        <v>2.8086000466533048E-4</v>
      </c>
      <c r="S67" s="8">
        <f t="shared" si="6"/>
        <v>0.10441639125599955</v>
      </c>
      <c r="T67" s="8">
        <f t="shared" si="3"/>
        <v>1.4689639167905499E-3</v>
      </c>
      <c r="U67" s="8">
        <f t="shared" si="4"/>
        <v>9.344803856747208E-2</v>
      </c>
      <c r="V67" s="8">
        <f t="shared" si="5"/>
        <v>3.2386872592460536E-2</v>
      </c>
    </row>
    <row r="68" spans="1:22" x14ac:dyDescent="0.35">
      <c r="A68" s="9">
        <v>0.7</v>
      </c>
      <c r="B68" s="9">
        <v>0.16</v>
      </c>
      <c r="C68" s="9">
        <v>1.571</v>
      </c>
      <c r="D68" s="9">
        <v>1.571</v>
      </c>
      <c r="E68" s="9">
        <v>1.4</v>
      </c>
      <c r="F68" s="9">
        <v>0</v>
      </c>
      <c r="G68" s="9">
        <v>0</v>
      </c>
      <c r="N68" s="9">
        <v>0.75450719118304543</v>
      </c>
      <c r="O68" s="9">
        <v>0.17931845913255406</v>
      </c>
      <c r="P68" s="9">
        <v>1.6396615541254973</v>
      </c>
      <c r="Q68" s="9">
        <v>1.6194886766761676</v>
      </c>
      <c r="R68" s="10">
        <v>3.6438849478878928E-5</v>
      </c>
      <c r="S68" s="8">
        <f t="shared" si="6"/>
        <v>5.4507191183045478E-2</v>
      </c>
      <c r="T68" s="8">
        <f t="shared" si="3"/>
        <v>1.9318459132554061E-2</v>
      </c>
      <c r="U68" s="8">
        <f t="shared" si="4"/>
        <v>6.8661554125497348E-2</v>
      </c>
      <c r="V68" s="8">
        <f t="shared" si="5"/>
        <v>4.848867667616763E-2</v>
      </c>
    </row>
    <row r="69" spans="1:22" x14ac:dyDescent="0.35">
      <c r="A69" s="9">
        <v>0.7</v>
      </c>
      <c r="B69" s="9">
        <v>0.2</v>
      </c>
      <c r="C69" s="9">
        <v>1.571</v>
      </c>
      <c r="D69" s="9">
        <v>1.571</v>
      </c>
      <c r="E69" s="9">
        <v>0</v>
      </c>
      <c r="F69" s="9">
        <v>0</v>
      </c>
      <c r="G69" s="9">
        <v>0</v>
      </c>
      <c r="N69" s="9">
        <v>0.66967558599811561</v>
      </c>
      <c r="O69" s="9">
        <v>0.19998188621409713</v>
      </c>
      <c r="P69" s="9">
        <v>1.3982414579216105</v>
      </c>
      <c r="Q69" s="9">
        <v>1.9627546860571041</v>
      </c>
      <c r="R69" s="10">
        <v>1.1651812862850113E-3</v>
      </c>
      <c r="S69" s="8">
        <f t="shared" si="6"/>
        <v>3.0324414001884348E-2</v>
      </c>
      <c r="T69" s="8">
        <f t="shared" si="3"/>
        <v>1.8113785902884594E-5</v>
      </c>
      <c r="U69" s="8">
        <f t="shared" si="4"/>
        <v>0.17275854207838948</v>
      </c>
      <c r="V69" s="8">
        <f t="shared" si="5"/>
        <v>0.39175468605710417</v>
      </c>
    </row>
    <row r="70" spans="1:22" x14ac:dyDescent="0.35">
      <c r="A70" s="9">
        <v>0.7</v>
      </c>
      <c r="B70" s="9">
        <v>0.06</v>
      </c>
      <c r="C70" s="9">
        <v>3.665</v>
      </c>
      <c r="D70" s="9">
        <v>0.78500000000000003</v>
      </c>
      <c r="E70" s="9">
        <v>0</v>
      </c>
      <c r="F70" s="9">
        <v>0</v>
      </c>
      <c r="G70" s="9">
        <v>0</v>
      </c>
      <c r="N70" s="9">
        <v>0.95735682642866349</v>
      </c>
      <c r="O70" s="9">
        <v>4.5787635125524251E-2</v>
      </c>
      <c r="P70" s="9">
        <v>3.5108222545617189</v>
      </c>
      <c r="Q70" s="9">
        <v>0.71973395413391617</v>
      </c>
      <c r="R70" s="10">
        <v>2.949087591516102E-4</v>
      </c>
      <c r="S70" s="8">
        <f t="shared" si="6"/>
        <v>0.25735682642866353</v>
      </c>
      <c r="T70" s="8">
        <f t="shared" si="3"/>
        <v>1.4212364874475747E-2</v>
      </c>
      <c r="U70" s="8">
        <f t="shared" si="4"/>
        <v>0.15417774543828111</v>
      </c>
      <c r="V70" s="8">
        <f t="shared" si="5"/>
        <v>6.5266045866083866E-2</v>
      </c>
    </row>
    <row r="71" spans="1:22" x14ac:dyDescent="0.35">
      <c r="A71" s="9">
        <v>0.6</v>
      </c>
      <c r="B71" s="9">
        <v>0.1</v>
      </c>
      <c r="C71" s="9">
        <v>3.665</v>
      </c>
      <c r="D71" s="9">
        <v>0.78500000000000003</v>
      </c>
      <c r="E71" s="9">
        <v>0</v>
      </c>
      <c r="F71" s="9">
        <v>0</v>
      </c>
      <c r="G71" s="9">
        <v>0</v>
      </c>
      <c r="N71" s="9">
        <v>0.5657350000677579</v>
      </c>
      <c r="O71" s="9">
        <v>9.9725360984431424E-2</v>
      </c>
      <c r="P71" s="9">
        <v>3.5857156760453202</v>
      </c>
      <c r="Q71" s="9">
        <v>0.89290457734053352</v>
      </c>
      <c r="R71" s="10">
        <v>3.806095043479756E-5</v>
      </c>
      <c r="S71" s="8">
        <f t="shared" si="6"/>
        <v>3.426499993224208E-2</v>
      </c>
      <c r="T71" s="8">
        <f t="shared" si="3"/>
        <v>2.7463901556858128E-4</v>
      </c>
      <c r="U71" s="8">
        <f t="shared" si="4"/>
        <v>7.9284323954679881E-2</v>
      </c>
      <c r="V71" s="8">
        <f t="shared" si="5"/>
        <v>0.10790457734053349</v>
      </c>
    </row>
    <row r="72" spans="1:22" x14ac:dyDescent="0.35">
      <c r="A72" s="9">
        <v>0.8</v>
      </c>
      <c r="B72" s="9">
        <v>0.18</v>
      </c>
      <c r="C72" s="9">
        <v>3.665</v>
      </c>
      <c r="D72" s="9">
        <v>0.78500000000000003</v>
      </c>
      <c r="E72" s="9">
        <v>1.4</v>
      </c>
      <c r="F72" s="9">
        <v>0</v>
      </c>
      <c r="G72" s="9">
        <v>0</v>
      </c>
      <c r="N72" s="9">
        <v>0.77077905039041139</v>
      </c>
      <c r="O72" s="9">
        <v>0.18854752091246277</v>
      </c>
      <c r="P72" s="9">
        <v>3.7986529162403628</v>
      </c>
      <c r="Q72" s="9">
        <v>0.5142064543446192</v>
      </c>
      <c r="R72" s="10">
        <v>1.2053303183572289E-3</v>
      </c>
      <c r="S72" s="8">
        <f t="shared" si="6"/>
        <v>2.9220949609588653E-2</v>
      </c>
      <c r="T72" s="8">
        <f t="shared" si="3"/>
        <v>8.5475209124627749E-3</v>
      </c>
      <c r="U72" s="8">
        <f t="shared" si="4"/>
        <v>0.1336529162403628</v>
      </c>
      <c r="V72" s="8">
        <f t="shared" si="5"/>
        <v>0.27079354565538083</v>
      </c>
    </row>
    <row r="73" spans="1:22" x14ac:dyDescent="0.35">
      <c r="A73" s="9">
        <v>0.4</v>
      </c>
      <c r="B73" s="9">
        <v>0.2</v>
      </c>
      <c r="C73" s="9">
        <v>3.665</v>
      </c>
      <c r="D73" s="9">
        <v>0.78500000000000003</v>
      </c>
      <c r="E73" s="9">
        <v>1.4</v>
      </c>
      <c r="F73" s="9">
        <v>0</v>
      </c>
      <c r="G73" s="9">
        <v>0</v>
      </c>
      <c r="N73" s="9">
        <v>0.38058154861482507</v>
      </c>
      <c r="O73" s="9">
        <v>0.17965969821060573</v>
      </c>
      <c r="P73" s="9">
        <v>3.6329784740821123</v>
      </c>
      <c r="Q73" s="9">
        <v>0.79013662466406509</v>
      </c>
      <c r="R73" s="10">
        <v>1.3091597864103998E-4</v>
      </c>
      <c r="S73" s="8">
        <f t="shared" si="6"/>
        <v>1.9418451385174951E-2</v>
      </c>
      <c r="T73" s="8">
        <f t="shared" si="3"/>
        <v>2.0340301789394277E-2</v>
      </c>
      <c r="U73" s="8">
        <f t="shared" si="4"/>
        <v>3.2021525917887761E-2</v>
      </c>
      <c r="V73" s="8">
        <f t="shared" si="5"/>
        <v>5.1366246640650592E-3</v>
      </c>
    </row>
    <row r="74" spans="1:22" x14ac:dyDescent="0.35">
      <c r="A74" s="9">
        <v>0.4</v>
      </c>
      <c r="B74" s="9">
        <v>0.1</v>
      </c>
      <c r="C74" s="9">
        <v>3.665</v>
      </c>
      <c r="D74" s="9">
        <v>1.571</v>
      </c>
      <c r="E74" s="9">
        <v>1.4</v>
      </c>
      <c r="F74" s="9">
        <v>0</v>
      </c>
      <c r="G74" s="9">
        <v>0</v>
      </c>
      <c r="N74" s="9">
        <v>0.39747890083814025</v>
      </c>
      <c r="O74" s="9">
        <v>0.15587881654248692</v>
      </c>
      <c r="P74" s="9">
        <v>3.3285936692446052</v>
      </c>
      <c r="Q74" s="9">
        <v>2.2256354338007047</v>
      </c>
      <c r="R74" s="10">
        <v>3.6219774786511438E-4</v>
      </c>
      <c r="S74" s="8">
        <f t="shared" si="6"/>
        <v>2.5210991618597745E-3</v>
      </c>
      <c r="T74" s="8">
        <f t="shared" si="3"/>
        <v>5.5878816542486914E-2</v>
      </c>
      <c r="U74" s="8">
        <f t="shared" si="4"/>
        <v>0.33640633075539483</v>
      </c>
      <c r="V74" s="8">
        <f t="shared" si="5"/>
        <v>0.65463543380070477</v>
      </c>
    </row>
    <row r="75" spans="1:22" x14ac:dyDescent="0.35">
      <c r="A75" s="9">
        <v>0.7</v>
      </c>
      <c r="B75" s="9">
        <v>0.1</v>
      </c>
      <c r="C75" s="9">
        <v>3.665</v>
      </c>
      <c r="D75" s="9">
        <v>1.571</v>
      </c>
      <c r="E75" s="9">
        <v>1.4</v>
      </c>
      <c r="F75" s="9">
        <v>0</v>
      </c>
      <c r="G75" s="9">
        <v>0</v>
      </c>
      <c r="N75" s="9">
        <v>0.62674256320401522</v>
      </c>
      <c r="O75" s="9">
        <v>0.11975964325416763</v>
      </c>
      <c r="P75" s="9">
        <v>3.5884945026083397</v>
      </c>
      <c r="Q75" s="9">
        <v>1.3613225880258326</v>
      </c>
      <c r="R75" s="10">
        <v>2.8736597254988441E-4</v>
      </c>
      <c r="S75" s="8">
        <f t="shared" si="6"/>
        <v>7.3257436795984732E-2</v>
      </c>
      <c r="T75" s="8">
        <f t="shared" si="3"/>
        <v>1.9759643254167625E-2</v>
      </c>
      <c r="U75" s="8">
        <f t="shared" si="4"/>
        <v>7.6505497391660349E-2</v>
      </c>
      <c r="V75" s="8">
        <f t="shared" si="5"/>
        <v>0.20967741197416734</v>
      </c>
    </row>
    <row r="76" spans="1:22" x14ac:dyDescent="0.35">
      <c r="A76" s="9">
        <v>0.4</v>
      </c>
      <c r="B76" s="9">
        <v>0.16</v>
      </c>
      <c r="C76" s="9">
        <v>3.665</v>
      </c>
      <c r="D76" s="9">
        <v>1.571</v>
      </c>
      <c r="E76" s="9">
        <v>0</v>
      </c>
      <c r="F76" s="9">
        <v>0</v>
      </c>
      <c r="G76" s="9">
        <v>0</v>
      </c>
      <c r="N76" s="9">
        <v>0.44228870322827901</v>
      </c>
      <c r="O76" s="9">
        <v>0.12029466559804881</v>
      </c>
      <c r="P76" s="9">
        <v>3.6245707254588497</v>
      </c>
      <c r="Q76" s="9">
        <v>1.8566572871593372</v>
      </c>
      <c r="R76" s="10">
        <v>6.9121308068185612E-6</v>
      </c>
      <c r="S76" s="8">
        <f t="shared" si="6"/>
        <v>4.228870322827899E-2</v>
      </c>
      <c r="T76" s="8">
        <f t="shared" si="3"/>
        <v>3.9705334401951189E-2</v>
      </c>
      <c r="U76" s="8">
        <f t="shared" si="4"/>
        <v>4.0429274541150306E-2</v>
      </c>
      <c r="V76" s="8">
        <f t="shared" si="5"/>
        <v>0.28565728715933725</v>
      </c>
    </row>
    <row r="77" spans="1:22" x14ac:dyDescent="0.35">
      <c r="A77" s="9">
        <v>0.3</v>
      </c>
      <c r="B77" s="9">
        <v>0.18</v>
      </c>
      <c r="C77" s="9">
        <v>3.665</v>
      </c>
      <c r="D77" s="9">
        <v>1.571</v>
      </c>
      <c r="E77" s="9">
        <v>0</v>
      </c>
      <c r="F77" s="9">
        <v>0</v>
      </c>
      <c r="G77" s="9">
        <v>0</v>
      </c>
      <c r="N77" s="9">
        <v>0.41084603086749483</v>
      </c>
      <c r="O77" s="9">
        <v>0.11497995398165829</v>
      </c>
      <c r="P77" s="9">
        <v>4.2030012791626952</v>
      </c>
      <c r="Q77" s="9">
        <v>2.379638361483591</v>
      </c>
      <c r="R77" s="10">
        <v>1.0789717095181269E-3</v>
      </c>
      <c r="S77" s="8">
        <f t="shared" si="6"/>
        <v>0.11084603086749484</v>
      </c>
      <c r="T77" s="8">
        <f t="shared" si="3"/>
        <v>6.5020046018341701E-2</v>
      </c>
      <c r="U77" s="8">
        <f t="shared" si="4"/>
        <v>0.53800127916269513</v>
      </c>
      <c r="V77" s="8">
        <f t="shared" si="5"/>
        <v>0.80863836148359103</v>
      </c>
    </row>
    <row r="78" spans="1:22" x14ac:dyDescent="0.35">
      <c r="A78" s="9">
        <v>0.3</v>
      </c>
      <c r="B78" s="9">
        <v>0.08</v>
      </c>
      <c r="C78" s="9">
        <v>1.571</v>
      </c>
      <c r="D78" s="9">
        <v>0.78500000000000003</v>
      </c>
      <c r="E78" s="9">
        <v>1.4</v>
      </c>
      <c r="F78" s="9">
        <v>0</v>
      </c>
      <c r="G78" s="9">
        <v>0</v>
      </c>
      <c r="N78" s="9">
        <v>0.29382597600784338</v>
      </c>
      <c r="O78" s="9">
        <v>7.1132087681192363E-2</v>
      </c>
      <c r="P78" s="9">
        <v>1.8055585734169617</v>
      </c>
      <c r="Q78" s="9">
        <v>0.74177352356610227</v>
      </c>
      <c r="R78" s="10">
        <v>1.6240409464741468E-5</v>
      </c>
      <c r="S78" s="8">
        <f t="shared" si="6"/>
        <v>6.1740239921566076E-3</v>
      </c>
      <c r="T78" s="8">
        <f t="shared" si="3"/>
        <v>8.8679123188076386E-3</v>
      </c>
      <c r="U78" s="8">
        <f t="shared" si="4"/>
        <v>0.23455857341696174</v>
      </c>
      <c r="V78" s="8">
        <f t="shared" si="5"/>
        <v>4.3226476433897765E-2</v>
      </c>
    </row>
    <row r="79" spans="1:22" x14ac:dyDescent="0.35">
      <c r="A79" s="9">
        <v>0.4</v>
      </c>
      <c r="B79" s="9">
        <v>0.14000000000000001</v>
      </c>
      <c r="C79" s="9">
        <v>1.571</v>
      </c>
      <c r="D79" s="9">
        <v>0.78500000000000003</v>
      </c>
      <c r="E79" s="9">
        <v>0</v>
      </c>
      <c r="F79" s="9">
        <v>0</v>
      </c>
      <c r="G79" s="9">
        <v>0</v>
      </c>
      <c r="N79" s="9">
        <v>0.40573633458179831</v>
      </c>
      <c r="O79" s="9">
        <v>8.3958676799509815E-2</v>
      </c>
      <c r="P79" s="9">
        <v>1.6933242930737704</v>
      </c>
      <c r="Q79" s="9">
        <v>1.2493055356194136</v>
      </c>
      <c r="R79" s="10">
        <v>4.4115514391361612E-5</v>
      </c>
      <c r="S79" s="8">
        <f t="shared" si="6"/>
        <v>5.7363345817982858E-3</v>
      </c>
      <c r="T79" s="8">
        <f t="shared" si="3"/>
        <v>5.6041323200490198E-2</v>
      </c>
      <c r="U79" s="8">
        <f t="shared" si="4"/>
        <v>0.12232429307377046</v>
      </c>
      <c r="V79" s="8">
        <f t="shared" si="5"/>
        <v>0.46430553561941357</v>
      </c>
    </row>
    <row r="80" spans="1:22" x14ac:dyDescent="0.35">
      <c r="A80" s="9">
        <v>0.6</v>
      </c>
      <c r="B80" s="9">
        <v>0.16</v>
      </c>
      <c r="C80" s="9">
        <v>1.571</v>
      </c>
      <c r="D80" s="9">
        <v>0.78500000000000003</v>
      </c>
      <c r="E80" s="9">
        <v>1.4</v>
      </c>
      <c r="F80" s="9">
        <v>0</v>
      </c>
      <c r="G80" s="9">
        <v>0</v>
      </c>
      <c r="N80" s="9">
        <v>0.5505603270131898</v>
      </c>
      <c r="O80" s="9">
        <v>0.17152866478478374</v>
      </c>
      <c r="P80" s="9">
        <v>1.7147782143231218</v>
      </c>
      <c r="Q80" s="9">
        <v>0.72192182418884709</v>
      </c>
      <c r="R80" s="10">
        <v>5.9508948460733644E-5</v>
      </c>
      <c r="S80" s="8">
        <f t="shared" si="6"/>
        <v>4.9439672986810179E-2</v>
      </c>
      <c r="T80" s="8">
        <f t="shared" si="3"/>
        <v>1.1528664784783732E-2</v>
      </c>
      <c r="U80" s="8">
        <f t="shared" si="4"/>
        <v>0.14377821432312188</v>
      </c>
      <c r="V80" s="8">
        <f t="shared" si="5"/>
        <v>6.3078175811152937E-2</v>
      </c>
    </row>
    <row r="81" spans="1:22" x14ac:dyDescent="0.35">
      <c r="A81" s="9">
        <v>0.4</v>
      </c>
      <c r="B81" s="9">
        <v>0.06</v>
      </c>
      <c r="C81" s="9">
        <v>1.571</v>
      </c>
      <c r="D81" s="9">
        <v>1.571</v>
      </c>
      <c r="E81" s="9">
        <v>1.4</v>
      </c>
      <c r="F81" s="9">
        <v>0</v>
      </c>
      <c r="G81" s="9">
        <v>0</v>
      </c>
      <c r="N81" s="9">
        <v>0.35018435022218397</v>
      </c>
      <c r="O81" s="9">
        <v>0.10864670109008993</v>
      </c>
      <c r="P81" s="9">
        <v>1.7151130658159068</v>
      </c>
      <c r="Q81" s="9">
        <v>0.79965852002850368</v>
      </c>
      <c r="R81" s="10">
        <v>6.5324439906675374E-6</v>
      </c>
      <c r="S81" s="8">
        <f t="shared" si="6"/>
        <v>4.9815649777816051E-2</v>
      </c>
      <c r="T81" s="8">
        <f t="shared" si="3"/>
        <v>4.8646701090089936E-2</v>
      </c>
      <c r="U81" s="8">
        <f t="shared" si="4"/>
        <v>0.14411306581590688</v>
      </c>
      <c r="V81" s="8">
        <f t="shared" si="5"/>
        <v>0.77134147997149627</v>
      </c>
    </row>
    <row r="82" spans="1:22" x14ac:dyDescent="0.35">
      <c r="A82" s="9">
        <v>0.8</v>
      </c>
      <c r="B82" s="9">
        <v>0.08</v>
      </c>
      <c r="C82" s="9">
        <v>1.571</v>
      </c>
      <c r="D82" s="9">
        <v>1.571</v>
      </c>
      <c r="E82" s="9">
        <v>0</v>
      </c>
      <c r="F82" s="9">
        <v>0</v>
      </c>
      <c r="G82" s="9">
        <v>0</v>
      </c>
      <c r="N82" s="9">
        <v>0.73555056046377376</v>
      </c>
      <c r="O82" s="9">
        <v>8.5229115285370763E-2</v>
      </c>
      <c r="P82" s="9">
        <v>1.4240317516345369</v>
      </c>
      <c r="Q82" s="9">
        <v>1.6110373834789147</v>
      </c>
      <c r="R82" s="10">
        <v>2.9311383416925489E-4</v>
      </c>
      <c r="S82" s="8">
        <f t="shared" si="6"/>
        <v>6.4449439536226283E-2</v>
      </c>
      <c r="T82" s="8">
        <f t="shared" ref="T82:T145" si="7">ABS(O82-B82)</f>
        <v>5.2291152853707612E-3</v>
      </c>
      <c r="U82" s="8">
        <f t="shared" ref="U82:U145" si="8">ABS(P82-C82)</f>
        <v>0.14696824836546307</v>
      </c>
      <c r="V82" s="8">
        <f t="shared" ref="V82:V145" si="9">ABS(Q82-D82)</f>
        <v>4.0037383478914723E-2</v>
      </c>
    </row>
    <row r="83" spans="1:22" x14ac:dyDescent="0.35">
      <c r="A83" s="9">
        <v>0.7</v>
      </c>
      <c r="B83" s="9">
        <v>0.16</v>
      </c>
      <c r="C83" s="9">
        <v>1.571</v>
      </c>
      <c r="D83" s="9">
        <v>1.571</v>
      </c>
      <c r="E83" s="9">
        <v>1.4</v>
      </c>
      <c r="F83" s="9">
        <v>0</v>
      </c>
      <c r="G83" s="9">
        <v>0</v>
      </c>
      <c r="N83" s="9">
        <v>0.64641258173235816</v>
      </c>
      <c r="O83" s="9">
        <v>0.1656994819939695</v>
      </c>
      <c r="P83" s="9">
        <v>1.5857911539793461</v>
      </c>
      <c r="Q83" s="9">
        <v>1.5583809605206371</v>
      </c>
      <c r="R83" s="10">
        <v>5.1133107583976978E-5</v>
      </c>
      <c r="S83" s="8">
        <f t="shared" ref="S83:S146" si="10">ABS(N83-A83)</f>
        <v>5.3587418267641795E-2</v>
      </c>
      <c r="T83" s="8">
        <f t="shared" si="7"/>
        <v>5.6994819939694963E-3</v>
      </c>
      <c r="U83" s="8">
        <f t="shared" si="8"/>
        <v>1.4791153979346161E-2</v>
      </c>
      <c r="V83" s="8">
        <f t="shared" si="9"/>
        <v>1.2619039479362826E-2</v>
      </c>
    </row>
    <row r="84" spans="1:22" x14ac:dyDescent="0.35">
      <c r="A84" s="9">
        <v>0.7</v>
      </c>
      <c r="B84" s="9">
        <v>0.2</v>
      </c>
      <c r="C84" s="9">
        <v>1.571</v>
      </c>
      <c r="D84" s="9">
        <v>1.571</v>
      </c>
      <c r="E84" s="9">
        <v>0</v>
      </c>
      <c r="F84" s="9">
        <v>0</v>
      </c>
      <c r="G84" s="9">
        <v>0</v>
      </c>
      <c r="N84" s="9">
        <v>0.80258294878800229</v>
      </c>
      <c r="O84" s="9">
        <v>0.18499328008043761</v>
      </c>
      <c r="P84" s="9">
        <v>1.757121088323321</v>
      </c>
      <c r="Q84" s="9">
        <v>1.8820213763016167</v>
      </c>
      <c r="R84" s="10">
        <v>1.9264780264702497E-3</v>
      </c>
      <c r="S84" s="8">
        <f t="shared" si="10"/>
        <v>0.10258294878800234</v>
      </c>
      <c r="T84" s="8">
        <f t="shared" si="7"/>
        <v>1.50067199195624E-2</v>
      </c>
      <c r="U84" s="8">
        <f t="shared" si="8"/>
        <v>0.18612108832332108</v>
      </c>
      <c r="V84" s="8">
        <f t="shared" si="9"/>
        <v>0.31102137630161675</v>
      </c>
    </row>
    <row r="85" spans="1:22" x14ac:dyDescent="0.35">
      <c r="A85" s="9">
        <v>0.7</v>
      </c>
      <c r="B85" s="9">
        <v>0.06</v>
      </c>
      <c r="C85" s="9">
        <v>3.665</v>
      </c>
      <c r="D85" s="9">
        <v>0.78500000000000003</v>
      </c>
      <c r="E85" s="9">
        <v>0</v>
      </c>
      <c r="F85" s="9">
        <v>0</v>
      </c>
      <c r="G85" s="9">
        <v>0</v>
      </c>
      <c r="N85" s="9">
        <v>0.74827254574824542</v>
      </c>
      <c r="O85" s="9">
        <v>7.7776783685773898E-2</v>
      </c>
      <c r="P85" s="9">
        <v>3.8062511670875492</v>
      </c>
      <c r="Q85" s="9">
        <v>0.79283751120809354</v>
      </c>
      <c r="R85" s="10">
        <v>2.7512515090427712E-4</v>
      </c>
      <c r="S85" s="8">
        <f t="shared" si="10"/>
        <v>4.8272545748245466E-2</v>
      </c>
      <c r="T85" s="8">
        <f t="shared" si="7"/>
        <v>1.77767836857739E-2</v>
      </c>
      <c r="U85" s="8">
        <f t="shared" si="8"/>
        <v>0.14125116708754915</v>
      </c>
      <c r="V85" s="8">
        <f t="shared" si="9"/>
        <v>7.8375112080935061E-3</v>
      </c>
    </row>
    <row r="86" spans="1:22" x14ac:dyDescent="0.35">
      <c r="A86" s="9">
        <v>0.6</v>
      </c>
      <c r="B86" s="9">
        <v>0.1</v>
      </c>
      <c r="C86" s="9">
        <v>3.665</v>
      </c>
      <c r="D86" s="9">
        <v>0.78500000000000003</v>
      </c>
      <c r="E86" s="9">
        <v>0</v>
      </c>
      <c r="F86" s="9">
        <v>0</v>
      </c>
      <c r="G86" s="9">
        <v>0</v>
      </c>
      <c r="N86" s="9">
        <v>0.73309841014378263</v>
      </c>
      <c r="O86" s="9">
        <v>9.911596711357111E-2</v>
      </c>
      <c r="P86" s="9">
        <v>3.6004388913585523</v>
      </c>
      <c r="Q86" s="9">
        <v>0.59926835059297112</v>
      </c>
      <c r="R86" s="10">
        <v>3.4311356106656062E-5</v>
      </c>
      <c r="S86" s="8">
        <f t="shared" si="10"/>
        <v>0.13309841014378265</v>
      </c>
      <c r="T86" s="8">
        <f t="shared" si="7"/>
        <v>8.8403288642889544E-4</v>
      </c>
      <c r="U86" s="8">
        <f t="shared" si="8"/>
        <v>6.4561108641447706E-2</v>
      </c>
      <c r="V86" s="8">
        <f t="shared" si="9"/>
        <v>0.18573164940702891</v>
      </c>
    </row>
    <row r="87" spans="1:22" x14ac:dyDescent="0.35">
      <c r="A87" s="9">
        <v>0.8</v>
      </c>
      <c r="B87" s="9">
        <v>0.18</v>
      </c>
      <c r="C87" s="9">
        <v>3.665</v>
      </c>
      <c r="D87" s="9">
        <v>0.78500000000000003</v>
      </c>
      <c r="E87" s="9">
        <v>1.4</v>
      </c>
      <c r="F87" s="9">
        <v>0</v>
      </c>
      <c r="G87" s="9">
        <v>0</v>
      </c>
      <c r="N87" s="9">
        <v>0.85560311561833169</v>
      </c>
      <c r="O87" s="9">
        <v>0.12948524246961524</v>
      </c>
      <c r="P87" s="9">
        <v>3.4669843568655621</v>
      </c>
      <c r="Q87" s="9">
        <v>0.83201112364680296</v>
      </c>
      <c r="R87" s="10">
        <v>1.6045898464781343E-3</v>
      </c>
      <c r="S87" s="8">
        <f t="shared" si="10"/>
        <v>5.5603115618331644E-2</v>
      </c>
      <c r="T87" s="8">
        <f t="shared" si="7"/>
        <v>5.0514757530384757E-2</v>
      </c>
      <c r="U87" s="8">
        <f t="shared" si="8"/>
        <v>0.19801564313443798</v>
      </c>
      <c r="V87" s="8">
        <f t="shared" si="9"/>
        <v>4.7011123646802933E-2</v>
      </c>
    </row>
    <row r="88" spans="1:22" x14ac:dyDescent="0.35">
      <c r="A88" s="9">
        <v>0.4</v>
      </c>
      <c r="B88" s="9">
        <v>0.2</v>
      </c>
      <c r="C88" s="9">
        <v>3.665</v>
      </c>
      <c r="D88" s="9">
        <v>0.78500000000000003</v>
      </c>
      <c r="E88" s="9">
        <v>1.4</v>
      </c>
      <c r="F88" s="9">
        <v>0</v>
      </c>
      <c r="G88" s="9">
        <v>0</v>
      </c>
      <c r="N88" s="9">
        <v>0.64630088428243504</v>
      </c>
      <c r="O88" s="9">
        <v>0.1989021584946187</v>
      </c>
      <c r="P88" s="9">
        <v>3.6735862291689565</v>
      </c>
      <c r="Q88" s="9">
        <v>0.31048615071717184</v>
      </c>
      <c r="R88" s="10">
        <v>2.5058543249934997E-4</v>
      </c>
      <c r="S88" s="8">
        <f t="shared" si="10"/>
        <v>0.24630088428243502</v>
      </c>
      <c r="T88" s="8">
        <f t="shared" si="7"/>
        <v>1.0978415053813084E-3</v>
      </c>
      <c r="U88" s="8">
        <f t="shared" si="8"/>
        <v>8.5862291689564607E-3</v>
      </c>
      <c r="V88" s="8">
        <f t="shared" si="9"/>
        <v>0.47451384928282819</v>
      </c>
    </row>
    <row r="89" spans="1:22" x14ac:dyDescent="0.35">
      <c r="A89" s="9">
        <v>0.4</v>
      </c>
      <c r="B89" s="9">
        <v>0.1</v>
      </c>
      <c r="C89" s="9">
        <v>3.665</v>
      </c>
      <c r="D89" s="9">
        <v>1.571</v>
      </c>
      <c r="E89" s="9">
        <v>1.4</v>
      </c>
      <c r="F89" s="9">
        <v>0</v>
      </c>
      <c r="G89" s="9">
        <v>0</v>
      </c>
      <c r="N89" s="9">
        <v>0.39859212896690988</v>
      </c>
      <c r="O89" s="9">
        <v>7.2774221009800188E-2</v>
      </c>
      <c r="P89" s="9">
        <v>3.6983219494720179</v>
      </c>
      <c r="Q89" s="9">
        <v>1.333521867275989</v>
      </c>
      <c r="R89" s="10">
        <v>1.9115503209485027E-6</v>
      </c>
      <c r="S89" s="8">
        <f t="shared" si="10"/>
        <v>1.4078710330901467E-3</v>
      </c>
      <c r="T89" s="8">
        <f t="shared" si="7"/>
        <v>2.7225778990199817E-2</v>
      </c>
      <c r="U89" s="8">
        <f t="shared" si="8"/>
        <v>3.3321949472017831E-2</v>
      </c>
      <c r="V89" s="8">
        <f t="shared" si="9"/>
        <v>0.23747813272401097</v>
      </c>
    </row>
    <row r="90" spans="1:22" x14ac:dyDescent="0.35">
      <c r="A90" s="9">
        <v>0.7</v>
      </c>
      <c r="B90" s="9">
        <v>0.1</v>
      </c>
      <c r="C90" s="9">
        <v>3.665</v>
      </c>
      <c r="D90" s="9">
        <v>1.571</v>
      </c>
      <c r="E90" s="9">
        <v>1.4</v>
      </c>
      <c r="F90" s="9">
        <v>0</v>
      </c>
      <c r="G90" s="9">
        <v>0</v>
      </c>
      <c r="N90" s="9">
        <v>0.66692902826390765</v>
      </c>
      <c r="O90" s="9">
        <v>0.12950025629093634</v>
      </c>
      <c r="P90" s="9">
        <v>3.6270095846033104</v>
      </c>
      <c r="Q90" s="9">
        <v>1.6210122233888593</v>
      </c>
      <c r="R90" s="10">
        <v>1.2492811207823543E-4</v>
      </c>
      <c r="S90" s="8">
        <f t="shared" si="10"/>
        <v>3.3070971736092303E-2</v>
      </c>
      <c r="T90" s="8">
        <f t="shared" si="7"/>
        <v>2.9500256290936333E-2</v>
      </c>
      <c r="U90" s="8">
        <f t="shared" si="8"/>
        <v>3.7990415396689681E-2</v>
      </c>
      <c r="V90" s="8">
        <f t="shared" si="9"/>
        <v>5.0012223388859356E-2</v>
      </c>
    </row>
    <row r="91" spans="1:22" x14ac:dyDescent="0.35">
      <c r="A91" s="9">
        <v>0.4</v>
      </c>
      <c r="B91" s="9">
        <v>0.16</v>
      </c>
      <c r="C91" s="9">
        <v>3.665</v>
      </c>
      <c r="D91" s="9">
        <v>1.571</v>
      </c>
      <c r="E91" s="9">
        <v>0</v>
      </c>
      <c r="F91" s="9">
        <v>0</v>
      </c>
      <c r="G91" s="9">
        <v>0</v>
      </c>
      <c r="N91" s="9">
        <v>0.36921333899151471</v>
      </c>
      <c r="O91" s="9">
        <v>0.17205552385311662</v>
      </c>
      <c r="P91" s="9">
        <v>3.8638877454046709</v>
      </c>
      <c r="Q91" s="9">
        <v>1.9687207121497499</v>
      </c>
      <c r="R91" s="10">
        <v>4.3605626472228781E-4</v>
      </c>
      <c r="S91" s="8">
        <f t="shared" si="10"/>
        <v>3.0786661008485317E-2</v>
      </c>
      <c r="T91" s="8">
        <f t="shared" si="7"/>
        <v>1.2055523853116618E-2</v>
      </c>
      <c r="U91" s="8">
        <f t="shared" si="8"/>
        <v>0.19888774540467091</v>
      </c>
      <c r="V91" s="8">
        <f t="shared" si="9"/>
        <v>0.39772071214974991</v>
      </c>
    </row>
    <row r="92" spans="1:22" x14ac:dyDescent="0.35">
      <c r="A92" s="9">
        <v>0.3</v>
      </c>
      <c r="B92" s="9">
        <v>0.18</v>
      </c>
      <c r="C92" s="9">
        <v>3.665</v>
      </c>
      <c r="D92" s="9">
        <v>1.571</v>
      </c>
      <c r="E92" s="9">
        <v>0</v>
      </c>
      <c r="F92" s="9">
        <v>0</v>
      </c>
      <c r="G92" s="9">
        <v>0</v>
      </c>
      <c r="N92" s="9">
        <v>0.19280220411806195</v>
      </c>
      <c r="O92" s="9">
        <v>0.19999090883903234</v>
      </c>
      <c r="P92" s="9">
        <v>3.3403642095551564</v>
      </c>
      <c r="Q92" s="9">
        <v>1.3095817865361643</v>
      </c>
      <c r="R92" s="10">
        <v>5.1133734476207344E-4</v>
      </c>
      <c r="S92" s="8">
        <f t="shared" si="10"/>
        <v>0.10719779588193803</v>
      </c>
      <c r="T92" s="8">
        <f t="shared" si="7"/>
        <v>1.9990908839032345E-2</v>
      </c>
      <c r="U92" s="8">
        <f t="shared" si="8"/>
        <v>0.32463579044484359</v>
      </c>
      <c r="V92" s="8">
        <f t="shared" si="9"/>
        <v>0.26141821346383565</v>
      </c>
    </row>
    <row r="93" spans="1:22" x14ac:dyDescent="0.35">
      <c r="A93" s="9">
        <v>0.3</v>
      </c>
      <c r="B93" s="9">
        <v>0.08</v>
      </c>
      <c r="C93" s="9">
        <v>1.571</v>
      </c>
      <c r="D93" s="9">
        <v>0.78500000000000003</v>
      </c>
      <c r="E93" s="9">
        <v>1.4</v>
      </c>
      <c r="F93" s="9">
        <v>0</v>
      </c>
      <c r="G93" s="9">
        <v>0</v>
      </c>
      <c r="N93" s="9">
        <v>0.51581615083020149</v>
      </c>
      <c r="O93" s="9">
        <v>5.968485157624389E-2</v>
      </c>
      <c r="P93" s="9">
        <v>1.6596583936093325</v>
      </c>
      <c r="Q93" s="9">
        <v>0.37607064400028278</v>
      </c>
      <c r="R93" s="10">
        <v>4.9985722113140959E-6</v>
      </c>
      <c r="S93" s="8">
        <f t="shared" si="10"/>
        <v>0.2158161508302015</v>
      </c>
      <c r="T93" s="8">
        <f t="shared" si="7"/>
        <v>2.0315148423756112E-2</v>
      </c>
      <c r="U93" s="8">
        <f t="shared" si="8"/>
        <v>8.8658393609332586E-2</v>
      </c>
      <c r="V93" s="8">
        <f t="shared" si="9"/>
        <v>0.40892935599971725</v>
      </c>
    </row>
    <row r="94" spans="1:22" x14ac:dyDescent="0.35">
      <c r="A94" s="9">
        <v>0.4</v>
      </c>
      <c r="B94" s="9">
        <v>0.14000000000000001</v>
      </c>
      <c r="C94" s="9">
        <v>1.571</v>
      </c>
      <c r="D94" s="9">
        <v>0.78500000000000003</v>
      </c>
      <c r="E94" s="9">
        <v>0</v>
      </c>
      <c r="F94" s="9">
        <v>0</v>
      </c>
      <c r="G94" s="9">
        <v>0</v>
      </c>
      <c r="N94" s="9">
        <v>0.31402112190575265</v>
      </c>
      <c r="O94" s="9">
        <v>0.19998948446941336</v>
      </c>
      <c r="P94" s="9">
        <v>1.8786584942597779</v>
      </c>
      <c r="Q94" s="9">
        <v>0.53359882282226667</v>
      </c>
      <c r="R94" s="10">
        <v>4.0333095849807852E-4</v>
      </c>
      <c r="S94" s="8">
        <f t="shared" si="10"/>
        <v>8.5978878094247368E-2</v>
      </c>
      <c r="T94" s="8">
        <f t="shared" si="7"/>
        <v>5.9989484469413351E-2</v>
      </c>
      <c r="U94" s="8">
        <f t="shared" si="8"/>
        <v>0.30765849425977798</v>
      </c>
      <c r="V94" s="8">
        <f t="shared" si="9"/>
        <v>0.25140117717773336</v>
      </c>
    </row>
    <row r="95" spans="1:22" x14ac:dyDescent="0.35">
      <c r="A95" s="9">
        <v>0.6</v>
      </c>
      <c r="B95" s="9">
        <v>0.16</v>
      </c>
      <c r="C95" s="9">
        <v>1.571</v>
      </c>
      <c r="D95" s="9">
        <v>0.78500000000000003</v>
      </c>
      <c r="E95" s="9">
        <v>1.4</v>
      </c>
      <c r="F95" s="9">
        <v>0</v>
      </c>
      <c r="G95" s="9">
        <v>0</v>
      </c>
      <c r="N95" s="9">
        <v>0.58185354425446423</v>
      </c>
      <c r="O95" s="9">
        <v>0.1794194792862199</v>
      </c>
      <c r="P95" s="9">
        <v>1.8309173166834571</v>
      </c>
      <c r="Q95" s="9">
        <v>0.59299209302841782</v>
      </c>
      <c r="R95" s="10">
        <v>6.0735829564887785E-5</v>
      </c>
      <c r="S95" s="8">
        <f t="shared" si="10"/>
        <v>1.814645574553575E-2</v>
      </c>
      <c r="T95" s="8">
        <f t="shared" si="7"/>
        <v>1.9419479286219898E-2</v>
      </c>
      <c r="U95" s="8">
        <f t="shared" si="8"/>
        <v>0.25991731668345719</v>
      </c>
      <c r="V95" s="8">
        <f t="shared" si="9"/>
        <v>0.19200790697158221</v>
      </c>
    </row>
    <row r="96" spans="1:22" x14ac:dyDescent="0.35">
      <c r="A96" s="9">
        <v>0.4</v>
      </c>
      <c r="B96" s="9">
        <v>0.06</v>
      </c>
      <c r="C96" s="9">
        <v>1.571</v>
      </c>
      <c r="D96" s="9">
        <v>1.571</v>
      </c>
      <c r="E96" s="9">
        <v>1.4</v>
      </c>
      <c r="F96" s="9">
        <v>0</v>
      </c>
      <c r="G96" s="9">
        <v>0</v>
      </c>
      <c r="N96" s="9">
        <v>0.50160721651616469</v>
      </c>
      <c r="O96" s="9">
        <v>2.7708871881833925E-2</v>
      </c>
      <c r="P96" s="9">
        <v>1.323781352270325</v>
      </c>
      <c r="Q96" s="9">
        <v>1.7220519589057923</v>
      </c>
      <c r="R96" s="10">
        <v>2.3225563816295586E-4</v>
      </c>
      <c r="S96" s="8">
        <f t="shared" si="10"/>
        <v>0.10160721651616467</v>
      </c>
      <c r="T96" s="8">
        <f t="shared" si="7"/>
        <v>3.2291128118166076E-2</v>
      </c>
      <c r="U96" s="8">
        <f t="shared" si="8"/>
        <v>0.24721864772967495</v>
      </c>
      <c r="V96" s="8">
        <f t="shared" si="9"/>
        <v>0.15105195890579237</v>
      </c>
    </row>
    <row r="97" spans="1:22" x14ac:dyDescent="0.35">
      <c r="A97" s="9">
        <v>0.8</v>
      </c>
      <c r="B97" s="9">
        <v>0.08</v>
      </c>
      <c r="C97" s="9">
        <v>1.571</v>
      </c>
      <c r="D97" s="9">
        <v>1.571</v>
      </c>
      <c r="E97" s="9">
        <v>0</v>
      </c>
      <c r="F97" s="9">
        <v>0</v>
      </c>
      <c r="G97" s="9">
        <v>0</v>
      </c>
      <c r="N97" s="9">
        <v>0.80476695951717236</v>
      </c>
      <c r="O97" s="9">
        <v>7.5721656005608942E-2</v>
      </c>
      <c r="P97" s="9">
        <v>1.6380687417374169</v>
      </c>
      <c r="Q97" s="9">
        <v>1.8593325870183051</v>
      </c>
      <c r="R97" s="10">
        <v>2.8978449517878683E-5</v>
      </c>
      <c r="S97" s="8">
        <f t="shared" si="10"/>
        <v>4.76695951717232E-3</v>
      </c>
      <c r="T97" s="8">
        <f t="shared" si="7"/>
        <v>4.2783439943910595E-3</v>
      </c>
      <c r="U97" s="8">
        <f t="shared" si="8"/>
        <v>6.7068741737416948E-2</v>
      </c>
      <c r="V97" s="8">
        <f t="shared" si="9"/>
        <v>0.28833258701830511</v>
      </c>
    </row>
    <row r="98" spans="1:22" x14ac:dyDescent="0.35">
      <c r="A98" s="9">
        <v>0.7</v>
      </c>
      <c r="B98" s="9">
        <v>0.16</v>
      </c>
      <c r="C98" s="9">
        <v>1.571</v>
      </c>
      <c r="D98" s="9">
        <v>1.571</v>
      </c>
      <c r="E98" s="9">
        <v>1.4</v>
      </c>
      <c r="F98" s="9">
        <v>0</v>
      </c>
      <c r="G98" s="9">
        <v>0</v>
      </c>
      <c r="N98" s="9">
        <v>0.59134948614269034</v>
      </c>
      <c r="O98" s="9">
        <v>0.18860336628396107</v>
      </c>
      <c r="P98" s="9">
        <v>1.521977147716483</v>
      </c>
      <c r="Q98" s="9">
        <v>1.5466897352571762</v>
      </c>
      <c r="R98" s="10">
        <v>1.7211474421106299E-4</v>
      </c>
      <c r="S98" s="8">
        <f t="shared" si="10"/>
        <v>0.10865051385730962</v>
      </c>
      <c r="T98" s="8">
        <f t="shared" si="7"/>
        <v>2.8603366283961068E-2</v>
      </c>
      <c r="U98" s="8">
        <f t="shared" si="8"/>
        <v>4.9022852283516993E-2</v>
      </c>
      <c r="V98" s="8">
        <f t="shared" si="9"/>
        <v>2.4310264742823717E-2</v>
      </c>
    </row>
    <row r="99" spans="1:22" x14ac:dyDescent="0.35">
      <c r="A99" s="9">
        <v>0.7</v>
      </c>
      <c r="B99" s="9">
        <v>0.2</v>
      </c>
      <c r="C99" s="9">
        <v>1.571</v>
      </c>
      <c r="D99" s="9">
        <v>1.571</v>
      </c>
      <c r="E99" s="9">
        <v>0</v>
      </c>
      <c r="F99" s="9">
        <v>0</v>
      </c>
      <c r="G99" s="9">
        <v>0</v>
      </c>
      <c r="N99" s="9">
        <v>0.66545972982878876</v>
      </c>
      <c r="O99" s="9">
        <v>0.19071210529922758</v>
      </c>
      <c r="P99" s="9">
        <v>1.000343619027827</v>
      </c>
      <c r="Q99" s="9">
        <v>2.0020631778956193</v>
      </c>
      <c r="R99" s="10">
        <v>5.8814449575268863E-3</v>
      </c>
      <c r="S99" s="8">
        <f t="shared" si="10"/>
        <v>3.4540270171211196E-2</v>
      </c>
      <c r="T99" s="8">
        <f t="shared" si="7"/>
        <v>9.2878947007724311E-3</v>
      </c>
      <c r="U99" s="8">
        <f t="shared" si="8"/>
        <v>0.57065638097217297</v>
      </c>
      <c r="V99" s="8">
        <f t="shared" si="9"/>
        <v>0.43106317789561932</v>
      </c>
    </row>
    <row r="100" spans="1:22" x14ac:dyDescent="0.35">
      <c r="A100" s="9">
        <v>0.7</v>
      </c>
      <c r="B100" s="9">
        <v>0.06</v>
      </c>
      <c r="C100" s="9">
        <v>3.665</v>
      </c>
      <c r="D100" s="9">
        <v>0.78500000000000003</v>
      </c>
      <c r="E100" s="9">
        <v>0</v>
      </c>
      <c r="F100" s="9">
        <v>0</v>
      </c>
      <c r="G100" s="9">
        <v>0</v>
      </c>
      <c r="N100" s="9">
        <v>0.92457329838669999</v>
      </c>
      <c r="O100" s="9">
        <v>6.0681409417872721E-2</v>
      </c>
      <c r="P100" s="9">
        <v>3.5588929023219769</v>
      </c>
      <c r="Q100" s="9">
        <v>0.63784085424903625</v>
      </c>
      <c r="R100" s="10">
        <v>7.902591441182936E-5</v>
      </c>
      <c r="S100" s="8">
        <f t="shared" si="10"/>
        <v>0.22457329838670004</v>
      </c>
      <c r="T100" s="8">
        <f t="shared" si="7"/>
        <v>6.8140941787272341E-4</v>
      </c>
      <c r="U100" s="8">
        <f t="shared" si="8"/>
        <v>0.10610709767802318</v>
      </c>
      <c r="V100" s="8">
        <f t="shared" si="9"/>
        <v>0.14715914575096378</v>
      </c>
    </row>
    <row r="101" spans="1:22" x14ac:dyDescent="0.35">
      <c r="A101" s="9">
        <v>0.6</v>
      </c>
      <c r="B101" s="9">
        <v>0.1</v>
      </c>
      <c r="C101" s="9">
        <v>3.665</v>
      </c>
      <c r="D101" s="9">
        <v>0.78500000000000003</v>
      </c>
      <c r="E101" s="9">
        <v>0</v>
      </c>
      <c r="F101" s="9">
        <v>0</v>
      </c>
      <c r="G101" s="9">
        <v>0</v>
      </c>
      <c r="N101" s="9">
        <v>0.63660032682850065</v>
      </c>
      <c r="O101" s="9">
        <v>0.12786338329695246</v>
      </c>
      <c r="P101" s="9">
        <v>3.6571216221810552</v>
      </c>
      <c r="Q101" s="9">
        <v>0.58713763689934728</v>
      </c>
      <c r="R101" s="10">
        <v>3.7409424670936919E-5</v>
      </c>
      <c r="S101" s="8">
        <f t="shared" si="10"/>
        <v>3.6600326828500673E-2</v>
      </c>
      <c r="T101" s="8">
        <f t="shared" si="7"/>
        <v>2.7863383296952454E-2</v>
      </c>
      <c r="U101" s="8">
        <f t="shared" si="8"/>
        <v>7.8783778189448483E-3</v>
      </c>
      <c r="V101" s="8">
        <f t="shared" si="9"/>
        <v>0.19786236310065275</v>
      </c>
    </row>
    <row r="102" spans="1:22" x14ac:dyDescent="0.35">
      <c r="A102" s="9">
        <v>0.8</v>
      </c>
      <c r="B102" s="9">
        <v>0.18</v>
      </c>
      <c r="C102" s="9">
        <v>3.665</v>
      </c>
      <c r="D102" s="9">
        <v>0.78500000000000003</v>
      </c>
      <c r="E102" s="9">
        <v>1.4</v>
      </c>
      <c r="F102" s="9">
        <v>0</v>
      </c>
      <c r="G102" s="9">
        <v>0</v>
      </c>
      <c r="N102" s="9">
        <v>0.86353171445349297</v>
      </c>
      <c r="O102" s="9">
        <v>0.11544794664065007</v>
      </c>
      <c r="P102" s="9">
        <v>3.7343521410244369</v>
      </c>
      <c r="Q102" s="9">
        <v>1.0399452416610591</v>
      </c>
      <c r="R102" s="10">
        <v>1.0802721632315957E-4</v>
      </c>
      <c r="S102" s="8">
        <f t="shared" si="10"/>
        <v>6.3531714453492927E-2</v>
      </c>
      <c r="T102" s="8">
        <f t="shared" si="7"/>
        <v>6.4552053359349923E-2</v>
      </c>
      <c r="U102" s="8">
        <f t="shared" si="8"/>
        <v>6.9352141024436875E-2</v>
      </c>
      <c r="V102" s="8">
        <f t="shared" si="9"/>
        <v>0.25494524166105903</v>
      </c>
    </row>
    <row r="103" spans="1:22" x14ac:dyDescent="0.35">
      <c r="A103" s="9">
        <v>0.4</v>
      </c>
      <c r="B103" s="9">
        <v>0.2</v>
      </c>
      <c r="C103" s="9">
        <v>3.665</v>
      </c>
      <c r="D103" s="9">
        <v>0.78500000000000003</v>
      </c>
      <c r="E103" s="9">
        <v>1.4</v>
      </c>
      <c r="F103" s="9">
        <v>0</v>
      </c>
      <c r="G103" s="9">
        <v>0</v>
      </c>
      <c r="N103" s="9">
        <v>0.37677166601153261</v>
      </c>
      <c r="O103" s="9">
        <v>0.16540101103758872</v>
      </c>
      <c r="P103" s="9">
        <v>3.6551188547998374</v>
      </c>
      <c r="Q103" s="9">
        <v>0.82180038714952475</v>
      </c>
      <c r="R103" s="10">
        <v>1.4545717669229255E-5</v>
      </c>
      <c r="S103" s="8">
        <f t="shared" si="10"/>
        <v>2.3228333988467409E-2</v>
      </c>
      <c r="T103" s="8">
        <f t="shared" si="7"/>
        <v>3.4598988962411287E-2</v>
      </c>
      <c r="U103" s="8">
        <f t="shared" si="8"/>
        <v>9.8811452001625888E-3</v>
      </c>
      <c r="V103" s="8">
        <f t="shared" si="9"/>
        <v>3.6800387149524716E-2</v>
      </c>
    </row>
    <row r="104" spans="1:22" x14ac:dyDescent="0.35">
      <c r="A104" s="9">
        <v>0.4</v>
      </c>
      <c r="B104" s="9">
        <v>0.1</v>
      </c>
      <c r="C104" s="9">
        <v>3.665</v>
      </c>
      <c r="D104" s="9">
        <v>1.571</v>
      </c>
      <c r="E104" s="9">
        <v>1.4</v>
      </c>
      <c r="F104" s="9">
        <v>0</v>
      </c>
      <c r="G104" s="9">
        <v>0</v>
      </c>
      <c r="N104" s="9">
        <v>0.38085003585637339</v>
      </c>
      <c r="O104" s="9">
        <v>0.15693703134737169</v>
      </c>
      <c r="P104" s="9">
        <v>3.4274995339249936</v>
      </c>
      <c r="Q104" s="9">
        <v>2.2224057394950383</v>
      </c>
      <c r="R104" s="10">
        <v>2.7245642968558786E-4</v>
      </c>
      <c r="S104" s="8">
        <f t="shared" si="10"/>
        <v>1.914996414362663E-2</v>
      </c>
      <c r="T104" s="8">
        <f t="shared" si="7"/>
        <v>5.6937031347371686E-2</v>
      </c>
      <c r="U104" s="8">
        <f t="shared" si="8"/>
        <v>0.23750046607500641</v>
      </c>
      <c r="V104" s="8">
        <f t="shared" si="9"/>
        <v>0.65140573949503833</v>
      </c>
    </row>
    <row r="105" spans="1:22" x14ac:dyDescent="0.35">
      <c r="A105" s="9">
        <v>0.7</v>
      </c>
      <c r="B105" s="9">
        <v>0.1</v>
      </c>
      <c r="C105" s="9">
        <v>3.665</v>
      </c>
      <c r="D105" s="9">
        <v>1.571</v>
      </c>
      <c r="E105" s="9">
        <v>1.4</v>
      </c>
      <c r="F105" s="9">
        <v>0</v>
      </c>
      <c r="G105" s="9">
        <v>0</v>
      </c>
      <c r="N105" s="9">
        <v>0.79218357813853812</v>
      </c>
      <c r="O105" s="9">
        <v>8.2695770024877685E-2</v>
      </c>
      <c r="P105" s="9">
        <v>3.5460697568133814</v>
      </c>
      <c r="Q105" s="9">
        <v>1.7569833550010971</v>
      </c>
      <c r="R105" s="10">
        <v>2.9568014778222942E-4</v>
      </c>
      <c r="S105" s="8">
        <f t="shared" si="10"/>
        <v>9.2183578138538169E-2</v>
      </c>
      <c r="T105" s="8">
        <f t="shared" si="7"/>
        <v>1.7304229975122321E-2</v>
      </c>
      <c r="U105" s="8">
        <f t="shared" si="8"/>
        <v>0.1189302431866186</v>
      </c>
      <c r="V105" s="8">
        <f t="shared" si="9"/>
        <v>0.18598335500109719</v>
      </c>
    </row>
    <row r="106" spans="1:22" x14ac:dyDescent="0.35">
      <c r="A106" s="9">
        <v>0.4</v>
      </c>
      <c r="B106" s="9">
        <v>0.16</v>
      </c>
      <c r="C106" s="9">
        <v>3.665</v>
      </c>
      <c r="D106" s="9">
        <v>1.571</v>
      </c>
      <c r="E106" s="9">
        <v>0</v>
      </c>
      <c r="F106" s="9">
        <v>0</v>
      </c>
      <c r="G106" s="9">
        <v>0</v>
      </c>
      <c r="N106" s="9">
        <v>0.31145553455060254</v>
      </c>
      <c r="O106" s="9">
        <v>0.16503147926909364</v>
      </c>
      <c r="P106" s="9">
        <v>3.8314966878977907</v>
      </c>
      <c r="Q106" s="9">
        <v>1.3237343690724592</v>
      </c>
      <c r="R106" s="10">
        <v>3.5287617984427295E-4</v>
      </c>
      <c r="S106" s="8">
        <f t="shared" si="10"/>
        <v>8.854446544939748E-2</v>
      </c>
      <c r="T106" s="8">
        <f t="shared" si="7"/>
        <v>5.0314792690936416E-3</v>
      </c>
      <c r="U106" s="8">
        <f t="shared" si="8"/>
        <v>0.16649668789779071</v>
      </c>
      <c r="V106" s="8">
        <f t="shared" si="9"/>
        <v>0.24726563092754072</v>
      </c>
    </row>
    <row r="107" spans="1:22" x14ac:dyDescent="0.35">
      <c r="A107" s="9">
        <v>0.3</v>
      </c>
      <c r="B107" s="9">
        <v>0.18</v>
      </c>
      <c r="C107" s="9">
        <v>3.665</v>
      </c>
      <c r="D107" s="9">
        <v>1.571</v>
      </c>
      <c r="E107" s="9">
        <v>0</v>
      </c>
      <c r="F107" s="9">
        <v>0</v>
      </c>
      <c r="G107" s="9">
        <v>0</v>
      </c>
      <c r="N107" s="9">
        <v>0.56466583829977235</v>
      </c>
      <c r="O107" s="9">
        <v>0.12101209420311469</v>
      </c>
      <c r="P107" s="9">
        <v>4.0412345108506642</v>
      </c>
      <c r="Q107" s="9">
        <v>2.4717699366745678</v>
      </c>
      <c r="R107" s="10">
        <v>5.806387317027461E-4</v>
      </c>
      <c r="S107" s="8">
        <f t="shared" si="10"/>
        <v>0.26466583829977236</v>
      </c>
      <c r="T107" s="8">
        <f t="shared" si="7"/>
        <v>5.8987905796885301E-2</v>
      </c>
      <c r="U107" s="8">
        <f t="shared" si="8"/>
        <v>0.37623451085066417</v>
      </c>
      <c r="V107" s="8">
        <f t="shared" si="9"/>
        <v>0.90076993667456784</v>
      </c>
    </row>
    <row r="108" spans="1:22" x14ac:dyDescent="0.35">
      <c r="A108" s="9">
        <v>0.3</v>
      </c>
      <c r="B108" s="9">
        <v>0.08</v>
      </c>
      <c r="C108" s="9">
        <v>1.571</v>
      </c>
      <c r="D108" s="9">
        <v>0.78500000000000003</v>
      </c>
      <c r="E108" s="9">
        <v>1.4</v>
      </c>
      <c r="F108" s="9">
        <v>0</v>
      </c>
      <c r="G108" s="9">
        <v>0</v>
      </c>
      <c r="N108" s="9">
        <v>0.29090172927822788</v>
      </c>
      <c r="O108" s="9">
        <v>9.588820633463882E-2</v>
      </c>
      <c r="P108" s="9">
        <v>1.9954171140816885</v>
      </c>
      <c r="Q108" s="9">
        <v>0.7912854620352292</v>
      </c>
      <c r="R108" s="10">
        <v>6.1710369321498897E-5</v>
      </c>
      <c r="S108" s="8">
        <f t="shared" si="10"/>
        <v>9.0982707217721059E-3</v>
      </c>
      <c r="T108" s="8">
        <f t="shared" si="7"/>
        <v>1.5888206334638819E-2</v>
      </c>
      <c r="U108" s="8">
        <f t="shared" si="8"/>
        <v>0.42441711408168858</v>
      </c>
      <c r="V108" s="8">
        <f t="shared" si="9"/>
        <v>6.2854620352291724E-3</v>
      </c>
    </row>
    <row r="109" spans="1:22" x14ac:dyDescent="0.35">
      <c r="A109" s="9">
        <v>0.4</v>
      </c>
      <c r="B109" s="9">
        <v>0.14000000000000001</v>
      </c>
      <c r="C109" s="9">
        <v>1.571</v>
      </c>
      <c r="D109" s="9">
        <v>0.78500000000000003</v>
      </c>
      <c r="E109" s="9">
        <v>0</v>
      </c>
      <c r="F109" s="9">
        <v>0</v>
      </c>
      <c r="G109" s="9">
        <v>0</v>
      </c>
      <c r="N109" s="9">
        <v>0.48753601523733076</v>
      </c>
      <c r="O109" s="9">
        <v>9.5318260539370134E-2</v>
      </c>
      <c r="P109" s="9">
        <v>1.3668700840932344</v>
      </c>
      <c r="Q109" s="9">
        <v>0.72296235535865283</v>
      </c>
      <c r="R109" s="10">
        <v>1.3902128853394201E-4</v>
      </c>
      <c r="S109" s="8">
        <f t="shared" si="10"/>
        <v>8.7536015237330733E-2</v>
      </c>
      <c r="T109" s="8">
        <f t="shared" si="7"/>
        <v>4.468173946062988E-2</v>
      </c>
      <c r="U109" s="8">
        <f t="shared" si="8"/>
        <v>0.20412991590676555</v>
      </c>
      <c r="V109" s="8">
        <f t="shared" si="9"/>
        <v>6.20376446413472E-2</v>
      </c>
    </row>
    <row r="110" spans="1:22" x14ac:dyDescent="0.35">
      <c r="A110" s="9">
        <v>0.6</v>
      </c>
      <c r="B110" s="9">
        <v>0.16</v>
      </c>
      <c r="C110" s="9">
        <v>1.571</v>
      </c>
      <c r="D110" s="9">
        <v>0.78500000000000003</v>
      </c>
      <c r="E110" s="9">
        <v>1.4</v>
      </c>
      <c r="F110" s="9">
        <v>0</v>
      </c>
      <c r="G110" s="9">
        <v>0</v>
      </c>
      <c r="N110" s="9">
        <v>0.53293770765990356</v>
      </c>
      <c r="O110" s="9">
        <v>0.15741488715820046</v>
      </c>
      <c r="P110" s="9">
        <v>1.7428963934306152</v>
      </c>
      <c r="Q110" s="9">
        <v>1.0526262338882366</v>
      </c>
      <c r="R110" s="10">
        <v>2.4812063169406066E-5</v>
      </c>
      <c r="S110" s="8">
        <f t="shared" si="10"/>
        <v>6.7062292340096419E-2</v>
      </c>
      <c r="T110" s="8">
        <f t="shared" si="7"/>
        <v>2.5851128417995473E-3</v>
      </c>
      <c r="U110" s="8">
        <f t="shared" si="8"/>
        <v>0.17189639343061525</v>
      </c>
      <c r="V110" s="8">
        <f t="shared" si="9"/>
        <v>0.26762623388823659</v>
      </c>
    </row>
    <row r="111" spans="1:22" x14ac:dyDescent="0.35">
      <c r="A111" s="9">
        <v>0.4</v>
      </c>
      <c r="B111" s="9">
        <v>0.06</v>
      </c>
      <c r="C111" s="9">
        <v>1.571</v>
      </c>
      <c r="D111" s="9">
        <v>1.571</v>
      </c>
      <c r="E111" s="9">
        <v>1.4</v>
      </c>
      <c r="F111" s="9">
        <v>0</v>
      </c>
      <c r="G111" s="9">
        <v>0</v>
      </c>
      <c r="N111" s="9">
        <v>0.36269070144191573</v>
      </c>
      <c r="O111" s="9">
        <v>7.0369245945824291E-2</v>
      </c>
      <c r="P111" s="9">
        <v>2.0580031607041147</v>
      </c>
      <c r="Q111" s="9">
        <v>1.0941151052629114</v>
      </c>
      <c r="R111" s="10">
        <v>6.4980123383195584E-4</v>
      </c>
      <c r="S111" s="8">
        <f t="shared" si="10"/>
        <v>3.7309298558084292E-2</v>
      </c>
      <c r="T111" s="8">
        <f t="shared" si="7"/>
        <v>1.0369245945824293E-2</v>
      </c>
      <c r="U111" s="8">
        <f t="shared" si="8"/>
        <v>0.48700316070411476</v>
      </c>
      <c r="V111" s="8">
        <f t="shared" si="9"/>
        <v>0.4768848947370885</v>
      </c>
    </row>
    <row r="112" spans="1:22" x14ac:dyDescent="0.35">
      <c r="A112" s="9">
        <v>0.8</v>
      </c>
      <c r="B112" s="9">
        <v>0.08</v>
      </c>
      <c r="C112" s="9">
        <v>1.571</v>
      </c>
      <c r="D112" s="9">
        <v>1.571</v>
      </c>
      <c r="E112" s="9">
        <v>0</v>
      </c>
      <c r="F112" s="9">
        <v>0</v>
      </c>
      <c r="G112" s="9">
        <v>0</v>
      </c>
      <c r="N112" s="9">
        <v>0.73837144498530827</v>
      </c>
      <c r="O112" s="9">
        <v>7.7025862179363691E-2</v>
      </c>
      <c r="P112" s="9">
        <v>1.5707857276275954</v>
      </c>
      <c r="Q112" s="9">
        <v>1.6887591345562736</v>
      </c>
      <c r="R112" s="10">
        <v>1.1551578450361763E-5</v>
      </c>
      <c r="S112" s="8">
        <f t="shared" si="10"/>
        <v>6.1628555014691777E-2</v>
      </c>
      <c r="T112" s="8">
        <f t="shared" si="7"/>
        <v>2.9741378206363106E-3</v>
      </c>
      <c r="U112" s="8">
        <f t="shared" si="8"/>
        <v>2.1427237240456698E-4</v>
      </c>
      <c r="V112" s="8">
        <f t="shared" si="9"/>
        <v>0.11775913455627363</v>
      </c>
    </row>
    <row r="113" spans="1:22" x14ac:dyDescent="0.35">
      <c r="A113" s="9">
        <v>0.7</v>
      </c>
      <c r="B113" s="9">
        <v>0.16</v>
      </c>
      <c r="C113" s="9">
        <v>1.571</v>
      </c>
      <c r="D113" s="9">
        <v>1.571</v>
      </c>
      <c r="E113" s="9">
        <v>1.4</v>
      </c>
      <c r="F113" s="9">
        <v>0</v>
      </c>
      <c r="G113" s="9">
        <v>0</v>
      </c>
      <c r="N113" s="9">
        <v>0.84882805472277445</v>
      </c>
      <c r="O113" s="9">
        <v>0.12955014834831241</v>
      </c>
      <c r="P113" s="9">
        <v>1.6665925174695033</v>
      </c>
      <c r="Q113" s="9">
        <v>1.9409945694142998</v>
      </c>
      <c r="R113" s="10">
        <v>8.0815611202805548E-5</v>
      </c>
      <c r="S113" s="8">
        <f t="shared" si="10"/>
        <v>0.14882805472277449</v>
      </c>
      <c r="T113" s="8">
        <f t="shared" si="7"/>
        <v>3.0449851651687593E-2</v>
      </c>
      <c r="U113" s="8">
        <f t="shared" si="8"/>
        <v>9.5592517469503369E-2</v>
      </c>
      <c r="V113" s="8">
        <f t="shared" si="9"/>
        <v>0.36999456941429987</v>
      </c>
    </row>
    <row r="114" spans="1:22" x14ac:dyDescent="0.35">
      <c r="A114" s="9">
        <v>0.7</v>
      </c>
      <c r="B114" s="9">
        <v>0.2</v>
      </c>
      <c r="C114" s="9">
        <v>1.571</v>
      </c>
      <c r="D114" s="9">
        <v>1.571</v>
      </c>
      <c r="E114" s="9">
        <v>0</v>
      </c>
      <c r="F114" s="9">
        <v>0</v>
      </c>
      <c r="G114" s="9">
        <v>0</v>
      </c>
      <c r="N114" s="9">
        <v>0.58977191356520986</v>
      </c>
      <c r="O114" s="9">
        <v>0.19999051628534084</v>
      </c>
      <c r="P114" s="9">
        <v>1.23805666742186</v>
      </c>
      <c r="Q114" s="9">
        <v>2.0416918691408661</v>
      </c>
      <c r="R114" s="10">
        <v>2.5528041301368727E-3</v>
      </c>
      <c r="S114" s="8">
        <f t="shared" si="10"/>
        <v>0.1102280864347901</v>
      </c>
      <c r="T114" s="8">
        <f t="shared" si="7"/>
        <v>9.4837146591697508E-6</v>
      </c>
      <c r="U114" s="8">
        <f t="shared" si="8"/>
        <v>0.33294333257813991</v>
      </c>
      <c r="V114" s="8">
        <f t="shared" si="9"/>
        <v>0.47069186914086614</v>
      </c>
    </row>
    <row r="115" spans="1:22" x14ac:dyDescent="0.35">
      <c r="A115" s="9">
        <v>0.7</v>
      </c>
      <c r="B115" s="9">
        <v>0.06</v>
      </c>
      <c r="C115" s="9">
        <v>3.665</v>
      </c>
      <c r="D115" s="9">
        <v>0.78500000000000003</v>
      </c>
      <c r="E115" s="9">
        <v>0</v>
      </c>
      <c r="F115" s="9">
        <v>0</v>
      </c>
      <c r="G115" s="9">
        <v>0</v>
      </c>
      <c r="N115" s="9">
        <v>0.81847836078444958</v>
      </c>
      <c r="O115" s="9">
        <v>4.3441608502724806E-2</v>
      </c>
      <c r="P115" s="9">
        <v>3.8293926608388813</v>
      </c>
      <c r="Q115" s="9">
        <v>0.98103251786300727</v>
      </c>
      <c r="R115" s="10">
        <v>4.072467848087417E-4</v>
      </c>
      <c r="S115" s="8">
        <f t="shared" si="10"/>
        <v>0.11847836078444962</v>
      </c>
      <c r="T115" s="8">
        <f t="shared" si="7"/>
        <v>1.6558391497275192E-2</v>
      </c>
      <c r="U115" s="8">
        <f t="shared" si="8"/>
        <v>0.16439266083888127</v>
      </c>
      <c r="V115" s="8">
        <f t="shared" si="9"/>
        <v>0.19603251786300724</v>
      </c>
    </row>
    <row r="116" spans="1:22" x14ac:dyDescent="0.35">
      <c r="A116" s="9">
        <v>0.6</v>
      </c>
      <c r="B116" s="9">
        <v>0.1</v>
      </c>
      <c r="C116" s="9">
        <v>3.665</v>
      </c>
      <c r="D116" s="9">
        <v>0.78500000000000003</v>
      </c>
      <c r="E116" s="9">
        <v>0</v>
      </c>
      <c r="F116" s="9">
        <v>0</v>
      </c>
      <c r="G116" s="9">
        <v>0</v>
      </c>
      <c r="N116" s="9">
        <v>0.76538846953611051</v>
      </c>
      <c r="O116" s="9">
        <v>7.5025194647044574E-2</v>
      </c>
      <c r="P116" s="9">
        <v>3.5729592402821382</v>
      </c>
      <c r="Q116" s="9">
        <v>0.75628858459730086</v>
      </c>
      <c r="R116" s="10">
        <v>1.6282139161385647E-4</v>
      </c>
      <c r="S116" s="8">
        <f t="shared" si="10"/>
        <v>0.16538846953611053</v>
      </c>
      <c r="T116" s="8">
        <f t="shared" si="7"/>
        <v>2.4974805352955431E-2</v>
      </c>
      <c r="U116" s="8">
        <f t="shared" si="8"/>
        <v>9.2040759717861853E-2</v>
      </c>
      <c r="V116" s="8">
        <f t="shared" si="9"/>
        <v>2.871141540269917E-2</v>
      </c>
    </row>
    <row r="117" spans="1:22" x14ac:dyDescent="0.35">
      <c r="A117" s="9">
        <v>0.8</v>
      </c>
      <c r="B117" s="9">
        <v>0.18</v>
      </c>
      <c r="C117" s="9">
        <v>3.665</v>
      </c>
      <c r="D117" s="9">
        <v>0.78500000000000003</v>
      </c>
      <c r="E117" s="9">
        <v>1.4</v>
      </c>
      <c r="F117" s="9">
        <v>0</v>
      </c>
      <c r="G117" s="9">
        <v>0</v>
      </c>
      <c r="N117" s="9">
        <v>0.74217528498746488</v>
      </c>
      <c r="O117" s="9">
        <v>0.19264458630530482</v>
      </c>
      <c r="P117" s="9">
        <v>3.6547558576035555</v>
      </c>
      <c r="Q117" s="9">
        <v>0.56560069885818509</v>
      </c>
      <c r="R117" s="10">
        <v>2.5061812452089797E-4</v>
      </c>
      <c r="S117" s="8">
        <f t="shared" si="10"/>
        <v>5.7824715012535166E-2</v>
      </c>
      <c r="T117" s="8">
        <f t="shared" si="7"/>
        <v>1.2644586305304822E-2</v>
      </c>
      <c r="U117" s="8">
        <f t="shared" si="8"/>
        <v>1.0244142396444555E-2</v>
      </c>
      <c r="V117" s="8">
        <f t="shared" si="9"/>
        <v>0.21939930114181494</v>
      </c>
    </row>
    <row r="118" spans="1:22" x14ac:dyDescent="0.35">
      <c r="A118" s="9">
        <v>0.4</v>
      </c>
      <c r="B118" s="9">
        <v>0.2</v>
      </c>
      <c r="C118" s="9">
        <v>3.665</v>
      </c>
      <c r="D118" s="9">
        <v>0.78500000000000003</v>
      </c>
      <c r="E118" s="9">
        <v>1.4</v>
      </c>
      <c r="F118" s="9">
        <v>0</v>
      </c>
      <c r="G118" s="9">
        <v>0</v>
      </c>
      <c r="N118" s="9">
        <v>0.33002268769996784</v>
      </c>
      <c r="O118" s="9">
        <v>0.13095992250862748</v>
      </c>
      <c r="P118" s="9">
        <v>3.7304042617700186</v>
      </c>
      <c r="Q118" s="9">
        <v>1.5523219581461702</v>
      </c>
      <c r="R118" s="10">
        <v>3.2483704992026861E-5</v>
      </c>
      <c r="S118" s="8">
        <f t="shared" si="10"/>
        <v>6.997731230003218E-2</v>
      </c>
      <c r="T118" s="8">
        <f t="shared" si="7"/>
        <v>6.9040077491372531E-2</v>
      </c>
      <c r="U118" s="8">
        <f t="shared" si="8"/>
        <v>6.5404261770018568E-2</v>
      </c>
      <c r="V118" s="8">
        <f t="shared" si="9"/>
        <v>0.76732195814617021</v>
      </c>
    </row>
    <row r="119" spans="1:22" x14ac:dyDescent="0.35">
      <c r="A119" s="9">
        <v>0.4</v>
      </c>
      <c r="B119" s="9">
        <v>0.1</v>
      </c>
      <c r="C119" s="9">
        <v>3.665</v>
      </c>
      <c r="D119" s="9">
        <v>1.571</v>
      </c>
      <c r="E119" s="9">
        <v>1.4</v>
      </c>
      <c r="F119" s="9">
        <v>0</v>
      </c>
      <c r="G119" s="9">
        <v>0</v>
      </c>
      <c r="N119" s="9">
        <v>0.41895117160472645</v>
      </c>
      <c r="O119" s="9">
        <v>6.9265130974799763E-2</v>
      </c>
      <c r="P119" s="9">
        <v>3.7295267098115512</v>
      </c>
      <c r="Q119" s="9">
        <v>1.4026815699356701</v>
      </c>
      <c r="R119" s="10">
        <v>1.1761847530103857E-5</v>
      </c>
      <c r="S119" s="8">
        <f t="shared" si="10"/>
        <v>1.8951171604726424E-2</v>
      </c>
      <c r="T119" s="8">
        <f t="shared" si="7"/>
        <v>3.0734869025200243E-2</v>
      </c>
      <c r="U119" s="8">
        <f t="shared" si="8"/>
        <v>6.4526709811551175E-2</v>
      </c>
      <c r="V119" s="8">
        <f t="shared" si="9"/>
        <v>0.16831843006432989</v>
      </c>
    </row>
    <row r="120" spans="1:22" x14ac:dyDescent="0.35">
      <c r="A120" s="9">
        <v>0.7</v>
      </c>
      <c r="B120" s="9">
        <v>0.1</v>
      </c>
      <c r="C120" s="9">
        <v>3.665</v>
      </c>
      <c r="D120" s="9">
        <v>1.571</v>
      </c>
      <c r="E120" s="9">
        <v>1.4</v>
      </c>
      <c r="F120" s="9">
        <v>0</v>
      </c>
      <c r="G120" s="9">
        <v>0</v>
      </c>
      <c r="N120" s="9">
        <v>0.69773429070092263</v>
      </c>
      <c r="O120" s="9">
        <v>0.11821656858377365</v>
      </c>
      <c r="P120" s="9">
        <v>3.6396263354516485</v>
      </c>
      <c r="Q120" s="9">
        <v>1.7058301101713242</v>
      </c>
      <c r="R120" s="10">
        <v>3.8930402242833842E-6</v>
      </c>
      <c r="S120" s="8">
        <f t="shared" si="10"/>
        <v>2.2657092990773231E-3</v>
      </c>
      <c r="T120" s="8">
        <f t="shared" si="7"/>
        <v>1.8216568583773643E-2</v>
      </c>
      <c r="U120" s="8">
        <f t="shared" si="8"/>
        <v>2.5373664548351549E-2</v>
      </c>
      <c r="V120" s="8">
        <f t="shared" si="9"/>
        <v>0.13483011017132429</v>
      </c>
    </row>
    <row r="121" spans="1:22" x14ac:dyDescent="0.35">
      <c r="A121" s="9">
        <v>0.4</v>
      </c>
      <c r="B121" s="9">
        <v>0.16</v>
      </c>
      <c r="C121" s="9">
        <v>3.665</v>
      </c>
      <c r="D121" s="9">
        <v>1.571</v>
      </c>
      <c r="E121" s="9">
        <v>0</v>
      </c>
      <c r="F121" s="9">
        <v>0</v>
      </c>
      <c r="G121" s="9">
        <v>0</v>
      </c>
      <c r="N121" s="9">
        <v>0.31955173984761137</v>
      </c>
      <c r="O121" s="9">
        <v>0.18143947355564469</v>
      </c>
      <c r="P121" s="9">
        <v>3.4100274856758359</v>
      </c>
      <c r="Q121" s="9">
        <v>1.7074321166426409</v>
      </c>
      <c r="R121" s="10">
        <v>3.0034299936495358E-4</v>
      </c>
      <c r="S121" s="8">
        <f t="shared" si="10"/>
        <v>8.0448260152388651E-2</v>
      </c>
      <c r="T121" s="8">
        <f t="shared" si="7"/>
        <v>2.1439473555644684E-2</v>
      </c>
      <c r="U121" s="8">
        <f t="shared" si="8"/>
        <v>0.25497251432416412</v>
      </c>
      <c r="V121" s="8">
        <f t="shared" si="9"/>
        <v>0.13643211664264099</v>
      </c>
    </row>
    <row r="122" spans="1:22" x14ac:dyDescent="0.35">
      <c r="A122" s="9">
        <v>0.3</v>
      </c>
      <c r="B122" s="9">
        <v>0.18</v>
      </c>
      <c r="C122" s="9">
        <v>3.665</v>
      </c>
      <c r="D122" s="9">
        <v>1.571</v>
      </c>
      <c r="E122" s="9">
        <v>0</v>
      </c>
      <c r="F122" s="9">
        <v>0</v>
      </c>
      <c r="G122" s="9">
        <v>0</v>
      </c>
      <c r="N122" s="9">
        <v>0.18643451137544148</v>
      </c>
      <c r="O122" s="9">
        <v>0.19999805778430807</v>
      </c>
      <c r="P122" s="9">
        <v>4.158642374852981</v>
      </c>
      <c r="Q122" s="9">
        <v>0.60925465350230024</v>
      </c>
      <c r="R122" s="10">
        <v>1.7834644787159475E-3</v>
      </c>
      <c r="S122" s="8">
        <f t="shared" si="10"/>
        <v>0.11356548862455851</v>
      </c>
      <c r="T122" s="8">
        <f t="shared" si="7"/>
        <v>1.9998057784308076E-2</v>
      </c>
      <c r="U122" s="8">
        <f t="shared" si="8"/>
        <v>0.49364237485298101</v>
      </c>
      <c r="V122" s="8">
        <f t="shared" si="9"/>
        <v>0.96174534649769972</v>
      </c>
    </row>
    <row r="123" spans="1:22" x14ac:dyDescent="0.35">
      <c r="A123" s="9">
        <v>0.3</v>
      </c>
      <c r="B123" s="9">
        <v>0.08</v>
      </c>
      <c r="C123" s="9">
        <v>1.571</v>
      </c>
      <c r="D123" s="9">
        <v>0.78500000000000003</v>
      </c>
      <c r="E123" s="9">
        <v>1.4</v>
      </c>
      <c r="F123" s="9">
        <v>0</v>
      </c>
      <c r="G123" s="9">
        <v>0</v>
      </c>
      <c r="N123" s="9">
        <v>0.33084904966897632</v>
      </c>
      <c r="O123" s="9">
        <v>3.4683240252517705E-2</v>
      </c>
      <c r="P123" s="9">
        <v>1.9628337949129757</v>
      </c>
      <c r="Q123" s="9">
        <v>0.86197785197275201</v>
      </c>
      <c r="R123" s="10">
        <v>8.2696559626905847E-5</v>
      </c>
      <c r="S123" s="8">
        <f t="shared" si="10"/>
        <v>3.0849049668976336E-2</v>
      </c>
      <c r="T123" s="8">
        <f t="shared" si="7"/>
        <v>4.5316759747482296E-2</v>
      </c>
      <c r="U123" s="8">
        <f t="shared" si="8"/>
        <v>0.39183379491297576</v>
      </c>
      <c r="V123" s="8">
        <f t="shared" si="9"/>
        <v>7.6977851972751976E-2</v>
      </c>
    </row>
    <row r="124" spans="1:22" x14ac:dyDescent="0.35">
      <c r="A124" s="9">
        <v>0.4</v>
      </c>
      <c r="B124" s="9">
        <v>0.14000000000000001</v>
      </c>
      <c r="C124" s="9">
        <v>1.571</v>
      </c>
      <c r="D124" s="9">
        <v>0.78500000000000003</v>
      </c>
      <c r="E124" s="9">
        <v>0</v>
      </c>
      <c r="F124" s="9">
        <v>0</v>
      </c>
      <c r="G124" s="9">
        <v>0</v>
      </c>
      <c r="N124" s="9">
        <v>0.25708416431258785</v>
      </c>
      <c r="O124" s="9">
        <v>0.18151129913986294</v>
      </c>
      <c r="P124" s="9">
        <v>1.512791898099052</v>
      </c>
      <c r="Q124" s="9">
        <v>1.1724202704480451</v>
      </c>
      <c r="R124" s="10">
        <v>1.1070666166237095E-5</v>
      </c>
      <c r="S124" s="8">
        <f t="shared" si="10"/>
        <v>0.14291583568741217</v>
      </c>
      <c r="T124" s="8">
        <f t="shared" si="7"/>
        <v>4.1511299139862928E-2</v>
      </c>
      <c r="U124" s="8">
        <f t="shared" si="8"/>
        <v>5.8208101900947939E-2</v>
      </c>
      <c r="V124" s="8">
        <f t="shared" si="9"/>
        <v>0.38742027044804506</v>
      </c>
    </row>
    <row r="125" spans="1:22" x14ac:dyDescent="0.35">
      <c r="A125" s="9">
        <v>0.6</v>
      </c>
      <c r="B125" s="9">
        <v>0.16</v>
      </c>
      <c r="C125" s="9">
        <v>1.571</v>
      </c>
      <c r="D125" s="9">
        <v>0.78500000000000003</v>
      </c>
      <c r="E125" s="9">
        <v>1.4</v>
      </c>
      <c r="F125" s="9">
        <v>0</v>
      </c>
      <c r="G125" s="9">
        <v>0</v>
      </c>
      <c r="N125" s="9">
        <v>0.55345270259970747</v>
      </c>
      <c r="O125" s="9">
        <v>0.16670446500678404</v>
      </c>
      <c r="P125" s="9">
        <v>1.7722683349972392</v>
      </c>
      <c r="Q125" s="9">
        <v>0.92830742287315171</v>
      </c>
      <c r="R125" s="10">
        <v>2.7145751548377322E-5</v>
      </c>
      <c r="S125" s="8">
        <f t="shared" si="10"/>
        <v>4.6547297400292509E-2</v>
      </c>
      <c r="T125" s="8">
        <f t="shared" si="7"/>
        <v>6.7044650067840383E-3</v>
      </c>
      <c r="U125" s="8">
        <f t="shared" si="8"/>
        <v>0.20126833499723928</v>
      </c>
      <c r="V125" s="8">
        <f t="shared" si="9"/>
        <v>0.14330742287315168</v>
      </c>
    </row>
    <row r="126" spans="1:22" x14ac:dyDescent="0.35">
      <c r="A126" s="9">
        <v>0.4</v>
      </c>
      <c r="B126" s="9">
        <v>0.06</v>
      </c>
      <c r="C126" s="9">
        <v>1.571</v>
      </c>
      <c r="D126" s="9">
        <v>1.571</v>
      </c>
      <c r="E126" s="9">
        <v>1.4</v>
      </c>
      <c r="F126" s="9">
        <v>0</v>
      </c>
      <c r="G126" s="9">
        <v>0</v>
      </c>
      <c r="N126" s="9">
        <v>0.47879313796246409</v>
      </c>
      <c r="O126" s="9">
        <v>3.0110718099588065E-2</v>
      </c>
      <c r="P126" s="9">
        <v>1.4667627105425418</v>
      </c>
      <c r="Q126" s="9">
        <v>1.3033955930786183</v>
      </c>
      <c r="R126" s="10">
        <v>2.9460226710658394E-5</v>
      </c>
      <c r="S126" s="8">
        <f t="shared" si="10"/>
        <v>7.8793137962464066E-2</v>
      </c>
      <c r="T126" s="8">
        <f t="shared" si="7"/>
        <v>2.9889281900411933E-2</v>
      </c>
      <c r="U126" s="8">
        <f t="shared" si="8"/>
        <v>0.10423728945745814</v>
      </c>
      <c r="V126" s="8">
        <f t="shared" si="9"/>
        <v>0.26760440692138165</v>
      </c>
    </row>
    <row r="127" spans="1:22" x14ac:dyDescent="0.35">
      <c r="A127" s="9">
        <v>0.8</v>
      </c>
      <c r="B127" s="9">
        <v>0.08</v>
      </c>
      <c r="C127" s="9">
        <v>1.571</v>
      </c>
      <c r="D127" s="9">
        <v>1.571</v>
      </c>
      <c r="E127" s="9">
        <v>0</v>
      </c>
      <c r="F127" s="9">
        <v>0</v>
      </c>
      <c r="G127" s="9">
        <v>0</v>
      </c>
      <c r="N127" s="9">
        <v>0.71242215636917627</v>
      </c>
      <c r="O127" s="9">
        <v>8.4195107471487105E-2</v>
      </c>
      <c r="P127" s="9">
        <v>1.5225566403695836</v>
      </c>
      <c r="Q127" s="9">
        <v>1.622357560099053</v>
      </c>
      <c r="R127" s="10">
        <v>2.2113829204412101E-5</v>
      </c>
      <c r="S127" s="8">
        <f t="shared" si="10"/>
        <v>8.7577843630823771E-2</v>
      </c>
      <c r="T127" s="8">
        <f t="shared" si="7"/>
        <v>4.1951074714871028E-3</v>
      </c>
      <c r="U127" s="8">
        <f t="shared" si="8"/>
        <v>4.8443359630416349E-2</v>
      </c>
      <c r="V127" s="8">
        <f t="shared" si="9"/>
        <v>5.1357560099053012E-2</v>
      </c>
    </row>
    <row r="128" spans="1:22" x14ac:dyDescent="0.35">
      <c r="A128" s="9">
        <v>0.7</v>
      </c>
      <c r="B128" s="9">
        <v>0.16</v>
      </c>
      <c r="C128" s="9">
        <v>1.571</v>
      </c>
      <c r="D128" s="9">
        <v>1.571</v>
      </c>
      <c r="E128" s="9">
        <v>1.4</v>
      </c>
      <c r="F128" s="9">
        <v>0</v>
      </c>
      <c r="G128" s="9">
        <v>0</v>
      </c>
      <c r="N128" s="9">
        <v>0.40696894759286767</v>
      </c>
      <c r="O128" s="9">
        <v>0.19999508906761601</v>
      </c>
      <c r="P128" s="9">
        <v>1.8557307632208584</v>
      </c>
      <c r="Q128" s="9">
        <v>1.6220574474452978</v>
      </c>
      <c r="R128" s="10">
        <v>1.6439868349020089E-3</v>
      </c>
      <c r="S128" s="8">
        <f t="shared" si="10"/>
        <v>0.29303105240713229</v>
      </c>
      <c r="T128" s="8">
        <f t="shared" si="7"/>
        <v>3.9995089067616008E-2</v>
      </c>
      <c r="U128" s="8">
        <f t="shared" si="8"/>
        <v>0.28473076322085844</v>
      </c>
      <c r="V128" s="8">
        <f t="shared" si="9"/>
        <v>5.1057447445297832E-2</v>
      </c>
    </row>
    <row r="129" spans="1:22" x14ac:dyDescent="0.35">
      <c r="A129" s="9">
        <v>0.7</v>
      </c>
      <c r="B129" s="9">
        <v>0.2</v>
      </c>
      <c r="C129" s="9">
        <v>1.571</v>
      </c>
      <c r="D129" s="9">
        <v>1.571</v>
      </c>
      <c r="E129" s="9">
        <v>0</v>
      </c>
      <c r="F129" s="9">
        <v>0</v>
      </c>
      <c r="G129" s="9">
        <v>0</v>
      </c>
      <c r="N129" s="9">
        <v>0.5598015083159108</v>
      </c>
      <c r="O129" s="9">
        <v>0.19364216263175291</v>
      </c>
      <c r="P129" s="9">
        <v>0.84225669024224059</v>
      </c>
      <c r="Q129" s="9">
        <v>2.047068073346511</v>
      </c>
      <c r="R129" s="10">
        <v>7.4922803912207941E-3</v>
      </c>
      <c r="S129" s="8">
        <f t="shared" si="10"/>
        <v>0.14019849168408915</v>
      </c>
      <c r="T129" s="8">
        <f t="shared" si="7"/>
        <v>6.3578373682471045E-3</v>
      </c>
      <c r="U129" s="8">
        <f t="shared" si="8"/>
        <v>0.72874330975775936</v>
      </c>
      <c r="V129" s="8">
        <f t="shared" si="9"/>
        <v>0.47606807334651102</v>
      </c>
    </row>
    <row r="130" spans="1:22" x14ac:dyDescent="0.35">
      <c r="A130" s="9">
        <v>0.7</v>
      </c>
      <c r="B130" s="9">
        <v>0.06</v>
      </c>
      <c r="C130" s="9">
        <v>3.665</v>
      </c>
      <c r="D130" s="9">
        <v>0.78500000000000003</v>
      </c>
      <c r="E130" s="9">
        <v>0</v>
      </c>
      <c r="F130" s="9">
        <v>0</v>
      </c>
      <c r="G130" s="9">
        <v>0</v>
      </c>
      <c r="N130" s="9">
        <v>0.70981463388992272</v>
      </c>
      <c r="O130" s="9">
        <v>6.7756885205329451E-2</v>
      </c>
      <c r="P130" s="9">
        <v>3.5465901683865089</v>
      </c>
      <c r="Q130" s="9">
        <v>0.91177795639443138</v>
      </c>
      <c r="R130" s="10">
        <v>4.1218961898932749E-5</v>
      </c>
      <c r="S130" s="8">
        <f t="shared" si="10"/>
        <v>9.8146338899227636E-3</v>
      </c>
      <c r="T130" s="8">
        <f t="shared" si="7"/>
        <v>7.7568852053294529E-3</v>
      </c>
      <c r="U130" s="8">
        <f t="shared" si="8"/>
        <v>0.11840983161349117</v>
      </c>
      <c r="V130" s="8">
        <f t="shared" si="9"/>
        <v>0.12677795639443135</v>
      </c>
    </row>
    <row r="131" spans="1:22" x14ac:dyDescent="0.35">
      <c r="A131" s="9">
        <v>0.6</v>
      </c>
      <c r="B131" s="9">
        <v>0.1</v>
      </c>
      <c r="C131" s="9">
        <v>3.665</v>
      </c>
      <c r="D131" s="9">
        <v>0.78500000000000003</v>
      </c>
      <c r="E131" s="9">
        <v>0</v>
      </c>
      <c r="F131" s="9">
        <v>0</v>
      </c>
      <c r="G131" s="9">
        <v>0</v>
      </c>
      <c r="N131" s="9">
        <v>0.7241389442662941</v>
      </c>
      <c r="O131" s="9">
        <v>8.086552819137105E-2</v>
      </c>
      <c r="P131" s="9">
        <v>3.5543635246156664</v>
      </c>
      <c r="Q131" s="9">
        <v>0.74200469371129496</v>
      </c>
      <c r="R131" s="10">
        <v>8.4085057687090028E-5</v>
      </c>
      <c r="S131" s="8">
        <f t="shared" si="10"/>
        <v>0.12413894426629413</v>
      </c>
      <c r="T131" s="8">
        <f t="shared" si="7"/>
        <v>1.9134471808628956E-2</v>
      </c>
      <c r="U131" s="8">
        <f t="shared" si="8"/>
        <v>0.11063647538433363</v>
      </c>
      <c r="V131" s="8">
        <f t="shared" si="9"/>
        <v>4.2995306288705071E-2</v>
      </c>
    </row>
    <row r="132" spans="1:22" x14ac:dyDescent="0.35">
      <c r="A132" s="9">
        <v>0.8</v>
      </c>
      <c r="B132" s="9">
        <v>0.18</v>
      </c>
      <c r="C132" s="9">
        <v>3.665</v>
      </c>
      <c r="D132" s="9">
        <v>0.78500000000000003</v>
      </c>
      <c r="E132" s="9">
        <v>1.4</v>
      </c>
      <c r="F132" s="9">
        <v>0</v>
      </c>
      <c r="G132" s="9">
        <v>0</v>
      </c>
      <c r="N132" s="9">
        <v>0.78270422126225336</v>
      </c>
      <c r="O132" s="9">
        <v>0.16097576005203687</v>
      </c>
      <c r="P132" s="9">
        <v>3.7407405501092459</v>
      </c>
      <c r="Q132" s="9">
        <v>0.76975501724325501</v>
      </c>
      <c r="R132" s="10">
        <v>1.9459499923008163E-4</v>
      </c>
      <c r="S132" s="8">
        <f t="shared" si="10"/>
        <v>1.7295778737746681E-2</v>
      </c>
      <c r="T132" s="8">
        <f t="shared" si="7"/>
        <v>1.9024239947963123E-2</v>
      </c>
      <c r="U132" s="8">
        <f t="shared" si="8"/>
        <v>7.5740550109245852E-2</v>
      </c>
      <c r="V132" s="8">
        <f t="shared" si="9"/>
        <v>1.5244982756745018E-2</v>
      </c>
    </row>
    <row r="133" spans="1:22" x14ac:dyDescent="0.35">
      <c r="A133" s="9">
        <v>0.4</v>
      </c>
      <c r="B133" s="9">
        <v>0.2</v>
      </c>
      <c r="C133" s="9">
        <v>3.665</v>
      </c>
      <c r="D133" s="9">
        <v>0.78500000000000003</v>
      </c>
      <c r="E133" s="9">
        <v>1.4</v>
      </c>
      <c r="F133" s="9">
        <v>0</v>
      </c>
      <c r="G133" s="9">
        <v>0</v>
      </c>
      <c r="N133" s="9">
        <v>0.3277740049276256</v>
      </c>
      <c r="O133" s="9">
        <v>0.1587932465538878</v>
      </c>
      <c r="P133" s="9">
        <v>3.6953886644326319</v>
      </c>
      <c r="Q133" s="9">
        <v>1.7328339101005874</v>
      </c>
      <c r="R133" s="10">
        <v>4.250383650048529E-5</v>
      </c>
      <c r="S133" s="8">
        <f t="shared" si="10"/>
        <v>7.2225995072374427E-2</v>
      </c>
      <c r="T133" s="8">
        <f t="shared" si="7"/>
        <v>4.1206753446112215E-2</v>
      </c>
      <c r="U133" s="8">
        <f t="shared" si="8"/>
        <v>3.0388664432631884E-2</v>
      </c>
      <c r="V133" s="8">
        <f t="shared" si="9"/>
        <v>0.94783391010058737</v>
      </c>
    </row>
    <row r="134" spans="1:22" x14ac:dyDescent="0.35">
      <c r="A134" s="9">
        <v>0.4</v>
      </c>
      <c r="B134" s="9">
        <v>0.1</v>
      </c>
      <c r="C134" s="9">
        <v>3.665</v>
      </c>
      <c r="D134" s="9">
        <v>1.571</v>
      </c>
      <c r="E134" s="9">
        <v>1.4</v>
      </c>
      <c r="F134" s="9">
        <v>0</v>
      </c>
      <c r="G134" s="9">
        <v>0</v>
      </c>
      <c r="N134" s="9">
        <v>0.22645224979920517</v>
      </c>
      <c r="O134" s="9">
        <v>0.19998582093111886</v>
      </c>
      <c r="P134" s="9">
        <v>3.5241386969892612</v>
      </c>
      <c r="Q134" s="9">
        <v>1.386123740927629</v>
      </c>
      <c r="R134" s="10">
        <v>8.6545461172161256E-5</v>
      </c>
      <c r="S134" s="8">
        <f t="shared" si="10"/>
        <v>0.17354775020079485</v>
      </c>
      <c r="T134" s="8">
        <f t="shared" si="7"/>
        <v>9.9985820931118852E-2</v>
      </c>
      <c r="U134" s="8">
        <f t="shared" si="8"/>
        <v>0.14086130301073885</v>
      </c>
      <c r="V134" s="8">
        <f t="shared" si="9"/>
        <v>0.18487625907237093</v>
      </c>
    </row>
    <row r="135" spans="1:22" x14ac:dyDescent="0.35">
      <c r="A135" s="9">
        <v>0.7</v>
      </c>
      <c r="B135" s="9">
        <v>0.1</v>
      </c>
      <c r="C135" s="9">
        <v>3.665</v>
      </c>
      <c r="D135" s="9">
        <v>1.571</v>
      </c>
      <c r="E135" s="9">
        <v>1.4</v>
      </c>
      <c r="F135" s="9">
        <v>0</v>
      </c>
      <c r="G135" s="9">
        <v>0</v>
      </c>
      <c r="N135" s="9">
        <v>0.74031484838962869</v>
      </c>
      <c r="O135" s="9">
        <v>0.11039994658259511</v>
      </c>
      <c r="P135" s="9">
        <v>3.6428950362565824</v>
      </c>
      <c r="Q135" s="9">
        <v>1.7493663368056105</v>
      </c>
      <c r="R135" s="10">
        <v>1.1737185148608541E-5</v>
      </c>
      <c r="S135" s="8">
        <f t="shared" si="10"/>
        <v>4.0314848389628732E-2</v>
      </c>
      <c r="T135" s="8">
        <f t="shared" si="7"/>
        <v>1.0399946582595104E-2</v>
      </c>
      <c r="U135" s="8">
        <f t="shared" si="8"/>
        <v>2.2104963743417638E-2</v>
      </c>
      <c r="V135" s="8">
        <f t="shared" si="9"/>
        <v>0.17836633680561054</v>
      </c>
    </row>
    <row r="136" spans="1:22" x14ac:dyDescent="0.35">
      <c r="A136" s="9">
        <v>0.4</v>
      </c>
      <c r="B136" s="9">
        <v>0.16</v>
      </c>
      <c r="C136" s="9">
        <v>3.665</v>
      </c>
      <c r="D136" s="9">
        <v>1.571</v>
      </c>
      <c r="E136" s="9">
        <v>0</v>
      </c>
      <c r="F136" s="9">
        <v>0</v>
      </c>
      <c r="G136" s="9">
        <v>0</v>
      </c>
      <c r="N136" s="9">
        <v>0.45887925906578575</v>
      </c>
      <c r="O136" s="9">
        <v>8.3953788837418511E-2</v>
      </c>
      <c r="P136" s="9">
        <v>3.7658708573175304</v>
      </c>
      <c r="Q136" s="9">
        <v>1.6632884549774276</v>
      </c>
      <c r="R136" s="10">
        <v>1.1933775001096371E-4</v>
      </c>
      <c r="S136" s="8">
        <f t="shared" si="10"/>
        <v>5.8879259065785727E-2</v>
      </c>
      <c r="T136" s="8">
        <f t="shared" si="7"/>
        <v>7.6046211162581492E-2</v>
      </c>
      <c r="U136" s="8">
        <f t="shared" si="8"/>
        <v>0.10087085731753032</v>
      </c>
      <c r="V136" s="8">
        <f t="shared" si="9"/>
        <v>9.2288454977427659E-2</v>
      </c>
    </row>
    <row r="137" spans="1:22" x14ac:dyDescent="0.35">
      <c r="A137" s="9">
        <v>0.3</v>
      </c>
      <c r="B137" s="9">
        <v>0.18</v>
      </c>
      <c r="C137" s="9">
        <v>3.665</v>
      </c>
      <c r="D137" s="9">
        <v>1.571</v>
      </c>
      <c r="E137" s="9">
        <v>0</v>
      </c>
      <c r="F137" s="9">
        <v>0</v>
      </c>
      <c r="G137" s="9">
        <v>0</v>
      </c>
      <c r="N137" s="9">
        <v>0.19824982799718813</v>
      </c>
      <c r="O137" s="9">
        <v>0.19998973147925569</v>
      </c>
      <c r="P137" s="9">
        <v>3.9662957191211801</v>
      </c>
      <c r="Q137" s="9">
        <v>0.85754978026169426</v>
      </c>
      <c r="R137" s="10">
        <v>8.7104463284456317E-4</v>
      </c>
      <c r="S137" s="8">
        <f t="shared" si="10"/>
        <v>0.10175017200281186</v>
      </c>
      <c r="T137" s="8">
        <f t="shared" si="7"/>
        <v>1.9989731479255701E-2</v>
      </c>
      <c r="U137" s="8">
        <f t="shared" si="8"/>
        <v>0.30129571912118003</v>
      </c>
      <c r="V137" s="8">
        <f t="shared" si="9"/>
        <v>0.71345021973830569</v>
      </c>
    </row>
    <row r="138" spans="1:22" x14ac:dyDescent="0.35">
      <c r="A138" s="9">
        <v>0.3</v>
      </c>
      <c r="B138" s="9">
        <v>0.08</v>
      </c>
      <c r="C138" s="9">
        <v>1.571</v>
      </c>
      <c r="D138" s="9">
        <v>0.78500000000000003</v>
      </c>
      <c r="E138" s="9">
        <v>1.4</v>
      </c>
      <c r="F138" s="9">
        <v>0</v>
      </c>
      <c r="G138" s="9">
        <v>0</v>
      </c>
      <c r="N138" s="9">
        <v>0.2901109929716813</v>
      </c>
      <c r="O138" s="9">
        <v>3.5580085028075553E-2</v>
      </c>
      <c r="P138" s="9">
        <v>1.7637385741507638</v>
      </c>
      <c r="Q138" s="9">
        <v>1.0427240819603545</v>
      </c>
      <c r="R138" s="10">
        <v>7.1406214887101183E-5</v>
      </c>
      <c r="S138" s="8">
        <f t="shared" si="10"/>
        <v>9.8890070283186859E-3</v>
      </c>
      <c r="T138" s="8">
        <f t="shared" si="7"/>
        <v>4.4419914971924448E-2</v>
      </c>
      <c r="U138" s="8">
        <f t="shared" si="8"/>
        <v>0.1927385741507639</v>
      </c>
      <c r="V138" s="8">
        <f t="shared" si="9"/>
        <v>0.25772408196035446</v>
      </c>
    </row>
    <row r="139" spans="1:22" x14ac:dyDescent="0.35">
      <c r="A139" s="9">
        <v>0.4</v>
      </c>
      <c r="B139" s="9">
        <v>0.14000000000000001</v>
      </c>
      <c r="C139" s="9">
        <v>1.571</v>
      </c>
      <c r="D139" s="9">
        <v>0.78500000000000003</v>
      </c>
      <c r="E139" s="9">
        <v>0</v>
      </c>
      <c r="F139" s="9">
        <v>0</v>
      </c>
      <c r="G139" s="9">
        <v>0</v>
      </c>
      <c r="N139" s="9">
        <v>0.53791014313330265</v>
      </c>
      <c r="O139" s="9">
        <v>6.091001701229655E-2</v>
      </c>
      <c r="P139" s="9">
        <v>1.5899390254982915</v>
      </c>
      <c r="Q139" s="9">
        <v>0.94403777196371863</v>
      </c>
      <c r="R139" s="10">
        <v>4.897988332699388E-5</v>
      </c>
      <c r="S139" s="8">
        <f t="shared" si="10"/>
        <v>0.13791014313330263</v>
      </c>
      <c r="T139" s="8">
        <f t="shared" si="7"/>
        <v>7.9089982987703464E-2</v>
      </c>
      <c r="U139" s="8">
        <f t="shared" si="8"/>
        <v>1.8939025498291517E-2</v>
      </c>
      <c r="V139" s="8">
        <f t="shared" si="9"/>
        <v>0.1590377719637186</v>
      </c>
    </row>
    <row r="140" spans="1:22" x14ac:dyDescent="0.35">
      <c r="A140" s="9">
        <v>0.6</v>
      </c>
      <c r="B140" s="9">
        <v>0.16</v>
      </c>
      <c r="C140" s="9">
        <v>1.571</v>
      </c>
      <c r="D140" s="9">
        <v>0.78500000000000003</v>
      </c>
      <c r="E140" s="9">
        <v>1.4</v>
      </c>
      <c r="F140" s="9">
        <v>0</v>
      </c>
      <c r="G140" s="9">
        <v>0</v>
      </c>
      <c r="N140" s="9">
        <v>0.56508990889371413</v>
      </c>
      <c r="O140" s="9">
        <v>0.13617620882939954</v>
      </c>
      <c r="P140" s="9">
        <v>1.5134469874306533</v>
      </c>
      <c r="Q140" s="9">
        <v>1.1947242655953632</v>
      </c>
      <c r="R140" s="10">
        <v>2.6162724535145016E-4</v>
      </c>
      <c r="S140" s="8">
        <f t="shared" si="10"/>
        <v>3.4910091106285845E-2</v>
      </c>
      <c r="T140" s="8">
        <f t="shared" si="7"/>
        <v>2.3823791170600461E-2</v>
      </c>
      <c r="U140" s="8">
        <f t="shared" si="8"/>
        <v>5.755301256934664E-2</v>
      </c>
      <c r="V140" s="8">
        <f t="shared" si="9"/>
        <v>0.40972426559536312</v>
      </c>
    </row>
    <row r="141" spans="1:22" x14ac:dyDescent="0.35">
      <c r="A141" s="9">
        <v>0.4</v>
      </c>
      <c r="B141" s="9">
        <v>0.06</v>
      </c>
      <c r="C141" s="9">
        <v>1.571</v>
      </c>
      <c r="D141" s="9">
        <v>1.571</v>
      </c>
      <c r="E141" s="9">
        <v>1.4</v>
      </c>
      <c r="F141" s="9">
        <v>0</v>
      </c>
      <c r="G141" s="9">
        <v>0</v>
      </c>
      <c r="N141" s="9">
        <v>0.32280562513091832</v>
      </c>
      <c r="O141" s="9">
        <v>8.2804538101055203E-2</v>
      </c>
      <c r="P141" s="9">
        <v>1.7679432963874335</v>
      </c>
      <c r="Q141" s="9">
        <v>1.6346632657247779</v>
      </c>
      <c r="R141" s="10">
        <v>7.433530614905729E-5</v>
      </c>
      <c r="S141" s="8">
        <f t="shared" si="10"/>
        <v>7.7194374869081706E-2</v>
      </c>
      <c r="T141" s="8">
        <f t="shared" si="7"/>
        <v>2.2804538101055205E-2</v>
      </c>
      <c r="U141" s="8">
        <f t="shared" si="8"/>
        <v>0.19694329638743358</v>
      </c>
      <c r="V141" s="8">
        <f t="shared" si="9"/>
        <v>6.3663265724777984E-2</v>
      </c>
    </row>
    <row r="142" spans="1:22" x14ac:dyDescent="0.35">
      <c r="A142" s="9">
        <v>0.8</v>
      </c>
      <c r="B142" s="9">
        <v>0.08</v>
      </c>
      <c r="C142" s="9">
        <v>1.571</v>
      </c>
      <c r="D142" s="9">
        <v>1.571</v>
      </c>
      <c r="E142" s="9">
        <v>0</v>
      </c>
      <c r="F142" s="9">
        <v>0</v>
      </c>
      <c r="G142" s="9">
        <v>0</v>
      </c>
      <c r="N142" s="9">
        <v>0.70913560876711534</v>
      </c>
      <c r="O142" s="9">
        <v>8.7989051290300282E-2</v>
      </c>
      <c r="P142" s="9">
        <v>1.532880655036474</v>
      </c>
      <c r="Q142" s="9">
        <v>1.2767668620127681</v>
      </c>
      <c r="R142" s="10">
        <v>2.1449168979242153E-5</v>
      </c>
      <c r="S142" s="8">
        <f t="shared" si="10"/>
        <v>9.08643912328847E-2</v>
      </c>
      <c r="T142" s="8">
        <f t="shared" si="7"/>
        <v>7.9890512903002808E-3</v>
      </c>
      <c r="U142" s="8">
        <f t="shared" si="8"/>
        <v>3.8119344963525981E-2</v>
      </c>
      <c r="V142" s="8">
        <f t="shared" si="9"/>
        <v>0.29423313798723183</v>
      </c>
    </row>
    <row r="143" spans="1:22" x14ac:dyDescent="0.35">
      <c r="A143" s="9">
        <v>0.7</v>
      </c>
      <c r="B143" s="9">
        <v>0.16</v>
      </c>
      <c r="C143" s="9">
        <v>1.571</v>
      </c>
      <c r="D143" s="9">
        <v>1.571</v>
      </c>
      <c r="E143" s="9">
        <v>1.4</v>
      </c>
      <c r="F143" s="9">
        <v>0</v>
      </c>
      <c r="G143" s="9">
        <v>0</v>
      </c>
      <c r="N143" s="9">
        <v>0.74921334426160269</v>
      </c>
      <c r="O143" s="9">
        <v>0.14026198762852038</v>
      </c>
      <c r="P143" s="9">
        <v>1.4803578696608772</v>
      </c>
      <c r="Q143" s="9">
        <v>1.8532804902819975</v>
      </c>
      <c r="R143" s="10">
        <v>1.9067161594800384E-4</v>
      </c>
      <c r="S143" s="8">
        <f t="shared" si="10"/>
        <v>4.9213344261602732E-2</v>
      </c>
      <c r="T143" s="8">
        <f t="shared" si="7"/>
        <v>1.9738012371479624E-2</v>
      </c>
      <c r="U143" s="8">
        <f t="shared" si="8"/>
        <v>9.0642130339122717E-2</v>
      </c>
      <c r="V143" s="8">
        <f t="shared" si="9"/>
        <v>0.28228049028199753</v>
      </c>
    </row>
    <row r="144" spans="1:22" x14ac:dyDescent="0.35">
      <c r="A144" s="9">
        <v>0.7</v>
      </c>
      <c r="B144" s="9">
        <v>0.2</v>
      </c>
      <c r="C144" s="9">
        <v>1.571</v>
      </c>
      <c r="D144" s="9">
        <v>1.571</v>
      </c>
      <c r="E144" s="9">
        <v>0</v>
      </c>
      <c r="F144" s="9">
        <v>0</v>
      </c>
      <c r="G144" s="9">
        <v>0</v>
      </c>
      <c r="N144" s="9">
        <v>0.5156631964063062</v>
      </c>
      <c r="O144" s="9">
        <v>0.19999983990234357</v>
      </c>
      <c r="P144" s="9">
        <v>1.6666894727937784</v>
      </c>
      <c r="Q144" s="9">
        <v>2.2592277249371797</v>
      </c>
      <c r="R144" s="10">
        <v>3.1349766196795957E-3</v>
      </c>
      <c r="S144" s="8">
        <f t="shared" si="10"/>
        <v>0.18433680359369375</v>
      </c>
      <c r="T144" s="8">
        <f t="shared" si="7"/>
        <v>1.6009765643754115E-7</v>
      </c>
      <c r="U144" s="8">
        <f t="shared" si="8"/>
        <v>9.5689472793778485E-2</v>
      </c>
      <c r="V144" s="8">
        <f t="shared" si="9"/>
        <v>0.68822772493717976</v>
      </c>
    </row>
    <row r="145" spans="1:22" x14ac:dyDescent="0.35">
      <c r="A145" s="9">
        <v>0.7</v>
      </c>
      <c r="B145" s="9">
        <v>0.06</v>
      </c>
      <c r="C145" s="9">
        <v>3.665</v>
      </c>
      <c r="D145" s="9">
        <v>0.78500000000000003</v>
      </c>
      <c r="E145" s="9">
        <v>0</v>
      </c>
      <c r="F145" s="9">
        <v>0</v>
      </c>
      <c r="G145" s="9">
        <v>0</v>
      </c>
      <c r="N145" s="9">
        <v>0.83252019028224589</v>
      </c>
      <c r="O145" s="9">
        <v>4.5348487605884821E-2</v>
      </c>
      <c r="P145" s="9">
        <v>3.74090233941401</v>
      </c>
      <c r="Q145" s="9">
        <v>0.85928796753910652</v>
      </c>
      <c r="R145" s="10">
        <v>9.6419174033320537E-5</v>
      </c>
      <c r="S145" s="8">
        <f t="shared" si="10"/>
        <v>0.13252019028224593</v>
      </c>
      <c r="T145" s="8">
        <f t="shared" si="7"/>
        <v>1.4651512394115176E-2</v>
      </c>
      <c r="U145" s="8">
        <f t="shared" si="8"/>
        <v>7.5902339414009923E-2</v>
      </c>
      <c r="V145" s="8">
        <f t="shared" si="9"/>
        <v>7.4287967539106492E-2</v>
      </c>
    </row>
    <row r="146" spans="1:22" x14ac:dyDescent="0.35">
      <c r="A146" s="9">
        <v>0.6</v>
      </c>
      <c r="B146" s="9">
        <v>0.1</v>
      </c>
      <c r="C146" s="9">
        <v>3.665</v>
      </c>
      <c r="D146" s="9">
        <v>0.78500000000000003</v>
      </c>
      <c r="E146" s="9">
        <v>0</v>
      </c>
      <c r="F146" s="9">
        <v>0</v>
      </c>
      <c r="G146" s="9">
        <v>0</v>
      </c>
      <c r="N146" s="9">
        <v>0.60778709307920054</v>
      </c>
      <c r="O146" s="9">
        <v>7.1796437837386165E-2</v>
      </c>
      <c r="P146" s="9">
        <v>3.5410542504660598</v>
      </c>
      <c r="Q146" s="9">
        <v>1.2719423826462515</v>
      </c>
      <c r="R146" s="10">
        <v>1.5360039602873099E-4</v>
      </c>
      <c r="S146" s="8">
        <f t="shared" si="10"/>
        <v>7.7870930792005577E-3</v>
      </c>
      <c r="T146" s="8">
        <f t="shared" ref="T146:T152" si="11">ABS(O146-B146)</f>
        <v>2.8203562162613841E-2</v>
      </c>
      <c r="U146" s="8">
        <f t="shared" ref="U146:U152" si="12">ABS(P146-C146)</f>
        <v>0.12394574953394022</v>
      </c>
      <c r="V146" s="8">
        <f t="shared" ref="V146:V152" si="13">ABS(Q146-D146)</f>
        <v>0.48694238264625145</v>
      </c>
    </row>
    <row r="147" spans="1:22" x14ac:dyDescent="0.35">
      <c r="A147" s="9">
        <v>0.8</v>
      </c>
      <c r="B147" s="9">
        <v>0.18</v>
      </c>
      <c r="C147" s="9">
        <v>3.665</v>
      </c>
      <c r="D147" s="9">
        <v>0.78500000000000003</v>
      </c>
      <c r="E147" s="9">
        <v>1.4</v>
      </c>
      <c r="F147" s="9">
        <v>0</v>
      </c>
      <c r="G147" s="9">
        <v>0</v>
      </c>
      <c r="N147" s="9">
        <v>0.95534967153357642</v>
      </c>
      <c r="O147" s="9">
        <v>0.18211566632713563</v>
      </c>
      <c r="P147" s="9">
        <v>3.5759539903798463</v>
      </c>
      <c r="Q147" s="9">
        <v>0.40049812643632487</v>
      </c>
      <c r="R147" s="10">
        <v>8.1804443663858616E-4</v>
      </c>
      <c r="S147" s="8">
        <f t="shared" ref="S147:S152" si="14">ABS(N147-A147)</f>
        <v>0.15534967153357637</v>
      </c>
      <c r="T147" s="8">
        <f t="shared" si="11"/>
        <v>2.1156663271356402E-3</v>
      </c>
      <c r="U147" s="8">
        <f t="shared" si="12"/>
        <v>8.9046009620153743E-2</v>
      </c>
      <c r="V147" s="8">
        <f t="shared" si="13"/>
        <v>0.38450187356367516</v>
      </c>
    </row>
    <row r="148" spans="1:22" x14ac:dyDescent="0.35">
      <c r="A148" s="9">
        <v>0.4</v>
      </c>
      <c r="B148" s="9">
        <v>0.2</v>
      </c>
      <c r="C148" s="9">
        <v>3.665</v>
      </c>
      <c r="D148" s="9">
        <v>0.78500000000000003</v>
      </c>
      <c r="E148" s="9">
        <v>1.4</v>
      </c>
      <c r="F148" s="9">
        <v>0</v>
      </c>
      <c r="G148" s="9">
        <v>0</v>
      </c>
      <c r="N148" s="9">
        <v>0.29773292749688007</v>
      </c>
      <c r="O148" s="9">
        <v>0.19999728992548785</v>
      </c>
      <c r="P148" s="9">
        <v>3.8155130182741468</v>
      </c>
      <c r="Q148" s="9">
        <v>0.74177472984693704</v>
      </c>
      <c r="R148" s="10">
        <v>5.2984659675064873E-4</v>
      </c>
      <c r="S148" s="8">
        <f t="shared" si="14"/>
        <v>0.10226707250311995</v>
      </c>
      <c r="T148" s="8">
        <f t="shared" si="11"/>
        <v>2.7100745121633185E-6</v>
      </c>
      <c r="U148" s="8">
        <f t="shared" si="12"/>
        <v>0.15051301827414676</v>
      </c>
      <c r="V148" s="8">
        <f t="shared" si="13"/>
        <v>4.3225270153062989E-2</v>
      </c>
    </row>
    <row r="149" spans="1:22" x14ac:dyDescent="0.35">
      <c r="A149" s="9">
        <v>0.4</v>
      </c>
      <c r="B149" s="9">
        <v>0.1</v>
      </c>
      <c r="C149" s="9">
        <v>3.665</v>
      </c>
      <c r="D149" s="9">
        <v>1.571</v>
      </c>
      <c r="E149" s="9">
        <v>1.4</v>
      </c>
      <c r="F149" s="9">
        <v>0</v>
      </c>
      <c r="G149" s="9">
        <v>0</v>
      </c>
      <c r="N149" s="9">
        <v>0.44147313818140566</v>
      </c>
      <c r="O149" s="9">
        <v>6.6651895016950347E-2</v>
      </c>
      <c r="P149" s="9">
        <v>3.6799984726666612</v>
      </c>
      <c r="Q149" s="9">
        <v>1.8268662989388806</v>
      </c>
      <c r="R149" s="10">
        <v>6.3072247720274879E-6</v>
      </c>
      <c r="S149" s="8">
        <f t="shared" si="14"/>
        <v>4.1473138181405633E-2</v>
      </c>
      <c r="T149" s="8">
        <f t="shared" si="11"/>
        <v>3.3348104983049659E-2</v>
      </c>
      <c r="U149" s="8">
        <f t="shared" si="12"/>
        <v>1.4998472666661211E-2</v>
      </c>
      <c r="V149" s="8">
        <f t="shared" si="13"/>
        <v>0.25586629893888069</v>
      </c>
    </row>
    <row r="150" spans="1:22" x14ac:dyDescent="0.35">
      <c r="A150" s="9">
        <v>0.7</v>
      </c>
      <c r="B150" s="9">
        <v>0.1</v>
      </c>
      <c r="C150" s="9">
        <v>3.665</v>
      </c>
      <c r="D150" s="9">
        <v>1.571</v>
      </c>
      <c r="E150" s="9">
        <v>1.4</v>
      </c>
      <c r="F150" s="9">
        <v>0</v>
      </c>
      <c r="G150" s="9">
        <v>0</v>
      </c>
      <c r="N150" s="9">
        <v>0.63527052114044047</v>
      </c>
      <c r="O150" s="9">
        <v>0.1393139693132448</v>
      </c>
      <c r="P150" s="9">
        <v>3.6233772693725319</v>
      </c>
      <c r="Q150" s="9">
        <v>1.2865453960695996</v>
      </c>
      <c r="R150" s="10">
        <v>9.6816717074630945E-5</v>
      </c>
      <c r="S150" s="8">
        <f t="shared" si="14"/>
        <v>6.4729478859559486E-2</v>
      </c>
      <c r="T150" s="8">
        <f t="shared" si="11"/>
        <v>3.9313969313244795E-2</v>
      </c>
      <c r="U150" s="8">
        <f t="shared" si="12"/>
        <v>4.162273062746813E-2</v>
      </c>
      <c r="V150" s="8">
        <f t="shared" si="13"/>
        <v>0.28445460393040034</v>
      </c>
    </row>
    <row r="151" spans="1:22" x14ac:dyDescent="0.35">
      <c r="A151" s="9">
        <v>0.4</v>
      </c>
      <c r="B151" s="9">
        <v>0.16</v>
      </c>
      <c r="C151" s="9">
        <v>3.665</v>
      </c>
      <c r="D151" s="9">
        <v>1.571</v>
      </c>
      <c r="E151" s="9">
        <v>0</v>
      </c>
      <c r="F151" s="9">
        <v>0</v>
      </c>
      <c r="G151" s="9">
        <v>0</v>
      </c>
      <c r="N151" s="9">
        <v>0.37082817441804661</v>
      </c>
      <c r="O151" s="9">
        <v>0.19999754026269209</v>
      </c>
      <c r="P151" s="9">
        <v>3.9386810843129409</v>
      </c>
      <c r="Q151" s="9">
        <v>2.3750271293125915</v>
      </c>
      <c r="R151" s="10">
        <v>1.7245822803109634E-3</v>
      </c>
      <c r="S151" s="8">
        <f t="shared" si="14"/>
        <v>2.9171825581953414E-2</v>
      </c>
      <c r="T151" s="8">
        <f t="shared" si="11"/>
        <v>3.9997540262692088E-2</v>
      </c>
      <c r="U151" s="8">
        <f t="shared" si="12"/>
        <v>0.27368108431294091</v>
      </c>
      <c r="V151" s="8">
        <f t="shared" si="13"/>
        <v>0.80402712931259157</v>
      </c>
    </row>
    <row r="152" spans="1:22" x14ac:dyDescent="0.35">
      <c r="A152" s="9">
        <v>0.3</v>
      </c>
      <c r="B152" s="9">
        <v>0.18</v>
      </c>
      <c r="C152" s="9">
        <v>3.665</v>
      </c>
      <c r="D152" s="9">
        <v>1.571</v>
      </c>
      <c r="E152" s="9">
        <v>0</v>
      </c>
      <c r="F152" s="9">
        <v>0</v>
      </c>
      <c r="G152" s="9">
        <v>0</v>
      </c>
      <c r="N152" s="9">
        <v>0.21959524778870823</v>
      </c>
      <c r="O152" s="9">
        <v>0.18821144792660335</v>
      </c>
      <c r="P152" s="9">
        <v>3.7963233676589199</v>
      </c>
      <c r="Q152" s="9">
        <v>1.4854784121701223</v>
      </c>
      <c r="R152" s="10">
        <v>5.3898112750579894E-5</v>
      </c>
      <c r="S152" s="8">
        <f t="shared" si="14"/>
        <v>8.0404752211291758E-2</v>
      </c>
      <c r="T152" s="8">
        <f t="shared" si="11"/>
        <v>8.2114479266033602E-3</v>
      </c>
      <c r="U152" s="8">
        <f t="shared" si="12"/>
        <v>0.13132336765891983</v>
      </c>
      <c r="V152" s="8">
        <f t="shared" si="13"/>
        <v>8.5521587829877621E-2</v>
      </c>
    </row>
  </sheetData>
  <mergeCells count="5">
    <mergeCell ref="A1:G1"/>
    <mergeCell ref="H1:M1"/>
    <mergeCell ref="N1:R1"/>
    <mergeCell ref="S1:U1"/>
    <mergeCell ref="W1:Y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303C7-AB45-4992-BE51-23BEBDA0282C}">
  <dimension ref="A1:Z153"/>
  <sheetViews>
    <sheetView topLeftCell="K1" workbookViewId="0">
      <selection activeCell="S3" sqref="S3:T152"/>
    </sheetView>
  </sheetViews>
  <sheetFormatPr defaultRowHeight="14.5" x14ac:dyDescent="0.35"/>
  <cols>
    <col min="1" max="2" width="6.1796875" bestFit="1" customWidth="1"/>
    <col min="3" max="3" width="8.81640625" bestFit="1" customWidth="1"/>
    <col min="4" max="4" width="10.81640625" bestFit="1" customWidth="1"/>
    <col min="5" max="7" width="8.453125" bestFit="1" customWidth="1"/>
    <col min="8" max="9" width="8.1796875" bestFit="1" customWidth="1"/>
    <col min="10" max="13" width="8" bestFit="1" customWidth="1"/>
    <col min="14" max="15" width="7.26953125" bestFit="1" customWidth="1"/>
    <col min="16" max="16" width="8.81640625" bestFit="1" customWidth="1"/>
    <col min="17" max="17" width="10.81640625" bestFit="1" customWidth="1"/>
    <col min="18" max="18" width="15" customWidth="1"/>
    <col min="19" max="19" width="11.1796875" bestFit="1" customWidth="1"/>
    <col min="20" max="20" width="13.453125" bestFit="1" customWidth="1"/>
    <col min="21" max="21" width="11.7265625" bestFit="1" customWidth="1"/>
    <col min="22" max="22" width="11.7265625" customWidth="1"/>
    <col min="23" max="23" width="11.1796875" bestFit="1" customWidth="1"/>
    <col min="24" max="24" width="13.54296875" bestFit="1" customWidth="1"/>
    <col min="25" max="25" width="11.7265625" bestFit="1" customWidth="1"/>
    <col min="26" max="26" width="12.54296875" customWidth="1"/>
  </cols>
  <sheetData>
    <row r="1" spans="1:26" ht="16" x14ac:dyDescent="0.4">
      <c r="A1" s="23" t="s">
        <v>13</v>
      </c>
      <c r="B1" s="23"/>
      <c r="C1" s="23"/>
      <c r="D1" s="23"/>
      <c r="E1" s="23"/>
      <c r="F1" s="23"/>
      <c r="G1" s="23"/>
      <c r="H1" s="24" t="s">
        <v>6</v>
      </c>
      <c r="I1" s="24"/>
      <c r="J1" s="24"/>
      <c r="K1" s="24"/>
      <c r="L1" s="24"/>
      <c r="M1" s="24"/>
      <c r="N1" s="26" t="s">
        <v>9</v>
      </c>
      <c r="O1" s="26"/>
      <c r="P1" s="26"/>
      <c r="Q1" s="26"/>
      <c r="R1" s="26"/>
      <c r="S1" s="25" t="s">
        <v>15</v>
      </c>
      <c r="T1" s="25"/>
      <c r="U1" s="25"/>
      <c r="V1" s="6"/>
      <c r="W1" s="22" t="s">
        <v>30</v>
      </c>
      <c r="X1" s="22"/>
      <c r="Y1" s="22"/>
    </row>
    <row r="2" spans="1:26" ht="16" x14ac:dyDescent="0.4">
      <c r="A2" s="1" t="s">
        <v>7</v>
      </c>
      <c r="B2" s="1" t="s">
        <v>8</v>
      </c>
      <c r="C2" s="1" t="s">
        <v>25</v>
      </c>
      <c r="D2" s="1" t="s">
        <v>26</v>
      </c>
      <c r="E2" s="1" t="s">
        <v>10</v>
      </c>
      <c r="F2" s="1" t="s">
        <v>11</v>
      </c>
      <c r="G2" s="1" t="s">
        <v>12</v>
      </c>
      <c r="H2" s="1" t="s">
        <v>3</v>
      </c>
      <c r="I2" s="1" t="s">
        <v>4</v>
      </c>
      <c r="J2" s="1" t="s">
        <v>5</v>
      </c>
      <c r="K2" s="1" t="s">
        <v>0</v>
      </c>
      <c r="L2" s="1" t="s">
        <v>1</v>
      </c>
      <c r="M2" s="1" t="s">
        <v>2</v>
      </c>
      <c r="N2" s="1" t="s">
        <v>7</v>
      </c>
      <c r="O2" s="1" t="s">
        <v>8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4" t="s">
        <v>31</v>
      </c>
      <c r="V2" s="4" t="s">
        <v>32</v>
      </c>
      <c r="W2" s="1" t="s">
        <v>28</v>
      </c>
      <c r="X2" s="1" t="s">
        <v>29</v>
      </c>
      <c r="Y2" s="4" t="s">
        <v>31</v>
      </c>
      <c r="Z2" s="4" t="s">
        <v>32</v>
      </c>
    </row>
    <row r="3" spans="1:26" x14ac:dyDescent="0.35">
      <c r="A3" s="9">
        <v>0.3</v>
      </c>
      <c r="B3" s="9">
        <v>0.08</v>
      </c>
      <c r="C3" s="9">
        <v>1.571</v>
      </c>
      <c r="D3" s="9">
        <v>0.78500000000000003</v>
      </c>
      <c r="E3" s="9">
        <v>1.4</v>
      </c>
      <c r="F3" s="9">
        <v>0</v>
      </c>
      <c r="G3" s="9">
        <v>0</v>
      </c>
      <c r="H3" s="9">
        <f>'Proximal Validation (single)'!H3</f>
        <v>8.3457410801202102E-4</v>
      </c>
      <c r="I3" s="9">
        <f>'Proximal Validation (single)'!I3</f>
        <v>-3.4524299204349497E-2</v>
      </c>
      <c r="J3" s="9">
        <f>'Proximal Validation (single)'!J3</f>
        <v>-1.46811630111188E-3</v>
      </c>
      <c r="K3" s="9">
        <f>'Proximal Validation (single)'!K3</f>
        <v>0.179403036832809</v>
      </c>
      <c r="L3" s="9">
        <f>'Proximal Validation (single)'!L3</f>
        <v>-7.5630694627761797E-3</v>
      </c>
      <c r="M3" s="9">
        <f>'Proximal Validation (single)'!M3</f>
        <v>0.203822165727615</v>
      </c>
      <c r="N3" s="9">
        <v>0.38232083306826009</v>
      </c>
      <c r="O3" s="9">
        <v>2.3883629467661701E-2</v>
      </c>
      <c r="P3" s="9">
        <v>1.6418320956995136</v>
      </c>
      <c r="Q3" s="9">
        <v>1.8321747506006538</v>
      </c>
      <c r="R3" s="10">
        <v>1.4181768733699497E-4</v>
      </c>
      <c r="S3" s="8">
        <f>ABS(N3-A3)</f>
        <v>8.2320833068260102E-2</v>
      </c>
      <c r="T3" s="8">
        <f t="shared" ref="T3:V18" si="0">ABS(O3-B3)</f>
        <v>5.6116370532338297E-2</v>
      </c>
      <c r="U3" s="8">
        <f t="shared" si="0"/>
        <v>7.0832095699513653E-2</v>
      </c>
      <c r="V3" s="8">
        <f t="shared" si="0"/>
        <v>1.0471747506006537</v>
      </c>
      <c r="W3" s="9">
        <f>AVERAGE(S3:S152)</f>
        <v>0.13692677850587423</v>
      </c>
      <c r="X3" s="9">
        <f t="shared" ref="X3:Z3" si="1">AVERAGE(T3:T152)</f>
        <v>4.4260126191652205E-2</v>
      </c>
      <c r="Y3" s="9">
        <f t="shared" si="1"/>
        <v>0.32314990942939859</v>
      </c>
      <c r="Z3" s="9">
        <f t="shared" si="1"/>
        <v>0.45474182329546392</v>
      </c>
    </row>
    <row r="4" spans="1:26" x14ac:dyDescent="0.35">
      <c r="A4" s="9">
        <v>0.4</v>
      </c>
      <c r="B4" s="9">
        <v>0.14000000000000001</v>
      </c>
      <c r="C4" s="9">
        <v>1.571</v>
      </c>
      <c r="D4" s="9">
        <v>0.78500000000000003</v>
      </c>
      <c r="E4" s="9">
        <v>0</v>
      </c>
      <c r="F4" s="9">
        <v>0</v>
      </c>
      <c r="G4" s="9">
        <v>0</v>
      </c>
      <c r="H4" s="9">
        <f>'Proximal Validation (single)'!H4</f>
        <v>-8.0810196232050701E-4</v>
      </c>
      <c r="I4" s="9">
        <f>'Proximal Validation (single)'!I4</f>
        <v>-6.6743046045303303E-2</v>
      </c>
      <c r="J4" s="9">
        <f>'Proximal Validation (single)'!J4</f>
        <v>4.4342974433675398E-4</v>
      </c>
      <c r="K4" s="9">
        <f>'Proximal Validation (single)'!K4</f>
        <v>0.21195751428604101</v>
      </c>
      <c r="L4" s="9">
        <f>'Proximal Validation (single)'!L4</f>
        <v>1.1818818747997299E-3</v>
      </c>
      <c r="M4" s="9">
        <f>'Proximal Validation (single)'!M4</f>
        <v>0.30656093358993503</v>
      </c>
      <c r="N4" s="9">
        <v>0.47921046940567796</v>
      </c>
      <c r="O4" s="9">
        <v>7.0609703905570864E-2</v>
      </c>
      <c r="P4" s="9">
        <v>0.99365874234653317</v>
      </c>
      <c r="Q4" s="9">
        <v>0.69439583864228327</v>
      </c>
      <c r="R4" s="10">
        <v>1.407320917652726E-3</v>
      </c>
      <c r="S4" s="8">
        <f t="shared" ref="S4:V19" si="2">ABS(N4-A4)</f>
        <v>7.9210469405677941E-2</v>
      </c>
      <c r="T4" s="8">
        <f t="shared" si="0"/>
        <v>6.9390296094429149E-2</v>
      </c>
      <c r="U4" s="8">
        <f t="shared" si="0"/>
        <v>0.57734125765346678</v>
      </c>
      <c r="V4" s="8">
        <f t="shared" si="0"/>
        <v>9.0604161357716761E-2</v>
      </c>
      <c r="Y4">
        <f>DEGREES(Y3)</f>
        <v>18.515125960339343</v>
      </c>
      <c r="Z4">
        <f>DEGREES(Z3)</f>
        <v>26.054787242913942</v>
      </c>
    </row>
    <row r="5" spans="1:26" x14ac:dyDescent="0.35">
      <c r="A5" s="9">
        <v>0.6</v>
      </c>
      <c r="B5" s="9">
        <v>0.16</v>
      </c>
      <c r="C5" s="9">
        <v>1.571</v>
      </c>
      <c r="D5" s="9">
        <v>0.78500000000000003</v>
      </c>
      <c r="E5" s="9">
        <v>1.4</v>
      </c>
      <c r="F5" s="9">
        <v>0</v>
      </c>
      <c r="G5" s="9">
        <v>0</v>
      </c>
      <c r="H5" s="9">
        <f>'Proximal Validation (single)'!H5</f>
        <v>7.8557301312684995E-3</v>
      </c>
      <c r="I5" s="9">
        <f>'Proximal Validation (single)'!I5</f>
        <v>-0.127810284495354</v>
      </c>
      <c r="J5" s="9">
        <f>'Proximal Validation (single)'!J5</f>
        <v>-1.16112818941474E-2</v>
      </c>
      <c r="K5" s="9">
        <f>'Proximal Validation (single)'!K5</f>
        <v>2.8561159968376201E-2</v>
      </c>
      <c r="L5" s="9">
        <f>'Proximal Validation (single)'!L5</f>
        <v>-4.7612398862838697E-2</v>
      </c>
      <c r="M5" s="9">
        <f>'Proximal Validation (single)'!M5</f>
        <v>0.55316102504730202</v>
      </c>
      <c r="N5" s="9">
        <v>0.64352881830261099</v>
      </c>
      <c r="O5" s="9">
        <v>0.18736347408891799</v>
      </c>
      <c r="P5" s="9">
        <v>2.263614366672924</v>
      </c>
      <c r="Q5" s="9">
        <v>0.34643888731101041</v>
      </c>
      <c r="R5" s="10">
        <v>1.7178141033629981E-3</v>
      </c>
      <c r="S5" s="8">
        <f t="shared" si="2"/>
        <v>4.3528818302611016E-2</v>
      </c>
      <c r="T5" s="8">
        <f t="shared" si="0"/>
        <v>2.7363474088917983E-2</v>
      </c>
      <c r="U5" s="8">
        <f t="shared" si="0"/>
        <v>0.69261436667292409</v>
      </c>
      <c r="V5" s="8">
        <f t="shared" si="0"/>
        <v>0.43856111268898962</v>
      </c>
    </row>
    <row r="6" spans="1:26" x14ac:dyDescent="0.35">
      <c r="A6" s="9">
        <v>0.4</v>
      </c>
      <c r="B6" s="9">
        <v>0.06</v>
      </c>
      <c r="C6" s="9">
        <v>1.571</v>
      </c>
      <c r="D6" s="9">
        <v>1.571</v>
      </c>
      <c r="E6" s="9">
        <v>1.4</v>
      </c>
      <c r="F6" s="9">
        <v>0</v>
      </c>
      <c r="G6" s="9">
        <v>0</v>
      </c>
      <c r="H6" s="9">
        <f>'Proximal Validation (single)'!H6</f>
        <v>1.1252735275775201E-3</v>
      </c>
      <c r="I6" s="9">
        <f>'Proximal Validation (single)'!I6</f>
        <v>-5.59809319674969E-2</v>
      </c>
      <c r="J6" s="9">
        <f>'Proximal Validation (single)'!J6</f>
        <v>-7.4938102625310399E-4</v>
      </c>
      <c r="K6" s="9">
        <f>'Proximal Validation (single)'!K6</f>
        <v>-3.5423979163169902E-2</v>
      </c>
      <c r="L6" s="9">
        <f>'Proximal Validation (single)'!L6</f>
        <v>-1.04948431253433E-2</v>
      </c>
      <c r="M6" s="9">
        <f>'Proximal Validation (single)'!M6</f>
        <v>0.35301661491393999</v>
      </c>
      <c r="N6" s="9">
        <v>0.41619744009913834</v>
      </c>
      <c r="O6" s="9">
        <v>4.8442082876608748E-2</v>
      </c>
      <c r="P6" s="9">
        <v>1.4493914536131653</v>
      </c>
      <c r="Q6" s="9">
        <v>1.7235376755522214</v>
      </c>
      <c r="R6" s="10">
        <v>3.4700377547080083E-4</v>
      </c>
      <c r="S6" s="8">
        <f t="shared" si="2"/>
        <v>1.6197440099138316E-2</v>
      </c>
      <c r="T6" s="8">
        <f t="shared" si="0"/>
        <v>1.1557917123391249E-2</v>
      </c>
      <c r="U6" s="8">
        <f t="shared" si="0"/>
        <v>0.1216085463868346</v>
      </c>
      <c r="V6" s="8">
        <f t="shared" si="0"/>
        <v>0.15253767555222142</v>
      </c>
      <c r="W6" s="12">
        <f>AVERAGE(S3:S17)</f>
        <v>0.12076857631526128</v>
      </c>
      <c r="X6" s="12">
        <f t="shared" ref="X6:Z6" si="3">AVERAGE(T3:T17)</f>
        <v>3.2697248766828814E-2</v>
      </c>
      <c r="Y6" s="12">
        <f t="shared" si="3"/>
        <v>0.29816621897877477</v>
      </c>
      <c r="Z6" s="12">
        <f t="shared" si="3"/>
        <v>0.37915663386505732</v>
      </c>
    </row>
    <row r="7" spans="1:26" x14ac:dyDescent="0.35">
      <c r="A7" s="9">
        <v>0.8</v>
      </c>
      <c r="B7" s="9">
        <v>0.08</v>
      </c>
      <c r="C7" s="9">
        <v>1.571</v>
      </c>
      <c r="D7" s="9">
        <v>1.571</v>
      </c>
      <c r="E7" s="9">
        <v>0</v>
      </c>
      <c r="F7" s="9">
        <v>0</v>
      </c>
      <c r="G7" s="9">
        <v>0</v>
      </c>
      <c r="H7" s="9">
        <f>'Proximal Validation (single)'!H7</f>
        <v>-5.5839424021542105E-4</v>
      </c>
      <c r="I7" s="9">
        <f>'Proximal Validation (single)'!I7</f>
        <v>-0.11975701153278399</v>
      </c>
      <c r="J7" s="9">
        <f>'Proximal Validation (single)'!J7</f>
        <v>-9.9074037279933691E-4</v>
      </c>
      <c r="K7" s="9">
        <f>'Proximal Validation (single)'!K7</f>
        <v>-0.19020733237266499</v>
      </c>
      <c r="L7" s="9">
        <f>'Proximal Validation (single)'!L7</f>
        <v>-2.60122120380402E-3</v>
      </c>
      <c r="M7" s="9">
        <f>'Proximal Validation (single)'!M7</f>
        <v>0.66739636659622203</v>
      </c>
      <c r="N7" s="9">
        <v>0.77258338546320104</v>
      </c>
      <c r="O7" s="9">
        <v>6.3234819713498772E-2</v>
      </c>
      <c r="P7" s="9">
        <v>1.4382617823405635</v>
      </c>
      <c r="Q7" s="9">
        <v>1.3495354321349748</v>
      </c>
      <c r="R7" s="10">
        <v>5.3965056039947631E-4</v>
      </c>
      <c r="S7" s="8">
        <f t="shared" si="2"/>
        <v>2.7416614536799E-2</v>
      </c>
      <c r="T7" s="8">
        <f t="shared" si="0"/>
        <v>1.676518028650123E-2</v>
      </c>
      <c r="U7" s="8">
        <f t="shared" si="0"/>
        <v>0.1327382176594365</v>
      </c>
      <c r="V7" s="8">
        <f t="shared" si="0"/>
        <v>0.22146456786502511</v>
      </c>
      <c r="W7" s="12">
        <f>AVERAGE(S18:S32)</f>
        <v>0.14085116874221182</v>
      </c>
      <c r="X7" s="12">
        <f t="shared" ref="X7:Z7" si="4">AVERAGE(T18:T32)</f>
        <v>5.3926527368818353E-2</v>
      </c>
      <c r="Y7" s="12">
        <f t="shared" si="4"/>
        <v>0.37859991188934661</v>
      </c>
      <c r="Z7" s="12">
        <f t="shared" si="4"/>
        <v>0.47602699639249973</v>
      </c>
    </row>
    <row r="8" spans="1:26" x14ac:dyDescent="0.35">
      <c r="A8" s="9">
        <v>0.7</v>
      </c>
      <c r="B8" s="9">
        <v>0.16</v>
      </c>
      <c r="C8" s="9">
        <v>1.571</v>
      </c>
      <c r="D8" s="9">
        <v>1.571</v>
      </c>
      <c r="E8" s="9">
        <v>1.4</v>
      </c>
      <c r="F8" s="9">
        <v>0</v>
      </c>
      <c r="G8" s="9">
        <v>0</v>
      </c>
      <c r="H8" s="9">
        <f>'Proximal Validation (single)'!H8</f>
        <v>1.04370433837175E-2</v>
      </c>
      <c r="I8" s="9">
        <f>'Proximal Validation (single)'!I8</f>
        <v>-0.129757210612297</v>
      </c>
      <c r="J8" s="9">
        <f>'Proximal Validation (single)'!J8</f>
        <v>-7.3771281167864799E-3</v>
      </c>
      <c r="K8" s="9">
        <f>'Proximal Validation (single)'!K8</f>
        <v>-0.55726921558380105</v>
      </c>
      <c r="L8" s="9">
        <f>'Proximal Validation (single)'!L8</f>
        <v>-6.0898363590240499E-2</v>
      </c>
      <c r="M8" s="9">
        <f>'Proximal Validation (single)'!M8</f>
        <v>0.32599642872810403</v>
      </c>
      <c r="N8" s="9">
        <v>0.77023020473129111</v>
      </c>
      <c r="O8" s="9">
        <v>0.18173080565421251</v>
      </c>
      <c r="P8" s="9">
        <v>1.7590247146295763</v>
      </c>
      <c r="Q8" s="9">
        <v>1.5347650841168763</v>
      </c>
      <c r="R8" s="10">
        <v>6.8554349314869012E-4</v>
      </c>
      <c r="S8" s="8">
        <f t="shared" si="2"/>
        <v>7.0230204731291157E-2</v>
      </c>
      <c r="T8" s="8">
        <f t="shared" si="0"/>
        <v>2.1730805654212509E-2</v>
      </c>
      <c r="U8" s="8">
        <f t="shared" si="0"/>
        <v>0.18802471462957637</v>
      </c>
      <c r="V8" s="8">
        <f t="shared" si="0"/>
        <v>3.6234915883123664E-2</v>
      </c>
    </row>
    <row r="9" spans="1:26" x14ac:dyDescent="0.35">
      <c r="A9" s="9">
        <v>0.7</v>
      </c>
      <c r="B9" s="9">
        <v>0.2</v>
      </c>
      <c r="C9" s="9">
        <v>1.571</v>
      </c>
      <c r="D9" s="9">
        <v>1.571</v>
      </c>
      <c r="E9" s="9">
        <v>0</v>
      </c>
      <c r="F9" s="9">
        <v>0</v>
      </c>
      <c r="G9" s="9">
        <v>0</v>
      </c>
      <c r="H9" s="9">
        <f>'Proximal Validation (single)'!H9</f>
        <v>-5.38935419172049E-4</v>
      </c>
      <c r="I9" s="9">
        <f>'Proximal Validation (single)'!I9</f>
        <v>-0.118809439241886</v>
      </c>
      <c r="J9" s="9">
        <f>'Proximal Validation (single)'!J9</f>
        <v>3.4749228507280402E-3</v>
      </c>
      <c r="K9" s="9">
        <f>'Proximal Validation (single)'!K9</f>
        <v>-0.621493339538574</v>
      </c>
      <c r="L9" s="9">
        <f>'Proximal Validation (single)'!L9</f>
        <v>1.56053192913532E-2</v>
      </c>
      <c r="M9" s="9">
        <f>'Proximal Validation (single)'!M9</f>
        <v>0.10576334595680199</v>
      </c>
      <c r="N9" s="9">
        <v>0.99999971445266811</v>
      </c>
      <c r="O9" s="9">
        <v>0.1894273677360602</v>
      </c>
      <c r="P9" s="9">
        <v>1.6864348817850583</v>
      </c>
      <c r="Q9" s="9">
        <v>1.7283823089561527</v>
      </c>
      <c r="R9" s="10">
        <v>1.8924330685360792E-2</v>
      </c>
      <c r="S9" s="8">
        <f t="shared" si="2"/>
        <v>0.29999971445266815</v>
      </c>
      <c r="T9" s="8">
        <f t="shared" si="0"/>
        <v>1.0572632263939813E-2</v>
      </c>
      <c r="U9" s="8">
        <f t="shared" si="0"/>
        <v>0.11543488178505834</v>
      </c>
      <c r="V9" s="8">
        <f t="shared" si="0"/>
        <v>0.15738230895615279</v>
      </c>
    </row>
    <row r="10" spans="1:26" x14ac:dyDescent="0.35">
      <c r="A10" s="9">
        <v>0.7</v>
      </c>
      <c r="B10" s="9">
        <v>0.06</v>
      </c>
      <c r="C10" s="9">
        <v>3.665</v>
      </c>
      <c r="D10" s="9">
        <v>0.78500000000000003</v>
      </c>
      <c r="E10" s="9">
        <v>0</v>
      </c>
      <c r="F10" s="9">
        <v>0</v>
      </c>
      <c r="G10" s="9">
        <v>0</v>
      </c>
      <c r="H10" s="9">
        <f>'Proximal Validation (single)'!H10</f>
        <v>-7.8150304034352303E-4</v>
      </c>
      <c r="I10" s="9">
        <f>'Proximal Validation (single)'!I10</f>
        <v>4.4897478073835401E-2</v>
      </c>
      <c r="J10" s="9">
        <f>'Proximal Validation (single)'!J10</f>
        <v>-8.2051888108253507E-2</v>
      </c>
      <c r="K10" s="9">
        <f>'Proximal Validation (single)'!K10</f>
        <v>0.48326423764228799</v>
      </c>
      <c r="L10" s="9">
        <f>'Proximal Validation (single)'!L10</f>
        <v>-0.55701375007629395</v>
      </c>
      <c r="M10" s="9">
        <f>'Proximal Validation (single)'!M10</f>
        <v>-0.30146327614784202</v>
      </c>
      <c r="N10" s="9">
        <v>0.96161017746661392</v>
      </c>
      <c r="O10" s="9">
        <v>1.6786271311030651E-2</v>
      </c>
      <c r="P10" s="9">
        <v>3.5135299304948582</v>
      </c>
      <c r="Q10" s="9">
        <v>0.99422411301052482</v>
      </c>
      <c r="R10" s="10">
        <v>5.8624100613015751E-4</v>
      </c>
      <c r="S10" s="8">
        <f t="shared" si="2"/>
        <v>0.26161017746661397</v>
      </c>
      <c r="T10" s="8">
        <f t="shared" si="0"/>
        <v>4.3213728688969347E-2</v>
      </c>
      <c r="U10" s="8">
        <f t="shared" si="0"/>
        <v>0.15147006950514186</v>
      </c>
      <c r="V10" s="8">
        <f t="shared" si="0"/>
        <v>0.20922411301052479</v>
      </c>
    </row>
    <row r="11" spans="1:26" x14ac:dyDescent="0.35">
      <c r="A11" s="9">
        <v>0.6</v>
      </c>
      <c r="B11" s="9">
        <v>0.1</v>
      </c>
      <c r="C11" s="9">
        <v>3.665</v>
      </c>
      <c r="D11" s="9">
        <v>0.78500000000000003</v>
      </c>
      <c r="E11" s="9">
        <v>0</v>
      </c>
      <c r="F11" s="9">
        <v>0</v>
      </c>
      <c r="G11" s="9">
        <v>0</v>
      </c>
      <c r="H11" s="9">
        <f>'Proximal Validation (single)'!H11</f>
        <v>-4.8895599320530902E-4</v>
      </c>
      <c r="I11" s="9">
        <f>'Proximal Validation (single)'!I11</f>
        <v>4.6247739344835302E-2</v>
      </c>
      <c r="J11" s="9">
        <f>'Proximal Validation (single)'!J11</f>
        <v>-8.3231396973133101E-2</v>
      </c>
      <c r="K11" s="9">
        <f>'Proximal Validation (single)'!K11</f>
        <v>0.33926415443420399</v>
      </c>
      <c r="L11" s="9">
        <f>'Proximal Validation (single)'!L11</f>
        <v>-0.45690825581550598</v>
      </c>
      <c r="M11" s="9">
        <f>'Proximal Validation (single)'!M11</f>
        <v>-0.25065129995346103</v>
      </c>
      <c r="N11" s="9">
        <v>0.62850336454057176</v>
      </c>
      <c r="O11" s="9">
        <v>8.1463813440797478E-2</v>
      </c>
      <c r="P11" s="9">
        <v>3.4238546825968621</v>
      </c>
      <c r="Q11" s="9">
        <v>1.1432088234551869</v>
      </c>
      <c r="R11" s="10">
        <v>3.8593081320275908E-4</v>
      </c>
      <c r="S11" s="8">
        <f t="shared" si="2"/>
        <v>2.8503364540571785E-2</v>
      </c>
      <c r="T11" s="8">
        <f t="shared" si="0"/>
        <v>1.8536186559202528E-2</v>
      </c>
      <c r="U11" s="8">
        <f t="shared" si="0"/>
        <v>0.24114531740313794</v>
      </c>
      <c r="V11" s="8">
        <f t="shared" si="0"/>
        <v>0.3582088234551869</v>
      </c>
    </row>
    <row r="12" spans="1:26" x14ac:dyDescent="0.35">
      <c r="A12" s="9">
        <v>0.8</v>
      </c>
      <c r="B12" s="9">
        <v>0.18</v>
      </c>
      <c r="C12" s="9">
        <v>3.665</v>
      </c>
      <c r="D12" s="9">
        <v>0.78500000000000003</v>
      </c>
      <c r="E12" s="9">
        <v>1.4</v>
      </c>
      <c r="F12" s="9">
        <v>0</v>
      </c>
      <c r="G12" s="9">
        <v>0</v>
      </c>
      <c r="H12" s="9">
        <f>'Proximal Validation (single)'!H12</f>
        <v>1.7005717381834999E-3</v>
      </c>
      <c r="I12" s="9">
        <f>'Proximal Validation (single)'!I12</f>
        <v>8.4788650274276706E-2</v>
      </c>
      <c r="J12" s="9">
        <f>'Proximal Validation (single)'!J12</f>
        <v>-0.143600359559059</v>
      </c>
      <c r="K12" s="9">
        <f>'Proximal Validation (single)'!K12</f>
        <v>0.28701612353324901</v>
      </c>
      <c r="L12" s="9">
        <f>'Proximal Validation (single)'!L12</f>
        <v>-0.64443814754486095</v>
      </c>
      <c r="M12" s="9">
        <f>'Proximal Validation (single)'!M12</f>
        <v>-0.37070235610008201</v>
      </c>
      <c r="N12" s="9">
        <v>0.90524211545510158</v>
      </c>
      <c r="O12" s="9">
        <v>0.17999601950065383</v>
      </c>
      <c r="P12" s="9">
        <v>3.7630733924663988</v>
      </c>
      <c r="Q12" s="9">
        <v>0.47022502624632795</v>
      </c>
      <c r="R12" s="10">
        <v>3.1644633598492961E-4</v>
      </c>
      <c r="S12" s="8">
        <f t="shared" si="2"/>
        <v>0.10524211545510154</v>
      </c>
      <c r="T12" s="8">
        <f t="shared" si="0"/>
        <v>3.9804993461622917E-6</v>
      </c>
      <c r="U12" s="8">
        <f t="shared" si="0"/>
        <v>9.807339246639879E-2</v>
      </c>
      <c r="V12" s="8">
        <f t="shared" si="0"/>
        <v>0.31477497375367208</v>
      </c>
    </row>
    <row r="13" spans="1:26" x14ac:dyDescent="0.35">
      <c r="A13" s="9">
        <v>0.4</v>
      </c>
      <c r="B13" s="9">
        <v>0.2</v>
      </c>
      <c r="C13" s="9">
        <v>3.665</v>
      </c>
      <c r="D13" s="9">
        <v>0.78500000000000003</v>
      </c>
      <c r="E13" s="9">
        <v>1.4</v>
      </c>
      <c r="F13" s="9">
        <v>0</v>
      </c>
      <c r="G13" s="9">
        <v>0</v>
      </c>
      <c r="H13" s="9">
        <f>'Proximal Validation (single)'!H13</f>
        <v>1.0739560239017001E-3</v>
      </c>
      <c r="I13" s="9">
        <f>'Proximal Validation (single)'!I13</f>
        <v>4.1172292083501802E-2</v>
      </c>
      <c r="J13" s="9">
        <f>'Proximal Validation (single)'!J13</f>
        <v>-6.7707680165767697E-2</v>
      </c>
      <c r="K13" s="9">
        <f>'Proximal Validation (single)'!K13</f>
        <v>0.187965422868729</v>
      </c>
      <c r="L13" s="9">
        <f>'Proximal Validation (single)'!L13</f>
        <v>-0.244067072868347</v>
      </c>
      <c r="M13" s="9">
        <f>'Proximal Validation (single)'!M13</f>
        <v>-0.14198835194110901</v>
      </c>
      <c r="N13" s="9">
        <v>0.3693801360612543</v>
      </c>
      <c r="O13" s="9">
        <v>0.19666941729877016</v>
      </c>
      <c r="P13" s="9">
        <v>3.6304098476875213</v>
      </c>
      <c r="Q13" s="9">
        <v>0.7402551839476903</v>
      </c>
      <c r="R13" s="10">
        <v>4.1862241792513339E-5</v>
      </c>
      <c r="S13" s="8">
        <f t="shared" si="2"/>
        <v>3.0619863938745717E-2</v>
      </c>
      <c r="T13" s="8">
        <f t="shared" si="0"/>
        <v>3.3305827012298506E-3</v>
      </c>
      <c r="U13" s="8">
        <f t="shared" si="0"/>
        <v>3.459015231247875E-2</v>
      </c>
      <c r="V13" s="8">
        <f t="shared" si="0"/>
        <v>4.4744816052309733E-2</v>
      </c>
    </row>
    <row r="14" spans="1:26" x14ac:dyDescent="0.35">
      <c r="A14" s="9">
        <v>0.4</v>
      </c>
      <c r="B14" s="9">
        <v>0.1</v>
      </c>
      <c r="C14" s="9">
        <v>3.665</v>
      </c>
      <c r="D14" s="9">
        <v>1.571</v>
      </c>
      <c r="E14" s="9">
        <v>1.4</v>
      </c>
      <c r="F14" s="9">
        <v>0</v>
      </c>
      <c r="G14" s="9">
        <v>0</v>
      </c>
      <c r="H14" s="9">
        <f>'Proximal Validation (single)'!H14</f>
        <v>-4.8927497118711504E-4</v>
      </c>
      <c r="I14" s="9">
        <f>'Proximal Validation (single)'!I14</f>
        <v>3.26927192509174E-2</v>
      </c>
      <c r="J14" s="9">
        <f>'Proximal Validation (single)'!J14</f>
        <v>-5.8575917035341298E-2</v>
      </c>
      <c r="K14" s="9">
        <f>'Proximal Validation (single)'!K14</f>
        <v>-1.28835095092654E-2</v>
      </c>
      <c r="L14" s="9">
        <f>'Proximal Validation (single)'!L14</f>
        <v>-0.29204529523849498</v>
      </c>
      <c r="M14" s="9">
        <f>'Proximal Validation (single)'!M14</f>
        <v>-0.16083618998527499</v>
      </c>
      <c r="N14" s="9">
        <v>0.70379022379847544</v>
      </c>
      <c r="O14" s="9">
        <v>1.0090873751615489E-2</v>
      </c>
      <c r="P14" s="9">
        <v>2.192426155619136</v>
      </c>
      <c r="Q14" s="9">
        <v>2.8161468026143432</v>
      </c>
      <c r="R14" s="10">
        <v>3.3682129916919397E-3</v>
      </c>
      <c r="S14" s="8">
        <f t="shared" si="2"/>
        <v>0.30379022379847542</v>
      </c>
      <c r="T14" s="8">
        <f t="shared" si="0"/>
        <v>8.9909126248384513E-2</v>
      </c>
      <c r="U14" s="8">
        <f t="shared" si="0"/>
        <v>1.472573844380864</v>
      </c>
      <c r="V14" s="8">
        <f t="shared" si="0"/>
        <v>1.2451468026143433</v>
      </c>
    </row>
    <row r="15" spans="1:26" x14ac:dyDescent="0.35">
      <c r="A15" s="9">
        <v>0.7</v>
      </c>
      <c r="B15" s="9">
        <v>0.1</v>
      </c>
      <c r="C15" s="9">
        <v>3.665</v>
      </c>
      <c r="D15" s="9">
        <v>1.571</v>
      </c>
      <c r="E15" s="9">
        <v>1.4</v>
      </c>
      <c r="F15" s="9">
        <v>0</v>
      </c>
      <c r="G15" s="9">
        <v>0</v>
      </c>
      <c r="H15" s="9">
        <f>'Proximal Validation (single)'!H15</f>
        <v>-1.61128584295511E-4</v>
      </c>
      <c r="I15" s="9">
        <f>'Proximal Validation (single)'!I15</f>
        <v>6.6224433481693296E-2</v>
      </c>
      <c r="J15" s="9">
        <f>'Proximal Validation (single)'!J15</f>
        <v>-0.118051804602146</v>
      </c>
      <c r="K15" s="9">
        <f>'Proximal Validation (single)'!K15</f>
        <v>-0.18827667832374601</v>
      </c>
      <c r="L15" s="9">
        <f>'Proximal Validation (single)'!L15</f>
        <v>-0.57758575677871704</v>
      </c>
      <c r="M15" s="9">
        <f>'Proximal Validation (single)'!M15</f>
        <v>-0.318100035190582</v>
      </c>
      <c r="N15" s="9">
        <v>0.63981222727170162</v>
      </c>
      <c r="O15" s="9">
        <v>0.11784323694838678</v>
      </c>
      <c r="P15" s="9">
        <v>3.6043319784862713</v>
      </c>
      <c r="Q15" s="9">
        <v>1.3961629288379305</v>
      </c>
      <c r="R15" s="10">
        <v>4.4010208708363668E-4</v>
      </c>
      <c r="S15" s="8">
        <f t="shared" si="2"/>
        <v>6.0187772728298339E-2</v>
      </c>
      <c r="T15" s="8">
        <f t="shared" si="0"/>
        <v>1.784323694838677E-2</v>
      </c>
      <c r="U15" s="8">
        <f t="shared" si="0"/>
        <v>6.0668021513728743E-2</v>
      </c>
      <c r="V15" s="8">
        <f t="shared" si="0"/>
        <v>0.17483707116206948</v>
      </c>
    </row>
    <row r="16" spans="1:26" x14ac:dyDescent="0.35">
      <c r="A16" s="9">
        <v>0.4</v>
      </c>
      <c r="B16" s="9">
        <v>0.16</v>
      </c>
      <c r="C16" s="9">
        <v>3.665</v>
      </c>
      <c r="D16" s="9">
        <v>1.571</v>
      </c>
      <c r="E16" s="9">
        <v>0</v>
      </c>
      <c r="F16" s="9">
        <v>0</v>
      </c>
      <c r="G16" s="9">
        <v>0</v>
      </c>
      <c r="H16" s="9">
        <f>'Proximal Validation (single)'!H16</f>
        <v>3.27638350427151E-4</v>
      </c>
      <c r="I16" s="9">
        <f>'Proximal Validation (single)'!I16</f>
        <v>4.1303895413875601E-2</v>
      </c>
      <c r="J16" s="9">
        <f>'Proximal Validation (single)'!J16</f>
        <v>-7.1706265211105305E-2</v>
      </c>
      <c r="K16" s="9">
        <f>'Proximal Validation (single)'!K16</f>
        <v>-0.16764184832572901</v>
      </c>
      <c r="L16" s="9">
        <f>'Proximal Validation (single)'!L16</f>
        <v>-0.24127176403999301</v>
      </c>
      <c r="M16" s="9">
        <f>'Proximal Validation (single)'!M16</f>
        <v>-0.13795974850654599</v>
      </c>
      <c r="N16" s="9">
        <v>0.74849542196607222</v>
      </c>
      <c r="O16" s="9">
        <v>5.6497637190999296E-2</v>
      </c>
      <c r="P16" s="9">
        <v>3.6678798823377456</v>
      </c>
      <c r="Q16" s="9">
        <v>2.1967330948295132</v>
      </c>
      <c r="R16" s="10">
        <v>1.9837695138190641E-5</v>
      </c>
      <c r="S16" s="8">
        <f t="shared" si="2"/>
        <v>0.34849542196607219</v>
      </c>
      <c r="T16" s="8">
        <f t="shared" si="0"/>
        <v>0.10350236280900071</v>
      </c>
      <c r="U16" s="8">
        <f t="shared" si="0"/>
        <v>2.8798823377456095E-3</v>
      </c>
      <c r="V16" s="8">
        <f t="shared" si="0"/>
        <v>0.62573309482951323</v>
      </c>
    </row>
    <row r="17" spans="1:22" x14ac:dyDescent="0.35">
      <c r="A17" s="9">
        <v>0.3</v>
      </c>
      <c r="B17" s="9">
        <v>0.18</v>
      </c>
      <c r="C17" s="9">
        <v>3.665</v>
      </c>
      <c r="D17" s="9">
        <v>1.571</v>
      </c>
      <c r="E17" s="9">
        <v>0</v>
      </c>
      <c r="F17" s="9">
        <v>0</v>
      </c>
      <c r="G17" s="9">
        <v>0</v>
      </c>
      <c r="H17" s="9">
        <f>'Proximal Validation (single)'!H17</f>
        <v>3.5051628947258001E-4</v>
      </c>
      <c r="I17" s="9">
        <f>'Proximal Validation (single)'!I17</f>
        <v>3.2155215740203899E-2</v>
      </c>
      <c r="J17" s="9">
        <f>'Proximal Validation (single)'!J17</f>
        <v>-5.4656162858009297E-2</v>
      </c>
      <c r="K17" s="9">
        <f>'Proximal Validation (single)'!K17</f>
        <v>-0.106987468898296</v>
      </c>
      <c r="L17" s="9">
        <f>'Proximal Validation (single)'!L17</f>
        <v>-0.16471621394157401</v>
      </c>
      <c r="M17" s="9">
        <f>'Proximal Validation (single)'!M17</f>
        <v>-9.7047880291938796E-2</v>
      </c>
      <c r="N17" s="9">
        <v>0.24582438976140547</v>
      </c>
      <c r="O17" s="9">
        <v>0.1806228510041821</v>
      </c>
      <c r="P17" s="9">
        <v>4.1774985242753155</v>
      </c>
      <c r="Q17" s="9">
        <v>2.1417203201943567</v>
      </c>
      <c r="R17" s="10">
        <v>1.0632715632888795E-3</v>
      </c>
      <c r="S17" s="8">
        <f t="shared" si="2"/>
        <v>5.4175610238594518E-2</v>
      </c>
      <c r="T17" s="8">
        <f t="shared" si="0"/>
        <v>6.228510041821067E-4</v>
      </c>
      <c r="U17" s="8">
        <f t="shared" si="0"/>
        <v>0.5124985242753155</v>
      </c>
      <c r="V17" s="8">
        <f t="shared" si="0"/>
        <v>0.5707203201943567</v>
      </c>
    </row>
    <row r="18" spans="1:22" x14ac:dyDescent="0.35">
      <c r="A18" s="9">
        <v>0.3</v>
      </c>
      <c r="B18" s="9">
        <v>0.08</v>
      </c>
      <c r="C18" s="9">
        <v>1.571</v>
      </c>
      <c r="D18" s="9">
        <v>0.78500000000000003</v>
      </c>
      <c r="E18" s="9">
        <v>1.4</v>
      </c>
      <c r="F18" s="9">
        <v>0</v>
      </c>
      <c r="G18" s="9">
        <v>0</v>
      </c>
      <c r="N18" s="9">
        <v>0.65208468972380429</v>
      </c>
      <c r="O18" s="9">
        <v>1.0180288761296591E-2</v>
      </c>
      <c r="P18" s="9">
        <v>1.8190570732712523</v>
      </c>
      <c r="Q18" s="9">
        <v>0.57274082462940867</v>
      </c>
      <c r="R18" s="10">
        <v>1.580780008121269E-4</v>
      </c>
      <c r="S18" s="8">
        <f t="shared" si="2"/>
        <v>0.3520846897238043</v>
      </c>
      <c r="T18" s="8">
        <f t="shared" si="0"/>
        <v>6.9819711238703411E-2</v>
      </c>
      <c r="U18" s="8">
        <f t="shared" si="0"/>
        <v>0.24805707327125237</v>
      </c>
      <c r="V18" s="8">
        <f t="shared" si="0"/>
        <v>0.21225917537059136</v>
      </c>
    </row>
    <row r="19" spans="1:22" x14ac:dyDescent="0.35">
      <c r="A19" s="9">
        <v>0.4</v>
      </c>
      <c r="B19" s="9">
        <v>0.14000000000000001</v>
      </c>
      <c r="C19" s="9">
        <v>1.571</v>
      </c>
      <c r="D19" s="9">
        <v>0.78500000000000003</v>
      </c>
      <c r="E19" s="9">
        <v>0</v>
      </c>
      <c r="F19" s="9">
        <v>0</v>
      </c>
      <c r="G19" s="9">
        <v>0</v>
      </c>
      <c r="N19" s="9">
        <v>0.45746932083380359</v>
      </c>
      <c r="O19" s="9">
        <v>5.1504507412477807E-2</v>
      </c>
      <c r="P19" s="9">
        <v>1.9915843585944117</v>
      </c>
      <c r="Q19" s="9">
        <v>2.0078406130470805</v>
      </c>
      <c r="R19" s="10">
        <v>1.0230490159710212E-3</v>
      </c>
      <c r="S19" s="8">
        <f t="shared" si="2"/>
        <v>5.7469320833803572E-2</v>
      </c>
      <c r="T19" s="8">
        <f t="shared" si="2"/>
        <v>8.8495492587522206E-2</v>
      </c>
      <c r="U19" s="8">
        <f t="shared" si="2"/>
        <v>0.42058435859441179</v>
      </c>
      <c r="V19" s="8">
        <f t="shared" si="2"/>
        <v>1.2228406130470804</v>
      </c>
    </row>
    <row r="20" spans="1:22" x14ac:dyDescent="0.35">
      <c r="A20" s="9">
        <v>0.6</v>
      </c>
      <c r="B20" s="9">
        <v>0.16</v>
      </c>
      <c r="C20" s="9">
        <v>1.571</v>
      </c>
      <c r="D20" s="9">
        <v>0.78500000000000003</v>
      </c>
      <c r="E20" s="9">
        <v>1.4</v>
      </c>
      <c r="F20" s="9">
        <v>0</v>
      </c>
      <c r="G20" s="9">
        <v>0</v>
      </c>
      <c r="N20" s="9">
        <v>0.45515180019535578</v>
      </c>
      <c r="O20" s="9">
        <v>0.19999377394036044</v>
      </c>
      <c r="P20" s="9">
        <v>1.7698293093577124</v>
      </c>
      <c r="Q20" s="9">
        <v>0.67920832743345194</v>
      </c>
      <c r="R20" s="10">
        <v>7.8909279976359403E-4</v>
      </c>
      <c r="S20" s="8">
        <f t="shared" ref="S20:V83" si="5">ABS(N20-A20)</f>
        <v>0.1448481998046442</v>
      </c>
      <c r="T20" s="8">
        <f t="shared" si="5"/>
        <v>3.9993773940360439E-2</v>
      </c>
      <c r="U20" s="8">
        <f t="shared" si="5"/>
        <v>0.19882930935771248</v>
      </c>
      <c r="V20" s="8">
        <f t="shared" si="5"/>
        <v>0.10579167256654809</v>
      </c>
    </row>
    <row r="21" spans="1:22" x14ac:dyDescent="0.35">
      <c r="A21" s="9">
        <v>0.4</v>
      </c>
      <c r="B21" s="9">
        <v>0.06</v>
      </c>
      <c r="C21" s="9">
        <v>1.571</v>
      </c>
      <c r="D21" s="9">
        <v>1.571</v>
      </c>
      <c r="E21" s="9">
        <v>1.4</v>
      </c>
      <c r="F21" s="9">
        <v>0</v>
      </c>
      <c r="G21" s="9">
        <v>0</v>
      </c>
      <c r="N21" s="9">
        <v>0.41931056071843065</v>
      </c>
      <c r="O21" s="9">
        <v>7.1297682400505907E-2</v>
      </c>
      <c r="P21" s="9">
        <v>1.808710054993224</v>
      </c>
      <c r="Q21" s="9">
        <v>0.83806937288677541</v>
      </c>
      <c r="R21" s="10">
        <v>5.1214713675230936E-4</v>
      </c>
      <c r="S21" s="8">
        <f t="shared" si="5"/>
        <v>1.9310560718430625E-2</v>
      </c>
      <c r="T21" s="8">
        <f t="shared" si="5"/>
        <v>1.129768240050591E-2</v>
      </c>
      <c r="U21" s="8">
        <f t="shared" si="5"/>
        <v>0.23771005499322406</v>
      </c>
      <c r="V21" s="8">
        <f t="shared" si="5"/>
        <v>0.73293062711322454</v>
      </c>
    </row>
    <row r="22" spans="1:22" x14ac:dyDescent="0.35">
      <c r="A22" s="9">
        <v>0.8</v>
      </c>
      <c r="B22" s="9">
        <v>0.08</v>
      </c>
      <c r="C22" s="9">
        <v>1.571</v>
      </c>
      <c r="D22" s="9">
        <v>1.571</v>
      </c>
      <c r="E22" s="9">
        <v>0</v>
      </c>
      <c r="F22" s="9">
        <v>0</v>
      </c>
      <c r="G22" s="9">
        <v>0</v>
      </c>
      <c r="N22" s="9">
        <v>0.92324618594550123</v>
      </c>
      <c r="O22" s="9">
        <v>3.8991980214105007E-2</v>
      </c>
      <c r="P22" s="9">
        <v>1.4340248625793428</v>
      </c>
      <c r="Q22" s="9">
        <v>1.8659263522231737</v>
      </c>
      <c r="R22" s="10">
        <v>3.4916757068345329E-4</v>
      </c>
      <c r="S22" s="8">
        <f t="shared" si="5"/>
        <v>0.12324618594550119</v>
      </c>
      <c r="T22" s="8">
        <f t="shared" si="5"/>
        <v>4.1008019785894995E-2</v>
      </c>
      <c r="U22" s="8">
        <f t="shared" si="5"/>
        <v>0.13697513742065714</v>
      </c>
      <c r="V22" s="8">
        <f t="shared" si="5"/>
        <v>0.29492635222317376</v>
      </c>
    </row>
    <row r="23" spans="1:22" x14ac:dyDescent="0.35">
      <c r="A23" s="9">
        <v>0.7</v>
      </c>
      <c r="B23" s="9">
        <v>0.16</v>
      </c>
      <c r="C23" s="9">
        <v>1.571</v>
      </c>
      <c r="D23" s="9">
        <v>1.571</v>
      </c>
      <c r="E23" s="9">
        <v>1.4</v>
      </c>
      <c r="F23" s="9">
        <v>0</v>
      </c>
      <c r="G23" s="9">
        <v>0</v>
      </c>
      <c r="N23" s="9">
        <v>0.36126025321001365</v>
      </c>
      <c r="O23" s="9">
        <v>0.19999981405898803</v>
      </c>
      <c r="P23" s="9">
        <v>1.6156508904311997</v>
      </c>
      <c r="Q23" s="9">
        <v>1.0125375223835416</v>
      </c>
      <c r="R23" s="10">
        <v>2.5731045750534615E-3</v>
      </c>
      <c r="S23" s="8">
        <f t="shared" si="5"/>
        <v>0.33873974678998631</v>
      </c>
      <c r="T23" s="8">
        <f t="shared" si="5"/>
        <v>3.9999814058988031E-2</v>
      </c>
      <c r="U23" s="8">
        <f t="shared" si="5"/>
        <v>4.4650890431199741E-2</v>
      </c>
      <c r="V23" s="8">
        <f t="shared" si="5"/>
        <v>0.5584624776164584</v>
      </c>
    </row>
    <row r="24" spans="1:22" x14ac:dyDescent="0.35">
      <c r="A24" s="9">
        <v>0.7</v>
      </c>
      <c r="B24" s="9">
        <v>0.2</v>
      </c>
      <c r="C24" s="9">
        <v>1.571</v>
      </c>
      <c r="D24" s="9">
        <v>1.571</v>
      </c>
      <c r="E24" s="9">
        <v>0</v>
      </c>
      <c r="F24" s="9">
        <v>0</v>
      </c>
      <c r="G24" s="9">
        <v>0</v>
      </c>
      <c r="N24" s="9">
        <v>0.66714116358023323</v>
      </c>
      <c r="O24" s="9">
        <v>1.0000000896321264E-2</v>
      </c>
      <c r="P24" s="9">
        <v>3.8893787376681823</v>
      </c>
      <c r="Q24" s="9">
        <v>2.9716916505639057</v>
      </c>
      <c r="R24" s="10">
        <v>1.6451844837401256E-2</v>
      </c>
      <c r="S24" s="8">
        <f t="shared" si="5"/>
        <v>3.2858836419766724E-2</v>
      </c>
      <c r="T24" s="8">
        <f t="shared" si="5"/>
        <v>0.18999999910367874</v>
      </c>
      <c r="U24" s="8">
        <f t="shared" si="5"/>
        <v>2.3183787376681826</v>
      </c>
      <c r="V24" s="8">
        <f t="shared" si="5"/>
        <v>1.4006916505639058</v>
      </c>
    </row>
    <row r="25" spans="1:22" x14ac:dyDescent="0.35">
      <c r="A25" s="9">
        <v>0.7</v>
      </c>
      <c r="B25" s="9">
        <v>0.06</v>
      </c>
      <c r="C25" s="9">
        <v>3.665</v>
      </c>
      <c r="D25" s="9">
        <v>0.78500000000000003</v>
      </c>
      <c r="E25" s="9">
        <v>0</v>
      </c>
      <c r="F25" s="9">
        <v>0</v>
      </c>
      <c r="G25" s="9">
        <v>0</v>
      </c>
      <c r="N25" s="9">
        <v>0.54682357929313152</v>
      </c>
      <c r="O25" s="9">
        <v>0.12009236959637681</v>
      </c>
      <c r="P25" s="9">
        <v>3.9553401377473896</v>
      </c>
      <c r="Q25" s="9">
        <v>0.83330406373979937</v>
      </c>
      <c r="R25" s="10">
        <v>1.0385239029444861E-3</v>
      </c>
      <c r="S25" s="8">
        <f t="shared" si="5"/>
        <v>0.15317642070686843</v>
      </c>
      <c r="T25" s="8">
        <f t="shared" si="5"/>
        <v>6.0092369596376816E-2</v>
      </c>
      <c r="U25" s="8">
        <f t="shared" si="5"/>
        <v>0.29034013774738954</v>
      </c>
      <c r="V25" s="8">
        <f t="shared" si="5"/>
        <v>4.8304063739799341E-2</v>
      </c>
    </row>
    <row r="26" spans="1:22" x14ac:dyDescent="0.35">
      <c r="A26" s="9">
        <v>0.6</v>
      </c>
      <c r="B26" s="9">
        <v>0.1</v>
      </c>
      <c r="C26" s="9">
        <v>3.665</v>
      </c>
      <c r="D26" s="9">
        <v>0.78500000000000003</v>
      </c>
      <c r="E26" s="9">
        <v>0</v>
      </c>
      <c r="F26" s="9">
        <v>0</v>
      </c>
      <c r="G26" s="9">
        <v>0</v>
      </c>
      <c r="N26" s="9">
        <v>0.69870144044848537</v>
      </c>
      <c r="O26" s="9">
        <v>0.1151843380182289</v>
      </c>
      <c r="P26" s="9">
        <v>3.4399720839194989</v>
      </c>
      <c r="Q26" s="9">
        <v>0.5311150537999022</v>
      </c>
      <c r="R26" s="10">
        <v>7.9052320836364004E-4</v>
      </c>
      <c r="S26" s="8">
        <f t="shared" si="5"/>
        <v>9.8701440448485389E-2</v>
      </c>
      <c r="T26" s="8">
        <f t="shared" si="5"/>
        <v>1.5184338018228896E-2</v>
      </c>
      <c r="U26" s="8">
        <f t="shared" si="5"/>
        <v>0.2250279160805011</v>
      </c>
      <c r="V26" s="8">
        <f t="shared" si="5"/>
        <v>0.25388494620009783</v>
      </c>
    </row>
    <row r="27" spans="1:22" x14ac:dyDescent="0.35">
      <c r="A27" s="9">
        <v>0.8</v>
      </c>
      <c r="B27" s="9">
        <v>0.18</v>
      </c>
      <c r="C27" s="9">
        <v>3.665</v>
      </c>
      <c r="D27" s="9">
        <v>0.78500000000000003</v>
      </c>
      <c r="E27" s="9">
        <v>1.4</v>
      </c>
      <c r="F27" s="9">
        <v>0</v>
      </c>
      <c r="G27" s="9">
        <v>0</v>
      </c>
      <c r="N27" s="9">
        <v>0.89847220089119628</v>
      </c>
      <c r="O27" s="9">
        <v>0.11076393656366398</v>
      </c>
      <c r="P27" s="9">
        <v>3.6182716820371774</v>
      </c>
      <c r="Q27" s="9">
        <v>1.0242694999684547</v>
      </c>
      <c r="R27" s="10">
        <v>6.6695409927340393E-4</v>
      </c>
      <c r="S27" s="8">
        <f t="shared" si="5"/>
        <v>9.8472200891196238E-2</v>
      </c>
      <c r="T27" s="8">
        <f t="shared" si="5"/>
        <v>6.9236063436336009E-2</v>
      </c>
      <c r="U27" s="8">
        <f t="shared" si="5"/>
        <v>4.6728317962822619E-2</v>
      </c>
      <c r="V27" s="8">
        <f t="shared" si="5"/>
        <v>0.2392694999684547</v>
      </c>
    </row>
    <row r="28" spans="1:22" x14ac:dyDescent="0.35">
      <c r="A28" s="9">
        <v>0.4</v>
      </c>
      <c r="B28" s="9">
        <v>0.2</v>
      </c>
      <c r="C28" s="9">
        <v>3.665</v>
      </c>
      <c r="D28" s="9">
        <v>0.78500000000000003</v>
      </c>
      <c r="E28" s="9">
        <v>1.4</v>
      </c>
      <c r="F28" s="9">
        <v>0</v>
      </c>
      <c r="G28" s="9">
        <v>0</v>
      </c>
      <c r="N28" s="9">
        <v>0.54549785124596573</v>
      </c>
      <c r="O28" s="9">
        <v>0.19998379981168818</v>
      </c>
      <c r="P28" s="9">
        <v>3.3213879664805948</v>
      </c>
      <c r="Q28" s="9">
        <v>0.29502660670588193</v>
      </c>
      <c r="R28" s="10">
        <v>1.3599938501507322E-3</v>
      </c>
      <c r="S28" s="8">
        <f t="shared" si="5"/>
        <v>0.1454978512459657</v>
      </c>
      <c r="T28" s="8">
        <f t="shared" si="5"/>
        <v>1.6200188311832342E-5</v>
      </c>
      <c r="U28" s="8">
        <f t="shared" si="5"/>
        <v>0.34361203351940528</v>
      </c>
      <c r="V28" s="8">
        <f t="shared" si="5"/>
        <v>0.4899733932941181</v>
      </c>
    </row>
    <row r="29" spans="1:22" x14ac:dyDescent="0.35">
      <c r="A29" s="9">
        <v>0.4</v>
      </c>
      <c r="B29" s="9">
        <v>0.1</v>
      </c>
      <c r="C29" s="9">
        <v>3.665</v>
      </c>
      <c r="D29" s="9">
        <v>1.571</v>
      </c>
      <c r="E29" s="9">
        <v>1.4</v>
      </c>
      <c r="F29" s="9">
        <v>0</v>
      </c>
      <c r="G29" s="9">
        <v>0</v>
      </c>
      <c r="N29" s="9">
        <v>0.35447835927482463</v>
      </c>
      <c r="O29" s="9">
        <v>0.11741681926243071</v>
      </c>
      <c r="P29" s="9">
        <v>3.476060649075889</v>
      </c>
      <c r="Q29" s="9">
        <v>1.2776031888910147</v>
      </c>
      <c r="R29" s="10">
        <v>1.0475499377036921E-4</v>
      </c>
      <c r="S29" s="8">
        <f t="shared" si="5"/>
        <v>4.5521640725175394E-2</v>
      </c>
      <c r="T29" s="8">
        <f t="shared" si="5"/>
        <v>1.7416819262430702E-2</v>
      </c>
      <c r="U29" s="8">
        <f t="shared" si="5"/>
        <v>0.18893935092411107</v>
      </c>
      <c r="V29" s="8">
        <f t="shared" si="5"/>
        <v>0.2933968111089853</v>
      </c>
    </row>
    <row r="30" spans="1:22" x14ac:dyDescent="0.35">
      <c r="A30" s="9">
        <v>0.7</v>
      </c>
      <c r="B30" s="9">
        <v>0.1</v>
      </c>
      <c r="C30" s="9">
        <v>3.665</v>
      </c>
      <c r="D30" s="9">
        <v>1.571</v>
      </c>
      <c r="E30" s="9">
        <v>1.4</v>
      </c>
      <c r="F30" s="9">
        <v>0</v>
      </c>
      <c r="G30" s="9">
        <v>0</v>
      </c>
      <c r="N30" s="9">
        <v>0.83737450163868232</v>
      </c>
      <c r="O30" s="9">
        <v>0.10649867724428647</v>
      </c>
      <c r="P30" s="9">
        <v>3.9519365862573848</v>
      </c>
      <c r="Q30" s="9">
        <v>2.0100575245032615</v>
      </c>
      <c r="R30" s="10">
        <v>1.0822175510970212E-3</v>
      </c>
      <c r="S30" s="8">
        <f t="shared" si="5"/>
        <v>0.13737450163868237</v>
      </c>
      <c r="T30" s="8">
        <f t="shared" si="5"/>
        <v>6.4986772442864604E-3</v>
      </c>
      <c r="U30" s="8">
        <f t="shared" si="5"/>
        <v>0.28693658625738472</v>
      </c>
      <c r="V30" s="8">
        <f t="shared" si="5"/>
        <v>0.43905752450326152</v>
      </c>
    </row>
    <row r="31" spans="1:22" x14ac:dyDescent="0.35">
      <c r="A31" s="9">
        <v>0.4</v>
      </c>
      <c r="B31" s="9">
        <v>0.16</v>
      </c>
      <c r="C31" s="9">
        <v>3.665</v>
      </c>
      <c r="D31" s="9">
        <v>1.571</v>
      </c>
      <c r="E31" s="9">
        <v>0</v>
      </c>
      <c r="F31" s="9">
        <v>0</v>
      </c>
      <c r="G31" s="9">
        <v>0</v>
      </c>
      <c r="N31" s="9">
        <v>0.3191268817009984</v>
      </c>
      <c r="O31" s="9">
        <v>0.13112569806579716</v>
      </c>
      <c r="P31" s="9">
        <v>3.8429899392325941</v>
      </c>
      <c r="Q31" s="9">
        <v>1.2617566008779619</v>
      </c>
      <c r="R31" s="10">
        <v>8.8175585365581673E-4</v>
      </c>
      <c r="S31" s="8">
        <f t="shared" si="5"/>
        <v>8.0873118299001623E-2</v>
      </c>
      <c r="T31" s="8">
        <f t="shared" si="5"/>
        <v>2.8874301934202845E-2</v>
      </c>
      <c r="U31" s="8">
        <f t="shared" si="5"/>
        <v>0.1779899392325941</v>
      </c>
      <c r="V31" s="8">
        <f t="shared" si="5"/>
        <v>0.30924339912203802</v>
      </c>
    </row>
    <row r="32" spans="1:22" x14ac:dyDescent="0.35">
      <c r="A32" s="9">
        <v>0.3</v>
      </c>
      <c r="B32" s="9">
        <v>0.18</v>
      </c>
      <c r="C32" s="9">
        <v>3.665</v>
      </c>
      <c r="D32" s="9">
        <v>1.571</v>
      </c>
      <c r="E32" s="9">
        <v>0</v>
      </c>
      <c r="F32" s="9">
        <v>0</v>
      </c>
      <c r="G32" s="9">
        <v>0</v>
      </c>
      <c r="N32" s="9">
        <v>0.58459281694186471</v>
      </c>
      <c r="O32" s="9">
        <v>4.9035352263551789E-2</v>
      </c>
      <c r="P32" s="9">
        <v>3.1507611651206489</v>
      </c>
      <c r="Q32" s="9">
        <v>2.1103727394497591</v>
      </c>
      <c r="R32" s="10">
        <v>1.0272167323394715E-3</v>
      </c>
      <c r="S32" s="8">
        <f t="shared" si="5"/>
        <v>0.28459281694186472</v>
      </c>
      <c r="T32" s="8">
        <f t="shared" si="5"/>
        <v>0.1309646477364482</v>
      </c>
      <c r="U32" s="8">
        <f t="shared" si="5"/>
        <v>0.51423883487935118</v>
      </c>
      <c r="V32" s="8">
        <f t="shared" si="5"/>
        <v>0.53937273944975916</v>
      </c>
    </row>
    <row r="33" spans="1:22" x14ac:dyDescent="0.35">
      <c r="A33" s="9">
        <v>0.3</v>
      </c>
      <c r="B33" s="9">
        <v>0.08</v>
      </c>
      <c r="C33" s="9">
        <v>1.571</v>
      </c>
      <c r="D33" s="9">
        <v>0.78500000000000003</v>
      </c>
      <c r="E33" s="9">
        <v>1.4</v>
      </c>
      <c r="F33" s="9">
        <v>0</v>
      </c>
      <c r="G33" s="9">
        <v>0</v>
      </c>
      <c r="N33" s="9">
        <v>0.28093085634355897</v>
      </c>
      <c r="O33" s="9">
        <v>4.1467797224327488E-2</v>
      </c>
      <c r="P33" s="9">
        <v>1.2438983926900113</v>
      </c>
      <c r="Q33" s="9">
        <v>0.89313419844429287</v>
      </c>
      <c r="R33" s="10">
        <v>5.5124756152952863E-5</v>
      </c>
      <c r="S33" s="8">
        <f t="shared" si="5"/>
        <v>1.9069143656441023E-2</v>
      </c>
      <c r="T33" s="8">
        <f t="shared" si="5"/>
        <v>3.8532202775672514E-2</v>
      </c>
      <c r="U33" s="8">
        <f t="shared" si="5"/>
        <v>0.32710160730998861</v>
      </c>
      <c r="V33" s="8">
        <f t="shared" si="5"/>
        <v>0.10813419844429284</v>
      </c>
    </row>
    <row r="34" spans="1:22" x14ac:dyDescent="0.35">
      <c r="A34" s="9">
        <v>0.4</v>
      </c>
      <c r="B34" s="9">
        <v>0.14000000000000001</v>
      </c>
      <c r="C34" s="9">
        <v>1.571</v>
      </c>
      <c r="D34" s="9">
        <v>0.78500000000000003</v>
      </c>
      <c r="E34" s="9">
        <v>0</v>
      </c>
      <c r="F34" s="9">
        <v>0</v>
      </c>
      <c r="G34" s="9">
        <v>0</v>
      </c>
      <c r="N34" s="9">
        <v>0.8357561634245505</v>
      </c>
      <c r="O34" s="9">
        <v>0.19623799310956735</v>
      </c>
      <c r="P34" s="9">
        <v>2.3164676486499465</v>
      </c>
      <c r="Q34" s="9">
        <v>4.5995680623395208E-2</v>
      </c>
      <c r="R34" s="10">
        <v>3.2753544143452966E-3</v>
      </c>
      <c r="S34" s="8">
        <f t="shared" si="5"/>
        <v>0.43575616342455048</v>
      </c>
      <c r="T34" s="8">
        <f t="shared" si="5"/>
        <v>5.6237993109567341E-2</v>
      </c>
      <c r="U34" s="8">
        <f t="shared" si="5"/>
        <v>0.74546764864994652</v>
      </c>
      <c r="V34" s="8">
        <f t="shared" si="5"/>
        <v>0.73900431937660482</v>
      </c>
    </row>
    <row r="35" spans="1:22" x14ac:dyDescent="0.35">
      <c r="A35" s="9">
        <v>0.6</v>
      </c>
      <c r="B35" s="9">
        <v>0.16</v>
      </c>
      <c r="C35" s="9">
        <v>1.571</v>
      </c>
      <c r="D35" s="9">
        <v>0.78500000000000003</v>
      </c>
      <c r="E35" s="9">
        <v>1.4</v>
      </c>
      <c r="F35" s="9">
        <v>0</v>
      </c>
      <c r="G35" s="9">
        <v>0</v>
      </c>
      <c r="N35" s="9">
        <v>0.76679064140803388</v>
      </c>
      <c r="O35" s="9">
        <v>0.10524228037132104</v>
      </c>
      <c r="P35" s="9">
        <v>1.9043069532470975</v>
      </c>
      <c r="Q35" s="9">
        <v>1.8558425645467318</v>
      </c>
      <c r="R35" s="10">
        <v>1.8658648594814199E-3</v>
      </c>
      <c r="S35" s="8">
        <f t="shared" si="5"/>
        <v>0.1667906414080339</v>
      </c>
      <c r="T35" s="8">
        <f t="shared" si="5"/>
        <v>5.4757719628678966E-2</v>
      </c>
      <c r="U35" s="8">
        <f t="shared" si="5"/>
        <v>0.33330695324709758</v>
      </c>
      <c r="V35" s="8">
        <f t="shared" si="5"/>
        <v>1.0708425645467319</v>
      </c>
    </row>
    <row r="36" spans="1:22" x14ac:dyDescent="0.35">
      <c r="A36" s="9">
        <v>0.4</v>
      </c>
      <c r="B36" s="9">
        <v>0.06</v>
      </c>
      <c r="C36" s="9">
        <v>1.571</v>
      </c>
      <c r="D36" s="9">
        <v>1.571</v>
      </c>
      <c r="E36" s="9">
        <v>1.4</v>
      </c>
      <c r="F36" s="9">
        <v>0</v>
      </c>
      <c r="G36" s="9">
        <v>0</v>
      </c>
      <c r="N36" s="9">
        <v>0.58608111103730809</v>
      </c>
      <c r="O36" s="9">
        <v>1.0000010041428762E-2</v>
      </c>
      <c r="P36" s="9">
        <v>1.5529888930027917</v>
      </c>
      <c r="Q36" s="9">
        <v>1.5705454054366439</v>
      </c>
      <c r="R36" s="10">
        <v>7.8853805110038424E-5</v>
      </c>
      <c r="S36" s="8">
        <f t="shared" si="5"/>
        <v>0.18608111103730807</v>
      </c>
      <c r="T36" s="8">
        <f t="shared" si="5"/>
        <v>4.9999989958571238E-2</v>
      </c>
      <c r="U36" s="8">
        <f t="shared" si="5"/>
        <v>1.8011106997208204E-2</v>
      </c>
      <c r="V36" s="8">
        <f t="shared" si="5"/>
        <v>4.5459456335605886E-4</v>
      </c>
    </row>
    <row r="37" spans="1:22" x14ac:dyDescent="0.35">
      <c r="A37" s="9">
        <v>0.8</v>
      </c>
      <c r="B37" s="9">
        <v>0.08</v>
      </c>
      <c r="C37" s="9">
        <v>1.571</v>
      </c>
      <c r="D37" s="9">
        <v>1.571</v>
      </c>
      <c r="E37" s="9">
        <v>0</v>
      </c>
      <c r="F37" s="9">
        <v>0</v>
      </c>
      <c r="G37" s="9">
        <v>0</v>
      </c>
      <c r="N37" s="9">
        <v>0.74452734621520467</v>
      </c>
      <c r="O37" s="9">
        <v>7.0563681510795909E-2</v>
      </c>
      <c r="P37" s="9">
        <v>1.6519721982628037</v>
      </c>
      <c r="Q37" s="9">
        <v>1.323477849156832</v>
      </c>
      <c r="R37" s="10">
        <v>1.2128060552055442E-4</v>
      </c>
      <c r="S37" s="8">
        <f t="shared" si="5"/>
        <v>5.5472653784795378E-2</v>
      </c>
      <c r="T37" s="8">
        <f t="shared" si="5"/>
        <v>9.436318489204093E-3</v>
      </c>
      <c r="U37" s="8">
        <f t="shared" si="5"/>
        <v>8.0972198262803774E-2</v>
      </c>
      <c r="V37" s="8">
        <f t="shared" si="5"/>
        <v>0.24752215084316798</v>
      </c>
    </row>
    <row r="38" spans="1:22" x14ac:dyDescent="0.35">
      <c r="A38" s="9">
        <v>0.7</v>
      </c>
      <c r="B38" s="9">
        <v>0.16</v>
      </c>
      <c r="C38" s="9">
        <v>1.571</v>
      </c>
      <c r="D38" s="9">
        <v>1.571</v>
      </c>
      <c r="E38" s="9">
        <v>1.4</v>
      </c>
      <c r="F38" s="9">
        <v>0</v>
      </c>
      <c r="G38" s="9">
        <v>0</v>
      </c>
      <c r="N38" s="9">
        <v>0.75948654002914695</v>
      </c>
      <c r="O38" s="9">
        <v>0.16701888957613131</v>
      </c>
      <c r="P38" s="9">
        <v>1.2471978257320686</v>
      </c>
      <c r="Q38" s="9">
        <v>1.7582093227301836</v>
      </c>
      <c r="R38" s="10">
        <v>3.8364123030390843E-3</v>
      </c>
      <c r="S38" s="8">
        <f t="shared" si="5"/>
        <v>5.9486540029146995E-2</v>
      </c>
      <c r="T38" s="8">
        <f t="shared" si="5"/>
        <v>7.0188895761313097E-3</v>
      </c>
      <c r="U38" s="8">
        <f t="shared" si="5"/>
        <v>0.32380217426793134</v>
      </c>
      <c r="V38" s="8">
        <f t="shared" si="5"/>
        <v>0.18720932273018365</v>
      </c>
    </row>
    <row r="39" spans="1:22" x14ac:dyDescent="0.35">
      <c r="A39" s="9">
        <v>0.7</v>
      </c>
      <c r="B39" s="9">
        <v>0.2</v>
      </c>
      <c r="C39" s="9">
        <v>1.571</v>
      </c>
      <c r="D39" s="9">
        <v>1.571</v>
      </c>
      <c r="E39" s="9">
        <v>0</v>
      </c>
      <c r="F39" s="9">
        <v>0</v>
      </c>
      <c r="G39" s="9">
        <v>0</v>
      </c>
      <c r="N39" s="9">
        <v>0.23377458693731279</v>
      </c>
      <c r="O39" s="9">
        <v>0.19999915008944555</v>
      </c>
      <c r="P39" s="9">
        <v>0.88001737602488506</v>
      </c>
      <c r="Q39" s="9">
        <v>2.365256105644614</v>
      </c>
      <c r="R39" s="10">
        <v>7.9000431895462943E-3</v>
      </c>
      <c r="S39" s="8">
        <f t="shared" si="5"/>
        <v>0.46622541306268717</v>
      </c>
      <c r="T39" s="8">
        <f t="shared" si="5"/>
        <v>8.4991055446237418E-7</v>
      </c>
      <c r="U39" s="8">
        <f t="shared" si="5"/>
        <v>0.6909826239751149</v>
      </c>
      <c r="V39" s="8">
        <f t="shared" si="5"/>
        <v>0.79425610564461402</v>
      </c>
    </row>
    <row r="40" spans="1:22" x14ac:dyDescent="0.35">
      <c r="A40" s="9">
        <v>0.7</v>
      </c>
      <c r="B40" s="9">
        <v>0.06</v>
      </c>
      <c r="C40" s="9">
        <v>3.665</v>
      </c>
      <c r="D40" s="9">
        <v>0.78500000000000003</v>
      </c>
      <c r="E40" s="9">
        <v>0</v>
      </c>
      <c r="F40" s="9">
        <v>0</v>
      </c>
      <c r="G40" s="9">
        <v>0</v>
      </c>
      <c r="N40" s="9">
        <v>0.80636914499722678</v>
      </c>
      <c r="O40" s="9">
        <v>3.7708629639087478E-2</v>
      </c>
      <c r="P40" s="9">
        <v>3.402785482337563</v>
      </c>
      <c r="Q40" s="9">
        <v>0.97566714909508467</v>
      </c>
      <c r="R40" s="10">
        <v>5.0858757388649086E-4</v>
      </c>
      <c r="S40" s="8">
        <f t="shared" si="5"/>
        <v>0.10636914499722683</v>
      </c>
      <c r="T40" s="8">
        <f t="shared" si="5"/>
        <v>2.229137036091252E-2</v>
      </c>
      <c r="U40" s="8">
        <f t="shared" si="5"/>
        <v>0.26221451766243709</v>
      </c>
      <c r="V40" s="8">
        <f t="shared" si="5"/>
        <v>0.19066714909508464</v>
      </c>
    </row>
    <row r="41" spans="1:22" x14ac:dyDescent="0.35">
      <c r="A41" s="9">
        <v>0.6</v>
      </c>
      <c r="B41" s="9">
        <v>0.1</v>
      </c>
      <c r="C41" s="9">
        <v>3.665</v>
      </c>
      <c r="D41" s="9">
        <v>0.78500000000000003</v>
      </c>
      <c r="E41" s="9">
        <v>0</v>
      </c>
      <c r="F41" s="9">
        <v>0</v>
      </c>
      <c r="G41" s="9">
        <v>0</v>
      </c>
      <c r="N41" s="9">
        <v>0.34495873569902558</v>
      </c>
      <c r="O41" s="9">
        <v>0.18344413855239569</v>
      </c>
      <c r="P41" s="9">
        <v>3.8305122530810722</v>
      </c>
      <c r="Q41" s="9">
        <v>0.94172521287527367</v>
      </c>
      <c r="R41" s="10">
        <v>5.2359145065643839E-4</v>
      </c>
      <c r="S41" s="8">
        <f t="shared" si="5"/>
        <v>0.2550412643009744</v>
      </c>
      <c r="T41" s="8">
        <f t="shared" si="5"/>
        <v>8.3444138552395686E-2</v>
      </c>
      <c r="U41" s="8">
        <f t="shared" si="5"/>
        <v>0.1655122530810722</v>
      </c>
      <c r="V41" s="8">
        <f t="shared" si="5"/>
        <v>0.15672521287527363</v>
      </c>
    </row>
    <row r="42" spans="1:22" x14ac:dyDescent="0.35">
      <c r="A42" s="9">
        <v>0.8</v>
      </c>
      <c r="B42" s="9">
        <v>0.18</v>
      </c>
      <c r="C42" s="9">
        <v>3.665</v>
      </c>
      <c r="D42" s="9">
        <v>0.78500000000000003</v>
      </c>
      <c r="E42" s="9">
        <v>1.4</v>
      </c>
      <c r="F42" s="9">
        <v>0</v>
      </c>
      <c r="G42" s="9">
        <v>0</v>
      </c>
      <c r="N42" s="9">
        <v>0.94815372507113727</v>
      </c>
      <c r="O42" s="9">
        <v>0.11020196853105015</v>
      </c>
      <c r="P42" s="9">
        <v>3.8048602922342765</v>
      </c>
      <c r="Q42" s="9">
        <v>0.81373670302719292</v>
      </c>
      <c r="R42" s="10">
        <v>3.9588029377935158E-4</v>
      </c>
      <c r="S42" s="8">
        <f t="shared" si="5"/>
        <v>0.14815372507113722</v>
      </c>
      <c r="T42" s="8">
        <f t="shared" si="5"/>
        <v>6.9798031468949848E-2</v>
      </c>
      <c r="U42" s="8">
        <f t="shared" si="5"/>
        <v>0.13986029223427643</v>
      </c>
      <c r="V42" s="8">
        <f t="shared" si="5"/>
        <v>2.8736703027192889E-2</v>
      </c>
    </row>
    <row r="43" spans="1:22" x14ac:dyDescent="0.35">
      <c r="A43" s="9">
        <v>0.4</v>
      </c>
      <c r="B43" s="9">
        <v>0.2</v>
      </c>
      <c r="C43" s="9">
        <v>3.665</v>
      </c>
      <c r="D43" s="9">
        <v>0.78500000000000003</v>
      </c>
      <c r="E43" s="9">
        <v>1.4</v>
      </c>
      <c r="F43" s="9">
        <v>0</v>
      </c>
      <c r="G43" s="9">
        <v>0</v>
      </c>
      <c r="N43" s="9">
        <v>0.42096910112929131</v>
      </c>
      <c r="O43" s="9">
        <v>0.11117246207601274</v>
      </c>
      <c r="P43" s="9">
        <v>3.8916650862539406</v>
      </c>
      <c r="Q43" s="9">
        <v>1.2077619665430401</v>
      </c>
      <c r="R43" s="10">
        <v>9.6022116365468045E-4</v>
      </c>
      <c r="S43" s="8">
        <f t="shared" si="5"/>
        <v>2.096910112929129E-2</v>
      </c>
      <c r="T43" s="8">
        <f t="shared" si="5"/>
        <v>8.8827537923987274E-2</v>
      </c>
      <c r="U43" s="8">
        <f t="shared" si="5"/>
        <v>0.22666508625394055</v>
      </c>
      <c r="V43" s="8">
        <f t="shared" si="5"/>
        <v>0.4227619665430401</v>
      </c>
    </row>
    <row r="44" spans="1:22" x14ac:dyDescent="0.35">
      <c r="A44" s="9">
        <v>0.4</v>
      </c>
      <c r="B44" s="9">
        <v>0.1</v>
      </c>
      <c r="C44" s="9">
        <v>3.665</v>
      </c>
      <c r="D44" s="9">
        <v>1.571</v>
      </c>
      <c r="E44" s="9">
        <v>1.4</v>
      </c>
      <c r="F44" s="9">
        <v>0</v>
      </c>
      <c r="G44" s="9">
        <v>0</v>
      </c>
      <c r="N44" s="9">
        <v>0.40517859493147684</v>
      </c>
      <c r="O44" s="9">
        <v>0.19999798057161824</v>
      </c>
      <c r="P44" s="9">
        <v>3.7387063227639774</v>
      </c>
      <c r="Q44" s="9">
        <v>0.43582603255486552</v>
      </c>
      <c r="R44" s="10">
        <v>2.7157812969664163E-4</v>
      </c>
      <c r="S44" s="8">
        <f t="shared" si="5"/>
        <v>5.1785949314768209E-3</v>
      </c>
      <c r="T44" s="8">
        <f t="shared" si="5"/>
        <v>9.9997980571618239E-2</v>
      </c>
      <c r="U44" s="8">
        <f t="shared" si="5"/>
        <v>7.3706322763977372E-2</v>
      </c>
      <c r="V44" s="8">
        <f t="shared" si="5"/>
        <v>1.1351739674451344</v>
      </c>
    </row>
    <row r="45" spans="1:22" x14ac:dyDescent="0.35">
      <c r="A45" s="9">
        <v>0.7</v>
      </c>
      <c r="B45" s="9">
        <v>0.1</v>
      </c>
      <c r="C45" s="9">
        <v>3.665</v>
      </c>
      <c r="D45" s="9">
        <v>1.571</v>
      </c>
      <c r="E45" s="9">
        <v>1.4</v>
      </c>
      <c r="F45" s="9">
        <v>0</v>
      </c>
      <c r="G45" s="9">
        <v>0</v>
      </c>
      <c r="N45" s="9">
        <v>0.76324056087429148</v>
      </c>
      <c r="O45" s="9">
        <v>8.7954685032583607E-2</v>
      </c>
      <c r="P45" s="9">
        <v>3.3841997477930374</v>
      </c>
      <c r="Q45" s="9">
        <v>1.4877790957099251</v>
      </c>
      <c r="R45" s="10">
        <v>1.9803765342229075E-3</v>
      </c>
      <c r="S45" s="8">
        <f t="shared" si="5"/>
        <v>6.3240560874291529E-2</v>
      </c>
      <c r="T45" s="8">
        <f t="shared" si="5"/>
        <v>1.2045314967416398E-2</v>
      </c>
      <c r="U45" s="8">
        <f t="shared" si="5"/>
        <v>0.28080025220696259</v>
      </c>
      <c r="V45" s="8">
        <f t="shared" si="5"/>
        <v>8.3220904290074893E-2</v>
      </c>
    </row>
    <row r="46" spans="1:22" x14ac:dyDescent="0.35">
      <c r="A46" s="9">
        <v>0.4</v>
      </c>
      <c r="B46" s="9">
        <v>0.16</v>
      </c>
      <c r="C46" s="9">
        <v>3.665</v>
      </c>
      <c r="D46" s="9">
        <v>1.571</v>
      </c>
      <c r="E46" s="9">
        <v>0</v>
      </c>
      <c r="F46" s="9">
        <v>0</v>
      </c>
      <c r="G46" s="9">
        <v>0</v>
      </c>
      <c r="N46" s="9">
        <v>0.5678650613557793</v>
      </c>
      <c r="O46" s="9">
        <v>0.13504583747950932</v>
      </c>
      <c r="P46" s="9">
        <v>3.8322579808154145</v>
      </c>
      <c r="Q46" s="9">
        <v>2.2716256407185562</v>
      </c>
      <c r="R46" s="10">
        <v>1.8025652504092388E-4</v>
      </c>
      <c r="S46" s="8">
        <f t="shared" si="5"/>
        <v>0.16786506135577928</v>
      </c>
      <c r="T46" s="8">
        <f t="shared" si="5"/>
        <v>2.495416252049068E-2</v>
      </c>
      <c r="U46" s="8">
        <f t="shared" si="5"/>
        <v>0.16725798081541443</v>
      </c>
      <c r="V46" s="8">
        <f t="shared" si="5"/>
        <v>0.70062564071855626</v>
      </c>
    </row>
    <row r="47" spans="1:22" x14ac:dyDescent="0.35">
      <c r="A47" s="9">
        <v>0.3</v>
      </c>
      <c r="B47" s="9">
        <v>0.18</v>
      </c>
      <c r="C47" s="9">
        <v>3.665</v>
      </c>
      <c r="D47" s="9">
        <v>1.571</v>
      </c>
      <c r="E47" s="9">
        <v>0</v>
      </c>
      <c r="F47" s="9">
        <v>0</v>
      </c>
      <c r="G47" s="9">
        <v>0</v>
      </c>
      <c r="N47" s="9">
        <v>0.5221293391004237</v>
      </c>
      <c r="O47" s="9">
        <v>1.0000078419502654E-2</v>
      </c>
      <c r="P47" s="9">
        <v>4.8557246518892416</v>
      </c>
      <c r="Q47" s="9">
        <v>1.7595246517144609</v>
      </c>
      <c r="R47" s="10">
        <v>3.1372438922756562E-3</v>
      </c>
      <c r="S47" s="8">
        <f t="shared" si="5"/>
        <v>0.22212933910042371</v>
      </c>
      <c r="T47" s="8">
        <f t="shared" si="5"/>
        <v>0.16999992158049734</v>
      </c>
      <c r="U47" s="8">
        <f t="shared" si="5"/>
        <v>1.1907246518892416</v>
      </c>
      <c r="V47" s="8">
        <f t="shared" si="5"/>
        <v>0.18852465171446098</v>
      </c>
    </row>
    <row r="48" spans="1:22" x14ac:dyDescent="0.35">
      <c r="A48" s="9">
        <v>0.3</v>
      </c>
      <c r="B48" s="9">
        <v>0.08</v>
      </c>
      <c r="C48" s="9">
        <v>1.571</v>
      </c>
      <c r="D48" s="9">
        <v>0.78500000000000003</v>
      </c>
      <c r="E48" s="9">
        <v>1.4</v>
      </c>
      <c r="F48" s="9">
        <v>0</v>
      </c>
      <c r="G48" s="9">
        <v>0</v>
      </c>
      <c r="N48" s="9">
        <v>0.54519075053032384</v>
      </c>
      <c r="O48" s="9">
        <v>0.10439991641130252</v>
      </c>
      <c r="P48" s="9">
        <v>1.4534014885311639</v>
      </c>
      <c r="Q48" s="9">
        <v>2.5472158835272429</v>
      </c>
      <c r="R48" s="10">
        <v>1.1716262210680378E-5</v>
      </c>
      <c r="S48" s="8">
        <f t="shared" si="5"/>
        <v>0.24519075053032385</v>
      </c>
      <c r="T48" s="8">
        <f t="shared" si="5"/>
        <v>2.4399916411302514E-2</v>
      </c>
      <c r="U48" s="8">
        <f t="shared" si="5"/>
        <v>0.11759851146883604</v>
      </c>
      <c r="V48" s="8">
        <f t="shared" si="5"/>
        <v>1.7622158835272428</v>
      </c>
    </row>
    <row r="49" spans="1:22" x14ac:dyDescent="0.35">
      <c r="A49" s="9">
        <v>0.4</v>
      </c>
      <c r="B49" s="9">
        <v>0.14000000000000001</v>
      </c>
      <c r="C49" s="9">
        <v>1.571</v>
      </c>
      <c r="D49" s="9">
        <v>0.78500000000000003</v>
      </c>
      <c r="E49" s="9">
        <v>0</v>
      </c>
      <c r="F49" s="9">
        <v>0</v>
      </c>
      <c r="G49" s="9">
        <v>0</v>
      </c>
      <c r="N49" s="9">
        <v>0.39880070431201176</v>
      </c>
      <c r="O49" s="9">
        <v>8.5953739702810006E-2</v>
      </c>
      <c r="P49" s="9">
        <v>1.3841894836124149</v>
      </c>
      <c r="Q49" s="9">
        <v>1.3798448595417805</v>
      </c>
      <c r="R49" s="10">
        <v>1.0334693720448139E-4</v>
      </c>
      <c r="S49" s="8">
        <f t="shared" si="5"/>
        <v>1.1992956879882666E-3</v>
      </c>
      <c r="T49" s="8">
        <f t="shared" si="5"/>
        <v>5.4046260297190007E-2</v>
      </c>
      <c r="U49" s="8">
        <f t="shared" si="5"/>
        <v>0.18681051638758506</v>
      </c>
      <c r="V49" s="8">
        <f t="shared" si="5"/>
        <v>0.59484485954178046</v>
      </c>
    </row>
    <row r="50" spans="1:22" x14ac:dyDescent="0.35">
      <c r="A50" s="9">
        <v>0.6</v>
      </c>
      <c r="B50" s="9">
        <v>0.16</v>
      </c>
      <c r="C50" s="9">
        <v>1.571</v>
      </c>
      <c r="D50" s="9">
        <v>0.78500000000000003</v>
      </c>
      <c r="E50" s="9">
        <v>1.4</v>
      </c>
      <c r="F50" s="9">
        <v>0</v>
      </c>
      <c r="G50" s="9">
        <v>0</v>
      </c>
      <c r="N50" s="9">
        <v>0.54845172475288451</v>
      </c>
      <c r="O50" s="9">
        <v>0.18573328798097002</v>
      </c>
      <c r="P50" s="9">
        <v>2.066760167349321</v>
      </c>
      <c r="Q50" s="9">
        <v>0.54008478463005294</v>
      </c>
      <c r="R50" s="10">
        <v>7.5162615396256419E-4</v>
      </c>
      <c r="S50" s="8">
        <f t="shared" si="5"/>
        <v>5.1548275247115471E-2</v>
      </c>
      <c r="T50" s="8">
        <f t="shared" si="5"/>
        <v>2.5733287980970021E-2</v>
      </c>
      <c r="U50" s="8">
        <f t="shared" si="5"/>
        <v>0.49576016734932105</v>
      </c>
      <c r="V50" s="8">
        <f t="shared" si="5"/>
        <v>0.24491521536994709</v>
      </c>
    </row>
    <row r="51" spans="1:22" x14ac:dyDescent="0.35">
      <c r="A51" s="9">
        <v>0.4</v>
      </c>
      <c r="B51" s="9">
        <v>0.06</v>
      </c>
      <c r="C51" s="9">
        <v>1.571</v>
      </c>
      <c r="D51" s="9">
        <v>1.571</v>
      </c>
      <c r="E51" s="9">
        <v>1.4</v>
      </c>
      <c r="F51" s="9">
        <v>0</v>
      </c>
      <c r="G51" s="9">
        <v>0</v>
      </c>
      <c r="N51" s="9">
        <v>0.37932071482043928</v>
      </c>
      <c r="O51" s="9">
        <v>9.6468719127141181E-2</v>
      </c>
      <c r="P51" s="9">
        <v>1.6239949582492723</v>
      </c>
      <c r="Q51" s="9">
        <v>2.2678223781454894</v>
      </c>
      <c r="R51" s="10">
        <v>1.8910071797614324E-4</v>
      </c>
      <c r="S51" s="8">
        <f t="shared" si="5"/>
        <v>2.0679285179560747E-2</v>
      </c>
      <c r="T51" s="8">
        <f t="shared" si="5"/>
        <v>3.6468719127141183E-2</v>
      </c>
      <c r="U51" s="8">
        <f t="shared" si="5"/>
        <v>5.2994958249272361E-2</v>
      </c>
      <c r="V51" s="8">
        <f t="shared" si="5"/>
        <v>0.69682237814548942</v>
      </c>
    </row>
    <row r="52" spans="1:22" x14ac:dyDescent="0.35">
      <c r="A52" s="9">
        <v>0.8</v>
      </c>
      <c r="B52" s="9">
        <v>0.08</v>
      </c>
      <c r="C52" s="9">
        <v>1.571</v>
      </c>
      <c r="D52" s="9">
        <v>1.571</v>
      </c>
      <c r="E52" s="9">
        <v>0</v>
      </c>
      <c r="F52" s="9">
        <v>0</v>
      </c>
      <c r="G52" s="9">
        <v>0</v>
      </c>
      <c r="N52" s="9">
        <v>0.74814906494687261</v>
      </c>
      <c r="O52" s="9">
        <v>6.8399747316337314E-2</v>
      </c>
      <c r="P52" s="9">
        <v>1.3531210271468381</v>
      </c>
      <c r="Q52" s="9">
        <v>1.4484935754491501</v>
      </c>
      <c r="R52" s="10">
        <v>1.0224977419134565E-3</v>
      </c>
      <c r="S52" s="8">
        <f t="shared" si="5"/>
        <v>5.1850935053127434E-2</v>
      </c>
      <c r="T52" s="8">
        <f t="shared" si="5"/>
        <v>1.1600252683662687E-2</v>
      </c>
      <c r="U52" s="8">
        <f t="shared" si="5"/>
        <v>0.21787897285316182</v>
      </c>
      <c r="V52" s="8">
        <f t="shared" si="5"/>
        <v>0.12250642455084981</v>
      </c>
    </row>
    <row r="53" spans="1:22" x14ac:dyDescent="0.35">
      <c r="A53" s="9">
        <v>0.7</v>
      </c>
      <c r="B53" s="9">
        <v>0.16</v>
      </c>
      <c r="C53" s="9">
        <v>1.571</v>
      </c>
      <c r="D53" s="9">
        <v>1.571</v>
      </c>
      <c r="E53" s="9">
        <v>1.4</v>
      </c>
      <c r="F53" s="9">
        <v>0</v>
      </c>
      <c r="G53" s="9">
        <v>0</v>
      </c>
      <c r="N53" s="9">
        <v>0.55400612622410661</v>
      </c>
      <c r="O53" s="9">
        <v>0.15072208502734408</v>
      </c>
      <c r="P53" s="9">
        <v>1.9362896897437338</v>
      </c>
      <c r="Q53" s="9">
        <v>1.0969148184935662</v>
      </c>
      <c r="R53" s="10">
        <v>2.7617903654967371E-3</v>
      </c>
      <c r="S53" s="8">
        <f t="shared" si="5"/>
        <v>0.14599387377589335</v>
      </c>
      <c r="T53" s="8">
        <f t="shared" si="5"/>
        <v>9.2779149726559262E-3</v>
      </c>
      <c r="U53" s="8">
        <f t="shared" si="5"/>
        <v>0.36528968974373388</v>
      </c>
      <c r="V53" s="8">
        <f t="shared" si="5"/>
        <v>0.47408518150643375</v>
      </c>
    </row>
    <row r="54" spans="1:22" x14ac:dyDescent="0.35">
      <c r="A54" s="9">
        <v>0.7</v>
      </c>
      <c r="B54" s="9">
        <v>0.2</v>
      </c>
      <c r="C54" s="9">
        <v>1.571</v>
      </c>
      <c r="D54" s="9">
        <v>1.571</v>
      </c>
      <c r="E54" s="9">
        <v>0</v>
      </c>
      <c r="F54" s="9">
        <v>0</v>
      </c>
      <c r="G54" s="9">
        <v>0</v>
      </c>
      <c r="N54" s="9">
        <v>0.6702265422643171</v>
      </c>
      <c r="O54" s="9">
        <v>0.19926503526407735</v>
      </c>
      <c r="P54" s="9">
        <v>1.2299642971279638</v>
      </c>
      <c r="Q54" s="9">
        <v>1.9051833287326376</v>
      </c>
      <c r="R54" s="10">
        <v>2.6282822812484954E-3</v>
      </c>
      <c r="S54" s="8">
        <f t="shared" si="5"/>
        <v>2.9773457735682851E-2</v>
      </c>
      <c r="T54" s="8">
        <f t="shared" si="5"/>
        <v>7.3496473592266076E-4</v>
      </c>
      <c r="U54" s="8">
        <f t="shared" si="5"/>
        <v>0.34103570287203611</v>
      </c>
      <c r="V54" s="8">
        <f t="shared" si="5"/>
        <v>0.33418332873263767</v>
      </c>
    </row>
    <row r="55" spans="1:22" x14ac:dyDescent="0.35">
      <c r="A55" s="9">
        <v>0.7</v>
      </c>
      <c r="B55" s="9">
        <v>0.06</v>
      </c>
      <c r="C55" s="9">
        <v>3.665</v>
      </c>
      <c r="D55" s="9">
        <v>0.78500000000000003</v>
      </c>
      <c r="E55" s="9">
        <v>0</v>
      </c>
      <c r="F55" s="9">
        <v>0</v>
      </c>
      <c r="G55" s="9">
        <v>0</v>
      </c>
      <c r="N55" s="9">
        <v>0.99997464961012772</v>
      </c>
      <c r="O55" s="9">
        <v>4.8843292349612766E-2</v>
      </c>
      <c r="P55" s="9">
        <v>3.9576291966205388</v>
      </c>
      <c r="Q55" s="9">
        <v>0.65114936584335525</v>
      </c>
      <c r="R55" s="10">
        <v>1.2819308102525336E-3</v>
      </c>
      <c r="S55" s="8">
        <f t="shared" si="5"/>
        <v>0.29997464961012776</v>
      </c>
      <c r="T55" s="8">
        <f t="shared" si="5"/>
        <v>1.1156707650387232E-2</v>
      </c>
      <c r="U55" s="8">
        <f t="shared" si="5"/>
        <v>0.29262919662053877</v>
      </c>
      <c r="V55" s="8">
        <f t="shared" si="5"/>
        <v>0.13385063415664478</v>
      </c>
    </row>
    <row r="56" spans="1:22" x14ac:dyDescent="0.35">
      <c r="A56" s="9">
        <v>0.6</v>
      </c>
      <c r="B56" s="9">
        <v>0.1</v>
      </c>
      <c r="C56" s="9">
        <v>3.665</v>
      </c>
      <c r="D56" s="9">
        <v>0.78500000000000003</v>
      </c>
      <c r="E56" s="9">
        <v>0</v>
      </c>
      <c r="F56" s="9">
        <v>0</v>
      </c>
      <c r="G56" s="9">
        <v>0</v>
      </c>
      <c r="N56" s="9">
        <v>0.61005708873333608</v>
      </c>
      <c r="O56" s="9">
        <v>7.5065711179854111E-2</v>
      </c>
      <c r="P56" s="9">
        <v>3.5604436812483859</v>
      </c>
      <c r="Q56" s="9">
        <v>1.084863161454519</v>
      </c>
      <c r="R56" s="10">
        <v>5.1665625385774157E-4</v>
      </c>
      <c r="S56" s="8">
        <f t="shared" si="5"/>
        <v>1.0057088733336106E-2</v>
      </c>
      <c r="T56" s="8">
        <f t="shared" si="5"/>
        <v>2.4934288820145895E-2</v>
      </c>
      <c r="U56" s="8">
        <f t="shared" si="5"/>
        <v>0.10455631875161409</v>
      </c>
      <c r="V56" s="8">
        <f t="shared" si="5"/>
        <v>0.29986316145451897</v>
      </c>
    </row>
    <row r="57" spans="1:22" x14ac:dyDescent="0.35">
      <c r="A57" s="9">
        <v>0.8</v>
      </c>
      <c r="B57" s="9">
        <v>0.18</v>
      </c>
      <c r="C57" s="9">
        <v>3.665</v>
      </c>
      <c r="D57" s="9">
        <v>0.78500000000000003</v>
      </c>
      <c r="E57" s="9">
        <v>1.4</v>
      </c>
      <c r="F57" s="9">
        <v>0</v>
      </c>
      <c r="G57" s="9">
        <v>0</v>
      </c>
      <c r="N57" s="9">
        <v>0.69994543378801266</v>
      </c>
      <c r="O57" s="9">
        <v>0.16892149384158756</v>
      </c>
      <c r="P57" s="9">
        <v>3.5458668396869264</v>
      </c>
      <c r="Q57" s="9">
        <v>1.0780339803812959</v>
      </c>
      <c r="R57" s="10">
        <v>5.8125661214073442E-4</v>
      </c>
      <c r="S57" s="8">
        <f t="shared" si="5"/>
        <v>0.10005456621198738</v>
      </c>
      <c r="T57" s="8">
        <f t="shared" si="5"/>
        <v>1.1078506158412438E-2</v>
      </c>
      <c r="U57" s="8">
        <f t="shared" si="5"/>
        <v>0.11913316031307364</v>
      </c>
      <c r="V57" s="8">
        <f t="shared" si="5"/>
        <v>0.29303398038129591</v>
      </c>
    </row>
    <row r="58" spans="1:22" x14ac:dyDescent="0.35">
      <c r="A58" s="9">
        <v>0.4</v>
      </c>
      <c r="B58" s="9">
        <v>0.2</v>
      </c>
      <c r="C58" s="9">
        <v>3.665</v>
      </c>
      <c r="D58" s="9">
        <v>0.78500000000000003</v>
      </c>
      <c r="E58" s="9">
        <v>1.4</v>
      </c>
      <c r="F58" s="9">
        <v>0</v>
      </c>
      <c r="G58" s="9">
        <v>0</v>
      </c>
      <c r="N58" s="9">
        <v>0.56530810673208631</v>
      </c>
      <c r="O58" s="9">
        <v>5.7761893038730125E-2</v>
      </c>
      <c r="P58" s="9">
        <v>3.5561452392610926</v>
      </c>
      <c r="Q58" s="9">
        <v>1.1062406389627288</v>
      </c>
      <c r="R58" s="10">
        <v>2.7494163418605481E-4</v>
      </c>
      <c r="S58" s="8">
        <f t="shared" si="5"/>
        <v>0.16530810673208629</v>
      </c>
      <c r="T58" s="8">
        <f t="shared" si="5"/>
        <v>0.14223810696126987</v>
      </c>
      <c r="U58" s="8">
        <f t="shared" si="5"/>
        <v>0.10885476073890743</v>
      </c>
      <c r="V58" s="8">
        <f t="shared" si="5"/>
        <v>0.32124063896272881</v>
      </c>
    </row>
    <row r="59" spans="1:22" x14ac:dyDescent="0.35">
      <c r="A59" s="9">
        <v>0.4</v>
      </c>
      <c r="B59" s="9">
        <v>0.1</v>
      </c>
      <c r="C59" s="9">
        <v>3.665</v>
      </c>
      <c r="D59" s="9">
        <v>1.571</v>
      </c>
      <c r="E59" s="9">
        <v>1.4</v>
      </c>
      <c r="F59" s="9">
        <v>0</v>
      </c>
      <c r="G59" s="9">
        <v>0</v>
      </c>
      <c r="N59" s="9">
        <v>0.56234844755499092</v>
      </c>
      <c r="O59" s="9">
        <v>0.19998339474149923</v>
      </c>
      <c r="P59" s="9">
        <v>3.8835990852318409</v>
      </c>
      <c r="Q59" s="9">
        <v>0.28035577248883475</v>
      </c>
      <c r="R59" s="10">
        <v>1.0613622771106005E-3</v>
      </c>
      <c r="S59" s="8">
        <f t="shared" si="5"/>
        <v>0.16234844755499089</v>
      </c>
      <c r="T59" s="8">
        <f t="shared" si="5"/>
        <v>9.9983394741499226E-2</v>
      </c>
      <c r="U59" s="8">
        <f t="shared" si="5"/>
        <v>0.21859908523184091</v>
      </c>
      <c r="V59" s="8">
        <f t="shared" si="5"/>
        <v>1.2906442275111651</v>
      </c>
    </row>
    <row r="60" spans="1:22" x14ac:dyDescent="0.35">
      <c r="A60" s="9">
        <v>0.7</v>
      </c>
      <c r="B60" s="9">
        <v>0.1</v>
      </c>
      <c r="C60" s="9">
        <v>3.665</v>
      </c>
      <c r="D60" s="9">
        <v>1.571</v>
      </c>
      <c r="E60" s="9">
        <v>1.4</v>
      </c>
      <c r="F60" s="9">
        <v>0</v>
      </c>
      <c r="G60" s="9">
        <v>0</v>
      </c>
      <c r="N60" s="9">
        <v>0.86604052721972047</v>
      </c>
      <c r="O60" s="9">
        <v>7.930412706376988E-2</v>
      </c>
      <c r="P60" s="9">
        <v>3.9101314309539239</v>
      </c>
      <c r="Q60" s="9">
        <v>1.6444043779688917</v>
      </c>
      <c r="R60" s="10">
        <v>1.19880388836075E-3</v>
      </c>
      <c r="S60" s="8">
        <f t="shared" si="5"/>
        <v>0.16604052721972051</v>
      </c>
      <c r="T60" s="8">
        <f t="shared" si="5"/>
        <v>2.0695872936230125E-2</v>
      </c>
      <c r="U60" s="8">
        <f t="shared" si="5"/>
        <v>0.24513143095392387</v>
      </c>
      <c r="V60" s="8">
        <f t="shared" si="5"/>
        <v>7.3404377968891765E-2</v>
      </c>
    </row>
    <row r="61" spans="1:22" x14ac:dyDescent="0.35">
      <c r="A61" s="9">
        <v>0.4</v>
      </c>
      <c r="B61" s="9">
        <v>0.16</v>
      </c>
      <c r="C61" s="9">
        <v>3.665</v>
      </c>
      <c r="D61" s="9">
        <v>1.571</v>
      </c>
      <c r="E61" s="9">
        <v>0</v>
      </c>
      <c r="F61" s="9">
        <v>0</v>
      </c>
      <c r="G61" s="9">
        <v>0</v>
      </c>
      <c r="N61" s="9">
        <v>0.49439602235849583</v>
      </c>
      <c r="O61" s="9">
        <v>0.13823671462522413</v>
      </c>
      <c r="P61" s="9">
        <v>3.9882499880089446</v>
      </c>
      <c r="Q61" s="9">
        <v>2.166519660516844</v>
      </c>
      <c r="R61" s="10">
        <v>4.539224766368314E-4</v>
      </c>
      <c r="S61" s="8">
        <f t="shared" si="5"/>
        <v>9.4396022358495812E-2</v>
      </c>
      <c r="T61" s="8">
        <f t="shared" si="5"/>
        <v>2.176328537477587E-2</v>
      </c>
      <c r="U61" s="8">
        <f t="shared" si="5"/>
        <v>0.32324998800894456</v>
      </c>
      <c r="V61" s="8">
        <f t="shared" si="5"/>
        <v>0.59551966051684402</v>
      </c>
    </row>
    <row r="62" spans="1:22" x14ac:dyDescent="0.35">
      <c r="A62" s="9">
        <v>0.3</v>
      </c>
      <c r="B62" s="9">
        <v>0.18</v>
      </c>
      <c r="C62" s="9">
        <v>3.665</v>
      </c>
      <c r="D62" s="9">
        <v>1.571</v>
      </c>
      <c r="E62" s="9">
        <v>0</v>
      </c>
      <c r="F62" s="9">
        <v>0</v>
      </c>
      <c r="G62" s="9">
        <v>0</v>
      </c>
      <c r="N62" s="9">
        <v>0.28746634204022009</v>
      </c>
      <c r="O62" s="9">
        <v>0.12283203802042514</v>
      </c>
      <c r="P62" s="9">
        <v>3.1814091337113637</v>
      </c>
      <c r="Q62" s="9">
        <v>1.1538586312934658</v>
      </c>
      <c r="R62" s="10">
        <v>6.3287424525910985E-4</v>
      </c>
      <c r="S62" s="8">
        <f t="shared" si="5"/>
        <v>1.2533657959779898E-2</v>
      </c>
      <c r="T62" s="8">
        <f t="shared" si="5"/>
        <v>5.7167961979574855E-2</v>
      </c>
      <c r="U62" s="8">
        <f t="shared" si="5"/>
        <v>0.48359086628863635</v>
      </c>
      <c r="V62" s="8">
        <f t="shared" si="5"/>
        <v>0.41714136870653418</v>
      </c>
    </row>
    <row r="63" spans="1:22" x14ac:dyDescent="0.35">
      <c r="A63" s="9">
        <v>0.3</v>
      </c>
      <c r="B63" s="9">
        <v>0.08</v>
      </c>
      <c r="C63" s="9">
        <v>1.571</v>
      </c>
      <c r="D63" s="9">
        <v>0.78500000000000003</v>
      </c>
      <c r="E63" s="9">
        <v>1.4</v>
      </c>
      <c r="F63" s="9">
        <v>0</v>
      </c>
      <c r="G63" s="9">
        <v>0</v>
      </c>
      <c r="N63" s="9">
        <v>0.34230418588162159</v>
      </c>
      <c r="O63" s="9">
        <v>3.3741665210739041E-2</v>
      </c>
      <c r="P63" s="9">
        <v>1.8200180081540018</v>
      </c>
      <c r="Q63" s="9">
        <v>2.262525008534237</v>
      </c>
      <c r="R63" s="10">
        <v>9.9835189977641226E-5</v>
      </c>
      <c r="S63" s="8">
        <f t="shared" si="5"/>
        <v>4.2304185881621603E-2</v>
      </c>
      <c r="T63" s="8">
        <f t="shared" si="5"/>
        <v>4.625833478926096E-2</v>
      </c>
      <c r="U63" s="8">
        <f t="shared" si="5"/>
        <v>0.24901800815400188</v>
      </c>
      <c r="V63" s="8">
        <f t="shared" si="5"/>
        <v>1.4775250085342369</v>
      </c>
    </row>
    <row r="64" spans="1:22" x14ac:dyDescent="0.35">
      <c r="A64" s="9">
        <v>0.4</v>
      </c>
      <c r="B64" s="9">
        <v>0.14000000000000001</v>
      </c>
      <c r="C64" s="9">
        <v>1.571</v>
      </c>
      <c r="D64" s="9">
        <v>0.78500000000000003</v>
      </c>
      <c r="E64" s="9">
        <v>0</v>
      </c>
      <c r="F64" s="9">
        <v>0</v>
      </c>
      <c r="G64" s="9">
        <v>0</v>
      </c>
      <c r="N64" s="9">
        <v>0.34751129986079177</v>
      </c>
      <c r="O64" s="9">
        <v>0.19996287024486425</v>
      </c>
      <c r="P64" s="9">
        <v>1.0433741560862393</v>
      </c>
      <c r="Q64" s="9">
        <v>0.37151303500153288</v>
      </c>
      <c r="R64" s="10">
        <v>1.0266667948401643E-3</v>
      </c>
      <c r="S64" s="8">
        <f t="shared" si="5"/>
        <v>5.2488700139208255E-2</v>
      </c>
      <c r="T64" s="8">
        <f t="shared" si="5"/>
        <v>5.9962870244864241E-2</v>
      </c>
      <c r="U64" s="8">
        <f t="shared" si="5"/>
        <v>0.52762584391376066</v>
      </c>
      <c r="V64" s="8">
        <f t="shared" si="5"/>
        <v>0.41348696499846715</v>
      </c>
    </row>
    <row r="65" spans="1:22" x14ac:dyDescent="0.35">
      <c r="A65" s="9">
        <v>0.6</v>
      </c>
      <c r="B65" s="9">
        <v>0.16</v>
      </c>
      <c r="C65" s="9">
        <v>1.571</v>
      </c>
      <c r="D65" s="9">
        <v>0.78500000000000003</v>
      </c>
      <c r="E65" s="9">
        <v>1.4</v>
      </c>
      <c r="F65" s="9">
        <v>0</v>
      </c>
      <c r="G65" s="9">
        <v>0</v>
      </c>
      <c r="N65" s="9">
        <v>0.66322822747074928</v>
      </c>
      <c r="O65" s="9">
        <v>0.16700156389817708</v>
      </c>
      <c r="P65" s="9">
        <v>2.2029150602499534</v>
      </c>
      <c r="Q65" s="9">
        <v>0.53788910385600541</v>
      </c>
      <c r="R65" s="10">
        <v>2.3112466042463846E-3</v>
      </c>
      <c r="S65" s="8">
        <f t="shared" si="5"/>
        <v>6.3228227470749299E-2</v>
      </c>
      <c r="T65" s="8">
        <f t="shared" si="5"/>
        <v>7.0015638981770767E-3</v>
      </c>
      <c r="U65" s="8">
        <f t="shared" si="5"/>
        <v>0.63191506024995348</v>
      </c>
      <c r="V65" s="8">
        <f t="shared" si="5"/>
        <v>0.24711089614399462</v>
      </c>
    </row>
    <row r="66" spans="1:22" x14ac:dyDescent="0.35">
      <c r="A66" s="9">
        <v>0.4</v>
      </c>
      <c r="B66" s="9">
        <v>0.06</v>
      </c>
      <c r="C66" s="9">
        <v>1.571</v>
      </c>
      <c r="D66" s="9">
        <v>1.571</v>
      </c>
      <c r="E66" s="9">
        <v>1.4</v>
      </c>
      <c r="F66" s="9">
        <v>0</v>
      </c>
      <c r="G66" s="9">
        <v>0</v>
      </c>
      <c r="N66" s="9">
        <v>0.53161773487439834</v>
      </c>
      <c r="O66" s="9">
        <v>2.0138551657249534E-2</v>
      </c>
      <c r="P66" s="9">
        <v>1.5531370511528593</v>
      </c>
      <c r="Q66" s="9">
        <v>1.8567164173339803</v>
      </c>
      <c r="R66" s="10">
        <v>1.0894573283960669E-4</v>
      </c>
      <c r="S66" s="8">
        <f t="shared" si="5"/>
        <v>0.13161773487439832</v>
      </c>
      <c r="T66" s="8">
        <f t="shared" si="5"/>
        <v>3.9861448342750461E-2</v>
      </c>
      <c r="U66" s="8">
        <f t="shared" si="5"/>
        <v>1.7862948847140681E-2</v>
      </c>
      <c r="V66" s="8">
        <f t="shared" si="5"/>
        <v>0.28571641733398034</v>
      </c>
    </row>
    <row r="67" spans="1:22" x14ac:dyDescent="0.35">
      <c r="A67" s="9">
        <v>0.8</v>
      </c>
      <c r="B67" s="9">
        <v>0.08</v>
      </c>
      <c r="C67" s="9">
        <v>1.571</v>
      </c>
      <c r="D67" s="9">
        <v>1.571</v>
      </c>
      <c r="E67" s="9">
        <v>0</v>
      </c>
      <c r="F67" s="9">
        <v>0</v>
      </c>
      <c r="G67" s="9">
        <v>0</v>
      </c>
      <c r="N67" s="9">
        <v>0.70869155273838536</v>
      </c>
      <c r="O67" s="9">
        <v>7.2853086779841883E-2</v>
      </c>
      <c r="P67" s="9">
        <v>1.3849665977293228</v>
      </c>
      <c r="Q67" s="9">
        <v>1.4930992264357206</v>
      </c>
      <c r="R67" s="10">
        <v>1.0202285887159161E-3</v>
      </c>
      <c r="S67" s="8">
        <f t="shared" si="5"/>
        <v>9.1308447261614689E-2</v>
      </c>
      <c r="T67" s="8">
        <f t="shared" si="5"/>
        <v>7.1469132201581187E-3</v>
      </c>
      <c r="U67" s="8">
        <f t="shared" si="5"/>
        <v>0.18603340227067711</v>
      </c>
      <c r="V67" s="8">
        <f t="shared" si="5"/>
        <v>7.790077356427938E-2</v>
      </c>
    </row>
    <row r="68" spans="1:22" x14ac:dyDescent="0.35">
      <c r="A68" s="9">
        <v>0.7</v>
      </c>
      <c r="B68" s="9">
        <v>0.16</v>
      </c>
      <c r="C68" s="9">
        <v>1.571</v>
      </c>
      <c r="D68" s="9">
        <v>1.571</v>
      </c>
      <c r="E68" s="9">
        <v>1.4</v>
      </c>
      <c r="F68" s="9">
        <v>0</v>
      </c>
      <c r="G68" s="9">
        <v>0</v>
      </c>
      <c r="N68" s="9">
        <v>0.88428786947925508</v>
      </c>
      <c r="O68" s="9">
        <v>0.17795963872799683</v>
      </c>
      <c r="P68" s="9">
        <v>1.6590809238630904</v>
      </c>
      <c r="Q68" s="9">
        <v>1.6225766465975719</v>
      </c>
      <c r="R68" s="10">
        <v>1.6249808567934544E-4</v>
      </c>
      <c r="S68" s="8">
        <f t="shared" si="5"/>
        <v>0.18428786947925513</v>
      </c>
      <c r="T68" s="8">
        <f t="shared" si="5"/>
        <v>1.7959638727996829E-2</v>
      </c>
      <c r="U68" s="8">
        <f t="shared" si="5"/>
        <v>8.808092386309041E-2</v>
      </c>
      <c r="V68" s="8">
        <f t="shared" si="5"/>
        <v>5.1576646597571996E-2</v>
      </c>
    </row>
    <row r="69" spans="1:22" x14ac:dyDescent="0.35">
      <c r="A69" s="9">
        <v>0.7</v>
      </c>
      <c r="B69" s="9">
        <v>0.2</v>
      </c>
      <c r="C69" s="9">
        <v>1.571</v>
      </c>
      <c r="D69" s="9">
        <v>1.571</v>
      </c>
      <c r="E69" s="9">
        <v>0</v>
      </c>
      <c r="F69" s="9">
        <v>0</v>
      </c>
      <c r="G69" s="9">
        <v>0</v>
      </c>
      <c r="N69" s="9">
        <v>0.70411948705546024</v>
      </c>
      <c r="O69" s="9">
        <v>0.19999999525424436</v>
      </c>
      <c r="P69" s="9">
        <v>1.3413877307115074</v>
      </c>
      <c r="Q69" s="9">
        <v>1.9486609029269553</v>
      </c>
      <c r="R69" s="10">
        <v>2.5787429030961662E-3</v>
      </c>
      <c r="S69" s="8">
        <f t="shared" si="5"/>
        <v>4.1194870554602803E-3</v>
      </c>
      <c r="T69" s="8">
        <f t="shared" si="5"/>
        <v>4.7457556495711373E-9</v>
      </c>
      <c r="U69" s="8">
        <f t="shared" si="5"/>
        <v>0.22961226928849254</v>
      </c>
      <c r="V69" s="8">
        <f t="shared" si="5"/>
        <v>0.37766090292695531</v>
      </c>
    </row>
    <row r="70" spans="1:22" x14ac:dyDescent="0.35">
      <c r="A70" s="9">
        <v>0.7</v>
      </c>
      <c r="B70" s="9">
        <v>0.06</v>
      </c>
      <c r="C70" s="9">
        <v>3.665</v>
      </c>
      <c r="D70" s="9">
        <v>0.78500000000000003</v>
      </c>
      <c r="E70" s="9">
        <v>0</v>
      </c>
      <c r="F70" s="9">
        <v>0</v>
      </c>
      <c r="G70" s="9">
        <v>0</v>
      </c>
      <c r="N70" s="9">
        <v>0.99999999969354736</v>
      </c>
      <c r="O70" s="9">
        <v>4.4940268599233134E-2</v>
      </c>
      <c r="P70" s="9">
        <v>3.4002696524880927</v>
      </c>
      <c r="Q70" s="9">
        <v>0.63820756678685187</v>
      </c>
      <c r="R70" s="10">
        <v>1.9701898450289829E-2</v>
      </c>
      <c r="S70" s="8">
        <f t="shared" si="5"/>
        <v>0.2999999996935474</v>
      </c>
      <c r="T70" s="8">
        <f t="shared" si="5"/>
        <v>1.5059731400766864E-2</v>
      </c>
      <c r="U70" s="8">
        <f t="shared" si="5"/>
        <v>0.26473034751190738</v>
      </c>
      <c r="V70" s="8">
        <f t="shared" si="5"/>
        <v>0.14679243321314817</v>
      </c>
    </row>
    <row r="71" spans="1:22" x14ac:dyDescent="0.35">
      <c r="A71" s="9">
        <v>0.6</v>
      </c>
      <c r="B71" s="9">
        <v>0.1</v>
      </c>
      <c r="C71" s="9">
        <v>3.665</v>
      </c>
      <c r="D71" s="9">
        <v>0.78500000000000003</v>
      </c>
      <c r="E71" s="9">
        <v>0</v>
      </c>
      <c r="F71" s="9">
        <v>0</v>
      </c>
      <c r="G71" s="9">
        <v>0</v>
      </c>
      <c r="N71" s="9">
        <v>0.5211273640738685</v>
      </c>
      <c r="O71" s="9">
        <v>9.4276587550015195E-2</v>
      </c>
      <c r="P71" s="9">
        <v>3.5250203751832658</v>
      </c>
      <c r="Q71" s="9">
        <v>1.0558471023840899</v>
      </c>
      <c r="R71" s="10">
        <v>1.3353956997948108E-4</v>
      </c>
      <c r="S71" s="8">
        <f t="shared" si="5"/>
        <v>7.8872635926131474E-2</v>
      </c>
      <c r="T71" s="8">
        <f t="shared" si="5"/>
        <v>5.7234124499848105E-3</v>
      </c>
      <c r="U71" s="8">
        <f t="shared" si="5"/>
        <v>0.1399796248167342</v>
      </c>
      <c r="V71" s="8">
        <f t="shared" si="5"/>
        <v>0.27084710238408982</v>
      </c>
    </row>
    <row r="72" spans="1:22" x14ac:dyDescent="0.35">
      <c r="A72" s="9">
        <v>0.8</v>
      </c>
      <c r="B72" s="9">
        <v>0.18</v>
      </c>
      <c r="C72" s="9">
        <v>3.665</v>
      </c>
      <c r="D72" s="9">
        <v>0.78500000000000003</v>
      </c>
      <c r="E72" s="9">
        <v>1.4</v>
      </c>
      <c r="F72" s="9">
        <v>0</v>
      </c>
      <c r="G72" s="9">
        <v>0</v>
      </c>
      <c r="N72" s="9">
        <v>0.78910529167763321</v>
      </c>
      <c r="O72" s="9">
        <v>0.19452683421357253</v>
      </c>
      <c r="P72" s="9">
        <v>3.9478907746412162</v>
      </c>
      <c r="Q72" s="9">
        <v>0.42096143128083618</v>
      </c>
      <c r="R72" s="10">
        <v>4.7581896890471816E-3</v>
      </c>
      <c r="S72" s="8">
        <f t="shared" si="5"/>
        <v>1.0894708322366831E-2</v>
      </c>
      <c r="T72" s="8">
        <f t="shared" si="5"/>
        <v>1.4526834213572537E-2</v>
      </c>
      <c r="U72" s="8">
        <f t="shared" si="5"/>
        <v>0.28289077464121615</v>
      </c>
      <c r="V72" s="8">
        <f t="shared" si="5"/>
        <v>0.36403856871916385</v>
      </c>
    </row>
    <row r="73" spans="1:22" x14ac:dyDescent="0.35">
      <c r="A73" s="9">
        <v>0.4</v>
      </c>
      <c r="B73" s="9">
        <v>0.2</v>
      </c>
      <c r="C73" s="9">
        <v>3.665</v>
      </c>
      <c r="D73" s="9">
        <v>0.78500000000000003</v>
      </c>
      <c r="E73" s="9">
        <v>1.4</v>
      </c>
      <c r="F73" s="9">
        <v>0</v>
      </c>
      <c r="G73" s="9">
        <v>0</v>
      </c>
      <c r="N73" s="9">
        <v>0.42243398646637315</v>
      </c>
      <c r="O73" s="9">
        <v>0.15589918376719794</v>
      </c>
      <c r="P73" s="9">
        <v>3.6019924478894874</v>
      </c>
      <c r="Q73" s="9">
        <v>0.84923866895752553</v>
      </c>
      <c r="R73" s="10">
        <v>4.1487092689948638E-4</v>
      </c>
      <c r="S73" s="8">
        <f t="shared" si="5"/>
        <v>2.2433986466373124E-2</v>
      </c>
      <c r="T73" s="8">
        <f t="shared" si="5"/>
        <v>4.410081623280207E-2</v>
      </c>
      <c r="U73" s="8">
        <f t="shared" si="5"/>
        <v>6.3007552110512677E-2</v>
      </c>
      <c r="V73" s="8">
        <f t="shared" si="5"/>
        <v>6.4238668957525502E-2</v>
      </c>
    </row>
    <row r="74" spans="1:22" x14ac:dyDescent="0.35">
      <c r="A74" s="9">
        <v>0.4</v>
      </c>
      <c r="B74" s="9">
        <v>0.1</v>
      </c>
      <c r="C74" s="9">
        <v>3.665</v>
      </c>
      <c r="D74" s="9">
        <v>1.571</v>
      </c>
      <c r="E74" s="9">
        <v>1.4</v>
      </c>
      <c r="F74" s="9">
        <v>0</v>
      </c>
      <c r="G74" s="9">
        <v>0</v>
      </c>
      <c r="N74" s="9">
        <v>0.63092926787909076</v>
      </c>
      <c r="O74" s="9">
        <v>0.12610682080747904</v>
      </c>
      <c r="P74" s="9">
        <v>2.7255720356189679</v>
      </c>
      <c r="Q74" s="9">
        <v>2.6529379665459154</v>
      </c>
      <c r="R74" s="10">
        <v>2.8726300378839721E-3</v>
      </c>
      <c r="S74" s="8">
        <f t="shared" si="5"/>
        <v>0.23092926787909074</v>
      </c>
      <c r="T74" s="8">
        <f t="shared" si="5"/>
        <v>2.6106820807479031E-2</v>
      </c>
      <c r="U74" s="8">
        <f t="shared" si="5"/>
        <v>0.93942796438103215</v>
      </c>
      <c r="V74" s="8">
        <f t="shared" si="5"/>
        <v>1.0819379665459155</v>
      </c>
    </row>
    <row r="75" spans="1:22" x14ac:dyDescent="0.35">
      <c r="A75" s="9">
        <v>0.7</v>
      </c>
      <c r="B75" s="9">
        <v>0.1</v>
      </c>
      <c r="C75" s="9">
        <v>3.665</v>
      </c>
      <c r="D75" s="9">
        <v>1.571</v>
      </c>
      <c r="E75" s="9">
        <v>1.4</v>
      </c>
      <c r="F75" s="9">
        <v>0</v>
      </c>
      <c r="G75" s="9">
        <v>0</v>
      </c>
      <c r="N75" s="9">
        <v>0.59584486993652808</v>
      </c>
      <c r="O75" s="9">
        <v>0.12845896337512652</v>
      </c>
      <c r="P75" s="9">
        <v>3.5293701818374328</v>
      </c>
      <c r="Q75" s="9">
        <v>1.1444400545883038</v>
      </c>
      <c r="R75" s="10">
        <v>1.0873063090976463E-3</v>
      </c>
      <c r="S75" s="8">
        <f t="shared" si="5"/>
        <v>0.10415513006347188</v>
      </c>
      <c r="T75" s="8">
        <f t="shared" si="5"/>
        <v>2.8458963375126517E-2</v>
      </c>
      <c r="U75" s="8">
        <f t="shared" si="5"/>
        <v>0.13562981816256725</v>
      </c>
      <c r="V75" s="8">
        <f t="shared" si="5"/>
        <v>0.42655994541169617</v>
      </c>
    </row>
    <row r="76" spans="1:22" x14ac:dyDescent="0.35">
      <c r="A76" s="9">
        <v>0.4</v>
      </c>
      <c r="B76" s="9">
        <v>0.16</v>
      </c>
      <c r="C76" s="9">
        <v>3.665</v>
      </c>
      <c r="D76" s="9">
        <v>1.571</v>
      </c>
      <c r="E76" s="9">
        <v>0</v>
      </c>
      <c r="F76" s="9">
        <v>0</v>
      </c>
      <c r="G76" s="9">
        <v>0</v>
      </c>
      <c r="N76" s="9">
        <v>0.56056695912303023</v>
      </c>
      <c r="O76" s="9">
        <v>8.2470574669460325E-2</v>
      </c>
      <c r="P76" s="9">
        <v>3.6016229237180442</v>
      </c>
      <c r="Q76" s="9">
        <v>2.0098307183394613</v>
      </c>
      <c r="R76" s="10">
        <v>1.422882905266892E-5</v>
      </c>
      <c r="S76" s="8">
        <f t="shared" si="5"/>
        <v>0.16056695912303021</v>
      </c>
      <c r="T76" s="8">
        <f t="shared" si="5"/>
        <v>7.7529425330539678E-2</v>
      </c>
      <c r="U76" s="8">
        <f t="shared" si="5"/>
        <v>6.337707628195588E-2</v>
      </c>
      <c r="V76" s="8">
        <f t="shared" si="5"/>
        <v>0.4388307183394613</v>
      </c>
    </row>
    <row r="77" spans="1:22" x14ac:dyDescent="0.35">
      <c r="A77" s="9">
        <v>0.3</v>
      </c>
      <c r="B77" s="9">
        <v>0.18</v>
      </c>
      <c r="C77" s="9">
        <v>3.665</v>
      </c>
      <c r="D77" s="9">
        <v>1.571</v>
      </c>
      <c r="E77" s="9">
        <v>0</v>
      </c>
      <c r="F77" s="9">
        <v>0</v>
      </c>
      <c r="G77" s="9">
        <v>0</v>
      </c>
      <c r="N77" s="9">
        <v>0.65529577967336583</v>
      </c>
      <c r="O77" s="9">
        <v>3.3606003130613717E-2</v>
      </c>
      <c r="P77" s="9">
        <v>4.5502253690913488</v>
      </c>
      <c r="Q77" s="9">
        <v>2.636385752671123</v>
      </c>
      <c r="R77" s="10">
        <v>2.1976445634647006E-3</v>
      </c>
      <c r="S77" s="8">
        <f t="shared" si="5"/>
        <v>0.35529577967336584</v>
      </c>
      <c r="T77" s="8">
        <f t="shared" si="5"/>
        <v>0.14639399686938628</v>
      </c>
      <c r="U77" s="8">
        <f t="shared" si="5"/>
        <v>0.88522536909134875</v>
      </c>
      <c r="V77" s="8">
        <f t="shared" si="5"/>
        <v>1.065385752671123</v>
      </c>
    </row>
    <row r="78" spans="1:22" x14ac:dyDescent="0.35">
      <c r="A78" s="9">
        <v>0.3</v>
      </c>
      <c r="B78" s="9">
        <v>0.08</v>
      </c>
      <c r="C78" s="9">
        <v>1.571</v>
      </c>
      <c r="D78" s="9">
        <v>0.78500000000000003</v>
      </c>
      <c r="E78" s="9">
        <v>1.4</v>
      </c>
      <c r="F78" s="9">
        <v>0</v>
      </c>
      <c r="G78" s="9">
        <v>0</v>
      </c>
      <c r="N78" s="9">
        <v>0.31847201551000798</v>
      </c>
      <c r="O78" s="9">
        <v>5.6735450265316616E-2</v>
      </c>
      <c r="P78" s="9">
        <v>1.9045486657129698</v>
      </c>
      <c r="Q78" s="9">
        <v>0.74631202405391861</v>
      </c>
      <c r="R78" s="10">
        <v>5.5029693510223022E-5</v>
      </c>
      <c r="S78" s="8">
        <f t="shared" si="5"/>
        <v>1.8472015510007989E-2</v>
      </c>
      <c r="T78" s="8">
        <f t="shared" si="5"/>
        <v>2.3264549734683386E-2</v>
      </c>
      <c r="U78" s="8">
        <f t="shared" si="5"/>
        <v>0.33354866571296982</v>
      </c>
      <c r="V78" s="8">
        <f t="shared" si="5"/>
        <v>3.8687975946081421E-2</v>
      </c>
    </row>
    <row r="79" spans="1:22" x14ac:dyDescent="0.35">
      <c r="A79" s="9">
        <v>0.4</v>
      </c>
      <c r="B79" s="9">
        <v>0.14000000000000001</v>
      </c>
      <c r="C79" s="9">
        <v>1.571</v>
      </c>
      <c r="D79" s="9">
        <v>0.78500000000000003</v>
      </c>
      <c r="E79" s="9">
        <v>0</v>
      </c>
      <c r="F79" s="9">
        <v>0</v>
      </c>
      <c r="G79" s="9">
        <v>0</v>
      </c>
      <c r="N79" s="9">
        <v>0.49796396808927101</v>
      </c>
      <c r="O79" s="9">
        <v>5.3208180514147135E-2</v>
      </c>
      <c r="P79" s="9">
        <v>1.7729556573903156</v>
      </c>
      <c r="Q79" s="9">
        <v>1.6215407290879251</v>
      </c>
      <c r="R79" s="10">
        <v>1.1149057251743066E-4</v>
      </c>
      <c r="S79" s="8">
        <f t="shared" si="5"/>
        <v>9.7963968089270992E-2</v>
      </c>
      <c r="T79" s="8">
        <f t="shared" si="5"/>
        <v>8.6791819485852878E-2</v>
      </c>
      <c r="U79" s="8">
        <f t="shared" si="5"/>
        <v>0.20195565739031562</v>
      </c>
      <c r="V79" s="8">
        <f t="shared" si="5"/>
        <v>0.83654072908792509</v>
      </c>
    </row>
    <row r="80" spans="1:22" x14ac:dyDescent="0.35">
      <c r="A80" s="9">
        <v>0.6</v>
      </c>
      <c r="B80" s="9">
        <v>0.16</v>
      </c>
      <c r="C80" s="9">
        <v>1.571</v>
      </c>
      <c r="D80" s="9">
        <v>0.78500000000000003</v>
      </c>
      <c r="E80" s="9">
        <v>1.4</v>
      </c>
      <c r="F80" s="9">
        <v>0</v>
      </c>
      <c r="G80" s="9">
        <v>0</v>
      </c>
      <c r="N80" s="9">
        <v>0.55692419008751737</v>
      </c>
      <c r="O80" s="9">
        <v>0.17784896531690703</v>
      </c>
      <c r="P80" s="9">
        <v>1.6888134750242776</v>
      </c>
      <c r="Q80" s="9">
        <v>0.60200736559910595</v>
      </c>
      <c r="R80" s="10">
        <v>2.0881681986547598E-4</v>
      </c>
      <c r="S80" s="8">
        <f t="shared" si="5"/>
        <v>4.307580991248261E-2</v>
      </c>
      <c r="T80" s="8">
        <f t="shared" si="5"/>
        <v>1.7848965316907023E-2</v>
      </c>
      <c r="U80" s="8">
        <f t="shared" si="5"/>
        <v>0.11781347502427764</v>
      </c>
      <c r="V80" s="8">
        <f t="shared" si="5"/>
        <v>0.18299263440089408</v>
      </c>
    </row>
    <row r="81" spans="1:22" x14ac:dyDescent="0.35">
      <c r="A81" s="9">
        <v>0.4</v>
      </c>
      <c r="B81" s="9">
        <v>0.06</v>
      </c>
      <c r="C81" s="9">
        <v>1.571</v>
      </c>
      <c r="D81" s="9">
        <v>1.571</v>
      </c>
      <c r="E81" s="9">
        <v>1.4</v>
      </c>
      <c r="F81" s="9">
        <v>0</v>
      </c>
      <c r="G81" s="9">
        <v>0</v>
      </c>
      <c r="N81" s="9">
        <v>0.47753418377273349</v>
      </c>
      <c r="O81" s="9">
        <v>0.15228431306280651</v>
      </c>
      <c r="P81" s="9">
        <v>2.0381250901029997</v>
      </c>
      <c r="Q81" s="9">
        <v>0.29950139097010431</v>
      </c>
      <c r="R81" s="10">
        <v>1.0948747839838689E-4</v>
      </c>
      <c r="S81" s="8">
        <f t="shared" si="5"/>
        <v>7.7534183772733467E-2</v>
      </c>
      <c r="T81" s="8">
        <f t="shared" si="5"/>
        <v>9.2284313062806517E-2</v>
      </c>
      <c r="U81" s="8">
        <f t="shared" si="5"/>
        <v>0.46712509010299974</v>
      </c>
      <c r="V81" s="8">
        <f t="shared" si="5"/>
        <v>1.2714986090298956</v>
      </c>
    </row>
    <row r="82" spans="1:22" x14ac:dyDescent="0.35">
      <c r="A82" s="9">
        <v>0.8</v>
      </c>
      <c r="B82" s="9">
        <v>0.08</v>
      </c>
      <c r="C82" s="9">
        <v>1.571</v>
      </c>
      <c r="D82" s="9">
        <v>1.571</v>
      </c>
      <c r="E82" s="9">
        <v>0</v>
      </c>
      <c r="F82" s="9">
        <v>0</v>
      </c>
      <c r="G82" s="9">
        <v>0</v>
      </c>
      <c r="N82" s="9">
        <v>0.79165127075405395</v>
      </c>
      <c r="O82" s="9">
        <v>7.8958917364223863E-2</v>
      </c>
      <c r="P82" s="9">
        <v>1.2902206595264449</v>
      </c>
      <c r="Q82" s="9">
        <v>1.6437953048853049</v>
      </c>
      <c r="R82" s="10">
        <v>1.1169251688685521E-3</v>
      </c>
      <c r="S82" s="8">
        <f t="shared" si="5"/>
        <v>8.348729245946096E-3</v>
      </c>
      <c r="T82" s="8">
        <f t="shared" si="5"/>
        <v>1.0410826357761388E-3</v>
      </c>
      <c r="U82" s="8">
        <f t="shared" si="5"/>
        <v>0.28077934047355502</v>
      </c>
      <c r="V82" s="8">
        <f t="shared" si="5"/>
        <v>7.2795304885304946E-2</v>
      </c>
    </row>
    <row r="83" spans="1:22" x14ac:dyDescent="0.35">
      <c r="A83" s="9">
        <v>0.7</v>
      </c>
      <c r="B83" s="9">
        <v>0.16</v>
      </c>
      <c r="C83" s="9">
        <v>1.571</v>
      </c>
      <c r="D83" s="9">
        <v>1.571</v>
      </c>
      <c r="E83" s="9">
        <v>1.4</v>
      </c>
      <c r="F83" s="9">
        <v>0</v>
      </c>
      <c r="G83" s="9">
        <v>0</v>
      </c>
      <c r="N83" s="9">
        <v>0.65537227242760387</v>
      </c>
      <c r="O83" s="9">
        <v>0.1545557110168948</v>
      </c>
      <c r="P83" s="9">
        <v>1.5543692007182437</v>
      </c>
      <c r="Q83" s="9">
        <v>1.5274853425455774</v>
      </c>
      <c r="R83" s="10">
        <v>2.1639508520710667E-4</v>
      </c>
      <c r="S83" s="8">
        <f t="shared" si="5"/>
        <v>4.4627727572396081E-2</v>
      </c>
      <c r="T83" s="8">
        <f t="shared" si="5"/>
        <v>5.4442889831051999E-3</v>
      </c>
      <c r="U83" s="8">
        <f t="shared" si="5"/>
        <v>1.6630799281756259E-2</v>
      </c>
      <c r="V83" s="8">
        <f t="shared" ref="V83:V146" si="6">ABS(Q83-D83)</f>
        <v>4.3514657454422512E-2</v>
      </c>
    </row>
    <row r="84" spans="1:22" x14ac:dyDescent="0.35">
      <c r="A84" s="9">
        <v>0.7</v>
      </c>
      <c r="B84" s="9">
        <v>0.2</v>
      </c>
      <c r="C84" s="9">
        <v>1.571</v>
      </c>
      <c r="D84" s="9">
        <v>1.571</v>
      </c>
      <c r="E84" s="9">
        <v>0</v>
      </c>
      <c r="F84" s="9">
        <v>0</v>
      </c>
      <c r="G84" s="9">
        <v>0</v>
      </c>
      <c r="N84" s="9">
        <v>0.97965992221727716</v>
      </c>
      <c r="O84" s="9">
        <v>0.15281335576881366</v>
      </c>
      <c r="P84" s="9">
        <v>2.1838836260430567</v>
      </c>
      <c r="Q84" s="9">
        <v>2.3059442662241549</v>
      </c>
      <c r="R84" s="10">
        <v>9.1641188183797448E-3</v>
      </c>
      <c r="S84" s="8">
        <f t="shared" ref="S84:V147" si="7">ABS(N84-A84)</f>
        <v>0.2796599222172772</v>
      </c>
      <c r="T84" s="8">
        <f t="shared" si="7"/>
        <v>4.7186644231186348E-2</v>
      </c>
      <c r="U84" s="8">
        <f t="shared" si="7"/>
        <v>0.6128836260430568</v>
      </c>
      <c r="V84" s="8">
        <f t="shared" si="6"/>
        <v>0.73494426622415499</v>
      </c>
    </row>
    <row r="85" spans="1:22" x14ac:dyDescent="0.35">
      <c r="A85" s="9">
        <v>0.7</v>
      </c>
      <c r="B85" s="9">
        <v>0.06</v>
      </c>
      <c r="C85" s="9">
        <v>3.665</v>
      </c>
      <c r="D85" s="9">
        <v>0.78500000000000003</v>
      </c>
      <c r="E85" s="9">
        <v>0</v>
      </c>
      <c r="F85" s="9">
        <v>0</v>
      </c>
      <c r="G85" s="9">
        <v>0</v>
      </c>
      <c r="N85" s="9">
        <v>0.7170516760299257</v>
      </c>
      <c r="O85" s="9">
        <v>7.9735185017145008E-2</v>
      </c>
      <c r="P85" s="9">
        <v>3.9821532956454395</v>
      </c>
      <c r="Q85" s="9">
        <v>0.83813296666545556</v>
      </c>
      <c r="R85" s="10">
        <v>1.285300326124661E-3</v>
      </c>
      <c r="S85" s="8">
        <f t="shared" si="7"/>
        <v>1.7051676029925744E-2</v>
      </c>
      <c r="T85" s="8">
        <f t="shared" si="7"/>
        <v>1.973518501714501E-2</v>
      </c>
      <c r="U85" s="8">
        <f t="shared" si="7"/>
        <v>0.31715329564543948</v>
      </c>
      <c r="V85" s="8">
        <f t="shared" si="6"/>
        <v>5.3132966665455528E-2</v>
      </c>
    </row>
    <row r="86" spans="1:22" x14ac:dyDescent="0.35">
      <c r="A86" s="9">
        <v>0.6</v>
      </c>
      <c r="B86" s="9">
        <v>0.1</v>
      </c>
      <c r="C86" s="9">
        <v>3.665</v>
      </c>
      <c r="D86" s="9">
        <v>0.78500000000000003</v>
      </c>
      <c r="E86" s="9">
        <v>0</v>
      </c>
      <c r="F86" s="9">
        <v>0</v>
      </c>
      <c r="G86" s="9">
        <v>0</v>
      </c>
      <c r="N86" s="9">
        <v>0.86414620147797416</v>
      </c>
      <c r="O86" s="9">
        <v>9.1550190520199942E-2</v>
      </c>
      <c r="P86" s="9">
        <v>3.5583967075720051</v>
      </c>
      <c r="Q86" s="9">
        <v>0.49477614327900649</v>
      </c>
      <c r="R86" s="10">
        <v>1.1517322194912754E-4</v>
      </c>
      <c r="S86" s="8">
        <f t="shared" si="7"/>
        <v>0.26414620147797419</v>
      </c>
      <c r="T86" s="8">
        <f t="shared" si="7"/>
        <v>8.4498094798000634E-3</v>
      </c>
      <c r="U86" s="8">
        <f t="shared" si="7"/>
        <v>0.10660329242799493</v>
      </c>
      <c r="V86" s="8">
        <f t="shared" si="6"/>
        <v>0.29022385672099354</v>
      </c>
    </row>
    <row r="87" spans="1:22" x14ac:dyDescent="0.35">
      <c r="A87" s="9">
        <v>0.8</v>
      </c>
      <c r="B87" s="9">
        <v>0.18</v>
      </c>
      <c r="C87" s="9">
        <v>3.665</v>
      </c>
      <c r="D87" s="9">
        <v>0.78500000000000003</v>
      </c>
      <c r="E87" s="9">
        <v>1.4</v>
      </c>
      <c r="F87" s="9">
        <v>0</v>
      </c>
      <c r="G87" s="9">
        <v>0</v>
      </c>
      <c r="N87" s="9">
        <v>0.94743935128629475</v>
      </c>
      <c r="O87" s="9">
        <v>8.198061237473972E-2</v>
      </c>
      <c r="P87" s="9">
        <v>3.2810585445548295</v>
      </c>
      <c r="Q87" s="9">
        <v>1.0760098723786575</v>
      </c>
      <c r="R87" s="10">
        <v>5.0265073153852539E-3</v>
      </c>
      <c r="S87" s="8">
        <f t="shared" si="7"/>
        <v>0.14743935128629471</v>
      </c>
      <c r="T87" s="8">
        <f t="shared" si="7"/>
        <v>9.8019387625260274E-2</v>
      </c>
      <c r="U87" s="8">
        <f t="shared" si="7"/>
        <v>0.38394145544517055</v>
      </c>
      <c r="V87" s="8">
        <f t="shared" si="6"/>
        <v>0.2910098723786575</v>
      </c>
    </row>
    <row r="88" spans="1:22" x14ac:dyDescent="0.35">
      <c r="A88" s="9">
        <v>0.4</v>
      </c>
      <c r="B88" s="9">
        <v>0.2</v>
      </c>
      <c r="C88" s="9">
        <v>3.665</v>
      </c>
      <c r="D88" s="9">
        <v>0.78500000000000003</v>
      </c>
      <c r="E88" s="9">
        <v>1.4</v>
      </c>
      <c r="F88" s="9">
        <v>0</v>
      </c>
      <c r="G88" s="9">
        <v>0</v>
      </c>
      <c r="N88" s="9">
        <v>0.99999771425714112</v>
      </c>
      <c r="O88" s="9">
        <v>0.19818841498091908</v>
      </c>
      <c r="P88" s="9">
        <v>3.6757705269780998</v>
      </c>
      <c r="Q88" s="9">
        <v>0.18585236519578946</v>
      </c>
      <c r="R88" s="10">
        <v>7.290069851186771E-4</v>
      </c>
      <c r="S88" s="8">
        <f t="shared" si="7"/>
        <v>0.5999977142571411</v>
      </c>
      <c r="T88" s="8">
        <f t="shared" si="7"/>
        <v>1.8115850190809357E-3</v>
      </c>
      <c r="U88" s="8">
        <f t="shared" si="7"/>
        <v>1.077052697809977E-2</v>
      </c>
      <c r="V88" s="8">
        <f t="shared" si="6"/>
        <v>0.59914763480421063</v>
      </c>
    </row>
    <row r="89" spans="1:22" x14ac:dyDescent="0.35">
      <c r="A89" s="9">
        <v>0.4</v>
      </c>
      <c r="B89" s="9">
        <v>0.1</v>
      </c>
      <c r="C89" s="9">
        <v>3.665</v>
      </c>
      <c r="D89" s="9">
        <v>1.571</v>
      </c>
      <c r="E89" s="9">
        <v>1.4</v>
      </c>
      <c r="F89" s="9">
        <v>0</v>
      </c>
      <c r="G89" s="9">
        <v>0</v>
      </c>
      <c r="N89" s="9">
        <v>0.48278025703500377</v>
      </c>
      <c r="O89" s="9">
        <v>4.3181617277113449E-2</v>
      </c>
      <c r="P89" s="9">
        <v>3.7382814778198519</v>
      </c>
      <c r="Q89" s="9">
        <v>1.1831091787781627</v>
      </c>
      <c r="R89" s="10">
        <v>3.2984187299468123E-6</v>
      </c>
      <c r="S89" s="8">
        <f t="shared" si="7"/>
        <v>8.2780257035003746E-2</v>
      </c>
      <c r="T89" s="8">
        <f t="shared" si="7"/>
        <v>5.6818382722886557E-2</v>
      </c>
      <c r="U89" s="8">
        <f t="shared" si="7"/>
        <v>7.3281477819851837E-2</v>
      </c>
      <c r="V89" s="8">
        <f t="shared" si="6"/>
        <v>0.38789082122183727</v>
      </c>
    </row>
    <row r="90" spans="1:22" x14ac:dyDescent="0.35">
      <c r="A90" s="9">
        <v>0.7</v>
      </c>
      <c r="B90" s="9">
        <v>0.1</v>
      </c>
      <c r="C90" s="9">
        <v>3.665</v>
      </c>
      <c r="D90" s="9">
        <v>1.571</v>
      </c>
      <c r="E90" s="9">
        <v>1.4</v>
      </c>
      <c r="F90" s="9">
        <v>0</v>
      </c>
      <c r="G90" s="9">
        <v>0</v>
      </c>
      <c r="N90" s="9">
        <v>0.66966745540201345</v>
      </c>
      <c r="O90" s="9">
        <v>0.14380187788820409</v>
      </c>
      <c r="P90" s="9">
        <v>3.6047887848854026</v>
      </c>
      <c r="Q90" s="9">
        <v>1.6965260236697852</v>
      </c>
      <c r="R90" s="10">
        <v>4.9500550938237381E-4</v>
      </c>
      <c r="S90" s="8">
        <f t="shared" si="7"/>
        <v>3.033254459798651E-2</v>
      </c>
      <c r="T90" s="8">
        <f t="shared" si="7"/>
        <v>4.3801877888204083E-2</v>
      </c>
      <c r="U90" s="8">
        <f t="shared" si="7"/>
        <v>6.0211215114597483E-2</v>
      </c>
      <c r="V90" s="8">
        <f t="shared" si="6"/>
        <v>0.12552602366978527</v>
      </c>
    </row>
    <row r="91" spans="1:22" x14ac:dyDescent="0.35">
      <c r="A91" s="9">
        <v>0.4</v>
      </c>
      <c r="B91" s="9">
        <v>0.16</v>
      </c>
      <c r="C91" s="9">
        <v>3.665</v>
      </c>
      <c r="D91" s="9">
        <v>1.571</v>
      </c>
      <c r="E91" s="9">
        <v>0</v>
      </c>
      <c r="F91" s="9">
        <v>0</v>
      </c>
      <c r="G91" s="9">
        <v>0</v>
      </c>
      <c r="N91" s="9">
        <v>0.45124601609390985</v>
      </c>
      <c r="O91" s="9">
        <v>0.14320573249914267</v>
      </c>
      <c r="P91" s="9">
        <v>4.135489648347427</v>
      </c>
      <c r="Q91" s="9">
        <v>2.3395899572665995</v>
      </c>
      <c r="R91" s="10">
        <v>1.8213115951012115E-3</v>
      </c>
      <c r="S91" s="8">
        <f t="shared" si="7"/>
        <v>5.124601609390983E-2</v>
      </c>
      <c r="T91" s="8">
        <f t="shared" si="7"/>
        <v>1.6794267500857329E-2</v>
      </c>
      <c r="U91" s="8">
        <f t="shared" si="7"/>
        <v>0.47048964834742701</v>
      </c>
      <c r="V91" s="8">
        <f t="shared" si="6"/>
        <v>0.76858995726659951</v>
      </c>
    </row>
    <row r="92" spans="1:22" x14ac:dyDescent="0.35">
      <c r="A92" s="9">
        <v>0.3</v>
      </c>
      <c r="B92" s="9">
        <v>0.18</v>
      </c>
      <c r="C92" s="9">
        <v>3.665</v>
      </c>
      <c r="D92" s="9">
        <v>1.571</v>
      </c>
      <c r="E92" s="9">
        <v>0</v>
      </c>
      <c r="F92" s="9">
        <v>0</v>
      </c>
      <c r="G92" s="9">
        <v>0</v>
      </c>
      <c r="N92" s="9">
        <v>0.22431520674094457</v>
      </c>
      <c r="O92" s="9">
        <v>0.16376963398480307</v>
      </c>
      <c r="P92" s="9">
        <v>3.0252523707445063</v>
      </c>
      <c r="Q92" s="9">
        <v>1.0031283876090968</v>
      </c>
      <c r="R92" s="10">
        <v>1.6142855584308487E-3</v>
      </c>
      <c r="S92" s="8">
        <f t="shared" si="7"/>
        <v>7.5684793259055416E-2</v>
      </c>
      <c r="T92" s="8">
        <f t="shared" si="7"/>
        <v>1.6230366015196923E-2</v>
      </c>
      <c r="U92" s="8">
        <f t="shared" si="7"/>
        <v>0.63974762925549378</v>
      </c>
      <c r="V92" s="8">
        <f t="shared" si="6"/>
        <v>0.56787161239090311</v>
      </c>
    </row>
    <row r="93" spans="1:22" x14ac:dyDescent="0.35">
      <c r="A93" s="9">
        <v>0.3</v>
      </c>
      <c r="B93" s="9">
        <v>0.08</v>
      </c>
      <c r="C93" s="9">
        <v>1.571</v>
      </c>
      <c r="D93" s="9">
        <v>0.78500000000000003</v>
      </c>
      <c r="E93" s="9">
        <v>1.4</v>
      </c>
      <c r="F93" s="9">
        <v>0</v>
      </c>
      <c r="G93" s="9">
        <v>0</v>
      </c>
      <c r="N93" s="9">
        <v>0.79007947931701283</v>
      </c>
      <c r="O93" s="9">
        <v>3.6520395304152416E-2</v>
      </c>
      <c r="P93" s="9">
        <v>1.5725572264260141</v>
      </c>
      <c r="Q93" s="9">
        <v>0.26970845728822418</v>
      </c>
      <c r="R93" s="10">
        <v>2.247000753438431E-5</v>
      </c>
      <c r="S93" s="8">
        <f t="shared" si="7"/>
        <v>0.49007947931701284</v>
      </c>
      <c r="T93" s="8">
        <f t="shared" si="7"/>
        <v>4.3479604695847586E-2</v>
      </c>
      <c r="U93" s="8">
        <f t="shared" si="7"/>
        <v>1.557226426014191E-3</v>
      </c>
      <c r="V93" s="8">
        <f t="shared" si="6"/>
        <v>0.51529154271177591</v>
      </c>
    </row>
    <row r="94" spans="1:22" x14ac:dyDescent="0.35">
      <c r="A94" s="9">
        <v>0.4</v>
      </c>
      <c r="B94" s="9">
        <v>0.14000000000000001</v>
      </c>
      <c r="C94" s="9">
        <v>1.571</v>
      </c>
      <c r="D94" s="9">
        <v>0.78500000000000003</v>
      </c>
      <c r="E94" s="9">
        <v>0</v>
      </c>
      <c r="F94" s="9">
        <v>0</v>
      </c>
      <c r="G94" s="9">
        <v>0</v>
      </c>
      <c r="N94" s="9">
        <v>0.28658562047532143</v>
      </c>
      <c r="O94" s="9">
        <v>0.19774787442303121</v>
      </c>
      <c r="P94" s="9">
        <v>2.331808839109248</v>
      </c>
      <c r="Q94" s="9">
        <v>0.54023992887815708</v>
      </c>
      <c r="R94" s="10">
        <v>2.0212135748666664E-3</v>
      </c>
      <c r="S94" s="8">
        <f t="shared" si="7"/>
        <v>0.11341437952467859</v>
      </c>
      <c r="T94" s="8">
        <f t="shared" si="7"/>
        <v>5.7747874423031198E-2</v>
      </c>
      <c r="U94" s="8">
        <f t="shared" si="7"/>
        <v>0.76080883910924801</v>
      </c>
      <c r="V94" s="8">
        <f t="shared" si="6"/>
        <v>0.24476007112184295</v>
      </c>
    </row>
    <row r="95" spans="1:22" x14ac:dyDescent="0.35">
      <c r="A95" s="9">
        <v>0.6</v>
      </c>
      <c r="B95" s="9">
        <v>0.16</v>
      </c>
      <c r="C95" s="9">
        <v>1.571</v>
      </c>
      <c r="D95" s="9">
        <v>0.78500000000000003</v>
      </c>
      <c r="E95" s="9">
        <v>1.4</v>
      </c>
      <c r="F95" s="9">
        <v>0</v>
      </c>
      <c r="G95" s="9">
        <v>0</v>
      </c>
      <c r="N95" s="9">
        <v>0.64477755345810817</v>
      </c>
      <c r="O95" s="9">
        <v>0.17570638992491522</v>
      </c>
      <c r="P95" s="9">
        <v>1.8982181042504107</v>
      </c>
      <c r="Q95" s="9">
        <v>0.45499269103391315</v>
      </c>
      <c r="R95" s="10">
        <v>3.2429586179612063E-4</v>
      </c>
      <c r="S95" s="8">
        <f t="shared" si="7"/>
        <v>4.4777553458108188E-2</v>
      </c>
      <c r="T95" s="8">
        <f t="shared" si="7"/>
        <v>1.5706389924915215E-2</v>
      </c>
      <c r="U95" s="8">
        <f t="shared" si="7"/>
        <v>0.32721810425041076</v>
      </c>
      <c r="V95" s="8">
        <f t="shared" si="6"/>
        <v>0.33000730896608688</v>
      </c>
    </row>
    <row r="96" spans="1:22" x14ac:dyDescent="0.35">
      <c r="A96" s="9">
        <v>0.4</v>
      </c>
      <c r="B96" s="9">
        <v>0.06</v>
      </c>
      <c r="C96" s="9">
        <v>1.571</v>
      </c>
      <c r="D96" s="9">
        <v>1.571</v>
      </c>
      <c r="E96" s="9">
        <v>1.4</v>
      </c>
      <c r="F96" s="9">
        <v>0</v>
      </c>
      <c r="G96" s="9">
        <v>0</v>
      </c>
      <c r="N96" s="9">
        <v>0.66996493148604086</v>
      </c>
      <c r="O96" s="9">
        <v>1.0208998717944069E-2</v>
      </c>
      <c r="P96" s="9">
        <v>1.1778777882649327</v>
      </c>
      <c r="Q96" s="9">
        <v>1.7927186313835872</v>
      </c>
      <c r="R96" s="10">
        <v>6.6471646991663337E-4</v>
      </c>
      <c r="S96" s="8">
        <f t="shared" si="7"/>
        <v>0.26996493148604084</v>
      </c>
      <c r="T96" s="8">
        <f t="shared" si="7"/>
        <v>4.9791001282055929E-2</v>
      </c>
      <c r="U96" s="8">
        <f t="shared" si="7"/>
        <v>0.39312221173506723</v>
      </c>
      <c r="V96" s="8">
        <f t="shared" si="6"/>
        <v>0.22171863138358727</v>
      </c>
    </row>
    <row r="97" spans="1:22" x14ac:dyDescent="0.35">
      <c r="A97" s="9">
        <v>0.8</v>
      </c>
      <c r="B97" s="9">
        <v>0.08</v>
      </c>
      <c r="C97" s="9">
        <v>1.571</v>
      </c>
      <c r="D97" s="9">
        <v>1.571</v>
      </c>
      <c r="E97" s="9">
        <v>0</v>
      </c>
      <c r="F97" s="9">
        <v>0</v>
      </c>
      <c r="G97" s="9">
        <v>0</v>
      </c>
      <c r="N97" s="9">
        <v>0.94684334948107052</v>
      </c>
      <c r="O97" s="9">
        <v>6.6078239307297559E-2</v>
      </c>
      <c r="P97" s="9">
        <v>1.6947399155686758</v>
      </c>
      <c r="Q97" s="9">
        <v>2.056543128884988</v>
      </c>
      <c r="R97" s="10">
        <v>1.0770260345773729E-4</v>
      </c>
      <c r="S97" s="8">
        <f t="shared" si="7"/>
        <v>0.14684334948107047</v>
      </c>
      <c r="T97" s="8">
        <f t="shared" si="7"/>
        <v>1.3921760692702442E-2</v>
      </c>
      <c r="U97" s="8">
        <f t="shared" si="7"/>
        <v>0.12373991556867581</v>
      </c>
      <c r="V97" s="8">
        <f t="shared" si="6"/>
        <v>0.48554312888498807</v>
      </c>
    </row>
    <row r="98" spans="1:22" x14ac:dyDescent="0.35">
      <c r="A98" s="9">
        <v>0.7</v>
      </c>
      <c r="B98" s="9">
        <v>0.16</v>
      </c>
      <c r="C98" s="9">
        <v>1.571</v>
      </c>
      <c r="D98" s="9">
        <v>1.571</v>
      </c>
      <c r="E98" s="9">
        <v>1.4</v>
      </c>
      <c r="F98" s="9">
        <v>0</v>
      </c>
      <c r="G98" s="9">
        <v>0</v>
      </c>
      <c r="N98" s="9">
        <v>0.53823636075286074</v>
      </c>
      <c r="O98" s="9">
        <v>0.19974396816808793</v>
      </c>
      <c r="P98" s="9">
        <v>1.38700461449099</v>
      </c>
      <c r="Q98" s="9">
        <v>1.5827216514320759</v>
      </c>
      <c r="R98" s="10">
        <v>8.6666000451963879E-4</v>
      </c>
      <c r="S98" s="8">
        <f t="shared" si="7"/>
        <v>0.16176363924713921</v>
      </c>
      <c r="T98" s="8">
        <f t="shared" si="7"/>
        <v>3.9743968168087923E-2</v>
      </c>
      <c r="U98" s="8">
        <f t="shared" si="7"/>
        <v>0.18399538550900996</v>
      </c>
      <c r="V98" s="8">
        <f t="shared" si="6"/>
        <v>1.172165143207593E-2</v>
      </c>
    </row>
    <row r="99" spans="1:22" x14ac:dyDescent="0.35">
      <c r="A99" s="9">
        <v>0.7</v>
      </c>
      <c r="B99" s="9">
        <v>0.2</v>
      </c>
      <c r="C99" s="9">
        <v>1.571</v>
      </c>
      <c r="D99" s="9">
        <v>1.571</v>
      </c>
      <c r="E99" s="9">
        <v>0</v>
      </c>
      <c r="F99" s="9">
        <v>0</v>
      </c>
      <c r="G99" s="9">
        <v>0</v>
      </c>
      <c r="N99" s="9">
        <v>0.71645923654832933</v>
      </c>
      <c r="O99" s="9">
        <v>7.1094132323791998E-2</v>
      </c>
      <c r="P99" s="9">
        <v>0.28955114871050969</v>
      </c>
      <c r="Q99" s="9">
        <v>2.8199908252917814</v>
      </c>
      <c r="R99" s="10">
        <v>1.0842253159996087E-2</v>
      </c>
      <c r="S99" s="8">
        <f t="shared" si="7"/>
        <v>1.645923654832937E-2</v>
      </c>
      <c r="T99" s="8">
        <f t="shared" si="7"/>
        <v>0.12890586767620801</v>
      </c>
      <c r="U99" s="8">
        <f t="shared" si="7"/>
        <v>1.2814488512894902</v>
      </c>
      <c r="V99" s="8">
        <f t="shared" si="6"/>
        <v>1.2489908252917814</v>
      </c>
    </row>
    <row r="100" spans="1:22" x14ac:dyDescent="0.35">
      <c r="A100" s="9">
        <v>0.7</v>
      </c>
      <c r="B100" s="9">
        <v>0.06</v>
      </c>
      <c r="C100" s="9">
        <v>3.665</v>
      </c>
      <c r="D100" s="9">
        <v>0.78500000000000003</v>
      </c>
      <c r="E100" s="9">
        <v>0</v>
      </c>
      <c r="F100" s="9">
        <v>0</v>
      </c>
      <c r="G100" s="9">
        <v>0</v>
      </c>
      <c r="N100" s="9">
        <v>0.99999992204849319</v>
      </c>
      <c r="O100" s="9">
        <v>7.0596157438287024E-2</v>
      </c>
      <c r="P100" s="9">
        <v>3.4778301181569948</v>
      </c>
      <c r="Q100" s="9">
        <v>0.49052229432981709</v>
      </c>
      <c r="R100" s="10">
        <v>6.4106519097956709E-3</v>
      </c>
      <c r="S100" s="8">
        <f t="shared" si="7"/>
        <v>0.29999992204849324</v>
      </c>
      <c r="T100" s="8">
        <f t="shared" si="7"/>
        <v>1.0596157438287027E-2</v>
      </c>
      <c r="U100" s="8">
        <f t="shared" si="7"/>
        <v>0.1871698818430052</v>
      </c>
      <c r="V100" s="8">
        <f t="shared" si="6"/>
        <v>0.29447770567018294</v>
      </c>
    </row>
    <row r="101" spans="1:22" x14ac:dyDescent="0.35">
      <c r="A101" s="9">
        <v>0.6</v>
      </c>
      <c r="B101" s="9">
        <v>0.1</v>
      </c>
      <c r="C101" s="9">
        <v>3.665</v>
      </c>
      <c r="D101" s="9">
        <v>0.78500000000000003</v>
      </c>
      <c r="E101" s="9">
        <v>0</v>
      </c>
      <c r="F101" s="9">
        <v>0</v>
      </c>
      <c r="G101" s="9">
        <v>0</v>
      </c>
      <c r="N101" s="9">
        <v>0.65811477460721113</v>
      </c>
      <c r="O101" s="9">
        <v>0.16597950696290764</v>
      </c>
      <c r="P101" s="9">
        <v>3.6718793530083014</v>
      </c>
      <c r="Q101" s="9">
        <v>0.39711068811959138</v>
      </c>
      <c r="R101" s="10">
        <v>1.6643780718738238E-4</v>
      </c>
      <c r="S101" s="8">
        <f t="shared" si="7"/>
        <v>5.811477460721115E-2</v>
      </c>
      <c r="T101" s="8">
        <f t="shared" si="7"/>
        <v>6.5979506962907636E-2</v>
      </c>
      <c r="U101" s="8">
        <f t="shared" si="7"/>
        <v>6.8793530083013366E-3</v>
      </c>
      <c r="V101" s="8">
        <f t="shared" si="6"/>
        <v>0.38788931188040865</v>
      </c>
    </row>
    <row r="102" spans="1:22" x14ac:dyDescent="0.35">
      <c r="A102" s="9">
        <v>0.8</v>
      </c>
      <c r="B102" s="9">
        <v>0.18</v>
      </c>
      <c r="C102" s="9">
        <v>3.665</v>
      </c>
      <c r="D102" s="9">
        <v>0.78500000000000003</v>
      </c>
      <c r="E102" s="9">
        <v>1.4</v>
      </c>
      <c r="F102" s="9">
        <v>0</v>
      </c>
      <c r="G102" s="9">
        <v>0</v>
      </c>
      <c r="N102" s="9">
        <v>0.9653354246728103</v>
      </c>
      <c r="O102" s="9">
        <v>8.4209466302596347E-2</v>
      </c>
      <c r="P102" s="9">
        <v>3.7944421250251978</v>
      </c>
      <c r="Q102" s="9">
        <v>1.3497916039123732</v>
      </c>
      <c r="R102" s="10">
        <v>3.6437340107530267E-4</v>
      </c>
      <c r="S102" s="8">
        <f t="shared" si="7"/>
        <v>0.16533542467281026</v>
      </c>
      <c r="T102" s="8">
        <f t="shared" si="7"/>
        <v>9.5790533697403646E-2</v>
      </c>
      <c r="U102" s="8">
        <f t="shared" si="7"/>
        <v>0.12944212502519781</v>
      </c>
      <c r="V102" s="8">
        <f t="shared" si="6"/>
        <v>0.56479160391237315</v>
      </c>
    </row>
    <row r="103" spans="1:22" x14ac:dyDescent="0.35">
      <c r="A103" s="9">
        <v>0.4</v>
      </c>
      <c r="B103" s="9">
        <v>0.2</v>
      </c>
      <c r="C103" s="9">
        <v>3.665</v>
      </c>
      <c r="D103" s="9">
        <v>0.78500000000000003</v>
      </c>
      <c r="E103" s="9">
        <v>1.4</v>
      </c>
      <c r="F103" s="9">
        <v>0</v>
      </c>
      <c r="G103" s="9">
        <v>0</v>
      </c>
      <c r="N103" s="9">
        <v>0.41413548756193719</v>
      </c>
      <c r="O103" s="9">
        <v>0.13151621743995112</v>
      </c>
      <c r="P103" s="9">
        <v>3.6428426942186762</v>
      </c>
      <c r="Q103" s="9">
        <v>0.89785117416742677</v>
      </c>
      <c r="R103" s="10">
        <v>3.9887981667778539E-5</v>
      </c>
      <c r="S103" s="8">
        <f t="shared" si="7"/>
        <v>1.4135487561937166E-2</v>
      </c>
      <c r="T103" s="8">
        <f t="shared" si="7"/>
        <v>6.8483782560048889E-2</v>
      </c>
      <c r="U103" s="8">
        <f t="shared" si="7"/>
        <v>2.2157305781323799E-2</v>
      </c>
      <c r="V103" s="8">
        <f t="shared" si="6"/>
        <v>0.11285117416742674</v>
      </c>
    </row>
    <row r="104" spans="1:22" x14ac:dyDescent="0.35">
      <c r="A104" s="9">
        <v>0.4</v>
      </c>
      <c r="B104" s="9">
        <v>0.1</v>
      </c>
      <c r="C104" s="9">
        <v>3.665</v>
      </c>
      <c r="D104" s="9">
        <v>1.571</v>
      </c>
      <c r="E104" s="9">
        <v>1.4</v>
      </c>
      <c r="F104" s="9">
        <v>0</v>
      </c>
      <c r="G104" s="9">
        <v>0</v>
      </c>
      <c r="N104" s="9">
        <v>0.58970672265287472</v>
      </c>
      <c r="O104" s="9">
        <v>0.14356484063987407</v>
      </c>
      <c r="P104" s="9">
        <v>2.910340822571758</v>
      </c>
      <c r="Q104" s="9">
        <v>2.6675478519249891</v>
      </c>
      <c r="R104" s="10">
        <v>2.2411132232322516E-3</v>
      </c>
      <c r="S104" s="8">
        <f t="shared" si="7"/>
        <v>0.18970672265287469</v>
      </c>
      <c r="T104" s="8">
        <f t="shared" si="7"/>
        <v>4.3564840639874064E-2</v>
      </c>
      <c r="U104" s="8">
        <f t="shared" si="7"/>
        <v>0.75465917742824207</v>
      </c>
      <c r="V104" s="8">
        <f t="shared" si="6"/>
        <v>1.0965478519249892</v>
      </c>
    </row>
    <row r="105" spans="1:22" x14ac:dyDescent="0.35">
      <c r="A105" s="9">
        <v>0.7</v>
      </c>
      <c r="B105" s="9">
        <v>0.1</v>
      </c>
      <c r="C105" s="9">
        <v>3.665</v>
      </c>
      <c r="D105" s="9">
        <v>1.571</v>
      </c>
      <c r="E105" s="9">
        <v>1.4</v>
      </c>
      <c r="F105" s="9">
        <v>0</v>
      </c>
      <c r="G105" s="9">
        <v>0</v>
      </c>
      <c r="N105" s="9">
        <v>0.90752210856610105</v>
      </c>
      <c r="O105" s="9">
        <v>5.7865782990679709E-2</v>
      </c>
      <c r="P105" s="9">
        <v>3.4659652832402523</v>
      </c>
      <c r="Q105" s="9">
        <v>1.9004511310193646</v>
      </c>
      <c r="R105" s="10">
        <v>8.8600585899172935E-4</v>
      </c>
      <c r="S105" s="8">
        <f t="shared" si="7"/>
        <v>0.20752210856610109</v>
      </c>
      <c r="T105" s="8">
        <f t="shared" si="7"/>
        <v>4.2134217009320296E-2</v>
      </c>
      <c r="U105" s="8">
        <f t="shared" si="7"/>
        <v>0.19903471675974771</v>
      </c>
      <c r="V105" s="8">
        <f t="shared" si="6"/>
        <v>0.32945113101936463</v>
      </c>
    </row>
    <row r="106" spans="1:22" x14ac:dyDescent="0.35">
      <c r="A106" s="9">
        <v>0.4</v>
      </c>
      <c r="B106" s="9">
        <v>0.16</v>
      </c>
      <c r="C106" s="9">
        <v>3.665</v>
      </c>
      <c r="D106" s="9">
        <v>1.571</v>
      </c>
      <c r="E106" s="9">
        <v>0</v>
      </c>
      <c r="F106" s="9">
        <v>0</v>
      </c>
      <c r="G106" s="9">
        <v>0</v>
      </c>
      <c r="N106" s="9">
        <v>0.35205483906702384</v>
      </c>
      <c r="O106" s="9">
        <v>0.1298643255817066</v>
      </c>
      <c r="P106" s="9">
        <v>3.974684434181198</v>
      </c>
      <c r="Q106" s="9">
        <v>1.1089377424027322</v>
      </c>
      <c r="R106" s="10">
        <v>1.17419276542722E-3</v>
      </c>
      <c r="S106" s="8">
        <f t="shared" si="7"/>
        <v>4.7945160932976183E-2</v>
      </c>
      <c r="T106" s="8">
        <f t="shared" si="7"/>
        <v>3.0135674418293401E-2</v>
      </c>
      <c r="U106" s="8">
        <f t="shared" si="7"/>
        <v>0.30968443418119795</v>
      </c>
      <c r="V106" s="8">
        <f t="shared" si="6"/>
        <v>0.46206225759726771</v>
      </c>
    </row>
    <row r="107" spans="1:22" x14ac:dyDescent="0.35">
      <c r="A107" s="9">
        <v>0.3</v>
      </c>
      <c r="B107" s="9">
        <v>0.18</v>
      </c>
      <c r="C107" s="9">
        <v>3.665</v>
      </c>
      <c r="D107" s="9">
        <v>1.571</v>
      </c>
      <c r="E107" s="9">
        <v>0</v>
      </c>
      <c r="F107" s="9">
        <v>0</v>
      </c>
      <c r="G107" s="9">
        <v>0</v>
      </c>
      <c r="N107" s="9">
        <v>0.96783985556418384</v>
      </c>
      <c r="O107" s="9">
        <v>6.9581021954877337E-2</v>
      </c>
      <c r="P107" s="9">
        <v>4.2858189955232469</v>
      </c>
      <c r="Q107" s="9">
        <v>2.73572441813387</v>
      </c>
      <c r="R107" s="10">
        <v>1.4952115446026297E-3</v>
      </c>
      <c r="S107" s="8">
        <f t="shared" si="7"/>
        <v>0.66783985556418379</v>
      </c>
      <c r="T107" s="8">
        <f t="shared" si="7"/>
        <v>0.11041897804512266</v>
      </c>
      <c r="U107" s="8">
        <f t="shared" si="7"/>
        <v>0.62081899552324682</v>
      </c>
      <c r="V107" s="8">
        <f t="shared" si="6"/>
        <v>1.1647244181338701</v>
      </c>
    </row>
    <row r="108" spans="1:22" x14ac:dyDescent="0.35">
      <c r="A108" s="9">
        <v>0.3</v>
      </c>
      <c r="B108" s="9">
        <v>0.08</v>
      </c>
      <c r="C108" s="9">
        <v>1.571</v>
      </c>
      <c r="D108" s="9">
        <v>0.78500000000000003</v>
      </c>
      <c r="E108" s="9">
        <v>1.4</v>
      </c>
      <c r="F108" s="9">
        <v>0</v>
      </c>
      <c r="G108" s="9">
        <v>0</v>
      </c>
      <c r="N108" s="9">
        <v>0.32395677950039153</v>
      </c>
      <c r="O108" s="9">
        <v>9.0837568046531994E-2</v>
      </c>
      <c r="P108" s="9">
        <v>2.2016267918839652</v>
      </c>
      <c r="Q108" s="9">
        <v>0.88043655187018033</v>
      </c>
      <c r="R108" s="10">
        <v>2.562491171669477E-4</v>
      </c>
      <c r="S108" s="8">
        <f t="shared" si="7"/>
        <v>2.3956779500391545E-2</v>
      </c>
      <c r="T108" s="8">
        <f t="shared" si="7"/>
        <v>1.0837568046531992E-2</v>
      </c>
      <c r="U108" s="8">
        <f t="shared" si="7"/>
        <v>0.6306267918839652</v>
      </c>
      <c r="V108" s="8">
        <f t="shared" si="6"/>
        <v>9.5436551870180297E-2</v>
      </c>
    </row>
    <row r="109" spans="1:22" x14ac:dyDescent="0.35">
      <c r="A109" s="9">
        <v>0.4</v>
      </c>
      <c r="B109" s="9">
        <v>0.14000000000000001</v>
      </c>
      <c r="C109" s="9">
        <v>1.571</v>
      </c>
      <c r="D109" s="9">
        <v>0.78500000000000003</v>
      </c>
      <c r="E109" s="9">
        <v>0</v>
      </c>
      <c r="F109" s="9">
        <v>0</v>
      </c>
      <c r="G109" s="9">
        <v>0</v>
      </c>
      <c r="N109" s="9">
        <v>0.6127010158664653</v>
      </c>
      <c r="O109" s="9">
        <v>6.6031669834806725E-2</v>
      </c>
      <c r="P109" s="9">
        <v>1.2281923104575163</v>
      </c>
      <c r="Q109" s="9">
        <v>0.73333940882107151</v>
      </c>
      <c r="R109" s="10">
        <v>3.8298004057952167E-4</v>
      </c>
      <c r="S109" s="8">
        <f t="shared" si="7"/>
        <v>0.21270101586646528</v>
      </c>
      <c r="T109" s="8">
        <f t="shared" si="7"/>
        <v>7.3968330165193288E-2</v>
      </c>
      <c r="U109" s="8">
        <f t="shared" si="7"/>
        <v>0.34280768954248364</v>
      </c>
      <c r="V109" s="8">
        <f t="shared" si="6"/>
        <v>5.1660591178928517E-2</v>
      </c>
    </row>
    <row r="110" spans="1:22" x14ac:dyDescent="0.35">
      <c r="A110" s="9">
        <v>0.6</v>
      </c>
      <c r="B110" s="9">
        <v>0.16</v>
      </c>
      <c r="C110" s="9">
        <v>1.571</v>
      </c>
      <c r="D110" s="9">
        <v>0.78500000000000003</v>
      </c>
      <c r="E110" s="9">
        <v>1.4</v>
      </c>
      <c r="F110" s="9">
        <v>0</v>
      </c>
      <c r="G110" s="9">
        <v>0</v>
      </c>
      <c r="N110" s="9">
        <v>0.5300759044473663</v>
      </c>
      <c r="O110" s="9">
        <v>0.15389286236056585</v>
      </c>
      <c r="P110" s="9">
        <v>1.7504120618323076</v>
      </c>
      <c r="Q110" s="9">
        <v>1.2462905353965017</v>
      </c>
      <c r="R110" s="10">
        <v>6.9890860337529893E-5</v>
      </c>
      <c r="S110" s="8">
        <f t="shared" si="7"/>
        <v>6.992409555263368E-2</v>
      </c>
      <c r="T110" s="8">
        <f t="shared" si="7"/>
        <v>6.107137639434157E-3</v>
      </c>
      <c r="U110" s="8">
        <f t="shared" si="7"/>
        <v>0.17941206183230762</v>
      </c>
      <c r="V110" s="8">
        <f t="shared" si="6"/>
        <v>0.46129053539650167</v>
      </c>
    </row>
    <row r="111" spans="1:22" x14ac:dyDescent="0.35">
      <c r="A111" s="9">
        <v>0.4</v>
      </c>
      <c r="B111" s="9">
        <v>0.06</v>
      </c>
      <c r="C111" s="9">
        <v>1.571</v>
      </c>
      <c r="D111" s="9">
        <v>1.571</v>
      </c>
      <c r="E111" s="9">
        <v>1.4</v>
      </c>
      <c r="F111" s="9">
        <v>0</v>
      </c>
      <c r="G111" s="9">
        <v>0</v>
      </c>
      <c r="N111" s="9">
        <v>0.49250896501344149</v>
      </c>
      <c r="O111" s="9">
        <v>2.1717538048177241E-2</v>
      </c>
      <c r="P111" s="9">
        <v>2.4396759343134882</v>
      </c>
      <c r="Q111" s="9">
        <v>0.87781818372147258</v>
      </c>
      <c r="R111" s="10">
        <v>2.1727969390416021E-3</v>
      </c>
      <c r="S111" s="8">
        <f t="shared" si="7"/>
        <v>9.2508965013441469E-2</v>
      </c>
      <c r="T111" s="8">
        <f t="shared" si="7"/>
        <v>3.8282461951822756E-2</v>
      </c>
      <c r="U111" s="8">
        <f t="shared" si="7"/>
        <v>0.86867593431348822</v>
      </c>
      <c r="V111" s="8">
        <f t="shared" si="6"/>
        <v>0.69318181627852737</v>
      </c>
    </row>
    <row r="112" spans="1:22" x14ac:dyDescent="0.35">
      <c r="A112" s="9">
        <v>0.8</v>
      </c>
      <c r="B112" s="9">
        <v>0.08</v>
      </c>
      <c r="C112" s="9">
        <v>1.571</v>
      </c>
      <c r="D112" s="9">
        <v>1.571</v>
      </c>
      <c r="E112" s="9">
        <v>0</v>
      </c>
      <c r="F112" s="9">
        <v>0</v>
      </c>
      <c r="G112" s="9">
        <v>0</v>
      </c>
      <c r="N112" s="9">
        <v>0.78431394615451</v>
      </c>
      <c r="O112" s="9">
        <v>6.8425651685279892E-2</v>
      </c>
      <c r="P112" s="9">
        <v>1.5671680517403652</v>
      </c>
      <c r="Q112" s="9">
        <v>1.7680005002087282</v>
      </c>
      <c r="R112" s="10">
        <v>5.646709278387331E-5</v>
      </c>
      <c r="S112" s="8">
        <f t="shared" si="7"/>
        <v>1.5686053845490044E-2</v>
      </c>
      <c r="T112" s="8">
        <f t="shared" si="7"/>
        <v>1.1574348314720109E-2</v>
      </c>
      <c r="U112" s="8">
        <f t="shared" si="7"/>
        <v>3.8319482596347321E-3</v>
      </c>
      <c r="V112" s="8">
        <f t="shared" si="6"/>
        <v>0.19700050020872828</v>
      </c>
    </row>
    <row r="113" spans="1:22" x14ac:dyDescent="0.35">
      <c r="A113" s="9">
        <v>0.7</v>
      </c>
      <c r="B113" s="9">
        <v>0.16</v>
      </c>
      <c r="C113" s="9">
        <v>1.571</v>
      </c>
      <c r="D113" s="9">
        <v>1.571</v>
      </c>
      <c r="E113" s="9">
        <v>1.4</v>
      </c>
      <c r="F113" s="9">
        <v>0</v>
      </c>
      <c r="G113" s="9">
        <v>0</v>
      </c>
      <c r="N113" s="9">
        <v>0.99999999250514882</v>
      </c>
      <c r="O113" s="9">
        <v>0.10512248766957547</v>
      </c>
      <c r="P113" s="9">
        <v>1.7032922549059222</v>
      </c>
      <c r="Q113" s="9">
        <v>2.13148136652014</v>
      </c>
      <c r="R113" s="10">
        <v>2.6357755822094243E-3</v>
      </c>
      <c r="S113" s="8">
        <f t="shared" si="7"/>
        <v>0.29999999250514886</v>
      </c>
      <c r="T113" s="8">
        <f t="shared" si="7"/>
        <v>5.4877512330424538E-2</v>
      </c>
      <c r="U113" s="8">
        <f t="shared" si="7"/>
        <v>0.13229225490592222</v>
      </c>
      <c r="V113" s="8">
        <f t="shared" si="6"/>
        <v>0.56048136652014002</v>
      </c>
    </row>
    <row r="114" spans="1:22" x14ac:dyDescent="0.35">
      <c r="A114" s="9">
        <v>0.7</v>
      </c>
      <c r="B114" s="9">
        <v>0.2</v>
      </c>
      <c r="C114" s="9">
        <v>1.571</v>
      </c>
      <c r="D114" s="9">
        <v>1.571</v>
      </c>
      <c r="E114" s="9">
        <v>0</v>
      </c>
      <c r="F114" s="9">
        <v>0</v>
      </c>
      <c r="G114" s="9">
        <v>0</v>
      </c>
      <c r="N114" s="9">
        <v>0.54426336817416399</v>
      </c>
      <c r="O114" s="9">
        <v>0.19999034038994828</v>
      </c>
      <c r="P114" s="9">
        <v>0.98326911813804174</v>
      </c>
      <c r="Q114" s="9">
        <v>2.061545655420197</v>
      </c>
      <c r="R114" s="10">
        <v>5.7260767117538513E-3</v>
      </c>
      <c r="S114" s="8">
        <f t="shared" si="7"/>
        <v>0.15573663182583597</v>
      </c>
      <c r="T114" s="8">
        <f t="shared" si="7"/>
        <v>9.6596100517265526E-6</v>
      </c>
      <c r="U114" s="8">
        <f t="shared" si="7"/>
        <v>0.58773088186195821</v>
      </c>
      <c r="V114" s="8">
        <f t="shared" si="6"/>
        <v>0.49054565542019701</v>
      </c>
    </row>
    <row r="115" spans="1:22" x14ac:dyDescent="0.35">
      <c r="A115" s="9">
        <v>0.7</v>
      </c>
      <c r="B115" s="9">
        <v>0.06</v>
      </c>
      <c r="C115" s="9">
        <v>3.665</v>
      </c>
      <c r="D115" s="9">
        <v>0.78500000000000003</v>
      </c>
      <c r="E115" s="9">
        <v>0</v>
      </c>
      <c r="F115" s="9">
        <v>0</v>
      </c>
      <c r="G115" s="9">
        <v>0</v>
      </c>
      <c r="N115" s="9">
        <v>0.87207625864213689</v>
      </c>
      <c r="O115" s="9">
        <v>2.399020691327907E-2</v>
      </c>
      <c r="P115" s="9">
        <v>3.9815894152590587</v>
      </c>
      <c r="Q115" s="9">
        <v>1.1510007134068367</v>
      </c>
      <c r="R115" s="10">
        <v>1.3646458718768273E-3</v>
      </c>
      <c r="S115" s="8">
        <f t="shared" si="7"/>
        <v>0.17207625864213694</v>
      </c>
      <c r="T115" s="8">
        <f t="shared" si="7"/>
        <v>3.6009793086720927E-2</v>
      </c>
      <c r="U115" s="8">
        <f t="shared" si="7"/>
        <v>0.3165894152590587</v>
      </c>
      <c r="V115" s="8">
        <f t="shared" si="6"/>
        <v>0.36600071340683671</v>
      </c>
    </row>
    <row r="116" spans="1:22" x14ac:dyDescent="0.35">
      <c r="A116" s="9">
        <v>0.6</v>
      </c>
      <c r="B116" s="9">
        <v>0.1</v>
      </c>
      <c r="C116" s="9">
        <v>3.665</v>
      </c>
      <c r="D116" s="9">
        <v>0.78500000000000003</v>
      </c>
      <c r="E116" s="9">
        <v>0</v>
      </c>
      <c r="F116" s="9">
        <v>0</v>
      </c>
      <c r="G116" s="9">
        <v>0</v>
      </c>
      <c r="N116" s="9">
        <v>0.91514051977080324</v>
      </c>
      <c r="O116" s="9">
        <v>5.1396182071826044E-2</v>
      </c>
      <c r="P116" s="9">
        <v>3.5180475977719183</v>
      </c>
      <c r="Q116" s="9">
        <v>0.75990556396317654</v>
      </c>
      <c r="R116" s="10">
        <v>5.507779814910343E-4</v>
      </c>
      <c r="S116" s="8">
        <f t="shared" si="7"/>
        <v>0.31514051977080326</v>
      </c>
      <c r="T116" s="8">
        <f t="shared" si="7"/>
        <v>4.8603817928173962E-2</v>
      </c>
      <c r="U116" s="8">
        <f t="shared" si="7"/>
        <v>0.1469524022280817</v>
      </c>
      <c r="V116" s="8">
        <f t="shared" si="6"/>
        <v>2.5094436036823486E-2</v>
      </c>
    </row>
    <row r="117" spans="1:22" x14ac:dyDescent="0.35">
      <c r="A117" s="9">
        <v>0.8</v>
      </c>
      <c r="B117" s="9">
        <v>0.18</v>
      </c>
      <c r="C117" s="9">
        <v>3.665</v>
      </c>
      <c r="D117" s="9">
        <v>0.78500000000000003</v>
      </c>
      <c r="E117" s="9">
        <v>1.4</v>
      </c>
      <c r="F117" s="9">
        <v>0</v>
      </c>
      <c r="G117" s="9">
        <v>0</v>
      </c>
      <c r="N117" s="9">
        <v>0.6914380622573717</v>
      </c>
      <c r="O117" s="9">
        <v>0.19972443910034066</v>
      </c>
      <c r="P117" s="9">
        <v>3.6434096206435216</v>
      </c>
      <c r="Q117" s="9">
        <v>0.54854138135964814</v>
      </c>
      <c r="R117" s="10">
        <v>1.013019480616421E-3</v>
      </c>
      <c r="S117" s="8">
        <f t="shared" si="7"/>
        <v>0.10856193774262834</v>
      </c>
      <c r="T117" s="8">
        <f t="shared" si="7"/>
        <v>1.9724439100340663E-2</v>
      </c>
      <c r="U117" s="8">
        <f t="shared" si="7"/>
        <v>2.1590379356478451E-2</v>
      </c>
      <c r="V117" s="8">
        <f t="shared" si="6"/>
        <v>0.23645861864035189</v>
      </c>
    </row>
    <row r="118" spans="1:22" x14ac:dyDescent="0.35">
      <c r="A118" s="9">
        <v>0.4</v>
      </c>
      <c r="B118" s="9">
        <v>0.2</v>
      </c>
      <c r="C118" s="9">
        <v>3.665</v>
      </c>
      <c r="D118" s="9">
        <v>0.78500000000000003</v>
      </c>
      <c r="E118" s="9">
        <v>1.4</v>
      </c>
      <c r="F118" s="9">
        <v>0</v>
      </c>
      <c r="G118" s="9">
        <v>0</v>
      </c>
      <c r="N118" s="9">
        <v>0.45796357741834282</v>
      </c>
      <c r="O118" s="9">
        <v>8.3859864979121193E-2</v>
      </c>
      <c r="P118" s="9">
        <v>3.7848639026085507</v>
      </c>
      <c r="Q118" s="9">
        <v>2.1451022496580032</v>
      </c>
      <c r="R118" s="10">
        <v>1.0272163454684486E-4</v>
      </c>
      <c r="S118" s="8">
        <f t="shared" si="7"/>
        <v>5.7963577418342793E-2</v>
      </c>
      <c r="T118" s="8">
        <f t="shared" si="7"/>
        <v>0.11614013502087882</v>
      </c>
      <c r="U118" s="8">
        <f t="shared" si="7"/>
        <v>0.11986390260855062</v>
      </c>
      <c r="V118" s="8">
        <f t="shared" si="6"/>
        <v>1.3601022496580031</v>
      </c>
    </row>
    <row r="119" spans="1:22" x14ac:dyDescent="0.35">
      <c r="A119" s="9">
        <v>0.4</v>
      </c>
      <c r="B119" s="9">
        <v>0.1</v>
      </c>
      <c r="C119" s="9">
        <v>3.665</v>
      </c>
      <c r="D119" s="9">
        <v>1.571</v>
      </c>
      <c r="E119" s="9">
        <v>1.4</v>
      </c>
      <c r="F119" s="9">
        <v>0</v>
      </c>
      <c r="G119" s="9">
        <v>0</v>
      </c>
      <c r="N119" s="9">
        <v>0.5158086495935984</v>
      </c>
      <c r="O119" s="9">
        <v>4.0665678895678424E-2</v>
      </c>
      <c r="P119" s="9">
        <v>3.7866335254190431</v>
      </c>
      <c r="Q119" s="9">
        <v>1.3065207221593678</v>
      </c>
      <c r="R119" s="10">
        <v>3.7091842935746886E-5</v>
      </c>
      <c r="S119" s="8">
        <f t="shared" si="7"/>
        <v>0.11580864959359838</v>
      </c>
      <c r="T119" s="8">
        <f t="shared" si="7"/>
        <v>5.9334321104321582E-2</v>
      </c>
      <c r="U119" s="8">
        <f t="shared" si="7"/>
        <v>0.12163352541904304</v>
      </c>
      <c r="V119" s="8">
        <f t="shared" si="6"/>
        <v>0.26447927784063219</v>
      </c>
    </row>
    <row r="120" spans="1:22" x14ac:dyDescent="0.35">
      <c r="A120" s="9">
        <v>0.7</v>
      </c>
      <c r="B120" s="9">
        <v>0.1</v>
      </c>
      <c r="C120" s="9">
        <v>3.665</v>
      </c>
      <c r="D120" s="9">
        <v>1.571</v>
      </c>
      <c r="E120" s="9">
        <v>1.4</v>
      </c>
      <c r="F120" s="9">
        <v>0</v>
      </c>
      <c r="G120" s="9">
        <v>0</v>
      </c>
      <c r="N120" s="9">
        <v>0.73546410878919855</v>
      </c>
      <c r="O120" s="9">
        <v>0.12367487591634792</v>
      </c>
      <c r="P120" s="9">
        <v>3.6329299570542313</v>
      </c>
      <c r="Q120" s="9">
        <v>1.8431361823144836</v>
      </c>
      <c r="R120" s="10">
        <v>1.8868502602391793E-5</v>
      </c>
      <c r="S120" s="8">
        <f t="shared" si="7"/>
        <v>3.546410878919859E-2</v>
      </c>
      <c r="T120" s="8">
        <f t="shared" si="7"/>
        <v>2.3674875916347912E-2</v>
      </c>
      <c r="U120" s="8">
        <f t="shared" si="7"/>
        <v>3.2070042945768762E-2</v>
      </c>
      <c r="V120" s="8">
        <f t="shared" si="6"/>
        <v>0.27213618231448367</v>
      </c>
    </row>
    <row r="121" spans="1:22" x14ac:dyDescent="0.35">
      <c r="A121" s="9">
        <v>0.4</v>
      </c>
      <c r="B121" s="9">
        <v>0.16</v>
      </c>
      <c r="C121" s="9">
        <v>3.665</v>
      </c>
      <c r="D121" s="9">
        <v>1.571</v>
      </c>
      <c r="E121" s="9">
        <v>0</v>
      </c>
      <c r="F121" s="9">
        <v>0</v>
      </c>
      <c r="G121" s="9">
        <v>0</v>
      </c>
      <c r="N121" s="9">
        <v>0.33321891440628149</v>
      </c>
      <c r="O121" s="9">
        <v>0.15545392573720329</v>
      </c>
      <c r="P121" s="9">
        <v>3.1333974962379676</v>
      </c>
      <c r="Q121" s="9">
        <v>1.898477709876873</v>
      </c>
      <c r="R121" s="10">
        <v>1.1537596110735974E-3</v>
      </c>
      <c r="S121" s="8">
        <f t="shared" si="7"/>
        <v>6.6781085593718537E-2</v>
      </c>
      <c r="T121" s="8">
        <f t="shared" si="7"/>
        <v>4.5460742627967121E-3</v>
      </c>
      <c r="U121" s="8">
        <f t="shared" si="7"/>
        <v>0.53160250376203244</v>
      </c>
      <c r="V121" s="8">
        <f t="shared" si="6"/>
        <v>0.32747770987687308</v>
      </c>
    </row>
    <row r="122" spans="1:22" x14ac:dyDescent="0.35">
      <c r="A122" s="9">
        <v>0.3</v>
      </c>
      <c r="B122" s="9">
        <v>0.18</v>
      </c>
      <c r="C122" s="9">
        <v>3.665</v>
      </c>
      <c r="D122" s="9">
        <v>1.571</v>
      </c>
      <c r="E122" s="9">
        <v>0</v>
      </c>
      <c r="F122" s="9">
        <v>0</v>
      </c>
      <c r="G122" s="9">
        <v>0</v>
      </c>
      <c r="N122" s="9">
        <v>0.38800886322131861</v>
      </c>
      <c r="O122" s="9">
        <v>3.2579129138033167E-2</v>
      </c>
      <c r="P122" s="9">
        <v>4.956507880723068</v>
      </c>
      <c r="Q122" s="9">
        <v>0.3630949973000408</v>
      </c>
      <c r="R122" s="10">
        <v>5.0546933972698974E-3</v>
      </c>
      <c r="S122" s="8">
        <f t="shared" si="7"/>
        <v>8.8008863221318623E-2</v>
      </c>
      <c r="T122" s="8">
        <f t="shared" si="7"/>
        <v>0.14742087086196681</v>
      </c>
      <c r="U122" s="8">
        <f t="shared" si="7"/>
        <v>1.291507880723068</v>
      </c>
      <c r="V122" s="8">
        <f t="shared" si="6"/>
        <v>1.2079050026999592</v>
      </c>
    </row>
    <row r="123" spans="1:22" x14ac:dyDescent="0.35">
      <c r="A123" s="9">
        <v>0.3</v>
      </c>
      <c r="B123" s="9">
        <v>0.08</v>
      </c>
      <c r="C123" s="9">
        <v>1.571</v>
      </c>
      <c r="D123" s="9">
        <v>0.78500000000000003</v>
      </c>
      <c r="E123" s="9">
        <v>1.4</v>
      </c>
      <c r="F123" s="9">
        <v>0</v>
      </c>
      <c r="G123" s="9">
        <v>0</v>
      </c>
      <c r="N123" s="9">
        <v>0.40399494639047706</v>
      </c>
      <c r="O123" s="9">
        <v>1.0084722063028503E-2</v>
      </c>
      <c r="P123" s="9">
        <v>2.1424907567520197</v>
      </c>
      <c r="Q123" s="9">
        <v>0.93080975466876359</v>
      </c>
      <c r="R123" s="10">
        <v>2.5291116859104524E-4</v>
      </c>
      <c r="S123" s="8">
        <f t="shared" si="7"/>
        <v>0.10399494639047707</v>
      </c>
      <c r="T123" s="8">
        <f t="shared" si="7"/>
        <v>6.9915277936971498E-2</v>
      </c>
      <c r="U123" s="8">
        <f t="shared" si="7"/>
        <v>0.57149075675201977</v>
      </c>
      <c r="V123" s="8">
        <f t="shared" si="6"/>
        <v>0.14580975466876356</v>
      </c>
    </row>
    <row r="124" spans="1:22" x14ac:dyDescent="0.35">
      <c r="A124" s="9">
        <v>0.4</v>
      </c>
      <c r="B124" s="9">
        <v>0.14000000000000001</v>
      </c>
      <c r="C124" s="9">
        <v>1.571</v>
      </c>
      <c r="D124" s="9">
        <v>0.78500000000000003</v>
      </c>
      <c r="E124" s="9">
        <v>0</v>
      </c>
      <c r="F124" s="9">
        <v>0</v>
      </c>
      <c r="G124" s="9">
        <v>0</v>
      </c>
      <c r="N124" s="9">
        <v>0.29348337760523813</v>
      </c>
      <c r="O124" s="9">
        <v>0.19376770711844968</v>
      </c>
      <c r="P124" s="9">
        <v>1.4378737809025501</v>
      </c>
      <c r="Q124" s="9">
        <v>1.8442155459065155</v>
      </c>
      <c r="R124" s="10">
        <v>6.4315873779118786E-5</v>
      </c>
      <c r="S124" s="8">
        <f t="shared" si="7"/>
        <v>0.1065166223947619</v>
      </c>
      <c r="T124" s="8">
        <f t="shared" si="7"/>
        <v>5.3767707118449665E-2</v>
      </c>
      <c r="U124" s="8">
        <f t="shared" si="7"/>
        <v>0.13312621909744982</v>
      </c>
      <c r="V124" s="8">
        <f t="shared" si="6"/>
        <v>1.0592155459065156</v>
      </c>
    </row>
    <row r="125" spans="1:22" x14ac:dyDescent="0.35">
      <c r="A125" s="9">
        <v>0.6</v>
      </c>
      <c r="B125" s="9">
        <v>0.16</v>
      </c>
      <c r="C125" s="9">
        <v>1.571</v>
      </c>
      <c r="D125" s="9">
        <v>0.78500000000000003</v>
      </c>
      <c r="E125" s="9">
        <v>1.4</v>
      </c>
      <c r="F125" s="9">
        <v>0</v>
      </c>
      <c r="G125" s="9">
        <v>0</v>
      </c>
      <c r="N125" s="9">
        <v>0.55964273328190417</v>
      </c>
      <c r="O125" s="9">
        <v>0.17318817446987894</v>
      </c>
      <c r="P125" s="9">
        <v>1.8083568685382581</v>
      </c>
      <c r="Q125" s="9">
        <v>0.96962997690024388</v>
      </c>
      <c r="R125" s="10">
        <v>1.1078338685717917E-4</v>
      </c>
      <c r="S125" s="8">
        <f t="shared" si="7"/>
        <v>4.0357266718095808E-2</v>
      </c>
      <c r="T125" s="8">
        <f t="shared" si="7"/>
        <v>1.3188174469878938E-2</v>
      </c>
      <c r="U125" s="8">
        <f t="shared" si="7"/>
        <v>0.2373568685382581</v>
      </c>
      <c r="V125" s="8">
        <f t="shared" si="6"/>
        <v>0.18462997690024385</v>
      </c>
    </row>
    <row r="126" spans="1:22" x14ac:dyDescent="0.35">
      <c r="A126" s="9">
        <v>0.4</v>
      </c>
      <c r="B126" s="9">
        <v>0.06</v>
      </c>
      <c r="C126" s="9">
        <v>1.571</v>
      </c>
      <c r="D126" s="9">
        <v>1.571</v>
      </c>
      <c r="E126" s="9">
        <v>1.4</v>
      </c>
      <c r="F126" s="9">
        <v>0</v>
      </c>
      <c r="G126" s="9">
        <v>0</v>
      </c>
      <c r="N126" s="9">
        <v>0.63720732018954107</v>
      </c>
      <c r="O126" s="9">
        <v>1.1250982287565815E-2</v>
      </c>
      <c r="P126" s="9">
        <v>1.3784077557940158</v>
      </c>
      <c r="Q126" s="9">
        <v>1.1542494998538244</v>
      </c>
      <c r="R126" s="10">
        <v>8.5902158126448247E-5</v>
      </c>
      <c r="S126" s="8">
        <f t="shared" si="7"/>
        <v>0.23720732018954105</v>
      </c>
      <c r="T126" s="8">
        <f t="shared" si="7"/>
        <v>4.8749017712434187E-2</v>
      </c>
      <c r="U126" s="8">
        <f t="shared" si="7"/>
        <v>0.1925922442059842</v>
      </c>
      <c r="V126" s="8">
        <f t="shared" si="6"/>
        <v>0.41675050014617554</v>
      </c>
    </row>
    <row r="127" spans="1:22" x14ac:dyDescent="0.35">
      <c r="A127" s="9">
        <v>0.8</v>
      </c>
      <c r="B127" s="9">
        <v>0.08</v>
      </c>
      <c r="C127" s="9">
        <v>1.571</v>
      </c>
      <c r="D127" s="9">
        <v>1.571</v>
      </c>
      <c r="E127" s="9">
        <v>0</v>
      </c>
      <c r="F127" s="9">
        <v>0</v>
      </c>
      <c r="G127" s="9">
        <v>0</v>
      </c>
      <c r="N127" s="9">
        <v>0.73279917105029768</v>
      </c>
      <c r="O127" s="9">
        <v>8.160615921663357E-2</v>
      </c>
      <c r="P127" s="9">
        <v>1.4725338031234128</v>
      </c>
      <c r="Q127" s="9">
        <v>1.646962678180693</v>
      </c>
      <c r="R127" s="10">
        <v>7.5390701358015415E-5</v>
      </c>
      <c r="S127" s="8">
        <f t="shared" si="7"/>
        <v>6.7200828949702363E-2</v>
      </c>
      <c r="T127" s="8">
        <f t="shared" si="7"/>
        <v>1.6061592166335681E-3</v>
      </c>
      <c r="U127" s="8">
        <f t="shared" si="7"/>
        <v>9.8466196876587198E-2</v>
      </c>
      <c r="V127" s="8">
        <f t="shared" si="6"/>
        <v>7.5962678180693022E-2</v>
      </c>
    </row>
    <row r="128" spans="1:22" x14ac:dyDescent="0.35">
      <c r="A128" s="9">
        <v>0.7</v>
      </c>
      <c r="B128" s="9">
        <v>0.16</v>
      </c>
      <c r="C128" s="9">
        <v>1.571</v>
      </c>
      <c r="D128" s="9">
        <v>1.571</v>
      </c>
      <c r="E128" s="9">
        <v>1.4</v>
      </c>
      <c r="F128" s="9">
        <v>0</v>
      </c>
      <c r="G128" s="9">
        <v>0</v>
      </c>
      <c r="N128" s="9">
        <v>0.23493704433366086</v>
      </c>
      <c r="O128" s="9">
        <v>0.1999913094299558</v>
      </c>
      <c r="P128" s="9">
        <v>2.2902194004292751</v>
      </c>
      <c r="Q128" s="9">
        <v>1.3702729187367977</v>
      </c>
      <c r="R128" s="10">
        <v>6.7107106800645836E-3</v>
      </c>
      <c r="S128" s="8">
        <f t="shared" si="7"/>
        <v>0.4650629556663391</v>
      </c>
      <c r="T128" s="8">
        <f t="shared" si="7"/>
        <v>3.9991309429955796E-2</v>
      </c>
      <c r="U128" s="8">
        <f t="shared" si="7"/>
        <v>0.71921940042927512</v>
      </c>
      <c r="V128" s="8">
        <f t="shared" si="6"/>
        <v>0.20072708126320227</v>
      </c>
    </row>
    <row r="129" spans="1:22" x14ac:dyDescent="0.35">
      <c r="A129" s="9">
        <v>0.7</v>
      </c>
      <c r="B129" s="9">
        <v>0.2</v>
      </c>
      <c r="C129" s="9">
        <v>1.571</v>
      </c>
      <c r="D129" s="9">
        <v>1.571</v>
      </c>
      <c r="E129" s="9">
        <v>0</v>
      </c>
      <c r="F129" s="9">
        <v>0</v>
      </c>
      <c r="G129" s="9">
        <v>0</v>
      </c>
      <c r="N129" s="9">
        <v>0.52156299868246736</v>
      </c>
      <c r="O129" s="9">
        <v>7.6157583995981631E-2</v>
      </c>
      <c r="P129" s="9">
        <v>0.29872154765976311</v>
      </c>
      <c r="Q129" s="9">
        <v>2.5732261214039083</v>
      </c>
      <c r="R129" s="10">
        <v>1.2396899729322721E-2</v>
      </c>
      <c r="S129" s="8">
        <f t="shared" si="7"/>
        <v>0.1784370013175326</v>
      </c>
      <c r="T129" s="8">
        <f t="shared" si="7"/>
        <v>0.12384241600401838</v>
      </c>
      <c r="U129" s="8">
        <f t="shared" si="7"/>
        <v>1.2722784523402368</v>
      </c>
      <c r="V129" s="8">
        <f t="shared" si="6"/>
        <v>1.0022261214039083</v>
      </c>
    </row>
    <row r="130" spans="1:22" x14ac:dyDescent="0.35">
      <c r="A130" s="9">
        <v>0.7</v>
      </c>
      <c r="B130" s="9">
        <v>0.06</v>
      </c>
      <c r="C130" s="9">
        <v>3.665</v>
      </c>
      <c r="D130" s="9">
        <v>0.78500000000000003</v>
      </c>
      <c r="E130" s="9">
        <v>0</v>
      </c>
      <c r="F130" s="9">
        <v>0</v>
      </c>
      <c r="G130" s="9">
        <v>0</v>
      </c>
      <c r="N130" s="9">
        <v>0.64085666655760321</v>
      </c>
      <c r="O130" s="9">
        <v>7.2320793924227661E-2</v>
      </c>
      <c r="P130" s="9">
        <v>3.4497583134588927</v>
      </c>
      <c r="Q130" s="9">
        <v>1.0490091885430322</v>
      </c>
      <c r="R130" s="10">
        <v>1.8365610920298821E-4</v>
      </c>
      <c r="S130" s="8">
        <f t="shared" si="7"/>
        <v>5.914333344239675E-2</v>
      </c>
      <c r="T130" s="8">
        <f t="shared" si="7"/>
        <v>1.2320793924227663E-2</v>
      </c>
      <c r="U130" s="8">
        <f t="shared" si="7"/>
        <v>0.21524168654110731</v>
      </c>
      <c r="V130" s="8">
        <f t="shared" si="6"/>
        <v>0.26400918854303213</v>
      </c>
    </row>
    <row r="131" spans="1:22" x14ac:dyDescent="0.35">
      <c r="A131" s="9">
        <v>0.6</v>
      </c>
      <c r="B131" s="9">
        <v>0.1</v>
      </c>
      <c r="C131" s="9">
        <v>3.665</v>
      </c>
      <c r="D131" s="9">
        <v>0.78500000000000003</v>
      </c>
      <c r="E131" s="9">
        <v>0</v>
      </c>
      <c r="F131" s="9">
        <v>0</v>
      </c>
      <c r="G131" s="9">
        <v>0</v>
      </c>
      <c r="N131" s="9">
        <v>0.83443246051104913</v>
      </c>
      <c r="O131" s="9">
        <v>5.9208593132318917E-2</v>
      </c>
      <c r="P131" s="9">
        <v>3.4785215253422921</v>
      </c>
      <c r="Q131" s="9">
        <v>0.73803020946614784</v>
      </c>
      <c r="R131" s="10">
        <v>2.6688244764682138E-4</v>
      </c>
      <c r="S131" s="8">
        <f t="shared" si="7"/>
        <v>0.23443246051104916</v>
      </c>
      <c r="T131" s="8">
        <f t="shared" si="7"/>
        <v>4.0791406867681089E-2</v>
      </c>
      <c r="U131" s="8">
        <f t="shared" si="7"/>
        <v>0.18647847465770795</v>
      </c>
      <c r="V131" s="8">
        <f t="shared" si="6"/>
        <v>4.6969790533852196E-2</v>
      </c>
    </row>
    <row r="132" spans="1:22" x14ac:dyDescent="0.35">
      <c r="A132" s="9">
        <v>0.8</v>
      </c>
      <c r="B132" s="9">
        <v>0.18</v>
      </c>
      <c r="C132" s="9">
        <v>3.665</v>
      </c>
      <c r="D132" s="9">
        <v>0.78500000000000003</v>
      </c>
      <c r="E132" s="9">
        <v>1.4</v>
      </c>
      <c r="F132" s="9">
        <v>0</v>
      </c>
      <c r="G132" s="9">
        <v>0</v>
      </c>
      <c r="N132" s="9">
        <v>0.78448488205456213</v>
      </c>
      <c r="O132" s="9">
        <v>0.15174368096271104</v>
      </c>
      <c r="P132" s="9">
        <v>3.8187606667678073</v>
      </c>
      <c r="Q132" s="9">
        <v>0.89010040505358423</v>
      </c>
      <c r="R132" s="10">
        <v>8.2508080974061512E-4</v>
      </c>
      <c r="S132" s="8">
        <f t="shared" si="7"/>
        <v>1.5515117945437917E-2</v>
      </c>
      <c r="T132" s="8">
        <f t="shared" si="7"/>
        <v>2.8256319037288952E-2</v>
      </c>
      <c r="U132" s="8">
        <f t="shared" si="7"/>
        <v>0.15376066676780731</v>
      </c>
      <c r="V132" s="8">
        <f t="shared" si="6"/>
        <v>0.1051004050535842</v>
      </c>
    </row>
    <row r="133" spans="1:22" x14ac:dyDescent="0.35">
      <c r="A133" s="9">
        <v>0.4</v>
      </c>
      <c r="B133" s="9">
        <v>0.2</v>
      </c>
      <c r="C133" s="9">
        <v>3.665</v>
      </c>
      <c r="D133" s="9">
        <v>0.78500000000000003</v>
      </c>
      <c r="E133" s="9">
        <v>1.4</v>
      </c>
      <c r="F133" s="9">
        <v>0</v>
      </c>
      <c r="G133" s="9">
        <v>0</v>
      </c>
      <c r="N133" s="9">
        <v>0.54232359095278104</v>
      </c>
      <c r="O133" s="9">
        <v>0.12992950478640469</v>
      </c>
      <c r="P133" s="9">
        <v>3.7250217883759147</v>
      </c>
      <c r="Q133" s="9">
        <v>2.3151468497752119</v>
      </c>
      <c r="R133" s="10">
        <v>1.3731109645323281E-4</v>
      </c>
      <c r="S133" s="8">
        <f t="shared" si="7"/>
        <v>0.14232359095278102</v>
      </c>
      <c r="T133" s="8">
        <f t="shared" si="7"/>
        <v>7.0070495213595319E-2</v>
      </c>
      <c r="U133" s="8">
        <f t="shared" si="7"/>
        <v>6.0021788375914653E-2</v>
      </c>
      <c r="V133" s="8">
        <f t="shared" si="6"/>
        <v>1.5301468497752118</v>
      </c>
    </row>
    <row r="134" spans="1:22" x14ac:dyDescent="0.35">
      <c r="A134" s="9">
        <v>0.4</v>
      </c>
      <c r="B134" s="9">
        <v>0.1</v>
      </c>
      <c r="C134" s="9">
        <v>3.665</v>
      </c>
      <c r="D134" s="9">
        <v>1.571</v>
      </c>
      <c r="E134" s="9">
        <v>1.4</v>
      </c>
      <c r="F134" s="9">
        <v>0</v>
      </c>
      <c r="G134" s="9">
        <v>0</v>
      </c>
      <c r="N134" s="9">
        <v>0.13560110479407134</v>
      </c>
      <c r="O134" s="9">
        <v>0.19999996296502232</v>
      </c>
      <c r="P134" s="9">
        <v>3.2213769664659395</v>
      </c>
      <c r="Q134" s="9">
        <v>1.4982398068609646</v>
      </c>
      <c r="R134" s="10">
        <v>1.4594793917496037E-3</v>
      </c>
      <c r="S134" s="8">
        <f t="shared" si="7"/>
        <v>0.26439889520592869</v>
      </c>
      <c r="T134" s="8">
        <f t="shared" si="7"/>
        <v>9.999996296502231E-2</v>
      </c>
      <c r="U134" s="8">
        <f t="shared" si="7"/>
        <v>0.44362303353406052</v>
      </c>
      <c r="V134" s="8">
        <f t="shared" si="6"/>
        <v>7.2760193139035367E-2</v>
      </c>
    </row>
    <row r="135" spans="1:22" x14ac:dyDescent="0.35">
      <c r="A135" s="9">
        <v>0.7</v>
      </c>
      <c r="B135" s="9">
        <v>0.1</v>
      </c>
      <c r="C135" s="9">
        <v>3.665</v>
      </c>
      <c r="D135" s="9">
        <v>1.571</v>
      </c>
      <c r="E135" s="9">
        <v>1.4</v>
      </c>
      <c r="F135" s="9">
        <v>0</v>
      </c>
      <c r="G135" s="9">
        <v>0</v>
      </c>
      <c r="N135" s="9">
        <v>0.82264431079139666</v>
      </c>
      <c r="O135" s="9">
        <v>0.10900364045987963</v>
      </c>
      <c r="P135" s="9">
        <v>3.6405124580566399</v>
      </c>
      <c r="Q135" s="9">
        <v>1.9101788440031675</v>
      </c>
      <c r="R135" s="10">
        <v>4.0558335683562192E-5</v>
      </c>
      <c r="S135" s="8">
        <f t="shared" si="7"/>
        <v>0.1226443107913967</v>
      </c>
      <c r="T135" s="8">
        <f t="shared" si="7"/>
        <v>9.0036404598796277E-3</v>
      </c>
      <c r="U135" s="8">
        <f t="shared" si="7"/>
        <v>2.4487541943360114E-2</v>
      </c>
      <c r="V135" s="8">
        <f t="shared" si="6"/>
        <v>0.33917884400316756</v>
      </c>
    </row>
    <row r="136" spans="1:22" x14ac:dyDescent="0.35">
      <c r="A136" s="9">
        <v>0.4</v>
      </c>
      <c r="B136" s="9">
        <v>0.16</v>
      </c>
      <c r="C136" s="9">
        <v>3.665</v>
      </c>
      <c r="D136" s="9">
        <v>1.571</v>
      </c>
      <c r="E136" s="9">
        <v>0</v>
      </c>
      <c r="F136" s="9">
        <v>0</v>
      </c>
      <c r="G136" s="9">
        <v>0</v>
      </c>
      <c r="N136" s="9">
        <v>0.61703975007748812</v>
      </c>
      <c r="O136" s="9">
        <v>2.9047473211861741E-2</v>
      </c>
      <c r="P136" s="9">
        <v>3.816275780412878</v>
      </c>
      <c r="Q136" s="9">
        <v>1.6390734738036747</v>
      </c>
      <c r="R136" s="10">
        <v>2.8834037429135956E-4</v>
      </c>
      <c r="S136" s="8">
        <f t="shared" si="7"/>
        <v>0.2170397500774881</v>
      </c>
      <c r="T136" s="8">
        <f t="shared" si="7"/>
        <v>0.13095252678813826</v>
      </c>
      <c r="U136" s="8">
        <f t="shared" si="7"/>
        <v>0.15127578041287792</v>
      </c>
      <c r="V136" s="8">
        <f t="shared" si="6"/>
        <v>6.8073473803674789E-2</v>
      </c>
    </row>
    <row r="137" spans="1:22" x14ac:dyDescent="0.35">
      <c r="A137" s="9">
        <v>0.3</v>
      </c>
      <c r="B137" s="9">
        <v>0.18</v>
      </c>
      <c r="C137" s="9">
        <v>3.665</v>
      </c>
      <c r="D137" s="9">
        <v>1.571</v>
      </c>
      <c r="E137" s="9">
        <v>0</v>
      </c>
      <c r="F137" s="9">
        <v>0</v>
      </c>
      <c r="G137" s="9">
        <v>0</v>
      </c>
      <c r="N137" s="9">
        <v>0.32636376789666444</v>
      </c>
      <c r="O137" s="9">
        <v>0.19999098678502536</v>
      </c>
      <c r="P137" s="9">
        <v>4.2754763269669249</v>
      </c>
      <c r="Q137" s="9">
        <v>0.3622506922116408</v>
      </c>
      <c r="R137" s="10">
        <v>2.6186757590061036E-3</v>
      </c>
      <c r="S137" s="8">
        <f t="shared" si="7"/>
        <v>2.6363767896664447E-2</v>
      </c>
      <c r="T137" s="8">
        <f t="shared" si="7"/>
        <v>1.9990986785025366E-2</v>
      </c>
      <c r="U137" s="8">
        <f t="shared" si="7"/>
        <v>0.61047632696692489</v>
      </c>
      <c r="V137" s="8">
        <f t="shared" si="6"/>
        <v>1.2087493077883591</v>
      </c>
    </row>
    <row r="138" spans="1:22" x14ac:dyDescent="0.35">
      <c r="A138" s="9">
        <v>0.3</v>
      </c>
      <c r="B138" s="9">
        <v>0.08</v>
      </c>
      <c r="C138" s="9">
        <v>1.571</v>
      </c>
      <c r="D138" s="9">
        <v>0.78500000000000003</v>
      </c>
      <c r="E138" s="9">
        <v>1.4</v>
      </c>
      <c r="F138" s="9">
        <v>0</v>
      </c>
      <c r="G138" s="9">
        <v>0</v>
      </c>
      <c r="N138" s="9">
        <v>0.32295281001963583</v>
      </c>
      <c r="O138" s="9">
        <v>1.0000119295980719E-2</v>
      </c>
      <c r="P138" s="9">
        <v>1.8386859589846489</v>
      </c>
      <c r="Q138" s="9">
        <v>1.2581497913733266</v>
      </c>
      <c r="R138" s="10">
        <v>2.4579567195471294E-4</v>
      </c>
      <c r="S138" s="8">
        <f t="shared" si="7"/>
        <v>2.2952810019635839E-2</v>
      </c>
      <c r="T138" s="8">
        <f t="shared" si="7"/>
        <v>6.9999880704019288E-2</v>
      </c>
      <c r="U138" s="8">
        <f t="shared" si="7"/>
        <v>0.26768595898464898</v>
      </c>
      <c r="V138" s="8">
        <f t="shared" si="6"/>
        <v>0.47314979137332658</v>
      </c>
    </row>
    <row r="139" spans="1:22" x14ac:dyDescent="0.35">
      <c r="A139" s="9">
        <v>0.4</v>
      </c>
      <c r="B139" s="9">
        <v>0.14000000000000001</v>
      </c>
      <c r="C139" s="9">
        <v>1.571</v>
      </c>
      <c r="D139" s="9">
        <v>0.78500000000000003</v>
      </c>
      <c r="E139" s="9">
        <v>0</v>
      </c>
      <c r="F139" s="9">
        <v>0</v>
      </c>
      <c r="G139" s="9">
        <v>0</v>
      </c>
      <c r="N139" s="9">
        <v>0.70408959120251291</v>
      </c>
      <c r="O139" s="9">
        <v>2.5966092616493217E-2</v>
      </c>
      <c r="P139" s="9">
        <v>1.6018046191553585</v>
      </c>
      <c r="Q139" s="9">
        <v>1.0350210011281451</v>
      </c>
      <c r="R139" s="10">
        <v>1.6989424992692678E-4</v>
      </c>
      <c r="S139" s="8">
        <f t="shared" si="7"/>
        <v>0.30408959120251289</v>
      </c>
      <c r="T139" s="8">
        <f t="shared" si="7"/>
        <v>0.1140339073835068</v>
      </c>
      <c r="U139" s="8">
        <f t="shared" si="7"/>
        <v>3.0804619155358592E-2</v>
      </c>
      <c r="V139" s="8">
        <f t="shared" si="6"/>
        <v>0.25002100112814507</v>
      </c>
    </row>
    <row r="140" spans="1:22" x14ac:dyDescent="0.35">
      <c r="A140" s="9">
        <v>0.6</v>
      </c>
      <c r="B140" s="9">
        <v>0.16</v>
      </c>
      <c r="C140" s="9">
        <v>1.571</v>
      </c>
      <c r="D140" s="9">
        <v>0.78500000000000003</v>
      </c>
      <c r="E140" s="9">
        <v>1.4</v>
      </c>
      <c r="F140" s="9">
        <v>0</v>
      </c>
      <c r="G140" s="9">
        <v>0</v>
      </c>
      <c r="N140" s="9">
        <v>0.62196287001909256</v>
      </c>
      <c r="O140" s="9">
        <v>0.11057168025048844</v>
      </c>
      <c r="P140" s="9">
        <v>1.3164178743392669</v>
      </c>
      <c r="Q140" s="9">
        <v>1.5336678063567191</v>
      </c>
      <c r="R140" s="10">
        <v>8.653253771547302E-4</v>
      </c>
      <c r="S140" s="8">
        <f t="shared" si="7"/>
        <v>2.1962870019092584E-2</v>
      </c>
      <c r="T140" s="8">
        <f t="shared" si="7"/>
        <v>4.9428319749511562E-2</v>
      </c>
      <c r="U140" s="8">
        <f t="shared" si="7"/>
        <v>0.25458212566073302</v>
      </c>
      <c r="V140" s="8">
        <f t="shared" si="6"/>
        <v>0.74866780635671903</v>
      </c>
    </row>
    <row r="141" spans="1:22" x14ac:dyDescent="0.35">
      <c r="A141" s="9">
        <v>0.4</v>
      </c>
      <c r="B141" s="9">
        <v>0.06</v>
      </c>
      <c r="C141" s="9">
        <v>1.571</v>
      </c>
      <c r="D141" s="9">
        <v>1.571</v>
      </c>
      <c r="E141" s="9">
        <v>1.4</v>
      </c>
      <c r="F141" s="9">
        <v>0</v>
      </c>
      <c r="G141" s="9">
        <v>0</v>
      </c>
      <c r="N141" s="9">
        <v>0.30673826256854991</v>
      </c>
      <c r="O141" s="9">
        <v>8.767472877289495E-2</v>
      </c>
      <c r="P141" s="9">
        <v>1.9699034884792295</v>
      </c>
      <c r="Q141" s="9">
        <v>1.7528594585311172</v>
      </c>
      <c r="R141" s="10">
        <v>3.2739951578768191E-4</v>
      </c>
      <c r="S141" s="8">
        <f t="shared" si="7"/>
        <v>9.3261737431450109E-2</v>
      </c>
      <c r="T141" s="8">
        <f t="shared" si="7"/>
        <v>2.7674728772894952E-2</v>
      </c>
      <c r="U141" s="8">
        <f t="shared" si="7"/>
        <v>0.39890348847922952</v>
      </c>
      <c r="V141" s="8">
        <f t="shared" si="6"/>
        <v>0.18185945853111729</v>
      </c>
    </row>
    <row r="142" spans="1:22" x14ac:dyDescent="0.35">
      <c r="A142" s="9">
        <v>0.8</v>
      </c>
      <c r="B142" s="9">
        <v>0.08</v>
      </c>
      <c r="C142" s="9">
        <v>1.571</v>
      </c>
      <c r="D142" s="9">
        <v>1.571</v>
      </c>
      <c r="E142" s="9">
        <v>0</v>
      </c>
      <c r="F142" s="9">
        <v>0</v>
      </c>
      <c r="G142" s="9">
        <v>0</v>
      </c>
      <c r="N142" s="9">
        <v>0.78916257351554242</v>
      </c>
      <c r="O142" s="9">
        <v>8.9036821466540475E-2</v>
      </c>
      <c r="P142" s="9">
        <v>1.4955448739072899</v>
      </c>
      <c r="Q142" s="9">
        <v>0.99719765816096106</v>
      </c>
      <c r="R142" s="10">
        <v>8.1892924270233491E-5</v>
      </c>
      <c r="S142" s="8">
        <f t="shared" si="7"/>
        <v>1.0837426484457624E-2</v>
      </c>
      <c r="T142" s="8">
        <f t="shared" si="7"/>
        <v>9.0368214665404734E-3</v>
      </c>
      <c r="U142" s="8">
        <f t="shared" si="7"/>
        <v>7.5455126092710101E-2</v>
      </c>
      <c r="V142" s="8">
        <f t="shared" si="6"/>
        <v>0.57380234183903889</v>
      </c>
    </row>
    <row r="143" spans="1:22" x14ac:dyDescent="0.35">
      <c r="A143" s="9">
        <v>0.7</v>
      </c>
      <c r="B143" s="9">
        <v>0.16</v>
      </c>
      <c r="C143" s="9">
        <v>1.571</v>
      </c>
      <c r="D143" s="9">
        <v>1.571</v>
      </c>
      <c r="E143" s="9">
        <v>1.4</v>
      </c>
      <c r="F143" s="9">
        <v>0</v>
      </c>
      <c r="G143" s="9">
        <v>0</v>
      </c>
      <c r="N143" s="9">
        <v>0.85423436257894114</v>
      </c>
      <c r="O143" s="9">
        <v>0.11248798055334043</v>
      </c>
      <c r="P143" s="9">
        <v>1.3820639378574502</v>
      </c>
      <c r="Q143" s="9">
        <v>2.044212045997253</v>
      </c>
      <c r="R143" s="10">
        <v>5.4310642979643294E-4</v>
      </c>
      <c r="S143" s="8">
        <f t="shared" si="7"/>
        <v>0.15423436257894119</v>
      </c>
      <c r="T143" s="8">
        <f t="shared" si="7"/>
        <v>4.7512019446659573E-2</v>
      </c>
      <c r="U143" s="8">
        <f t="shared" si="7"/>
        <v>0.18893606214254977</v>
      </c>
      <c r="V143" s="8">
        <f t="shared" si="6"/>
        <v>0.47321204599725308</v>
      </c>
    </row>
    <row r="144" spans="1:22" x14ac:dyDescent="0.35">
      <c r="A144" s="9">
        <v>0.7</v>
      </c>
      <c r="B144" s="9">
        <v>0.2</v>
      </c>
      <c r="C144" s="9">
        <v>1.571</v>
      </c>
      <c r="D144" s="9">
        <v>1.571</v>
      </c>
      <c r="E144" s="9">
        <v>0</v>
      </c>
      <c r="F144" s="9">
        <v>0</v>
      </c>
      <c r="G144" s="9">
        <v>0</v>
      </c>
      <c r="N144" s="9">
        <v>0.3892585167623907</v>
      </c>
      <c r="O144" s="9">
        <v>0.19999990675649582</v>
      </c>
      <c r="P144" s="9">
        <v>1.9518549218538674</v>
      </c>
      <c r="Q144" s="9">
        <v>2.4425569574332076</v>
      </c>
      <c r="R144" s="10">
        <v>6.8696024046200977E-3</v>
      </c>
      <c r="S144" s="8">
        <f t="shared" si="7"/>
        <v>0.31074148323760925</v>
      </c>
      <c r="T144" s="8">
        <f t="shared" si="7"/>
        <v>9.3243504195594795E-8</v>
      </c>
      <c r="U144" s="8">
        <f t="shared" si="7"/>
        <v>0.38085492185386749</v>
      </c>
      <c r="V144" s="8">
        <f t="shared" si="6"/>
        <v>0.8715569574332076</v>
      </c>
    </row>
    <row r="145" spans="1:22" x14ac:dyDescent="0.35">
      <c r="A145" s="9">
        <v>0.7</v>
      </c>
      <c r="B145" s="9">
        <v>0.06</v>
      </c>
      <c r="C145" s="9">
        <v>3.665</v>
      </c>
      <c r="D145" s="9">
        <v>0.78500000000000003</v>
      </c>
      <c r="E145" s="9">
        <v>0</v>
      </c>
      <c r="F145" s="9">
        <v>0</v>
      </c>
      <c r="G145" s="9">
        <v>0</v>
      </c>
      <c r="N145" s="9">
        <v>0.87376855483863003</v>
      </c>
      <c r="O145" s="9">
        <v>2.9381923974547339E-2</v>
      </c>
      <c r="P145" s="9">
        <v>3.8347622511833519</v>
      </c>
      <c r="Q145" s="9">
        <v>0.90405121439391389</v>
      </c>
      <c r="R145" s="10">
        <v>3.2916762605988411E-4</v>
      </c>
      <c r="S145" s="8">
        <f t="shared" si="7"/>
        <v>0.17376855483863007</v>
      </c>
      <c r="T145" s="8">
        <f t="shared" si="7"/>
        <v>3.0618076025452658E-2</v>
      </c>
      <c r="U145" s="8">
        <f t="shared" si="7"/>
        <v>0.16976225118335186</v>
      </c>
      <c r="V145" s="8">
        <f t="shared" si="6"/>
        <v>0.11905121439391386</v>
      </c>
    </row>
    <row r="146" spans="1:22" x14ac:dyDescent="0.35">
      <c r="A146" s="9">
        <v>0.6</v>
      </c>
      <c r="B146" s="9">
        <v>0.1</v>
      </c>
      <c r="C146" s="9">
        <v>3.665</v>
      </c>
      <c r="D146" s="9">
        <v>0.78500000000000003</v>
      </c>
      <c r="E146" s="9">
        <v>0</v>
      </c>
      <c r="F146" s="9">
        <v>0</v>
      </c>
      <c r="G146" s="9">
        <v>0</v>
      </c>
      <c r="N146" s="9">
        <v>0.70205911276229138</v>
      </c>
      <c r="O146" s="9">
        <v>5.1535949944947111E-2</v>
      </c>
      <c r="P146" s="9">
        <v>3.462279095176076</v>
      </c>
      <c r="Q146" s="9">
        <v>1.7019569090064</v>
      </c>
      <c r="R146" s="10">
        <v>5.1216847758969578E-4</v>
      </c>
      <c r="S146" s="8">
        <f t="shared" si="7"/>
        <v>0.1020591127622914</v>
      </c>
      <c r="T146" s="8">
        <f t="shared" si="7"/>
        <v>4.8464050055052894E-2</v>
      </c>
      <c r="U146" s="8">
        <f t="shared" si="7"/>
        <v>0.20272090482392402</v>
      </c>
      <c r="V146" s="8">
        <f t="shared" si="6"/>
        <v>0.91695690900639992</v>
      </c>
    </row>
    <row r="147" spans="1:22" x14ac:dyDescent="0.35">
      <c r="A147" s="9">
        <v>0.8</v>
      </c>
      <c r="B147" s="9">
        <v>0.18</v>
      </c>
      <c r="C147" s="9">
        <v>3.665</v>
      </c>
      <c r="D147" s="9">
        <v>0.78500000000000003</v>
      </c>
      <c r="E147" s="9">
        <v>1.4</v>
      </c>
      <c r="F147" s="9">
        <v>0</v>
      </c>
      <c r="G147" s="9">
        <v>0</v>
      </c>
      <c r="N147" s="9">
        <v>0.99999999936343587</v>
      </c>
      <c r="O147" s="9">
        <v>0.18461857816315344</v>
      </c>
      <c r="P147" s="9">
        <v>3.5020946614210868</v>
      </c>
      <c r="Q147" s="9">
        <v>0.30649335196774202</v>
      </c>
      <c r="R147" s="10">
        <v>4.1878383961707073E-2</v>
      </c>
      <c r="S147" s="8">
        <f t="shared" si="7"/>
        <v>0.19999999936343582</v>
      </c>
      <c r="T147" s="8">
        <f t="shared" si="7"/>
        <v>4.6185781631534473E-3</v>
      </c>
      <c r="U147" s="8">
        <f t="shared" si="7"/>
        <v>0.16290533857891321</v>
      </c>
      <c r="V147" s="8">
        <f t="shared" si="7"/>
        <v>0.47850664803225801</v>
      </c>
    </row>
    <row r="148" spans="1:22" x14ac:dyDescent="0.35">
      <c r="A148" s="9">
        <v>0.4</v>
      </c>
      <c r="B148" s="9">
        <v>0.2</v>
      </c>
      <c r="C148" s="9">
        <v>3.665</v>
      </c>
      <c r="D148" s="9">
        <v>0.78500000000000003</v>
      </c>
      <c r="E148" s="9">
        <v>1.4</v>
      </c>
      <c r="F148" s="9">
        <v>0</v>
      </c>
      <c r="G148" s="9">
        <v>0</v>
      </c>
      <c r="N148" s="9">
        <v>0.2661323899874527</v>
      </c>
      <c r="O148" s="9">
        <v>0.19999748569739398</v>
      </c>
      <c r="P148" s="9">
        <v>4.0218991822941916</v>
      </c>
      <c r="Q148" s="9">
        <v>0.7078394466200103</v>
      </c>
      <c r="R148" s="10">
        <v>1.7838813683938794E-3</v>
      </c>
      <c r="S148" s="8">
        <f t="shared" ref="S148:V152" si="8">ABS(N148-A148)</f>
        <v>0.13386761001254732</v>
      </c>
      <c r="T148" s="8">
        <f t="shared" si="8"/>
        <v>2.5143026060325813E-6</v>
      </c>
      <c r="U148" s="8">
        <f t="shared" si="8"/>
        <v>0.3568991822941916</v>
      </c>
      <c r="V148" s="8">
        <f t="shared" si="8"/>
        <v>7.7160553379989727E-2</v>
      </c>
    </row>
    <row r="149" spans="1:22" x14ac:dyDescent="0.35">
      <c r="A149" s="9">
        <v>0.4</v>
      </c>
      <c r="B149" s="9">
        <v>0.1</v>
      </c>
      <c r="C149" s="9">
        <v>3.665</v>
      </c>
      <c r="D149" s="9">
        <v>1.571</v>
      </c>
      <c r="E149" s="9">
        <v>1.4</v>
      </c>
      <c r="F149" s="9">
        <v>0</v>
      </c>
      <c r="G149" s="9">
        <v>0</v>
      </c>
      <c r="N149" s="9">
        <v>0.56433216870707292</v>
      </c>
      <c r="O149" s="9">
        <v>3.8491179606692814E-2</v>
      </c>
      <c r="P149" s="9">
        <v>3.7031266075773481</v>
      </c>
      <c r="Q149" s="9">
        <v>1.9891970213109205</v>
      </c>
      <c r="R149" s="10">
        <v>1.9009190184408634E-5</v>
      </c>
      <c r="S149" s="8">
        <f t="shared" si="8"/>
        <v>0.1643321687070729</v>
      </c>
      <c r="T149" s="8">
        <f t="shared" si="8"/>
        <v>6.1508820393307191E-2</v>
      </c>
      <c r="U149" s="8">
        <f t="shared" si="8"/>
        <v>3.8126607577348093E-2</v>
      </c>
      <c r="V149" s="8">
        <f t="shared" si="8"/>
        <v>0.41819702131092051</v>
      </c>
    </row>
    <row r="150" spans="1:22" x14ac:dyDescent="0.35">
      <c r="A150" s="9">
        <v>0.7</v>
      </c>
      <c r="B150" s="9">
        <v>0.1</v>
      </c>
      <c r="C150" s="9">
        <v>3.665</v>
      </c>
      <c r="D150" s="9">
        <v>1.571</v>
      </c>
      <c r="E150" s="9">
        <v>1.4</v>
      </c>
      <c r="F150" s="9">
        <v>0</v>
      </c>
      <c r="G150" s="9">
        <v>0</v>
      </c>
      <c r="N150" s="9">
        <v>0.59808679680781129</v>
      </c>
      <c r="O150" s="9">
        <v>0.18096481436792092</v>
      </c>
      <c r="P150" s="9">
        <v>3.6035174747332142</v>
      </c>
      <c r="Q150" s="9">
        <v>0.9505647001279085</v>
      </c>
      <c r="R150" s="10">
        <v>3.7549831622279241E-4</v>
      </c>
      <c r="S150" s="8">
        <f t="shared" si="8"/>
        <v>0.10191320319218866</v>
      </c>
      <c r="T150" s="8">
        <f t="shared" si="8"/>
        <v>8.0964814367920912E-2</v>
      </c>
      <c r="U150" s="8">
        <f t="shared" si="8"/>
        <v>6.1482525266785881E-2</v>
      </c>
      <c r="V150" s="8">
        <f t="shared" si="8"/>
        <v>0.62043529987209145</v>
      </c>
    </row>
    <row r="151" spans="1:22" x14ac:dyDescent="0.35">
      <c r="A151" s="9">
        <v>0.4</v>
      </c>
      <c r="B151" s="9">
        <v>0.16</v>
      </c>
      <c r="C151" s="9">
        <v>3.665</v>
      </c>
      <c r="D151" s="9">
        <v>1.571</v>
      </c>
      <c r="E151" s="9">
        <v>0</v>
      </c>
      <c r="F151" s="9">
        <v>0</v>
      </c>
      <c r="G151" s="9">
        <v>0</v>
      </c>
      <c r="N151" s="9">
        <v>0.54190320780403389</v>
      </c>
      <c r="O151" s="9">
        <v>1.0000507929609879E-2</v>
      </c>
      <c r="P151" s="9">
        <v>5.9660139311665654</v>
      </c>
      <c r="Q151" s="9">
        <v>2.9420831226746387</v>
      </c>
      <c r="R151" s="10">
        <v>8.7176352171285665E-3</v>
      </c>
      <c r="S151" s="8">
        <f t="shared" si="8"/>
        <v>0.14190320780403387</v>
      </c>
      <c r="T151" s="8">
        <f t="shared" si="8"/>
        <v>0.14999949207039012</v>
      </c>
      <c r="U151" s="8">
        <f t="shared" si="8"/>
        <v>2.3010139311665654</v>
      </c>
      <c r="V151" s="8">
        <f t="shared" si="8"/>
        <v>1.3710831226746387</v>
      </c>
    </row>
    <row r="152" spans="1:22" x14ac:dyDescent="0.35">
      <c r="A152" s="9">
        <v>0.3</v>
      </c>
      <c r="B152" s="9">
        <v>0.18</v>
      </c>
      <c r="C152" s="9">
        <v>3.665</v>
      </c>
      <c r="D152" s="9">
        <v>1.571</v>
      </c>
      <c r="E152" s="9">
        <v>0</v>
      </c>
      <c r="F152" s="9">
        <v>0</v>
      </c>
      <c r="G152" s="9">
        <v>0</v>
      </c>
      <c r="N152" s="9">
        <v>0.23170369405544455</v>
      </c>
      <c r="O152" s="9">
        <v>0.17439268792758889</v>
      </c>
      <c r="P152" s="9">
        <v>3.9001906582519608</v>
      </c>
      <c r="Q152" s="9">
        <v>1.3236371248068968</v>
      </c>
      <c r="R152" s="10">
        <v>1.5493040611243807E-4</v>
      </c>
      <c r="S152" s="8">
        <f t="shared" si="8"/>
        <v>6.8296305944555435E-2</v>
      </c>
      <c r="T152" s="8">
        <f t="shared" si="8"/>
        <v>5.6073120724111081E-3</v>
      </c>
      <c r="U152" s="8">
        <f t="shared" si="8"/>
        <v>0.23519065825196073</v>
      </c>
      <c r="V152" s="8">
        <f t="shared" si="8"/>
        <v>0.24736287519310318</v>
      </c>
    </row>
    <row r="153" spans="1:22" x14ac:dyDescent="0.35">
      <c r="R153" s="5">
        <f>AVERAGE(R3:R152)</f>
        <v>1.9635253538701201E-3</v>
      </c>
    </row>
  </sheetData>
  <mergeCells count="5">
    <mergeCell ref="A1:G1"/>
    <mergeCell ref="H1:M1"/>
    <mergeCell ref="N1:R1"/>
    <mergeCell ref="S1:U1"/>
    <mergeCell ref="W1:Y1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59E4D-17AF-4ADA-BF39-06CD222541D5}">
  <dimension ref="A1:Z154"/>
  <sheetViews>
    <sheetView topLeftCell="N1" workbookViewId="0">
      <selection activeCell="X14" sqref="X14"/>
    </sheetView>
  </sheetViews>
  <sheetFormatPr defaultRowHeight="14.5" x14ac:dyDescent="0.35"/>
  <cols>
    <col min="1" max="2" width="6.1796875" bestFit="1" customWidth="1"/>
    <col min="3" max="3" width="8.81640625" bestFit="1" customWidth="1"/>
    <col min="4" max="4" width="10.81640625" bestFit="1" customWidth="1"/>
    <col min="5" max="7" width="8.453125" bestFit="1" customWidth="1"/>
    <col min="8" max="9" width="8.1796875" bestFit="1" customWidth="1"/>
    <col min="10" max="13" width="8" bestFit="1" customWidth="1"/>
    <col min="14" max="15" width="7.26953125" bestFit="1" customWidth="1"/>
    <col min="16" max="16" width="8.81640625" bestFit="1" customWidth="1"/>
    <col min="17" max="17" width="10.81640625" bestFit="1" customWidth="1"/>
    <col min="18" max="18" width="15" customWidth="1"/>
    <col min="19" max="19" width="11.1796875" bestFit="1" customWidth="1"/>
    <col min="20" max="20" width="13.453125" bestFit="1" customWidth="1"/>
    <col min="21" max="21" width="11.7265625" bestFit="1" customWidth="1"/>
    <col min="22" max="22" width="11.7265625" customWidth="1"/>
    <col min="23" max="23" width="11.1796875" bestFit="1" customWidth="1"/>
    <col min="24" max="24" width="13.54296875" bestFit="1" customWidth="1"/>
    <col min="25" max="25" width="11.7265625" bestFit="1" customWidth="1"/>
    <col min="26" max="26" width="12.54296875" customWidth="1"/>
  </cols>
  <sheetData>
    <row r="1" spans="1:26" x14ac:dyDescent="0.35">
      <c r="A1" s="30" t="s">
        <v>33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</row>
    <row r="2" spans="1:26" ht="16" x14ac:dyDescent="0.4">
      <c r="A2" s="23" t="s">
        <v>13</v>
      </c>
      <c r="B2" s="23"/>
      <c r="C2" s="23"/>
      <c r="D2" s="23"/>
      <c r="E2" s="23"/>
      <c r="F2" s="23"/>
      <c r="G2" s="23"/>
      <c r="H2" s="24" t="s">
        <v>6</v>
      </c>
      <c r="I2" s="24"/>
      <c r="J2" s="24"/>
      <c r="K2" s="24"/>
      <c r="L2" s="24"/>
      <c r="M2" s="24"/>
      <c r="N2" s="26" t="s">
        <v>9</v>
      </c>
      <c r="O2" s="26"/>
      <c r="P2" s="26"/>
      <c r="Q2" s="26"/>
      <c r="R2" s="26"/>
      <c r="S2" s="25" t="s">
        <v>15</v>
      </c>
      <c r="T2" s="25"/>
      <c r="U2" s="25"/>
      <c r="V2" s="6"/>
      <c r="W2" s="22" t="s">
        <v>30</v>
      </c>
      <c r="X2" s="22"/>
      <c r="Y2" s="22"/>
    </row>
    <row r="3" spans="1:26" ht="16" x14ac:dyDescent="0.4">
      <c r="A3" s="1" t="s">
        <v>7</v>
      </c>
      <c r="B3" s="1" t="s">
        <v>8</v>
      </c>
      <c r="C3" s="1" t="s">
        <v>25</v>
      </c>
      <c r="D3" s="1" t="s">
        <v>26</v>
      </c>
      <c r="E3" s="1" t="s">
        <v>10</v>
      </c>
      <c r="F3" s="1" t="s">
        <v>11</v>
      </c>
      <c r="G3" s="1" t="s">
        <v>12</v>
      </c>
      <c r="H3" s="1" t="s">
        <v>3</v>
      </c>
      <c r="I3" s="1" t="s">
        <v>4</v>
      </c>
      <c r="J3" s="1" t="s">
        <v>5</v>
      </c>
      <c r="K3" s="1" t="s">
        <v>0</v>
      </c>
      <c r="L3" s="1" t="s">
        <v>1</v>
      </c>
      <c r="M3" s="1" t="s">
        <v>2</v>
      </c>
      <c r="N3" s="1" t="s">
        <v>7</v>
      </c>
      <c r="O3" s="1" t="s">
        <v>8</v>
      </c>
      <c r="P3" s="1" t="s">
        <v>25</v>
      </c>
      <c r="Q3" s="1" t="s">
        <v>26</v>
      </c>
      <c r="R3" s="1" t="s">
        <v>27</v>
      </c>
      <c r="S3" s="1" t="s">
        <v>28</v>
      </c>
      <c r="T3" s="1" t="s">
        <v>29</v>
      </c>
      <c r="U3" s="4" t="s">
        <v>31</v>
      </c>
      <c r="V3" s="4" t="s">
        <v>32</v>
      </c>
      <c r="W3" s="1" t="s">
        <v>28</v>
      </c>
      <c r="X3" s="1" t="s">
        <v>29</v>
      </c>
      <c r="Y3" s="4" t="s">
        <v>31</v>
      </c>
      <c r="Z3" s="4" t="s">
        <v>32</v>
      </c>
    </row>
    <row r="4" spans="1:26" x14ac:dyDescent="0.35">
      <c r="A4" s="9">
        <v>0.3</v>
      </c>
      <c r="B4" s="9">
        <v>0.08</v>
      </c>
      <c r="C4" s="9">
        <v>1.571</v>
      </c>
      <c r="D4" s="9">
        <v>0.78500000000000003</v>
      </c>
      <c r="E4" s="9">
        <v>1.4</v>
      </c>
      <c r="F4" s="9">
        <v>0</v>
      </c>
      <c r="G4" s="9">
        <v>0</v>
      </c>
      <c r="H4" s="9">
        <f>'Proximal Validation (single)'!H3</f>
        <v>8.3457410801202102E-4</v>
      </c>
      <c r="I4" s="9">
        <f>'Proximal Validation (single)'!I3</f>
        <v>-3.4524299204349497E-2</v>
      </c>
      <c r="J4" s="9">
        <f>'Proximal Validation (single)'!J3</f>
        <v>-1.46811630111188E-3</v>
      </c>
      <c r="K4" s="9">
        <f>'Proximal Validation (single)'!K3</f>
        <v>0.179403036832809</v>
      </c>
      <c r="L4" s="9">
        <f>'Proximal Validation (single)'!L3</f>
        <v>-7.5630694627761797E-3</v>
      </c>
      <c r="M4" s="9">
        <f>'Proximal Validation (single)'!M3</f>
        <v>0.203822165727615</v>
      </c>
      <c r="N4" s="9">
        <v>0.20726437826124444</v>
      </c>
      <c r="O4" s="9">
        <v>9.5151742992938437E-2</v>
      </c>
      <c r="P4" s="9">
        <v>1.6296573401133192</v>
      </c>
      <c r="Q4" s="9">
        <v>1.2581022982922636</v>
      </c>
      <c r="R4" s="10">
        <v>8.4182328136929607E-6</v>
      </c>
      <c r="S4" s="8">
        <f>ABS(N4-A4)</f>
        <v>9.2735621738755547E-2</v>
      </c>
      <c r="T4" s="8">
        <f t="shared" ref="T4:V19" si="0">ABS(O4-B4)</f>
        <v>1.5151742992938436E-2</v>
      </c>
      <c r="U4" s="8">
        <f t="shared" si="0"/>
        <v>5.8657340113319245E-2</v>
      </c>
      <c r="V4" s="8">
        <f t="shared" si="0"/>
        <v>0.47310229829226358</v>
      </c>
      <c r="W4" s="9">
        <f>AVERAGE(S4:S78)</f>
        <v>6.6726958395736988E-2</v>
      </c>
      <c r="X4" s="9">
        <f t="shared" ref="X4:Z4" si="1">AVERAGE(T4:T78)</f>
        <v>1.01683222350818E-2</v>
      </c>
      <c r="Y4" s="9">
        <f t="shared" si="1"/>
        <v>3.8242731539975067E-2</v>
      </c>
      <c r="Z4" s="9">
        <f t="shared" si="1"/>
        <v>0.25614209108120423</v>
      </c>
    </row>
    <row r="5" spans="1:26" x14ac:dyDescent="0.35">
      <c r="A5" s="9">
        <v>0.4</v>
      </c>
      <c r="B5" s="9">
        <v>0.14000000000000001</v>
      </c>
      <c r="C5" s="9">
        <v>1.571</v>
      </c>
      <c r="D5" s="9">
        <v>0.78500000000000003</v>
      </c>
      <c r="E5" s="9">
        <v>0</v>
      </c>
      <c r="F5" s="9">
        <v>0</v>
      </c>
      <c r="G5" s="9">
        <v>0</v>
      </c>
      <c r="H5" s="9">
        <f>'Proximal Validation (single)'!H4</f>
        <v>-8.0810196232050701E-4</v>
      </c>
      <c r="I5" s="9">
        <f>'Proximal Validation (single)'!I4</f>
        <v>-6.6743046045303303E-2</v>
      </c>
      <c r="J5" s="9">
        <f>'Proximal Validation (single)'!J4</f>
        <v>4.4342974433675398E-4</v>
      </c>
      <c r="K5" s="9">
        <f>'Proximal Validation (single)'!K4</f>
        <v>0.21195751428604101</v>
      </c>
      <c r="L5" s="9">
        <f>'Proximal Validation (single)'!L4</f>
        <v>1.1818818747997299E-3</v>
      </c>
      <c r="M5" s="9">
        <f>'Proximal Validation (single)'!M4</f>
        <v>0.30656093358993503</v>
      </c>
      <c r="N5" s="9">
        <v>0.41426969730565816</v>
      </c>
      <c r="O5" s="9">
        <v>0.13613909492619869</v>
      </c>
      <c r="P5" s="9">
        <v>1.5676871264630547</v>
      </c>
      <c r="Q5" s="9">
        <v>0.61173879191114711</v>
      </c>
      <c r="R5" s="10">
        <v>1.0187499573453222E-5</v>
      </c>
      <c r="S5" s="8">
        <f t="shared" ref="S5:V20" si="2">ABS(N5-A5)</f>
        <v>1.4269697305658136E-2</v>
      </c>
      <c r="T5" s="8">
        <f t="shared" si="0"/>
        <v>3.860905073801324E-3</v>
      </c>
      <c r="U5" s="8">
        <f t="shared" si="0"/>
        <v>3.3128735369452045E-3</v>
      </c>
      <c r="V5" s="8">
        <f t="shared" si="0"/>
        <v>0.17326120808885292</v>
      </c>
    </row>
    <row r="6" spans="1:26" x14ac:dyDescent="0.35">
      <c r="A6" s="9">
        <v>0.6</v>
      </c>
      <c r="B6" s="9">
        <v>0.16</v>
      </c>
      <c r="C6" s="9">
        <v>1.571</v>
      </c>
      <c r="D6" s="9">
        <v>0.78500000000000003</v>
      </c>
      <c r="E6" s="9">
        <v>1.4</v>
      </c>
      <c r="F6" s="9">
        <v>0</v>
      </c>
      <c r="G6" s="9">
        <v>0</v>
      </c>
      <c r="H6" s="9">
        <f>'Proximal Validation (single)'!H5</f>
        <v>7.8557301312684995E-3</v>
      </c>
      <c r="I6" s="9">
        <f>'Proximal Validation (single)'!I5</f>
        <v>-0.127810284495354</v>
      </c>
      <c r="J6" s="9">
        <f>'Proximal Validation (single)'!J5</f>
        <v>-1.16112818941474E-2</v>
      </c>
      <c r="K6" s="9">
        <f>'Proximal Validation (single)'!K5</f>
        <v>2.8561159968376201E-2</v>
      </c>
      <c r="L6" s="9">
        <f>'Proximal Validation (single)'!L5</f>
        <v>-4.7612398862838697E-2</v>
      </c>
      <c r="M6" s="9">
        <f>'Proximal Validation (single)'!M5</f>
        <v>0.55316102504730202</v>
      </c>
      <c r="N6" s="9">
        <v>0.60573851799123191</v>
      </c>
      <c r="O6" s="9">
        <v>0.16277538658860016</v>
      </c>
      <c r="P6" s="9">
        <v>1.8088200927235258</v>
      </c>
      <c r="Q6" s="9">
        <v>0.59918926908297943</v>
      </c>
      <c r="R6" s="10">
        <v>4.300434087342026E-5</v>
      </c>
      <c r="S6" s="8">
        <f t="shared" si="2"/>
        <v>5.7385179912319284E-3</v>
      </c>
      <c r="T6" s="8">
        <f t="shared" si="0"/>
        <v>2.7753865886001594E-3</v>
      </c>
      <c r="U6" s="8">
        <f t="shared" si="0"/>
        <v>0.23782009272352589</v>
      </c>
      <c r="V6" s="8">
        <f t="shared" si="0"/>
        <v>0.18581073091702061</v>
      </c>
    </row>
    <row r="7" spans="1:26" x14ac:dyDescent="0.35">
      <c r="A7" s="9">
        <v>0.4</v>
      </c>
      <c r="B7" s="9">
        <v>0.06</v>
      </c>
      <c r="C7" s="9">
        <v>1.571</v>
      </c>
      <c r="D7" s="9">
        <v>1.571</v>
      </c>
      <c r="E7" s="9">
        <v>1.4</v>
      </c>
      <c r="F7" s="9">
        <v>0</v>
      </c>
      <c r="G7" s="9">
        <v>0</v>
      </c>
      <c r="H7" s="9">
        <f>'Proximal Validation (single)'!H6</f>
        <v>1.1252735275775201E-3</v>
      </c>
      <c r="I7" s="9">
        <f>'Proximal Validation (single)'!I6</f>
        <v>-5.59809319674969E-2</v>
      </c>
      <c r="J7" s="9">
        <f>'Proximal Validation (single)'!J6</f>
        <v>-7.4938102625310399E-4</v>
      </c>
      <c r="K7" s="9">
        <f>'Proximal Validation (single)'!K6</f>
        <v>-3.5423979163169902E-2</v>
      </c>
      <c r="L7" s="9">
        <f>'Proximal Validation (single)'!L6</f>
        <v>-1.04948431253433E-2</v>
      </c>
      <c r="M7" s="9">
        <f>'Proximal Validation (single)'!M6</f>
        <v>0.35301661491393999</v>
      </c>
      <c r="N7" s="9">
        <v>0.35917630555254476</v>
      </c>
      <c r="O7" s="9">
        <v>7.0239886897421985E-2</v>
      </c>
      <c r="P7" s="9">
        <v>1.5948321542810937</v>
      </c>
      <c r="Q7" s="9">
        <v>1.6324841468760658</v>
      </c>
      <c r="R7" s="10">
        <v>1.4501007217142379E-5</v>
      </c>
      <c r="S7" s="8">
        <f t="shared" si="2"/>
        <v>4.0823694447455261E-2</v>
      </c>
      <c r="T7" s="8">
        <f t="shared" si="0"/>
        <v>1.0239886897421988E-2</v>
      </c>
      <c r="U7" s="8">
        <f t="shared" si="0"/>
        <v>2.3832154281093754E-2</v>
      </c>
      <c r="V7" s="8">
        <f t="shared" si="0"/>
        <v>6.1484146876065848E-2</v>
      </c>
      <c r="W7" s="12"/>
      <c r="X7" s="12"/>
      <c r="Y7" s="12"/>
      <c r="Z7" s="12"/>
    </row>
    <row r="8" spans="1:26" x14ac:dyDescent="0.35">
      <c r="A8" s="9">
        <v>0.8</v>
      </c>
      <c r="B8" s="9">
        <v>0.08</v>
      </c>
      <c r="C8" s="9">
        <v>1.571</v>
      </c>
      <c r="D8" s="9">
        <v>1.571</v>
      </c>
      <c r="E8" s="9">
        <v>0</v>
      </c>
      <c r="F8" s="9">
        <v>0</v>
      </c>
      <c r="G8" s="9">
        <v>0</v>
      </c>
      <c r="H8" s="9">
        <f>'Proximal Validation (single)'!H7</f>
        <v>-5.5839424021542105E-4</v>
      </c>
      <c r="I8" s="9">
        <f>'Proximal Validation (single)'!I7</f>
        <v>-0.11975701153278399</v>
      </c>
      <c r="J8" s="9">
        <f>'Proximal Validation (single)'!J7</f>
        <v>-9.9074037279933691E-4</v>
      </c>
      <c r="K8" s="9">
        <f>'Proximal Validation (single)'!K7</f>
        <v>-0.19020733237266499</v>
      </c>
      <c r="L8" s="9">
        <f>'Proximal Validation (single)'!L7</f>
        <v>-2.60122120380402E-3</v>
      </c>
      <c r="M8" s="9">
        <f>'Proximal Validation (single)'!M7</f>
        <v>0.66739636659622203</v>
      </c>
      <c r="N8" s="9">
        <v>0.67067244808065341</v>
      </c>
      <c r="O8" s="9">
        <v>8.9096402717008985E-2</v>
      </c>
      <c r="P8" s="9">
        <v>1.5755312148788847</v>
      </c>
      <c r="Q8" s="9">
        <v>1.4135752124560512</v>
      </c>
      <c r="R8" s="10">
        <v>1.0351311344520018E-5</v>
      </c>
      <c r="S8" s="8">
        <f t="shared" si="2"/>
        <v>0.12932755191934664</v>
      </c>
      <c r="T8" s="8">
        <f t="shared" si="0"/>
        <v>9.0964027170089834E-3</v>
      </c>
      <c r="U8" s="8">
        <f t="shared" si="0"/>
        <v>4.5312148788847484E-3</v>
      </c>
      <c r="V8" s="8">
        <f t="shared" si="0"/>
        <v>0.15742478754394873</v>
      </c>
      <c r="W8" s="12"/>
      <c r="X8" s="12"/>
      <c r="Y8" s="12"/>
      <c r="Z8" s="12"/>
    </row>
    <row r="9" spans="1:26" x14ac:dyDescent="0.35">
      <c r="A9" s="9">
        <v>0.7</v>
      </c>
      <c r="B9" s="9">
        <v>0.16</v>
      </c>
      <c r="C9" s="9">
        <v>1.571</v>
      </c>
      <c r="D9" s="9">
        <v>1.571</v>
      </c>
      <c r="E9" s="9">
        <v>1.4</v>
      </c>
      <c r="F9" s="9">
        <v>0</v>
      </c>
      <c r="G9" s="9">
        <v>0</v>
      </c>
      <c r="H9" s="9">
        <f>'Proximal Validation (single)'!H8</f>
        <v>1.04370433837175E-2</v>
      </c>
      <c r="I9" s="9">
        <f>'Proximal Validation (single)'!I8</f>
        <v>-0.129757210612297</v>
      </c>
      <c r="J9" s="9">
        <f>'Proximal Validation (single)'!J8</f>
        <v>-7.3771281167864799E-3</v>
      </c>
      <c r="K9" s="9">
        <f>'Proximal Validation (single)'!K8</f>
        <v>-0.55726921558380105</v>
      </c>
      <c r="L9" s="9">
        <f>'Proximal Validation (single)'!L8</f>
        <v>-6.0898363590240499E-2</v>
      </c>
      <c r="M9" s="9">
        <f>'Proximal Validation (single)'!M8</f>
        <v>0.32599642872810403</v>
      </c>
      <c r="N9" s="9">
        <v>0.71877108101842613</v>
      </c>
      <c r="O9" s="9">
        <v>0.17035782489624576</v>
      </c>
      <c r="P9" s="9">
        <v>1.6045486041899779</v>
      </c>
      <c r="Q9" s="9">
        <v>1.6143948285775593</v>
      </c>
      <c r="R9" s="10">
        <v>1.5524009161244845E-6</v>
      </c>
      <c r="S9" s="8">
        <f t="shared" si="2"/>
        <v>1.8771081018426172E-2</v>
      </c>
      <c r="T9" s="8">
        <f t="shared" si="0"/>
        <v>1.035782489624576E-2</v>
      </c>
      <c r="U9" s="8">
        <f t="shared" si="0"/>
        <v>3.354860418997796E-2</v>
      </c>
      <c r="V9" s="8">
        <f t="shared" si="0"/>
        <v>4.3394828577559386E-2</v>
      </c>
    </row>
    <row r="10" spans="1:26" x14ac:dyDescent="0.35">
      <c r="A10" s="9">
        <v>0.7</v>
      </c>
      <c r="B10" s="9">
        <v>0.2</v>
      </c>
      <c r="C10" s="9">
        <v>1.571</v>
      </c>
      <c r="D10" s="9">
        <v>1.571</v>
      </c>
      <c r="E10" s="9">
        <v>0</v>
      </c>
      <c r="F10" s="9">
        <v>0</v>
      </c>
      <c r="G10" s="9">
        <v>0</v>
      </c>
      <c r="H10" s="9">
        <f>'Proximal Validation (single)'!H9</f>
        <v>-5.38935419172049E-4</v>
      </c>
      <c r="I10" s="9">
        <f>'Proximal Validation (single)'!I9</f>
        <v>-0.118809439241886</v>
      </c>
      <c r="J10" s="9">
        <f>'Proximal Validation (single)'!J9</f>
        <v>3.4749228507280402E-3</v>
      </c>
      <c r="K10" s="9">
        <f>'Proximal Validation (single)'!K9</f>
        <v>-0.621493339538574</v>
      </c>
      <c r="L10" s="9">
        <f>'Proximal Validation (single)'!L9</f>
        <v>1.56053192913532E-2</v>
      </c>
      <c r="M10" s="9">
        <f>'Proximal Validation (single)'!M9</f>
        <v>0.10576334595680199</v>
      </c>
      <c r="N10" s="9">
        <v>0.88087512898833431</v>
      </c>
      <c r="O10" s="9">
        <v>0.17613820075348643</v>
      </c>
      <c r="P10" s="9">
        <v>1.4921491929859088</v>
      </c>
      <c r="Q10" s="9">
        <v>1.8876784518729908</v>
      </c>
      <c r="R10" s="10">
        <v>9.435671430583974E-5</v>
      </c>
      <c r="S10" s="8">
        <f t="shared" si="2"/>
        <v>0.18087512898833435</v>
      </c>
      <c r="T10" s="8">
        <f t="shared" si="0"/>
        <v>2.3861799246513576E-2</v>
      </c>
      <c r="U10" s="8">
        <f t="shared" si="0"/>
        <v>7.8850807014091195E-2</v>
      </c>
      <c r="V10" s="8">
        <f t="shared" si="0"/>
        <v>0.31667845187299082</v>
      </c>
    </row>
    <row r="11" spans="1:26" x14ac:dyDescent="0.35">
      <c r="A11" s="9">
        <v>0.7</v>
      </c>
      <c r="B11" s="9">
        <v>0.06</v>
      </c>
      <c r="C11" s="9">
        <v>3.665</v>
      </c>
      <c r="D11" s="9">
        <v>0.78500000000000003</v>
      </c>
      <c r="E11" s="9">
        <v>0</v>
      </c>
      <c r="F11" s="9">
        <v>0</v>
      </c>
      <c r="G11" s="9">
        <v>0</v>
      </c>
      <c r="H11" s="9">
        <f>'Proximal Validation (single)'!H10</f>
        <v>-7.8150304034352303E-4</v>
      </c>
      <c r="I11" s="9">
        <f>'Proximal Validation (single)'!I10</f>
        <v>4.4897478073835401E-2</v>
      </c>
      <c r="J11" s="9">
        <f>'Proximal Validation (single)'!J10</f>
        <v>-8.2051888108253507E-2</v>
      </c>
      <c r="K11" s="9">
        <f>'Proximal Validation (single)'!K10</f>
        <v>0.48326423764228799</v>
      </c>
      <c r="L11" s="9">
        <f>'Proximal Validation (single)'!L10</f>
        <v>-0.55701375007629395</v>
      </c>
      <c r="M11" s="9">
        <f>'Proximal Validation (single)'!M10</f>
        <v>-0.30146327614784202</v>
      </c>
      <c r="N11" s="9">
        <v>0.80722437862178897</v>
      </c>
      <c r="O11" s="9">
        <v>5.5443582129610439E-2</v>
      </c>
      <c r="P11" s="9">
        <v>3.6387800923561184</v>
      </c>
      <c r="Q11" s="9">
        <v>0.81310512076601393</v>
      </c>
      <c r="R11" s="10">
        <v>2.4908726423659614E-5</v>
      </c>
      <c r="S11" s="8">
        <f t="shared" si="2"/>
        <v>0.10722437862178902</v>
      </c>
      <c r="T11" s="8">
        <f t="shared" si="0"/>
        <v>4.5564178703895591E-3</v>
      </c>
      <c r="U11" s="8">
        <f t="shared" si="0"/>
        <v>2.6219907643881601E-2</v>
      </c>
      <c r="V11" s="8">
        <f t="shared" si="0"/>
        <v>2.8105120766013902E-2</v>
      </c>
    </row>
    <row r="12" spans="1:26" x14ac:dyDescent="0.35">
      <c r="A12" s="9">
        <v>0.6</v>
      </c>
      <c r="B12" s="9">
        <v>0.1</v>
      </c>
      <c r="C12" s="9">
        <v>3.665</v>
      </c>
      <c r="D12" s="9">
        <v>0.78500000000000003</v>
      </c>
      <c r="E12" s="9">
        <v>0</v>
      </c>
      <c r="F12" s="9">
        <v>0</v>
      </c>
      <c r="G12" s="9">
        <v>0</v>
      </c>
      <c r="H12" s="9">
        <f>'Proximal Validation (single)'!H11</f>
        <v>-4.8895599320530902E-4</v>
      </c>
      <c r="I12" s="9">
        <f>'Proximal Validation (single)'!I11</f>
        <v>4.6247739344835302E-2</v>
      </c>
      <c r="J12" s="9">
        <f>'Proximal Validation (single)'!J11</f>
        <v>-8.3231396973133101E-2</v>
      </c>
      <c r="K12" s="9">
        <f>'Proximal Validation (single)'!K11</f>
        <v>0.33926415443420399</v>
      </c>
      <c r="L12" s="9">
        <f>'Proximal Validation (single)'!L11</f>
        <v>-0.45690825581550598</v>
      </c>
      <c r="M12" s="9">
        <f>'Proximal Validation (single)'!M11</f>
        <v>-0.25065129995346103</v>
      </c>
      <c r="N12" s="9">
        <v>0.57598167105713538</v>
      </c>
      <c r="O12" s="9">
        <v>0.10940152556488676</v>
      </c>
      <c r="P12" s="9">
        <v>3.6421583644776088</v>
      </c>
      <c r="Q12" s="9">
        <v>0.8657628097311203</v>
      </c>
      <c r="R12" s="10">
        <v>1.3153007331002866E-5</v>
      </c>
      <c r="S12" s="8">
        <f t="shared" si="2"/>
        <v>2.4018328942864597E-2</v>
      </c>
      <c r="T12" s="8">
        <f t="shared" si="0"/>
        <v>9.4015255648867563E-3</v>
      </c>
      <c r="U12" s="8">
        <f t="shared" si="0"/>
        <v>2.2841635522391268E-2</v>
      </c>
      <c r="V12" s="8">
        <f t="shared" si="0"/>
        <v>8.0762809731120266E-2</v>
      </c>
    </row>
    <row r="13" spans="1:26" x14ac:dyDescent="0.35">
      <c r="A13" s="9">
        <v>0.8</v>
      </c>
      <c r="B13" s="9">
        <v>0.18</v>
      </c>
      <c r="C13" s="9">
        <v>3.665</v>
      </c>
      <c r="D13" s="9">
        <v>0.78500000000000003</v>
      </c>
      <c r="E13" s="9">
        <v>1.4</v>
      </c>
      <c r="F13" s="9">
        <v>0</v>
      </c>
      <c r="G13" s="9">
        <v>0</v>
      </c>
      <c r="H13" s="9">
        <f>'Proximal Validation (single)'!H12</f>
        <v>1.7005717381834999E-3</v>
      </c>
      <c r="I13" s="9">
        <f>'Proximal Validation (single)'!I12</f>
        <v>8.4788650274276706E-2</v>
      </c>
      <c r="J13" s="9">
        <f>'Proximal Validation (single)'!J12</f>
        <v>-0.143600359559059</v>
      </c>
      <c r="K13" s="9">
        <f>'Proximal Validation (single)'!K12</f>
        <v>0.28701612353324901</v>
      </c>
      <c r="L13" s="9">
        <f>'Proximal Validation (single)'!L12</f>
        <v>-0.64443814754486095</v>
      </c>
      <c r="M13" s="9">
        <f>'Proximal Validation (single)'!M12</f>
        <v>-0.37070235610008201</v>
      </c>
      <c r="N13" s="9">
        <v>0.84284430825157042</v>
      </c>
      <c r="O13" s="9">
        <v>0.18496889810730904</v>
      </c>
      <c r="P13" s="9">
        <v>3.6648834087534787</v>
      </c>
      <c r="Q13" s="9">
        <v>0.519987823861641</v>
      </c>
      <c r="R13" s="10">
        <v>5.8334292309928095E-5</v>
      </c>
      <c r="S13" s="8">
        <f t="shared" si="2"/>
        <v>4.2844308251570373E-2</v>
      </c>
      <c r="T13" s="8">
        <f t="shared" si="0"/>
        <v>4.9688981073090499E-3</v>
      </c>
      <c r="U13" s="8">
        <f t="shared" si="0"/>
        <v>1.1659124652130259E-4</v>
      </c>
      <c r="V13" s="8">
        <f t="shared" si="0"/>
        <v>0.26501217613835903</v>
      </c>
    </row>
    <row r="14" spans="1:26" x14ac:dyDescent="0.35">
      <c r="A14" s="9">
        <v>0.4</v>
      </c>
      <c r="B14" s="9">
        <v>0.2</v>
      </c>
      <c r="C14" s="9">
        <v>3.665</v>
      </c>
      <c r="D14" s="9">
        <v>0.78500000000000003</v>
      </c>
      <c r="E14" s="9">
        <v>1.4</v>
      </c>
      <c r="F14" s="9">
        <v>0</v>
      </c>
      <c r="G14" s="9">
        <v>0</v>
      </c>
      <c r="H14" s="9">
        <f>'Proximal Validation (single)'!H13</f>
        <v>1.0739560239017001E-3</v>
      </c>
      <c r="I14" s="9">
        <f>'Proximal Validation (single)'!I13</f>
        <v>4.1172292083501802E-2</v>
      </c>
      <c r="J14" s="9">
        <f>'Proximal Validation (single)'!J13</f>
        <v>-6.7707680165767697E-2</v>
      </c>
      <c r="K14" s="9">
        <f>'Proximal Validation (single)'!K13</f>
        <v>0.187965422868729</v>
      </c>
      <c r="L14" s="9">
        <f>'Proximal Validation (single)'!L13</f>
        <v>-0.244067072868347</v>
      </c>
      <c r="M14" s="9">
        <f>'Proximal Validation (single)'!M13</f>
        <v>-0.14198835194110901</v>
      </c>
      <c r="N14" s="9">
        <v>0.34365240907319372</v>
      </c>
      <c r="O14" s="9">
        <v>0.19998753444760201</v>
      </c>
      <c r="P14" s="9">
        <v>3.6686242105547269</v>
      </c>
      <c r="Q14" s="9">
        <v>0.74514633203878078</v>
      </c>
      <c r="R14" s="10">
        <v>6.3371155467570865E-5</v>
      </c>
      <c r="S14" s="8">
        <f t="shared" si="2"/>
        <v>5.6347590926806301E-2</v>
      </c>
      <c r="T14" s="8">
        <f t="shared" si="0"/>
        <v>1.2465552398005508E-5</v>
      </c>
      <c r="U14" s="8">
        <f t="shared" si="0"/>
        <v>3.6242105547268366E-3</v>
      </c>
      <c r="V14" s="8">
        <f t="shared" si="0"/>
        <v>3.9853667961219252E-2</v>
      </c>
    </row>
    <row r="15" spans="1:26" x14ac:dyDescent="0.35">
      <c r="A15" s="9">
        <v>0.4</v>
      </c>
      <c r="B15" s="9">
        <v>0.1</v>
      </c>
      <c r="C15" s="9">
        <v>3.665</v>
      </c>
      <c r="D15" s="9">
        <v>1.571</v>
      </c>
      <c r="E15" s="9">
        <v>1.4</v>
      </c>
      <c r="F15" s="9">
        <v>0</v>
      </c>
      <c r="G15" s="9">
        <v>0</v>
      </c>
      <c r="H15" s="9">
        <f>'Proximal Validation (single)'!H14</f>
        <v>-4.8927497118711504E-4</v>
      </c>
      <c r="I15" s="9">
        <f>'Proximal Validation (single)'!I14</f>
        <v>3.26927192509174E-2</v>
      </c>
      <c r="J15" s="9">
        <f>'Proximal Validation (single)'!J14</f>
        <v>-5.8575917035341298E-2</v>
      </c>
      <c r="K15" s="9">
        <f>'Proximal Validation (single)'!K14</f>
        <v>-1.28835095092654E-2</v>
      </c>
      <c r="L15" s="9">
        <f>'Proximal Validation (single)'!L14</f>
        <v>-0.29204529523849498</v>
      </c>
      <c r="M15" s="9">
        <f>'Proximal Validation (single)'!M14</f>
        <v>-0.16083618998527499</v>
      </c>
      <c r="N15" s="9">
        <v>0.47592643195650947</v>
      </c>
      <c r="O15" s="9">
        <v>9.5229834316865936E-2</v>
      </c>
      <c r="P15" s="9">
        <v>3.6412700062846657</v>
      </c>
      <c r="Q15" s="9">
        <v>2.3144831369641916</v>
      </c>
      <c r="R15" s="10">
        <v>6.6594643922874296E-6</v>
      </c>
      <c r="S15" s="8">
        <f t="shared" si="2"/>
        <v>7.5926431956509444E-2</v>
      </c>
      <c r="T15" s="8">
        <f t="shared" si="0"/>
        <v>4.77016568313407E-3</v>
      </c>
      <c r="U15" s="8">
        <f t="shared" si="0"/>
        <v>2.3729993715334352E-2</v>
      </c>
      <c r="V15" s="8">
        <f t="shared" si="0"/>
        <v>0.74348313696419166</v>
      </c>
    </row>
    <row r="16" spans="1:26" x14ac:dyDescent="0.35">
      <c r="A16" s="9">
        <v>0.7</v>
      </c>
      <c r="B16" s="9">
        <v>0.1</v>
      </c>
      <c r="C16" s="9">
        <v>3.665</v>
      </c>
      <c r="D16" s="9">
        <v>1.571</v>
      </c>
      <c r="E16" s="9">
        <v>1.4</v>
      </c>
      <c r="F16" s="9">
        <v>0</v>
      </c>
      <c r="G16" s="9">
        <v>0</v>
      </c>
      <c r="H16" s="9">
        <f>'Proximal Validation (single)'!H15</f>
        <v>-1.61128584295511E-4</v>
      </c>
      <c r="I16" s="9">
        <f>'Proximal Validation (single)'!I15</f>
        <v>6.6224433481693296E-2</v>
      </c>
      <c r="J16" s="9">
        <f>'Proximal Validation (single)'!J15</f>
        <v>-0.118051804602146</v>
      </c>
      <c r="K16" s="9">
        <f>'Proximal Validation (single)'!K15</f>
        <v>-0.18827667832374601</v>
      </c>
      <c r="L16" s="9">
        <f>'Proximal Validation (single)'!L15</f>
        <v>-0.57758575677871704</v>
      </c>
      <c r="M16" s="9">
        <f>'Proximal Validation (single)'!M15</f>
        <v>-0.318100035190582</v>
      </c>
      <c r="N16" s="9">
        <v>0.67299654762153716</v>
      </c>
      <c r="O16" s="9">
        <v>0.11134582814512756</v>
      </c>
      <c r="P16" s="9">
        <v>3.6472338928530958</v>
      </c>
      <c r="Q16" s="9">
        <v>1.4865896547709063</v>
      </c>
      <c r="R16" s="10">
        <v>5.317764330493477E-5</v>
      </c>
      <c r="S16" s="8">
        <f t="shared" si="2"/>
        <v>2.70034523784628E-2</v>
      </c>
      <c r="T16" s="8">
        <f t="shared" si="0"/>
        <v>1.1345828145127551E-2</v>
      </c>
      <c r="U16" s="8">
        <f t="shared" si="0"/>
        <v>1.7766107146904186E-2</v>
      </c>
      <c r="V16" s="8">
        <f t="shared" si="0"/>
        <v>8.4410345229093631E-2</v>
      </c>
    </row>
    <row r="17" spans="1:22" x14ac:dyDescent="0.35">
      <c r="A17" s="9">
        <v>0.4</v>
      </c>
      <c r="B17" s="9">
        <v>0.16</v>
      </c>
      <c r="C17" s="9">
        <v>3.665</v>
      </c>
      <c r="D17" s="9">
        <v>1.571</v>
      </c>
      <c r="E17" s="9">
        <v>0</v>
      </c>
      <c r="F17" s="9">
        <v>0</v>
      </c>
      <c r="G17" s="9">
        <v>0</v>
      </c>
      <c r="H17" s="9">
        <f>'Proximal Validation (single)'!H16</f>
        <v>3.27638350427151E-4</v>
      </c>
      <c r="I17" s="9">
        <f>'Proximal Validation (single)'!I16</f>
        <v>4.1303895413875601E-2</v>
      </c>
      <c r="J17" s="9">
        <f>'Proximal Validation (single)'!J16</f>
        <v>-7.1706265211105305E-2</v>
      </c>
      <c r="K17" s="9">
        <f>'Proximal Validation (single)'!K16</f>
        <v>-0.16764184832572901</v>
      </c>
      <c r="L17" s="9">
        <f>'Proximal Validation (single)'!L16</f>
        <v>-0.24127176403999301</v>
      </c>
      <c r="M17" s="9">
        <f>'Proximal Validation (single)'!M16</f>
        <v>-0.13795974850654599</v>
      </c>
      <c r="N17" s="9">
        <v>0.43155767270511797</v>
      </c>
      <c r="O17" s="9">
        <v>0.15809478518706899</v>
      </c>
      <c r="P17" s="9">
        <v>3.6605703833242913</v>
      </c>
      <c r="Q17" s="9">
        <v>1.9783150354438792</v>
      </c>
      <c r="R17" s="10">
        <v>1.2872555032661621E-6</v>
      </c>
      <c r="S17" s="8">
        <f t="shared" si="2"/>
        <v>3.1557672705117945E-2</v>
      </c>
      <c r="T17" s="8">
        <f t="shared" si="0"/>
        <v>1.9052148129310165E-3</v>
      </c>
      <c r="U17" s="8">
        <f t="shared" si="0"/>
        <v>4.4296166757087363E-3</v>
      </c>
      <c r="V17" s="8">
        <f t="shared" si="0"/>
        <v>0.40731503544387926</v>
      </c>
    </row>
    <row r="18" spans="1:22" x14ac:dyDescent="0.35">
      <c r="A18" s="9">
        <v>0.3</v>
      </c>
      <c r="B18" s="9">
        <v>0.18</v>
      </c>
      <c r="C18" s="9">
        <v>3.665</v>
      </c>
      <c r="D18" s="9">
        <v>1.571</v>
      </c>
      <c r="E18" s="9">
        <v>0</v>
      </c>
      <c r="F18" s="9">
        <v>0</v>
      </c>
      <c r="G18" s="9">
        <v>0</v>
      </c>
      <c r="H18" s="9">
        <f>'Proximal Validation (single)'!H17</f>
        <v>3.5051628947258001E-4</v>
      </c>
      <c r="I18" s="9">
        <f>'Proximal Validation (single)'!I17</f>
        <v>3.2155215740203899E-2</v>
      </c>
      <c r="J18" s="9">
        <f>'Proximal Validation (single)'!J17</f>
        <v>-5.4656162858009297E-2</v>
      </c>
      <c r="K18" s="9">
        <f>'Proximal Validation (single)'!K17</f>
        <v>-0.106987468898296</v>
      </c>
      <c r="L18" s="9">
        <f>'Proximal Validation (single)'!L17</f>
        <v>-0.16471621394157401</v>
      </c>
      <c r="M18" s="9">
        <f>'Proximal Validation (single)'!M17</f>
        <v>-9.7047880291938796E-2</v>
      </c>
      <c r="N18" s="9">
        <v>0.24242482517913982</v>
      </c>
      <c r="O18" s="9">
        <v>0.19215592907912341</v>
      </c>
      <c r="P18" s="9">
        <v>3.6714315665173678</v>
      </c>
      <c r="Q18" s="9">
        <v>1.812856447646662</v>
      </c>
      <c r="R18" s="10">
        <v>3.0618842125094062E-6</v>
      </c>
      <c r="S18" s="8">
        <f t="shared" si="2"/>
        <v>5.7575174820860164E-2</v>
      </c>
      <c r="T18" s="8">
        <f t="shared" si="0"/>
        <v>1.2155929079123412E-2</v>
      </c>
      <c r="U18" s="8">
        <f t="shared" si="0"/>
        <v>6.4315665173677594E-3</v>
      </c>
      <c r="V18" s="8">
        <f t="shared" si="0"/>
        <v>0.24185644764666203</v>
      </c>
    </row>
    <row r="19" spans="1:22" x14ac:dyDescent="0.35">
      <c r="A19" s="9">
        <v>0.3</v>
      </c>
      <c r="B19" s="9">
        <v>0.08</v>
      </c>
      <c r="C19" s="9">
        <v>1.571</v>
      </c>
      <c r="D19" s="9">
        <v>0.78500000000000003</v>
      </c>
      <c r="E19" s="9">
        <v>1.4</v>
      </c>
      <c r="F19" s="9">
        <v>0</v>
      </c>
      <c r="G19" s="9">
        <v>0</v>
      </c>
      <c r="N19" s="9">
        <v>0.41651868056173541</v>
      </c>
      <c r="O19" s="9">
        <v>7.5495969063847673E-2</v>
      </c>
      <c r="P19" s="9">
        <v>1.7550450040062096</v>
      </c>
      <c r="Q19" s="9">
        <v>0.43105223187902997</v>
      </c>
      <c r="R19" s="10">
        <v>7.1747349519765794E-6</v>
      </c>
      <c r="S19" s="8">
        <f t="shared" si="2"/>
        <v>0.11651868056173542</v>
      </c>
      <c r="T19" s="8">
        <f t="shared" si="0"/>
        <v>4.5040309361523284E-3</v>
      </c>
      <c r="U19" s="8">
        <f t="shared" si="0"/>
        <v>0.1840450040062096</v>
      </c>
      <c r="V19" s="8">
        <f t="shared" si="0"/>
        <v>0.35394776812097006</v>
      </c>
    </row>
    <row r="20" spans="1:22" x14ac:dyDescent="0.35">
      <c r="A20" s="9">
        <v>0.4</v>
      </c>
      <c r="B20" s="9">
        <v>0.14000000000000001</v>
      </c>
      <c r="C20" s="9">
        <v>1.571</v>
      </c>
      <c r="D20" s="9">
        <v>0.78500000000000003</v>
      </c>
      <c r="E20" s="9">
        <v>0</v>
      </c>
      <c r="F20" s="9">
        <v>0</v>
      </c>
      <c r="G20" s="9">
        <v>0</v>
      </c>
      <c r="N20" s="9">
        <v>0.30659382456957335</v>
      </c>
      <c r="O20" s="9">
        <v>0.12545496873829204</v>
      </c>
      <c r="P20" s="9">
        <v>1.5655850545004524</v>
      </c>
      <c r="Q20" s="9">
        <v>1.3446567483546767</v>
      </c>
      <c r="R20" s="10">
        <v>4.7532196177349713E-6</v>
      </c>
      <c r="S20" s="8">
        <f t="shared" si="2"/>
        <v>9.3406175430426674E-2</v>
      </c>
      <c r="T20" s="8">
        <f t="shared" si="2"/>
        <v>1.4545031261707975E-2</v>
      </c>
      <c r="U20" s="8">
        <f t="shared" si="2"/>
        <v>5.4149454995475743E-3</v>
      </c>
      <c r="V20" s="8">
        <f t="shared" si="2"/>
        <v>0.55965674835467671</v>
      </c>
    </row>
    <row r="21" spans="1:22" x14ac:dyDescent="0.35">
      <c r="A21" s="9">
        <v>0.6</v>
      </c>
      <c r="B21" s="9">
        <v>0.16</v>
      </c>
      <c r="C21" s="9">
        <v>1.571</v>
      </c>
      <c r="D21" s="9">
        <v>0.78500000000000003</v>
      </c>
      <c r="E21" s="9">
        <v>1.4</v>
      </c>
      <c r="F21" s="9">
        <v>0</v>
      </c>
      <c r="G21" s="9">
        <v>0</v>
      </c>
      <c r="N21" s="9">
        <v>0.55842500662600092</v>
      </c>
      <c r="O21" s="9">
        <v>0.17749169564141229</v>
      </c>
      <c r="P21" s="9">
        <v>1.7728843572635329</v>
      </c>
      <c r="Q21" s="9">
        <v>0.74182988447590359</v>
      </c>
      <c r="R21" s="10">
        <v>8.0398769295463603E-6</v>
      </c>
      <c r="S21" s="8">
        <f t="shared" ref="S21:V84" si="3">ABS(N21-A21)</f>
        <v>4.1574993373999058E-2</v>
      </c>
      <c r="T21" s="8">
        <f t="shared" si="3"/>
        <v>1.7491695641412286E-2</v>
      </c>
      <c r="U21" s="8">
        <f t="shared" si="3"/>
        <v>0.20188435726353293</v>
      </c>
      <c r="V21" s="8">
        <f t="shared" si="3"/>
        <v>4.3170115524096442E-2</v>
      </c>
    </row>
    <row r="22" spans="1:22" x14ac:dyDescent="0.35">
      <c r="A22" s="9">
        <v>0.4</v>
      </c>
      <c r="B22" s="9">
        <v>0.06</v>
      </c>
      <c r="C22" s="9">
        <v>1.571</v>
      </c>
      <c r="D22" s="9">
        <v>1.571</v>
      </c>
      <c r="E22" s="9">
        <v>1.4</v>
      </c>
      <c r="F22" s="9">
        <v>0</v>
      </c>
      <c r="G22" s="9">
        <v>0</v>
      </c>
      <c r="N22" s="9">
        <v>0.36875743470246303</v>
      </c>
      <c r="O22" s="9">
        <v>7.2413341303475112E-2</v>
      </c>
      <c r="P22" s="9">
        <v>1.6239719348416641</v>
      </c>
      <c r="Q22" s="9">
        <v>1.1562194043064804</v>
      </c>
      <c r="R22" s="10">
        <v>5.2801322315834062E-5</v>
      </c>
      <c r="S22" s="8">
        <f t="shared" si="3"/>
        <v>3.1242565297536995E-2</v>
      </c>
      <c r="T22" s="8">
        <f t="shared" si="3"/>
        <v>1.2413341303475114E-2</v>
      </c>
      <c r="U22" s="8">
        <f t="shared" si="3"/>
        <v>5.2971934841664181E-2</v>
      </c>
      <c r="V22" s="8">
        <f t="shared" si="3"/>
        <v>0.41478059569351955</v>
      </c>
    </row>
    <row r="23" spans="1:22" x14ac:dyDescent="0.35">
      <c r="A23" s="9">
        <v>0.8</v>
      </c>
      <c r="B23" s="9">
        <v>0.08</v>
      </c>
      <c r="C23" s="9">
        <v>1.571</v>
      </c>
      <c r="D23" s="9">
        <v>1.571</v>
      </c>
      <c r="E23" s="9">
        <v>0</v>
      </c>
      <c r="F23" s="9">
        <v>0</v>
      </c>
      <c r="G23" s="9">
        <v>0</v>
      </c>
      <c r="N23" s="9">
        <v>0.71517165207416999</v>
      </c>
      <c r="O23" s="9">
        <v>8.046926392381179E-2</v>
      </c>
      <c r="P23" s="9">
        <v>1.5748641525936362</v>
      </c>
      <c r="Q23" s="9">
        <v>1.7197807494447583</v>
      </c>
      <c r="R23" s="10">
        <v>8.546770984563879E-7</v>
      </c>
      <c r="S23" s="8">
        <f t="shared" si="3"/>
        <v>8.482834792583005E-2</v>
      </c>
      <c r="T23" s="8">
        <f t="shared" si="3"/>
        <v>4.692639238117885E-4</v>
      </c>
      <c r="U23" s="8">
        <f t="shared" si="3"/>
        <v>3.8641525936362608E-3</v>
      </c>
      <c r="V23" s="8">
        <f t="shared" si="3"/>
        <v>0.14878074944475839</v>
      </c>
    </row>
    <row r="24" spans="1:22" x14ac:dyDescent="0.35">
      <c r="A24" s="9">
        <v>0.7</v>
      </c>
      <c r="B24" s="9">
        <v>0.16</v>
      </c>
      <c r="C24" s="9">
        <v>1.571</v>
      </c>
      <c r="D24" s="9">
        <v>1.571</v>
      </c>
      <c r="E24" s="9">
        <v>1.4</v>
      </c>
      <c r="F24" s="9">
        <v>0</v>
      </c>
      <c r="G24" s="9">
        <v>0</v>
      </c>
      <c r="N24" s="9">
        <v>0.4577228159549307</v>
      </c>
      <c r="O24" s="9">
        <v>0.19991835141143596</v>
      </c>
      <c r="P24" s="9">
        <v>1.7026717739892689</v>
      </c>
      <c r="Q24" s="9">
        <v>1.3785096760542153</v>
      </c>
      <c r="R24" s="10">
        <v>5.7098329870043044E-4</v>
      </c>
      <c r="S24" s="8">
        <f t="shared" si="3"/>
        <v>0.24227718404506926</v>
      </c>
      <c r="T24" s="8">
        <f t="shared" si="3"/>
        <v>3.9918351411435959E-2</v>
      </c>
      <c r="U24" s="8">
        <f t="shared" si="3"/>
        <v>0.13167177398926899</v>
      </c>
      <c r="V24" s="8">
        <f t="shared" si="3"/>
        <v>0.19249032394578469</v>
      </c>
    </row>
    <row r="25" spans="1:22" x14ac:dyDescent="0.35">
      <c r="A25" s="9">
        <v>0.7</v>
      </c>
      <c r="B25" s="9">
        <v>0.2</v>
      </c>
      <c r="C25" s="9">
        <v>1.571</v>
      </c>
      <c r="D25" s="9">
        <v>1.571</v>
      </c>
      <c r="E25" s="9">
        <v>0</v>
      </c>
      <c r="F25" s="9">
        <v>0</v>
      </c>
      <c r="G25" s="9">
        <v>0</v>
      </c>
      <c r="N25" s="9">
        <v>0.65311818765664365</v>
      </c>
      <c r="O25" s="9">
        <v>0.19999715103155041</v>
      </c>
      <c r="P25" s="9">
        <v>1.4696421770744033</v>
      </c>
      <c r="Q25" s="9">
        <v>1.9245041896009341</v>
      </c>
      <c r="R25" s="10">
        <v>3.6148210595044367E-4</v>
      </c>
      <c r="S25" s="8">
        <f t="shared" si="3"/>
        <v>4.6881812343356311E-2</v>
      </c>
      <c r="T25" s="8">
        <f t="shared" si="3"/>
        <v>2.8489684495980327E-6</v>
      </c>
      <c r="U25" s="8">
        <f t="shared" si="3"/>
        <v>0.1013578229255967</v>
      </c>
      <c r="V25" s="8">
        <f t="shared" si="3"/>
        <v>0.3535041896009341</v>
      </c>
    </row>
    <row r="26" spans="1:22" x14ac:dyDescent="0.35">
      <c r="A26" s="9">
        <v>0.7</v>
      </c>
      <c r="B26" s="9">
        <v>0.06</v>
      </c>
      <c r="C26" s="9">
        <v>3.665</v>
      </c>
      <c r="D26" s="9">
        <v>0.78500000000000003</v>
      </c>
      <c r="E26" s="9">
        <v>0</v>
      </c>
      <c r="F26" s="9">
        <v>0</v>
      </c>
      <c r="G26" s="9">
        <v>0</v>
      </c>
      <c r="N26" s="9">
        <v>0.72761915597925808</v>
      </c>
      <c r="O26" s="9">
        <v>6.8733365981093419E-2</v>
      </c>
      <c r="P26" s="9">
        <v>3.6377668479680692</v>
      </c>
      <c r="Q26" s="9">
        <v>0.92185062494597636</v>
      </c>
      <c r="R26" s="10">
        <v>7.8778127034948773E-7</v>
      </c>
      <c r="S26" s="8">
        <f t="shared" si="3"/>
        <v>2.7619155979258125E-2</v>
      </c>
      <c r="T26" s="8">
        <f t="shared" si="3"/>
        <v>8.7333659810934217E-3</v>
      </c>
      <c r="U26" s="8">
        <f t="shared" si="3"/>
        <v>2.7233152031930885E-2</v>
      </c>
      <c r="V26" s="8">
        <f t="shared" si="3"/>
        <v>0.13685062494597633</v>
      </c>
    </row>
    <row r="27" spans="1:22" x14ac:dyDescent="0.35">
      <c r="A27" s="9">
        <v>0.6</v>
      </c>
      <c r="B27" s="9">
        <v>0.1</v>
      </c>
      <c r="C27" s="9">
        <v>3.665</v>
      </c>
      <c r="D27" s="9">
        <v>0.78500000000000003</v>
      </c>
      <c r="E27" s="9">
        <v>0</v>
      </c>
      <c r="F27" s="9">
        <v>0</v>
      </c>
      <c r="G27" s="9">
        <v>0</v>
      </c>
      <c r="N27" s="9">
        <v>0.66877753034436449</v>
      </c>
      <c r="O27" s="9">
        <v>9.8025164549069274E-2</v>
      </c>
      <c r="P27" s="9">
        <v>3.6430611373895649</v>
      </c>
      <c r="Q27" s="9">
        <v>0.68858006130696647</v>
      </c>
      <c r="R27" s="10">
        <v>5.3414992723820978E-6</v>
      </c>
      <c r="S27" s="8">
        <f t="shared" si="3"/>
        <v>6.8777530344364513E-2</v>
      </c>
      <c r="T27" s="8">
        <f t="shared" si="3"/>
        <v>1.9748354509307314E-3</v>
      </c>
      <c r="U27" s="8">
        <f t="shared" si="3"/>
        <v>2.1938862610435095E-2</v>
      </c>
      <c r="V27" s="8">
        <f t="shared" si="3"/>
        <v>9.6419938693033558E-2</v>
      </c>
    </row>
    <row r="28" spans="1:22" x14ac:dyDescent="0.35">
      <c r="A28" s="9">
        <v>0.8</v>
      </c>
      <c r="B28" s="9">
        <v>0.18</v>
      </c>
      <c r="C28" s="9">
        <v>3.665</v>
      </c>
      <c r="D28" s="9">
        <v>0.78500000000000003</v>
      </c>
      <c r="E28" s="9">
        <v>1.4</v>
      </c>
      <c r="F28" s="9">
        <v>0</v>
      </c>
      <c r="G28" s="9">
        <v>0</v>
      </c>
      <c r="N28" s="9">
        <v>0.77884814989896922</v>
      </c>
      <c r="O28" s="9">
        <v>0.17320775390876905</v>
      </c>
      <c r="P28" s="9">
        <v>3.6643805677695203</v>
      </c>
      <c r="Q28" s="9">
        <v>0.6860927148993331</v>
      </c>
      <c r="R28" s="10">
        <v>1.1721207656759411E-5</v>
      </c>
      <c r="S28" s="8">
        <f t="shared" si="3"/>
        <v>2.1151850101030822E-2</v>
      </c>
      <c r="T28" s="8">
        <f t="shared" si="3"/>
        <v>6.7922460912309413E-3</v>
      </c>
      <c r="U28" s="8">
        <f t="shared" si="3"/>
        <v>6.1943223047977725E-4</v>
      </c>
      <c r="V28" s="8">
        <f t="shared" si="3"/>
        <v>9.8907285100666931E-2</v>
      </c>
    </row>
    <row r="29" spans="1:22" x14ac:dyDescent="0.35">
      <c r="A29" s="9">
        <v>0.4</v>
      </c>
      <c r="B29" s="9">
        <v>0.2</v>
      </c>
      <c r="C29" s="9">
        <v>3.665</v>
      </c>
      <c r="D29" s="9">
        <v>0.78500000000000003</v>
      </c>
      <c r="E29" s="9">
        <v>1.4</v>
      </c>
      <c r="F29" s="9">
        <v>0</v>
      </c>
      <c r="G29" s="9">
        <v>0</v>
      </c>
      <c r="N29" s="9">
        <v>0.44763103835574525</v>
      </c>
      <c r="O29" s="9">
        <v>0.19051293850881182</v>
      </c>
      <c r="P29" s="9">
        <v>3.6678808531481537</v>
      </c>
      <c r="Q29" s="9">
        <v>0.50869656970387622</v>
      </c>
      <c r="R29" s="10">
        <v>2.783876337256278E-5</v>
      </c>
      <c r="S29" s="8">
        <f t="shared" si="3"/>
        <v>4.7631038355745225E-2</v>
      </c>
      <c r="T29" s="8">
        <f t="shared" si="3"/>
        <v>9.4870614911881923E-3</v>
      </c>
      <c r="U29" s="8">
        <f t="shared" si="3"/>
        <v>2.8808531481536725E-3</v>
      </c>
      <c r="V29" s="8">
        <f t="shared" si="3"/>
        <v>0.27630343029612381</v>
      </c>
    </row>
    <row r="30" spans="1:22" x14ac:dyDescent="0.35">
      <c r="A30" s="9">
        <v>0.4</v>
      </c>
      <c r="B30" s="9">
        <v>0.1</v>
      </c>
      <c r="C30" s="9">
        <v>3.665</v>
      </c>
      <c r="D30" s="9">
        <v>1.571</v>
      </c>
      <c r="E30" s="9">
        <v>1.4</v>
      </c>
      <c r="F30" s="9">
        <v>0</v>
      </c>
      <c r="G30" s="9">
        <v>0</v>
      </c>
      <c r="N30" s="9">
        <v>0.33450423707257659</v>
      </c>
      <c r="O30" s="9">
        <v>0.11953840813879768</v>
      </c>
      <c r="P30" s="9">
        <v>3.6442609700617594</v>
      </c>
      <c r="Q30" s="9">
        <v>1.3902466369110091</v>
      </c>
      <c r="R30" s="10">
        <v>4.244070504578534E-6</v>
      </c>
      <c r="S30" s="8">
        <f t="shared" si="3"/>
        <v>6.5495762927423429E-2</v>
      </c>
      <c r="T30" s="8">
        <f t="shared" si="3"/>
        <v>1.9538408138797675E-2</v>
      </c>
      <c r="U30" s="8">
        <f t="shared" si="3"/>
        <v>2.0739029938240616E-2</v>
      </c>
      <c r="V30" s="8">
        <f t="shared" si="3"/>
        <v>0.18075336308899081</v>
      </c>
    </row>
    <row r="31" spans="1:22" x14ac:dyDescent="0.35">
      <c r="A31" s="9">
        <v>0.7</v>
      </c>
      <c r="B31" s="9">
        <v>0.1</v>
      </c>
      <c r="C31" s="9">
        <v>3.665</v>
      </c>
      <c r="D31" s="9">
        <v>1.571</v>
      </c>
      <c r="E31" s="9">
        <v>1.4</v>
      </c>
      <c r="F31" s="9">
        <v>0</v>
      </c>
      <c r="G31" s="9">
        <v>0</v>
      </c>
      <c r="N31" s="9">
        <v>0.75921712331490288</v>
      </c>
      <c r="O31" s="9">
        <v>0.1064523577688777</v>
      </c>
      <c r="P31" s="9">
        <v>3.6457442346145519</v>
      </c>
      <c r="Q31" s="9">
        <v>1.8000595901244667</v>
      </c>
      <c r="R31" s="10">
        <v>2.2891754532754983E-5</v>
      </c>
      <c r="S31" s="8">
        <f t="shared" si="3"/>
        <v>5.921712331490292E-2</v>
      </c>
      <c r="T31" s="8">
        <f t="shared" si="3"/>
        <v>6.4523577688776895E-3</v>
      </c>
      <c r="U31" s="8">
        <f t="shared" si="3"/>
        <v>1.9255765385448154E-2</v>
      </c>
      <c r="V31" s="8">
        <f t="shared" si="3"/>
        <v>0.22905959012446675</v>
      </c>
    </row>
    <row r="32" spans="1:22" x14ac:dyDescent="0.35">
      <c r="A32" s="9">
        <v>0.4</v>
      </c>
      <c r="B32" s="9">
        <v>0.16</v>
      </c>
      <c r="C32" s="9">
        <v>3.665</v>
      </c>
      <c r="D32" s="9">
        <v>1.571</v>
      </c>
      <c r="E32" s="9">
        <v>0</v>
      </c>
      <c r="F32" s="9">
        <v>0</v>
      </c>
      <c r="G32" s="9">
        <v>0</v>
      </c>
      <c r="N32" s="9">
        <v>0.2880769834402509</v>
      </c>
      <c r="O32" s="9">
        <v>0.18561675565931784</v>
      </c>
      <c r="P32" s="9">
        <v>3.6543423742991279</v>
      </c>
      <c r="Q32" s="9">
        <v>1.3565677764168567</v>
      </c>
      <c r="R32" s="10">
        <v>4.997262241004063E-5</v>
      </c>
      <c r="S32" s="8">
        <f t="shared" si="3"/>
        <v>0.11192301655974912</v>
      </c>
      <c r="T32" s="8">
        <f t="shared" si="3"/>
        <v>2.5616755659317841E-2</v>
      </c>
      <c r="U32" s="8">
        <f t="shared" si="3"/>
        <v>1.0657625700872142E-2</v>
      </c>
      <c r="V32" s="8">
        <f t="shared" si="3"/>
        <v>0.21443222358314329</v>
      </c>
    </row>
    <row r="33" spans="1:22" x14ac:dyDescent="0.35">
      <c r="A33" s="9">
        <v>0.3</v>
      </c>
      <c r="B33" s="9">
        <v>0.18</v>
      </c>
      <c r="C33" s="9">
        <v>3.665</v>
      </c>
      <c r="D33" s="9">
        <v>1.571</v>
      </c>
      <c r="E33" s="9">
        <v>0</v>
      </c>
      <c r="F33" s="9">
        <v>0</v>
      </c>
      <c r="G33" s="9">
        <v>0</v>
      </c>
      <c r="N33" s="9">
        <v>0.29006872344745593</v>
      </c>
      <c r="O33" s="9">
        <v>0.19996365944200334</v>
      </c>
      <c r="P33" s="9">
        <v>3.6695478721374988</v>
      </c>
      <c r="Q33" s="9">
        <v>1.9165500644329718</v>
      </c>
      <c r="R33" s="10">
        <v>1.4410799305987057E-5</v>
      </c>
      <c r="S33" s="8">
        <f t="shared" si="3"/>
        <v>9.9312765525440549E-3</v>
      </c>
      <c r="T33" s="8">
        <f t="shared" si="3"/>
        <v>1.9963659442003345E-2</v>
      </c>
      <c r="U33" s="8">
        <f t="shared" si="3"/>
        <v>4.547872137498743E-3</v>
      </c>
      <c r="V33" s="8">
        <f t="shared" si="3"/>
        <v>0.34555006443297187</v>
      </c>
    </row>
    <row r="34" spans="1:22" x14ac:dyDescent="0.35">
      <c r="A34" s="9">
        <v>0.3</v>
      </c>
      <c r="B34" s="9">
        <v>0.08</v>
      </c>
      <c r="C34" s="9">
        <v>1.571</v>
      </c>
      <c r="D34" s="9">
        <v>0.78500000000000003</v>
      </c>
      <c r="E34" s="9">
        <v>1.4</v>
      </c>
      <c r="F34" s="9">
        <v>0</v>
      </c>
      <c r="G34" s="9">
        <v>0</v>
      </c>
      <c r="N34" s="9">
        <v>0.26674392520350065</v>
      </c>
      <c r="O34" s="9">
        <v>7.0741549681516566E-2</v>
      </c>
      <c r="P34" s="9">
        <v>1.6694501602252358</v>
      </c>
      <c r="Q34" s="9">
        <v>0.79038085979277672</v>
      </c>
      <c r="R34" s="10">
        <v>6.3190037965210326E-6</v>
      </c>
      <c r="S34" s="8">
        <f t="shared" si="3"/>
        <v>3.3256074796499335E-2</v>
      </c>
      <c r="T34" s="8">
        <f t="shared" si="3"/>
        <v>9.2584503184834355E-3</v>
      </c>
      <c r="U34" s="8">
        <f t="shared" si="3"/>
        <v>9.8450160225235894E-2</v>
      </c>
      <c r="V34" s="8">
        <f t="shared" si="3"/>
        <v>5.3808597927766932E-3</v>
      </c>
    </row>
    <row r="35" spans="1:22" x14ac:dyDescent="0.35">
      <c r="A35" s="9">
        <v>0.4</v>
      </c>
      <c r="B35" s="9">
        <v>0.14000000000000001</v>
      </c>
      <c r="C35" s="9">
        <v>1.571</v>
      </c>
      <c r="D35" s="9">
        <v>0.78500000000000003</v>
      </c>
      <c r="E35" s="9">
        <v>0</v>
      </c>
      <c r="F35" s="9">
        <v>0</v>
      </c>
      <c r="G35" s="9">
        <v>0</v>
      </c>
      <c r="N35" s="9">
        <v>0.60396595795535102</v>
      </c>
      <c r="O35" s="9">
        <v>0.16766537280301838</v>
      </c>
      <c r="P35" s="9">
        <v>1.5679308417553033</v>
      </c>
      <c r="Q35" s="9">
        <v>0.27359028800095953</v>
      </c>
      <c r="R35" s="10">
        <v>4.5974614211600957E-5</v>
      </c>
      <c r="S35" s="8">
        <f t="shared" si="3"/>
        <v>0.203965957955351</v>
      </c>
      <c r="T35" s="8">
        <f t="shared" si="3"/>
        <v>2.7665372803018368E-2</v>
      </c>
      <c r="U35" s="8">
        <f t="shared" si="3"/>
        <v>3.0691582446966681E-3</v>
      </c>
      <c r="V35" s="8">
        <f t="shared" si="3"/>
        <v>0.51140971199904051</v>
      </c>
    </row>
    <row r="36" spans="1:22" x14ac:dyDescent="0.35">
      <c r="A36" s="9">
        <v>0.6</v>
      </c>
      <c r="B36" s="9">
        <v>0.16</v>
      </c>
      <c r="C36" s="9">
        <v>1.571</v>
      </c>
      <c r="D36" s="9">
        <v>0.78500000000000003</v>
      </c>
      <c r="E36" s="9">
        <v>1.4</v>
      </c>
      <c r="F36" s="9">
        <v>0</v>
      </c>
      <c r="G36" s="9">
        <v>0</v>
      </c>
      <c r="N36" s="9">
        <v>0.60091925941054725</v>
      </c>
      <c r="O36" s="9">
        <v>0.13473913755054925</v>
      </c>
      <c r="P36" s="9">
        <v>1.6532272363499401</v>
      </c>
      <c r="Q36" s="9">
        <v>1.3740721482209435</v>
      </c>
      <c r="R36" s="10">
        <v>7.5985197160817956E-6</v>
      </c>
      <c r="S36" s="8">
        <f t="shared" si="3"/>
        <v>9.1925941054726845E-4</v>
      </c>
      <c r="T36" s="8">
        <f t="shared" si="3"/>
        <v>2.5260862449450749E-2</v>
      </c>
      <c r="U36" s="8">
        <f t="shared" si="3"/>
        <v>8.2227236349940114E-2</v>
      </c>
      <c r="V36" s="8">
        <f t="shared" si="3"/>
        <v>0.58907214822094345</v>
      </c>
    </row>
    <row r="37" spans="1:22" x14ac:dyDescent="0.35">
      <c r="A37" s="9">
        <v>0.4</v>
      </c>
      <c r="B37" s="9">
        <v>0.06</v>
      </c>
      <c r="C37" s="9">
        <v>1.571</v>
      </c>
      <c r="D37" s="9">
        <v>1.571</v>
      </c>
      <c r="E37" s="9">
        <v>1.4</v>
      </c>
      <c r="F37" s="9">
        <v>0</v>
      </c>
      <c r="G37" s="9">
        <v>0</v>
      </c>
      <c r="N37" s="9">
        <v>0.35370465741616963</v>
      </c>
      <c r="O37" s="9">
        <v>6.0849706646359976E-2</v>
      </c>
      <c r="P37" s="9">
        <v>1.6008718285093129</v>
      </c>
      <c r="Q37" s="9">
        <v>1.5310544020721775</v>
      </c>
      <c r="R37" s="10">
        <v>4.875696365389107E-7</v>
      </c>
      <c r="S37" s="8">
        <f t="shared" si="3"/>
        <v>4.629534258383039E-2</v>
      </c>
      <c r="T37" s="8">
        <f t="shared" si="3"/>
        <v>8.4970664635997811E-4</v>
      </c>
      <c r="U37" s="8">
        <f t="shared" si="3"/>
        <v>2.9871828509312914E-2</v>
      </c>
      <c r="V37" s="8">
        <f t="shared" si="3"/>
        <v>3.9945597927822485E-2</v>
      </c>
    </row>
    <row r="38" spans="1:22" x14ac:dyDescent="0.35">
      <c r="A38" s="9">
        <v>0.8</v>
      </c>
      <c r="B38" s="9">
        <v>0.08</v>
      </c>
      <c r="C38" s="9">
        <v>1.571</v>
      </c>
      <c r="D38" s="9">
        <v>1.571</v>
      </c>
      <c r="E38" s="9">
        <v>0</v>
      </c>
      <c r="F38" s="9">
        <v>0</v>
      </c>
      <c r="G38" s="9">
        <v>0</v>
      </c>
      <c r="N38" s="9">
        <v>0.67085246518094843</v>
      </c>
      <c r="O38" s="9">
        <v>8.8675553959979572E-2</v>
      </c>
      <c r="P38" s="9">
        <v>1.5746469695837189</v>
      </c>
      <c r="Q38" s="9">
        <v>1.4185044684584798</v>
      </c>
      <c r="R38" s="10">
        <v>3.4318203615942648E-7</v>
      </c>
      <c r="S38" s="8">
        <f t="shared" si="3"/>
        <v>0.12914753481905161</v>
      </c>
      <c r="T38" s="8">
        <f t="shared" si="3"/>
        <v>8.6755539599795706E-3</v>
      </c>
      <c r="U38" s="8">
        <f t="shared" si="3"/>
        <v>3.6469695837189064E-3</v>
      </c>
      <c r="V38" s="8">
        <f t="shared" si="3"/>
        <v>0.15249553154152018</v>
      </c>
    </row>
    <row r="39" spans="1:22" x14ac:dyDescent="0.35">
      <c r="A39" s="9">
        <v>0.7</v>
      </c>
      <c r="B39" s="9">
        <v>0.16</v>
      </c>
      <c r="C39" s="9">
        <v>1.571</v>
      </c>
      <c r="D39" s="9">
        <v>1.571</v>
      </c>
      <c r="E39" s="9">
        <v>1.4</v>
      </c>
      <c r="F39" s="9">
        <v>0</v>
      </c>
      <c r="G39" s="9">
        <v>0</v>
      </c>
      <c r="N39" s="9">
        <v>0.72024524006818058</v>
      </c>
      <c r="O39" s="9">
        <v>0.16872108614028344</v>
      </c>
      <c r="P39" s="9">
        <v>1.6083339868507849</v>
      </c>
      <c r="Q39" s="9">
        <v>1.6370352906882677</v>
      </c>
      <c r="R39" s="10">
        <v>2.1442113679543191E-5</v>
      </c>
      <c r="S39" s="8">
        <f t="shared" si="3"/>
        <v>2.0245240068180625E-2</v>
      </c>
      <c r="T39" s="8">
        <f t="shared" si="3"/>
        <v>8.7210861402834405E-3</v>
      </c>
      <c r="U39" s="8">
        <f t="shared" si="3"/>
        <v>3.7333986850784928E-2</v>
      </c>
      <c r="V39" s="8">
        <f t="shared" si="3"/>
        <v>6.6035290688267745E-2</v>
      </c>
    </row>
    <row r="40" spans="1:22" x14ac:dyDescent="0.35">
      <c r="A40" s="9">
        <v>0.7</v>
      </c>
      <c r="B40" s="9">
        <v>0.2</v>
      </c>
      <c r="C40" s="9">
        <v>1.571</v>
      </c>
      <c r="D40" s="9">
        <v>1.571</v>
      </c>
      <c r="E40" s="9">
        <v>0</v>
      </c>
      <c r="F40" s="9">
        <v>0</v>
      </c>
      <c r="G40" s="9">
        <v>0</v>
      </c>
      <c r="N40" s="9">
        <v>0.43866797344854913</v>
      </c>
      <c r="O40" s="9">
        <v>0.19999877107250527</v>
      </c>
      <c r="P40" s="9">
        <v>1.4724274429401243</v>
      </c>
      <c r="Q40" s="9">
        <v>2.2723284852218706</v>
      </c>
      <c r="R40" s="10">
        <v>2.9820834992476939E-3</v>
      </c>
      <c r="S40" s="8">
        <f t="shared" si="3"/>
        <v>0.26133202655145082</v>
      </c>
      <c r="T40" s="8">
        <f t="shared" si="3"/>
        <v>1.2289274947396844E-6</v>
      </c>
      <c r="U40" s="8">
        <f t="shared" si="3"/>
        <v>9.8572557059875665E-2</v>
      </c>
      <c r="V40" s="8">
        <f t="shared" si="3"/>
        <v>0.70132848522187063</v>
      </c>
    </row>
    <row r="41" spans="1:22" x14ac:dyDescent="0.35">
      <c r="A41" s="9">
        <v>0.7</v>
      </c>
      <c r="B41" s="9">
        <v>0.06</v>
      </c>
      <c r="C41" s="9">
        <v>3.665</v>
      </c>
      <c r="D41" s="9">
        <v>0.78500000000000003</v>
      </c>
      <c r="E41" s="9">
        <v>0</v>
      </c>
      <c r="F41" s="9">
        <v>0</v>
      </c>
      <c r="G41" s="9">
        <v>0</v>
      </c>
      <c r="N41" s="9">
        <v>0.778100884694928</v>
      </c>
      <c r="O41" s="9">
        <v>5.7702897763830426E-2</v>
      </c>
      <c r="P41" s="9">
        <v>3.6378594325429159</v>
      </c>
      <c r="Q41" s="9">
        <v>0.85473053831648704</v>
      </c>
      <c r="R41" s="10">
        <v>1.3330181098094515E-6</v>
      </c>
      <c r="S41" s="8">
        <f t="shared" si="3"/>
        <v>7.8100884694928041E-2</v>
      </c>
      <c r="T41" s="8">
        <f t="shared" si="3"/>
        <v>2.2971022361695723E-3</v>
      </c>
      <c r="U41" s="8">
        <f t="shared" si="3"/>
        <v>2.7140567457084153E-2</v>
      </c>
      <c r="V41" s="8">
        <f t="shared" si="3"/>
        <v>6.9730538316487012E-2</v>
      </c>
    </row>
    <row r="42" spans="1:22" x14ac:dyDescent="0.35">
      <c r="A42" s="9">
        <v>0.6</v>
      </c>
      <c r="B42" s="9">
        <v>0.1</v>
      </c>
      <c r="C42" s="9">
        <v>3.665</v>
      </c>
      <c r="D42" s="9">
        <v>0.78500000000000003</v>
      </c>
      <c r="E42" s="9">
        <v>0</v>
      </c>
      <c r="F42" s="9">
        <v>0</v>
      </c>
      <c r="G42" s="9">
        <v>0</v>
      </c>
      <c r="N42" s="9">
        <v>0.55633697928665715</v>
      </c>
      <c r="O42" s="9">
        <v>9.6545021566059888E-2</v>
      </c>
      <c r="P42" s="9">
        <v>3.6426708712042797</v>
      </c>
      <c r="Q42" s="9">
        <v>0.99672571857026282</v>
      </c>
      <c r="R42" s="10">
        <v>4.2652735076603759E-6</v>
      </c>
      <c r="S42" s="8">
        <f t="shared" si="3"/>
        <v>4.3663020713342826E-2</v>
      </c>
      <c r="T42" s="8">
        <f t="shared" si="3"/>
        <v>3.4549784339401174E-3</v>
      </c>
      <c r="U42" s="8">
        <f t="shared" si="3"/>
        <v>2.2329128795720354E-2</v>
      </c>
      <c r="V42" s="8">
        <f t="shared" si="3"/>
        <v>0.21172571857026279</v>
      </c>
    </row>
    <row r="43" spans="1:22" x14ac:dyDescent="0.35">
      <c r="A43" s="9">
        <v>0.8</v>
      </c>
      <c r="B43" s="9">
        <v>0.18</v>
      </c>
      <c r="C43" s="9">
        <v>3.665</v>
      </c>
      <c r="D43" s="9">
        <v>0.78500000000000003</v>
      </c>
      <c r="E43" s="9">
        <v>1.4</v>
      </c>
      <c r="F43" s="9">
        <v>0</v>
      </c>
      <c r="G43" s="9">
        <v>0</v>
      </c>
      <c r="N43" s="9">
        <v>0.82286736976159636</v>
      </c>
      <c r="O43" s="9">
        <v>0.16648626464258851</v>
      </c>
      <c r="P43" s="9">
        <v>3.665164405606502</v>
      </c>
      <c r="Q43" s="9">
        <v>0.61969714509685414</v>
      </c>
      <c r="R43" s="10">
        <v>5.2602632136065236E-5</v>
      </c>
      <c r="S43" s="8">
        <f t="shared" si="3"/>
        <v>2.2867369761596312E-2</v>
      </c>
      <c r="T43" s="8">
        <f t="shared" si="3"/>
        <v>1.3513735357411488E-2</v>
      </c>
      <c r="U43" s="8">
        <f t="shared" si="3"/>
        <v>1.6440560650199387E-4</v>
      </c>
      <c r="V43" s="8">
        <f t="shared" si="3"/>
        <v>0.16530285490314589</v>
      </c>
    </row>
    <row r="44" spans="1:22" x14ac:dyDescent="0.35">
      <c r="A44" s="9">
        <v>0.4</v>
      </c>
      <c r="B44" s="9">
        <v>0.2</v>
      </c>
      <c r="C44" s="9">
        <v>3.665</v>
      </c>
      <c r="D44" s="9">
        <v>0.78500000000000003</v>
      </c>
      <c r="E44" s="9">
        <v>1.4</v>
      </c>
      <c r="F44" s="9">
        <v>0</v>
      </c>
      <c r="G44" s="9">
        <v>0</v>
      </c>
      <c r="N44" s="9">
        <v>0.31865046315555479</v>
      </c>
      <c r="O44" s="9">
        <v>0.1998019383954803</v>
      </c>
      <c r="P44" s="9">
        <v>3.6654490553284167</v>
      </c>
      <c r="Q44" s="9">
        <v>0.85677485674931919</v>
      </c>
      <c r="R44" s="10">
        <v>6.7158017569489737E-5</v>
      </c>
      <c r="S44" s="8">
        <f t="shared" si="3"/>
        <v>8.1349536844445236E-2</v>
      </c>
      <c r="T44" s="8">
        <f t="shared" si="3"/>
        <v>1.9806160451971144E-4</v>
      </c>
      <c r="U44" s="8">
        <f t="shared" si="3"/>
        <v>4.4905532841665874E-4</v>
      </c>
      <c r="V44" s="8">
        <f t="shared" si="3"/>
        <v>7.177485674931916E-2</v>
      </c>
    </row>
    <row r="45" spans="1:22" x14ac:dyDescent="0.35">
      <c r="A45" s="9">
        <v>0.4</v>
      </c>
      <c r="B45" s="9">
        <v>0.1</v>
      </c>
      <c r="C45" s="9">
        <v>3.665</v>
      </c>
      <c r="D45" s="9">
        <v>1.571</v>
      </c>
      <c r="E45" s="9">
        <v>1.4</v>
      </c>
      <c r="F45" s="9">
        <v>0</v>
      </c>
      <c r="G45" s="9">
        <v>0</v>
      </c>
      <c r="N45" s="9">
        <v>0.37337729968070099</v>
      </c>
      <c r="O45" s="9">
        <v>0.11675595463481153</v>
      </c>
      <c r="P45" s="9">
        <v>3.6473840825863664</v>
      </c>
      <c r="Q45" s="9">
        <v>1.0197006548486067</v>
      </c>
      <c r="R45" s="10">
        <v>3.0537365840292788E-6</v>
      </c>
      <c r="S45" s="8">
        <f t="shared" si="3"/>
        <v>2.6622700319299031E-2</v>
      </c>
      <c r="T45" s="8">
        <f t="shared" si="3"/>
        <v>1.6755954634811526E-2</v>
      </c>
      <c r="U45" s="8">
        <f t="shared" si="3"/>
        <v>1.7615917413633664E-2</v>
      </c>
      <c r="V45" s="8">
        <f t="shared" si="3"/>
        <v>0.55129934515139323</v>
      </c>
    </row>
    <row r="46" spans="1:22" x14ac:dyDescent="0.35">
      <c r="A46" s="9">
        <v>0.7</v>
      </c>
      <c r="B46" s="9">
        <v>0.1</v>
      </c>
      <c r="C46" s="9">
        <v>3.665</v>
      </c>
      <c r="D46" s="9">
        <v>1.571</v>
      </c>
      <c r="E46" s="9">
        <v>1.4</v>
      </c>
      <c r="F46" s="9">
        <v>0</v>
      </c>
      <c r="G46" s="9">
        <v>0</v>
      </c>
      <c r="N46" s="9">
        <v>0.67328491818065606</v>
      </c>
      <c r="O46" s="9">
        <v>0.11844508148088854</v>
      </c>
      <c r="P46" s="9">
        <v>3.6463062915449056</v>
      </c>
      <c r="Q46" s="9">
        <v>1.4437246398578663</v>
      </c>
      <c r="R46" s="10">
        <v>1.5180942099591932E-5</v>
      </c>
      <c r="S46" s="8">
        <f t="shared" si="3"/>
        <v>2.67150818193439E-2</v>
      </c>
      <c r="T46" s="8">
        <f t="shared" si="3"/>
        <v>1.8445081480888539E-2</v>
      </c>
      <c r="U46" s="8">
        <f t="shared" si="3"/>
        <v>1.8693708455094438E-2</v>
      </c>
      <c r="V46" s="8">
        <f t="shared" si="3"/>
        <v>0.1272753601421337</v>
      </c>
    </row>
    <row r="47" spans="1:22" x14ac:dyDescent="0.35">
      <c r="A47" s="9">
        <v>0.4</v>
      </c>
      <c r="B47" s="9">
        <v>0.16</v>
      </c>
      <c r="C47" s="9">
        <v>3.665</v>
      </c>
      <c r="D47" s="9">
        <v>1.571</v>
      </c>
      <c r="E47" s="9">
        <v>0</v>
      </c>
      <c r="F47" s="9">
        <v>0</v>
      </c>
      <c r="G47" s="9">
        <v>0</v>
      </c>
      <c r="N47" s="9">
        <v>0.43325584847428916</v>
      </c>
      <c r="O47" s="9">
        <v>0.15266812766518276</v>
      </c>
      <c r="P47" s="9">
        <v>3.6619475822230085</v>
      </c>
      <c r="Q47" s="9">
        <v>2.0193082024141908</v>
      </c>
      <c r="R47" s="10">
        <v>1.3276699945019689E-6</v>
      </c>
      <c r="S47" s="8">
        <f t="shared" si="3"/>
        <v>3.325584847428914E-2</v>
      </c>
      <c r="T47" s="8">
        <f t="shared" si="3"/>
        <v>7.3318723348172465E-3</v>
      </c>
      <c r="U47" s="8">
        <f t="shared" si="3"/>
        <v>3.0524177769915006E-3</v>
      </c>
      <c r="V47" s="8">
        <f t="shared" si="3"/>
        <v>0.44830820241419089</v>
      </c>
    </row>
    <row r="48" spans="1:22" x14ac:dyDescent="0.35">
      <c r="A48" s="9">
        <v>0.3</v>
      </c>
      <c r="B48" s="9">
        <v>0.18</v>
      </c>
      <c r="C48" s="9">
        <v>3.665</v>
      </c>
      <c r="D48" s="9">
        <v>1.571</v>
      </c>
      <c r="E48" s="9">
        <v>0</v>
      </c>
      <c r="F48" s="9">
        <v>0</v>
      </c>
      <c r="G48" s="9">
        <v>0</v>
      </c>
      <c r="N48" s="9">
        <v>0.21724605388395943</v>
      </c>
      <c r="O48" s="9">
        <v>0.19573173280032991</v>
      </c>
      <c r="P48" s="9">
        <v>3.6775688084413058</v>
      </c>
      <c r="Q48" s="9">
        <v>1.6631381567540826</v>
      </c>
      <c r="R48" s="10">
        <v>7.3419173930820739E-6</v>
      </c>
      <c r="S48" s="8">
        <f t="shared" si="3"/>
        <v>8.2753946116040561E-2</v>
      </c>
      <c r="T48" s="8">
        <f t="shared" si="3"/>
        <v>1.5731732800329912E-2</v>
      </c>
      <c r="U48" s="8">
        <f t="shared" si="3"/>
        <v>1.2568808441305812E-2</v>
      </c>
      <c r="V48" s="8">
        <f t="shared" si="3"/>
        <v>9.2138156754082656E-2</v>
      </c>
    </row>
    <row r="49" spans="1:22" x14ac:dyDescent="0.35">
      <c r="A49" s="9">
        <v>0.3</v>
      </c>
      <c r="B49" s="9">
        <v>0.08</v>
      </c>
      <c r="C49" s="9">
        <v>1.571</v>
      </c>
      <c r="D49" s="9">
        <v>0.78500000000000003</v>
      </c>
      <c r="E49" s="9">
        <v>1.4</v>
      </c>
      <c r="F49" s="9">
        <v>0</v>
      </c>
      <c r="G49" s="9">
        <v>0</v>
      </c>
      <c r="N49" s="9">
        <v>0.2610809294408819</v>
      </c>
      <c r="O49" s="9">
        <v>9.996223408931422E-2</v>
      </c>
      <c r="P49" s="9">
        <v>1.5455774415852208</v>
      </c>
      <c r="Q49" s="9">
        <v>2.0829417832189177</v>
      </c>
      <c r="R49" s="10">
        <v>1.7896577472081701E-6</v>
      </c>
      <c r="S49" s="8">
        <f t="shared" si="3"/>
        <v>3.8919070559118085E-2</v>
      </c>
      <c r="T49" s="8">
        <f t="shared" si="3"/>
        <v>1.9962234089314218E-2</v>
      </c>
      <c r="U49" s="8">
        <f t="shared" si="3"/>
        <v>2.5422558414779139E-2</v>
      </c>
      <c r="V49" s="8">
        <f t="shared" si="3"/>
        <v>1.2979417832189175</v>
      </c>
    </row>
    <row r="50" spans="1:22" x14ac:dyDescent="0.35">
      <c r="A50" s="9">
        <v>0.4</v>
      </c>
      <c r="B50" s="9">
        <v>0.14000000000000001</v>
      </c>
      <c r="C50" s="9">
        <v>1.571</v>
      </c>
      <c r="D50" s="9">
        <v>0.78500000000000003</v>
      </c>
      <c r="E50" s="9">
        <v>0</v>
      </c>
      <c r="F50" s="9">
        <v>0</v>
      </c>
      <c r="G50" s="9">
        <v>0</v>
      </c>
      <c r="N50" s="9">
        <v>0.32783088759457069</v>
      </c>
      <c r="O50" s="9">
        <v>0.14560341204293362</v>
      </c>
      <c r="P50" s="9">
        <v>1.5658325748790287</v>
      </c>
      <c r="Q50" s="9">
        <v>0.92959573500784765</v>
      </c>
      <c r="R50" s="10">
        <v>3.5530113081513585E-6</v>
      </c>
      <c r="S50" s="8">
        <f t="shared" si="3"/>
        <v>7.2169112405429336E-2</v>
      </c>
      <c r="T50" s="8">
        <f t="shared" si="3"/>
        <v>5.6034120429336032E-3</v>
      </c>
      <c r="U50" s="8">
        <f t="shared" si="3"/>
        <v>5.1674251209712363E-3</v>
      </c>
      <c r="V50" s="8">
        <f t="shared" si="3"/>
        <v>0.14459573500784761</v>
      </c>
    </row>
    <row r="51" spans="1:22" x14ac:dyDescent="0.35">
      <c r="A51" s="9">
        <v>0.6</v>
      </c>
      <c r="B51" s="9">
        <v>0.16</v>
      </c>
      <c r="C51" s="9">
        <v>1.571</v>
      </c>
      <c r="D51" s="9">
        <v>0.78500000000000003</v>
      </c>
      <c r="E51" s="9">
        <v>1.4</v>
      </c>
      <c r="F51" s="9">
        <v>0</v>
      </c>
      <c r="G51" s="9">
        <v>0</v>
      </c>
      <c r="N51" s="9">
        <v>0.57139702776806589</v>
      </c>
      <c r="O51" s="9">
        <v>0.17310991505184717</v>
      </c>
      <c r="P51" s="9">
        <v>1.7894051915322406</v>
      </c>
      <c r="Q51" s="9">
        <v>0.67252051003616531</v>
      </c>
      <c r="R51" s="10">
        <v>1.5027665557420578E-5</v>
      </c>
      <c r="S51" s="8">
        <f t="shared" si="3"/>
        <v>2.8602972231934087E-2</v>
      </c>
      <c r="T51" s="8">
        <f t="shared" si="3"/>
        <v>1.3109915051847165E-2</v>
      </c>
      <c r="U51" s="8">
        <f t="shared" si="3"/>
        <v>0.21840519153224069</v>
      </c>
      <c r="V51" s="8">
        <f t="shared" si="3"/>
        <v>0.11247948996383472</v>
      </c>
    </row>
    <row r="52" spans="1:22" x14ac:dyDescent="0.35">
      <c r="A52" s="9">
        <v>0.4</v>
      </c>
      <c r="B52" s="9">
        <v>0.06</v>
      </c>
      <c r="C52" s="9">
        <v>1.571</v>
      </c>
      <c r="D52" s="9">
        <v>1.571</v>
      </c>
      <c r="E52" s="9">
        <v>1.4</v>
      </c>
      <c r="F52" s="9">
        <v>0</v>
      </c>
      <c r="G52" s="9">
        <v>0</v>
      </c>
      <c r="N52" s="9">
        <v>0.38868500485410085</v>
      </c>
      <c r="O52" s="9">
        <v>5.8461035172557629E-2</v>
      </c>
      <c r="P52" s="9">
        <v>1.5771992548846296</v>
      </c>
      <c r="Q52" s="9">
        <v>1.9107933478061447</v>
      </c>
      <c r="R52" s="10">
        <v>6.9818430583293331E-6</v>
      </c>
      <c r="S52" s="8">
        <f t="shared" si="3"/>
        <v>1.1314995145899176E-2</v>
      </c>
      <c r="T52" s="8">
        <f t="shared" si="3"/>
        <v>1.5389648274423684E-3</v>
      </c>
      <c r="U52" s="8">
        <f t="shared" si="3"/>
        <v>6.1992548846296902E-3</v>
      </c>
      <c r="V52" s="8">
        <f t="shared" si="3"/>
        <v>0.33979334780614479</v>
      </c>
    </row>
    <row r="53" spans="1:22" x14ac:dyDescent="0.35">
      <c r="A53" s="9">
        <v>0.8</v>
      </c>
      <c r="B53" s="9">
        <v>0.08</v>
      </c>
      <c r="C53" s="9">
        <v>1.571</v>
      </c>
      <c r="D53" s="9">
        <v>1.571</v>
      </c>
      <c r="E53" s="9">
        <v>0</v>
      </c>
      <c r="F53" s="9">
        <v>0</v>
      </c>
      <c r="G53" s="9">
        <v>0</v>
      </c>
      <c r="N53" s="9">
        <v>0.67675097121499472</v>
      </c>
      <c r="O53" s="9">
        <v>9.033547772957734E-2</v>
      </c>
      <c r="P53" s="9">
        <v>1.5754023892089235</v>
      </c>
      <c r="Q53" s="9">
        <v>1.4701769030623222</v>
      </c>
      <c r="R53" s="10">
        <v>7.2175913174304612E-6</v>
      </c>
      <c r="S53" s="8">
        <f t="shared" si="3"/>
        <v>0.12324902878500532</v>
      </c>
      <c r="T53" s="8">
        <f t="shared" si="3"/>
        <v>1.0335477729577339E-2</v>
      </c>
      <c r="U53" s="8">
        <f t="shared" si="3"/>
        <v>4.4023892089235517E-3</v>
      </c>
      <c r="V53" s="8">
        <f t="shared" si="3"/>
        <v>0.10082309693767777</v>
      </c>
    </row>
    <row r="54" spans="1:22" x14ac:dyDescent="0.35">
      <c r="A54" s="9">
        <v>0.7</v>
      </c>
      <c r="B54" s="9">
        <v>0.16</v>
      </c>
      <c r="C54" s="9">
        <v>1.571</v>
      </c>
      <c r="D54" s="9">
        <v>1.571</v>
      </c>
      <c r="E54" s="9">
        <v>1.4</v>
      </c>
      <c r="F54" s="9">
        <v>0</v>
      </c>
      <c r="G54" s="9">
        <v>0</v>
      </c>
      <c r="N54" s="9">
        <v>0.45992177598349948</v>
      </c>
      <c r="O54" s="9">
        <v>0.19999461512115491</v>
      </c>
      <c r="P54" s="9">
        <v>1.6928794996691381</v>
      </c>
      <c r="Q54" s="9">
        <v>1.3825477154262855</v>
      </c>
      <c r="R54" s="10">
        <v>5.3545866946881745E-4</v>
      </c>
      <c r="S54" s="8">
        <f t="shared" si="3"/>
        <v>0.24007822401650047</v>
      </c>
      <c r="T54" s="8">
        <f t="shared" si="3"/>
        <v>3.9994615121154903E-2</v>
      </c>
      <c r="U54" s="8">
        <f t="shared" si="3"/>
        <v>0.12187949966913814</v>
      </c>
      <c r="V54" s="8">
        <f t="shared" si="3"/>
        <v>0.18845228457371443</v>
      </c>
    </row>
    <row r="55" spans="1:22" x14ac:dyDescent="0.35">
      <c r="A55" s="9">
        <v>0.7</v>
      </c>
      <c r="B55" s="9">
        <v>0.2</v>
      </c>
      <c r="C55" s="9">
        <v>1.571</v>
      </c>
      <c r="D55" s="9">
        <v>1.571</v>
      </c>
      <c r="E55" s="9">
        <v>0</v>
      </c>
      <c r="F55" s="9">
        <v>0</v>
      </c>
      <c r="G55" s="9">
        <v>0</v>
      </c>
      <c r="N55" s="9">
        <v>0.65407840875426582</v>
      </c>
      <c r="O55" s="9">
        <v>0.19999556441930341</v>
      </c>
      <c r="P55" s="9">
        <v>1.48335685911299</v>
      </c>
      <c r="Q55" s="9">
        <v>1.9236840953835399</v>
      </c>
      <c r="R55" s="10">
        <v>3.5855875395297127E-4</v>
      </c>
      <c r="S55" s="8">
        <f t="shared" si="3"/>
        <v>4.5921591245734139E-2</v>
      </c>
      <c r="T55" s="8">
        <f t="shared" si="3"/>
        <v>4.4355806965989952E-6</v>
      </c>
      <c r="U55" s="8">
        <f t="shared" si="3"/>
        <v>8.7643140887009974E-2</v>
      </c>
      <c r="V55" s="8">
        <f t="shared" si="3"/>
        <v>0.35268409538353995</v>
      </c>
    </row>
    <row r="56" spans="1:22" x14ac:dyDescent="0.35">
      <c r="A56" s="9">
        <v>0.7</v>
      </c>
      <c r="B56" s="9">
        <v>0.06</v>
      </c>
      <c r="C56" s="9">
        <v>3.665</v>
      </c>
      <c r="D56" s="9">
        <v>0.78500000000000003</v>
      </c>
      <c r="E56" s="9">
        <v>0</v>
      </c>
      <c r="F56" s="9">
        <v>0</v>
      </c>
      <c r="G56" s="9">
        <v>0</v>
      </c>
      <c r="N56" s="9">
        <v>0.88820314730288674</v>
      </c>
      <c r="O56" s="9">
        <v>6.3935216270438647E-2</v>
      </c>
      <c r="P56" s="9">
        <v>3.6376053340410492</v>
      </c>
      <c r="Q56" s="9">
        <v>0.68078494108429055</v>
      </c>
      <c r="R56" s="10">
        <v>6.7707571493724412E-7</v>
      </c>
      <c r="S56" s="8">
        <f t="shared" si="3"/>
        <v>0.18820314730288679</v>
      </c>
      <c r="T56" s="8">
        <f t="shared" si="3"/>
        <v>3.935216270438649E-3</v>
      </c>
      <c r="U56" s="8">
        <f t="shared" si="3"/>
        <v>2.7394665958950792E-2</v>
      </c>
      <c r="V56" s="8">
        <f t="shared" si="3"/>
        <v>0.10421505891570948</v>
      </c>
    </row>
    <row r="57" spans="1:22" x14ac:dyDescent="0.35">
      <c r="A57" s="9">
        <v>0.6</v>
      </c>
      <c r="B57" s="9">
        <v>0.1</v>
      </c>
      <c r="C57" s="9">
        <v>3.665</v>
      </c>
      <c r="D57" s="9">
        <v>0.78500000000000003</v>
      </c>
      <c r="E57" s="9">
        <v>0</v>
      </c>
      <c r="F57" s="9">
        <v>0</v>
      </c>
      <c r="G57" s="9">
        <v>0</v>
      </c>
      <c r="N57" s="9">
        <v>0.58732009630932291</v>
      </c>
      <c r="O57" s="9">
        <v>0.10011664137303432</v>
      </c>
      <c r="P57" s="9">
        <v>3.6458265313952207</v>
      </c>
      <c r="Q57" s="9">
        <v>0.86639612836079083</v>
      </c>
      <c r="R57" s="10">
        <v>5.3873450619594574E-5</v>
      </c>
      <c r="S57" s="8">
        <f t="shared" si="3"/>
        <v>1.2679903690677063E-2</v>
      </c>
      <c r="T57" s="8">
        <f t="shared" si="3"/>
        <v>1.1664137303431243E-4</v>
      </c>
      <c r="U57" s="8">
        <f t="shared" si="3"/>
        <v>1.9173468604779309E-2</v>
      </c>
      <c r="V57" s="8">
        <f t="shared" si="3"/>
        <v>8.1396128360790798E-2</v>
      </c>
    </row>
    <row r="58" spans="1:22" x14ac:dyDescent="0.35">
      <c r="A58" s="9">
        <v>0.8</v>
      </c>
      <c r="B58" s="9">
        <v>0.18</v>
      </c>
      <c r="C58" s="9">
        <v>3.665</v>
      </c>
      <c r="D58" s="9">
        <v>0.78500000000000003</v>
      </c>
      <c r="E58" s="9">
        <v>1.4</v>
      </c>
      <c r="F58" s="9">
        <v>0</v>
      </c>
      <c r="G58" s="9">
        <v>0</v>
      </c>
      <c r="N58" s="9">
        <v>0.74676648229544917</v>
      </c>
      <c r="O58" s="9">
        <v>0.16344560290832488</v>
      </c>
      <c r="P58" s="9">
        <v>3.6641649210847409</v>
      </c>
      <c r="Q58" s="9">
        <v>0.87357491107062257</v>
      </c>
      <c r="R58" s="10">
        <v>5.6364857518744665E-6</v>
      </c>
      <c r="S58" s="8">
        <f t="shared" si="3"/>
        <v>5.323351770455087E-2</v>
      </c>
      <c r="T58" s="8">
        <f t="shared" si="3"/>
        <v>1.655439709167511E-2</v>
      </c>
      <c r="U58" s="8">
        <f t="shared" si="3"/>
        <v>8.3507891525913536E-4</v>
      </c>
      <c r="V58" s="8">
        <f t="shared" si="3"/>
        <v>8.8574911070622542E-2</v>
      </c>
    </row>
    <row r="59" spans="1:22" x14ac:dyDescent="0.35">
      <c r="A59" s="9">
        <v>0.4</v>
      </c>
      <c r="B59" s="9">
        <v>0.2</v>
      </c>
      <c r="C59" s="9">
        <v>3.665</v>
      </c>
      <c r="D59" s="9">
        <v>0.78500000000000003</v>
      </c>
      <c r="E59" s="9">
        <v>1.4</v>
      </c>
      <c r="F59" s="9">
        <v>0</v>
      </c>
      <c r="G59" s="9">
        <v>0</v>
      </c>
      <c r="N59" s="9">
        <v>0.35605523396084754</v>
      </c>
      <c r="O59" s="9">
        <v>0.19999959441319876</v>
      </c>
      <c r="P59" s="9">
        <v>3.6677742125356354</v>
      </c>
      <c r="Q59" s="9">
        <v>0.69938458154352923</v>
      </c>
      <c r="R59" s="10">
        <v>2.312187067377121E-5</v>
      </c>
      <c r="S59" s="8">
        <f t="shared" si="3"/>
        <v>4.3944766039152483E-2</v>
      </c>
      <c r="T59" s="8">
        <f t="shared" si="3"/>
        <v>4.0558680125535318E-7</v>
      </c>
      <c r="U59" s="8">
        <f t="shared" si="3"/>
        <v>2.7742125356353675E-3</v>
      </c>
      <c r="V59" s="8">
        <f t="shared" si="3"/>
        <v>8.5615418456470804E-2</v>
      </c>
    </row>
    <row r="60" spans="1:22" x14ac:dyDescent="0.35">
      <c r="A60" s="9">
        <v>0.4</v>
      </c>
      <c r="B60" s="9">
        <v>0.1</v>
      </c>
      <c r="C60" s="9">
        <v>3.665</v>
      </c>
      <c r="D60" s="9">
        <v>1.571</v>
      </c>
      <c r="E60" s="9">
        <v>1.4</v>
      </c>
      <c r="F60" s="9">
        <v>0</v>
      </c>
      <c r="G60" s="9">
        <v>0</v>
      </c>
      <c r="N60" s="9">
        <v>0.42136812616508584</v>
      </c>
      <c r="O60" s="9">
        <v>0.11547549953025169</v>
      </c>
      <c r="P60" s="9">
        <v>3.6471041100039328</v>
      </c>
      <c r="Q60" s="9">
        <v>0.83613660487357044</v>
      </c>
      <c r="R60" s="10">
        <v>2.9355285147513212E-7</v>
      </c>
      <c r="S60" s="8">
        <f t="shared" si="3"/>
        <v>2.1368126165085821E-2</v>
      </c>
      <c r="T60" s="8">
        <f t="shared" si="3"/>
        <v>1.547549953025168E-2</v>
      </c>
      <c r="U60" s="8">
        <f t="shared" si="3"/>
        <v>1.7895889996067282E-2</v>
      </c>
      <c r="V60" s="8">
        <f t="shared" si="3"/>
        <v>0.73486339512642951</v>
      </c>
    </row>
    <row r="61" spans="1:22" x14ac:dyDescent="0.35">
      <c r="A61" s="9">
        <v>0.7</v>
      </c>
      <c r="B61" s="9">
        <v>0.1</v>
      </c>
      <c r="C61" s="9">
        <v>3.665</v>
      </c>
      <c r="D61" s="9">
        <v>1.571</v>
      </c>
      <c r="E61" s="9">
        <v>1.4</v>
      </c>
      <c r="F61" s="9">
        <v>0</v>
      </c>
      <c r="G61" s="9">
        <v>0</v>
      </c>
      <c r="N61" s="9">
        <v>0.68955529785102987</v>
      </c>
      <c r="O61" s="9">
        <v>0.11979797134808863</v>
      </c>
      <c r="P61" s="9">
        <v>3.6457738039050289</v>
      </c>
      <c r="Q61" s="9">
        <v>1.5147564755462044</v>
      </c>
      <c r="R61" s="10">
        <v>7.7533599993274727E-6</v>
      </c>
      <c r="S61" s="8">
        <f t="shared" si="3"/>
        <v>1.0444702148970086E-2</v>
      </c>
      <c r="T61" s="8">
        <f t="shared" si="3"/>
        <v>1.9797971348088625E-2</v>
      </c>
      <c r="U61" s="8">
        <f t="shared" si="3"/>
        <v>1.9226196094971115E-2</v>
      </c>
      <c r="V61" s="8">
        <f t="shared" si="3"/>
        <v>5.6243524453795546E-2</v>
      </c>
    </row>
    <row r="62" spans="1:22" x14ac:dyDescent="0.35">
      <c r="A62" s="9">
        <v>0.4</v>
      </c>
      <c r="B62" s="9">
        <v>0.16</v>
      </c>
      <c r="C62" s="9">
        <v>3.665</v>
      </c>
      <c r="D62" s="9">
        <v>1.571</v>
      </c>
      <c r="E62" s="9">
        <v>0</v>
      </c>
      <c r="F62" s="9">
        <v>0</v>
      </c>
      <c r="G62" s="9">
        <v>0</v>
      </c>
      <c r="N62" s="9">
        <v>0.39916210562908022</v>
      </c>
      <c r="O62" s="9">
        <v>0.1594950361354833</v>
      </c>
      <c r="P62" s="9">
        <v>3.6637889808252799</v>
      </c>
      <c r="Q62" s="9">
        <v>1.9218047081457776</v>
      </c>
      <c r="R62" s="10">
        <v>8.3735136711670702E-6</v>
      </c>
      <c r="S62" s="8">
        <f t="shared" si="3"/>
        <v>8.3789437091980057E-4</v>
      </c>
      <c r="T62" s="8">
        <f t="shared" si="3"/>
        <v>5.0496386451670539E-4</v>
      </c>
      <c r="U62" s="8">
        <f t="shared" si="3"/>
        <v>1.2110191747201071E-3</v>
      </c>
      <c r="V62" s="8">
        <f t="shared" si="3"/>
        <v>0.35080470814577769</v>
      </c>
    </row>
    <row r="63" spans="1:22" x14ac:dyDescent="0.35">
      <c r="A63" s="9">
        <v>0.3</v>
      </c>
      <c r="B63" s="9">
        <v>0.18</v>
      </c>
      <c r="C63" s="9">
        <v>3.665</v>
      </c>
      <c r="D63" s="9">
        <v>1.571</v>
      </c>
      <c r="E63" s="9">
        <v>0</v>
      </c>
      <c r="F63" s="9">
        <v>0</v>
      </c>
      <c r="G63" s="9">
        <v>0</v>
      </c>
      <c r="N63" s="9">
        <v>0.19424951560852929</v>
      </c>
      <c r="O63" s="9">
        <v>0.1998591293981416</v>
      </c>
      <c r="P63" s="9">
        <v>3.6689378940605026</v>
      </c>
      <c r="Q63" s="9">
        <v>1.3232676564963506</v>
      </c>
      <c r="R63" s="10">
        <v>7.6067580945519137E-5</v>
      </c>
      <c r="S63" s="8">
        <f t="shared" si="3"/>
        <v>0.10575048439147069</v>
      </c>
      <c r="T63" s="8">
        <f t="shared" si="3"/>
        <v>1.9859129398141606E-2</v>
      </c>
      <c r="U63" s="8">
        <f t="shared" si="3"/>
        <v>3.9378940605026003E-3</v>
      </c>
      <c r="V63" s="8">
        <f t="shared" si="3"/>
        <v>0.24773234350364937</v>
      </c>
    </row>
    <row r="64" spans="1:22" x14ac:dyDescent="0.35">
      <c r="A64" s="9">
        <v>0.3</v>
      </c>
      <c r="B64" s="9">
        <v>0.08</v>
      </c>
      <c r="C64" s="9">
        <v>1.571</v>
      </c>
      <c r="D64" s="9">
        <v>0.78500000000000003</v>
      </c>
      <c r="E64" s="9">
        <v>1.4</v>
      </c>
      <c r="F64" s="9">
        <v>0</v>
      </c>
      <c r="G64" s="9">
        <v>0</v>
      </c>
      <c r="N64" s="9">
        <v>0.2051553041156243</v>
      </c>
      <c r="O64" s="9">
        <v>6.6978898408961818E-2</v>
      </c>
      <c r="P64" s="9">
        <v>1.6043564874850818</v>
      </c>
      <c r="Q64" s="9">
        <v>1.601231521187209</v>
      </c>
      <c r="R64" s="10">
        <v>6.8795330177615611E-7</v>
      </c>
      <c r="S64" s="8">
        <f t="shared" si="3"/>
        <v>9.484469588437569E-2</v>
      </c>
      <c r="T64" s="8">
        <f t="shared" si="3"/>
        <v>1.3021101591038184E-2</v>
      </c>
      <c r="U64" s="8">
        <f t="shared" si="3"/>
        <v>3.3356487485081798E-2</v>
      </c>
      <c r="V64" s="8">
        <f t="shared" si="3"/>
        <v>0.81623152118720899</v>
      </c>
    </row>
    <row r="65" spans="1:22" x14ac:dyDescent="0.35">
      <c r="A65" s="9">
        <v>0.4</v>
      </c>
      <c r="B65" s="9">
        <v>0.14000000000000001</v>
      </c>
      <c r="C65" s="9">
        <v>1.571</v>
      </c>
      <c r="D65" s="9">
        <v>0.78500000000000003</v>
      </c>
      <c r="E65" s="9">
        <v>0</v>
      </c>
      <c r="F65" s="9">
        <v>0</v>
      </c>
      <c r="G65" s="9">
        <v>0</v>
      </c>
      <c r="N65" s="9">
        <v>0.39327580064103873</v>
      </c>
      <c r="O65" s="9">
        <v>0.14574452779554317</v>
      </c>
      <c r="P65" s="9">
        <v>1.5637457219715016</v>
      </c>
      <c r="Q65" s="9">
        <v>0.6417329985098168</v>
      </c>
      <c r="R65" s="10">
        <v>3.7541910139533494E-5</v>
      </c>
      <c r="S65" s="8">
        <f t="shared" si="3"/>
        <v>6.7241993589612914E-3</v>
      </c>
      <c r="T65" s="8">
        <f t="shared" si="3"/>
        <v>5.7445277955431584E-3</v>
      </c>
      <c r="U65" s="8">
        <f t="shared" si="3"/>
        <v>7.2542780284983177E-3</v>
      </c>
      <c r="V65" s="8">
        <f t="shared" si="3"/>
        <v>0.14326700149018323</v>
      </c>
    </row>
    <row r="66" spans="1:22" x14ac:dyDescent="0.35">
      <c r="A66" s="9">
        <v>0.6</v>
      </c>
      <c r="B66" s="9">
        <v>0.16</v>
      </c>
      <c r="C66" s="9">
        <v>1.571</v>
      </c>
      <c r="D66" s="9">
        <v>0.78500000000000003</v>
      </c>
      <c r="E66" s="9">
        <v>1.4</v>
      </c>
      <c r="F66" s="9">
        <v>0</v>
      </c>
      <c r="G66" s="9">
        <v>0</v>
      </c>
      <c r="N66" s="9">
        <v>0.58436640527435391</v>
      </c>
      <c r="O66" s="9">
        <v>0.17988542164506566</v>
      </c>
      <c r="P66" s="9">
        <v>1.8207261693323584</v>
      </c>
      <c r="Q66" s="9">
        <v>0.59372911191227584</v>
      </c>
      <c r="R66" s="10">
        <v>8.1318320352841839E-5</v>
      </c>
      <c r="S66" s="8">
        <f t="shared" si="3"/>
        <v>1.5633594725646072E-2</v>
      </c>
      <c r="T66" s="8">
        <f t="shared" si="3"/>
        <v>1.9885421645065654E-2</v>
      </c>
      <c r="U66" s="8">
        <f t="shared" si="3"/>
        <v>0.24972616933235847</v>
      </c>
      <c r="V66" s="8">
        <f t="shared" si="3"/>
        <v>0.19127088808772419</v>
      </c>
    </row>
    <row r="67" spans="1:22" x14ac:dyDescent="0.35">
      <c r="A67" s="9">
        <v>0.4</v>
      </c>
      <c r="B67" s="9">
        <v>0.06</v>
      </c>
      <c r="C67" s="9">
        <v>1.571</v>
      </c>
      <c r="D67" s="9">
        <v>1.571</v>
      </c>
      <c r="E67" s="9">
        <v>1.4</v>
      </c>
      <c r="F67" s="9">
        <v>0</v>
      </c>
      <c r="G67" s="9">
        <v>0</v>
      </c>
      <c r="N67" s="9">
        <v>0.36638924950093221</v>
      </c>
      <c r="O67" s="9">
        <v>6.6562101719683964E-2</v>
      </c>
      <c r="P67" s="9">
        <v>1.5863647626092749</v>
      </c>
      <c r="Q67" s="9">
        <v>1.7286678262515394</v>
      </c>
      <c r="R67" s="10">
        <v>5.3888723638014634E-6</v>
      </c>
      <c r="S67" s="8">
        <f t="shared" si="3"/>
        <v>3.361075049906781E-2</v>
      </c>
      <c r="T67" s="8">
        <f t="shared" si="3"/>
        <v>6.5621017196839659E-3</v>
      </c>
      <c r="U67" s="8">
        <f t="shared" si="3"/>
        <v>1.5364762609274996E-2</v>
      </c>
      <c r="V67" s="8">
        <f t="shared" si="3"/>
        <v>0.15766782625153941</v>
      </c>
    </row>
    <row r="68" spans="1:22" x14ac:dyDescent="0.35">
      <c r="A68" s="9">
        <v>0.8</v>
      </c>
      <c r="B68" s="9">
        <v>0.08</v>
      </c>
      <c r="C68" s="9">
        <v>1.571</v>
      </c>
      <c r="D68" s="9">
        <v>1.571</v>
      </c>
      <c r="E68" s="9">
        <v>0</v>
      </c>
      <c r="F68" s="9">
        <v>0</v>
      </c>
      <c r="G68" s="9">
        <v>0</v>
      </c>
      <c r="N68" s="9">
        <v>0.68024902142318311</v>
      </c>
      <c r="O68" s="9">
        <v>8.6773565068832131E-2</v>
      </c>
      <c r="P68" s="9">
        <v>1.5757196760195353</v>
      </c>
      <c r="Q68" s="9">
        <v>1.5180720091170719</v>
      </c>
      <c r="R68" s="10">
        <v>1.5487035087778348E-5</v>
      </c>
      <c r="S68" s="8">
        <f t="shared" si="3"/>
        <v>0.11975097857681694</v>
      </c>
      <c r="T68" s="8">
        <f t="shared" si="3"/>
        <v>6.7735650688321297E-3</v>
      </c>
      <c r="U68" s="8">
        <f t="shared" si="3"/>
        <v>4.7196760195353793E-3</v>
      </c>
      <c r="V68" s="8">
        <f t="shared" si="3"/>
        <v>5.29279908829281E-2</v>
      </c>
    </row>
    <row r="69" spans="1:22" x14ac:dyDescent="0.35">
      <c r="A69" s="9">
        <v>0.7</v>
      </c>
      <c r="B69" s="9">
        <v>0.16</v>
      </c>
      <c r="C69" s="9">
        <v>1.571</v>
      </c>
      <c r="D69" s="9">
        <v>1.571</v>
      </c>
      <c r="E69" s="9">
        <v>1.4</v>
      </c>
      <c r="F69" s="9">
        <v>0</v>
      </c>
      <c r="G69" s="9">
        <v>0</v>
      </c>
      <c r="N69" s="9">
        <v>0.78504366230148448</v>
      </c>
      <c r="O69" s="9">
        <v>0.15948953074515607</v>
      </c>
      <c r="P69" s="9">
        <v>1.5847131468039655</v>
      </c>
      <c r="Q69" s="9">
        <v>1.7301879636335622</v>
      </c>
      <c r="R69" s="10">
        <v>2.9474552137675179E-6</v>
      </c>
      <c r="S69" s="8">
        <f t="shared" si="3"/>
        <v>8.5043662301484524E-2</v>
      </c>
      <c r="T69" s="8">
        <f t="shared" si="3"/>
        <v>5.1046925484393713E-4</v>
      </c>
      <c r="U69" s="8">
        <f t="shared" si="3"/>
        <v>1.3713146803965515E-2</v>
      </c>
      <c r="V69" s="8">
        <f t="shared" si="3"/>
        <v>0.15918796363356225</v>
      </c>
    </row>
    <row r="70" spans="1:22" x14ac:dyDescent="0.35">
      <c r="A70" s="9">
        <v>0.7</v>
      </c>
      <c r="B70" s="9">
        <v>0.2</v>
      </c>
      <c r="C70" s="9">
        <v>1.571</v>
      </c>
      <c r="D70" s="9">
        <v>1.571</v>
      </c>
      <c r="E70" s="9">
        <v>0</v>
      </c>
      <c r="F70" s="9">
        <v>0</v>
      </c>
      <c r="G70" s="9">
        <v>0</v>
      </c>
      <c r="N70" s="9">
        <v>0.67105872510231157</v>
      </c>
      <c r="O70" s="9">
        <v>0.199943491389278</v>
      </c>
      <c r="P70" s="9">
        <v>1.487539425709028</v>
      </c>
      <c r="Q70" s="9">
        <v>1.8850107030737937</v>
      </c>
      <c r="R70" s="10">
        <v>3.0318516637736829E-4</v>
      </c>
      <c r="S70" s="8">
        <f t="shared" si="3"/>
        <v>2.8941274897688385E-2</v>
      </c>
      <c r="T70" s="8">
        <f t="shared" si="3"/>
        <v>5.650861072201141E-5</v>
      </c>
      <c r="U70" s="8">
        <f t="shared" si="3"/>
        <v>8.3460574290971978E-2</v>
      </c>
      <c r="V70" s="8">
        <f t="shared" si="3"/>
        <v>0.31401070307379375</v>
      </c>
    </row>
    <row r="71" spans="1:22" x14ac:dyDescent="0.35">
      <c r="A71" s="9">
        <v>0.7</v>
      </c>
      <c r="B71" s="9">
        <v>0.06</v>
      </c>
      <c r="C71" s="9">
        <v>3.665</v>
      </c>
      <c r="D71" s="9">
        <v>0.78500000000000003</v>
      </c>
      <c r="E71" s="9">
        <v>0</v>
      </c>
      <c r="F71" s="9">
        <v>0</v>
      </c>
      <c r="G71" s="9">
        <v>0</v>
      </c>
      <c r="N71" s="9">
        <v>0.92711680804908236</v>
      </c>
      <c r="O71" s="9">
        <v>5.9408645403025963E-2</v>
      </c>
      <c r="P71" s="9">
        <v>3.6388369372953204</v>
      </c>
      <c r="Q71" s="9">
        <v>0.65344293132188169</v>
      </c>
      <c r="R71" s="10">
        <v>2.7271734963392385E-5</v>
      </c>
      <c r="S71" s="8">
        <f t="shared" si="3"/>
        <v>0.22711680804908241</v>
      </c>
      <c r="T71" s="8">
        <f t="shared" si="3"/>
        <v>5.9135459697403497E-4</v>
      </c>
      <c r="U71" s="8">
        <f t="shared" si="3"/>
        <v>2.6163062704679607E-2</v>
      </c>
      <c r="V71" s="8">
        <f t="shared" si="3"/>
        <v>0.13155706867811834</v>
      </c>
    </row>
    <row r="72" spans="1:22" x14ac:dyDescent="0.35">
      <c r="A72" s="9">
        <v>0.6</v>
      </c>
      <c r="B72" s="9">
        <v>0.1</v>
      </c>
      <c r="C72" s="9">
        <v>3.665</v>
      </c>
      <c r="D72" s="9">
        <v>0.78500000000000003</v>
      </c>
      <c r="E72" s="9">
        <v>0</v>
      </c>
      <c r="F72" s="9">
        <v>0</v>
      </c>
      <c r="G72" s="9">
        <v>0</v>
      </c>
      <c r="N72" s="9">
        <v>0.57824609477389033</v>
      </c>
      <c r="O72" s="9">
        <v>9.2974146885539788E-2</v>
      </c>
      <c r="P72" s="9">
        <v>3.6432225307833686</v>
      </c>
      <c r="Q72" s="9">
        <v>0.92439783291393596</v>
      </c>
      <c r="R72" s="10">
        <v>5.4503568163608132E-7</v>
      </c>
      <c r="S72" s="8">
        <f t="shared" si="3"/>
        <v>2.1753905226109649E-2</v>
      </c>
      <c r="T72" s="8">
        <f t="shared" si="3"/>
        <v>7.0258531144602177E-3</v>
      </c>
      <c r="U72" s="8">
        <f t="shared" si="3"/>
        <v>2.1777469216631484E-2</v>
      </c>
      <c r="V72" s="8">
        <f t="shared" si="3"/>
        <v>0.13939783291393593</v>
      </c>
    </row>
    <row r="73" spans="1:22" x14ac:dyDescent="0.35">
      <c r="A73" s="9">
        <v>0.8</v>
      </c>
      <c r="B73" s="9">
        <v>0.18</v>
      </c>
      <c r="C73" s="9">
        <v>3.665</v>
      </c>
      <c r="D73" s="9">
        <v>0.78500000000000003</v>
      </c>
      <c r="E73" s="9">
        <v>1.4</v>
      </c>
      <c r="F73" s="9">
        <v>0</v>
      </c>
      <c r="G73" s="9">
        <v>0</v>
      </c>
      <c r="N73" s="9">
        <v>0.84582218161138878</v>
      </c>
      <c r="O73" s="9">
        <v>0.18947561776310218</v>
      </c>
      <c r="P73" s="9">
        <v>3.664486639741376</v>
      </c>
      <c r="Q73" s="9">
        <v>0.50021056959560639</v>
      </c>
      <c r="R73" s="10">
        <v>5.8151659772317583E-5</v>
      </c>
      <c r="S73" s="8">
        <f t="shared" si="3"/>
        <v>4.5822181611388735E-2</v>
      </c>
      <c r="T73" s="8">
        <f t="shared" si="3"/>
        <v>9.4756177631021843E-3</v>
      </c>
      <c r="U73" s="8">
        <f t="shared" si="3"/>
        <v>5.1336025862402934E-4</v>
      </c>
      <c r="V73" s="8">
        <f t="shared" si="3"/>
        <v>0.28478943040439364</v>
      </c>
    </row>
    <row r="74" spans="1:22" x14ac:dyDescent="0.35">
      <c r="A74" s="9">
        <v>0.4</v>
      </c>
      <c r="B74" s="9">
        <v>0.2</v>
      </c>
      <c r="C74" s="9">
        <v>3.665</v>
      </c>
      <c r="D74" s="9">
        <v>0.78500000000000003</v>
      </c>
      <c r="E74" s="9">
        <v>1.4</v>
      </c>
      <c r="F74" s="9">
        <v>0</v>
      </c>
      <c r="G74" s="9">
        <v>0</v>
      </c>
      <c r="N74" s="9">
        <v>0.34657838680391639</v>
      </c>
      <c r="O74" s="9">
        <v>0.19997162984962505</v>
      </c>
      <c r="P74" s="9">
        <v>3.6729413634152488</v>
      </c>
      <c r="Q74" s="9">
        <v>0.73583354517303856</v>
      </c>
      <c r="R74" s="10">
        <v>1.462685648593624E-4</v>
      </c>
      <c r="S74" s="8">
        <f t="shared" si="3"/>
        <v>5.3421613196083628E-2</v>
      </c>
      <c r="T74" s="8">
        <f t="shared" si="3"/>
        <v>2.8370150374962266E-5</v>
      </c>
      <c r="U74" s="8">
        <f t="shared" si="3"/>
        <v>7.9413634152487589E-3</v>
      </c>
      <c r="V74" s="8">
        <f t="shared" si="3"/>
        <v>4.916645482696147E-2</v>
      </c>
    </row>
    <row r="75" spans="1:22" x14ac:dyDescent="0.35">
      <c r="A75" s="9">
        <v>0.4</v>
      </c>
      <c r="B75" s="9">
        <v>0.1</v>
      </c>
      <c r="C75" s="9">
        <v>3.665</v>
      </c>
      <c r="D75" s="9">
        <v>1.571</v>
      </c>
      <c r="E75" s="9">
        <v>1.4</v>
      </c>
      <c r="F75" s="9">
        <v>0</v>
      </c>
      <c r="G75" s="9">
        <v>0</v>
      </c>
      <c r="N75" s="9">
        <v>0.45000804528862864</v>
      </c>
      <c r="O75" s="9">
        <v>0.11947053044570487</v>
      </c>
      <c r="P75" s="9">
        <v>3.6405198592968966</v>
      </c>
      <c r="Q75" s="9">
        <v>2.1802019680333817</v>
      </c>
      <c r="R75" s="10">
        <v>9.4364182508154775E-6</v>
      </c>
      <c r="S75" s="8">
        <f t="shared" si="3"/>
        <v>5.0008045288628622E-2</v>
      </c>
      <c r="T75" s="8">
        <f t="shared" si="3"/>
        <v>1.9470530445704862E-2</v>
      </c>
      <c r="U75" s="8">
        <f t="shared" si="3"/>
        <v>2.4480140703103448E-2</v>
      </c>
      <c r="V75" s="8">
        <f t="shared" si="3"/>
        <v>0.60920196803338178</v>
      </c>
    </row>
    <row r="76" spans="1:22" x14ac:dyDescent="0.35">
      <c r="A76" s="9">
        <v>0.7</v>
      </c>
      <c r="B76" s="9">
        <v>0.1</v>
      </c>
      <c r="C76" s="9">
        <v>3.665</v>
      </c>
      <c r="D76" s="9">
        <v>1.571</v>
      </c>
      <c r="E76" s="9">
        <v>1.4</v>
      </c>
      <c r="F76" s="9">
        <v>0</v>
      </c>
      <c r="G76" s="9">
        <v>0</v>
      </c>
      <c r="N76" s="9">
        <v>0.66190321643068173</v>
      </c>
      <c r="O76" s="9">
        <v>0.11017746381501656</v>
      </c>
      <c r="P76" s="9">
        <v>3.6474493451734658</v>
      </c>
      <c r="Q76" s="9">
        <v>1.3901680560153142</v>
      </c>
      <c r="R76" s="10">
        <v>5.5071077404955846E-5</v>
      </c>
      <c r="S76" s="8">
        <f t="shared" si="3"/>
        <v>3.8096783569318227E-2</v>
      </c>
      <c r="T76" s="8">
        <f t="shared" si="3"/>
        <v>1.0177463815016552E-2</v>
      </c>
      <c r="U76" s="8">
        <f t="shared" si="3"/>
        <v>1.7550654826534284E-2</v>
      </c>
      <c r="V76" s="8">
        <f t="shared" si="3"/>
        <v>0.18083194398468572</v>
      </c>
    </row>
    <row r="77" spans="1:22" x14ac:dyDescent="0.35">
      <c r="A77" s="9">
        <v>0.4</v>
      </c>
      <c r="B77" s="9">
        <v>0.16</v>
      </c>
      <c r="C77" s="9">
        <v>3.665</v>
      </c>
      <c r="D77" s="9">
        <v>1.571</v>
      </c>
      <c r="E77" s="9">
        <v>0</v>
      </c>
      <c r="F77" s="9">
        <v>0</v>
      </c>
      <c r="G77" s="9">
        <v>0</v>
      </c>
      <c r="N77" s="9">
        <v>0.36931219402196797</v>
      </c>
      <c r="O77" s="9">
        <v>0.16722813659430544</v>
      </c>
      <c r="P77" s="9">
        <v>3.6604967708160485</v>
      </c>
      <c r="Q77" s="9">
        <v>1.813114298980367</v>
      </c>
      <c r="R77" s="10">
        <v>1.9503497676647764E-6</v>
      </c>
      <c r="S77" s="8">
        <f t="shared" si="3"/>
        <v>3.0687805978032057E-2</v>
      </c>
      <c r="T77" s="8">
        <f t="shared" si="3"/>
        <v>7.2281365943054343E-3</v>
      </c>
      <c r="U77" s="8">
        <f t="shared" si="3"/>
        <v>4.5032291839515182E-3</v>
      </c>
      <c r="V77" s="8">
        <f t="shared" si="3"/>
        <v>0.24211429898036707</v>
      </c>
    </row>
    <row r="78" spans="1:22" x14ac:dyDescent="0.35">
      <c r="A78" s="9">
        <v>0.3</v>
      </c>
      <c r="B78" s="9">
        <v>0.18</v>
      </c>
      <c r="C78" s="9">
        <v>3.665</v>
      </c>
      <c r="D78" s="9">
        <v>1.571</v>
      </c>
      <c r="E78" s="9">
        <v>0</v>
      </c>
      <c r="F78" s="9">
        <v>0</v>
      </c>
      <c r="G78" s="9">
        <v>0</v>
      </c>
      <c r="N78" s="9">
        <v>0.39234307425990012</v>
      </c>
      <c r="O78" s="9">
        <v>0.16124456026611947</v>
      </c>
      <c r="P78" s="9">
        <v>3.6711313993995893</v>
      </c>
      <c r="Q78" s="9">
        <v>2.274033756343993</v>
      </c>
      <c r="R78" s="10">
        <v>3.5747368146039275E-6</v>
      </c>
      <c r="S78" s="8">
        <f t="shared" si="3"/>
        <v>9.2343074259900126E-2</v>
      </c>
      <c r="T78" s="8">
        <f t="shared" si="3"/>
        <v>1.8755439733880525E-2</v>
      </c>
      <c r="U78" s="8">
        <f t="shared" si="3"/>
        <v>6.1313993995892879E-3</v>
      </c>
      <c r="V78" s="8">
        <f t="shared" si="3"/>
        <v>0.70303375634399301</v>
      </c>
    </row>
    <row r="79" spans="1:22" x14ac:dyDescent="0.35">
      <c r="A79" s="9"/>
      <c r="B79" s="9"/>
      <c r="C79" s="9"/>
      <c r="D79" s="9"/>
      <c r="E79" s="9"/>
      <c r="F79" s="9"/>
      <c r="G79" s="9"/>
      <c r="N79" s="9"/>
      <c r="O79" s="9"/>
      <c r="P79" s="9"/>
      <c r="Q79" s="9"/>
      <c r="R79" s="10"/>
      <c r="S79" s="8"/>
      <c r="T79" s="8"/>
      <c r="U79" s="8"/>
      <c r="V79" s="8"/>
    </row>
    <row r="80" spans="1:22" x14ac:dyDescent="0.35">
      <c r="A80" s="9"/>
      <c r="B80" s="9"/>
      <c r="C80" s="9"/>
      <c r="D80" s="9"/>
      <c r="E80" s="9"/>
      <c r="F80" s="9"/>
      <c r="G80" s="9"/>
      <c r="N80" s="9"/>
      <c r="O80" s="9"/>
      <c r="P80" s="9"/>
      <c r="Q80" s="9"/>
      <c r="R80" s="10"/>
      <c r="S80" s="8"/>
      <c r="T80" s="8"/>
      <c r="U80" s="8"/>
      <c r="V80" s="8"/>
    </row>
    <row r="81" spans="1:22" x14ac:dyDescent="0.35">
      <c r="A81" s="9"/>
      <c r="B81" s="9"/>
      <c r="C81" s="9"/>
      <c r="D81" s="9"/>
      <c r="E81" s="9"/>
      <c r="F81" s="9"/>
      <c r="G81" s="9"/>
      <c r="N81" s="9"/>
      <c r="O81" s="9"/>
      <c r="P81" s="9"/>
      <c r="Q81" s="9"/>
      <c r="R81" s="10"/>
      <c r="S81" s="8"/>
      <c r="T81" s="8"/>
      <c r="U81" s="8"/>
      <c r="V81" s="8"/>
    </row>
    <row r="82" spans="1:22" x14ac:dyDescent="0.35">
      <c r="A82" s="9"/>
      <c r="B82" s="9"/>
      <c r="C82" s="9"/>
      <c r="D82" s="9"/>
      <c r="E82" s="9"/>
      <c r="F82" s="9"/>
      <c r="G82" s="9"/>
      <c r="N82" s="9"/>
      <c r="O82" s="9"/>
      <c r="P82" s="9"/>
      <c r="Q82" s="9"/>
      <c r="R82" s="10"/>
      <c r="S82" s="8"/>
      <c r="T82" s="8"/>
      <c r="U82" s="8"/>
      <c r="V82" s="8"/>
    </row>
    <row r="83" spans="1:22" x14ac:dyDescent="0.35">
      <c r="A83" s="9"/>
      <c r="B83" s="9"/>
      <c r="C83" s="9"/>
      <c r="D83" s="9"/>
      <c r="E83" s="9"/>
      <c r="F83" s="9"/>
      <c r="G83" s="9"/>
      <c r="N83" s="9"/>
      <c r="O83" s="9"/>
      <c r="P83" s="9"/>
      <c r="Q83" s="9"/>
      <c r="R83" s="10"/>
      <c r="S83" s="8"/>
      <c r="T83" s="8"/>
      <c r="U83" s="8"/>
      <c r="V83" s="8"/>
    </row>
    <row r="84" spans="1:22" x14ac:dyDescent="0.35">
      <c r="A84" s="9"/>
      <c r="B84" s="9"/>
      <c r="C84" s="9"/>
      <c r="D84" s="9"/>
      <c r="E84" s="9"/>
      <c r="F84" s="9"/>
      <c r="G84" s="9"/>
      <c r="N84" s="9"/>
      <c r="O84" s="9"/>
      <c r="P84" s="9"/>
      <c r="Q84" s="9"/>
      <c r="R84" s="10"/>
      <c r="S84" s="8"/>
      <c r="T84" s="8"/>
      <c r="U84" s="8"/>
      <c r="V84" s="8"/>
    </row>
    <row r="85" spans="1:22" x14ac:dyDescent="0.35">
      <c r="A85" s="9"/>
      <c r="B85" s="9"/>
      <c r="C85" s="9"/>
      <c r="D85" s="9"/>
      <c r="E85" s="9"/>
      <c r="F85" s="9"/>
      <c r="G85" s="9"/>
      <c r="N85" s="9"/>
      <c r="O85" s="9"/>
      <c r="P85" s="9"/>
      <c r="Q85" s="9"/>
      <c r="R85" s="10"/>
      <c r="S85" s="8"/>
      <c r="T85" s="8"/>
      <c r="U85" s="8"/>
      <c r="V85" s="8"/>
    </row>
    <row r="86" spans="1:22" x14ac:dyDescent="0.35">
      <c r="A86" s="9"/>
      <c r="B86" s="9"/>
      <c r="C86" s="9"/>
      <c r="D86" s="9"/>
      <c r="E86" s="9"/>
      <c r="F86" s="9"/>
      <c r="G86" s="9"/>
      <c r="N86" s="9"/>
      <c r="O86" s="9"/>
      <c r="P86" s="9"/>
      <c r="Q86" s="9"/>
      <c r="R86" s="10"/>
      <c r="S86" s="8"/>
      <c r="T86" s="8"/>
      <c r="U86" s="8"/>
      <c r="V86" s="8"/>
    </row>
    <row r="87" spans="1:22" x14ac:dyDescent="0.35">
      <c r="A87" s="9"/>
      <c r="B87" s="9"/>
      <c r="C87" s="9"/>
      <c r="D87" s="9"/>
      <c r="E87" s="9"/>
      <c r="F87" s="9"/>
      <c r="G87" s="9"/>
      <c r="N87" s="9"/>
      <c r="O87" s="9"/>
      <c r="P87" s="9"/>
      <c r="Q87" s="9"/>
      <c r="R87" s="10"/>
      <c r="S87" s="8"/>
      <c r="T87" s="8"/>
      <c r="U87" s="8"/>
      <c r="V87" s="8"/>
    </row>
    <row r="88" spans="1:22" x14ac:dyDescent="0.35">
      <c r="A88" s="9"/>
      <c r="B88" s="9"/>
      <c r="C88" s="9"/>
      <c r="D88" s="9"/>
      <c r="E88" s="9"/>
      <c r="F88" s="9"/>
      <c r="G88" s="9"/>
      <c r="N88" s="9"/>
      <c r="O88" s="9"/>
      <c r="P88" s="9"/>
      <c r="Q88" s="9"/>
      <c r="R88" s="10"/>
      <c r="S88" s="8"/>
      <c r="T88" s="8"/>
      <c r="U88" s="8"/>
      <c r="V88" s="8"/>
    </row>
    <row r="89" spans="1:22" x14ac:dyDescent="0.35">
      <c r="A89" s="9"/>
      <c r="B89" s="9"/>
      <c r="C89" s="9"/>
      <c r="D89" s="9"/>
      <c r="E89" s="9"/>
      <c r="F89" s="9"/>
      <c r="G89" s="9"/>
      <c r="N89" s="9"/>
      <c r="O89" s="9"/>
      <c r="P89" s="9"/>
      <c r="Q89" s="9"/>
      <c r="R89" s="10"/>
      <c r="S89" s="8"/>
      <c r="T89" s="8"/>
      <c r="U89" s="8"/>
      <c r="V89" s="8"/>
    </row>
    <row r="90" spans="1:22" x14ac:dyDescent="0.35">
      <c r="A90" s="9"/>
      <c r="B90" s="9"/>
      <c r="C90" s="9"/>
      <c r="D90" s="9"/>
      <c r="E90" s="9"/>
      <c r="F90" s="9"/>
      <c r="G90" s="9"/>
      <c r="N90" s="9"/>
      <c r="O90" s="9"/>
      <c r="P90" s="9"/>
      <c r="Q90" s="9"/>
      <c r="R90" s="10"/>
      <c r="S90" s="8"/>
      <c r="T90" s="8"/>
      <c r="U90" s="8"/>
      <c r="V90" s="8"/>
    </row>
    <row r="91" spans="1:22" x14ac:dyDescent="0.35">
      <c r="A91" s="9"/>
      <c r="B91" s="9"/>
      <c r="C91" s="9"/>
      <c r="D91" s="9"/>
      <c r="E91" s="9"/>
      <c r="F91" s="9"/>
      <c r="G91" s="9"/>
      <c r="N91" s="9"/>
      <c r="O91" s="9"/>
      <c r="P91" s="9"/>
      <c r="Q91" s="9"/>
      <c r="R91" s="10"/>
      <c r="S91" s="8"/>
      <c r="T91" s="8"/>
      <c r="U91" s="8"/>
      <c r="V91" s="8"/>
    </row>
    <row r="92" spans="1:22" x14ac:dyDescent="0.35">
      <c r="A92" s="9"/>
      <c r="B92" s="9"/>
      <c r="C92" s="9"/>
      <c r="D92" s="9"/>
      <c r="E92" s="9"/>
      <c r="F92" s="9"/>
      <c r="G92" s="9"/>
      <c r="N92" s="9"/>
      <c r="O92" s="9"/>
      <c r="P92" s="9"/>
      <c r="Q92" s="9"/>
      <c r="R92" s="10"/>
      <c r="S92" s="8"/>
      <c r="T92" s="8"/>
      <c r="U92" s="8"/>
      <c r="V92" s="8"/>
    </row>
    <row r="93" spans="1:22" x14ac:dyDescent="0.35">
      <c r="A93" s="9"/>
      <c r="B93" s="9"/>
      <c r="C93" s="9"/>
      <c r="D93" s="9"/>
      <c r="E93" s="9"/>
      <c r="F93" s="9"/>
      <c r="G93" s="9"/>
      <c r="N93" s="9"/>
      <c r="O93" s="9"/>
      <c r="P93" s="9"/>
      <c r="Q93" s="9"/>
      <c r="R93" s="10"/>
      <c r="S93" s="8"/>
      <c r="T93" s="8"/>
      <c r="U93" s="8"/>
      <c r="V93" s="8"/>
    </row>
    <row r="94" spans="1:22" x14ac:dyDescent="0.35">
      <c r="A94" s="9"/>
      <c r="B94" s="9"/>
      <c r="C94" s="9"/>
      <c r="D94" s="9"/>
      <c r="E94" s="9"/>
      <c r="F94" s="9"/>
      <c r="G94" s="9"/>
      <c r="N94" s="9"/>
      <c r="O94" s="9"/>
      <c r="P94" s="9"/>
      <c r="Q94" s="9"/>
      <c r="R94" s="10"/>
      <c r="S94" s="8"/>
      <c r="T94" s="8"/>
      <c r="U94" s="8"/>
      <c r="V94" s="8"/>
    </row>
    <row r="95" spans="1:22" x14ac:dyDescent="0.35">
      <c r="A95" s="9"/>
      <c r="B95" s="9"/>
      <c r="C95" s="9"/>
      <c r="D95" s="9"/>
      <c r="E95" s="9"/>
      <c r="F95" s="9"/>
      <c r="G95" s="9"/>
      <c r="N95" s="9"/>
      <c r="O95" s="9"/>
      <c r="P95" s="9"/>
      <c r="Q95" s="9"/>
      <c r="R95" s="10"/>
      <c r="S95" s="8"/>
      <c r="T95" s="8"/>
      <c r="U95" s="8"/>
      <c r="V95" s="8"/>
    </row>
    <row r="96" spans="1:22" x14ac:dyDescent="0.35">
      <c r="A96" s="9"/>
      <c r="B96" s="9"/>
      <c r="C96" s="9"/>
      <c r="D96" s="9"/>
      <c r="E96" s="9"/>
      <c r="F96" s="9"/>
      <c r="G96" s="9"/>
      <c r="N96" s="9"/>
      <c r="O96" s="9"/>
      <c r="P96" s="9"/>
      <c r="Q96" s="9"/>
      <c r="R96" s="10"/>
      <c r="S96" s="8"/>
      <c r="T96" s="8"/>
      <c r="U96" s="8"/>
      <c r="V96" s="8"/>
    </row>
    <row r="97" spans="1:22" x14ac:dyDescent="0.35">
      <c r="A97" s="9"/>
      <c r="B97" s="9"/>
      <c r="C97" s="9"/>
      <c r="D97" s="9"/>
      <c r="E97" s="9"/>
      <c r="F97" s="9"/>
      <c r="G97" s="9"/>
      <c r="N97" s="9"/>
      <c r="O97" s="9"/>
      <c r="P97" s="9"/>
      <c r="Q97" s="9"/>
      <c r="R97" s="10"/>
      <c r="S97" s="8"/>
      <c r="T97" s="8"/>
      <c r="U97" s="8"/>
      <c r="V97" s="8"/>
    </row>
    <row r="98" spans="1:22" x14ac:dyDescent="0.35">
      <c r="A98" s="9"/>
      <c r="B98" s="9"/>
      <c r="C98" s="9"/>
      <c r="D98" s="9"/>
      <c r="E98" s="9"/>
      <c r="F98" s="9"/>
      <c r="G98" s="9"/>
      <c r="N98" s="9"/>
      <c r="O98" s="9"/>
      <c r="P98" s="9"/>
      <c r="Q98" s="9"/>
      <c r="R98" s="10"/>
      <c r="S98" s="8"/>
      <c r="T98" s="8"/>
      <c r="U98" s="8"/>
      <c r="V98" s="8"/>
    </row>
    <row r="99" spans="1:22" x14ac:dyDescent="0.35">
      <c r="A99" s="9"/>
      <c r="B99" s="9"/>
      <c r="C99" s="9"/>
      <c r="D99" s="9"/>
      <c r="E99" s="9"/>
      <c r="F99" s="9"/>
      <c r="G99" s="9"/>
      <c r="N99" s="9"/>
      <c r="O99" s="9"/>
      <c r="P99" s="9"/>
      <c r="Q99" s="9"/>
      <c r="R99" s="10"/>
      <c r="S99" s="8"/>
      <c r="T99" s="8"/>
      <c r="U99" s="8"/>
      <c r="V99" s="8"/>
    </row>
    <row r="100" spans="1:22" x14ac:dyDescent="0.35">
      <c r="A100" s="9"/>
      <c r="B100" s="9"/>
      <c r="C100" s="9"/>
      <c r="D100" s="9"/>
      <c r="E100" s="9"/>
      <c r="F100" s="9"/>
      <c r="G100" s="9"/>
      <c r="N100" s="9"/>
      <c r="O100" s="9"/>
      <c r="P100" s="9"/>
      <c r="Q100" s="9"/>
      <c r="R100" s="10"/>
      <c r="S100" s="8"/>
      <c r="T100" s="8"/>
      <c r="U100" s="8"/>
      <c r="V100" s="8"/>
    </row>
    <row r="101" spans="1:22" x14ac:dyDescent="0.35">
      <c r="A101" s="9"/>
      <c r="B101" s="9"/>
      <c r="C101" s="9"/>
      <c r="D101" s="9"/>
      <c r="E101" s="9"/>
      <c r="F101" s="9"/>
      <c r="G101" s="9"/>
      <c r="N101" s="9"/>
      <c r="O101" s="9"/>
      <c r="P101" s="9"/>
      <c r="Q101" s="9"/>
      <c r="R101" s="10"/>
      <c r="S101" s="8"/>
      <c r="T101" s="8"/>
      <c r="U101" s="8"/>
      <c r="V101" s="8"/>
    </row>
    <row r="102" spans="1:22" x14ac:dyDescent="0.35">
      <c r="A102" s="9"/>
      <c r="B102" s="9"/>
      <c r="C102" s="9"/>
      <c r="D102" s="9"/>
      <c r="E102" s="9"/>
      <c r="F102" s="9"/>
      <c r="G102" s="9"/>
      <c r="N102" s="9"/>
      <c r="O102" s="9"/>
      <c r="P102" s="9"/>
      <c r="Q102" s="9"/>
      <c r="R102" s="10"/>
      <c r="S102" s="8"/>
      <c r="T102" s="8"/>
      <c r="U102" s="8"/>
      <c r="V102" s="8"/>
    </row>
    <row r="103" spans="1:22" x14ac:dyDescent="0.35">
      <c r="A103" s="9"/>
      <c r="B103" s="9"/>
      <c r="C103" s="9"/>
      <c r="D103" s="9"/>
      <c r="E103" s="9"/>
      <c r="F103" s="9"/>
      <c r="G103" s="9"/>
      <c r="N103" s="9"/>
      <c r="O103" s="9"/>
      <c r="P103" s="9"/>
      <c r="Q103" s="9"/>
      <c r="R103" s="10"/>
      <c r="S103" s="8"/>
      <c r="T103" s="8"/>
      <c r="U103" s="8"/>
      <c r="V103" s="8"/>
    </row>
    <row r="104" spans="1:22" x14ac:dyDescent="0.35">
      <c r="A104" s="9"/>
      <c r="B104" s="9"/>
      <c r="C104" s="9"/>
      <c r="D104" s="9"/>
      <c r="E104" s="9"/>
      <c r="F104" s="9"/>
      <c r="G104" s="9"/>
      <c r="N104" s="9"/>
      <c r="O104" s="9"/>
      <c r="P104" s="9"/>
      <c r="Q104" s="9"/>
      <c r="R104" s="10"/>
      <c r="S104" s="8"/>
      <c r="T104" s="8"/>
      <c r="U104" s="8"/>
      <c r="V104" s="8"/>
    </row>
    <row r="105" spans="1:22" x14ac:dyDescent="0.35">
      <c r="A105" s="9"/>
      <c r="B105" s="9"/>
      <c r="C105" s="9"/>
      <c r="D105" s="9"/>
      <c r="E105" s="9"/>
      <c r="F105" s="9"/>
      <c r="G105" s="9"/>
      <c r="N105" s="9"/>
      <c r="O105" s="9"/>
      <c r="P105" s="9"/>
      <c r="Q105" s="9"/>
      <c r="R105" s="10"/>
      <c r="S105" s="8"/>
      <c r="T105" s="8"/>
      <c r="U105" s="8"/>
      <c r="V105" s="8"/>
    </row>
    <row r="106" spans="1:22" x14ac:dyDescent="0.35">
      <c r="A106" s="9"/>
      <c r="B106" s="9"/>
      <c r="C106" s="9"/>
      <c r="D106" s="9"/>
      <c r="E106" s="9"/>
      <c r="F106" s="9"/>
      <c r="G106" s="9"/>
      <c r="N106" s="9"/>
      <c r="O106" s="9"/>
      <c r="P106" s="9"/>
      <c r="Q106" s="9"/>
      <c r="R106" s="10"/>
      <c r="S106" s="8"/>
      <c r="T106" s="8"/>
      <c r="U106" s="8"/>
      <c r="V106" s="8"/>
    </row>
    <row r="107" spans="1:22" x14ac:dyDescent="0.35">
      <c r="A107" s="9"/>
      <c r="B107" s="9"/>
      <c r="C107" s="9"/>
      <c r="D107" s="9"/>
      <c r="E107" s="9"/>
      <c r="F107" s="9"/>
      <c r="G107" s="9"/>
      <c r="N107" s="9"/>
      <c r="O107" s="9"/>
      <c r="P107" s="9"/>
      <c r="Q107" s="9"/>
      <c r="R107" s="10"/>
      <c r="S107" s="8"/>
      <c r="T107" s="8"/>
      <c r="U107" s="8"/>
      <c r="V107" s="8"/>
    </row>
    <row r="108" spans="1:22" x14ac:dyDescent="0.35">
      <c r="A108" s="9"/>
      <c r="B108" s="9"/>
      <c r="C108" s="9"/>
      <c r="D108" s="9"/>
      <c r="E108" s="9"/>
      <c r="F108" s="9"/>
      <c r="G108" s="9"/>
      <c r="N108" s="9"/>
      <c r="O108" s="9"/>
      <c r="P108" s="9"/>
      <c r="Q108" s="9"/>
      <c r="R108" s="10"/>
      <c r="S108" s="8"/>
      <c r="T108" s="8"/>
      <c r="U108" s="8"/>
      <c r="V108" s="8"/>
    </row>
    <row r="109" spans="1:22" x14ac:dyDescent="0.35">
      <c r="A109" s="9"/>
      <c r="B109" s="9"/>
      <c r="C109" s="9"/>
      <c r="D109" s="9"/>
      <c r="E109" s="9"/>
      <c r="F109" s="9"/>
      <c r="G109" s="9"/>
      <c r="N109" s="9"/>
      <c r="O109" s="9"/>
      <c r="P109" s="9"/>
      <c r="Q109" s="9"/>
      <c r="R109" s="10"/>
      <c r="S109" s="8"/>
      <c r="T109" s="8"/>
      <c r="U109" s="8"/>
      <c r="V109" s="8"/>
    </row>
    <row r="110" spans="1:22" x14ac:dyDescent="0.35">
      <c r="A110" s="9"/>
      <c r="B110" s="9"/>
      <c r="C110" s="9"/>
      <c r="D110" s="9"/>
      <c r="E110" s="9"/>
      <c r="F110" s="9"/>
      <c r="G110" s="9"/>
      <c r="N110" s="9"/>
      <c r="O110" s="9"/>
      <c r="P110" s="9"/>
      <c r="Q110" s="9"/>
      <c r="R110" s="10"/>
      <c r="S110" s="8"/>
      <c r="T110" s="8"/>
      <c r="U110" s="8"/>
      <c r="V110" s="8"/>
    </row>
    <row r="111" spans="1:22" x14ac:dyDescent="0.35">
      <c r="A111" s="9"/>
      <c r="B111" s="9"/>
      <c r="C111" s="9"/>
      <c r="D111" s="9"/>
      <c r="E111" s="9"/>
      <c r="F111" s="9"/>
      <c r="G111" s="9"/>
      <c r="N111" s="9"/>
      <c r="O111" s="9"/>
      <c r="P111" s="9"/>
      <c r="Q111" s="9"/>
      <c r="R111" s="10"/>
      <c r="S111" s="8"/>
      <c r="T111" s="8"/>
      <c r="U111" s="8"/>
      <c r="V111" s="8"/>
    </row>
    <row r="112" spans="1:22" x14ac:dyDescent="0.35">
      <c r="A112" s="9"/>
      <c r="B112" s="9"/>
      <c r="C112" s="9"/>
      <c r="D112" s="9"/>
      <c r="E112" s="9"/>
      <c r="F112" s="9"/>
      <c r="G112" s="9"/>
      <c r="N112" s="9"/>
      <c r="O112" s="9"/>
      <c r="P112" s="9"/>
      <c r="Q112" s="9"/>
      <c r="R112" s="10"/>
      <c r="S112" s="8"/>
      <c r="T112" s="8"/>
      <c r="U112" s="8"/>
      <c r="V112" s="8"/>
    </row>
    <row r="113" spans="1:22" x14ac:dyDescent="0.35">
      <c r="A113" s="9"/>
      <c r="B113" s="9"/>
      <c r="C113" s="9"/>
      <c r="D113" s="9"/>
      <c r="E113" s="9"/>
      <c r="F113" s="9"/>
      <c r="G113" s="9"/>
      <c r="N113" s="9"/>
      <c r="O113" s="9"/>
      <c r="P113" s="9"/>
      <c r="Q113" s="9"/>
      <c r="R113" s="10"/>
      <c r="S113" s="8"/>
      <c r="T113" s="8"/>
      <c r="U113" s="8"/>
      <c r="V113" s="8"/>
    </row>
    <row r="114" spans="1:22" x14ac:dyDescent="0.35">
      <c r="A114" s="9"/>
      <c r="B114" s="9"/>
      <c r="C114" s="9"/>
      <c r="D114" s="9"/>
      <c r="E114" s="9"/>
      <c r="F114" s="9"/>
      <c r="G114" s="9"/>
      <c r="N114" s="9"/>
      <c r="O114" s="9"/>
      <c r="P114" s="9"/>
      <c r="Q114" s="9"/>
      <c r="R114" s="10"/>
      <c r="S114" s="8"/>
      <c r="T114" s="8"/>
      <c r="U114" s="8"/>
      <c r="V114" s="8"/>
    </row>
    <row r="115" spans="1:22" x14ac:dyDescent="0.35">
      <c r="A115" s="9"/>
      <c r="B115" s="9"/>
      <c r="C115" s="9"/>
      <c r="D115" s="9"/>
      <c r="E115" s="9"/>
      <c r="F115" s="9"/>
      <c r="G115" s="9"/>
      <c r="N115" s="9"/>
      <c r="O115" s="9"/>
      <c r="P115" s="9"/>
      <c r="Q115" s="9"/>
      <c r="R115" s="10"/>
      <c r="S115" s="8"/>
      <c r="T115" s="8"/>
      <c r="U115" s="8"/>
      <c r="V115" s="8"/>
    </row>
    <row r="116" spans="1:22" x14ac:dyDescent="0.35">
      <c r="A116" s="9"/>
      <c r="B116" s="9"/>
      <c r="C116" s="9"/>
      <c r="D116" s="9"/>
      <c r="E116" s="9"/>
      <c r="F116" s="9"/>
      <c r="G116" s="9"/>
      <c r="N116" s="9"/>
      <c r="O116" s="9"/>
      <c r="P116" s="9"/>
      <c r="Q116" s="9"/>
      <c r="R116" s="10"/>
      <c r="S116" s="8"/>
      <c r="T116" s="8"/>
      <c r="U116" s="8"/>
      <c r="V116" s="8"/>
    </row>
    <row r="117" spans="1:22" x14ac:dyDescent="0.35">
      <c r="A117" s="9"/>
      <c r="B117" s="9"/>
      <c r="C117" s="9"/>
      <c r="D117" s="9"/>
      <c r="E117" s="9"/>
      <c r="F117" s="9"/>
      <c r="G117" s="9"/>
      <c r="N117" s="9"/>
      <c r="O117" s="9"/>
      <c r="P117" s="9"/>
      <c r="Q117" s="9"/>
      <c r="R117" s="10"/>
      <c r="S117" s="8"/>
      <c r="T117" s="8"/>
      <c r="U117" s="8"/>
      <c r="V117" s="8"/>
    </row>
    <row r="118" spans="1:22" x14ac:dyDescent="0.35">
      <c r="A118" s="9"/>
      <c r="B118" s="9"/>
      <c r="C118" s="9"/>
      <c r="D118" s="9"/>
      <c r="E118" s="9"/>
      <c r="F118" s="9"/>
      <c r="G118" s="9"/>
      <c r="N118" s="9"/>
      <c r="O118" s="9"/>
      <c r="P118" s="9"/>
      <c r="Q118" s="9"/>
      <c r="R118" s="10"/>
      <c r="S118" s="8"/>
      <c r="T118" s="8"/>
      <c r="U118" s="8"/>
      <c r="V118" s="8"/>
    </row>
    <row r="119" spans="1:22" x14ac:dyDescent="0.35">
      <c r="A119" s="9"/>
      <c r="B119" s="9"/>
      <c r="C119" s="9"/>
      <c r="D119" s="9"/>
      <c r="E119" s="9"/>
      <c r="F119" s="9"/>
      <c r="G119" s="9"/>
      <c r="N119" s="9"/>
      <c r="O119" s="9"/>
      <c r="P119" s="9"/>
      <c r="Q119" s="9"/>
      <c r="R119" s="10"/>
      <c r="S119" s="8"/>
      <c r="T119" s="8"/>
      <c r="U119" s="8"/>
      <c r="V119" s="8"/>
    </row>
    <row r="120" spans="1:22" x14ac:dyDescent="0.35">
      <c r="A120" s="9"/>
      <c r="B120" s="9"/>
      <c r="C120" s="9"/>
      <c r="D120" s="9"/>
      <c r="E120" s="9"/>
      <c r="F120" s="9"/>
      <c r="G120" s="9"/>
      <c r="N120" s="9"/>
      <c r="O120" s="9"/>
      <c r="P120" s="9"/>
      <c r="Q120" s="9"/>
      <c r="R120" s="10"/>
      <c r="S120" s="8"/>
      <c r="T120" s="8"/>
      <c r="U120" s="8"/>
      <c r="V120" s="8"/>
    </row>
    <row r="121" spans="1:22" x14ac:dyDescent="0.35">
      <c r="A121" s="9"/>
      <c r="B121" s="9"/>
      <c r="C121" s="9"/>
      <c r="D121" s="9"/>
      <c r="E121" s="9"/>
      <c r="F121" s="9"/>
      <c r="G121" s="9"/>
      <c r="N121" s="9"/>
      <c r="O121" s="9"/>
      <c r="P121" s="9"/>
      <c r="Q121" s="9"/>
      <c r="R121" s="10"/>
      <c r="S121" s="8"/>
      <c r="T121" s="8"/>
      <c r="U121" s="8"/>
      <c r="V121" s="8"/>
    </row>
    <row r="122" spans="1:22" x14ac:dyDescent="0.35">
      <c r="A122" s="9"/>
      <c r="B122" s="9"/>
      <c r="C122" s="9"/>
      <c r="D122" s="9"/>
      <c r="E122" s="9"/>
      <c r="F122" s="9"/>
      <c r="G122" s="9"/>
      <c r="N122" s="9"/>
      <c r="O122" s="9"/>
      <c r="P122" s="9"/>
      <c r="Q122" s="9"/>
      <c r="R122" s="10"/>
      <c r="S122" s="8"/>
      <c r="T122" s="8"/>
      <c r="U122" s="8"/>
      <c r="V122" s="8"/>
    </row>
    <row r="123" spans="1:22" x14ac:dyDescent="0.35">
      <c r="A123" s="9"/>
      <c r="B123" s="9"/>
      <c r="C123" s="9"/>
      <c r="D123" s="9"/>
      <c r="E123" s="9"/>
      <c r="F123" s="9"/>
      <c r="G123" s="9"/>
      <c r="N123" s="9"/>
      <c r="O123" s="9"/>
      <c r="P123" s="9"/>
      <c r="Q123" s="9"/>
      <c r="R123" s="10"/>
      <c r="S123" s="8"/>
      <c r="T123" s="8"/>
      <c r="U123" s="8"/>
      <c r="V123" s="8"/>
    </row>
    <row r="124" spans="1:22" x14ac:dyDescent="0.35">
      <c r="A124" s="9"/>
      <c r="B124" s="9"/>
      <c r="C124" s="9"/>
      <c r="D124" s="9"/>
      <c r="E124" s="9"/>
      <c r="F124" s="9"/>
      <c r="G124" s="9"/>
      <c r="N124" s="9"/>
      <c r="O124" s="9"/>
      <c r="P124" s="9"/>
      <c r="Q124" s="9"/>
      <c r="R124" s="10"/>
      <c r="S124" s="8"/>
      <c r="T124" s="8"/>
      <c r="U124" s="8"/>
      <c r="V124" s="8"/>
    </row>
    <row r="125" spans="1:22" x14ac:dyDescent="0.35">
      <c r="A125" s="9"/>
      <c r="B125" s="9"/>
      <c r="C125" s="9"/>
      <c r="D125" s="9"/>
      <c r="E125" s="9"/>
      <c r="F125" s="9"/>
      <c r="G125" s="9"/>
      <c r="N125" s="9"/>
      <c r="O125" s="9"/>
      <c r="P125" s="9"/>
      <c r="Q125" s="9"/>
      <c r="R125" s="10"/>
      <c r="S125" s="8"/>
      <c r="T125" s="8"/>
      <c r="U125" s="8"/>
      <c r="V125" s="8"/>
    </row>
    <row r="126" spans="1:22" x14ac:dyDescent="0.35">
      <c r="A126" s="9"/>
      <c r="B126" s="9"/>
      <c r="C126" s="9"/>
      <c r="D126" s="9"/>
      <c r="E126" s="9"/>
      <c r="F126" s="9"/>
      <c r="G126" s="9"/>
      <c r="N126" s="9"/>
      <c r="O126" s="9"/>
      <c r="P126" s="9"/>
      <c r="Q126" s="9"/>
      <c r="R126" s="10"/>
      <c r="S126" s="8"/>
      <c r="T126" s="8"/>
      <c r="U126" s="8"/>
      <c r="V126" s="8"/>
    </row>
    <row r="127" spans="1:22" x14ac:dyDescent="0.35">
      <c r="A127" s="9"/>
      <c r="B127" s="9"/>
      <c r="C127" s="9"/>
      <c r="D127" s="9"/>
      <c r="E127" s="9"/>
      <c r="F127" s="9"/>
      <c r="G127" s="9"/>
      <c r="N127" s="9"/>
      <c r="O127" s="9"/>
      <c r="P127" s="9"/>
      <c r="Q127" s="9"/>
      <c r="R127" s="10"/>
      <c r="S127" s="8"/>
      <c r="T127" s="8"/>
      <c r="U127" s="8"/>
      <c r="V127" s="8"/>
    </row>
    <row r="128" spans="1:22" x14ac:dyDescent="0.35">
      <c r="A128" s="9"/>
      <c r="B128" s="9"/>
      <c r="C128" s="9"/>
      <c r="D128" s="9"/>
      <c r="E128" s="9"/>
      <c r="F128" s="9"/>
      <c r="G128" s="9"/>
      <c r="N128" s="9"/>
      <c r="O128" s="9"/>
      <c r="P128" s="9"/>
      <c r="Q128" s="9"/>
      <c r="R128" s="10"/>
      <c r="S128" s="8"/>
      <c r="T128" s="8"/>
      <c r="U128" s="8"/>
      <c r="V128" s="8"/>
    </row>
    <row r="129" spans="1:22" x14ac:dyDescent="0.35">
      <c r="A129" s="9"/>
      <c r="B129" s="9"/>
      <c r="C129" s="9"/>
      <c r="D129" s="9"/>
      <c r="E129" s="9"/>
      <c r="F129" s="9"/>
      <c r="G129" s="9"/>
      <c r="N129" s="9"/>
      <c r="O129" s="9"/>
      <c r="P129" s="9"/>
      <c r="Q129" s="9"/>
      <c r="R129" s="10"/>
      <c r="S129" s="8"/>
      <c r="T129" s="8"/>
      <c r="U129" s="8"/>
      <c r="V129" s="8"/>
    </row>
    <row r="130" spans="1:22" x14ac:dyDescent="0.35">
      <c r="A130" s="9"/>
      <c r="B130" s="9"/>
      <c r="C130" s="9"/>
      <c r="D130" s="9"/>
      <c r="E130" s="9"/>
      <c r="F130" s="9"/>
      <c r="G130" s="9"/>
      <c r="N130" s="9"/>
      <c r="O130" s="9"/>
      <c r="P130" s="9"/>
      <c r="Q130" s="9"/>
      <c r="R130" s="10"/>
      <c r="S130" s="8"/>
      <c r="T130" s="8"/>
      <c r="U130" s="8"/>
      <c r="V130" s="8"/>
    </row>
    <row r="131" spans="1:22" x14ac:dyDescent="0.35">
      <c r="A131" s="9"/>
      <c r="B131" s="9"/>
      <c r="C131" s="9"/>
      <c r="D131" s="9"/>
      <c r="E131" s="9"/>
      <c r="F131" s="9"/>
      <c r="G131" s="9"/>
      <c r="N131" s="9"/>
      <c r="O131" s="9"/>
      <c r="P131" s="9"/>
      <c r="Q131" s="9"/>
      <c r="R131" s="10"/>
      <c r="S131" s="8"/>
      <c r="T131" s="8"/>
      <c r="U131" s="8"/>
      <c r="V131" s="8"/>
    </row>
    <row r="132" spans="1:22" x14ac:dyDescent="0.35">
      <c r="A132" s="9"/>
      <c r="B132" s="9"/>
      <c r="C132" s="9"/>
      <c r="D132" s="9"/>
      <c r="E132" s="9"/>
      <c r="F132" s="9"/>
      <c r="G132" s="9"/>
      <c r="N132" s="9"/>
      <c r="O132" s="9"/>
      <c r="P132" s="9"/>
      <c r="Q132" s="9"/>
      <c r="R132" s="10"/>
      <c r="S132" s="8"/>
      <c r="T132" s="8"/>
      <c r="U132" s="8"/>
      <c r="V132" s="8"/>
    </row>
    <row r="133" spans="1:22" x14ac:dyDescent="0.35">
      <c r="A133" s="9"/>
      <c r="B133" s="9"/>
      <c r="C133" s="9"/>
      <c r="D133" s="9"/>
      <c r="E133" s="9"/>
      <c r="F133" s="9"/>
      <c r="G133" s="9"/>
      <c r="N133" s="9"/>
      <c r="O133" s="9"/>
      <c r="P133" s="9"/>
      <c r="Q133" s="9"/>
      <c r="R133" s="10"/>
      <c r="S133" s="8"/>
      <c r="T133" s="8"/>
      <c r="U133" s="8"/>
      <c r="V133" s="8"/>
    </row>
    <row r="134" spans="1:22" x14ac:dyDescent="0.35">
      <c r="A134" s="9"/>
      <c r="B134" s="9"/>
      <c r="C134" s="9"/>
      <c r="D134" s="9"/>
      <c r="E134" s="9"/>
      <c r="F134" s="9"/>
      <c r="G134" s="9"/>
      <c r="N134" s="9"/>
      <c r="O134" s="9"/>
      <c r="P134" s="9"/>
      <c r="Q134" s="9"/>
      <c r="R134" s="10"/>
      <c r="S134" s="8"/>
      <c r="T134" s="8"/>
      <c r="U134" s="8"/>
      <c r="V134" s="8"/>
    </row>
    <row r="135" spans="1:22" x14ac:dyDescent="0.35">
      <c r="A135" s="9"/>
      <c r="B135" s="9"/>
      <c r="C135" s="9"/>
      <c r="D135" s="9"/>
      <c r="E135" s="9"/>
      <c r="F135" s="9"/>
      <c r="G135" s="9"/>
      <c r="N135" s="9"/>
      <c r="O135" s="9"/>
      <c r="P135" s="9"/>
      <c r="Q135" s="9"/>
      <c r="R135" s="10"/>
      <c r="S135" s="8"/>
      <c r="T135" s="8"/>
      <c r="U135" s="8"/>
      <c r="V135" s="8"/>
    </row>
    <row r="136" spans="1:22" x14ac:dyDescent="0.35">
      <c r="A136" s="9"/>
      <c r="B136" s="9"/>
      <c r="C136" s="9"/>
      <c r="D136" s="9"/>
      <c r="E136" s="9"/>
      <c r="F136" s="9"/>
      <c r="G136" s="9"/>
      <c r="N136" s="9"/>
      <c r="O136" s="9"/>
      <c r="P136" s="9"/>
      <c r="Q136" s="9"/>
      <c r="R136" s="10"/>
      <c r="S136" s="8"/>
      <c r="T136" s="8"/>
      <c r="U136" s="8"/>
      <c r="V136" s="8"/>
    </row>
    <row r="137" spans="1:22" x14ac:dyDescent="0.35">
      <c r="A137" s="9"/>
      <c r="B137" s="9"/>
      <c r="C137" s="9"/>
      <c r="D137" s="9"/>
      <c r="E137" s="9"/>
      <c r="F137" s="9"/>
      <c r="G137" s="9"/>
      <c r="N137" s="9"/>
      <c r="O137" s="9"/>
      <c r="P137" s="9"/>
      <c r="Q137" s="9"/>
      <c r="R137" s="10"/>
      <c r="S137" s="8"/>
      <c r="T137" s="8"/>
      <c r="U137" s="8"/>
      <c r="V137" s="8"/>
    </row>
    <row r="138" spans="1:22" x14ac:dyDescent="0.35">
      <c r="A138" s="9"/>
      <c r="B138" s="9"/>
      <c r="C138" s="9"/>
      <c r="D138" s="9"/>
      <c r="E138" s="9"/>
      <c r="F138" s="9"/>
      <c r="G138" s="9"/>
      <c r="N138" s="9"/>
      <c r="O138" s="9"/>
      <c r="P138" s="9"/>
      <c r="Q138" s="9"/>
      <c r="R138" s="10"/>
      <c r="S138" s="8"/>
      <c r="T138" s="8"/>
      <c r="U138" s="8"/>
      <c r="V138" s="8"/>
    </row>
    <row r="139" spans="1:22" x14ac:dyDescent="0.35">
      <c r="A139" s="9"/>
      <c r="B139" s="9"/>
      <c r="C139" s="9"/>
      <c r="D139" s="9"/>
      <c r="E139" s="9"/>
      <c r="F139" s="9"/>
      <c r="G139" s="9"/>
      <c r="N139" s="9"/>
      <c r="O139" s="9"/>
      <c r="P139" s="9"/>
      <c r="Q139" s="9"/>
      <c r="R139" s="10"/>
      <c r="S139" s="8"/>
      <c r="T139" s="8"/>
      <c r="U139" s="8"/>
      <c r="V139" s="8"/>
    </row>
    <row r="140" spans="1:22" x14ac:dyDescent="0.35">
      <c r="A140" s="9"/>
      <c r="B140" s="9"/>
      <c r="C140" s="9"/>
      <c r="D140" s="9"/>
      <c r="E140" s="9"/>
      <c r="F140" s="9"/>
      <c r="G140" s="9"/>
      <c r="N140" s="9"/>
      <c r="O140" s="9"/>
      <c r="P140" s="9"/>
      <c r="Q140" s="9"/>
      <c r="R140" s="10"/>
      <c r="S140" s="8"/>
      <c r="T140" s="8"/>
      <c r="U140" s="8"/>
      <c r="V140" s="8"/>
    </row>
    <row r="141" spans="1:22" x14ac:dyDescent="0.35">
      <c r="A141" s="9"/>
      <c r="B141" s="9"/>
      <c r="C141" s="9"/>
      <c r="D141" s="9"/>
      <c r="E141" s="9"/>
      <c r="F141" s="9"/>
      <c r="G141" s="9"/>
      <c r="N141" s="9"/>
      <c r="O141" s="9"/>
      <c r="P141" s="9"/>
      <c r="Q141" s="9"/>
      <c r="R141" s="10"/>
      <c r="S141" s="8"/>
      <c r="T141" s="8"/>
      <c r="U141" s="8"/>
      <c r="V141" s="8"/>
    </row>
    <row r="142" spans="1:22" x14ac:dyDescent="0.35">
      <c r="A142" s="9"/>
      <c r="B142" s="9"/>
      <c r="C142" s="9"/>
      <c r="D142" s="9"/>
      <c r="E142" s="9"/>
      <c r="F142" s="9"/>
      <c r="G142" s="9"/>
      <c r="N142" s="9"/>
      <c r="O142" s="9"/>
      <c r="P142" s="9"/>
      <c r="Q142" s="9"/>
      <c r="R142" s="10"/>
      <c r="S142" s="8"/>
      <c r="T142" s="8"/>
      <c r="U142" s="8"/>
      <c r="V142" s="8"/>
    </row>
    <row r="143" spans="1:22" x14ac:dyDescent="0.35">
      <c r="A143" s="9"/>
      <c r="B143" s="9"/>
      <c r="C143" s="9"/>
      <c r="D143" s="9"/>
      <c r="E143" s="9"/>
      <c r="F143" s="9"/>
      <c r="G143" s="9"/>
      <c r="N143" s="9"/>
      <c r="O143" s="9"/>
      <c r="P143" s="9"/>
      <c r="Q143" s="9"/>
      <c r="R143" s="10"/>
      <c r="S143" s="8"/>
      <c r="T143" s="8"/>
      <c r="U143" s="8"/>
      <c r="V143" s="8"/>
    </row>
    <row r="144" spans="1:22" x14ac:dyDescent="0.35">
      <c r="A144" s="9"/>
      <c r="B144" s="9"/>
      <c r="C144" s="9"/>
      <c r="D144" s="9"/>
      <c r="E144" s="9"/>
      <c r="F144" s="9"/>
      <c r="G144" s="9"/>
      <c r="N144" s="9"/>
      <c r="O144" s="9"/>
      <c r="P144" s="9"/>
      <c r="Q144" s="9"/>
      <c r="R144" s="10"/>
      <c r="S144" s="8"/>
      <c r="T144" s="8"/>
      <c r="U144" s="8"/>
      <c r="V144" s="8"/>
    </row>
    <row r="145" spans="1:22" x14ac:dyDescent="0.35">
      <c r="A145" s="9"/>
      <c r="B145" s="9"/>
      <c r="C145" s="9"/>
      <c r="D145" s="9"/>
      <c r="E145" s="9"/>
      <c r="F145" s="9"/>
      <c r="G145" s="9"/>
      <c r="N145" s="9"/>
      <c r="O145" s="9"/>
      <c r="P145" s="9"/>
      <c r="Q145" s="9"/>
      <c r="R145" s="10"/>
      <c r="S145" s="8"/>
      <c r="T145" s="8"/>
      <c r="U145" s="8"/>
      <c r="V145" s="8"/>
    </row>
    <row r="146" spans="1:22" x14ac:dyDescent="0.35">
      <c r="A146" s="9"/>
      <c r="B146" s="9"/>
      <c r="C146" s="9"/>
      <c r="D146" s="9"/>
      <c r="E146" s="9"/>
      <c r="F146" s="9"/>
      <c r="G146" s="9"/>
      <c r="N146" s="9"/>
      <c r="O146" s="9"/>
      <c r="P146" s="9"/>
      <c r="Q146" s="9"/>
      <c r="R146" s="10"/>
      <c r="S146" s="8"/>
      <c r="T146" s="8"/>
      <c r="U146" s="8"/>
      <c r="V146" s="8"/>
    </row>
    <row r="147" spans="1:22" x14ac:dyDescent="0.35">
      <c r="A147" s="9"/>
      <c r="B147" s="9"/>
      <c r="C147" s="9"/>
      <c r="D147" s="9"/>
      <c r="E147" s="9"/>
      <c r="F147" s="9"/>
      <c r="G147" s="9"/>
      <c r="N147" s="9"/>
      <c r="O147" s="9"/>
      <c r="P147" s="9"/>
      <c r="Q147" s="9"/>
      <c r="R147" s="10"/>
      <c r="S147" s="8"/>
      <c r="T147" s="8"/>
      <c r="U147" s="8"/>
      <c r="V147" s="8"/>
    </row>
    <row r="148" spans="1:22" x14ac:dyDescent="0.35">
      <c r="A148" s="9"/>
      <c r="B148" s="9"/>
      <c r="C148" s="9"/>
      <c r="D148" s="9"/>
      <c r="E148" s="9"/>
      <c r="F148" s="9"/>
      <c r="G148" s="9"/>
      <c r="N148" s="9"/>
      <c r="O148" s="9"/>
      <c r="P148" s="9"/>
      <c r="Q148" s="9"/>
      <c r="R148" s="10"/>
      <c r="S148" s="8"/>
      <c r="T148" s="8"/>
      <c r="U148" s="8"/>
      <c r="V148" s="8"/>
    </row>
    <row r="149" spans="1:22" x14ac:dyDescent="0.35">
      <c r="A149" s="9"/>
      <c r="B149" s="9"/>
      <c r="C149" s="9"/>
      <c r="D149" s="9"/>
      <c r="E149" s="9"/>
      <c r="F149" s="9"/>
      <c r="G149" s="9"/>
      <c r="N149" s="9"/>
      <c r="O149" s="9"/>
      <c r="P149" s="9"/>
      <c r="Q149" s="9"/>
      <c r="R149" s="10"/>
      <c r="S149" s="8"/>
      <c r="T149" s="8"/>
      <c r="U149" s="8"/>
      <c r="V149" s="8"/>
    </row>
    <row r="150" spans="1:22" x14ac:dyDescent="0.35">
      <c r="A150" s="9"/>
      <c r="B150" s="9"/>
      <c r="C150" s="9"/>
      <c r="D150" s="9"/>
      <c r="E150" s="9"/>
      <c r="F150" s="9"/>
      <c r="G150" s="9"/>
      <c r="N150" s="9"/>
      <c r="O150" s="9"/>
      <c r="P150" s="9"/>
      <c r="Q150" s="9"/>
      <c r="R150" s="10"/>
      <c r="S150" s="8"/>
      <c r="T150" s="8"/>
      <c r="U150" s="8"/>
      <c r="V150" s="8"/>
    </row>
    <row r="151" spans="1:22" x14ac:dyDescent="0.35">
      <c r="A151" s="9"/>
      <c r="B151" s="9"/>
      <c r="C151" s="9"/>
      <c r="D151" s="9"/>
      <c r="E151" s="9"/>
      <c r="F151" s="9"/>
      <c r="G151" s="9"/>
      <c r="N151" s="9"/>
      <c r="O151" s="9"/>
      <c r="P151" s="9"/>
      <c r="Q151" s="9"/>
      <c r="R151" s="10"/>
      <c r="S151" s="8"/>
      <c r="T151" s="8"/>
      <c r="U151" s="8"/>
      <c r="V151" s="8"/>
    </row>
    <row r="152" spans="1:22" x14ac:dyDescent="0.35">
      <c r="A152" s="9"/>
      <c r="B152" s="9"/>
      <c r="C152" s="9"/>
      <c r="D152" s="9"/>
      <c r="E152" s="9"/>
      <c r="F152" s="9"/>
      <c r="G152" s="9"/>
      <c r="N152" s="9"/>
      <c r="O152" s="9"/>
      <c r="P152" s="9"/>
      <c r="Q152" s="9"/>
      <c r="R152" s="10"/>
      <c r="S152" s="8"/>
      <c r="T152" s="8"/>
      <c r="U152" s="8"/>
      <c r="V152" s="8"/>
    </row>
    <row r="153" spans="1:22" x14ac:dyDescent="0.35">
      <c r="A153" s="9"/>
      <c r="B153" s="9"/>
      <c r="C153" s="9"/>
      <c r="D153" s="9"/>
      <c r="E153" s="9"/>
      <c r="F153" s="9"/>
      <c r="G153" s="9"/>
      <c r="N153" s="9"/>
      <c r="O153" s="9"/>
      <c r="P153" s="9"/>
      <c r="Q153" s="9"/>
      <c r="R153" s="10"/>
      <c r="S153" s="8"/>
      <c r="T153" s="8"/>
      <c r="U153" s="8"/>
      <c r="V153" s="8"/>
    </row>
    <row r="154" spans="1:22" x14ac:dyDescent="0.35">
      <c r="R154" s="5"/>
    </row>
  </sheetData>
  <mergeCells count="6">
    <mergeCell ref="A2:G2"/>
    <mergeCell ref="H2:M2"/>
    <mergeCell ref="N2:R2"/>
    <mergeCell ref="S2:U2"/>
    <mergeCell ref="W2:Y2"/>
    <mergeCell ref="A1:V1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1772A-0EB2-4240-B4FB-59F0F0BCB7BD}">
  <dimension ref="A1:Z154"/>
  <sheetViews>
    <sheetView workbookViewId="0">
      <selection activeCell="K10" sqref="K10"/>
    </sheetView>
  </sheetViews>
  <sheetFormatPr defaultRowHeight="14.5" x14ac:dyDescent="0.35"/>
  <cols>
    <col min="1" max="2" width="6.1796875" bestFit="1" customWidth="1"/>
    <col min="3" max="3" width="8.81640625" bestFit="1" customWidth="1"/>
    <col min="4" max="4" width="10.81640625" bestFit="1" customWidth="1"/>
    <col min="5" max="7" width="8.453125" bestFit="1" customWidth="1"/>
    <col min="8" max="9" width="8.1796875" bestFit="1" customWidth="1"/>
    <col min="10" max="13" width="8" bestFit="1" customWidth="1"/>
    <col min="14" max="15" width="7.26953125" bestFit="1" customWidth="1"/>
    <col min="16" max="16" width="8.81640625" bestFit="1" customWidth="1"/>
    <col min="17" max="17" width="10.81640625" bestFit="1" customWidth="1"/>
    <col min="18" max="18" width="15" customWidth="1"/>
    <col min="19" max="19" width="11.1796875" bestFit="1" customWidth="1"/>
    <col min="20" max="20" width="13.453125" bestFit="1" customWidth="1"/>
    <col min="21" max="21" width="11.7265625" bestFit="1" customWidth="1"/>
    <col min="22" max="22" width="11.7265625" customWidth="1"/>
    <col min="23" max="23" width="11.1796875" bestFit="1" customWidth="1"/>
    <col min="24" max="24" width="13.54296875" bestFit="1" customWidth="1"/>
    <col min="25" max="25" width="11.7265625" bestFit="1" customWidth="1"/>
    <col min="26" max="26" width="12.54296875" customWidth="1"/>
  </cols>
  <sheetData>
    <row r="1" spans="1:26" x14ac:dyDescent="0.35">
      <c r="A1" s="30" t="s">
        <v>34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</row>
    <row r="2" spans="1:26" ht="16" x14ac:dyDescent="0.4">
      <c r="A2" s="23" t="s">
        <v>13</v>
      </c>
      <c r="B2" s="23"/>
      <c r="C2" s="23"/>
      <c r="D2" s="23"/>
      <c r="E2" s="23"/>
      <c r="F2" s="23"/>
      <c r="G2" s="23"/>
      <c r="H2" s="24" t="s">
        <v>6</v>
      </c>
      <c r="I2" s="24"/>
      <c r="J2" s="24"/>
      <c r="K2" s="24"/>
      <c r="L2" s="24"/>
      <c r="M2" s="24"/>
      <c r="N2" s="26" t="s">
        <v>9</v>
      </c>
      <c r="O2" s="26"/>
      <c r="P2" s="26"/>
      <c r="Q2" s="26"/>
      <c r="R2" s="26"/>
      <c r="S2" s="25" t="s">
        <v>15</v>
      </c>
      <c r="T2" s="25"/>
      <c r="U2" s="25"/>
      <c r="V2" s="6"/>
      <c r="W2" s="22" t="s">
        <v>30</v>
      </c>
      <c r="X2" s="22"/>
      <c r="Y2" s="22"/>
    </row>
    <row r="3" spans="1:26" ht="16" x14ac:dyDescent="0.4">
      <c r="A3" s="1" t="s">
        <v>7</v>
      </c>
      <c r="B3" s="1" t="s">
        <v>8</v>
      </c>
      <c r="C3" s="1" t="s">
        <v>25</v>
      </c>
      <c r="D3" s="1" t="s">
        <v>26</v>
      </c>
      <c r="E3" s="1" t="s">
        <v>10</v>
      </c>
      <c r="F3" s="1" t="s">
        <v>11</v>
      </c>
      <c r="G3" s="1" t="s">
        <v>12</v>
      </c>
      <c r="H3" s="1" t="s">
        <v>3</v>
      </c>
      <c r="I3" s="1" t="s">
        <v>4</v>
      </c>
      <c r="J3" s="1" t="s">
        <v>5</v>
      </c>
      <c r="K3" s="1" t="s">
        <v>0</v>
      </c>
      <c r="L3" s="1" t="s">
        <v>1</v>
      </c>
      <c r="M3" s="1" t="s">
        <v>2</v>
      </c>
      <c r="N3" s="1" t="s">
        <v>7</v>
      </c>
      <c r="O3" s="1" t="s">
        <v>8</v>
      </c>
      <c r="P3" s="1" t="s">
        <v>25</v>
      </c>
      <c r="Q3" s="1" t="s">
        <v>26</v>
      </c>
      <c r="R3" s="1" t="s">
        <v>27</v>
      </c>
      <c r="S3" s="1" t="s">
        <v>28</v>
      </c>
      <c r="T3" s="1" t="s">
        <v>29</v>
      </c>
      <c r="U3" s="4" t="s">
        <v>31</v>
      </c>
      <c r="V3" s="4" t="s">
        <v>32</v>
      </c>
      <c r="W3" s="1" t="s">
        <v>28</v>
      </c>
      <c r="X3" s="1" t="s">
        <v>29</v>
      </c>
      <c r="Y3" s="4" t="s">
        <v>31</v>
      </c>
      <c r="Z3" s="4" t="s">
        <v>32</v>
      </c>
    </row>
    <row r="4" spans="1:26" x14ac:dyDescent="0.35">
      <c r="A4" s="9">
        <v>0.3</v>
      </c>
      <c r="B4" s="9">
        <v>0.08</v>
      </c>
      <c r="C4" s="9">
        <v>1.571</v>
      </c>
      <c r="D4" s="9">
        <v>0.78500000000000003</v>
      </c>
      <c r="E4" s="9">
        <v>1.4</v>
      </c>
      <c r="F4" s="9">
        <v>0</v>
      </c>
      <c r="G4" s="9">
        <v>0</v>
      </c>
      <c r="H4" s="9">
        <f>'Proximal Validation (single)'!H3</f>
        <v>8.3457410801202102E-4</v>
      </c>
      <c r="I4" s="9">
        <f>'Proximal Validation (single)'!I3</f>
        <v>-3.4524299204349497E-2</v>
      </c>
      <c r="J4" s="9">
        <f>'Proximal Validation (single)'!J3</f>
        <v>-1.46811630111188E-3</v>
      </c>
      <c r="K4" s="9">
        <f>'Proximal Validation (single)'!K3</f>
        <v>0.179403036832809</v>
      </c>
      <c r="L4" s="9">
        <f>'Proximal Validation (single)'!L3</f>
        <v>-7.5630694627761797E-3</v>
      </c>
      <c r="M4" s="9">
        <f>'Proximal Validation (single)'!M3</f>
        <v>0.203822165727615</v>
      </c>
      <c r="N4" s="9">
        <v>0.22971988622206371</v>
      </c>
      <c r="O4" s="9">
        <v>0.10555576657008718</v>
      </c>
      <c r="P4" s="9">
        <v>1.5627256632199091</v>
      </c>
      <c r="Q4" s="9">
        <v>1.8753920692804729</v>
      </c>
      <c r="R4" s="10">
        <v>2.5737046379343448E-5</v>
      </c>
      <c r="S4" s="8">
        <f>ABS(N4-A4)</f>
        <v>7.0280113777936276E-2</v>
      </c>
      <c r="T4" s="8">
        <f t="shared" ref="T4:V19" si="0">ABS(O4-B4)</f>
        <v>2.5555766570087179E-2</v>
      </c>
      <c r="U4" s="8">
        <f t="shared" si="0"/>
        <v>8.2743367800908185E-3</v>
      </c>
      <c r="V4" s="8">
        <f t="shared" si="0"/>
        <v>1.0903920692804729</v>
      </c>
      <c r="W4" s="9">
        <f>AVERAGE(S4:S78)</f>
        <v>0.11583099415984083</v>
      </c>
      <c r="X4" s="9">
        <f t="shared" ref="X4:Z4" si="1">AVERAGE(T4:T78)</f>
        <v>1.3926563899365325E-2</v>
      </c>
      <c r="Y4" s="9">
        <f t="shared" si="1"/>
        <v>4.5481819722257906E-2</v>
      </c>
      <c r="Z4" s="9">
        <f t="shared" si="1"/>
        <v>0.42052912795701208</v>
      </c>
    </row>
    <row r="5" spans="1:26" x14ac:dyDescent="0.35">
      <c r="A5" s="9">
        <v>0.4</v>
      </c>
      <c r="B5" s="9">
        <v>0.14000000000000001</v>
      </c>
      <c r="C5" s="9">
        <v>1.571</v>
      </c>
      <c r="D5" s="9">
        <v>0.78500000000000003</v>
      </c>
      <c r="E5" s="9">
        <v>0</v>
      </c>
      <c r="F5" s="9">
        <v>0</v>
      </c>
      <c r="G5" s="9">
        <v>0</v>
      </c>
      <c r="H5" s="9">
        <f>'Proximal Validation (single)'!H4</f>
        <v>-8.0810196232050701E-4</v>
      </c>
      <c r="I5" s="9">
        <f>'Proximal Validation (single)'!I4</f>
        <v>-6.6743046045303303E-2</v>
      </c>
      <c r="J5" s="9">
        <f>'Proximal Validation (single)'!J4</f>
        <v>4.4342974433675398E-4</v>
      </c>
      <c r="K5" s="9">
        <f>'Proximal Validation (single)'!K4</f>
        <v>0.21195751428604101</v>
      </c>
      <c r="L5" s="9">
        <f>'Proximal Validation (single)'!L4</f>
        <v>1.1818818747997299E-3</v>
      </c>
      <c r="M5" s="9">
        <f>'Proximal Validation (single)'!M4</f>
        <v>0.30656093358993503</v>
      </c>
      <c r="N5" s="9">
        <v>0.46147693057302247</v>
      </c>
      <c r="O5" s="9">
        <v>0.13197611405989185</v>
      </c>
      <c r="P5" s="9">
        <v>1.5684813988194319</v>
      </c>
      <c r="Q5" s="9">
        <v>0.52350378610947124</v>
      </c>
      <c r="R5" s="10">
        <v>1.8192572185669255E-5</v>
      </c>
      <c r="S5" s="8">
        <f t="shared" ref="S5:V20" si="2">ABS(N5-A5)</f>
        <v>6.1476930573022448E-2</v>
      </c>
      <c r="T5" s="8">
        <f t="shared" si="0"/>
        <v>8.0238859401081664E-3</v>
      </c>
      <c r="U5" s="8">
        <f t="shared" si="0"/>
        <v>2.5186011805680142E-3</v>
      </c>
      <c r="V5" s="8">
        <f t="shared" si="0"/>
        <v>0.26149621389052879</v>
      </c>
    </row>
    <row r="6" spans="1:26" x14ac:dyDescent="0.35">
      <c r="A6" s="9">
        <v>0.6</v>
      </c>
      <c r="B6" s="9">
        <v>0.16</v>
      </c>
      <c r="C6" s="9">
        <v>1.571</v>
      </c>
      <c r="D6" s="9">
        <v>0.78500000000000003</v>
      </c>
      <c r="E6" s="9">
        <v>1.4</v>
      </c>
      <c r="F6" s="9">
        <v>0</v>
      </c>
      <c r="G6" s="9">
        <v>0</v>
      </c>
      <c r="H6" s="9">
        <f>'Proximal Validation (single)'!H5</f>
        <v>7.8557301312684995E-3</v>
      </c>
      <c r="I6" s="9">
        <f>'Proximal Validation (single)'!I5</f>
        <v>-0.127810284495354</v>
      </c>
      <c r="J6" s="9">
        <f>'Proximal Validation (single)'!J5</f>
        <v>-1.16112818941474E-2</v>
      </c>
      <c r="K6" s="9">
        <f>'Proximal Validation (single)'!K5</f>
        <v>2.8561159968376201E-2</v>
      </c>
      <c r="L6" s="9">
        <f>'Proximal Validation (single)'!L5</f>
        <v>-4.7612398862838697E-2</v>
      </c>
      <c r="M6" s="9">
        <f>'Proximal Validation (single)'!M5</f>
        <v>0.55316102504730202</v>
      </c>
      <c r="N6" s="9">
        <v>0.71699543466724558</v>
      </c>
      <c r="O6" s="9">
        <v>0.1599281432997231</v>
      </c>
      <c r="P6" s="9">
        <v>1.8902327965415451</v>
      </c>
      <c r="Q6" s="9">
        <v>0.40999992659698714</v>
      </c>
      <c r="R6" s="10">
        <v>1.084408936588561E-4</v>
      </c>
      <c r="S6" s="8">
        <f t="shared" si="2"/>
        <v>0.1169954346672456</v>
      </c>
      <c r="T6" s="8">
        <f t="shared" si="0"/>
        <v>7.1856700276901053E-5</v>
      </c>
      <c r="U6" s="8">
        <f t="shared" si="0"/>
        <v>0.31923279654154513</v>
      </c>
      <c r="V6" s="8">
        <f t="shared" si="0"/>
        <v>0.37500007340301289</v>
      </c>
    </row>
    <row r="7" spans="1:26" x14ac:dyDescent="0.35">
      <c r="A7" s="9">
        <v>0.4</v>
      </c>
      <c r="B7" s="9">
        <v>0.06</v>
      </c>
      <c r="C7" s="9">
        <v>1.571</v>
      </c>
      <c r="D7" s="9">
        <v>1.571</v>
      </c>
      <c r="E7" s="9">
        <v>1.4</v>
      </c>
      <c r="F7" s="9">
        <v>0</v>
      </c>
      <c r="G7" s="9">
        <v>0</v>
      </c>
      <c r="H7" s="9">
        <f>'Proximal Validation (single)'!H6</f>
        <v>1.1252735275775201E-3</v>
      </c>
      <c r="I7" s="9">
        <f>'Proximal Validation (single)'!I6</f>
        <v>-5.59809319674969E-2</v>
      </c>
      <c r="J7" s="9">
        <f>'Proximal Validation (single)'!J6</f>
        <v>-7.4938102625310399E-4</v>
      </c>
      <c r="K7" s="9">
        <f>'Proximal Validation (single)'!K6</f>
        <v>-3.5423979163169902E-2</v>
      </c>
      <c r="L7" s="9">
        <f>'Proximal Validation (single)'!L6</f>
        <v>-1.04948431253433E-2</v>
      </c>
      <c r="M7" s="9">
        <f>'Proximal Validation (single)'!M6</f>
        <v>0.35301661491393999</v>
      </c>
      <c r="N7" s="9">
        <v>0.36582571913700979</v>
      </c>
      <c r="O7" s="9">
        <v>7.1830891744436229E-2</v>
      </c>
      <c r="P7" s="9">
        <v>1.5912275736963402</v>
      </c>
      <c r="Q7" s="9">
        <v>1.7076874929433632</v>
      </c>
      <c r="R7" s="10">
        <v>7.1027736559225961E-5</v>
      </c>
      <c r="S7" s="8">
        <f t="shared" si="2"/>
        <v>3.4174280862990236E-2</v>
      </c>
      <c r="T7" s="8">
        <f t="shared" si="0"/>
        <v>1.1830891744436231E-2</v>
      </c>
      <c r="U7" s="8">
        <f t="shared" si="0"/>
        <v>2.0227573696340206E-2</v>
      </c>
      <c r="V7" s="8">
        <f t="shared" si="0"/>
        <v>0.13668749294336324</v>
      </c>
      <c r="W7" s="12"/>
      <c r="X7" s="12"/>
      <c r="Y7" s="12"/>
      <c r="Z7" s="12"/>
    </row>
    <row r="8" spans="1:26" x14ac:dyDescent="0.35">
      <c r="A8" s="9">
        <v>0.8</v>
      </c>
      <c r="B8" s="9">
        <v>0.08</v>
      </c>
      <c r="C8" s="9">
        <v>1.571</v>
      </c>
      <c r="D8" s="9">
        <v>1.571</v>
      </c>
      <c r="E8" s="9">
        <v>0</v>
      </c>
      <c r="F8" s="9">
        <v>0</v>
      </c>
      <c r="G8" s="9">
        <v>0</v>
      </c>
      <c r="H8" s="9">
        <f>'Proximal Validation (single)'!H7</f>
        <v>-5.5839424021542105E-4</v>
      </c>
      <c r="I8" s="9">
        <f>'Proximal Validation (single)'!I7</f>
        <v>-0.11975701153278399</v>
      </c>
      <c r="J8" s="9">
        <f>'Proximal Validation (single)'!J7</f>
        <v>-9.9074037279933691E-4</v>
      </c>
      <c r="K8" s="9">
        <f>'Proximal Validation (single)'!K7</f>
        <v>-0.19020733237266499</v>
      </c>
      <c r="L8" s="9">
        <f>'Proximal Validation (single)'!L7</f>
        <v>-2.60122120380402E-3</v>
      </c>
      <c r="M8" s="9">
        <f>'Proximal Validation (single)'!M7</f>
        <v>0.66739636659622203</v>
      </c>
      <c r="N8" s="9">
        <v>0.66985440107735694</v>
      </c>
      <c r="O8" s="9">
        <v>9.1730764090732261E-2</v>
      </c>
      <c r="P8" s="9">
        <v>1.5762425367397559</v>
      </c>
      <c r="Q8" s="9">
        <v>1.2233528921667458</v>
      </c>
      <c r="R8" s="10">
        <v>3.4208822603313823E-5</v>
      </c>
      <c r="S8" s="8">
        <f t="shared" si="2"/>
        <v>0.1301455989226431</v>
      </c>
      <c r="T8" s="8">
        <f t="shared" si="0"/>
        <v>1.173076409073226E-2</v>
      </c>
      <c r="U8" s="8">
        <f t="shared" si="0"/>
        <v>5.242536739755943E-3</v>
      </c>
      <c r="V8" s="8">
        <f t="shared" si="0"/>
        <v>0.34764710783325414</v>
      </c>
      <c r="W8" s="12"/>
      <c r="X8" s="12"/>
      <c r="Y8" s="12"/>
      <c r="Z8" s="12"/>
    </row>
    <row r="9" spans="1:26" x14ac:dyDescent="0.35">
      <c r="A9" s="9">
        <v>0.7</v>
      </c>
      <c r="B9" s="9">
        <v>0.16</v>
      </c>
      <c r="C9" s="9">
        <v>1.571</v>
      </c>
      <c r="D9" s="9">
        <v>1.571</v>
      </c>
      <c r="E9" s="9">
        <v>1.4</v>
      </c>
      <c r="F9" s="9">
        <v>0</v>
      </c>
      <c r="G9" s="9">
        <v>0</v>
      </c>
      <c r="H9" s="9">
        <f>'Proximal Validation (single)'!H8</f>
        <v>1.04370433837175E-2</v>
      </c>
      <c r="I9" s="9">
        <f>'Proximal Validation (single)'!I8</f>
        <v>-0.129757210612297</v>
      </c>
      <c r="J9" s="9">
        <f>'Proximal Validation (single)'!J8</f>
        <v>-7.3771281167864799E-3</v>
      </c>
      <c r="K9" s="9">
        <f>'Proximal Validation (single)'!K8</f>
        <v>-0.55726921558380105</v>
      </c>
      <c r="L9" s="9">
        <f>'Proximal Validation (single)'!L8</f>
        <v>-6.0898363590240499E-2</v>
      </c>
      <c r="M9" s="9">
        <f>'Proximal Validation (single)'!M8</f>
        <v>0.32599642872810403</v>
      </c>
      <c r="N9" s="9">
        <v>0.79102887942620681</v>
      </c>
      <c r="O9" s="9">
        <v>0.16542857134196698</v>
      </c>
      <c r="P9" s="9">
        <v>1.5868351971495545</v>
      </c>
      <c r="Q9" s="9">
        <v>1.6336288119274713</v>
      </c>
      <c r="R9" s="10">
        <v>9.9131672983262148E-7</v>
      </c>
      <c r="S9" s="8">
        <f t="shared" si="2"/>
        <v>9.1028879426206855E-2</v>
      </c>
      <c r="T9" s="8">
        <f t="shared" si="0"/>
        <v>5.4285713419669757E-3</v>
      </c>
      <c r="U9" s="8">
        <f t="shared" si="0"/>
        <v>1.5835197149554503E-2</v>
      </c>
      <c r="V9" s="8">
        <f t="shared" si="0"/>
        <v>6.2628811927471384E-2</v>
      </c>
    </row>
    <row r="10" spans="1:26" x14ac:dyDescent="0.35">
      <c r="A10" s="9">
        <v>0.7</v>
      </c>
      <c r="B10" s="9">
        <v>0.2</v>
      </c>
      <c r="C10" s="9">
        <v>1.571</v>
      </c>
      <c r="D10" s="9">
        <v>1.571</v>
      </c>
      <c r="E10" s="9">
        <v>0</v>
      </c>
      <c r="F10" s="9">
        <v>0</v>
      </c>
      <c r="G10" s="9">
        <v>0</v>
      </c>
      <c r="H10" s="9">
        <f>'Proximal Validation (single)'!H9</f>
        <v>-5.38935419172049E-4</v>
      </c>
      <c r="I10" s="9">
        <f>'Proximal Validation (single)'!I9</f>
        <v>-0.118809439241886</v>
      </c>
      <c r="J10" s="9">
        <f>'Proximal Validation (single)'!J9</f>
        <v>3.4749228507280402E-3</v>
      </c>
      <c r="K10" s="9">
        <f>'Proximal Validation (single)'!K9</f>
        <v>-0.621493339538574</v>
      </c>
      <c r="L10" s="9">
        <f>'Proximal Validation (single)'!L9</f>
        <v>1.56053192913532E-2</v>
      </c>
      <c r="M10" s="9">
        <f>'Proximal Validation (single)'!M9</f>
        <v>0.10576334595680199</v>
      </c>
      <c r="N10" s="9">
        <v>0.99999998593742168</v>
      </c>
      <c r="O10" s="9">
        <v>0.16584670307458041</v>
      </c>
      <c r="P10" s="9">
        <v>1.4993315903308926</v>
      </c>
      <c r="Q10" s="9">
        <v>1.9447909394466312</v>
      </c>
      <c r="R10" s="10">
        <v>1.761261295564219E-2</v>
      </c>
      <c r="S10" s="8">
        <f t="shared" si="2"/>
        <v>0.29999998593742172</v>
      </c>
      <c r="T10" s="8">
        <f t="shared" si="0"/>
        <v>3.4153296925419602E-2</v>
      </c>
      <c r="U10" s="8">
        <f t="shared" si="0"/>
        <v>7.1668409669107369E-2</v>
      </c>
      <c r="V10" s="8">
        <f t="shared" si="0"/>
        <v>0.37379093944663122</v>
      </c>
    </row>
    <row r="11" spans="1:26" x14ac:dyDescent="0.35">
      <c r="A11" s="9">
        <v>0.7</v>
      </c>
      <c r="B11" s="9">
        <v>0.06</v>
      </c>
      <c r="C11" s="9">
        <v>3.665</v>
      </c>
      <c r="D11" s="9">
        <v>0.78500000000000003</v>
      </c>
      <c r="E11" s="9">
        <v>0</v>
      </c>
      <c r="F11" s="9">
        <v>0</v>
      </c>
      <c r="G11" s="9">
        <v>0</v>
      </c>
      <c r="H11" s="9">
        <f>'Proximal Validation (single)'!H10</f>
        <v>-7.8150304034352303E-4</v>
      </c>
      <c r="I11" s="9">
        <f>'Proximal Validation (single)'!I10</f>
        <v>4.4897478073835401E-2</v>
      </c>
      <c r="J11" s="9">
        <f>'Proximal Validation (single)'!J10</f>
        <v>-8.2051888108253507E-2</v>
      </c>
      <c r="K11" s="9">
        <f>'Proximal Validation (single)'!K10</f>
        <v>0.48326423764228799</v>
      </c>
      <c r="L11" s="9">
        <f>'Proximal Validation (single)'!L10</f>
        <v>-0.55701375007629395</v>
      </c>
      <c r="M11" s="9">
        <f>'Proximal Validation (single)'!M10</f>
        <v>-0.30146327614784202</v>
      </c>
      <c r="N11" s="9">
        <v>0.81811831517442279</v>
      </c>
      <c r="O11" s="9">
        <v>4.9747715182175509E-2</v>
      </c>
      <c r="P11" s="9">
        <v>3.639698477746347</v>
      </c>
      <c r="Q11" s="9">
        <v>0.81277449889961473</v>
      </c>
      <c r="R11" s="10">
        <v>8.9683785641243998E-5</v>
      </c>
      <c r="S11" s="8">
        <f t="shared" si="2"/>
        <v>0.11811831517442284</v>
      </c>
      <c r="T11" s="8">
        <f t="shared" si="0"/>
        <v>1.0252284817824489E-2</v>
      </c>
      <c r="U11" s="8">
        <f t="shared" si="0"/>
        <v>2.5301522253653008E-2</v>
      </c>
      <c r="V11" s="8">
        <f t="shared" si="0"/>
        <v>2.7774498899614697E-2</v>
      </c>
    </row>
    <row r="12" spans="1:26" x14ac:dyDescent="0.35">
      <c r="A12" s="9">
        <v>0.6</v>
      </c>
      <c r="B12" s="9">
        <v>0.1</v>
      </c>
      <c r="C12" s="9">
        <v>3.665</v>
      </c>
      <c r="D12" s="9">
        <v>0.78500000000000003</v>
      </c>
      <c r="E12" s="9">
        <v>0</v>
      </c>
      <c r="F12" s="9">
        <v>0</v>
      </c>
      <c r="G12" s="9">
        <v>0</v>
      </c>
      <c r="H12" s="9">
        <f>'Proximal Validation (single)'!H11</f>
        <v>-4.8895599320530902E-4</v>
      </c>
      <c r="I12" s="9">
        <f>'Proximal Validation (single)'!I11</f>
        <v>4.6247739344835302E-2</v>
      </c>
      <c r="J12" s="9">
        <f>'Proximal Validation (single)'!J11</f>
        <v>-8.3231396973133101E-2</v>
      </c>
      <c r="K12" s="9">
        <f>'Proximal Validation (single)'!K11</f>
        <v>0.33926415443420399</v>
      </c>
      <c r="L12" s="9">
        <f>'Proximal Validation (single)'!L11</f>
        <v>-0.45690825581550598</v>
      </c>
      <c r="M12" s="9">
        <f>'Proximal Validation (single)'!M11</f>
        <v>-0.25065129995346103</v>
      </c>
      <c r="N12" s="9">
        <v>0.54249201318556883</v>
      </c>
      <c r="O12" s="9">
        <v>0.11799211592299548</v>
      </c>
      <c r="P12" s="9">
        <v>3.640743067122532</v>
      </c>
      <c r="Q12" s="9">
        <v>0.97454063531554413</v>
      </c>
      <c r="R12" s="10">
        <v>5.3710514310207594E-5</v>
      </c>
      <c r="S12" s="8">
        <f t="shared" si="2"/>
        <v>5.7507986814431145E-2</v>
      </c>
      <c r="T12" s="8">
        <f t="shared" si="0"/>
        <v>1.7992115922995475E-2</v>
      </c>
      <c r="U12" s="8">
        <f t="shared" si="0"/>
        <v>2.4256932877467996E-2</v>
      </c>
      <c r="V12" s="8">
        <f t="shared" si="0"/>
        <v>0.1895406353155441</v>
      </c>
    </row>
    <row r="13" spans="1:26" x14ac:dyDescent="0.35">
      <c r="A13" s="9">
        <v>0.8</v>
      </c>
      <c r="B13" s="9">
        <v>0.18</v>
      </c>
      <c r="C13" s="9">
        <v>3.665</v>
      </c>
      <c r="D13" s="9">
        <v>0.78500000000000003</v>
      </c>
      <c r="E13" s="9">
        <v>1.4</v>
      </c>
      <c r="F13" s="9">
        <v>0</v>
      </c>
      <c r="G13" s="9">
        <v>0</v>
      </c>
      <c r="H13" s="9">
        <f>'Proximal Validation (single)'!H12</f>
        <v>1.7005717381834999E-3</v>
      </c>
      <c r="I13" s="9">
        <f>'Proximal Validation (single)'!I12</f>
        <v>8.4788650274276706E-2</v>
      </c>
      <c r="J13" s="9">
        <f>'Proximal Validation (single)'!J12</f>
        <v>-0.143600359559059</v>
      </c>
      <c r="K13" s="9">
        <f>'Proximal Validation (single)'!K12</f>
        <v>0.28701612353324901</v>
      </c>
      <c r="L13" s="9">
        <f>'Proximal Validation (single)'!L12</f>
        <v>-0.64443814754486095</v>
      </c>
      <c r="M13" s="9">
        <f>'Proximal Validation (single)'!M12</f>
        <v>-0.37070235610008201</v>
      </c>
      <c r="N13" s="9">
        <v>0.89956027304083597</v>
      </c>
      <c r="O13" s="9">
        <v>0.17487039479940966</v>
      </c>
      <c r="P13" s="9">
        <v>3.665387714419694</v>
      </c>
      <c r="Q13" s="9">
        <v>0.4880324268745232</v>
      </c>
      <c r="R13" s="10">
        <v>2.1645686015865675E-4</v>
      </c>
      <c r="S13" s="8">
        <f t="shared" si="2"/>
        <v>9.9560273040835923E-2</v>
      </c>
      <c r="T13" s="8">
        <f t="shared" si="0"/>
        <v>5.1296052005903314E-3</v>
      </c>
      <c r="U13" s="8">
        <f t="shared" si="0"/>
        <v>3.8771441969398523E-4</v>
      </c>
      <c r="V13" s="8">
        <f t="shared" si="0"/>
        <v>0.29696757312547684</v>
      </c>
    </row>
    <row r="14" spans="1:26" x14ac:dyDescent="0.35">
      <c r="A14" s="9">
        <v>0.4</v>
      </c>
      <c r="B14" s="9">
        <v>0.2</v>
      </c>
      <c r="C14" s="9">
        <v>3.665</v>
      </c>
      <c r="D14" s="9">
        <v>0.78500000000000003</v>
      </c>
      <c r="E14" s="9">
        <v>1.4</v>
      </c>
      <c r="F14" s="9">
        <v>0</v>
      </c>
      <c r="G14" s="9">
        <v>0</v>
      </c>
      <c r="H14" s="9">
        <f>'Proximal Validation (single)'!H13</f>
        <v>1.0739560239017001E-3</v>
      </c>
      <c r="I14" s="9">
        <f>'Proximal Validation (single)'!I13</f>
        <v>4.1172292083501802E-2</v>
      </c>
      <c r="J14" s="9">
        <f>'Proximal Validation (single)'!J13</f>
        <v>-6.7707680165767697E-2</v>
      </c>
      <c r="K14" s="9">
        <f>'Proximal Validation (single)'!K13</f>
        <v>0.187965422868729</v>
      </c>
      <c r="L14" s="9">
        <f>'Proximal Validation (single)'!L13</f>
        <v>-0.244067072868347</v>
      </c>
      <c r="M14" s="9">
        <f>'Proximal Validation (single)'!M13</f>
        <v>-0.14198835194110901</v>
      </c>
      <c r="N14" s="9">
        <v>0.34711734883970119</v>
      </c>
      <c r="O14" s="9">
        <v>0.19948212827060513</v>
      </c>
      <c r="P14" s="9">
        <v>3.6683277684036315</v>
      </c>
      <c r="Q14" s="9">
        <v>0.73430198661026247</v>
      </c>
      <c r="R14" s="10">
        <v>9.5830294151369856E-5</v>
      </c>
      <c r="S14" s="8">
        <f t="shared" si="2"/>
        <v>5.2882651160298833E-2</v>
      </c>
      <c r="T14" s="8">
        <f t="shared" si="0"/>
        <v>5.1787172939488091E-4</v>
      </c>
      <c r="U14" s="8">
        <f t="shared" si="0"/>
        <v>3.3277684036314703E-3</v>
      </c>
      <c r="V14" s="8">
        <f t="shared" si="0"/>
        <v>5.0698013389737562E-2</v>
      </c>
    </row>
    <row r="15" spans="1:26" x14ac:dyDescent="0.35">
      <c r="A15" s="9">
        <v>0.4</v>
      </c>
      <c r="B15" s="9">
        <v>0.1</v>
      </c>
      <c r="C15" s="9">
        <v>3.665</v>
      </c>
      <c r="D15" s="9">
        <v>1.571</v>
      </c>
      <c r="E15" s="9">
        <v>1.4</v>
      </c>
      <c r="F15" s="9">
        <v>0</v>
      </c>
      <c r="G15" s="9">
        <v>0</v>
      </c>
      <c r="H15" s="9">
        <f>'Proximal Validation (single)'!H14</f>
        <v>-4.8927497118711504E-4</v>
      </c>
      <c r="I15" s="9">
        <f>'Proximal Validation (single)'!I14</f>
        <v>3.26927192509174E-2</v>
      </c>
      <c r="J15" s="9">
        <f>'Proximal Validation (single)'!J14</f>
        <v>-5.8575917035341298E-2</v>
      </c>
      <c r="K15" s="9">
        <f>'Proximal Validation (single)'!K14</f>
        <v>-1.28835095092654E-2</v>
      </c>
      <c r="L15" s="9">
        <f>'Proximal Validation (single)'!L14</f>
        <v>-0.29204529523849498</v>
      </c>
      <c r="M15" s="9">
        <f>'Proximal Validation (single)'!M14</f>
        <v>-0.16083618998527499</v>
      </c>
      <c r="N15" s="9">
        <v>0.74544110085008519</v>
      </c>
      <c r="O15" s="9">
        <v>8.0033370544200219E-2</v>
      </c>
      <c r="P15" s="9">
        <v>3.637775803167925</v>
      </c>
      <c r="Q15" s="9">
        <v>2.6555587052535676</v>
      </c>
      <c r="R15" s="10">
        <v>2.7867824944991108E-5</v>
      </c>
      <c r="S15" s="8">
        <f t="shared" si="2"/>
        <v>0.34544110085008517</v>
      </c>
      <c r="T15" s="8">
        <f t="shared" si="0"/>
        <v>1.9966629455799786E-2</v>
      </c>
      <c r="U15" s="8">
        <f t="shared" si="0"/>
        <v>2.7224196832074998E-2</v>
      </c>
      <c r="V15" s="8">
        <f t="shared" si="0"/>
        <v>1.0845587052535677</v>
      </c>
    </row>
    <row r="16" spans="1:26" x14ac:dyDescent="0.35">
      <c r="A16" s="9">
        <v>0.7</v>
      </c>
      <c r="B16" s="9">
        <v>0.1</v>
      </c>
      <c r="C16" s="9">
        <v>3.665</v>
      </c>
      <c r="D16" s="9">
        <v>1.571</v>
      </c>
      <c r="E16" s="9">
        <v>1.4</v>
      </c>
      <c r="F16" s="9">
        <v>0</v>
      </c>
      <c r="G16" s="9">
        <v>0</v>
      </c>
      <c r="H16" s="9">
        <f>'Proximal Validation (single)'!H15</f>
        <v>-1.61128584295511E-4</v>
      </c>
      <c r="I16" s="9">
        <f>'Proximal Validation (single)'!I15</f>
        <v>6.6224433481693296E-2</v>
      </c>
      <c r="J16" s="9">
        <f>'Proximal Validation (single)'!J15</f>
        <v>-0.118051804602146</v>
      </c>
      <c r="K16" s="9">
        <f>'Proximal Validation (single)'!K15</f>
        <v>-0.18827667832374601</v>
      </c>
      <c r="L16" s="9">
        <f>'Proximal Validation (single)'!L15</f>
        <v>-0.57758575677871704</v>
      </c>
      <c r="M16" s="9">
        <f>'Proximal Validation (single)'!M15</f>
        <v>-0.318100035190582</v>
      </c>
      <c r="N16" s="9">
        <v>0.66434494359861629</v>
      </c>
      <c r="O16" s="9">
        <v>0.11114151734913223</v>
      </c>
      <c r="P16" s="9">
        <v>3.6492205037078</v>
      </c>
      <c r="Q16" s="9">
        <v>1.4164656642360636</v>
      </c>
      <c r="R16" s="10">
        <v>1.8284639883862669E-4</v>
      </c>
      <c r="S16" s="8">
        <f t="shared" si="2"/>
        <v>3.5655056401383667E-2</v>
      </c>
      <c r="T16" s="8">
        <f t="shared" si="0"/>
        <v>1.1141517349132227E-2</v>
      </c>
      <c r="U16" s="8">
        <f t="shared" si="0"/>
        <v>1.577949629219999E-2</v>
      </c>
      <c r="V16" s="8">
        <f t="shared" si="0"/>
        <v>0.15453433576393638</v>
      </c>
    </row>
    <row r="17" spans="1:22" x14ac:dyDescent="0.35">
      <c r="A17" s="9">
        <v>0.4</v>
      </c>
      <c r="B17" s="9">
        <v>0.16</v>
      </c>
      <c r="C17" s="9">
        <v>3.665</v>
      </c>
      <c r="D17" s="9">
        <v>1.571</v>
      </c>
      <c r="E17" s="9">
        <v>0</v>
      </c>
      <c r="F17" s="9">
        <v>0</v>
      </c>
      <c r="G17" s="9">
        <v>0</v>
      </c>
      <c r="H17" s="9">
        <f>'Proximal Validation (single)'!H16</f>
        <v>3.27638350427151E-4</v>
      </c>
      <c r="I17" s="9">
        <f>'Proximal Validation (single)'!I16</f>
        <v>4.1303895413875601E-2</v>
      </c>
      <c r="J17" s="9">
        <f>'Proximal Validation (single)'!J16</f>
        <v>-7.1706265211105305E-2</v>
      </c>
      <c r="K17" s="9">
        <f>'Proximal Validation (single)'!K16</f>
        <v>-0.16764184832572901</v>
      </c>
      <c r="L17" s="9">
        <f>'Proximal Validation (single)'!L16</f>
        <v>-0.24127176403999301</v>
      </c>
      <c r="M17" s="9">
        <f>'Proximal Validation (single)'!M16</f>
        <v>-0.13795974850654599</v>
      </c>
      <c r="N17" s="9">
        <v>0.56526196272689544</v>
      </c>
      <c r="O17" s="9">
        <v>0.14451287325579129</v>
      </c>
      <c r="P17" s="9">
        <v>3.6598490467028366</v>
      </c>
      <c r="Q17" s="9">
        <v>2.1851253325202564</v>
      </c>
      <c r="R17" s="10">
        <v>1.4441408499623846E-6</v>
      </c>
      <c r="S17" s="8">
        <f t="shared" si="2"/>
        <v>0.16526196272689542</v>
      </c>
      <c r="T17" s="8">
        <f t="shared" si="0"/>
        <v>1.5487126744208712E-2</v>
      </c>
      <c r="U17" s="8">
        <f t="shared" si="0"/>
        <v>5.1509532971634187E-3</v>
      </c>
      <c r="V17" s="8">
        <f t="shared" si="0"/>
        <v>0.61412533252025647</v>
      </c>
    </row>
    <row r="18" spans="1:22" x14ac:dyDescent="0.35">
      <c r="A18" s="9">
        <v>0.3</v>
      </c>
      <c r="B18" s="9">
        <v>0.18</v>
      </c>
      <c r="C18" s="9">
        <v>3.665</v>
      </c>
      <c r="D18" s="9">
        <v>1.571</v>
      </c>
      <c r="E18" s="9">
        <v>0</v>
      </c>
      <c r="F18" s="9">
        <v>0</v>
      </c>
      <c r="G18" s="9">
        <v>0</v>
      </c>
      <c r="H18" s="9">
        <f>'Proximal Validation (single)'!H17</f>
        <v>3.5051628947258001E-4</v>
      </c>
      <c r="I18" s="9">
        <f>'Proximal Validation (single)'!I17</f>
        <v>3.2155215740203899E-2</v>
      </c>
      <c r="J18" s="9">
        <f>'Proximal Validation (single)'!J17</f>
        <v>-5.4656162858009297E-2</v>
      </c>
      <c r="K18" s="9">
        <f>'Proximal Validation (single)'!K17</f>
        <v>-0.106987468898296</v>
      </c>
      <c r="L18" s="9">
        <f>'Proximal Validation (single)'!L17</f>
        <v>-0.16471621394157401</v>
      </c>
      <c r="M18" s="9">
        <f>'Proximal Validation (single)'!M17</f>
        <v>-9.7047880291938796E-2</v>
      </c>
      <c r="N18" s="9">
        <v>0.27041231224602635</v>
      </c>
      <c r="O18" s="9">
        <v>0.17596312936767766</v>
      </c>
      <c r="P18" s="9">
        <v>3.6693536910591051</v>
      </c>
      <c r="Q18" s="9">
        <v>1.996747649548742</v>
      </c>
      <c r="R18" s="10">
        <v>1.1790017181904603E-5</v>
      </c>
      <c r="S18" s="8">
        <f t="shared" si="2"/>
        <v>2.9587687753973635E-2</v>
      </c>
      <c r="T18" s="8">
        <f t="shared" si="0"/>
        <v>4.0368706323223313E-3</v>
      </c>
      <c r="U18" s="8">
        <f t="shared" si="0"/>
        <v>4.3536910591051026E-3</v>
      </c>
      <c r="V18" s="8">
        <f t="shared" si="0"/>
        <v>0.425747649548742</v>
      </c>
    </row>
    <row r="19" spans="1:22" x14ac:dyDescent="0.35">
      <c r="A19" s="9">
        <v>0.3</v>
      </c>
      <c r="B19" s="9">
        <v>0.08</v>
      </c>
      <c r="C19" s="9">
        <v>1.571</v>
      </c>
      <c r="D19" s="9">
        <v>0.78500000000000003</v>
      </c>
      <c r="E19" s="9">
        <v>1.4</v>
      </c>
      <c r="F19" s="9">
        <v>0</v>
      </c>
      <c r="G19" s="9">
        <v>0</v>
      </c>
      <c r="N19" s="9">
        <v>0.58358883433828468</v>
      </c>
      <c r="O19" s="9">
        <v>7.8536581941631156E-2</v>
      </c>
      <c r="P19" s="9">
        <v>1.8493465134203917</v>
      </c>
      <c r="Q19" s="9">
        <v>0.27725786829069216</v>
      </c>
      <c r="R19" s="10">
        <v>2.6606929197480206E-5</v>
      </c>
      <c r="S19" s="8">
        <f t="shared" si="2"/>
        <v>0.28358883433828469</v>
      </c>
      <c r="T19" s="8">
        <f t="shared" si="0"/>
        <v>1.4634180583688455E-3</v>
      </c>
      <c r="U19" s="8">
        <f t="shared" si="0"/>
        <v>0.27834651342039174</v>
      </c>
      <c r="V19" s="8">
        <f t="shared" si="0"/>
        <v>0.50774213170930782</v>
      </c>
    </row>
    <row r="20" spans="1:22" x14ac:dyDescent="0.35">
      <c r="A20" s="9">
        <v>0.4</v>
      </c>
      <c r="B20" s="9">
        <v>0.14000000000000001</v>
      </c>
      <c r="C20" s="9">
        <v>1.571</v>
      </c>
      <c r="D20" s="9">
        <v>0.78500000000000003</v>
      </c>
      <c r="E20" s="9">
        <v>0</v>
      </c>
      <c r="F20" s="9">
        <v>0</v>
      </c>
      <c r="G20" s="9">
        <v>0</v>
      </c>
      <c r="N20" s="9">
        <v>0.37467292235822242</v>
      </c>
      <c r="O20" s="9">
        <v>0.11162260891429836</v>
      </c>
      <c r="P20" s="9">
        <v>1.5643802779949258</v>
      </c>
      <c r="Q20" s="9">
        <v>1.9772527266538407</v>
      </c>
      <c r="R20" s="10">
        <v>1.5531673774235854E-5</v>
      </c>
      <c r="S20" s="8">
        <f t="shared" si="2"/>
        <v>2.5327077641777607E-2</v>
      </c>
      <c r="T20" s="8">
        <f t="shared" si="2"/>
        <v>2.8377391085701656E-2</v>
      </c>
      <c r="U20" s="8">
        <f t="shared" si="2"/>
        <v>6.6197220050741024E-3</v>
      </c>
      <c r="V20" s="8">
        <f t="shared" si="2"/>
        <v>1.1922527266538405</v>
      </c>
    </row>
    <row r="21" spans="1:22" x14ac:dyDescent="0.35">
      <c r="A21" s="9">
        <v>0.6</v>
      </c>
      <c r="B21" s="9">
        <v>0.16</v>
      </c>
      <c r="C21" s="9">
        <v>1.571</v>
      </c>
      <c r="D21" s="9">
        <v>0.78500000000000003</v>
      </c>
      <c r="E21" s="9">
        <v>1.4</v>
      </c>
      <c r="F21" s="9">
        <v>0</v>
      </c>
      <c r="G21" s="9">
        <v>0</v>
      </c>
      <c r="N21" s="9">
        <v>0.56276137564848372</v>
      </c>
      <c r="O21" s="9">
        <v>0.18918845933375666</v>
      </c>
      <c r="P21" s="9">
        <v>1.8075030057262635</v>
      </c>
      <c r="Q21" s="9">
        <v>0.64810262745781277</v>
      </c>
      <c r="R21" s="10">
        <v>2.9757066880551861E-5</v>
      </c>
      <c r="S21" s="8">
        <f t="shared" ref="S21:V84" si="3">ABS(N21-A21)</f>
        <v>3.7238624351516258E-2</v>
      </c>
      <c r="T21" s="8">
        <f t="shared" si="3"/>
        <v>2.9188459333756661E-2</v>
      </c>
      <c r="U21" s="8">
        <f t="shared" si="3"/>
        <v>0.23650300572626359</v>
      </c>
      <c r="V21" s="8">
        <f t="shared" si="3"/>
        <v>0.13689737254218726</v>
      </c>
    </row>
    <row r="22" spans="1:22" x14ac:dyDescent="0.35">
      <c r="A22" s="9">
        <v>0.4</v>
      </c>
      <c r="B22" s="9">
        <v>0.06</v>
      </c>
      <c r="C22" s="9">
        <v>1.571</v>
      </c>
      <c r="D22" s="9">
        <v>1.571</v>
      </c>
      <c r="E22" s="9">
        <v>1.4</v>
      </c>
      <c r="F22" s="9">
        <v>0</v>
      </c>
      <c r="G22" s="9">
        <v>0</v>
      </c>
      <c r="N22" s="9">
        <v>0.43136060018214406</v>
      </c>
      <c r="O22" s="9">
        <v>7.414590190227556E-2</v>
      </c>
      <c r="P22" s="9">
        <v>1.6524798112870374</v>
      </c>
      <c r="Q22" s="9">
        <v>0.83690848215503</v>
      </c>
      <c r="R22" s="10">
        <v>1.8943598309871258E-4</v>
      </c>
      <c r="S22" s="8">
        <f t="shared" si="3"/>
        <v>3.1360600182144038E-2</v>
      </c>
      <c r="T22" s="8">
        <f t="shared" si="3"/>
        <v>1.4145901902275562E-2</v>
      </c>
      <c r="U22" s="8">
        <f t="shared" si="3"/>
        <v>8.1479811287037407E-2</v>
      </c>
      <c r="V22" s="8">
        <f t="shared" si="3"/>
        <v>0.73409151784496995</v>
      </c>
    </row>
    <row r="23" spans="1:22" x14ac:dyDescent="0.35">
      <c r="A23" s="9">
        <v>0.8</v>
      </c>
      <c r="B23" s="9">
        <v>0.08</v>
      </c>
      <c r="C23" s="9">
        <v>1.571</v>
      </c>
      <c r="D23" s="9">
        <v>1.571</v>
      </c>
      <c r="E23" s="9">
        <v>0</v>
      </c>
      <c r="F23" s="9">
        <v>0</v>
      </c>
      <c r="G23" s="9">
        <v>0</v>
      </c>
      <c r="N23" s="9">
        <v>0.74186400201207425</v>
      </c>
      <c r="O23" s="9">
        <v>7.4976827217214062E-2</v>
      </c>
      <c r="P23" s="9">
        <v>1.574914523847933</v>
      </c>
      <c r="Q23" s="9">
        <v>1.8315475330922253</v>
      </c>
      <c r="R23" s="10">
        <v>1.2747707927047394E-6</v>
      </c>
      <c r="S23" s="8">
        <f t="shared" si="3"/>
        <v>5.8135997987925792E-2</v>
      </c>
      <c r="T23" s="8">
        <f t="shared" si="3"/>
        <v>5.0231727827859396E-3</v>
      </c>
      <c r="U23" s="8">
        <f t="shared" si="3"/>
        <v>3.9145238479330047E-3</v>
      </c>
      <c r="V23" s="8">
        <f t="shared" si="3"/>
        <v>0.26054753309222534</v>
      </c>
    </row>
    <row r="24" spans="1:22" x14ac:dyDescent="0.35">
      <c r="A24" s="9">
        <v>0.7</v>
      </c>
      <c r="B24" s="9">
        <v>0.16</v>
      </c>
      <c r="C24" s="9">
        <v>1.571</v>
      </c>
      <c r="D24" s="9">
        <v>1.571</v>
      </c>
      <c r="E24" s="9">
        <v>1.4</v>
      </c>
      <c r="F24" s="9">
        <v>0</v>
      </c>
      <c r="G24" s="9">
        <v>0</v>
      </c>
      <c r="N24" s="9">
        <v>0.34875850314057283</v>
      </c>
      <c r="O24" s="9">
        <v>0.19999999981857072</v>
      </c>
      <c r="P24" s="9">
        <v>1.8014600745493539</v>
      </c>
      <c r="Q24" s="9">
        <v>1.0672759170930446</v>
      </c>
      <c r="R24" s="10">
        <v>2.8700733073530218E-3</v>
      </c>
      <c r="S24" s="8">
        <f t="shared" si="3"/>
        <v>0.35124149685942713</v>
      </c>
      <c r="T24" s="8">
        <f t="shared" si="3"/>
        <v>3.999999981857072E-2</v>
      </c>
      <c r="U24" s="8">
        <f t="shared" si="3"/>
        <v>0.23046007454935391</v>
      </c>
      <c r="V24" s="8">
        <f t="shared" si="3"/>
        <v>0.50372408290695536</v>
      </c>
    </row>
    <row r="25" spans="1:22" x14ac:dyDescent="0.35">
      <c r="A25" s="9">
        <v>0.7</v>
      </c>
      <c r="B25" s="9">
        <v>0.2</v>
      </c>
      <c r="C25" s="9">
        <v>1.571</v>
      </c>
      <c r="D25" s="9">
        <v>1.571</v>
      </c>
      <c r="E25" s="9">
        <v>0</v>
      </c>
      <c r="F25" s="9">
        <v>0</v>
      </c>
      <c r="G25" s="9">
        <v>0</v>
      </c>
      <c r="N25" s="9">
        <v>0.6698003514195624</v>
      </c>
      <c r="O25" s="9">
        <v>0.19994595591290867</v>
      </c>
      <c r="P25" s="9">
        <v>1.4559302285027027</v>
      </c>
      <c r="Q25" s="9">
        <v>1.887935883307843</v>
      </c>
      <c r="R25" s="10">
        <v>2.1776337623325613E-4</v>
      </c>
      <c r="S25" s="8">
        <f t="shared" si="3"/>
        <v>3.0199648580437555E-2</v>
      </c>
      <c r="T25" s="8">
        <f t="shared" si="3"/>
        <v>5.4044087091337234E-5</v>
      </c>
      <c r="U25" s="8">
        <f t="shared" si="3"/>
        <v>0.11506977149729725</v>
      </c>
      <c r="V25" s="8">
        <f t="shared" si="3"/>
        <v>0.31693588330784306</v>
      </c>
    </row>
    <row r="26" spans="1:22" x14ac:dyDescent="0.35">
      <c r="A26" s="9">
        <v>0.7</v>
      </c>
      <c r="B26" s="9">
        <v>0.06</v>
      </c>
      <c r="C26" s="9">
        <v>3.665</v>
      </c>
      <c r="D26" s="9">
        <v>0.78500000000000003</v>
      </c>
      <c r="E26" s="9">
        <v>0</v>
      </c>
      <c r="F26" s="9">
        <v>0</v>
      </c>
      <c r="G26" s="9">
        <v>0</v>
      </c>
      <c r="N26" s="9">
        <v>0.67487899646488603</v>
      </c>
      <c r="O26" s="9">
        <v>7.5647543392102543E-2</v>
      </c>
      <c r="P26" s="9">
        <v>3.6377694068894435</v>
      </c>
      <c r="Q26" s="9">
        <v>1.0538345455705598</v>
      </c>
      <c r="R26" s="10">
        <v>7.8325920871810101E-7</v>
      </c>
      <c r="S26" s="8">
        <f t="shared" si="3"/>
        <v>2.5121003535113928E-2</v>
      </c>
      <c r="T26" s="8">
        <f t="shared" si="3"/>
        <v>1.5647543392102545E-2</v>
      </c>
      <c r="U26" s="8">
        <f t="shared" si="3"/>
        <v>2.7230593110556534E-2</v>
      </c>
      <c r="V26" s="8">
        <f t="shared" si="3"/>
        <v>0.26883454557055975</v>
      </c>
    </row>
    <row r="27" spans="1:22" x14ac:dyDescent="0.35">
      <c r="A27" s="9">
        <v>0.6</v>
      </c>
      <c r="B27" s="9">
        <v>0.1</v>
      </c>
      <c r="C27" s="9">
        <v>3.665</v>
      </c>
      <c r="D27" s="9">
        <v>0.78500000000000003</v>
      </c>
      <c r="E27" s="9">
        <v>0</v>
      </c>
      <c r="F27" s="9">
        <v>0</v>
      </c>
      <c r="G27" s="9">
        <v>0</v>
      </c>
      <c r="N27" s="9">
        <v>0.72135603327996356</v>
      </c>
      <c r="O27" s="9">
        <v>9.3653995296130235E-2</v>
      </c>
      <c r="P27" s="9">
        <v>3.6426319193095678</v>
      </c>
      <c r="Q27" s="9">
        <v>0.62260186464953327</v>
      </c>
      <c r="R27" s="10">
        <v>1.2497739898347385E-5</v>
      </c>
      <c r="S27" s="8">
        <f t="shared" si="3"/>
        <v>0.12135603327996358</v>
      </c>
      <c r="T27" s="8">
        <f t="shared" si="3"/>
        <v>6.3460047038697703E-3</v>
      </c>
      <c r="U27" s="8">
        <f t="shared" si="3"/>
        <v>2.2368080690432279E-2</v>
      </c>
      <c r="V27" s="8">
        <f t="shared" si="3"/>
        <v>0.16239813535046677</v>
      </c>
    </row>
    <row r="28" spans="1:22" x14ac:dyDescent="0.35">
      <c r="A28" s="9">
        <v>0.8</v>
      </c>
      <c r="B28" s="9">
        <v>0.18</v>
      </c>
      <c r="C28" s="9">
        <v>3.665</v>
      </c>
      <c r="D28" s="9">
        <v>0.78500000000000003</v>
      </c>
      <c r="E28" s="9">
        <v>1.4</v>
      </c>
      <c r="F28" s="9">
        <v>0</v>
      </c>
      <c r="G28" s="9">
        <v>0</v>
      </c>
      <c r="N28" s="9">
        <v>0.76416035435620988</v>
      </c>
      <c r="O28" s="9">
        <v>0.16895056277198955</v>
      </c>
      <c r="P28" s="9">
        <v>3.6644901985177163</v>
      </c>
      <c r="Q28" s="9">
        <v>0.75188766763436832</v>
      </c>
      <c r="R28" s="10">
        <v>1.3788071083224406E-5</v>
      </c>
      <c r="S28" s="8">
        <f t="shared" si="3"/>
        <v>3.5839645643790163E-2</v>
      </c>
      <c r="T28" s="8">
        <f t="shared" si="3"/>
        <v>1.1049437228010439E-2</v>
      </c>
      <c r="U28" s="8">
        <f t="shared" si="3"/>
        <v>5.0980148228374489E-4</v>
      </c>
      <c r="V28" s="8">
        <f t="shared" si="3"/>
        <v>3.3112332365631714E-2</v>
      </c>
    </row>
    <row r="29" spans="1:22" x14ac:dyDescent="0.35">
      <c r="A29" s="9">
        <v>0.4</v>
      </c>
      <c r="B29" s="9">
        <v>0.2</v>
      </c>
      <c r="C29" s="9">
        <v>3.665</v>
      </c>
      <c r="D29" s="9">
        <v>0.78500000000000003</v>
      </c>
      <c r="E29" s="9">
        <v>1.4</v>
      </c>
      <c r="F29" s="9">
        <v>0</v>
      </c>
      <c r="G29" s="9">
        <v>0</v>
      </c>
      <c r="N29" s="9">
        <v>0.57905693693181226</v>
      </c>
      <c r="O29" s="9">
        <v>0.18790857213030551</v>
      </c>
      <c r="P29" s="9">
        <v>3.6672251826386026</v>
      </c>
      <c r="Q29" s="9">
        <v>0.36700355574253035</v>
      </c>
      <c r="R29" s="10">
        <v>1.1866038516081041E-5</v>
      </c>
      <c r="S29" s="8">
        <f t="shared" si="3"/>
        <v>0.17905693693181224</v>
      </c>
      <c r="T29" s="8">
        <f t="shared" si="3"/>
        <v>1.2091427869694499E-2</v>
      </c>
      <c r="U29" s="8">
        <f t="shared" si="3"/>
        <v>2.2251826386026075E-3</v>
      </c>
      <c r="V29" s="8">
        <f t="shared" si="3"/>
        <v>0.41799644425746968</v>
      </c>
    </row>
    <row r="30" spans="1:22" x14ac:dyDescent="0.35">
      <c r="A30" s="9">
        <v>0.4</v>
      </c>
      <c r="B30" s="9">
        <v>0.1</v>
      </c>
      <c r="C30" s="9">
        <v>3.665</v>
      </c>
      <c r="D30" s="9">
        <v>1.571</v>
      </c>
      <c r="E30" s="9">
        <v>1.4</v>
      </c>
      <c r="F30" s="9">
        <v>0</v>
      </c>
      <c r="G30" s="9">
        <v>0</v>
      </c>
      <c r="N30" s="9">
        <v>0.34007968363642305</v>
      </c>
      <c r="O30" s="9">
        <v>0.12851527158256834</v>
      </c>
      <c r="P30" s="9">
        <v>3.6432660587787979</v>
      </c>
      <c r="Q30" s="9">
        <v>1.252212598953627</v>
      </c>
      <c r="R30" s="10">
        <v>1.9182589657325815E-5</v>
      </c>
      <c r="S30" s="8">
        <f t="shared" si="3"/>
        <v>5.9920316363576975E-2</v>
      </c>
      <c r="T30" s="8">
        <f t="shared" si="3"/>
        <v>2.8515271582568336E-2</v>
      </c>
      <c r="U30" s="8">
        <f t="shared" si="3"/>
        <v>2.1733941221202091E-2</v>
      </c>
      <c r="V30" s="8">
        <f t="shared" si="3"/>
        <v>0.31878740104637293</v>
      </c>
    </row>
    <row r="31" spans="1:22" x14ac:dyDescent="0.35">
      <c r="A31" s="9">
        <v>0.7</v>
      </c>
      <c r="B31" s="9">
        <v>0.1</v>
      </c>
      <c r="C31" s="9">
        <v>3.665</v>
      </c>
      <c r="D31" s="9">
        <v>1.571</v>
      </c>
      <c r="E31" s="9">
        <v>1.4</v>
      </c>
      <c r="F31" s="9">
        <v>0</v>
      </c>
      <c r="G31" s="9">
        <v>0</v>
      </c>
      <c r="N31" s="9">
        <v>0.86790648723623831</v>
      </c>
      <c r="O31" s="9">
        <v>0.10225296352253385</v>
      </c>
      <c r="P31" s="9">
        <v>3.6464944955532976</v>
      </c>
      <c r="Q31" s="9">
        <v>1.9935006222286877</v>
      </c>
      <c r="R31" s="10">
        <v>7.2125604043068431E-5</v>
      </c>
      <c r="S31" s="8">
        <f t="shared" si="3"/>
        <v>0.16790648723623836</v>
      </c>
      <c r="T31" s="8">
        <f t="shared" si="3"/>
        <v>2.2529635225338462E-3</v>
      </c>
      <c r="U31" s="8">
        <f t="shared" si="3"/>
        <v>1.8505504446702403E-2</v>
      </c>
      <c r="V31" s="8">
        <f t="shared" si="3"/>
        <v>0.42250062222868778</v>
      </c>
    </row>
    <row r="32" spans="1:22" x14ac:dyDescent="0.35">
      <c r="A32" s="9">
        <v>0.4</v>
      </c>
      <c r="B32" s="9">
        <v>0.16</v>
      </c>
      <c r="C32" s="9">
        <v>3.665</v>
      </c>
      <c r="D32" s="9">
        <v>1.571</v>
      </c>
      <c r="E32" s="9">
        <v>0</v>
      </c>
      <c r="F32" s="9">
        <v>0</v>
      </c>
      <c r="G32" s="9">
        <v>0</v>
      </c>
      <c r="N32" s="9">
        <v>0.2786887647551437</v>
      </c>
      <c r="O32" s="9">
        <v>0.18057257100959229</v>
      </c>
      <c r="P32" s="9">
        <v>3.6487188919732017</v>
      </c>
      <c r="Q32" s="9">
        <v>1.1065946897102816</v>
      </c>
      <c r="R32" s="10">
        <v>2.0845529163059486E-4</v>
      </c>
      <c r="S32" s="8">
        <f t="shared" si="3"/>
        <v>0.12131123524485632</v>
      </c>
      <c r="T32" s="8">
        <f t="shared" si="3"/>
        <v>2.0572571009592283E-2</v>
      </c>
      <c r="U32" s="8">
        <f t="shared" si="3"/>
        <v>1.6281108026798385E-2</v>
      </c>
      <c r="V32" s="8">
        <f t="shared" si="3"/>
        <v>0.46440531028971832</v>
      </c>
    </row>
    <row r="33" spans="1:22" x14ac:dyDescent="0.35">
      <c r="A33" s="9">
        <v>0.3</v>
      </c>
      <c r="B33" s="9">
        <v>0.18</v>
      </c>
      <c r="C33" s="9">
        <v>3.665</v>
      </c>
      <c r="D33" s="9">
        <v>1.571</v>
      </c>
      <c r="E33" s="9">
        <v>0</v>
      </c>
      <c r="F33" s="9">
        <v>0</v>
      </c>
      <c r="G33" s="9">
        <v>0</v>
      </c>
      <c r="N33" s="9">
        <v>0.38022533275548343</v>
      </c>
      <c r="O33" s="9">
        <v>0.19068060627430675</v>
      </c>
      <c r="P33" s="9">
        <v>3.6635475974977201</v>
      </c>
      <c r="Q33" s="9">
        <v>2.0416835395252591</v>
      </c>
      <c r="R33" s="10">
        <v>3.2832655978218264E-5</v>
      </c>
      <c r="S33" s="8">
        <f t="shared" si="3"/>
        <v>8.0225332755483436E-2</v>
      </c>
      <c r="T33" s="8">
        <f t="shared" si="3"/>
        <v>1.0680606274306753E-2</v>
      </c>
      <c r="U33" s="8">
        <f t="shared" si="3"/>
        <v>1.4524025022799592E-3</v>
      </c>
      <c r="V33" s="8">
        <f t="shared" si="3"/>
        <v>0.4706835395252591</v>
      </c>
    </row>
    <row r="34" spans="1:22" x14ac:dyDescent="0.35">
      <c r="A34" s="9">
        <v>0.3</v>
      </c>
      <c r="B34" s="9">
        <v>0.08</v>
      </c>
      <c r="C34" s="9">
        <v>1.571</v>
      </c>
      <c r="D34" s="9">
        <v>0.78500000000000003</v>
      </c>
      <c r="E34" s="9">
        <v>1.4</v>
      </c>
      <c r="F34" s="9">
        <v>0</v>
      </c>
      <c r="G34" s="9">
        <v>0</v>
      </c>
      <c r="N34" s="9">
        <v>0.26195266785652338</v>
      </c>
      <c r="O34" s="9">
        <v>5.8708051280115942E-2</v>
      </c>
      <c r="P34" s="9">
        <v>1.6537795098622556</v>
      </c>
      <c r="Q34" s="9">
        <v>0.83118977993161047</v>
      </c>
      <c r="R34" s="10">
        <v>2.1679304652169845E-5</v>
      </c>
      <c r="S34" s="8">
        <f t="shared" si="3"/>
        <v>3.8047332143476609E-2</v>
      </c>
      <c r="T34" s="8">
        <f t="shared" si="3"/>
        <v>2.129194871988406E-2</v>
      </c>
      <c r="U34" s="8">
        <f t="shared" si="3"/>
        <v>8.2779509862255685E-2</v>
      </c>
      <c r="V34" s="8">
        <f t="shared" si="3"/>
        <v>4.6189779931610442E-2</v>
      </c>
    </row>
    <row r="35" spans="1:22" x14ac:dyDescent="0.35">
      <c r="A35" s="9">
        <v>0.4</v>
      </c>
      <c r="B35" s="9">
        <v>0.14000000000000001</v>
      </c>
      <c r="C35" s="9">
        <v>1.571</v>
      </c>
      <c r="D35" s="9">
        <v>0.78500000000000003</v>
      </c>
      <c r="E35" s="9">
        <v>0</v>
      </c>
      <c r="F35" s="9">
        <v>0</v>
      </c>
      <c r="G35" s="9">
        <v>0</v>
      </c>
      <c r="N35" s="9">
        <v>0.88356611757728676</v>
      </c>
      <c r="O35" s="9">
        <v>0.14107705182476477</v>
      </c>
      <c r="P35" s="9">
        <v>1.568960716240188</v>
      </c>
      <c r="Q35" s="9">
        <v>0.18036798777671892</v>
      </c>
      <c r="R35" s="10">
        <v>2.1238249746242634E-4</v>
      </c>
      <c r="S35" s="8">
        <f t="shared" si="3"/>
        <v>0.48356611757728674</v>
      </c>
      <c r="T35" s="8">
        <f t="shared" si="3"/>
        <v>1.077051824764752E-3</v>
      </c>
      <c r="U35" s="8">
        <f t="shared" si="3"/>
        <v>2.0392837598119939E-3</v>
      </c>
      <c r="V35" s="8">
        <f t="shared" si="3"/>
        <v>0.60463201222328111</v>
      </c>
    </row>
    <row r="36" spans="1:22" x14ac:dyDescent="0.35">
      <c r="A36" s="9">
        <v>0.6</v>
      </c>
      <c r="B36" s="9">
        <v>0.16</v>
      </c>
      <c r="C36" s="9">
        <v>1.571</v>
      </c>
      <c r="D36" s="9">
        <v>0.78500000000000003</v>
      </c>
      <c r="E36" s="9">
        <v>1.4</v>
      </c>
      <c r="F36" s="9">
        <v>0</v>
      </c>
      <c r="G36" s="9">
        <v>0</v>
      </c>
      <c r="N36" s="9">
        <v>0.73928518741947513</v>
      </c>
      <c r="O36" s="9">
        <v>0.11977640608649937</v>
      </c>
      <c r="P36" s="9">
        <v>1.6026835837025011</v>
      </c>
      <c r="Q36" s="9">
        <v>1.7358025713718253</v>
      </c>
      <c r="R36" s="10">
        <v>1.116637326619265E-5</v>
      </c>
      <c r="S36" s="8">
        <f t="shared" si="3"/>
        <v>0.13928518741947515</v>
      </c>
      <c r="T36" s="8">
        <f t="shared" si="3"/>
        <v>4.0223593913500638E-2</v>
      </c>
      <c r="U36" s="8">
        <f t="shared" si="3"/>
        <v>3.1683583702501128E-2</v>
      </c>
      <c r="V36" s="8">
        <f t="shared" si="3"/>
        <v>0.95080257137182522</v>
      </c>
    </row>
    <row r="37" spans="1:22" x14ac:dyDescent="0.35">
      <c r="A37" s="9">
        <v>0.4</v>
      </c>
      <c r="B37" s="9">
        <v>0.06</v>
      </c>
      <c r="C37" s="9">
        <v>1.571</v>
      </c>
      <c r="D37" s="9">
        <v>1.571</v>
      </c>
      <c r="E37" s="9">
        <v>1.4</v>
      </c>
      <c r="F37" s="9">
        <v>0</v>
      </c>
      <c r="G37" s="9">
        <v>0</v>
      </c>
      <c r="N37" s="9">
        <v>0.35317664450167463</v>
      </c>
      <c r="O37" s="9">
        <v>5.3358023145216746E-2</v>
      </c>
      <c r="P37" s="9">
        <v>1.6030898483731331</v>
      </c>
      <c r="Q37" s="9">
        <v>1.5042682925003745</v>
      </c>
      <c r="R37" s="10">
        <v>3.7551484726591821E-6</v>
      </c>
      <c r="S37" s="8">
        <f t="shared" si="3"/>
        <v>4.6823355498325392E-2</v>
      </c>
      <c r="T37" s="8">
        <f t="shared" si="3"/>
        <v>6.6419768547832519E-3</v>
      </c>
      <c r="U37" s="8">
        <f t="shared" si="3"/>
        <v>3.2089848373133112E-2</v>
      </c>
      <c r="V37" s="8">
        <f t="shared" si="3"/>
        <v>6.6731707499625426E-2</v>
      </c>
    </row>
    <row r="38" spans="1:22" x14ac:dyDescent="0.35">
      <c r="A38" s="9">
        <v>0.8</v>
      </c>
      <c r="B38" s="9">
        <v>0.08</v>
      </c>
      <c r="C38" s="9">
        <v>1.571</v>
      </c>
      <c r="D38" s="9">
        <v>1.571</v>
      </c>
      <c r="E38" s="9">
        <v>0</v>
      </c>
      <c r="F38" s="9">
        <v>0</v>
      </c>
      <c r="G38" s="9">
        <v>0</v>
      </c>
      <c r="N38" s="9">
        <v>0.66956547507771236</v>
      </c>
      <c r="O38" s="9">
        <v>9.0728851866448232E-2</v>
      </c>
      <c r="P38" s="9">
        <v>1.5744718760410317</v>
      </c>
      <c r="Q38" s="9">
        <v>1.2339005473206235</v>
      </c>
      <c r="R38" s="10">
        <v>1.0710460731265208E-6</v>
      </c>
      <c r="S38" s="8">
        <f t="shared" si="3"/>
        <v>0.13043452492228769</v>
      </c>
      <c r="T38" s="8">
        <f t="shared" si="3"/>
        <v>1.072885186644823E-2</v>
      </c>
      <c r="U38" s="8">
        <f t="shared" si="3"/>
        <v>3.4718760410317184E-3</v>
      </c>
      <c r="V38" s="8">
        <f t="shared" si="3"/>
        <v>0.33709945267937647</v>
      </c>
    </row>
    <row r="39" spans="1:22" x14ac:dyDescent="0.35">
      <c r="A39" s="9">
        <v>0.7</v>
      </c>
      <c r="B39" s="9">
        <v>0.16</v>
      </c>
      <c r="C39" s="9">
        <v>1.571</v>
      </c>
      <c r="D39" s="9">
        <v>1.571</v>
      </c>
      <c r="E39" s="9">
        <v>1.4</v>
      </c>
      <c r="F39" s="9">
        <v>0</v>
      </c>
      <c r="G39" s="9">
        <v>0</v>
      </c>
      <c r="N39" s="9">
        <v>0.79399215933042</v>
      </c>
      <c r="O39" s="9">
        <v>0.16258301530587249</v>
      </c>
      <c r="P39" s="9">
        <v>1.5947560417462903</v>
      </c>
      <c r="Q39" s="9">
        <v>1.6761194790389502</v>
      </c>
      <c r="R39" s="10">
        <v>9.9266184160698323E-5</v>
      </c>
      <c r="S39" s="8">
        <f t="shared" si="3"/>
        <v>9.3992159330420044E-2</v>
      </c>
      <c r="T39" s="8">
        <f t="shared" si="3"/>
        <v>2.5830153058724881E-3</v>
      </c>
      <c r="U39" s="8">
        <f t="shared" si="3"/>
        <v>2.3756041746290313E-2</v>
      </c>
      <c r="V39" s="8">
        <f t="shared" si="3"/>
        <v>0.10511947903895025</v>
      </c>
    </row>
    <row r="40" spans="1:22" x14ac:dyDescent="0.35">
      <c r="A40" s="9">
        <v>0.7</v>
      </c>
      <c r="B40" s="9">
        <v>0.2</v>
      </c>
      <c r="C40" s="9">
        <v>1.571</v>
      </c>
      <c r="D40" s="9">
        <v>1.571</v>
      </c>
      <c r="E40" s="9">
        <v>0</v>
      </c>
      <c r="F40" s="9">
        <v>0</v>
      </c>
      <c r="G40" s="9">
        <v>0</v>
      </c>
      <c r="N40" s="9">
        <v>0.24483562623033445</v>
      </c>
      <c r="O40" s="9">
        <v>0.19999999971109644</v>
      </c>
      <c r="P40" s="9">
        <v>1.4667176333536682</v>
      </c>
      <c r="Q40" s="9">
        <v>2.2463936918083709</v>
      </c>
      <c r="R40" s="10">
        <v>4.6201221885077137E-3</v>
      </c>
      <c r="S40" s="8">
        <f t="shared" si="3"/>
        <v>0.45516437376966551</v>
      </c>
      <c r="T40" s="8">
        <f t="shared" si="3"/>
        <v>2.8890356773558779E-10</v>
      </c>
      <c r="U40" s="8">
        <f t="shared" si="3"/>
        <v>0.10428236664633173</v>
      </c>
      <c r="V40" s="8">
        <f t="shared" si="3"/>
        <v>0.67539369180837094</v>
      </c>
    </row>
    <row r="41" spans="1:22" x14ac:dyDescent="0.35">
      <c r="A41" s="9">
        <v>0.7</v>
      </c>
      <c r="B41" s="9">
        <v>0.06</v>
      </c>
      <c r="C41" s="9">
        <v>3.665</v>
      </c>
      <c r="D41" s="9">
        <v>0.78500000000000003</v>
      </c>
      <c r="E41" s="9">
        <v>0</v>
      </c>
      <c r="F41" s="9">
        <v>0</v>
      </c>
      <c r="G41" s="9">
        <v>0</v>
      </c>
      <c r="N41" s="9">
        <v>0.76037129194263786</v>
      </c>
      <c r="O41" s="9">
        <v>5.4335871440586034E-2</v>
      </c>
      <c r="P41" s="9">
        <v>3.6379501141943571</v>
      </c>
      <c r="Q41" s="9">
        <v>0.89801914167805663</v>
      </c>
      <c r="R41" s="10">
        <v>2.2286511754901301E-6</v>
      </c>
      <c r="S41" s="8">
        <f t="shared" si="3"/>
        <v>6.0371291942637906E-2</v>
      </c>
      <c r="T41" s="8">
        <f t="shared" si="3"/>
        <v>5.664128559413964E-3</v>
      </c>
      <c r="U41" s="8">
        <f t="shared" si="3"/>
        <v>2.7049885805642937E-2</v>
      </c>
      <c r="V41" s="8">
        <f t="shared" si="3"/>
        <v>0.1130191416780566</v>
      </c>
    </row>
    <row r="42" spans="1:22" x14ac:dyDescent="0.35">
      <c r="A42" s="9">
        <v>0.6</v>
      </c>
      <c r="B42" s="9">
        <v>0.1</v>
      </c>
      <c r="C42" s="9">
        <v>3.665</v>
      </c>
      <c r="D42" s="9">
        <v>0.78500000000000003</v>
      </c>
      <c r="E42" s="9">
        <v>0</v>
      </c>
      <c r="F42" s="9">
        <v>0</v>
      </c>
      <c r="G42" s="9">
        <v>0</v>
      </c>
      <c r="N42" s="9">
        <v>0.52348024631134982</v>
      </c>
      <c r="O42" s="9">
        <v>9.0958255395270568E-2</v>
      </c>
      <c r="P42" s="9">
        <v>3.6418222030868006</v>
      </c>
      <c r="Q42" s="9">
        <v>1.2722734758145038</v>
      </c>
      <c r="R42" s="10">
        <v>2.0450456951046164E-5</v>
      </c>
      <c r="S42" s="8">
        <f t="shared" si="3"/>
        <v>7.6519753688650161E-2</v>
      </c>
      <c r="T42" s="8">
        <f t="shared" si="3"/>
        <v>9.0417446047294375E-3</v>
      </c>
      <c r="U42" s="8">
        <f t="shared" si="3"/>
        <v>2.3177796913199433E-2</v>
      </c>
      <c r="V42" s="8">
        <f t="shared" si="3"/>
        <v>0.48727347581450375</v>
      </c>
    </row>
    <row r="43" spans="1:22" x14ac:dyDescent="0.35">
      <c r="A43" s="9">
        <v>0.8</v>
      </c>
      <c r="B43" s="9">
        <v>0.18</v>
      </c>
      <c r="C43" s="9">
        <v>3.665</v>
      </c>
      <c r="D43" s="9">
        <v>0.78500000000000003</v>
      </c>
      <c r="E43" s="9">
        <v>1.4</v>
      </c>
      <c r="F43" s="9">
        <v>0</v>
      </c>
      <c r="G43" s="9">
        <v>0</v>
      </c>
      <c r="N43" s="9">
        <v>0.85291568226709558</v>
      </c>
      <c r="O43" s="9">
        <v>0.15575400545232213</v>
      </c>
      <c r="P43" s="9">
        <v>3.6660866773749876</v>
      </c>
      <c r="Q43" s="9">
        <v>0.61581548581605494</v>
      </c>
      <c r="R43" s="10">
        <v>1.1751500711477955E-4</v>
      </c>
      <c r="S43" s="8">
        <f t="shared" si="3"/>
        <v>5.2915682267095532E-2</v>
      </c>
      <c r="T43" s="8">
        <f t="shared" si="3"/>
        <v>2.4245994547677868E-2</v>
      </c>
      <c r="U43" s="8">
        <f t="shared" si="3"/>
        <v>1.0866773749875769E-3</v>
      </c>
      <c r="V43" s="8">
        <f t="shared" si="3"/>
        <v>0.16918451418394509</v>
      </c>
    </row>
    <row r="44" spans="1:22" x14ac:dyDescent="0.35">
      <c r="A44" s="9">
        <v>0.4</v>
      </c>
      <c r="B44" s="9">
        <v>0.2</v>
      </c>
      <c r="C44" s="9">
        <v>3.665</v>
      </c>
      <c r="D44" s="9">
        <v>0.78500000000000003</v>
      </c>
      <c r="E44" s="9">
        <v>1.4</v>
      </c>
      <c r="F44" s="9">
        <v>0</v>
      </c>
      <c r="G44" s="9">
        <v>0</v>
      </c>
      <c r="N44" s="9">
        <v>0.30183424384329716</v>
      </c>
      <c r="O44" s="9">
        <v>0.19994826098185706</v>
      </c>
      <c r="P44" s="9">
        <v>3.6613731862645689</v>
      </c>
      <c r="Q44" s="9">
        <v>0.96963034236452528</v>
      </c>
      <c r="R44" s="10">
        <v>1.4710516756607952E-4</v>
      </c>
      <c r="S44" s="8">
        <f t="shared" si="3"/>
        <v>9.8165756156702866E-2</v>
      </c>
      <c r="T44" s="8">
        <f t="shared" si="3"/>
        <v>5.1739018142954452E-5</v>
      </c>
      <c r="U44" s="8">
        <f t="shared" si="3"/>
        <v>3.6268137354311669E-3</v>
      </c>
      <c r="V44" s="8">
        <f t="shared" si="3"/>
        <v>0.18463034236452525</v>
      </c>
    </row>
    <row r="45" spans="1:22" x14ac:dyDescent="0.35">
      <c r="A45" s="9">
        <v>0.4</v>
      </c>
      <c r="B45" s="9">
        <v>0.1</v>
      </c>
      <c r="C45" s="9">
        <v>3.665</v>
      </c>
      <c r="D45" s="9">
        <v>1.571</v>
      </c>
      <c r="E45" s="9">
        <v>1.4</v>
      </c>
      <c r="F45" s="9">
        <v>0</v>
      </c>
      <c r="G45" s="9">
        <v>0</v>
      </c>
      <c r="N45" s="9">
        <v>0.4827625268165997</v>
      </c>
      <c r="O45" s="9">
        <v>0.12298468412494723</v>
      </c>
      <c r="P45" s="9">
        <v>3.6492830534537593</v>
      </c>
      <c r="Q45" s="9">
        <v>0.67544341049881584</v>
      </c>
      <c r="R45" s="10">
        <v>9.0385962558598704E-6</v>
      </c>
      <c r="S45" s="8">
        <f t="shared" si="3"/>
        <v>8.276252681659968E-2</v>
      </c>
      <c r="T45" s="8">
        <f t="shared" si="3"/>
        <v>2.2984684124947224E-2</v>
      </c>
      <c r="U45" s="8">
        <f t="shared" si="3"/>
        <v>1.5716946546240784E-2</v>
      </c>
      <c r="V45" s="8">
        <f t="shared" si="3"/>
        <v>0.89555658950118411</v>
      </c>
    </row>
    <row r="46" spans="1:22" x14ac:dyDescent="0.35">
      <c r="A46" s="9">
        <v>0.7</v>
      </c>
      <c r="B46" s="9">
        <v>0.1</v>
      </c>
      <c r="C46" s="9">
        <v>3.665</v>
      </c>
      <c r="D46" s="9">
        <v>1.571</v>
      </c>
      <c r="E46" s="9">
        <v>1.4</v>
      </c>
      <c r="F46" s="9">
        <v>0</v>
      </c>
      <c r="G46" s="9">
        <v>0</v>
      </c>
      <c r="N46" s="9">
        <v>0.66476547107565642</v>
      </c>
      <c r="O46" s="9">
        <v>0.12576865216968397</v>
      </c>
      <c r="P46" s="9">
        <v>3.6474637760728306</v>
      </c>
      <c r="Q46" s="9">
        <v>1.3313169831222513</v>
      </c>
      <c r="R46" s="10">
        <v>4.525738668733837E-5</v>
      </c>
      <c r="S46" s="8">
        <f t="shared" si="3"/>
        <v>3.5234528924343533E-2</v>
      </c>
      <c r="T46" s="8">
        <f t="shared" si="3"/>
        <v>2.5768652169683964E-2</v>
      </c>
      <c r="U46" s="8">
        <f t="shared" si="3"/>
        <v>1.753622392716947E-2</v>
      </c>
      <c r="V46" s="8">
        <f t="shared" si="3"/>
        <v>0.23968301687774862</v>
      </c>
    </row>
    <row r="47" spans="1:22" x14ac:dyDescent="0.35">
      <c r="A47" s="9">
        <v>0.4</v>
      </c>
      <c r="B47" s="9">
        <v>0.16</v>
      </c>
      <c r="C47" s="9">
        <v>3.665</v>
      </c>
      <c r="D47" s="9">
        <v>1.571</v>
      </c>
      <c r="E47" s="9">
        <v>0</v>
      </c>
      <c r="F47" s="9">
        <v>0</v>
      </c>
      <c r="G47" s="9">
        <v>0</v>
      </c>
      <c r="N47" s="9">
        <v>0.56930819987999848</v>
      </c>
      <c r="O47" s="9">
        <v>0.13517204575378525</v>
      </c>
      <c r="P47" s="9">
        <v>3.6626273737570401</v>
      </c>
      <c r="Q47" s="9">
        <v>2.2625755736903752</v>
      </c>
      <c r="R47" s="10">
        <v>2.8268636703027835E-6</v>
      </c>
      <c r="S47" s="8">
        <f t="shared" si="3"/>
        <v>0.16930819987999846</v>
      </c>
      <c r="T47" s="8">
        <f t="shared" si="3"/>
        <v>2.4827954246214756E-2</v>
      </c>
      <c r="U47" s="8">
        <f t="shared" si="3"/>
        <v>2.3726262429599743E-3</v>
      </c>
      <c r="V47" s="8">
        <f t="shared" si="3"/>
        <v>0.69157557369037526</v>
      </c>
    </row>
    <row r="48" spans="1:22" x14ac:dyDescent="0.35">
      <c r="A48" s="9">
        <v>0.3</v>
      </c>
      <c r="B48" s="9">
        <v>0.18</v>
      </c>
      <c r="C48" s="9">
        <v>3.665</v>
      </c>
      <c r="D48" s="9">
        <v>1.571</v>
      </c>
      <c r="E48" s="9">
        <v>0</v>
      </c>
      <c r="F48" s="9">
        <v>0</v>
      </c>
      <c r="G48" s="9">
        <v>0</v>
      </c>
      <c r="N48" s="9">
        <v>0.21525782496492479</v>
      </c>
      <c r="O48" s="9">
        <v>0.18052350717572682</v>
      </c>
      <c r="P48" s="9">
        <v>3.6807547837733048</v>
      </c>
      <c r="Q48" s="9">
        <v>1.7137823407093051</v>
      </c>
      <c r="R48" s="10">
        <v>2.6544138468662177E-5</v>
      </c>
      <c r="S48" s="8">
        <f t="shared" si="3"/>
        <v>8.4742175035075196E-2</v>
      </c>
      <c r="T48" s="8">
        <f t="shared" si="3"/>
        <v>5.2350717572682837E-4</v>
      </c>
      <c r="U48" s="8">
        <f t="shared" si="3"/>
        <v>1.5754783773304748E-2</v>
      </c>
      <c r="V48" s="8">
        <f t="shared" si="3"/>
        <v>0.14278234070930518</v>
      </c>
    </row>
    <row r="49" spans="1:22" x14ac:dyDescent="0.35">
      <c r="A49" s="9">
        <v>0.3</v>
      </c>
      <c r="B49" s="9">
        <v>0.08</v>
      </c>
      <c r="C49" s="9">
        <v>1.571</v>
      </c>
      <c r="D49" s="9">
        <v>0.78500000000000003</v>
      </c>
      <c r="E49" s="9">
        <v>1.4</v>
      </c>
      <c r="F49" s="9">
        <v>0</v>
      </c>
      <c r="G49" s="9">
        <v>0</v>
      </c>
      <c r="N49" s="9">
        <v>0.54499196700182784</v>
      </c>
      <c r="O49" s="9">
        <v>0.10304260871875189</v>
      </c>
      <c r="P49" s="9">
        <v>1.4217329751594818</v>
      </c>
      <c r="Q49" s="9">
        <v>2.5506268868733555</v>
      </c>
      <c r="R49" s="10">
        <v>1.6533136941024756E-5</v>
      </c>
      <c r="S49" s="8">
        <f t="shared" si="3"/>
        <v>0.24499196700182785</v>
      </c>
      <c r="T49" s="8">
        <f t="shared" si="3"/>
        <v>2.3042608718751884E-2</v>
      </c>
      <c r="U49" s="8">
        <f t="shared" si="3"/>
        <v>0.14926702484051813</v>
      </c>
      <c r="V49" s="8">
        <f t="shared" si="3"/>
        <v>1.7656268868733553</v>
      </c>
    </row>
    <row r="50" spans="1:22" x14ac:dyDescent="0.35">
      <c r="A50" s="9">
        <v>0.4</v>
      </c>
      <c r="B50" s="9">
        <v>0.14000000000000001</v>
      </c>
      <c r="C50" s="9">
        <v>1.571</v>
      </c>
      <c r="D50" s="9">
        <v>0.78500000000000003</v>
      </c>
      <c r="E50" s="9">
        <v>0</v>
      </c>
      <c r="F50" s="9">
        <v>0</v>
      </c>
      <c r="G50" s="9">
        <v>0</v>
      </c>
      <c r="N50" s="9">
        <v>0.30736518108500299</v>
      </c>
      <c r="O50" s="9">
        <v>0.14120969312758452</v>
      </c>
      <c r="P50" s="9">
        <v>1.5648215243783692</v>
      </c>
      <c r="Q50" s="9">
        <v>1.2215175740444189</v>
      </c>
      <c r="R50" s="10">
        <v>1.1055523161433318E-5</v>
      </c>
      <c r="S50" s="8">
        <f t="shared" si="3"/>
        <v>9.263481891499703E-2</v>
      </c>
      <c r="T50" s="8">
        <f t="shared" si="3"/>
        <v>1.2096931275845102E-3</v>
      </c>
      <c r="U50" s="8">
        <f t="shared" si="3"/>
        <v>6.1784756216307635E-3</v>
      </c>
      <c r="V50" s="8">
        <f t="shared" si="3"/>
        <v>0.43651757404441882</v>
      </c>
    </row>
    <row r="51" spans="1:22" x14ac:dyDescent="0.35">
      <c r="A51" s="9">
        <v>0.6</v>
      </c>
      <c r="B51" s="9">
        <v>0.16</v>
      </c>
      <c r="C51" s="9">
        <v>1.571</v>
      </c>
      <c r="D51" s="9">
        <v>0.78500000000000003</v>
      </c>
      <c r="E51" s="9">
        <v>1.4</v>
      </c>
      <c r="F51" s="9">
        <v>0</v>
      </c>
      <c r="G51" s="9">
        <v>0</v>
      </c>
      <c r="N51" s="9">
        <v>0.6059419777022631</v>
      </c>
      <c r="O51" s="9">
        <v>0.17748674702010966</v>
      </c>
      <c r="P51" s="9">
        <v>1.8449984952012672</v>
      </c>
      <c r="Q51" s="9">
        <v>0.53644761158233334</v>
      </c>
      <c r="R51" s="10">
        <v>2.732042474927293E-5</v>
      </c>
      <c r="S51" s="8">
        <f t="shared" si="3"/>
        <v>5.9419777022631237E-3</v>
      </c>
      <c r="T51" s="8">
        <f t="shared" si="3"/>
        <v>1.7486747020109661E-2</v>
      </c>
      <c r="U51" s="8">
        <f t="shared" si="3"/>
        <v>0.27399849520126729</v>
      </c>
      <c r="V51" s="8">
        <f t="shared" si="3"/>
        <v>0.24855238841766669</v>
      </c>
    </row>
    <row r="52" spans="1:22" x14ac:dyDescent="0.35">
      <c r="A52" s="9">
        <v>0.4</v>
      </c>
      <c r="B52" s="9">
        <v>0.06</v>
      </c>
      <c r="C52" s="9">
        <v>1.571</v>
      </c>
      <c r="D52" s="9">
        <v>1.571</v>
      </c>
      <c r="E52" s="9">
        <v>1.4</v>
      </c>
      <c r="F52" s="9">
        <v>0</v>
      </c>
      <c r="G52" s="9">
        <v>0</v>
      </c>
      <c r="N52" s="9">
        <v>0.45639319540284456</v>
      </c>
      <c r="O52" s="9">
        <v>5.1810017106134962E-2</v>
      </c>
      <c r="P52" s="9">
        <v>1.5612642379653461</v>
      </c>
      <c r="Q52" s="9">
        <v>2.1827814067662468</v>
      </c>
      <c r="R52" s="10">
        <v>2.1787200247719787E-5</v>
      </c>
      <c r="S52" s="8">
        <f t="shared" si="3"/>
        <v>5.6393195402844543E-2</v>
      </c>
      <c r="T52" s="8">
        <f t="shared" si="3"/>
        <v>8.189982893865036E-3</v>
      </c>
      <c r="U52" s="8">
        <f t="shared" si="3"/>
        <v>9.735762034653872E-3</v>
      </c>
      <c r="V52" s="8">
        <f t="shared" si="3"/>
        <v>0.61178140676624682</v>
      </c>
    </row>
    <row r="53" spans="1:22" x14ac:dyDescent="0.35">
      <c r="A53" s="9">
        <v>0.8</v>
      </c>
      <c r="B53" s="9">
        <v>0.08</v>
      </c>
      <c r="C53" s="9">
        <v>1.571</v>
      </c>
      <c r="D53" s="9">
        <v>1.571</v>
      </c>
      <c r="E53" s="9">
        <v>0</v>
      </c>
      <c r="F53" s="9">
        <v>0</v>
      </c>
      <c r="G53" s="9">
        <v>0</v>
      </c>
      <c r="N53" s="9">
        <v>0.66826981729784252</v>
      </c>
      <c r="O53" s="9">
        <v>9.4264680285244415E-2</v>
      </c>
      <c r="P53" s="9">
        <v>1.5759658217781904</v>
      </c>
      <c r="Q53" s="9">
        <v>1.338436907426479</v>
      </c>
      <c r="R53" s="10">
        <v>2.2762342870167598E-5</v>
      </c>
      <c r="S53" s="8">
        <f t="shared" si="3"/>
        <v>0.13173018270215753</v>
      </c>
      <c r="T53" s="8">
        <f t="shared" si="3"/>
        <v>1.4264680285244413E-2</v>
      </c>
      <c r="U53" s="8">
        <f t="shared" si="3"/>
        <v>4.9658217781904934E-3</v>
      </c>
      <c r="V53" s="8">
        <f t="shared" si="3"/>
        <v>0.23256309257352092</v>
      </c>
    </row>
    <row r="54" spans="1:22" x14ac:dyDescent="0.35">
      <c r="A54" s="9">
        <v>0.7</v>
      </c>
      <c r="B54" s="9">
        <v>0.16</v>
      </c>
      <c r="C54" s="9">
        <v>1.571</v>
      </c>
      <c r="D54" s="9">
        <v>1.571</v>
      </c>
      <c r="E54" s="9">
        <v>1.4</v>
      </c>
      <c r="F54" s="9">
        <v>0</v>
      </c>
      <c r="G54" s="9">
        <v>0</v>
      </c>
      <c r="N54" s="9">
        <v>0.34754890518200954</v>
      </c>
      <c r="O54" s="9">
        <v>0.1999998859018417</v>
      </c>
      <c r="P54" s="9">
        <v>1.7801343423465008</v>
      </c>
      <c r="Q54" s="9">
        <v>1.0917748572760273</v>
      </c>
      <c r="R54" s="10">
        <v>2.5813528977255812E-3</v>
      </c>
      <c r="S54" s="8">
        <f t="shared" si="3"/>
        <v>0.35245109481799042</v>
      </c>
      <c r="T54" s="8">
        <f t="shared" si="3"/>
        <v>3.9999885901841697E-2</v>
      </c>
      <c r="U54" s="8">
        <f t="shared" si="3"/>
        <v>0.20913434234650086</v>
      </c>
      <c r="V54" s="8">
        <f t="shared" si="3"/>
        <v>0.47922514272397265</v>
      </c>
    </row>
    <row r="55" spans="1:22" x14ac:dyDescent="0.35">
      <c r="A55" s="9">
        <v>0.7</v>
      </c>
      <c r="B55" s="9">
        <v>0.2</v>
      </c>
      <c r="C55" s="9">
        <v>1.571</v>
      </c>
      <c r="D55" s="9">
        <v>1.571</v>
      </c>
      <c r="E55" s="9">
        <v>0</v>
      </c>
      <c r="F55" s="9">
        <v>0</v>
      </c>
      <c r="G55" s="9">
        <v>0</v>
      </c>
      <c r="N55" s="9">
        <v>0.67182051790946751</v>
      </c>
      <c r="O55" s="9">
        <v>0.19978007003828099</v>
      </c>
      <c r="P55" s="9">
        <v>1.484563124218311</v>
      </c>
      <c r="Q55" s="9">
        <v>1.8868511565444039</v>
      </c>
      <c r="R55" s="10">
        <v>2.2156692908087205E-4</v>
      </c>
      <c r="S55" s="8">
        <f t="shared" si="3"/>
        <v>2.8179482090532448E-2</v>
      </c>
      <c r="T55" s="8">
        <f t="shared" si="3"/>
        <v>2.1992996171901757E-4</v>
      </c>
      <c r="U55" s="8">
        <f t="shared" si="3"/>
        <v>8.6436875781688904E-2</v>
      </c>
      <c r="V55" s="8">
        <f t="shared" si="3"/>
        <v>0.31585115654440399</v>
      </c>
    </row>
    <row r="56" spans="1:22" x14ac:dyDescent="0.35">
      <c r="A56" s="9">
        <v>0.7</v>
      </c>
      <c r="B56" s="9">
        <v>0.06</v>
      </c>
      <c r="C56" s="9">
        <v>3.665</v>
      </c>
      <c r="D56" s="9">
        <v>0.78500000000000003</v>
      </c>
      <c r="E56" s="9">
        <v>0</v>
      </c>
      <c r="F56" s="9">
        <v>0</v>
      </c>
      <c r="G56" s="9">
        <v>0</v>
      </c>
      <c r="N56" s="9">
        <v>0.9894807683206418</v>
      </c>
      <c r="O56" s="9">
        <v>6.7288447350172392E-2</v>
      </c>
      <c r="P56" s="9">
        <v>3.6374435836616485</v>
      </c>
      <c r="Q56" s="9">
        <v>0.57239539951640184</v>
      </c>
      <c r="R56" s="10">
        <v>3.7464388889722023E-6</v>
      </c>
      <c r="S56" s="8">
        <f t="shared" si="3"/>
        <v>0.28948076832064185</v>
      </c>
      <c r="T56" s="8">
        <f t="shared" si="3"/>
        <v>7.2884473501723945E-3</v>
      </c>
      <c r="U56" s="8">
        <f t="shared" si="3"/>
        <v>2.7556416338351486E-2</v>
      </c>
      <c r="V56" s="8">
        <f t="shared" si="3"/>
        <v>0.21260460048359819</v>
      </c>
    </row>
    <row r="57" spans="1:22" x14ac:dyDescent="0.35">
      <c r="A57" s="9">
        <v>0.6</v>
      </c>
      <c r="B57" s="9">
        <v>0.1</v>
      </c>
      <c r="C57" s="9">
        <v>3.665</v>
      </c>
      <c r="D57" s="9">
        <v>0.78500000000000003</v>
      </c>
      <c r="E57" s="9">
        <v>0</v>
      </c>
      <c r="F57" s="9">
        <v>0</v>
      </c>
      <c r="G57" s="9">
        <v>0</v>
      </c>
      <c r="N57" s="9">
        <v>0.55890979113938988</v>
      </c>
      <c r="O57" s="9">
        <v>9.900557544125764E-2</v>
      </c>
      <c r="P57" s="9">
        <v>3.6481260184359829</v>
      </c>
      <c r="Q57" s="9">
        <v>0.97473139623802929</v>
      </c>
      <c r="R57" s="10">
        <v>1.9859829827193124E-4</v>
      </c>
      <c r="S57" s="8">
        <f t="shared" si="3"/>
        <v>4.10902088606101E-2</v>
      </c>
      <c r="T57" s="8">
        <f t="shared" si="3"/>
        <v>9.9442455874236557E-4</v>
      </c>
      <c r="U57" s="8">
        <f t="shared" si="3"/>
        <v>1.6873981564017093E-2</v>
      </c>
      <c r="V57" s="8">
        <f t="shared" si="3"/>
        <v>0.18973139623802926</v>
      </c>
    </row>
    <row r="58" spans="1:22" x14ac:dyDescent="0.35">
      <c r="A58" s="9">
        <v>0.8</v>
      </c>
      <c r="B58" s="9">
        <v>0.18</v>
      </c>
      <c r="C58" s="9">
        <v>3.665</v>
      </c>
      <c r="D58" s="9">
        <v>0.78500000000000003</v>
      </c>
      <c r="E58" s="9">
        <v>1.4</v>
      </c>
      <c r="F58" s="9">
        <v>0</v>
      </c>
      <c r="G58" s="9">
        <v>0</v>
      </c>
      <c r="N58" s="9">
        <v>0.75803839796510397</v>
      </c>
      <c r="O58" s="9">
        <v>0.14798132532354058</v>
      </c>
      <c r="P58" s="9">
        <v>3.6640439791498398</v>
      </c>
      <c r="Q58" s="9">
        <v>1.167613886769113</v>
      </c>
      <c r="R58" s="10">
        <v>5.2101859122183916E-6</v>
      </c>
      <c r="S58" s="8">
        <f t="shared" si="3"/>
        <v>4.1961602034896073E-2</v>
      </c>
      <c r="T58" s="8">
        <f t="shared" si="3"/>
        <v>3.2018674676459413E-2</v>
      </c>
      <c r="U58" s="8">
        <f t="shared" si="3"/>
        <v>9.5602085016022187E-4</v>
      </c>
      <c r="V58" s="8">
        <f t="shared" si="3"/>
        <v>0.38261388676911301</v>
      </c>
    </row>
    <row r="59" spans="1:22" x14ac:dyDescent="0.35">
      <c r="A59" s="9">
        <v>0.4</v>
      </c>
      <c r="B59" s="9">
        <v>0.2</v>
      </c>
      <c r="C59" s="9">
        <v>3.665</v>
      </c>
      <c r="D59" s="9">
        <v>0.78500000000000003</v>
      </c>
      <c r="E59" s="9">
        <v>1.4</v>
      </c>
      <c r="F59" s="9">
        <v>0</v>
      </c>
      <c r="G59" s="9">
        <v>0</v>
      </c>
      <c r="N59" s="9">
        <v>0.37338638199171303</v>
      </c>
      <c r="O59" s="9">
        <v>0.19747304132876367</v>
      </c>
      <c r="P59" s="9">
        <v>3.6667212917305565</v>
      </c>
      <c r="Q59" s="9">
        <v>0.64554802415180623</v>
      </c>
      <c r="R59" s="10">
        <v>2.2564661898776134E-5</v>
      </c>
      <c r="S59" s="8">
        <f t="shared" si="3"/>
        <v>2.6613618008286988E-2</v>
      </c>
      <c r="T59" s="8">
        <f t="shared" si="3"/>
        <v>2.5269586712363401E-3</v>
      </c>
      <c r="U59" s="8">
        <f t="shared" si="3"/>
        <v>1.7212917305564623E-3</v>
      </c>
      <c r="V59" s="8">
        <f t="shared" si="3"/>
        <v>0.1394519758481938</v>
      </c>
    </row>
    <row r="60" spans="1:22" x14ac:dyDescent="0.35">
      <c r="A60" s="9">
        <v>0.4</v>
      </c>
      <c r="B60" s="9">
        <v>0.1</v>
      </c>
      <c r="C60" s="9">
        <v>3.665</v>
      </c>
      <c r="D60" s="9">
        <v>1.571</v>
      </c>
      <c r="E60" s="9">
        <v>1.4</v>
      </c>
      <c r="F60" s="9">
        <v>0</v>
      </c>
      <c r="G60" s="9">
        <v>0</v>
      </c>
      <c r="N60" s="9">
        <v>0.62463628142506911</v>
      </c>
      <c r="O60" s="9">
        <v>0.11972013698925195</v>
      </c>
      <c r="P60" s="9">
        <v>3.648903862074822</v>
      </c>
      <c r="Q60" s="9">
        <v>0.49081946159894507</v>
      </c>
      <c r="R60" s="10">
        <v>3.1849489005216928E-7</v>
      </c>
      <c r="S60" s="8">
        <f t="shared" si="3"/>
        <v>0.22463628142506908</v>
      </c>
      <c r="T60" s="8">
        <f t="shared" si="3"/>
        <v>1.9720136989251943E-2</v>
      </c>
      <c r="U60" s="8">
        <f t="shared" si="3"/>
        <v>1.6096137925178056E-2</v>
      </c>
      <c r="V60" s="8">
        <f t="shared" si="3"/>
        <v>1.0801805384010548</v>
      </c>
    </row>
    <row r="61" spans="1:22" x14ac:dyDescent="0.35">
      <c r="A61" s="9">
        <v>0.7</v>
      </c>
      <c r="B61" s="9">
        <v>0.1</v>
      </c>
      <c r="C61" s="9">
        <v>3.665</v>
      </c>
      <c r="D61" s="9">
        <v>1.571</v>
      </c>
      <c r="E61" s="9">
        <v>1.4</v>
      </c>
      <c r="F61" s="9">
        <v>0</v>
      </c>
      <c r="G61" s="9">
        <v>0</v>
      </c>
      <c r="N61" s="9">
        <v>0.69363137926807517</v>
      </c>
      <c r="O61" s="9">
        <v>0.12789882252480839</v>
      </c>
      <c r="P61" s="9">
        <v>3.6464270859082131</v>
      </c>
      <c r="Q61" s="9">
        <v>1.4728671935778095</v>
      </c>
      <c r="R61" s="10">
        <v>2.0176370763931741E-5</v>
      </c>
      <c r="S61" s="8">
        <f t="shared" si="3"/>
        <v>6.3686207319247901E-3</v>
      </c>
      <c r="T61" s="8">
        <f t="shared" si="3"/>
        <v>2.7898822524808381E-2</v>
      </c>
      <c r="U61" s="8">
        <f t="shared" si="3"/>
        <v>1.8572914091786963E-2</v>
      </c>
      <c r="V61" s="8">
        <f t="shared" si="3"/>
        <v>9.8132806422190466E-2</v>
      </c>
    </row>
    <row r="62" spans="1:22" x14ac:dyDescent="0.35">
      <c r="A62" s="9">
        <v>0.4</v>
      </c>
      <c r="B62" s="9">
        <v>0.16</v>
      </c>
      <c r="C62" s="9">
        <v>3.665</v>
      </c>
      <c r="D62" s="9">
        <v>1.571</v>
      </c>
      <c r="E62" s="9">
        <v>0</v>
      </c>
      <c r="F62" s="9">
        <v>0</v>
      </c>
      <c r="G62" s="9">
        <v>0</v>
      </c>
      <c r="N62" s="9">
        <v>0.49124771772707021</v>
      </c>
      <c r="O62" s="9">
        <v>0.14514811306944911</v>
      </c>
      <c r="P62" s="9">
        <v>3.6661981121140705</v>
      </c>
      <c r="Q62" s="9">
        <v>2.1351277547696195</v>
      </c>
      <c r="R62" s="10">
        <v>2.9199680871419879E-5</v>
      </c>
      <c r="S62" s="8">
        <f t="shared" si="3"/>
        <v>9.1247717727070188E-2</v>
      </c>
      <c r="T62" s="8">
        <f t="shared" si="3"/>
        <v>1.4851886930550895E-2</v>
      </c>
      <c r="U62" s="8">
        <f t="shared" si="3"/>
        <v>1.1981121140705042E-3</v>
      </c>
      <c r="V62" s="8">
        <f t="shared" si="3"/>
        <v>0.56412775476961952</v>
      </c>
    </row>
    <row r="63" spans="1:22" x14ac:dyDescent="0.35">
      <c r="A63" s="9">
        <v>0.3</v>
      </c>
      <c r="B63" s="9">
        <v>0.18</v>
      </c>
      <c r="C63" s="9">
        <v>3.665</v>
      </c>
      <c r="D63" s="9">
        <v>1.571</v>
      </c>
      <c r="E63" s="9">
        <v>0</v>
      </c>
      <c r="F63" s="9">
        <v>0</v>
      </c>
      <c r="G63" s="9">
        <v>0</v>
      </c>
      <c r="N63" s="9">
        <v>0.20379899199557441</v>
      </c>
      <c r="O63" s="9">
        <v>0.19997874845639535</v>
      </c>
      <c r="P63" s="9">
        <v>3.6655794749904094</v>
      </c>
      <c r="Q63" s="9">
        <v>0.93548341284336278</v>
      </c>
      <c r="R63" s="10">
        <v>1.6484337397270512E-4</v>
      </c>
      <c r="S63" s="8">
        <f t="shared" si="3"/>
        <v>9.6201008004425576E-2</v>
      </c>
      <c r="T63" s="8">
        <f t="shared" si="3"/>
        <v>1.9978748456395357E-2</v>
      </c>
      <c r="U63" s="8">
        <f t="shared" si="3"/>
        <v>5.7947499040933437E-4</v>
      </c>
      <c r="V63" s="8">
        <f t="shared" si="3"/>
        <v>0.63551658715663717</v>
      </c>
    </row>
    <row r="64" spans="1:22" x14ac:dyDescent="0.35">
      <c r="A64" s="9">
        <v>0.3</v>
      </c>
      <c r="B64" s="9">
        <v>0.08</v>
      </c>
      <c r="C64" s="9">
        <v>1.571</v>
      </c>
      <c r="D64" s="9">
        <v>0.78500000000000003</v>
      </c>
      <c r="E64" s="9">
        <v>1.4</v>
      </c>
      <c r="F64" s="9">
        <v>0</v>
      </c>
      <c r="G64" s="9">
        <v>0</v>
      </c>
      <c r="N64" s="9">
        <v>0.3028094328816916</v>
      </c>
      <c r="O64" s="9">
        <v>5.808678904183668E-2</v>
      </c>
      <c r="P64" s="9">
        <v>1.5509039767580974</v>
      </c>
      <c r="Q64" s="9">
        <v>2.3433267871949441</v>
      </c>
      <c r="R64" s="10">
        <v>7.4285482141646131E-6</v>
      </c>
      <c r="S64" s="8">
        <f t="shared" si="3"/>
        <v>2.8094328816916092E-3</v>
      </c>
      <c r="T64" s="8">
        <f t="shared" si="3"/>
        <v>2.1913210958163322E-2</v>
      </c>
      <c r="U64" s="8">
        <f t="shared" si="3"/>
        <v>2.0096023241902516E-2</v>
      </c>
      <c r="V64" s="8">
        <f t="shared" si="3"/>
        <v>1.558326787194944</v>
      </c>
    </row>
    <row r="65" spans="1:22" x14ac:dyDescent="0.35">
      <c r="A65" s="9">
        <v>0.4</v>
      </c>
      <c r="B65" s="9">
        <v>0.14000000000000001</v>
      </c>
      <c r="C65" s="9">
        <v>1.571</v>
      </c>
      <c r="D65" s="9">
        <v>0.78500000000000003</v>
      </c>
      <c r="E65" s="9">
        <v>0</v>
      </c>
      <c r="F65" s="9">
        <v>0</v>
      </c>
      <c r="G65" s="9">
        <v>0</v>
      </c>
      <c r="N65" s="9">
        <v>0.415231061214755</v>
      </c>
      <c r="O65" s="9">
        <v>0.16741876199011388</v>
      </c>
      <c r="P65" s="9">
        <v>1.5600238677572544</v>
      </c>
      <c r="Q65" s="9">
        <v>0.52451048846697679</v>
      </c>
      <c r="R65" s="10">
        <v>1.0756528404158477E-4</v>
      </c>
      <c r="S65" s="8">
        <f t="shared" si="3"/>
        <v>1.5231061214754982E-2</v>
      </c>
      <c r="T65" s="8">
        <f t="shared" si="3"/>
        <v>2.7418761990113866E-2</v>
      </c>
      <c r="U65" s="8">
        <f t="shared" si="3"/>
        <v>1.0976132242745518E-2</v>
      </c>
      <c r="V65" s="8">
        <f t="shared" si="3"/>
        <v>0.26048951153302324</v>
      </c>
    </row>
    <row r="66" spans="1:22" x14ac:dyDescent="0.35">
      <c r="A66" s="9">
        <v>0.6</v>
      </c>
      <c r="B66" s="9">
        <v>0.16</v>
      </c>
      <c r="C66" s="9">
        <v>1.571</v>
      </c>
      <c r="D66" s="9">
        <v>0.78500000000000003</v>
      </c>
      <c r="E66" s="9">
        <v>1.4</v>
      </c>
      <c r="F66" s="9">
        <v>0</v>
      </c>
      <c r="G66" s="9">
        <v>0</v>
      </c>
      <c r="N66" s="9">
        <v>0.64669160939165704</v>
      </c>
      <c r="O66" s="9">
        <v>0.1895610965942944</v>
      </c>
      <c r="P66" s="9">
        <v>1.9132442196237542</v>
      </c>
      <c r="Q66" s="9">
        <v>0.41360982639657684</v>
      </c>
      <c r="R66" s="10">
        <v>3.8555039091611618E-4</v>
      </c>
      <c r="S66" s="8">
        <f t="shared" si="3"/>
        <v>4.6691609391657063E-2</v>
      </c>
      <c r="T66" s="8">
        <f t="shared" si="3"/>
        <v>2.95610965942944E-2</v>
      </c>
      <c r="U66" s="8">
        <f t="shared" si="3"/>
        <v>0.34224421962375429</v>
      </c>
      <c r="V66" s="8">
        <f t="shared" si="3"/>
        <v>0.37139017360342319</v>
      </c>
    </row>
    <row r="67" spans="1:22" x14ac:dyDescent="0.35">
      <c r="A67" s="9">
        <v>0.4</v>
      </c>
      <c r="B67" s="9">
        <v>0.06</v>
      </c>
      <c r="C67" s="9">
        <v>1.571</v>
      </c>
      <c r="D67" s="9">
        <v>1.571</v>
      </c>
      <c r="E67" s="9">
        <v>1.4</v>
      </c>
      <c r="F67" s="9">
        <v>0</v>
      </c>
      <c r="G67" s="9">
        <v>0</v>
      </c>
      <c r="N67" s="9">
        <v>0.3875822759324023</v>
      </c>
      <c r="O67" s="9">
        <v>6.481689790115748E-2</v>
      </c>
      <c r="P67" s="9">
        <v>1.5754305178337322</v>
      </c>
      <c r="Q67" s="9">
        <v>1.8872355454948928</v>
      </c>
      <c r="R67" s="10">
        <v>1.4392911029130656E-5</v>
      </c>
      <c r="S67" s="8">
        <f t="shared" si="3"/>
        <v>1.2417724067597724E-2</v>
      </c>
      <c r="T67" s="8">
        <f t="shared" si="3"/>
        <v>4.8168979011574825E-3</v>
      </c>
      <c r="U67" s="8">
        <f t="shared" si="3"/>
        <v>4.4305178337322726E-3</v>
      </c>
      <c r="V67" s="8">
        <f t="shared" si="3"/>
        <v>0.31623554549489286</v>
      </c>
    </row>
    <row r="68" spans="1:22" x14ac:dyDescent="0.35">
      <c r="A68" s="9">
        <v>0.8</v>
      </c>
      <c r="B68" s="9">
        <v>0.08</v>
      </c>
      <c r="C68" s="9">
        <v>1.571</v>
      </c>
      <c r="D68" s="9">
        <v>1.571</v>
      </c>
      <c r="E68" s="9">
        <v>0</v>
      </c>
      <c r="F68" s="9">
        <v>0</v>
      </c>
      <c r="G68" s="9">
        <v>0</v>
      </c>
      <c r="N68" s="9">
        <v>0.67139337449886449</v>
      </c>
      <c r="O68" s="9">
        <v>8.6694576993293221E-2</v>
      </c>
      <c r="P68" s="9">
        <v>1.5765932834823757</v>
      </c>
      <c r="Q68" s="9">
        <v>1.4370574134289105</v>
      </c>
      <c r="R68" s="10">
        <v>5.3263297547665009E-5</v>
      </c>
      <c r="S68" s="8">
        <f t="shared" si="3"/>
        <v>0.12860662550113555</v>
      </c>
      <c r="T68" s="8">
        <f t="shared" si="3"/>
        <v>6.6945769932932192E-3</v>
      </c>
      <c r="U68" s="8">
        <f t="shared" si="3"/>
        <v>5.5932834823757549E-3</v>
      </c>
      <c r="V68" s="8">
        <f t="shared" si="3"/>
        <v>0.13394258657108948</v>
      </c>
    </row>
    <row r="69" spans="1:22" x14ac:dyDescent="0.35">
      <c r="A69" s="9">
        <v>0.7</v>
      </c>
      <c r="B69" s="9">
        <v>0.16</v>
      </c>
      <c r="C69" s="9">
        <v>1.571</v>
      </c>
      <c r="D69" s="9">
        <v>1.571</v>
      </c>
      <c r="E69" s="9">
        <v>1.4</v>
      </c>
      <c r="F69" s="9">
        <v>0</v>
      </c>
      <c r="G69" s="9">
        <v>0</v>
      </c>
      <c r="N69" s="9">
        <v>0.92716957958215795</v>
      </c>
      <c r="O69" s="9">
        <v>0.14754871190081117</v>
      </c>
      <c r="P69" s="9">
        <v>1.5536663413667955</v>
      </c>
      <c r="Q69" s="9">
        <v>1.8275416798969797</v>
      </c>
      <c r="R69" s="10">
        <v>7.109163382788414E-6</v>
      </c>
      <c r="S69" s="8">
        <f t="shared" si="3"/>
        <v>0.227169579582158</v>
      </c>
      <c r="T69" s="8">
        <f t="shared" si="3"/>
        <v>1.2451288099188829E-2</v>
      </c>
      <c r="U69" s="8">
        <f t="shared" si="3"/>
        <v>1.7333658633204463E-2</v>
      </c>
      <c r="V69" s="8">
        <f t="shared" si="3"/>
        <v>0.25654167989697974</v>
      </c>
    </row>
    <row r="70" spans="1:22" x14ac:dyDescent="0.35">
      <c r="A70" s="9">
        <v>0.7</v>
      </c>
      <c r="B70" s="9">
        <v>0.2</v>
      </c>
      <c r="C70" s="9">
        <v>1.571</v>
      </c>
      <c r="D70" s="9">
        <v>1.571</v>
      </c>
      <c r="E70" s="9">
        <v>0</v>
      </c>
      <c r="F70" s="9">
        <v>0</v>
      </c>
      <c r="G70" s="9">
        <v>0</v>
      </c>
      <c r="N70" s="9">
        <v>0.70610361863449367</v>
      </c>
      <c r="O70" s="9">
        <v>0.1984289793876747</v>
      </c>
      <c r="P70" s="9">
        <v>1.4956712366527967</v>
      </c>
      <c r="Q70" s="9">
        <v>1.8128232983055426</v>
      </c>
      <c r="R70" s="10">
        <v>1.7352686585551052E-4</v>
      </c>
      <c r="S70" s="8">
        <f t="shared" si="3"/>
        <v>6.1036186344937127E-3</v>
      </c>
      <c r="T70" s="8">
        <f t="shared" si="3"/>
        <v>1.5710206123253079E-3</v>
      </c>
      <c r="U70" s="8">
        <f t="shared" si="3"/>
        <v>7.5328763347203287E-2</v>
      </c>
      <c r="V70" s="8">
        <f t="shared" si="3"/>
        <v>0.24182329830554261</v>
      </c>
    </row>
    <row r="71" spans="1:22" x14ac:dyDescent="0.35">
      <c r="A71" s="9">
        <v>0.7</v>
      </c>
      <c r="B71" s="9">
        <v>0.06</v>
      </c>
      <c r="C71" s="9">
        <v>3.665</v>
      </c>
      <c r="D71" s="9">
        <v>0.78500000000000003</v>
      </c>
      <c r="E71" s="9">
        <v>0</v>
      </c>
      <c r="F71" s="9">
        <v>0</v>
      </c>
      <c r="G71" s="9">
        <v>0</v>
      </c>
      <c r="N71" s="9">
        <v>0.99999998242251364</v>
      </c>
      <c r="O71" s="9">
        <v>7.1933579349150692E-2</v>
      </c>
      <c r="P71" s="9">
        <v>3.6400340436970873</v>
      </c>
      <c r="Q71" s="9">
        <v>0.50365749721856301</v>
      </c>
      <c r="R71" s="10">
        <v>6.0079869078538892E-3</v>
      </c>
      <c r="S71" s="8">
        <f t="shared" si="3"/>
        <v>0.29999998242251369</v>
      </c>
      <c r="T71" s="8">
        <f t="shared" si="3"/>
        <v>1.1933579349150694E-2</v>
      </c>
      <c r="U71" s="8">
        <f t="shared" si="3"/>
        <v>2.4965956302912762E-2</v>
      </c>
      <c r="V71" s="8">
        <f t="shared" si="3"/>
        <v>0.28134250278143702</v>
      </c>
    </row>
    <row r="72" spans="1:22" x14ac:dyDescent="0.35">
      <c r="A72" s="9">
        <v>0.6</v>
      </c>
      <c r="B72" s="9">
        <v>0.1</v>
      </c>
      <c r="C72" s="9">
        <v>3.665</v>
      </c>
      <c r="D72" s="9">
        <v>0.78500000000000003</v>
      </c>
      <c r="E72" s="9">
        <v>0</v>
      </c>
      <c r="F72" s="9">
        <v>0</v>
      </c>
      <c r="G72" s="9">
        <v>0</v>
      </c>
      <c r="N72" s="9">
        <v>0.54558533107104312</v>
      </c>
      <c r="O72" s="9">
        <v>8.4779347860049939E-2</v>
      </c>
      <c r="P72" s="9">
        <v>3.6429150354811073</v>
      </c>
      <c r="Q72" s="9">
        <v>1.0988497945834161</v>
      </c>
      <c r="R72" s="10">
        <v>1.8216674089025678E-6</v>
      </c>
      <c r="S72" s="8">
        <f t="shared" si="3"/>
        <v>5.4414668928956855E-2</v>
      </c>
      <c r="T72" s="8">
        <f t="shared" si="3"/>
        <v>1.5220652139950067E-2</v>
      </c>
      <c r="U72" s="8">
        <f t="shared" si="3"/>
        <v>2.2084964518892747E-2</v>
      </c>
      <c r="V72" s="8">
        <f t="shared" si="3"/>
        <v>0.31384979458341611</v>
      </c>
    </row>
    <row r="73" spans="1:22" x14ac:dyDescent="0.35">
      <c r="A73" s="9">
        <v>0.8</v>
      </c>
      <c r="B73" s="9">
        <v>0.18</v>
      </c>
      <c r="C73" s="9">
        <v>3.665</v>
      </c>
      <c r="D73" s="9">
        <v>0.78500000000000003</v>
      </c>
      <c r="E73" s="9">
        <v>1.4</v>
      </c>
      <c r="F73" s="9">
        <v>0</v>
      </c>
      <c r="G73" s="9">
        <v>0</v>
      </c>
      <c r="N73" s="9">
        <v>0.90657599440920933</v>
      </c>
      <c r="O73" s="9">
        <v>0.18499121454281159</v>
      </c>
      <c r="P73" s="9">
        <v>3.6646301779674291</v>
      </c>
      <c r="Q73" s="9">
        <v>0.44905224132071053</v>
      </c>
      <c r="R73" s="10">
        <v>2.2956324935074585E-4</v>
      </c>
      <c r="S73" s="8">
        <f t="shared" si="3"/>
        <v>0.10657599440920928</v>
      </c>
      <c r="T73" s="8">
        <f t="shared" si="3"/>
        <v>4.991214542811595E-3</v>
      </c>
      <c r="U73" s="8">
        <f t="shared" si="3"/>
        <v>3.6982203257096558E-4</v>
      </c>
      <c r="V73" s="8">
        <f t="shared" si="3"/>
        <v>0.3359477586792895</v>
      </c>
    </row>
    <row r="74" spans="1:22" x14ac:dyDescent="0.35">
      <c r="A74" s="9">
        <v>0.4</v>
      </c>
      <c r="B74" s="9">
        <v>0.2</v>
      </c>
      <c r="C74" s="9">
        <v>3.665</v>
      </c>
      <c r="D74" s="9">
        <v>0.78500000000000003</v>
      </c>
      <c r="E74" s="9">
        <v>1.4</v>
      </c>
      <c r="F74" s="9">
        <v>0</v>
      </c>
      <c r="G74" s="9">
        <v>0</v>
      </c>
      <c r="N74" s="9">
        <v>0.35305842508971591</v>
      </c>
      <c r="O74" s="9">
        <v>0.19997610157839041</v>
      </c>
      <c r="P74" s="9">
        <v>3.676832661584009</v>
      </c>
      <c r="Q74" s="9">
        <v>0.71581635725958415</v>
      </c>
      <c r="R74" s="10">
        <v>3.4843919165278877E-4</v>
      </c>
      <c r="S74" s="8">
        <f t="shared" si="3"/>
        <v>4.6941574910284112E-2</v>
      </c>
      <c r="T74" s="8">
        <f t="shared" si="3"/>
        <v>2.389842160960276E-5</v>
      </c>
      <c r="U74" s="8">
        <f t="shared" si="3"/>
        <v>1.1832661584008974E-2</v>
      </c>
      <c r="V74" s="8">
        <f t="shared" si="3"/>
        <v>6.9183642740415885E-2</v>
      </c>
    </row>
    <row r="75" spans="1:22" x14ac:dyDescent="0.35">
      <c r="A75" s="9">
        <v>0.4</v>
      </c>
      <c r="B75" s="9">
        <v>0.1</v>
      </c>
      <c r="C75" s="9">
        <v>3.665</v>
      </c>
      <c r="D75" s="9">
        <v>1.571</v>
      </c>
      <c r="E75" s="9">
        <v>1.4</v>
      </c>
      <c r="F75" s="9">
        <v>0</v>
      </c>
      <c r="G75" s="9">
        <v>0</v>
      </c>
      <c r="N75" s="9">
        <v>0.67910613609215853</v>
      </c>
      <c r="O75" s="9">
        <v>0.12102300655303125</v>
      </c>
      <c r="P75" s="9">
        <v>3.6343937280885994</v>
      </c>
      <c r="Q75" s="9">
        <v>2.4555067225754552</v>
      </c>
      <c r="R75" s="10">
        <v>4.0428188271065384E-5</v>
      </c>
      <c r="S75" s="8">
        <f t="shared" si="3"/>
        <v>0.27910613609215851</v>
      </c>
      <c r="T75" s="8">
        <f t="shared" si="3"/>
        <v>2.1023006553031243E-2</v>
      </c>
      <c r="U75" s="8">
        <f t="shared" si="3"/>
        <v>3.060627191140064E-2</v>
      </c>
      <c r="V75" s="8">
        <f t="shared" si="3"/>
        <v>0.88450672257545526</v>
      </c>
    </row>
    <row r="76" spans="1:22" x14ac:dyDescent="0.35">
      <c r="A76" s="9">
        <v>0.7</v>
      </c>
      <c r="B76" s="9">
        <v>0.1</v>
      </c>
      <c r="C76" s="9">
        <v>3.665</v>
      </c>
      <c r="D76" s="9">
        <v>1.571</v>
      </c>
      <c r="E76" s="9">
        <v>1.4</v>
      </c>
      <c r="F76" s="9">
        <v>0</v>
      </c>
      <c r="G76" s="9">
        <v>0</v>
      </c>
      <c r="N76" s="9">
        <v>0.66340222566744622</v>
      </c>
      <c r="O76" s="9">
        <v>0.10809769512887768</v>
      </c>
      <c r="P76" s="9">
        <v>3.6495835542046851</v>
      </c>
      <c r="Q76" s="9">
        <v>1.2199815082877135</v>
      </c>
      <c r="R76" s="10">
        <v>1.9023515680124462E-4</v>
      </c>
      <c r="S76" s="8">
        <f t="shared" si="3"/>
        <v>3.6597774332553734E-2</v>
      </c>
      <c r="T76" s="8">
        <f t="shared" si="3"/>
        <v>8.0976951288776744E-3</v>
      </c>
      <c r="U76" s="8">
        <f t="shared" si="3"/>
        <v>1.5416445795314981E-2</v>
      </c>
      <c r="V76" s="8">
        <f t="shared" si="3"/>
        <v>0.3510184917122865</v>
      </c>
    </row>
    <row r="77" spans="1:22" x14ac:dyDescent="0.35">
      <c r="A77" s="9">
        <v>0.4</v>
      </c>
      <c r="B77" s="9">
        <v>0.16</v>
      </c>
      <c r="C77" s="9">
        <v>3.665</v>
      </c>
      <c r="D77" s="9">
        <v>1.571</v>
      </c>
      <c r="E77" s="9">
        <v>0</v>
      </c>
      <c r="F77" s="9">
        <v>0</v>
      </c>
      <c r="G77" s="9">
        <v>0</v>
      </c>
      <c r="N77" s="9">
        <v>0.42245680460470292</v>
      </c>
      <c r="O77" s="9">
        <v>0.15819482274232846</v>
      </c>
      <c r="P77" s="9">
        <v>3.6597138557458684</v>
      </c>
      <c r="Q77" s="9">
        <v>1.9657321409171189</v>
      </c>
      <c r="R77" s="10">
        <v>2.2586953861424024E-6</v>
      </c>
      <c r="S77" s="8">
        <f t="shared" si="3"/>
        <v>2.2456804604702896E-2</v>
      </c>
      <c r="T77" s="8">
        <f t="shared" si="3"/>
        <v>1.8051772576715419E-3</v>
      </c>
      <c r="U77" s="8">
        <f t="shared" si="3"/>
        <v>5.2861442541316528E-3</v>
      </c>
      <c r="V77" s="8">
        <f t="shared" si="3"/>
        <v>0.39473214091711895</v>
      </c>
    </row>
    <row r="78" spans="1:22" x14ac:dyDescent="0.35">
      <c r="A78" s="9">
        <v>0.3</v>
      </c>
      <c r="B78" s="9">
        <v>0.18</v>
      </c>
      <c r="C78" s="9">
        <v>3.665</v>
      </c>
      <c r="D78" s="9">
        <v>1.571</v>
      </c>
      <c r="E78" s="9">
        <v>0</v>
      </c>
      <c r="F78" s="9">
        <v>0</v>
      </c>
      <c r="G78" s="9">
        <v>0</v>
      </c>
      <c r="N78" s="9">
        <v>0.60900093687447199</v>
      </c>
      <c r="O78" s="9">
        <v>0.13510352319319149</v>
      </c>
      <c r="P78" s="9">
        <v>3.6683944390617587</v>
      </c>
      <c r="Q78" s="9">
        <v>2.5367040455487722</v>
      </c>
      <c r="R78" s="10">
        <v>1.3724500471469013E-5</v>
      </c>
      <c r="S78" s="8">
        <f t="shared" si="3"/>
        <v>0.309000936874472</v>
      </c>
      <c r="T78" s="8">
        <f t="shared" si="3"/>
        <v>4.48964768068085E-2</v>
      </c>
      <c r="U78" s="8">
        <f t="shared" si="3"/>
        <v>3.3944390617586251E-3</v>
      </c>
      <c r="V78" s="8">
        <f t="shared" si="3"/>
        <v>0.96570404554877221</v>
      </c>
    </row>
    <row r="79" spans="1:22" x14ac:dyDescent="0.35">
      <c r="A79" s="9"/>
      <c r="B79" s="9"/>
      <c r="C79" s="9"/>
      <c r="D79" s="9"/>
      <c r="E79" s="9"/>
      <c r="F79" s="9"/>
      <c r="G79" s="9"/>
      <c r="N79" s="9"/>
      <c r="O79" s="9"/>
      <c r="P79" s="9"/>
      <c r="Q79" s="9"/>
      <c r="R79" s="10"/>
      <c r="S79" s="8"/>
      <c r="T79" s="8"/>
      <c r="U79" s="8"/>
      <c r="V79" s="8"/>
    </row>
    <row r="80" spans="1:22" x14ac:dyDescent="0.35">
      <c r="A80" s="9"/>
      <c r="B80" s="9"/>
      <c r="C80" s="9"/>
      <c r="D80" s="9"/>
      <c r="E80" s="9"/>
      <c r="F80" s="9"/>
      <c r="G80" s="9"/>
      <c r="N80" s="9"/>
      <c r="O80" s="9"/>
      <c r="P80" s="9"/>
      <c r="Q80" s="9"/>
      <c r="R80" s="10"/>
      <c r="S80" s="8"/>
      <c r="T80" s="8"/>
      <c r="U80" s="8"/>
      <c r="V80" s="8"/>
    </row>
    <row r="81" spans="1:22" x14ac:dyDescent="0.35">
      <c r="A81" s="9"/>
      <c r="B81" s="9"/>
      <c r="C81" s="9"/>
      <c r="D81" s="9"/>
      <c r="E81" s="9"/>
      <c r="F81" s="9"/>
      <c r="G81" s="9"/>
      <c r="N81" s="9"/>
      <c r="O81" s="9"/>
      <c r="P81" s="9"/>
      <c r="Q81" s="9"/>
      <c r="R81" s="10"/>
      <c r="S81" s="8"/>
      <c r="T81" s="8"/>
      <c r="U81" s="8"/>
      <c r="V81" s="8"/>
    </row>
    <row r="82" spans="1:22" x14ac:dyDescent="0.35">
      <c r="A82" s="9"/>
      <c r="B82" s="9"/>
      <c r="C82" s="9"/>
      <c r="D82" s="9"/>
      <c r="E82" s="9"/>
      <c r="F82" s="9"/>
      <c r="G82" s="9"/>
      <c r="N82" s="9"/>
      <c r="O82" s="9"/>
      <c r="P82" s="9"/>
      <c r="Q82" s="9"/>
      <c r="R82" s="10"/>
      <c r="S82" s="8"/>
      <c r="T82" s="8"/>
      <c r="U82" s="8"/>
      <c r="V82" s="8"/>
    </row>
    <row r="83" spans="1:22" x14ac:dyDescent="0.35">
      <c r="A83" s="9"/>
      <c r="B83" s="9"/>
      <c r="C83" s="9"/>
      <c r="D83" s="9"/>
      <c r="E83" s="9"/>
      <c r="F83" s="9"/>
      <c r="G83" s="9"/>
      <c r="N83" s="9"/>
      <c r="O83" s="9"/>
      <c r="P83" s="9"/>
      <c r="Q83" s="9"/>
      <c r="R83" s="10"/>
      <c r="S83" s="8"/>
      <c r="T83" s="8"/>
      <c r="U83" s="8"/>
      <c r="V83" s="8"/>
    </row>
    <row r="84" spans="1:22" x14ac:dyDescent="0.35">
      <c r="A84" s="9"/>
      <c r="B84" s="9"/>
      <c r="C84" s="9"/>
      <c r="D84" s="9"/>
      <c r="E84" s="9"/>
      <c r="F84" s="9"/>
      <c r="G84" s="9"/>
      <c r="N84" s="9"/>
      <c r="O84" s="9"/>
      <c r="P84" s="9"/>
      <c r="Q84" s="9"/>
      <c r="R84" s="10"/>
      <c r="S84" s="8"/>
      <c r="T84" s="8"/>
      <c r="U84" s="8"/>
      <c r="V84" s="8"/>
    </row>
    <row r="85" spans="1:22" x14ac:dyDescent="0.35">
      <c r="A85" s="9"/>
      <c r="B85" s="9"/>
      <c r="C85" s="9"/>
      <c r="D85" s="9"/>
      <c r="E85" s="9"/>
      <c r="F85" s="9"/>
      <c r="G85" s="9"/>
      <c r="N85" s="9"/>
      <c r="O85" s="9"/>
      <c r="P85" s="9"/>
      <c r="Q85" s="9"/>
      <c r="R85" s="10"/>
      <c r="S85" s="8"/>
      <c r="T85" s="8"/>
      <c r="U85" s="8"/>
      <c r="V85" s="8"/>
    </row>
    <row r="86" spans="1:22" x14ac:dyDescent="0.35">
      <c r="A86" s="9"/>
      <c r="B86" s="9"/>
      <c r="C86" s="9"/>
      <c r="D86" s="9"/>
      <c r="E86" s="9"/>
      <c r="F86" s="9"/>
      <c r="G86" s="9"/>
      <c r="N86" s="9"/>
      <c r="O86" s="9"/>
      <c r="P86" s="9"/>
      <c r="Q86" s="9"/>
      <c r="R86" s="10"/>
      <c r="S86" s="8"/>
      <c r="T86" s="8"/>
      <c r="U86" s="8"/>
      <c r="V86" s="8"/>
    </row>
    <row r="87" spans="1:22" x14ac:dyDescent="0.35">
      <c r="A87" s="9"/>
      <c r="B87" s="9"/>
      <c r="C87" s="9"/>
      <c r="D87" s="9"/>
      <c r="E87" s="9"/>
      <c r="F87" s="9"/>
      <c r="G87" s="9"/>
      <c r="N87" s="9"/>
      <c r="O87" s="9"/>
      <c r="P87" s="9"/>
      <c r="Q87" s="9"/>
      <c r="R87" s="10"/>
      <c r="S87" s="8"/>
      <c r="T87" s="8"/>
      <c r="U87" s="8"/>
      <c r="V87" s="8"/>
    </row>
    <row r="88" spans="1:22" x14ac:dyDescent="0.35">
      <c r="A88" s="9"/>
      <c r="B88" s="9"/>
      <c r="C88" s="9"/>
      <c r="D88" s="9"/>
      <c r="E88" s="9"/>
      <c r="F88" s="9"/>
      <c r="G88" s="9"/>
      <c r="N88" s="9"/>
      <c r="O88" s="9"/>
      <c r="P88" s="9"/>
      <c r="Q88" s="9"/>
      <c r="R88" s="10"/>
      <c r="S88" s="8"/>
      <c r="T88" s="8"/>
      <c r="U88" s="8"/>
      <c r="V88" s="8"/>
    </row>
    <row r="89" spans="1:22" x14ac:dyDescent="0.35">
      <c r="A89" s="9"/>
      <c r="B89" s="9"/>
      <c r="C89" s="9"/>
      <c r="D89" s="9"/>
      <c r="E89" s="9"/>
      <c r="F89" s="9"/>
      <c r="G89" s="9"/>
      <c r="N89" s="9"/>
      <c r="O89" s="9"/>
      <c r="P89" s="9"/>
      <c r="Q89" s="9"/>
      <c r="R89" s="10"/>
      <c r="S89" s="8"/>
      <c r="T89" s="8"/>
      <c r="U89" s="8"/>
      <c r="V89" s="8"/>
    </row>
    <row r="90" spans="1:22" x14ac:dyDescent="0.35">
      <c r="A90" s="9"/>
      <c r="B90" s="9"/>
      <c r="C90" s="9"/>
      <c r="D90" s="9"/>
      <c r="E90" s="9"/>
      <c r="F90" s="9"/>
      <c r="G90" s="9"/>
      <c r="N90" s="9"/>
      <c r="O90" s="9"/>
      <c r="P90" s="9"/>
      <c r="Q90" s="9"/>
      <c r="R90" s="10"/>
      <c r="S90" s="8"/>
      <c r="T90" s="8"/>
      <c r="U90" s="8"/>
      <c r="V90" s="8"/>
    </row>
    <row r="91" spans="1:22" x14ac:dyDescent="0.35">
      <c r="A91" s="9"/>
      <c r="B91" s="9"/>
      <c r="C91" s="9"/>
      <c r="D91" s="9"/>
      <c r="E91" s="9"/>
      <c r="F91" s="9"/>
      <c r="G91" s="9"/>
      <c r="N91" s="9"/>
      <c r="O91" s="9"/>
      <c r="P91" s="9"/>
      <c r="Q91" s="9"/>
      <c r="R91" s="10"/>
      <c r="S91" s="8"/>
      <c r="T91" s="8"/>
      <c r="U91" s="8"/>
      <c r="V91" s="8"/>
    </row>
    <row r="92" spans="1:22" x14ac:dyDescent="0.35">
      <c r="A92" s="9"/>
      <c r="B92" s="9"/>
      <c r="C92" s="9"/>
      <c r="D92" s="9"/>
      <c r="E92" s="9"/>
      <c r="F92" s="9"/>
      <c r="G92" s="9"/>
      <c r="N92" s="9"/>
      <c r="O92" s="9"/>
      <c r="P92" s="9"/>
      <c r="Q92" s="9"/>
      <c r="R92" s="10"/>
      <c r="S92" s="8"/>
      <c r="T92" s="8"/>
      <c r="U92" s="8"/>
      <c r="V92" s="8"/>
    </row>
    <row r="93" spans="1:22" x14ac:dyDescent="0.35">
      <c r="A93" s="9"/>
      <c r="B93" s="9"/>
      <c r="C93" s="9"/>
      <c r="D93" s="9"/>
      <c r="E93" s="9"/>
      <c r="F93" s="9"/>
      <c r="G93" s="9"/>
      <c r="N93" s="9"/>
      <c r="O93" s="9"/>
      <c r="P93" s="9"/>
      <c r="Q93" s="9"/>
      <c r="R93" s="10"/>
      <c r="S93" s="8"/>
      <c r="T93" s="8"/>
      <c r="U93" s="8"/>
      <c r="V93" s="8"/>
    </row>
    <row r="94" spans="1:22" x14ac:dyDescent="0.35">
      <c r="A94" s="9"/>
      <c r="B94" s="9"/>
      <c r="C94" s="9"/>
      <c r="D94" s="9"/>
      <c r="E94" s="9"/>
      <c r="F94" s="9"/>
      <c r="G94" s="9"/>
      <c r="N94" s="9"/>
      <c r="O94" s="9"/>
      <c r="P94" s="9"/>
      <c r="Q94" s="9"/>
      <c r="R94" s="10"/>
      <c r="S94" s="8"/>
      <c r="T94" s="8"/>
      <c r="U94" s="8"/>
      <c r="V94" s="8"/>
    </row>
    <row r="95" spans="1:22" x14ac:dyDescent="0.35">
      <c r="A95" s="9"/>
      <c r="B95" s="9"/>
      <c r="C95" s="9"/>
      <c r="D95" s="9"/>
      <c r="E95" s="9"/>
      <c r="F95" s="9"/>
      <c r="G95" s="9"/>
      <c r="N95" s="9"/>
      <c r="O95" s="9"/>
      <c r="P95" s="9"/>
      <c r="Q95" s="9"/>
      <c r="R95" s="10"/>
      <c r="S95" s="8"/>
      <c r="T95" s="8"/>
      <c r="U95" s="8"/>
      <c r="V95" s="8"/>
    </row>
    <row r="96" spans="1:22" x14ac:dyDescent="0.35">
      <c r="A96" s="9"/>
      <c r="B96" s="9"/>
      <c r="C96" s="9"/>
      <c r="D96" s="9"/>
      <c r="E96" s="9"/>
      <c r="F96" s="9"/>
      <c r="G96" s="9"/>
      <c r="N96" s="9"/>
      <c r="O96" s="9"/>
      <c r="P96" s="9"/>
      <c r="Q96" s="9"/>
      <c r="R96" s="10"/>
      <c r="S96" s="8"/>
      <c r="T96" s="8"/>
      <c r="U96" s="8"/>
      <c r="V96" s="8"/>
    </row>
    <row r="97" spans="1:22" x14ac:dyDescent="0.35">
      <c r="A97" s="9"/>
      <c r="B97" s="9"/>
      <c r="C97" s="9"/>
      <c r="D97" s="9"/>
      <c r="E97" s="9"/>
      <c r="F97" s="9"/>
      <c r="G97" s="9"/>
      <c r="N97" s="9"/>
      <c r="O97" s="9"/>
      <c r="P97" s="9"/>
      <c r="Q97" s="9"/>
      <c r="R97" s="10"/>
      <c r="S97" s="8"/>
      <c r="T97" s="8"/>
      <c r="U97" s="8"/>
      <c r="V97" s="8"/>
    </row>
    <row r="98" spans="1:22" x14ac:dyDescent="0.35">
      <c r="A98" s="9"/>
      <c r="B98" s="9"/>
      <c r="C98" s="9"/>
      <c r="D98" s="9"/>
      <c r="E98" s="9"/>
      <c r="F98" s="9"/>
      <c r="G98" s="9"/>
      <c r="N98" s="9"/>
      <c r="O98" s="9"/>
      <c r="P98" s="9"/>
      <c r="Q98" s="9"/>
      <c r="R98" s="10"/>
      <c r="S98" s="8"/>
      <c r="T98" s="8"/>
      <c r="U98" s="8"/>
      <c r="V98" s="8"/>
    </row>
    <row r="99" spans="1:22" x14ac:dyDescent="0.35">
      <c r="A99" s="9"/>
      <c r="B99" s="9"/>
      <c r="C99" s="9"/>
      <c r="D99" s="9"/>
      <c r="E99" s="9"/>
      <c r="F99" s="9"/>
      <c r="G99" s="9"/>
      <c r="N99" s="9"/>
      <c r="O99" s="9"/>
      <c r="P99" s="9"/>
      <c r="Q99" s="9"/>
      <c r="R99" s="10"/>
      <c r="S99" s="8"/>
      <c r="T99" s="8"/>
      <c r="U99" s="8"/>
      <c r="V99" s="8"/>
    </row>
    <row r="100" spans="1:22" x14ac:dyDescent="0.35">
      <c r="A100" s="9"/>
      <c r="B100" s="9"/>
      <c r="C100" s="9"/>
      <c r="D100" s="9"/>
      <c r="E100" s="9"/>
      <c r="F100" s="9"/>
      <c r="G100" s="9"/>
      <c r="N100" s="9"/>
      <c r="O100" s="9"/>
      <c r="P100" s="9"/>
      <c r="Q100" s="9"/>
      <c r="R100" s="10"/>
      <c r="S100" s="8"/>
      <c r="T100" s="8"/>
      <c r="U100" s="8"/>
      <c r="V100" s="8"/>
    </row>
    <row r="101" spans="1:22" x14ac:dyDescent="0.35">
      <c r="A101" s="9"/>
      <c r="B101" s="9"/>
      <c r="C101" s="9"/>
      <c r="D101" s="9"/>
      <c r="E101" s="9"/>
      <c r="F101" s="9"/>
      <c r="G101" s="9"/>
      <c r="N101" s="9"/>
      <c r="O101" s="9"/>
      <c r="P101" s="9"/>
      <c r="Q101" s="9"/>
      <c r="R101" s="10"/>
      <c r="S101" s="8"/>
      <c r="T101" s="8"/>
      <c r="U101" s="8"/>
      <c r="V101" s="8"/>
    </row>
    <row r="102" spans="1:22" x14ac:dyDescent="0.35">
      <c r="A102" s="9"/>
      <c r="B102" s="9"/>
      <c r="C102" s="9"/>
      <c r="D102" s="9"/>
      <c r="E102" s="9"/>
      <c r="F102" s="9"/>
      <c r="G102" s="9"/>
      <c r="N102" s="9"/>
      <c r="O102" s="9"/>
      <c r="P102" s="9"/>
      <c r="Q102" s="9"/>
      <c r="R102" s="10"/>
      <c r="S102" s="8"/>
      <c r="T102" s="8"/>
      <c r="U102" s="8"/>
      <c r="V102" s="8"/>
    </row>
    <row r="103" spans="1:22" x14ac:dyDescent="0.35">
      <c r="A103" s="9"/>
      <c r="B103" s="9"/>
      <c r="C103" s="9"/>
      <c r="D103" s="9"/>
      <c r="E103" s="9"/>
      <c r="F103" s="9"/>
      <c r="G103" s="9"/>
      <c r="N103" s="9"/>
      <c r="O103" s="9"/>
      <c r="P103" s="9"/>
      <c r="Q103" s="9"/>
      <c r="R103" s="10"/>
      <c r="S103" s="8"/>
      <c r="T103" s="8"/>
      <c r="U103" s="8"/>
      <c r="V103" s="8"/>
    </row>
    <row r="104" spans="1:22" x14ac:dyDescent="0.35">
      <c r="A104" s="9"/>
      <c r="B104" s="9"/>
      <c r="C104" s="9"/>
      <c r="D104" s="9"/>
      <c r="E104" s="9"/>
      <c r="F104" s="9"/>
      <c r="G104" s="9"/>
      <c r="N104" s="9"/>
      <c r="O104" s="9"/>
      <c r="P104" s="9"/>
      <c r="Q104" s="9"/>
      <c r="R104" s="10"/>
      <c r="S104" s="8"/>
      <c r="T104" s="8"/>
      <c r="U104" s="8"/>
      <c r="V104" s="8"/>
    </row>
    <row r="105" spans="1:22" x14ac:dyDescent="0.35">
      <c r="A105" s="9"/>
      <c r="B105" s="9"/>
      <c r="C105" s="9"/>
      <c r="D105" s="9"/>
      <c r="E105" s="9"/>
      <c r="F105" s="9"/>
      <c r="G105" s="9"/>
      <c r="N105" s="9"/>
      <c r="O105" s="9"/>
      <c r="P105" s="9"/>
      <c r="Q105" s="9"/>
      <c r="R105" s="10"/>
      <c r="S105" s="8"/>
      <c r="T105" s="8"/>
      <c r="U105" s="8"/>
      <c r="V105" s="8"/>
    </row>
    <row r="106" spans="1:22" x14ac:dyDescent="0.35">
      <c r="A106" s="9"/>
      <c r="B106" s="9"/>
      <c r="C106" s="9"/>
      <c r="D106" s="9"/>
      <c r="E106" s="9"/>
      <c r="F106" s="9"/>
      <c r="G106" s="9"/>
      <c r="N106" s="9"/>
      <c r="O106" s="9"/>
      <c r="P106" s="9"/>
      <c r="Q106" s="9"/>
      <c r="R106" s="10"/>
      <c r="S106" s="8"/>
      <c r="T106" s="8"/>
      <c r="U106" s="8"/>
      <c r="V106" s="8"/>
    </row>
    <row r="107" spans="1:22" x14ac:dyDescent="0.35">
      <c r="A107" s="9"/>
      <c r="B107" s="9"/>
      <c r="C107" s="9"/>
      <c r="D107" s="9"/>
      <c r="E107" s="9"/>
      <c r="F107" s="9"/>
      <c r="G107" s="9"/>
      <c r="N107" s="9"/>
      <c r="O107" s="9"/>
      <c r="P107" s="9"/>
      <c r="Q107" s="9"/>
      <c r="R107" s="10"/>
      <c r="S107" s="8"/>
      <c r="T107" s="8"/>
      <c r="U107" s="8"/>
      <c r="V107" s="8"/>
    </row>
    <row r="108" spans="1:22" x14ac:dyDescent="0.35">
      <c r="A108" s="9"/>
      <c r="B108" s="9"/>
      <c r="C108" s="9"/>
      <c r="D108" s="9"/>
      <c r="E108" s="9"/>
      <c r="F108" s="9"/>
      <c r="G108" s="9"/>
      <c r="N108" s="9"/>
      <c r="O108" s="9"/>
      <c r="P108" s="9"/>
      <c r="Q108" s="9"/>
      <c r="R108" s="10"/>
      <c r="S108" s="8"/>
      <c r="T108" s="8"/>
      <c r="U108" s="8"/>
      <c r="V108" s="8"/>
    </row>
    <row r="109" spans="1:22" x14ac:dyDescent="0.35">
      <c r="A109" s="9"/>
      <c r="B109" s="9"/>
      <c r="C109" s="9"/>
      <c r="D109" s="9"/>
      <c r="E109" s="9"/>
      <c r="F109" s="9"/>
      <c r="G109" s="9"/>
      <c r="N109" s="9"/>
      <c r="O109" s="9"/>
      <c r="P109" s="9"/>
      <c r="Q109" s="9"/>
      <c r="R109" s="10"/>
      <c r="S109" s="8"/>
      <c r="T109" s="8"/>
      <c r="U109" s="8"/>
      <c r="V109" s="8"/>
    </row>
    <row r="110" spans="1:22" x14ac:dyDescent="0.35">
      <c r="A110" s="9"/>
      <c r="B110" s="9"/>
      <c r="C110" s="9"/>
      <c r="D110" s="9"/>
      <c r="E110" s="9"/>
      <c r="F110" s="9"/>
      <c r="G110" s="9"/>
      <c r="N110" s="9"/>
      <c r="O110" s="9"/>
      <c r="P110" s="9"/>
      <c r="Q110" s="9"/>
      <c r="R110" s="10"/>
      <c r="S110" s="8"/>
      <c r="T110" s="8"/>
      <c r="U110" s="8"/>
      <c r="V110" s="8"/>
    </row>
    <row r="111" spans="1:22" x14ac:dyDescent="0.35">
      <c r="A111" s="9"/>
      <c r="B111" s="9"/>
      <c r="C111" s="9"/>
      <c r="D111" s="9"/>
      <c r="E111" s="9"/>
      <c r="F111" s="9"/>
      <c r="G111" s="9"/>
      <c r="N111" s="9"/>
      <c r="O111" s="9"/>
      <c r="P111" s="9"/>
      <c r="Q111" s="9"/>
      <c r="R111" s="10"/>
      <c r="S111" s="8"/>
      <c r="T111" s="8"/>
      <c r="U111" s="8"/>
      <c r="V111" s="8"/>
    </row>
    <row r="112" spans="1:22" x14ac:dyDescent="0.35">
      <c r="A112" s="9"/>
      <c r="B112" s="9"/>
      <c r="C112" s="9"/>
      <c r="D112" s="9"/>
      <c r="E112" s="9"/>
      <c r="F112" s="9"/>
      <c r="G112" s="9"/>
      <c r="N112" s="9"/>
      <c r="O112" s="9"/>
      <c r="P112" s="9"/>
      <c r="Q112" s="9"/>
      <c r="R112" s="10"/>
      <c r="S112" s="8"/>
      <c r="T112" s="8"/>
      <c r="U112" s="8"/>
      <c r="V112" s="8"/>
    </row>
    <row r="113" spans="1:22" x14ac:dyDescent="0.35">
      <c r="A113" s="9"/>
      <c r="B113" s="9"/>
      <c r="C113" s="9"/>
      <c r="D113" s="9"/>
      <c r="E113" s="9"/>
      <c r="F113" s="9"/>
      <c r="G113" s="9"/>
      <c r="N113" s="9"/>
      <c r="O113" s="9"/>
      <c r="P113" s="9"/>
      <c r="Q113" s="9"/>
      <c r="R113" s="10"/>
      <c r="S113" s="8"/>
      <c r="T113" s="8"/>
      <c r="U113" s="8"/>
      <c r="V113" s="8"/>
    </row>
    <row r="114" spans="1:22" x14ac:dyDescent="0.35">
      <c r="A114" s="9"/>
      <c r="B114" s="9"/>
      <c r="C114" s="9"/>
      <c r="D114" s="9"/>
      <c r="E114" s="9"/>
      <c r="F114" s="9"/>
      <c r="G114" s="9"/>
      <c r="N114" s="9"/>
      <c r="O114" s="9"/>
      <c r="P114" s="9"/>
      <c r="Q114" s="9"/>
      <c r="R114" s="10"/>
      <c r="S114" s="8"/>
      <c r="T114" s="8"/>
      <c r="U114" s="8"/>
      <c r="V114" s="8"/>
    </row>
    <row r="115" spans="1:22" x14ac:dyDescent="0.35">
      <c r="A115" s="9"/>
      <c r="B115" s="9"/>
      <c r="C115" s="9"/>
      <c r="D115" s="9"/>
      <c r="E115" s="9"/>
      <c r="F115" s="9"/>
      <c r="G115" s="9"/>
      <c r="N115" s="9"/>
      <c r="O115" s="9"/>
      <c r="P115" s="9"/>
      <c r="Q115" s="9"/>
      <c r="R115" s="10"/>
      <c r="S115" s="8"/>
      <c r="T115" s="8"/>
      <c r="U115" s="8"/>
      <c r="V115" s="8"/>
    </row>
    <row r="116" spans="1:22" x14ac:dyDescent="0.35">
      <c r="A116" s="9"/>
      <c r="B116" s="9"/>
      <c r="C116" s="9"/>
      <c r="D116" s="9"/>
      <c r="E116" s="9"/>
      <c r="F116" s="9"/>
      <c r="G116" s="9"/>
      <c r="N116" s="9"/>
      <c r="O116" s="9"/>
      <c r="P116" s="9"/>
      <c r="Q116" s="9"/>
      <c r="R116" s="10"/>
      <c r="S116" s="8"/>
      <c r="T116" s="8"/>
      <c r="U116" s="8"/>
      <c r="V116" s="8"/>
    </row>
    <row r="117" spans="1:22" x14ac:dyDescent="0.35">
      <c r="A117" s="9"/>
      <c r="B117" s="9"/>
      <c r="C117" s="9"/>
      <c r="D117" s="9"/>
      <c r="E117" s="9"/>
      <c r="F117" s="9"/>
      <c r="G117" s="9"/>
      <c r="N117" s="9"/>
      <c r="O117" s="9"/>
      <c r="P117" s="9"/>
      <c r="Q117" s="9"/>
      <c r="R117" s="10"/>
      <c r="S117" s="8"/>
      <c r="T117" s="8"/>
      <c r="U117" s="8"/>
      <c r="V117" s="8"/>
    </row>
    <row r="118" spans="1:22" x14ac:dyDescent="0.35">
      <c r="A118" s="9"/>
      <c r="B118" s="9"/>
      <c r="C118" s="9"/>
      <c r="D118" s="9"/>
      <c r="E118" s="9"/>
      <c r="F118" s="9"/>
      <c r="G118" s="9"/>
      <c r="N118" s="9"/>
      <c r="O118" s="9"/>
      <c r="P118" s="9"/>
      <c r="Q118" s="9"/>
      <c r="R118" s="10"/>
      <c r="S118" s="8"/>
      <c r="T118" s="8"/>
      <c r="U118" s="8"/>
      <c r="V118" s="8"/>
    </row>
    <row r="119" spans="1:22" x14ac:dyDescent="0.35">
      <c r="A119" s="9"/>
      <c r="B119" s="9"/>
      <c r="C119" s="9"/>
      <c r="D119" s="9"/>
      <c r="E119" s="9"/>
      <c r="F119" s="9"/>
      <c r="G119" s="9"/>
      <c r="N119" s="9"/>
      <c r="O119" s="9"/>
      <c r="P119" s="9"/>
      <c r="Q119" s="9"/>
      <c r="R119" s="10"/>
      <c r="S119" s="8"/>
      <c r="T119" s="8"/>
      <c r="U119" s="8"/>
      <c r="V119" s="8"/>
    </row>
    <row r="120" spans="1:22" x14ac:dyDescent="0.35">
      <c r="A120" s="9"/>
      <c r="B120" s="9"/>
      <c r="C120" s="9"/>
      <c r="D120" s="9"/>
      <c r="E120" s="9"/>
      <c r="F120" s="9"/>
      <c r="G120" s="9"/>
      <c r="N120" s="9"/>
      <c r="O120" s="9"/>
      <c r="P120" s="9"/>
      <c r="Q120" s="9"/>
      <c r="R120" s="10"/>
      <c r="S120" s="8"/>
      <c r="T120" s="8"/>
      <c r="U120" s="8"/>
      <c r="V120" s="8"/>
    </row>
    <row r="121" spans="1:22" x14ac:dyDescent="0.35">
      <c r="A121" s="9"/>
      <c r="B121" s="9"/>
      <c r="C121" s="9"/>
      <c r="D121" s="9"/>
      <c r="E121" s="9"/>
      <c r="F121" s="9"/>
      <c r="G121" s="9"/>
      <c r="N121" s="9"/>
      <c r="O121" s="9"/>
      <c r="P121" s="9"/>
      <c r="Q121" s="9"/>
      <c r="R121" s="10"/>
      <c r="S121" s="8"/>
      <c r="T121" s="8"/>
      <c r="U121" s="8"/>
      <c r="V121" s="8"/>
    </row>
    <row r="122" spans="1:22" x14ac:dyDescent="0.35">
      <c r="A122" s="9"/>
      <c r="B122" s="9"/>
      <c r="C122" s="9"/>
      <c r="D122" s="9"/>
      <c r="E122" s="9"/>
      <c r="F122" s="9"/>
      <c r="G122" s="9"/>
      <c r="N122" s="9"/>
      <c r="O122" s="9"/>
      <c r="P122" s="9"/>
      <c r="Q122" s="9"/>
      <c r="R122" s="10"/>
      <c r="S122" s="8"/>
      <c r="T122" s="8"/>
      <c r="U122" s="8"/>
      <c r="V122" s="8"/>
    </row>
    <row r="123" spans="1:22" x14ac:dyDescent="0.35">
      <c r="A123" s="9"/>
      <c r="B123" s="9"/>
      <c r="C123" s="9"/>
      <c r="D123" s="9"/>
      <c r="E123" s="9"/>
      <c r="F123" s="9"/>
      <c r="G123" s="9"/>
      <c r="N123" s="9"/>
      <c r="O123" s="9"/>
      <c r="P123" s="9"/>
      <c r="Q123" s="9"/>
      <c r="R123" s="10"/>
      <c r="S123" s="8"/>
      <c r="T123" s="8"/>
      <c r="U123" s="8"/>
      <c r="V123" s="8"/>
    </row>
    <row r="124" spans="1:22" x14ac:dyDescent="0.35">
      <c r="A124" s="9"/>
      <c r="B124" s="9"/>
      <c r="C124" s="9"/>
      <c r="D124" s="9"/>
      <c r="E124" s="9"/>
      <c r="F124" s="9"/>
      <c r="G124" s="9"/>
      <c r="N124" s="9"/>
      <c r="O124" s="9"/>
      <c r="P124" s="9"/>
      <c r="Q124" s="9"/>
      <c r="R124" s="10"/>
      <c r="S124" s="8"/>
      <c r="T124" s="8"/>
      <c r="U124" s="8"/>
      <c r="V124" s="8"/>
    </row>
    <row r="125" spans="1:22" x14ac:dyDescent="0.35">
      <c r="A125" s="9"/>
      <c r="B125" s="9"/>
      <c r="C125" s="9"/>
      <c r="D125" s="9"/>
      <c r="E125" s="9"/>
      <c r="F125" s="9"/>
      <c r="G125" s="9"/>
      <c r="N125" s="9"/>
      <c r="O125" s="9"/>
      <c r="P125" s="9"/>
      <c r="Q125" s="9"/>
      <c r="R125" s="10"/>
      <c r="S125" s="8"/>
      <c r="T125" s="8"/>
      <c r="U125" s="8"/>
      <c r="V125" s="8"/>
    </row>
    <row r="126" spans="1:22" x14ac:dyDescent="0.35">
      <c r="A126" s="9"/>
      <c r="B126" s="9"/>
      <c r="C126" s="9"/>
      <c r="D126" s="9"/>
      <c r="E126" s="9"/>
      <c r="F126" s="9"/>
      <c r="G126" s="9"/>
      <c r="N126" s="9"/>
      <c r="O126" s="9"/>
      <c r="P126" s="9"/>
      <c r="Q126" s="9"/>
      <c r="R126" s="10"/>
      <c r="S126" s="8"/>
      <c r="T126" s="8"/>
      <c r="U126" s="8"/>
      <c r="V126" s="8"/>
    </row>
    <row r="127" spans="1:22" x14ac:dyDescent="0.35">
      <c r="A127" s="9"/>
      <c r="B127" s="9"/>
      <c r="C127" s="9"/>
      <c r="D127" s="9"/>
      <c r="E127" s="9"/>
      <c r="F127" s="9"/>
      <c r="G127" s="9"/>
      <c r="N127" s="9"/>
      <c r="O127" s="9"/>
      <c r="P127" s="9"/>
      <c r="Q127" s="9"/>
      <c r="R127" s="10"/>
      <c r="S127" s="8"/>
      <c r="T127" s="8"/>
      <c r="U127" s="8"/>
      <c r="V127" s="8"/>
    </row>
    <row r="128" spans="1:22" x14ac:dyDescent="0.35">
      <c r="A128" s="9"/>
      <c r="B128" s="9"/>
      <c r="C128" s="9"/>
      <c r="D128" s="9"/>
      <c r="E128" s="9"/>
      <c r="F128" s="9"/>
      <c r="G128" s="9"/>
      <c r="N128" s="9"/>
      <c r="O128" s="9"/>
      <c r="P128" s="9"/>
      <c r="Q128" s="9"/>
      <c r="R128" s="10"/>
      <c r="S128" s="8"/>
      <c r="T128" s="8"/>
      <c r="U128" s="8"/>
      <c r="V128" s="8"/>
    </row>
    <row r="129" spans="1:22" x14ac:dyDescent="0.35">
      <c r="A129" s="9"/>
      <c r="B129" s="9"/>
      <c r="C129" s="9"/>
      <c r="D129" s="9"/>
      <c r="E129" s="9"/>
      <c r="F129" s="9"/>
      <c r="G129" s="9"/>
      <c r="N129" s="9"/>
      <c r="O129" s="9"/>
      <c r="P129" s="9"/>
      <c r="Q129" s="9"/>
      <c r="R129" s="10"/>
      <c r="S129" s="8"/>
      <c r="T129" s="8"/>
      <c r="U129" s="8"/>
      <c r="V129" s="8"/>
    </row>
    <row r="130" spans="1:22" x14ac:dyDescent="0.35">
      <c r="A130" s="9"/>
      <c r="B130" s="9"/>
      <c r="C130" s="9"/>
      <c r="D130" s="9"/>
      <c r="E130" s="9"/>
      <c r="F130" s="9"/>
      <c r="G130" s="9"/>
      <c r="N130" s="9"/>
      <c r="O130" s="9"/>
      <c r="P130" s="9"/>
      <c r="Q130" s="9"/>
      <c r="R130" s="10"/>
      <c r="S130" s="8"/>
      <c r="T130" s="8"/>
      <c r="U130" s="8"/>
      <c r="V130" s="8"/>
    </row>
    <row r="131" spans="1:22" x14ac:dyDescent="0.35">
      <c r="A131" s="9"/>
      <c r="B131" s="9"/>
      <c r="C131" s="9"/>
      <c r="D131" s="9"/>
      <c r="E131" s="9"/>
      <c r="F131" s="9"/>
      <c r="G131" s="9"/>
      <c r="N131" s="9"/>
      <c r="O131" s="9"/>
      <c r="P131" s="9"/>
      <c r="Q131" s="9"/>
      <c r="R131" s="10"/>
      <c r="S131" s="8"/>
      <c r="T131" s="8"/>
      <c r="U131" s="8"/>
      <c r="V131" s="8"/>
    </row>
    <row r="132" spans="1:22" x14ac:dyDescent="0.35">
      <c r="A132" s="9"/>
      <c r="B132" s="9"/>
      <c r="C132" s="9"/>
      <c r="D132" s="9"/>
      <c r="E132" s="9"/>
      <c r="F132" s="9"/>
      <c r="G132" s="9"/>
      <c r="N132" s="9"/>
      <c r="O132" s="9"/>
      <c r="P132" s="9"/>
      <c r="Q132" s="9"/>
      <c r="R132" s="10"/>
      <c r="S132" s="8"/>
      <c r="T132" s="8"/>
      <c r="U132" s="8"/>
      <c r="V132" s="8"/>
    </row>
    <row r="133" spans="1:22" x14ac:dyDescent="0.35">
      <c r="A133" s="9"/>
      <c r="B133" s="9"/>
      <c r="C133" s="9"/>
      <c r="D133" s="9"/>
      <c r="E133" s="9"/>
      <c r="F133" s="9"/>
      <c r="G133" s="9"/>
      <c r="N133" s="9"/>
      <c r="O133" s="9"/>
      <c r="P133" s="9"/>
      <c r="Q133" s="9"/>
      <c r="R133" s="10"/>
      <c r="S133" s="8"/>
      <c r="T133" s="8"/>
      <c r="U133" s="8"/>
      <c r="V133" s="8"/>
    </row>
    <row r="134" spans="1:22" x14ac:dyDescent="0.35">
      <c r="A134" s="9"/>
      <c r="B134" s="9"/>
      <c r="C134" s="9"/>
      <c r="D134" s="9"/>
      <c r="E134" s="9"/>
      <c r="F134" s="9"/>
      <c r="G134" s="9"/>
      <c r="N134" s="9"/>
      <c r="O134" s="9"/>
      <c r="P134" s="9"/>
      <c r="Q134" s="9"/>
      <c r="R134" s="10"/>
      <c r="S134" s="8"/>
      <c r="T134" s="8"/>
      <c r="U134" s="8"/>
      <c r="V134" s="8"/>
    </row>
    <row r="135" spans="1:22" x14ac:dyDescent="0.35">
      <c r="A135" s="9"/>
      <c r="B135" s="9"/>
      <c r="C135" s="9"/>
      <c r="D135" s="9"/>
      <c r="E135" s="9"/>
      <c r="F135" s="9"/>
      <c r="G135" s="9"/>
      <c r="N135" s="9"/>
      <c r="O135" s="9"/>
      <c r="P135" s="9"/>
      <c r="Q135" s="9"/>
      <c r="R135" s="10"/>
      <c r="S135" s="8"/>
      <c r="T135" s="8"/>
      <c r="U135" s="8"/>
      <c r="V135" s="8"/>
    </row>
    <row r="136" spans="1:22" x14ac:dyDescent="0.35">
      <c r="A136" s="9"/>
      <c r="B136" s="9"/>
      <c r="C136" s="9"/>
      <c r="D136" s="9"/>
      <c r="E136" s="9"/>
      <c r="F136" s="9"/>
      <c r="G136" s="9"/>
      <c r="N136" s="9"/>
      <c r="O136" s="9"/>
      <c r="P136" s="9"/>
      <c r="Q136" s="9"/>
      <c r="R136" s="10"/>
      <c r="S136" s="8"/>
      <c r="T136" s="8"/>
      <c r="U136" s="8"/>
      <c r="V136" s="8"/>
    </row>
    <row r="137" spans="1:22" x14ac:dyDescent="0.35">
      <c r="A137" s="9"/>
      <c r="B137" s="9"/>
      <c r="C137" s="9"/>
      <c r="D137" s="9"/>
      <c r="E137" s="9"/>
      <c r="F137" s="9"/>
      <c r="G137" s="9"/>
      <c r="N137" s="9"/>
      <c r="O137" s="9"/>
      <c r="P137" s="9"/>
      <c r="Q137" s="9"/>
      <c r="R137" s="10"/>
      <c r="S137" s="8"/>
      <c r="T137" s="8"/>
      <c r="U137" s="8"/>
      <c r="V137" s="8"/>
    </row>
    <row r="138" spans="1:22" x14ac:dyDescent="0.35">
      <c r="A138" s="9"/>
      <c r="B138" s="9"/>
      <c r="C138" s="9"/>
      <c r="D138" s="9"/>
      <c r="E138" s="9"/>
      <c r="F138" s="9"/>
      <c r="G138" s="9"/>
      <c r="N138" s="9"/>
      <c r="O138" s="9"/>
      <c r="P138" s="9"/>
      <c r="Q138" s="9"/>
      <c r="R138" s="10"/>
      <c r="S138" s="8"/>
      <c r="T138" s="8"/>
      <c r="U138" s="8"/>
      <c r="V138" s="8"/>
    </row>
    <row r="139" spans="1:22" x14ac:dyDescent="0.35">
      <c r="A139" s="9"/>
      <c r="B139" s="9"/>
      <c r="C139" s="9"/>
      <c r="D139" s="9"/>
      <c r="E139" s="9"/>
      <c r="F139" s="9"/>
      <c r="G139" s="9"/>
      <c r="N139" s="9"/>
      <c r="O139" s="9"/>
      <c r="P139" s="9"/>
      <c r="Q139" s="9"/>
      <c r="R139" s="10"/>
      <c r="S139" s="8"/>
      <c r="T139" s="8"/>
      <c r="U139" s="8"/>
      <c r="V139" s="8"/>
    </row>
    <row r="140" spans="1:22" x14ac:dyDescent="0.35">
      <c r="A140" s="9"/>
      <c r="B140" s="9"/>
      <c r="C140" s="9"/>
      <c r="D140" s="9"/>
      <c r="E140" s="9"/>
      <c r="F140" s="9"/>
      <c r="G140" s="9"/>
      <c r="N140" s="9"/>
      <c r="O140" s="9"/>
      <c r="P140" s="9"/>
      <c r="Q140" s="9"/>
      <c r="R140" s="10"/>
      <c r="S140" s="8"/>
      <c r="T140" s="8"/>
      <c r="U140" s="8"/>
      <c r="V140" s="8"/>
    </row>
    <row r="141" spans="1:22" x14ac:dyDescent="0.35">
      <c r="A141" s="9"/>
      <c r="B141" s="9"/>
      <c r="C141" s="9"/>
      <c r="D141" s="9"/>
      <c r="E141" s="9"/>
      <c r="F141" s="9"/>
      <c r="G141" s="9"/>
      <c r="N141" s="9"/>
      <c r="O141" s="9"/>
      <c r="P141" s="9"/>
      <c r="Q141" s="9"/>
      <c r="R141" s="10"/>
      <c r="S141" s="8"/>
      <c r="T141" s="8"/>
      <c r="U141" s="8"/>
      <c r="V141" s="8"/>
    </row>
    <row r="142" spans="1:22" x14ac:dyDescent="0.35">
      <c r="A142" s="9"/>
      <c r="B142" s="9"/>
      <c r="C142" s="9"/>
      <c r="D142" s="9"/>
      <c r="E142" s="9"/>
      <c r="F142" s="9"/>
      <c r="G142" s="9"/>
      <c r="N142" s="9"/>
      <c r="O142" s="9"/>
      <c r="P142" s="9"/>
      <c r="Q142" s="9"/>
      <c r="R142" s="10"/>
      <c r="S142" s="8"/>
      <c r="T142" s="8"/>
      <c r="U142" s="8"/>
      <c r="V142" s="8"/>
    </row>
    <row r="143" spans="1:22" x14ac:dyDescent="0.35">
      <c r="A143" s="9"/>
      <c r="B143" s="9"/>
      <c r="C143" s="9"/>
      <c r="D143" s="9"/>
      <c r="E143" s="9"/>
      <c r="F143" s="9"/>
      <c r="G143" s="9"/>
      <c r="N143" s="9"/>
      <c r="O143" s="9"/>
      <c r="P143" s="9"/>
      <c r="Q143" s="9"/>
      <c r="R143" s="10"/>
      <c r="S143" s="8"/>
      <c r="T143" s="8"/>
      <c r="U143" s="8"/>
      <c r="V143" s="8"/>
    </row>
    <row r="144" spans="1:22" x14ac:dyDescent="0.35">
      <c r="A144" s="9"/>
      <c r="B144" s="9"/>
      <c r="C144" s="9"/>
      <c r="D144" s="9"/>
      <c r="E144" s="9"/>
      <c r="F144" s="9"/>
      <c r="G144" s="9"/>
      <c r="N144" s="9"/>
      <c r="O144" s="9"/>
      <c r="P144" s="9"/>
      <c r="Q144" s="9"/>
      <c r="R144" s="10"/>
      <c r="S144" s="8"/>
      <c r="T144" s="8"/>
      <c r="U144" s="8"/>
      <c r="V144" s="8"/>
    </row>
    <row r="145" spans="1:22" x14ac:dyDescent="0.35">
      <c r="A145" s="9"/>
      <c r="B145" s="9"/>
      <c r="C145" s="9"/>
      <c r="D145" s="9"/>
      <c r="E145" s="9"/>
      <c r="F145" s="9"/>
      <c r="G145" s="9"/>
      <c r="N145" s="9"/>
      <c r="O145" s="9"/>
      <c r="P145" s="9"/>
      <c r="Q145" s="9"/>
      <c r="R145" s="10"/>
      <c r="S145" s="8"/>
      <c r="T145" s="8"/>
      <c r="U145" s="8"/>
      <c r="V145" s="8"/>
    </row>
    <row r="146" spans="1:22" x14ac:dyDescent="0.35">
      <c r="A146" s="9"/>
      <c r="B146" s="9"/>
      <c r="C146" s="9"/>
      <c r="D146" s="9"/>
      <c r="E146" s="9"/>
      <c r="F146" s="9"/>
      <c r="G146" s="9"/>
      <c r="N146" s="9"/>
      <c r="O146" s="9"/>
      <c r="P146" s="9"/>
      <c r="Q146" s="9"/>
      <c r="R146" s="10"/>
      <c r="S146" s="8"/>
      <c r="T146" s="8"/>
      <c r="U146" s="8"/>
      <c r="V146" s="8"/>
    </row>
    <row r="147" spans="1:22" x14ac:dyDescent="0.35">
      <c r="A147" s="9"/>
      <c r="B147" s="9"/>
      <c r="C147" s="9"/>
      <c r="D147" s="9"/>
      <c r="E147" s="9"/>
      <c r="F147" s="9"/>
      <c r="G147" s="9"/>
      <c r="N147" s="9"/>
      <c r="O147" s="9"/>
      <c r="P147" s="9"/>
      <c r="Q147" s="9"/>
      <c r="R147" s="10"/>
      <c r="S147" s="8"/>
      <c r="T147" s="8"/>
      <c r="U147" s="8"/>
      <c r="V147" s="8"/>
    </row>
    <row r="148" spans="1:22" x14ac:dyDescent="0.35">
      <c r="A148" s="9"/>
      <c r="B148" s="9"/>
      <c r="C148" s="9"/>
      <c r="D148" s="9"/>
      <c r="E148" s="9"/>
      <c r="F148" s="9"/>
      <c r="G148" s="9"/>
      <c r="N148" s="9"/>
      <c r="O148" s="9"/>
      <c r="P148" s="9"/>
      <c r="Q148" s="9"/>
      <c r="R148" s="10"/>
      <c r="S148" s="8"/>
      <c r="T148" s="8"/>
      <c r="U148" s="8"/>
      <c r="V148" s="8"/>
    </row>
    <row r="149" spans="1:22" x14ac:dyDescent="0.35">
      <c r="A149" s="9"/>
      <c r="B149" s="9"/>
      <c r="C149" s="9"/>
      <c r="D149" s="9"/>
      <c r="E149" s="9"/>
      <c r="F149" s="9"/>
      <c r="G149" s="9"/>
      <c r="N149" s="9"/>
      <c r="O149" s="9"/>
      <c r="P149" s="9"/>
      <c r="Q149" s="9"/>
      <c r="R149" s="10"/>
      <c r="S149" s="8"/>
      <c r="T149" s="8"/>
      <c r="U149" s="8"/>
      <c r="V149" s="8"/>
    </row>
    <row r="150" spans="1:22" x14ac:dyDescent="0.35">
      <c r="A150" s="9"/>
      <c r="B150" s="9"/>
      <c r="C150" s="9"/>
      <c r="D150" s="9"/>
      <c r="E150" s="9"/>
      <c r="F150" s="9"/>
      <c r="G150" s="9"/>
      <c r="N150" s="9"/>
      <c r="O150" s="9"/>
      <c r="P150" s="9"/>
      <c r="Q150" s="9"/>
      <c r="R150" s="10"/>
      <c r="S150" s="8"/>
      <c r="T150" s="8"/>
      <c r="U150" s="8"/>
      <c r="V150" s="8"/>
    </row>
    <row r="151" spans="1:22" x14ac:dyDescent="0.35">
      <c r="A151" s="9"/>
      <c r="B151" s="9"/>
      <c r="C151" s="9"/>
      <c r="D151" s="9"/>
      <c r="E151" s="9"/>
      <c r="F151" s="9"/>
      <c r="G151" s="9"/>
      <c r="N151" s="9"/>
      <c r="O151" s="9"/>
      <c r="P151" s="9"/>
      <c r="Q151" s="9"/>
      <c r="R151" s="10"/>
      <c r="S151" s="8"/>
      <c r="T151" s="8"/>
      <c r="U151" s="8"/>
      <c r="V151" s="8"/>
    </row>
    <row r="152" spans="1:22" x14ac:dyDescent="0.35">
      <c r="A152" s="9"/>
      <c r="B152" s="9"/>
      <c r="C152" s="9"/>
      <c r="D152" s="9"/>
      <c r="E152" s="9"/>
      <c r="F152" s="9"/>
      <c r="G152" s="9"/>
      <c r="N152" s="9"/>
      <c r="O152" s="9"/>
      <c r="P152" s="9"/>
      <c r="Q152" s="9"/>
      <c r="R152" s="10"/>
      <c r="S152" s="8"/>
      <c r="T152" s="8"/>
      <c r="U152" s="8"/>
      <c r="V152" s="8"/>
    </row>
    <row r="153" spans="1:22" x14ac:dyDescent="0.35">
      <c r="A153" s="9"/>
      <c r="B153" s="9"/>
      <c r="C153" s="9"/>
      <c r="D153" s="9"/>
      <c r="E153" s="9"/>
      <c r="F153" s="9"/>
      <c r="G153" s="9"/>
      <c r="N153" s="9"/>
      <c r="O153" s="9"/>
      <c r="P153" s="9"/>
      <c r="Q153" s="9"/>
      <c r="R153" s="10"/>
      <c r="S153" s="8"/>
      <c r="T153" s="8"/>
      <c r="U153" s="8"/>
      <c r="V153" s="8"/>
    </row>
    <row r="154" spans="1:22" x14ac:dyDescent="0.35">
      <c r="R154" s="5"/>
    </row>
  </sheetData>
  <mergeCells count="6">
    <mergeCell ref="A1:V1"/>
    <mergeCell ref="A2:G2"/>
    <mergeCell ref="H2:M2"/>
    <mergeCell ref="N2:R2"/>
    <mergeCell ref="S2:U2"/>
    <mergeCell ref="W2:Y2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1C8E9-41A1-46AE-A762-35C76B12D0B5}">
  <dimension ref="A1:Z154"/>
  <sheetViews>
    <sheetView tabSelected="1" topLeftCell="K1" workbookViewId="0">
      <selection activeCell="N4" sqref="N4:R78"/>
    </sheetView>
  </sheetViews>
  <sheetFormatPr defaultRowHeight="14.5" x14ac:dyDescent="0.35"/>
  <cols>
    <col min="1" max="2" width="6.1796875" bestFit="1" customWidth="1"/>
    <col min="3" max="3" width="8.81640625" bestFit="1" customWidth="1"/>
    <col min="4" max="4" width="10.81640625" bestFit="1" customWidth="1"/>
    <col min="5" max="7" width="8.453125" bestFit="1" customWidth="1"/>
    <col min="8" max="9" width="8.1796875" bestFit="1" customWidth="1"/>
    <col min="10" max="13" width="8" bestFit="1" customWidth="1"/>
    <col min="14" max="15" width="7.26953125" bestFit="1" customWidth="1"/>
    <col min="16" max="16" width="8.81640625" bestFit="1" customWidth="1"/>
    <col min="17" max="17" width="10.81640625" bestFit="1" customWidth="1"/>
    <col min="18" max="18" width="15" customWidth="1"/>
    <col min="19" max="19" width="11.1796875" bestFit="1" customWidth="1"/>
    <col min="20" max="20" width="13.453125" bestFit="1" customWidth="1"/>
    <col min="21" max="21" width="11.7265625" bestFit="1" customWidth="1"/>
    <col min="22" max="22" width="11.7265625" customWidth="1"/>
    <col min="23" max="23" width="11.1796875" bestFit="1" customWidth="1"/>
    <col min="24" max="24" width="13.54296875" bestFit="1" customWidth="1"/>
    <col min="25" max="25" width="11.7265625" bestFit="1" customWidth="1"/>
    <col min="26" max="26" width="12.54296875" customWidth="1"/>
  </cols>
  <sheetData>
    <row r="1" spans="1:26" x14ac:dyDescent="0.35">
      <c r="A1" s="30" t="s">
        <v>35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</row>
    <row r="2" spans="1:26" ht="16" x14ac:dyDescent="0.4">
      <c r="A2" s="23" t="s">
        <v>13</v>
      </c>
      <c r="B2" s="23"/>
      <c r="C2" s="23"/>
      <c r="D2" s="23"/>
      <c r="E2" s="23"/>
      <c r="F2" s="23"/>
      <c r="G2" s="23"/>
      <c r="H2" s="24" t="s">
        <v>6</v>
      </c>
      <c r="I2" s="24"/>
      <c r="J2" s="24"/>
      <c r="K2" s="24"/>
      <c r="L2" s="24"/>
      <c r="M2" s="24"/>
      <c r="N2" s="26" t="s">
        <v>9</v>
      </c>
      <c r="O2" s="26"/>
      <c r="P2" s="26"/>
      <c r="Q2" s="26"/>
      <c r="R2" s="26"/>
      <c r="S2" s="25" t="s">
        <v>15</v>
      </c>
      <c r="T2" s="25"/>
      <c r="U2" s="25"/>
      <c r="V2" s="6"/>
      <c r="W2" s="22" t="s">
        <v>30</v>
      </c>
      <c r="X2" s="22"/>
      <c r="Y2" s="22"/>
    </row>
    <row r="3" spans="1:26" ht="16" x14ac:dyDescent="0.4">
      <c r="A3" s="1" t="s">
        <v>7</v>
      </c>
      <c r="B3" s="1" t="s">
        <v>8</v>
      </c>
      <c r="C3" s="1" t="s">
        <v>25</v>
      </c>
      <c r="D3" s="1" t="s">
        <v>26</v>
      </c>
      <c r="E3" s="1" t="s">
        <v>10</v>
      </c>
      <c r="F3" s="1" t="s">
        <v>11</v>
      </c>
      <c r="G3" s="1" t="s">
        <v>12</v>
      </c>
      <c r="H3" s="1" t="s">
        <v>3</v>
      </c>
      <c r="I3" s="1" t="s">
        <v>4</v>
      </c>
      <c r="J3" s="1" t="s">
        <v>5</v>
      </c>
      <c r="K3" s="1" t="s">
        <v>0</v>
      </c>
      <c r="L3" s="1" t="s">
        <v>1</v>
      </c>
      <c r="M3" s="1" t="s">
        <v>2</v>
      </c>
      <c r="N3" s="1" t="s">
        <v>7</v>
      </c>
      <c r="O3" s="1" t="s">
        <v>8</v>
      </c>
      <c r="P3" s="1" t="s">
        <v>25</v>
      </c>
      <c r="Q3" s="1" t="s">
        <v>26</v>
      </c>
      <c r="R3" s="1" t="s">
        <v>27</v>
      </c>
      <c r="S3" s="1" t="s">
        <v>28</v>
      </c>
      <c r="T3" s="1" t="s">
        <v>29</v>
      </c>
      <c r="U3" s="4" t="s">
        <v>31</v>
      </c>
      <c r="V3" s="4" t="s">
        <v>32</v>
      </c>
      <c r="W3" s="1" t="s">
        <v>28</v>
      </c>
      <c r="X3" s="1" t="s">
        <v>29</v>
      </c>
      <c r="Y3" s="4" t="s">
        <v>31</v>
      </c>
      <c r="Z3" s="4" t="s">
        <v>32</v>
      </c>
    </row>
    <row r="4" spans="1:26" x14ac:dyDescent="0.35">
      <c r="A4" s="9">
        <v>0.3</v>
      </c>
      <c r="B4" s="9">
        <v>0.08</v>
      </c>
      <c r="C4" s="9">
        <v>1.571</v>
      </c>
      <c r="D4" s="9">
        <v>0.78500000000000003</v>
      </c>
      <c r="E4" s="9">
        <v>1.4</v>
      </c>
      <c r="F4" s="9">
        <v>0</v>
      </c>
      <c r="G4" s="9">
        <v>0</v>
      </c>
      <c r="H4" s="9">
        <f>'Proximal Validation (single)'!H3</f>
        <v>8.3457410801202102E-4</v>
      </c>
      <c r="I4" s="9">
        <f>'Proximal Validation (single)'!I3</f>
        <v>-3.4524299204349497E-2</v>
      </c>
      <c r="J4" s="9">
        <f>'Proximal Validation (single)'!J3</f>
        <v>-1.46811630111188E-3</v>
      </c>
      <c r="K4" s="9">
        <f>'Proximal Validation (single)'!K3</f>
        <v>0.179403036832809</v>
      </c>
      <c r="L4" s="9">
        <f>'Proximal Validation (single)'!L3</f>
        <v>-7.5630694627761797E-3</v>
      </c>
      <c r="M4" s="9">
        <f>'Proximal Validation (single)'!M3</f>
        <v>0.203822165727615</v>
      </c>
      <c r="N4" s="9">
        <v>0.44085768533416392</v>
      </c>
      <c r="O4" s="9">
        <v>0.11571760008385673</v>
      </c>
      <c r="P4" s="9">
        <v>1.4360395948834117</v>
      </c>
      <c r="Q4" s="9">
        <v>2.412105801028892</v>
      </c>
      <c r="R4" s="10">
        <v>7.2446974584728516E-5</v>
      </c>
      <c r="S4" s="8">
        <f>ABS(N4-A4)</f>
        <v>0.14085768533416393</v>
      </c>
      <c r="T4" s="8">
        <f t="shared" ref="T4:V19" si="0">ABS(O4-B4)</f>
        <v>3.5717600083856729E-2</v>
      </c>
      <c r="U4" s="8">
        <f t="shared" si="0"/>
        <v>0.13496040511658824</v>
      </c>
      <c r="V4" s="8">
        <f t="shared" si="0"/>
        <v>1.6271058010288919</v>
      </c>
      <c r="W4" s="9">
        <f>AVERAGE(S4:S78)</f>
        <v>0.20124286712256839</v>
      </c>
      <c r="X4" s="9">
        <f t="shared" ref="X4:Z4" si="1">AVERAGE(T4:T78)</f>
        <v>2.388714433586003E-2</v>
      </c>
      <c r="Y4" s="9">
        <f t="shared" si="1"/>
        <v>8.1666317862943358E-2</v>
      </c>
      <c r="Z4" s="9">
        <f t="shared" si="1"/>
        <v>0.63999149616498685</v>
      </c>
    </row>
    <row r="5" spans="1:26" x14ac:dyDescent="0.35">
      <c r="A5" s="9">
        <v>0.4</v>
      </c>
      <c r="B5" s="9">
        <v>0.14000000000000001</v>
      </c>
      <c r="C5" s="9">
        <v>1.571</v>
      </c>
      <c r="D5" s="9">
        <v>0.78500000000000003</v>
      </c>
      <c r="E5" s="9">
        <v>0</v>
      </c>
      <c r="F5" s="9">
        <v>0</v>
      </c>
      <c r="G5" s="9">
        <v>0</v>
      </c>
      <c r="H5" s="9">
        <f>'Proximal Validation (single)'!H4</f>
        <v>-8.0810196232050701E-4</v>
      </c>
      <c r="I5" s="9">
        <f>'Proximal Validation (single)'!I4</f>
        <v>-6.6743046045303303E-2</v>
      </c>
      <c r="J5" s="9">
        <f>'Proximal Validation (single)'!J4</f>
        <v>4.4342974433675398E-4</v>
      </c>
      <c r="K5" s="9">
        <f>'Proximal Validation (single)'!K4</f>
        <v>0.21195751428604101</v>
      </c>
      <c r="L5" s="9">
        <f>'Proximal Validation (single)'!L4</f>
        <v>1.1818818747997299E-3</v>
      </c>
      <c r="M5" s="9">
        <f>'Proximal Validation (single)'!M4</f>
        <v>0.30656093358993503</v>
      </c>
      <c r="N5" s="9">
        <v>0.56752245777424393</v>
      </c>
      <c r="O5" s="9">
        <v>0.1216174789107354</v>
      </c>
      <c r="P5" s="9">
        <v>1.5699039365122198</v>
      </c>
      <c r="Q5" s="9">
        <v>0.40623050209066075</v>
      </c>
      <c r="R5" s="10">
        <v>6.2641044013927565E-5</v>
      </c>
      <c r="S5" s="8">
        <f t="shared" ref="S5:V20" si="2">ABS(N5-A5)</f>
        <v>0.1675224577742439</v>
      </c>
      <c r="T5" s="8">
        <f t="shared" si="0"/>
        <v>1.8382521089264608E-2</v>
      </c>
      <c r="U5" s="8">
        <f t="shared" si="0"/>
        <v>1.0960634877801301E-3</v>
      </c>
      <c r="V5" s="8">
        <f t="shared" si="0"/>
        <v>0.37876949790933928</v>
      </c>
    </row>
    <row r="6" spans="1:26" x14ac:dyDescent="0.35">
      <c r="A6" s="9">
        <v>0.6</v>
      </c>
      <c r="B6" s="9">
        <v>0.16</v>
      </c>
      <c r="C6" s="9">
        <v>1.571</v>
      </c>
      <c r="D6" s="9">
        <v>0.78500000000000003</v>
      </c>
      <c r="E6" s="9">
        <v>1.4</v>
      </c>
      <c r="F6" s="9">
        <v>0</v>
      </c>
      <c r="G6" s="9">
        <v>0</v>
      </c>
      <c r="H6" s="9">
        <f>'Proximal Validation (single)'!H5</f>
        <v>7.8557301312684995E-3</v>
      </c>
      <c r="I6" s="9">
        <f>'Proximal Validation (single)'!I5</f>
        <v>-0.127810284495354</v>
      </c>
      <c r="J6" s="9">
        <f>'Proximal Validation (single)'!J5</f>
        <v>-1.16112818941474E-2</v>
      </c>
      <c r="K6" s="9">
        <f>'Proximal Validation (single)'!K5</f>
        <v>2.8561159968376201E-2</v>
      </c>
      <c r="L6" s="9">
        <f>'Proximal Validation (single)'!L5</f>
        <v>-4.7612398862838697E-2</v>
      </c>
      <c r="M6" s="9">
        <f>'Proximal Validation (single)'!M5</f>
        <v>0.55316102504730202</v>
      </c>
      <c r="N6" s="9">
        <v>0.99999994853563001</v>
      </c>
      <c r="O6" s="9">
        <v>0.17292049639665832</v>
      </c>
      <c r="P6" s="9">
        <v>2.1919406961277805</v>
      </c>
      <c r="Q6" s="9">
        <v>0.18169530694534969</v>
      </c>
      <c r="R6" s="10">
        <v>1.5609195487381684E-3</v>
      </c>
      <c r="S6" s="8">
        <f t="shared" si="2"/>
        <v>0.39999994853563003</v>
      </c>
      <c r="T6" s="8">
        <f t="shared" si="0"/>
        <v>1.2920496396658321E-2</v>
      </c>
      <c r="U6" s="8">
        <f t="shared" si="0"/>
        <v>0.62094069612778058</v>
      </c>
      <c r="V6" s="8">
        <f t="shared" si="0"/>
        <v>0.6033046930546504</v>
      </c>
    </row>
    <row r="7" spans="1:26" x14ac:dyDescent="0.35">
      <c r="A7" s="9">
        <v>0.4</v>
      </c>
      <c r="B7" s="9">
        <v>0.06</v>
      </c>
      <c r="C7" s="9">
        <v>1.571</v>
      </c>
      <c r="D7" s="9">
        <v>1.571</v>
      </c>
      <c r="E7" s="9">
        <v>1.4</v>
      </c>
      <c r="F7" s="9">
        <v>0</v>
      </c>
      <c r="G7" s="9">
        <v>0</v>
      </c>
      <c r="H7" s="9">
        <f>'Proximal Validation (single)'!H6</f>
        <v>1.1252735275775201E-3</v>
      </c>
      <c r="I7" s="9">
        <f>'Proximal Validation (single)'!I6</f>
        <v>-5.59809319674969E-2</v>
      </c>
      <c r="J7" s="9">
        <f>'Proximal Validation (single)'!J6</f>
        <v>-7.4938102625310399E-4</v>
      </c>
      <c r="K7" s="9">
        <f>'Proximal Validation (single)'!K6</f>
        <v>-3.5423979163169902E-2</v>
      </c>
      <c r="L7" s="9">
        <f>'Proximal Validation (single)'!L6</f>
        <v>-1.04948431253433E-2</v>
      </c>
      <c r="M7" s="9">
        <f>'Proximal Validation (single)'!M6</f>
        <v>0.35301661491393999</v>
      </c>
      <c r="N7" s="9">
        <v>0.38580298991750117</v>
      </c>
      <c r="O7" s="9">
        <v>7.4727420656478777E-2</v>
      </c>
      <c r="P7" s="9">
        <v>1.5839438618781261</v>
      </c>
      <c r="Q7" s="9">
        <v>1.8468728301957256</v>
      </c>
      <c r="R7" s="10">
        <v>3.1298721881200322E-4</v>
      </c>
      <c r="S7" s="8">
        <f t="shared" si="2"/>
        <v>1.4197010082498851E-2</v>
      </c>
      <c r="T7" s="8">
        <f t="shared" si="0"/>
        <v>1.4727420656478779E-2</v>
      </c>
      <c r="U7" s="8">
        <f t="shared" si="0"/>
        <v>1.2943861878126128E-2</v>
      </c>
      <c r="V7" s="8">
        <f t="shared" si="0"/>
        <v>0.27587283019572562</v>
      </c>
      <c r="W7" s="12"/>
      <c r="X7" s="12"/>
      <c r="Y7" s="12"/>
      <c r="Z7" s="12"/>
    </row>
    <row r="8" spans="1:26" x14ac:dyDescent="0.35">
      <c r="A8" s="9">
        <v>0.8</v>
      </c>
      <c r="B8" s="9">
        <v>0.08</v>
      </c>
      <c r="C8" s="9">
        <v>1.571</v>
      </c>
      <c r="D8" s="9">
        <v>1.571</v>
      </c>
      <c r="E8" s="9">
        <v>0</v>
      </c>
      <c r="F8" s="9">
        <v>0</v>
      </c>
      <c r="G8" s="9">
        <v>0</v>
      </c>
      <c r="H8" s="9">
        <f>'Proximal Validation (single)'!H7</f>
        <v>-5.5839424021542105E-4</v>
      </c>
      <c r="I8" s="9">
        <f>'Proximal Validation (single)'!I7</f>
        <v>-0.11975701153278399</v>
      </c>
      <c r="J8" s="9">
        <f>'Proximal Validation (single)'!J7</f>
        <v>-9.9074037279933691E-4</v>
      </c>
      <c r="K8" s="9">
        <f>'Proximal Validation (single)'!K7</f>
        <v>-0.19020733237266499</v>
      </c>
      <c r="L8" s="9">
        <f>'Proximal Validation (single)'!L7</f>
        <v>-2.60122120380402E-3</v>
      </c>
      <c r="M8" s="9">
        <f>'Proximal Validation (single)'!M7</f>
        <v>0.66739636659622203</v>
      </c>
      <c r="N8" s="9">
        <v>0.73443571027979726</v>
      </c>
      <c r="O8" s="9">
        <v>9.4133826752620109E-2</v>
      </c>
      <c r="P8" s="9">
        <v>1.5775431800440103</v>
      </c>
      <c r="Q8" s="9">
        <v>0.88770243327006382</v>
      </c>
      <c r="R8" s="10">
        <v>1.2702918915293273E-4</v>
      </c>
      <c r="S8" s="8">
        <f t="shared" si="2"/>
        <v>6.5564289720202784E-2</v>
      </c>
      <c r="T8" s="8">
        <f t="shared" si="0"/>
        <v>1.4133826752620107E-2</v>
      </c>
      <c r="U8" s="8">
        <f t="shared" si="0"/>
        <v>6.5431800440103327E-3</v>
      </c>
      <c r="V8" s="8">
        <f t="shared" si="0"/>
        <v>0.68329756672993613</v>
      </c>
      <c r="W8" s="12"/>
      <c r="X8" s="12"/>
      <c r="Y8" s="12"/>
      <c r="Z8" s="12"/>
    </row>
    <row r="9" spans="1:26" x14ac:dyDescent="0.35">
      <c r="A9" s="9">
        <v>0.7</v>
      </c>
      <c r="B9" s="9">
        <v>0.16</v>
      </c>
      <c r="C9" s="9">
        <v>1.571</v>
      </c>
      <c r="D9" s="9">
        <v>1.571</v>
      </c>
      <c r="E9" s="9">
        <v>1.4</v>
      </c>
      <c r="F9" s="9">
        <v>0</v>
      </c>
      <c r="G9" s="9">
        <v>0</v>
      </c>
      <c r="H9" s="9">
        <f>'Proximal Validation (single)'!H8</f>
        <v>1.04370433837175E-2</v>
      </c>
      <c r="I9" s="9">
        <f>'Proximal Validation (single)'!I8</f>
        <v>-0.129757210612297</v>
      </c>
      <c r="J9" s="9">
        <f>'Proximal Validation (single)'!J8</f>
        <v>-7.3771281167864799E-3</v>
      </c>
      <c r="K9" s="9">
        <f>'Proximal Validation (single)'!K8</f>
        <v>-0.55726921558380105</v>
      </c>
      <c r="L9" s="9">
        <f>'Proximal Validation (single)'!L8</f>
        <v>-6.0898363590240499E-2</v>
      </c>
      <c r="M9" s="9">
        <f>'Proximal Validation (single)'!M8</f>
        <v>0.32599642872810403</v>
      </c>
      <c r="N9" s="9">
        <v>0.93945299689436934</v>
      </c>
      <c r="O9" s="9">
        <v>0.15703582178635306</v>
      </c>
      <c r="P9" s="9">
        <v>1.5562131474806276</v>
      </c>
      <c r="Q9" s="9">
        <v>1.6478528785252375</v>
      </c>
      <c r="R9" s="10">
        <v>1.3655651195219812E-7</v>
      </c>
      <c r="S9" s="8">
        <f t="shared" si="2"/>
        <v>0.23945299689436939</v>
      </c>
      <c r="T9" s="8">
        <f t="shared" si="0"/>
        <v>2.9641782136469452E-3</v>
      </c>
      <c r="U9" s="8">
        <f t="shared" si="0"/>
        <v>1.4786852519372395E-2</v>
      </c>
      <c r="V9" s="8">
        <f t="shared" si="0"/>
        <v>7.6852878525237589E-2</v>
      </c>
    </row>
    <row r="10" spans="1:26" x14ac:dyDescent="0.35">
      <c r="A10" s="9">
        <v>0.7</v>
      </c>
      <c r="B10" s="9">
        <v>0.2</v>
      </c>
      <c r="C10" s="9">
        <v>1.571</v>
      </c>
      <c r="D10" s="9">
        <v>1.571</v>
      </c>
      <c r="E10" s="9">
        <v>0</v>
      </c>
      <c r="F10" s="9">
        <v>0</v>
      </c>
      <c r="G10" s="9">
        <v>0</v>
      </c>
      <c r="H10" s="9">
        <f>'Proximal Validation (single)'!H9</f>
        <v>-5.38935419172049E-4</v>
      </c>
      <c r="I10" s="9">
        <f>'Proximal Validation (single)'!I9</f>
        <v>-0.118809439241886</v>
      </c>
      <c r="J10" s="9">
        <f>'Proximal Validation (single)'!J9</f>
        <v>3.4749228507280402E-3</v>
      </c>
      <c r="K10" s="9">
        <f>'Proximal Validation (single)'!K9</f>
        <v>-0.621493339538574</v>
      </c>
      <c r="L10" s="9">
        <f>'Proximal Validation (single)'!L9</f>
        <v>1.56053192913532E-2</v>
      </c>
      <c r="M10" s="9">
        <f>'Proximal Validation (single)'!M9</f>
        <v>0.10576334595680199</v>
      </c>
      <c r="N10" s="9">
        <v>0.99999999909150494</v>
      </c>
      <c r="O10" s="9">
        <v>0.17018037838745814</v>
      </c>
      <c r="P10" s="9">
        <v>1.5121171155486017</v>
      </c>
      <c r="Q10" s="9">
        <v>1.9017743548613935</v>
      </c>
      <c r="R10" s="10">
        <v>0.40536621657554206</v>
      </c>
      <c r="S10" s="8">
        <f t="shared" si="2"/>
        <v>0.29999999909150499</v>
      </c>
      <c r="T10" s="8">
        <f t="shared" si="0"/>
        <v>2.9819621612541869E-2</v>
      </c>
      <c r="U10" s="8">
        <f t="shared" si="0"/>
        <v>5.8882884451398221E-2</v>
      </c>
      <c r="V10" s="8">
        <f t="shared" si="0"/>
        <v>0.3307743548613935</v>
      </c>
    </row>
    <row r="11" spans="1:26" x14ac:dyDescent="0.35">
      <c r="A11" s="9">
        <v>0.7</v>
      </c>
      <c r="B11" s="9">
        <v>0.06</v>
      </c>
      <c r="C11" s="9">
        <v>3.665</v>
      </c>
      <c r="D11" s="9">
        <v>0.78500000000000003</v>
      </c>
      <c r="E11" s="9">
        <v>0</v>
      </c>
      <c r="F11" s="9">
        <v>0</v>
      </c>
      <c r="G11" s="9">
        <v>0</v>
      </c>
      <c r="H11" s="9">
        <f>'Proximal Validation (single)'!H10</f>
        <v>-7.8150304034352303E-4</v>
      </c>
      <c r="I11" s="9">
        <f>'Proximal Validation (single)'!I10</f>
        <v>4.4897478073835401E-2</v>
      </c>
      <c r="J11" s="9">
        <f>'Proximal Validation (single)'!J10</f>
        <v>-8.2051888108253507E-2</v>
      </c>
      <c r="K11" s="9">
        <f>'Proximal Validation (single)'!K10</f>
        <v>0.48326423764228799</v>
      </c>
      <c r="L11" s="9">
        <f>'Proximal Validation (single)'!L10</f>
        <v>-0.55701375007629395</v>
      </c>
      <c r="M11" s="9">
        <f>'Proximal Validation (single)'!M10</f>
        <v>-0.30146327614784202</v>
      </c>
      <c r="N11" s="9">
        <v>0.84043384709109736</v>
      </c>
      <c r="O11" s="9">
        <v>3.8800817962555072E-2</v>
      </c>
      <c r="P11" s="9">
        <v>3.6413641061471314</v>
      </c>
      <c r="Q11" s="9">
        <v>0.80869835936362522</v>
      </c>
      <c r="R11" s="10">
        <v>3.4186465898483734E-4</v>
      </c>
      <c r="S11" s="8">
        <f t="shared" si="2"/>
        <v>0.14043384709109741</v>
      </c>
      <c r="T11" s="8">
        <f t="shared" si="0"/>
        <v>2.1199182037444926E-2</v>
      </c>
      <c r="U11" s="8">
        <f t="shared" si="0"/>
        <v>2.3635893852868683E-2</v>
      </c>
      <c r="V11" s="8">
        <f t="shared" si="0"/>
        <v>2.3698359363625188E-2</v>
      </c>
    </row>
    <row r="12" spans="1:26" x14ac:dyDescent="0.35">
      <c r="A12" s="9">
        <v>0.6</v>
      </c>
      <c r="B12" s="9">
        <v>0.1</v>
      </c>
      <c r="C12" s="9">
        <v>3.665</v>
      </c>
      <c r="D12" s="9">
        <v>0.78500000000000003</v>
      </c>
      <c r="E12" s="9">
        <v>0</v>
      </c>
      <c r="F12" s="9">
        <v>0</v>
      </c>
      <c r="G12" s="9">
        <v>0</v>
      </c>
      <c r="H12" s="9">
        <f>'Proximal Validation (single)'!H11</f>
        <v>-4.8895599320530902E-4</v>
      </c>
      <c r="I12" s="9">
        <f>'Proximal Validation (single)'!I11</f>
        <v>4.6247739344835302E-2</v>
      </c>
      <c r="J12" s="9">
        <f>'Proximal Validation (single)'!J11</f>
        <v>-8.3231396973133101E-2</v>
      </c>
      <c r="K12" s="9">
        <f>'Proximal Validation (single)'!K11</f>
        <v>0.33926415443420399</v>
      </c>
      <c r="L12" s="9">
        <f>'Proximal Validation (single)'!L11</f>
        <v>-0.45690825581550598</v>
      </c>
      <c r="M12" s="9">
        <f>'Proximal Validation (single)'!M11</f>
        <v>-0.25065129995346103</v>
      </c>
      <c r="N12" s="9">
        <v>0.52261957675180393</v>
      </c>
      <c r="O12" s="9">
        <v>0.12620597105603401</v>
      </c>
      <c r="P12" s="9">
        <v>3.6375554725535029</v>
      </c>
      <c r="Q12" s="9">
        <v>1.2516889560617552</v>
      </c>
      <c r="R12" s="10">
        <v>2.2636724909224967E-4</v>
      </c>
      <c r="S12" s="8">
        <f t="shared" si="2"/>
        <v>7.7380423248196051E-2</v>
      </c>
      <c r="T12" s="8">
        <f t="shared" si="0"/>
        <v>2.6205971056034005E-2</v>
      </c>
      <c r="U12" s="8">
        <f t="shared" si="0"/>
        <v>2.7444527446497169E-2</v>
      </c>
      <c r="V12" s="8">
        <f t="shared" si="0"/>
        <v>0.4666889560617552</v>
      </c>
    </row>
    <row r="13" spans="1:26" x14ac:dyDescent="0.35">
      <c r="A13" s="9">
        <v>0.8</v>
      </c>
      <c r="B13" s="9">
        <v>0.18</v>
      </c>
      <c r="C13" s="9">
        <v>3.665</v>
      </c>
      <c r="D13" s="9">
        <v>0.78500000000000003</v>
      </c>
      <c r="E13" s="9">
        <v>1.4</v>
      </c>
      <c r="F13" s="9">
        <v>0</v>
      </c>
      <c r="G13" s="9">
        <v>0</v>
      </c>
      <c r="H13" s="9">
        <f>'Proximal Validation (single)'!H12</f>
        <v>1.7005717381834999E-3</v>
      </c>
      <c r="I13" s="9">
        <f>'Proximal Validation (single)'!I12</f>
        <v>8.4788650274276706E-2</v>
      </c>
      <c r="J13" s="9">
        <f>'Proximal Validation (single)'!J12</f>
        <v>-0.143600359559059</v>
      </c>
      <c r="K13" s="9">
        <f>'Proximal Validation (single)'!K12</f>
        <v>0.28701612353324901</v>
      </c>
      <c r="L13" s="9">
        <f>'Proximal Validation (single)'!L12</f>
        <v>-0.64443814754486095</v>
      </c>
      <c r="M13" s="9">
        <f>'Proximal Validation (single)'!M12</f>
        <v>-0.37070235610008201</v>
      </c>
      <c r="N13" s="9">
        <v>0.99998566886896556</v>
      </c>
      <c r="O13" s="9">
        <v>0.18414966584091591</v>
      </c>
      <c r="P13" s="9">
        <v>3.6662665059926209</v>
      </c>
      <c r="Q13" s="9">
        <v>0.3641946326803292</v>
      </c>
      <c r="R13" s="10">
        <v>1.955448528757224E-3</v>
      </c>
      <c r="S13" s="8">
        <f t="shared" si="2"/>
        <v>0.19998566886896552</v>
      </c>
      <c r="T13" s="8">
        <f t="shared" si="0"/>
        <v>4.1496658409159171E-3</v>
      </c>
      <c r="U13" s="8">
        <f t="shared" si="0"/>
        <v>1.2665059926209032E-3</v>
      </c>
      <c r="V13" s="8">
        <f t="shared" si="0"/>
        <v>0.42080536731967083</v>
      </c>
    </row>
    <row r="14" spans="1:26" x14ac:dyDescent="0.35">
      <c r="A14" s="9">
        <v>0.4</v>
      </c>
      <c r="B14" s="9">
        <v>0.2</v>
      </c>
      <c r="C14" s="9">
        <v>3.665</v>
      </c>
      <c r="D14" s="9">
        <v>0.78500000000000003</v>
      </c>
      <c r="E14" s="9">
        <v>1.4</v>
      </c>
      <c r="F14" s="9">
        <v>0</v>
      </c>
      <c r="G14" s="9">
        <v>0</v>
      </c>
      <c r="H14" s="9">
        <f>'Proximal Validation (single)'!H13</f>
        <v>1.0739560239017001E-3</v>
      </c>
      <c r="I14" s="9">
        <f>'Proximal Validation (single)'!I13</f>
        <v>4.1172292083501802E-2</v>
      </c>
      <c r="J14" s="9">
        <f>'Proximal Validation (single)'!J13</f>
        <v>-6.7707680165767697E-2</v>
      </c>
      <c r="K14" s="9">
        <f>'Proximal Validation (single)'!K13</f>
        <v>0.187965422868729</v>
      </c>
      <c r="L14" s="9">
        <f>'Proximal Validation (single)'!L13</f>
        <v>-0.244067072868347</v>
      </c>
      <c r="M14" s="9">
        <f>'Proximal Validation (single)'!M13</f>
        <v>-0.14198835194110901</v>
      </c>
      <c r="N14" s="9">
        <v>0.35417033432145278</v>
      </c>
      <c r="O14" s="9">
        <v>0.1999679770261934</v>
      </c>
      <c r="P14" s="9">
        <v>3.6677454653003196</v>
      </c>
      <c r="Q14" s="9">
        <v>0.71221970269962265</v>
      </c>
      <c r="R14" s="10">
        <v>1.8140907730928544E-4</v>
      </c>
      <c r="S14" s="8">
        <f t="shared" si="2"/>
        <v>4.5829665678547238E-2</v>
      </c>
      <c r="T14" s="8">
        <f t="shared" si="0"/>
        <v>3.2022973806611343E-5</v>
      </c>
      <c r="U14" s="8">
        <f t="shared" si="0"/>
        <v>2.745465300319605E-3</v>
      </c>
      <c r="V14" s="8">
        <f t="shared" si="0"/>
        <v>7.2780297300377383E-2</v>
      </c>
    </row>
    <row r="15" spans="1:26" x14ac:dyDescent="0.35">
      <c r="A15" s="9">
        <v>0.4</v>
      </c>
      <c r="B15" s="9">
        <v>0.1</v>
      </c>
      <c r="C15" s="9">
        <v>3.665</v>
      </c>
      <c r="D15" s="9">
        <v>1.571</v>
      </c>
      <c r="E15" s="9">
        <v>1.4</v>
      </c>
      <c r="F15" s="9">
        <v>0</v>
      </c>
      <c r="G15" s="9">
        <v>0</v>
      </c>
      <c r="H15" s="9">
        <f>'Proximal Validation (single)'!H14</f>
        <v>-4.8927497118711504E-4</v>
      </c>
      <c r="I15" s="9">
        <f>'Proximal Validation (single)'!I14</f>
        <v>3.26927192509174E-2</v>
      </c>
      <c r="J15" s="9">
        <f>'Proximal Validation (single)'!J14</f>
        <v>-5.8575917035341298E-2</v>
      </c>
      <c r="K15" s="9">
        <f>'Proximal Validation (single)'!K14</f>
        <v>-1.28835095092654E-2</v>
      </c>
      <c r="L15" s="9">
        <f>'Proximal Validation (single)'!L14</f>
        <v>-0.29204529523849498</v>
      </c>
      <c r="M15" s="9">
        <f>'Proximal Validation (single)'!M14</f>
        <v>-0.16083618998527499</v>
      </c>
      <c r="N15" s="9">
        <v>0.99999999920414262</v>
      </c>
      <c r="O15" s="9">
        <v>9.857462661439885E-2</v>
      </c>
      <c r="P15" s="9">
        <v>3.6171483865566554</v>
      </c>
      <c r="Q15" s="9">
        <v>2.8677763333153288</v>
      </c>
      <c r="R15" s="10">
        <v>0.13116949510507281</v>
      </c>
      <c r="S15" s="8">
        <f t="shared" si="2"/>
        <v>0.5999999992041426</v>
      </c>
      <c r="T15" s="8">
        <f t="shared" si="0"/>
        <v>1.4253733856011558E-3</v>
      </c>
      <c r="U15" s="8">
        <f t="shared" si="0"/>
        <v>4.7851613443344654E-2</v>
      </c>
      <c r="V15" s="8">
        <f t="shared" si="0"/>
        <v>1.2967763333153288</v>
      </c>
    </row>
    <row r="16" spans="1:26" x14ac:dyDescent="0.35">
      <c r="A16" s="9">
        <v>0.7</v>
      </c>
      <c r="B16" s="9">
        <v>0.1</v>
      </c>
      <c r="C16" s="9">
        <v>3.665</v>
      </c>
      <c r="D16" s="9">
        <v>1.571</v>
      </c>
      <c r="E16" s="9">
        <v>1.4</v>
      </c>
      <c r="F16" s="9">
        <v>0</v>
      </c>
      <c r="G16" s="9">
        <v>0</v>
      </c>
      <c r="H16" s="9">
        <f>'Proximal Validation (single)'!H15</f>
        <v>-1.61128584295511E-4</v>
      </c>
      <c r="I16" s="9">
        <f>'Proximal Validation (single)'!I15</f>
        <v>6.6224433481693296E-2</v>
      </c>
      <c r="J16" s="9">
        <f>'Proximal Validation (single)'!J15</f>
        <v>-0.118051804602146</v>
      </c>
      <c r="K16" s="9">
        <f>'Proximal Validation (single)'!K15</f>
        <v>-0.18827667832374601</v>
      </c>
      <c r="L16" s="9">
        <f>'Proximal Validation (single)'!L15</f>
        <v>-0.57758575677871704</v>
      </c>
      <c r="M16" s="9">
        <f>'Proximal Validation (single)'!M15</f>
        <v>-0.318100035190582</v>
      </c>
      <c r="N16" s="9">
        <v>0.65988202691990783</v>
      </c>
      <c r="O16" s="9">
        <v>0.11058134171924715</v>
      </c>
      <c r="P16" s="9">
        <v>3.6530604715462531</v>
      </c>
      <c r="Q16" s="9">
        <v>1.2718834968022197</v>
      </c>
      <c r="R16" s="10">
        <v>6.7619892416704739E-4</v>
      </c>
      <c r="S16" s="8">
        <f t="shared" si="2"/>
        <v>4.0117973080092129E-2</v>
      </c>
      <c r="T16" s="8">
        <f t="shared" si="0"/>
        <v>1.0581341719247142E-2</v>
      </c>
      <c r="U16" s="8">
        <f t="shared" si="0"/>
        <v>1.1939528453746906E-2</v>
      </c>
      <c r="V16" s="8">
        <f t="shared" si="0"/>
        <v>0.29911650319778027</v>
      </c>
    </row>
    <row r="17" spans="1:22" x14ac:dyDescent="0.35">
      <c r="A17" s="9">
        <v>0.4</v>
      </c>
      <c r="B17" s="9">
        <v>0.16</v>
      </c>
      <c r="C17" s="9">
        <v>3.665</v>
      </c>
      <c r="D17" s="9">
        <v>1.571</v>
      </c>
      <c r="E17" s="9">
        <v>0</v>
      </c>
      <c r="F17" s="9">
        <v>0</v>
      </c>
      <c r="G17" s="9">
        <v>0</v>
      </c>
      <c r="H17" s="9">
        <f>'Proximal Validation (single)'!H16</f>
        <v>3.27638350427151E-4</v>
      </c>
      <c r="I17" s="9">
        <f>'Proximal Validation (single)'!I16</f>
        <v>4.1303895413875601E-2</v>
      </c>
      <c r="J17" s="9">
        <f>'Proximal Validation (single)'!J16</f>
        <v>-7.1706265211105305E-2</v>
      </c>
      <c r="K17" s="9">
        <f>'Proximal Validation (single)'!K16</f>
        <v>-0.16764184832572901</v>
      </c>
      <c r="L17" s="9">
        <f>'Proximal Validation (single)'!L16</f>
        <v>-0.24127176403999301</v>
      </c>
      <c r="M17" s="9">
        <f>'Proximal Validation (single)'!M16</f>
        <v>-0.13795974850654599</v>
      </c>
      <c r="N17" s="9">
        <v>0.862616384845731</v>
      </c>
      <c r="O17" s="9">
        <v>0.12475398420464898</v>
      </c>
      <c r="P17" s="9">
        <v>3.6583203239285549</v>
      </c>
      <c r="Q17" s="9">
        <v>2.4143054115578599</v>
      </c>
      <c r="R17" s="10">
        <v>6.6782910168432049E-6</v>
      </c>
      <c r="S17" s="8">
        <f t="shared" si="2"/>
        <v>0.46261638484573098</v>
      </c>
      <c r="T17" s="8">
        <f t="shared" si="0"/>
        <v>3.5246015795351027E-2</v>
      </c>
      <c r="U17" s="8">
        <f t="shared" si="0"/>
        <v>6.6796760714451509E-3</v>
      </c>
      <c r="V17" s="8">
        <f t="shared" si="0"/>
        <v>0.84330541155785999</v>
      </c>
    </row>
    <row r="18" spans="1:22" x14ac:dyDescent="0.35">
      <c r="A18" s="9">
        <v>0.3</v>
      </c>
      <c r="B18" s="9">
        <v>0.18</v>
      </c>
      <c r="C18" s="9">
        <v>3.665</v>
      </c>
      <c r="D18" s="9">
        <v>1.571</v>
      </c>
      <c r="E18" s="9">
        <v>0</v>
      </c>
      <c r="F18" s="9">
        <v>0</v>
      </c>
      <c r="G18" s="9">
        <v>0</v>
      </c>
      <c r="H18" s="9">
        <f>'Proximal Validation (single)'!H17</f>
        <v>3.5051628947258001E-4</v>
      </c>
      <c r="I18" s="9">
        <f>'Proximal Validation (single)'!I17</f>
        <v>3.2155215740203899E-2</v>
      </c>
      <c r="J18" s="9">
        <f>'Proximal Validation (single)'!J17</f>
        <v>-5.4656162858009297E-2</v>
      </c>
      <c r="K18" s="9">
        <f>'Proximal Validation (single)'!K17</f>
        <v>-0.106987468898296</v>
      </c>
      <c r="L18" s="9">
        <f>'Proximal Validation (single)'!L17</f>
        <v>-0.16471621394157401</v>
      </c>
      <c r="M18" s="9">
        <f>'Proximal Validation (single)'!M17</f>
        <v>-9.7047880291938796E-2</v>
      </c>
      <c r="N18" s="9">
        <v>0.33500473376427975</v>
      </c>
      <c r="O18" s="9">
        <v>0.15213553674906857</v>
      </c>
      <c r="P18" s="9">
        <v>3.6648218752988786</v>
      </c>
      <c r="Q18" s="9">
        <v>2.2526478000760646</v>
      </c>
      <c r="R18" s="10">
        <v>4.2145151837822823E-5</v>
      </c>
      <c r="S18" s="8">
        <f t="shared" si="2"/>
        <v>3.5004733764279761E-2</v>
      </c>
      <c r="T18" s="8">
        <f t="shared" si="0"/>
        <v>2.7864463250931421E-2</v>
      </c>
      <c r="U18" s="8">
        <f t="shared" si="0"/>
        <v>1.7812470112144041E-4</v>
      </c>
      <c r="V18" s="8">
        <f t="shared" si="0"/>
        <v>0.68164780007606462</v>
      </c>
    </row>
    <row r="19" spans="1:22" x14ac:dyDescent="0.35">
      <c r="A19" s="9">
        <v>0.3</v>
      </c>
      <c r="B19" s="9">
        <v>0.08</v>
      </c>
      <c r="C19" s="9">
        <v>1.571</v>
      </c>
      <c r="D19" s="9">
        <v>0.78500000000000003</v>
      </c>
      <c r="E19" s="9">
        <v>1.4</v>
      </c>
      <c r="F19" s="9">
        <v>0</v>
      </c>
      <c r="G19" s="9">
        <v>0</v>
      </c>
      <c r="N19" s="9">
        <v>0.93646254426301123</v>
      </c>
      <c r="O19" s="9">
        <v>0.15016083324832949</v>
      </c>
      <c r="P19" s="9">
        <v>2.6697296046788779</v>
      </c>
      <c r="Q19" s="9">
        <v>0.10394965012398892</v>
      </c>
      <c r="R19" s="10">
        <v>8.6180558241951463E-5</v>
      </c>
      <c r="S19" s="8">
        <f t="shared" si="2"/>
        <v>0.63646254426301119</v>
      </c>
      <c r="T19" s="8">
        <f t="shared" si="0"/>
        <v>7.0160833248329488E-2</v>
      </c>
      <c r="U19" s="8">
        <f t="shared" si="0"/>
        <v>1.0987296046788779</v>
      </c>
      <c r="V19" s="8">
        <f t="shared" si="0"/>
        <v>0.6810503498760111</v>
      </c>
    </row>
    <row r="20" spans="1:22" x14ac:dyDescent="0.35">
      <c r="A20" s="9">
        <v>0.4</v>
      </c>
      <c r="B20" s="9">
        <v>0.14000000000000001</v>
      </c>
      <c r="C20" s="9">
        <v>1.571</v>
      </c>
      <c r="D20" s="9">
        <v>0.78500000000000003</v>
      </c>
      <c r="E20" s="9">
        <v>0</v>
      </c>
      <c r="F20" s="9">
        <v>0</v>
      </c>
      <c r="G20" s="9">
        <v>0</v>
      </c>
      <c r="N20" s="9">
        <v>0.71210446273661765</v>
      </c>
      <c r="O20" s="9">
        <v>9.4026462958495663E-2</v>
      </c>
      <c r="P20" s="9">
        <v>1.5618129714837583</v>
      </c>
      <c r="Q20" s="9">
        <v>2.5293622597422489</v>
      </c>
      <c r="R20" s="10">
        <v>5.7755954735341795E-5</v>
      </c>
      <c r="S20" s="8">
        <f t="shared" si="2"/>
        <v>0.31210446273661763</v>
      </c>
      <c r="T20" s="8">
        <f t="shared" si="2"/>
        <v>4.597353704150435E-2</v>
      </c>
      <c r="U20" s="8">
        <f t="shared" si="2"/>
        <v>9.1870285162416465E-3</v>
      </c>
      <c r="V20" s="8">
        <f t="shared" si="2"/>
        <v>1.7443622597422488</v>
      </c>
    </row>
    <row r="21" spans="1:22" x14ac:dyDescent="0.35">
      <c r="A21" s="9">
        <v>0.6</v>
      </c>
      <c r="B21" s="9">
        <v>0.16</v>
      </c>
      <c r="C21" s="9">
        <v>1.571</v>
      </c>
      <c r="D21" s="9">
        <v>0.78500000000000003</v>
      </c>
      <c r="E21" s="9">
        <v>1.4</v>
      </c>
      <c r="F21" s="9">
        <v>0</v>
      </c>
      <c r="G21" s="9">
        <v>0</v>
      </c>
      <c r="N21" s="9">
        <v>0.57663618149156204</v>
      </c>
      <c r="O21" s="9">
        <v>0.18791203578599061</v>
      </c>
      <c r="P21" s="9">
        <v>1.8282279935039771</v>
      </c>
      <c r="Q21" s="9">
        <v>0.59307932837639188</v>
      </c>
      <c r="R21" s="10">
        <v>2.7307980257144839E-4</v>
      </c>
      <c r="S21" s="8">
        <f t="shared" ref="S21:V84" si="3">ABS(N21-A21)</f>
        <v>2.3363818508437939E-2</v>
      </c>
      <c r="T21" s="8">
        <f t="shared" si="3"/>
        <v>2.7912035785990608E-2</v>
      </c>
      <c r="U21" s="8">
        <f t="shared" si="3"/>
        <v>0.25722799350397718</v>
      </c>
      <c r="V21" s="8">
        <f t="shared" si="3"/>
        <v>0.19192067162360815</v>
      </c>
    </row>
    <row r="22" spans="1:22" x14ac:dyDescent="0.35">
      <c r="A22" s="9">
        <v>0.4</v>
      </c>
      <c r="B22" s="9">
        <v>0.06</v>
      </c>
      <c r="C22" s="9">
        <v>1.571</v>
      </c>
      <c r="D22" s="9">
        <v>1.571</v>
      </c>
      <c r="E22" s="9">
        <v>1.4</v>
      </c>
      <c r="F22" s="9">
        <v>0</v>
      </c>
      <c r="G22" s="9">
        <v>0</v>
      </c>
      <c r="N22" s="9">
        <v>0.63748944955200726</v>
      </c>
      <c r="O22" s="9">
        <v>7.2302046226219815E-2</v>
      </c>
      <c r="P22" s="9">
        <v>1.7087765392508008</v>
      </c>
      <c r="Q22" s="9">
        <v>0.478348575872865</v>
      </c>
      <c r="R22" s="10">
        <v>7.2385045059442869E-4</v>
      </c>
      <c r="S22" s="8">
        <f t="shared" si="3"/>
        <v>0.23748944955200724</v>
      </c>
      <c r="T22" s="8">
        <f t="shared" si="3"/>
        <v>1.2302046226219818E-2</v>
      </c>
      <c r="U22" s="8">
        <f t="shared" si="3"/>
        <v>0.1377765392508008</v>
      </c>
      <c r="V22" s="8">
        <f t="shared" si="3"/>
        <v>1.092651424127135</v>
      </c>
    </row>
    <row r="23" spans="1:22" x14ac:dyDescent="0.35">
      <c r="A23" s="9">
        <v>0.8</v>
      </c>
      <c r="B23" s="9">
        <v>0.08</v>
      </c>
      <c r="C23" s="9">
        <v>1.571</v>
      </c>
      <c r="D23" s="9">
        <v>1.571</v>
      </c>
      <c r="E23" s="9">
        <v>0</v>
      </c>
      <c r="F23" s="9">
        <v>0</v>
      </c>
      <c r="G23" s="9">
        <v>0</v>
      </c>
      <c r="N23" s="9">
        <v>0.80989027251700818</v>
      </c>
      <c r="O23" s="9">
        <v>6.4217225623404608E-2</v>
      </c>
      <c r="P23" s="9">
        <v>1.5750076030929199</v>
      </c>
      <c r="Q23" s="9">
        <v>2.0308851107944337</v>
      </c>
      <c r="R23" s="10">
        <v>2.1782877927087643E-6</v>
      </c>
      <c r="S23" s="8">
        <f t="shared" si="3"/>
        <v>9.8902725170081363E-3</v>
      </c>
      <c r="T23" s="8">
        <f t="shared" si="3"/>
        <v>1.5782774376595393E-2</v>
      </c>
      <c r="U23" s="8">
        <f t="shared" si="3"/>
        <v>4.0076030929199202E-3</v>
      </c>
      <c r="V23" s="8">
        <f t="shared" si="3"/>
        <v>0.45988511079443373</v>
      </c>
    </row>
    <row r="24" spans="1:22" x14ac:dyDescent="0.35">
      <c r="A24" s="9">
        <v>0.7</v>
      </c>
      <c r="B24" s="9">
        <v>0.16</v>
      </c>
      <c r="C24" s="9">
        <v>1.571</v>
      </c>
      <c r="D24" s="9">
        <v>1.571</v>
      </c>
      <c r="E24" s="9">
        <v>1.4</v>
      </c>
      <c r="F24" s="9">
        <v>0</v>
      </c>
      <c r="G24" s="9">
        <v>0</v>
      </c>
      <c r="N24" s="9">
        <v>0.56195726408060509</v>
      </c>
      <c r="O24" s="9">
        <v>0.1999927885536848</v>
      </c>
      <c r="P24" s="9">
        <v>2.1879420779255541</v>
      </c>
      <c r="Q24" s="9">
        <v>0.28219161292708655</v>
      </c>
      <c r="R24" s="10">
        <v>8.5355309227425936E-3</v>
      </c>
      <c r="S24" s="8">
        <f t="shared" si="3"/>
        <v>0.13804273591939487</v>
      </c>
      <c r="T24" s="8">
        <f t="shared" si="3"/>
        <v>3.9992788553684794E-2</v>
      </c>
      <c r="U24" s="8">
        <f t="shared" si="3"/>
        <v>0.61694207792555411</v>
      </c>
      <c r="V24" s="8">
        <f t="shared" si="3"/>
        <v>1.2888083870729135</v>
      </c>
    </row>
    <row r="25" spans="1:22" x14ac:dyDescent="0.35">
      <c r="A25" s="9">
        <v>0.7</v>
      </c>
      <c r="B25" s="9">
        <v>0.2</v>
      </c>
      <c r="C25" s="9">
        <v>1.571</v>
      </c>
      <c r="D25" s="9">
        <v>1.571</v>
      </c>
      <c r="E25" s="9">
        <v>0</v>
      </c>
      <c r="F25" s="9">
        <v>0</v>
      </c>
      <c r="G25" s="9">
        <v>0</v>
      </c>
      <c r="N25" s="9">
        <v>0.70395821774943756</v>
      </c>
      <c r="O25" s="9">
        <v>0.19610413938460089</v>
      </c>
      <c r="P25" s="9">
        <v>1.4288021578327106</v>
      </c>
      <c r="Q25" s="9">
        <v>1.839937627827295</v>
      </c>
      <c r="R25" s="10">
        <v>7.2381196621997001E-5</v>
      </c>
      <c r="S25" s="8">
        <f t="shared" si="3"/>
        <v>3.9582177494376092E-3</v>
      </c>
      <c r="T25" s="8">
        <f t="shared" si="3"/>
        <v>3.8958606153991215E-3</v>
      </c>
      <c r="U25" s="8">
        <f t="shared" si="3"/>
        <v>0.14219784216728937</v>
      </c>
      <c r="V25" s="8">
        <f t="shared" si="3"/>
        <v>0.26893762782729502</v>
      </c>
    </row>
    <row r="26" spans="1:22" x14ac:dyDescent="0.35">
      <c r="A26" s="9">
        <v>0.7</v>
      </c>
      <c r="B26" s="9">
        <v>0.06</v>
      </c>
      <c r="C26" s="9">
        <v>3.665</v>
      </c>
      <c r="D26" s="9">
        <v>0.78500000000000003</v>
      </c>
      <c r="E26" s="9">
        <v>0</v>
      </c>
      <c r="F26" s="9">
        <v>0</v>
      </c>
      <c r="G26" s="9">
        <v>0</v>
      </c>
      <c r="N26" s="9">
        <v>0.63359187609001189</v>
      </c>
      <c r="O26" s="9">
        <v>8.7213755426960221E-2</v>
      </c>
      <c r="P26" s="9">
        <v>3.6377757151433663</v>
      </c>
      <c r="Q26" s="9">
        <v>1.367827244330273</v>
      </c>
      <c r="R26" s="10">
        <v>7.7782555741744934E-7</v>
      </c>
      <c r="S26" s="8">
        <f t="shared" si="3"/>
        <v>6.640812390998807E-2</v>
      </c>
      <c r="T26" s="8">
        <f t="shared" si="3"/>
        <v>2.7213755426960223E-2</v>
      </c>
      <c r="U26" s="8">
        <f t="shared" si="3"/>
        <v>2.7224284856633751E-2</v>
      </c>
      <c r="V26" s="8">
        <f t="shared" si="3"/>
        <v>0.582827244330273</v>
      </c>
    </row>
    <row r="27" spans="1:22" x14ac:dyDescent="0.35">
      <c r="A27" s="9">
        <v>0.6</v>
      </c>
      <c r="B27" s="9">
        <v>0.1</v>
      </c>
      <c r="C27" s="9">
        <v>3.665</v>
      </c>
      <c r="D27" s="9">
        <v>0.78500000000000003</v>
      </c>
      <c r="E27" s="9">
        <v>0</v>
      </c>
      <c r="F27" s="9">
        <v>0</v>
      </c>
      <c r="G27" s="9">
        <v>0</v>
      </c>
      <c r="N27" s="9">
        <v>0.83908449328868484</v>
      </c>
      <c r="O27" s="9">
        <v>9.4904878470262272E-2</v>
      </c>
      <c r="P27" s="9">
        <v>3.6417238352660166</v>
      </c>
      <c r="Q27" s="9">
        <v>0.48802967292216443</v>
      </c>
      <c r="R27" s="10">
        <v>2.6307186454765406E-5</v>
      </c>
      <c r="S27" s="8">
        <f t="shared" si="3"/>
        <v>0.23908449328868486</v>
      </c>
      <c r="T27" s="8">
        <f t="shared" si="3"/>
        <v>5.0951215297377339E-3</v>
      </c>
      <c r="U27" s="8">
        <f t="shared" si="3"/>
        <v>2.3276164733983418E-2</v>
      </c>
      <c r="V27" s="8">
        <f t="shared" si="3"/>
        <v>0.29697032707783561</v>
      </c>
    </row>
    <row r="28" spans="1:22" x14ac:dyDescent="0.35">
      <c r="A28" s="9">
        <v>0.8</v>
      </c>
      <c r="B28" s="9">
        <v>0.18</v>
      </c>
      <c r="C28" s="9">
        <v>3.665</v>
      </c>
      <c r="D28" s="9">
        <v>0.78500000000000003</v>
      </c>
      <c r="E28" s="9">
        <v>1.4</v>
      </c>
      <c r="F28" s="9">
        <v>0</v>
      </c>
      <c r="G28" s="9">
        <v>0</v>
      </c>
      <c r="N28" s="9">
        <v>0.74622157424249091</v>
      </c>
      <c r="O28" s="9">
        <v>0.16456443844230303</v>
      </c>
      <c r="P28" s="9">
        <v>3.6647419405183883</v>
      </c>
      <c r="Q28" s="9">
        <v>0.87234638885089</v>
      </c>
      <c r="R28" s="10">
        <v>1.7205509970283608E-5</v>
      </c>
      <c r="S28" s="8">
        <f t="shared" si="3"/>
        <v>5.377842575750913E-2</v>
      </c>
      <c r="T28" s="8">
        <f t="shared" si="3"/>
        <v>1.5435561557696958E-2</v>
      </c>
      <c r="U28" s="8">
        <f t="shared" si="3"/>
        <v>2.5805948161172765E-4</v>
      </c>
      <c r="V28" s="8">
        <f t="shared" si="3"/>
        <v>8.7346388850889967E-2</v>
      </c>
    </row>
    <row r="29" spans="1:22" x14ac:dyDescent="0.35">
      <c r="A29" s="9">
        <v>0.4</v>
      </c>
      <c r="B29" s="9">
        <v>0.2</v>
      </c>
      <c r="C29" s="9">
        <v>3.665</v>
      </c>
      <c r="D29" s="9">
        <v>0.78500000000000003</v>
      </c>
      <c r="E29" s="9">
        <v>1.4</v>
      </c>
      <c r="F29" s="9">
        <v>0</v>
      </c>
      <c r="G29" s="9">
        <v>0</v>
      </c>
      <c r="N29" s="9">
        <v>0.86982135174759334</v>
      </c>
      <c r="O29" s="9">
        <v>0.14408233236447548</v>
      </c>
      <c r="P29" s="9">
        <v>3.6662146005580225</v>
      </c>
      <c r="Q29" s="9">
        <v>0.26830954968825821</v>
      </c>
      <c r="R29" s="10">
        <v>7.8428257049887515E-6</v>
      </c>
      <c r="S29" s="8">
        <f t="shared" si="3"/>
        <v>0.46982135174759332</v>
      </c>
      <c r="T29" s="8">
        <f t="shared" si="3"/>
        <v>5.5917667635524526E-2</v>
      </c>
      <c r="U29" s="8">
        <f t="shared" si="3"/>
        <v>1.2146005580224717E-3</v>
      </c>
      <c r="V29" s="8">
        <f t="shared" si="3"/>
        <v>0.51669045031174177</v>
      </c>
    </row>
    <row r="30" spans="1:22" x14ac:dyDescent="0.35">
      <c r="A30" s="9">
        <v>0.4</v>
      </c>
      <c r="B30" s="9">
        <v>0.1</v>
      </c>
      <c r="C30" s="9">
        <v>3.665</v>
      </c>
      <c r="D30" s="9">
        <v>1.571</v>
      </c>
      <c r="E30" s="9">
        <v>1.4</v>
      </c>
      <c r="F30" s="9">
        <v>0</v>
      </c>
      <c r="G30" s="9">
        <v>0</v>
      </c>
      <c r="N30" s="9">
        <v>0.36433846552099952</v>
      </c>
      <c r="O30" s="9">
        <v>0.14970293156873266</v>
      </c>
      <c r="P30" s="9">
        <v>3.6414811085181928</v>
      </c>
      <c r="Q30" s="9">
        <v>0.98700659026583593</v>
      </c>
      <c r="R30" s="10">
        <v>8.2206835701773115E-5</v>
      </c>
      <c r="S30" s="8">
        <f t="shared" si="3"/>
        <v>3.5661534479000501E-2</v>
      </c>
      <c r="T30" s="8">
        <f t="shared" si="3"/>
        <v>4.970293156873265E-2</v>
      </c>
      <c r="U30" s="8">
        <f t="shared" si="3"/>
        <v>2.3518891481807191E-2</v>
      </c>
      <c r="V30" s="8">
        <f t="shared" si="3"/>
        <v>0.58399340973416403</v>
      </c>
    </row>
    <row r="31" spans="1:22" x14ac:dyDescent="0.35">
      <c r="A31" s="9">
        <v>0.7</v>
      </c>
      <c r="B31" s="9">
        <v>0.1</v>
      </c>
      <c r="C31" s="9">
        <v>3.665</v>
      </c>
      <c r="D31" s="9">
        <v>1.571</v>
      </c>
      <c r="E31" s="9">
        <v>1.4</v>
      </c>
      <c r="F31" s="9">
        <v>0</v>
      </c>
      <c r="G31" s="9">
        <v>0</v>
      </c>
      <c r="N31" s="9">
        <v>0.99999998202568718</v>
      </c>
      <c r="O31" s="9">
        <v>0.11289612078857773</v>
      </c>
      <c r="P31" s="9">
        <v>3.6491026576889336</v>
      </c>
      <c r="Q31" s="9">
        <v>2.1494751338556308</v>
      </c>
      <c r="R31" s="10">
        <v>2.2336306531112349E-2</v>
      </c>
      <c r="S31" s="8">
        <f t="shared" si="3"/>
        <v>0.29999998202568723</v>
      </c>
      <c r="T31" s="8">
        <f t="shared" si="3"/>
        <v>1.2896120788577728E-2</v>
      </c>
      <c r="U31" s="8">
        <f t="shared" si="3"/>
        <v>1.5897342311066431E-2</v>
      </c>
      <c r="V31" s="8">
        <f t="shared" si="3"/>
        <v>0.57847513385563087</v>
      </c>
    </row>
    <row r="32" spans="1:22" x14ac:dyDescent="0.35">
      <c r="A32" s="9">
        <v>0.4</v>
      </c>
      <c r="B32" s="9">
        <v>0.16</v>
      </c>
      <c r="C32" s="9">
        <v>3.665</v>
      </c>
      <c r="D32" s="9">
        <v>1.571</v>
      </c>
      <c r="E32" s="9">
        <v>0</v>
      </c>
      <c r="F32" s="9">
        <v>0</v>
      </c>
      <c r="G32" s="9">
        <v>0</v>
      </c>
      <c r="N32" s="9">
        <v>0.34253372780108726</v>
      </c>
      <c r="O32" s="9">
        <v>0.16480761232945451</v>
      </c>
      <c r="P32" s="9">
        <v>3.6378333369898086</v>
      </c>
      <c r="Q32" s="9">
        <v>0.65451162223116144</v>
      </c>
      <c r="R32" s="10">
        <v>8.4911589034324282E-4</v>
      </c>
      <c r="S32" s="8">
        <f t="shared" si="3"/>
        <v>5.746627219891276E-2</v>
      </c>
      <c r="T32" s="8">
        <f t="shared" si="3"/>
        <v>4.8076123294545081E-3</v>
      </c>
      <c r="U32" s="8">
        <f t="shared" si="3"/>
        <v>2.7166663010191439E-2</v>
      </c>
      <c r="V32" s="8">
        <f t="shared" si="3"/>
        <v>0.91648837776883851</v>
      </c>
    </row>
    <row r="33" spans="1:22" x14ac:dyDescent="0.35">
      <c r="A33" s="9">
        <v>0.3</v>
      </c>
      <c r="B33" s="9">
        <v>0.18</v>
      </c>
      <c r="C33" s="9">
        <v>3.665</v>
      </c>
      <c r="D33" s="9">
        <v>1.571</v>
      </c>
      <c r="E33" s="9">
        <v>0</v>
      </c>
      <c r="F33" s="9">
        <v>0</v>
      </c>
      <c r="G33" s="9">
        <v>0</v>
      </c>
      <c r="N33" s="9">
        <v>0.58255492598560088</v>
      </c>
      <c r="O33" s="9">
        <v>0.17211706872792595</v>
      </c>
      <c r="P33" s="9">
        <v>3.650053933145843</v>
      </c>
      <c r="Q33" s="9">
        <v>2.1743835063495736</v>
      </c>
      <c r="R33" s="10">
        <v>1.2507686107614041E-4</v>
      </c>
      <c r="S33" s="8">
        <f t="shared" si="3"/>
        <v>0.28255492598560089</v>
      </c>
      <c r="T33" s="8">
        <f t="shared" si="3"/>
        <v>7.8829312720740397E-3</v>
      </c>
      <c r="U33" s="8">
        <f t="shared" si="3"/>
        <v>1.4946066854157003E-2</v>
      </c>
      <c r="V33" s="8">
        <f t="shared" si="3"/>
        <v>0.60338350634957361</v>
      </c>
    </row>
    <row r="34" spans="1:22" x14ac:dyDescent="0.35">
      <c r="A34" s="9">
        <v>0.3</v>
      </c>
      <c r="B34" s="9">
        <v>0.08</v>
      </c>
      <c r="C34" s="9">
        <v>1.571</v>
      </c>
      <c r="D34" s="9">
        <v>0.78500000000000003</v>
      </c>
      <c r="E34" s="9">
        <v>1.4</v>
      </c>
      <c r="F34" s="9">
        <v>0</v>
      </c>
      <c r="G34" s="9">
        <v>0</v>
      </c>
      <c r="N34" s="9">
        <v>0.25277048933013424</v>
      </c>
      <c r="O34" s="9">
        <v>3.5949836828215655E-2</v>
      </c>
      <c r="P34" s="9">
        <v>1.628324569728353</v>
      </c>
      <c r="Q34" s="9">
        <v>0.90866083527203356</v>
      </c>
      <c r="R34" s="10">
        <v>8.2041700519393614E-5</v>
      </c>
      <c r="S34" s="8">
        <f t="shared" si="3"/>
        <v>4.7229510669865749E-2</v>
      </c>
      <c r="T34" s="8">
        <f t="shared" si="3"/>
        <v>4.4050163171784347E-2</v>
      </c>
      <c r="U34" s="8">
        <f t="shared" si="3"/>
        <v>5.7324569728353092E-2</v>
      </c>
      <c r="V34" s="8">
        <f t="shared" si="3"/>
        <v>0.12366083527203353</v>
      </c>
    </row>
    <row r="35" spans="1:22" x14ac:dyDescent="0.35">
      <c r="A35" s="9">
        <v>0.4</v>
      </c>
      <c r="B35" s="9">
        <v>0.14000000000000001</v>
      </c>
      <c r="C35" s="9">
        <v>1.571</v>
      </c>
      <c r="D35" s="9">
        <v>0.78500000000000003</v>
      </c>
      <c r="E35" s="9">
        <v>0</v>
      </c>
      <c r="F35" s="9">
        <v>0</v>
      </c>
      <c r="G35" s="9">
        <v>0</v>
      </c>
      <c r="N35" s="9">
        <v>0.99999807578833588</v>
      </c>
      <c r="O35" s="9">
        <v>0.16439737693299428</v>
      </c>
      <c r="P35" s="9">
        <v>1.5642435290634207</v>
      </c>
      <c r="Q35" s="9">
        <v>8.2005991680984547E-2</v>
      </c>
      <c r="R35" s="10">
        <v>0.22811090627563688</v>
      </c>
      <c r="S35" s="8">
        <f t="shared" si="3"/>
        <v>0.59999807578833586</v>
      </c>
      <c r="T35" s="8">
        <f t="shared" si="3"/>
        <v>2.4397376932994264E-2</v>
      </c>
      <c r="U35" s="8">
        <f t="shared" si="3"/>
        <v>6.756470936579273E-3</v>
      </c>
      <c r="V35" s="8">
        <f t="shared" si="3"/>
        <v>0.70299400831901548</v>
      </c>
    </row>
    <row r="36" spans="1:22" x14ac:dyDescent="0.35">
      <c r="A36" s="9">
        <v>0.6</v>
      </c>
      <c r="B36" s="9">
        <v>0.16</v>
      </c>
      <c r="C36" s="9">
        <v>1.571</v>
      </c>
      <c r="D36" s="9">
        <v>0.78500000000000003</v>
      </c>
      <c r="E36" s="9">
        <v>1.4</v>
      </c>
      <c r="F36" s="9">
        <v>0</v>
      </c>
      <c r="G36" s="9">
        <v>0</v>
      </c>
      <c r="N36" s="9">
        <v>0.99999999935506778</v>
      </c>
      <c r="O36" s="9">
        <v>0.11783623362205702</v>
      </c>
      <c r="P36" s="9">
        <v>1.5305180803902916</v>
      </c>
      <c r="Q36" s="9">
        <v>2.0014269127892712</v>
      </c>
      <c r="R36" s="10">
        <v>2.1971366029247819E-2</v>
      </c>
      <c r="S36" s="8">
        <f t="shared" si="3"/>
        <v>0.3999999993550678</v>
      </c>
      <c r="T36" s="8">
        <f t="shared" si="3"/>
        <v>4.2163766377942988E-2</v>
      </c>
      <c r="U36" s="8">
        <f t="shared" si="3"/>
        <v>4.0481919609708372E-2</v>
      </c>
      <c r="V36" s="8">
        <f t="shared" si="3"/>
        <v>1.2164269127892711</v>
      </c>
    </row>
    <row r="37" spans="1:22" x14ac:dyDescent="0.35">
      <c r="A37" s="9">
        <v>0.4</v>
      </c>
      <c r="B37" s="9">
        <v>0.06</v>
      </c>
      <c r="C37" s="9">
        <v>1.571</v>
      </c>
      <c r="D37" s="9">
        <v>1.571</v>
      </c>
      <c r="E37" s="9">
        <v>1.4</v>
      </c>
      <c r="F37" s="9">
        <v>0</v>
      </c>
      <c r="G37" s="9">
        <v>0</v>
      </c>
      <c r="N37" s="9">
        <v>0.35425782494086877</v>
      </c>
      <c r="O37" s="9">
        <v>3.9021072342631927E-2</v>
      </c>
      <c r="P37" s="9">
        <v>1.6061942468444761</v>
      </c>
      <c r="Q37" s="9">
        <v>1.4443702523324695</v>
      </c>
      <c r="R37" s="10">
        <v>2.1595214690531536E-5</v>
      </c>
      <c r="S37" s="8">
        <f t="shared" si="3"/>
        <v>4.5742175059131251E-2</v>
      </c>
      <c r="T37" s="8">
        <f t="shared" si="3"/>
        <v>2.0978927657368071E-2</v>
      </c>
      <c r="U37" s="8">
        <f t="shared" si="3"/>
        <v>3.519424684447614E-2</v>
      </c>
      <c r="V37" s="8">
        <f t="shared" si="3"/>
        <v>0.12662974766753043</v>
      </c>
    </row>
    <row r="38" spans="1:22" x14ac:dyDescent="0.35">
      <c r="A38" s="9">
        <v>0.8</v>
      </c>
      <c r="B38" s="9">
        <v>0.08</v>
      </c>
      <c r="C38" s="9">
        <v>1.571</v>
      </c>
      <c r="D38" s="9">
        <v>1.571</v>
      </c>
      <c r="E38" s="9">
        <v>0</v>
      </c>
      <c r="F38" s="9">
        <v>0</v>
      </c>
      <c r="G38" s="9">
        <v>0</v>
      </c>
      <c r="N38" s="9">
        <v>0.73141726359157622</v>
      </c>
      <c r="O38" s="9">
        <v>9.2699439292669397E-2</v>
      </c>
      <c r="P38" s="9">
        <v>1.5741186701498844</v>
      </c>
      <c r="Q38" s="9">
        <v>0.90297296531378513</v>
      </c>
      <c r="R38" s="10">
        <v>7.1066751418983127E-6</v>
      </c>
      <c r="S38" s="8">
        <f t="shared" si="3"/>
        <v>6.8582736408423828E-2</v>
      </c>
      <c r="T38" s="8">
        <f t="shared" si="3"/>
        <v>1.2699439292669396E-2</v>
      </c>
      <c r="U38" s="8">
        <f t="shared" si="3"/>
        <v>3.1186701498844283E-3</v>
      </c>
      <c r="V38" s="8">
        <f t="shared" si="3"/>
        <v>0.66802703468621483</v>
      </c>
    </row>
    <row r="39" spans="1:22" x14ac:dyDescent="0.35">
      <c r="A39" s="9">
        <v>0.7</v>
      </c>
      <c r="B39" s="9">
        <v>0.16</v>
      </c>
      <c r="C39" s="9">
        <v>1.571</v>
      </c>
      <c r="D39" s="9">
        <v>1.571</v>
      </c>
      <c r="E39" s="9">
        <v>1.4</v>
      </c>
      <c r="F39" s="9">
        <v>0</v>
      </c>
      <c r="G39" s="9">
        <v>0</v>
      </c>
      <c r="N39" s="9">
        <v>0.94543323830837156</v>
      </c>
      <c r="O39" s="9">
        <v>0.15214922056544572</v>
      </c>
      <c r="P39" s="9">
        <v>1.5736166710684341</v>
      </c>
      <c r="Q39" s="9">
        <v>1.7310462882239153</v>
      </c>
      <c r="R39" s="10">
        <v>4.2999551140009915E-4</v>
      </c>
      <c r="S39" s="8">
        <f t="shared" si="3"/>
        <v>0.2454332383083716</v>
      </c>
      <c r="T39" s="8">
        <f t="shared" si="3"/>
        <v>7.8507794345542836E-3</v>
      </c>
      <c r="U39" s="8">
        <f t="shared" si="3"/>
        <v>2.6166710684341066E-3</v>
      </c>
      <c r="V39" s="8">
        <f t="shared" si="3"/>
        <v>0.16004628822391531</v>
      </c>
    </row>
    <row r="40" spans="1:22" x14ac:dyDescent="0.35">
      <c r="A40" s="9">
        <v>0.7</v>
      </c>
      <c r="B40" s="9">
        <v>0.2</v>
      </c>
      <c r="C40" s="9">
        <v>1.571</v>
      </c>
      <c r="D40" s="9">
        <v>1.571</v>
      </c>
      <c r="E40" s="9">
        <v>0</v>
      </c>
      <c r="F40" s="9">
        <v>0</v>
      </c>
      <c r="G40" s="9">
        <v>0</v>
      </c>
      <c r="N40" s="9">
        <v>0.24384270863251203</v>
      </c>
      <c r="O40" s="9">
        <v>0.19999999960176035</v>
      </c>
      <c r="P40" s="9">
        <v>1.4635744732987102</v>
      </c>
      <c r="Q40" s="9">
        <v>0.35636263051050893</v>
      </c>
      <c r="R40" s="10">
        <v>5.1658769216501137E-3</v>
      </c>
      <c r="S40" s="8">
        <f t="shared" si="3"/>
        <v>0.45615729136748795</v>
      </c>
      <c r="T40" s="8">
        <f t="shared" si="3"/>
        <v>3.9823966346830275E-10</v>
      </c>
      <c r="U40" s="8">
        <f t="shared" si="3"/>
        <v>0.1074255267012898</v>
      </c>
      <c r="V40" s="8">
        <f t="shared" si="3"/>
        <v>1.214637369489491</v>
      </c>
    </row>
    <row r="41" spans="1:22" x14ac:dyDescent="0.35">
      <c r="A41" s="9">
        <v>0.7</v>
      </c>
      <c r="B41" s="9">
        <v>0.06</v>
      </c>
      <c r="C41" s="9">
        <v>3.665</v>
      </c>
      <c r="D41" s="9">
        <v>0.78500000000000003</v>
      </c>
      <c r="E41" s="9">
        <v>0</v>
      </c>
      <c r="F41" s="9">
        <v>0</v>
      </c>
      <c r="G41" s="9">
        <v>0</v>
      </c>
      <c r="N41" s="9">
        <v>0.72765905307798562</v>
      </c>
      <c r="O41" s="9">
        <v>4.791179950103705E-2</v>
      </c>
      <c r="P41" s="9">
        <v>3.6381208530204594</v>
      </c>
      <c r="Q41" s="9">
        <v>0.98745465823990308</v>
      </c>
      <c r="R41" s="10">
        <v>5.0992727459524836E-6</v>
      </c>
      <c r="S41" s="8">
        <f t="shared" si="3"/>
        <v>2.7659053077985662E-2</v>
      </c>
      <c r="T41" s="8">
        <f t="shared" si="3"/>
        <v>1.2088200498962948E-2</v>
      </c>
      <c r="U41" s="8">
        <f t="shared" si="3"/>
        <v>2.6879146979540636E-2</v>
      </c>
      <c r="V41" s="8">
        <f t="shared" si="3"/>
        <v>0.20245465823990305</v>
      </c>
    </row>
    <row r="42" spans="1:22" x14ac:dyDescent="0.35">
      <c r="A42" s="9">
        <v>0.6</v>
      </c>
      <c r="B42" s="9">
        <v>0.1</v>
      </c>
      <c r="C42" s="9">
        <v>3.665</v>
      </c>
      <c r="D42" s="9">
        <v>0.78500000000000003</v>
      </c>
      <c r="E42" s="9">
        <v>0</v>
      </c>
      <c r="F42" s="9">
        <v>0</v>
      </c>
      <c r="G42" s="9">
        <v>0</v>
      </c>
      <c r="N42" s="9">
        <v>0.57343194520943375</v>
      </c>
      <c r="O42" s="9">
        <v>8.0942917111254647E-2</v>
      </c>
      <c r="P42" s="9">
        <v>3.6402140832108563</v>
      </c>
      <c r="Q42" s="9">
        <v>1.8275492033270411</v>
      </c>
      <c r="R42" s="10">
        <v>9.0522693929477829E-5</v>
      </c>
      <c r="S42" s="8">
        <f t="shared" si="3"/>
        <v>2.6568054790566231E-2</v>
      </c>
      <c r="T42" s="8">
        <f t="shared" si="3"/>
        <v>1.9057082888745358E-2</v>
      </c>
      <c r="U42" s="8">
        <f t="shared" si="3"/>
        <v>2.4785916789143769E-2</v>
      </c>
      <c r="V42" s="8">
        <f t="shared" si="3"/>
        <v>1.0425492033270412</v>
      </c>
    </row>
    <row r="43" spans="1:22" x14ac:dyDescent="0.35">
      <c r="A43" s="9">
        <v>0.8</v>
      </c>
      <c r="B43" s="9">
        <v>0.18</v>
      </c>
      <c r="C43" s="9">
        <v>3.665</v>
      </c>
      <c r="D43" s="9">
        <v>0.78500000000000003</v>
      </c>
      <c r="E43" s="9">
        <v>1.4</v>
      </c>
      <c r="F43" s="9">
        <v>0</v>
      </c>
      <c r="G43" s="9">
        <v>0</v>
      </c>
      <c r="N43" s="9">
        <v>0.92228976031429011</v>
      </c>
      <c r="O43" s="9">
        <v>0.14795635574263449</v>
      </c>
      <c r="P43" s="9">
        <v>3.6676635059500495</v>
      </c>
      <c r="Q43" s="9">
        <v>0.55369917197196572</v>
      </c>
      <c r="R43" s="10">
        <v>3.3605398177192412E-4</v>
      </c>
      <c r="S43" s="8">
        <f t="shared" si="3"/>
        <v>0.12228976031429006</v>
      </c>
      <c r="T43" s="8">
        <f t="shared" si="3"/>
        <v>3.20436442573655E-2</v>
      </c>
      <c r="U43" s="8">
        <f t="shared" si="3"/>
        <v>2.663505950049494E-3</v>
      </c>
      <c r="V43" s="8">
        <f t="shared" si="3"/>
        <v>0.23130082802803431</v>
      </c>
    </row>
    <row r="44" spans="1:22" x14ac:dyDescent="0.35">
      <c r="A44" s="9">
        <v>0.4</v>
      </c>
      <c r="B44" s="9">
        <v>0.2</v>
      </c>
      <c r="C44" s="9">
        <v>3.665</v>
      </c>
      <c r="D44" s="9">
        <v>0.78500000000000003</v>
      </c>
      <c r="E44" s="9">
        <v>1.4</v>
      </c>
      <c r="F44" s="9">
        <v>0</v>
      </c>
      <c r="G44" s="9">
        <v>0</v>
      </c>
      <c r="N44" s="9">
        <v>0.28543938906362643</v>
      </c>
      <c r="O44" s="9">
        <v>0.19926730569598916</v>
      </c>
      <c r="P44" s="9">
        <v>3.6520144933469605</v>
      </c>
      <c r="Q44" s="9">
        <v>1.2247611573550596</v>
      </c>
      <c r="R44" s="10">
        <v>4.560146287096865E-4</v>
      </c>
      <c r="S44" s="8">
        <f t="shared" si="3"/>
        <v>0.1145606109363736</v>
      </c>
      <c r="T44" s="8">
        <f t="shared" si="3"/>
        <v>7.3269430401085023E-4</v>
      </c>
      <c r="U44" s="8">
        <f t="shared" si="3"/>
        <v>1.2985506653039547E-2</v>
      </c>
      <c r="V44" s="8">
        <f t="shared" si="3"/>
        <v>0.43976115735505961</v>
      </c>
    </row>
    <row r="45" spans="1:22" x14ac:dyDescent="0.35">
      <c r="A45" s="9">
        <v>0.4</v>
      </c>
      <c r="B45" s="9">
        <v>0.1</v>
      </c>
      <c r="C45" s="9">
        <v>3.665</v>
      </c>
      <c r="D45" s="9">
        <v>1.571</v>
      </c>
      <c r="E45" s="9">
        <v>1.4</v>
      </c>
      <c r="F45" s="9">
        <v>0</v>
      </c>
      <c r="G45" s="9">
        <v>0</v>
      </c>
      <c r="N45" s="9">
        <v>0.78538691437147379</v>
      </c>
      <c r="O45" s="9">
        <v>0.13742963957478779</v>
      </c>
      <c r="P45" s="9">
        <v>3.6530619171554974</v>
      </c>
      <c r="Q45" s="9">
        <v>0.34852399093961905</v>
      </c>
      <c r="R45" s="10">
        <v>3.147645219406436E-5</v>
      </c>
      <c r="S45" s="8">
        <f t="shared" si="3"/>
        <v>0.38538691437147377</v>
      </c>
      <c r="T45" s="8">
        <f t="shared" si="3"/>
        <v>3.7429639574787787E-2</v>
      </c>
      <c r="U45" s="8">
        <f t="shared" si="3"/>
        <v>1.1938082844502595E-2</v>
      </c>
      <c r="V45" s="8">
        <f t="shared" si="3"/>
        <v>1.2224760090603808</v>
      </c>
    </row>
    <row r="46" spans="1:22" x14ac:dyDescent="0.35">
      <c r="A46" s="9">
        <v>0.7</v>
      </c>
      <c r="B46" s="9">
        <v>0.1</v>
      </c>
      <c r="C46" s="9">
        <v>3.665</v>
      </c>
      <c r="D46" s="9">
        <v>1.571</v>
      </c>
      <c r="E46" s="9">
        <v>1.4</v>
      </c>
      <c r="F46" s="9">
        <v>0</v>
      </c>
      <c r="G46" s="9">
        <v>0</v>
      </c>
      <c r="N46" s="9">
        <v>0.65983367614269473</v>
      </c>
      <c r="O46" s="9">
        <v>0.14540947089489906</v>
      </c>
      <c r="P46" s="9">
        <v>3.6500004701001725</v>
      </c>
      <c r="Q46" s="9">
        <v>1.0841347085645594</v>
      </c>
      <c r="R46" s="10">
        <v>1.5227583543719412E-4</v>
      </c>
      <c r="S46" s="8">
        <f t="shared" si="3"/>
        <v>4.0166323857305231E-2</v>
      </c>
      <c r="T46" s="8">
        <f t="shared" si="3"/>
        <v>4.5409470894899051E-2</v>
      </c>
      <c r="U46" s="8">
        <f t="shared" si="3"/>
        <v>1.4999529899827557E-2</v>
      </c>
      <c r="V46" s="8">
        <f t="shared" si="3"/>
        <v>0.48686529143544055</v>
      </c>
    </row>
    <row r="47" spans="1:22" x14ac:dyDescent="0.35">
      <c r="A47" s="9">
        <v>0.4</v>
      </c>
      <c r="B47" s="9">
        <v>0.16</v>
      </c>
      <c r="C47" s="9">
        <v>3.665</v>
      </c>
      <c r="D47" s="9">
        <v>1.571</v>
      </c>
      <c r="E47" s="9">
        <v>0</v>
      </c>
      <c r="F47" s="9">
        <v>0</v>
      </c>
      <c r="G47" s="9">
        <v>0</v>
      </c>
      <c r="N47" s="9">
        <v>0.87158652355391697</v>
      </c>
      <c r="O47" s="9">
        <v>0.11157980510014631</v>
      </c>
      <c r="P47" s="9">
        <v>3.6638387372610084</v>
      </c>
      <c r="Q47" s="9">
        <v>2.5394938422052427</v>
      </c>
      <c r="R47" s="10">
        <v>9.4807475799539595E-6</v>
      </c>
      <c r="S47" s="8">
        <f t="shared" si="3"/>
        <v>0.47158652355391695</v>
      </c>
      <c r="T47" s="8">
        <f t="shared" si="3"/>
        <v>4.8420194899853691E-2</v>
      </c>
      <c r="U47" s="8">
        <f t="shared" si="3"/>
        <v>1.1612627389916419E-3</v>
      </c>
      <c r="V47" s="8">
        <f t="shared" si="3"/>
        <v>0.96849384220524271</v>
      </c>
    </row>
    <row r="48" spans="1:22" x14ac:dyDescent="0.35">
      <c r="A48" s="9">
        <v>0.3</v>
      </c>
      <c r="B48" s="9">
        <v>0.18</v>
      </c>
      <c r="C48" s="9">
        <v>3.665</v>
      </c>
      <c r="D48" s="9">
        <v>1.571</v>
      </c>
      <c r="E48" s="9">
        <v>0</v>
      </c>
      <c r="F48" s="9">
        <v>0</v>
      </c>
      <c r="G48" s="9">
        <v>0</v>
      </c>
      <c r="N48" s="9">
        <v>0.21136181265674886</v>
      </c>
      <c r="O48" s="9">
        <v>0.1511965595505452</v>
      </c>
      <c r="P48" s="9">
        <v>3.6862629512277456</v>
      </c>
      <c r="Q48" s="9">
        <v>1.7844190803904165</v>
      </c>
      <c r="R48" s="10">
        <v>1.0170623221893904E-4</v>
      </c>
      <c r="S48" s="8">
        <f t="shared" si="3"/>
        <v>8.8638187343251129E-2</v>
      </c>
      <c r="T48" s="8">
        <f t="shared" si="3"/>
        <v>2.8803440449454792E-2</v>
      </c>
      <c r="U48" s="8">
        <f t="shared" si="3"/>
        <v>2.1262951227745575E-2</v>
      </c>
      <c r="V48" s="8">
        <f t="shared" si="3"/>
        <v>0.21341908039041657</v>
      </c>
    </row>
    <row r="49" spans="1:22" x14ac:dyDescent="0.35">
      <c r="A49" s="9">
        <v>0.3</v>
      </c>
      <c r="B49" s="9">
        <v>0.08</v>
      </c>
      <c r="C49" s="9">
        <v>1.571</v>
      </c>
      <c r="D49" s="9">
        <v>0.78500000000000003</v>
      </c>
      <c r="E49" s="9">
        <v>1.4</v>
      </c>
      <c r="F49" s="9">
        <v>0</v>
      </c>
      <c r="G49" s="9">
        <v>0</v>
      </c>
      <c r="N49" s="9">
        <v>0.99999968792196925</v>
      </c>
      <c r="O49" s="9">
        <v>0.11123269112702805</v>
      </c>
      <c r="P49" s="9">
        <v>1.2484867538327278</v>
      </c>
      <c r="Q49" s="9">
        <v>2.6475809130065016</v>
      </c>
      <c r="R49" s="10">
        <v>4.3208551601356886E-2</v>
      </c>
      <c r="S49" s="8">
        <f t="shared" si="3"/>
        <v>0.6999996879219692</v>
      </c>
      <c r="T49" s="8">
        <f t="shared" si="3"/>
        <v>3.1232691127028048E-2</v>
      </c>
      <c r="U49" s="8">
        <f t="shared" si="3"/>
        <v>0.32251324616727217</v>
      </c>
      <c r="V49" s="8">
        <f t="shared" si="3"/>
        <v>1.8625809130065014</v>
      </c>
    </row>
    <row r="50" spans="1:22" x14ac:dyDescent="0.35">
      <c r="A50" s="9">
        <v>0.4</v>
      </c>
      <c r="B50" s="9">
        <v>0.14000000000000001</v>
      </c>
      <c r="C50" s="9">
        <v>1.571</v>
      </c>
      <c r="D50" s="9">
        <v>0.78500000000000003</v>
      </c>
      <c r="E50" s="9">
        <v>0</v>
      </c>
      <c r="F50" s="9">
        <v>0</v>
      </c>
      <c r="G50" s="9">
        <v>0</v>
      </c>
      <c r="N50" s="9">
        <v>0.35143051293770278</v>
      </c>
      <c r="O50" s="9">
        <v>0.13822245700547522</v>
      </c>
      <c r="P50" s="9">
        <v>1.5624571515720937</v>
      </c>
      <c r="Q50" s="9">
        <v>1.7641087347925948</v>
      </c>
      <c r="R50" s="10">
        <v>3.5993241746922169E-5</v>
      </c>
      <c r="S50" s="8">
        <f t="shared" si="3"/>
        <v>4.8569487062297245E-2</v>
      </c>
      <c r="T50" s="8">
        <f t="shared" si="3"/>
        <v>1.7775429945247889E-3</v>
      </c>
      <c r="U50" s="8">
        <f t="shared" si="3"/>
        <v>8.5428484279062022E-3</v>
      </c>
      <c r="V50" s="8">
        <f t="shared" si="3"/>
        <v>0.97910873479259475</v>
      </c>
    </row>
    <row r="51" spans="1:22" x14ac:dyDescent="0.35">
      <c r="A51" s="9">
        <v>0.6</v>
      </c>
      <c r="B51" s="9">
        <v>0.16</v>
      </c>
      <c r="C51" s="9">
        <v>1.571</v>
      </c>
      <c r="D51" s="9">
        <v>0.78500000000000003</v>
      </c>
      <c r="E51" s="9">
        <v>1.4</v>
      </c>
      <c r="F51" s="9">
        <v>0</v>
      </c>
      <c r="G51" s="9">
        <v>0</v>
      </c>
      <c r="N51" s="9">
        <v>0.71869772930502829</v>
      </c>
      <c r="O51" s="9">
        <v>0.16328229616427642</v>
      </c>
      <c r="P51" s="9">
        <v>1.9076424168445656</v>
      </c>
      <c r="Q51" s="9">
        <v>0.39845129864668011</v>
      </c>
      <c r="R51" s="10">
        <v>1.5829238634123272E-4</v>
      </c>
      <c r="S51" s="8">
        <f t="shared" si="3"/>
        <v>0.11869772930502831</v>
      </c>
      <c r="T51" s="8">
        <f t="shared" si="3"/>
        <v>3.2822961642764159E-3</v>
      </c>
      <c r="U51" s="8">
        <f t="shared" si="3"/>
        <v>0.33664241684456564</v>
      </c>
      <c r="V51" s="8">
        <f t="shared" si="3"/>
        <v>0.38654870135331992</v>
      </c>
    </row>
    <row r="52" spans="1:22" x14ac:dyDescent="0.35">
      <c r="A52" s="9">
        <v>0.4</v>
      </c>
      <c r="B52" s="9">
        <v>0.06</v>
      </c>
      <c r="C52" s="9">
        <v>1.571</v>
      </c>
      <c r="D52" s="9">
        <v>1.571</v>
      </c>
      <c r="E52" s="9">
        <v>1.4</v>
      </c>
      <c r="F52" s="9">
        <v>0</v>
      </c>
      <c r="G52" s="9">
        <v>0</v>
      </c>
      <c r="N52" s="9">
        <v>0.64767972082135317</v>
      </c>
      <c r="O52" s="9">
        <v>3.776071234530419E-2</v>
      </c>
      <c r="P52" s="9">
        <v>1.5444539640908481</v>
      </c>
      <c r="Q52" s="9">
        <v>2.5211869045141615</v>
      </c>
      <c r="R52" s="10">
        <v>7.8184265457551173E-5</v>
      </c>
      <c r="S52" s="8">
        <f t="shared" si="3"/>
        <v>0.24767972082135314</v>
      </c>
      <c r="T52" s="8">
        <f t="shared" si="3"/>
        <v>2.2239287654695808E-2</v>
      </c>
      <c r="U52" s="8">
        <f t="shared" si="3"/>
        <v>2.6546035909151833E-2</v>
      </c>
      <c r="V52" s="8">
        <f t="shared" si="3"/>
        <v>0.95018690451416155</v>
      </c>
    </row>
    <row r="53" spans="1:22" x14ac:dyDescent="0.35">
      <c r="A53" s="9">
        <v>0.8</v>
      </c>
      <c r="B53" s="9">
        <v>0.08</v>
      </c>
      <c r="C53" s="9">
        <v>1.571</v>
      </c>
      <c r="D53" s="9">
        <v>1.571</v>
      </c>
      <c r="E53" s="9">
        <v>0</v>
      </c>
      <c r="F53" s="9">
        <v>0</v>
      </c>
      <c r="G53" s="9">
        <v>0</v>
      </c>
      <c r="N53" s="9">
        <v>0.67841973902901653</v>
      </c>
      <c r="O53" s="9">
        <v>0.10401738068885123</v>
      </c>
      <c r="P53" s="9">
        <v>1.577176264944492</v>
      </c>
      <c r="Q53" s="9">
        <v>1.067045756382019</v>
      </c>
      <c r="R53" s="10">
        <v>8.052095360885549E-5</v>
      </c>
      <c r="S53" s="8">
        <f t="shared" si="3"/>
        <v>0.12158026097098351</v>
      </c>
      <c r="T53" s="8">
        <f t="shared" si="3"/>
        <v>2.4017380688851231E-2</v>
      </c>
      <c r="U53" s="8">
        <f t="shared" si="3"/>
        <v>6.1762649444920825E-3</v>
      </c>
      <c r="V53" s="8">
        <f t="shared" si="3"/>
        <v>0.50395424361798091</v>
      </c>
    </row>
    <row r="54" spans="1:22" x14ac:dyDescent="0.35">
      <c r="A54" s="9">
        <v>0.7</v>
      </c>
      <c r="B54" s="9">
        <v>0.16</v>
      </c>
      <c r="C54" s="9">
        <v>1.571</v>
      </c>
      <c r="D54" s="9">
        <v>1.571</v>
      </c>
      <c r="E54" s="9">
        <v>1.4</v>
      </c>
      <c r="F54" s="9">
        <v>0</v>
      </c>
      <c r="G54" s="9">
        <v>0</v>
      </c>
      <c r="N54" s="9">
        <v>0.54390076959088096</v>
      </c>
      <c r="O54" s="9">
        <v>0.19996206184974691</v>
      </c>
      <c r="P54" s="9">
        <v>2.1511556758182664</v>
      </c>
      <c r="Q54" s="9">
        <v>0.29215219499742651</v>
      </c>
      <c r="R54" s="10">
        <v>7.549437406718801E-3</v>
      </c>
      <c r="S54" s="8">
        <f t="shared" si="3"/>
        <v>0.15609923040911899</v>
      </c>
      <c r="T54" s="8">
        <f t="shared" si="3"/>
        <v>3.9962061849746905E-2</v>
      </c>
      <c r="U54" s="8">
        <f t="shared" si="3"/>
        <v>0.58015567581826644</v>
      </c>
      <c r="V54" s="8">
        <f t="shared" si="3"/>
        <v>1.2788478050025733</v>
      </c>
    </row>
    <row r="55" spans="1:22" x14ac:dyDescent="0.35">
      <c r="A55" s="9">
        <v>0.7</v>
      </c>
      <c r="B55" s="9">
        <v>0.2</v>
      </c>
      <c r="C55" s="9">
        <v>1.571</v>
      </c>
      <c r="D55" s="9">
        <v>1.571</v>
      </c>
      <c r="E55" s="9">
        <v>0</v>
      </c>
      <c r="F55" s="9">
        <v>0</v>
      </c>
      <c r="G55" s="9">
        <v>0</v>
      </c>
      <c r="N55" s="9">
        <v>0.70782943926907638</v>
      </c>
      <c r="O55" s="9">
        <v>0.19559947123146926</v>
      </c>
      <c r="P55" s="9">
        <v>1.4858301617700804</v>
      </c>
      <c r="Q55" s="9">
        <v>1.8372263003424194</v>
      </c>
      <c r="R55" s="10">
        <v>1.0273162262293219E-4</v>
      </c>
      <c r="S55" s="8">
        <f t="shared" si="3"/>
        <v>7.8294392690764214E-3</v>
      </c>
      <c r="T55" s="8">
        <f t="shared" si="3"/>
        <v>4.4005287685307537E-3</v>
      </c>
      <c r="U55" s="8">
        <f t="shared" si="3"/>
        <v>8.5169838229919526E-2</v>
      </c>
      <c r="V55" s="8">
        <f t="shared" si="3"/>
        <v>0.26622630034241945</v>
      </c>
    </row>
    <row r="56" spans="1:22" x14ac:dyDescent="0.35">
      <c r="A56" s="9">
        <v>0.7</v>
      </c>
      <c r="B56" s="9">
        <v>0.06</v>
      </c>
      <c r="C56" s="9">
        <v>3.665</v>
      </c>
      <c r="D56" s="9">
        <v>0.78500000000000003</v>
      </c>
      <c r="E56" s="9">
        <v>0</v>
      </c>
      <c r="F56" s="9">
        <v>0</v>
      </c>
      <c r="G56" s="9">
        <v>0</v>
      </c>
      <c r="N56" s="9">
        <v>0.9999998782838021</v>
      </c>
      <c r="O56" s="9">
        <v>0.12546485603421911</v>
      </c>
      <c r="P56" s="9">
        <v>3.6365907422018191</v>
      </c>
      <c r="Q56" s="9">
        <v>0.2946773560231003</v>
      </c>
      <c r="R56" s="10">
        <v>4.7806110225591752E-2</v>
      </c>
      <c r="S56" s="8">
        <f t="shared" si="3"/>
        <v>0.29999987828380215</v>
      </c>
      <c r="T56" s="8">
        <f t="shared" si="3"/>
        <v>6.5464856034219115E-2</v>
      </c>
      <c r="U56" s="8">
        <f t="shared" si="3"/>
        <v>2.8409257798180931E-2</v>
      </c>
      <c r="V56" s="8">
        <f t="shared" si="3"/>
        <v>0.49032264397689973</v>
      </c>
    </row>
    <row r="57" spans="1:22" x14ac:dyDescent="0.35">
      <c r="A57" s="9">
        <v>0.6</v>
      </c>
      <c r="B57" s="9">
        <v>0.1</v>
      </c>
      <c r="C57" s="9">
        <v>3.665</v>
      </c>
      <c r="D57" s="9">
        <v>0.78500000000000003</v>
      </c>
      <c r="E57" s="9">
        <v>0</v>
      </c>
      <c r="F57" s="9">
        <v>0</v>
      </c>
      <c r="G57" s="9">
        <v>0</v>
      </c>
      <c r="N57" s="9">
        <v>0.52515142658582403</v>
      </c>
      <c r="O57" s="9">
        <v>9.4149213677697713E-2</v>
      </c>
      <c r="P57" s="9">
        <v>3.6527627456576344</v>
      </c>
      <c r="Q57" s="9">
        <v>1.2312151144259036</v>
      </c>
      <c r="R57" s="10">
        <v>7.6544781420104517E-4</v>
      </c>
      <c r="S57" s="8">
        <f t="shared" si="3"/>
        <v>7.4848573414175945E-2</v>
      </c>
      <c r="T57" s="8">
        <f t="shared" si="3"/>
        <v>5.8507863223022927E-3</v>
      </c>
      <c r="U57" s="8">
        <f t="shared" si="3"/>
        <v>1.2237254342365667E-2</v>
      </c>
      <c r="V57" s="8">
        <f t="shared" si="3"/>
        <v>0.44621511442590356</v>
      </c>
    </row>
    <row r="58" spans="1:22" x14ac:dyDescent="0.35">
      <c r="A58" s="9">
        <v>0.8</v>
      </c>
      <c r="B58" s="9">
        <v>0.18</v>
      </c>
      <c r="C58" s="9">
        <v>3.665</v>
      </c>
      <c r="D58" s="9">
        <v>0.78500000000000003</v>
      </c>
      <c r="E58" s="9">
        <v>1.4</v>
      </c>
      <c r="F58" s="9">
        <v>0</v>
      </c>
      <c r="G58" s="9">
        <v>0</v>
      </c>
      <c r="N58" s="9">
        <v>0.9441676027831658</v>
      </c>
      <c r="O58" s="9">
        <v>0.12869342524777838</v>
      </c>
      <c r="P58" s="9">
        <v>3.6638257893662427</v>
      </c>
      <c r="Q58" s="9">
        <v>1.6219072683784646</v>
      </c>
      <c r="R58" s="10">
        <v>3.7122511382642883E-6</v>
      </c>
      <c r="S58" s="8">
        <f t="shared" si="3"/>
        <v>0.14416760278316576</v>
      </c>
      <c r="T58" s="8">
        <f t="shared" si="3"/>
        <v>5.1306574752221612E-2</v>
      </c>
      <c r="U58" s="8">
        <f t="shared" si="3"/>
        <v>1.1742106337573333E-3</v>
      </c>
      <c r="V58" s="8">
        <f t="shared" si="3"/>
        <v>0.83690726837846452</v>
      </c>
    </row>
    <row r="59" spans="1:22" x14ac:dyDescent="0.35">
      <c r="A59" s="9">
        <v>0.4</v>
      </c>
      <c r="B59" s="9">
        <v>0.2</v>
      </c>
      <c r="C59" s="9">
        <v>3.665</v>
      </c>
      <c r="D59" s="9">
        <v>0.78500000000000003</v>
      </c>
      <c r="E59" s="9">
        <v>1.4</v>
      </c>
      <c r="F59" s="9">
        <v>0</v>
      </c>
      <c r="G59" s="9">
        <v>0</v>
      </c>
      <c r="N59" s="9">
        <v>0.41188519128932244</v>
      </c>
      <c r="O59" s="9">
        <v>0.18263193978161169</v>
      </c>
      <c r="P59" s="9">
        <v>3.6648934365937151</v>
      </c>
      <c r="Q59" s="9">
        <v>0.58753979287739866</v>
      </c>
      <c r="R59" s="10">
        <v>3.0324350142535581E-5</v>
      </c>
      <c r="S59" s="8">
        <f t="shared" si="3"/>
        <v>1.1885191289322417E-2</v>
      </c>
      <c r="T59" s="8">
        <f t="shared" si="3"/>
        <v>1.7368060218388326E-2</v>
      </c>
      <c r="U59" s="8">
        <f t="shared" si="3"/>
        <v>1.0656340628489858E-4</v>
      </c>
      <c r="V59" s="8">
        <f t="shared" si="3"/>
        <v>0.19746020712260137</v>
      </c>
    </row>
    <row r="60" spans="1:22" x14ac:dyDescent="0.35">
      <c r="A60" s="9">
        <v>0.4</v>
      </c>
      <c r="B60" s="9">
        <v>0.1</v>
      </c>
      <c r="C60" s="9">
        <v>3.665</v>
      </c>
      <c r="D60" s="9">
        <v>1.571</v>
      </c>
      <c r="E60" s="9">
        <v>1.4</v>
      </c>
      <c r="F60" s="9">
        <v>0</v>
      </c>
      <c r="G60" s="9">
        <v>0</v>
      </c>
      <c r="N60" s="9">
        <v>0.99999999968517728</v>
      </c>
      <c r="O60" s="9">
        <v>0.17313947826851503</v>
      </c>
      <c r="P60" s="9">
        <v>3.6547125559312184</v>
      </c>
      <c r="Q60" s="9">
        <v>0.20940401317167812</v>
      </c>
      <c r="R60" s="10">
        <v>1.442176336325672E-2</v>
      </c>
      <c r="S60" s="8">
        <f t="shared" si="3"/>
        <v>0.59999999968517725</v>
      </c>
      <c r="T60" s="8">
        <f t="shared" si="3"/>
        <v>7.3139478268515024E-2</v>
      </c>
      <c r="U60" s="8">
        <f t="shared" si="3"/>
        <v>1.0287444068781681E-2</v>
      </c>
      <c r="V60" s="8">
        <f t="shared" si="3"/>
        <v>1.3615959868283218</v>
      </c>
    </row>
    <row r="61" spans="1:22" x14ac:dyDescent="0.35">
      <c r="A61" s="9">
        <v>0.7</v>
      </c>
      <c r="B61" s="9">
        <v>0.1</v>
      </c>
      <c r="C61" s="9">
        <v>3.665</v>
      </c>
      <c r="D61" s="9">
        <v>1.571</v>
      </c>
      <c r="E61" s="9">
        <v>1.4</v>
      </c>
      <c r="F61" s="9">
        <v>0</v>
      </c>
      <c r="G61" s="9">
        <v>0</v>
      </c>
      <c r="N61" s="9">
        <v>0.70253922420771597</v>
      </c>
      <c r="O61" s="9">
        <v>0.14368950924746457</v>
      </c>
      <c r="P61" s="9">
        <v>3.6478653113952775</v>
      </c>
      <c r="Q61" s="9">
        <v>1.3807833801962581</v>
      </c>
      <c r="R61" s="10">
        <v>6.2860942903945899E-5</v>
      </c>
      <c r="S61" s="8">
        <f t="shared" si="3"/>
        <v>2.5392242077160176E-3</v>
      </c>
      <c r="T61" s="8">
        <f t="shared" si="3"/>
        <v>4.3689509247464564E-2</v>
      </c>
      <c r="U61" s="8">
        <f t="shared" si="3"/>
        <v>1.7134688604722559E-2</v>
      </c>
      <c r="V61" s="8">
        <f t="shared" si="3"/>
        <v>0.19021661980374183</v>
      </c>
    </row>
    <row r="62" spans="1:22" x14ac:dyDescent="0.35">
      <c r="A62" s="9">
        <v>0.4</v>
      </c>
      <c r="B62" s="9">
        <v>0.16</v>
      </c>
      <c r="C62" s="9">
        <v>3.665</v>
      </c>
      <c r="D62" s="9">
        <v>1.571</v>
      </c>
      <c r="E62" s="9">
        <v>0</v>
      </c>
      <c r="F62" s="9">
        <v>0</v>
      </c>
      <c r="G62" s="9">
        <v>0</v>
      </c>
      <c r="N62" s="9">
        <v>0.70000797562163419</v>
      </c>
      <c r="O62" s="9">
        <v>0.12414131877774875</v>
      </c>
      <c r="P62" s="9">
        <v>3.6709073252965911</v>
      </c>
      <c r="Q62" s="9">
        <v>2.401741021391659</v>
      </c>
      <c r="R62" s="10">
        <v>1.1144222086361667E-4</v>
      </c>
      <c r="S62" s="8">
        <f t="shared" si="3"/>
        <v>0.30000797562163417</v>
      </c>
      <c r="T62" s="8">
        <f t="shared" si="3"/>
        <v>3.5858681222251249E-2</v>
      </c>
      <c r="U62" s="8">
        <f t="shared" si="3"/>
        <v>5.9073252965911038E-3</v>
      </c>
      <c r="V62" s="8">
        <f t="shared" si="3"/>
        <v>0.83074102139165906</v>
      </c>
    </row>
    <row r="63" spans="1:22" x14ac:dyDescent="0.35">
      <c r="A63" s="9">
        <v>0.3</v>
      </c>
      <c r="B63" s="9">
        <v>0.18</v>
      </c>
      <c r="C63" s="9">
        <v>3.665</v>
      </c>
      <c r="D63" s="9">
        <v>1.571</v>
      </c>
      <c r="E63" s="9">
        <v>0</v>
      </c>
      <c r="F63" s="9">
        <v>0</v>
      </c>
      <c r="G63" s="9">
        <v>0</v>
      </c>
      <c r="N63" s="9">
        <v>0.30319292274073661</v>
      </c>
      <c r="O63" s="9">
        <v>0.19998992529246812</v>
      </c>
      <c r="P63" s="9">
        <v>3.658705088447987</v>
      </c>
      <c r="Q63" s="9">
        <v>0.43357864017868669</v>
      </c>
      <c r="R63" s="10">
        <v>4.0564919867335837E-4</v>
      </c>
      <c r="S63" s="8">
        <f t="shared" si="3"/>
        <v>3.1929227407366256E-3</v>
      </c>
      <c r="T63" s="8">
        <f t="shared" si="3"/>
        <v>1.9989925292468125E-2</v>
      </c>
      <c r="U63" s="8">
        <f t="shared" si="3"/>
        <v>6.294911552013005E-3</v>
      </c>
      <c r="V63" s="8">
        <f t="shared" si="3"/>
        <v>1.1374213598213132</v>
      </c>
    </row>
    <row r="64" spans="1:22" x14ac:dyDescent="0.35">
      <c r="A64" s="9">
        <v>0.3</v>
      </c>
      <c r="B64" s="9">
        <v>0.08</v>
      </c>
      <c r="C64" s="9">
        <v>1.571</v>
      </c>
      <c r="D64" s="9">
        <v>0.78500000000000003</v>
      </c>
      <c r="E64" s="9">
        <v>1.4</v>
      </c>
      <c r="F64" s="9">
        <v>0</v>
      </c>
      <c r="G64" s="9">
        <v>0</v>
      </c>
      <c r="N64" s="9">
        <v>0.65947533990337959</v>
      </c>
      <c r="O64" s="9">
        <v>5.0664120686930519E-2</v>
      </c>
      <c r="P64" s="9">
        <v>1.4750758528945962</v>
      </c>
      <c r="Q64" s="9">
        <v>2.7730723754450257</v>
      </c>
      <c r="R64" s="10">
        <v>4.0613663178393337E-5</v>
      </c>
      <c r="S64" s="8">
        <f t="shared" si="3"/>
        <v>0.3594753399033796</v>
      </c>
      <c r="T64" s="8">
        <f t="shared" si="3"/>
        <v>2.9335879313069482E-2</v>
      </c>
      <c r="U64" s="8">
        <f t="shared" si="3"/>
        <v>9.5924147105403756E-2</v>
      </c>
      <c r="V64" s="8">
        <f t="shared" si="3"/>
        <v>1.9880723754450256</v>
      </c>
    </row>
    <row r="65" spans="1:22" x14ac:dyDescent="0.35">
      <c r="A65" s="9">
        <v>0.4</v>
      </c>
      <c r="B65" s="9">
        <v>0.14000000000000001</v>
      </c>
      <c r="C65" s="9">
        <v>1.571</v>
      </c>
      <c r="D65" s="9">
        <v>0.78500000000000003</v>
      </c>
      <c r="E65" s="9">
        <v>0</v>
      </c>
      <c r="F65" s="9">
        <v>0</v>
      </c>
      <c r="G65" s="9">
        <v>0</v>
      </c>
      <c r="N65" s="9">
        <v>0.46407739877216808</v>
      </c>
      <c r="O65" s="9">
        <v>0.16916706983688257</v>
      </c>
      <c r="P65" s="9">
        <v>1.5535821410415942</v>
      </c>
      <c r="Q65" s="9">
        <v>0.42881361671183932</v>
      </c>
      <c r="R65" s="10">
        <v>4.4881988461405593E-4</v>
      </c>
      <c r="S65" s="8">
        <f t="shared" si="3"/>
        <v>6.4077398772168059E-2</v>
      </c>
      <c r="T65" s="8">
        <f t="shared" si="3"/>
        <v>2.9167069836882553E-2</v>
      </c>
      <c r="U65" s="8">
        <f t="shared" si="3"/>
        <v>1.7417858958405752E-2</v>
      </c>
      <c r="V65" s="8">
        <f t="shared" si="3"/>
        <v>0.35618638328816071</v>
      </c>
    </row>
    <row r="66" spans="1:22" x14ac:dyDescent="0.35">
      <c r="A66" s="9">
        <v>0.6</v>
      </c>
      <c r="B66" s="9">
        <v>0.16</v>
      </c>
      <c r="C66" s="9">
        <v>1.571</v>
      </c>
      <c r="D66" s="9">
        <v>0.78500000000000003</v>
      </c>
      <c r="E66" s="9">
        <v>1.4</v>
      </c>
      <c r="F66" s="9">
        <v>0</v>
      </c>
      <c r="G66" s="9">
        <v>0</v>
      </c>
      <c r="N66" s="9">
        <v>0.83918479295873727</v>
      </c>
      <c r="O66" s="9">
        <v>0.18709622078938756</v>
      </c>
      <c r="P66" s="9">
        <v>2.0956168067910612</v>
      </c>
      <c r="Q66" s="9">
        <v>0.23812106156037266</v>
      </c>
      <c r="R66" s="10">
        <v>1.6990319306364396E-3</v>
      </c>
      <c r="S66" s="8">
        <f t="shared" si="3"/>
        <v>0.23918479295873729</v>
      </c>
      <c r="T66" s="8">
        <f t="shared" si="3"/>
        <v>2.709622078938756E-2</v>
      </c>
      <c r="U66" s="8">
        <f t="shared" si="3"/>
        <v>0.52461680679106126</v>
      </c>
      <c r="V66" s="8">
        <f t="shared" si="3"/>
        <v>0.54687893843962732</v>
      </c>
    </row>
    <row r="67" spans="1:22" x14ac:dyDescent="0.35">
      <c r="A67" s="9">
        <v>0.4</v>
      </c>
      <c r="B67" s="9">
        <v>0.06</v>
      </c>
      <c r="C67" s="9">
        <v>1.571</v>
      </c>
      <c r="D67" s="9">
        <v>1.571</v>
      </c>
      <c r="E67" s="9">
        <v>1.4</v>
      </c>
      <c r="F67" s="9">
        <v>0</v>
      </c>
      <c r="G67" s="9">
        <v>0</v>
      </c>
      <c r="N67" s="9">
        <v>0.45305158745178276</v>
      </c>
      <c r="O67" s="9">
        <v>6.3583005158814321E-2</v>
      </c>
      <c r="P67" s="9">
        <v>1.5537323792471747</v>
      </c>
      <c r="Q67" s="9">
        <v>2.14370004893554</v>
      </c>
      <c r="R67" s="10">
        <v>4.8114559719594912E-5</v>
      </c>
      <c r="S67" s="8">
        <f t="shared" si="3"/>
        <v>5.3051587451782733E-2</v>
      </c>
      <c r="T67" s="8">
        <f t="shared" si="3"/>
        <v>3.583005158814323E-3</v>
      </c>
      <c r="U67" s="8">
        <f t="shared" si="3"/>
        <v>1.7267620752825286E-2</v>
      </c>
      <c r="V67" s="8">
        <f t="shared" si="3"/>
        <v>0.57270004893554005</v>
      </c>
    </row>
    <row r="68" spans="1:22" x14ac:dyDescent="0.35">
      <c r="A68" s="9">
        <v>0.8</v>
      </c>
      <c r="B68" s="9">
        <v>0.08</v>
      </c>
      <c r="C68" s="9">
        <v>1.571</v>
      </c>
      <c r="D68" s="9">
        <v>1.571</v>
      </c>
      <c r="E68" s="9">
        <v>0</v>
      </c>
      <c r="F68" s="9">
        <v>0</v>
      </c>
      <c r="G68" s="9">
        <v>0</v>
      </c>
      <c r="N68" s="9">
        <v>0.66884291108260019</v>
      </c>
      <c r="O68" s="9">
        <v>8.6438963671333149E-2</v>
      </c>
      <c r="P68" s="9">
        <v>1.5783084990107445</v>
      </c>
      <c r="Q68" s="9">
        <v>1.2714637516957277</v>
      </c>
      <c r="R68" s="10">
        <v>1.9753968494829483E-4</v>
      </c>
      <c r="S68" s="8">
        <f t="shared" si="3"/>
        <v>0.13115708891739986</v>
      </c>
      <c r="T68" s="8">
        <f t="shared" si="3"/>
        <v>6.4389636713331477E-3</v>
      </c>
      <c r="U68" s="8">
        <f t="shared" si="3"/>
        <v>7.3084990107445957E-3</v>
      </c>
      <c r="V68" s="8">
        <f t="shared" si="3"/>
        <v>0.29953624830427228</v>
      </c>
    </row>
    <row r="69" spans="1:22" x14ac:dyDescent="0.35">
      <c r="A69" s="9">
        <v>0.7</v>
      </c>
      <c r="B69" s="9">
        <v>0.16</v>
      </c>
      <c r="C69" s="9">
        <v>1.571</v>
      </c>
      <c r="D69" s="9">
        <v>1.571</v>
      </c>
      <c r="E69" s="9">
        <v>1.4</v>
      </c>
      <c r="F69" s="9">
        <v>0</v>
      </c>
      <c r="G69" s="9">
        <v>0</v>
      </c>
      <c r="N69" s="9">
        <v>0.99999999002886319</v>
      </c>
      <c r="O69" s="9">
        <v>0.15258988388741773</v>
      </c>
      <c r="P69" s="9">
        <v>1.4947451379906589</v>
      </c>
      <c r="Q69" s="9">
        <v>1.7659838749358185</v>
      </c>
      <c r="R69" s="10">
        <v>4.8631859764160838E-2</v>
      </c>
      <c r="S69" s="8">
        <f t="shared" si="3"/>
        <v>0.29999999002886324</v>
      </c>
      <c r="T69" s="8">
        <f t="shared" si="3"/>
        <v>7.4101161125822712E-3</v>
      </c>
      <c r="U69" s="8">
        <f t="shared" si="3"/>
        <v>7.6254862009341062E-2</v>
      </c>
      <c r="V69" s="8">
        <f t="shared" si="3"/>
        <v>0.19498387493581859</v>
      </c>
    </row>
    <row r="70" spans="1:22" x14ac:dyDescent="0.35">
      <c r="A70" s="9">
        <v>0.7</v>
      </c>
      <c r="B70" s="9">
        <v>0.2</v>
      </c>
      <c r="C70" s="9">
        <v>1.571</v>
      </c>
      <c r="D70" s="9">
        <v>1.571</v>
      </c>
      <c r="E70" s="9">
        <v>0</v>
      </c>
      <c r="F70" s="9">
        <v>0</v>
      </c>
      <c r="G70" s="9">
        <v>0</v>
      </c>
      <c r="N70" s="9">
        <v>0.77798501179875712</v>
      </c>
      <c r="O70" s="9">
        <v>0.19046812352318568</v>
      </c>
      <c r="P70" s="9">
        <v>1.5075378232240462</v>
      </c>
      <c r="Q70" s="9">
        <v>1.7609741604814253</v>
      </c>
      <c r="R70" s="10">
        <v>1.434460684897779E-4</v>
      </c>
      <c r="S70" s="8">
        <f t="shared" si="3"/>
        <v>7.7985011798757164E-2</v>
      </c>
      <c r="T70" s="8">
        <f t="shared" si="3"/>
        <v>9.5318764768143327E-3</v>
      </c>
      <c r="U70" s="8">
        <f t="shared" si="3"/>
        <v>6.3462176775953782E-2</v>
      </c>
      <c r="V70" s="8">
        <f t="shared" si="3"/>
        <v>0.18997416048142535</v>
      </c>
    </row>
    <row r="71" spans="1:22" x14ac:dyDescent="0.35">
      <c r="A71" s="9">
        <v>0.7</v>
      </c>
      <c r="B71" s="9">
        <v>0.06</v>
      </c>
      <c r="C71" s="9">
        <v>3.665</v>
      </c>
      <c r="D71" s="9">
        <v>0.78500000000000003</v>
      </c>
      <c r="E71" s="9">
        <v>0</v>
      </c>
      <c r="F71" s="9">
        <v>0</v>
      </c>
      <c r="G71" s="9">
        <v>0</v>
      </c>
      <c r="N71" s="9">
        <v>0.99999998494694586</v>
      </c>
      <c r="O71" s="9">
        <v>0.11338999049428443</v>
      </c>
      <c r="P71" s="9">
        <v>3.647607917833362</v>
      </c>
      <c r="Q71" s="9">
        <v>0.27542719893869755</v>
      </c>
      <c r="R71" s="10">
        <v>0.16771369177573245</v>
      </c>
      <c r="S71" s="8">
        <f t="shared" si="3"/>
        <v>0.29999998494694591</v>
      </c>
      <c r="T71" s="8">
        <f t="shared" si="3"/>
        <v>5.3389990494284431E-2</v>
      </c>
      <c r="U71" s="8">
        <f t="shared" si="3"/>
        <v>1.7392082166638012E-2</v>
      </c>
      <c r="V71" s="8">
        <f t="shared" si="3"/>
        <v>0.50957280106130254</v>
      </c>
    </row>
    <row r="72" spans="1:22" x14ac:dyDescent="0.35">
      <c r="A72" s="9">
        <v>0.6</v>
      </c>
      <c r="B72" s="9">
        <v>0.1</v>
      </c>
      <c r="C72" s="9">
        <v>3.665</v>
      </c>
      <c r="D72" s="9">
        <v>0.78500000000000003</v>
      </c>
      <c r="E72" s="9">
        <v>0</v>
      </c>
      <c r="F72" s="9">
        <v>0</v>
      </c>
      <c r="G72" s="9">
        <v>0</v>
      </c>
      <c r="N72" s="9">
        <v>0.52135852871885102</v>
      </c>
      <c r="O72" s="9">
        <v>6.9897869016020506E-2</v>
      </c>
      <c r="P72" s="9">
        <v>3.6424129036394866</v>
      </c>
      <c r="Q72" s="9">
        <v>1.4794900689004602</v>
      </c>
      <c r="R72" s="10">
        <v>9.4351402611522312E-6</v>
      </c>
      <c r="S72" s="8">
        <f t="shared" si="3"/>
        <v>7.8641471281148956E-2</v>
      </c>
      <c r="T72" s="8">
        <f t="shared" si="3"/>
        <v>3.01021309839795E-2</v>
      </c>
      <c r="U72" s="8">
        <f t="shared" si="3"/>
        <v>2.2587096360513481E-2</v>
      </c>
      <c r="V72" s="8">
        <f t="shared" si="3"/>
        <v>0.69449006890046017</v>
      </c>
    </row>
    <row r="73" spans="1:22" x14ac:dyDescent="0.35">
      <c r="A73" s="9">
        <v>0.8</v>
      </c>
      <c r="B73" s="9">
        <v>0.18</v>
      </c>
      <c r="C73" s="9">
        <v>3.665</v>
      </c>
      <c r="D73" s="9">
        <v>0.78500000000000003</v>
      </c>
      <c r="E73" s="9">
        <v>1.4</v>
      </c>
      <c r="F73" s="9">
        <v>0</v>
      </c>
      <c r="G73" s="9">
        <v>0</v>
      </c>
      <c r="N73" s="9">
        <v>0.99999993256384934</v>
      </c>
      <c r="O73" s="9">
        <v>0.18817102368637492</v>
      </c>
      <c r="P73" s="9">
        <v>3.6649095734898225</v>
      </c>
      <c r="Q73" s="9">
        <v>0.34905053081313914</v>
      </c>
      <c r="R73" s="10">
        <v>3.7617444742828045E-3</v>
      </c>
      <c r="S73" s="8">
        <f t="shared" si="3"/>
        <v>0.19999993256384929</v>
      </c>
      <c r="T73" s="8">
        <f t="shared" si="3"/>
        <v>8.1710236863749286E-3</v>
      </c>
      <c r="U73" s="8">
        <f t="shared" si="3"/>
        <v>9.0426510177543662E-5</v>
      </c>
      <c r="V73" s="8">
        <f t="shared" si="3"/>
        <v>0.43594946918686089</v>
      </c>
    </row>
    <row r="74" spans="1:22" x14ac:dyDescent="0.35">
      <c r="A74" s="9">
        <v>0.4</v>
      </c>
      <c r="B74" s="9">
        <v>0.2</v>
      </c>
      <c r="C74" s="9">
        <v>3.665</v>
      </c>
      <c r="D74" s="9">
        <v>0.78500000000000003</v>
      </c>
      <c r="E74" s="9">
        <v>1.4</v>
      </c>
      <c r="F74" s="9">
        <v>0</v>
      </c>
      <c r="G74" s="9">
        <v>0</v>
      </c>
      <c r="N74" s="9">
        <v>0.36649998798171468</v>
      </c>
      <c r="O74" s="9">
        <v>0.19998129693025493</v>
      </c>
      <c r="P74" s="9">
        <v>3.6842609351743922</v>
      </c>
      <c r="Q74" s="9">
        <v>0.67801808707922229</v>
      </c>
      <c r="R74" s="10">
        <v>1.036795325760494E-3</v>
      </c>
      <c r="S74" s="8">
        <f t="shared" si="3"/>
        <v>3.3500012018285341E-2</v>
      </c>
      <c r="T74" s="8">
        <f t="shared" si="3"/>
        <v>1.8703069745079626E-5</v>
      </c>
      <c r="U74" s="8">
        <f t="shared" si="3"/>
        <v>1.9260935174392202E-2</v>
      </c>
      <c r="V74" s="8">
        <f t="shared" si="3"/>
        <v>0.10698191292077774</v>
      </c>
    </row>
    <row r="75" spans="1:22" x14ac:dyDescent="0.35">
      <c r="A75" s="9">
        <v>0.4</v>
      </c>
      <c r="B75" s="9">
        <v>0.1</v>
      </c>
      <c r="C75" s="9">
        <v>3.665</v>
      </c>
      <c r="D75" s="9">
        <v>1.571</v>
      </c>
      <c r="E75" s="9">
        <v>1.4</v>
      </c>
      <c r="F75" s="9">
        <v>0</v>
      </c>
      <c r="G75" s="9">
        <v>0</v>
      </c>
      <c r="N75" s="9">
        <v>0.99999999840649789</v>
      </c>
      <c r="O75" s="9">
        <v>0.13538144641332012</v>
      </c>
      <c r="P75" s="9">
        <v>3.6102126158285772</v>
      </c>
      <c r="Q75" s="9">
        <v>2.5172688392099154</v>
      </c>
      <c r="R75" s="10">
        <v>4.7216823513037583E-2</v>
      </c>
      <c r="S75" s="8">
        <f t="shared" si="3"/>
        <v>0.59999999840649787</v>
      </c>
      <c r="T75" s="8">
        <f t="shared" si="3"/>
        <v>3.5381446413320111E-2</v>
      </c>
      <c r="U75" s="8">
        <f t="shared" si="3"/>
        <v>5.4787384171422815E-2</v>
      </c>
      <c r="V75" s="8">
        <f t="shared" si="3"/>
        <v>0.94626883920991545</v>
      </c>
    </row>
    <row r="76" spans="1:22" x14ac:dyDescent="0.35">
      <c r="A76" s="9">
        <v>0.7</v>
      </c>
      <c r="B76" s="9">
        <v>0.1</v>
      </c>
      <c r="C76" s="9">
        <v>3.665</v>
      </c>
      <c r="D76" s="9">
        <v>1.571</v>
      </c>
      <c r="E76" s="9">
        <v>1.4</v>
      </c>
      <c r="F76" s="9">
        <v>0</v>
      </c>
      <c r="G76" s="9">
        <v>0</v>
      </c>
      <c r="N76" s="9">
        <v>0.73936100225930135</v>
      </c>
      <c r="O76" s="9">
        <v>9.9491395301445448E-2</v>
      </c>
      <c r="P76" s="9">
        <v>3.6529999154949433</v>
      </c>
      <c r="Q76" s="9">
        <v>0.92320802826288051</v>
      </c>
      <c r="R76" s="10">
        <v>7.0777491243888258E-4</v>
      </c>
      <c r="S76" s="8">
        <f t="shared" si="3"/>
        <v>3.9361002259301392E-2</v>
      </c>
      <c r="T76" s="8">
        <f t="shared" si="3"/>
        <v>5.0860469855455726E-4</v>
      </c>
      <c r="U76" s="8">
        <f t="shared" si="3"/>
        <v>1.2000084505056741E-2</v>
      </c>
      <c r="V76" s="8">
        <f t="shared" si="3"/>
        <v>0.64779197173711944</v>
      </c>
    </row>
    <row r="77" spans="1:22" x14ac:dyDescent="0.35">
      <c r="A77" s="9">
        <v>0.4</v>
      </c>
      <c r="B77" s="9">
        <v>0.16</v>
      </c>
      <c r="C77" s="9">
        <v>3.665</v>
      </c>
      <c r="D77" s="9">
        <v>1.571</v>
      </c>
      <c r="E77" s="9">
        <v>0</v>
      </c>
      <c r="F77" s="9">
        <v>0</v>
      </c>
      <c r="G77" s="9">
        <v>0</v>
      </c>
      <c r="N77" s="9">
        <v>0.54463640950879266</v>
      </c>
      <c r="O77" s="9">
        <v>0.14376887476694997</v>
      </c>
      <c r="P77" s="9">
        <v>3.6581463630843287</v>
      </c>
      <c r="Q77" s="9">
        <v>2.1818414153986985</v>
      </c>
      <c r="R77" s="10">
        <v>8.3738173326371305E-6</v>
      </c>
      <c r="S77" s="8">
        <f t="shared" si="3"/>
        <v>0.14463640950879264</v>
      </c>
      <c r="T77" s="8">
        <f t="shared" si="3"/>
        <v>1.6231125233050037E-2</v>
      </c>
      <c r="U77" s="8">
        <f t="shared" si="3"/>
        <v>6.8536369156713128E-3</v>
      </c>
      <c r="V77" s="8">
        <f t="shared" si="3"/>
        <v>0.61084141539869852</v>
      </c>
    </row>
    <row r="78" spans="1:22" x14ac:dyDescent="0.35">
      <c r="A78" s="9">
        <v>0.3</v>
      </c>
      <c r="B78" s="9">
        <v>0.18</v>
      </c>
      <c r="C78" s="9">
        <v>3.665</v>
      </c>
      <c r="D78" s="9">
        <v>1.571</v>
      </c>
      <c r="E78" s="9">
        <v>0</v>
      </c>
      <c r="F78" s="9">
        <v>0</v>
      </c>
      <c r="G78" s="9">
        <v>0</v>
      </c>
      <c r="N78" s="9">
        <v>0.99999994053675612</v>
      </c>
      <c r="O78" s="9">
        <v>0.11087609120868949</v>
      </c>
      <c r="P78" s="9">
        <v>3.6636077789628483</v>
      </c>
      <c r="Q78" s="9">
        <v>2.7574702934213513</v>
      </c>
      <c r="R78" s="10">
        <v>4.5149621533822808E-3</v>
      </c>
      <c r="S78" s="8">
        <f t="shared" si="3"/>
        <v>0.69999994053675607</v>
      </c>
      <c r="T78" s="8">
        <f t="shared" si="3"/>
        <v>6.9123908791310501E-2</v>
      </c>
      <c r="U78" s="8">
        <f t="shared" si="3"/>
        <v>1.3922210371517529E-3</v>
      </c>
      <c r="V78" s="8">
        <f t="shared" si="3"/>
        <v>1.1864702934213514</v>
      </c>
    </row>
    <row r="79" spans="1:22" x14ac:dyDescent="0.35">
      <c r="A79" s="9"/>
      <c r="B79" s="9"/>
      <c r="C79" s="9"/>
      <c r="D79" s="9"/>
      <c r="E79" s="9"/>
      <c r="F79" s="9"/>
      <c r="G79" s="9"/>
      <c r="N79" s="9"/>
      <c r="O79" s="9"/>
      <c r="P79" s="9"/>
      <c r="Q79" s="9"/>
      <c r="R79" s="10"/>
      <c r="S79" s="8"/>
      <c r="T79" s="8"/>
      <c r="U79" s="8"/>
      <c r="V79" s="8"/>
    </row>
    <row r="80" spans="1:22" x14ac:dyDescent="0.35">
      <c r="A80" s="9"/>
      <c r="B80" s="9"/>
      <c r="C80" s="9"/>
      <c r="D80" s="9"/>
      <c r="E80" s="9"/>
      <c r="F80" s="9"/>
      <c r="G80" s="9"/>
      <c r="N80" s="9"/>
      <c r="O80" s="9"/>
      <c r="P80" s="9"/>
      <c r="Q80" s="9"/>
      <c r="R80" s="10"/>
      <c r="S80" s="8"/>
      <c r="T80" s="8"/>
      <c r="U80" s="8"/>
      <c r="V80" s="8"/>
    </row>
    <row r="81" spans="1:22" x14ac:dyDescent="0.35">
      <c r="A81" s="9"/>
      <c r="B81" s="9"/>
      <c r="C81" s="9"/>
      <c r="D81" s="9"/>
      <c r="E81" s="9"/>
      <c r="F81" s="9"/>
      <c r="G81" s="9"/>
      <c r="N81" s="9"/>
      <c r="O81" s="9"/>
      <c r="P81" s="9"/>
      <c r="Q81" s="9"/>
      <c r="R81" s="10"/>
      <c r="S81" s="8"/>
      <c r="T81" s="8"/>
      <c r="U81" s="8"/>
      <c r="V81" s="8"/>
    </row>
    <row r="82" spans="1:22" x14ac:dyDescent="0.35">
      <c r="A82" s="9"/>
      <c r="B82" s="9"/>
      <c r="C82" s="9"/>
      <c r="D82" s="9"/>
      <c r="E82" s="9"/>
      <c r="F82" s="9"/>
      <c r="G82" s="9"/>
      <c r="N82" s="9"/>
      <c r="O82" s="9"/>
      <c r="P82" s="9"/>
      <c r="Q82" s="9"/>
      <c r="R82" s="10"/>
      <c r="S82" s="8"/>
      <c r="T82" s="8"/>
      <c r="U82" s="8"/>
      <c r="V82" s="8"/>
    </row>
    <row r="83" spans="1:22" x14ac:dyDescent="0.35">
      <c r="A83" s="9"/>
      <c r="B83" s="9"/>
      <c r="C83" s="9"/>
      <c r="D83" s="9"/>
      <c r="E83" s="9"/>
      <c r="F83" s="9"/>
      <c r="G83" s="9"/>
      <c r="N83" s="9"/>
      <c r="O83" s="9"/>
      <c r="P83" s="9"/>
      <c r="Q83" s="9"/>
      <c r="R83" s="10"/>
      <c r="S83" s="8"/>
      <c r="T83" s="8"/>
      <c r="U83" s="8"/>
      <c r="V83" s="8"/>
    </row>
    <row r="84" spans="1:22" x14ac:dyDescent="0.35">
      <c r="A84" s="9"/>
      <c r="B84" s="9"/>
      <c r="C84" s="9"/>
      <c r="D84" s="9"/>
      <c r="E84" s="9"/>
      <c r="F84" s="9"/>
      <c r="G84" s="9"/>
      <c r="N84" s="9"/>
      <c r="O84" s="9"/>
      <c r="P84" s="9"/>
      <c r="Q84" s="9"/>
      <c r="R84" s="10"/>
      <c r="S84" s="8"/>
      <c r="T84" s="8"/>
      <c r="U84" s="8"/>
      <c r="V84" s="8"/>
    </row>
    <row r="85" spans="1:22" x14ac:dyDescent="0.35">
      <c r="A85" s="9"/>
      <c r="B85" s="9"/>
      <c r="C85" s="9"/>
      <c r="D85" s="9"/>
      <c r="E85" s="9"/>
      <c r="F85" s="9"/>
      <c r="G85" s="9"/>
      <c r="N85" s="9"/>
      <c r="O85" s="9"/>
      <c r="P85" s="9"/>
      <c r="Q85" s="9"/>
      <c r="R85" s="10"/>
      <c r="S85" s="8"/>
      <c r="T85" s="8"/>
      <c r="U85" s="8"/>
      <c r="V85" s="8"/>
    </row>
    <row r="86" spans="1:22" x14ac:dyDescent="0.35">
      <c r="A86" s="9"/>
      <c r="B86" s="9"/>
      <c r="C86" s="9"/>
      <c r="D86" s="9"/>
      <c r="E86" s="9"/>
      <c r="F86" s="9"/>
      <c r="G86" s="9"/>
      <c r="N86" s="9"/>
      <c r="O86" s="9"/>
      <c r="P86" s="9"/>
      <c r="Q86" s="9"/>
      <c r="R86" s="10"/>
      <c r="S86" s="8"/>
      <c r="T86" s="8"/>
      <c r="U86" s="8"/>
      <c r="V86" s="8"/>
    </row>
    <row r="87" spans="1:22" x14ac:dyDescent="0.35">
      <c r="A87" s="9"/>
      <c r="B87" s="9"/>
      <c r="C87" s="9"/>
      <c r="D87" s="9"/>
      <c r="E87" s="9"/>
      <c r="F87" s="9"/>
      <c r="G87" s="9"/>
      <c r="N87" s="9"/>
      <c r="O87" s="9"/>
      <c r="P87" s="9"/>
      <c r="Q87" s="9"/>
      <c r="R87" s="10"/>
      <c r="S87" s="8"/>
      <c r="T87" s="8"/>
      <c r="U87" s="8"/>
      <c r="V87" s="8"/>
    </row>
    <row r="88" spans="1:22" x14ac:dyDescent="0.35">
      <c r="A88" s="9"/>
      <c r="B88" s="9"/>
      <c r="C88" s="9"/>
      <c r="D88" s="9"/>
      <c r="E88" s="9"/>
      <c r="F88" s="9"/>
      <c r="G88" s="9"/>
      <c r="N88" s="9"/>
      <c r="O88" s="9"/>
      <c r="P88" s="9"/>
      <c r="Q88" s="9"/>
      <c r="R88" s="10"/>
      <c r="S88" s="8"/>
      <c r="T88" s="8"/>
      <c r="U88" s="8"/>
      <c r="V88" s="8"/>
    </row>
    <row r="89" spans="1:22" x14ac:dyDescent="0.35">
      <c r="A89" s="9"/>
      <c r="B89" s="9"/>
      <c r="C89" s="9"/>
      <c r="D89" s="9"/>
      <c r="E89" s="9"/>
      <c r="F89" s="9"/>
      <c r="G89" s="9"/>
      <c r="N89" s="9"/>
      <c r="O89" s="9"/>
      <c r="P89" s="9"/>
      <c r="Q89" s="9"/>
      <c r="R89" s="10"/>
      <c r="S89" s="8"/>
      <c r="T89" s="8"/>
      <c r="U89" s="8"/>
      <c r="V89" s="8"/>
    </row>
    <row r="90" spans="1:22" x14ac:dyDescent="0.35">
      <c r="A90" s="9"/>
      <c r="B90" s="9"/>
      <c r="C90" s="9"/>
      <c r="D90" s="9"/>
      <c r="E90" s="9"/>
      <c r="F90" s="9"/>
      <c r="G90" s="9"/>
      <c r="N90" s="9"/>
      <c r="O90" s="9"/>
      <c r="P90" s="9"/>
      <c r="Q90" s="9"/>
      <c r="R90" s="10"/>
      <c r="S90" s="8"/>
      <c r="T90" s="8"/>
      <c r="U90" s="8"/>
      <c r="V90" s="8"/>
    </row>
    <row r="91" spans="1:22" x14ac:dyDescent="0.35">
      <c r="A91" s="9"/>
      <c r="B91" s="9"/>
      <c r="C91" s="9"/>
      <c r="D91" s="9"/>
      <c r="E91" s="9"/>
      <c r="F91" s="9"/>
      <c r="G91" s="9"/>
      <c r="N91" s="9"/>
      <c r="O91" s="9"/>
      <c r="P91" s="9"/>
      <c r="Q91" s="9"/>
      <c r="R91" s="10"/>
      <c r="S91" s="8"/>
      <c r="T91" s="8"/>
      <c r="U91" s="8"/>
      <c r="V91" s="8"/>
    </row>
    <row r="92" spans="1:22" x14ac:dyDescent="0.35">
      <c r="A92" s="9"/>
      <c r="B92" s="9"/>
      <c r="C92" s="9"/>
      <c r="D92" s="9"/>
      <c r="E92" s="9"/>
      <c r="F92" s="9"/>
      <c r="G92" s="9"/>
      <c r="N92" s="9"/>
      <c r="O92" s="9"/>
      <c r="P92" s="9"/>
      <c r="Q92" s="9"/>
      <c r="R92" s="10"/>
      <c r="S92" s="8"/>
      <c r="T92" s="8"/>
      <c r="U92" s="8"/>
      <c r="V92" s="8"/>
    </row>
    <row r="93" spans="1:22" x14ac:dyDescent="0.35">
      <c r="A93" s="9"/>
      <c r="B93" s="9"/>
      <c r="C93" s="9"/>
      <c r="D93" s="9"/>
      <c r="E93" s="9"/>
      <c r="F93" s="9"/>
      <c r="G93" s="9"/>
      <c r="N93" s="9"/>
      <c r="O93" s="9"/>
      <c r="P93" s="9"/>
      <c r="Q93" s="9"/>
      <c r="R93" s="10"/>
      <c r="S93" s="8"/>
      <c r="T93" s="8"/>
      <c r="U93" s="8"/>
      <c r="V93" s="8"/>
    </row>
    <row r="94" spans="1:22" x14ac:dyDescent="0.35">
      <c r="A94" s="9"/>
      <c r="B94" s="9"/>
      <c r="C94" s="9"/>
      <c r="D94" s="9"/>
      <c r="E94" s="9"/>
      <c r="F94" s="9"/>
      <c r="G94" s="9"/>
      <c r="N94" s="9"/>
      <c r="O94" s="9"/>
      <c r="P94" s="9"/>
      <c r="Q94" s="9"/>
      <c r="R94" s="10"/>
      <c r="S94" s="8"/>
      <c r="T94" s="8"/>
      <c r="U94" s="8"/>
      <c r="V94" s="8"/>
    </row>
    <row r="95" spans="1:22" x14ac:dyDescent="0.35">
      <c r="A95" s="9"/>
      <c r="B95" s="9"/>
      <c r="C95" s="9"/>
      <c r="D95" s="9"/>
      <c r="E95" s="9"/>
      <c r="F95" s="9"/>
      <c r="G95" s="9"/>
      <c r="N95" s="9"/>
      <c r="O95" s="9"/>
      <c r="P95" s="9"/>
      <c r="Q95" s="9"/>
      <c r="R95" s="10"/>
      <c r="S95" s="8"/>
      <c r="T95" s="8"/>
      <c r="U95" s="8"/>
      <c r="V95" s="8"/>
    </row>
    <row r="96" spans="1:22" x14ac:dyDescent="0.35">
      <c r="A96" s="9"/>
      <c r="B96" s="9"/>
      <c r="C96" s="9"/>
      <c r="D96" s="9"/>
      <c r="E96" s="9"/>
      <c r="F96" s="9"/>
      <c r="G96" s="9"/>
      <c r="N96" s="9"/>
      <c r="O96" s="9"/>
      <c r="P96" s="9"/>
      <c r="Q96" s="9"/>
      <c r="R96" s="10"/>
      <c r="S96" s="8"/>
      <c r="T96" s="8"/>
      <c r="U96" s="8"/>
      <c r="V96" s="8"/>
    </row>
    <row r="97" spans="1:22" x14ac:dyDescent="0.35">
      <c r="A97" s="9"/>
      <c r="B97" s="9"/>
      <c r="C97" s="9"/>
      <c r="D97" s="9"/>
      <c r="E97" s="9"/>
      <c r="F97" s="9"/>
      <c r="G97" s="9"/>
      <c r="N97" s="9"/>
      <c r="O97" s="9"/>
      <c r="P97" s="9"/>
      <c r="Q97" s="9"/>
      <c r="R97" s="10"/>
      <c r="S97" s="8"/>
      <c r="T97" s="8"/>
      <c r="U97" s="8"/>
      <c r="V97" s="8"/>
    </row>
    <row r="98" spans="1:22" x14ac:dyDescent="0.35">
      <c r="A98" s="9"/>
      <c r="B98" s="9"/>
      <c r="C98" s="9"/>
      <c r="D98" s="9"/>
      <c r="E98" s="9"/>
      <c r="F98" s="9"/>
      <c r="G98" s="9"/>
      <c r="N98" s="9"/>
      <c r="O98" s="9"/>
      <c r="P98" s="9"/>
      <c r="Q98" s="9"/>
      <c r="R98" s="10"/>
      <c r="S98" s="8"/>
      <c r="T98" s="8"/>
      <c r="U98" s="8"/>
      <c r="V98" s="8"/>
    </row>
    <row r="99" spans="1:22" x14ac:dyDescent="0.35">
      <c r="A99" s="9"/>
      <c r="B99" s="9"/>
      <c r="C99" s="9"/>
      <c r="D99" s="9"/>
      <c r="E99" s="9"/>
      <c r="F99" s="9"/>
      <c r="G99" s="9"/>
      <c r="N99" s="9"/>
      <c r="O99" s="9"/>
      <c r="P99" s="9"/>
      <c r="Q99" s="9"/>
      <c r="R99" s="10"/>
      <c r="S99" s="8"/>
      <c r="T99" s="8"/>
      <c r="U99" s="8"/>
      <c r="V99" s="8"/>
    </row>
    <row r="100" spans="1:22" x14ac:dyDescent="0.35">
      <c r="A100" s="9"/>
      <c r="B100" s="9"/>
      <c r="C100" s="9"/>
      <c r="D100" s="9"/>
      <c r="E100" s="9"/>
      <c r="F100" s="9"/>
      <c r="G100" s="9"/>
      <c r="N100" s="9"/>
      <c r="O100" s="9"/>
      <c r="P100" s="9"/>
      <c r="Q100" s="9"/>
      <c r="R100" s="10"/>
      <c r="S100" s="8"/>
      <c r="T100" s="8"/>
      <c r="U100" s="8"/>
      <c r="V100" s="8"/>
    </row>
    <row r="101" spans="1:22" x14ac:dyDescent="0.35">
      <c r="A101" s="9"/>
      <c r="B101" s="9"/>
      <c r="C101" s="9"/>
      <c r="D101" s="9"/>
      <c r="E101" s="9"/>
      <c r="F101" s="9"/>
      <c r="G101" s="9"/>
      <c r="N101" s="9"/>
      <c r="O101" s="9"/>
      <c r="P101" s="9"/>
      <c r="Q101" s="9"/>
      <c r="R101" s="10"/>
      <c r="S101" s="8"/>
      <c r="T101" s="8"/>
      <c r="U101" s="8"/>
      <c r="V101" s="8"/>
    </row>
    <row r="102" spans="1:22" x14ac:dyDescent="0.35">
      <c r="A102" s="9"/>
      <c r="B102" s="9"/>
      <c r="C102" s="9"/>
      <c r="D102" s="9"/>
      <c r="E102" s="9"/>
      <c r="F102" s="9"/>
      <c r="G102" s="9"/>
      <c r="N102" s="9"/>
      <c r="O102" s="9"/>
      <c r="P102" s="9"/>
      <c r="Q102" s="9"/>
      <c r="R102" s="10"/>
      <c r="S102" s="8"/>
      <c r="T102" s="8"/>
      <c r="U102" s="8"/>
      <c r="V102" s="8"/>
    </row>
    <row r="103" spans="1:22" x14ac:dyDescent="0.35">
      <c r="A103" s="9"/>
      <c r="B103" s="9"/>
      <c r="C103" s="9"/>
      <c r="D103" s="9"/>
      <c r="E103" s="9"/>
      <c r="F103" s="9"/>
      <c r="G103" s="9"/>
      <c r="N103" s="9"/>
      <c r="O103" s="9"/>
      <c r="P103" s="9"/>
      <c r="Q103" s="9"/>
      <c r="R103" s="10"/>
      <c r="S103" s="8"/>
      <c r="T103" s="8"/>
      <c r="U103" s="8"/>
      <c r="V103" s="8"/>
    </row>
    <row r="104" spans="1:22" x14ac:dyDescent="0.35">
      <c r="A104" s="9"/>
      <c r="B104" s="9"/>
      <c r="C104" s="9"/>
      <c r="D104" s="9"/>
      <c r="E104" s="9"/>
      <c r="F104" s="9"/>
      <c r="G104" s="9"/>
      <c r="N104" s="9"/>
      <c r="O104" s="9"/>
      <c r="P104" s="9"/>
      <c r="Q104" s="9"/>
      <c r="R104" s="10"/>
      <c r="S104" s="8"/>
      <c r="T104" s="8"/>
      <c r="U104" s="8"/>
      <c r="V104" s="8"/>
    </row>
    <row r="105" spans="1:22" x14ac:dyDescent="0.35">
      <c r="A105" s="9"/>
      <c r="B105" s="9"/>
      <c r="C105" s="9"/>
      <c r="D105" s="9"/>
      <c r="E105" s="9"/>
      <c r="F105" s="9"/>
      <c r="G105" s="9"/>
      <c r="N105" s="9"/>
      <c r="O105" s="9"/>
      <c r="P105" s="9"/>
      <c r="Q105" s="9"/>
      <c r="R105" s="10"/>
      <c r="S105" s="8"/>
      <c r="T105" s="8"/>
      <c r="U105" s="8"/>
      <c r="V105" s="8"/>
    </row>
    <row r="106" spans="1:22" x14ac:dyDescent="0.35">
      <c r="A106" s="9"/>
      <c r="B106" s="9"/>
      <c r="C106" s="9"/>
      <c r="D106" s="9"/>
      <c r="E106" s="9"/>
      <c r="F106" s="9"/>
      <c r="G106" s="9"/>
      <c r="N106" s="9"/>
      <c r="O106" s="9"/>
      <c r="P106" s="9"/>
      <c r="Q106" s="9"/>
      <c r="R106" s="10"/>
      <c r="S106" s="8"/>
      <c r="T106" s="8"/>
      <c r="U106" s="8"/>
      <c r="V106" s="8"/>
    </row>
    <row r="107" spans="1:22" x14ac:dyDescent="0.35">
      <c r="A107" s="9"/>
      <c r="B107" s="9"/>
      <c r="C107" s="9"/>
      <c r="D107" s="9"/>
      <c r="E107" s="9"/>
      <c r="F107" s="9"/>
      <c r="G107" s="9"/>
      <c r="N107" s="9"/>
      <c r="O107" s="9"/>
      <c r="P107" s="9"/>
      <c r="Q107" s="9"/>
      <c r="R107" s="10"/>
      <c r="S107" s="8"/>
      <c r="T107" s="8"/>
      <c r="U107" s="8"/>
      <c r="V107" s="8"/>
    </row>
    <row r="108" spans="1:22" x14ac:dyDescent="0.35">
      <c r="A108" s="9"/>
      <c r="B108" s="9"/>
      <c r="C108" s="9"/>
      <c r="D108" s="9"/>
      <c r="E108" s="9"/>
      <c r="F108" s="9"/>
      <c r="G108" s="9"/>
      <c r="N108" s="9"/>
      <c r="O108" s="9"/>
      <c r="P108" s="9"/>
      <c r="Q108" s="9"/>
      <c r="R108" s="10"/>
      <c r="S108" s="8"/>
      <c r="T108" s="8"/>
      <c r="U108" s="8"/>
      <c r="V108" s="8"/>
    </row>
    <row r="109" spans="1:22" x14ac:dyDescent="0.35">
      <c r="A109" s="9"/>
      <c r="B109" s="9"/>
      <c r="C109" s="9"/>
      <c r="D109" s="9"/>
      <c r="E109" s="9"/>
      <c r="F109" s="9"/>
      <c r="G109" s="9"/>
      <c r="N109" s="9"/>
      <c r="O109" s="9"/>
      <c r="P109" s="9"/>
      <c r="Q109" s="9"/>
      <c r="R109" s="10"/>
      <c r="S109" s="8"/>
      <c r="T109" s="8"/>
      <c r="U109" s="8"/>
      <c r="V109" s="8"/>
    </row>
    <row r="110" spans="1:22" x14ac:dyDescent="0.35">
      <c r="A110" s="9"/>
      <c r="B110" s="9"/>
      <c r="C110" s="9"/>
      <c r="D110" s="9"/>
      <c r="E110" s="9"/>
      <c r="F110" s="9"/>
      <c r="G110" s="9"/>
      <c r="N110" s="9"/>
      <c r="O110" s="9"/>
      <c r="P110" s="9"/>
      <c r="Q110" s="9"/>
      <c r="R110" s="10"/>
      <c r="S110" s="8"/>
      <c r="T110" s="8"/>
      <c r="U110" s="8"/>
      <c r="V110" s="8"/>
    </row>
    <row r="111" spans="1:22" x14ac:dyDescent="0.35">
      <c r="A111" s="9"/>
      <c r="B111" s="9"/>
      <c r="C111" s="9"/>
      <c r="D111" s="9"/>
      <c r="E111" s="9"/>
      <c r="F111" s="9"/>
      <c r="G111" s="9"/>
      <c r="N111" s="9"/>
      <c r="O111" s="9"/>
      <c r="P111" s="9"/>
      <c r="Q111" s="9"/>
      <c r="R111" s="10"/>
      <c r="S111" s="8"/>
      <c r="T111" s="8"/>
      <c r="U111" s="8"/>
      <c r="V111" s="8"/>
    </row>
    <row r="112" spans="1:22" x14ac:dyDescent="0.35">
      <c r="A112" s="9"/>
      <c r="B112" s="9"/>
      <c r="C112" s="9"/>
      <c r="D112" s="9"/>
      <c r="E112" s="9"/>
      <c r="F112" s="9"/>
      <c r="G112" s="9"/>
      <c r="N112" s="9"/>
      <c r="O112" s="9"/>
      <c r="P112" s="9"/>
      <c r="Q112" s="9"/>
      <c r="R112" s="10"/>
      <c r="S112" s="8"/>
      <c r="T112" s="8"/>
      <c r="U112" s="8"/>
      <c r="V112" s="8"/>
    </row>
    <row r="113" spans="1:22" x14ac:dyDescent="0.35">
      <c r="A113" s="9"/>
      <c r="B113" s="9"/>
      <c r="C113" s="9"/>
      <c r="D113" s="9"/>
      <c r="E113" s="9"/>
      <c r="F113" s="9"/>
      <c r="G113" s="9"/>
      <c r="N113" s="9"/>
      <c r="O113" s="9"/>
      <c r="P113" s="9"/>
      <c r="Q113" s="9"/>
      <c r="R113" s="10"/>
      <c r="S113" s="8"/>
      <c r="T113" s="8"/>
      <c r="U113" s="8"/>
      <c r="V113" s="8"/>
    </row>
    <row r="114" spans="1:22" x14ac:dyDescent="0.35">
      <c r="A114" s="9"/>
      <c r="B114" s="9"/>
      <c r="C114" s="9"/>
      <c r="D114" s="9"/>
      <c r="E114" s="9"/>
      <c r="F114" s="9"/>
      <c r="G114" s="9"/>
      <c r="N114" s="9"/>
      <c r="O114" s="9"/>
      <c r="P114" s="9"/>
      <c r="Q114" s="9"/>
      <c r="R114" s="10"/>
      <c r="S114" s="8"/>
      <c r="T114" s="8"/>
      <c r="U114" s="8"/>
      <c r="V114" s="8"/>
    </row>
    <row r="115" spans="1:22" x14ac:dyDescent="0.35">
      <c r="A115" s="9"/>
      <c r="B115" s="9"/>
      <c r="C115" s="9"/>
      <c r="D115" s="9"/>
      <c r="E115" s="9"/>
      <c r="F115" s="9"/>
      <c r="G115" s="9"/>
      <c r="N115" s="9"/>
      <c r="O115" s="9"/>
      <c r="P115" s="9"/>
      <c r="Q115" s="9"/>
      <c r="R115" s="10"/>
      <c r="S115" s="8"/>
      <c r="T115" s="8"/>
      <c r="U115" s="8"/>
      <c r="V115" s="8"/>
    </row>
    <row r="116" spans="1:22" x14ac:dyDescent="0.35">
      <c r="A116" s="9"/>
      <c r="B116" s="9"/>
      <c r="C116" s="9"/>
      <c r="D116" s="9"/>
      <c r="E116" s="9"/>
      <c r="F116" s="9"/>
      <c r="G116" s="9"/>
      <c r="N116" s="9"/>
      <c r="O116" s="9"/>
      <c r="P116" s="9"/>
      <c r="Q116" s="9"/>
      <c r="R116" s="10"/>
      <c r="S116" s="8"/>
      <c r="T116" s="8"/>
      <c r="U116" s="8"/>
      <c r="V116" s="8"/>
    </row>
    <row r="117" spans="1:22" x14ac:dyDescent="0.35">
      <c r="A117" s="9"/>
      <c r="B117" s="9"/>
      <c r="C117" s="9"/>
      <c r="D117" s="9"/>
      <c r="E117" s="9"/>
      <c r="F117" s="9"/>
      <c r="G117" s="9"/>
      <c r="N117" s="9"/>
      <c r="O117" s="9"/>
      <c r="P117" s="9"/>
      <c r="Q117" s="9"/>
      <c r="R117" s="10"/>
      <c r="S117" s="8"/>
      <c r="T117" s="8"/>
      <c r="U117" s="8"/>
      <c r="V117" s="8"/>
    </row>
    <row r="118" spans="1:22" x14ac:dyDescent="0.35">
      <c r="A118" s="9"/>
      <c r="B118" s="9"/>
      <c r="C118" s="9"/>
      <c r="D118" s="9"/>
      <c r="E118" s="9"/>
      <c r="F118" s="9"/>
      <c r="G118" s="9"/>
      <c r="N118" s="9"/>
      <c r="O118" s="9"/>
      <c r="P118" s="9"/>
      <c r="Q118" s="9"/>
      <c r="R118" s="10"/>
      <c r="S118" s="8"/>
      <c r="T118" s="8"/>
      <c r="U118" s="8"/>
      <c r="V118" s="8"/>
    </row>
    <row r="119" spans="1:22" x14ac:dyDescent="0.35">
      <c r="A119" s="9"/>
      <c r="B119" s="9"/>
      <c r="C119" s="9"/>
      <c r="D119" s="9"/>
      <c r="E119" s="9"/>
      <c r="F119" s="9"/>
      <c r="G119" s="9"/>
      <c r="N119" s="9"/>
      <c r="O119" s="9"/>
      <c r="P119" s="9"/>
      <c r="Q119" s="9"/>
      <c r="R119" s="10"/>
      <c r="S119" s="8"/>
      <c r="T119" s="8"/>
      <c r="U119" s="8"/>
      <c r="V119" s="8"/>
    </row>
    <row r="120" spans="1:22" x14ac:dyDescent="0.35">
      <c r="A120" s="9"/>
      <c r="B120" s="9"/>
      <c r="C120" s="9"/>
      <c r="D120" s="9"/>
      <c r="E120" s="9"/>
      <c r="F120" s="9"/>
      <c r="G120" s="9"/>
      <c r="N120" s="9"/>
      <c r="O120" s="9"/>
      <c r="P120" s="9"/>
      <c r="Q120" s="9"/>
      <c r="R120" s="10"/>
      <c r="S120" s="8"/>
      <c r="T120" s="8"/>
      <c r="U120" s="8"/>
      <c r="V120" s="8"/>
    </row>
    <row r="121" spans="1:22" x14ac:dyDescent="0.35">
      <c r="A121" s="9"/>
      <c r="B121" s="9"/>
      <c r="C121" s="9"/>
      <c r="D121" s="9"/>
      <c r="E121" s="9"/>
      <c r="F121" s="9"/>
      <c r="G121" s="9"/>
      <c r="N121" s="9"/>
      <c r="O121" s="9"/>
      <c r="P121" s="9"/>
      <c r="Q121" s="9"/>
      <c r="R121" s="10"/>
      <c r="S121" s="8"/>
      <c r="T121" s="8"/>
      <c r="U121" s="8"/>
      <c r="V121" s="8"/>
    </row>
    <row r="122" spans="1:22" x14ac:dyDescent="0.35">
      <c r="A122" s="9"/>
      <c r="B122" s="9"/>
      <c r="C122" s="9"/>
      <c r="D122" s="9"/>
      <c r="E122" s="9"/>
      <c r="F122" s="9"/>
      <c r="G122" s="9"/>
      <c r="N122" s="9"/>
      <c r="O122" s="9"/>
      <c r="P122" s="9"/>
      <c r="Q122" s="9"/>
      <c r="R122" s="10"/>
      <c r="S122" s="8"/>
      <c r="T122" s="8"/>
      <c r="U122" s="8"/>
      <c r="V122" s="8"/>
    </row>
    <row r="123" spans="1:22" x14ac:dyDescent="0.35">
      <c r="A123" s="9"/>
      <c r="B123" s="9"/>
      <c r="C123" s="9"/>
      <c r="D123" s="9"/>
      <c r="E123" s="9"/>
      <c r="F123" s="9"/>
      <c r="G123" s="9"/>
      <c r="N123" s="9"/>
      <c r="O123" s="9"/>
      <c r="P123" s="9"/>
      <c r="Q123" s="9"/>
      <c r="R123" s="10"/>
      <c r="S123" s="8"/>
      <c r="T123" s="8"/>
      <c r="U123" s="8"/>
      <c r="V123" s="8"/>
    </row>
    <row r="124" spans="1:22" x14ac:dyDescent="0.35">
      <c r="A124" s="9"/>
      <c r="B124" s="9"/>
      <c r="C124" s="9"/>
      <c r="D124" s="9"/>
      <c r="E124" s="9"/>
      <c r="F124" s="9"/>
      <c r="G124" s="9"/>
      <c r="N124" s="9"/>
      <c r="O124" s="9"/>
      <c r="P124" s="9"/>
      <c r="Q124" s="9"/>
      <c r="R124" s="10"/>
      <c r="S124" s="8"/>
      <c r="T124" s="8"/>
      <c r="U124" s="8"/>
      <c r="V124" s="8"/>
    </row>
    <row r="125" spans="1:22" x14ac:dyDescent="0.35">
      <c r="A125" s="9"/>
      <c r="B125" s="9"/>
      <c r="C125" s="9"/>
      <c r="D125" s="9"/>
      <c r="E125" s="9"/>
      <c r="F125" s="9"/>
      <c r="G125" s="9"/>
      <c r="N125" s="9"/>
      <c r="O125" s="9"/>
      <c r="P125" s="9"/>
      <c r="Q125" s="9"/>
      <c r="R125" s="10"/>
      <c r="S125" s="8"/>
      <c r="T125" s="8"/>
      <c r="U125" s="8"/>
      <c r="V125" s="8"/>
    </row>
    <row r="126" spans="1:22" x14ac:dyDescent="0.35">
      <c r="A126" s="9"/>
      <c r="B126" s="9"/>
      <c r="C126" s="9"/>
      <c r="D126" s="9"/>
      <c r="E126" s="9"/>
      <c r="F126" s="9"/>
      <c r="G126" s="9"/>
      <c r="N126" s="9"/>
      <c r="O126" s="9"/>
      <c r="P126" s="9"/>
      <c r="Q126" s="9"/>
      <c r="R126" s="10"/>
      <c r="S126" s="8"/>
      <c r="T126" s="8"/>
      <c r="U126" s="8"/>
      <c r="V126" s="8"/>
    </row>
    <row r="127" spans="1:22" x14ac:dyDescent="0.35">
      <c r="A127" s="9"/>
      <c r="B127" s="9"/>
      <c r="C127" s="9"/>
      <c r="D127" s="9"/>
      <c r="E127" s="9"/>
      <c r="F127" s="9"/>
      <c r="G127" s="9"/>
      <c r="N127" s="9"/>
      <c r="O127" s="9"/>
      <c r="P127" s="9"/>
      <c r="Q127" s="9"/>
      <c r="R127" s="10"/>
      <c r="S127" s="8"/>
      <c r="T127" s="8"/>
      <c r="U127" s="8"/>
      <c r="V127" s="8"/>
    </row>
    <row r="128" spans="1:22" x14ac:dyDescent="0.35">
      <c r="A128" s="9"/>
      <c r="B128" s="9"/>
      <c r="C128" s="9"/>
      <c r="D128" s="9"/>
      <c r="E128" s="9"/>
      <c r="F128" s="9"/>
      <c r="G128" s="9"/>
      <c r="N128" s="9"/>
      <c r="O128" s="9"/>
      <c r="P128" s="9"/>
      <c r="Q128" s="9"/>
      <c r="R128" s="10"/>
      <c r="S128" s="8"/>
      <c r="T128" s="8"/>
      <c r="U128" s="8"/>
      <c r="V128" s="8"/>
    </row>
    <row r="129" spans="1:22" x14ac:dyDescent="0.35">
      <c r="A129" s="9"/>
      <c r="B129" s="9"/>
      <c r="C129" s="9"/>
      <c r="D129" s="9"/>
      <c r="E129" s="9"/>
      <c r="F129" s="9"/>
      <c r="G129" s="9"/>
      <c r="N129" s="9"/>
      <c r="O129" s="9"/>
      <c r="P129" s="9"/>
      <c r="Q129" s="9"/>
      <c r="R129" s="10"/>
      <c r="S129" s="8"/>
      <c r="T129" s="8"/>
      <c r="U129" s="8"/>
      <c r="V129" s="8"/>
    </row>
    <row r="130" spans="1:22" x14ac:dyDescent="0.35">
      <c r="A130" s="9"/>
      <c r="B130" s="9"/>
      <c r="C130" s="9"/>
      <c r="D130" s="9"/>
      <c r="E130" s="9"/>
      <c r="F130" s="9"/>
      <c r="G130" s="9"/>
      <c r="N130" s="9"/>
      <c r="O130" s="9"/>
      <c r="P130" s="9"/>
      <c r="Q130" s="9"/>
      <c r="R130" s="10"/>
      <c r="S130" s="8"/>
      <c r="T130" s="8"/>
      <c r="U130" s="8"/>
      <c r="V130" s="8"/>
    </row>
    <row r="131" spans="1:22" x14ac:dyDescent="0.35">
      <c r="A131" s="9"/>
      <c r="B131" s="9"/>
      <c r="C131" s="9"/>
      <c r="D131" s="9"/>
      <c r="E131" s="9"/>
      <c r="F131" s="9"/>
      <c r="G131" s="9"/>
      <c r="N131" s="9"/>
      <c r="O131" s="9"/>
      <c r="P131" s="9"/>
      <c r="Q131" s="9"/>
      <c r="R131" s="10"/>
      <c r="S131" s="8"/>
      <c r="T131" s="8"/>
      <c r="U131" s="8"/>
      <c r="V131" s="8"/>
    </row>
    <row r="132" spans="1:22" x14ac:dyDescent="0.35">
      <c r="A132" s="9"/>
      <c r="B132" s="9"/>
      <c r="C132" s="9"/>
      <c r="D132" s="9"/>
      <c r="E132" s="9"/>
      <c r="F132" s="9"/>
      <c r="G132" s="9"/>
      <c r="N132" s="9"/>
      <c r="O132" s="9"/>
      <c r="P132" s="9"/>
      <c r="Q132" s="9"/>
      <c r="R132" s="10"/>
      <c r="S132" s="8"/>
      <c r="T132" s="8"/>
      <c r="U132" s="8"/>
      <c r="V132" s="8"/>
    </row>
    <row r="133" spans="1:22" x14ac:dyDescent="0.35">
      <c r="A133" s="9"/>
      <c r="B133" s="9"/>
      <c r="C133" s="9"/>
      <c r="D133" s="9"/>
      <c r="E133" s="9"/>
      <c r="F133" s="9"/>
      <c r="G133" s="9"/>
      <c r="N133" s="9"/>
      <c r="O133" s="9"/>
      <c r="P133" s="9"/>
      <c r="Q133" s="9"/>
      <c r="R133" s="10"/>
      <c r="S133" s="8"/>
      <c r="T133" s="8"/>
      <c r="U133" s="8"/>
      <c r="V133" s="8"/>
    </row>
    <row r="134" spans="1:22" x14ac:dyDescent="0.35">
      <c r="A134" s="9"/>
      <c r="B134" s="9"/>
      <c r="C134" s="9"/>
      <c r="D134" s="9"/>
      <c r="E134" s="9"/>
      <c r="F134" s="9"/>
      <c r="G134" s="9"/>
      <c r="N134" s="9"/>
      <c r="O134" s="9"/>
      <c r="P134" s="9"/>
      <c r="Q134" s="9"/>
      <c r="R134" s="10"/>
      <c r="S134" s="8"/>
      <c r="T134" s="8"/>
      <c r="U134" s="8"/>
      <c r="V134" s="8"/>
    </row>
    <row r="135" spans="1:22" x14ac:dyDescent="0.35">
      <c r="A135" s="9"/>
      <c r="B135" s="9"/>
      <c r="C135" s="9"/>
      <c r="D135" s="9"/>
      <c r="E135" s="9"/>
      <c r="F135" s="9"/>
      <c r="G135" s="9"/>
      <c r="N135" s="9"/>
      <c r="O135" s="9"/>
      <c r="P135" s="9"/>
      <c r="Q135" s="9"/>
      <c r="R135" s="10"/>
      <c r="S135" s="8"/>
      <c r="T135" s="8"/>
      <c r="U135" s="8"/>
      <c r="V135" s="8"/>
    </row>
    <row r="136" spans="1:22" x14ac:dyDescent="0.35">
      <c r="A136" s="9"/>
      <c r="B136" s="9"/>
      <c r="C136" s="9"/>
      <c r="D136" s="9"/>
      <c r="E136" s="9"/>
      <c r="F136" s="9"/>
      <c r="G136" s="9"/>
      <c r="N136" s="9"/>
      <c r="O136" s="9"/>
      <c r="P136" s="9"/>
      <c r="Q136" s="9"/>
      <c r="R136" s="10"/>
      <c r="S136" s="8"/>
      <c r="T136" s="8"/>
      <c r="U136" s="8"/>
      <c r="V136" s="8"/>
    </row>
    <row r="137" spans="1:22" x14ac:dyDescent="0.35">
      <c r="A137" s="9"/>
      <c r="B137" s="9"/>
      <c r="C137" s="9"/>
      <c r="D137" s="9"/>
      <c r="E137" s="9"/>
      <c r="F137" s="9"/>
      <c r="G137" s="9"/>
      <c r="N137" s="9"/>
      <c r="O137" s="9"/>
      <c r="P137" s="9"/>
      <c r="Q137" s="9"/>
      <c r="R137" s="10"/>
      <c r="S137" s="8"/>
      <c r="T137" s="8"/>
      <c r="U137" s="8"/>
      <c r="V137" s="8"/>
    </row>
    <row r="138" spans="1:22" x14ac:dyDescent="0.35">
      <c r="A138" s="9"/>
      <c r="B138" s="9"/>
      <c r="C138" s="9"/>
      <c r="D138" s="9"/>
      <c r="E138" s="9"/>
      <c r="F138" s="9"/>
      <c r="G138" s="9"/>
      <c r="N138" s="9"/>
      <c r="O138" s="9"/>
      <c r="P138" s="9"/>
      <c r="Q138" s="9"/>
      <c r="R138" s="10"/>
      <c r="S138" s="8"/>
      <c r="T138" s="8"/>
      <c r="U138" s="8"/>
      <c r="V138" s="8"/>
    </row>
    <row r="139" spans="1:22" x14ac:dyDescent="0.35">
      <c r="A139" s="9"/>
      <c r="B139" s="9"/>
      <c r="C139" s="9"/>
      <c r="D139" s="9"/>
      <c r="E139" s="9"/>
      <c r="F139" s="9"/>
      <c r="G139" s="9"/>
      <c r="N139" s="9"/>
      <c r="O139" s="9"/>
      <c r="P139" s="9"/>
      <c r="Q139" s="9"/>
      <c r="R139" s="10"/>
      <c r="S139" s="8"/>
      <c r="T139" s="8"/>
      <c r="U139" s="8"/>
      <c r="V139" s="8"/>
    </row>
    <row r="140" spans="1:22" x14ac:dyDescent="0.35">
      <c r="A140" s="9"/>
      <c r="B140" s="9"/>
      <c r="C140" s="9"/>
      <c r="D140" s="9"/>
      <c r="E140" s="9"/>
      <c r="F140" s="9"/>
      <c r="G140" s="9"/>
      <c r="N140" s="9"/>
      <c r="O140" s="9"/>
      <c r="P140" s="9"/>
      <c r="Q140" s="9"/>
      <c r="R140" s="10"/>
      <c r="S140" s="8"/>
      <c r="T140" s="8"/>
      <c r="U140" s="8"/>
      <c r="V140" s="8"/>
    </row>
    <row r="141" spans="1:22" x14ac:dyDescent="0.35">
      <c r="A141" s="9"/>
      <c r="B141" s="9"/>
      <c r="C141" s="9"/>
      <c r="D141" s="9"/>
      <c r="E141" s="9"/>
      <c r="F141" s="9"/>
      <c r="G141" s="9"/>
      <c r="N141" s="9"/>
      <c r="O141" s="9"/>
      <c r="P141" s="9"/>
      <c r="Q141" s="9"/>
      <c r="R141" s="10"/>
      <c r="S141" s="8"/>
      <c r="T141" s="8"/>
      <c r="U141" s="8"/>
      <c r="V141" s="8"/>
    </row>
    <row r="142" spans="1:22" x14ac:dyDescent="0.35">
      <c r="A142" s="9"/>
      <c r="B142" s="9"/>
      <c r="C142" s="9"/>
      <c r="D142" s="9"/>
      <c r="E142" s="9"/>
      <c r="F142" s="9"/>
      <c r="G142" s="9"/>
      <c r="N142" s="9"/>
      <c r="O142" s="9"/>
      <c r="P142" s="9"/>
      <c r="Q142" s="9"/>
      <c r="R142" s="10"/>
      <c r="S142" s="8"/>
      <c r="T142" s="8"/>
      <c r="U142" s="8"/>
      <c r="V142" s="8"/>
    </row>
    <row r="143" spans="1:22" x14ac:dyDescent="0.35">
      <c r="A143" s="9"/>
      <c r="B143" s="9"/>
      <c r="C143" s="9"/>
      <c r="D143" s="9"/>
      <c r="E143" s="9"/>
      <c r="F143" s="9"/>
      <c r="G143" s="9"/>
      <c r="N143" s="9"/>
      <c r="O143" s="9"/>
      <c r="P143" s="9"/>
      <c r="Q143" s="9"/>
      <c r="R143" s="10"/>
      <c r="S143" s="8"/>
      <c r="T143" s="8"/>
      <c r="U143" s="8"/>
      <c r="V143" s="8"/>
    </row>
    <row r="144" spans="1:22" x14ac:dyDescent="0.35">
      <c r="A144" s="9"/>
      <c r="B144" s="9"/>
      <c r="C144" s="9"/>
      <c r="D144" s="9"/>
      <c r="E144" s="9"/>
      <c r="F144" s="9"/>
      <c r="G144" s="9"/>
      <c r="N144" s="9"/>
      <c r="O144" s="9"/>
      <c r="P144" s="9"/>
      <c r="Q144" s="9"/>
      <c r="R144" s="10"/>
      <c r="S144" s="8"/>
      <c r="T144" s="8"/>
      <c r="U144" s="8"/>
      <c r="V144" s="8"/>
    </row>
    <row r="145" spans="1:22" x14ac:dyDescent="0.35">
      <c r="A145" s="9"/>
      <c r="B145" s="9"/>
      <c r="C145" s="9"/>
      <c r="D145" s="9"/>
      <c r="E145" s="9"/>
      <c r="F145" s="9"/>
      <c r="G145" s="9"/>
      <c r="N145" s="9"/>
      <c r="O145" s="9"/>
      <c r="P145" s="9"/>
      <c r="Q145" s="9"/>
      <c r="R145" s="10"/>
      <c r="S145" s="8"/>
      <c r="T145" s="8"/>
      <c r="U145" s="8"/>
      <c r="V145" s="8"/>
    </row>
    <row r="146" spans="1:22" x14ac:dyDescent="0.35">
      <c r="A146" s="9"/>
      <c r="B146" s="9"/>
      <c r="C146" s="9"/>
      <c r="D146" s="9"/>
      <c r="E146" s="9"/>
      <c r="F146" s="9"/>
      <c r="G146" s="9"/>
      <c r="N146" s="9"/>
      <c r="O146" s="9"/>
      <c r="P146" s="9"/>
      <c r="Q146" s="9"/>
      <c r="R146" s="10"/>
      <c r="S146" s="8"/>
      <c r="T146" s="8"/>
      <c r="U146" s="8"/>
      <c r="V146" s="8"/>
    </row>
    <row r="147" spans="1:22" x14ac:dyDescent="0.35">
      <c r="A147" s="9"/>
      <c r="B147" s="9"/>
      <c r="C147" s="9"/>
      <c r="D147" s="9"/>
      <c r="E147" s="9"/>
      <c r="F147" s="9"/>
      <c r="G147" s="9"/>
      <c r="N147" s="9"/>
      <c r="O147" s="9"/>
      <c r="P147" s="9"/>
      <c r="Q147" s="9"/>
      <c r="R147" s="10"/>
      <c r="S147" s="8"/>
      <c r="T147" s="8"/>
      <c r="U147" s="8"/>
      <c r="V147" s="8"/>
    </row>
    <row r="148" spans="1:22" x14ac:dyDescent="0.35">
      <c r="A148" s="9"/>
      <c r="B148" s="9"/>
      <c r="C148" s="9"/>
      <c r="D148" s="9"/>
      <c r="E148" s="9"/>
      <c r="F148" s="9"/>
      <c r="G148" s="9"/>
      <c r="N148" s="9"/>
      <c r="O148" s="9"/>
      <c r="P148" s="9"/>
      <c r="Q148" s="9"/>
      <c r="R148" s="10"/>
      <c r="S148" s="8"/>
      <c r="T148" s="8"/>
      <c r="U148" s="8"/>
      <c r="V148" s="8"/>
    </row>
    <row r="149" spans="1:22" x14ac:dyDescent="0.35">
      <c r="A149" s="9"/>
      <c r="B149" s="9"/>
      <c r="C149" s="9"/>
      <c r="D149" s="9"/>
      <c r="E149" s="9"/>
      <c r="F149" s="9"/>
      <c r="G149" s="9"/>
      <c r="N149" s="9"/>
      <c r="O149" s="9"/>
      <c r="P149" s="9"/>
      <c r="Q149" s="9"/>
      <c r="R149" s="10"/>
      <c r="S149" s="8"/>
      <c r="T149" s="8"/>
      <c r="U149" s="8"/>
      <c r="V149" s="8"/>
    </row>
    <row r="150" spans="1:22" x14ac:dyDescent="0.35">
      <c r="A150" s="9"/>
      <c r="B150" s="9"/>
      <c r="C150" s="9"/>
      <c r="D150" s="9"/>
      <c r="E150" s="9"/>
      <c r="F150" s="9"/>
      <c r="G150" s="9"/>
      <c r="N150" s="9"/>
      <c r="O150" s="9"/>
      <c r="P150" s="9"/>
      <c r="Q150" s="9"/>
      <c r="R150" s="10"/>
      <c r="S150" s="8"/>
      <c r="T150" s="8"/>
      <c r="U150" s="8"/>
      <c r="V150" s="8"/>
    </row>
    <row r="151" spans="1:22" x14ac:dyDescent="0.35">
      <c r="A151" s="9"/>
      <c r="B151" s="9"/>
      <c r="C151" s="9"/>
      <c r="D151" s="9"/>
      <c r="E151" s="9"/>
      <c r="F151" s="9"/>
      <c r="G151" s="9"/>
      <c r="N151" s="9"/>
      <c r="O151" s="9"/>
      <c r="P151" s="9"/>
      <c r="Q151" s="9"/>
      <c r="R151" s="10"/>
      <c r="S151" s="8"/>
      <c r="T151" s="8"/>
      <c r="U151" s="8"/>
      <c r="V151" s="8"/>
    </row>
    <row r="152" spans="1:22" x14ac:dyDescent="0.35">
      <c r="A152" s="9"/>
      <c r="B152" s="9"/>
      <c r="C152" s="9"/>
      <c r="D152" s="9"/>
      <c r="E152" s="9"/>
      <c r="F152" s="9"/>
      <c r="G152" s="9"/>
      <c r="N152" s="9"/>
      <c r="O152" s="9"/>
      <c r="P152" s="9"/>
      <c r="Q152" s="9"/>
      <c r="R152" s="10"/>
      <c r="S152" s="8"/>
      <c r="T152" s="8"/>
      <c r="U152" s="8"/>
      <c r="V152" s="8"/>
    </row>
    <row r="153" spans="1:22" x14ac:dyDescent="0.35">
      <c r="A153" s="9"/>
      <c r="B153" s="9"/>
      <c r="C153" s="9"/>
      <c r="D153" s="9"/>
      <c r="E153" s="9"/>
      <c r="F153" s="9"/>
      <c r="G153" s="9"/>
      <c r="N153" s="9"/>
      <c r="O153" s="9"/>
      <c r="P153" s="9"/>
      <c r="Q153" s="9"/>
      <c r="R153" s="10"/>
      <c r="S153" s="8"/>
      <c r="T153" s="8"/>
      <c r="U153" s="8"/>
      <c r="V153" s="8"/>
    </row>
    <row r="154" spans="1:22" x14ac:dyDescent="0.35">
      <c r="R154" s="5"/>
    </row>
  </sheetData>
  <mergeCells count="6">
    <mergeCell ref="A1:V1"/>
    <mergeCell ref="A2:G2"/>
    <mergeCell ref="H2:M2"/>
    <mergeCell ref="N2:R2"/>
    <mergeCell ref="S2:U2"/>
    <mergeCell ref="W2:Y2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5F744-A857-4A50-B613-5F1D0A4C6D83}">
  <dimension ref="A1:I15"/>
  <sheetViews>
    <sheetView workbookViewId="0">
      <selection sqref="A1:I15"/>
    </sheetView>
  </sheetViews>
  <sheetFormatPr defaultRowHeight="14.5" x14ac:dyDescent="0.35"/>
  <sheetData>
    <row r="1" spans="1:9" x14ac:dyDescent="0.35">
      <c r="A1">
        <v>8.3457410801202102E-4</v>
      </c>
      <c r="B1">
        <v>-3.4524299204349497E-2</v>
      </c>
      <c r="C1">
        <v>-1.46811630111188E-3</v>
      </c>
      <c r="D1">
        <v>0.179403036832809</v>
      </c>
      <c r="E1">
        <v>-7.5630694627761797E-3</v>
      </c>
      <c r="F1">
        <v>0.203822165727615</v>
      </c>
      <c r="G1">
        <v>1.4</v>
      </c>
      <c r="H1">
        <v>0</v>
      </c>
      <c r="I1">
        <v>0</v>
      </c>
    </row>
    <row r="2" spans="1:9" x14ac:dyDescent="0.35">
      <c r="A2">
        <v>-8.0810196232050701E-4</v>
      </c>
      <c r="B2">
        <v>-6.6743046045303303E-2</v>
      </c>
      <c r="C2">
        <v>4.4342974433675398E-4</v>
      </c>
      <c r="D2">
        <v>0.21195751428604101</v>
      </c>
      <c r="E2">
        <v>1.1818818747997299E-3</v>
      </c>
      <c r="F2">
        <v>0.30656093358993503</v>
      </c>
      <c r="G2">
        <v>0</v>
      </c>
      <c r="H2">
        <v>0</v>
      </c>
      <c r="I2">
        <v>0</v>
      </c>
    </row>
    <row r="3" spans="1:9" x14ac:dyDescent="0.35">
      <c r="A3">
        <v>7.8557301312684995E-3</v>
      </c>
      <c r="B3">
        <v>-0.127810284495354</v>
      </c>
      <c r="C3">
        <v>-1.16112818941474E-2</v>
      </c>
      <c r="D3">
        <v>2.8561159968376201E-2</v>
      </c>
      <c r="E3">
        <v>-4.7612398862838697E-2</v>
      </c>
      <c r="F3">
        <v>0.55316102504730202</v>
      </c>
      <c r="G3">
        <v>1.4</v>
      </c>
      <c r="H3">
        <v>0</v>
      </c>
      <c r="I3">
        <v>0</v>
      </c>
    </row>
    <row r="4" spans="1:9" x14ac:dyDescent="0.35">
      <c r="A4">
        <v>1.1252735275775201E-3</v>
      </c>
      <c r="B4">
        <v>-5.59809319674969E-2</v>
      </c>
      <c r="C4">
        <v>-7.4938102625310399E-4</v>
      </c>
      <c r="D4">
        <v>-3.5423979163169902E-2</v>
      </c>
      <c r="E4">
        <v>-1.04948431253433E-2</v>
      </c>
      <c r="F4">
        <v>0.35301661491393999</v>
      </c>
      <c r="G4">
        <v>1.4</v>
      </c>
      <c r="H4">
        <v>0</v>
      </c>
      <c r="I4">
        <v>0</v>
      </c>
    </row>
    <row r="5" spans="1:9" x14ac:dyDescent="0.35">
      <c r="A5">
        <v>-5.5839424021542105E-4</v>
      </c>
      <c r="B5">
        <v>-0.11975701153278399</v>
      </c>
      <c r="C5">
        <v>-9.9074037279933691E-4</v>
      </c>
      <c r="D5">
        <v>-0.19020733237266499</v>
      </c>
      <c r="E5">
        <v>-2.60122120380402E-3</v>
      </c>
      <c r="F5">
        <v>0.66739636659622203</v>
      </c>
      <c r="G5">
        <v>0</v>
      </c>
      <c r="H5">
        <v>0</v>
      </c>
      <c r="I5">
        <v>0</v>
      </c>
    </row>
    <row r="6" spans="1:9" x14ac:dyDescent="0.35">
      <c r="A6">
        <v>1.04370433837175E-2</v>
      </c>
      <c r="B6">
        <v>-0.129757210612297</v>
      </c>
      <c r="C6">
        <v>-7.3771281167864799E-3</v>
      </c>
      <c r="D6">
        <v>-0.55726921558380105</v>
      </c>
      <c r="E6">
        <v>-6.0898363590240499E-2</v>
      </c>
      <c r="F6">
        <v>0.32599642872810403</v>
      </c>
      <c r="G6">
        <v>1.4</v>
      </c>
      <c r="H6">
        <v>0</v>
      </c>
      <c r="I6">
        <v>0</v>
      </c>
    </row>
    <row r="7" spans="1:9" x14ac:dyDescent="0.35">
      <c r="A7">
        <v>-5.38935419172049E-4</v>
      </c>
      <c r="B7">
        <v>-0.118809439241886</v>
      </c>
      <c r="C7">
        <v>3.4749228507280402E-3</v>
      </c>
      <c r="D7">
        <v>-0.621493339538574</v>
      </c>
      <c r="E7">
        <v>1.56053192913532E-2</v>
      </c>
      <c r="F7">
        <v>0.10576334595680199</v>
      </c>
      <c r="G7">
        <v>0</v>
      </c>
      <c r="H7">
        <v>0</v>
      </c>
      <c r="I7">
        <v>0</v>
      </c>
    </row>
    <row r="8" spans="1:9" x14ac:dyDescent="0.35">
      <c r="A8">
        <v>-7.8150304034352303E-4</v>
      </c>
      <c r="B8">
        <v>4.4897478073835401E-2</v>
      </c>
      <c r="C8">
        <v>-8.2051888108253507E-2</v>
      </c>
      <c r="D8">
        <v>0.48326423764228799</v>
      </c>
      <c r="E8">
        <v>-0.55701375007629395</v>
      </c>
      <c r="F8">
        <v>-0.30146327614784202</v>
      </c>
      <c r="G8">
        <v>0</v>
      </c>
      <c r="H8">
        <v>0</v>
      </c>
      <c r="I8">
        <v>0</v>
      </c>
    </row>
    <row r="9" spans="1:9" x14ac:dyDescent="0.35">
      <c r="A9">
        <v>-4.8895599320530902E-4</v>
      </c>
      <c r="B9">
        <v>4.6247739344835302E-2</v>
      </c>
      <c r="C9">
        <v>-8.3231396973133101E-2</v>
      </c>
      <c r="D9">
        <v>0.33926415443420399</v>
      </c>
      <c r="E9">
        <v>-0.45690825581550598</v>
      </c>
      <c r="F9">
        <v>-0.25065129995346103</v>
      </c>
      <c r="G9">
        <v>0</v>
      </c>
      <c r="H9">
        <v>0</v>
      </c>
      <c r="I9">
        <v>0</v>
      </c>
    </row>
    <row r="10" spans="1:9" x14ac:dyDescent="0.35">
      <c r="A10">
        <v>1.7005717381834999E-3</v>
      </c>
      <c r="B10">
        <v>8.4788650274276706E-2</v>
      </c>
      <c r="C10">
        <v>-0.143600359559059</v>
      </c>
      <c r="D10">
        <v>0.28701612353324901</v>
      </c>
      <c r="E10">
        <v>-0.64443814754486095</v>
      </c>
      <c r="F10">
        <v>-0.37070235610008201</v>
      </c>
      <c r="G10">
        <v>1.4</v>
      </c>
      <c r="H10">
        <v>0</v>
      </c>
      <c r="I10">
        <v>0</v>
      </c>
    </row>
    <row r="11" spans="1:9" x14ac:dyDescent="0.35">
      <c r="A11">
        <v>1.0739560239017001E-3</v>
      </c>
      <c r="B11">
        <v>4.1172292083501802E-2</v>
      </c>
      <c r="C11">
        <v>-6.7707680165767697E-2</v>
      </c>
      <c r="D11">
        <v>0.187965422868729</v>
      </c>
      <c r="E11">
        <v>-0.244067072868347</v>
      </c>
      <c r="F11">
        <v>-0.14198835194110901</v>
      </c>
      <c r="G11">
        <v>1.4</v>
      </c>
      <c r="H11">
        <v>0</v>
      </c>
      <c r="I11">
        <v>0</v>
      </c>
    </row>
    <row r="12" spans="1:9" x14ac:dyDescent="0.35">
      <c r="A12">
        <v>-4.8927497118711504E-4</v>
      </c>
      <c r="B12">
        <v>3.26927192509174E-2</v>
      </c>
      <c r="C12">
        <v>-5.8575917035341298E-2</v>
      </c>
      <c r="D12">
        <v>-1.28835095092654E-2</v>
      </c>
      <c r="E12">
        <v>-0.29204529523849498</v>
      </c>
      <c r="F12">
        <v>-0.16083618998527499</v>
      </c>
      <c r="G12">
        <v>1.4</v>
      </c>
      <c r="H12">
        <v>0</v>
      </c>
      <c r="I12">
        <v>0</v>
      </c>
    </row>
    <row r="13" spans="1:9" x14ac:dyDescent="0.35">
      <c r="A13">
        <v>-1.61128584295511E-4</v>
      </c>
      <c r="B13">
        <v>6.6224433481693296E-2</v>
      </c>
      <c r="C13">
        <v>-0.118051804602146</v>
      </c>
      <c r="D13">
        <v>-0.18827667832374601</v>
      </c>
      <c r="E13">
        <v>-0.57758575677871704</v>
      </c>
      <c r="F13">
        <v>-0.318100035190582</v>
      </c>
      <c r="G13">
        <v>1.4</v>
      </c>
      <c r="H13">
        <v>0</v>
      </c>
      <c r="I13">
        <v>0</v>
      </c>
    </row>
    <row r="14" spans="1:9" x14ac:dyDescent="0.35">
      <c r="A14">
        <v>3.27638350427151E-4</v>
      </c>
      <c r="B14">
        <v>4.1303895413875601E-2</v>
      </c>
      <c r="C14">
        <v>-7.1706265211105305E-2</v>
      </c>
      <c r="D14">
        <v>-0.16764184832572901</v>
      </c>
      <c r="E14">
        <v>-0.24127176403999301</v>
      </c>
      <c r="F14">
        <v>-0.13795974850654599</v>
      </c>
      <c r="G14">
        <v>0</v>
      </c>
      <c r="H14">
        <v>0</v>
      </c>
      <c r="I14">
        <v>0</v>
      </c>
    </row>
    <row r="15" spans="1:9" x14ac:dyDescent="0.35">
      <c r="A15">
        <v>3.5051628947258001E-4</v>
      </c>
      <c r="B15">
        <v>3.2155215740203899E-2</v>
      </c>
      <c r="C15">
        <v>-5.4656162858009297E-2</v>
      </c>
      <c r="D15">
        <v>-0.106987468898296</v>
      </c>
      <c r="E15">
        <v>-0.16471621394157401</v>
      </c>
      <c r="F15">
        <v>-9.7047880291938796E-2</v>
      </c>
      <c r="G15">
        <v>0</v>
      </c>
      <c r="H15">
        <v>0</v>
      </c>
      <c r="I15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D6981-73D2-4F8C-88D7-D5FA77AC2EB0}">
  <dimension ref="A1:M28"/>
  <sheetViews>
    <sheetView workbookViewId="0">
      <selection activeCell="O24" sqref="O24"/>
    </sheetView>
  </sheetViews>
  <sheetFormatPr defaultRowHeight="14.5" x14ac:dyDescent="0.35"/>
  <sheetData>
    <row r="1" spans="1:13" ht="16" x14ac:dyDescent="0.4">
      <c r="A1" s="27" t="s">
        <v>23</v>
      </c>
      <c r="B1" s="28"/>
      <c r="C1" s="28"/>
      <c r="D1" s="28"/>
      <c r="E1" s="28"/>
      <c r="F1" s="29"/>
      <c r="H1" s="27" t="s">
        <v>24</v>
      </c>
      <c r="I1" s="28"/>
      <c r="J1" s="28"/>
      <c r="K1" s="28"/>
      <c r="L1" s="28"/>
      <c r="M1" s="29"/>
    </row>
    <row r="2" spans="1:13" ht="16" x14ac:dyDescent="0.4">
      <c r="A2" s="3" t="s">
        <v>17</v>
      </c>
      <c r="B2" s="3" t="s">
        <v>18</v>
      </c>
      <c r="C2" s="3" t="s">
        <v>19</v>
      </c>
      <c r="D2" s="3" t="s">
        <v>20</v>
      </c>
      <c r="E2" s="3" t="s">
        <v>21</v>
      </c>
      <c r="F2" s="3" t="s">
        <v>22</v>
      </c>
      <c r="H2" s="3" t="s">
        <v>20</v>
      </c>
      <c r="I2" s="3" t="s">
        <v>21</v>
      </c>
      <c r="J2" s="3" t="s">
        <v>22</v>
      </c>
      <c r="K2" s="3" t="s">
        <v>17</v>
      </c>
      <c r="L2" s="3" t="s">
        <v>18</v>
      </c>
      <c r="M2" s="3" t="s">
        <v>19</v>
      </c>
    </row>
    <row r="3" spans="1:13" x14ac:dyDescent="0.35">
      <c r="A3">
        <v>0.203822165727615</v>
      </c>
      <c r="B3">
        <v>7.5630694627761797E-3</v>
      </c>
      <c r="C3">
        <v>0.179403036832809</v>
      </c>
      <c r="D3">
        <v>-1.46811630111188E-3</v>
      </c>
      <c r="E3">
        <v>3.4524299204349497E-2</v>
      </c>
      <c r="F3" s="5">
        <v>8.3457410801202102E-4</v>
      </c>
      <c r="H3">
        <f>$F3</f>
        <v>8.3457410801202102E-4</v>
      </c>
      <c r="I3">
        <f>-1*$E3</f>
        <v>-3.4524299204349497E-2</v>
      </c>
      <c r="J3">
        <f>$D3</f>
        <v>-1.46811630111188E-3</v>
      </c>
      <c r="K3">
        <f>$C3</f>
        <v>0.179403036832809</v>
      </c>
      <c r="L3">
        <f>-1*$B3</f>
        <v>-7.5630694627761797E-3</v>
      </c>
      <c r="M3">
        <f>$A3</f>
        <v>0.203822165727615</v>
      </c>
    </row>
    <row r="4" spans="1:13" x14ac:dyDescent="0.35">
      <c r="A4">
        <v>0.30656093358993503</v>
      </c>
      <c r="B4">
        <v>-1.1818818747997299E-3</v>
      </c>
      <c r="C4">
        <v>0.21195751428604101</v>
      </c>
      <c r="D4">
        <v>4.4342974433675398E-4</v>
      </c>
      <c r="E4">
        <v>6.6743046045303303E-2</v>
      </c>
      <c r="F4">
        <v>-8.0810196232050701E-4</v>
      </c>
      <c r="H4">
        <f t="shared" ref="H4:H28" si="0">$F4</f>
        <v>-8.0810196232050701E-4</v>
      </c>
      <c r="I4">
        <f t="shared" ref="I4:I28" si="1">-1*$E4</f>
        <v>-6.6743046045303303E-2</v>
      </c>
      <c r="J4">
        <f t="shared" ref="J4:J28" si="2">$D4</f>
        <v>4.4342974433675398E-4</v>
      </c>
      <c r="K4">
        <f t="shared" ref="K4:K28" si="3">$C4</f>
        <v>0.21195751428604101</v>
      </c>
      <c r="L4">
        <f t="shared" ref="L4:L28" si="4">-1*$B4</f>
        <v>1.1818818747997299E-3</v>
      </c>
      <c r="M4">
        <f t="shared" ref="M4:M28" si="5">$A4</f>
        <v>0.30656093358993503</v>
      </c>
    </row>
    <row r="5" spans="1:13" x14ac:dyDescent="0.35">
      <c r="A5">
        <v>0.55316102504730202</v>
      </c>
      <c r="B5">
        <v>4.7612398862838697E-2</v>
      </c>
      <c r="C5">
        <v>2.8561159968376201E-2</v>
      </c>
      <c r="D5">
        <v>-1.16112818941474E-2</v>
      </c>
      <c r="E5">
        <v>0.127810284495354</v>
      </c>
      <c r="F5">
        <v>7.8557301312684995E-3</v>
      </c>
      <c r="H5">
        <f t="shared" si="0"/>
        <v>7.8557301312684995E-3</v>
      </c>
      <c r="I5">
        <f t="shared" si="1"/>
        <v>-0.127810284495354</v>
      </c>
      <c r="J5">
        <f t="shared" si="2"/>
        <v>-1.16112818941474E-2</v>
      </c>
      <c r="K5">
        <f t="shared" si="3"/>
        <v>2.8561159968376201E-2</v>
      </c>
      <c r="L5">
        <f t="shared" si="4"/>
        <v>-4.7612398862838697E-2</v>
      </c>
      <c r="M5">
        <f t="shared" si="5"/>
        <v>0.55316102504730202</v>
      </c>
    </row>
    <row r="6" spans="1:13" x14ac:dyDescent="0.35">
      <c r="A6">
        <v>0.35301661491393999</v>
      </c>
      <c r="B6">
        <v>1.04948431253433E-2</v>
      </c>
      <c r="C6">
        <v>-3.5423979163169902E-2</v>
      </c>
      <c r="D6">
        <v>-7.4938102625310399E-4</v>
      </c>
      <c r="E6">
        <v>5.59809319674969E-2</v>
      </c>
      <c r="F6">
        <v>1.1252735275775201E-3</v>
      </c>
      <c r="H6">
        <f t="shared" si="0"/>
        <v>1.1252735275775201E-3</v>
      </c>
      <c r="I6">
        <f t="shared" si="1"/>
        <v>-5.59809319674969E-2</v>
      </c>
      <c r="J6">
        <f t="shared" si="2"/>
        <v>-7.4938102625310399E-4</v>
      </c>
      <c r="K6">
        <f t="shared" si="3"/>
        <v>-3.5423979163169902E-2</v>
      </c>
      <c r="L6">
        <f t="shared" si="4"/>
        <v>-1.04948431253433E-2</v>
      </c>
      <c r="M6">
        <f t="shared" si="5"/>
        <v>0.35301661491393999</v>
      </c>
    </row>
    <row r="7" spans="1:13" x14ac:dyDescent="0.35">
      <c r="A7">
        <v>0.66739636659622203</v>
      </c>
      <c r="B7">
        <v>2.60122120380402E-3</v>
      </c>
      <c r="C7">
        <v>-0.19020733237266499</v>
      </c>
      <c r="D7">
        <v>-9.9074037279933691E-4</v>
      </c>
      <c r="E7">
        <v>0.11975701153278399</v>
      </c>
      <c r="F7">
        <v>-5.5839424021542105E-4</v>
      </c>
      <c r="H7">
        <f t="shared" si="0"/>
        <v>-5.5839424021542105E-4</v>
      </c>
      <c r="I7">
        <f t="shared" si="1"/>
        <v>-0.11975701153278399</v>
      </c>
      <c r="J7">
        <f t="shared" si="2"/>
        <v>-9.9074037279933691E-4</v>
      </c>
      <c r="K7">
        <f t="shared" si="3"/>
        <v>-0.19020733237266499</v>
      </c>
      <c r="L7">
        <f t="shared" si="4"/>
        <v>-2.60122120380402E-3</v>
      </c>
      <c r="M7">
        <f t="shared" si="5"/>
        <v>0.66739636659622203</v>
      </c>
    </row>
    <row r="8" spans="1:13" x14ac:dyDescent="0.35">
      <c r="A8">
        <v>0.32599642872810403</v>
      </c>
      <c r="B8">
        <v>6.0898363590240499E-2</v>
      </c>
      <c r="C8">
        <v>-0.55726921558380105</v>
      </c>
      <c r="D8">
        <v>-7.3771281167864799E-3</v>
      </c>
      <c r="E8">
        <v>0.129757210612297</v>
      </c>
      <c r="F8">
        <v>1.04370433837175E-2</v>
      </c>
      <c r="H8">
        <f t="shared" si="0"/>
        <v>1.04370433837175E-2</v>
      </c>
      <c r="I8">
        <f t="shared" si="1"/>
        <v>-0.129757210612297</v>
      </c>
      <c r="J8">
        <f t="shared" si="2"/>
        <v>-7.3771281167864799E-3</v>
      </c>
      <c r="K8">
        <f t="shared" si="3"/>
        <v>-0.55726921558380105</v>
      </c>
      <c r="L8">
        <f t="shared" si="4"/>
        <v>-6.0898363590240499E-2</v>
      </c>
      <c r="M8">
        <f t="shared" si="5"/>
        <v>0.32599642872810403</v>
      </c>
    </row>
    <row r="9" spans="1:13" x14ac:dyDescent="0.35">
      <c r="A9">
        <v>-0.30146327614784202</v>
      </c>
      <c r="B9">
        <v>0.55701375007629395</v>
      </c>
      <c r="C9">
        <v>0.48326423764228799</v>
      </c>
      <c r="D9">
        <v>-8.2051888108253507E-2</v>
      </c>
      <c r="E9">
        <v>-4.4897478073835401E-2</v>
      </c>
      <c r="F9">
        <v>-7.8150304034352303E-4</v>
      </c>
      <c r="H9">
        <f t="shared" si="0"/>
        <v>-7.8150304034352303E-4</v>
      </c>
      <c r="I9">
        <f t="shared" si="1"/>
        <v>4.4897478073835401E-2</v>
      </c>
      <c r="J9">
        <f t="shared" si="2"/>
        <v>-8.2051888108253507E-2</v>
      </c>
      <c r="K9">
        <f t="shared" si="3"/>
        <v>0.48326423764228799</v>
      </c>
      <c r="L9">
        <f t="shared" si="4"/>
        <v>-0.55701375007629395</v>
      </c>
      <c r="M9">
        <f t="shared" si="5"/>
        <v>-0.30146327614784202</v>
      </c>
    </row>
    <row r="10" spans="1:13" x14ac:dyDescent="0.35">
      <c r="A10">
        <v>-0.25065129995346103</v>
      </c>
      <c r="B10">
        <v>0.45690825581550598</v>
      </c>
      <c r="C10">
        <v>0.33926415443420399</v>
      </c>
      <c r="D10">
        <v>-8.3231396973133101E-2</v>
      </c>
      <c r="E10">
        <v>-4.6247739344835302E-2</v>
      </c>
      <c r="F10">
        <v>-4.8895599320530902E-4</v>
      </c>
      <c r="H10">
        <f t="shared" si="0"/>
        <v>-4.8895599320530902E-4</v>
      </c>
      <c r="I10">
        <f t="shared" si="1"/>
        <v>4.6247739344835302E-2</v>
      </c>
      <c r="J10">
        <f t="shared" si="2"/>
        <v>-8.3231396973133101E-2</v>
      </c>
      <c r="K10">
        <f t="shared" si="3"/>
        <v>0.33926415443420399</v>
      </c>
      <c r="L10">
        <f t="shared" si="4"/>
        <v>-0.45690825581550598</v>
      </c>
      <c r="M10">
        <f t="shared" si="5"/>
        <v>-0.25065129995346103</v>
      </c>
    </row>
    <row r="11" spans="1:13" x14ac:dyDescent="0.35">
      <c r="A11">
        <v>-0.37070235610008201</v>
      </c>
      <c r="B11">
        <v>0.64443814754486095</v>
      </c>
      <c r="C11">
        <v>0.28701612353324901</v>
      </c>
      <c r="D11">
        <v>-0.143600359559059</v>
      </c>
      <c r="E11">
        <v>-8.4788650274276706E-2</v>
      </c>
      <c r="F11">
        <v>1.7005717381834999E-3</v>
      </c>
      <c r="H11">
        <f t="shared" si="0"/>
        <v>1.7005717381834999E-3</v>
      </c>
      <c r="I11">
        <f t="shared" si="1"/>
        <v>8.4788650274276706E-2</v>
      </c>
      <c r="J11">
        <f t="shared" si="2"/>
        <v>-0.143600359559059</v>
      </c>
      <c r="K11">
        <f t="shared" si="3"/>
        <v>0.28701612353324901</v>
      </c>
      <c r="L11">
        <f t="shared" si="4"/>
        <v>-0.64443814754486095</v>
      </c>
      <c r="M11">
        <f t="shared" si="5"/>
        <v>-0.37070235610008201</v>
      </c>
    </row>
    <row r="12" spans="1:13" x14ac:dyDescent="0.35">
      <c r="A12">
        <v>-0.14198835194110901</v>
      </c>
      <c r="B12">
        <v>0.244067072868347</v>
      </c>
      <c r="C12">
        <v>0.187965422868729</v>
      </c>
      <c r="D12">
        <v>-6.7707680165767697E-2</v>
      </c>
      <c r="E12">
        <v>-4.1172292083501802E-2</v>
      </c>
      <c r="F12">
        <v>1.0739560239017001E-3</v>
      </c>
      <c r="H12">
        <f t="shared" si="0"/>
        <v>1.0739560239017001E-3</v>
      </c>
      <c r="I12">
        <f t="shared" si="1"/>
        <v>4.1172292083501802E-2</v>
      </c>
      <c r="J12">
        <f t="shared" si="2"/>
        <v>-6.7707680165767697E-2</v>
      </c>
      <c r="K12">
        <f t="shared" si="3"/>
        <v>0.187965422868729</v>
      </c>
      <c r="L12">
        <f t="shared" si="4"/>
        <v>-0.244067072868347</v>
      </c>
      <c r="M12">
        <f t="shared" si="5"/>
        <v>-0.14198835194110901</v>
      </c>
    </row>
    <row r="13" spans="1:13" x14ac:dyDescent="0.35">
      <c r="A13">
        <v>-0.16083618998527499</v>
      </c>
      <c r="B13">
        <v>0.29204529523849498</v>
      </c>
      <c r="C13">
        <v>-1.28835095092654E-2</v>
      </c>
      <c r="D13">
        <v>-5.8575917035341298E-2</v>
      </c>
      <c r="E13">
        <v>-3.26927192509174E-2</v>
      </c>
      <c r="F13">
        <v>-4.8927497118711504E-4</v>
      </c>
      <c r="H13">
        <f t="shared" si="0"/>
        <v>-4.8927497118711504E-4</v>
      </c>
      <c r="I13">
        <f t="shared" si="1"/>
        <v>3.26927192509174E-2</v>
      </c>
      <c r="J13">
        <f t="shared" si="2"/>
        <v>-5.8575917035341298E-2</v>
      </c>
      <c r="K13">
        <f t="shared" si="3"/>
        <v>-1.28835095092654E-2</v>
      </c>
      <c r="L13">
        <f t="shared" si="4"/>
        <v>-0.29204529523849498</v>
      </c>
      <c r="M13">
        <f t="shared" si="5"/>
        <v>-0.16083618998527499</v>
      </c>
    </row>
    <row r="14" spans="1:13" x14ac:dyDescent="0.35">
      <c r="A14">
        <v>-0.318100035190582</v>
      </c>
      <c r="B14">
        <v>0.57758575677871704</v>
      </c>
      <c r="C14">
        <v>-0.18827667832374601</v>
      </c>
      <c r="D14">
        <v>-0.118051804602146</v>
      </c>
      <c r="E14">
        <v>-6.6224433481693296E-2</v>
      </c>
      <c r="F14">
        <v>-1.61128584295511E-4</v>
      </c>
      <c r="H14">
        <f t="shared" si="0"/>
        <v>-1.61128584295511E-4</v>
      </c>
      <c r="I14">
        <f t="shared" si="1"/>
        <v>6.6224433481693296E-2</v>
      </c>
      <c r="J14">
        <f t="shared" si="2"/>
        <v>-0.118051804602146</v>
      </c>
      <c r="K14">
        <f t="shared" si="3"/>
        <v>-0.18827667832374601</v>
      </c>
      <c r="L14">
        <f t="shared" si="4"/>
        <v>-0.57758575677871704</v>
      </c>
      <c r="M14">
        <f t="shared" si="5"/>
        <v>-0.318100035190582</v>
      </c>
    </row>
    <row r="15" spans="1:13" x14ac:dyDescent="0.35">
      <c r="A15">
        <v>-0.13795974850654599</v>
      </c>
      <c r="B15">
        <v>0.24127176403999301</v>
      </c>
      <c r="C15">
        <v>-0.16764184832572901</v>
      </c>
      <c r="D15">
        <v>-7.1706265211105305E-2</v>
      </c>
      <c r="E15">
        <v>-4.1303895413875601E-2</v>
      </c>
      <c r="F15">
        <v>3.27638350427151E-4</v>
      </c>
      <c r="H15">
        <f t="shared" si="0"/>
        <v>3.27638350427151E-4</v>
      </c>
      <c r="I15">
        <f t="shared" si="1"/>
        <v>4.1303895413875601E-2</v>
      </c>
      <c r="J15">
        <f t="shared" si="2"/>
        <v>-7.1706265211105305E-2</v>
      </c>
      <c r="K15">
        <f t="shared" si="3"/>
        <v>-0.16764184832572901</v>
      </c>
      <c r="L15">
        <f t="shared" si="4"/>
        <v>-0.24127176403999301</v>
      </c>
      <c r="M15">
        <f t="shared" si="5"/>
        <v>-0.13795974850654599</v>
      </c>
    </row>
    <row r="16" spans="1:13" x14ac:dyDescent="0.35">
      <c r="A16">
        <v>-9.7047880291938796E-2</v>
      </c>
      <c r="B16">
        <v>0.16471621394157401</v>
      </c>
      <c r="C16">
        <v>-0.106987468898296</v>
      </c>
      <c r="D16">
        <v>-5.4656162858009297E-2</v>
      </c>
      <c r="E16">
        <v>-3.2155215740203899E-2</v>
      </c>
      <c r="F16">
        <v>3.5051628947258001E-4</v>
      </c>
      <c r="H16">
        <f t="shared" si="0"/>
        <v>3.5051628947258001E-4</v>
      </c>
      <c r="I16">
        <f t="shared" si="1"/>
        <v>3.2155215740203899E-2</v>
      </c>
      <c r="J16">
        <f t="shared" si="2"/>
        <v>-5.4656162858009297E-2</v>
      </c>
      <c r="K16">
        <f t="shared" si="3"/>
        <v>-0.106987468898296</v>
      </c>
      <c r="L16">
        <f t="shared" si="4"/>
        <v>-0.16471621394157401</v>
      </c>
      <c r="M16">
        <f t="shared" si="5"/>
        <v>-9.7047880291938796E-2</v>
      </c>
    </row>
    <row r="17" spans="1:13" x14ac:dyDescent="0.35">
      <c r="A17">
        <v>0.10576334595680199</v>
      </c>
      <c r="B17">
        <v>-1.56053192913532E-2</v>
      </c>
      <c r="C17">
        <v>-0.621493339538574</v>
      </c>
      <c r="D17">
        <v>3.4749228507280402E-3</v>
      </c>
      <c r="E17">
        <v>0.118809439241886</v>
      </c>
      <c r="F17">
        <v>-5.38935419172049E-4</v>
      </c>
      <c r="H17">
        <f t="shared" si="0"/>
        <v>-5.38935419172049E-4</v>
      </c>
      <c r="I17">
        <f t="shared" si="1"/>
        <v>-0.118809439241886</v>
      </c>
      <c r="J17">
        <f t="shared" si="2"/>
        <v>3.4749228507280402E-3</v>
      </c>
      <c r="K17">
        <f t="shared" si="3"/>
        <v>-0.621493339538574</v>
      </c>
      <c r="L17">
        <f t="shared" si="4"/>
        <v>1.56053192913532E-2</v>
      </c>
      <c r="M17">
        <f t="shared" si="5"/>
        <v>0.10576334595680199</v>
      </c>
    </row>
    <row r="18" spans="1:13" x14ac:dyDescent="0.35">
      <c r="H18">
        <f t="shared" si="0"/>
        <v>0</v>
      </c>
      <c r="I18">
        <f t="shared" si="1"/>
        <v>0</v>
      </c>
      <c r="J18">
        <f t="shared" si="2"/>
        <v>0</v>
      </c>
      <c r="K18">
        <f t="shared" si="3"/>
        <v>0</v>
      </c>
      <c r="L18">
        <f t="shared" si="4"/>
        <v>0</v>
      </c>
      <c r="M18">
        <f t="shared" si="5"/>
        <v>0</v>
      </c>
    </row>
    <row r="19" spans="1:13" x14ac:dyDescent="0.35">
      <c r="H19">
        <f t="shared" si="0"/>
        <v>0</v>
      </c>
      <c r="I19">
        <f t="shared" si="1"/>
        <v>0</v>
      </c>
      <c r="J19">
        <f t="shared" si="2"/>
        <v>0</v>
      </c>
      <c r="K19">
        <f t="shared" si="3"/>
        <v>0</v>
      </c>
      <c r="L19">
        <f t="shared" si="4"/>
        <v>0</v>
      </c>
      <c r="M19">
        <f t="shared" si="5"/>
        <v>0</v>
      </c>
    </row>
    <row r="20" spans="1:13" x14ac:dyDescent="0.35">
      <c r="H20">
        <f t="shared" si="0"/>
        <v>0</v>
      </c>
      <c r="I20">
        <f t="shared" si="1"/>
        <v>0</v>
      </c>
      <c r="J20">
        <f t="shared" si="2"/>
        <v>0</v>
      </c>
      <c r="K20">
        <f t="shared" si="3"/>
        <v>0</v>
      </c>
      <c r="L20">
        <f t="shared" si="4"/>
        <v>0</v>
      </c>
      <c r="M20">
        <f t="shared" si="5"/>
        <v>0</v>
      </c>
    </row>
    <row r="21" spans="1:13" x14ac:dyDescent="0.35">
      <c r="H21">
        <f t="shared" si="0"/>
        <v>0</v>
      </c>
      <c r="I21">
        <f t="shared" si="1"/>
        <v>0</v>
      </c>
      <c r="J21">
        <f t="shared" si="2"/>
        <v>0</v>
      </c>
      <c r="K21">
        <f t="shared" si="3"/>
        <v>0</v>
      </c>
      <c r="L21">
        <f t="shared" si="4"/>
        <v>0</v>
      </c>
      <c r="M21">
        <f t="shared" si="5"/>
        <v>0</v>
      </c>
    </row>
    <row r="22" spans="1:13" x14ac:dyDescent="0.35">
      <c r="H22">
        <f t="shared" si="0"/>
        <v>0</v>
      </c>
      <c r="I22">
        <f t="shared" si="1"/>
        <v>0</v>
      </c>
      <c r="J22">
        <f t="shared" si="2"/>
        <v>0</v>
      </c>
      <c r="K22">
        <f t="shared" si="3"/>
        <v>0</v>
      </c>
      <c r="L22">
        <f t="shared" si="4"/>
        <v>0</v>
      </c>
      <c r="M22">
        <f t="shared" si="5"/>
        <v>0</v>
      </c>
    </row>
    <row r="23" spans="1:13" x14ac:dyDescent="0.35">
      <c r="H23">
        <f t="shared" si="0"/>
        <v>0</v>
      </c>
      <c r="I23">
        <f t="shared" si="1"/>
        <v>0</v>
      </c>
      <c r="J23">
        <f t="shared" si="2"/>
        <v>0</v>
      </c>
      <c r="K23">
        <f t="shared" si="3"/>
        <v>0</v>
      </c>
      <c r="L23">
        <f t="shared" si="4"/>
        <v>0</v>
      </c>
      <c r="M23">
        <f t="shared" si="5"/>
        <v>0</v>
      </c>
    </row>
    <row r="24" spans="1:13" x14ac:dyDescent="0.35">
      <c r="H24">
        <f t="shared" si="0"/>
        <v>0</v>
      </c>
      <c r="I24">
        <f t="shared" si="1"/>
        <v>0</v>
      </c>
      <c r="J24">
        <f t="shared" si="2"/>
        <v>0</v>
      </c>
      <c r="K24">
        <f t="shared" si="3"/>
        <v>0</v>
      </c>
      <c r="L24">
        <f t="shared" si="4"/>
        <v>0</v>
      </c>
      <c r="M24">
        <f t="shared" si="5"/>
        <v>0</v>
      </c>
    </row>
    <row r="25" spans="1:13" x14ac:dyDescent="0.35">
      <c r="H25">
        <f t="shared" si="0"/>
        <v>0</v>
      </c>
      <c r="I25">
        <f t="shared" si="1"/>
        <v>0</v>
      </c>
      <c r="J25">
        <f t="shared" si="2"/>
        <v>0</v>
      </c>
      <c r="K25">
        <f t="shared" si="3"/>
        <v>0</v>
      </c>
      <c r="L25">
        <f t="shared" si="4"/>
        <v>0</v>
      </c>
      <c r="M25">
        <f t="shared" si="5"/>
        <v>0</v>
      </c>
    </row>
    <row r="26" spans="1:13" x14ac:dyDescent="0.35">
      <c r="H26">
        <f t="shared" si="0"/>
        <v>0</v>
      </c>
      <c r="I26">
        <f t="shared" si="1"/>
        <v>0</v>
      </c>
      <c r="J26">
        <f t="shared" si="2"/>
        <v>0</v>
      </c>
      <c r="K26">
        <f t="shared" si="3"/>
        <v>0</v>
      </c>
      <c r="L26">
        <f t="shared" si="4"/>
        <v>0</v>
      </c>
      <c r="M26">
        <f t="shared" si="5"/>
        <v>0</v>
      </c>
    </row>
    <row r="27" spans="1:13" x14ac:dyDescent="0.35">
      <c r="H27">
        <f t="shared" si="0"/>
        <v>0</v>
      </c>
      <c r="I27">
        <f t="shared" si="1"/>
        <v>0</v>
      </c>
      <c r="J27">
        <f t="shared" si="2"/>
        <v>0</v>
      </c>
      <c r="K27">
        <f t="shared" si="3"/>
        <v>0</v>
      </c>
      <c r="L27">
        <f t="shared" si="4"/>
        <v>0</v>
      </c>
      <c r="M27">
        <f t="shared" si="5"/>
        <v>0</v>
      </c>
    </row>
    <row r="28" spans="1:13" x14ac:dyDescent="0.35">
      <c r="H28">
        <f t="shared" si="0"/>
        <v>0</v>
      </c>
      <c r="I28">
        <f t="shared" si="1"/>
        <v>0</v>
      </c>
      <c r="J28">
        <f t="shared" si="2"/>
        <v>0</v>
      </c>
      <c r="K28">
        <f t="shared" si="3"/>
        <v>0</v>
      </c>
      <c r="L28">
        <f t="shared" si="4"/>
        <v>0</v>
      </c>
      <c r="M28">
        <f t="shared" si="5"/>
        <v>0</v>
      </c>
    </row>
  </sheetData>
  <mergeCells count="2">
    <mergeCell ref="A1:F1"/>
    <mergeCell ref="H1:M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12580AD17ADB64691A1BA4C2E042DA4" ma:contentTypeVersion="18" ma:contentTypeDescription="Create a new document." ma:contentTypeScope="" ma:versionID="6532fc6a52f3455fe895a4f720bca71c">
  <xsd:schema xmlns:xsd="http://www.w3.org/2001/XMLSchema" xmlns:xs="http://www.w3.org/2001/XMLSchema" xmlns:p="http://schemas.microsoft.com/office/2006/metadata/properties" xmlns:ns3="c2b20bf0-79f3-4559-a8ab-bcb74dcd8cd8" xmlns:ns4="08a9f8ec-165a-4165-a8e9-ed45c2de7bcb" targetNamespace="http://schemas.microsoft.com/office/2006/metadata/properties" ma:root="true" ma:fieldsID="d9a2f75daf18a7097de825f86ff3fec6" ns3:_="" ns4:_="">
    <xsd:import namespace="c2b20bf0-79f3-4559-a8ab-bcb74dcd8cd8"/>
    <xsd:import namespace="08a9f8ec-165a-4165-a8e9-ed45c2de7bc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b20bf0-79f3-4559-a8ab-bcb74dcd8cd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25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a9f8ec-165a-4165-a8e9-ed45c2de7bcb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2b20bf0-79f3-4559-a8ab-bcb74dcd8cd8" xsi:nil="true"/>
  </documentManagement>
</p:properties>
</file>

<file path=customXml/itemProps1.xml><?xml version="1.0" encoding="utf-8"?>
<ds:datastoreItem xmlns:ds="http://schemas.openxmlformats.org/officeDocument/2006/customXml" ds:itemID="{65923CC5-95C4-4597-AADE-A0DCE38786F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2b20bf0-79f3-4559-a8ab-bcb74dcd8cd8"/>
    <ds:schemaRef ds:uri="08a9f8ec-165a-4165-a8e9-ed45c2de7bc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D595912-0053-4104-933F-CDA3B3DBC54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E208467-E14A-4CB9-9FC8-72DFB8E94FF2}">
  <ds:schemaRefs>
    <ds:schemaRef ds:uri="http://www.w3.org/XML/1998/namespace"/>
    <ds:schemaRef ds:uri="http://schemas.openxmlformats.org/package/2006/metadata/core-properties"/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purl.org/dc/dcmitype/"/>
    <ds:schemaRef ds:uri="c2b20bf0-79f3-4559-a8ab-bcb74dcd8cd8"/>
    <ds:schemaRef ds:uri="http://schemas.microsoft.com/office/infopath/2007/PartnerControls"/>
    <ds:schemaRef ds:uri="08a9f8ec-165a-4165-a8e9-ed45c2de7bcb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Proximal Validation (single)</vt:lpstr>
      <vt:lpstr>Distal Validation (single)</vt:lpstr>
      <vt:lpstr>Distal Vali (noise 0.5x spec)</vt:lpstr>
      <vt:lpstr>Distal Vali (noise 1.0x spec)</vt:lpstr>
      <vt:lpstr>Distal Vali (noise 0.5x spec 2)</vt:lpstr>
      <vt:lpstr>Distal Vali (noise 1.0x spec 2)</vt:lpstr>
      <vt:lpstr>Distal Vali (noise 2.0x spec 2)</vt:lpstr>
      <vt:lpstr>Sheet1</vt:lpstr>
      <vt:lpstr>Conversion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Noah Jones</dc:creator>
  <cp:lastModifiedBy>Noah Jones</cp:lastModifiedBy>
  <cp:lastPrinted>2025-09-25T19:44:46Z</cp:lastPrinted>
  <dcterms:created xsi:type="dcterms:W3CDTF">2025-08-20T18:12:27Z</dcterms:created>
  <dcterms:modified xsi:type="dcterms:W3CDTF">2025-10-14T20:33:15Z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0x010100E12580AD17ADB64691A1BA4C2E042DA4</vt:lpwstr>
  </property>
</Properties>
</file>