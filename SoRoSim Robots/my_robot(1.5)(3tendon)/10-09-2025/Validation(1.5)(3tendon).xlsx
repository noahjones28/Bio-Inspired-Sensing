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3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jpropertycom-my.sharepoint.com/personal/noah_familiajones_org/Documents/Work and Projects/Github/Whisker_Inspired_Sensing_CR/SoRoSim Robots/my_robot(1.5)(3tendon)/10-09-2025/"/>
    </mc:Choice>
  </mc:AlternateContent>
  <xr:revisionPtr revIDLastSave="2033" documentId="8_{DFFD6B0C-681F-42C8-B2E4-5D4B90AAE966}" xr6:coauthVersionLast="47" xr6:coauthVersionMax="47" xr10:uidLastSave="{65E06915-D108-4373-A059-97679DA20D59}"/>
  <bookViews>
    <workbookView xWindow="-110" yWindow="-110" windowWidth="19420" windowHeight="10300" firstSheet="2" activeTab="3" xr2:uid="{3D16C37F-3C74-4527-A308-796C339DFE9F}"/>
  </bookViews>
  <sheets>
    <sheet name="Proximal Validation (single)" sheetId="8" r:id="rId1"/>
    <sheet name="Distal Validation (single)" sheetId="9" r:id="rId2"/>
    <sheet name="Distal Vali (0.2 prop noise)" sheetId="11" r:id="rId3"/>
    <sheet name="Distal Vali (add noise)" sheetId="13" r:id="rId4"/>
    <sheet name="Sheet1" sheetId="12" r:id="rId5"/>
    <sheet name="Conversion" sheetId="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7" i="13" l="1"/>
  <c r="M17" i="13"/>
  <c r="L17" i="13"/>
  <c r="K17" i="13"/>
  <c r="J17" i="13"/>
  <c r="I17" i="13"/>
  <c r="H17" i="13"/>
  <c r="G17" i="13"/>
  <c r="F17" i="13"/>
  <c r="E17" i="13"/>
  <c r="D17" i="13"/>
  <c r="V17" i="13" s="1"/>
  <c r="C17" i="13"/>
  <c r="U17" i="13" s="1"/>
  <c r="B17" i="13"/>
  <c r="T17" i="13" s="1"/>
  <c r="A17" i="13"/>
  <c r="U16" i="13"/>
  <c r="T16" i="13"/>
  <c r="S16" i="13"/>
  <c r="M16" i="13"/>
  <c r="L16" i="13"/>
  <c r="K16" i="13"/>
  <c r="J16" i="13"/>
  <c r="I16" i="13"/>
  <c r="H16" i="13"/>
  <c r="G16" i="13"/>
  <c r="F16" i="13"/>
  <c r="E16" i="13"/>
  <c r="D16" i="13"/>
  <c r="V16" i="13" s="1"/>
  <c r="C16" i="13"/>
  <c r="B16" i="13"/>
  <c r="A16" i="13"/>
  <c r="M15" i="13"/>
  <c r="L15" i="13"/>
  <c r="K15" i="13"/>
  <c r="J15" i="13"/>
  <c r="I15" i="13"/>
  <c r="H15" i="13"/>
  <c r="G15" i="13"/>
  <c r="F15" i="13"/>
  <c r="E15" i="13"/>
  <c r="D15" i="13"/>
  <c r="V15" i="13" s="1"/>
  <c r="C15" i="13"/>
  <c r="U15" i="13" s="1"/>
  <c r="B15" i="13"/>
  <c r="T15" i="13" s="1"/>
  <c r="A15" i="13"/>
  <c r="S15" i="13" s="1"/>
  <c r="V14" i="13"/>
  <c r="M14" i="13"/>
  <c r="L14" i="13"/>
  <c r="K14" i="13"/>
  <c r="J14" i="13"/>
  <c r="I14" i="13"/>
  <c r="H14" i="13"/>
  <c r="G14" i="13"/>
  <c r="F14" i="13"/>
  <c r="E14" i="13"/>
  <c r="D14" i="13"/>
  <c r="C14" i="13"/>
  <c r="U14" i="13" s="1"/>
  <c r="B14" i="13"/>
  <c r="T14" i="13" s="1"/>
  <c r="A14" i="13"/>
  <c r="S14" i="13" s="1"/>
  <c r="T13" i="13"/>
  <c r="M13" i="13"/>
  <c r="L13" i="13"/>
  <c r="K13" i="13"/>
  <c r="J13" i="13"/>
  <c r="I13" i="13"/>
  <c r="H13" i="13"/>
  <c r="G13" i="13"/>
  <c r="F13" i="13"/>
  <c r="E13" i="13"/>
  <c r="D13" i="13"/>
  <c r="V13" i="13" s="1"/>
  <c r="C13" i="13"/>
  <c r="U13" i="13" s="1"/>
  <c r="B13" i="13"/>
  <c r="A13" i="13"/>
  <c r="S13" i="13" s="1"/>
  <c r="S12" i="13"/>
  <c r="M12" i="13"/>
  <c r="L12" i="13"/>
  <c r="K12" i="13"/>
  <c r="J12" i="13"/>
  <c r="I12" i="13"/>
  <c r="H12" i="13"/>
  <c r="G12" i="13"/>
  <c r="F12" i="13"/>
  <c r="E12" i="13"/>
  <c r="D12" i="13"/>
  <c r="V12" i="13" s="1"/>
  <c r="C12" i="13"/>
  <c r="U12" i="13" s="1"/>
  <c r="B12" i="13"/>
  <c r="T12" i="13" s="1"/>
  <c r="A12" i="13"/>
  <c r="T11" i="13"/>
  <c r="M11" i="13"/>
  <c r="L11" i="13"/>
  <c r="K11" i="13"/>
  <c r="J11" i="13"/>
  <c r="I11" i="13"/>
  <c r="H11" i="13"/>
  <c r="G11" i="13"/>
  <c r="F11" i="13"/>
  <c r="E11" i="13"/>
  <c r="D11" i="13"/>
  <c r="V11" i="13" s="1"/>
  <c r="C11" i="13"/>
  <c r="U11" i="13" s="1"/>
  <c r="B11" i="13"/>
  <c r="A11" i="13"/>
  <c r="S11" i="13" s="1"/>
  <c r="M10" i="13"/>
  <c r="L10" i="13"/>
  <c r="K10" i="13"/>
  <c r="J10" i="13"/>
  <c r="I10" i="13"/>
  <c r="H10" i="13"/>
  <c r="G10" i="13"/>
  <c r="F10" i="13"/>
  <c r="E10" i="13"/>
  <c r="D10" i="13"/>
  <c r="V10" i="13" s="1"/>
  <c r="C10" i="13"/>
  <c r="U10" i="13" s="1"/>
  <c r="B10" i="13"/>
  <c r="T10" i="13" s="1"/>
  <c r="A10" i="13"/>
  <c r="S10" i="13" s="1"/>
  <c r="V9" i="13"/>
  <c r="M9" i="13"/>
  <c r="L9" i="13"/>
  <c r="K9" i="13"/>
  <c r="J9" i="13"/>
  <c r="I9" i="13"/>
  <c r="H9" i="13"/>
  <c r="G9" i="13"/>
  <c r="F9" i="13"/>
  <c r="E9" i="13"/>
  <c r="D9" i="13"/>
  <c r="C9" i="13"/>
  <c r="U9" i="13" s="1"/>
  <c r="B9" i="13"/>
  <c r="T9" i="13" s="1"/>
  <c r="A9" i="13"/>
  <c r="S9" i="13" s="1"/>
  <c r="U8" i="13"/>
  <c r="M8" i="13"/>
  <c r="L8" i="13"/>
  <c r="K8" i="13"/>
  <c r="J8" i="13"/>
  <c r="I8" i="13"/>
  <c r="H8" i="13"/>
  <c r="G8" i="13"/>
  <c r="F8" i="13"/>
  <c r="E8" i="13"/>
  <c r="D8" i="13"/>
  <c r="V8" i="13" s="1"/>
  <c r="C8" i="13"/>
  <c r="B8" i="13"/>
  <c r="T8" i="13" s="1"/>
  <c r="A8" i="13"/>
  <c r="S8" i="13" s="1"/>
  <c r="T7" i="13"/>
  <c r="M7" i="13"/>
  <c r="L7" i="13"/>
  <c r="K7" i="13"/>
  <c r="J7" i="13"/>
  <c r="I7" i="13"/>
  <c r="H7" i="13"/>
  <c r="G7" i="13"/>
  <c r="F7" i="13"/>
  <c r="E7" i="13"/>
  <c r="D7" i="13"/>
  <c r="V7" i="13" s="1"/>
  <c r="C7" i="13"/>
  <c r="U7" i="13" s="1"/>
  <c r="B7" i="13"/>
  <c r="A7" i="13"/>
  <c r="S7" i="13" s="1"/>
  <c r="U6" i="13"/>
  <c r="S6" i="13"/>
  <c r="M6" i="13"/>
  <c r="L6" i="13"/>
  <c r="K6" i="13"/>
  <c r="J6" i="13"/>
  <c r="I6" i="13"/>
  <c r="H6" i="13"/>
  <c r="G6" i="13"/>
  <c r="F6" i="13"/>
  <c r="E6" i="13"/>
  <c r="D6" i="13"/>
  <c r="V6" i="13" s="1"/>
  <c r="C6" i="13"/>
  <c r="B6" i="13"/>
  <c r="T6" i="13" s="1"/>
  <c r="A6" i="13"/>
  <c r="M5" i="13"/>
  <c r="L5" i="13"/>
  <c r="K5" i="13"/>
  <c r="J5" i="13"/>
  <c r="I5" i="13"/>
  <c r="H5" i="13"/>
  <c r="G5" i="13"/>
  <c r="F5" i="13"/>
  <c r="E5" i="13"/>
  <c r="D5" i="13"/>
  <c r="V5" i="13" s="1"/>
  <c r="C5" i="13"/>
  <c r="U5" i="13" s="1"/>
  <c r="B5" i="13"/>
  <c r="T5" i="13" s="1"/>
  <c r="A5" i="13"/>
  <c r="S5" i="13" s="1"/>
  <c r="U4" i="13"/>
  <c r="S4" i="13"/>
  <c r="M4" i="13"/>
  <c r="L4" i="13"/>
  <c r="K4" i="13"/>
  <c r="J4" i="13"/>
  <c r="I4" i="13"/>
  <c r="H4" i="13"/>
  <c r="G4" i="13"/>
  <c r="F4" i="13"/>
  <c r="E4" i="13"/>
  <c r="D4" i="13"/>
  <c r="V4" i="13" s="1"/>
  <c r="C4" i="13"/>
  <c r="B4" i="13"/>
  <c r="T4" i="13" s="1"/>
  <c r="A4" i="13"/>
  <c r="V3" i="13"/>
  <c r="M3" i="13"/>
  <c r="L3" i="13"/>
  <c r="K3" i="13"/>
  <c r="J3" i="13"/>
  <c r="I3" i="13"/>
  <c r="H3" i="13"/>
  <c r="G3" i="13"/>
  <c r="F3" i="13"/>
  <c r="E3" i="13"/>
  <c r="D3" i="13"/>
  <c r="C3" i="13"/>
  <c r="U3" i="13" s="1"/>
  <c r="B3" i="13"/>
  <c r="T3" i="13" s="1"/>
  <c r="A3" i="13"/>
  <c r="S3" i="13" s="1"/>
  <c r="T17" i="11"/>
  <c r="S17" i="11"/>
  <c r="M17" i="11"/>
  <c r="L17" i="11"/>
  <c r="K17" i="11"/>
  <c r="J17" i="11"/>
  <c r="I17" i="11"/>
  <c r="H17" i="11"/>
  <c r="G17" i="11"/>
  <c r="F17" i="11"/>
  <c r="E17" i="11"/>
  <c r="D17" i="11"/>
  <c r="V17" i="11" s="1"/>
  <c r="C17" i="11"/>
  <c r="U17" i="11" s="1"/>
  <c r="B17" i="11"/>
  <c r="A17" i="11"/>
  <c r="S16" i="11"/>
  <c r="M16" i="11"/>
  <c r="L16" i="11"/>
  <c r="K16" i="11"/>
  <c r="J16" i="11"/>
  <c r="I16" i="11"/>
  <c r="H16" i="11"/>
  <c r="G16" i="11"/>
  <c r="F16" i="11"/>
  <c r="E16" i="11"/>
  <c r="D16" i="11"/>
  <c r="V16" i="11" s="1"/>
  <c r="C16" i="11"/>
  <c r="U16" i="11" s="1"/>
  <c r="B16" i="11"/>
  <c r="T16" i="11" s="1"/>
  <c r="A16" i="11"/>
  <c r="S15" i="11"/>
  <c r="M15" i="11"/>
  <c r="L15" i="11"/>
  <c r="K15" i="11"/>
  <c r="J15" i="11"/>
  <c r="I15" i="11"/>
  <c r="H15" i="11"/>
  <c r="G15" i="11"/>
  <c r="F15" i="11"/>
  <c r="E15" i="11"/>
  <c r="D15" i="11"/>
  <c r="V15" i="11" s="1"/>
  <c r="C15" i="11"/>
  <c r="U15" i="11" s="1"/>
  <c r="B15" i="11"/>
  <c r="T15" i="11" s="1"/>
  <c r="A15" i="11"/>
  <c r="M14" i="11"/>
  <c r="L14" i="11"/>
  <c r="K14" i="11"/>
  <c r="J14" i="11"/>
  <c r="I14" i="11"/>
  <c r="H14" i="11"/>
  <c r="G14" i="11"/>
  <c r="F14" i="11"/>
  <c r="E14" i="11"/>
  <c r="D14" i="11"/>
  <c r="V14" i="11" s="1"/>
  <c r="C14" i="11"/>
  <c r="U14" i="11" s="1"/>
  <c r="B14" i="11"/>
  <c r="T14" i="11" s="1"/>
  <c r="A14" i="11"/>
  <c r="S14" i="11" s="1"/>
  <c r="M13" i="11"/>
  <c r="L13" i="11"/>
  <c r="K13" i="11"/>
  <c r="J13" i="11"/>
  <c r="I13" i="11"/>
  <c r="H13" i="11"/>
  <c r="G13" i="11"/>
  <c r="F13" i="11"/>
  <c r="E13" i="11"/>
  <c r="D13" i="11"/>
  <c r="V13" i="11" s="1"/>
  <c r="C13" i="11"/>
  <c r="U13" i="11" s="1"/>
  <c r="B13" i="11"/>
  <c r="T13" i="11" s="1"/>
  <c r="A13" i="11"/>
  <c r="S13" i="11" s="1"/>
  <c r="S12" i="11"/>
  <c r="M12" i="11"/>
  <c r="L12" i="11"/>
  <c r="K12" i="11"/>
  <c r="J12" i="11"/>
  <c r="I12" i="11"/>
  <c r="H12" i="11"/>
  <c r="G12" i="11"/>
  <c r="F12" i="11"/>
  <c r="E12" i="11"/>
  <c r="D12" i="11"/>
  <c r="V12" i="11" s="1"/>
  <c r="C12" i="11"/>
  <c r="U12" i="11" s="1"/>
  <c r="B12" i="11"/>
  <c r="T12" i="11" s="1"/>
  <c r="A12" i="11"/>
  <c r="U11" i="11"/>
  <c r="M11" i="11"/>
  <c r="L11" i="11"/>
  <c r="K11" i="11"/>
  <c r="J11" i="11"/>
  <c r="I11" i="11"/>
  <c r="H11" i="11"/>
  <c r="G11" i="11"/>
  <c r="F11" i="11"/>
  <c r="E11" i="11"/>
  <c r="D11" i="11"/>
  <c r="V11" i="11" s="1"/>
  <c r="C11" i="11"/>
  <c r="B11" i="11"/>
  <c r="T11" i="11" s="1"/>
  <c r="A11" i="11"/>
  <c r="S11" i="11" s="1"/>
  <c r="M10" i="11"/>
  <c r="L10" i="11"/>
  <c r="K10" i="11"/>
  <c r="J10" i="11"/>
  <c r="I10" i="11"/>
  <c r="H10" i="11"/>
  <c r="G10" i="11"/>
  <c r="F10" i="11"/>
  <c r="E10" i="11"/>
  <c r="D10" i="11"/>
  <c r="V10" i="11" s="1"/>
  <c r="C10" i="11"/>
  <c r="U10" i="11" s="1"/>
  <c r="B10" i="11"/>
  <c r="T10" i="11" s="1"/>
  <c r="A10" i="11"/>
  <c r="S10" i="11" s="1"/>
  <c r="V9" i="11"/>
  <c r="S9" i="11"/>
  <c r="M9" i="11"/>
  <c r="L9" i="11"/>
  <c r="K9" i="11"/>
  <c r="J9" i="11"/>
  <c r="I9" i="11"/>
  <c r="H9" i="11"/>
  <c r="G9" i="11"/>
  <c r="F9" i="11"/>
  <c r="E9" i="11"/>
  <c r="D9" i="11"/>
  <c r="C9" i="11"/>
  <c r="U9" i="11" s="1"/>
  <c r="B9" i="11"/>
  <c r="T9" i="11" s="1"/>
  <c r="A9" i="11"/>
  <c r="M8" i="11"/>
  <c r="L8" i="11"/>
  <c r="K8" i="11"/>
  <c r="J8" i="11"/>
  <c r="I8" i="11"/>
  <c r="H8" i="11"/>
  <c r="G8" i="11"/>
  <c r="F8" i="11"/>
  <c r="E8" i="11"/>
  <c r="D8" i="11"/>
  <c r="V8" i="11" s="1"/>
  <c r="C8" i="11"/>
  <c r="U8" i="11" s="1"/>
  <c r="B8" i="11"/>
  <c r="T8" i="11" s="1"/>
  <c r="A8" i="11"/>
  <c r="S8" i="11" s="1"/>
  <c r="T7" i="11"/>
  <c r="M7" i="11"/>
  <c r="L7" i="11"/>
  <c r="K7" i="11"/>
  <c r="J7" i="11"/>
  <c r="I7" i="11"/>
  <c r="H7" i="11"/>
  <c r="G7" i="11"/>
  <c r="F7" i="11"/>
  <c r="E7" i="11"/>
  <c r="D7" i="11"/>
  <c r="V7" i="11" s="1"/>
  <c r="C7" i="11"/>
  <c r="U7" i="11" s="1"/>
  <c r="B7" i="11"/>
  <c r="A7" i="11"/>
  <c r="S7" i="11" s="1"/>
  <c r="V6" i="11"/>
  <c r="M6" i="11"/>
  <c r="L6" i="11"/>
  <c r="K6" i="11"/>
  <c r="J6" i="11"/>
  <c r="I6" i="11"/>
  <c r="H6" i="11"/>
  <c r="G6" i="11"/>
  <c r="F6" i="11"/>
  <c r="E6" i="11"/>
  <c r="D6" i="11"/>
  <c r="C6" i="11"/>
  <c r="U6" i="11" s="1"/>
  <c r="B6" i="11"/>
  <c r="T6" i="11" s="1"/>
  <c r="A6" i="11"/>
  <c r="S6" i="11" s="1"/>
  <c r="M5" i="11"/>
  <c r="L5" i="11"/>
  <c r="K5" i="11"/>
  <c r="J5" i="11"/>
  <c r="I5" i="11"/>
  <c r="H5" i="11"/>
  <c r="G5" i="11"/>
  <c r="F5" i="11"/>
  <c r="E5" i="11"/>
  <c r="D5" i="11"/>
  <c r="V5" i="11" s="1"/>
  <c r="C5" i="11"/>
  <c r="U5" i="11" s="1"/>
  <c r="B5" i="11"/>
  <c r="T5" i="11" s="1"/>
  <c r="A5" i="11"/>
  <c r="S5" i="11" s="1"/>
  <c r="V4" i="11"/>
  <c r="M4" i="11"/>
  <c r="L4" i="11"/>
  <c r="K4" i="11"/>
  <c r="J4" i="11"/>
  <c r="I4" i="11"/>
  <c r="H4" i="11"/>
  <c r="G4" i="11"/>
  <c r="F4" i="11"/>
  <c r="E4" i="11"/>
  <c r="D4" i="11"/>
  <c r="C4" i="11"/>
  <c r="U4" i="11" s="1"/>
  <c r="B4" i="11"/>
  <c r="T4" i="11" s="1"/>
  <c r="A4" i="11"/>
  <c r="S4" i="11" s="1"/>
  <c r="V3" i="11"/>
  <c r="S3" i="11"/>
  <c r="M3" i="11"/>
  <c r="L3" i="11"/>
  <c r="K3" i="11"/>
  <c r="J3" i="11"/>
  <c r="I3" i="11"/>
  <c r="H3" i="11"/>
  <c r="G3" i="11"/>
  <c r="F3" i="11"/>
  <c r="E3" i="11"/>
  <c r="D3" i="11"/>
  <c r="C3" i="11"/>
  <c r="U3" i="11" s="1"/>
  <c r="B3" i="11"/>
  <c r="T3" i="11" s="1"/>
  <c r="A3" i="11"/>
  <c r="W3" i="13" l="1"/>
  <c r="Z3" i="13"/>
  <c r="Z4" i="13" s="1"/>
  <c r="Y3" i="13"/>
  <c r="Y4" i="13" s="1"/>
  <c r="X3" i="13"/>
  <c r="X3" i="11"/>
  <c r="Y3" i="11"/>
  <c r="Y4" i="11" s="1"/>
  <c r="Z3" i="11"/>
  <c r="Z4" i="11" s="1"/>
  <c r="W3" i="11"/>
  <c r="W3" i="9" l="1"/>
  <c r="A3" i="9"/>
  <c r="S3" i="9" s="1"/>
  <c r="B3" i="9"/>
  <c r="T3" i="9" s="1"/>
  <c r="C3" i="9"/>
  <c r="U3" i="9" s="1"/>
  <c r="Y3" i="9" s="1"/>
  <c r="Y4" i="9" s="1"/>
  <c r="D3" i="9"/>
  <c r="V3" i="9" s="1"/>
  <c r="E3" i="9"/>
  <c r="F3" i="9"/>
  <c r="G3" i="9"/>
  <c r="H3" i="9"/>
  <c r="I3" i="9"/>
  <c r="J3" i="9"/>
  <c r="K3" i="9"/>
  <c r="L3" i="9"/>
  <c r="M3" i="9"/>
  <c r="A4" i="9"/>
  <c r="S4" i="9" s="1"/>
  <c r="B4" i="9"/>
  <c r="T4" i="9" s="1"/>
  <c r="C4" i="9"/>
  <c r="U4" i="9" s="1"/>
  <c r="D4" i="9"/>
  <c r="V4" i="9" s="1"/>
  <c r="E4" i="9"/>
  <c r="F4" i="9"/>
  <c r="G4" i="9"/>
  <c r="H4" i="9"/>
  <c r="I4" i="9"/>
  <c r="J4" i="9"/>
  <c r="K4" i="9"/>
  <c r="L4" i="9"/>
  <c r="M4" i="9"/>
  <c r="A5" i="9"/>
  <c r="S5" i="9" s="1"/>
  <c r="B5" i="9"/>
  <c r="T5" i="9" s="1"/>
  <c r="C5" i="9"/>
  <c r="U5" i="9" s="1"/>
  <c r="D5" i="9"/>
  <c r="V5" i="9" s="1"/>
  <c r="E5" i="9"/>
  <c r="F5" i="9"/>
  <c r="G5" i="9"/>
  <c r="H5" i="9"/>
  <c r="I5" i="9"/>
  <c r="J5" i="9"/>
  <c r="K5" i="9"/>
  <c r="L5" i="9"/>
  <c r="M5" i="9"/>
  <c r="A6" i="9"/>
  <c r="S6" i="9" s="1"/>
  <c r="B6" i="9"/>
  <c r="T6" i="9" s="1"/>
  <c r="C6" i="9"/>
  <c r="U6" i="9" s="1"/>
  <c r="D6" i="9"/>
  <c r="V6" i="9" s="1"/>
  <c r="E6" i="9"/>
  <c r="F6" i="9"/>
  <c r="G6" i="9"/>
  <c r="H6" i="9"/>
  <c r="I6" i="9"/>
  <c r="J6" i="9"/>
  <c r="K6" i="9"/>
  <c r="L6" i="9"/>
  <c r="M6" i="9"/>
  <c r="A7" i="9"/>
  <c r="S7" i="9" s="1"/>
  <c r="B7" i="9"/>
  <c r="T7" i="9" s="1"/>
  <c r="C7" i="9"/>
  <c r="U7" i="9" s="1"/>
  <c r="D7" i="9"/>
  <c r="V7" i="9" s="1"/>
  <c r="E7" i="9"/>
  <c r="F7" i="9"/>
  <c r="G7" i="9"/>
  <c r="H7" i="9"/>
  <c r="I7" i="9"/>
  <c r="J7" i="9"/>
  <c r="K7" i="9"/>
  <c r="L7" i="9"/>
  <c r="M7" i="9"/>
  <c r="A8" i="9"/>
  <c r="S8" i="9" s="1"/>
  <c r="B8" i="9"/>
  <c r="T8" i="9" s="1"/>
  <c r="C8" i="9"/>
  <c r="U8" i="9" s="1"/>
  <c r="D8" i="9"/>
  <c r="V8" i="9" s="1"/>
  <c r="E8" i="9"/>
  <c r="F8" i="9"/>
  <c r="G8" i="9"/>
  <c r="H8" i="9"/>
  <c r="I8" i="9"/>
  <c r="J8" i="9"/>
  <c r="K8" i="9"/>
  <c r="L8" i="9"/>
  <c r="M8" i="9"/>
  <c r="A9" i="9"/>
  <c r="S9" i="9" s="1"/>
  <c r="B9" i="9"/>
  <c r="T9" i="9" s="1"/>
  <c r="C9" i="9"/>
  <c r="U9" i="9" s="1"/>
  <c r="D9" i="9"/>
  <c r="V9" i="9" s="1"/>
  <c r="E9" i="9"/>
  <c r="F9" i="9"/>
  <c r="G9" i="9"/>
  <c r="H9" i="9"/>
  <c r="I9" i="9"/>
  <c r="J9" i="9"/>
  <c r="K9" i="9"/>
  <c r="L9" i="9"/>
  <c r="M9" i="9"/>
  <c r="A10" i="9"/>
  <c r="S10" i="9" s="1"/>
  <c r="B10" i="9"/>
  <c r="T10" i="9" s="1"/>
  <c r="C10" i="9"/>
  <c r="U10" i="9" s="1"/>
  <c r="D10" i="9"/>
  <c r="V10" i="9" s="1"/>
  <c r="E10" i="9"/>
  <c r="F10" i="9"/>
  <c r="G10" i="9"/>
  <c r="H10" i="9"/>
  <c r="I10" i="9"/>
  <c r="J10" i="9"/>
  <c r="K10" i="9"/>
  <c r="L10" i="9"/>
  <c r="M10" i="9"/>
  <c r="A11" i="9"/>
  <c r="S11" i="9" s="1"/>
  <c r="B11" i="9"/>
  <c r="T11" i="9" s="1"/>
  <c r="C11" i="9"/>
  <c r="U11" i="9" s="1"/>
  <c r="D11" i="9"/>
  <c r="V11" i="9" s="1"/>
  <c r="E11" i="9"/>
  <c r="F11" i="9"/>
  <c r="G11" i="9"/>
  <c r="H11" i="9"/>
  <c r="I11" i="9"/>
  <c r="J11" i="9"/>
  <c r="K11" i="9"/>
  <c r="L11" i="9"/>
  <c r="M11" i="9"/>
  <c r="A12" i="9"/>
  <c r="S12" i="9" s="1"/>
  <c r="B12" i="9"/>
  <c r="T12" i="9" s="1"/>
  <c r="C12" i="9"/>
  <c r="U12" i="9" s="1"/>
  <c r="D12" i="9"/>
  <c r="V12" i="9" s="1"/>
  <c r="E12" i="9"/>
  <c r="F12" i="9"/>
  <c r="G12" i="9"/>
  <c r="H12" i="9"/>
  <c r="I12" i="9"/>
  <c r="J12" i="9"/>
  <c r="K12" i="9"/>
  <c r="L12" i="9"/>
  <c r="M12" i="9"/>
  <c r="A13" i="9"/>
  <c r="S13" i="9" s="1"/>
  <c r="B13" i="9"/>
  <c r="T13" i="9" s="1"/>
  <c r="C13" i="9"/>
  <c r="U13" i="9" s="1"/>
  <c r="D13" i="9"/>
  <c r="V13" i="9" s="1"/>
  <c r="E13" i="9"/>
  <c r="F13" i="9"/>
  <c r="G13" i="9"/>
  <c r="H13" i="9"/>
  <c r="I13" i="9"/>
  <c r="J13" i="9"/>
  <c r="K13" i="9"/>
  <c r="L13" i="9"/>
  <c r="M13" i="9"/>
  <c r="A14" i="9"/>
  <c r="S14" i="9" s="1"/>
  <c r="B14" i="9"/>
  <c r="T14" i="9" s="1"/>
  <c r="C14" i="9"/>
  <c r="U14" i="9" s="1"/>
  <c r="D14" i="9"/>
  <c r="V14" i="9" s="1"/>
  <c r="E14" i="9"/>
  <c r="F14" i="9"/>
  <c r="G14" i="9"/>
  <c r="H14" i="9"/>
  <c r="I14" i="9"/>
  <c r="J14" i="9"/>
  <c r="K14" i="9"/>
  <c r="L14" i="9"/>
  <c r="M14" i="9"/>
  <c r="A15" i="9"/>
  <c r="S15" i="9" s="1"/>
  <c r="B15" i="9"/>
  <c r="T15" i="9" s="1"/>
  <c r="C15" i="9"/>
  <c r="U15" i="9" s="1"/>
  <c r="D15" i="9"/>
  <c r="V15" i="9" s="1"/>
  <c r="E15" i="9"/>
  <c r="F15" i="9"/>
  <c r="G15" i="9"/>
  <c r="H15" i="9"/>
  <c r="I15" i="9"/>
  <c r="J15" i="9"/>
  <c r="K15" i="9"/>
  <c r="L15" i="9"/>
  <c r="M15" i="9"/>
  <c r="A16" i="9"/>
  <c r="S16" i="9" s="1"/>
  <c r="B16" i="9"/>
  <c r="T16" i="9" s="1"/>
  <c r="C16" i="9"/>
  <c r="U16" i="9" s="1"/>
  <c r="D16" i="9"/>
  <c r="V16" i="9" s="1"/>
  <c r="E16" i="9"/>
  <c r="F16" i="9"/>
  <c r="G16" i="9"/>
  <c r="H16" i="9"/>
  <c r="I16" i="9"/>
  <c r="J16" i="9"/>
  <c r="K16" i="9"/>
  <c r="L16" i="9"/>
  <c r="M16" i="9"/>
  <c r="A17" i="9"/>
  <c r="S17" i="9" s="1"/>
  <c r="B17" i="9"/>
  <c r="T17" i="9" s="1"/>
  <c r="C17" i="9"/>
  <c r="U17" i="9" s="1"/>
  <c r="D17" i="9"/>
  <c r="V17" i="9" s="1"/>
  <c r="E17" i="9"/>
  <c r="F17" i="9"/>
  <c r="G17" i="9"/>
  <c r="H17" i="9"/>
  <c r="I17" i="9"/>
  <c r="J17" i="9"/>
  <c r="K17" i="9"/>
  <c r="L17" i="9"/>
  <c r="M17" i="9"/>
  <c r="Z3" i="9" l="1"/>
  <c r="Z4" i="9" s="1"/>
  <c r="X3" i="9"/>
  <c r="H24" i="4"/>
  <c r="I24" i="4"/>
  <c r="J24" i="4"/>
  <c r="K24" i="4"/>
  <c r="L24" i="4"/>
  <c r="M24" i="4"/>
  <c r="H25" i="4"/>
  <c r="I25" i="4"/>
  <c r="J25" i="4"/>
  <c r="K25" i="4"/>
  <c r="L25" i="4"/>
  <c r="M25" i="4"/>
  <c r="H26" i="4"/>
  <c r="I26" i="4"/>
  <c r="J26" i="4"/>
  <c r="K26" i="4"/>
  <c r="L26" i="4"/>
  <c r="M26" i="4"/>
  <c r="H27" i="4"/>
  <c r="I27" i="4"/>
  <c r="J27" i="4"/>
  <c r="K27" i="4"/>
  <c r="L27" i="4"/>
  <c r="M27" i="4"/>
  <c r="H28" i="4"/>
  <c r="I28" i="4"/>
  <c r="J28" i="4"/>
  <c r="K28" i="4"/>
  <c r="L28" i="4"/>
  <c r="M28" i="4"/>
  <c r="H22" i="4"/>
  <c r="I22" i="4"/>
  <c r="J22" i="4"/>
  <c r="K22" i="4"/>
  <c r="L22" i="4"/>
  <c r="M22" i="4"/>
  <c r="H23" i="4"/>
  <c r="I23" i="4"/>
  <c r="J23" i="4"/>
  <c r="K23" i="4"/>
  <c r="L23" i="4"/>
  <c r="M23" i="4"/>
  <c r="W17" i="8"/>
  <c r="X16" i="8"/>
  <c r="W16" i="8"/>
  <c r="V16" i="8"/>
  <c r="U16" i="8"/>
  <c r="T16" i="8"/>
  <c r="W15" i="8"/>
  <c r="V15" i="8"/>
  <c r="Y17" i="8"/>
  <c r="X17" i="8"/>
  <c r="V17" i="8"/>
  <c r="U17" i="8"/>
  <c r="T17" i="8"/>
  <c r="Y16" i="8"/>
  <c r="Y15" i="8"/>
  <c r="X15" i="8"/>
  <c r="U15" i="8"/>
  <c r="T15" i="8"/>
  <c r="Y14" i="8"/>
  <c r="X14" i="8"/>
  <c r="W14" i="8"/>
  <c r="V14" i="8"/>
  <c r="U14" i="8"/>
  <c r="T14" i="8"/>
  <c r="Y13" i="8"/>
  <c r="X13" i="8"/>
  <c r="W13" i="8"/>
  <c r="V13" i="8"/>
  <c r="U13" i="8"/>
  <c r="T13" i="8"/>
  <c r="Y12" i="8"/>
  <c r="X12" i="8"/>
  <c r="W12" i="8"/>
  <c r="V12" i="8"/>
  <c r="U12" i="8"/>
  <c r="T12" i="8"/>
  <c r="Y11" i="8"/>
  <c r="X11" i="8"/>
  <c r="W11" i="8"/>
  <c r="V11" i="8"/>
  <c r="U11" i="8"/>
  <c r="T11" i="8"/>
  <c r="Y10" i="8"/>
  <c r="X10" i="8"/>
  <c r="W10" i="8"/>
  <c r="V10" i="8"/>
  <c r="U10" i="8"/>
  <c r="T10" i="8"/>
  <c r="Y9" i="8"/>
  <c r="X9" i="8"/>
  <c r="W9" i="8"/>
  <c r="V9" i="8"/>
  <c r="U9" i="8"/>
  <c r="T9" i="8"/>
  <c r="Y8" i="8"/>
  <c r="X8" i="8"/>
  <c r="W8" i="8"/>
  <c r="V8" i="8"/>
  <c r="U8" i="8"/>
  <c r="T8" i="8"/>
  <c r="Y7" i="8"/>
  <c r="X7" i="8"/>
  <c r="W7" i="8"/>
  <c r="V7" i="8"/>
  <c r="U7" i="8"/>
  <c r="T7" i="8"/>
  <c r="Y6" i="8"/>
  <c r="X6" i="8"/>
  <c r="W6" i="8"/>
  <c r="V6" i="8"/>
  <c r="U6" i="8"/>
  <c r="T6" i="8"/>
  <c r="Y5" i="8"/>
  <c r="X5" i="8"/>
  <c r="W5" i="8"/>
  <c r="V5" i="8"/>
  <c r="U5" i="8"/>
  <c r="T5" i="8"/>
  <c r="Y4" i="8"/>
  <c r="X4" i="8"/>
  <c r="W4" i="8"/>
  <c r="V4" i="8"/>
  <c r="U4" i="8"/>
  <c r="T4" i="8"/>
  <c r="Y3" i="8"/>
  <c r="X3" i="8"/>
  <c r="W3" i="8"/>
  <c r="V3" i="8"/>
  <c r="U3" i="8"/>
  <c r="T3" i="8"/>
  <c r="H4" i="4"/>
  <c r="I4" i="4"/>
  <c r="J4" i="4"/>
  <c r="K4" i="4"/>
  <c r="L4" i="4"/>
  <c r="M4" i="4"/>
  <c r="H5" i="4"/>
  <c r="I5" i="4"/>
  <c r="J5" i="4"/>
  <c r="K5" i="4"/>
  <c r="L5" i="4"/>
  <c r="M5" i="4"/>
  <c r="H6" i="4"/>
  <c r="I6" i="4"/>
  <c r="J6" i="4"/>
  <c r="K6" i="4"/>
  <c r="L6" i="4"/>
  <c r="M6" i="4"/>
  <c r="H7" i="4"/>
  <c r="I7" i="4"/>
  <c r="J7" i="4"/>
  <c r="K7" i="4"/>
  <c r="L7" i="4"/>
  <c r="M7" i="4"/>
  <c r="H8" i="4"/>
  <c r="I8" i="4"/>
  <c r="J8" i="4"/>
  <c r="K8" i="4"/>
  <c r="L8" i="4"/>
  <c r="M8" i="4"/>
  <c r="H9" i="4"/>
  <c r="I9" i="4"/>
  <c r="J9" i="4"/>
  <c r="K9" i="4"/>
  <c r="L9" i="4"/>
  <c r="M9" i="4"/>
  <c r="H10" i="4"/>
  <c r="I10" i="4"/>
  <c r="J10" i="4"/>
  <c r="K10" i="4"/>
  <c r="L10" i="4"/>
  <c r="M10" i="4"/>
  <c r="H11" i="4"/>
  <c r="I11" i="4"/>
  <c r="J11" i="4"/>
  <c r="K11" i="4"/>
  <c r="L11" i="4"/>
  <c r="M11" i="4"/>
  <c r="H12" i="4"/>
  <c r="I12" i="4"/>
  <c r="J12" i="4"/>
  <c r="K12" i="4"/>
  <c r="L12" i="4"/>
  <c r="M12" i="4"/>
  <c r="H13" i="4"/>
  <c r="I13" i="4"/>
  <c r="J13" i="4"/>
  <c r="K13" i="4"/>
  <c r="L13" i="4"/>
  <c r="M13" i="4"/>
  <c r="H14" i="4"/>
  <c r="I14" i="4"/>
  <c r="J14" i="4"/>
  <c r="K14" i="4"/>
  <c r="L14" i="4"/>
  <c r="M14" i="4"/>
  <c r="H15" i="4"/>
  <c r="I15" i="4"/>
  <c r="J15" i="4"/>
  <c r="K15" i="4"/>
  <c r="L15" i="4"/>
  <c r="M15" i="4"/>
  <c r="H16" i="4"/>
  <c r="I16" i="4"/>
  <c r="J16" i="4"/>
  <c r="K16" i="4"/>
  <c r="L16" i="4"/>
  <c r="M16" i="4"/>
  <c r="H17" i="4"/>
  <c r="I17" i="4"/>
  <c r="J17" i="4"/>
  <c r="K17" i="4"/>
  <c r="L17" i="4"/>
  <c r="M17" i="4"/>
  <c r="H18" i="4"/>
  <c r="I18" i="4"/>
  <c r="J18" i="4"/>
  <c r="K18" i="4"/>
  <c r="L18" i="4"/>
  <c r="M18" i="4"/>
  <c r="H19" i="4"/>
  <c r="I19" i="4"/>
  <c r="J19" i="4"/>
  <c r="K19" i="4"/>
  <c r="L19" i="4"/>
  <c r="M19" i="4"/>
  <c r="H20" i="4"/>
  <c r="I20" i="4"/>
  <c r="J20" i="4"/>
  <c r="K20" i="4"/>
  <c r="L20" i="4"/>
  <c r="M20" i="4"/>
  <c r="H21" i="4"/>
  <c r="I21" i="4"/>
  <c r="J21" i="4"/>
  <c r="K21" i="4"/>
  <c r="L21" i="4"/>
  <c r="M21" i="4"/>
  <c r="M3" i="4"/>
  <c r="L3" i="4"/>
  <c r="K3" i="4"/>
  <c r="J3" i="4"/>
  <c r="I3" i="4"/>
  <c r="H3" i="4"/>
</calcChain>
</file>

<file path=xl/sharedStrings.xml><?xml version="1.0" encoding="utf-8"?>
<sst xmlns="http://schemas.openxmlformats.org/spreadsheetml/2006/main" count="136" uniqueCount="33">
  <si>
    <t>Fx (N)</t>
  </si>
  <si>
    <t>Fy (N)</t>
  </si>
  <si>
    <t>Fz (N)</t>
  </si>
  <si>
    <t>Tx (Nm)</t>
  </si>
  <si>
    <t>Ty (Nm)</t>
  </si>
  <si>
    <t>Tz(Nm)</t>
  </si>
  <si>
    <t>6-Axis FT Sensor</t>
  </si>
  <si>
    <t>F (N)</t>
  </si>
  <si>
    <t>s (m)</t>
  </si>
  <si>
    <t>SoRoSim get_distal_value</t>
  </si>
  <si>
    <t>tau1 (N)</t>
  </si>
  <si>
    <t>tau2 (N)</t>
  </si>
  <si>
    <t>tau3 (N)</t>
  </si>
  <si>
    <t>Ground Truth</t>
  </si>
  <si>
    <t>SoRoSim get_proximal_value</t>
  </si>
  <si>
    <t>Distal Errors</t>
  </si>
  <si>
    <t>Proximal Errors</t>
  </si>
  <si>
    <t>Fx</t>
  </si>
  <si>
    <t>Fy</t>
  </si>
  <si>
    <t>Fz</t>
  </si>
  <si>
    <t>Tx</t>
  </si>
  <si>
    <t>Ty</t>
  </si>
  <si>
    <t>Tz</t>
  </si>
  <si>
    <t>Raw Data</t>
  </si>
  <si>
    <t>Converted</t>
  </si>
  <si>
    <t>roll (rad)</t>
  </si>
  <si>
    <t>pitch (deg)</t>
  </si>
  <si>
    <t>f_final</t>
  </si>
  <si>
    <t>Force Error</t>
  </si>
  <si>
    <t>Position Error</t>
  </si>
  <si>
    <t>Mean Average Error</t>
  </si>
  <si>
    <t>Roll Error</t>
  </si>
  <si>
    <t>Pitch Error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</si>
</sst>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0000"/>
  </numFmts>
  <fonts count="4" x14ac:knownFonts="1"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B1BDF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9" borderId="0" applyNumberFormat="0" applyBorder="0" applyAlignment="0" applyProtection="0"/>
  </cellStyleXfs>
  <cellXfs count="29">
    <xf numFmtId="0" fontId="0" fillId="0" borderId="0" xfId="0"/>
    <xf numFmtId="0" fontId="1" fillId="6" borderId="1" xfId="0" applyFont="1" applyFill="1" applyBorder="1"/>
    <xf numFmtId="0" fontId="1" fillId="6" borderId="8" xfId="0" applyFont="1" applyFill="1" applyBorder="1"/>
    <xf numFmtId="0" fontId="1" fillId="6" borderId="5" xfId="0" applyFont="1" applyFill="1" applyBorder="1"/>
    <xf numFmtId="0" fontId="1" fillId="6" borderId="1" xfId="0" applyFont="1" applyFill="1" applyBorder="1" applyAlignment="1">
      <alignment wrapText="1"/>
    </xf>
    <xf numFmtId="11" fontId="0" fillId="0" borderId="0" xfId="0" applyNumberFormat="1"/>
    <xf numFmtId="0" fontId="1" fillId="4" borderId="1" xfId="0" applyFont="1" applyFill="1" applyBorder="1" applyAlignment="1">
      <alignment horizontal="center"/>
    </xf>
    <xf numFmtId="166" fontId="2" fillId="8" borderId="1" xfId="0" applyNumberFormat="1" applyFont="1" applyFill="1" applyBorder="1"/>
    <xf numFmtId="165" fontId="2" fillId="8" borderId="1" xfId="0" applyNumberFormat="1" applyFont="1" applyFill="1" applyBorder="1"/>
    <xf numFmtId="164" fontId="2" fillId="8" borderId="1" xfId="0" applyNumberFormat="1" applyFont="1" applyFill="1" applyBorder="1"/>
    <xf numFmtId="11" fontId="2" fillId="8" borderId="1" xfId="0" applyNumberFormat="1" applyFont="1" applyFill="1" applyBorder="1"/>
    <xf numFmtId="164" fontId="3" fillId="9" borderId="1" xfId="1" applyNumberFormat="1" applyBorder="1"/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5" borderId="4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9" xfId="0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1" fillId="6" borderId="10" xfId="0" applyFont="1" applyFill="1" applyBorder="1" applyAlignment="1">
      <alignment horizontal="center"/>
    </xf>
    <xf numFmtId="0" fontId="1" fillId="6" borderId="9" xfId="0" applyFont="1" applyFill="1" applyBorder="1" applyAlignment="1">
      <alignment horizontal="center"/>
    </xf>
    <xf numFmtId="0" fontId="1" fillId="6" borderId="8" xfId="0" applyFont="1" applyFill="1" applyBorder="1" applyAlignment="1">
      <alignment horizontal="center"/>
    </xf>
  </cellXfs>
  <cellStyles count="2">
    <cellStyle name="Good" xfId="1" builtinId="26"/>
    <cellStyle name="Normal" xfId="0" builtinId="0"/>
  </cellStyles>
  <dxfs count="0"/>
  <tableStyles count="0" defaultTableStyle="TableStyleMedium2" defaultPivotStyle="PivotStyleLight16"/>
  <colors>
    <mruColors>
      <color rgb="FFB1BD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2B4A24-01F9-43FA-AE7F-5A1710EEAA53}">
  <dimension ref="A1:Y17"/>
  <sheetViews>
    <sheetView topLeftCell="C1" workbookViewId="0">
      <selection activeCell="K18" sqref="K18"/>
    </sheetView>
  </sheetViews>
  <sheetFormatPr defaultRowHeight="14.5" x14ac:dyDescent="0.35"/>
  <cols>
    <col min="4" max="4" width="10.81640625" bestFit="1" customWidth="1"/>
  </cols>
  <sheetData>
    <row r="1" spans="1:25" ht="16" x14ac:dyDescent="0.4">
      <c r="A1" s="12" t="s">
        <v>13</v>
      </c>
      <c r="B1" s="12"/>
      <c r="C1" s="12"/>
      <c r="D1" s="12"/>
      <c r="E1" s="12"/>
      <c r="F1" s="12"/>
      <c r="G1" s="13"/>
      <c r="H1" s="14" t="s">
        <v>6</v>
      </c>
      <c r="I1" s="15"/>
      <c r="J1" s="15"/>
      <c r="K1" s="15"/>
      <c r="L1" s="15"/>
      <c r="M1" s="15"/>
      <c r="N1" s="16" t="s">
        <v>14</v>
      </c>
      <c r="O1" s="17"/>
      <c r="P1" s="17"/>
      <c r="Q1" s="17"/>
      <c r="R1" s="17"/>
      <c r="S1" s="17"/>
      <c r="T1" s="18" t="s">
        <v>16</v>
      </c>
      <c r="U1" s="19"/>
      <c r="V1" s="19"/>
      <c r="W1" s="19"/>
      <c r="X1" s="19"/>
      <c r="Y1" s="20"/>
    </row>
    <row r="2" spans="1:25" ht="16" x14ac:dyDescent="0.4">
      <c r="A2" s="1" t="s">
        <v>7</v>
      </c>
      <c r="B2" s="1" t="s">
        <v>8</v>
      </c>
      <c r="C2" s="1" t="s">
        <v>25</v>
      </c>
      <c r="D2" s="1" t="s">
        <v>26</v>
      </c>
      <c r="E2" s="1" t="s">
        <v>10</v>
      </c>
      <c r="F2" s="1" t="s">
        <v>11</v>
      </c>
      <c r="G2" s="1" t="s">
        <v>12</v>
      </c>
      <c r="H2" s="2" t="s">
        <v>3</v>
      </c>
      <c r="I2" s="1" t="s">
        <v>4</v>
      </c>
      <c r="J2" s="1" t="s">
        <v>5</v>
      </c>
      <c r="K2" s="1" t="s">
        <v>0</v>
      </c>
      <c r="L2" s="1" t="s">
        <v>1</v>
      </c>
      <c r="M2" s="1" t="s">
        <v>2</v>
      </c>
      <c r="N2" s="3" t="s">
        <v>3</v>
      </c>
      <c r="O2" s="1" t="s">
        <v>4</v>
      </c>
      <c r="P2" s="1" t="s">
        <v>5</v>
      </c>
      <c r="Q2" s="1" t="s">
        <v>0</v>
      </c>
      <c r="R2" s="1" t="s">
        <v>1</v>
      </c>
      <c r="S2" s="1" t="s">
        <v>2</v>
      </c>
      <c r="T2" s="1" t="s">
        <v>3</v>
      </c>
      <c r="U2" s="1" t="s">
        <v>4</v>
      </c>
      <c r="V2" s="1" t="s">
        <v>5</v>
      </c>
      <c r="W2" s="1" t="s">
        <v>0</v>
      </c>
      <c r="X2" s="1" t="s">
        <v>1</v>
      </c>
      <c r="Y2" s="1" t="s">
        <v>2</v>
      </c>
    </row>
    <row r="3" spans="1:25" x14ac:dyDescent="0.35">
      <c r="A3" s="11">
        <v>0.3</v>
      </c>
      <c r="B3" s="11">
        <v>0.08</v>
      </c>
      <c r="C3" s="11">
        <v>1.571</v>
      </c>
      <c r="D3" s="11">
        <v>0.78500000000000003</v>
      </c>
      <c r="E3" s="11">
        <v>1.4</v>
      </c>
      <c r="F3" s="11">
        <v>0</v>
      </c>
      <c r="G3" s="11">
        <v>0</v>
      </c>
      <c r="H3" s="9">
        <v>8.3457410801202102E-4</v>
      </c>
      <c r="I3" s="9">
        <v>-3.4524299204349497E-2</v>
      </c>
      <c r="J3" s="9">
        <v>-1.46811630111188E-3</v>
      </c>
      <c r="K3" s="9">
        <v>0.179403036832809</v>
      </c>
      <c r="L3" s="9">
        <v>-7.5630694627761797E-3</v>
      </c>
      <c r="M3" s="9">
        <v>0.203822165727615</v>
      </c>
      <c r="N3" s="9">
        <v>6.4981485602738382E-4</v>
      </c>
      <c r="O3" s="9">
        <v>-3.8734583219832086E-2</v>
      </c>
      <c r="P3" s="9">
        <v>2.0651667526055714E-3</v>
      </c>
      <c r="Q3" s="9">
        <v>0.18685538653671591</v>
      </c>
      <c r="R3" s="9">
        <v>1.5592853916163447E-2</v>
      </c>
      <c r="S3" s="9">
        <v>0.23417892864469997</v>
      </c>
      <c r="T3" s="7">
        <f t="shared" ref="T3:Y17" si="0">ABS(H3-N3)</f>
        <v>1.847592519846372E-4</v>
      </c>
      <c r="U3" s="7">
        <f t="shared" si="0"/>
        <v>4.2102840154825891E-3</v>
      </c>
      <c r="V3" s="7">
        <f t="shared" si="0"/>
        <v>3.5332830537174514E-3</v>
      </c>
      <c r="W3" s="7">
        <f t="shared" si="0"/>
        <v>7.452349703906902E-3</v>
      </c>
      <c r="X3" s="7">
        <f t="shared" si="0"/>
        <v>2.3155923378939628E-2</v>
      </c>
      <c r="Y3" s="7">
        <f t="shared" si="0"/>
        <v>3.0356762917084973E-2</v>
      </c>
    </row>
    <row r="4" spans="1:25" x14ac:dyDescent="0.35">
      <c r="A4" s="11">
        <v>0.4</v>
      </c>
      <c r="B4" s="11">
        <v>0.14000000000000001</v>
      </c>
      <c r="C4" s="11">
        <v>1.571</v>
      </c>
      <c r="D4" s="11">
        <v>0.78500000000000003</v>
      </c>
      <c r="E4" s="11">
        <v>0</v>
      </c>
      <c r="F4" s="11">
        <v>0</v>
      </c>
      <c r="G4" s="11">
        <v>0</v>
      </c>
      <c r="H4" s="9">
        <v>-8.0810196232050701E-4</v>
      </c>
      <c r="I4" s="9">
        <v>-6.6743046045303303E-2</v>
      </c>
      <c r="J4" s="9">
        <v>4.4342974433675398E-4</v>
      </c>
      <c r="K4" s="9">
        <v>0.21195751428604101</v>
      </c>
      <c r="L4" s="9">
        <v>1.1818818747997299E-3</v>
      </c>
      <c r="M4" s="9">
        <v>0.30656093358993503</v>
      </c>
      <c r="N4" s="9">
        <v>-3.7772879150691558E-22</v>
      </c>
      <c r="O4" s="9">
        <v>-7.4513816241618541E-2</v>
      </c>
      <c r="P4" s="9">
        <v>-1.5176467988265224E-5</v>
      </c>
      <c r="Q4" s="9">
        <v>0.19288278176015389</v>
      </c>
      <c r="R4" s="9">
        <v>-7.1371717917089524E-5</v>
      </c>
      <c r="S4" s="9">
        <v>0.35042271217748283</v>
      </c>
      <c r="T4" s="7">
        <f t="shared" si="0"/>
        <v>8.0810196232050701E-4</v>
      </c>
      <c r="U4" s="7">
        <f t="shared" si="0"/>
        <v>7.7707701963152381E-3</v>
      </c>
      <c r="V4" s="7">
        <f t="shared" si="0"/>
        <v>4.5860621232501919E-4</v>
      </c>
      <c r="W4" s="7">
        <f t="shared" si="0"/>
        <v>1.9074732525887123E-2</v>
      </c>
      <c r="X4" s="7">
        <f t="shared" si="0"/>
        <v>1.2532535927168194E-3</v>
      </c>
      <c r="Y4" s="7">
        <f t="shared" si="0"/>
        <v>4.3861778587547806E-2</v>
      </c>
    </row>
    <row r="5" spans="1:25" x14ac:dyDescent="0.35">
      <c r="A5" s="11">
        <v>0.6</v>
      </c>
      <c r="B5" s="11">
        <v>0.16</v>
      </c>
      <c r="C5" s="11">
        <v>1.571</v>
      </c>
      <c r="D5" s="11">
        <v>0.78500000000000003</v>
      </c>
      <c r="E5" s="11">
        <v>1.4</v>
      </c>
      <c r="F5" s="11">
        <v>0</v>
      </c>
      <c r="G5" s="11">
        <v>0</v>
      </c>
      <c r="H5" s="9">
        <v>7.8557301312684995E-3</v>
      </c>
      <c r="I5" s="9">
        <v>-0.127810284495354</v>
      </c>
      <c r="J5" s="9">
        <v>-1.16112818941474E-2</v>
      </c>
      <c r="K5" s="9">
        <v>2.8561159968376201E-2</v>
      </c>
      <c r="L5" s="9">
        <v>-4.7612398862838697E-2</v>
      </c>
      <c r="M5" s="9">
        <v>0.55316102504730202</v>
      </c>
      <c r="N5" s="9">
        <v>5.5029484993798956E-3</v>
      </c>
      <c r="O5" s="9">
        <v>-0.13325240767769686</v>
      </c>
      <c r="P5" s="9">
        <v>1.1318003160214779E-2</v>
      </c>
      <c r="Q5" s="9">
        <v>6.2601520337215708E-2</v>
      </c>
      <c r="R5" s="9">
        <v>5.3035798594496968E-2</v>
      </c>
      <c r="S5" s="9">
        <v>0.5943549640460597</v>
      </c>
      <c r="T5" s="7">
        <f t="shared" si="0"/>
        <v>2.3527816318886039E-3</v>
      </c>
      <c r="U5" s="7">
        <f t="shared" si="0"/>
        <v>5.4421231823428562E-3</v>
      </c>
      <c r="V5" s="7">
        <f t="shared" si="0"/>
        <v>2.2929285054362179E-2</v>
      </c>
      <c r="W5" s="7">
        <f t="shared" si="0"/>
        <v>3.4040360368839506E-2</v>
      </c>
      <c r="X5" s="7">
        <f t="shared" si="0"/>
        <v>0.10064819745733566</v>
      </c>
      <c r="Y5" s="7">
        <f t="shared" si="0"/>
        <v>4.1193938998757673E-2</v>
      </c>
    </row>
    <row r="6" spans="1:25" x14ac:dyDescent="0.35">
      <c r="A6" s="11">
        <v>0.4</v>
      </c>
      <c r="B6" s="11">
        <v>0.06</v>
      </c>
      <c r="C6" s="11">
        <v>1.571</v>
      </c>
      <c r="D6" s="11">
        <v>1.571</v>
      </c>
      <c r="E6" s="11">
        <v>1.4</v>
      </c>
      <c r="F6" s="11">
        <v>0</v>
      </c>
      <c r="G6" s="11">
        <v>0</v>
      </c>
      <c r="H6" s="9">
        <v>1.1252735275775201E-3</v>
      </c>
      <c r="I6" s="9">
        <v>-5.59809319674969E-2</v>
      </c>
      <c r="J6" s="9">
        <v>-7.4938102625310399E-4</v>
      </c>
      <c r="K6" s="9">
        <v>-3.5423979163169902E-2</v>
      </c>
      <c r="L6" s="9">
        <v>-1.04948431253433E-2</v>
      </c>
      <c r="M6" s="9">
        <v>0.35301661491393999</v>
      </c>
      <c r="N6" s="9">
        <v>6.8201095839045861E-4</v>
      </c>
      <c r="O6" s="9">
        <v>-5.9716798748166919E-2</v>
      </c>
      <c r="P6" s="9">
        <v>-7.8735273971794386E-5</v>
      </c>
      <c r="Q6" s="9">
        <v>-4.0876345904461077E-2</v>
      </c>
      <c r="R6" s="9">
        <v>-9.914633187196268E-4</v>
      </c>
      <c r="S6" s="9">
        <v>0.39790140046488587</v>
      </c>
      <c r="T6" s="7">
        <f t="shared" si="0"/>
        <v>4.4326256918706146E-4</v>
      </c>
      <c r="U6" s="7">
        <f t="shared" si="0"/>
        <v>3.7358667806700191E-3</v>
      </c>
      <c r="V6" s="7">
        <f t="shared" si="0"/>
        <v>6.7064575228130961E-4</v>
      </c>
      <c r="W6" s="7">
        <f t="shared" si="0"/>
        <v>5.4523667412911744E-3</v>
      </c>
      <c r="X6" s="7">
        <f t="shared" si="0"/>
        <v>9.5033798066236734E-3</v>
      </c>
      <c r="Y6" s="7">
        <f t="shared" si="0"/>
        <v>4.4884785550945883E-2</v>
      </c>
    </row>
    <row r="7" spans="1:25" x14ac:dyDescent="0.35">
      <c r="A7" s="11">
        <v>0.8</v>
      </c>
      <c r="B7" s="11">
        <v>0.08</v>
      </c>
      <c r="C7" s="11">
        <v>1.571</v>
      </c>
      <c r="D7" s="11">
        <v>1.571</v>
      </c>
      <c r="E7" s="11">
        <v>0</v>
      </c>
      <c r="F7" s="11">
        <v>0</v>
      </c>
      <c r="G7" s="11">
        <v>0</v>
      </c>
      <c r="H7" s="9">
        <v>-5.5839424021542105E-4</v>
      </c>
      <c r="I7" s="9">
        <v>-0.11975701153278399</v>
      </c>
      <c r="J7" s="9">
        <v>-9.9074037279933691E-4</v>
      </c>
      <c r="K7" s="9">
        <v>-0.19020733237266499</v>
      </c>
      <c r="L7" s="9">
        <v>-2.60122120380402E-3</v>
      </c>
      <c r="M7" s="9">
        <v>0.66739636659622203</v>
      </c>
      <c r="N7" s="9">
        <v>-3.6558238181758091E-22</v>
      </c>
      <c r="O7" s="9">
        <v>-0.13340417150290032</v>
      </c>
      <c r="P7" s="9">
        <v>-2.7170855559857866E-5</v>
      </c>
      <c r="Q7" s="9">
        <v>-0.19526641839411424</v>
      </c>
      <c r="R7" s="9">
        <v>-1.580094483947608E-4</v>
      </c>
      <c r="S7" s="9">
        <v>0.77579888886073778</v>
      </c>
      <c r="T7" s="7">
        <f t="shared" si="0"/>
        <v>5.5839424021542105E-4</v>
      </c>
      <c r="U7" s="7">
        <f t="shared" si="0"/>
        <v>1.3647159970116327E-2</v>
      </c>
      <c r="V7" s="7">
        <f t="shared" si="0"/>
        <v>9.6356951723947906E-4</v>
      </c>
      <c r="W7" s="7">
        <f t="shared" si="0"/>
        <v>5.0590860214492495E-3</v>
      </c>
      <c r="X7" s="7">
        <f t="shared" si="0"/>
        <v>2.4432117554092593E-3</v>
      </c>
      <c r="Y7" s="7">
        <f t="shared" si="0"/>
        <v>0.10840252226451574</v>
      </c>
    </row>
    <row r="8" spans="1:25" x14ac:dyDescent="0.35">
      <c r="A8" s="11">
        <v>0.7</v>
      </c>
      <c r="B8" s="11">
        <v>0.16</v>
      </c>
      <c r="C8" s="11">
        <v>1.571</v>
      </c>
      <c r="D8" s="11">
        <v>1.571</v>
      </c>
      <c r="E8" s="11">
        <v>1.4</v>
      </c>
      <c r="F8" s="11">
        <v>0</v>
      </c>
      <c r="G8" s="11">
        <v>0</v>
      </c>
      <c r="H8" s="9">
        <v>1.04370433837175E-2</v>
      </c>
      <c r="I8" s="9">
        <v>-0.129757210612297</v>
      </c>
      <c r="J8" s="9">
        <v>-7.3771281167864799E-3</v>
      </c>
      <c r="K8" s="9">
        <v>-0.55726921558380105</v>
      </c>
      <c r="L8" s="9">
        <v>-6.0898363590240499E-2</v>
      </c>
      <c r="M8" s="9">
        <v>0.32599642872810403</v>
      </c>
      <c r="N8" s="9">
        <v>8.1742887197970102E-3</v>
      </c>
      <c r="O8" s="9">
        <v>-0.13915055668366916</v>
      </c>
      <c r="P8" s="9">
        <v>-1.0658797430286927E-3</v>
      </c>
      <c r="Q8" s="9">
        <v>-0.5610053796184401</v>
      </c>
      <c r="R8" s="9">
        <v>-3.615060424031849E-2</v>
      </c>
      <c r="S8" s="9">
        <v>0.41707689487013627</v>
      </c>
      <c r="T8" s="7">
        <f t="shared" si="0"/>
        <v>2.2627546639204903E-3</v>
      </c>
      <c r="U8" s="7">
        <f t="shared" si="0"/>
        <v>9.393346071372155E-3</v>
      </c>
      <c r="V8" s="7">
        <f t="shared" si="0"/>
        <v>6.3112483737577871E-3</v>
      </c>
      <c r="W8" s="7">
        <f t="shared" si="0"/>
        <v>3.7361640346390557E-3</v>
      </c>
      <c r="X8" s="7">
        <f t="shared" si="0"/>
        <v>2.4747759349922009E-2</v>
      </c>
      <c r="Y8" s="7">
        <f t="shared" si="0"/>
        <v>9.1080466142032246E-2</v>
      </c>
    </row>
    <row r="9" spans="1:25" x14ac:dyDescent="0.35">
      <c r="A9" s="11">
        <v>0.7</v>
      </c>
      <c r="B9" s="11">
        <v>0.2</v>
      </c>
      <c r="C9" s="11">
        <v>1.571</v>
      </c>
      <c r="D9" s="11">
        <v>1.571</v>
      </c>
      <c r="E9" s="11">
        <v>0</v>
      </c>
      <c r="F9" s="11">
        <v>0</v>
      </c>
      <c r="G9" s="11">
        <v>0</v>
      </c>
      <c r="H9" s="9">
        <v>-5.38935419172049E-4</v>
      </c>
      <c r="I9" s="9">
        <v>-0.118809439241886</v>
      </c>
      <c r="J9" s="9">
        <v>3.4749228507280402E-3</v>
      </c>
      <c r="K9" s="9">
        <v>-0.621493339538574</v>
      </c>
      <c r="L9" s="9">
        <v>1.56053192913532E-2</v>
      </c>
      <c r="M9" s="9">
        <v>0.10576334595680199</v>
      </c>
      <c r="N9" s="9">
        <v>7.3177614929371502E-21</v>
      </c>
      <c r="O9" s="9">
        <v>-0.13611420659338222</v>
      </c>
      <c r="P9" s="9">
        <v>-2.7722817100311156E-5</v>
      </c>
      <c r="Q9" s="9">
        <v>-0.66683139601733965</v>
      </c>
      <c r="R9" s="9">
        <v>-4.3366484921137266E-5</v>
      </c>
      <c r="S9" s="9">
        <v>0.21292189269315726</v>
      </c>
      <c r="T9" s="7">
        <f t="shared" si="0"/>
        <v>5.38935419172049E-4</v>
      </c>
      <c r="U9" s="7">
        <f t="shared" si="0"/>
        <v>1.730476735149622E-2</v>
      </c>
      <c r="V9" s="7">
        <f t="shared" si="0"/>
        <v>3.5026456678283512E-3</v>
      </c>
      <c r="W9" s="7">
        <f t="shared" si="0"/>
        <v>4.5338056478765654E-2</v>
      </c>
      <c r="X9" s="7">
        <f t="shared" si="0"/>
        <v>1.5648685776274335E-2</v>
      </c>
      <c r="Y9" s="7">
        <f t="shared" si="0"/>
        <v>0.10715854673635526</v>
      </c>
    </row>
    <row r="10" spans="1:25" x14ac:dyDescent="0.35">
      <c r="A10" s="11">
        <v>0.7</v>
      </c>
      <c r="B10" s="11">
        <v>0.06</v>
      </c>
      <c r="C10" s="11">
        <v>3.665</v>
      </c>
      <c r="D10" s="11">
        <v>0.78500000000000003</v>
      </c>
      <c r="E10" s="11">
        <v>0</v>
      </c>
      <c r="F10" s="11">
        <v>0</v>
      </c>
      <c r="G10" s="11">
        <v>0</v>
      </c>
      <c r="H10" s="9">
        <v>-7.8150304034352303E-4</v>
      </c>
      <c r="I10" s="9">
        <v>4.4897478073835401E-2</v>
      </c>
      <c r="J10" s="9">
        <v>-8.2051888108253507E-2</v>
      </c>
      <c r="K10" s="9">
        <v>0.48326423764228799</v>
      </c>
      <c r="L10" s="9">
        <v>-0.55701375007629395</v>
      </c>
      <c r="M10" s="9">
        <v>-0.30146327614784202</v>
      </c>
      <c r="N10" s="9">
        <v>-1.0114603316691302E-19</v>
      </c>
      <c r="O10" s="9">
        <v>3.9354429696197957E-2</v>
      </c>
      <c r="P10" s="9">
        <v>-6.8194016077989653E-2</v>
      </c>
      <c r="Q10" s="9">
        <v>0.45002174213907664</v>
      </c>
      <c r="R10" s="9">
        <v>-0.46438878522479088</v>
      </c>
      <c r="S10" s="9">
        <v>-0.26799647316460812</v>
      </c>
      <c r="T10" s="7">
        <f t="shared" si="0"/>
        <v>7.8150304034352292E-4</v>
      </c>
      <c r="U10" s="7">
        <f t="shared" si="0"/>
        <v>5.543048377637444E-3</v>
      </c>
      <c r="V10" s="7">
        <f t="shared" si="0"/>
        <v>1.3857872030263854E-2</v>
      </c>
      <c r="W10" s="7">
        <f t="shared" si="0"/>
        <v>3.3242495503211344E-2</v>
      </c>
      <c r="X10" s="7">
        <f t="shared" si="0"/>
        <v>9.2624964851503067E-2</v>
      </c>
      <c r="Y10" s="7">
        <f t="shared" si="0"/>
        <v>3.3466802983233901E-2</v>
      </c>
    </row>
    <row r="11" spans="1:25" x14ac:dyDescent="0.35">
      <c r="A11" s="11">
        <v>0.6</v>
      </c>
      <c r="B11" s="11">
        <v>0.1</v>
      </c>
      <c r="C11" s="11">
        <v>3.665</v>
      </c>
      <c r="D11" s="11">
        <v>0.78500000000000003</v>
      </c>
      <c r="E11" s="11">
        <v>0</v>
      </c>
      <c r="F11" s="11">
        <v>0</v>
      </c>
      <c r="G11" s="11">
        <v>0</v>
      </c>
      <c r="H11" s="9">
        <v>-4.8895599320530902E-4</v>
      </c>
      <c r="I11" s="9">
        <v>4.6247739344835302E-2</v>
      </c>
      <c r="J11" s="9">
        <v>-8.3231396973133101E-2</v>
      </c>
      <c r="K11" s="9">
        <v>0.33926415443420399</v>
      </c>
      <c r="L11" s="9">
        <v>-0.45690825581550598</v>
      </c>
      <c r="M11" s="9">
        <v>-0.25065129995346103</v>
      </c>
      <c r="N11" s="9">
        <v>7.4470673862340312E-19</v>
      </c>
      <c r="O11" s="9">
        <v>4.531498804758681E-2</v>
      </c>
      <c r="P11" s="9">
        <v>-7.852257159731095E-2</v>
      </c>
      <c r="Q11" s="9">
        <v>0.32464755289510622</v>
      </c>
      <c r="R11" s="9">
        <v>-0.43702874828974553</v>
      </c>
      <c r="S11" s="9">
        <v>-0.25220713104968956</v>
      </c>
      <c r="T11" s="7">
        <f t="shared" si="0"/>
        <v>4.8895599320530978E-4</v>
      </c>
      <c r="U11" s="7">
        <f t="shared" si="0"/>
        <v>9.3275129724849221E-4</v>
      </c>
      <c r="V11" s="7">
        <f t="shared" si="0"/>
        <v>4.708825375822151E-3</v>
      </c>
      <c r="W11" s="7">
        <f t="shared" si="0"/>
        <v>1.4616601539097773E-2</v>
      </c>
      <c r="X11" s="7">
        <f t="shared" si="0"/>
        <v>1.9879507525760454E-2</v>
      </c>
      <c r="Y11" s="7">
        <f t="shared" si="0"/>
        <v>1.5558310962285327E-3</v>
      </c>
    </row>
    <row r="12" spans="1:25" x14ac:dyDescent="0.35">
      <c r="A12" s="11">
        <v>0.8</v>
      </c>
      <c r="B12" s="11">
        <v>0.18</v>
      </c>
      <c r="C12" s="11">
        <v>3.665</v>
      </c>
      <c r="D12" s="11">
        <v>0.78500000000000003</v>
      </c>
      <c r="E12" s="11">
        <v>1.4</v>
      </c>
      <c r="F12" s="11">
        <v>0</v>
      </c>
      <c r="G12" s="11">
        <v>0</v>
      </c>
      <c r="H12" s="9">
        <v>1.7005717381834999E-3</v>
      </c>
      <c r="I12" s="9">
        <v>8.4788650274276706E-2</v>
      </c>
      <c r="J12" s="9">
        <v>-0.143600359559059</v>
      </c>
      <c r="K12" s="9">
        <v>0.28701612353324901</v>
      </c>
      <c r="L12" s="9">
        <v>-0.64443814754486095</v>
      </c>
      <c r="M12" s="9">
        <v>-0.37070235610008201</v>
      </c>
      <c r="N12" s="9">
        <v>2.3827043678584632E-6</v>
      </c>
      <c r="O12" s="9">
        <v>9.5040234528640313E-2</v>
      </c>
      <c r="P12" s="9">
        <v>-0.16469730367249624</v>
      </c>
      <c r="Q12" s="9">
        <v>1.361440049427721E-2</v>
      </c>
      <c r="R12" s="9">
        <v>-0.69280155020472534</v>
      </c>
      <c r="S12" s="9">
        <v>-0.39978791232879007</v>
      </c>
      <c r="T12" s="7">
        <f t="shared" si="0"/>
        <v>1.6981890338156414E-3</v>
      </c>
      <c r="U12" s="7">
        <f t="shared" si="0"/>
        <v>1.0251584254363608E-2</v>
      </c>
      <c r="V12" s="7">
        <f t="shared" si="0"/>
        <v>2.1096944113437238E-2</v>
      </c>
      <c r="W12" s="7">
        <f t="shared" si="0"/>
        <v>0.27340172303897181</v>
      </c>
      <c r="X12" s="7">
        <f t="shared" si="0"/>
        <v>4.8363402659864385E-2</v>
      </c>
      <c r="Y12" s="7">
        <f t="shared" si="0"/>
        <v>2.9085556228708065E-2</v>
      </c>
    </row>
    <row r="13" spans="1:25" x14ac:dyDescent="0.35">
      <c r="A13" s="11">
        <v>0.4</v>
      </c>
      <c r="B13" s="11">
        <v>0.2</v>
      </c>
      <c r="C13" s="11">
        <v>3.665</v>
      </c>
      <c r="D13" s="11">
        <v>0.78500000000000003</v>
      </c>
      <c r="E13" s="11">
        <v>1.4</v>
      </c>
      <c r="F13" s="11">
        <v>0</v>
      </c>
      <c r="G13" s="11">
        <v>0</v>
      </c>
      <c r="H13" s="9">
        <v>1.0739560239017001E-3</v>
      </c>
      <c r="I13" s="9">
        <v>4.1172292083501802E-2</v>
      </c>
      <c r="J13" s="9">
        <v>-6.7707680165767697E-2</v>
      </c>
      <c r="K13" s="9">
        <v>0.187965422868729</v>
      </c>
      <c r="L13" s="9">
        <v>-0.244067072868347</v>
      </c>
      <c r="M13" s="9">
        <v>-0.14198835194110901</v>
      </c>
      <c r="N13" s="9">
        <v>1.3548912864416416E-6</v>
      </c>
      <c r="O13" s="9">
        <v>4.5873251672895833E-2</v>
      </c>
      <c r="P13" s="9">
        <v>-7.9495578624347238E-2</v>
      </c>
      <c r="Q13" s="9">
        <v>0.17563387740408509</v>
      </c>
      <c r="R13" s="9">
        <v>-0.31127058231921212</v>
      </c>
      <c r="S13" s="9">
        <v>-0.17961698196848605</v>
      </c>
      <c r="T13" s="7">
        <f t="shared" si="0"/>
        <v>1.0726011326152585E-3</v>
      </c>
      <c r="U13" s="7">
        <f t="shared" si="0"/>
        <v>4.7009595893940312E-3</v>
      </c>
      <c r="V13" s="7">
        <f t="shared" si="0"/>
        <v>1.178789845857954E-2</v>
      </c>
      <c r="W13" s="7">
        <f t="shared" si="0"/>
        <v>1.2331545464643906E-2</v>
      </c>
      <c r="X13" s="7">
        <f t="shared" si="0"/>
        <v>6.7203509450865118E-2</v>
      </c>
      <c r="Y13" s="7">
        <f t="shared" si="0"/>
        <v>3.7628630027377041E-2</v>
      </c>
    </row>
    <row r="14" spans="1:25" x14ac:dyDescent="0.35">
      <c r="A14" s="11">
        <v>0.4</v>
      </c>
      <c r="B14" s="11">
        <v>0.1</v>
      </c>
      <c r="C14" s="11">
        <v>3.665</v>
      </c>
      <c r="D14" s="11">
        <v>1.571</v>
      </c>
      <c r="E14" s="11">
        <v>1.4</v>
      </c>
      <c r="F14" s="11">
        <v>0</v>
      </c>
      <c r="G14" s="11">
        <v>0</v>
      </c>
      <c r="H14" s="9">
        <v>-4.8927497118711504E-4</v>
      </c>
      <c r="I14" s="9">
        <v>3.26927192509174E-2</v>
      </c>
      <c r="J14" s="9">
        <v>-5.8575917035341298E-2</v>
      </c>
      <c r="K14" s="9">
        <v>-1.28835095092654E-2</v>
      </c>
      <c r="L14" s="9">
        <v>-0.29204529523849498</v>
      </c>
      <c r="M14" s="9">
        <v>-0.16083618998527499</v>
      </c>
      <c r="N14" s="9">
        <v>4.4731453236950502E-7</v>
      </c>
      <c r="O14" s="9">
        <v>3.7910529330259499E-2</v>
      </c>
      <c r="P14" s="9">
        <v>-6.5692039111055353E-2</v>
      </c>
      <c r="Q14" s="9">
        <v>-3.4339529763514752E-2</v>
      </c>
      <c r="R14" s="9">
        <v>-0.34516714598695269</v>
      </c>
      <c r="S14" s="9">
        <v>-0.19919437346520763</v>
      </c>
      <c r="T14" s="7">
        <f t="shared" si="0"/>
        <v>4.8972228571948458E-4</v>
      </c>
      <c r="U14" s="7">
        <f t="shared" si="0"/>
        <v>5.2178100793420987E-3</v>
      </c>
      <c r="V14" s="7">
        <f t="shared" si="0"/>
        <v>7.1161220757140556E-3</v>
      </c>
      <c r="W14" s="7">
        <f t="shared" si="0"/>
        <v>2.145602025424935E-2</v>
      </c>
      <c r="X14" s="7">
        <f t="shared" si="0"/>
        <v>5.3121850748457711E-2</v>
      </c>
      <c r="Y14" s="7">
        <f t="shared" si="0"/>
        <v>3.8358183479932639E-2</v>
      </c>
    </row>
    <row r="15" spans="1:25" x14ac:dyDescent="0.35">
      <c r="A15" s="11">
        <v>0.7</v>
      </c>
      <c r="B15" s="11">
        <v>0.1</v>
      </c>
      <c r="C15" s="11">
        <v>3.665</v>
      </c>
      <c r="D15" s="11">
        <v>1.571</v>
      </c>
      <c r="E15" s="11">
        <v>1.4</v>
      </c>
      <c r="F15" s="11">
        <v>0</v>
      </c>
      <c r="G15" s="11">
        <v>0</v>
      </c>
      <c r="H15" s="9">
        <v>-1.61128584295511E-4</v>
      </c>
      <c r="I15" s="9">
        <v>6.6224433481693296E-2</v>
      </c>
      <c r="J15" s="9">
        <v>-0.118051804602146</v>
      </c>
      <c r="K15" s="9">
        <v>-0.18827667832374601</v>
      </c>
      <c r="L15" s="9">
        <v>-0.57758575677871704</v>
      </c>
      <c r="M15" s="9">
        <v>-0.318100035190582</v>
      </c>
      <c r="N15" s="9">
        <v>7.8275549040786961E-7</v>
      </c>
      <c r="O15" s="9">
        <v>6.5485799436450429E-2</v>
      </c>
      <c r="P15" s="9">
        <v>-0.11347489079493984</v>
      </c>
      <c r="Q15" s="9">
        <v>-0.16082361766027395</v>
      </c>
      <c r="R15" s="9">
        <v>-0.59006471211239453</v>
      </c>
      <c r="S15" s="9">
        <v>-0.34052454254295622</v>
      </c>
      <c r="T15" s="7">
        <f t="shared" si="0"/>
        <v>1.6191133978591887E-4</v>
      </c>
      <c r="U15" s="7">
        <f t="shared" si="0"/>
        <v>7.3863404524286691E-4</v>
      </c>
      <c r="V15" s="7">
        <f t="shared" si="0"/>
        <v>4.576913807206151E-3</v>
      </c>
      <c r="W15" s="7">
        <f t="shared" si="0"/>
        <v>2.7453060663472056E-2</v>
      </c>
      <c r="X15" s="7">
        <f t="shared" si="0"/>
        <v>1.2478955333677488E-2</v>
      </c>
      <c r="Y15" s="7">
        <f t="shared" si="0"/>
        <v>2.2424507352374223E-2</v>
      </c>
    </row>
    <row r="16" spans="1:25" x14ac:dyDescent="0.35">
      <c r="A16" s="11">
        <v>0.4</v>
      </c>
      <c r="B16" s="11">
        <v>0.16</v>
      </c>
      <c r="C16" s="11">
        <v>3.665</v>
      </c>
      <c r="D16" s="11">
        <v>1.571</v>
      </c>
      <c r="E16" s="11">
        <v>0</v>
      </c>
      <c r="F16" s="11">
        <v>0</v>
      </c>
      <c r="G16" s="11">
        <v>0</v>
      </c>
      <c r="H16" s="9">
        <v>3.27638350427151E-4</v>
      </c>
      <c r="I16" s="9">
        <v>4.1303895413875601E-2</v>
      </c>
      <c r="J16" s="9">
        <v>-7.1706265211105305E-2</v>
      </c>
      <c r="K16" s="9">
        <v>-0.16764184832572901</v>
      </c>
      <c r="L16" s="9">
        <v>-0.24127176403999301</v>
      </c>
      <c r="M16" s="9">
        <v>-0.13795974850654599</v>
      </c>
      <c r="N16" s="9">
        <v>1.367592483114211E-18</v>
      </c>
      <c r="O16" s="9">
        <v>4.7072220555871E-2</v>
      </c>
      <c r="P16" s="9">
        <v>-8.1567533571039533E-2</v>
      </c>
      <c r="Q16" s="9">
        <v>-0.19051392909413226</v>
      </c>
      <c r="R16" s="9">
        <v>-0.30462860510100198</v>
      </c>
      <c r="S16" s="9">
        <v>-0.17579966267403405</v>
      </c>
      <c r="T16" s="7">
        <f t="shared" si="0"/>
        <v>3.2763835042714964E-4</v>
      </c>
      <c r="U16" s="7">
        <f t="shared" si="0"/>
        <v>5.7683251419953993E-3</v>
      </c>
      <c r="V16" s="7">
        <f t="shared" si="0"/>
        <v>9.8612683599342277E-3</v>
      </c>
      <c r="W16" s="7">
        <f t="shared" si="0"/>
        <v>2.2872080768403247E-2</v>
      </c>
      <c r="X16" s="7">
        <f t="shared" si="0"/>
        <v>6.3356841061008973E-2</v>
      </c>
      <c r="Y16" s="7">
        <f t="shared" si="0"/>
        <v>3.7839914167488053E-2</v>
      </c>
    </row>
    <row r="17" spans="1:25" x14ac:dyDescent="0.35">
      <c r="A17" s="11">
        <v>0.3</v>
      </c>
      <c r="B17" s="11">
        <v>0.18</v>
      </c>
      <c r="C17" s="11">
        <v>3.665</v>
      </c>
      <c r="D17" s="11">
        <v>1.571</v>
      </c>
      <c r="E17" s="11">
        <v>0</v>
      </c>
      <c r="F17" s="11">
        <v>0</v>
      </c>
      <c r="G17" s="11">
        <v>0</v>
      </c>
      <c r="H17" s="9">
        <v>3.5051628947258001E-4</v>
      </c>
      <c r="I17" s="9">
        <v>3.2155215740203899E-2</v>
      </c>
      <c r="J17" s="9">
        <v>-5.4656162858009297E-2</v>
      </c>
      <c r="K17" s="9">
        <v>-0.106987468898296</v>
      </c>
      <c r="L17" s="9">
        <v>-0.16471621394157401</v>
      </c>
      <c r="M17" s="9">
        <v>-9.7047880291938796E-2</v>
      </c>
      <c r="N17" s="9">
        <v>2.4885534982546837E-19</v>
      </c>
      <c r="O17" s="9">
        <v>3.848032813826683E-2</v>
      </c>
      <c r="P17" s="9">
        <v>-6.6679358232468691E-2</v>
      </c>
      <c r="Q17" s="9">
        <v>-0.13700255611111528</v>
      </c>
      <c r="R17" s="9">
        <v>-0.23115898155849329</v>
      </c>
      <c r="S17" s="9">
        <v>-0.13340070597960632</v>
      </c>
      <c r="T17" s="7">
        <f t="shared" si="0"/>
        <v>3.5051628947257974E-4</v>
      </c>
      <c r="U17" s="7">
        <f t="shared" si="0"/>
        <v>6.3251123980629306E-3</v>
      </c>
      <c r="V17" s="7">
        <f t="shared" si="0"/>
        <v>1.2023195374459394E-2</v>
      </c>
      <c r="W17" s="7">
        <f t="shared" si="0"/>
        <v>3.0015087212819286E-2</v>
      </c>
      <c r="X17" s="7">
        <f t="shared" si="0"/>
        <v>6.6442767616919279E-2</v>
      </c>
      <c r="Y17" s="7">
        <f t="shared" si="0"/>
        <v>3.6352825687667525E-2</v>
      </c>
    </row>
  </sheetData>
  <mergeCells count="4">
    <mergeCell ref="A1:G1"/>
    <mergeCell ref="H1:M1"/>
    <mergeCell ref="N1:S1"/>
    <mergeCell ref="T1:Y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6F75F-00D5-499A-8B94-C01DFDD9DEC2}">
  <dimension ref="A1:Z17"/>
  <sheetViews>
    <sheetView workbookViewId="0">
      <selection activeCell="K3" sqref="K3"/>
    </sheetView>
  </sheetViews>
  <sheetFormatPr defaultRowHeight="14.5" x14ac:dyDescent="0.35"/>
  <cols>
    <col min="1" max="2" width="6.1796875" bestFit="1" customWidth="1"/>
    <col min="3" max="3" width="8.81640625" bestFit="1" customWidth="1"/>
    <col min="4" max="4" width="10.81640625" bestFit="1" customWidth="1"/>
    <col min="5" max="7" width="8.453125" bestFit="1" customWidth="1"/>
    <col min="8" max="9" width="8.1796875" bestFit="1" customWidth="1"/>
    <col min="10" max="13" width="8" bestFit="1" customWidth="1"/>
    <col min="14" max="15" width="7.26953125" bestFit="1" customWidth="1"/>
    <col min="16" max="16" width="8.81640625" bestFit="1" customWidth="1"/>
    <col min="17" max="17" width="10.81640625" bestFit="1" customWidth="1"/>
    <col min="18" max="18" width="15" customWidth="1"/>
    <col min="19" max="19" width="11.1796875" bestFit="1" customWidth="1"/>
    <col min="20" max="20" width="13.453125" bestFit="1" customWidth="1"/>
    <col min="21" max="21" width="11.7265625" bestFit="1" customWidth="1"/>
    <col min="22" max="22" width="11.7265625" customWidth="1"/>
    <col min="23" max="23" width="11.1796875" bestFit="1" customWidth="1"/>
    <col min="24" max="24" width="13.54296875" bestFit="1" customWidth="1"/>
    <col min="25" max="25" width="11.7265625" bestFit="1" customWidth="1"/>
    <col min="26" max="26" width="12.54296875" customWidth="1"/>
  </cols>
  <sheetData>
    <row r="1" spans="1:26" ht="16" x14ac:dyDescent="0.4">
      <c r="A1" s="22" t="s">
        <v>13</v>
      </c>
      <c r="B1" s="22"/>
      <c r="C1" s="22"/>
      <c r="D1" s="22"/>
      <c r="E1" s="22"/>
      <c r="F1" s="22"/>
      <c r="G1" s="22"/>
      <c r="H1" s="23" t="s">
        <v>6</v>
      </c>
      <c r="I1" s="23"/>
      <c r="J1" s="23"/>
      <c r="K1" s="23"/>
      <c r="L1" s="23"/>
      <c r="M1" s="23"/>
      <c r="N1" s="25" t="s">
        <v>9</v>
      </c>
      <c r="O1" s="25"/>
      <c r="P1" s="25"/>
      <c r="Q1" s="25"/>
      <c r="R1" s="25"/>
      <c r="S1" s="24" t="s">
        <v>15</v>
      </c>
      <c r="T1" s="24"/>
      <c r="U1" s="24"/>
      <c r="V1" s="6"/>
      <c r="W1" s="21" t="s">
        <v>30</v>
      </c>
      <c r="X1" s="21"/>
      <c r="Y1" s="21"/>
    </row>
    <row r="2" spans="1:26" ht="16" x14ac:dyDescent="0.4">
      <c r="A2" s="1" t="s">
        <v>7</v>
      </c>
      <c r="B2" s="1" t="s">
        <v>8</v>
      </c>
      <c r="C2" s="1" t="s">
        <v>25</v>
      </c>
      <c r="D2" s="1" t="s">
        <v>26</v>
      </c>
      <c r="E2" s="1" t="s">
        <v>10</v>
      </c>
      <c r="F2" s="1" t="s">
        <v>11</v>
      </c>
      <c r="G2" s="1" t="s">
        <v>12</v>
      </c>
      <c r="H2" s="1" t="s">
        <v>3</v>
      </c>
      <c r="I2" s="1" t="s">
        <v>4</v>
      </c>
      <c r="J2" s="1" t="s">
        <v>5</v>
      </c>
      <c r="K2" s="1" t="s">
        <v>0</v>
      </c>
      <c r="L2" s="1" t="s">
        <v>1</v>
      </c>
      <c r="M2" s="1" t="s">
        <v>2</v>
      </c>
      <c r="N2" s="1" t="s">
        <v>7</v>
      </c>
      <c r="O2" s="1" t="s">
        <v>8</v>
      </c>
      <c r="P2" s="1" t="s">
        <v>25</v>
      </c>
      <c r="Q2" s="1" t="s">
        <v>26</v>
      </c>
      <c r="R2" s="1" t="s">
        <v>27</v>
      </c>
      <c r="S2" s="1" t="s">
        <v>28</v>
      </c>
      <c r="T2" s="1" t="s">
        <v>29</v>
      </c>
      <c r="U2" s="4" t="s">
        <v>31</v>
      </c>
      <c r="V2" s="4" t="s">
        <v>32</v>
      </c>
      <c r="W2" s="1" t="s">
        <v>28</v>
      </c>
      <c r="X2" s="1" t="s">
        <v>29</v>
      </c>
      <c r="Y2" s="4" t="s">
        <v>31</v>
      </c>
      <c r="Z2" s="4" t="s">
        <v>32</v>
      </c>
    </row>
    <row r="3" spans="1:26" x14ac:dyDescent="0.35">
      <c r="A3" s="9">
        <f>'Proximal Validation (single)'!A3</f>
        <v>0.3</v>
      </c>
      <c r="B3" s="9">
        <f>'Proximal Validation (single)'!B3</f>
        <v>0.08</v>
      </c>
      <c r="C3" s="9">
        <f>'Proximal Validation (single)'!C3</f>
        <v>1.571</v>
      </c>
      <c r="D3" s="9">
        <f>'Proximal Validation (single)'!D3</f>
        <v>0.78500000000000003</v>
      </c>
      <c r="E3" s="9">
        <f>'Proximal Validation (single)'!E3</f>
        <v>1.4</v>
      </c>
      <c r="F3" s="9">
        <f>'Proximal Validation (single)'!F3</f>
        <v>0</v>
      </c>
      <c r="G3" s="9">
        <f>'Proximal Validation (single)'!G3</f>
        <v>0</v>
      </c>
      <c r="H3" s="9">
        <f>'Proximal Validation (single)'!H3</f>
        <v>8.3457410801202102E-4</v>
      </c>
      <c r="I3" s="9">
        <f>'Proximal Validation (single)'!I3</f>
        <v>-3.4524299204349497E-2</v>
      </c>
      <c r="J3" s="9">
        <f>'Proximal Validation (single)'!J3</f>
        <v>-1.46811630111188E-3</v>
      </c>
      <c r="K3" s="9">
        <f>'Proximal Validation (single)'!K3</f>
        <v>0.179403036832809</v>
      </c>
      <c r="L3" s="9">
        <f>'Proximal Validation (single)'!L3</f>
        <v>-7.5630694627761797E-3</v>
      </c>
      <c r="M3" s="9">
        <f>'Proximal Validation (single)'!M3</f>
        <v>0.203822165727615</v>
      </c>
      <c r="N3" s="9">
        <v>0.27164045436541223</v>
      </c>
      <c r="O3" s="9">
        <v>8.4499381774932922E-2</v>
      </c>
      <c r="P3" s="9">
        <v>1.6893020754003887</v>
      </c>
      <c r="Q3" s="9">
        <v>0.74434928291357283</v>
      </c>
      <c r="R3" s="10">
        <v>1.8059252375507145E-7</v>
      </c>
      <c r="S3" s="8">
        <f>ABS(N3-A3)</f>
        <v>2.8359545634587757E-2</v>
      </c>
      <c r="T3" s="8">
        <f t="shared" ref="T3:V3" si="0">ABS(O3-B3)</f>
        <v>4.4993817749329201E-3</v>
      </c>
      <c r="U3" s="8">
        <f t="shared" si="0"/>
        <v>0.11830207540038873</v>
      </c>
      <c r="V3" s="8">
        <f t="shared" si="0"/>
        <v>4.0650717086427202E-2</v>
      </c>
      <c r="W3" s="9">
        <f>AVERAGE(S3:S17)</f>
        <v>5.2210427082380689E-2</v>
      </c>
      <c r="X3" s="9">
        <f t="shared" ref="X3:Z3" si="1">AVERAGE(T3:T17)</f>
        <v>8.5104303615158063E-3</v>
      </c>
      <c r="Y3" s="9">
        <f>AVERAGE(U3:U17)</f>
        <v>3.8349265737858192E-2</v>
      </c>
      <c r="Z3" s="9">
        <f t="shared" si="1"/>
        <v>7.3272113589242058E-2</v>
      </c>
    </row>
    <row r="4" spans="1:26" x14ac:dyDescent="0.35">
      <c r="A4" s="9">
        <f>'Proximal Validation (single)'!A4</f>
        <v>0.4</v>
      </c>
      <c r="B4" s="9">
        <f>'Proximal Validation (single)'!B4</f>
        <v>0.14000000000000001</v>
      </c>
      <c r="C4" s="9">
        <f>'Proximal Validation (single)'!C4</f>
        <v>1.571</v>
      </c>
      <c r="D4" s="9">
        <f>'Proximal Validation (single)'!D4</f>
        <v>0.78500000000000003</v>
      </c>
      <c r="E4" s="9">
        <f>'Proximal Validation (single)'!E4</f>
        <v>0</v>
      </c>
      <c r="F4" s="9">
        <f>'Proximal Validation (single)'!F4</f>
        <v>0</v>
      </c>
      <c r="G4" s="9">
        <f>'Proximal Validation (single)'!G4</f>
        <v>0</v>
      </c>
      <c r="H4" s="9">
        <f>'Proximal Validation (single)'!H4</f>
        <v>-8.0810196232050701E-4</v>
      </c>
      <c r="I4" s="9">
        <f>'Proximal Validation (single)'!I4</f>
        <v>-6.6743046045303303E-2</v>
      </c>
      <c r="J4" s="9">
        <f>'Proximal Validation (single)'!J4</f>
        <v>4.4342974433675398E-4</v>
      </c>
      <c r="K4" s="9">
        <f>'Proximal Validation (single)'!K4</f>
        <v>0.21195751428604101</v>
      </c>
      <c r="L4" s="9">
        <f>'Proximal Validation (single)'!L4</f>
        <v>1.1818818747997299E-3</v>
      </c>
      <c r="M4" s="9">
        <f>'Proximal Validation (single)'!M4</f>
        <v>0.30656093358993503</v>
      </c>
      <c r="N4" s="9">
        <v>0.37270240523735076</v>
      </c>
      <c r="O4" s="9">
        <v>0.14931753824764529</v>
      </c>
      <c r="P4" s="9">
        <v>1.5668148587968287</v>
      </c>
      <c r="Q4" s="9">
        <v>0.69337967389776611</v>
      </c>
      <c r="R4" s="10">
        <v>6.8609990871115686E-7</v>
      </c>
      <c r="S4" s="8">
        <f t="shared" ref="S4:S17" si="2">ABS(N4-A4)</f>
        <v>2.7297594762649258E-2</v>
      </c>
      <c r="T4" s="8">
        <f t="shared" ref="T4:T17" si="3">ABS(O4-B4)</f>
        <v>9.3175382476452795E-3</v>
      </c>
      <c r="U4" s="8">
        <f t="shared" ref="U4:U17" si="4">ABS(P4-C4)</f>
        <v>4.1851412031712609E-3</v>
      </c>
      <c r="V4" s="8">
        <f t="shared" ref="V4:V17" si="5">ABS(Q4-D4)</f>
        <v>9.1620326102233918E-2</v>
      </c>
      <c r="Y4">
        <f>DEGREES(Y3)</f>
        <v>2.1972510742049254</v>
      </c>
      <c r="Z4">
        <f>DEGREES(Z3)</f>
        <v>4.1981828646667356</v>
      </c>
    </row>
    <row r="5" spans="1:26" x14ac:dyDescent="0.35">
      <c r="A5" s="9">
        <f>'Proximal Validation (single)'!A5</f>
        <v>0.6</v>
      </c>
      <c r="B5" s="9">
        <f>'Proximal Validation (single)'!B5</f>
        <v>0.16</v>
      </c>
      <c r="C5" s="9">
        <f>'Proximal Validation (single)'!C5</f>
        <v>1.571</v>
      </c>
      <c r="D5" s="9">
        <f>'Proximal Validation (single)'!D5</f>
        <v>0.78500000000000003</v>
      </c>
      <c r="E5" s="9">
        <f>'Proximal Validation (single)'!E5</f>
        <v>1.4</v>
      </c>
      <c r="F5" s="9">
        <f>'Proximal Validation (single)'!F5</f>
        <v>0</v>
      </c>
      <c r="G5" s="9">
        <f>'Proximal Validation (single)'!G5</f>
        <v>0</v>
      </c>
      <c r="H5" s="9">
        <f>'Proximal Validation (single)'!H5</f>
        <v>7.8557301312684995E-3</v>
      </c>
      <c r="I5" s="9">
        <f>'Proximal Validation (single)'!I5</f>
        <v>-0.127810284495354</v>
      </c>
      <c r="J5" s="9">
        <f>'Proximal Validation (single)'!J5</f>
        <v>-1.16112818941474E-2</v>
      </c>
      <c r="K5" s="9">
        <f>'Proximal Validation (single)'!K5</f>
        <v>2.8561159968376201E-2</v>
      </c>
      <c r="L5" s="9">
        <f>'Proximal Validation (single)'!L5</f>
        <v>-4.7612398862838697E-2</v>
      </c>
      <c r="M5" s="9">
        <f>'Proximal Validation (single)'!M5</f>
        <v>0.55316102504730202</v>
      </c>
      <c r="N5" s="9">
        <v>0.55589379228810687</v>
      </c>
      <c r="O5" s="9">
        <v>0.16425033324818564</v>
      </c>
      <c r="P5" s="9">
        <v>1.7447593274984587</v>
      </c>
      <c r="Q5" s="9">
        <v>0.85072996481120045</v>
      </c>
      <c r="R5" s="10">
        <v>3.0592110857951358E-6</v>
      </c>
      <c r="S5" s="8">
        <f t="shared" si="2"/>
        <v>4.4106207711893108E-2</v>
      </c>
      <c r="T5" s="8">
        <f t="shared" si="3"/>
        <v>4.2503332481856337E-3</v>
      </c>
      <c r="U5" s="8">
        <f t="shared" si="4"/>
        <v>0.17375932749845879</v>
      </c>
      <c r="V5" s="8">
        <f t="shared" si="5"/>
        <v>6.5729964811200414E-2</v>
      </c>
    </row>
    <row r="6" spans="1:26" x14ac:dyDescent="0.35">
      <c r="A6" s="9">
        <f>'Proximal Validation (single)'!A6</f>
        <v>0.4</v>
      </c>
      <c r="B6" s="9">
        <f>'Proximal Validation (single)'!B6</f>
        <v>0.06</v>
      </c>
      <c r="C6" s="9">
        <f>'Proximal Validation (single)'!C6</f>
        <v>1.571</v>
      </c>
      <c r="D6" s="9">
        <f>'Proximal Validation (single)'!D6</f>
        <v>1.571</v>
      </c>
      <c r="E6" s="9">
        <f>'Proximal Validation (single)'!E6</f>
        <v>1.4</v>
      </c>
      <c r="F6" s="9">
        <f>'Proximal Validation (single)'!F6</f>
        <v>0</v>
      </c>
      <c r="G6" s="9">
        <f>'Proximal Validation (single)'!G6</f>
        <v>0</v>
      </c>
      <c r="H6" s="9">
        <f>'Proximal Validation (single)'!H6</f>
        <v>1.1252735275775201E-3</v>
      </c>
      <c r="I6" s="9">
        <f>'Proximal Validation (single)'!I6</f>
        <v>-5.59809319674969E-2</v>
      </c>
      <c r="J6" s="9">
        <f>'Proximal Validation (single)'!J6</f>
        <v>-7.4938102625310399E-4</v>
      </c>
      <c r="K6" s="9">
        <f>'Proximal Validation (single)'!K6</f>
        <v>-3.5423979163169902E-2</v>
      </c>
      <c r="L6" s="9">
        <f>'Proximal Validation (single)'!L6</f>
        <v>-1.04948431253433E-2</v>
      </c>
      <c r="M6" s="9">
        <f>'Proximal Validation (single)'!M6</f>
        <v>0.35301661491393999</v>
      </c>
      <c r="N6" s="9">
        <v>0.3549439896405856</v>
      </c>
      <c r="O6" s="9">
        <v>6.844872470190598E-2</v>
      </c>
      <c r="P6" s="9">
        <v>1.5982333785595157</v>
      </c>
      <c r="Q6" s="9">
        <v>1.5552473460912224</v>
      </c>
      <c r="R6" s="10">
        <v>7.8555777295611276E-7</v>
      </c>
      <c r="S6" s="8">
        <f t="shared" si="2"/>
        <v>4.5056010359414422E-2</v>
      </c>
      <c r="T6" s="8">
        <f t="shared" si="3"/>
        <v>8.4487247019059825E-3</v>
      </c>
      <c r="U6" s="8">
        <f t="shared" si="4"/>
        <v>2.7233378559515797E-2</v>
      </c>
      <c r="V6" s="8">
        <f t="shared" si="5"/>
        <v>1.5752653908777559E-2</v>
      </c>
    </row>
    <row r="7" spans="1:26" x14ac:dyDescent="0.35">
      <c r="A7" s="9">
        <f>'Proximal Validation (single)'!A7</f>
        <v>0.8</v>
      </c>
      <c r="B7" s="9">
        <f>'Proximal Validation (single)'!B7</f>
        <v>0.08</v>
      </c>
      <c r="C7" s="9">
        <f>'Proximal Validation (single)'!C7</f>
        <v>1.571</v>
      </c>
      <c r="D7" s="9">
        <f>'Proximal Validation (single)'!D7</f>
        <v>1.571</v>
      </c>
      <c r="E7" s="9">
        <f>'Proximal Validation (single)'!E7</f>
        <v>0</v>
      </c>
      <c r="F7" s="9">
        <f>'Proximal Validation (single)'!F7</f>
        <v>0</v>
      </c>
      <c r="G7" s="9">
        <f>'Proximal Validation (single)'!G7</f>
        <v>0</v>
      </c>
      <c r="H7" s="9">
        <f>'Proximal Validation (single)'!H7</f>
        <v>-5.5839424021542105E-4</v>
      </c>
      <c r="I7" s="9">
        <f>'Proximal Validation (single)'!I7</f>
        <v>-0.11975701153278399</v>
      </c>
      <c r="J7" s="9">
        <f>'Proximal Validation (single)'!J7</f>
        <v>-9.9074037279933691E-4</v>
      </c>
      <c r="K7" s="9">
        <f>'Proximal Validation (single)'!K7</f>
        <v>-0.19020733237266499</v>
      </c>
      <c r="L7" s="9">
        <f>'Proximal Validation (single)'!L7</f>
        <v>-2.60122120380402E-3</v>
      </c>
      <c r="M7" s="9">
        <f>'Proximal Validation (single)'!M7</f>
        <v>0.66739636659622203</v>
      </c>
      <c r="N7" s="9">
        <v>0.69397993592036789</v>
      </c>
      <c r="O7" s="9">
        <v>8.6808378855014204E-2</v>
      </c>
      <c r="P7" s="9">
        <v>1.574830357416094</v>
      </c>
      <c r="Q7" s="9">
        <v>1.5963838693409937</v>
      </c>
      <c r="R7" s="10">
        <v>5.7778930102626813E-7</v>
      </c>
      <c r="S7" s="8">
        <f t="shared" si="2"/>
        <v>0.10602006407963216</v>
      </c>
      <c r="T7" s="8">
        <f t="shared" si="3"/>
        <v>6.8083788550142021E-3</v>
      </c>
      <c r="U7" s="8">
        <f t="shared" si="4"/>
        <v>3.8303574160940546E-3</v>
      </c>
      <c r="V7" s="8">
        <f t="shared" si="5"/>
        <v>2.5383869340993792E-2</v>
      </c>
    </row>
    <row r="8" spans="1:26" x14ac:dyDescent="0.35">
      <c r="A8" s="9">
        <f>'Proximal Validation (single)'!A8</f>
        <v>0.7</v>
      </c>
      <c r="B8" s="9">
        <f>'Proximal Validation (single)'!B8</f>
        <v>0.16</v>
      </c>
      <c r="C8" s="9">
        <f>'Proximal Validation (single)'!C8</f>
        <v>1.571</v>
      </c>
      <c r="D8" s="9">
        <f>'Proximal Validation (single)'!D8</f>
        <v>1.571</v>
      </c>
      <c r="E8" s="9">
        <f>'Proximal Validation (single)'!E8</f>
        <v>1.4</v>
      </c>
      <c r="F8" s="9">
        <f>'Proximal Validation (single)'!F8</f>
        <v>0</v>
      </c>
      <c r="G8" s="9">
        <f>'Proximal Validation (single)'!G8</f>
        <v>0</v>
      </c>
      <c r="H8" s="9">
        <f>'Proximal Validation (single)'!H8</f>
        <v>1.04370433837175E-2</v>
      </c>
      <c r="I8" s="9">
        <f>'Proximal Validation (single)'!I8</f>
        <v>-0.129757210612297</v>
      </c>
      <c r="J8" s="9">
        <f>'Proximal Validation (single)'!J8</f>
        <v>-7.3771281167864799E-3</v>
      </c>
      <c r="K8" s="9">
        <f>'Proximal Validation (single)'!K8</f>
        <v>-0.55726921558380105</v>
      </c>
      <c r="L8" s="9">
        <f>'Proximal Validation (single)'!L8</f>
        <v>-6.0898363590240499E-2</v>
      </c>
      <c r="M8" s="9">
        <f>'Proximal Validation (single)'!M8</f>
        <v>0.32599642872810403</v>
      </c>
      <c r="N8" s="9">
        <v>0.64844297699333153</v>
      </c>
      <c r="O8" s="9">
        <v>0.17566910767777402</v>
      </c>
      <c r="P8" s="9">
        <v>1.6243455689744202</v>
      </c>
      <c r="Q8" s="9">
        <v>1.5862147570441274</v>
      </c>
      <c r="R8" s="10">
        <v>2.1500991197949991E-6</v>
      </c>
      <c r="S8" s="8">
        <f t="shared" si="2"/>
        <v>5.1557023006668423E-2</v>
      </c>
      <c r="T8" s="8">
        <f t="shared" si="3"/>
        <v>1.5669107677774019E-2</v>
      </c>
      <c r="U8" s="8">
        <f t="shared" si="4"/>
        <v>5.3345568974420221E-2</v>
      </c>
      <c r="V8" s="8">
        <f t="shared" si="5"/>
        <v>1.5214757044127447E-2</v>
      </c>
    </row>
    <row r="9" spans="1:26" x14ac:dyDescent="0.35">
      <c r="A9" s="9">
        <f>'Proximal Validation (single)'!A9</f>
        <v>0.7</v>
      </c>
      <c r="B9" s="9">
        <f>'Proximal Validation (single)'!B9</f>
        <v>0.2</v>
      </c>
      <c r="C9" s="9">
        <f>'Proximal Validation (single)'!C9</f>
        <v>1.571</v>
      </c>
      <c r="D9" s="9">
        <f>'Proximal Validation (single)'!D9</f>
        <v>1.571</v>
      </c>
      <c r="E9" s="9">
        <f>'Proximal Validation (single)'!E9</f>
        <v>0</v>
      </c>
      <c r="F9" s="9">
        <f>'Proximal Validation (single)'!F9</f>
        <v>0</v>
      </c>
      <c r="G9" s="9">
        <f>'Proximal Validation (single)'!G9</f>
        <v>0</v>
      </c>
      <c r="H9" s="9">
        <f>'Proximal Validation (single)'!H9</f>
        <v>-5.38935419172049E-4</v>
      </c>
      <c r="I9" s="9">
        <f>'Proximal Validation (single)'!I9</f>
        <v>-0.118809439241886</v>
      </c>
      <c r="J9" s="9">
        <f>'Proximal Validation (single)'!J9</f>
        <v>3.4749228507280402E-3</v>
      </c>
      <c r="K9" s="9">
        <f>'Proximal Validation (single)'!K9</f>
        <v>-0.621493339538574</v>
      </c>
      <c r="L9" s="9">
        <f>'Proximal Validation (single)'!L9</f>
        <v>1.56053192913532E-2</v>
      </c>
      <c r="M9" s="9">
        <f>'Proximal Validation (single)'!M9</f>
        <v>0.10576334595680199</v>
      </c>
      <c r="N9" s="9">
        <v>0.6363586788512906</v>
      </c>
      <c r="O9" s="9">
        <v>0.2</v>
      </c>
      <c r="P9" s="9">
        <v>1.4819608041671946</v>
      </c>
      <c r="Q9" s="9">
        <v>1.9605262281107738</v>
      </c>
      <c r="R9" s="10">
        <v>5.4437031791322729E-4</v>
      </c>
      <c r="S9" s="8">
        <f t="shared" si="2"/>
        <v>6.3641321148709351E-2</v>
      </c>
      <c r="T9" s="8">
        <f t="shared" si="3"/>
        <v>0</v>
      </c>
      <c r="U9" s="8">
        <f t="shared" si="4"/>
        <v>8.9039195832805396E-2</v>
      </c>
      <c r="V9" s="8">
        <f t="shared" si="5"/>
        <v>0.38952622811077386</v>
      </c>
    </row>
    <row r="10" spans="1:26" x14ac:dyDescent="0.35">
      <c r="A10" s="9">
        <f>'Proximal Validation (single)'!A10</f>
        <v>0.7</v>
      </c>
      <c r="B10" s="9">
        <f>'Proximal Validation (single)'!B10</f>
        <v>0.06</v>
      </c>
      <c r="C10" s="9">
        <f>'Proximal Validation (single)'!C10</f>
        <v>3.665</v>
      </c>
      <c r="D10" s="9">
        <f>'Proximal Validation (single)'!D10</f>
        <v>0.78500000000000003</v>
      </c>
      <c r="E10" s="9">
        <f>'Proximal Validation (single)'!E10</f>
        <v>0</v>
      </c>
      <c r="F10" s="9">
        <f>'Proximal Validation (single)'!F10</f>
        <v>0</v>
      </c>
      <c r="G10" s="9">
        <f>'Proximal Validation (single)'!G10</f>
        <v>0</v>
      </c>
      <c r="H10" s="9">
        <f>'Proximal Validation (single)'!H10</f>
        <v>-7.8150304034352303E-4</v>
      </c>
      <c r="I10" s="9">
        <f>'Proximal Validation (single)'!I10</f>
        <v>4.4897478073835401E-2</v>
      </c>
      <c r="J10" s="9">
        <f>'Proximal Validation (single)'!J10</f>
        <v>-8.2051888108253507E-2</v>
      </c>
      <c r="K10" s="9">
        <f>'Proximal Validation (single)'!K10</f>
        <v>0.48326423764228799</v>
      </c>
      <c r="L10" s="9">
        <f>'Proximal Validation (single)'!L10</f>
        <v>-0.55701375007629395</v>
      </c>
      <c r="M10" s="9">
        <f>'Proximal Validation (single)'!M10</f>
        <v>-0.30146327614784202</v>
      </c>
      <c r="N10" s="9">
        <v>0.79667511424520754</v>
      </c>
      <c r="O10" s="9">
        <v>6.1275299393619892E-2</v>
      </c>
      <c r="P10" s="9">
        <v>3.6377631674938162</v>
      </c>
      <c r="Q10" s="9">
        <v>0.81215353404643786</v>
      </c>
      <c r="R10" s="10">
        <v>7.924150002692917E-7</v>
      </c>
      <c r="S10" s="8">
        <f t="shared" si="2"/>
        <v>9.6675114245207583E-2</v>
      </c>
      <c r="T10" s="8">
        <f t="shared" si="3"/>
        <v>1.2752993936198942E-3</v>
      </c>
      <c r="U10" s="8">
        <f t="shared" si="4"/>
        <v>2.7236832506183806E-2</v>
      </c>
      <c r="V10" s="8">
        <f t="shared" si="5"/>
        <v>2.7153534046437833E-2</v>
      </c>
    </row>
    <row r="11" spans="1:26" x14ac:dyDescent="0.35">
      <c r="A11" s="9">
        <f>'Proximal Validation (single)'!A11</f>
        <v>0.6</v>
      </c>
      <c r="B11" s="9">
        <f>'Proximal Validation (single)'!B11</f>
        <v>0.1</v>
      </c>
      <c r="C11" s="9">
        <f>'Proximal Validation (single)'!C11</f>
        <v>3.665</v>
      </c>
      <c r="D11" s="9">
        <f>'Proximal Validation (single)'!D11</f>
        <v>0.78500000000000003</v>
      </c>
      <c r="E11" s="9">
        <f>'Proximal Validation (single)'!E11</f>
        <v>0</v>
      </c>
      <c r="F11" s="9">
        <f>'Proximal Validation (single)'!F11</f>
        <v>0</v>
      </c>
      <c r="G11" s="9">
        <f>'Proximal Validation (single)'!G11</f>
        <v>0</v>
      </c>
      <c r="H11" s="9">
        <f>'Proximal Validation (single)'!H11</f>
        <v>-4.8895599320530902E-4</v>
      </c>
      <c r="I11" s="9">
        <f>'Proximal Validation (single)'!I11</f>
        <v>4.6247739344835302E-2</v>
      </c>
      <c r="J11" s="9">
        <f>'Proximal Validation (single)'!J11</f>
        <v>-8.3231396973133101E-2</v>
      </c>
      <c r="K11" s="9">
        <f>'Proximal Validation (single)'!K11</f>
        <v>0.33926415443420399</v>
      </c>
      <c r="L11" s="9">
        <f>'Proximal Validation (single)'!L11</f>
        <v>-0.45690825581550598</v>
      </c>
      <c r="M11" s="9">
        <f>'Proximal Validation (single)'!M11</f>
        <v>-0.25065129995346103</v>
      </c>
      <c r="N11" s="9">
        <v>0.62184636460543607</v>
      </c>
      <c r="O11" s="9">
        <v>0.10513156143345881</v>
      </c>
      <c r="P11" s="9">
        <v>3.6435210188457798</v>
      </c>
      <c r="Q11" s="9">
        <v>0.75420788054793886</v>
      </c>
      <c r="R11" s="10">
        <v>4.9674370725552209E-7</v>
      </c>
      <c r="S11" s="8">
        <f t="shared" si="2"/>
        <v>2.1846364605436097E-2</v>
      </c>
      <c r="T11" s="8">
        <f t="shared" si="3"/>
        <v>5.1315614334588033E-3</v>
      </c>
      <c r="U11" s="8">
        <f t="shared" si="4"/>
        <v>2.14789811542202E-2</v>
      </c>
      <c r="V11" s="8">
        <f t="shared" si="5"/>
        <v>3.0792119452061173E-2</v>
      </c>
    </row>
    <row r="12" spans="1:26" x14ac:dyDescent="0.35">
      <c r="A12" s="9">
        <f>'Proximal Validation (single)'!A12</f>
        <v>0.8</v>
      </c>
      <c r="B12" s="9">
        <f>'Proximal Validation (single)'!B12</f>
        <v>0.18</v>
      </c>
      <c r="C12" s="9">
        <f>'Proximal Validation (single)'!C12</f>
        <v>3.665</v>
      </c>
      <c r="D12" s="9">
        <f>'Proximal Validation (single)'!D12</f>
        <v>0.78500000000000003</v>
      </c>
      <c r="E12" s="9">
        <f>'Proximal Validation (single)'!E12</f>
        <v>1.4</v>
      </c>
      <c r="F12" s="9">
        <f>'Proximal Validation (single)'!F12</f>
        <v>0</v>
      </c>
      <c r="G12" s="9">
        <f>'Proximal Validation (single)'!G12</f>
        <v>0</v>
      </c>
      <c r="H12" s="9">
        <f>'Proximal Validation (single)'!H12</f>
        <v>1.7005717381834999E-3</v>
      </c>
      <c r="I12" s="9">
        <f>'Proximal Validation (single)'!I12</f>
        <v>8.4788650274276706E-2</v>
      </c>
      <c r="J12" s="9">
        <f>'Proximal Validation (single)'!J12</f>
        <v>-0.143600359559059</v>
      </c>
      <c r="K12" s="9">
        <f>'Proximal Validation (single)'!K12</f>
        <v>0.28701612353324901</v>
      </c>
      <c r="L12" s="9">
        <f>'Proximal Validation (single)'!L12</f>
        <v>-0.64443814754486095</v>
      </c>
      <c r="M12" s="9">
        <f>'Proximal Validation (single)'!M12</f>
        <v>-0.37070235610008201</v>
      </c>
      <c r="N12" s="9">
        <v>0.79694073518939224</v>
      </c>
      <c r="O12" s="9">
        <v>0.18685469672895019</v>
      </c>
      <c r="P12" s="9">
        <v>3.6643085882694635</v>
      </c>
      <c r="Q12" s="9">
        <v>0.58530558122060272</v>
      </c>
      <c r="R12" s="10">
        <v>6.263742101950072E-6</v>
      </c>
      <c r="S12" s="8">
        <f t="shared" si="2"/>
        <v>3.0592648106078091E-3</v>
      </c>
      <c r="T12" s="8">
        <f t="shared" si="3"/>
        <v>6.8546967289501992E-3</v>
      </c>
      <c r="U12" s="8">
        <f t="shared" si="4"/>
        <v>6.9141173053655081E-4</v>
      </c>
      <c r="V12" s="8">
        <f t="shared" si="5"/>
        <v>0.19969441877939731</v>
      </c>
    </row>
    <row r="13" spans="1:26" x14ac:dyDescent="0.35">
      <c r="A13" s="9">
        <f>'Proximal Validation (single)'!A13</f>
        <v>0.4</v>
      </c>
      <c r="B13" s="9">
        <f>'Proximal Validation (single)'!B13</f>
        <v>0.2</v>
      </c>
      <c r="C13" s="9">
        <f>'Proximal Validation (single)'!C13</f>
        <v>3.665</v>
      </c>
      <c r="D13" s="9">
        <f>'Proximal Validation (single)'!D13</f>
        <v>0.78500000000000003</v>
      </c>
      <c r="E13" s="9">
        <f>'Proximal Validation (single)'!E13</f>
        <v>1.4</v>
      </c>
      <c r="F13" s="9">
        <f>'Proximal Validation (single)'!F13</f>
        <v>0</v>
      </c>
      <c r="G13" s="9">
        <f>'Proximal Validation (single)'!G13</f>
        <v>0</v>
      </c>
      <c r="H13" s="9">
        <f>'Proximal Validation (single)'!H13</f>
        <v>1.0739560239017001E-3</v>
      </c>
      <c r="I13" s="9">
        <f>'Proximal Validation (single)'!I13</f>
        <v>4.1172292083501802E-2</v>
      </c>
      <c r="J13" s="9">
        <f>'Proximal Validation (single)'!J13</f>
        <v>-6.7707680165767697E-2</v>
      </c>
      <c r="K13" s="9">
        <f>'Proximal Validation (single)'!K13</f>
        <v>0.187965422868729</v>
      </c>
      <c r="L13" s="9">
        <f>'Proximal Validation (single)'!L13</f>
        <v>-0.244067072868347</v>
      </c>
      <c r="M13" s="9">
        <f>'Proximal Validation (single)'!M13</f>
        <v>-0.14198835194110901</v>
      </c>
      <c r="N13" s="9">
        <v>0.34027249218185662</v>
      </c>
      <c r="O13" s="9">
        <v>0.2</v>
      </c>
      <c r="P13" s="9">
        <v>3.6689281498403044</v>
      </c>
      <c r="Q13" s="9">
        <v>0.75660415014262228</v>
      </c>
      <c r="R13" s="10">
        <v>3.8676444514864052E-5</v>
      </c>
      <c r="S13" s="8">
        <f t="shared" si="2"/>
        <v>5.9727507818143399E-2</v>
      </c>
      <c r="T13" s="8">
        <f t="shared" si="3"/>
        <v>0</v>
      </c>
      <c r="U13" s="8">
        <f t="shared" si="4"/>
        <v>3.928149840304318E-3</v>
      </c>
      <c r="V13" s="8">
        <f t="shared" si="5"/>
        <v>2.8395849857377753E-2</v>
      </c>
    </row>
    <row r="14" spans="1:26" x14ac:dyDescent="0.35">
      <c r="A14" s="9">
        <f>'Proximal Validation (single)'!A14</f>
        <v>0.4</v>
      </c>
      <c r="B14" s="9">
        <f>'Proximal Validation (single)'!B14</f>
        <v>0.1</v>
      </c>
      <c r="C14" s="9">
        <f>'Proximal Validation (single)'!C14</f>
        <v>3.665</v>
      </c>
      <c r="D14" s="9">
        <f>'Proximal Validation (single)'!D14</f>
        <v>1.571</v>
      </c>
      <c r="E14" s="9">
        <f>'Proximal Validation (single)'!E14</f>
        <v>1.4</v>
      </c>
      <c r="F14" s="9">
        <f>'Proximal Validation (single)'!F14</f>
        <v>0</v>
      </c>
      <c r="G14" s="9">
        <f>'Proximal Validation (single)'!G14</f>
        <v>0</v>
      </c>
      <c r="H14" s="9">
        <f>'Proximal Validation (single)'!H14</f>
        <v>-4.8927497118711504E-4</v>
      </c>
      <c r="I14" s="9">
        <f>'Proximal Validation (single)'!I14</f>
        <v>3.26927192509174E-2</v>
      </c>
      <c r="J14" s="9">
        <f>'Proximal Validation (single)'!J14</f>
        <v>-5.8575917035341298E-2</v>
      </c>
      <c r="K14" s="9">
        <f>'Proximal Validation (single)'!K14</f>
        <v>-1.28835095092654E-2</v>
      </c>
      <c r="L14" s="9">
        <f>'Proximal Validation (single)'!L14</f>
        <v>-0.29204529523849498</v>
      </c>
      <c r="M14" s="9">
        <f>'Proximal Validation (single)'!M14</f>
        <v>-0.16083618998527499</v>
      </c>
      <c r="N14" s="9">
        <v>0.33365639837767536</v>
      </c>
      <c r="O14" s="9">
        <v>0.11119871452038525</v>
      </c>
      <c r="P14" s="9">
        <v>3.6453055076012579</v>
      </c>
      <c r="Q14" s="9">
        <v>1.5291751760004793</v>
      </c>
      <c r="R14" s="10">
        <v>4.2538904386354797E-7</v>
      </c>
      <c r="S14" s="8">
        <f t="shared" si="2"/>
        <v>6.6343601622324666E-2</v>
      </c>
      <c r="T14" s="8">
        <f t="shared" si="3"/>
        <v>1.1198714520385247E-2</v>
      </c>
      <c r="U14" s="8">
        <f t="shared" si="4"/>
        <v>1.9694492398742103E-2</v>
      </c>
      <c r="V14" s="8">
        <f t="shared" si="5"/>
        <v>4.1824823999520699E-2</v>
      </c>
    </row>
    <row r="15" spans="1:26" x14ac:dyDescent="0.35">
      <c r="A15" s="9">
        <f>'Proximal Validation (single)'!A15</f>
        <v>0.7</v>
      </c>
      <c r="B15" s="9">
        <f>'Proximal Validation (single)'!B15</f>
        <v>0.1</v>
      </c>
      <c r="C15" s="9">
        <f>'Proximal Validation (single)'!C15</f>
        <v>3.665</v>
      </c>
      <c r="D15" s="9">
        <f>'Proximal Validation (single)'!D15</f>
        <v>1.571</v>
      </c>
      <c r="E15" s="9">
        <f>'Proximal Validation (single)'!E15</f>
        <v>1.4</v>
      </c>
      <c r="F15" s="9">
        <f>'Proximal Validation (single)'!F15</f>
        <v>0</v>
      </c>
      <c r="G15" s="9">
        <f>'Proximal Validation (single)'!G15</f>
        <v>0</v>
      </c>
      <c r="H15" s="9">
        <f>'Proximal Validation (single)'!H15</f>
        <v>-1.61128584295511E-4</v>
      </c>
      <c r="I15" s="9">
        <f>'Proximal Validation (single)'!I15</f>
        <v>6.6224433481693296E-2</v>
      </c>
      <c r="J15" s="9">
        <f>'Proximal Validation (single)'!J15</f>
        <v>-0.118051804602146</v>
      </c>
      <c r="K15" s="9">
        <f>'Proximal Validation (single)'!K15</f>
        <v>-0.18827667832374601</v>
      </c>
      <c r="L15" s="9">
        <f>'Proximal Validation (single)'!L15</f>
        <v>-0.57758575677871704</v>
      </c>
      <c r="M15" s="9">
        <f>'Proximal Validation (single)'!M15</f>
        <v>-0.318100035190582</v>
      </c>
      <c r="N15" s="9">
        <v>0.6857434710098802</v>
      </c>
      <c r="O15" s="9">
        <v>0.11148287153938879</v>
      </c>
      <c r="P15" s="9">
        <v>3.645167832722104</v>
      </c>
      <c r="Q15" s="9">
        <v>1.5541720319053915</v>
      </c>
      <c r="R15" s="10">
        <v>1.1951937740222743E-6</v>
      </c>
      <c r="S15" s="8">
        <f t="shared" si="2"/>
        <v>1.4256528990119754E-2</v>
      </c>
      <c r="T15" s="8">
        <f t="shared" si="3"/>
        <v>1.1482871539388789E-2</v>
      </c>
      <c r="U15" s="8">
        <f t="shared" si="4"/>
        <v>1.9832167277896051E-2</v>
      </c>
      <c r="V15" s="8">
        <f t="shared" si="5"/>
        <v>1.6827968094608403E-2</v>
      </c>
    </row>
    <row r="16" spans="1:26" x14ac:dyDescent="0.35">
      <c r="A16" s="9">
        <f>'Proximal Validation (single)'!A16</f>
        <v>0.4</v>
      </c>
      <c r="B16" s="9">
        <f>'Proximal Validation (single)'!B16</f>
        <v>0.16</v>
      </c>
      <c r="C16" s="9">
        <f>'Proximal Validation (single)'!C16</f>
        <v>3.665</v>
      </c>
      <c r="D16" s="9">
        <f>'Proximal Validation (single)'!D16</f>
        <v>1.571</v>
      </c>
      <c r="E16" s="9">
        <f>'Proximal Validation (single)'!E16</f>
        <v>0</v>
      </c>
      <c r="F16" s="9">
        <f>'Proximal Validation (single)'!F16</f>
        <v>0</v>
      </c>
      <c r="G16" s="9">
        <f>'Proximal Validation (single)'!G16</f>
        <v>0</v>
      </c>
      <c r="H16" s="9">
        <f>'Proximal Validation (single)'!H16</f>
        <v>3.27638350427151E-4</v>
      </c>
      <c r="I16" s="9">
        <f>'Proximal Validation (single)'!I16</f>
        <v>4.1303895413875601E-2</v>
      </c>
      <c r="J16" s="9">
        <f>'Proximal Validation (single)'!J16</f>
        <v>-7.1706265211105305E-2</v>
      </c>
      <c r="K16" s="9">
        <f>'Proximal Validation (single)'!K16</f>
        <v>-0.16764184832572901</v>
      </c>
      <c r="L16" s="9">
        <f>'Proximal Validation (single)'!L16</f>
        <v>-0.24127176403999301</v>
      </c>
      <c r="M16" s="9">
        <f>'Proximal Validation (single)'!M16</f>
        <v>-0.13795974850654599</v>
      </c>
      <c r="N16" s="9">
        <v>0.32457483684727473</v>
      </c>
      <c r="O16" s="9">
        <v>0.18271984730147611</v>
      </c>
      <c r="P16" s="9">
        <v>3.6612785141067263</v>
      </c>
      <c r="Q16" s="9">
        <v>1.5859514565312853</v>
      </c>
      <c r="R16" s="10">
        <v>1.705181979437898E-7</v>
      </c>
      <c r="S16" s="8">
        <f t="shared" si="2"/>
        <v>7.5425163152725294E-2</v>
      </c>
      <c r="T16" s="8">
        <f t="shared" si="3"/>
        <v>2.2719847301476109E-2</v>
      </c>
      <c r="U16" s="8">
        <f t="shared" si="4"/>
        <v>3.7214858932737016E-3</v>
      </c>
      <c r="V16" s="8">
        <f t="shared" si="5"/>
        <v>1.4951456531285379E-2</v>
      </c>
    </row>
    <row r="17" spans="1:22" x14ac:dyDescent="0.35">
      <c r="A17" s="9">
        <f>'Proximal Validation (single)'!A17</f>
        <v>0.3</v>
      </c>
      <c r="B17" s="9">
        <f>'Proximal Validation (single)'!B17</f>
        <v>0.18</v>
      </c>
      <c r="C17" s="9">
        <f>'Proximal Validation (single)'!C17</f>
        <v>3.665</v>
      </c>
      <c r="D17" s="9">
        <f>'Proximal Validation (single)'!D17</f>
        <v>1.571</v>
      </c>
      <c r="E17" s="9">
        <f>'Proximal Validation (single)'!E17</f>
        <v>0</v>
      </c>
      <c r="F17" s="9">
        <f>'Proximal Validation (single)'!F17</f>
        <v>0</v>
      </c>
      <c r="G17" s="9">
        <f>'Proximal Validation (single)'!G17</f>
        <v>0</v>
      </c>
      <c r="H17" s="9">
        <f>'Proximal Validation (single)'!H17</f>
        <v>3.5051628947258001E-4</v>
      </c>
      <c r="I17" s="9">
        <f>'Proximal Validation (single)'!I17</f>
        <v>3.2155215740203899E-2</v>
      </c>
      <c r="J17" s="9">
        <f>'Proximal Validation (single)'!J17</f>
        <v>-5.4656162858009297E-2</v>
      </c>
      <c r="K17" s="9">
        <f>'Proximal Validation (single)'!K17</f>
        <v>-0.106987468898296</v>
      </c>
      <c r="L17" s="9">
        <f>'Proximal Validation (single)'!L17</f>
        <v>-0.16471621394157401</v>
      </c>
      <c r="M17" s="9">
        <f>'Proximal Validation (single)'!M17</f>
        <v>-9.7047880291938796E-2</v>
      </c>
      <c r="N17" s="9">
        <v>0.2202149057124087</v>
      </c>
      <c r="O17" s="9">
        <v>0.2</v>
      </c>
      <c r="P17" s="9">
        <v>3.6739604203818619</v>
      </c>
      <c r="Q17" s="9">
        <v>1.6665630166734082</v>
      </c>
      <c r="R17" s="10">
        <v>1.8029033248738099E-5</v>
      </c>
      <c r="S17" s="8">
        <f t="shared" si="2"/>
        <v>7.9785094287591285E-2</v>
      </c>
      <c r="T17" s="8">
        <f t="shared" si="3"/>
        <v>2.0000000000000018E-2</v>
      </c>
      <c r="U17" s="8">
        <f t="shared" si="4"/>
        <v>8.9604203818618444E-3</v>
      </c>
      <c r="V17" s="8">
        <f t="shared" si="5"/>
        <v>9.5563016673408274E-2</v>
      </c>
    </row>
  </sheetData>
  <mergeCells count="5">
    <mergeCell ref="W1:Y1"/>
    <mergeCell ref="A1:G1"/>
    <mergeCell ref="H1:M1"/>
    <mergeCell ref="S1:U1"/>
    <mergeCell ref="N1:R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8D5F-5B80-4411-8C57-013C25829219}">
  <dimension ref="A1:Z17"/>
  <sheetViews>
    <sheetView topLeftCell="C1" workbookViewId="0">
      <selection activeCell="O18" sqref="O18"/>
    </sheetView>
  </sheetViews>
  <sheetFormatPr defaultRowHeight="14.5" x14ac:dyDescent="0.35"/>
  <cols>
    <col min="1" max="2" width="6.1796875" bestFit="1" customWidth="1"/>
    <col min="3" max="3" width="8.81640625" bestFit="1" customWidth="1"/>
    <col min="4" max="4" width="10.81640625" bestFit="1" customWidth="1"/>
    <col min="5" max="7" width="8.453125" bestFit="1" customWidth="1"/>
    <col min="8" max="9" width="8.1796875" bestFit="1" customWidth="1"/>
    <col min="10" max="13" width="8" bestFit="1" customWidth="1"/>
    <col min="14" max="15" width="7.26953125" bestFit="1" customWidth="1"/>
    <col min="16" max="16" width="8.81640625" bestFit="1" customWidth="1"/>
    <col min="17" max="17" width="10.81640625" bestFit="1" customWidth="1"/>
    <col min="18" max="18" width="15" customWidth="1"/>
    <col min="19" max="19" width="11.1796875" bestFit="1" customWidth="1"/>
    <col min="20" max="20" width="13.453125" bestFit="1" customWidth="1"/>
    <col min="21" max="21" width="11.7265625" bestFit="1" customWidth="1"/>
    <col min="22" max="22" width="11.7265625" customWidth="1"/>
    <col min="23" max="23" width="11.1796875" bestFit="1" customWidth="1"/>
    <col min="24" max="24" width="13.54296875" bestFit="1" customWidth="1"/>
    <col min="25" max="25" width="11.7265625" bestFit="1" customWidth="1"/>
    <col min="26" max="26" width="12.54296875" customWidth="1"/>
  </cols>
  <sheetData>
    <row r="1" spans="1:26" ht="16" x14ac:dyDescent="0.4">
      <c r="A1" s="22" t="s">
        <v>13</v>
      </c>
      <c r="B1" s="22"/>
      <c r="C1" s="22"/>
      <c r="D1" s="22"/>
      <c r="E1" s="22"/>
      <c r="F1" s="22"/>
      <c r="G1" s="22"/>
      <c r="H1" s="23" t="s">
        <v>6</v>
      </c>
      <c r="I1" s="23"/>
      <c r="J1" s="23"/>
      <c r="K1" s="23"/>
      <c r="L1" s="23"/>
      <c r="M1" s="23"/>
      <c r="N1" s="25" t="s">
        <v>9</v>
      </c>
      <c r="O1" s="25"/>
      <c r="P1" s="25"/>
      <c r="Q1" s="25"/>
      <c r="R1" s="25"/>
      <c r="S1" s="24" t="s">
        <v>15</v>
      </c>
      <c r="T1" s="24"/>
      <c r="U1" s="24"/>
      <c r="V1" s="6"/>
      <c r="W1" s="21" t="s">
        <v>30</v>
      </c>
      <c r="X1" s="21"/>
      <c r="Y1" s="21"/>
    </row>
    <row r="2" spans="1:26" ht="16" x14ac:dyDescent="0.4">
      <c r="A2" s="1" t="s">
        <v>7</v>
      </c>
      <c r="B2" s="1" t="s">
        <v>8</v>
      </c>
      <c r="C2" s="1" t="s">
        <v>25</v>
      </c>
      <c r="D2" s="1" t="s">
        <v>26</v>
      </c>
      <c r="E2" s="1" t="s">
        <v>10</v>
      </c>
      <c r="F2" s="1" t="s">
        <v>11</v>
      </c>
      <c r="G2" s="1" t="s">
        <v>12</v>
      </c>
      <c r="H2" s="1" t="s">
        <v>3</v>
      </c>
      <c r="I2" s="1" t="s">
        <v>4</v>
      </c>
      <c r="J2" s="1" t="s">
        <v>5</v>
      </c>
      <c r="K2" s="1" t="s">
        <v>0</v>
      </c>
      <c r="L2" s="1" t="s">
        <v>1</v>
      </c>
      <c r="M2" s="1" t="s">
        <v>2</v>
      </c>
      <c r="N2" s="1" t="s">
        <v>7</v>
      </c>
      <c r="O2" s="1" t="s">
        <v>8</v>
      </c>
      <c r="P2" s="1" t="s">
        <v>25</v>
      </c>
      <c r="Q2" s="1" t="s">
        <v>26</v>
      </c>
      <c r="R2" s="1" t="s">
        <v>27</v>
      </c>
      <c r="S2" s="1" t="s">
        <v>28</v>
      </c>
      <c r="T2" s="1" t="s">
        <v>29</v>
      </c>
      <c r="U2" s="4" t="s">
        <v>31</v>
      </c>
      <c r="V2" s="4" t="s">
        <v>32</v>
      </c>
      <c r="W2" s="1" t="s">
        <v>28</v>
      </c>
      <c r="X2" s="1" t="s">
        <v>29</v>
      </c>
      <c r="Y2" s="4" t="s">
        <v>31</v>
      </c>
      <c r="Z2" s="4" t="s">
        <v>32</v>
      </c>
    </row>
    <row r="3" spans="1:26" x14ac:dyDescent="0.35">
      <c r="A3" s="9">
        <f>'Proximal Validation (single)'!A3</f>
        <v>0.3</v>
      </c>
      <c r="B3" s="9">
        <f>'Proximal Validation (single)'!B3</f>
        <v>0.08</v>
      </c>
      <c r="C3" s="9">
        <f>'Proximal Validation (single)'!C3</f>
        <v>1.571</v>
      </c>
      <c r="D3" s="9">
        <f>'Proximal Validation (single)'!D3</f>
        <v>0.78500000000000003</v>
      </c>
      <c r="E3" s="9">
        <f>'Proximal Validation (single)'!E3</f>
        <v>1.4</v>
      </c>
      <c r="F3" s="9">
        <f>'Proximal Validation (single)'!F3</f>
        <v>0</v>
      </c>
      <c r="G3" s="9">
        <f>'Proximal Validation (single)'!G3</f>
        <v>0</v>
      </c>
      <c r="H3" s="9">
        <f>'Proximal Validation (single)'!H3</f>
        <v>8.3457410801202102E-4</v>
      </c>
      <c r="I3" s="9">
        <f>'Proximal Validation (single)'!I3</f>
        <v>-3.4524299204349497E-2</v>
      </c>
      <c r="J3" s="9">
        <f>'Proximal Validation (single)'!J3</f>
        <v>-1.46811630111188E-3</v>
      </c>
      <c r="K3" s="9">
        <f>'Proximal Validation (single)'!K3</f>
        <v>0.179403036832809</v>
      </c>
      <c r="L3" s="9">
        <f>'Proximal Validation (single)'!L3</f>
        <v>-7.5630694627761797E-3</v>
      </c>
      <c r="M3" s="9">
        <f>'Proximal Validation (single)'!M3</f>
        <v>0.203822165727615</v>
      </c>
      <c r="N3" s="9">
        <v>0.25176585675542784</v>
      </c>
      <c r="O3" s="9">
        <v>7.7409627193909369E-2</v>
      </c>
      <c r="P3" s="9">
        <v>1.6621857158434452</v>
      </c>
      <c r="Q3" s="9">
        <v>0.89914821498112374</v>
      </c>
      <c r="R3" s="10">
        <v>5.4458069220912406E-7</v>
      </c>
      <c r="S3" s="8">
        <f>ABS(N3-A3)</f>
        <v>4.8234143244572147E-2</v>
      </c>
      <c r="T3" s="8">
        <f t="shared" ref="T3:V17" si="0">ABS(O3-B3)</f>
        <v>2.5903728060906323E-3</v>
      </c>
      <c r="U3" s="8">
        <f t="shared" si="0"/>
        <v>9.1185715843445259E-2</v>
      </c>
      <c r="V3" s="8">
        <f t="shared" si="0"/>
        <v>0.11414821498112371</v>
      </c>
      <c r="W3" s="9">
        <f>AVERAGE(S3:S17)</f>
        <v>6.5696993611092061E-2</v>
      </c>
      <c r="X3" s="9">
        <f t="shared" ref="X3:Z3" si="1">AVERAGE(T3:T17)</f>
        <v>4.7584855273717079E-2</v>
      </c>
      <c r="Y3" s="9">
        <f>AVERAGE(U3:U17)</f>
        <v>0.34748627341881633</v>
      </c>
      <c r="Z3" s="9">
        <f t="shared" si="1"/>
        <v>0.26805843157632592</v>
      </c>
    </row>
    <row r="4" spans="1:26" x14ac:dyDescent="0.35">
      <c r="A4" s="9">
        <f>'Proximal Validation (single)'!A4</f>
        <v>0.4</v>
      </c>
      <c r="B4" s="9">
        <f>'Proximal Validation (single)'!B4</f>
        <v>0.14000000000000001</v>
      </c>
      <c r="C4" s="9">
        <f>'Proximal Validation (single)'!C4</f>
        <v>1.571</v>
      </c>
      <c r="D4" s="9">
        <f>'Proximal Validation (single)'!D4</f>
        <v>0.78500000000000003</v>
      </c>
      <c r="E4" s="9">
        <f>'Proximal Validation (single)'!E4</f>
        <v>0</v>
      </c>
      <c r="F4" s="9">
        <f>'Proximal Validation (single)'!F4</f>
        <v>0</v>
      </c>
      <c r="G4" s="9">
        <f>'Proximal Validation (single)'!G4</f>
        <v>0</v>
      </c>
      <c r="H4" s="9">
        <f>'Proximal Validation (single)'!H4</f>
        <v>-8.0810196232050701E-4</v>
      </c>
      <c r="I4" s="9">
        <f>'Proximal Validation (single)'!I4</f>
        <v>-6.6743046045303303E-2</v>
      </c>
      <c r="J4" s="9">
        <f>'Proximal Validation (single)'!J4</f>
        <v>4.4342974433675398E-4</v>
      </c>
      <c r="K4" s="9">
        <f>'Proximal Validation (single)'!K4</f>
        <v>0.21195751428604101</v>
      </c>
      <c r="L4" s="9">
        <f>'Proximal Validation (single)'!L4</f>
        <v>1.1818818747997299E-3</v>
      </c>
      <c r="M4" s="9">
        <f>'Proximal Validation (single)'!M4</f>
        <v>0.30656093358993503</v>
      </c>
      <c r="N4" s="9">
        <v>0.35629399825604641</v>
      </c>
      <c r="O4" s="9">
        <v>0.13471832852894311</v>
      </c>
      <c r="P4" s="9">
        <v>1.5669433477186665</v>
      </c>
      <c r="Q4" s="9">
        <v>0.85247017156916194</v>
      </c>
      <c r="R4" s="10">
        <v>2.3890165641817172E-7</v>
      </c>
      <c r="S4" s="8">
        <f t="shared" ref="S4:S17" si="2">ABS(N4-A4)</f>
        <v>4.3706001743953615E-2</v>
      </c>
      <c r="T4" s="8">
        <f t="shared" si="0"/>
        <v>5.2816714710569035E-3</v>
      </c>
      <c r="U4" s="8">
        <f t="shared" si="0"/>
        <v>4.0566522813334505E-3</v>
      </c>
      <c r="V4" s="8">
        <f t="shared" si="0"/>
        <v>6.7470171569161907E-2</v>
      </c>
      <c r="Y4">
        <f>DEGREES(Y3)</f>
        <v>19.90949690562714</v>
      </c>
      <c r="Z4">
        <f>DEGREES(Z3)</f>
        <v>15.358616792219834</v>
      </c>
    </row>
    <row r="5" spans="1:26" x14ac:dyDescent="0.35">
      <c r="A5" s="9">
        <f>'Proximal Validation (single)'!A5</f>
        <v>0.6</v>
      </c>
      <c r="B5" s="9">
        <f>'Proximal Validation (single)'!B5</f>
        <v>0.16</v>
      </c>
      <c r="C5" s="9">
        <f>'Proximal Validation (single)'!C5</f>
        <v>1.571</v>
      </c>
      <c r="D5" s="9">
        <f>'Proximal Validation (single)'!D5</f>
        <v>0.78500000000000003</v>
      </c>
      <c r="E5" s="9">
        <f>'Proximal Validation (single)'!E5</f>
        <v>1.4</v>
      </c>
      <c r="F5" s="9">
        <f>'Proximal Validation (single)'!F5</f>
        <v>0</v>
      </c>
      <c r="G5" s="9">
        <f>'Proximal Validation (single)'!G5</f>
        <v>0</v>
      </c>
      <c r="H5" s="9">
        <f>'Proximal Validation (single)'!H5</f>
        <v>7.8557301312684995E-3</v>
      </c>
      <c r="I5" s="9">
        <f>'Proximal Validation (single)'!I5</f>
        <v>-0.127810284495354</v>
      </c>
      <c r="J5" s="9">
        <f>'Proximal Validation (single)'!J5</f>
        <v>-1.16112818941474E-2</v>
      </c>
      <c r="K5" s="9">
        <f>'Proximal Validation (single)'!K5</f>
        <v>2.8561159968376201E-2</v>
      </c>
      <c r="L5" s="9">
        <f>'Proximal Validation (single)'!L5</f>
        <v>-4.7612398862838697E-2</v>
      </c>
      <c r="M5" s="9">
        <f>'Proximal Validation (single)'!M5</f>
        <v>0.55316102504730202</v>
      </c>
      <c r="N5" s="9">
        <v>0.57507826618722557</v>
      </c>
      <c r="O5" s="9">
        <v>0.14980258799311363</v>
      </c>
      <c r="P5" s="9">
        <v>1.7240415983983191</v>
      </c>
      <c r="Q5" s="9">
        <v>0.92934946998099011</v>
      </c>
      <c r="R5" s="10">
        <v>1.5237257343147551E-5</v>
      </c>
      <c r="S5" s="8">
        <f t="shared" si="2"/>
        <v>2.4921733812774405E-2</v>
      </c>
      <c r="T5" s="8">
        <f t="shared" si="0"/>
        <v>1.0197412006886369E-2</v>
      </c>
      <c r="U5" s="8">
        <f t="shared" si="0"/>
        <v>0.1530415983983191</v>
      </c>
      <c r="V5" s="8">
        <f t="shared" si="0"/>
        <v>0.14434946998099007</v>
      </c>
    </row>
    <row r="6" spans="1:26" x14ac:dyDescent="0.35">
      <c r="A6" s="9">
        <f>'Proximal Validation (single)'!A6</f>
        <v>0.4</v>
      </c>
      <c r="B6" s="9">
        <f>'Proximal Validation (single)'!B6</f>
        <v>0.06</v>
      </c>
      <c r="C6" s="9">
        <f>'Proximal Validation (single)'!C6</f>
        <v>1.571</v>
      </c>
      <c r="D6" s="9">
        <f>'Proximal Validation (single)'!D6</f>
        <v>1.571</v>
      </c>
      <c r="E6" s="9">
        <f>'Proximal Validation (single)'!E6</f>
        <v>1.4</v>
      </c>
      <c r="F6" s="9">
        <f>'Proximal Validation (single)'!F6</f>
        <v>0</v>
      </c>
      <c r="G6" s="9">
        <f>'Proximal Validation (single)'!G6</f>
        <v>0</v>
      </c>
      <c r="H6" s="9">
        <f>'Proximal Validation (single)'!H6</f>
        <v>1.1252735275775201E-3</v>
      </c>
      <c r="I6" s="9">
        <f>'Proximal Validation (single)'!I6</f>
        <v>-5.59809319674969E-2</v>
      </c>
      <c r="J6" s="9">
        <f>'Proximal Validation (single)'!J6</f>
        <v>-7.4938102625310399E-4</v>
      </c>
      <c r="K6" s="9">
        <f>'Proximal Validation (single)'!K6</f>
        <v>-3.5423979163169902E-2</v>
      </c>
      <c r="L6" s="9">
        <f>'Proximal Validation (single)'!L6</f>
        <v>-1.04948431253433E-2</v>
      </c>
      <c r="M6" s="9">
        <f>'Proximal Validation (single)'!M6</f>
        <v>0.35301661491393999</v>
      </c>
      <c r="N6" s="9">
        <v>0.36654435935139396</v>
      </c>
      <c r="O6" s="9">
        <v>6.3887069546794129E-2</v>
      </c>
      <c r="P6" s="9">
        <v>1.5993330077825643</v>
      </c>
      <c r="Q6" s="9">
        <v>1.5395564343121335</v>
      </c>
      <c r="R6" s="10">
        <v>1.2746013392816786E-6</v>
      </c>
      <c r="S6" s="8">
        <f t="shared" si="2"/>
        <v>3.3455640648606066E-2</v>
      </c>
      <c r="T6" s="8">
        <f t="shared" si="0"/>
        <v>3.8870695467941307E-3</v>
      </c>
      <c r="U6" s="8">
        <f t="shared" si="0"/>
        <v>2.8333007782564312E-2</v>
      </c>
      <c r="V6" s="8">
        <f t="shared" si="0"/>
        <v>3.1443565687866437E-2</v>
      </c>
    </row>
    <row r="7" spans="1:26" x14ac:dyDescent="0.35">
      <c r="A7" s="9">
        <f>'Proximal Validation (single)'!A7</f>
        <v>0.8</v>
      </c>
      <c r="B7" s="9">
        <f>'Proximal Validation (single)'!B7</f>
        <v>0.08</v>
      </c>
      <c r="C7" s="9">
        <f>'Proximal Validation (single)'!C7</f>
        <v>1.571</v>
      </c>
      <c r="D7" s="9">
        <f>'Proximal Validation (single)'!D7</f>
        <v>1.571</v>
      </c>
      <c r="E7" s="9">
        <f>'Proximal Validation (single)'!E7</f>
        <v>0</v>
      </c>
      <c r="F7" s="9">
        <f>'Proximal Validation (single)'!F7</f>
        <v>0</v>
      </c>
      <c r="G7" s="9">
        <f>'Proximal Validation (single)'!G7</f>
        <v>0</v>
      </c>
      <c r="H7" s="9">
        <f>'Proximal Validation (single)'!H7</f>
        <v>-5.5839424021542105E-4</v>
      </c>
      <c r="I7" s="9">
        <f>'Proximal Validation (single)'!I7</f>
        <v>-0.11975701153278399</v>
      </c>
      <c r="J7" s="9">
        <f>'Proximal Validation (single)'!J7</f>
        <v>-9.9074037279933691E-4</v>
      </c>
      <c r="K7" s="9">
        <f>'Proximal Validation (single)'!K7</f>
        <v>-0.19020733237266499</v>
      </c>
      <c r="L7" s="9">
        <f>'Proximal Validation (single)'!L7</f>
        <v>-2.60122120380402E-3</v>
      </c>
      <c r="M7" s="9">
        <f>'Proximal Validation (single)'!M7</f>
        <v>0.66739636659622203</v>
      </c>
      <c r="N7" s="9">
        <v>0.70592240299008657</v>
      </c>
      <c r="O7" s="9">
        <v>8.275552128522895E-2</v>
      </c>
      <c r="P7" s="9">
        <v>1.5747160346001037</v>
      </c>
      <c r="Q7" s="9">
        <v>1.5451556337327086</v>
      </c>
      <c r="R7" s="10">
        <v>1.3697771643074497E-7</v>
      </c>
      <c r="S7" s="8">
        <f t="shared" si="2"/>
        <v>9.4077597009913472E-2</v>
      </c>
      <c r="T7" s="8">
        <f t="shared" si="0"/>
        <v>2.7555212852289485E-3</v>
      </c>
      <c r="U7" s="8">
        <f t="shared" si="0"/>
        <v>3.7160346001037237E-3</v>
      </c>
      <c r="V7" s="8">
        <f t="shared" si="0"/>
        <v>2.5844366267291363E-2</v>
      </c>
    </row>
    <row r="8" spans="1:26" x14ac:dyDescent="0.35">
      <c r="A8" s="9">
        <f>'Proximal Validation (single)'!A8</f>
        <v>0.7</v>
      </c>
      <c r="B8" s="9">
        <f>'Proximal Validation (single)'!B8</f>
        <v>0.16</v>
      </c>
      <c r="C8" s="9">
        <f>'Proximal Validation (single)'!C8</f>
        <v>1.571</v>
      </c>
      <c r="D8" s="9">
        <f>'Proximal Validation (single)'!D8</f>
        <v>1.571</v>
      </c>
      <c r="E8" s="9">
        <f>'Proximal Validation (single)'!E8</f>
        <v>1.4</v>
      </c>
      <c r="F8" s="9">
        <f>'Proximal Validation (single)'!F8</f>
        <v>0</v>
      </c>
      <c r="G8" s="9">
        <f>'Proximal Validation (single)'!G8</f>
        <v>0</v>
      </c>
      <c r="H8" s="9">
        <f>'Proximal Validation (single)'!H8</f>
        <v>1.04370433837175E-2</v>
      </c>
      <c r="I8" s="9">
        <f>'Proximal Validation (single)'!I8</f>
        <v>-0.129757210612297</v>
      </c>
      <c r="J8" s="9">
        <f>'Proximal Validation (single)'!J8</f>
        <v>-7.3771281167864799E-3</v>
      </c>
      <c r="K8" s="9">
        <f>'Proximal Validation (single)'!K8</f>
        <v>-0.55726921558380105</v>
      </c>
      <c r="L8" s="9">
        <f>'Proximal Validation (single)'!L8</f>
        <v>-6.0898363590240499E-2</v>
      </c>
      <c r="M8" s="9">
        <f>'Proximal Validation (single)'!M8</f>
        <v>0.32599642872810403</v>
      </c>
      <c r="N8" s="9">
        <v>0.54703734660826808</v>
      </c>
      <c r="O8" s="9">
        <v>0.19786414298364685</v>
      </c>
      <c r="P8" s="9">
        <v>1.6742422185830164</v>
      </c>
      <c r="Q8" s="9">
        <v>1.3713390827862426</v>
      </c>
      <c r="R8" s="10">
        <v>5.4245097123915403E-5</v>
      </c>
      <c r="S8" s="8">
        <f t="shared" si="2"/>
        <v>0.15296265339173187</v>
      </c>
      <c r="T8" s="8">
        <f t="shared" si="0"/>
        <v>3.7864142983646848E-2</v>
      </c>
      <c r="U8" s="8">
        <f t="shared" si="0"/>
        <v>0.10324221858301641</v>
      </c>
      <c r="V8" s="8">
        <f t="shared" si="0"/>
        <v>0.19966091721375734</v>
      </c>
    </row>
    <row r="9" spans="1:26" x14ac:dyDescent="0.35">
      <c r="A9" s="9">
        <f>'Proximal Validation (single)'!A9</f>
        <v>0.7</v>
      </c>
      <c r="B9" s="9">
        <f>'Proximal Validation (single)'!B9</f>
        <v>0.2</v>
      </c>
      <c r="C9" s="9">
        <f>'Proximal Validation (single)'!C9</f>
        <v>1.571</v>
      </c>
      <c r="D9" s="9">
        <f>'Proximal Validation (single)'!D9</f>
        <v>1.571</v>
      </c>
      <c r="E9" s="9">
        <f>'Proximal Validation (single)'!E9</f>
        <v>0</v>
      </c>
      <c r="F9" s="9">
        <f>'Proximal Validation (single)'!F9</f>
        <v>0</v>
      </c>
      <c r="G9" s="9">
        <f>'Proximal Validation (single)'!G9</f>
        <v>0</v>
      </c>
      <c r="H9" s="9">
        <f>'Proximal Validation (single)'!H9</f>
        <v>-5.38935419172049E-4</v>
      </c>
      <c r="I9" s="9">
        <f>'Proximal Validation (single)'!I9</f>
        <v>-0.118809439241886</v>
      </c>
      <c r="J9" s="9">
        <f>'Proximal Validation (single)'!J9</f>
        <v>3.4749228507280402E-3</v>
      </c>
      <c r="K9" s="9">
        <f>'Proximal Validation (single)'!K9</f>
        <v>-0.621493339538574</v>
      </c>
      <c r="L9" s="9">
        <f>'Proximal Validation (single)'!L9</f>
        <v>1.56053192913532E-2</v>
      </c>
      <c r="M9" s="9">
        <f>'Proximal Validation (single)'!M9</f>
        <v>0.10576334595680199</v>
      </c>
      <c r="N9" s="9">
        <v>0.47548452235230187</v>
      </c>
      <c r="O9" s="9">
        <v>4.437244102470661E-2</v>
      </c>
      <c r="P9" s="9">
        <v>6.2831853071795862</v>
      </c>
      <c r="Q9" s="9">
        <v>3.1061528590975596</v>
      </c>
      <c r="R9" s="10">
        <v>2.6238455690372735E-2</v>
      </c>
      <c r="S9" s="8">
        <f t="shared" si="2"/>
        <v>0.22451547764769808</v>
      </c>
      <c r="T9" s="8">
        <f t="shared" si="0"/>
        <v>0.1556275589752934</v>
      </c>
      <c r="U9" s="8">
        <f t="shared" si="0"/>
        <v>4.7121853071795865</v>
      </c>
      <c r="V9" s="8">
        <f t="shared" si="0"/>
        <v>1.5351528590975596</v>
      </c>
    </row>
    <row r="10" spans="1:26" x14ac:dyDescent="0.35">
      <c r="A10" s="9">
        <f>'Proximal Validation (single)'!A10</f>
        <v>0.7</v>
      </c>
      <c r="B10" s="9">
        <f>'Proximal Validation (single)'!B10</f>
        <v>0.06</v>
      </c>
      <c r="C10" s="9">
        <f>'Proximal Validation (single)'!C10</f>
        <v>3.665</v>
      </c>
      <c r="D10" s="9">
        <f>'Proximal Validation (single)'!D10</f>
        <v>0.78500000000000003</v>
      </c>
      <c r="E10" s="9">
        <f>'Proximal Validation (single)'!E10</f>
        <v>0</v>
      </c>
      <c r="F10" s="9">
        <f>'Proximal Validation (single)'!F10</f>
        <v>0</v>
      </c>
      <c r="G10" s="9">
        <f>'Proximal Validation (single)'!G10</f>
        <v>0</v>
      </c>
      <c r="H10" s="9">
        <f>'Proximal Validation (single)'!H10</f>
        <v>-7.8150304034352303E-4</v>
      </c>
      <c r="I10" s="9">
        <f>'Proximal Validation (single)'!I10</f>
        <v>4.4897478073835401E-2</v>
      </c>
      <c r="J10" s="9">
        <f>'Proximal Validation (single)'!J10</f>
        <v>-8.2051888108253507E-2</v>
      </c>
      <c r="K10" s="9">
        <f>'Proximal Validation (single)'!K10</f>
        <v>0.48326423764228799</v>
      </c>
      <c r="L10" s="9">
        <f>'Proximal Validation (single)'!L10</f>
        <v>-0.55701375007629395</v>
      </c>
      <c r="M10" s="9">
        <f>'Proximal Validation (single)'!M10</f>
        <v>-0.30146327614784202</v>
      </c>
      <c r="N10" s="9">
        <v>0.75074610793503893</v>
      </c>
      <c r="O10" s="9">
        <v>1.3431835239219408E-2</v>
      </c>
      <c r="P10" s="9">
        <v>3.6416787591438236</v>
      </c>
      <c r="Q10" s="9">
        <v>1.0526974488868213</v>
      </c>
      <c r="R10" s="10">
        <v>2.2497535216449213E-4</v>
      </c>
      <c r="S10" s="8">
        <f t="shared" si="2"/>
        <v>5.0746107935038975E-2</v>
      </c>
      <c r="T10" s="8">
        <f t="shared" si="0"/>
        <v>4.6568164760780587E-2</v>
      </c>
      <c r="U10" s="8">
        <f t="shared" si="0"/>
        <v>2.3321240856176484E-2</v>
      </c>
      <c r="V10" s="8">
        <f t="shared" si="0"/>
        <v>0.26769744888682123</v>
      </c>
    </row>
    <row r="11" spans="1:26" x14ac:dyDescent="0.35">
      <c r="A11" s="9">
        <f>'Proximal Validation (single)'!A11</f>
        <v>0.6</v>
      </c>
      <c r="B11" s="9">
        <f>'Proximal Validation (single)'!B11</f>
        <v>0.1</v>
      </c>
      <c r="C11" s="9">
        <f>'Proximal Validation (single)'!C11</f>
        <v>3.665</v>
      </c>
      <c r="D11" s="9">
        <f>'Proximal Validation (single)'!D11</f>
        <v>0.78500000000000003</v>
      </c>
      <c r="E11" s="9">
        <f>'Proximal Validation (single)'!E11</f>
        <v>0</v>
      </c>
      <c r="F11" s="9">
        <f>'Proximal Validation (single)'!F11</f>
        <v>0</v>
      </c>
      <c r="G11" s="9">
        <f>'Proximal Validation (single)'!G11</f>
        <v>0</v>
      </c>
      <c r="H11" s="9">
        <f>'Proximal Validation (single)'!H11</f>
        <v>-4.8895599320530902E-4</v>
      </c>
      <c r="I11" s="9">
        <f>'Proximal Validation (single)'!I11</f>
        <v>4.6247739344835302E-2</v>
      </c>
      <c r="J11" s="9">
        <f>'Proximal Validation (single)'!J11</f>
        <v>-8.3231396973133101E-2</v>
      </c>
      <c r="K11" s="9">
        <f>'Proximal Validation (single)'!K11</f>
        <v>0.33926415443420399</v>
      </c>
      <c r="L11" s="9">
        <f>'Proximal Validation (single)'!L11</f>
        <v>-0.45690825581550598</v>
      </c>
      <c r="M11" s="9">
        <f>'Proximal Validation (single)'!M11</f>
        <v>-0.25065129995346103</v>
      </c>
      <c r="N11" s="9">
        <v>0.5970359596445165</v>
      </c>
      <c r="O11" s="9">
        <v>3.7515951981484073E-2</v>
      </c>
      <c r="P11" s="9">
        <v>3.648642710341881</v>
      </c>
      <c r="Q11" s="9">
        <v>1.0852176234594224</v>
      </c>
      <c r="R11" s="10">
        <v>2.3717877448000015E-4</v>
      </c>
      <c r="S11" s="8">
        <f t="shared" si="2"/>
        <v>2.9640403554834771E-3</v>
      </c>
      <c r="T11" s="8">
        <f t="shared" si="0"/>
        <v>6.2484048018515932E-2</v>
      </c>
      <c r="U11" s="8">
        <f t="shared" si="0"/>
        <v>1.6357289658119001E-2</v>
      </c>
      <c r="V11" s="8">
        <f t="shared" si="0"/>
        <v>0.30021762345942238</v>
      </c>
    </row>
    <row r="12" spans="1:26" x14ac:dyDescent="0.35">
      <c r="A12" s="9">
        <f>'Proximal Validation (single)'!A12</f>
        <v>0.8</v>
      </c>
      <c r="B12" s="9">
        <f>'Proximal Validation (single)'!B12</f>
        <v>0.18</v>
      </c>
      <c r="C12" s="9">
        <f>'Proximal Validation (single)'!C12</f>
        <v>3.665</v>
      </c>
      <c r="D12" s="9">
        <f>'Proximal Validation (single)'!D12</f>
        <v>0.78500000000000003</v>
      </c>
      <c r="E12" s="9">
        <f>'Proximal Validation (single)'!E12</f>
        <v>1.4</v>
      </c>
      <c r="F12" s="9">
        <f>'Proximal Validation (single)'!F12</f>
        <v>0</v>
      </c>
      <c r="G12" s="9">
        <f>'Proximal Validation (single)'!G12</f>
        <v>0</v>
      </c>
      <c r="H12" s="9">
        <f>'Proximal Validation (single)'!H12</f>
        <v>1.7005717381834999E-3</v>
      </c>
      <c r="I12" s="9">
        <f>'Proximal Validation (single)'!I12</f>
        <v>8.4788650274276706E-2</v>
      </c>
      <c r="J12" s="9">
        <f>'Proximal Validation (single)'!J12</f>
        <v>-0.143600359559059</v>
      </c>
      <c r="K12" s="9">
        <f>'Proximal Validation (single)'!K12</f>
        <v>0.28701612353324901</v>
      </c>
      <c r="L12" s="9">
        <f>'Proximal Validation (single)'!L12</f>
        <v>-0.64443814754486095</v>
      </c>
      <c r="M12" s="9">
        <f>'Proximal Validation (single)'!M12</f>
        <v>-0.37070235610008201</v>
      </c>
      <c r="N12" s="9">
        <v>0.79793926075448995</v>
      </c>
      <c r="O12" s="9">
        <v>6.9288764828584579E-2</v>
      </c>
      <c r="P12" s="9">
        <v>3.6709044520221457</v>
      </c>
      <c r="Q12" s="9">
        <v>1.1958102569293623</v>
      </c>
      <c r="R12" s="10">
        <v>8.0700200924051484E-4</v>
      </c>
      <c r="S12" s="8">
        <f t="shared" si="2"/>
        <v>2.0607392455100904E-3</v>
      </c>
      <c r="T12" s="8">
        <f t="shared" si="0"/>
        <v>0.11071123517141541</v>
      </c>
      <c r="U12" s="8">
        <f t="shared" si="0"/>
        <v>5.9044520221456231E-3</v>
      </c>
      <c r="V12" s="8">
        <f t="shared" si="0"/>
        <v>0.41081025692936224</v>
      </c>
    </row>
    <row r="13" spans="1:26" x14ac:dyDescent="0.35">
      <c r="A13" s="9">
        <f>'Proximal Validation (single)'!A13</f>
        <v>0.4</v>
      </c>
      <c r="B13" s="9">
        <f>'Proximal Validation (single)'!B13</f>
        <v>0.2</v>
      </c>
      <c r="C13" s="9">
        <f>'Proximal Validation (single)'!C13</f>
        <v>3.665</v>
      </c>
      <c r="D13" s="9">
        <f>'Proximal Validation (single)'!D13</f>
        <v>0.78500000000000003</v>
      </c>
      <c r="E13" s="9">
        <f>'Proximal Validation (single)'!E13</f>
        <v>1.4</v>
      </c>
      <c r="F13" s="9">
        <f>'Proximal Validation (single)'!F13</f>
        <v>0</v>
      </c>
      <c r="G13" s="9">
        <f>'Proximal Validation (single)'!G13</f>
        <v>0</v>
      </c>
      <c r="H13" s="9">
        <f>'Proximal Validation (single)'!H13</f>
        <v>1.0739560239017001E-3</v>
      </c>
      <c r="I13" s="9">
        <f>'Proximal Validation (single)'!I13</f>
        <v>4.1172292083501802E-2</v>
      </c>
      <c r="J13" s="9">
        <f>'Proximal Validation (single)'!J13</f>
        <v>-6.7707680165767697E-2</v>
      </c>
      <c r="K13" s="9">
        <f>'Proximal Validation (single)'!K13</f>
        <v>0.187965422868729</v>
      </c>
      <c r="L13" s="9">
        <f>'Proximal Validation (single)'!L13</f>
        <v>-0.244067072868347</v>
      </c>
      <c r="M13" s="9">
        <f>'Proximal Validation (single)'!M13</f>
        <v>-0.14198835194110901</v>
      </c>
      <c r="N13" s="9">
        <v>0.32489071306931105</v>
      </c>
      <c r="O13" s="9">
        <v>0.11087241142802345</v>
      </c>
      <c r="P13" s="9">
        <v>3.6785347202142877</v>
      </c>
      <c r="Q13" s="9">
        <v>1.0638317011350482</v>
      </c>
      <c r="R13" s="10">
        <v>1.9777367671421357E-4</v>
      </c>
      <c r="S13" s="8">
        <f t="shared" si="2"/>
        <v>7.5109286930688968E-2</v>
      </c>
      <c r="T13" s="8">
        <f t="shared" si="0"/>
        <v>8.9127588571976557E-2</v>
      </c>
      <c r="U13" s="8">
        <f t="shared" si="0"/>
        <v>1.3534720214287699E-2</v>
      </c>
      <c r="V13" s="8">
        <f t="shared" si="0"/>
        <v>0.27883170113504818</v>
      </c>
    </row>
    <row r="14" spans="1:26" x14ac:dyDescent="0.35">
      <c r="A14" s="9">
        <f>'Proximal Validation (single)'!A14</f>
        <v>0.4</v>
      </c>
      <c r="B14" s="9">
        <f>'Proximal Validation (single)'!B14</f>
        <v>0.1</v>
      </c>
      <c r="C14" s="9">
        <f>'Proximal Validation (single)'!C14</f>
        <v>3.665</v>
      </c>
      <c r="D14" s="9">
        <f>'Proximal Validation (single)'!D14</f>
        <v>1.571</v>
      </c>
      <c r="E14" s="9">
        <f>'Proximal Validation (single)'!E14</f>
        <v>1.4</v>
      </c>
      <c r="F14" s="9">
        <f>'Proximal Validation (single)'!F14</f>
        <v>0</v>
      </c>
      <c r="G14" s="9">
        <f>'Proximal Validation (single)'!G14</f>
        <v>0</v>
      </c>
      <c r="H14" s="9">
        <f>'Proximal Validation (single)'!H14</f>
        <v>-4.8927497118711504E-4</v>
      </c>
      <c r="I14" s="9">
        <f>'Proximal Validation (single)'!I14</f>
        <v>3.26927192509174E-2</v>
      </c>
      <c r="J14" s="9">
        <f>'Proximal Validation (single)'!J14</f>
        <v>-5.8575917035341298E-2</v>
      </c>
      <c r="K14" s="9">
        <f>'Proximal Validation (single)'!K14</f>
        <v>-1.28835095092654E-2</v>
      </c>
      <c r="L14" s="9">
        <f>'Proximal Validation (single)'!L14</f>
        <v>-0.29204529523849498</v>
      </c>
      <c r="M14" s="9">
        <f>'Proximal Validation (single)'!M14</f>
        <v>-0.16083618998527499</v>
      </c>
      <c r="N14" s="9">
        <v>0.34416239594645848</v>
      </c>
      <c r="O14" s="9">
        <v>4.9986407190874278E-2</v>
      </c>
      <c r="P14" s="9">
        <v>3.6510423656869309</v>
      </c>
      <c r="Q14" s="9">
        <v>1.6119724393674215</v>
      </c>
      <c r="R14" s="10">
        <v>1.1816515120822258E-4</v>
      </c>
      <c r="S14" s="8">
        <f t="shared" si="2"/>
        <v>5.5837604053541545E-2</v>
      </c>
      <c r="T14" s="8">
        <f t="shared" si="0"/>
        <v>5.0013592809125727E-2</v>
      </c>
      <c r="U14" s="8">
        <f t="shared" si="0"/>
        <v>1.3957634313069178E-2</v>
      </c>
      <c r="V14" s="8">
        <f t="shared" si="0"/>
        <v>4.0972439367421565E-2</v>
      </c>
    </row>
    <row r="15" spans="1:26" x14ac:dyDescent="0.35">
      <c r="A15" s="9">
        <f>'Proximal Validation (single)'!A15</f>
        <v>0.7</v>
      </c>
      <c r="B15" s="9">
        <f>'Proximal Validation (single)'!B15</f>
        <v>0.1</v>
      </c>
      <c r="C15" s="9">
        <f>'Proximal Validation (single)'!C15</f>
        <v>3.665</v>
      </c>
      <c r="D15" s="9">
        <f>'Proximal Validation (single)'!D15</f>
        <v>1.571</v>
      </c>
      <c r="E15" s="9">
        <f>'Proximal Validation (single)'!E15</f>
        <v>1.4</v>
      </c>
      <c r="F15" s="9">
        <f>'Proximal Validation (single)'!F15</f>
        <v>0</v>
      </c>
      <c r="G15" s="9">
        <f>'Proximal Validation (single)'!G15</f>
        <v>0</v>
      </c>
      <c r="H15" s="9">
        <f>'Proximal Validation (single)'!H15</f>
        <v>-1.61128584295511E-4</v>
      </c>
      <c r="I15" s="9">
        <f>'Proximal Validation (single)'!I15</f>
        <v>6.6224433481693296E-2</v>
      </c>
      <c r="J15" s="9">
        <f>'Proximal Validation (single)'!J15</f>
        <v>-0.118051804602146</v>
      </c>
      <c r="K15" s="9">
        <f>'Proximal Validation (single)'!K15</f>
        <v>-0.18827667832374601</v>
      </c>
      <c r="L15" s="9">
        <f>'Proximal Validation (single)'!L15</f>
        <v>-0.57758575677871704</v>
      </c>
      <c r="M15" s="9">
        <f>'Proximal Validation (single)'!M15</f>
        <v>-0.318100035190582</v>
      </c>
      <c r="N15" s="9">
        <v>0.69544594524453762</v>
      </c>
      <c r="O15" s="9">
        <v>5.2557298783545314E-2</v>
      </c>
      <c r="P15" s="9">
        <v>3.6511753801642577</v>
      </c>
      <c r="Q15" s="9">
        <v>1.7445398991530929</v>
      </c>
      <c r="R15" s="10">
        <v>4.921856608278149E-4</v>
      </c>
      <c r="S15" s="8">
        <f t="shared" si="2"/>
        <v>4.5540547554623334E-3</v>
      </c>
      <c r="T15" s="8">
        <f t="shared" si="0"/>
        <v>4.7442701216454691E-2</v>
      </c>
      <c r="U15" s="8">
        <f t="shared" si="0"/>
        <v>1.3824619835742347E-2</v>
      </c>
      <c r="V15" s="8">
        <f t="shared" si="0"/>
        <v>0.17353989915309298</v>
      </c>
    </row>
    <row r="16" spans="1:26" x14ac:dyDescent="0.35">
      <c r="A16" s="9">
        <f>'Proximal Validation (single)'!A16</f>
        <v>0.4</v>
      </c>
      <c r="B16" s="9">
        <f>'Proximal Validation (single)'!B16</f>
        <v>0.16</v>
      </c>
      <c r="C16" s="9">
        <f>'Proximal Validation (single)'!C16</f>
        <v>3.665</v>
      </c>
      <c r="D16" s="9">
        <f>'Proximal Validation (single)'!D16</f>
        <v>1.571</v>
      </c>
      <c r="E16" s="9">
        <f>'Proximal Validation (single)'!E16</f>
        <v>0</v>
      </c>
      <c r="F16" s="9">
        <f>'Proximal Validation (single)'!F16</f>
        <v>0</v>
      </c>
      <c r="G16" s="9">
        <f>'Proximal Validation (single)'!G16</f>
        <v>0</v>
      </c>
      <c r="H16" s="9">
        <f>'Proximal Validation (single)'!H16</f>
        <v>3.27638350427151E-4</v>
      </c>
      <c r="I16" s="9">
        <f>'Proximal Validation (single)'!I16</f>
        <v>4.1303895413875601E-2</v>
      </c>
      <c r="J16" s="9">
        <f>'Proximal Validation (single)'!J16</f>
        <v>-7.1706265211105305E-2</v>
      </c>
      <c r="K16" s="9">
        <f>'Proximal Validation (single)'!K16</f>
        <v>-0.16764184832572901</v>
      </c>
      <c r="L16" s="9">
        <f>'Proximal Validation (single)'!L16</f>
        <v>-0.24127176403999301</v>
      </c>
      <c r="M16" s="9">
        <f>'Proximal Validation (single)'!M16</f>
        <v>-0.13795974850654599</v>
      </c>
      <c r="N16" s="9">
        <v>0.31412690457687131</v>
      </c>
      <c r="O16" s="9">
        <v>0.11322165068839618</v>
      </c>
      <c r="P16" s="9">
        <v>3.6722292682763</v>
      </c>
      <c r="Q16" s="9">
        <v>1.8008750431539418</v>
      </c>
      <c r="R16" s="10">
        <v>1.7736969670218347E-4</v>
      </c>
      <c r="S16" s="8">
        <f t="shared" si="2"/>
        <v>8.5873095423128709E-2</v>
      </c>
      <c r="T16" s="8">
        <f t="shared" si="0"/>
        <v>4.6778349311603823E-2</v>
      </c>
      <c r="U16" s="8">
        <f t="shared" si="0"/>
        <v>7.2292682762999938E-3</v>
      </c>
      <c r="V16" s="8">
        <f t="shared" si="0"/>
        <v>0.2298750431539418</v>
      </c>
    </row>
    <row r="17" spans="1:22" x14ac:dyDescent="0.35">
      <c r="A17" s="9">
        <f>'Proximal Validation (single)'!A17</f>
        <v>0.3</v>
      </c>
      <c r="B17" s="9">
        <f>'Proximal Validation (single)'!B17</f>
        <v>0.18</v>
      </c>
      <c r="C17" s="9">
        <f>'Proximal Validation (single)'!C17</f>
        <v>3.665</v>
      </c>
      <c r="D17" s="9">
        <f>'Proximal Validation (single)'!D17</f>
        <v>1.571</v>
      </c>
      <c r="E17" s="9">
        <f>'Proximal Validation (single)'!E17</f>
        <v>0</v>
      </c>
      <c r="F17" s="9">
        <f>'Proximal Validation (single)'!F17</f>
        <v>0</v>
      </c>
      <c r="G17" s="9">
        <f>'Proximal Validation (single)'!G17</f>
        <v>0</v>
      </c>
      <c r="H17" s="9">
        <f>'Proximal Validation (single)'!H17</f>
        <v>3.5051628947258001E-4</v>
      </c>
      <c r="I17" s="9">
        <f>'Proximal Validation (single)'!I17</f>
        <v>3.2155215740203899E-2</v>
      </c>
      <c r="J17" s="9">
        <f>'Proximal Validation (single)'!J17</f>
        <v>-5.4656162858009297E-2</v>
      </c>
      <c r="K17" s="9">
        <f>'Proximal Validation (single)'!K17</f>
        <v>-0.106987468898296</v>
      </c>
      <c r="L17" s="9">
        <f>'Proximal Validation (single)'!L17</f>
        <v>-0.16471621394157401</v>
      </c>
      <c r="M17" s="9">
        <f>'Proximal Validation (single)'!M17</f>
        <v>-9.7047880291938796E-2</v>
      </c>
      <c r="N17" s="9">
        <v>0.21356327203172287</v>
      </c>
      <c r="O17" s="9">
        <v>0.13755659982911375</v>
      </c>
      <c r="P17" s="9">
        <v>3.6874043414380351</v>
      </c>
      <c r="Q17" s="9">
        <v>1.7718624967620284</v>
      </c>
      <c r="R17" s="10">
        <v>1.017634987128293E-4</v>
      </c>
      <c r="S17" s="8">
        <f t="shared" si="2"/>
        <v>8.6436727968277116E-2</v>
      </c>
      <c r="T17" s="8">
        <f t="shared" si="0"/>
        <v>4.2443400170886242E-2</v>
      </c>
      <c r="U17" s="8">
        <f t="shared" si="0"/>
        <v>2.2404341438035047E-2</v>
      </c>
      <c r="V17" s="8">
        <f t="shared" si="0"/>
        <v>0.2008624967620285</v>
      </c>
    </row>
  </sheetData>
  <mergeCells count="5">
    <mergeCell ref="A1:G1"/>
    <mergeCell ref="H1:M1"/>
    <mergeCell ref="N1:R1"/>
    <mergeCell ref="S1:U1"/>
    <mergeCell ref="W1:Y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C1EEA-6489-4659-B29B-A96532753335}">
  <dimension ref="A1:Z17"/>
  <sheetViews>
    <sheetView tabSelected="1" topLeftCell="L1" workbookViewId="0">
      <selection activeCell="N3" sqref="N3:R17"/>
    </sheetView>
  </sheetViews>
  <sheetFormatPr defaultRowHeight="14.5" x14ac:dyDescent="0.35"/>
  <cols>
    <col min="1" max="2" width="6.1796875" bestFit="1" customWidth="1"/>
    <col min="3" max="3" width="8.81640625" bestFit="1" customWidth="1"/>
    <col min="4" max="4" width="10.81640625" bestFit="1" customWidth="1"/>
    <col min="5" max="7" width="8.453125" bestFit="1" customWidth="1"/>
    <col min="8" max="9" width="8.1796875" bestFit="1" customWidth="1"/>
    <col min="10" max="13" width="8" bestFit="1" customWidth="1"/>
    <col min="14" max="15" width="7.26953125" bestFit="1" customWidth="1"/>
    <col min="16" max="16" width="8.81640625" bestFit="1" customWidth="1"/>
    <col min="17" max="17" width="10.81640625" bestFit="1" customWidth="1"/>
    <col min="18" max="18" width="15" customWidth="1"/>
    <col min="19" max="19" width="11.1796875" bestFit="1" customWidth="1"/>
    <col min="20" max="20" width="13.453125" bestFit="1" customWidth="1"/>
    <col min="21" max="21" width="11.7265625" bestFit="1" customWidth="1"/>
    <col min="22" max="22" width="11.7265625" customWidth="1"/>
    <col min="23" max="23" width="11.1796875" bestFit="1" customWidth="1"/>
    <col min="24" max="24" width="13.54296875" bestFit="1" customWidth="1"/>
    <col min="25" max="25" width="11.7265625" bestFit="1" customWidth="1"/>
    <col min="26" max="26" width="12.54296875" customWidth="1"/>
  </cols>
  <sheetData>
    <row r="1" spans="1:26" ht="16" x14ac:dyDescent="0.4">
      <c r="A1" s="22" t="s">
        <v>13</v>
      </c>
      <c r="B1" s="22"/>
      <c r="C1" s="22"/>
      <c r="D1" s="22"/>
      <c r="E1" s="22"/>
      <c r="F1" s="22"/>
      <c r="G1" s="22"/>
      <c r="H1" s="23" t="s">
        <v>6</v>
      </c>
      <c r="I1" s="23"/>
      <c r="J1" s="23"/>
      <c r="K1" s="23"/>
      <c r="L1" s="23"/>
      <c r="M1" s="23"/>
      <c r="N1" s="25" t="s">
        <v>9</v>
      </c>
      <c r="O1" s="25"/>
      <c r="P1" s="25"/>
      <c r="Q1" s="25"/>
      <c r="R1" s="25"/>
      <c r="S1" s="24" t="s">
        <v>15</v>
      </c>
      <c r="T1" s="24"/>
      <c r="U1" s="24"/>
      <c r="V1" s="6"/>
      <c r="W1" s="21" t="s">
        <v>30</v>
      </c>
      <c r="X1" s="21"/>
      <c r="Y1" s="21"/>
    </row>
    <row r="2" spans="1:26" ht="16" x14ac:dyDescent="0.4">
      <c r="A2" s="1" t="s">
        <v>7</v>
      </c>
      <c r="B2" s="1" t="s">
        <v>8</v>
      </c>
      <c r="C2" s="1" t="s">
        <v>25</v>
      </c>
      <c r="D2" s="1" t="s">
        <v>26</v>
      </c>
      <c r="E2" s="1" t="s">
        <v>10</v>
      </c>
      <c r="F2" s="1" t="s">
        <v>11</v>
      </c>
      <c r="G2" s="1" t="s">
        <v>12</v>
      </c>
      <c r="H2" s="1" t="s">
        <v>3</v>
      </c>
      <c r="I2" s="1" t="s">
        <v>4</v>
      </c>
      <c r="J2" s="1" t="s">
        <v>5</v>
      </c>
      <c r="K2" s="1" t="s">
        <v>0</v>
      </c>
      <c r="L2" s="1" t="s">
        <v>1</v>
      </c>
      <c r="M2" s="1" t="s">
        <v>2</v>
      </c>
      <c r="N2" s="1" t="s">
        <v>7</v>
      </c>
      <c r="O2" s="1" t="s">
        <v>8</v>
      </c>
      <c r="P2" s="1" t="s">
        <v>25</v>
      </c>
      <c r="Q2" s="1" t="s">
        <v>26</v>
      </c>
      <c r="R2" s="1" t="s">
        <v>27</v>
      </c>
      <c r="S2" s="1" t="s">
        <v>28</v>
      </c>
      <c r="T2" s="1" t="s">
        <v>29</v>
      </c>
      <c r="U2" s="4" t="s">
        <v>31</v>
      </c>
      <c r="V2" s="4" t="s">
        <v>32</v>
      </c>
      <c r="W2" s="1" t="s">
        <v>28</v>
      </c>
      <c r="X2" s="1" t="s">
        <v>29</v>
      </c>
      <c r="Y2" s="4" t="s">
        <v>31</v>
      </c>
      <c r="Z2" s="4" t="s">
        <v>32</v>
      </c>
    </row>
    <row r="3" spans="1:26" x14ac:dyDescent="0.35">
      <c r="A3" s="9">
        <f>'Proximal Validation (single)'!A3</f>
        <v>0.3</v>
      </c>
      <c r="B3" s="9">
        <f>'Proximal Validation (single)'!B3</f>
        <v>0.08</v>
      </c>
      <c r="C3" s="9">
        <f>'Proximal Validation (single)'!C3</f>
        <v>1.571</v>
      </c>
      <c r="D3" s="9">
        <f>'Proximal Validation (single)'!D3</f>
        <v>0.78500000000000003</v>
      </c>
      <c r="E3" s="9">
        <f>'Proximal Validation (single)'!E3</f>
        <v>1.4</v>
      </c>
      <c r="F3" s="9">
        <f>'Proximal Validation (single)'!F3</f>
        <v>0</v>
      </c>
      <c r="G3" s="9">
        <f>'Proximal Validation (single)'!G3</f>
        <v>0</v>
      </c>
      <c r="H3" s="9">
        <f>'Proximal Validation (single)'!H3</f>
        <v>8.3457410801202102E-4</v>
      </c>
      <c r="I3" s="9">
        <f>'Proximal Validation (single)'!I3</f>
        <v>-3.4524299204349497E-2</v>
      </c>
      <c r="J3" s="9">
        <f>'Proximal Validation (single)'!J3</f>
        <v>-1.46811630111188E-3</v>
      </c>
      <c r="K3" s="9">
        <f>'Proximal Validation (single)'!K3</f>
        <v>0.179403036832809</v>
      </c>
      <c r="L3" s="9">
        <f>'Proximal Validation (single)'!L3</f>
        <v>-7.5630694627761797E-3</v>
      </c>
      <c r="M3" s="9">
        <f>'Proximal Validation (single)'!M3</f>
        <v>0.203822165727615</v>
      </c>
      <c r="N3" s="9">
        <v>0.22991720198235813</v>
      </c>
      <c r="O3" s="9">
        <v>6.2828243105734566E-2</v>
      </c>
      <c r="P3" s="9">
        <v>1.5686685201921333</v>
      </c>
      <c r="Q3" s="9">
        <v>1.2224638893163442</v>
      </c>
      <c r="R3" s="10">
        <v>5.2882092668436482E-4</v>
      </c>
      <c r="S3" s="8">
        <f>ABS(N3-A3)</f>
        <v>7.0082798017641862E-2</v>
      </c>
      <c r="T3" s="8">
        <f t="shared" ref="T3:V17" si="0">ABS(O3-B3)</f>
        <v>1.7171756894265436E-2</v>
      </c>
      <c r="U3" s="8">
        <f t="shared" si="0"/>
        <v>2.3314798078666321E-3</v>
      </c>
      <c r="V3" s="8">
        <f t="shared" si="0"/>
        <v>0.43746388931634417</v>
      </c>
      <c r="W3" s="9">
        <f>AVERAGE(S3:S17)</f>
        <v>4.3251297317164476E-2</v>
      </c>
      <c r="X3" s="9">
        <f t="shared" ref="X3:Z3" si="1">AVERAGE(T3:T17)</f>
        <v>3.7362062394773896E-2</v>
      </c>
      <c r="Y3" s="9">
        <f>AVERAGE(U3:U17)</f>
        <v>0.34525671127966362</v>
      </c>
      <c r="Z3" s="9">
        <f t="shared" si="1"/>
        <v>0.31331560494980876</v>
      </c>
    </row>
    <row r="4" spans="1:26" x14ac:dyDescent="0.35">
      <c r="A4" s="9">
        <f>'Proximal Validation (single)'!A4</f>
        <v>0.4</v>
      </c>
      <c r="B4" s="9">
        <f>'Proximal Validation (single)'!B4</f>
        <v>0.14000000000000001</v>
      </c>
      <c r="C4" s="9">
        <f>'Proximal Validation (single)'!C4</f>
        <v>1.571</v>
      </c>
      <c r="D4" s="9">
        <f>'Proximal Validation (single)'!D4</f>
        <v>0.78500000000000003</v>
      </c>
      <c r="E4" s="9">
        <f>'Proximal Validation (single)'!E4</f>
        <v>0</v>
      </c>
      <c r="F4" s="9">
        <f>'Proximal Validation (single)'!F4</f>
        <v>0</v>
      </c>
      <c r="G4" s="9">
        <f>'Proximal Validation (single)'!G4</f>
        <v>0</v>
      </c>
      <c r="H4" s="9">
        <f>'Proximal Validation (single)'!H4</f>
        <v>-8.0810196232050701E-4</v>
      </c>
      <c r="I4" s="9">
        <f>'Proximal Validation (single)'!I4</f>
        <v>-6.6743046045303303E-2</v>
      </c>
      <c r="J4" s="9">
        <f>'Proximal Validation (single)'!J4</f>
        <v>4.4342974433675398E-4</v>
      </c>
      <c r="K4" s="9">
        <f>'Proximal Validation (single)'!K4</f>
        <v>0.21195751428604101</v>
      </c>
      <c r="L4" s="9">
        <f>'Proximal Validation (single)'!L4</f>
        <v>1.1818818747997299E-3</v>
      </c>
      <c r="M4" s="9">
        <f>'Proximal Validation (single)'!M4</f>
        <v>0.30656093358993503</v>
      </c>
      <c r="N4" s="9">
        <v>0.33788822406816815</v>
      </c>
      <c r="O4" s="9">
        <v>0.11871880754932461</v>
      </c>
      <c r="P4" s="9">
        <v>1.5324973262704957</v>
      </c>
      <c r="Q4" s="9">
        <v>1.0787440988543255</v>
      </c>
      <c r="R4" s="10">
        <v>5.6166663921947536E-4</v>
      </c>
      <c r="S4" s="8">
        <f t="shared" ref="S4:S17" si="2">ABS(N4-A4)</f>
        <v>6.211177593183187E-2</v>
      </c>
      <c r="T4" s="8">
        <f t="shared" si="0"/>
        <v>2.1281192450675404E-2</v>
      </c>
      <c r="U4" s="8">
        <f t="shared" si="0"/>
        <v>3.8502673729504222E-2</v>
      </c>
      <c r="V4" s="8">
        <f t="shared" si="0"/>
        <v>0.29374409885432551</v>
      </c>
      <c r="Y4">
        <f>DEGREES(Y3)</f>
        <v>19.781752404891531</v>
      </c>
      <c r="Z4">
        <f>DEGREES(Z3)</f>
        <v>17.951661819212248</v>
      </c>
    </row>
    <row r="5" spans="1:26" x14ac:dyDescent="0.35">
      <c r="A5" s="9">
        <f>'Proximal Validation (single)'!A5</f>
        <v>0.6</v>
      </c>
      <c r="B5" s="9">
        <f>'Proximal Validation (single)'!B5</f>
        <v>0.16</v>
      </c>
      <c r="C5" s="9">
        <f>'Proximal Validation (single)'!C5</f>
        <v>1.571</v>
      </c>
      <c r="D5" s="9">
        <f>'Proximal Validation (single)'!D5</f>
        <v>0.78500000000000003</v>
      </c>
      <c r="E5" s="9">
        <f>'Proximal Validation (single)'!E5</f>
        <v>1.4</v>
      </c>
      <c r="F5" s="9">
        <f>'Proximal Validation (single)'!F5</f>
        <v>0</v>
      </c>
      <c r="G5" s="9">
        <f>'Proximal Validation (single)'!G5</f>
        <v>0</v>
      </c>
      <c r="H5" s="9">
        <f>'Proximal Validation (single)'!H5</f>
        <v>7.8557301312684995E-3</v>
      </c>
      <c r="I5" s="9">
        <f>'Proximal Validation (single)'!I5</f>
        <v>-0.127810284495354</v>
      </c>
      <c r="J5" s="9">
        <f>'Proximal Validation (single)'!J5</f>
        <v>-1.16112818941474E-2</v>
      </c>
      <c r="K5" s="9">
        <f>'Proximal Validation (single)'!K5</f>
        <v>2.8561159968376201E-2</v>
      </c>
      <c r="L5" s="9">
        <f>'Proximal Validation (single)'!L5</f>
        <v>-4.7612398862838697E-2</v>
      </c>
      <c r="M5" s="9">
        <f>'Proximal Validation (single)'!M5</f>
        <v>0.55316102504730202</v>
      </c>
      <c r="N5" s="9">
        <v>0.57870479017900989</v>
      </c>
      <c r="O5" s="9">
        <v>0.13712967895377676</v>
      </c>
      <c r="P5" s="9">
        <v>1.6655657432120243</v>
      </c>
      <c r="Q5" s="9">
        <v>1.1569604667416944</v>
      </c>
      <c r="R5" s="10">
        <v>5.9228286510050303E-4</v>
      </c>
      <c r="S5" s="8">
        <f t="shared" si="2"/>
        <v>2.1295209820990091E-2</v>
      </c>
      <c r="T5" s="8">
        <f t="shared" si="0"/>
        <v>2.2870321046223246E-2</v>
      </c>
      <c r="U5" s="8">
        <f t="shared" si="0"/>
        <v>9.4565743212024378E-2</v>
      </c>
      <c r="V5" s="8">
        <f t="shared" si="0"/>
        <v>0.37196046674169436</v>
      </c>
    </row>
    <row r="6" spans="1:26" x14ac:dyDescent="0.35">
      <c r="A6" s="9">
        <f>'Proximal Validation (single)'!A6</f>
        <v>0.4</v>
      </c>
      <c r="B6" s="9">
        <f>'Proximal Validation (single)'!B6</f>
        <v>0.06</v>
      </c>
      <c r="C6" s="9">
        <f>'Proximal Validation (single)'!C6</f>
        <v>1.571</v>
      </c>
      <c r="D6" s="9">
        <f>'Proximal Validation (single)'!D6</f>
        <v>1.571</v>
      </c>
      <c r="E6" s="9">
        <f>'Proximal Validation (single)'!E6</f>
        <v>1.4</v>
      </c>
      <c r="F6" s="9">
        <f>'Proximal Validation (single)'!F6</f>
        <v>0</v>
      </c>
      <c r="G6" s="9">
        <f>'Proximal Validation (single)'!G6</f>
        <v>0</v>
      </c>
      <c r="H6" s="9">
        <f>'Proximal Validation (single)'!H6</f>
        <v>1.1252735275775201E-3</v>
      </c>
      <c r="I6" s="9">
        <f>'Proximal Validation (single)'!I6</f>
        <v>-5.59809319674969E-2</v>
      </c>
      <c r="J6" s="9">
        <f>'Proximal Validation (single)'!J6</f>
        <v>-7.4938102625310399E-4</v>
      </c>
      <c r="K6" s="9">
        <f>'Proximal Validation (single)'!K6</f>
        <v>-3.5423979163169902E-2</v>
      </c>
      <c r="L6" s="9">
        <f>'Proximal Validation (single)'!L6</f>
        <v>-1.04948431253433E-2</v>
      </c>
      <c r="M6" s="9">
        <f>'Proximal Validation (single)'!M6</f>
        <v>0.35301661491393999</v>
      </c>
      <c r="N6" s="9">
        <v>0.40103931158116202</v>
      </c>
      <c r="O6" s="9">
        <v>5.6609959262260971E-2</v>
      </c>
      <c r="P6" s="9">
        <v>1.5466366345774443</v>
      </c>
      <c r="Q6" s="9">
        <v>1.8718423198094816</v>
      </c>
      <c r="R6" s="10">
        <v>4.934855882077889E-4</v>
      </c>
      <c r="S6" s="8">
        <f t="shared" si="2"/>
        <v>1.0393115811619946E-3</v>
      </c>
      <c r="T6" s="8">
        <f t="shared" si="0"/>
        <v>3.3900407377390265E-3</v>
      </c>
      <c r="U6" s="8">
        <f t="shared" si="0"/>
        <v>2.4363365422555683E-2</v>
      </c>
      <c r="V6" s="8">
        <f t="shared" si="0"/>
        <v>0.30084231980948162</v>
      </c>
    </row>
    <row r="7" spans="1:26" x14ac:dyDescent="0.35">
      <c r="A7" s="9">
        <f>'Proximal Validation (single)'!A7</f>
        <v>0.8</v>
      </c>
      <c r="B7" s="9">
        <f>'Proximal Validation (single)'!B7</f>
        <v>0.08</v>
      </c>
      <c r="C7" s="9">
        <f>'Proximal Validation (single)'!C7</f>
        <v>1.571</v>
      </c>
      <c r="D7" s="9">
        <f>'Proximal Validation (single)'!D7</f>
        <v>1.571</v>
      </c>
      <c r="E7" s="9">
        <f>'Proximal Validation (single)'!E7</f>
        <v>0</v>
      </c>
      <c r="F7" s="9">
        <f>'Proximal Validation (single)'!F7</f>
        <v>0</v>
      </c>
      <c r="G7" s="9">
        <f>'Proximal Validation (single)'!G7</f>
        <v>0</v>
      </c>
      <c r="H7" s="9">
        <f>'Proximal Validation (single)'!H7</f>
        <v>-5.5839424021542105E-4</v>
      </c>
      <c r="I7" s="9">
        <f>'Proximal Validation (single)'!I7</f>
        <v>-0.11975701153278399</v>
      </c>
      <c r="J7" s="9">
        <f>'Proximal Validation (single)'!J7</f>
        <v>-9.9074037279933691E-4</v>
      </c>
      <c r="K7" s="9">
        <f>'Proximal Validation (single)'!K7</f>
        <v>-0.19020733237266499</v>
      </c>
      <c r="L7" s="9">
        <f>'Proximal Validation (single)'!L7</f>
        <v>-2.60122120380402E-3</v>
      </c>
      <c r="M7" s="9">
        <f>'Proximal Validation (single)'!M7</f>
        <v>0.66739636659622203</v>
      </c>
      <c r="N7" s="9">
        <v>0.75103386657084459</v>
      </c>
      <c r="O7" s="9">
        <v>7.9849433746575896E-2</v>
      </c>
      <c r="P7" s="9">
        <v>1.557447002876535</v>
      </c>
      <c r="Q7" s="9">
        <v>1.7690879529068655</v>
      </c>
      <c r="R7" s="10">
        <v>5.7315130600234037E-4</v>
      </c>
      <c r="S7" s="8">
        <f t="shared" si="2"/>
        <v>4.8966133429155456E-2</v>
      </c>
      <c r="T7" s="8">
        <f t="shared" si="0"/>
        <v>1.505662534241059E-4</v>
      </c>
      <c r="U7" s="8">
        <f t="shared" si="0"/>
        <v>1.3552997123464916E-2</v>
      </c>
      <c r="V7" s="8">
        <f t="shared" si="0"/>
        <v>0.19808795290686554</v>
      </c>
    </row>
    <row r="8" spans="1:26" x14ac:dyDescent="0.35">
      <c r="A8" s="9">
        <f>'Proximal Validation (single)'!A8</f>
        <v>0.7</v>
      </c>
      <c r="B8" s="9">
        <f>'Proximal Validation (single)'!B8</f>
        <v>0.16</v>
      </c>
      <c r="C8" s="9">
        <f>'Proximal Validation (single)'!C8</f>
        <v>1.571</v>
      </c>
      <c r="D8" s="9">
        <f>'Proximal Validation (single)'!D8</f>
        <v>1.571</v>
      </c>
      <c r="E8" s="9">
        <f>'Proximal Validation (single)'!E8</f>
        <v>1.4</v>
      </c>
      <c r="F8" s="9">
        <f>'Proximal Validation (single)'!F8</f>
        <v>0</v>
      </c>
      <c r="G8" s="9">
        <f>'Proximal Validation (single)'!G8</f>
        <v>0</v>
      </c>
      <c r="H8" s="9">
        <f>'Proximal Validation (single)'!H8</f>
        <v>1.04370433837175E-2</v>
      </c>
      <c r="I8" s="9">
        <f>'Proximal Validation (single)'!I8</f>
        <v>-0.129757210612297</v>
      </c>
      <c r="J8" s="9">
        <f>'Proximal Validation (single)'!J8</f>
        <v>-7.3771281167864799E-3</v>
      </c>
      <c r="K8" s="9">
        <f>'Proximal Validation (single)'!K8</f>
        <v>-0.55726921558380105</v>
      </c>
      <c r="L8" s="9">
        <f>'Proximal Validation (single)'!L8</f>
        <v>-6.0898363590240499E-2</v>
      </c>
      <c r="M8" s="9">
        <f>'Proximal Validation (single)'!M8</f>
        <v>0.32599642872810403</v>
      </c>
      <c r="N8" s="9">
        <v>0.75929596541303868</v>
      </c>
      <c r="O8" s="9">
        <v>0.15276134375627007</v>
      </c>
      <c r="P8" s="9">
        <v>1.5690939986378372</v>
      </c>
      <c r="Q8" s="9">
        <v>1.8052689531082284</v>
      </c>
      <c r="R8" s="10">
        <v>5.7596021484972106E-4</v>
      </c>
      <c r="S8" s="8">
        <f t="shared" si="2"/>
        <v>5.929596541303872E-2</v>
      </c>
      <c r="T8" s="8">
        <f t="shared" si="0"/>
        <v>7.2386562437299351E-3</v>
      </c>
      <c r="U8" s="8">
        <f t="shared" si="0"/>
        <v>1.9060013621627903E-3</v>
      </c>
      <c r="V8" s="8">
        <f t="shared" si="0"/>
        <v>0.23426895310822848</v>
      </c>
    </row>
    <row r="9" spans="1:26" x14ac:dyDescent="0.35">
      <c r="A9" s="9">
        <f>'Proximal Validation (single)'!A9</f>
        <v>0.7</v>
      </c>
      <c r="B9" s="9">
        <f>'Proximal Validation (single)'!B9</f>
        <v>0.2</v>
      </c>
      <c r="C9" s="9">
        <f>'Proximal Validation (single)'!C9</f>
        <v>1.571</v>
      </c>
      <c r="D9" s="9">
        <f>'Proximal Validation (single)'!D9</f>
        <v>1.571</v>
      </c>
      <c r="E9" s="9">
        <f>'Proximal Validation (single)'!E9</f>
        <v>0</v>
      </c>
      <c r="F9" s="9">
        <f>'Proximal Validation (single)'!F9</f>
        <v>0</v>
      </c>
      <c r="G9" s="9">
        <f>'Proximal Validation (single)'!G9</f>
        <v>0</v>
      </c>
      <c r="H9" s="9">
        <f>'Proximal Validation (single)'!H9</f>
        <v>-5.38935419172049E-4</v>
      </c>
      <c r="I9" s="9">
        <f>'Proximal Validation (single)'!I9</f>
        <v>-0.118809439241886</v>
      </c>
      <c r="J9" s="9">
        <f>'Proximal Validation (single)'!J9</f>
        <v>3.4749228507280402E-3</v>
      </c>
      <c r="K9" s="9">
        <f>'Proximal Validation (single)'!K9</f>
        <v>-0.621493339538574</v>
      </c>
      <c r="L9" s="9">
        <f>'Proximal Validation (single)'!L9</f>
        <v>1.56053192913532E-2</v>
      </c>
      <c r="M9" s="9">
        <f>'Proximal Validation (single)'!M9</f>
        <v>0.10576334595680199</v>
      </c>
      <c r="N9" s="9">
        <v>0.73975760209672059</v>
      </c>
      <c r="O9" s="9">
        <v>0.01</v>
      </c>
      <c r="P9" s="9">
        <v>6.2831853071795862</v>
      </c>
      <c r="Q9" s="9">
        <v>3.1019545458073381</v>
      </c>
      <c r="R9" s="10">
        <v>2.969116230592083E-2</v>
      </c>
      <c r="S9" s="8">
        <f t="shared" si="2"/>
        <v>3.9757602096720634E-2</v>
      </c>
      <c r="T9" s="8">
        <f t="shared" si="0"/>
        <v>0.19</v>
      </c>
      <c r="U9" s="8">
        <f t="shared" si="0"/>
        <v>4.7121853071795865</v>
      </c>
      <c r="V9" s="8">
        <f t="shared" si="0"/>
        <v>1.5309545458073381</v>
      </c>
    </row>
    <row r="10" spans="1:26" x14ac:dyDescent="0.35">
      <c r="A10" s="9">
        <f>'Proximal Validation (single)'!A10</f>
        <v>0.7</v>
      </c>
      <c r="B10" s="9">
        <f>'Proximal Validation (single)'!B10</f>
        <v>0.06</v>
      </c>
      <c r="C10" s="9">
        <f>'Proximal Validation (single)'!C10</f>
        <v>3.665</v>
      </c>
      <c r="D10" s="9">
        <f>'Proximal Validation (single)'!D10</f>
        <v>0.78500000000000003</v>
      </c>
      <c r="E10" s="9">
        <f>'Proximal Validation (single)'!E10</f>
        <v>0</v>
      </c>
      <c r="F10" s="9">
        <f>'Proximal Validation (single)'!F10</f>
        <v>0</v>
      </c>
      <c r="G10" s="9">
        <f>'Proximal Validation (single)'!G10</f>
        <v>0</v>
      </c>
      <c r="H10" s="9">
        <f>'Proximal Validation (single)'!H10</f>
        <v>-7.8150304034352303E-4</v>
      </c>
      <c r="I10" s="9">
        <f>'Proximal Validation (single)'!I10</f>
        <v>4.4897478073835401E-2</v>
      </c>
      <c r="J10" s="9">
        <f>'Proximal Validation (single)'!J10</f>
        <v>-8.2051888108253507E-2</v>
      </c>
      <c r="K10" s="9">
        <f>'Proximal Validation (single)'!K10</f>
        <v>0.48326423764228799</v>
      </c>
      <c r="L10" s="9">
        <f>'Proximal Validation (single)'!L10</f>
        <v>-0.55701375007629395</v>
      </c>
      <c r="M10" s="9">
        <f>'Proximal Validation (single)'!M10</f>
        <v>-0.30146327614784202</v>
      </c>
      <c r="N10" s="9">
        <v>0.71244789726745184</v>
      </c>
      <c r="O10" s="9">
        <v>0.10288880986972568</v>
      </c>
      <c r="P10" s="9">
        <v>3.6225652959424823</v>
      </c>
      <c r="Q10" s="9">
        <v>0.76536292993431254</v>
      </c>
      <c r="R10" s="10">
        <v>1.5835082342366457E-4</v>
      </c>
      <c r="S10" s="8">
        <f t="shared" si="2"/>
        <v>1.244789726745188E-2</v>
      </c>
      <c r="T10" s="8">
        <f t="shared" si="0"/>
        <v>4.288880986972568E-2</v>
      </c>
      <c r="U10" s="8">
        <f t="shared" si="0"/>
        <v>4.2434704057517703E-2</v>
      </c>
      <c r="V10" s="8">
        <f t="shared" si="0"/>
        <v>1.963707006568749E-2</v>
      </c>
    </row>
    <row r="11" spans="1:26" x14ac:dyDescent="0.35">
      <c r="A11" s="9">
        <f>'Proximal Validation (single)'!A11</f>
        <v>0.6</v>
      </c>
      <c r="B11" s="9">
        <f>'Proximal Validation (single)'!B11</f>
        <v>0.1</v>
      </c>
      <c r="C11" s="9">
        <f>'Proximal Validation (single)'!C11</f>
        <v>3.665</v>
      </c>
      <c r="D11" s="9">
        <f>'Proximal Validation (single)'!D11</f>
        <v>0.78500000000000003</v>
      </c>
      <c r="E11" s="9">
        <f>'Proximal Validation (single)'!E11</f>
        <v>0</v>
      </c>
      <c r="F11" s="9">
        <f>'Proximal Validation (single)'!F11</f>
        <v>0</v>
      </c>
      <c r="G11" s="9">
        <f>'Proximal Validation (single)'!G11</f>
        <v>0</v>
      </c>
      <c r="H11" s="9">
        <f>'Proximal Validation (single)'!H11</f>
        <v>-4.8895599320530902E-4</v>
      </c>
      <c r="I11" s="9">
        <f>'Proximal Validation (single)'!I11</f>
        <v>4.6247739344835302E-2</v>
      </c>
      <c r="J11" s="9">
        <f>'Proximal Validation (single)'!J11</f>
        <v>-8.3231396973133101E-2</v>
      </c>
      <c r="K11" s="9">
        <f>'Proximal Validation (single)'!K11</f>
        <v>0.33926415443420399</v>
      </c>
      <c r="L11" s="9">
        <f>'Proximal Validation (single)'!L11</f>
        <v>-0.45690825581550598</v>
      </c>
      <c r="M11" s="9">
        <f>'Proximal Validation (single)'!M11</f>
        <v>-0.25065129995346103</v>
      </c>
      <c r="N11" s="9">
        <v>0.54621033698664978</v>
      </c>
      <c r="O11" s="9">
        <v>0.17200658051123363</v>
      </c>
      <c r="P11" s="9">
        <v>3.62470965629536</v>
      </c>
      <c r="Q11" s="9">
        <v>0.63513419296129725</v>
      </c>
      <c r="R11" s="10">
        <v>1.4746021098091292E-4</v>
      </c>
      <c r="S11" s="8">
        <f t="shared" si="2"/>
        <v>5.3789663013350197E-2</v>
      </c>
      <c r="T11" s="8">
        <f t="shared" si="0"/>
        <v>7.2006580511233625E-2</v>
      </c>
      <c r="U11" s="8">
        <f t="shared" si="0"/>
        <v>4.0290343704640019E-2</v>
      </c>
      <c r="V11" s="8">
        <f t="shared" si="0"/>
        <v>0.14986580703870278</v>
      </c>
    </row>
    <row r="12" spans="1:26" x14ac:dyDescent="0.35">
      <c r="A12" s="9">
        <f>'Proximal Validation (single)'!A12</f>
        <v>0.8</v>
      </c>
      <c r="B12" s="9">
        <f>'Proximal Validation (single)'!B12</f>
        <v>0.18</v>
      </c>
      <c r="C12" s="9">
        <f>'Proximal Validation (single)'!C12</f>
        <v>3.665</v>
      </c>
      <c r="D12" s="9">
        <f>'Proximal Validation (single)'!D12</f>
        <v>0.78500000000000003</v>
      </c>
      <c r="E12" s="9">
        <f>'Proximal Validation (single)'!E12</f>
        <v>1.4</v>
      </c>
      <c r="F12" s="9">
        <f>'Proximal Validation (single)'!F12</f>
        <v>0</v>
      </c>
      <c r="G12" s="9">
        <f>'Proximal Validation (single)'!G12</f>
        <v>0</v>
      </c>
      <c r="H12" s="9">
        <f>'Proximal Validation (single)'!H12</f>
        <v>1.7005717381834999E-3</v>
      </c>
      <c r="I12" s="9">
        <f>'Proximal Validation (single)'!I12</f>
        <v>8.4788650274276706E-2</v>
      </c>
      <c r="J12" s="9">
        <f>'Proximal Validation (single)'!J12</f>
        <v>-0.143600359559059</v>
      </c>
      <c r="K12" s="9">
        <f>'Proximal Validation (single)'!K12</f>
        <v>0.28701612353324901</v>
      </c>
      <c r="L12" s="9">
        <f>'Proximal Validation (single)'!L12</f>
        <v>-0.64443814754486095</v>
      </c>
      <c r="M12" s="9">
        <f>'Proximal Validation (single)'!M12</f>
        <v>-0.37070235610008201</v>
      </c>
      <c r="N12" s="9">
        <v>0.74323630116649275</v>
      </c>
      <c r="O12" s="9">
        <v>0.2</v>
      </c>
      <c r="P12" s="9">
        <v>3.6540069491101859</v>
      </c>
      <c r="Q12" s="9">
        <v>0.64037324415779184</v>
      </c>
      <c r="R12" s="10">
        <v>2.5763920067375202E-4</v>
      </c>
      <c r="S12" s="8">
        <f t="shared" si="2"/>
        <v>5.6763698833507292E-2</v>
      </c>
      <c r="T12" s="8">
        <f t="shared" si="0"/>
        <v>2.0000000000000018E-2</v>
      </c>
      <c r="U12" s="8">
        <f t="shared" si="0"/>
        <v>1.0993050889814171E-2</v>
      </c>
      <c r="V12" s="8">
        <f t="shared" si="0"/>
        <v>0.14462675584220819</v>
      </c>
    </row>
    <row r="13" spans="1:26" x14ac:dyDescent="0.35">
      <c r="A13" s="9">
        <f>'Proximal Validation (single)'!A13</f>
        <v>0.4</v>
      </c>
      <c r="B13" s="9">
        <f>'Proximal Validation (single)'!B13</f>
        <v>0.2</v>
      </c>
      <c r="C13" s="9">
        <f>'Proximal Validation (single)'!C13</f>
        <v>3.665</v>
      </c>
      <c r="D13" s="9">
        <f>'Proximal Validation (single)'!D13</f>
        <v>0.78500000000000003</v>
      </c>
      <c r="E13" s="9">
        <f>'Proximal Validation (single)'!E13</f>
        <v>1.4</v>
      </c>
      <c r="F13" s="9">
        <f>'Proximal Validation (single)'!F13</f>
        <v>0</v>
      </c>
      <c r="G13" s="9">
        <f>'Proximal Validation (single)'!G13</f>
        <v>0</v>
      </c>
      <c r="H13" s="9">
        <f>'Proximal Validation (single)'!H13</f>
        <v>1.0739560239017001E-3</v>
      </c>
      <c r="I13" s="9">
        <f>'Proximal Validation (single)'!I13</f>
        <v>4.1172292083501802E-2</v>
      </c>
      <c r="J13" s="9">
        <f>'Proximal Validation (single)'!J13</f>
        <v>-6.7707680165767697E-2</v>
      </c>
      <c r="K13" s="9">
        <f>'Proximal Validation (single)'!K13</f>
        <v>0.187965422868729</v>
      </c>
      <c r="L13" s="9">
        <f>'Proximal Validation (single)'!L13</f>
        <v>-0.244067072868347</v>
      </c>
      <c r="M13" s="9">
        <f>'Proximal Validation (single)'!M13</f>
        <v>-0.14198835194110901</v>
      </c>
      <c r="N13" s="9">
        <v>0.27514846325161291</v>
      </c>
      <c r="O13" s="9">
        <v>0.2</v>
      </c>
      <c r="P13" s="9">
        <v>3.6389101868005804</v>
      </c>
      <c r="Q13" s="9">
        <v>1.0703872443459503</v>
      </c>
      <c r="R13" s="10">
        <v>6.6616982525375171E-4</v>
      </c>
      <c r="S13" s="8">
        <f t="shared" si="2"/>
        <v>0.12485153674838712</v>
      </c>
      <c r="T13" s="8">
        <f t="shared" si="0"/>
        <v>0</v>
      </c>
      <c r="U13" s="8">
        <f t="shared" si="0"/>
        <v>2.6089813199419609E-2</v>
      </c>
      <c r="V13" s="8">
        <f t="shared" si="0"/>
        <v>0.28538724434595031</v>
      </c>
    </row>
    <row r="14" spans="1:26" x14ac:dyDescent="0.35">
      <c r="A14" s="9">
        <f>'Proximal Validation (single)'!A14</f>
        <v>0.4</v>
      </c>
      <c r="B14" s="9">
        <f>'Proximal Validation (single)'!B14</f>
        <v>0.1</v>
      </c>
      <c r="C14" s="9">
        <f>'Proximal Validation (single)'!C14</f>
        <v>3.665</v>
      </c>
      <c r="D14" s="9">
        <f>'Proximal Validation (single)'!D14</f>
        <v>1.571</v>
      </c>
      <c r="E14" s="9">
        <f>'Proximal Validation (single)'!E14</f>
        <v>1.4</v>
      </c>
      <c r="F14" s="9">
        <f>'Proximal Validation (single)'!F14</f>
        <v>0</v>
      </c>
      <c r="G14" s="9">
        <f>'Proximal Validation (single)'!G14</f>
        <v>0</v>
      </c>
      <c r="H14" s="9">
        <f>'Proximal Validation (single)'!H14</f>
        <v>-4.8927497118711504E-4</v>
      </c>
      <c r="I14" s="9">
        <f>'Proximal Validation (single)'!I14</f>
        <v>3.26927192509174E-2</v>
      </c>
      <c r="J14" s="9">
        <f>'Proximal Validation (single)'!J14</f>
        <v>-5.8575917035341298E-2</v>
      </c>
      <c r="K14" s="9">
        <f>'Proximal Validation (single)'!K14</f>
        <v>-1.28835095092654E-2</v>
      </c>
      <c r="L14" s="9">
        <f>'Proximal Validation (single)'!L14</f>
        <v>-0.29204529523849498</v>
      </c>
      <c r="M14" s="9">
        <f>'Proximal Validation (single)'!M14</f>
        <v>-0.16083618998527499</v>
      </c>
      <c r="N14" s="9">
        <v>0.33780213456735964</v>
      </c>
      <c r="O14" s="9">
        <v>0.16776454170352398</v>
      </c>
      <c r="P14" s="9">
        <v>3.6132679266206074</v>
      </c>
      <c r="Q14" s="9">
        <v>1.6905697972139977</v>
      </c>
      <c r="R14" s="10">
        <v>1.488496625426333E-4</v>
      </c>
      <c r="S14" s="8">
        <f t="shared" si="2"/>
        <v>6.2197865432640387E-2</v>
      </c>
      <c r="T14" s="8">
        <f t="shared" si="0"/>
        <v>6.7764541703523973E-2</v>
      </c>
      <c r="U14" s="8">
        <f t="shared" si="0"/>
        <v>5.1732073379392673E-2</v>
      </c>
      <c r="V14" s="8">
        <f t="shared" si="0"/>
        <v>0.11956979721399774</v>
      </c>
    </row>
    <row r="15" spans="1:26" x14ac:dyDescent="0.35">
      <c r="A15" s="9">
        <f>'Proximal Validation (single)'!A15</f>
        <v>0.7</v>
      </c>
      <c r="B15" s="9">
        <f>'Proximal Validation (single)'!B15</f>
        <v>0.1</v>
      </c>
      <c r="C15" s="9">
        <f>'Proximal Validation (single)'!C15</f>
        <v>3.665</v>
      </c>
      <c r="D15" s="9">
        <f>'Proximal Validation (single)'!D15</f>
        <v>1.571</v>
      </c>
      <c r="E15" s="9">
        <f>'Proximal Validation (single)'!E15</f>
        <v>1.4</v>
      </c>
      <c r="F15" s="9">
        <f>'Proximal Validation (single)'!F15</f>
        <v>0</v>
      </c>
      <c r="G15" s="9">
        <f>'Proximal Validation (single)'!G15</f>
        <v>0</v>
      </c>
      <c r="H15" s="9">
        <f>'Proximal Validation (single)'!H15</f>
        <v>-1.61128584295511E-4</v>
      </c>
      <c r="I15" s="9">
        <f>'Proximal Validation (single)'!I15</f>
        <v>6.6224433481693296E-2</v>
      </c>
      <c r="J15" s="9">
        <f>'Proximal Validation (single)'!J15</f>
        <v>-0.118051804602146</v>
      </c>
      <c r="K15" s="9">
        <f>'Proximal Validation (single)'!K15</f>
        <v>-0.18827667832374601</v>
      </c>
      <c r="L15" s="9">
        <f>'Proximal Validation (single)'!L15</f>
        <v>-0.57758575677871704</v>
      </c>
      <c r="M15" s="9">
        <f>'Proximal Validation (single)'!M15</f>
        <v>-0.318100035190582</v>
      </c>
      <c r="N15" s="9">
        <v>0.70709804128240072</v>
      </c>
      <c r="O15" s="9">
        <v>0.13566847021106795</v>
      </c>
      <c r="P15" s="9">
        <v>3.6301089938908273</v>
      </c>
      <c r="Q15" s="9">
        <v>1.5327248396557858</v>
      </c>
      <c r="R15" s="10">
        <v>1.3709255310677041E-4</v>
      </c>
      <c r="S15" s="8">
        <f t="shared" si="2"/>
        <v>7.0980412824007688E-3</v>
      </c>
      <c r="T15" s="8">
        <f t="shared" si="0"/>
        <v>3.5668470211067949E-2</v>
      </c>
      <c r="U15" s="8">
        <f t="shared" si="0"/>
        <v>3.4891006109172729E-2</v>
      </c>
      <c r="V15" s="8">
        <f t="shared" si="0"/>
        <v>3.8275160344214187E-2</v>
      </c>
    </row>
    <row r="16" spans="1:26" x14ac:dyDescent="0.35">
      <c r="A16" s="9">
        <f>'Proximal Validation (single)'!A16</f>
        <v>0.4</v>
      </c>
      <c r="B16" s="9">
        <f>'Proximal Validation (single)'!B16</f>
        <v>0.16</v>
      </c>
      <c r="C16" s="9">
        <f>'Proximal Validation (single)'!C16</f>
        <v>3.665</v>
      </c>
      <c r="D16" s="9">
        <f>'Proximal Validation (single)'!D16</f>
        <v>1.571</v>
      </c>
      <c r="E16" s="9">
        <f>'Proximal Validation (single)'!E16</f>
        <v>0</v>
      </c>
      <c r="F16" s="9">
        <f>'Proximal Validation (single)'!F16</f>
        <v>0</v>
      </c>
      <c r="G16" s="9">
        <f>'Proximal Validation (single)'!G16</f>
        <v>0</v>
      </c>
      <c r="H16" s="9">
        <f>'Proximal Validation (single)'!H16</f>
        <v>3.27638350427151E-4</v>
      </c>
      <c r="I16" s="9">
        <f>'Proximal Validation (single)'!I16</f>
        <v>4.1303895413875601E-2</v>
      </c>
      <c r="J16" s="9">
        <f>'Proximal Validation (single)'!J16</f>
        <v>-7.1706265211105305E-2</v>
      </c>
      <c r="K16" s="9">
        <f>'Proximal Validation (single)'!K16</f>
        <v>-0.16764184832572901</v>
      </c>
      <c r="L16" s="9">
        <f>'Proximal Validation (single)'!L16</f>
        <v>-0.24127176403999301</v>
      </c>
      <c r="M16" s="9">
        <f>'Proximal Validation (single)'!M16</f>
        <v>-0.13795974850654599</v>
      </c>
      <c r="N16" s="9">
        <v>0.38509608182577537</v>
      </c>
      <c r="O16" s="9">
        <v>0.2</v>
      </c>
      <c r="P16" s="9">
        <v>3.6243567954335902</v>
      </c>
      <c r="Q16" s="9">
        <v>1.7040651600471246</v>
      </c>
      <c r="R16" s="10">
        <v>1.701900036298368E-4</v>
      </c>
      <c r="S16" s="8">
        <f t="shared" si="2"/>
        <v>1.4903918174224651E-2</v>
      </c>
      <c r="T16" s="8">
        <f t="shared" si="0"/>
        <v>4.0000000000000008E-2</v>
      </c>
      <c r="U16" s="8">
        <f t="shared" si="0"/>
        <v>4.0643204566409796E-2</v>
      </c>
      <c r="V16" s="8">
        <f t="shared" si="0"/>
        <v>0.13306516004712465</v>
      </c>
    </row>
    <row r="17" spans="1:22" x14ac:dyDescent="0.35">
      <c r="A17" s="9">
        <f>'Proximal Validation (single)'!A17</f>
        <v>0.3</v>
      </c>
      <c r="B17" s="9">
        <f>'Proximal Validation (single)'!B17</f>
        <v>0.18</v>
      </c>
      <c r="C17" s="9">
        <f>'Proximal Validation (single)'!C17</f>
        <v>3.665</v>
      </c>
      <c r="D17" s="9">
        <f>'Proximal Validation (single)'!D17</f>
        <v>1.571</v>
      </c>
      <c r="E17" s="9">
        <f>'Proximal Validation (single)'!E17</f>
        <v>0</v>
      </c>
      <c r="F17" s="9">
        <f>'Proximal Validation (single)'!F17</f>
        <v>0</v>
      </c>
      <c r="G17" s="9">
        <f>'Proximal Validation (single)'!G17</f>
        <v>0</v>
      </c>
      <c r="H17" s="9">
        <f>'Proximal Validation (single)'!H17</f>
        <v>3.5051628947258001E-4</v>
      </c>
      <c r="I17" s="9">
        <f>'Proximal Validation (single)'!I17</f>
        <v>3.2155215740203899E-2</v>
      </c>
      <c r="J17" s="9">
        <f>'Proximal Validation (single)'!J17</f>
        <v>-5.4656162858009297E-2</v>
      </c>
      <c r="K17" s="9">
        <f>'Proximal Validation (single)'!K17</f>
        <v>-0.106987468898296</v>
      </c>
      <c r="L17" s="9">
        <f>'Proximal Validation (single)'!L17</f>
        <v>-0.16471621394157401</v>
      </c>
      <c r="M17" s="9">
        <f>'Proximal Validation (single)'!M17</f>
        <v>-9.7047880291938796E-2</v>
      </c>
      <c r="N17" s="9">
        <v>0.2858319572850358</v>
      </c>
      <c r="O17" s="9">
        <v>0.2</v>
      </c>
      <c r="P17" s="9">
        <v>3.6206310945485791</v>
      </c>
      <c r="Q17" s="9">
        <v>2.0129848528049687</v>
      </c>
      <c r="R17" s="10">
        <v>4.8249399655614768E-4</v>
      </c>
      <c r="S17" s="8">
        <f t="shared" si="2"/>
        <v>1.4168042714964191E-2</v>
      </c>
      <c r="T17" s="8">
        <f t="shared" si="0"/>
        <v>2.0000000000000018E-2</v>
      </c>
      <c r="U17" s="8">
        <f t="shared" si="0"/>
        <v>4.4368905451420915E-2</v>
      </c>
      <c r="V17" s="8">
        <f t="shared" si="0"/>
        <v>0.4419848528049688</v>
      </c>
    </row>
  </sheetData>
  <mergeCells count="5">
    <mergeCell ref="A1:G1"/>
    <mergeCell ref="H1:M1"/>
    <mergeCell ref="N1:R1"/>
    <mergeCell ref="S1:U1"/>
    <mergeCell ref="W1:Y1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5F744-A857-4A50-B613-5F1D0A4C6D83}">
  <dimension ref="A1:I15"/>
  <sheetViews>
    <sheetView workbookViewId="0"/>
  </sheetViews>
  <sheetFormatPr defaultRowHeight="14.5" x14ac:dyDescent="0.35"/>
  <sheetData>
    <row r="1" spans="1:9" x14ac:dyDescent="0.35">
      <c r="A1">
        <v>8.3457410801202102E-4</v>
      </c>
      <c r="B1">
        <v>-3.4524299204349497E-2</v>
      </c>
      <c r="C1">
        <v>-1.46811630111188E-3</v>
      </c>
      <c r="D1">
        <v>0.179403036832809</v>
      </c>
      <c r="E1">
        <v>-7.5630694627761797E-3</v>
      </c>
      <c r="F1">
        <v>0.203822165727615</v>
      </c>
      <c r="G1">
        <v>1.4</v>
      </c>
      <c r="H1">
        <v>0</v>
      </c>
      <c r="I1">
        <v>0</v>
      </c>
    </row>
    <row r="2" spans="1:9" x14ac:dyDescent="0.35">
      <c r="A2">
        <v>-8.0810196232050701E-4</v>
      </c>
      <c r="B2">
        <v>-6.6743046045303303E-2</v>
      </c>
      <c r="C2">
        <v>4.4342974433675398E-4</v>
      </c>
      <c r="D2">
        <v>0.21195751428604101</v>
      </c>
      <c r="E2">
        <v>1.1818818747997299E-3</v>
      </c>
      <c r="F2">
        <v>0.30656093358993503</v>
      </c>
      <c r="G2">
        <v>0</v>
      </c>
      <c r="H2">
        <v>0</v>
      </c>
      <c r="I2">
        <v>0</v>
      </c>
    </row>
    <row r="3" spans="1:9" x14ac:dyDescent="0.35">
      <c r="A3">
        <v>7.8557301312684995E-3</v>
      </c>
      <c r="B3">
        <v>-0.127810284495354</v>
      </c>
      <c r="C3">
        <v>-1.16112818941474E-2</v>
      </c>
      <c r="D3">
        <v>2.8561159968376201E-2</v>
      </c>
      <c r="E3">
        <v>-4.7612398862838697E-2</v>
      </c>
      <c r="F3">
        <v>0.55316102504730202</v>
      </c>
      <c r="G3">
        <v>1.4</v>
      </c>
      <c r="H3">
        <v>0</v>
      </c>
      <c r="I3">
        <v>0</v>
      </c>
    </row>
    <row r="4" spans="1:9" x14ac:dyDescent="0.35">
      <c r="A4">
        <v>1.1252735275775201E-3</v>
      </c>
      <c r="B4">
        <v>-5.59809319674969E-2</v>
      </c>
      <c r="C4">
        <v>-7.4938102625310399E-4</v>
      </c>
      <c r="D4">
        <v>-3.5423979163169902E-2</v>
      </c>
      <c r="E4">
        <v>-1.04948431253433E-2</v>
      </c>
      <c r="F4">
        <v>0.35301661491393999</v>
      </c>
      <c r="G4">
        <v>1.4</v>
      </c>
      <c r="H4">
        <v>0</v>
      </c>
      <c r="I4">
        <v>0</v>
      </c>
    </row>
    <row r="5" spans="1:9" x14ac:dyDescent="0.35">
      <c r="A5">
        <v>-5.5839424021542105E-4</v>
      </c>
      <c r="B5">
        <v>-0.11975701153278399</v>
      </c>
      <c r="C5">
        <v>-9.9074037279933691E-4</v>
      </c>
      <c r="D5">
        <v>-0.19020733237266499</v>
      </c>
      <c r="E5">
        <v>-2.60122120380402E-3</v>
      </c>
      <c r="F5">
        <v>0.66739636659622203</v>
      </c>
      <c r="G5">
        <v>0</v>
      </c>
      <c r="H5">
        <v>0</v>
      </c>
      <c r="I5">
        <v>0</v>
      </c>
    </row>
    <row r="6" spans="1:9" x14ac:dyDescent="0.35">
      <c r="A6">
        <v>1.04370433837175E-2</v>
      </c>
      <c r="B6">
        <v>-0.129757210612297</v>
      </c>
      <c r="C6">
        <v>-7.3771281167864799E-3</v>
      </c>
      <c r="D6">
        <v>-0.55726921558380105</v>
      </c>
      <c r="E6">
        <v>-6.0898363590240499E-2</v>
      </c>
      <c r="F6">
        <v>0.32599642872810403</v>
      </c>
      <c r="G6">
        <v>1.4</v>
      </c>
      <c r="H6">
        <v>0</v>
      </c>
      <c r="I6">
        <v>0</v>
      </c>
    </row>
    <row r="7" spans="1:9" x14ac:dyDescent="0.35">
      <c r="A7">
        <v>-5.38935419172049E-4</v>
      </c>
      <c r="B7">
        <v>-0.118809439241886</v>
      </c>
      <c r="C7">
        <v>3.4749228507280402E-3</v>
      </c>
      <c r="D7">
        <v>-0.621493339538574</v>
      </c>
      <c r="E7">
        <v>1.56053192913532E-2</v>
      </c>
      <c r="F7">
        <v>0.10576334595680199</v>
      </c>
      <c r="G7">
        <v>0</v>
      </c>
      <c r="H7">
        <v>0</v>
      </c>
      <c r="I7">
        <v>0</v>
      </c>
    </row>
    <row r="8" spans="1:9" x14ac:dyDescent="0.35">
      <c r="A8">
        <v>-7.8150304034352303E-4</v>
      </c>
      <c r="B8">
        <v>4.4897478073835401E-2</v>
      </c>
      <c r="C8">
        <v>-8.2051888108253507E-2</v>
      </c>
      <c r="D8">
        <v>0.48326423764228799</v>
      </c>
      <c r="E8">
        <v>-0.55701375007629395</v>
      </c>
      <c r="F8">
        <v>-0.30146327614784202</v>
      </c>
      <c r="G8">
        <v>0</v>
      </c>
      <c r="H8">
        <v>0</v>
      </c>
      <c r="I8">
        <v>0</v>
      </c>
    </row>
    <row r="9" spans="1:9" x14ac:dyDescent="0.35">
      <c r="A9">
        <v>-4.8895599320530902E-4</v>
      </c>
      <c r="B9">
        <v>4.6247739344835302E-2</v>
      </c>
      <c r="C9">
        <v>-8.3231396973133101E-2</v>
      </c>
      <c r="D9">
        <v>0.33926415443420399</v>
      </c>
      <c r="E9">
        <v>-0.45690825581550598</v>
      </c>
      <c r="F9">
        <v>-0.25065129995346103</v>
      </c>
      <c r="G9">
        <v>0</v>
      </c>
      <c r="H9">
        <v>0</v>
      </c>
      <c r="I9">
        <v>0</v>
      </c>
    </row>
    <row r="10" spans="1:9" x14ac:dyDescent="0.35">
      <c r="A10">
        <v>1.7005717381834999E-3</v>
      </c>
      <c r="B10">
        <v>8.4788650274276706E-2</v>
      </c>
      <c r="C10">
        <v>-0.143600359559059</v>
      </c>
      <c r="D10">
        <v>0.28701612353324901</v>
      </c>
      <c r="E10">
        <v>-0.64443814754486095</v>
      </c>
      <c r="F10">
        <v>-0.37070235610008201</v>
      </c>
      <c r="G10">
        <v>1.4</v>
      </c>
      <c r="H10">
        <v>0</v>
      </c>
      <c r="I10">
        <v>0</v>
      </c>
    </row>
    <row r="11" spans="1:9" x14ac:dyDescent="0.35">
      <c r="A11">
        <v>1.0739560239017001E-3</v>
      </c>
      <c r="B11">
        <v>4.1172292083501802E-2</v>
      </c>
      <c r="C11">
        <v>-6.7707680165767697E-2</v>
      </c>
      <c r="D11">
        <v>0.187965422868729</v>
      </c>
      <c r="E11">
        <v>-0.244067072868347</v>
      </c>
      <c r="F11">
        <v>-0.14198835194110901</v>
      </c>
      <c r="G11">
        <v>1.4</v>
      </c>
      <c r="H11">
        <v>0</v>
      </c>
      <c r="I11">
        <v>0</v>
      </c>
    </row>
    <row r="12" spans="1:9" x14ac:dyDescent="0.35">
      <c r="A12">
        <v>-4.8927497118711504E-4</v>
      </c>
      <c r="B12">
        <v>3.26927192509174E-2</v>
      </c>
      <c r="C12">
        <v>-5.8575917035341298E-2</v>
      </c>
      <c r="D12">
        <v>-1.28835095092654E-2</v>
      </c>
      <c r="E12">
        <v>-0.29204529523849498</v>
      </c>
      <c r="F12">
        <v>-0.16083618998527499</v>
      </c>
      <c r="G12">
        <v>1.4</v>
      </c>
      <c r="H12">
        <v>0</v>
      </c>
      <c r="I12">
        <v>0</v>
      </c>
    </row>
    <row r="13" spans="1:9" x14ac:dyDescent="0.35">
      <c r="A13">
        <v>-1.61128584295511E-4</v>
      </c>
      <c r="B13">
        <v>6.6224433481693296E-2</v>
      </c>
      <c r="C13">
        <v>-0.118051804602146</v>
      </c>
      <c r="D13">
        <v>-0.18827667832374601</v>
      </c>
      <c r="E13">
        <v>-0.57758575677871704</v>
      </c>
      <c r="F13">
        <v>-0.318100035190582</v>
      </c>
      <c r="G13">
        <v>1.4</v>
      </c>
      <c r="H13">
        <v>0</v>
      </c>
      <c r="I13">
        <v>0</v>
      </c>
    </row>
    <row r="14" spans="1:9" x14ac:dyDescent="0.35">
      <c r="A14">
        <v>3.27638350427151E-4</v>
      </c>
      <c r="B14">
        <v>4.1303895413875601E-2</v>
      </c>
      <c r="C14">
        <v>-7.1706265211105305E-2</v>
      </c>
      <c r="D14">
        <v>-0.16764184832572901</v>
      </c>
      <c r="E14">
        <v>-0.24127176403999301</v>
      </c>
      <c r="F14">
        <v>-0.13795974850654599</v>
      </c>
      <c r="G14">
        <v>0</v>
      </c>
      <c r="H14">
        <v>0</v>
      </c>
      <c r="I14">
        <v>0</v>
      </c>
    </row>
    <row r="15" spans="1:9" x14ac:dyDescent="0.35">
      <c r="A15">
        <v>3.5051628947258001E-4</v>
      </c>
      <c r="B15">
        <v>3.2155215740203899E-2</v>
      </c>
      <c r="C15">
        <v>-5.4656162858009297E-2</v>
      </c>
      <c r="D15">
        <v>-0.106987468898296</v>
      </c>
      <c r="E15">
        <v>-0.16471621394157401</v>
      </c>
      <c r="F15">
        <v>-9.7047880291938796E-2</v>
      </c>
      <c r="G15">
        <v>0</v>
      </c>
      <c r="H15">
        <v>0</v>
      </c>
      <c r="I15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D6981-73D2-4F8C-88D7-D5FA77AC2EB0}">
  <dimension ref="A1:M28"/>
  <sheetViews>
    <sheetView workbookViewId="0">
      <selection activeCell="O24" sqref="O24"/>
    </sheetView>
  </sheetViews>
  <sheetFormatPr defaultRowHeight="14.5" x14ac:dyDescent="0.35"/>
  <sheetData>
    <row r="1" spans="1:13" ht="16" x14ac:dyDescent="0.4">
      <c r="A1" s="26" t="s">
        <v>23</v>
      </c>
      <c r="B1" s="27"/>
      <c r="C1" s="27"/>
      <c r="D1" s="27"/>
      <c r="E1" s="27"/>
      <c r="F1" s="28"/>
      <c r="H1" s="26" t="s">
        <v>24</v>
      </c>
      <c r="I1" s="27"/>
      <c r="J1" s="27"/>
      <c r="K1" s="27"/>
      <c r="L1" s="27"/>
      <c r="M1" s="28"/>
    </row>
    <row r="2" spans="1:13" ht="16" x14ac:dyDescent="0.4">
      <c r="A2" s="3" t="s">
        <v>17</v>
      </c>
      <c r="B2" s="3" t="s">
        <v>18</v>
      </c>
      <c r="C2" s="3" t="s">
        <v>19</v>
      </c>
      <c r="D2" s="3" t="s">
        <v>20</v>
      </c>
      <c r="E2" s="3" t="s">
        <v>21</v>
      </c>
      <c r="F2" s="3" t="s">
        <v>22</v>
      </c>
      <c r="H2" s="3" t="s">
        <v>20</v>
      </c>
      <c r="I2" s="3" t="s">
        <v>21</v>
      </c>
      <c r="J2" s="3" t="s">
        <v>22</v>
      </c>
      <c r="K2" s="3" t="s">
        <v>17</v>
      </c>
      <c r="L2" s="3" t="s">
        <v>18</v>
      </c>
      <c r="M2" s="3" t="s">
        <v>19</v>
      </c>
    </row>
    <row r="3" spans="1:13" x14ac:dyDescent="0.35">
      <c r="A3">
        <v>0.203822165727615</v>
      </c>
      <c r="B3">
        <v>7.5630694627761797E-3</v>
      </c>
      <c r="C3">
        <v>0.179403036832809</v>
      </c>
      <c r="D3">
        <v>-1.46811630111188E-3</v>
      </c>
      <c r="E3">
        <v>3.4524299204349497E-2</v>
      </c>
      <c r="F3" s="5">
        <v>8.3457410801202102E-4</v>
      </c>
      <c r="H3">
        <f>$F3</f>
        <v>8.3457410801202102E-4</v>
      </c>
      <c r="I3">
        <f>-1*$E3</f>
        <v>-3.4524299204349497E-2</v>
      </c>
      <c r="J3">
        <f>$D3</f>
        <v>-1.46811630111188E-3</v>
      </c>
      <c r="K3">
        <f>$C3</f>
        <v>0.179403036832809</v>
      </c>
      <c r="L3">
        <f>-1*$B3</f>
        <v>-7.5630694627761797E-3</v>
      </c>
      <c r="M3">
        <f>$A3</f>
        <v>0.203822165727615</v>
      </c>
    </row>
    <row r="4" spans="1:13" x14ac:dyDescent="0.35">
      <c r="A4">
        <v>0.30656093358993503</v>
      </c>
      <c r="B4">
        <v>-1.1818818747997299E-3</v>
      </c>
      <c r="C4">
        <v>0.21195751428604101</v>
      </c>
      <c r="D4">
        <v>4.4342974433675398E-4</v>
      </c>
      <c r="E4">
        <v>6.6743046045303303E-2</v>
      </c>
      <c r="F4">
        <v>-8.0810196232050701E-4</v>
      </c>
      <c r="H4">
        <f t="shared" ref="H4:H28" si="0">$F4</f>
        <v>-8.0810196232050701E-4</v>
      </c>
      <c r="I4">
        <f t="shared" ref="I4:I28" si="1">-1*$E4</f>
        <v>-6.6743046045303303E-2</v>
      </c>
      <c r="J4">
        <f t="shared" ref="J4:J28" si="2">$D4</f>
        <v>4.4342974433675398E-4</v>
      </c>
      <c r="K4">
        <f t="shared" ref="K4:K28" si="3">$C4</f>
        <v>0.21195751428604101</v>
      </c>
      <c r="L4">
        <f t="shared" ref="L4:L28" si="4">-1*$B4</f>
        <v>1.1818818747997299E-3</v>
      </c>
      <c r="M4">
        <f t="shared" ref="M4:M28" si="5">$A4</f>
        <v>0.30656093358993503</v>
      </c>
    </row>
    <row r="5" spans="1:13" x14ac:dyDescent="0.35">
      <c r="A5">
        <v>0.55316102504730202</v>
      </c>
      <c r="B5">
        <v>4.7612398862838697E-2</v>
      </c>
      <c r="C5">
        <v>2.8561159968376201E-2</v>
      </c>
      <c r="D5">
        <v>-1.16112818941474E-2</v>
      </c>
      <c r="E5">
        <v>0.127810284495354</v>
      </c>
      <c r="F5">
        <v>7.8557301312684995E-3</v>
      </c>
      <c r="H5">
        <f t="shared" si="0"/>
        <v>7.8557301312684995E-3</v>
      </c>
      <c r="I5">
        <f t="shared" si="1"/>
        <v>-0.127810284495354</v>
      </c>
      <c r="J5">
        <f t="shared" si="2"/>
        <v>-1.16112818941474E-2</v>
      </c>
      <c r="K5">
        <f t="shared" si="3"/>
        <v>2.8561159968376201E-2</v>
      </c>
      <c r="L5">
        <f t="shared" si="4"/>
        <v>-4.7612398862838697E-2</v>
      </c>
      <c r="M5">
        <f t="shared" si="5"/>
        <v>0.55316102504730202</v>
      </c>
    </row>
    <row r="6" spans="1:13" x14ac:dyDescent="0.35">
      <c r="A6">
        <v>0.35301661491393999</v>
      </c>
      <c r="B6">
        <v>1.04948431253433E-2</v>
      </c>
      <c r="C6">
        <v>-3.5423979163169902E-2</v>
      </c>
      <c r="D6">
        <v>-7.4938102625310399E-4</v>
      </c>
      <c r="E6">
        <v>5.59809319674969E-2</v>
      </c>
      <c r="F6">
        <v>1.1252735275775201E-3</v>
      </c>
      <c r="H6">
        <f t="shared" si="0"/>
        <v>1.1252735275775201E-3</v>
      </c>
      <c r="I6">
        <f t="shared" si="1"/>
        <v>-5.59809319674969E-2</v>
      </c>
      <c r="J6">
        <f t="shared" si="2"/>
        <v>-7.4938102625310399E-4</v>
      </c>
      <c r="K6">
        <f t="shared" si="3"/>
        <v>-3.5423979163169902E-2</v>
      </c>
      <c r="L6">
        <f t="shared" si="4"/>
        <v>-1.04948431253433E-2</v>
      </c>
      <c r="M6">
        <f t="shared" si="5"/>
        <v>0.35301661491393999</v>
      </c>
    </row>
    <row r="7" spans="1:13" x14ac:dyDescent="0.35">
      <c r="A7">
        <v>0.66739636659622203</v>
      </c>
      <c r="B7">
        <v>2.60122120380402E-3</v>
      </c>
      <c r="C7">
        <v>-0.19020733237266499</v>
      </c>
      <c r="D7">
        <v>-9.9074037279933691E-4</v>
      </c>
      <c r="E7">
        <v>0.11975701153278399</v>
      </c>
      <c r="F7">
        <v>-5.5839424021542105E-4</v>
      </c>
      <c r="H7">
        <f t="shared" si="0"/>
        <v>-5.5839424021542105E-4</v>
      </c>
      <c r="I7">
        <f t="shared" si="1"/>
        <v>-0.11975701153278399</v>
      </c>
      <c r="J7">
        <f t="shared" si="2"/>
        <v>-9.9074037279933691E-4</v>
      </c>
      <c r="K7">
        <f t="shared" si="3"/>
        <v>-0.19020733237266499</v>
      </c>
      <c r="L7">
        <f t="shared" si="4"/>
        <v>-2.60122120380402E-3</v>
      </c>
      <c r="M7">
        <f t="shared" si="5"/>
        <v>0.66739636659622203</v>
      </c>
    </row>
    <row r="8" spans="1:13" x14ac:dyDescent="0.35">
      <c r="A8">
        <v>0.32599642872810403</v>
      </c>
      <c r="B8">
        <v>6.0898363590240499E-2</v>
      </c>
      <c r="C8">
        <v>-0.55726921558380105</v>
      </c>
      <c r="D8">
        <v>-7.3771281167864799E-3</v>
      </c>
      <c r="E8">
        <v>0.129757210612297</v>
      </c>
      <c r="F8">
        <v>1.04370433837175E-2</v>
      </c>
      <c r="H8">
        <f t="shared" si="0"/>
        <v>1.04370433837175E-2</v>
      </c>
      <c r="I8">
        <f t="shared" si="1"/>
        <v>-0.129757210612297</v>
      </c>
      <c r="J8">
        <f t="shared" si="2"/>
        <v>-7.3771281167864799E-3</v>
      </c>
      <c r="K8">
        <f t="shared" si="3"/>
        <v>-0.55726921558380105</v>
      </c>
      <c r="L8">
        <f t="shared" si="4"/>
        <v>-6.0898363590240499E-2</v>
      </c>
      <c r="M8">
        <f t="shared" si="5"/>
        <v>0.32599642872810403</v>
      </c>
    </row>
    <row r="9" spans="1:13" x14ac:dyDescent="0.35">
      <c r="A9">
        <v>-0.30146327614784202</v>
      </c>
      <c r="B9">
        <v>0.55701375007629395</v>
      </c>
      <c r="C9">
        <v>0.48326423764228799</v>
      </c>
      <c r="D9">
        <v>-8.2051888108253507E-2</v>
      </c>
      <c r="E9">
        <v>-4.4897478073835401E-2</v>
      </c>
      <c r="F9">
        <v>-7.8150304034352303E-4</v>
      </c>
      <c r="H9">
        <f t="shared" si="0"/>
        <v>-7.8150304034352303E-4</v>
      </c>
      <c r="I9">
        <f t="shared" si="1"/>
        <v>4.4897478073835401E-2</v>
      </c>
      <c r="J9">
        <f t="shared" si="2"/>
        <v>-8.2051888108253507E-2</v>
      </c>
      <c r="K9">
        <f t="shared" si="3"/>
        <v>0.48326423764228799</v>
      </c>
      <c r="L9">
        <f t="shared" si="4"/>
        <v>-0.55701375007629395</v>
      </c>
      <c r="M9">
        <f t="shared" si="5"/>
        <v>-0.30146327614784202</v>
      </c>
    </row>
    <row r="10" spans="1:13" x14ac:dyDescent="0.35">
      <c r="A10">
        <v>-0.25065129995346103</v>
      </c>
      <c r="B10">
        <v>0.45690825581550598</v>
      </c>
      <c r="C10">
        <v>0.33926415443420399</v>
      </c>
      <c r="D10">
        <v>-8.3231396973133101E-2</v>
      </c>
      <c r="E10">
        <v>-4.6247739344835302E-2</v>
      </c>
      <c r="F10">
        <v>-4.8895599320530902E-4</v>
      </c>
      <c r="H10">
        <f t="shared" si="0"/>
        <v>-4.8895599320530902E-4</v>
      </c>
      <c r="I10">
        <f t="shared" si="1"/>
        <v>4.6247739344835302E-2</v>
      </c>
      <c r="J10">
        <f t="shared" si="2"/>
        <v>-8.3231396973133101E-2</v>
      </c>
      <c r="K10">
        <f t="shared" si="3"/>
        <v>0.33926415443420399</v>
      </c>
      <c r="L10">
        <f t="shared" si="4"/>
        <v>-0.45690825581550598</v>
      </c>
      <c r="M10">
        <f t="shared" si="5"/>
        <v>-0.25065129995346103</v>
      </c>
    </row>
    <row r="11" spans="1:13" x14ac:dyDescent="0.35">
      <c r="A11">
        <v>-0.37070235610008201</v>
      </c>
      <c r="B11">
        <v>0.64443814754486095</v>
      </c>
      <c r="C11">
        <v>0.28701612353324901</v>
      </c>
      <c r="D11">
        <v>-0.143600359559059</v>
      </c>
      <c r="E11">
        <v>-8.4788650274276706E-2</v>
      </c>
      <c r="F11">
        <v>1.7005717381834999E-3</v>
      </c>
      <c r="H11">
        <f t="shared" si="0"/>
        <v>1.7005717381834999E-3</v>
      </c>
      <c r="I11">
        <f t="shared" si="1"/>
        <v>8.4788650274276706E-2</v>
      </c>
      <c r="J11">
        <f t="shared" si="2"/>
        <v>-0.143600359559059</v>
      </c>
      <c r="K11">
        <f t="shared" si="3"/>
        <v>0.28701612353324901</v>
      </c>
      <c r="L11">
        <f t="shared" si="4"/>
        <v>-0.64443814754486095</v>
      </c>
      <c r="M11">
        <f t="shared" si="5"/>
        <v>-0.37070235610008201</v>
      </c>
    </row>
    <row r="12" spans="1:13" x14ac:dyDescent="0.35">
      <c r="A12">
        <v>-0.14198835194110901</v>
      </c>
      <c r="B12">
        <v>0.244067072868347</v>
      </c>
      <c r="C12">
        <v>0.187965422868729</v>
      </c>
      <c r="D12">
        <v>-6.7707680165767697E-2</v>
      </c>
      <c r="E12">
        <v>-4.1172292083501802E-2</v>
      </c>
      <c r="F12">
        <v>1.0739560239017001E-3</v>
      </c>
      <c r="H12">
        <f t="shared" si="0"/>
        <v>1.0739560239017001E-3</v>
      </c>
      <c r="I12">
        <f t="shared" si="1"/>
        <v>4.1172292083501802E-2</v>
      </c>
      <c r="J12">
        <f t="shared" si="2"/>
        <v>-6.7707680165767697E-2</v>
      </c>
      <c r="K12">
        <f t="shared" si="3"/>
        <v>0.187965422868729</v>
      </c>
      <c r="L12">
        <f t="shared" si="4"/>
        <v>-0.244067072868347</v>
      </c>
      <c r="M12">
        <f t="shared" si="5"/>
        <v>-0.14198835194110901</v>
      </c>
    </row>
    <row r="13" spans="1:13" x14ac:dyDescent="0.35">
      <c r="A13">
        <v>-0.16083618998527499</v>
      </c>
      <c r="B13">
        <v>0.29204529523849498</v>
      </c>
      <c r="C13">
        <v>-1.28835095092654E-2</v>
      </c>
      <c r="D13">
        <v>-5.8575917035341298E-2</v>
      </c>
      <c r="E13">
        <v>-3.26927192509174E-2</v>
      </c>
      <c r="F13">
        <v>-4.8927497118711504E-4</v>
      </c>
      <c r="H13">
        <f t="shared" si="0"/>
        <v>-4.8927497118711504E-4</v>
      </c>
      <c r="I13">
        <f t="shared" si="1"/>
        <v>3.26927192509174E-2</v>
      </c>
      <c r="J13">
        <f t="shared" si="2"/>
        <v>-5.8575917035341298E-2</v>
      </c>
      <c r="K13">
        <f t="shared" si="3"/>
        <v>-1.28835095092654E-2</v>
      </c>
      <c r="L13">
        <f t="shared" si="4"/>
        <v>-0.29204529523849498</v>
      </c>
      <c r="M13">
        <f t="shared" si="5"/>
        <v>-0.16083618998527499</v>
      </c>
    </row>
    <row r="14" spans="1:13" x14ac:dyDescent="0.35">
      <c r="A14">
        <v>-0.318100035190582</v>
      </c>
      <c r="B14">
        <v>0.57758575677871704</v>
      </c>
      <c r="C14">
        <v>-0.18827667832374601</v>
      </c>
      <c r="D14">
        <v>-0.118051804602146</v>
      </c>
      <c r="E14">
        <v>-6.6224433481693296E-2</v>
      </c>
      <c r="F14">
        <v>-1.61128584295511E-4</v>
      </c>
      <c r="H14">
        <f t="shared" si="0"/>
        <v>-1.61128584295511E-4</v>
      </c>
      <c r="I14">
        <f t="shared" si="1"/>
        <v>6.6224433481693296E-2</v>
      </c>
      <c r="J14">
        <f t="shared" si="2"/>
        <v>-0.118051804602146</v>
      </c>
      <c r="K14">
        <f t="shared" si="3"/>
        <v>-0.18827667832374601</v>
      </c>
      <c r="L14">
        <f t="shared" si="4"/>
        <v>-0.57758575677871704</v>
      </c>
      <c r="M14">
        <f t="shared" si="5"/>
        <v>-0.318100035190582</v>
      </c>
    </row>
    <row r="15" spans="1:13" x14ac:dyDescent="0.35">
      <c r="A15">
        <v>-0.13795974850654599</v>
      </c>
      <c r="B15">
        <v>0.24127176403999301</v>
      </c>
      <c r="C15">
        <v>-0.16764184832572901</v>
      </c>
      <c r="D15">
        <v>-7.1706265211105305E-2</v>
      </c>
      <c r="E15">
        <v>-4.1303895413875601E-2</v>
      </c>
      <c r="F15">
        <v>3.27638350427151E-4</v>
      </c>
      <c r="H15">
        <f t="shared" si="0"/>
        <v>3.27638350427151E-4</v>
      </c>
      <c r="I15">
        <f t="shared" si="1"/>
        <v>4.1303895413875601E-2</v>
      </c>
      <c r="J15">
        <f t="shared" si="2"/>
        <v>-7.1706265211105305E-2</v>
      </c>
      <c r="K15">
        <f t="shared" si="3"/>
        <v>-0.16764184832572901</v>
      </c>
      <c r="L15">
        <f t="shared" si="4"/>
        <v>-0.24127176403999301</v>
      </c>
      <c r="M15">
        <f t="shared" si="5"/>
        <v>-0.13795974850654599</v>
      </c>
    </row>
    <row r="16" spans="1:13" x14ac:dyDescent="0.35">
      <c r="A16">
        <v>-9.7047880291938796E-2</v>
      </c>
      <c r="B16">
        <v>0.16471621394157401</v>
      </c>
      <c r="C16">
        <v>-0.106987468898296</v>
      </c>
      <c r="D16">
        <v>-5.4656162858009297E-2</v>
      </c>
      <c r="E16">
        <v>-3.2155215740203899E-2</v>
      </c>
      <c r="F16">
        <v>3.5051628947258001E-4</v>
      </c>
      <c r="H16">
        <f t="shared" si="0"/>
        <v>3.5051628947258001E-4</v>
      </c>
      <c r="I16">
        <f t="shared" si="1"/>
        <v>3.2155215740203899E-2</v>
      </c>
      <c r="J16">
        <f t="shared" si="2"/>
        <v>-5.4656162858009297E-2</v>
      </c>
      <c r="K16">
        <f t="shared" si="3"/>
        <v>-0.106987468898296</v>
      </c>
      <c r="L16">
        <f t="shared" si="4"/>
        <v>-0.16471621394157401</v>
      </c>
      <c r="M16">
        <f t="shared" si="5"/>
        <v>-9.7047880291938796E-2</v>
      </c>
    </row>
    <row r="17" spans="1:13" x14ac:dyDescent="0.35">
      <c r="A17">
        <v>0.10576334595680199</v>
      </c>
      <c r="B17">
        <v>-1.56053192913532E-2</v>
      </c>
      <c r="C17">
        <v>-0.621493339538574</v>
      </c>
      <c r="D17">
        <v>3.4749228507280402E-3</v>
      </c>
      <c r="E17">
        <v>0.118809439241886</v>
      </c>
      <c r="F17">
        <v>-5.38935419172049E-4</v>
      </c>
      <c r="H17">
        <f t="shared" si="0"/>
        <v>-5.38935419172049E-4</v>
      </c>
      <c r="I17">
        <f t="shared" si="1"/>
        <v>-0.118809439241886</v>
      </c>
      <c r="J17">
        <f t="shared" si="2"/>
        <v>3.4749228507280402E-3</v>
      </c>
      <c r="K17">
        <f t="shared" si="3"/>
        <v>-0.621493339538574</v>
      </c>
      <c r="L17">
        <f t="shared" si="4"/>
        <v>1.56053192913532E-2</v>
      </c>
      <c r="M17">
        <f t="shared" si="5"/>
        <v>0.10576334595680199</v>
      </c>
    </row>
    <row r="18" spans="1:13" x14ac:dyDescent="0.35">
      <c r="H18">
        <f t="shared" si="0"/>
        <v>0</v>
      </c>
      <c r="I18">
        <f t="shared" si="1"/>
        <v>0</v>
      </c>
      <c r="J18">
        <f t="shared" si="2"/>
        <v>0</v>
      </c>
      <c r="K18">
        <f t="shared" si="3"/>
        <v>0</v>
      </c>
      <c r="L18">
        <f t="shared" si="4"/>
        <v>0</v>
      </c>
      <c r="M18">
        <f t="shared" si="5"/>
        <v>0</v>
      </c>
    </row>
    <row r="19" spans="1:13" x14ac:dyDescent="0.35">
      <c r="H19">
        <f t="shared" si="0"/>
        <v>0</v>
      </c>
      <c r="I19">
        <f t="shared" si="1"/>
        <v>0</v>
      </c>
      <c r="J19">
        <f t="shared" si="2"/>
        <v>0</v>
      </c>
      <c r="K19">
        <f t="shared" si="3"/>
        <v>0</v>
      </c>
      <c r="L19">
        <f t="shared" si="4"/>
        <v>0</v>
      </c>
      <c r="M19">
        <f t="shared" si="5"/>
        <v>0</v>
      </c>
    </row>
    <row r="20" spans="1:13" x14ac:dyDescent="0.35">
      <c r="H20">
        <f t="shared" si="0"/>
        <v>0</v>
      </c>
      <c r="I20">
        <f t="shared" si="1"/>
        <v>0</v>
      </c>
      <c r="J20">
        <f t="shared" si="2"/>
        <v>0</v>
      </c>
      <c r="K20">
        <f t="shared" si="3"/>
        <v>0</v>
      </c>
      <c r="L20">
        <f t="shared" si="4"/>
        <v>0</v>
      </c>
      <c r="M20">
        <f t="shared" si="5"/>
        <v>0</v>
      </c>
    </row>
    <row r="21" spans="1:13" x14ac:dyDescent="0.35">
      <c r="H21">
        <f t="shared" si="0"/>
        <v>0</v>
      </c>
      <c r="I21">
        <f t="shared" si="1"/>
        <v>0</v>
      </c>
      <c r="J21">
        <f t="shared" si="2"/>
        <v>0</v>
      </c>
      <c r="K21">
        <f t="shared" si="3"/>
        <v>0</v>
      </c>
      <c r="L21">
        <f t="shared" si="4"/>
        <v>0</v>
      </c>
      <c r="M21">
        <f t="shared" si="5"/>
        <v>0</v>
      </c>
    </row>
    <row r="22" spans="1:13" x14ac:dyDescent="0.35">
      <c r="H22">
        <f t="shared" si="0"/>
        <v>0</v>
      </c>
      <c r="I22">
        <f t="shared" si="1"/>
        <v>0</v>
      </c>
      <c r="J22">
        <f t="shared" si="2"/>
        <v>0</v>
      </c>
      <c r="K22">
        <f t="shared" si="3"/>
        <v>0</v>
      </c>
      <c r="L22">
        <f t="shared" si="4"/>
        <v>0</v>
      </c>
      <c r="M22">
        <f t="shared" si="5"/>
        <v>0</v>
      </c>
    </row>
    <row r="23" spans="1:13" x14ac:dyDescent="0.35">
      <c r="H23">
        <f t="shared" si="0"/>
        <v>0</v>
      </c>
      <c r="I23">
        <f t="shared" si="1"/>
        <v>0</v>
      </c>
      <c r="J23">
        <f t="shared" si="2"/>
        <v>0</v>
      </c>
      <c r="K23">
        <f t="shared" si="3"/>
        <v>0</v>
      </c>
      <c r="L23">
        <f t="shared" si="4"/>
        <v>0</v>
      </c>
      <c r="M23">
        <f t="shared" si="5"/>
        <v>0</v>
      </c>
    </row>
    <row r="24" spans="1:13" x14ac:dyDescent="0.35">
      <c r="H24">
        <f t="shared" si="0"/>
        <v>0</v>
      </c>
      <c r="I24">
        <f t="shared" si="1"/>
        <v>0</v>
      </c>
      <c r="J24">
        <f t="shared" si="2"/>
        <v>0</v>
      </c>
      <c r="K24">
        <f t="shared" si="3"/>
        <v>0</v>
      </c>
      <c r="L24">
        <f t="shared" si="4"/>
        <v>0</v>
      </c>
      <c r="M24">
        <f t="shared" si="5"/>
        <v>0</v>
      </c>
    </row>
    <row r="25" spans="1:13" x14ac:dyDescent="0.35">
      <c r="H25">
        <f t="shared" si="0"/>
        <v>0</v>
      </c>
      <c r="I25">
        <f t="shared" si="1"/>
        <v>0</v>
      </c>
      <c r="J25">
        <f t="shared" si="2"/>
        <v>0</v>
      </c>
      <c r="K25">
        <f t="shared" si="3"/>
        <v>0</v>
      </c>
      <c r="L25">
        <f t="shared" si="4"/>
        <v>0</v>
      </c>
      <c r="M25">
        <f t="shared" si="5"/>
        <v>0</v>
      </c>
    </row>
    <row r="26" spans="1:13" x14ac:dyDescent="0.35">
      <c r="H26">
        <f t="shared" si="0"/>
        <v>0</v>
      </c>
      <c r="I26">
        <f t="shared" si="1"/>
        <v>0</v>
      </c>
      <c r="J26">
        <f t="shared" si="2"/>
        <v>0</v>
      </c>
      <c r="K26">
        <f t="shared" si="3"/>
        <v>0</v>
      </c>
      <c r="L26">
        <f t="shared" si="4"/>
        <v>0</v>
      </c>
      <c r="M26">
        <f t="shared" si="5"/>
        <v>0</v>
      </c>
    </row>
    <row r="27" spans="1:13" x14ac:dyDescent="0.35">
      <c r="H27">
        <f t="shared" si="0"/>
        <v>0</v>
      </c>
      <c r="I27">
        <f t="shared" si="1"/>
        <v>0</v>
      </c>
      <c r="J27">
        <f t="shared" si="2"/>
        <v>0</v>
      </c>
      <c r="K27">
        <f t="shared" si="3"/>
        <v>0</v>
      </c>
      <c r="L27">
        <f t="shared" si="4"/>
        <v>0</v>
      </c>
      <c r="M27">
        <f t="shared" si="5"/>
        <v>0</v>
      </c>
    </row>
    <row r="28" spans="1:13" x14ac:dyDescent="0.35">
      <c r="H28">
        <f t="shared" si="0"/>
        <v>0</v>
      </c>
      <c r="I28">
        <f t="shared" si="1"/>
        <v>0</v>
      </c>
      <c r="J28">
        <f t="shared" si="2"/>
        <v>0</v>
      </c>
      <c r="K28">
        <f t="shared" si="3"/>
        <v>0</v>
      </c>
      <c r="L28">
        <f t="shared" si="4"/>
        <v>0</v>
      </c>
      <c r="M28">
        <f t="shared" si="5"/>
        <v>0</v>
      </c>
    </row>
  </sheetData>
  <mergeCells count="2">
    <mergeCell ref="A1:F1"/>
    <mergeCell ref="H1:M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12580AD17ADB64691A1BA4C2E042DA4" ma:contentTypeVersion="18" ma:contentTypeDescription="Create a new document." ma:contentTypeScope="" ma:versionID="6532fc6a52f3455fe895a4f720bca71c">
  <xsd:schema xmlns:xsd="http://www.w3.org/2001/XMLSchema" xmlns:xs="http://www.w3.org/2001/XMLSchema" xmlns:p="http://schemas.microsoft.com/office/2006/metadata/properties" xmlns:ns3="c2b20bf0-79f3-4559-a8ab-bcb74dcd8cd8" xmlns:ns4="08a9f8ec-165a-4165-a8e9-ed45c2de7bcb" targetNamespace="http://schemas.microsoft.com/office/2006/metadata/properties" ma:root="true" ma:fieldsID="d9a2f75daf18a7097de825f86ff3fec6" ns3:_="" ns4:_="">
    <xsd:import namespace="c2b20bf0-79f3-4559-a8ab-bcb74dcd8cd8"/>
    <xsd:import namespace="08a9f8ec-165a-4165-a8e9-ed45c2de7bc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OCR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AutoKeyPoints" minOccurs="0"/>
                <xsd:element ref="ns3:MediaServiceKeyPoint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LengthInSeconds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2b20bf0-79f3-4559-a8ab-bcb74dcd8c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25" nillable="true" ma:displayName="_activity" ma:hidden="true" ma:internalName="_activity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8a9f8ec-165a-4165-a8e9-ed45c2de7bcb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5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2b20bf0-79f3-4559-a8ab-bcb74dcd8cd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5923CC5-95C4-4597-AADE-A0DCE38786F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2b20bf0-79f3-4559-a8ab-bcb74dcd8cd8"/>
    <ds:schemaRef ds:uri="08a9f8ec-165a-4165-a8e9-ed45c2de7bc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E208467-E14A-4CB9-9FC8-72DFB8E94FF2}">
  <ds:schemaRefs>
    <ds:schemaRef ds:uri="http://www.w3.org/XML/1998/namespace"/>
    <ds:schemaRef ds:uri="http://schemas.openxmlformats.org/package/2006/metadata/core-properties"/>
    <ds:schemaRef ds:uri="http://schemas.microsoft.com/office/2006/metadata/properties"/>
    <ds:schemaRef ds:uri="http://schemas.microsoft.com/office/2006/documentManagement/types"/>
    <ds:schemaRef ds:uri="http://purl.org/dc/elements/1.1/"/>
    <ds:schemaRef ds:uri="http://purl.org/dc/dcmitype/"/>
    <ds:schemaRef ds:uri="c2b20bf0-79f3-4559-a8ab-bcb74dcd8cd8"/>
    <ds:schemaRef ds:uri="http://schemas.microsoft.com/office/infopath/2007/PartnerControls"/>
    <ds:schemaRef ds:uri="08a9f8ec-165a-4165-a8e9-ed45c2de7bcb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2D595912-0053-4104-933F-CDA3B3DBC54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Proximal Validation (single)</vt:lpstr>
      <vt:lpstr>Distal Validation (single)</vt:lpstr>
      <vt:lpstr>Distal Vali (0.2 prop noise)</vt:lpstr>
      <vt:lpstr>Distal Vali (add noise)</vt:lpstr>
      <vt:lpstr>Sheet1</vt:lpstr>
      <vt:lpstr>Conversion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Noah Jones</dc:creator>
  <cp:lastModifiedBy>Noah Jones</cp:lastModifiedBy>
  <cp:lastPrinted>2025-09-25T19:44:46Z</cp:lastPrinted>
  <dcterms:created xsi:type="dcterms:W3CDTF">2025-08-20T18:12:27Z</dcterms:created>
  <dcterms:modified xsi:type="dcterms:W3CDTF">2025-10-10T20:53:26Z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0x010100E12580AD17ADB64691A1BA4C2E042DA4</vt:lpwstr>
  </property>
</Properties>
</file>