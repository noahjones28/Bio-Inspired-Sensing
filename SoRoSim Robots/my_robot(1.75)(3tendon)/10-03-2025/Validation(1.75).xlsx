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1.75)(3tendon)/10-03-2025/"/>
    </mc:Choice>
  </mc:AlternateContent>
  <xr:revisionPtr revIDLastSave="2243" documentId="8_{DFFD6B0C-681F-42C8-B2E4-5D4B90AAE966}" xr6:coauthVersionLast="47" xr6:coauthVersionMax="47" xr10:uidLastSave="{37752546-4767-41AC-9A83-A186594281C4}"/>
  <bookViews>
    <workbookView xWindow="-120" yWindow="-120" windowWidth="29040" windowHeight="15720" activeTab="2" xr2:uid="{3D16C37F-3C74-4527-A308-796C339DFE9F}"/>
  </bookViews>
  <sheets>
    <sheet name="Proximal Validation (double)" sheetId="12" r:id="rId1"/>
    <sheet name="Distal Vali (double, tight)" sheetId="17" r:id="rId2"/>
    <sheet name="Distal Vali (double, loose)" sheetId="19" r:id="rId3"/>
    <sheet name="Convers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19" l="1"/>
  <c r="AF42" i="19"/>
  <c r="Z42" i="19"/>
  <c r="AH42" i="19" s="1"/>
  <c r="Q42" i="19"/>
  <c r="P42" i="19"/>
  <c r="O42" i="19"/>
  <c r="N42" i="19"/>
  <c r="M42" i="19"/>
  <c r="L42" i="19"/>
  <c r="K42" i="19"/>
  <c r="J42" i="19"/>
  <c r="I42" i="19"/>
  <c r="H42" i="19"/>
  <c r="G42" i="19"/>
  <c r="F42" i="19"/>
  <c r="AE42" i="19" s="1"/>
  <c r="E42" i="19"/>
  <c r="AD42" i="19" s="1"/>
  <c r="D42" i="19"/>
  <c r="AC42" i="19" s="1"/>
  <c r="C42" i="19"/>
  <c r="AB42" i="19" s="1"/>
  <c r="AJ42" i="19" s="1"/>
  <c r="B42" i="19"/>
  <c r="AA42" i="19" s="1"/>
  <c r="A42" i="19"/>
  <c r="AD41" i="19"/>
  <c r="AC41" i="19"/>
  <c r="AB41" i="19"/>
  <c r="Z41" i="19"/>
  <c r="Q41" i="19"/>
  <c r="P41" i="19"/>
  <c r="O41" i="19"/>
  <c r="N41" i="19"/>
  <c r="M41" i="19"/>
  <c r="L41" i="19"/>
  <c r="K41" i="19"/>
  <c r="J41" i="19"/>
  <c r="I41" i="19"/>
  <c r="H41" i="19"/>
  <c r="AG41" i="19" s="1"/>
  <c r="G41" i="19"/>
  <c r="AF41" i="19" s="1"/>
  <c r="F41" i="19"/>
  <c r="AE41" i="19" s="1"/>
  <c r="E41" i="19"/>
  <c r="D41" i="19"/>
  <c r="C41" i="19"/>
  <c r="B41" i="19"/>
  <c r="AA41" i="19" s="1"/>
  <c r="A41" i="19"/>
  <c r="AG40" i="19"/>
  <c r="AF40" i="19"/>
  <c r="AD40" i="19"/>
  <c r="AC40" i="19"/>
  <c r="AB40" i="19"/>
  <c r="AJ40" i="19" s="1"/>
  <c r="Q40" i="19"/>
  <c r="P40" i="19"/>
  <c r="O40" i="19"/>
  <c r="N40" i="19"/>
  <c r="M40" i="19"/>
  <c r="L40" i="19"/>
  <c r="K40" i="19"/>
  <c r="J40" i="19"/>
  <c r="I40" i="19"/>
  <c r="H40" i="19"/>
  <c r="G40" i="19"/>
  <c r="F40" i="19"/>
  <c r="AE40" i="19" s="1"/>
  <c r="E40" i="19"/>
  <c r="D40" i="19"/>
  <c r="C40" i="19"/>
  <c r="B40" i="19"/>
  <c r="AA40" i="19" s="1"/>
  <c r="A40" i="19"/>
  <c r="Z40" i="19" s="1"/>
  <c r="AG39" i="19"/>
  <c r="AF39" i="19"/>
  <c r="Z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AE39" i="19" s="1"/>
  <c r="E39" i="19"/>
  <c r="AD39" i="19" s="1"/>
  <c r="AH39" i="19" s="1"/>
  <c r="D39" i="19"/>
  <c r="AC39" i="19" s="1"/>
  <c r="C39" i="19"/>
  <c r="AB39" i="19" s="1"/>
  <c r="AJ39" i="19" s="1"/>
  <c r="B39" i="19"/>
  <c r="AA39" i="19" s="1"/>
  <c r="A39" i="19"/>
  <c r="AD38" i="19"/>
  <c r="AC38" i="19"/>
  <c r="AB38" i="19"/>
  <c r="Z38" i="19"/>
  <c r="Q38" i="19"/>
  <c r="P38" i="19"/>
  <c r="O38" i="19"/>
  <c r="N38" i="19"/>
  <c r="M38" i="19"/>
  <c r="L38" i="19"/>
  <c r="K38" i="19"/>
  <c r="J38" i="19"/>
  <c r="I38" i="19"/>
  <c r="H38" i="19"/>
  <c r="AG38" i="19" s="1"/>
  <c r="G38" i="19"/>
  <c r="AF38" i="19" s="1"/>
  <c r="F38" i="19"/>
  <c r="AE38" i="19" s="1"/>
  <c r="E38" i="19"/>
  <c r="D38" i="19"/>
  <c r="C38" i="19"/>
  <c r="B38" i="19"/>
  <c r="AA38" i="19" s="1"/>
  <c r="A38" i="19"/>
  <c r="AG37" i="19"/>
  <c r="AF37" i="19"/>
  <c r="AD37" i="19"/>
  <c r="AC37" i="19"/>
  <c r="AB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AE37" i="19" s="1"/>
  <c r="E37" i="19"/>
  <c r="D37" i="19"/>
  <c r="C37" i="19"/>
  <c r="B37" i="19"/>
  <c r="AA37" i="19" s="1"/>
  <c r="A37" i="19"/>
  <c r="Z37" i="19" s="1"/>
  <c r="AG36" i="19"/>
  <c r="AF36" i="19"/>
  <c r="Z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AE36" i="19" s="1"/>
  <c r="E36" i="19"/>
  <c r="AD36" i="19" s="1"/>
  <c r="AH36" i="19" s="1"/>
  <c r="D36" i="19"/>
  <c r="AC36" i="19" s="1"/>
  <c r="C36" i="19"/>
  <c r="AB36" i="19" s="1"/>
  <c r="B36" i="19"/>
  <c r="AA36" i="19" s="1"/>
  <c r="A36" i="19"/>
  <c r="AD35" i="19"/>
  <c r="AC35" i="19"/>
  <c r="AB35" i="19"/>
  <c r="Z35" i="19"/>
  <c r="Q35" i="19"/>
  <c r="P35" i="19"/>
  <c r="O35" i="19"/>
  <c r="N35" i="19"/>
  <c r="M35" i="19"/>
  <c r="L35" i="19"/>
  <c r="K35" i="19"/>
  <c r="J35" i="19"/>
  <c r="I35" i="19"/>
  <c r="H35" i="19"/>
  <c r="AG35" i="19" s="1"/>
  <c r="G35" i="19"/>
  <c r="AF35" i="19" s="1"/>
  <c r="F35" i="19"/>
  <c r="AE35" i="19" s="1"/>
  <c r="E35" i="19"/>
  <c r="D35" i="19"/>
  <c r="C35" i="19"/>
  <c r="B35" i="19"/>
  <c r="AA35" i="19" s="1"/>
  <c r="A35" i="19"/>
  <c r="AG34" i="19"/>
  <c r="AF34" i="19"/>
  <c r="AD34" i="19"/>
  <c r="AC34" i="19"/>
  <c r="AB34" i="19"/>
  <c r="AJ34" i="19" s="1"/>
  <c r="Q34" i="19"/>
  <c r="P34" i="19"/>
  <c r="O34" i="19"/>
  <c r="N34" i="19"/>
  <c r="M34" i="19"/>
  <c r="L34" i="19"/>
  <c r="K34" i="19"/>
  <c r="J34" i="19"/>
  <c r="I34" i="19"/>
  <c r="H34" i="19"/>
  <c r="G34" i="19"/>
  <c r="F34" i="19"/>
  <c r="AE34" i="19" s="1"/>
  <c r="E34" i="19"/>
  <c r="D34" i="19"/>
  <c r="C34" i="19"/>
  <c r="B34" i="19"/>
  <c r="AA34" i="19" s="1"/>
  <c r="AI34" i="19" s="1"/>
  <c r="A34" i="19"/>
  <c r="Z34" i="19" s="1"/>
  <c r="AH34" i="19" s="1"/>
  <c r="AG33" i="19"/>
  <c r="AF33" i="19"/>
  <c r="Z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AE33" i="19" s="1"/>
  <c r="E33" i="19"/>
  <c r="AD33" i="19" s="1"/>
  <c r="D33" i="19"/>
  <c r="AC33" i="19" s="1"/>
  <c r="C33" i="19"/>
  <c r="AB33" i="19" s="1"/>
  <c r="B33" i="19"/>
  <c r="AA33" i="19" s="1"/>
  <c r="A33" i="19"/>
  <c r="AD32" i="19"/>
  <c r="AC32" i="19"/>
  <c r="AB32" i="19"/>
  <c r="Z32" i="19"/>
  <c r="AH32" i="19" s="1"/>
  <c r="Q32" i="19"/>
  <c r="P32" i="19"/>
  <c r="O32" i="19"/>
  <c r="N32" i="19"/>
  <c r="M32" i="19"/>
  <c r="L32" i="19"/>
  <c r="K32" i="19"/>
  <c r="J32" i="19"/>
  <c r="I32" i="19"/>
  <c r="H32" i="19"/>
  <c r="AG32" i="19" s="1"/>
  <c r="G32" i="19"/>
  <c r="AF32" i="19" s="1"/>
  <c r="F32" i="19"/>
  <c r="AE32" i="19" s="1"/>
  <c r="E32" i="19"/>
  <c r="D32" i="19"/>
  <c r="C32" i="19"/>
  <c r="B32" i="19"/>
  <c r="AA32" i="19" s="1"/>
  <c r="A32" i="19"/>
  <c r="AG31" i="19"/>
  <c r="AF31" i="19"/>
  <c r="AD31" i="19"/>
  <c r="AC31" i="19"/>
  <c r="AB31" i="19"/>
  <c r="AJ31" i="19" s="1"/>
  <c r="Q31" i="19"/>
  <c r="P31" i="19"/>
  <c r="O31" i="19"/>
  <c r="N31" i="19"/>
  <c r="M31" i="19"/>
  <c r="L31" i="19"/>
  <c r="K31" i="19"/>
  <c r="J31" i="19"/>
  <c r="I31" i="19"/>
  <c r="H31" i="19"/>
  <c r="G31" i="19"/>
  <c r="F31" i="19"/>
  <c r="AE31" i="19" s="1"/>
  <c r="E31" i="19"/>
  <c r="D31" i="19"/>
  <c r="C31" i="19"/>
  <c r="B31" i="19"/>
  <c r="AA31" i="19" s="1"/>
  <c r="A31" i="19"/>
  <c r="Z31" i="19" s="1"/>
  <c r="AH31" i="19" s="1"/>
  <c r="AG30" i="19"/>
  <c r="AF30" i="19"/>
  <c r="Z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AE30" i="19" s="1"/>
  <c r="E30" i="19"/>
  <c r="AD30" i="19" s="1"/>
  <c r="D30" i="19"/>
  <c r="AC30" i="19" s="1"/>
  <c r="C30" i="19"/>
  <c r="AB30" i="19" s="1"/>
  <c r="AJ30" i="19" s="1"/>
  <c r="B30" i="19"/>
  <c r="AA30" i="19" s="1"/>
  <c r="A30" i="19"/>
  <c r="AD29" i="19"/>
  <c r="AC29" i="19"/>
  <c r="AB29" i="19"/>
  <c r="Z29" i="19"/>
  <c r="Q29" i="19"/>
  <c r="P29" i="19"/>
  <c r="O29" i="19"/>
  <c r="N29" i="19"/>
  <c r="M29" i="19"/>
  <c r="L29" i="19"/>
  <c r="K29" i="19"/>
  <c r="J29" i="19"/>
  <c r="I29" i="19"/>
  <c r="H29" i="19"/>
  <c r="AG29" i="19" s="1"/>
  <c r="G29" i="19"/>
  <c r="AF29" i="19" s="1"/>
  <c r="F29" i="19"/>
  <c r="AE29" i="19" s="1"/>
  <c r="E29" i="19"/>
  <c r="D29" i="19"/>
  <c r="C29" i="19"/>
  <c r="B29" i="19"/>
  <c r="AA29" i="19" s="1"/>
  <c r="A29" i="19"/>
  <c r="AG28" i="19"/>
  <c r="AF28" i="19"/>
  <c r="AD28" i="19"/>
  <c r="AC28" i="19"/>
  <c r="AB28" i="19"/>
  <c r="AJ28" i="19" s="1"/>
  <c r="Q28" i="19"/>
  <c r="P28" i="19"/>
  <c r="O28" i="19"/>
  <c r="N28" i="19"/>
  <c r="M28" i="19"/>
  <c r="L28" i="19"/>
  <c r="K28" i="19"/>
  <c r="J28" i="19"/>
  <c r="I28" i="19"/>
  <c r="H28" i="19"/>
  <c r="G28" i="19"/>
  <c r="F28" i="19"/>
  <c r="AE28" i="19" s="1"/>
  <c r="E28" i="19"/>
  <c r="D28" i="19"/>
  <c r="C28" i="19"/>
  <c r="B28" i="19"/>
  <c r="AA28" i="19" s="1"/>
  <c r="A28" i="19"/>
  <c r="Z28" i="19" s="1"/>
  <c r="AG27" i="19"/>
  <c r="AF27" i="19"/>
  <c r="Z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AE27" i="19" s="1"/>
  <c r="E27" i="19"/>
  <c r="AD27" i="19" s="1"/>
  <c r="AH27" i="19" s="1"/>
  <c r="D27" i="19"/>
  <c r="AC27" i="19" s="1"/>
  <c r="C27" i="19"/>
  <c r="AB27" i="19" s="1"/>
  <c r="AJ27" i="19" s="1"/>
  <c r="B27" i="19"/>
  <c r="AA27" i="19" s="1"/>
  <c r="A27" i="19"/>
  <c r="AD26" i="19"/>
  <c r="AC26" i="19"/>
  <c r="AB26" i="19"/>
  <c r="Z26" i="19"/>
  <c r="Q26" i="19"/>
  <c r="P26" i="19"/>
  <c r="O26" i="19"/>
  <c r="N26" i="19"/>
  <c r="M26" i="19"/>
  <c r="L26" i="19"/>
  <c r="K26" i="19"/>
  <c r="J26" i="19"/>
  <c r="I26" i="19"/>
  <c r="H26" i="19"/>
  <c r="AG26" i="19" s="1"/>
  <c r="G26" i="19"/>
  <c r="AF26" i="19" s="1"/>
  <c r="F26" i="19"/>
  <c r="AE26" i="19" s="1"/>
  <c r="E26" i="19"/>
  <c r="D26" i="19"/>
  <c r="C26" i="19"/>
  <c r="B26" i="19"/>
  <c r="AA26" i="19" s="1"/>
  <c r="A26" i="19"/>
  <c r="AG25" i="19"/>
  <c r="AF25" i="19"/>
  <c r="AD25" i="19"/>
  <c r="AC25" i="19"/>
  <c r="AB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AE25" i="19" s="1"/>
  <c r="E25" i="19"/>
  <c r="D25" i="19"/>
  <c r="C25" i="19"/>
  <c r="B25" i="19"/>
  <c r="AA25" i="19" s="1"/>
  <c r="A25" i="19"/>
  <c r="Z25" i="19" s="1"/>
  <c r="AG24" i="19"/>
  <c r="AF24" i="19"/>
  <c r="Z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AE24" i="19" s="1"/>
  <c r="E24" i="19"/>
  <c r="AD24" i="19" s="1"/>
  <c r="AH24" i="19" s="1"/>
  <c r="D24" i="19"/>
  <c r="AC24" i="19" s="1"/>
  <c r="C24" i="19"/>
  <c r="AB24" i="19" s="1"/>
  <c r="AJ24" i="19" s="1"/>
  <c r="B24" i="19"/>
  <c r="AA24" i="19" s="1"/>
  <c r="A24" i="19"/>
  <c r="AD23" i="19"/>
  <c r="AC23" i="19"/>
  <c r="AB23" i="19"/>
  <c r="Z23" i="19"/>
  <c r="Q23" i="19"/>
  <c r="P23" i="19"/>
  <c r="O23" i="19"/>
  <c r="N23" i="19"/>
  <c r="M23" i="19"/>
  <c r="L23" i="19"/>
  <c r="K23" i="19"/>
  <c r="J23" i="19"/>
  <c r="I23" i="19"/>
  <c r="H23" i="19"/>
  <c r="AG23" i="19" s="1"/>
  <c r="G23" i="19"/>
  <c r="AF23" i="19" s="1"/>
  <c r="F23" i="19"/>
  <c r="AE23" i="19" s="1"/>
  <c r="E23" i="19"/>
  <c r="D23" i="19"/>
  <c r="C23" i="19"/>
  <c r="B23" i="19"/>
  <c r="AA23" i="19" s="1"/>
  <c r="A23" i="19"/>
  <c r="AG22" i="19"/>
  <c r="AF22" i="19"/>
  <c r="AD22" i="19"/>
  <c r="AC22" i="19"/>
  <c r="AB22" i="19"/>
  <c r="AJ22" i="19" s="1"/>
  <c r="Q22" i="19"/>
  <c r="P22" i="19"/>
  <c r="O22" i="19"/>
  <c r="N22" i="19"/>
  <c r="M22" i="19"/>
  <c r="L22" i="19"/>
  <c r="K22" i="19"/>
  <c r="J22" i="19"/>
  <c r="I22" i="19"/>
  <c r="H22" i="19"/>
  <c r="G22" i="19"/>
  <c r="F22" i="19"/>
  <c r="AE22" i="19" s="1"/>
  <c r="E22" i="19"/>
  <c r="D22" i="19"/>
  <c r="C22" i="19"/>
  <c r="B22" i="19"/>
  <c r="AA22" i="19" s="1"/>
  <c r="AI22" i="19" s="1"/>
  <c r="A22" i="19"/>
  <c r="Z22" i="19" s="1"/>
  <c r="AH22" i="19" s="1"/>
  <c r="AG21" i="19"/>
  <c r="AF21" i="19"/>
  <c r="Z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AE21" i="19" s="1"/>
  <c r="E21" i="19"/>
  <c r="AD21" i="19" s="1"/>
  <c r="D21" i="19"/>
  <c r="AC21" i="19" s="1"/>
  <c r="C21" i="19"/>
  <c r="AB21" i="19" s="1"/>
  <c r="B21" i="19"/>
  <c r="AA21" i="19" s="1"/>
  <c r="A21" i="19"/>
  <c r="AD20" i="19"/>
  <c r="AC20" i="19"/>
  <c r="AB20" i="19"/>
  <c r="Z20" i="19"/>
  <c r="AH20" i="19" s="1"/>
  <c r="Q20" i="19"/>
  <c r="P20" i="19"/>
  <c r="O20" i="19"/>
  <c r="N20" i="19"/>
  <c r="M20" i="19"/>
  <c r="L20" i="19"/>
  <c r="K20" i="19"/>
  <c r="J20" i="19"/>
  <c r="I20" i="19"/>
  <c r="H20" i="19"/>
  <c r="AG20" i="19" s="1"/>
  <c r="G20" i="19"/>
  <c r="AF20" i="19" s="1"/>
  <c r="F20" i="19"/>
  <c r="AE20" i="19" s="1"/>
  <c r="E20" i="19"/>
  <c r="D20" i="19"/>
  <c r="C20" i="19"/>
  <c r="B20" i="19"/>
  <c r="AA20" i="19" s="1"/>
  <c r="A20" i="19"/>
  <c r="AG19" i="19"/>
  <c r="AF19" i="19"/>
  <c r="AD19" i="19"/>
  <c r="AC19" i="19"/>
  <c r="AB19" i="19"/>
  <c r="AJ19" i="19" s="1"/>
  <c r="Q19" i="19"/>
  <c r="P19" i="19"/>
  <c r="O19" i="19"/>
  <c r="N19" i="19"/>
  <c r="M19" i="19"/>
  <c r="L19" i="19"/>
  <c r="K19" i="19"/>
  <c r="J19" i="19"/>
  <c r="I19" i="19"/>
  <c r="H19" i="19"/>
  <c r="G19" i="19"/>
  <c r="F19" i="19"/>
  <c r="AE19" i="19" s="1"/>
  <c r="E19" i="19"/>
  <c r="D19" i="19"/>
  <c r="C19" i="19"/>
  <c r="B19" i="19"/>
  <c r="AA19" i="19" s="1"/>
  <c r="A19" i="19"/>
  <c r="Z19" i="19" s="1"/>
  <c r="AH19" i="19" s="1"/>
  <c r="AG18" i="19"/>
  <c r="AF18" i="19"/>
  <c r="Z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AE18" i="19" s="1"/>
  <c r="E18" i="19"/>
  <c r="AD18" i="19" s="1"/>
  <c r="D18" i="19"/>
  <c r="AC18" i="19" s="1"/>
  <c r="C18" i="19"/>
  <c r="AB18" i="19" s="1"/>
  <c r="AJ18" i="19" s="1"/>
  <c r="B18" i="19"/>
  <c r="AA18" i="19" s="1"/>
  <c r="A18" i="19"/>
  <c r="AD17" i="19"/>
  <c r="AC17" i="19"/>
  <c r="AB17" i="19"/>
  <c r="Z17" i="19"/>
  <c r="AH17" i="19" s="1"/>
  <c r="Q17" i="19"/>
  <c r="P17" i="19"/>
  <c r="O17" i="19"/>
  <c r="N17" i="19"/>
  <c r="M17" i="19"/>
  <c r="L17" i="19"/>
  <c r="K17" i="19"/>
  <c r="J17" i="19"/>
  <c r="I17" i="19"/>
  <c r="H17" i="19"/>
  <c r="AG17" i="19" s="1"/>
  <c r="G17" i="19"/>
  <c r="AF17" i="19" s="1"/>
  <c r="F17" i="19"/>
  <c r="AE17" i="19" s="1"/>
  <c r="E17" i="19"/>
  <c r="D17" i="19"/>
  <c r="C17" i="19"/>
  <c r="B17" i="19"/>
  <c r="AA17" i="19" s="1"/>
  <c r="A17" i="19"/>
  <c r="AG16" i="19"/>
  <c r="AF16" i="19"/>
  <c r="AD16" i="19"/>
  <c r="AC16" i="19"/>
  <c r="AB16" i="19"/>
  <c r="AJ16" i="19" s="1"/>
  <c r="Q16" i="19"/>
  <c r="P16" i="19"/>
  <c r="O16" i="19"/>
  <c r="N16" i="19"/>
  <c r="M16" i="19"/>
  <c r="L16" i="19"/>
  <c r="K16" i="19"/>
  <c r="J16" i="19"/>
  <c r="I16" i="19"/>
  <c r="H16" i="19"/>
  <c r="G16" i="19"/>
  <c r="F16" i="19"/>
  <c r="AE16" i="19" s="1"/>
  <c r="E16" i="19"/>
  <c r="D16" i="19"/>
  <c r="C16" i="19"/>
  <c r="B16" i="19"/>
  <c r="AA16" i="19" s="1"/>
  <c r="A16" i="19"/>
  <c r="Z16" i="19" s="1"/>
  <c r="AG15" i="19"/>
  <c r="AF15" i="19"/>
  <c r="Z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AE15" i="19" s="1"/>
  <c r="E15" i="19"/>
  <c r="AD15" i="19" s="1"/>
  <c r="AH15" i="19" s="1"/>
  <c r="D15" i="19"/>
  <c r="AC15" i="19" s="1"/>
  <c r="C15" i="19"/>
  <c r="AB15" i="19" s="1"/>
  <c r="AJ15" i="19" s="1"/>
  <c r="B15" i="19"/>
  <c r="AA15" i="19" s="1"/>
  <c r="A15" i="19"/>
  <c r="AD14" i="19"/>
  <c r="AC14" i="19"/>
  <c r="AB14" i="19"/>
  <c r="Z14" i="19"/>
  <c r="Q14" i="19"/>
  <c r="P14" i="19"/>
  <c r="O14" i="19"/>
  <c r="N14" i="19"/>
  <c r="M14" i="19"/>
  <c r="L14" i="19"/>
  <c r="K14" i="19"/>
  <c r="J14" i="19"/>
  <c r="I14" i="19"/>
  <c r="H14" i="19"/>
  <c r="AG14" i="19" s="1"/>
  <c r="G14" i="19"/>
  <c r="AF14" i="19" s="1"/>
  <c r="F14" i="19"/>
  <c r="AE14" i="19" s="1"/>
  <c r="E14" i="19"/>
  <c r="D14" i="19"/>
  <c r="C14" i="19"/>
  <c r="B14" i="19"/>
  <c r="AA14" i="19" s="1"/>
  <c r="A14" i="19"/>
  <c r="AG13" i="19"/>
  <c r="AF13" i="19"/>
  <c r="AD13" i="19"/>
  <c r="AC13" i="19"/>
  <c r="AB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AE13" i="19" s="1"/>
  <c r="E13" i="19"/>
  <c r="D13" i="19"/>
  <c r="C13" i="19"/>
  <c r="B13" i="19"/>
  <c r="AA13" i="19" s="1"/>
  <c r="A13" i="19"/>
  <c r="Z13" i="19" s="1"/>
  <c r="AG12" i="19"/>
  <c r="AF12" i="19"/>
  <c r="Z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AE12" i="19" s="1"/>
  <c r="E12" i="19"/>
  <c r="AD12" i="19" s="1"/>
  <c r="AH12" i="19" s="1"/>
  <c r="D12" i="19"/>
  <c r="AC12" i="19" s="1"/>
  <c r="C12" i="19"/>
  <c r="AB12" i="19" s="1"/>
  <c r="AJ12" i="19" s="1"/>
  <c r="B12" i="19"/>
  <c r="AA12" i="19" s="1"/>
  <c r="A12" i="19"/>
  <c r="AD11" i="19"/>
  <c r="AC11" i="19"/>
  <c r="AB11" i="19"/>
  <c r="Z11" i="19"/>
  <c r="Q11" i="19"/>
  <c r="P11" i="19"/>
  <c r="O11" i="19"/>
  <c r="N11" i="19"/>
  <c r="M11" i="19"/>
  <c r="L11" i="19"/>
  <c r="K11" i="19"/>
  <c r="J11" i="19"/>
  <c r="I11" i="19"/>
  <c r="H11" i="19"/>
  <c r="AG11" i="19" s="1"/>
  <c r="G11" i="19"/>
  <c r="AF11" i="19" s="1"/>
  <c r="F11" i="19"/>
  <c r="AE11" i="19" s="1"/>
  <c r="E11" i="19"/>
  <c r="D11" i="19"/>
  <c r="C11" i="19"/>
  <c r="B11" i="19"/>
  <c r="AA11" i="19" s="1"/>
  <c r="A11" i="19"/>
  <c r="AG10" i="19"/>
  <c r="AF10" i="19"/>
  <c r="AD10" i="19"/>
  <c r="AC10" i="19"/>
  <c r="AB10" i="19"/>
  <c r="AJ10" i="19" s="1"/>
  <c r="Q10" i="19"/>
  <c r="P10" i="19"/>
  <c r="O10" i="19"/>
  <c r="N10" i="19"/>
  <c r="M10" i="19"/>
  <c r="L10" i="19"/>
  <c r="K10" i="19"/>
  <c r="J10" i="19"/>
  <c r="I10" i="19"/>
  <c r="H10" i="19"/>
  <c r="G10" i="19"/>
  <c r="F10" i="19"/>
  <c r="AE10" i="19" s="1"/>
  <c r="E10" i="19"/>
  <c r="D10" i="19"/>
  <c r="C10" i="19"/>
  <c r="B10" i="19"/>
  <c r="AA10" i="19" s="1"/>
  <c r="AI10" i="19" s="1"/>
  <c r="A10" i="19"/>
  <c r="Z10" i="19" s="1"/>
  <c r="AH10" i="19" s="1"/>
  <c r="AG9" i="19"/>
  <c r="AF9" i="19"/>
  <c r="Z9" i="19"/>
  <c r="Q9" i="19"/>
  <c r="P9" i="19"/>
  <c r="O9" i="19"/>
  <c r="N9" i="19"/>
  <c r="M9" i="19"/>
  <c r="L9" i="19"/>
  <c r="K9" i="19"/>
  <c r="J9" i="19"/>
  <c r="I9" i="19"/>
  <c r="H9" i="19"/>
  <c r="G9" i="19"/>
  <c r="F9" i="19"/>
  <c r="AE9" i="19" s="1"/>
  <c r="E9" i="19"/>
  <c r="AD9" i="19" s="1"/>
  <c r="D9" i="19"/>
  <c r="AC9" i="19" s="1"/>
  <c r="C9" i="19"/>
  <c r="AB9" i="19" s="1"/>
  <c r="B9" i="19"/>
  <c r="AA9" i="19" s="1"/>
  <c r="A9" i="19"/>
  <c r="AD8" i="19"/>
  <c r="AC8" i="19"/>
  <c r="AB8" i="19"/>
  <c r="Z8" i="19"/>
  <c r="AH8" i="19" s="1"/>
  <c r="Q8" i="19"/>
  <c r="P8" i="19"/>
  <c r="O8" i="19"/>
  <c r="N8" i="19"/>
  <c r="M8" i="19"/>
  <c r="L8" i="19"/>
  <c r="K8" i="19"/>
  <c r="J8" i="19"/>
  <c r="I8" i="19"/>
  <c r="H8" i="19"/>
  <c r="AG8" i="19" s="1"/>
  <c r="G8" i="19"/>
  <c r="AF8" i="19" s="1"/>
  <c r="F8" i="19"/>
  <c r="AE8" i="19" s="1"/>
  <c r="E8" i="19"/>
  <c r="D8" i="19"/>
  <c r="C8" i="19"/>
  <c r="B8" i="19"/>
  <c r="AA8" i="19" s="1"/>
  <c r="A8" i="19"/>
  <c r="AG7" i="19"/>
  <c r="AF7" i="19"/>
  <c r="AE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AD7" i="19" s="1"/>
  <c r="D7" i="19"/>
  <c r="AC7" i="19" s="1"/>
  <c r="C7" i="19"/>
  <c r="AB7" i="19" s="1"/>
  <c r="AJ7" i="19" s="1"/>
  <c r="B7" i="19"/>
  <c r="AA7" i="19" s="1"/>
  <c r="AI7" i="19" s="1"/>
  <c r="A7" i="19"/>
  <c r="Z7" i="19" s="1"/>
  <c r="AC6" i="19"/>
  <c r="AB6" i="19"/>
  <c r="AA6" i="19"/>
  <c r="Q6" i="19"/>
  <c r="P6" i="19"/>
  <c r="O6" i="19"/>
  <c r="N6" i="19"/>
  <c r="M6" i="19"/>
  <c r="L6" i="19"/>
  <c r="K6" i="19"/>
  <c r="J6" i="19"/>
  <c r="I6" i="19"/>
  <c r="H6" i="19"/>
  <c r="AG6" i="19" s="1"/>
  <c r="G6" i="19"/>
  <c r="AF6" i="19" s="1"/>
  <c r="F6" i="19"/>
  <c r="AE6" i="19" s="1"/>
  <c r="E6" i="19"/>
  <c r="AD6" i="19" s="1"/>
  <c r="D6" i="19"/>
  <c r="C6" i="19"/>
  <c r="B6" i="19"/>
  <c r="A6" i="19"/>
  <c r="Z6" i="19" s="1"/>
  <c r="AG5" i="19"/>
  <c r="AF5" i="19"/>
  <c r="AE5" i="19"/>
  <c r="AC5" i="19"/>
  <c r="AB5" i="19"/>
  <c r="AA5" i="19"/>
  <c r="AI5" i="19" s="1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AD5" i="19" s="1"/>
  <c r="D5" i="19"/>
  <c r="C5" i="19"/>
  <c r="B5" i="19"/>
  <c r="A5" i="19"/>
  <c r="Z5" i="19" s="1"/>
  <c r="AC4" i="19"/>
  <c r="AB4" i="19"/>
  <c r="AA4" i="19"/>
  <c r="Q4" i="19"/>
  <c r="P4" i="19"/>
  <c r="O4" i="19"/>
  <c r="N4" i="19"/>
  <c r="M4" i="19"/>
  <c r="L4" i="19"/>
  <c r="K4" i="19"/>
  <c r="J4" i="19"/>
  <c r="I4" i="19"/>
  <c r="H4" i="19"/>
  <c r="AG4" i="19" s="1"/>
  <c r="G4" i="19"/>
  <c r="AF4" i="19" s="1"/>
  <c r="F4" i="19"/>
  <c r="AE4" i="19" s="1"/>
  <c r="E4" i="19"/>
  <c r="AD4" i="19" s="1"/>
  <c r="D4" i="19"/>
  <c r="C4" i="19"/>
  <c r="B4" i="19"/>
  <c r="A4" i="19"/>
  <c r="Z4" i="19" s="1"/>
  <c r="AG3" i="19"/>
  <c r="AF3" i="19"/>
  <c r="AE3" i="19"/>
  <c r="AC3" i="19"/>
  <c r="AB3" i="19"/>
  <c r="AA3" i="19"/>
  <c r="AI3" i="19" s="1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AD3" i="19" s="1"/>
  <c r="D3" i="19"/>
  <c r="C3" i="19"/>
  <c r="B3" i="19"/>
  <c r="A3" i="19"/>
  <c r="Z3" i="19" s="1"/>
  <c r="H44" i="4"/>
  <c r="I44" i="4"/>
  <c r="J44" i="4"/>
  <c r="K44" i="4"/>
  <c r="L44" i="4"/>
  <c r="M44" i="4"/>
  <c r="AD4" i="17"/>
  <c r="Z5" i="17"/>
  <c r="AC5" i="17"/>
  <c r="AE5" i="17"/>
  <c r="AF5" i="17"/>
  <c r="AG5" i="17"/>
  <c r="Z6" i="17"/>
  <c r="AC6" i="17"/>
  <c r="AD6" i="17"/>
  <c r="AF6" i="17"/>
  <c r="AA7" i="17"/>
  <c r="AE7" i="17"/>
  <c r="AG7" i="17"/>
  <c r="Z8" i="17"/>
  <c r="AB8" i="17"/>
  <c r="Z9" i="17"/>
  <c r="AC9" i="17"/>
  <c r="AD9" i="17"/>
  <c r="AG9" i="17"/>
  <c r="AB10" i="17"/>
  <c r="AD10" i="17"/>
  <c r="AG10" i="17"/>
  <c r="Z11" i="17"/>
  <c r="AB11" i="17"/>
  <c r="AE11" i="17"/>
  <c r="Z12" i="17"/>
  <c r="AD12" i="17"/>
  <c r="AF12" i="17"/>
  <c r="AA13" i="17"/>
  <c r="AB13" i="17"/>
  <c r="AC13" i="17"/>
  <c r="AD13" i="17"/>
  <c r="AG13" i="17"/>
  <c r="Z14" i="17"/>
  <c r="AB14" i="17"/>
  <c r="AF14" i="17"/>
  <c r="AA15" i="17"/>
  <c r="AC15" i="17"/>
  <c r="AD15" i="17"/>
  <c r="AF15" i="17"/>
  <c r="AD16" i="17"/>
  <c r="Z17" i="17"/>
  <c r="AC17" i="17"/>
  <c r="AE17" i="17"/>
  <c r="AF17" i="17"/>
  <c r="AG17" i="17"/>
  <c r="Z18" i="17"/>
  <c r="AC18" i="17"/>
  <c r="AD18" i="17"/>
  <c r="AF18" i="17"/>
  <c r="AA19" i="17"/>
  <c r="AG19" i="17"/>
  <c r="Z20" i="17"/>
  <c r="AB20" i="17"/>
  <c r="Z21" i="17"/>
  <c r="AC21" i="17"/>
  <c r="AD21" i="17"/>
  <c r="AB22" i="17"/>
  <c r="AD22" i="17"/>
  <c r="AG22" i="17"/>
  <c r="AB26" i="17"/>
  <c r="AC27" i="17"/>
  <c r="AD27" i="17"/>
  <c r="AF27" i="17"/>
  <c r="AD28" i="17"/>
  <c r="Z29" i="17"/>
  <c r="AE29" i="17"/>
  <c r="AF29" i="17"/>
  <c r="AG29" i="17"/>
  <c r="Z30" i="17"/>
  <c r="AC30" i="17"/>
  <c r="AD30" i="17"/>
  <c r="AA31" i="17"/>
  <c r="AG31" i="17"/>
  <c r="Z32" i="17"/>
  <c r="AB32" i="17"/>
  <c r="AD33" i="17"/>
  <c r="AB34" i="17"/>
  <c r="AD34" i="17"/>
  <c r="AG34" i="17"/>
  <c r="Z35" i="17"/>
  <c r="AB35" i="17"/>
  <c r="AE35" i="17"/>
  <c r="Z36" i="17"/>
  <c r="AD36" i="17"/>
  <c r="AF36" i="17"/>
  <c r="AA37" i="17"/>
  <c r="AB37" i="17"/>
  <c r="AC37" i="17"/>
  <c r="AD37" i="17"/>
  <c r="AG37" i="17"/>
  <c r="Z38" i="17"/>
  <c r="AB38" i="17"/>
  <c r="AF38" i="17"/>
  <c r="AC39" i="17"/>
  <c r="AD39" i="17"/>
  <c r="AF39" i="17"/>
  <c r="AD40" i="17"/>
  <c r="Z41" i="17"/>
  <c r="AE41" i="17"/>
  <c r="AF41" i="17"/>
  <c r="AG41" i="17"/>
  <c r="Z42" i="17"/>
  <c r="AC42" i="17"/>
  <c r="AD42" i="17"/>
  <c r="AF42" i="17"/>
  <c r="AA3" i="17"/>
  <c r="AD3" i="17"/>
  <c r="AE3" i="17"/>
  <c r="A3" i="17"/>
  <c r="Z3" i="17" s="1"/>
  <c r="B3" i="17"/>
  <c r="C3" i="17"/>
  <c r="AB3" i="17" s="1"/>
  <c r="D3" i="17"/>
  <c r="AC3" i="17" s="1"/>
  <c r="E3" i="17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4" i="17"/>
  <c r="Z4" i="17" s="1"/>
  <c r="B4" i="17"/>
  <c r="AA4" i="17" s="1"/>
  <c r="C4" i="17"/>
  <c r="AB4" i="17" s="1"/>
  <c r="D4" i="17"/>
  <c r="AC4" i="17" s="1"/>
  <c r="E4" i="17"/>
  <c r="F4" i="17"/>
  <c r="AE4" i="17" s="1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5" i="17"/>
  <c r="B5" i="17"/>
  <c r="AA5" i="17" s="1"/>
  <c r="C5" i="17"/>
  <c r="AB5" i="17" s="1"/>
  <c r="D5" i="17"/>
  <c r="E5" i="17"/>
  <c r="AD5" i="17" s="1"/>
  <c r="F5" i="17"/>
  <c r="G5" i="17"/>
  <c r="H5" i="17"/>
  <c r="I5" i="17"/>
  <c r="J5" i="17"/>
  <c r="K5" i="17"/>
  <c r="L5" i="17"/>
  <c r="M5" i="17"/>
  <c r="N5" i="17"/>
  <c r="O5" i="17"/>
  <c r="P5" i="17"/>
  <c r="Q5" i="17"/>
  <c r="A6" i="17"/>
  <c r="B6" i="17"/>
  <c r="AA6" i="17" s="1"/>
  <c r="AI6" i="17" s="1"/>
  <c r="C6" i="17"/>
  <c r="AB6" i="17" s="1"/>
  <c r="D6" i="17"/>
  <c r="E6" i="17"/>
  <c r="F6" i="17"/>
  <c r="AE6" i="17" s="1"/>
  <c r="G6" i="17"/>
  <c r="H6" i="17"/>
  <c r="AG6" i="17" s="1"/>
  <c r="I6" i="17"/>
  <c r="J6" i="17"/>
  <c r="K6" i="17"/>
  <c r="L6" i="17"/>
  <c r="M6" i="17"/>
  <c r="N6" i="17"/>
  <c r="O6" i="17"/>
  <c r="P6" i="17"/>
  <c r="Q6" i="17"/>
  <c r="A7" i="17"/>
  <c r="Z7" i="17" s="1"/>
  <c r="B7" i="17"/>
  <c r="C7" i="17"/>
  <c r="AB7" i="17" s="1"/>
  <c r="D7" i="17"/>
  <c r="AC7" i="17" s="1"/>
  <c r="E7" i="17"/>
  <c r="AD7" i="17" s="1"/>
  <c r="F7" i="17"/>
  <c r="G7" i="17"/>
  <c r="AF7" i="17" s="1"/>
  <c r="H7" i="17"/>
  <c r="I7" i="17"/>
  <c r="J7" i="17"/>
  <c r="K7" i="17"/>
  <c r="L7" i="17"/>
  <c r="M7" i="17"/>
  <c r="N7" i="17"/>
  <c r="O7" i="17"/>
  <c r="P7" i="17"/>
  <c r="Q7" i="17"/>
  <c r="A8" i="17"/>
  <c r="B8" i="17"/>
  <c r="AA8" i="17" s="1"/>
  <c r="C8" i="17"/>
  <c r="D8" i="17"/>
  <c r="AC8" i="17" s="1"/>
  <c r="E8" i="17"/>
  <c r="AD8" i="17" s="1"/>
  <c r="F8" i="17"/>
  <c r="AE8" i="17" s="1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9" i="17"/>
  <c r="B9" i="17"/>
  <c r="AA9" i="17" s="1"/>
  <c r="C9" i="17"/>
  <c r="AB9" i="17" s="1"/>
  <c r="D9" i="17"/>
  <c r="E9" i="17"/>
  <c r="F9" i="17"/>
  <c r="AE9" i="17" s="1"/>
  <c r="G9" i="17"/>
  <c r="AF9" i="17" s="1"/>
  <c r="H9" i="17"/>
  <c r="I9" i="17"/>
  <c r="J9" i="17"/>
  <c r="K9" i="17"/>
  <c r="L9" i="17"/>
  <c r="M9" i="17"/>
  <c r="N9" i="17"/>
  <c r="O9" i="17"/>
  <c r="P9" i="17"/>
  <c r="Q9" i="17"/>
  <c r="A10" i="17"/>
  <c r="Z10" i="17" s="1"/>
  <c r="B10" i="17"/>
  <c r="AA10" i="17" s="1"/>
  <c r="C10" i="17"/>
  <c r="D10" i="17"/>
  <c r="AC10" i="17" s="1"/>
  <c r="E10" i="17"/>
  <c r="F10" i="17"/>
  <c r="AE10" i="17" s="1"/>
  <c r="G10" i="17"/>
  <c r="AF10" i="17" s="1"/>
  <c r="AJ10" i="17" s="1"/>
  <c r="H10" i="17"/>
  <c r="I10" i="17"/>
  <c r="J10" i="17"/>
  <c r="K10" i="17"/>
  <c r="L10" i="17"/>
  <c r="M10" i="17"/>
  <c r="N10" i="17"/>
  <c r="O10" i="17"/>
  <c r="P10" i="17"/>
  <c r="Q10" i="17"/>
  <c r="A11" i="17"/>
  <c r="B11" i="17"/>
  <c r="AA11" i="17" s="1"/>
  <c r="C11" i="17"/>
  <c r="D11" i="17"/>
  <c r="AC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12" i="17"/>
  <c r="B12" i="17"/>
  <c r="AA12" i="17" s="1"/>
  <c r="C12" i="17"/>
  <c r="AB12" i="17" s="1"/>
  <c r="D12" i="17"/>
  <c r="AC12" i="17" s="1"/>
  <c r="E12" i="17"/>
  <c r="F12" i="17"/>
  <c r="AE12" i="17" s="1"/>
  <c r="G12" i="17"/>
  <c r="H12" i="17"/>
  <c r="AG12" i="17" s="1"/>
  <c r="I12" i="17"/>
  <c r="J12" i="17"/>
  <c r="K12" i="17"/>
  <c r="L12" i="17"/>
  <c r="M12" i="17"/>
  <c r="N12" i="17"/>
  <c r="O12" i="17"/>
  <c r="P12" i="17"/>
  <c r="Q12" i="17"/>
  <c r="A13" i="17"/>
  <c r="Z13" i="17" s="1"/>
  <c r="AH13" i="17" s="1"/>
  <c r="B13" i="17"/>
  <c r="C13" i="17"/>
  <c r="D13" i="17"/>
  <c r="E13" i="17"/>
  <c r="F13" i="17"/>
  <c r="AE13" i="17" s="1"/>
  <c r="G13" i="17"/>
  <c r="AF13" i="17" s="1"/>
  <c r="H13" i="17"/>
  <c r="I13" i="17"/>
  <c r="J13" i="17"/>
  <c r="K13" i="17"/>
  <c r="L13" i="17"/>
  <c r="M13" i="17"/>
  <c r="N13" i="17"/>
  <c r="O13" i="17"/>
  <c r="P13" i="17"/>
  <c r="Q13" i="17"/>
  <c r="A14" i="17"/>
  <c r="B14" i="17"/>
  <c r="AA14" i="17" s="1"/>
  <c r="C14" i="17"/>
  <c r="D14" i="17"/>
  <c r="AC14" i="17" s="1"/>
  <c r="E14" i="17"/>
  <c r="AD14" i="17" s="1"/>
  <c r="F14" i="17"/>
  <c r="AE14" i="17" s="1"/>
  <c r="G14" i="17"/>
  <c r="H14" i="17"/>
  <c r="AG14" i="17" s="1"/>
  <c r="I14" i="17"/>
  <c r="J14" i="17"/>
  <c r="K14" i="17"/>
  <c r="L14" i="17"/>
  <c r="M14" i="17"/>
  <c r="N14" i="17"/>
  <c r="O14" i="17"/>
  <c r="P14" i="17"/>
  <c r="Q14" i="17"/>
  <c r="A15" i="17"/>
  <c r="Z15" i="17" s="1"/>
  <c r="B15" i="17"/>
  <c r="C15" i="17"/>
  <c r="AB15" i="17" s="1"/>
  <c r="AJ15" i="17" s="1"/>
  <c r="D15" i="17"/>
  <c r="E15" i="17"/>
  <c r="F15" i="17"/>
  <c r="AE15" i="17" s="1"/>
  <c r="G15" i="17"/>
  <c r="H15" i="17"/>
  <c r="AG15" i="17" s="1"/>
  <c r="I15" i="17"/>
  <c r="J15" i="17"/>
  <c r="K15" i="17"/>
  <c r="L15" i="17"/>
  <c r="M15" i="17"/>
  <c r="N15" i="17"/>
  <c r="O15" i="17"/>
  <c r="P15" i="17"/>
  <c r="Q15" i="17"/>
  <c r="A16" i="17"/>
  <c r="Z16" i="17" s="1"/>
  <c r="B16" i="17"/>
  <c r="AA16" i="17" s="1"/>
  <c r="C16" i="17"/>
  <c r="AB16" i="17" s="1"/>
  <c r="D16" i="17"/>
  <c r="AC16" i="17" s="1"/>
  <c r="E16" i="17"/>
  <c r="F16" i="17"/>
  <c r="AE16" i="17" s="1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17" i="17"/>
  <c r="B17" i="17"/>
  <c r="AA17" i="17" s="1"/>
  <c r="AI17" i="17" s="1"/>
  <c r="C17" i="17"/>
  <c r="AB17" i="17" s="1"/>
  <c r="AJ17" i="17" s="1"/>
  <c r="D17" i="17"/>
  <c r="E17" i="17"/>
  <c r="AD17" i="17" s="1"/>
  <c r="F17" i="17"/>
  <c r="G17" i="17"/>
  <c r="H17" i="17"/>
  <c r="I17" i="17"/>
  <c r="J17" i="17"/>
  <c r="K17" i="17"/>
  <c r="L17" i="17"/>
  <c r="M17" i="17"/>
  <c r="N17" i="17"/>
  <c r="O17" i="17"/>
  <c r="P17" i="17"/>
  <c r="Q17" i="17"/>
  <c r="A18" i="17"/>
  <c r="B18" i="17"/>
  <c r="AA18" i="17" s="1"/>
  <c r="AI18" i="17" s="1"/>
  <c r="C18" i="17"/>
  <c r="AB18" i="17" s="1"/>
  <c r="D18" i="17"/>
  <c r="E18" i="17"/>
  <c r="F18" i="17"/>
  <c r="AE18" i="17" s="1"/>
  <c r="G18" i="17"/>
  <c r="H18" i="17"/>
  <c r="AG18" i="17" s="1"/>
  <c r="I18" i="17"/>
  <c r="J18" i="17"/>
  <c r="K18" i="17"/>
  <c r="L18" i="17"/>
  <c r="M18" i="17"/>
  <c r="N18" i="17"/>
  <c r="O18" i="17"/>
  <c r="P18" i="17"/>
  <c r="Q18" i="17"/>
  <c r="A19" i="17"/>
  <c r="Z19" i="17" s="1"/>
  <c r="B19" i="17"/>
  <c r="C19" i="17"/>
  <c r="AB19" i="17" s="1"/>
  <c r="D19" i="17"/>
  <c r="AC19" i="17" s="1"/>
  <c r="E19" i="17"/>
  <c r="AD19" i="17" s="1"/>
  <c r="F19" i="17"/>
  <c r="AE19" i="17" s="1"/>
  <c r="G19" i="17"/>
  <c r="AF19" i="17" s="1"/>
  <c r="H19" i="17"/>
  <c r="I19" i="17"/>
  <c r="J19" i="17"/>
  <c r="K19" i="17"/>
  <c r="L19" i="17"/>
  <c r="M19" i="17"/>
  <c r="N19" i="17"/>
  <c r="O19" i="17"/>
  <c r="P19" i="17"/>
  <c r="Q19" i="17"/>
  <c r="A20" i="17"/>
  <c r="B20" i="17"/>
  <c r="AA20" i="17" s="1"/>
  <c r="C20" i="17"/>
  <c r="D20" i="17"/>
  <c r="AC20" i="17" s="1"/>
  <c r="E20" i="17"/>
  <c r="AD20" i="17" s="1"/>
  <c r="F20" i="17"/>
  <c r="AE20" i="17" s="1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21" i="17"/>
  <c r="B21" i="17"/>
  <c r="AA21" i="17" s="1"/>
  <c r="C21" i="17"/>
  <c r="AB21" i="17" s="1"/>
  <c r="D21" i="17"/>
  <c r="E21" i="17"/>
  <c r="F21" i="17"/>
  <c r="AE21" i="17" s="1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22" i="17"/>
  <c r="Z22" i="17" s="1"/>
  <c r="AH22" i="17" s="1"/>
  <c r="B22" i="17"/>
  <c r="AA22" i="17" s="1"/>
  <c r="C22" i="17"/>
  <c r="D22" i="17"/>
  <c r="AC22" i="17" s="1"/>
  <c r="E22" i="17"/>
  <c r="F22" i="17"/>
  <c r="AE22" i="17" s="1"/>
  <c r="G22" i="17"/>
  <c r="AF22" i="17" s="1"/>
  <c r="H22" i="17"/>
  <c r="I22" i="17"/>
  <c r="J22" i="17"/>
  <c r="K22" i="17"/>
  <c r="L22" i="17"/>
  <c r="M22" i="17"/>
  <c r="N22" i="17"/>
  <c r="O22" i="17"/>
  <c r="P22" i="17"/>
  <c r="Q22" i="17"/>
  <c r="A23" i="17"/>
  <c r="Z23" i="17" s="1"/>
  <c r="B23" i="17"/>
  <c r="AA23" i="17" s="1"/>
  <c r="C23" i="17"/>
  <c r="AB23" i="17" s="1"/>
  <c r="D23" i="17"/>
  <c r="AC23" i="17" s="1"/>
  <c r="E23" i="17"/>
  <c r="AD23" i="17" s="1"/>
  <c r="F23" i="17"/>
  <c r="AE23" i="17" s="1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24" i="17"/>
  <c r="Z24" i="17" s="1"/>
  <c r="B24" i="17"/>
  <c r="AA24" i="17" s="1"/>
  <c r="C24" i="17"/>
  <c r="AB24" i="17" s="1"/>
  <c r="D24" i="17"/>
  <c r="AC24" i="17" s="1"/>
  <c r="E24" i="17"/>
  <c r="AD24" i="17" s="1"/>
  <c r="F24" i="17"/>
  <c r="AE24" i="17" s="1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25" i="17"/>
  <c r="Z25" i="17" s="1"/>
  <c r="B25" i="17"/>
  <c r="AA25" i="17" s="1"/>
  <c r="C25" i="17"/>
  <c r="AB25" i="17" s="1"/>
  <c r="AJ25" i="17" s="1"/>
  <c r="D25" i="17"/>
  <c r="AC25" i="17" s="1"/>
  <c r="E25" i="17"/>
  <c r="AD25" i="17" s="1"/>
  <c r="F25" i="17"/>
  <c r="AE25" i="17" s="1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26" i="17"/>
  <c r="Z26" i="17" s="1"/>
  <c r="B26" i="17"/>
  <c r="AA26" i="17" s="1"/>
  <c r="C26" i="17"/>
  <c r="D26" i="17"/>
  <c r="AC26" i="17" s="1"/>
  <c r="E26" i="17"/>
  <c r="AD26" i="17" s="1"/>
  <c r="F26" i="17"/>
  <c r="AE26" i="17" s="1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27" i="17"/>
  <c r="Z27" i="17" s="1"/>
  <c r="B27" i="17"/>
  <c r="AA27" i="17" s="1"/>
  <c r="C27" i="17"/>
  <c r="AB27" i="17" s="1"/>
  <c r="AJ27" i="17" s="1"/>
  <c r="D27" i="17"/>
  <c r="E27" i="17"/>
  <c r="F27" i="17"/>
  <c r="AE27" i="17" s="1"/>
  <c r="G27" i="17"/>
  <c r="H27" i="17"/>
  <c r="AG27" i="17" s="1"/>
  <c r="I27" i="17"/>
  <c r="J27" i="17"/>
  <c r="K27" i="17"/>
  <c r="L27" i="17"/>
  <c r="M27" i="17"/>
  <c r="N27" i="17"/>
  <c r="O27" i="17"/>
  <c r="P27" i="17"/>
  <c r="Q27" i="17"/>
  <c r="A28" i="17"/>
  <c r="Z28" i="17" s="1"/>
  <c r="B28" i="17"/>
  <c r="AA28" i="17" s="1"/>
  <c r="C28" i="17"/>
  <c r="AB28" i="17" s="1"/>
  <c r="D28" i="17"/>
  <c r="AC28" i="17" s="1"/>
  <c r="E28" i="17"/>
  <c r="F28" i="17"/>
  <c r="AE28" i="17" s="1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29" i="17"/>
  <c r="B29" i="17"/>
  <c r="AA29" i="17" s="1"/>
  <c r="C29" i="17"/>
  <c r="AB29" i="17" s="1"/>
  <c r="AJ29" i="17" s="1"/>
  <c r="D29" i="17"/>
  <c r="AC29" i="17" s="1"/>
  <c r="E29" i="17"/>
  <c r="AD29" i="17" s="1"/>
  <c r="F29" i="17"/>
  <c r="G29" i="17"/>
  <c r="H29" i="17"/>
  <c r="I29" i="17"/>
  <c r="J29" i="17"/>
  <c r="K29" i="17"/>
  <c r="L29" i="17"/>
  <c r="M29" i="17"/>
  <c r="N29" i="17"/>
  <c r="O29" i="17"/>
  <c r="P29" i="17"/>
  <c r="Q29" i="17"/>
  <c r="A30" i="17"/>
  <c r="B30" i="17"/>
  <c r="AA30" i="17" s="1"/>
  <c r="C30" i="17"/>
  <c r="AB30" i="17" s="1"/>
  <c r="D30" i="17"/>
  <c r="E30" i="17"/>
  <c r="F30" i="17"/>
  <c r="AE30" i="17" s="1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31" i="17"/>
  <c r="Z31" i="17" s="1"/>
  <c r="B31" i="17"/>
  <c r="C31" i="17"/>
  <c r="AB31" i="17" s="1"/>
  <c r="D31" i="17"/>
  <c r="AC31" i="17" s="1"/>
  <c r="E31" i="17"/>
  <c r="AD31" i="17" s="1"/>
  <c r="F31" i="17"/>
  <c r="AE31" i="17" s="1"/>
  <c r="G31" i="17"/>
  <c r="AF31" i="17" s="1"/>
  <c r="H31" i="17"/>
  <c r="I31" i="17"/>
  <c r="J31" i="17"/>
  <c r="K31" i="17"/>
  <c r="L31" i="17"/>
  <c r="M31" i="17"/>
  <c r="N31" i="17"/>
  <c r="O31" i="17"/>
  <c r="P31" i="17"/>
  <c r="Q31" i="17"/>
  <c r="A32" i="17"/>
  <c r="B32" i="17"/>
  <c r="AA32" i="17" s="1"/>
  <c r="C32" i="17"/>
  <c r="D32" i="17"/>
  <c r="AC32" i="17" s="1"/>
  <c r="E32" i="17"/>
  <c r="AD32" i="17" s="1"/>
  <c r="F32" i="17"/>
  <c r="AE32" i="17" s="1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33" i="17"/>
  <c r="Z33" i="17" s="1"/>
  <c r="B33" i="17"/>
  <c r="AA33" i="17" s="1"/>
  <c r="C33" i="17"/>
  <c r="AB33" i="17" s="1"/>
  <c r="D33" i="17"/>
  <c r="AC33" i="17" s="1"/>
  <c r="E33" i="17"/>
  <c r="F33" i="17"/>
  <c r="AE33" i="17" s="1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34" i="17"/>
  <c r="Z34" i="17" s="1"/>
  <c r="B34" i="17"/>
  <c r="AA34" i="17" s="1"/>
  <c r="C34" i="17"/>
  <c r="D34" i="17"/>
  <c r="AC34" i="17" s="1"/>
  <c r="E34" i="17"/>
  <c r="F34" i="17"/>
  <c r="AE34" i="17" s="1"/>
  <c r="G34" i="17"/>
  <c r="AF34" i="17" s="1"/>
  <c r="H34" i="17"/>
  <c r="I34" i="17"/>
  <c r="J34" i="17"/>
  <c r="K34" i="17"/>
  <c r="L34" i="17"/>
  <c r="M34" i="17"/>
  <c r="N34" i="17"/>
  <c r="O34" i="17"/>
  <c r="P34" i="17"/>
  <c r="Q34" i="17"/>
  <c r="A35" i="17"/>
  <c r="B35" i="17"/>
  <c r="AA35" i="17" s="1"/>
  <c r="C35" i="17"/>
  <c r="D35" i="17"/>
  <c r="AC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36" i="17"/>
  <c r="B36" i="17"/>
  <c r="AA36" i="17" s="1"/>
  <c r="C36" i="17"/>
  <c r="AB36" i="17" s="1"/>
  <c r="D36" i="17"/>
  <c r="AC36" i="17" s="1"/>
  <c r="E36" i="17"/>
  <c r="F36" i="17"/>
  <c r="AE36" i="17" s="1"/>
  <c r="G36" i="17"/>
  <c r="H36" i="17"/>
  <c r="AG36" i="17" s="1"/>
  <c r="I36" i="17"/>
  <c r="J36" i="17"/>
  <c r="K36" i="17"/>
  <c r="L36" i="17"/>
  <c r="M36" i="17"/>
  <c r="N36" i="17"/>
  <c r="O36" i="17"/>
  <c r="P36" i="17"/>
  <c r="Q36" i="17"/>
  <c r="A37" i="17"/>
  <c r="Z37" i="17" s="1"/>
  <c r="B37" i="17"/>
  <c r="C37" i="17"/>
  <c r="D37" i="17"/>
  <c r="E37" i="17"/>
  <c r="F37" i="17"/>
  <c r="AE37" i="17" s="1"/>
  <c r="G37" i="17"/>
  <c r="AF37" i="17" s="1"/>
  <c r="H37" i="17"/>
  <c r="I37" i="17"/>
  <c r="J37" i="17"/>
  <c r="K37" i="17"/>
  <c r="L37" i="17"/>
  <c r="M37" i="17"/>
  <c r="N37" i="17"/>
  <c r="O37" i="17"/>
  <c r="P37" i="17"/>
  <c r="Q37" i="17"/>
  <c r="A38" i="17"/>
  <c r="B38" i="17"/>
  <c r="AA38" i="17" s="1"/>
  <c r="C38" i="17"/>
  <c r="D38" i="17"/>
  <c r="AC38" i="17" s="1"/>
  <c r="E38" i="17"/>
  <c r="AD38" i="17" s="1"/>
  <c r="F38" i="17"/>
  <c r="AE38" i="17" s="1"/>
  <c r="G38" i="17"/>
  <c r="H38" i="17"/>
  <c r="AG38" i="17" s="1"/>
  <c r="I38" i="17"/>
  <c r="J38" i="17"/>
  <c r="K38" i="17"/>
  <c r="L38" i="17"/>
  <c r="M38" i="17"/>
  <c r="N38" i="17"/>
  <c r="O38" i="17"/>
  <c r="P38" i="17"/>
  <c r="Q38" i="17"/>
  <c r="A39" i="17"/>
  <c r="Z39" i="17" s="1"/>
  <c r="B39" i="17"/>
  <c r="AA39" i="17" s="1"/>
  <c r="C39" i="17"/>
  <c r="AB39" i="17" s="1"/>
  <c r="AJ39" i="17" s="1"/>
  <c r="D39" i="17"/>
  <c r="E39" i="17"/>
  <c r="F39" i="17"/>
  <c r="AE39" i="17" s="1"/>
  <c r="G39" i="17"/>
  <c r="H39" i="17"/>
  <c r="AG39" i="17" s="1"/>
  <c r="I39" i="17"/>
  <c r="J39" i="17"/>
  <c r="K39" i="17"/>
  <c r="L39" i="17"/>
  <c r="M39" i="17"/>
  <c r="N39" i="17"/>
  <c r="O39" i="17"/>
  <c r="P39" i="17"/>
  <c r="Q39" i="17"/>
  <c r="A40" i="17"/>
  <c r="Z40" i="17" s="1"/>
  <c r="B40" i="17"/>
  <c r="AA40" i="17" s="1"/>
  <c r="C40" i="17"/>
  <c r="AB40" i="17" s="1"/>
  <c r="D40" i="17"/>
  <c r="AC40" i="17" s="1"/>
  <c r="E40" i="17"/>
  <c r="F40" i="17"/>
  <c r="AE40" i="17" s="1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41" i="17"/>
  <c r="B41" i="17"/>
  <c r="AA41" i="17" s="1"/>
  <c r="C41" i="17"/>
  <c r="AB41" i="17" s="1"/>
  <c r="D41" i="17"/>
  <c r="AC41" i="17" s="1"/>
  <c r="E41" i="17"/>
  <c r="AD41" i="17" s="1"/>
  <c r="F41" i="17"/>
  <c r="G41" i="17"/>
  <c r="H41" i="17"/>
  <c r="I41" i="17"/>
  <c r="J41" i="17"/>
  <c r="K41" i="17"/>
  <c r="L41" i="17"/>
  <c r="M41" i="17"/>
  <c r="N41" i="17"/>
  <c r="O41" i="17"/>
  <c r="P41" i="17"/>
  <c r="Q41" i="17"/>
  <c r="A42" i="17"/>
  <c r="B42" i="17"/>
  <c r="AA42" i="17" s="1"/>
  <c r="AI42" i="17" s="1"/>
  <c r="C42" i="17"/>
  <c r="AB42" i="17" s="1"/>
  <c r="D42" i="17"/>
  <c r="E42" i="17"/>
  <c r="F42" i="17"/>
  <c r="AE42" i="17" s="1"/>
  <c r="G42" i="17"/>
  <c r="H42" i="17"/>
  <c r="AG42" i="17" s="1"/>
  <c r="I42" i="17"/>
  <c r="J42" i="17"/>
  <c r="K42" i="17"/>
  <c r="L42" i="17"/>
  <c r="M42" i="17"/>
  <c r="N42" i="17"/>
  <c r="O42" i="17"/>
  <c r="P42" i="17"/>
  <c r="Q42" i="17"/>
  <c r="X4" i="12"/>
  <c r="Y4" i="12"/>
  <c r="Z4" i="12"/>
  <c r="AA4" i="12"/>
  <c r="AB4" i="12"/>
  <c r="AC4" i="12"/>
  <c r="X5" i="12"/>
  <c r="Y5" i="12"/>
  <c r="Z5" i="12"/>
  <c r="AA5" i="12"/>
  <c r="AB5" i="12"/>
  <c r="AC5" i="12"/>
  <c r="X6" i="12"/>
  <c r="Y6" i="12"/>
  <c r="Z6" i="12"/>
  <c r="AA6" i="12"/>
  <c r="AB6" i="12"/>
  <c r="AC6" i="12"/>
  <c r="X7" i="12"/>
  <c r="Y7" i="12"/>
  <c r="Z7" i="12"/>
  <c r="AA7" i="12"/>
  <c r="AB7" i="12"/>
  <c r="AC7" i="12"/>
  <c r="X8" i="12"/>
  <c r="Y8" i="12"/>
  <c r="Z8" i="12"/>
  <c r="AA8" i="12"/>
  <c r="AB8" i="12"/>
  <c r="AC8" i="12"/>
  <c r="X9" i="12"/>
  <c r="Y9" i="12"/>
  <c r="Z9" i="12"/>
  <c r="AA9" i="12"/>
  <c r="AB9" i="12"/>
  <c r="AC9" i="12"/>
  <c r="X10" i="12"/>
  <c r="Y10" i="12"/>
  <c r="Z10" i="12"/>
  <c r="AA10" i="12"/>
  <c r="AB10" i="12"/>
  <c r="AC10" i="12"/>
  <c r="X11" i="12"/>
  <c r="Y11" i="12"/>
  <c r="Z11" i="12"/>
  <c r="AA11" i="12"/>
  <c r="AB11" i="12"/>
  <c r="AC11" i="12"/>
  <c r="X12" i="12"/>
  <c r="Y12" i="12"/>
  <c r="Z12" i="12"/>
  <c r="AA12" i="12"/>
  <c r="AB12" i="12"/>
  <c r="AC12" i="12"/>
  <c r="X13" i="12"/>
  <c r="Y13" i="12"/>
  <c r="Z13" i="12"/>
  <c r="AA13" i="12"/>
  <c r="AB13" i="12"/>
  <c r="AC13" i="12"/>
  <c r="X14" i="12"/>
  <c r="Y14" i="12"/>
  <c r="Z14" i="12"/>
  <c r="AA14" i="12"/>
  <c r="AB14" i="12"/>
  <c r="AC14" i="12"/>
  <c r="X15" i="12"/>
  <c r="Y15" i="12"/>
  <c r="Z15" i="12"/>
  <c r="AA15" i="12"/>
  <c r="AB15" i="12"/>
  <c r="AC15" i="12"/>
  <c r="X16" i="12"/>
  <c r="Y16" i="12"/>
  <c r="Z16" i="12"/>
  <c r="AA16" i="12"/>
  <c r="AB16" i="12"/>
  <c r="AC16" i="12"/>
  <c r="X17" i="12"/>
  <c r="Y17" i="12"/>
  <c r="Z17" i="12"/>
  <c r="AA17" i="12"/>
  <c r="AB17" i="12"/>
  <c r="AC17" i="12"/>
  <c r="X18" i="12"/>
  <c r="Y18" i="12"/>
  <c r="Z18" i="12"/>
  <c r="AA18" i="12"/>
  <c r="AB18" i="12"/>
  <c r="AC18" i="12"/>
  <c r="X19" i="12"/>
  <c r="Y19" i="12"/>
  <c r="Z19" i="12"/>
  <c r="AA19" i="12"/>
  <c r="AB19" i="12"/>
  <c r="AC19" i="12"/>
  <c r="X20" i="12"/>
  <c r="Y20" i="12"/>
  <c r="Z20" i="12"/>
  <c r="AA20" i="12"/>
  <c r="AB20" i="12"/>
  <c r="AC20" i="12"/>
  <c r="X21" i="12"/>
  <c r="Y21" i="12"/>
  <c r="Z21" i="12"/>
  <c r="AA21" i="12"/>
  <c r="AB21" i="12"/>
  <c r="AC21" i="12"/>
  <c r="X22" i="12"/>
  <c r="Y22" i="12"/>
  <c r="Z22" i="12"/>
  <c r="AA22" i="12"/>
  <c r="AB22" i="12"/>
  <c r="AC22" i="12"/>
  <c r="X23" i="12"/>
  <c r="Y23" i="12"/>
  <c r="Z23" i="12"/>
  <c r="AA23" i="12"/>
  <c r="AB23" i="12"/>
  <c r="AC23" i="12"/>
  <c r="X24" i="12"/>
  <c r="Y24" i="12"/>
  <c r="Z24" i="12"/>
  <c r="AA24" i="12"/>
  <c r="AB24" i="12"/>
  <c r="AC24" i="12"/>
  <c r="X25" i="12"/>
  <c r="Y25" i="12"/>
  <c r="Z25" i="12"/>
  <c r="AA25" i="12"/>
  <c r="AB25" i="12"/>
  <c r="AC25" i="12"/>
  <c r="X26" i="12"/>
  <c r="Y26" i="12"/>
  <c r="Z26" i="12"/>
  <c r="AA26" i="12"/>
  <c r="AB26" i="12"/>
  <c r="AC26" i="12"/>
  <c r="X27" i="12"/>
  <c r="Y27" i="12"/>
  <c r="Z27" i="12"/>
  <c r="AA27" i="12"/>
  <c r="AB27" i="12"/>
  <c r="AC27" i="12"/>
  <c r="X28" i="12"/>
  <c r="Y28" i="12"/>
  <c r="Z28" i="12"/>
  <c r="AA28" i="12"/>
  <c r="AB28" i="12"/>
  <c r="AC28" i="12"/>
  <c r="X29" i="12"/>
  <c r="Y29" i="12"/>
  <c r="Z29" i="12"/>
  <c r="AA29" i="12"/>
  <c r="AB29" i="12"/>
  <c r="AC29" i="12"/>
  <c r="X30" i="12"/>
  <c r="Y30" i="12"/>
  <c r="Z30" i="12"/>
  <c r="AA30" i="12"/>
  <c r="AB30" i="12"/>
  <c r="AC30" i="12"/>
  <c r="X31" i="12"/>
  <c r="Y31" i="12"/>
  <c r="Z31" i="12"/>
  <c r="AA31" i="12"/>
  <c r="AB31" i="12"/>
  <c r="AC31" i="12"/>
  <c r="X32" i="12"/>
  <c r="Y32" i="12"/>
  <c r="Z32" i="12"/>
  <c r="AA32" i="12"/>
  <c r="AB32" i="12"/>
  <c r="AC32" i="12"/>
  <c r="X33" i="12"/>
  <c r="Y33" i="12"/>
  <c r="Z33" i="12"/>
  <c r="AA33" i="12"/>
  <c r="AB33" i="12"/>
  <c r="AC33" i="12"/>
  <c r="X34" i="12"/>
  <c r="Y34" i="12"/>
  <c r="Z34" i="12"/>
  <c r="AA34" i="12"/>
  <c r="AB34" i="12"/>
  <c r="AC34" i="12"/>
  <c r="X35" i="12"/>
  <c r="Y35" i="12"/>
  <c r="Z35" i="12"/>
  <c r="AA35" i="12"/>
  <c r="AB35" i="12"/>
  <c r="AC35" i="12"/>
  <c r="X36" i="12"/>
  <c r="Y36" i="12"/>
  <c r="Z36" i="12"/>
  <c r="AA36" i="12"/>
  <c r="AB36" i="12"/>
  <c r="AC36" i="12"/>
  <c r="X37" i="12"/>
  <c r="Y37" i="12"/>
  <c r="Z37" i="12"/>
  <c r="AA37" i="12"/>
  <c r="AB37" i="12"/>
  <c r="AC37" i="12"/>
  <c r="X38" i="12"/>
  <c r="Y38" i="12"/>
  <c r="Z38" i="12"/>
  <c r="AA38" i="12"/>
  <c r="AB38" i="12"/>
  <c r="AC38" i="12"/>
  <c r="X39" i="12"/>
  <c r="Y39" i="12"/>
  <c r="Z39" i="12"/>
  <c r="AA39" i="12"/>
  <c r="AB39" i="12"/>
  <c r="AC39" i="12"/>
  <c r="X40" i="12"/>
  <c r="Y40" i="12"/>
  <c r="Z40" i="12"/>
  <c r="AA40" i="12"/>
  <c r="AB40" i="12"/>
  <c r="AC40" i="12"/>
  <c r="X41" i="12"/>
  <c r="Y41" i="12"/>
  <c r="Z41" i="12"/>
  <c r="AA41" i="12"/>
  <c r="AB41" i="12"/>
  <c r="AC41" i="12"/>
  <c r="X42" i="12"/>
  <c r="Y42" i="12"/>
  <c r="Z42" i="12"/>
  <c r="AA42" i="12"/>
  <c r="AB42" i="12"/>
  <c r="AC42" i="12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43" i="4"/>
  <c r="I43" i="4"/>
  <c r="J43" i="4"/>
  <c r="K43" i="4"/>
  <c r="L43" i="4"/>
  <c r="M43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35" i="4"/>
  <c r="I35" i="4"/>
  <c r="J35" i="4"/>
  <c r="K35" i="4"/>
  <c r="L35" i="4"/>
  <c r="M35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3" i="12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2" i="4"/>
  <c r="I22" i="4"/>
  <c r="J22" i="4"/>
  <c r="K22" i="4"/>
  <c r="L22" i="4"/>
  <c r="M22" i="4"/>
  <c r="H23" i="4"/>
  <c r="I23" i="4"/>
  <c r="J23" i="4"/>
  <c r="K23" i="4"/>
  <c r="L23" i="4"/>
  <c r="M23" i="4"/>
  <c r="AC3" i="12"/>
  <c r="AB3" i="12"/>
  <c r="AA3" i="12"/>
  <c r="Z3" i="12"/>
  <c r="Y3" i="12"/>
  <c r="X3" i="12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  <c r="AH41" i="19" l="1"/>
  <c r="AH29" i="19"/>
  <c r="AJ36" i="19"/>
  <c r="AH11" i="19"/>
  <c r="AH13" i="19"/>
  <c r="AH23" i="19"/>
  <c r="AH25" i="19"/>
  <c r="AH35" i="19"/>
  <c r="AH37" i="19"/>
  <c r="AJ5" i="19"/>
  <c r="AH18" i="19"/>
  <c r="AH30" i="19"/>
  <c r="AQ4" i="19" a="1"/>
  <c r="AQ4" i="19" s="1"/>
  <c r="AJ9" i="19"/>
  <c r="AH16" i="19"/>
  <c r="AJ21" i="19"/>
  <c r="AH28" i="19"/>
  <c r="AJ33" i="19"/>
  <c r="AH38" i="19"/>
  <c r="AI16" i="19"/>
  <c r="AI28" i="19"/>
  <c r="AI40" i="19"/>
  <c r="AH14" i="19"/>
  <c r="AH26" i="19"/>
  <c r="AH40" i="19"/>
  <c r="AH9" i="19"/>
  <c r="AJ13" i="19"/>
  <c r="AH21" i="19"/>
  <c r="AJ25" i="19"/>
  <c r="AH33" i="19"/>
  <c r="AJ37" i="19"/>
  <c r="AJ14" i="19"/>
  <c r="AJ26" i="19"/>
  <c r="AK4" i="19" a="1"/>
  <c r="AK4" i="19" s="1"/>
  <c r="AH3" i="19"/>
  <c r="AJ6" i="19"/>
  <c r="AJ17" i="19"/>
  <c r="AI19" i="19"/>
  <c r="AJ29" i="19"/>
  <c r="AI31" i="19"/>
  <c r="AJ41" i="19"/>
  <c r="AH7" i="19"/>
  <c r="AI11" i="19"/>
  <c r="AI15" i="19"/>
  <c r="AI23" i="19"/>
  <c r="AI27" i="19"/>
  <c r="AI35" i="19"/>
  <c r="AI39" i="19"/>
  <c r="AO4" i="19" a="1"/>
  <c r="AO4" i="19" s="1"/>
  <c r="AI4" i="19"/>
  <c r="AJ8" i="19"/>
  <c r="AJ20" i="19"/>
  <c r="AJ32" i="19"/>
  <c r="AI42" i="19"/>
  <c r="AJ4" i="19"/>
  <c r="AI14" i="19"/>
  <c r="AI18" i="19"/>
  <c r="AI26" i="19"/>
  <c r="AI30" i="19"/>
  <c r="AI38" i="19"/>
  <c r="AH6" i="19"/>
  <c r="AN4" i="19" a="1"/>
  <c r="AN4" i="19" s="1"/>
  <c r="AH5" i="19"/>
  <c r="AJ11" i="19"/>
  <c r="AI13" i="19"/>
  <c r="AJ23" i="19"/>
  <c r="AI25" i="19"/>
  <c r="AJ35" i="19"/>
  <c r="AI37" i="19"/>
  <c r="AR4" i="19" a="1"/>
  <c r="AR4" i="19" s="1"/>
  <c r="AP4" i="19" a="1"/>
  <c r="AP4" i="19" s="1"/>
  <c r="AI9" i="19"/>
  <c r="AI17" i="19"/>
  <c r="AI21" i="19"/>
  <c r="AI29" i="19"/>
  <c r="AI33" i="19"/>
  <c r="AI41" i="19"/>
  <c r="AJ38" i="19"/>
  <c r="AH4" i="19"/>
  <c r="AI6" i="19"/>
  <c r="AI8" i="19"/>
  <c r="AI12" i="19"/>
  <c r="AI20" i="19"/>
  <c r="AI24" i="19"/>
  <c r="AI32" i="19"/>
  <c r="AI36" i="19"/>
  <c r="AM4" i="19" a="1"/>
  <c r="AM4" i="19" s="1"/>
  <c r="AM7" i="19" s="1"/>
  <c r="AL4" i="19" a="1"/>
  <c r="AL4" i="19" s="1"/>
  <c r="AJ3" i="19"/>
  <c r="AI29" i="17"/>
  <c r="AH18" i="17"/>
  <c r="AH34" i="17"/>
  <c r="AI7" i="17"/>
  <c r="AI3" i="17"/>
  <c r="AJ14" i="17"/>
  <c r="AH12" i="17"/>
  <c r="AH10" i="17"/>
  <c r="AI5" i="17"/>
  <c r="AJ5" i="17"/>
  <c r="AI41" i="17"/>
  <c r="AJ36" i="17"/>
  <c r="AH36" i="17"/>
  <c r="AJ41" i="17"/>
  <c r="AH27" i="17"/>
  <c r="AH15" i="17"/>
  <c r="AH24" i="17"/>
  <c r="AH11" i="17"/>
  <c r="AH9" i="17"/>
  <c r="AJ38" i="17"/>
  <c r="AH33" i="17"/>
  <c r="AJ42" i="17"/>
  <c r="AH40" i="17"/>
  <c r="AH28" i="17"/>
  <c r="AJ22" i="17"/>
  <c r="AJ18" i="17"/>
  <c r="AH16" i="17"/>
  <c r="AI15" i="17"/>
  <c r="AI11" i="17"/>
  <c r="AJ6" i="17"/>
  <c r="AH4" i="17"/>
  <c r="AH21" i="17"/>
  <c r="AH6" i="17"/>
  <c r="AJ20" i="17"/>
  <c r="AJ12" i="17"/>
  <c r="AI25" i="17"/>
  <c r="AH20" i="17"/>
  <c r="AI13" i="17"/>
  <c r="AH37" i="17"/>
  <c r="AI32" i="17"/>
  <c r="AI20" i="17"/>
  <c r="AI8" i="17"/>
  <c r="AJ37" i="17"/>
  <c r="AJ32" i="17"/>
  <c r="AI39" i="17"/>
  <c r="AI27" i="17"/>
  <c r="AI37" i="17"/>
  <c r="AH32" i="17"/>
  <c r="AH39" i="17"/>
  <c r="AI40" i="17"/>
  <c r="AI28" i="17"/>
  <c r="AI16" i="17"/>
  <c r="AI35" i="17"/>
  <c r="AJ34" i="17"/>
  <c r="AH42" i="17"/>
  <c r="AI30" i="17"/>
  <c r="AH30" i="17"/>
  <c r="AJ30" i="17"/>
  <c r="AJ26" i="17"/>
  <c r="AH25" i="17"/>
  <c r="AJ24" i="17"/>
  <c r="AI23" i="17"/>
  <c r="AN4" i="17" a="1"/>
  <c r="AN4" i="17" s="1"/>
  <c r="AI4" i="17"/>
  <c r="AL4" i="17" a="1"/>
  <c r="AL4" i="17" s="1"/>
  <c r="AQ4" i="17" a="1"/>
  <c r="AQ4" i="17" s="1"/>
  <c r="AH38" i="17"/>
  <c r="AH26" i="17"/>
  <c r="AJ11" i="17"/>
  <c r="AH14" i="17"/>
  <c r="AM4" i="17" a="1"/>
  <c r="AM4" i="17" s="1"/>
  <c r="AJ3" i="17"/>
  <c r="AH41" i="17"/>
  <c r="AH29" i="17"/>
  <c r="AI34" i="17"/>
  <c r="AI22" i="17"/>
  <c r="AI10" i="17"/>
  <c r="AH3" i="17"/>
  <c r="AK4" i="17" a="1"/>
  <c r="AK4" i="17" s="1"/>
  <c r="AH17" i="17"/>
  <c r="AJ13" i="17"/>
  <c r="AI12" i="17"/>
  <c r="AJ7" i="17"/>
  <c r="AI31" i="17"/>
  <c r="AI19" i="17"/>
  <c r="AJ8" i="17"/>
  <c r="AP4" i="17" a="1"/>
  <c r="AP4" i="17" s="1"/>
  <c r="AI36" i="17"/>
  <c r="AJ31" i="17"/>
  <c r="AI24" i="17"/>
  <c r="AJ19" i="17"/>
  <c r="AO4" i="17" a="1"/>
  <c r="AO4" i="17" s="1"/>
  <c r="AI38" i="17"/>
  <c r="AJ33" i="17"/>
  <c r="AH31" i="17"/>
  <c r="AI26" i="17"/>
  <c r="AJ21" i="17"/>
  <c r="AH19" i="17"/>
  <c r="AI14" i="17"/>
  <c r="AJ9" i="17"/>
  <c r="AH7" i="17"/>
  <c r="AJ35" i="17"/>
  <c r="AJ23" i="17"/>
  <c r="AH8" i="17"/>
  <c r="AH5" i="17"/>
  <c r="AJ40" i="17"/>
  <c r="AI33" i="17"/>
  <c r="AJ28" i="17"/>
  <c r="AI21" i="17"/>
  <c r="AJ16" i="17"/>
  <c r="AI9" i="17"/>
  <c r="AJ4" i="17"/>
  <c r="AR4" i="17" a="1"/>
  <c r="AR4" i="17" s="1"/>
  <c r="AH35" i="17"/>
  <c r="AH23" i="17"/>
  <c r="AK7" i="19" l="1"/>
  <c r="AL7" i="19"/>
  <c r="AM7" i="17"/>
  <c r="AK7" i="17"/>
  <c r="AL7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<sst xmlns="http://schemas.openxmlformats.org/spreadsheetml/2006/main" count="155" uniqueCount="37">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</sst>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41">
    <xf numFmtId="0" fontId="0" fillId="0" borderId="0" xfId="0"/>
    <xf numFmtId="0" fontId="2" fillId="6" borderId="1" xfId="0" applyFont="1" applyFill="1" applyBorder="1"/>
    <xf numFmtId="0" fontId="2" fillId="6" borderId="8" xfId="0" applyFont="1" applyFill="1" applyBorder="1"/>
    <xf numFmtId="0" fontId="2" fillId="6" borderId="5" xfId="0" applyFont="1" applyFill="1" applyBorder="1"/>
    <xf numFmtId="11" fontId="0" fillId="0" borderId="0" xfId="0" applyNumberFormat="1"/>
    <xf numFmtId="0" fontId="0" fillId="6" borderId="0" xfId="0" applyFill="1"/>
    <xf numFmtId="164" fontId="1" fillId="8" borderId="1" xfId="0" applyNumberFormat="1" applyFont="1" applyFill="1" applyBorder="1"/>
    <xf numFmtId="165" fontId="1" fillId="8" borderId="1" xfId="0" applyNumberFormat="1" applyFont="1" applyFill="1" applyBorder="1"/>
    <xf numFmtId="164" fontId="5" fillId="8" borderId="1" xfId="0" applyNumberFormat="1" applyFont="1" applyFill="1" applyBorder="1"/>
    <xf numFmtId="2" fontId="5" fillId="8" borderId="1" xfId="0" applyNumberFormat="1" applyFont="1" applyFill="1" applyBorder="1"/>
    <xf numFmtId="164" fontId="3" fillId="9" borderId="1" xfId="1" applyNumberFormat="1" applyBorder="1"/>
    <xf numFmtId="2" fontId="3" fillId="9" borderId="1" xfId="1" applyNumberFormat="1" applyBorder="1"/>
    <xf numFmtId="164" fontId="5" fillId="8" borderId="2" xfId="0" applyNumberFormat="1" applyFont="1" applyFill="1" applyBorder="1"/>
    <xf numFmtId="2" fontId="3" fillId="9" borderId="12" xfId="1" applyNumberFormat="1" applyBorder="1"/>
    <xf numFmtId="164" fontId="3" fillId="9" borderId="12" xfId="1" applyNumberFormat="1" applyBorder="1"/>
    <xf numFmtId="164" fontId="5" fillId="8" borderId="12" xfId="0" applyNumberFormat="1" applyFont="1" applyFill="1" applyBorder="1"/>
    <xf numFmtId="2" fontId="5" fillId="8" borderId="0" xfId="0" applyNumberFormat="1" applyFont="1" applyFill="1"/>
    <xf numFmtId="164" fontId="5" fillId="8" borderId="0" xfId="0" applyNumberFormat="1" applyFont="1" applyFill="1"/>
    <xf numFmtId="164" fontId="1" fillId="8" borderId="0" xfId="0" applyNumberFormat="1" applyFont="1" applyFill="1"/>
    <xf numFmtId="165" fontId="1" fillId="8" borderId="0" xfId="0" applyNumberFormat="1" applyFont="1" applyFill="1"/>
    <xf numFmtId="0" fontId="4" fillId="6" borderId="1" xfId="0" applyFont="1" applyFill="1" applyBorder="1"/>
    <xf numFmtId="0" fontId="0" fillId="0" borderId="1" xfId="0" applyBorder="1"/>
    <xf numFmtId="166" fontId="5" fillId="8" borderId="1" xfId="0" applyNumberFormat="1" applyFont="1" applyFill="1" applyBorder="1"/>
    <xf numFmtId="166" fontId="5" fillId="8" borderId="13" xfId="0" applyNumberFormat="1" applyFont="1" applyFill="1" applyBorder="1"/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52"/>
  <sheetViews>
    <sheetView workbookViewId="0">
      <selection activeCell="AF29" sqref="AF2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9" width="8.140625" bestFit="1" customWidth="1"/>
    <col min="20" max="20" width="7.7109375" bestFit="1" customWidth="1"/>
    <col min="21" max="23" width="6.425781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26" t="s">
        <v>6</v>
      </c>
      <c r="M1" s="27"/>
      <c r="N1" s="27"/>
      <c r="O1" s="27"/>
      <c r="P1" s="27"/>
      <c r="Q1" s="27"/>
      <c r="R1" s="28" t="s">
        <v>12</v>
      </c>
      <c r="S1" s="29"/>
      <c r="T1" s="29"/>
      <c r="U1" s="29"/>
      <c r="V1" s="29"/>
      <c r="W1" s="29"/>
      <c r="X1" s="30" t="s">
        <v>14</v>
      </c>
      <c r="Y1" s="31"/>
      <c r="Z1" s="31"/>
      <c r="AA1" s="31"/>
      <c r="AB1" s="31"/>
      <c r="AC1" s="32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x14ac:dyDescent="0.25">
      <c r="A3" s="10">
        <v>0.2</v>
      </c>
      <c r="B3" s="10">
        <v>0.1</v>
      </c>
      <c r="C3" s="10">
        <v>1.571</v>
      </c>
      <c r="D3" s="10">
        <f>PI()/2</f>
        <v>1.5707963267948966</v>
      </c>
      <c r="E3" s="10">
        <v>1</v>
      </c>
      <c r="F3" s="10">
        <v>0.04</v>
      </c>
      <c r="G3" s="10">
        <v>3.1419999999999999</v>
      </c>
      <c r="H3" s="10">
        <f>PI()/2</f>
        <v>1.5707963267948966</v>
      </c>
      <c r="I3" s="10">
        <v>1.4</v>
      </c>
      <c r="J3" s="10">
        <v>0</v>
      </c>
      <c r="K3" s="10">
        <v>0</v>
      </c>
      <c r="L3" s="8">
        <v>-8.4695406258106205E-5</v>
      </c>
      <c r="M3" s="8">
        <v>-1.1448631994426301E-2</v>
      </c>
      <c r="N3" s="8">
        <v>-0.13048847019672399</v>
      </c>
      <c r="O3" s="8">
        <v>1.8870793282985701E-2</v>
      </c>
      <c r="P3" s="8">
        <v>-0.97202777862548795</v>
      </c>
      <c r="Q3" s="8">
        <v>2.9205024242401099E-2</v>
      </c>
      <c r="R3" s="8">
        <v>6.9999999999999999E-4</v>
      </c>
      <c r="S3" s="8">
        <v>-3.7900000000000003E-2</v>
      </c>
      <c r="T3" s="8">
        <v>-0.12970000000000001</v>
      </c>
      <c r="U3" s="8">
        <v>-3.3599999999999998E-2</v>
      </c>
      <c r="V3" s="8">
        <v>-0.99970000000000003</v>
      </c>
      <c r="W3" s="8">
        <v>0.1988</v>
      </c>
      <c r="X3" s="8">
        <f t="shared" ref="X3:AC3" si="0">ABS(L3-R3)</f>
        <v>7.8469540625810622E-4</v>
      </c>
      <c r="Y3" s="8">
        <f t="shared" si="0"/>
        <v>2.6451368005573704E-2</v>
      </c>
      <c r="Z3" s="8">
        <f t="shared" si="0"/>
        <v>7.8847019672398377E-4</v>
      </c>
      <c r="AA3" s="8">
        <f t="shared" si="0"/>
        <v>5.2470793282985699E-2</v>
      </c>
      <c r="AB3" s="8">
        <f t="shared" si="0"/>
        <v>2.7672221374512085E-2</v>
      </c>
      <c r="AC3" s="8">
        <f t="shared" si="0"/>
        <v>0.16959497575759891</v>
      </c>
    </row>
    <row r="4" spans="1:29" s="5" customFormat="1" x14ac:dyDescent="0.25">
      <c r="A4" s="10">
        <v>1</v>
      </c>
      <c r="B4" s="10">
        <v>0.1</v>
      </c>
      <c r="C4" s="10">
        <v>1.571</v>
      </c>
      <c r="D4" s="10">
        <f t="shared" ref="D4:D42" si="1">PI()/2</f>
        <v>1.5707963267948966</v>
      </c>
      <c r="E4" s="10">
        <v>1</v>
      </c>
      <c r="F4" s="10">
        <v>0.08</v>
      </c>
      <c r="G4" s="10">
        <v>3.1419999999999999</v>
      </c>
      <c r="H4" s="10">
        <f t="shared" ref="H4:H42" si="2">PI()/2</f>
        <v>1.5707963267948966</v>
      </c>
      <c r="I4" s="10">
        <v>0</v>
      </c>
      <c r="J4" s="10">
        <v>0</v>
      </c>
      <c r="K4" s="10">
        <v>0</v>
      </c>
      <c r="L4" s="8">
        <v>-1.30488071590662E-3</v>
      </c>
      <c r="M4" s="8">
        <v>-0.187399536371231</v>
      </c>
      <c r="N4" s="8">
        <v>-0.148506805300713</v>
      </c>
      <c r="O4" s="8">
        <v>-0.458716601133347</v>
      </c>
      <c r="P4" s="8">
        <v>-0.81002575159072898</v>
      </c>
      <c r="Q4" s="8">
        <v>0.92483174800872803</v>
      </c>
      <c r="R4" s="8">
        <v>0</v>
      </c>
      <c r="S4" s="8">
        <v>-0.18540000000000001</v>
      </c>
      <c r="T4" s="8">
        <v>-0.16669999999999999</v>
      </c>
      <c r="U4" s="8">
        <v>-0.37630000000000002</v>
      </c>
      <c r="V4" s="8">
        <v>-0.96960000000000002</v>
      </c>
      <c r="W4" s="8">
        <v>0.95799999999999996</v>
      </c>
      <c r="X4" s="8">
        <f t="shared" ref="X4:X42" si="3">ABS(L4-R4)</f>
        <v>1.30488071590662E-3</v>
      </c>
      <c r="Y4" s="8">
        <f t="shared" ref="Y4:Y42" si="4">ABS(M4-S4)</f>
        <v>1.9995363712309866E-3</v>
      </c>
      <c r="Z4" s="8">
        <f t="shared" ref="Z4:Z42" si="5">ABS(N4-T4)</f>
        <v>1.8193194699286985E-2</v>
      </c>
      <c r="AA4" s="8">
        <f t="shared" ref="AA4:AA42" si="6">ABS(O4-U4)</f>
        <v>8.2416601133346978E-2</v>
      </c>
      <c r="AB4" s="8">
        <f t="shared" ref="AB4:AB42" si="7">ABS(P4-V4)</f>
        <v>0.15957424840927104</v>
      </c>
      <c r="AC4" s="8">
        <f t="shared" ref="AC4:AC42" si="8">ABS(Q4-W4)</f>
        <v>3.3168251991271935E-2</v>
      </c>
    </row>
    <row r="5" spans="1:29" x14ac:dyDescent="0.25">
      <c r="A5" s="10">
        <v>0.5</v>
      </c>
      <c r="B5" s="10">
        <v>0.1</v>
      </c>
      <c r="C5" s="10">
        <v>1.571</v>
      </c>
      <c r="D5" s="10">
        <f t="shared" si="1"/>
        <v>1.5707963267948966</v>
      </c>
      <c r="E5" s="10">
        <v>0.2</v>
      </c>
      <c r="F5" s="10">
        <v>0.02</v>
      </c>
      <c r="G5" s="10">
        <v>3.927</v>
      </c>
      <c r="H5" s="10">
        <f t="shared" si="2"/>
        <v>1.5707963267948966</v>
      </c>
      <c r="I5" s="10">
        <v>0</v>
      </c>
      <c r="J5" s="10">
        <v>0</v>
      </c>
      <c r="K5" s="10">
        <v>0</v>
      </c>
      <c r="L5" s="8">
        <v>-8.8173459516838206E-5</v>
      </c>
      <c r="M5" s="8">
        <v>-9.0249709784984603E-2</v>
      </c>
      <c r="N5" s="8">
        <v>-1.5381614677607999E-2</v>
      </c>
      <c r="O5" s="8">
        <v>-5.9044521301984801E-2</v>
      </c>
      <c r="P5" s="8">
        <v>-0.142551720142365</v>
      </c>
      <c r="Q5" s="8">
        <v>0.403866738080978</v>
      </c>
      <c r="R5" s="8">
        <v>0</v>
      </c>
      <c r="S5" s="8">
        <v>-7.9200000000000007E-2</v>
      </c>
      <c r="T5" s="8">
        <v>-1.55E-2</v>
      </c>
      <c r="U5" s="8">
        <v>-5.21E-2</v>
      </c>
      <c r="V5" s="8">
        <v>-0.14149999999999999</v>
      </c>
      <c r="W5" s="8">
        <v>0.35539999999999999</v>
      </c>
      <c r="X5" s="8">
        <f t="shared" si="3"/>
        <v>8.8173459516838206E-5</v>
      </c>
      <c r="Y5" s="8">
        <f t="shared" si="4"/>
        <v>1.1049709784984596E-2</v>
      </c>
      <c r="Z5" s="8">
        <f t="shared" si="5"/>
        <v>1.1838532239200061E-4</v>
      </c>
      <c r="AA5" s="8">
        <f t="shared" si="6"/>
        <v>6.9445213019848004E-3</v>
      </c>
      <c r="AB5" s="8">
        <f t="shared" si="7"/>
        <v>1.0517201423650147E-3</v>
      </c>
      <c r="AC5" s="8">
        <f t="shared" si="8"/>
        <v>4.8466738080978011E-2</v>
      </c>
    </row>
    <row r="6" spans="1:29" x14ac:dyDescent="0.25">
      <c r="A6" s="10">
        <v>0.9</v>
      </c>
      <c r="B6" s="10">
        <v>0.1</v>
      </c>
      <c r="C6" s="10">
        <v>1.571</v>
      </c>
      <c r="D6" s="10">
        <f t="shared" si="1"/>
        <v>1.5707963267948966</v>
      </c>
      <c r="E6" s="10">
        <v>0.2</v>
      </c>
      <c r="F6" s="10">
        <v>0.08</v>
      </c>
      <c r="G6" s="10">
        <v>4.7119999999999997</v>
      </c>
      <c r="H6" s="10">
        <f t="shared" si="2"/>
        <v>1.5707963267948966</v>
      </c>
      <c r="I6" s="10">
        <v>1.2</v>
      </c>
      <c r="J6" s="10">
        <v>0</v>
      </c>
      <c r="K6" s="10">
        <v>0</v>
      </c>
      <c r="L6" s="8">
        <v>4.0645110420882702E-3</v>
      </c>
      <c r="M6" s="8">
        <v>-0.155094370245934</v>
      </c>
      <c r="N6" s="8">
        <v>1.12637248821557E-3</v>
      </c>
      <c r="O6" s="8">
        <v>-0.22939644753933</v>
      </c>
      <c r="P6" s="8">
        <v>6.2979459762573199E-3</v>
      </c>
      <c r="Q6" s="8">
        <v>0.75826400518417403</v>
      </c>
      <c r="R6" s="8">
        <v>1.5E-3</v>
      </c>
      <c r="S6" s="8">
        <v>-0.1353</v>
      </c>
      <c r="T6" s="8">
        <v>-2.0000000000000001E-4</v>
      </c>
      <c r="U6" s="8">
        <v>-0.14380000000000001</v>
      </c>
      <c r="V6" s="8">
        <v>-2.3999999999999998E-3</v>
      </c>
      <c r="W6" s="8">
        <v>0.68510000000000004</v>
      </c>
      <c r="X6" s="8">
        <f t="shared" si="3"/>
        <v>2.5645110420882702E-3</v>
      </c>
      <c r="Y6" s="8">
        <f t="shared" si="4"/>
        <v>1.9794370245934001E-2</v>
      </c>
      <c r="Z6" s="8">
        <f t="shared" si="5"/>
        <v>1.3263724882155701E-3</v>
      </c>
      <c r="AA6" s="8">
        <f t="shared" si="6"/>
        <v>8.559644753932999E-2</v>
      </c>
      <c r="AB6" s="8">
        <f t="shared" si="7"/>
        <v>8.6979459762573201E-3</v>
      </c>
      <c r="AC6" s="8">
        <f t="shared" si="8"/>
        <v>7.3164005184173986E-2</v>
      </c>
    </row>
    <row r="7" spans="1:29" x14ac:dyDescent="0.25">
      <c r="A7" s="10">
        <v>0.1</v>
      </c>
      <c r="B7" s="10">
        <v>0.12</v>
      </c>
      <c r="C7" s="10">
        <v>1.571</v>
      </c>
      <c r="D7" s="10">
        <f t="shared" si="1"/>
        <v>1.5707963267948966</v>
      </c>
      <c r="E7" s="10">
        <v>1</v>
      </c>
      <c r="F7" s="10">
        <v>0.06</v>
      </c>
      <c r="G7" s="10">
        <v>3.927</v>
      </c>
      <c r="H7" s="10">
        <f t="shared" si="2"/>
        <v>1.5707963267948966</v>
      </c>
      <c r="I7" s="10">
        <v>0</v>
      </c>
      <c r="J7" s="10">
        <v>0</v>
      </c>
      <c r="K7" s="10">
        <v>0</v>
      </c>
      <c r="L7" s="8">
        <v>-3.3720862120389898E-5</v>
      </c>
      <c r="M7" s="8">
        <v>5.5788416415452999E-2</v>
      </c>
      <c r="N7" s="8">
        <v>-0.106843449175358</v>
      </c>
      <c r="O7" s="8">
        <v>2.31804009526968E-2</v>
      </c>
      <c r="P7" s="8">
        <v>-0.69266724586486805</v>
      </c>
      <c r="Q7" s="8">
        <v>-0.43824502825737</v>
      </c>
      <c r="R7" s="8">
        <v>0</v>
      </c>
      <c r="S7" s="8">
        <v>8.4900000000000003E-2</v>
      </c>
      <c r="T7" s="8">
        <v>-0.10580000000000001</v>
      </c>
      <c r="U7" s="8">
        <v>-6.3E-2</v>
      </c>
      <c r="V7" s="8">
        <v>-0.70530000000000004</v>
      </c>
      <c r="W7" s="8">
        <v>-0.60589999999999999</v>
      </c>
      <c r="X7" s="8">
        <f t="shared" si="3"/>
        <v>3.3720862120389898E-5</v>
      </c>
      <c r="Y7" s="8">
        <f t="shared" si="4"/>
        <v>2.9111583584547004E-2</v>
      </c>
      <c r="Z7" s="8">
        <f t="shared" si="5"/>
        <v>1.0434491753579939E-3</v>
      </c>
      <c r="AA7" s="8">
        <f t="shared" si="6"/>
        <v>8.6180400952696801E-2</v>
      </c>
      <c r="AB7" s="8">
        <f t="shared" si="7"/>
        <v>1.2632754135131985E-2</v>
      </c>
      <c r="AC7" s="8">
        <f t="shared" si="8"/>
        <v>0.16765497174263</v>
      </c>
    </row>
    <row r="8" spans="1:29" x14ac:dyDescent="0.25">
      <c r="A8" s="10">
        <v>0.8</v>
      </c>
      <c r="B8" s="10">
        <v>0.16</v>
      </c>
      <c r="C8" s="10">
        <v>1.571</v>
      </c>
      <c r="D8" s="10">
        <f t="shared" si="1"/>
        <v>1.5707963267948966</v>
      </c>
      <c r="E8" s="10">
        <v>0.8</v>
      </c>
      <c r="F8" s="10">
        <v>0.06</v>
      </c>
      <c r="G8" s="10">
        <v>3.927</v>
      </c>
      <c r="H8" s="10">
        <f t="shared" si="2"/>
        <v>1.5707963267948966</v>
      </c>
      <c r="I8" s="10">
        <v>1.4</v>
      </c>
      <c r="J8" s="10">
        <v>0</v>
      </c>
      <c r="K8" s="10">
        <v>0</v>
      </c>
      <c r="L8" s="8">
        <v>8.2578761503100395E-3</v>
      </c>
      <c r="M8" s="8">
        <v>-0.106360949575901</v>
      </c>
      <c r="N8" s="8">
        <v>-7.6963931322097806E-2</v>
      </c>
      <c r="O8" s="8">
        <v>-0.29881915450096103</v>
      </c>
      <c r="P8" s="8">
        <v>-0.50920194387435902</v>
      </c>
      <c r="Q8" s="8">
        <v>0.108889028429985</v>
      </c>
      <c r="R8" s="8">
        <v>4.4000000000000003E-3</v>
      </c>
      <c r="S8" s="8">
        <v>-0.10639999999999999</v>
      </c>
      <c r="T8" s="8">
        <v>-8.3900000000000002E-2</v>
      </c>
      <c r="U8" s="8">
        <v>-0.22939999999999999</v>
      </c>
      <c r="V8" s="8">
        <v>-0.56430000000000002</v>
      </c>
      <c r="W8" s="8">
        <v>0.1658</v>
      </c>
      <c r="X8" s="8">
        <f t="shared" si="3"/>
        <v>3.8578761503100393E-3</v>
      </c>
      <c r="Y8" s="8">
        <f t="shared" si="4"/>
        <v>3.9050424098990844E-5</v>
      </c>
      <c r="Z8" s="8">
        <f t="shared" si="5"/>
        <v>6.9360686779021963E-3</v>
      </c>
      <c r="AA8" s="8">
        <f t="shared" si="6"/>
        <v>6.9419154500961033E-2</v>
      </c>
      <c r="AB8" s="8">
        <f t="shared" si="7"/>
        <v>5.5098056125641004E-2</v>
      </c>
      <c r="AC8" s="8">
        <f t="shared" si="8"/>
        <v>5.6910971570014998E-2</v>
      </c>
    </row>
    <row r="9" spans="1:29" x14ac:dyDescent="0.25">
      <c r="A9" s="10">
        <v>0.1</v>
      </c>
      <c r="B9" s="10">
        <v>0.18</v>
      </c>
      <c r="C9" s="10">
        <v>1.571</v>
      </c>
      <c r="D9" s="10">
        <f t="shared" si="1"/>
        <v>1.5707963267948966</v>
      </c>
      <c r="E9" s="10">
        <v>0.1</v>
      </c>
      <c r="F9" s="10">
        <v>0.02</v>
      </c>
      <c r="G9" s="10">
        <v>3.1419999999999999</v>
      </c>
      <c r="H9" s="10">
        <f t="shared" si="2"/>
        <v>1.5707963267948966</v>
      </c>
      <c r="I9" s="10">
        <v>1.2</v>
      </c>
      <c r="J9" s="10">
        <v>0</v>
      </c>
      <c r="K9" s="10">
        <v>0</v>
      </c>
      <c r="L9" s="8">
        <v>2.53012054599822E-4</v>
      </c>
      <c r="M9" s="8">
        <v>-6.1941463500261298E-3</v>
      </c>
      <c r="N9" s="8">
        <v>-1.2296888045966599E-2</v>
      </c>
      <c r="O9" s="8">
        <v>1.5694042667746499E-2</v>
      </c>
      <c r="P9" s="8">
        <v>-0.108663953840733</v>
      </c>
      <c r="Q9" s="8">
        <v>1.80782899260521E-2</v>
      </c>
      <c r="R9" s="8">
        <v>5.9999999999999995E-4</v>
      </c>
      <c r="S9" s="8">
        <v>-2.7E-2</v>
      </c>
      <c r="T9" s="8">
        <v>-1.0999999999999999E-2</v>
      </c>
      <c r="U9" s="8">
        <v>-1.0999999999999999E-2</v>
      </c>
      <c r="V9" s="8">
        <v>-0.1003</v>
      </c>
      <c r="W9" s="8">
        <v>9.9299999999999999E-2</v>
      </c>
      <c r="X9" s="8">
        <f t="shared" si="3"/>
        <v>3.4698794540017795E-4</v>
      </c>
      <c r="Y9" s="8">
        <f t="shared" si="4"/>
        <v>2.0805853649973869E-2</v>
      </c>
      <c r="Z9" s="8">
        <f t="shared" si="5"/>
        <v>1.2968880459665998E-3</v>
      </c>
      <c r="AA9" s="8">
        <f t="shared" si="6"/>
        <v>2.6694042667746498E-2</v>
      </c>
      <c r="AB9" s="8">
        <f t="shared" si="7"/>
        <v>8.3639538407330044E-3</v>
      </c>
      <c r="AC9" s="8">
        <f t="shared" si="8"/>
        <v>8.1221710073947906E-2</v>
      </c>
    </row>
    <row r="10" spans="1:29" x14ac:dyDescent="0.25">
      <c r="A10" s="10">
        <v>0.9</v>
      </c>
      <c r="B10" s="10">
        <v>0.18</v>
      </c>
      <c r="C10" s="10">
        <v>1.571</v>
      </c>
      <c r="D10" s="10">
        <f t="shared" si="1"/>
        <v>1.5707963267948966</v>
      </c>
      <c r="E10" s="10">
        <v>0.1</v>
      </c>
      <c r="F10" s="10">
        <v>0.08</v>
      </c>
      <c r="G10" s="10">
        <v>4.7119999999999997</v>
      </c>
      <c r="H10" s="10">
        <f t="shared" si="2"/>
        <v>1.5707963267948966</v>
      </c>
      <c r="I10" s="10">
        <v>0</v>
      </c>
      <c r="J10" s="10">
        <v>0</v>
      </c>
      <c r="K10" s="10">
        <v>0</v>
      </c>
      <c r="L10" s="8">
        <v>-8.9414953254163298E-4</v>
      </c>
      <c r="M10" s="8">
        <v>-0.180821523070335</v>
      </c>
      <c r="N10" s="8">
        <v>8.0074910074472393E-3</v>
      </c>
      <c r="O10" s="8">
        <v>-0.405538409948349</v>
      </c>
      <c r="P10" s="8">
        <v>5.81999458372593E-2</v>
      </c>
      <c r="Q10" s="8">
        <v>0.51686221361160301</v>
      </c>
      <c r="R10" s="8">
        <v>0</v>
      </c>
      <c r="S10" s="8">
        <v>-0.20330000000000001</v>
      </c>
      <c r="T10" s="8">
        <v>-1E-4</v>
      </c>
      <c r="U10" s="8">
        <v>-0.51039999999999996</v>
      </c>
      <c r="V10" s="8">
        <v>-2.0000000000000001E-4</v>
      </c>
      <c r="W10" s="8">
        <v>0.61929999999999996</v>
      </c>
      <c r="X10" s="8">
        <f t="shared" si="3"/>
        <v>8.9414953254163298E-4</v>
      </c>
      <c r="Y10" s="8">
        <f t="shared" si="4"/>
        <v>2.2478476929665009E-2</v>
      </c>
      <c r="Z10" s="8">
        <f t="shared" si="5"/>
        <v>8.1074910074472387E-3</v>
      </c>
      <c r="AA10" s="8">
        <f t="shared" si="6"/>
        <v>0.10486159005165097</v>
      </c>
      <c r="AB10" s="8">
        <f t="shared" si="7"/>
        <v>5.8399945837259298E-2</v>
      </c>
      <c r="AC10" s="8">
        <f t="shared" si="8"/>
        <v>0.10243778638839696</v>
      </c>
    </row>
    <row r="11" spans="1:29" x14ac:dyDescent="0.25">
      <c r="A11" s="10">
        <v>0.3</v>
      </c>
      <c r="B11" s="10">
        <v>0.18</v>
      </c>
      <c r="C11" s="10">
        <v>1.571</v>
      </c>
      <c r="D11" s="10">
        <f t="shared" si="1"/>
        <v>1.5707963267948966</v>
      </c>
      <c r="E11" s="10">
        <v>0.9</v>
      </c>
      <c r="F11" s="10">
        <v>0.08</v>
      </c>
      <c r="G11" s="10">
        <v>4.7119999999999997</v>
      </c>
      <c r="H11" s="10">
        <f t="shared" si="2"/>
        <v>1.5707963267948966</v>
      </c>
      <c r="I11" s="10">
        <v>1</v>
      </c>
      <c r="J11" s="10">
        <v>0</v>
      </c>
      <c r="K11" s="10">
        <v>0</v>
      </c>
      <c r="L11" s="8">
        <v>2.41806032136083E-4</v>
      </c>
      <c r="M11" s="8">
        <v>7.3132611811161E-2</v>
      </c>
      <c r="N11" s="8">
        <v>-4.2187301442027101E-3</v>
      </c>
      <c r="O11" s="8">
        <v>4.2406577616930001E-2</v>
      </c>
      <c r="P11" s="8">
        <v>-2.1499879658222198E-2</v>
      </c>
      <c r="Q11" s="8">
        <v>-0.58056563138961803</v>
      </c>
      <c r="R11" s="8">
        <v>5.9999999999999995E-4</v>
      </c>
      <c r="S11" s="8">
        <v>7.2099999999999997E-2</v>
      </c>
      <c r="T11" s="8">
        <v>-1E-4</v>
      </c>
      <c r="U11" s="8">
        <v>-3.0999999999999999E-3</v>
      </c>
      <c r="V11" s="8">
        <v>-8.9999999999999998E-4</v>
      </c>
      <c r="W11" s="8">
        <v>-0.6018</v>
      </c>
      <c r="X11" s="8">
        <f t="shared" si="3"/>
        <v>3.5819396786391697E-4</v>
      </c>
      <c r="Y11" s="8">
        <f t="shared" si="4"/>
        <v>1.0326118111610022E-3</v>
      </c>
      <c r="Z11" s="8">
        <f t="shared" si="5"/>
        <v>4.1187301442027098E-3</v>
      </c>
      <c r="AA11" s="8">
        <f t="shared" si="6"/>
        <v>4.550657761693E-2</v>
      </c>
      <c r="AB11" s="8">
        <f t="shared" si="7"/>
        <v>2.0599879658222197E-2</v>
      </c>
      <c r="AC11" s="8">
        <f t="shared" si="8"/>
        <v>2.1234368610381971E-2</v>
      </c>
    </row>
    <row r="12" spans="1:29" x14ac:dyDescent="0.25">
      <c r="A12" s="10">
        <v>0.9</v>
      </c>
      <c r="B12" s="10">
        <v>0.2</v>
      </c>
      <c r="C12" s="10">
        <v>1.571</v>
      </c>
      <c r="D12" s="10">
        <f t="shared" si="1"/>
        <v>1.5707963267948966</v>
      </c>
      <c r="E12" s="10">
        <v>1</v>
      </c>
      <c r="F12" s="10">
        <v>0.02</v>
      </c>
      <c r="G12" s="10">
        <v>3.1419999999999999</v>
      </c>
      <c r="H12" s="10">
        <f t="shared" si="2"/>
        <v>1.5707963267948966</v>
      </c>
      <c r="I12" s="10">
        <v>0.4</v>
      </c>
      <c r="J12" s="10">
        <v>0</v>
      </c>
      <c r="K12" s="10">
        <v>0</v>
      </c>
      <c r="L12" s="8">
        <v>-1.58930197358131E-4</v>
      </c>
      <c r="M12" s="8">
        <v>-0.14518360793590501</v>
      </c>
      <c r="N12" s="8">
        <v>-0.108183734118938</v>
      </c>
      <c r="O12" s="8">
        <v>-0.55842369794845603</v>
      </c>
      <c r="P12" s="8">
        <v>-0.97605288028716997</v>
      </c>
      <c r="Q12" s="8">
        <v>0.27430844306945801</v>
      </c>
      <c r="R12" s="8">
        <v>2.2000000000000001E-3</v>
      </c>
      <c r="S12" s="8">
        <v>-0.2213</v>
      </c>
      <c r="T12" s="8">
        <v>-0.1089</v>
      </c>
      <c r="U12" s="8">
        <v>-0.6623</v>
      </c>
      <c r="V12" s="8">
        <v>-1.0009999999999999</v>
      </c>
      <c r="W12" s="8">
        <v>0.61360000000000003</v>
      </c>
      <c r="X12" s="8">
        <f t="shared" si="3"/>
        <v>2.3589301973581311E-3</v>
      </c>
      <c r="Y12" s="8">
        <f t="shared" si="4"/>
        <v>7.6116392064094984E-2</v>
      </c>
      <c r="Z12" s="8">
        <f t="shared" si="5"/>
        <v>7.1626588106199485E-4</v>
      </c>
      <c r="AA12" s="8">
        <f t="shared" si="6"/>
        <v>0.10387630205154397</v>
      </c>
      <c r="AB12" s="8">
        <f t="shared" si="7"/>
        <v>2.4947119712829924E-2</v>
      </c>
      <c r="AC12" s="8">
        <f t="shared" si="8"/>
        <v>0.33929155693054203</v>
      </c>
    </row>
    <row r="13" spans="1:29" x14ac:dyDescent="0.25">
      <c r="A13" s="10">
        <v>0.1</v>
      </c>
      <c r="B13" s="10">
        <v>0.2</v>
      </c>
      <c r="C13" s="10">
        <v>1.571</v>
      </c>
      <c r="D13" s="10">
        <f t="shared" si="1"/>
        <v>1.5707963267948966</v>
      </c>
      <c r="E13" s="10">
        <v>0.3</v>
      </c>
      <c r="F13" s="10">
        <v>0.08</v>
      </c>
      <c r="G13" s="10">
        <v>3.1419999999999999</v>
      </c>
      <c r="H13" s="10">
        <f t="shared" si="2"/>
        <v>1.5707963267948966</v>
      </c>
      <c r="I13" s="10">
        <v>0.2</v>
      </c>
      <c r="J13" s="10">
        <v>0</v>
      </c>
      <c r="K13" s="10">
        <v>0</v>
      </c>
      <c r="L13" s="8">
        <v>-1.4157709665596499E-4</v>
      </c>
      <c r="M13" s="8">
        <v>4.5513403601944403E-3</v>
      </c>
      <c r="N13" s="8">
        <v>-4.92897629737854E-2</v>
      </c>
      <c r="O13" s="8">
        <v>2.6178073137998598E-2</v>
      </c>
      <c r="P13" s="8">
        <v>-0.27640634775161699</v>
      </c>
      <c r="Q13" s="8">
        <v>-3.6308467388153097E-2</v>
      </c>
      <c r="R13" s="8">
        <v>2.0000000000000001E-4</v>
      </c>
      <c r="S13" s="8">
        <v>-2.87E-2</v>
      </c>
      <c r="T13" s="8">
        <v>-5.0900000000000001E-2</v>
      </c>
      <c r="U13" s="8">
        <v>-2.1600000000000001E-2</v>
      </c>
      <c r="V13" s="8">
        <v>-0.29949999999999999</v>
      </c>
      <c r="W13" s="8">
        <v>9.9099999999999994E-2</v>
      </c>
      <c r="X13" s="8">
        <f t="shared" si="3"/>
        <v>3.41577096655965E-4</v>
      </c>
      <c r="Y13" s="8">
        <f t="shared" si="4"/>
        <v>3.3251340360194441E-2</v>
      </c>
      <c r="Z13" s="8">
        <f t="shared" si="5"/>
        <v>1.6102370262146004E-3</v>
      </c>
      <c r="AA13" s="8">
        <f t="shared" si="6"/>
        <v>4.7778073137998603E-2</v>
      </c>
      <c r="AB13" s="8">
        <f t="shared" si="7"/>
        <v>2.3093652248383001E-2</v>
      </c>
      <c r="AC13" s="8">
        <f t="shared" si="8"/>
        <v>0.1354084673881531</v>
      </c>
    </row>
    <row r="14" spans="1:29" x14ac:dyDescent="0.25">
      <c r="A14" s="10">
        <v>0.9</v>
      </c>
      <c r="B14" s="10">
        <v>0.2</v>
      </c>
      <c r="C14" s="10">
        <v>1.571</v>
      </c>
      <c r="D14" s="10">
        <f t="shared" si="1"/>
        <v>1.5707963267948966</v>
      </c>
      <c r="E14" s="10">
        <v>0.3</v>
      </c>
      <c r="F14" s="10">
        <v>0.02</v>
      </c>
      <c r="G14" s="10">
        <v>4.7119999999999997</v>
      </c>
      <c r="H14" s="10">
        <f t="shared" si="2"/>
        <v>1.5707963267948966</v>
      </c>
      <c r="I14" s="10">
        <v>1.4</v>
      </c>
      <c r="J14" s="10">
        <v>0</v>
      </c>
      <c r="K14" s="10">
        <v>0</v>
      </c>
      <c r="L14" s="8">
        <v>9.2607205733656901E-3</v>
      </c>
      <c r="M14" s="8">
        <v>-0.11755938827991499</v>
      </c>
      <c r="N14" s="8">
        <v>-8.4324358031153696E-3</v>
      </c>
      <c r="O14" s="8">
        <v>-0.58649873733520497</v>
      </c>
      <c r="P14" s="8">
        <v>-5.0031639635562897E-2</v>
      </c>
      <c r="Q14" s="8">
        <v>4.2876139283180202E-2</v>
      </c>
      <c r="R14" s="8">
        <v>7.7000000000000002E-3</v>
      </c>
      <c r="S14" s="8">
        <v>-0.1855</v>
      </c>
      <c r="T14" s="8">
        <v>-2.9999999999999997E-4</v>
      </c>
      <c r="U14" s="8">
        <v>-0.63229999999999997</v>
      </c>
      <c r="V14" s="8">
        <v>-2.47E-2</v>
      </c>
      <c r="W14" s="8">
        <v>0.29699999999999999</v>
      </c>
      <c r="X14" s="8">
        <f t="shared" si="3"/>
        <v>1.5607205733656898E-3</v>
      </c>
      <c r="Y14" s="8">
        <f t="shared" si="4"/>
        <v>6.7940611720085003E-2</v>
      </c>
      <c r="Z14" s="8">
        <f t="shared" si="5"/>
        <v>8.1324358031153697E-3</v>
      </c>
      <c r="AA14" s="8">
        <f t="shared" si="6"/>
        <v>4.5801262664795006E-2</v>
      </c>
      <c r="AB14" s="8">
        <f t="shared" si="7"/>
        <v>2.5331639635562897E-2</v>
      </c>
      <c r="AC14" s="8">
        <f t="shared" si="8"/>
        <v>0.2541238607168198</v>
      </c>
    </row>
    <row r="15" spans="1:29" x14ac:dyDescent="0.25">
      <c r="A15" s="10">
        <v>0.9</v>
      </c>
      <c r="B15" s="10">
        <v>0.1</v>
      </c>
      <c r="C15" s="10">
        <v>2.3559999999999999</v>
      </c>
      <c r="D15" s="10">
        <f t="shared" si="1"/>
        <v>1.5707963267948966</v>
      </c>
      <c r="E15" s="10">
        <v>0.9</v>
      </c>
      <c r="F15" s="10">
        <v>0.02</v>
      </c>
      <c r="G15" s="10">
        <v>4.7119999999999997</v>
      </c>
      <c r="H15" s="10">
        <f t="shared" si="2"/>
        <v>1.5707963267948966</v>
      </c>
      <c r="I15" s="10">
        <v>0.4</v>
      </c>
      <c r="J15" s="10">
        <v>0</v>
      </c>
      <c r="K15" s="10">
        <v>0</v>
      </c>
      <c r="L15" s="8">
        <v>-9.1172568500042005E-4</v>
      </c>
      <c r="M15" s="8">
        <v>-3.9313092827796901E-2</v>
      </c>
      <c r="N15" s="8">
        <v>-0.130889192223549</v>
      </c>
      <c r="O15" s="8">
        <v>-0.256822139024735</v>
      </c>
      <c r="P15" s="8">
        <v>-0.62632656097412098</v>
      </c>
      <c r="Q15" s="8">
        <v>-0.18459481000900299</v>
      </c>
      <c r="R15" s="8">
        <v>5.9999999999999995E-4</v>
      </c>
      <c r="S15" s="8">
        <v>-2.12E-2</v>
      </c>
      <c r="T15" s="8">
        <v>-0.1196</v>
      </c>
      <c r="U15" s="8">
        <v>-0.13669999999999999</v>
      </c>
      <c r="V15" s="8">
        <v>-0.625</v>
      </c>
      <c r="W15" s="8">
        <v>-0.2752</v>
      </c>
      <c r="X15" s="8">
        <f t="shared" si="3"/>
        <v>1.5117256850004199E-3</v>
      </c>
      <c r="Y15" s="8">
        <f t="shared" si="4"/>
        <v>1.8113092827796901E-2</v>
      </c>
      <c r="Z15" s="8">
        <f t="shared" si="5"/>
        <v>1.1289192223549002E-2</v>
      </c>
      <c r="AA15" s="8">
        <f t="shared" si="6"/>
        <v>0.12012213902473501</v>
      </c>
      <c r="AB15" s="8">
        <f t="shared" si="7"/>
        <v>1.3265609741209827E-3</v>
      </c>
      <c r="AC15" s="8">
        <f t="shared" si="8"/>
        <v>9.0605189990997009E-2</v>
      </c>
    </row>
    <row r="16" spans="1:29" x14ac:dyDescent="0.25">
      <c r="A16" s="10">
        <v>0.4</v>
      </c>
      <c r="B16" s="10">
        <v>0.12</v>
      </c>
      <c r="C16" s="10">
        <v>2.3559999999999999</v>
      </c>
      <c r="D16" s="10">
        <f t="shared" si="1"/>
        <v>1.5707963267948966</v>
      </c>
      <c r="E16" s="10">
        <v>0.1</v>
      </c>
      <c r="F16" s="10">
        <v>0.06</v>
      </c>
      <c r="G16" s="10">
        <v>3.1419999999999999</v>
      </c>
      <c r="H16" s="10">
        <f t="shared" si="2"/>
        <v>1.5707963267948966</v>
      </c>
      <c r="I16" s="10">
        <v>0.4</v>
      </c>
      <c r="J16" s="10">
        <v>0</v>
      </c>
      <c r="K16" s="10">
        <v>0</v>
      </c>
      <c r="L16" s="8">
        <v>-3.60760372132063E-3</v>
      </c>
      <c r="M16" s="8">
        <v>-5.4309170693159103E-2</v>
      </c>
      <c r="N16" s="8">
        <v>-7.0400118827819796E-2</v>
      </c>
      <c r="O16" s="8">
        <v>-5.4136319085955602E-3</v>
      </c>
      <c r="P16" s="8">
        <v>-0.32776689529418901</v>
      </c>
      <c r="Q16" s="8">
        <v>0.24705727398395499</v>
      </c>
      <c r="R16" s="8">
        <v>4.0000000000000002E-4</v>
      </c>
      <c r="S16" s="8">
        <v>-5.91E-2</v>
      </c>
      <c r="T16" s="8">
        <v>-7.4099999999999999E-2</v>
      </c>
      <c r="U16" s="8">
        <v>-6.1600000000000002E-2</v>
      </c>
      <c r="V16" s="8">
        <v>-0.38</v>
      </c>
      <c r="W16" s="8">
        <v>0.27989999999999998</v>
      </c>
      <c r="X16" s="8">
        <f t="shared" si="3"/>
        <v>4.0076037213206302E-3</v>
      </c>
      <c r="Y16" s="8">
        <f t="shared" si="4"/>
        <v>4.7908293068408964E-3</v>
      </c>
      <c r="Z16" s="8">
        <f t="shared" si="5"/>
        <v>3.6998811721802027E-3</v>
      </c>
      <c r="AA16" s="8">
        <f t="shared" si="6"/>
        <v>5.618636809140444E-2</v>
      </c>
      <c r="AB16" s="8">
        <f t="shared" si="7"/>
        <v>5.2233104705810995E-2</v>
      </c>
      <c r="AC16" s="8">
        <f t="shared" si="8"/>
        <v>3.2842726016044987E-2</v>
      </c>
    </row>
    <row r="17" spans="1:29" x14ac:dyDescent="0.25">
      <c r="A17" s="10">
        <v>1</v>
      </c>
      <c r="B17" s="10">
        <v>0.14000000000000001</v>
      </c>
      <c r="C17" s="10">
        <v>2.3559999999999999</v>
      </c>
      <c r="D17" s="10">
        <f t="shared" si="1"/>
        <v>1.5707963267948966</v>
      </c>
      <c r="E17" s="10">
        <v>0.4</v>
      </c>
      <c r="F17" s="10">
        <v>0.04</v>
      </c>
      <c r="G17" s="10">
        <v>3.927</v>
      </c>
      <c r="H17" s="10">
        <f t="shared" si="2"/>
        <v>1.5707963267948966</v>
      </c>
      <c r="I17" s="10">
        <v>0.6</v>
      </c>
      <c r="J17" s="10">
        <v>0</v>
      </c>
      <c r="K17" s="10">
        <v>0</v>
      </c>
      <c r="L17" s="8">
        <v>1.51338707655668E-3</v>
      </c>
      <c r="M17" s="8">
        <v>-0.13520552217960399</v>
      </c>
      <c r="N17" s="8">
        <v>-0.2040024548769</v>
      </c>
      <c r="O17" s="8">
        <v>-0.46525964140892001</v>
      </c>
      <c r="P17" s="8">
        <v>-0.93685162067413297</v>
      </c>
      <c r="Q17" s="8">
        <v>0.42077422142028797</v>
      </c>
      <c r="R17" s="8">
        <v>2.0999999999999999E-3</v>
      </c>
      <c r="S17" s="8">
        <v>-0.1181</v>
      </c>
      <c r="T17" s="8">
        <v>-0.1908</v>
      </c>
      <c r="U17" s="8">
        <v>-0.436</v>
      </c>
      <c r="V17" s="8">
        <v>-0.91920000000000002</v>
      </c>
      <c r="W17" s="8">
        <v>0.35489999999999999</v>
      </c>
      <c r="X17" s="8">
        <f t="shared" si="3"/>
        <v>5.8661292344331989E-4</v>
      </c>
      <c r="Y17" s="8">
        <f t="shared" si="4"/>
        <v>1.7105522179603996E-2</v>
      </c>
      <c r="Z17" s="8">
        <f t="shared" si="5"/>
        <v>1.3202454876899999E-2</v>
      </c>
      <c r="AA17" s="8">
        <f t="shared" si="6"/>
        <v>2.9259641408920012E-2</v>
      </c>
      <c r="AB17" s="8">
        <f t="shared" si="7"/>
        <v>1.7651620674132951E-2</v>
      </c>
      <c r="AC17" s="8">
        <f t="shared" si="8"/>
        <v>6.5874221420287982E-2</v>
      </c>
    </row>
    <row r="18" spans="1:29" x14ac:dyDescent="0.25">
      <c r="A18" s="10">
        <v>0.4</v>
      </c>
      <c r="B18" s="10">
        <v>0.18</v>
      </c>
      <c r="C18" s="10">
        <v>2.3559999999999999</v>
      </c>
      <c r="D18" s="10">
        <f t="shared" si="1"/>
        <v>1.5707963267948966</v>
      </c>
      <c r="E18" s="10">
        <v>0.7</v>
      </c>
      <c r="F18" s="10">
        <v>0.04</v>
      </c>
      <c r="G18" s="10">
        <v>3.1419999999999999</v>
      </c>
      <c r="H18" s="10">
        <f t="shared" si="2"/>
        <v>1.5707963267948966</v>
      </c>
      <c r="I18" s="10">
        <v>0</v>
      </c>
      <c r="J18" s="10">
        <v>0</v>
      </c>
      <c r="K18" s="10">
        <v>0</v>
      </c>
      <c r="L18" s="8">
        <v>1.25857396051288E-3</v>
      </c>
      <c r="M18" s="8">
        <v>-6.1508439481258399E-2</v>
      </c>
      <c r="N18" s="8">
        <v>-0.139540165662766</v>
      </c>
      <c r="O18" s="8">
        <v>-9.9908888339996296E-2</v>
      </c>
      <c r="P18" s="8">
        <v>-0.836775302886963</v>
      </c>
      <c r="Q18" s="8">
        <v>0.23870468139648399</v>
      </c>
      <c r="R18" s="8">
        <v>0</v>
      </c>
      <c r="S18" s="8">
        <v>-7.4499999999999997E-2</v>
      </c>
      <c r="T18" s="8">
        <v>-0.16500000000000001</v>
      </c>
      <c r="U18" s="8">
        <v>-0.2039</v>
      </c>
      <c r="V18" s="8">
        <v>-0.96240000000000003</v>
      </c>
      <c r="W18" s="8">
        <v>0.26619999999999999</v>
      </c>
      <c r="X18" s="8">
        <f t="shared" si="3"/>
        <v>1.25857396051288E-3</v>
      </c>
      <c r="Y18" s="8">
        <f t="shared" si="4"/>
        <v>1.2991560518741598E-2</v>
      </c>
      <c r="Z18" s="8">
        <f t="shared" si="5"/>
        <v>2.5459834337234005E-2</v>
      </c>
      <c r="AA18" s="8">
        <f t="shared" si="6"/>
        <v>0.1039911116600037</v>
      </c>
      <c r="AB18" s="8">
        <f t="shared" si="7"/>
        <v>0.12562469711303703</v>
      </c>
      <c r="AC18" s="8">
        <f t="shared" si="8"/>
        <v>2.7495318603516006E-2</v>
      </c>
    </row>
    <row r="19" spans="1:29" x14ac:dyDescent="0.25">
      <c r="A19" s="10">
        <v>0.1</v>
      </c>
      <c r="B19" s="10">
        <v>0.18</v>
      </c>
      <c r="C19" s="10">
        <v>2.3559999999999999</v>
      </c>
      <c r="D19" s="10">
        <f t="shared" si="1"/>
        <v>1.5707963267948966</v>
      </c>
      <c r="E19" s="10">
        <v>0.2</v>
      </c>
      <c r="F19" s="10">
        <v>0.06</v>
      </c>
      <c r="G19" s="10">
        <v>4.7119999999999997</v>
      </c>
      <c r="H19" s="10">
        <f t="shared" si="2"/>
        <v>1.5707963267948966</v>
      </c>
      <c r="I19" s="10">
        <v>0.4</v>
      </c>
      <c r="J19" s="10">
        <v>0</v>
      </c>
      <c r="K19" s="10">
        <v>0</v>
      </c>
      <c r="L19" s="8">
        <v>-7.4886210495606097E-4</v>
      </c>
      <c r="M19" s="8">
        <v>2.0453782752156299E-2</v>
      </c>
      <c r="N19" s="8">
        <v>-9.3716401606798207E-3</v>
      </c>
      <c r="O19" s="8">
        <v>1.6650179401040101E-2</v>
      </c>
      <c r="P19" s="8">
        <v>-2.5679610669612898E-2</v>
      </c>
      <c r="Q19" s="8">
        <v>-0.15806177258491499</v>
      </c>
      <c r="R19" s="8">
        <v>2.0000000000000001E-4</v>
      </c>
      <c r="S19" s="8">
        <v>1.0800000000000001E-2</v>
      </c>
      <c r="T19" s="8">
        <v>-1.9099999999999999E-2</v>
      </c>
      <c r="U19" s="8">
        <v>-2.2000000000000001E-3</v>
      </c>
      <c r="V19" s="8">
        <v>-7.0699999999999999E-2</v>
      </c>
      <c r="W19" s="8">
        <v>-0.12939999999999999</v>
      </c>
      <c r="X19" s="8">
        <f t="shared" si="3"/>
        <v>9.4886210495606096E-4</v>
      </c>
      <c r="Y19" s="8">
        <f t="shared" si="4"/>
        <v>9.6537827521562987E-3</v>
      </c>
      <c r="Z19" s="8">
        <f t="shared" si="5"/>
        <v>9.7283598393201783E-3</v>
      </c>
      <c r="AA19" s="8">
        <f t="shared" si="6"/>
        <v>1.8850179401040102E-2</v>
      </c>
      <c r="AB19" s="8">
        <f t="shared" si="7"/>
        <v>4.5020389330387101E-2</v>
      </c>
      <c r="AC19" s="8">
        <f t="shared" si="8"/>
        <v>2.8661772584915007E-2</v>
      </c>
    </row>
    <row r="20" spans="1:29" x14ac:dyDescent="0.25">
      <c r="A20" s="10">
        <v>0.9</v>
      </c>
      <c r="B20" s="10">
        <v>0.2</v>
      </c>
      <c r="C20" s="10">
        <v>2.3559999999999999</v>
      </c>
      <c r="D20" s="10">
        <f t="shared" si="1"/>
        <v>1.5707963267948966</v>
      </c>
      <c r="E20" s="10">
        <v>0.3</v>
      </c>
      <c r="F20" s="10">
        <v>0.06</v>
      </c>
      <c r="G20" s="10">
        <v>3.1419999999999999</v>
      </c>
      <c r="H20" s="10">
        <f t="shared" si="2"/>
        <v>1.5707963267948966</v>
      </c>
      <c r="I20" s="10">
        <v>1.2</v>
      </c>
      <c r="J20" s="10">
        <v>0</v>
      </c>
      <c r="K20" s="10">
        <v>0</v>
      </c>
      <c r="L20" s="8">
        <v>3.2496866770088699E-3</v>
      </c>
      <c r="M20" s="8">
        <v>-0.114310443401337</v>
      </c>
      <c r="N20" s="8">
        <v>-0.158231571316719</v>
      </c>
      <c r="O20" s="8">
        <v>-0.49384498596191401</v>
      </c>
      <c r="P20" s="8">
        <v>-0.55208766460418701</v>
      </c>
      <c r="Q20" s="8">
        <v>0.26307040452957198</v>
      </c>
      <c r="R20" s="8">
        <v>7.6E-3</v>
      </c>
      <c r="S20" s="8">
        <v>-0.15740000000000001</v>
      </c>
      <c r="T20" s="8">
        <v>-0.20069999999999999</v>
      </c>
      <c r="U20" s="8">
        <v>-0.73</v>
      </c>
      <c r="V20" s="8">
        <v>-0.73870000000000002</v>
      </c>
      <c r="W20" s="8">
        <v>0.42199999999999999</v>
      </c>
      <c r="X20" s="8">
        <f t="shared" si="3"/>
        <v>4.3503133229911301E-3</v>
      </c>
      <c r="Y20" s="8">
        <f t="shared" si="4"/>
        <v>4.3089556598663009E-2</v>
      </c>
      <c r="Z20" s="8">
        <f t="shared" si="5"/>
        <v>4.246842868328099E-2</v>
      </c>
      <c r="AA20" s="8">
        <f t="shared" si="6"/>
        <v>0.23615501403808598</v>
      </c>
      <c r="AB20" s="8">
        <f t="shared" si="7"/>
        <v>0.18661233539581301</v>
      </c>
      <c r="AC20" s="8">
        <f t="shared" si="8"/>
        <v>0.15892959547042801</v>
      </c>
    </row>
    <row r="21" spans="1:29" x14ac:dyDescent="0.25">
      <c r="A21" s="10">
        <v>0.1</v>
      </c>
      <c r="B21" s="10">
        <v>0.1</v>
      </c>
      <c r="C21" s="10">
        <v>3.1419999999999999</v>
      </c>
      <c r="D21" s="10">
        <f t="shared" si="1"/>
        <v>1.5707963267948966</v>
      </c>
      <c r="E21" s="10">
        <v>0.3</v>
      </c>
      <c r="F21" s="10">
        <v>0.08</v>
      </c>
      <c r="G21" s="10">
        <v>3.927</v>
      </c>
      <c r="H21" s="10">
        <f t="shared" si="2"/>
        <v>1.5707963267948966</v>
      </c>
      <c r="I21" s="10">
        <v>1.2</v>
      </c>
      <c r="J21" s="10">
        <v>0</v>
      </c>
      <c r="K21" s="10">
        <v>0</v>
      </c>
      <c r="L21" s="8">
        <v>4.3617305345833302E-4</v>
      </c>
      <c r="M21" s="8">
        <v>3.7674464285373702E-2</v>
      </c>
      <c r="N21" s="8">
        <v>-4.6963214874267599E-2</v>
      </c>
      <c r="O21" s="8">
        <v>1.26499449834228E-2</v>
      </c>
      <c r="P21" s="8">
        <v>-0.26442891359329201</v>
      </c>
      <c r="Q21" s="8">
        <v>-0.20531408488750499</v>
      </c>
      <c r="R21" s="8">
        <v>0</v>
      </c>
      <c r="S21" s="8">
        <v>3.61E-2</v>
      </c>
      <c r="T21" s="8">
        <v>-5.5E-2</v>
      </c>
      <c r="U21" s="8">
        <v>-9.1999999999999998E-3</v>
      </c>
      <c r="V21" s="8">
        <v>-0.312</v>
      </c>
      <c r="W21" s="8">
        <v>-0.21210000000000001</v>
      </c>
      <c r="X21" s="8">
        <f t="shared" si="3"/>
        <v>4.3617305345833302E-4</v>
      </c>
      <c r="Y21" s="8">
        <f t="shared" si="4"/>
        <v>1.5744642853737015E-3</v>
      </c>
      <c r="Z21" s="8">
        <f t="shared" si="5"/>
        <v>8.0367851257324013E-3</v>
      </c>
      <c r="AA21" s="8">
        <f t="shared" si="6"/>
        <v>2.1849944983422798E-2</v>
      </c>
      <c r="AB21" s="8">
        <f t="shared" si="7"/>
        <v>4.7571086406707985E-2</v>
      </c>
      <c r="AC21" s="8">
        <f t="shared" si="8"/>
        <v>6.7859151124950168E-3</v>
      </c>
    </row>
    <row r="22" spans="1:29" x14ac:dyDescent="0.25">
      <c r="A22" s="10">
        <v>0.1</v>
      </c>
      <c r="B22" s="10">
        <v>0.2</v>
      </c>
      <c r="C22" s="10">
        <v>3.1419999999999999</v>
      </c>
      <c r="D22" s="10">
        <f t="shared" si="1"/>
        <v>1.5707963267948966</v>
      </c>
      <c r="E22" s="10">
        <v>0.8</v>
      </c>
      <c r="F22" s="10">
        <v>0.02</v>
      </c>
      <c r="G22" s="10">
        <v>3.927</v>
      </c>
      <c r="H22" s="10">
        <f t="shared" si="2"/>
        <v>1.5707963267948966</v>
      </c>
      <c r="I22" s="10">
        <v>1.2</v>
      </c>
      <c r="J22" s="10">
        <v>0</v>
      </c>
      <c r="K22" s="10">
        <v>0</v>
      </c>
      <c r="L22" s="8">
        <v>1.0640500113368E-3</v>
      </c>
      <c r="M22" s="8">
        <v>6.2404803931713097E-2</v>
      </c>
      <c r="N22" s="8">
        <v>-7.4282236397266402E-2</v>
      </c>
      <c r="O22" s="8">
        <v>1.72678660601377E-2</v>
      </c>
      <c r="P22" s="8">
        <v>-0.60528373718261697</v>
      </c>
      <c r="Q22" s="8">
        <v>-0.54190033674240101</v>
      </c>
      <c r="R22" s="8">
        <v>4.0000000000000002E-4</v>
      </c>
      <c r="S22" s="8">
        <v>6.1899999999999997E-2</v>
      </c>
      <c r="T22" s="8">
        <v>-9.06E-2</v>
      </c>
      <c r="U22" s="8">
        <v>-9.7000000000000003E-3</v>
      </c>
      <c r="V22" s="8">
        <v>-0.66559999999999997</v>
      </c>
      <c r="W22" s="8">
        <v>-0.56569999999999998</v>
      </c>
      <c r="X22" s="8">
        <f t="shared" si="3"/>
        <v>6.640500113368E-4</v>
      </c>
      <c r="Y22" s="8">
        <f t="shared" si="4"/>
        <v>5.0480393171310062E-4</v>
      </c>
      <c r="Z22" s="8">
        <f t="shared" si="5"/>
        <v>1.6317763602733598E-2</v>
      </c>
      <c r="AA22" s="8">
        <f t="shared" si="6"/>
        <v>2.69678660601377E-2</v>
      </c>
      <c r="AB22" s="8">
        <f t="shared" si="7"/>
        <v>6.0316262817383004E-2</v>
      </c>
      <c r="AC22" s="8">
        <f t="shared" si="8"/>
        <v>2.3799663257598969E-2</v>
      </c>
    </row>
    <row r="23" spans="1:29" x14ac:dyDescent="0.25">
      <c r="A23" s="10">
        <v>0.9</v>
      </c>
      <c r="B23" s="10">
        <v>0.1</v>
      </c>
      <c r="C23" s="10">
        <v>3.927</v>
      </c>
      <c r="D23" s="10">
        <f t="shared" si="1"/>
        <v>1.5707963267948966</v>
      </c>
      <c r="E23" s="10">
        <v>0.2</v>
      </c>
      <c r="F23" s="10">
        <v>0.02</v>
      </c>
      <c r="G23" s="10">
        <v>3.1419999999999999</v>
      </c>
      <c r="H23" s="10">
        <f t="shared" si="2"/>
        <v>1.5707963267948966</v>
      </c>
      <c r="I23" s="10">
        <v>1.4</v>
      </c>
      <c r="J23" s="10">
        <v>0</v>
      </c>
      <c r="K23" s="10">
        <v>0</v>
      </c>
      <c r="L23" s="8">
        <v>-2.0453361794352501E-3</v>
      </c>
      <c r="M23" s="8">
        <v>0.14060573279857599</v>
      </c>
      <c r="N23" s="8">
        <v>-0.14573009312152899</v>
      </c>
      <c r="O23" s="8">
        <v>-0.146071821451187</v>
      </c>
      <c r="P23" s="8">
        <v>-0.82719779014587402</v>
      </c>
      <c r="Q23" s="8">
        <v>-0.70544010400772095</v>
      </c>
      <c r="R23" s="8">
        <v>-5.9999999999999995E-4</v>
      </c>
      <c r="S23" s="8">
        <v>0.12</v>
      </c>
      <c r="T23" s="8">
        <v>-0.1419</v>
      </c>
      <c r="U23" s="8">
        <v>-0.15340000000000001</v>
      </c>
      <c r="V23" s="8">
        <v>-0.82820000000000005</v>
      </c>
      <c r="W23" s="8">
        <v>-0.62770000000000004</v>
      </c>
      <c r="X23" s="8">
        <f t="shared" si="3"/>
        <v>1.4453361794352503E-3</v>
      </c>
      <c r="Y23" s="8">
        <f t="shared" si="4"/>
        <v>2.0605732798575999E-2</v>
      </c>
      <c r="Z23" s="8">
        <f t="shared" si="5"/>
        <v>3.830093121528988E-3</v>
      </c>
      <c r="AA23" s="8">
        <f t="shared" si="6"/>
        <v>7.3281785488130136E-3</v>
      </c>
      <c r="AB23" s="8">
        <f t="shared" si="7"/>
        <v>1.0022098541260238E-3</v>
      </c>
      <c r="AC23" s="8">
        <f t="shared" si="8"/>
        <v>7.7740104007720912E-2</v>
      </c>
    </row>
    <row r="24" spans="1:29" x14ac:dyDescent="0.25">
      <c r="A24" s="10">
        <v>0.2</v>
      </c>
      <c r="B24" s="10">
        <v>0.12</v>
      </c>
      <c r="C24" s="10">
        <v>3.927</v>
      </c>
      <c r="D24" s="10">
        <f t="shared" si="1"/>
        <v>1.5707963267948966</v>
      </c>
      <c r="E24" s="10">
        <v>0.2</v>
      </c>
      <c r="F24" s="10">
        <v>0.02</v>
      </c>
      <c r="G24" s="10">
        <v>4.7119999999999997</v>
      </c>
      <c r="H24" s="10">
        <f t="shared" si="2"/>
        <v>1.5707963267948966</v>
      </c>
      <c r="I24" s="10">
        <v>1.2</v>
      </c>
      <c r="J24" s="10">
        <v>0</v>
      </c>
      <c r="K24" s="10">
        <v>0</v>
      </c>
      <c r="L24" s="8">
        <v>-9.4009120948612701E-4</v>
      </c>
      <c r="M24" s="8">
        <v>4.6884305775165599E-2</v>
      </c>
      <c r="N24" s="8">
        <v>-2.4323541671037702E-2</v>
      </c>
      <c r="O24" s="8">
        <v>5.6157279759645497E-3</v>
      </c>
      <c r="P24" s="8">
        <v>-0.11253473162651099</v>
      </c>
      <c r="Q24" s="8">
        <v>-0.29774409532547003</v>
      </c>
      <c r="R24" s="8">
        <v>-2.0000000000000001E-4</v>
      </c>
      <c r="S24" s="8">
        <v>5.16E-2</v>
      </c>
      <c r="T24" s="8">
        <v>-2.9700000000000001E-2</v>
      </c>
      <c r="U24" s="8">
        <v>-5.5999999999999999E-3</v>
      </c>
      <c r="V24" s="8">
        <v>-0.14149999999999999</v>
      </c>
      <c r="W24" s="8">
        <v>-0.34139999999999998</v>
      </c>
      <c r="X24" s="8">
        <f t="shared" si="3"/>
        <v>7.4009120948612703E-4</v>
      </c>
      <c r="Y24" s="8">
        <f t="shared" si="4"/>
        <v>4.7156942248344005E-3</v>
      </c>
      <c r="Z24" s="8">
        <f t="shared" si="5"/>
        <v>5.376458328962299E-3</v>
      </c>
      <c r="AA24" s="8">
        <f t="shared" si="6"/>
        <v>1.121572797596455E-2</v>
      </c>
      <c r="AB24" s="8">
        <f t="shared" si="7"/>
        <v>2.8965268373488992E-2</v>
      </c>
      <c r="AC24" s="8">
        <f t="shared" si="8"/>
        <v>4.3655904674529955E-2</v>
      </c>
    </row>
    <row r="25" spans="1:29" x14ac:dyDescent="0.25">
      <c r="A25" s="10">
        <v>0.6</v>
      </c>
      <c r="B25" s="10">
        <v>0.12</v>
      </c>
      <c r="C25" s="10">
        <v>3.927</v>
      </c>
      <c r="D25" s="10">
        <f t="shared" si="1"/>
        <v>1.5707963267948966</v>
      </c>
      <c r="E25" s="10">
        <v>0.5</v>
      </c>
      <c r="F25" s="10">
        <v>0.08</v>
      </c>
      <c r="G25" s="10">
        <v>4.7119999999999997</v>
      </c>
      <c r="H25" s="10">
        <f t="shared" si="2"/>
        <v>1.5707963267948966</v>
      </c>
      <c r="I25" s="10">
        <v>0.2</v>
      </c>
      <c r="J25" s="10">
        <v>0</v>
      </c>
      <c r="K25" s="10">
        <v>0</v>
      </c>
      <c r="L25" s="8">
        <v>3.5136193037033097E-4</v>
      </c>
      <c r="M25" s="8">
        <v>0.18612760305404699</v>
      </c>
      <c r="N25" s="8">
        <v>-8.7223671376705197E-2</v>
      </c>
      <c r="O25" s="8">
        <v>-0.228773519396782</v>
      </c>
      <c r="P25" s="8">
        <v>-0.39178490638732899</v>
      </c>
      <c r="Q25" s="8">
        <v>-0.93568027019500699</v>
      </c>
      <c r="R25" s="8">
        <v>-2.0000000000000001E-4</v>
      </c>
      <c r="S25" s="8">
        <v>0.17119999999999999</v>
      </c>
      <c r="T25" s="8">
        <v>-8.7400000000000005E-2</v>
      </c>
      <c r="U25" s="8">
        <v>-0.24460000000000001</v>
      </c>
      <c r="V25" s="8">
        <v>-0.4093</v>
      </c>
      <c r="W25" s="8">
        <v>-0.89829999999999999</v>
      </c>
      <c r="X25" s="8">
        <f t="shared" si="3"/>
        <v>5.5136193037033101E-4</v>
      </c>
      <c r="Y25" s="8">
        <f t="shared" si="4"/>
        <v>1.4927603054047001E-2</v>
      </c>
      <c r="Z25" s="8">
        <f t="shared" si="5"/>
        <v>1.7632862329480803E-4</v>
      </c>
      <c r="AA25" s="8">
        <f t="shared" si="6"/>
        <v>1.5826480603218007E-2</v>
      </c>
      <c r="AB25" s="8">
        <f t="shared" si="7"/>
        <v>1.7515093612671007E-2</v>
      </c>
      <c r="AC25" s="8">
        <f t="shared" si="8"/>
        <v>3.7380270195007004E-2</v>
      </c>
    </row>
    <row r="26" spans="1:29" x14ac:dyDescent="0.25">
      <c r="A26" s="10">
        <v>0.7</v>
      </c>
      <c r="B26" s="10">
        <v>0.16</v>
      </c>
      <c r="C26" s="10">
        <v>3.927</v>
      </c>
      <c r="D26" s="10">
        <f t="shared" si="1"/>
        <v>1.5707963267948966</v>
      </c>
      <c r="E26" s="10">
        <v>1</v>
      </c>
      <c r="F26" s="10">
        <v>0.04</v>
      </c>
      <c r="G26" s="10">
        <v>3.927</v>
      </c>
      <c r="H26" s="10">
        <f t="shared" si="2"/>
        <v>1.5707963267948966</v>
      </c>
      <c r="I26" s="10">
        <v>1.2</v>
      </c>
      <c r="J26" s="10">
        <v>0</v>
      </c>
      <c r="K26" s="10">
        <v>0</v>
      </c>
      <c r="L26" s="8">
        <v>-2.9902514070272398E-3</v>
      </c>
      <c r="M26" s="8">
        <v>0.20048326253891</v>
      </c>
      <c r="N26" s="8">
        <v>-0.21412828564643899</v>
      </c>
      <c r="O26" s="8">
        <v>-0.35741558670997597</v>
      </c>
      <c r="P26" s="8">
        <v>-1.1967084407806401</v>
      </c>
      <c r="Q26" s="8">
        <v>-1.0432312488555899</v>
      </c>
      <c r="R26" s="8">
        <v>-1.1000000000000001E-3</v>
      </c>
      <c r="S26" s="8">
        <v>0.2099</v>
      </c>
      <c r="T26" s="8">
        <v>-0.2099</v>
      </c>
      <c r="U26" s="8">
        <v>-0.4637</v>
      </c>
      <c r="V26" s="8">
        <v>-1.1525000000000001</v>
      </c>
      <c r="W26" s="8">
        <v>-1.1497999999999999</v>
      </c>
      <c r="X26" s="8">
        <f t="shared" si="3"/>
        <v>1.8902514070272397E-3</v>
      </c>
      <c r="Y26" s="8">
        <f t="shared" si="4"/>
        <v>9.4167374610900079E-3</v>
      </c>
      <c r="Z26" s="8">
        <f t="shared" si="5"/>
        <v>4.228285646438984E-3</v>
      </c>
      <c r="AA26" s="8">
        <f t="shared" si="6"/>
        <v>0.10628441329002403</v>
      </c>
      <c r="AB26" s="8">
        <f t="shared" si="7"/>
        <v>4.4208440780640013E-2</v>
      </c>
      <c r="AC26" s="8">
        <f t="shared" si="8"/>
        <v>0.10656875114441</v>
      </c>
    </row>
    <row r="27" spans="1:29" x14ac:dyDescent="0.25">
      <c r="A27" s="10">
        <v>0.1</v>
      </c>
      <c r="B27" s="10">
        <v>0.18</v>
      </c>
      <c r="C27" s="10">
        <v>3.927</v>
      </c>
      <c r="D27" s="10">
        <f t="shared" si="1"/>
        <v>1.5707963267948966</v>
      </c>
      <c r="E27" s="10">
        <v>0.9</v>
      </c>
      <c r="F27" s="10">
        <v>0.08</v>
      </c>
      <c r="G27" s="10">
        <v>3.1419999999999999</v>
      </c>
      <c r="H27" s="10">
        <f t="shared" si="2"/>
        <v>1.5707963267948966</v>
      </c>
      <c r="I27" s="10">
        <v>0.6</v>
      </c>
      <c r="J27" s="10">
        <v>0</v>
      </c>
      <c r="K27" s="10">
        <v>0</v>
      </c>
      <c r="L27" s="8">
        <v>-2.0198281854391098E-3</v>
      </c>
      <c r="M27" s="8">
        <v>2.0925674587488199E-2</v>
      </c>
      <c r="N27" s="8">
        <v>-0.17995955049991599</v>
      </c>
      <c r="O27" s="8">
        <v>-0.152651637792587</v>
      </c>
      <c r="P27" s="8">
        <v>-0.97161656618118297</v>
      </c>
      <c r="Q27" s="8">
        <v>-4.6399652957916301E-2</v>
      </c>
      <c r="R27" s="8">
        <v>2.0000000000000001E-4</v>
      </c>
      <c r="S27" s="8">
        <v>1.9E-2</v>
      </c>
      <c r="T27" s="8">
        <v>-0.17080000000000001</v>
      </c>
      <c r="U27" s="8">
        <v>-0.15190000000000001</v>
      </c>
      <c r="V27" s="8">
        <v>-0.95889999999999997</v>
      </c>
      <c r="W27" s="8">
        <v>-6.93E-2</v>
      </c>
      <c r="X27" s="8">
        <f t="shared" si="3"/>
        <v>2.2198281854391099E-3</v>
      </c>
      <c r="Y27" s="8">
        <f t="shared" si="4"/>
        <v>1.9256745874881992E-3</v>
      </c>
      <c r="Z27" s="8">
        <f t="shared" si="5"/>
        <v>9.159550499915986E-3</v>
      </c>
      <c r="AA27" s="8">
        <f t="shared" si="6"/>
        <v>7.5163779258699548E-4</v>
      </c>
      <c r="AB27" s="8">
        <f t="shared" si="7"/>
        <v>1.2716566181182998E-2</v>
      </c>
      <c r="AC27" s="8">
        <f t="shared" si="8"/>
        <v>2.2900347042083699E-2</v>
      </c>
    </row>
    <row r="28" spans="1:29" x14ac:dyDescent="0.25">
      <c r="A28" s="10">
        <v>1</v>
      </c>
      <c r="B28" s="10">
        <v>0.18</v>
      </c>
      <c r="C28" s="10">
        <v>3.927</v>
      </c>
      <c r="D28" s="10">
        <f t="shared" si="1"/>
        <v>1.5707963267948966</v>
      </c>
      <c r="E28" s="10">
        <v>0.1</v>
      </c>
      <c r="F28" s="10">
        <v>0.08</v>
      </c>
      <c r="G28" s="10">
        <v>4.7119999999999997</v>
      </c>
      <c r="H28" s="10">
        <f t="shared" si="2"/>
        <v>1.5707963267948966</v>
      </c>
      <c r="I28" s="10">
        <v>1.4</v>
      </c>
      <c r="J28" s="10">
        <v>0</v>
      </c>
      <c r="K28" s="10">
        <v>0</v>
      </c>
      <c r="L28" s="8">
        <v>-3.2074763439595699E-3</v>
      </c>
      <c r="M28" s="8">
        <v>0.20627745985984799</v>
      </c>
      <c r="N28" s="8">
        <v>-0.18315301835537001</v>
      </c>
      <c r="O28" s="8">
        <v>-0.56037515401840199</v>
      </c>
      <c r="P28" s="8">
        <v>-0.63611704111099199</v>
      </c>
      <c r="Q28" s="8">
        <v>-0.73725110292434703</v>
      </c>
      <c r="R28" s="8">
        <v>-2.3E-3</v>
      </c>
      <c r="S28" s="8">
        <v>0.18809999999999999</v>
      </c>
      <c r="T28" s="8">
        <v>-0.17180000000000001</v>
      </c>
      <c r="U28" s="8">
        <v>-0.65800000000000003</v>
      </c>
      <c r="V28" s="8">
        <v>-0.5544</v>
      </c>
      <c r="W28" s="8">
        <v>-0.63919999999999999</v>
      </c>
      <c r="X28" s="8">
        <f t="shared" si="3"/>
        <v>9.0747634395956997E-4</v>
      </c>
      <c r="Y28" s="8">
        <f t="shared" si="4"/>
        <v>1.8177459859848005E-2</v>
      </c>
      <c r="Z28" s="8">
        <f t="shared" si="5"/>
        <v>1.1353018355370004E-2</v>
      </c>
      <c r="AA28" s="8">
        <f t="shared" si="6"/>
        <v>9.7624845981598041E-2</v>
      </c>
      <c r="AB28" s="8">
        <f t="shared" si="7"/>
        <v>8.1717041110991984E-2</v>
      </c>
      <c r="AC28" s="8">
        <f t="shared" si="8"/>
        <v>9.8051102924347044E-2</v>
      </c>
    </row>
    <row r="29" spans="1:29" x14ac:dyDescent="0.25">
      <c r="A29" s="10">
        <v>0.7</v>
      </c>
      <c r="B29" s="10">
        <v>0.2</v>
      </c>
      <c r="C29" s="10">
        <v>3.927</v>
      </c>
      <c r="D29" s="10">
        <f t="shared" si="1"/>
        <v>1.5707963267948966</v>
      </c>
      <c r="E29" s="10">
        <v>0.2</v>
      </c>
      <c r="F29" s="10">
        <v>0.02</v>
      </c>
      <c r="G29" s="10">
        <v>3.927</v>
      </c>
      <c r="H29" s="10">
        <f t="shared" si="2"/>
        <v>1.5707963267948966</v>
      </c>
      <c r="I29" s="10">
        <v>0.4</v>
      </c>
      <c r="J29" s="10">
        <v>0</v>
      </c>
      <c r="K29" s="10">
        <v>0</v>
      </c>
      <c r="L29" s="8">
        <v>-7.4698124080896399E-4</v>
      </c>
      <c r="M29" s="8">
        <v>0.110706090927124</v>
      </c>
      <c r="N29" s="8">
        <v>-0.128691270947456</v>
      </c>
      <c r="O29" s="8">
        <v>-0.39982143044471702</v>
      </c>
      <c r="P29" s="8">
        <v>-0.49842935800552401</v>
      </c>
      <c r="Q29" s="8">
        <v>-0.30814808607101402</v>
      </c>
      <c r="R29" s="8">
        <v>-5.0000000000000001E-4</v>
      </c>
      <c r="S29" s="8">
        <v>0.1464</v>
      </c>
      <c r="T29" s="8">
        <v>-0.1464</v>
      </c>
      <c r="U29" s="8">
        <v>-0.42180000000000001</v>
      </c>
      <c r="V29" s="8">
        <v>-0.54790000000000005</v>
      </c>
      <c r="W29" s="8">
        <v>-0.5464</v>
      </c>
      <c r="X29" s="8">
        <f t="shared" si="3"/>
        <v>2.4698124080896398E-4</v>
      </c>
      <c r="Y29" s="8">
        <f t="shared" si="4"/>
        <v>3.5693909072876007E-2</v>
      </c>
      <c r="Z29" s="8">
        <f t="shared" si="5"/>
        <v>1.7708729052544003E-2</v>
      </c>
      <c r="AA29" s="8">
        <f t="shared" si="6"/>
        <v>2.197856955528299E-2</v>
      </c>
      <c r="AB29" s="8">
        <f t="shared" si="7"/>
        <v>4.9470641994476039E-2</v>
      </c>
      <c r="AC29" s="8">
        <f t="shared" si="8"/>
        <v>0.23825191392898598</v>
      </c>
    </row>
    <row r="30" spans="1:29" x14ac:dyDescent="0.25">
      <c r="A30" s="10">
        <v>1</v>
      </c>
      <c r="B30" s="10">
        <v>0.2</v>
      </c>
      <c r="C30" s="10">
        <v>3.927</v>
      </c>
      <c r="D30" s="10">
        <f t="shared" si="1"/>
        <v>1.5707963267948966</v>
      </c>
      <c r="E30" s="10">
        <v>1</v>
      </c>
      <c r="F30" s="10">
        <v>0.06</v>
      </c>
      <c r="G30" s="10">
        <v>3.927</v>
      </c>
      <c r="H30" s="10">
        <f t="shared" si="2"/>
        <v>1.5707963267948966</v>
      </c>
      <c r="I30" s="10">
        <v>0.2</v>
      </c>
      <c r="J30" s="10">
        <v>0</v>
      </c>
      <c r="K30" s="10">
        <v>0</v>
      </c>
      <c r="L30" s="8">
        <v>-3.93409747630358E-3</v>
      </c>
      <c r="M30" s="8">
        <v>0.26014894247055098</v>
      </c>
      <c r="N30" s="8">
        <v>-0.247706294059753</v>
      </c>
      <c r="O30" s="8">
        <v>-0.95730906724929798</v>
      </c>
      <c r="P30" s="8">
        <v>-1.0179207324981701</v>
      </c>
      <c r="Q30" s="8">
        <v>-0.96642386913299605</v>
      </c>
      <c r="R30" s="8">
        <v>-4.0000000000000002E-4</v>
      </c>
      <c r="S30" s="8">
        <v>0.2606</v>
      </c>
      <c r="T30" s="8">
        <v>-0.2606</v>
      </c>
      <c r="U30" s="8">
        <v>-1.3205</v>
      </c>
      <c r="V30" s="8">
        <v>-1.0181</v>
      </c>
      <c r="W30" s="8">
        <v>-1.0159</v>
      </c>
      <c r="X30" s="8">
        <f t="shared" si="3"/>
        <v>3.5340974763035798E-3</v>
      </c>
      <c r="Y30" s="8">
        <f t="shared" si="4"/>
        <v>4.5105752944901711E-4</v>
      </c>
      <c r="Z30" s="8">
        <f t="shared" si="5"/>
        <v>1.2893705940246997E-2</v>
      </c>
      <c r="AA30" s="8">
        <f t="shared" si="6"/>
        <v>0.36319093275070202</v>
      </c>
      <c r="AB30" s="8">
        <f t="shared" si="7"/>
        <v>1.7926750182994944E-4</v>
      </c>
      <c r="AC30" s="8">
        <f t="shared" si="8"/>
        <v>4.9476130867003976E-2</v>
      </c>
    </row>
    <row r="31" spans="1:29" x14ac:dyDescent="0.25">
      <c r="A31" s="10">
        <v>0.1</v>
      </c>
      <c r="B31" s="10">
        <v>0.1</v>
      </c>
      <c r="C31" s="10">
        <v>4.7119999999999997</v>
      </c>
      <c r="D31" s="10">
        <f t="shared" si="1"/>
        <v>1.5707963267948966</v>
      </c>
      <c r="E31" s="10">
        <v>0.2</v>
      </c>
      <c r="F31" s="10">
        <v>0.02</v>
      </c>
      <c r="G31" s="10">
        <v>3.1419999999999999</v>
      </c>
      <c r="H31" s="10">
        <f t="shared" si="2"/>
        <v>1.5707963267948966</v>
      </c>
      <c r="I31" s="10">
        <v>0</v>
      </c>
      <c r="J31" s="10">
        <v>0</v>
      </c>
      <c r="K31" s="10">
        <v>0</v>
      </c>
      <c r="L31" s="8">
        <v>-2.4949701037257899E-4</v>
      </c>
      <c r="M31" s="8">
        <v>1.1188399977982001E-2</v>
      </c>
      <c r="N31" s="8">
        <v>-2.3344287648797001E-2</v>
      </c>
      <c r="O31" s="8">
        <v>-4.5918696559965602E-3</v>
      </c>
      <c r="P31" s="8">
        <v>-0.20488628745078999</v>
      </c>
      <c r="Q31" s="8">
        <v>-6.8177700042724595E-2</v>
      </c>
      <c r="R31" s="8">
        <v>0</v>
      </c>
      <c r="S31" s="8">
        <v>1.9E-2</v>
      </c>
      <c r="T31" s="8">
        <v>-2.1899999999999999E-2</v>
      </c>
      <c r="U31" s="8">
        <v>-2.5999999999999999E-3</v>
      </c>
      <c r="V31" s="8">
        <v>-0.2</v>
      </c>
      <c r="W31" s="8">
        <v>-0.10009999999999999</v>
      </c>
      <c r="X31" s="8">
        <f t="shared" si="3"/>
        <v>2.4949701037257899E-4</v>
      </c>
      <c r="Y31" s="8">
        <f t="shared" si="4"/>
        <v>7.8116000220179987E-3</v>
      </c>
      <c r="Z31" s="8">
        <f t="shared" si="5"/>
        <v>1.4442876487970012E-3</v>
      </c>
      <c r="AA31" s="8">
        <f t="shared" si="6"/>
        <v>1.9918696559965603E-3</v>
      </c>
      <c r="AB31" s="8">
        <f t="shared" si="7"/>
        <v>4.8862874507899778E-3</v>
      </c>
      <c r="AC31" s="8">
        <f t="shared" si="8"/>
        <v>3.1922299957275399E-2</v>
      </c>
    </row>
    <row r="32" spans="1:29" x14ac:dyDescent="0.25">
      <c r="A32" s="10">
        <v>0.3</v>
      </c>
      <c r="B32" s="10">
        <v>0.1</v>
      </c>
      <c r="C32" s="10">
        <v>4.7119999999999997</v>
      </c>
      <c r="D32" s="10">
        <f t="shared" si="1"/>
        <v>1.5707963267948966</v>
      </c>
      <c r="E32" s="10">
        <v>0.8</v>
      </c>
      <c r="F32" s="10">
        <v>0.04</v>
      </c>
      <c r="G32" s="10">
        <v>3.927</v>
      </c>
      <c r="H32" s="10">
        <f t="shared" si="2"/>
        <v>1.5707963267948966</v>
      </c>
      <c r="I32" s="10">
        <v>0.4</v>
      </c>
      <c r="J32" s="10">
        <v>0</v>
      </c>
      <c r="K32" s="10">
        <v>0</v>
      </c>
      <c r="L32" s="8">
        <v>-1.44378747791052E-4</v>
      </c>
      <c r="M32" s="8">
        <v>0.122855387628078</v>
      </c>
      <c r="N32" s="8">
        <v>-6.9621779024600997E-2</v>
      </c>
      <c r="O32" s="8">
        <v>-7.5552083551883698E-2</v>
      </c>
      <c r="P32" s="8">
        <v>-0.53028601408004805</v>
      </c>
      <c r="Q32" s="8">
        <v>-0.79531830549240101</v>
      </c>
      <c r="R32" s="8">
        <v>-2.0000000000000001E-4</v>
      </c>
      <c r="S32" s="8">
        <v>0.13020000000000001</v>
      </c>
      <c r="T32" s="8">
        <v>-7.3400000000000007E-2</v>
      </c>
      <c r="U32" s="8">
        <v>-6.9400000000000003E-2</v>
      </c>
      <c r="V32" s="8">
        <v>-0.56510000000000005</v>
      </c>
      <c r="W32" s="8">
        <v>-0.86329999999999996</v>
      </c>
      <c r="X32" s="8">
        <f t="shared" si="3"/>
        <v>5.5621252208948009E-5</v>
      </c>
      <c r="Y32" s="8">
        <f t="shared" si="4"/>
        <v>7.3446123719220074E-3</v>
      </c>
      <c r="Z32" s="8">
        <f t="shared" si="5"/>
        <v>3.7782209753990104E-3</v>
      </c>
      <c r="AA32" s="8">
        <f t="shared" si="6"/>
        <v>6.1520835518836942E-3</v>
      </c>
      <c r="AB32" s="8">
        <f t="shared" si="7"/>
        <v>3.4813985919951995E-2</v>
      </c>
      <c r="AC32" s="8">
        <f t="shared" si="8"/>
        <v>6.7981694507598944E-2</v>
      </c>
    </row>
    <row r="33" spans="1:29" x14ac:dyDescent="0.25">
      <c r="A33" s="10">
        <v>1</v>
      </c>
      <c r="B33" s="10">
        <v>0.1</v>
      </c>
      <c r="C33" s="10">
        <v>4.7119999999999997</v>
      </c>
      <c r="D33" s="10">
        <f t="shared" si="1"/>
        <v>1.5707963267948966</v>
      </c>
      <c r="E33" s="10">
        <v>0.1</v>
      </c>
      <c r="F33" s="10">
        <v>0.04</v>
      </c>
      <c r="G33" s="10">
        <v>4.7119999999999997</v>
      </c>
      <c r="H33" s="10">
        <f t="shared" si="2"/>
        <v>1.5707963267948966</v>
      </c>
      <c r="I33" s="10">
        <v>0</v>
      </c>
      <c r="J33" s="10">
        <v>0</v>
      </c>
      <c r="K33" s="10">
        <v>0</v>
      </c>
      <c r="L33" s="8">
        <v>2.13603163138032E-3</v>
      </c>
      <c r="M33" s="8">
        <v>0.22294643521308899</v>
      </c>
      <c r="N33" s="8">
        <v>-3.3264472149312501E-3</v>
      </c>
      <c r="O33" s="8">
        <v>-0.25940474867820701</v>
      </c>
      <c r="P33" s="8">
        <v>-2.7135983109474199E-2</v>
      </c>
      <c r="Q33" s="8">
        <v>-1.17376625537872</v>
      </c>
      <c r="R33" s="8">
        <v>0</v>
      </c>
      <c r="S33" s="8">
        <v>0.19980000000000001</v>
      </c>
      <c r="T33" s="8">
        <v>-1E-4</v>
      </c>
      <c r="U33" s="8">
        <v>-0.25019999999999998</v>
      </c>
      <c r="V33" s="8">
        <v>-4.0000000000000002E-4</v>
      </c>
      <c r="W33" s="8">
        <v>-1.0708</v>
      </c>
      <c r="X33" s="8">
        <f t="shared" si="3"/>
        <v>2.13603163138032E-3</v>
      </c>
      <c r="Y33" s="8">
        <f t="shared" si="4"/>
        <v>2.3146435213088984E-2</v>
      </c>
      <c r="Z33" s="8">
        <f t="shared" si="5"/>
        <v>3.2264472149312502E-3</v>
      </c>
      <c r="AA33" s="8">
        <f t="shared" si="6"/>
        <v>9.2047486782070309E-3</v>
      </c>
      <c r="AB33" s="8">
        <f t="shared" si="7"/>
        <v>2.6735983109474198E-2</v>
      </c>
      <c r="AC33" s="8">
        <f t="shared" si="8"/>
        <v>0.10296625537872006</v>
      </c>
    </row>
    <row r="34" spans="1:29" x14ac:dyDescent="0.25">
      <c r="A34" s="10">
        <v>0.1</v>
      </c>
      <c r="B34" s="10">
        <v>0.1</v>
      </c>
      <c r="C34" s="10">
        <v>4.7119999999999997</v>
      </c>
      <c r="D34" s="10">
        <f t="shared" si="1"/>
        <v>1.5707963267948966</v>
      </c>
      <c r="E34" s="10">
        <v>1</v>
      </c>
      <c r="F34" s="10">
        <v>0.08</v>
      </c>
      <c r="G34" s="10">
        <v>4.7119999999999997</v>
      </c>
      <c r="H34" s="10">
        <f t="shared" si="2"/>
        <v>1.5707963267948966</v>
      </c>
      <c r="I34" s="10">
        <v>1.4</v>
      </c>
      <c r="J34" s="10">
        <v>0</v>
      </c>
      <c r="K34" s="10">
        <v>0</v>
      </c>
      <c r="L34" s="8">
        <v>-2.9623867012560398E-3</v>
      </c>
      <c r="M34" s="8">
        <v>0.167345225811005</v>
      </c>
      <c r="N34" s="8">
        <v>-2.4530226364731799E-2</v>
      </c>
      <c r="O34" s="8">
        <v>-0.11945986747741701</v>
      </c>
      <c r="P34" s="8">
        <v>-0.14860638976097101</v>
      </c>
      <c r="Q34" s="8">
        <v>-0.949754118919373</v>
      </c>
      <c r="R34" s="8">
        <v>-1.6999999999999999E-3</v>
      </c>
      <c r="S34" s="8">
        <v>0.18759999999999999</v>
      </c>
      <c r="T34" s="8">
        <v>-1E-4</v>
      </c>
      <c r="U34" s="8">
        <v>-0.16339999999999999</v>
      </c>
      <c r="V34" s="8">
        <v>-2.3E-3</v>
      </c>
      <c r="W34" s="8">
        <v>-1.0878000000000001</v>
      </c>
      <c r="X34" s="8">
        <f t="shared" si="3"/>
        <v>1.2623867012560399E-3</v>
      </c>
      <c r="Y34" s="8">
        <f t="shared" si="4"/>
        <v>2.0254774188994989E-2</v>
      </c>
      <c r="Z34" s="8">
        <f t="shared" si="5"/>
        <v>2.44302263647318E-2</v>
      </c>
      <c r="AA34" s="8">
        <f t="shared" si="6"/>
        <v>4.3940132522582984E-2</v>
      </c>
      <c r="AB34" s="8">
        <f t="shared" si="7"/>
        <v>0.14630638976097102</v>
      </c>
      <c r="AC34" s="8">
        <f t="shared" si="8"/>
        <v>0.1380458810806271</v>
      </c>
    </row>
    <row r="35" spans="1:29" x14ac:dyDescent="0.25">
      <c r="A35" s="10">
        <v>0.9</v>
      </c>
      <c r="B35" s="10">
        <v>0.12</v>
      </c>
      <c r="C35" s="10">
        <v>4.7119999999999997</v>
      </c>
      <c r="D35" s="10">
        <f t="shared" si="1"/>
        <v>1.5707963267948966</v>
      </c>
      <c r="E35" s="10">
        <v>0.9</v>
      </c>
      <c r="F35" s="10">
        <v>0.02</v>
      </c>
      <c r="G35" s="10">
        <v>3.1419999999999999</v>
      </c>
      <c r="H35" s="10">
        <f t="shared" si="2"/>
        <v>1.5707963267948966</v>
      </c>
      <c r="I35" s="10">
        <v>0</v>
      </c>
      <c r="J35" s="10">
        <v>0</v>
      </c>
      <c r="K35" s="10">
        <v>0</v>
      </c>
      <c r="L35" s="8">
        <v>-7.8027322888374296E-4</v>
      </c>
      <c r="M35" s="8">
        <v>0.20929773151874501</v>
      </c>
      <c r="N35" s="8">
        <v>-9.5626659691333799E-2</v>
      </c>
      <c r="O35" s="8">
        <v>-0.33798754215240501</v>
      </c>
      <c r="P35" s="8">
        <v>-0.8543701171875</v>
      </c>
      <c r="Q35" s="8">
        <v>-0.97470813989639304</v>
      </c>
      <c r="R35" s="8">
        <v>0</v>
      </c>
      <c r="S35" s="8">
        <v>0.18429999999999999</v>
      </c>
      <c r="T35" s="8">
        <v>-9.8299999999999998E-2</v>
      </c>
      <c r="U35" s="8">
        <v>-0.27539999999999998</v>
      </c>
      <c r="V35" s="8">
        <v>-0.89829999999999999</v>
      </c>
      <c r="W35" s="8">
        <v>-0.8589</v>
      </c>
      <c r="X35" s="8">
        <f t="shared" si="3"/>
        <v>7.8027322888374296E-4</v>
      </c>
      <c r="Y35" s="8">
        <f t="shared" si="4"/>
        <v>2.4997731518745014E-2</v>
      </c>
      <c r="Z35" s="8">
        <f t="shared" si="5"/>
        <v>2.6733403086662E-3</v>
      </c>
      <c r="AA35" s="8">
        <f t="shared" si="6"/>
        <v>6.2587542152405029E-2</v>
      </c>
      <c r="AB35" s="8">
        <f t="shared" si="7"/>
        <v>4.3929882812499987E-2</v>
      </c>
      <c r="AC35" s="8">
        <f t="shared" si="8"/>
        <v>0.11580813989639305</v>
      </c>
    </row>
    <row r="36" spans="1:29" x14ac:dyDescent="0.25">
      <c r="A36" s="10">
        <v>1</v>
      </c>
      <c r="B36" s="10">
        <v>0.12</v>
      </c>
      <c r="C36" s="10">
        <v>4.7119999999999997</v>
      </c>
      <c r="D36" s="10">
        <f t="shared" si="1"/>
        <v>1.5707963267948966</v>
      </c>
      <c r="E36" s="10">
        <v>0.8</v>
      </c>
      <c r="F36" s="10">
        <v>0.08</v>
      </c>
      <c r="G36" s="10">
        <v>3.1419999999999999</v>
      </c>
      <c r="H36" s="10">
        <f t="shared" si="2"/>
        <v>1.5707963267948966</v>
      </c>
      <c r="I36" s="10">
        <v>1.2</v>
      </c>
      <c r="J36" s="10">
        <v>0</v>
      </c>
      <c r="K36" s="10">
        <v>0</v>
      </c>
      <c r="L36" s="8">
        <v>-5.3540230728685899E-3</v>
      </c>
      <c r="M36" s="8">
        <v>0.23577138781547499</v>
      </c>
      <c r="N36" s="8">
        <v>-0.12704449892044101</v>
      </c>
      <c r="O36" s="8">
        <v>-0.53383183479309104</v>
      </c>
      <c r="P36" s="8">
        <v>-0.71507501602172896</v>
      </c>
      <c r="Q36" s="8">
        <v>-1.0263080596923799</v>
      </c>
      <c r="R36" s="8">
        <v>-2.2000000000000001E-3</v>
      </c>
      <c r="S36" s="8">
        <v>0.2041</v>
      </c>
      <c r="T36" s="8">
        <v>-0.13339999999999999</v>
      </c>
      <c r="U36" s="8">
        <v>-0.37419999999999998</v>
      </c>
      <c r="V36" s="8">
        <v>-0.77939999999999998</v>
      </c>
      <c r="W36" s="8">
        <v>-0.94550000000000001</v>
      </c>
      <c r="X36" s="8">
        <f t="shared" si="3"/>
        <v>3.1540230728685898E-3</v>
      </c>
      <c r="Y36" s="8">
        <f t="shared" si="4"/>
        <v>3.1671387815474988E-2</v>
      </c>
      <c r="Z36" s="8">
        <f t="shared" si="5"/>
        <v>6.3555010795589839E-3</v>
      </c>
      <c r="AA36" s="8">
        <f t="shared" si="6"/>
        <v>0.15963183479309107</v>
      </c>
      <c r="AB36" s="8">
        <f t="shared" si="7"/>
        <v>6.4324983978271022E-2</v>
      </c>
      <c r="AC36" s="8">
        <f t="shared" si="8"/>
        <v>8.0808059692379919E-2</v>
      </c>
    </row>
    <row r="37" spans="1:29" x14ac:dyDescent="0.25">
      <c r="A37" s="10">
        <v>0.3</v>
      </c>
      <c r="B37" s="10">
        <v>0.18</v>
      </c>
      <c r="C37" s="10">
        <v>4.7119999999999997</v>
      </c>
      <c r="D37" s="10">
        <f t="shared" si="1"/>
        <v>1.5707963267948966</v>
      </c>
      <c r="E37" s="10">
        <v>0.3</v>
      </c>
      <c r="F37" s="10">
        <v>0.06</v>
      </c>
      <c r="G37" s="10">
        <v>3.1419999999999999</v>
      </c>
      <c r="H37" s="10">
        <f t="shared" si="2"/>
        <v>1.5707963267948966</v>
      </c>
      <c r="I37" s="10">
        <v>1.4</v>
      </c>
      <c r="J37" s="10">
        <v>0</v>
      </c>
      <c r="K37" s="10">
        <v>0</v>
      </c>
      <c r="L37" s="8">
        <v>-1.7680961173027799E-3</v>
      </c>
      <c r="M37" s="8">
        <v>6.0080211609602002E-2</v>
      </c>
      <c r="N37" s="8">
        <v>-4.9739588052034399E-2</v>
      </c>
      <c r="O37" s="8">
        <v>-3.2015025615692097E-2</v>
      </c>
      <c r="P37" s="8">
        <v>-0.322286486625671</v>
      </c>
      <c r="Q37" s="8">
        <v>-0.222265124320984</v>
      </c>
      <c r="R37" s="8">
        <v>-2.0999999999999999E-3</v>
      </c>
      <c r="S37" s="8">
        <v>8.0600000000000005E-2</v>
      </c>
      <c r="T37" s="8">
        <v>-4.48E-2</v>
      </c>
      <c r="U37" s="8">
        <v>-5.3499999999999999E-2</v>
      </c>
      <c r="V37" s="8">
        <v>-0.3004</v>
      </c>
      <c r="W37" s="8">
        <v>-0.2954</v>
      </c>
      <c r="X37" s="8">
        <f t="shared" si="3"/>
        <v>3.3190388269721993E-4</v>
      </c>
      <c r="Y37" s="8">
        <f t="shared" si="4"/>
        <v>2.0519788390398003E-2</v>
      </c>
      <c r="Z37" s="8">
        <f t="shared" si="5"/>
        <v>4.9395880520343993E-3</v>
      </c>
      <c r="AA37" s="8">
        <f t="shared" si="6"/>
        <v>2.1484974384307902E-2</v>
      </c>
      <c r="AB37" s="8">
        <f t="shared" si="7"/>
        <v>2.1886486625670998E-2</v>
      </c>
      <c r="AC37" s="8">
        <f t="shared" si="8"/>
        <v>7.3134875679015998E-2</v>
      </c>
    </row>
    <row r="38" spans="1:29" x14ac:dyDescent="0.25">
      <c r="A38" s="10">
        <v>0.9</v>
      </c>
      <c r="B38" s="10">
        <v>0.18</v>
      </c>
      <c r="C38" s="10">
        <v>4.7119999999999997</v>
      </c>
      <c r="D38" s="10">
        <f t="shared" si="1"/>
        <v>1.5707963267948966</v>
      </c>
      <c r="E38" s="10">
        <v>0.2</v>
      </c>
      <c r="F38" s="10">
        <v>0.08</v>
      </c>
      <c r="G38" s="10">
        <v>3.1419999999999999</v>
      </c>
      <c r="H38" s="10">
        <f t="shared" si="2"/>
        <v>1.5707963267948966</v>
      </c>
      <c r="I38" s="10">
        <v>0.2</v>
      </c>
      <c r="J38" s="10">
        <v>0</v>
      </c>
      <c r="K38" s="10">
        <v>0</v>
      </c>
      <c r="L38" s="8">
        <v>-7.3416158556938198E-5</v>
      </c>
      <c r="M38" s="8">
        <v>0.209005877375603</v>
      </c>
      <c r="N38" s="8">
        <v>-3.9002325385808903E-2</v>
      </c>
      <c r="O38" s="8">
        <v>-0.50677508115768399</v>
      </c>
      <c r="P38" s="8">
        <v>-0.22871214151382399</v>
      </c>
      <c r="Q38" s="8">
        <v>-0.63768112659454301</v>
      </c>
      <c r="R38" s="8">
        <v>-8.9999999999999998E-4</v>
      </c>
      <c r="S38" s="8">
        <v>0.21870000000000001</v>
      </c>
      <c r="T38" s="8">
        <v>-3.27E-2</v>
      </c>
      <c r="U38" s="8">
        <v>-0.56420000000000003</v>
      </c>
      <c r="V38" s="8">
        <v>-0.19</v>
      </c>
      <c r="W38" s="8">
        <v>-0.70420000000000005</v>
      </c>
      <c r="X38" s="8">
        <f t="shared" si="3"/>
        <v>8.265838414430618E-4</v>
      </c>
      <c r="Y38" s="8">
        <f t="shared" si="4"/>
        <v>9.6941226243970058E-3</v>
      </c>
      <c r="Z38" s="8">
        <f t="shared" si="5"/>
        <v>6.3023253858089032E-3</v>
      </c>
      <c r="AA38" s="8">
        <f t="shared" si="6"/>
        <v>5.7424918842316042E-2</v>
      </c>
      <c r="AB38" s="8">
        <f t="shared" si="7"/>
        <v>3.8712141513823989E-2</v>
      </c>
      <c r="AC38" s="8">
        <f t="shared" si="8"/>
        <v>6.6518873405457035E-2</v>
      </c>
    </row>
    <row r="39" spans="1:29" x14ac:dyDescent="0.25">
      <c r="A39" s="10">
        <v>0.1</v>
      </c>
      <c r="B39" s="10">
        <v>0.18</v>
      </c>
      <c r="C39" s="10">
        <v>4.7119999999999997</v>
      </c>
      <c r="D39" s="10">
        <f t="shared" si="1"/>
        <v>1.5707963267948966</v>
      </c>
      <c r="E39" s="10">
        <v>1</v>
      </c>
      <c r="F39" s="10">
        <v>0.02</v>
      </c>
      <c r="G39" s="10">
        <v>4.7119999999999997</v>
      </c>
      <c r="H39" s="10">
        <f t="shared" si="2"/>
        <v>1.5707963267948966</v>
      </c>
      <c r="I39" s="10">
        <v>0</v>
      </c>
      <c r="J39" s="10">
        <v>0</v>
      </c>
      <c r="K39" s="10">
        <v>0</v>
      </c>
      <c r="L39" s="8">
        <v>1.8433155491948101E-4</v>
      </c>
      <c r="M39" s="8">
        <v>0.11752788722515101</v>
      </c>
      <c r="N39" s="8">
        <v>1.77300837822258E-3</v>
      </c>
      <c r="O39" s="8">
        <v>-3.8502156734466601E-2</v>
      </c>
      <c r="P39" s="8">
        <v>7.6181143522262599E-3</v>
      </c>
      <c r="Q39" s="8">
        <v>-0.99801015853881803</v>
      </c>
      <c r="R39" s="8">
        <v>0</v>
      </c>
      <c r="S39" s="8">
        <v>0.13639999999999999</v>
      </c>
      <c r="T39" s="8">
        <v>-1E-4</v>
      </c>
      <c r="U39" s="8">
        <v>-3.1699999999999999E-2</v>
      </c>
      <c r="V39" s="8">
        <v>-4.0000000000000002E-4</v>
      </c>
      <c r="W39" s="8">
        <v>-1.0992999999999999</v>
      </c>
      <c r="X39" s="8">
        <f t="shared" si="3"/>
        <v>1.8433155491948101E-4</v>
      </c>
      <c r="Y39" s="8">
        <f t="shared" si="4"/>
        <v>1.8872112774848987E-2</v>
      </c>
      <c r="Z39" s="8">
        <f t="shared" si="5"/>
        <v>1.87300837822258E-3</v>
      </c>
      <c r="AA39" s="8">
        <f t="shared" si="6"/>
        <v>6.8021567344666023E-3</v>
      </c>
      <c r="AB39" s="8">
        <f t="shared" si="7"/>
        <v>8.0181143522262601E-3</v>
      </c>
      <c r="AC39" s="8">
        <f t="shared" si="8"/>
        <v>0.10128984146118192</v>
      </c>
    </row>
    <row r="40" spans="1:29" x14ac:dyDescent="0.25">
      <c r="A40" s="10">
        <v>0.8</v>
      </c>
      <c r="B40" s="10">
        <v>0.18</v>
      </c>
      <c r="C40" s="10">
        <v>4.7119999999999997</v>
      </c>
      <c r="D40" s="10">
        <f t="shared" si="1"/>
        <v>1.5707963267948966</v>
      </c>
      <c r="E40" s="10">
        <v>0.6</v>
      </c>
      <c r="F40" s="10">
        <v>0.06</v>
      </c>
      <c r="G40" s="10">
        <v>4.7119999999999997</v>
      </c>
      <c r="H40" s="10">
        <f t="shared" si="2"/>
        <v>1.5707963267948966</v>
      </c>
      <c r="I40" s="10">
        <v>1</v>
      </c>
      <c r="J40" s="10">
        <v>0</v>
      </c>
      <c r="K40" s="10">
        <v>0</v>
      </c>
      <c r="L40" s="8">
        <v>-5.2668377757072397E-3</v>
      </c>
      <c r="M40" s="8">
        <v>0.27689665555954002</v>
      </c>
      <c r="N40" s="8">
        <v>-1.6046434640884399E-2</v>
      </c>
      <c r="O40" s="8">
        <v>-0.47105222940444902</v>
      </c>
      <c r="P40" s="8">
        <v>-0.10896006226539599</v>
      </c>
      <c r="Q40" s="8">
        <v>-1.1885303258895901</v>
      </c>
      <c r="R40" s="8">
        <v>-4.4999999999999997E-3</v>
      </c>
      <c r="S40" s="8">
        <v>0.28349999999999997</v>
      </c>
      <c r="T40" s="8">
        <v>-1E-4</v>
      </c>
      <c r="U40" s="8">
        <v>-0.68269999999999997</v>
      </c>
      <c r="V40" s="8">
        <v>-1.1900000000000001E-2</v>
      </c>
      <c r="W40" s="8">
        <v>-1.2096</v>
      </c>
      <c r="X40" s="8">
        <f t="shared" si="3"/>
        <v>7.6683777570724001E-4</v>
      </c>
      <c r="Y40" s="8">
        <f t="shared" si="4"/>
        <v>6.6033444404599573E-3</v>
      </c>
      <c r="Z40" s="8">
        <f t="shared" si="5"/>
        <v>1.59464346408844E-2</v>
      </c>
      <c r="AA40" s="8">
        <f t="shared" si="6"/>
        <v>0.21164777059555095</v>
      </c>
      <c r="AB40" s="8">
        <f t="shared" si="7"/>
        <v>9.7060062265395985E-2</v>
      </c>
      <c r="AC40" s="8">
        <f t="shared" si="8"/>
        <v>2.1069674110409942E-2</v>
      </c>
    </row>
    <row r="41" spans="1:29" x14ac:dyDescent="0.25">
      <c r="A41" s="10">
        <v>1</v>
      </c>
      <c r="B41" s="10">
        <v>0.2</v>
      </c>
      <c r="C41" s="10">
        <v>4.7119999999999997</v>
      </c>
      <c r="D41" s="10">
        <f t="shared" si="1"/>
        <v>1.5707963267948966</v>
      </c>
      <c r="E41" s="10">
        <v>0.8</v>
      </c>
      <c r="F41" s="10">
        <v>0.02</v>
      </c>
      <c r="G41" s="10">
        <v>3.1419999999999999</v>
      </c>
      <c r="H41" s="10">
        <f t="shared" si="2"/>
        <v>1.5707963267948966</v>
      </c>
      <c r="I41" s="10">
        <v>1.4</v>
      </c>
      <c r="J41" s="10">
        <v>0</v>
      </c>
      <c r="K41" s="10">
        <v>0</v>
      </c>
      <c r="L41" s="8">
        <v>-1.2570786289870701E-2</v>
      </c>
      <c r="M41" s="8">
        <v>0.239984765648842</v>
      </c>
      <c r="N41" s="8">
        <v>-9.4180338084697696E-2</v>
      </c>
      <c r="O41" s="8">
        <v>-0.68777251243591297</v>
      </c>
      <c r="P41" s="8">
        <v>-0.81574249267578103</v>
      </c>
      <c r="Q41" s="8">
        <v>-0.66350710391998302</v>
      </c>
      <c r="R41" s="8">
        <v>-8.6999999999999994E-3</v>
      </c>
      <c r="S41" s="8">
        <v>0.24410000000000001</v>
      </c>
      <c r="T41" s="8">
        <v>-8.6900000000000005E-2</v>
      </c>
      <c r="U41" s="8">
        <v>-0.74209999999999998</v>
      </c>
      <c r="V41" s="8">
        <v>-0.82110000000000005</v>
      </c>
      <c r="W41" s="8">
        <v>-0.66659999999999997</v>
      </c>
      <c r="X41" s="8">
        <f t="shared" si="3"/>
        <v>3.8707862898707014E-3</v>
      </c>
      <c r="Y41" s="8">
        <f t="shared" si="4"/>
        <v>4.1152343511580147E-3</v>
      </c>
      <c r="Z41" s="8">
        <f t="shared" si="5"/>
        <v>7.2803380846976906E-3</v>
      </c>
      <c r="AA41" s="8">
        <f t="shared" si="6"/>
        <v>5.4327487564087007E-2</v>
      </c>
      <c r="AB41" s="8">
        <f t="shared" si="7"/>
        <v>5.3575073242190241E-3</v>
      </c>
      <c r="AC41" s="8">
        <f t="shared" si="8"/>
        <v>3.0928960800169492E-3</v>
      </c>
    </row>
    <row r="42" spans="1:29" x14ac:dyDescent="0.25">
      <c r="A42" s="10">
        <v>0.2</v>
      </c>
      <c r="B42" s="10">
        <v>0.2</v>
      </c>
      <c r="C42" s="10">
        <v>4.7119999999999997</v>
      </c>
      <c r="D42" s="10">
        <f t="shared" si="1"/>
        <v>1.5707963267948966</v>
      </c>
      <c r="E42" s="10">
        <v>0.1</v>
      </c>
      <c r="F42" s="10">
        <v>0.08</v>
      </c>
      <c r="G42" s="10">
        <v>3.927</v>
      </c>
      <c r="H42" s="10">
        <f t="shared" si="2"/>
        <v>1.5707963267948966</v>
      </c>
      <c r="I42" s="10">
        <v>0</v>
      </c>
      <c r="J42" s="10">
        <v>0</v>
      </c>
      <c r="K42" s="10">
        <v>0</v>
      </c>
      <c r="L42" s="8">
        <v>2.25764350034297E-4</v>
      </c>
      <c r="M42" s="8">
        <v>5.42946308851242E-2</v>
      </c>
      <c r="N42" s="8">
        <v>-1.43192345276475E-2</v>
      </c>
      <c r="O42" s="8">
        <v>-3.8537099957466098E-2</v>
      </c>
      <c r="P42" s="8">
        <v>-8.5683420300483704E-2</v>
      </c>
      <c r="Q42" s="8">
        <v>-0.207838654518127</v>
      </c>
      <c r="R42" s="8">
        <v>0</v>
      </c>
      <c r="S42" s="8">
        <v>6.9000000000000006E-2</v>
      </c>
      <c r="T42" s="8">
        <v>-1.2E-2</v>
      </c>
      <c r="U42" s="8">
        <v>-4.82E-2</v>
      </c>
      <c r="V42" s="8">
        <v>-7.0400000000000004E-2</v>
      </c>
      <c r="W42" s="8">
        <v>-0.26640000000000003</v>
      </c>
      <c r="X42" s="8">
        <f t="shared" si="3"/>
        <v>2.25764350034297E-4</v>
      </c>
      <c r="Y42" s="8">
        <f t="shared" si="4"/>
        <v>1.4705369114875806E-2</v>
      </c>
      <c r="Z42" s="8">
        <f t="shared" si="5"/>
        <v>2.3192345276475002E-3</v>
      </c>
      <c r="AA42" s="8">
        <f t="shared" si="6"/>
        <v>9.6629000425339021E-3</v>
      </c>
      <c r="AB42" s="8">
        <f t="shared" si="7"/>
        <v>1.5283420300483699E-2</v>
      </c>
      <c r="AC42" s="8">
        <f t="shared" si="8"/>
        <v>5.8561345481873028E-2</v>
      </c>
    </row>
    <row r="43" spans="1:29" ht="15.75" x14ac:dyDescent="0.25">
      <c r="A43" s="8"/>
      <c r="B43" s="9"/>
      <c r="C43" s="8"/>
      <c r="D43" s="8"/>
      <c r="E43" s="9"/>
      <c r="F43" s="9"/>
      <c r="G43" s="8"/>
      <c r="H43" s="8"/>
      <c r="I43" s="8"/>
      <c r="J43" s="8"/>
      <c r="K43" s="8"/>
      <c r="L43" s="6"/>
      <c r="M43" s="6"/>
      <c r="N43" s="6"/>
      <c r="O43" s="6"/>
      <c r="P43" s="6"/>
      <c r="Q43" s="6"/>
      <c r="R43" s="8"/>
      <c r="S43" s="8"/>
      <c r="T43" s="8"/>
      <c r="U43" s="8"/>
      <c r="V43" s="8"/>
      <c r="W43" s="8"/>
      <c r="X43" s="7"/>
      <c r="Y43" s="7"/>
      <c r="Z43" s="7"/>
      <c r="AA43" s="7"/>
      <c r="AB43" s="7"/>
      <c r="AC43" s="7"/>
    </row>
    <row r="44" spans="1:29" ht="15.75" x14ac:dyDescent="0.25">
      <c r="A44" s="8"/>
      <c r="B44" s="9"/>
      <c r="C44" s="8"/>
      <c r="D44" s="8"/>
      <c r="E44" s="9"/>
      <c r="F44" s="9"/>
      <c r="G44" s="8"/>
      <c r="H44" s="8"/>
      <c r="I44" s="8"/>
      <c r="J44" s="8"/>
      <c r="K44" s="8"/>
      <c r="L44" s="6"/>
      <c r="M44" s="6"/>
      <c r="N44" s="6"/>
      <c r="O44" s="6"/>
      <c r="P44" s="6"/>
      <c r="Q44" s="6"/>
      <c r="R44" s="8"/>
      <c r="S44" s="8"/>
      <c r="T44" s="8"/>
      <c r="U44" s="8"/>
      <c r="V44" s="8"/>
      <c r="W44" s="8"/>
      <c r="X44" s="7"/>
      <c r="Y44" s="7"/>
      <c r="Z44" s="7"/>
      <c r="AA44" s="7"/>
      <c r="AB44" s="7"/>
      <c r="AC44" s="7"/>
    </row>
    <row r="45" spans="1:29" ht="15.75" x14ac:dyDescent="0.25">
      <c r="A45" s="8"/>
      <c r="B45" s="9"/>
      <c r="C45" s="8"/>
      <c r="D45" s="8"/>
      <c r="E45" s="9"/>
      <c r="F45" s="9"/>
      <c r="G45" s="8"/>
      <c r="H45" s="8"/>
      <c r="I45" s="8"/>
      <c r="J45" s="8"/>
      <c r="K45" s="8"/>
      <c r="L45" s="6"/>
      <c r="M45" s="6"/>
      <c r="N45" s="6"/>
      <c r="O45" s="6"/>
      <c r="P45" s="6"/>
      <c r="Q45" s="6"/>
      <c r="R45" s="8"/>
      <c r="S45" s="8"/>
      <c r="T45" s="8"/>
      <c r="U45" s="8"/>
      <c r="V45" s="8"/>
      <c r="W45" s="8"/>
      <c r="X45" s="7"/>
      <c r="Y45" s="7"/>
      <c r="Z45" s="7"/>
      <c r="AA45" s="7"/>
      <c r="AB45" s="7"/>
      <c r="AC45" s="7"/>
    </row>
    <row r="46" spans="1:29" ht="15.75" x14ac:dyDescent="0.25">
      <c r="A46" s="8"/>
      <c r="B46" s="9"/>
      <c r="C46" s="8"/>
      <c r="D46" s="8"/>
      <c r="E46" s="9"/>
      <c r="F46" s="9"/>
      <c r="G46" s="8"/>
      <c r="H46" s="8"/>
      <c r="I46" s="8"/>
      <c r="J46" s="8"/>
      <c r="K46" s="8"/>
      <c r="L46" s="6"/>
      <c r="M46" s="6"/>
      <c r="N46" s="6"/>
      <c r="O46" s="6"/>
      <c r="P46" s="6"/>
      <c r="Q46" s="6"/>
      <c r="R46" s="8"/>
      <c r="S46" s="8"/>
      <c r="T46" s="8"/>
      <c r="U46" s="8"/>
      <c r="V46" s="8"/>
      <c r="W46" s="8"/>
      <c r="X46" s="7"/>
      <c r="Y46" s="7"/>
      <c r="Z46" s="7"/>
      <c r="AA46" s="7"/>
      <c r="AB46" s="7"/>
      <c r="AC46" s="7"/>
    </row>
    <row r="47" spans="1:29" ht="15.75" x14ac:dyDescent="0.25">
      <c r="A47" s="8"/>
      <c r="B47" s="9"/>
      <c r="C47" s="8"/>
      <c r="D47" s="8"/>
      <c r="E47" s="9"/>
      <c r="F47" s="9"/>
      <c r="G47" s="8"/>
      <c r="H47" s="8"/>
      <c r="I47" s="8"/>
      <c r="J47" s="8"/>
      <c r="K47" s="8"/>
      <c r="L47" s="6"/>
      <c r="M47" s="6"/>
      <c r="N47" s="6"/>
      <c r="O47" s="6"/>
      <c r="P47" s="6"/>
      <c r="Q47" s="6"/>
      <c r="R47" s="8"/>
      <c r="S47" s="8"/>
      <c r="T47" s="8"/>
      <c r="U47" s="8"/>
      <c r="V47" s="8"/>
      <c r="W47" s="8"/>
      <c r="X47" s="7"/>
      <c r="Y47" s="7"/>
      <c r="Z47" s="7"/>
      <c r="AA47" s="7"/>
      <c r="AB47" s="7"/>
      <c r="AC47" s="7"/>
    </row>
    <row r="48" spans="1:29" ht="15.75" x14ac:dyDescent="0.25">
      <c r="A48" s="8"/>
      <c r="B48" s="9"/>
      <c r="C48" s="8"/>
      <c r="D48" s="8"/>
      <c r="E48" s="9"/>
      <c r="F48" s="9"/>
      <c r="G48" s="8"/>
      <c r="H48" s="8"/>
      <c r="I48" s="8"/>
      <c r="J48" s="8"/>
      <c r="K48" s="8"/>
      <c r="L48" s="6"/>
      <c r="M48" s="6"/>
      <c r="N48" s="6"/>
      <c r="O48" s="6"/>
      <c r="P48" s="6"/>
      <c r="Q48" s="6"/>
      <c r="R48" s="8"/>
      <c r="S48" s="8"/>
      <c r="T48" s="8"/>
      <c r="U48" s="8"/>
      <c r="V48" s="8"/>
      <c r="W48" s="8"/>
      <c r="X48" s="7"/>
      <c r="Y48" s="7"/>
      <c r="Z48" s="7"/>
      <c r="AA48" s="7"/>
      <c r="AB48" s="7"/>
      <c r="AC48" s="7"/>
    </row>
    <row r="49" spans="1:29" ht="15.75" x14ac:dyDescent="0.25">
      <c r="A49" s="8"/>
      <c r="B49" s="9"/>
      <c r="C49" s="8"/>
      <c r="D49" s="8"/>
      <c r="E49" s="9"/>
      <c r="F49" s="9"/>
      <c r="G49" s="8"/>
      <c r="H49" s="8"/>
      <c r="I49" s="8"/>
      <c r="J49" s="8"/>
      <c r="K49" s="8"/>
      <c r="L49" s="6"/>
      <c r="M49" s="6"/>
      <c r="N49" s="6"/>
      <c r="O49" s="6"/>
      <c r="P49" s="6"/>
      <c r="Q49" s="6"/>
      <c r="R49" s="8"/>
      <c r="S49" s="8"/>
      <c r="T49" s="8"/>
      <c r="U49" s="8"/>
      <c r="V49" s="8"/>
      <c r="W49" s="8"/>
      <c r="X49" s="7"/>
      <c r="Y49" s="7"/>
      <c r="Z49" s="7"/>
      <c r="AA49" s="7"/>
      <c r="AB49" s="7"/>
      <c r="AC49" s="7"/>
    </row>
    <row r="50" spans="1:29" ht="15.75" x14ac:dyDescent="0.25">
      <c r="A50" s="8"/>
      <c r="B50" s="9"/>
      <c r="C50" s="8"/>
      <c r="D50" s="8"/>
      <c r="E50" s="9"/>
      <c r="F50" s="9"/>
      <c r="G50" s="8"/>
      <c r="H50" s="8"/>
      <c r="I50" s="8"/>
      <c r="J50" s="8"/>
      <c r="K50" s="8"/>
      <c r="L50" s="6"/>
      <c r="M50" s="6"/>
      <c r="N50" s="6"/>
      <c r="O50" s="6"/>
      <c r="P50" s="6"/>
      <c r="Q50" s="6"/>
      <c r="R50" s="8"/>
      <c r="S50" s="8"/>
      <c r="T50" s="8"/>
      <c r="U50" s="8"/>
      <c r="V50" s="8"/>
      <c r="W50" s="8"/>
      <c r="X50" s="7"/>
      <c r="Y50" s="7"/>
      <c r="Z50" s="7"/>
      <c r="AA50" s="7"/>
      <c r="AB50" s="7"/>
      <c r="AC50" s="7"/>
    </row>
    <row r="51" spans="1:29" ht="15.75" x14ac:dyDescent="0.25">
      <c r="A51" s="8"/>
      <c r="B51" s="9"/>
      <c r="C51" s="8"/>
      <c r="D51" s="8"/>
      <c r="E51" s="9"/>
      <c r="F51" s="9"/>
      <c r="G51" s="8"/>
      <c r="H51" s="8"/>
      <c r="I51" s="8"/>
      <c r="J51" s="8"/>
      <c r="K51" s="8"/>
      <c r="L51" s="6"/>
      <c r="M51" s="6"/>
      <c r="N51" s="6"/>
      <c r="O51" s="6"/>
      <c r="P51" s="6"/>
      <c r="Q51" s="6"/>
      <c r="R51" s="8"/>
      <c r="S51" s="8"/>
      <c r="T51" s="8"/>
      <c r="U51" s="8"/>
      <c r="V51" s="8"/>
      <c r="W51" s="8"/>
      <c r="X51" s="7"/>
      <c r="Y51" s="7"/>
      <c r="Z51" s="7"/>
      <c r="AA51" s="7"/>
      <c r="AB51" s="7"/>
      <c r="AC51" s="7"/>
    </row>
    <row r="52" spans="1:29" ht="15.75" x14ac:dyDescent="0.25">
      <c r="A52" s="8"/>
      <c r="B52" s="9"/>
      <c r="C52" s="8"/>
      <c r="D52" s="8"/>
      <c r="E52" s="9"/>
      <c r="F52" s="9"/>
      <c r="G52" s="8"/>
      <c r="H52" s="8"/>
      <c r="I52" s="8"/>
      <c r="J52" s="8"/>
      <c r="K52" s="8"/>
      <c r="L52" s="6"/>
      <c r="M52" s="6"/>
      <c r="N52" s="6"/>
      <c r="O52" s="6"/>
      <c r="P52" s="6"/>
      <c r="Q52" s="6"/>
      <c r="R52" s="8"/>
      <c r="S52" s="8"/>
      <c r="T52" s="8"/>
      <c r="U52" s="8"/>
      <c r="V52" s="8"/>
      <c r="W52" s="8"/>
      <c r="X52" s="7"/>
      <c r="Y52" s="7"/>
      <c r="Z52" s="7"/>
      <c r="AA52" s="7"/>
      <c r="AB52" s="7"/>
      <c r="AC52" s="7"/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A6AF4-6514-4C61-8746-7EF28C671104}">
  <dimension ref="A1:AR52"/>
  <sheetViews>
    <sheetView topLeftCell="A24" workbookViewId="0">
      <selection activeCell="S26" sqref="S2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11" bestFit="1" customWidth="1"/>
    <col min="27" max="27" width="13.85546875" bestFit="1" customWidth="1"/>
    <col min="28" max="28" width="11.140625" bestFit="1" customWidth="1"/>
    <col min="34" max="34" width="15.140625" customWidth="1"/>
    <col min="35" max="35" width="15.28515625" customWidth="1"/>
    <col min="36" max="36" width="16.28515625" customWidth="1"/>
    <col min="37" max="37" width="11" bestFit="1" customWidth="1"/>
    <col min="38" max="38" width="13.85546875" bestFit="1" customWidth="1"/>
    <col min="39" max="39" width="11.140625" bestFit="1" customWidth="1"/>
  </cols>
  <sheetData>
    <row r="1" spans="1:44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26" t="s">
        <v>6</v>
      </c>
      <c r="M1" s="27"/>
      <c r="N1" s="27"/>
      <c r="O1" s="27"/>
      <c r="P1" s="27"/>
      <c r="Q1" s="27"/>
      <c r="R1" s="35" t="s">
        <v>7</v>
      </c>
      <c r="S1" s="36"/>
      <c r="T1" s="36"/>
      <c r="U1" s="36"/>
      <c r="V1" s="36"/>
      <c r="W1" s="36"/>
      <c r="X1" s="36"/>
      <c r="Y1" s="36"/>
      <c r="Z1" s="37" t="s">
        <v>13</v>
      </c>
      <c r="AA1" s="37"/>
      <c r="AB1" s="37"/>
      <c r="AC1" s="37"/>
      <c r="AD1" s="37"/>
      <c r="AE1" s="37"/>
      <c r="AF1" s="37"/>
      <c r="AG1" s="37"/>
      <c r="AH1" s="34" t="s">
        <v>36</v>
      </c>
      <c r="AI1" s="34"/>
      <c r="AJ1" s="34"/>
      <c r="AK1" s="34"/>
      <c r="AL1" s="34"/>
      <c r="AM1" s="34"/>
      <c r="AN1" s="34"/>
      <c r="AO1" s="34"/>
      <c r="AP1" s="34"/>
      <c r="AQ1" s="34"/>
      <c r="AR1" s="34"/>
    </row>
    <row r="2" spans="1:44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3" t="s">
        <v>23</v>
      </c>
      <c r="AA2" s="1" t="s">
        <v>24</v>
      </c>
      <c r="AB2" s="1" t="s">
        <v>25</v>
      </c>
      <c r="AC2" s="1" t="s">
        <v>29</v>
      </c>
      <c r="AD2" s="1" t="s">
        <v>26</v>
      </c>
      <c r="AE2" s="1" t="s">
        <v>27</v>
      </c>
      <c r="AF2" s="1" t="s">
        <v>28</v>
      </c>
      <c r="AG2" s="1" t="s">
        <v>30</v>
      </c>
      <c r="AH2" s="20" t="s">
        <v>33</v>
      </c>
      <c r="AI2" s="20" t="s">
        <v>34</v>
      </c>
      <c r="AJ2" s="20" t="s">
        <v>35</v>
      </c>
      <c r="AK2" s="33" t="s">
        <v>31</v>
      </c>
      <c r="AL2" s="33"/>
      <c r="AM2" s="33"/>
      <c r="AN2" s="33"/>
      <c r="AO2" s="33"/>
      <c r="AP2" s="33"/>
      <c r="AQ2" s="33"/>
      <c r="AR2" s="33"/>
    </row>
    <row r="3" spans="1:44" ht="15.75" x14ac:dyDescent="0.25">
      <c r="A3" s="10">
        <f>'Proximal Validation (double)'!A3</f>
        <v>0.2</v>
      </c>
      <c r="B3" s="11">
        <f>'Proximal Validation (double)'!B3</f>
        <v>0.1</v>
      </c>
      <c r="C3" s="10">
        <f>'Proximal Validation (double)'!C3</f>
        <v>1.571</v>
      </c>
      <c r="D3" s="10">
        <f>'Proximal Validation (double)'!D3</f>
        <v>1.5707963267948966</v>
      </c>
      <c r="E3" s="11">
        <f>'Proximal Validation (double)'!E3</f>
        <v>1</v>
      </c>
      <c r="F3" s="11">
        <f>'Proximal Validation (double)'!F3</f>
        <v>0.04</v>
      </c>
      <c r="G3" s="10">
        <f>'Proximal Validation (double)'!G3</f>
        <v>3.1419999999999999</v>
      </c>
      <c r="H3" s="10">
        <f>'Proximal Validation (double)'!H3</f>
        <v>1.5707963267948966</v>
      </c>
      <c r="I3" s="10">
        <f>'Proximal Validation (double)'!I3</f>
        <v>1.4</v>
      </c>
      <c r="J3" s="10">
        <f>'Proximal Validation (double)'!J3</f>
        <v>0</v>
      </c>
      <c r="K3" s="10">
        <f>'Proximal Validation (double)'!K3</f>
        <v>0</v>
      </c>
      <c r="L3" s="8">
        <f>'Proximal Validation (double)'!L3</f>
        <v>-8.4695406258106205E-5</v>
      </c>
      <c r="M3" s="8">
        <f>'Proximal Validation (double)'!M3</f>
        <v>-1.1448631994426301E-2</v>
      </c>
      <c r="N3" s="8">
        <f>'Proximal Validation (double)'!N3</f>
        <v>-0.13048847019672399</v>
      </c>
      <c r="O3" s="8">
        <f>'Proximal Validation (double)'!O3</f>
        <v>1.8870793282985701E-2</v>
      </c>
      <c r="P3" s="8">
        <f>'Proximal Validation (double)'!P3</f>
        <v>-0.97202777862548795</v>
      </c>
      <c r="Q3" s="8">
        <f>'Proximal Validation (double)'!Q3</f>
        <v>2.9205024242401099E-2</v>
      </c>
      <c r="R3" s="8">
        <v>0.1</v>
      </c>
      <c r="S3" s="8">
        <v>0.1</v>
      </c>
      <c r="T3" s="8">
        <v>1.5708</v>
      </c>
      <c r="U3" s="8">
        <v>1.5708</v>
      </c>
      <c r="V3" s="8">
        <v>0.97650000000000003</v>
      </c>
      <c r="W3" s="8">
        <v>0.02</v>
      </c>
      <c r="X3" s="8">
        <v>3.2149000000000001</v>
      </c>
      <c r="Y3" s="8">
        <v>1.5708</v>
      </c>
      <c r="Z3" s="8">
        <f>R3-A3</f>
        <v>-0.1</v>
      </c>
      <c r="AA3" s="8">
        <f>S3-B3</f>
        <v>0</v>
      </c>
      <c r="AB3" s="8">
        <f>T3-C3</f>
        <v>-1.9999999999997797E-4</v>
      </c>
      <c r="AC3" s="8">
        <f>U3-D3</f>
        <v>3.6732051034160662E-6</v>
      </c>
      <c r="AD3" s="8">
        <f t="shared" ref="AD3:AG3" si="0">V3-E3</f>
        <v>-2.3499999999999965E-2</v>
      </c>
      <c r="AE3" s="8">
        <f t="shared" si="0"/>
        <v>-0.02</v>
      </c>
      <c r="AF3" s="8">
        <f t="shared" si="0"/>
        <v>7.2900000000000187E-2</v>
      </c>
      <c r="AG3" s="8">
        <f t="shared" si="0"/>
        <v>3.6732051034160662E-6</v>
      </c>
      <c r="AH3" s="22">
        <f>AVERAGE(ABS(Z3),ABS(AD3))</f>
        <v>6.1749999999999985E-2</v>
      </c>
      <c r="AI3" s="22">
        <f t="shared" ref="AI3:AJ3" si="1">AVERAGE(ABS(AA3),ABS(AE3))</f>
        <v>0.01</v>
      </c>
      <c r="AJ3" s="22">
        <f t="shared" si="1"/>
        <v>3.6550000000000082E-2</v>
      </c>
      <c r="AK3" s="1" t="s">
        <v>23</v>
      </c>
      <c r="AL3" s="1" t="s">
        <v>24</v>
      </c>
      <c r="AM3" s="1" t="s">
        <v>25</v>
      </c>
      <c r="AN3" s="1" t="s">
        <v>29</v>
      </c>
      <c r="AO3" s="1" t="s">
        <v>26</v>
      </c>
      <c r="AP3" s="1" t="s">
        <v>27</v>
      </c>
      <c r="AQ3" s="1" t="s">
        <v>28</v>
      </c>
      <c r="AR3" s="1" t="s">
        <v>30</v>
      </c>
    </row>
    <row r="4" spans="1:44" s="5" customFormat="1" x14ac:dyDescent="0.25">
      <c r="A4" s="10">
        <f>'Proximal Validation (double)'!A4</f>
        <v>1</v>
      </c>
      <c r="B4" s="11">
        <f>'Proximal Validation (double)'!B4</f>
        <v>0.1</v>
      </c>
      <c r="C4" s="10">
        <f>'Proximal Validation (double)'!C4</f>
        <v>1.571</v>
      </c>
      <c r="D4" s="10">
        <f>'Proximal Validation (double)'!D4</f>
        <v>1.5707963267948966</v>
      </c>
      <c r="E4" s="11">
        <f>'Proximal Validation (double)'!E4</f>
        <v>1</v>
      </c>
      <c r="F4" s="11">
        <f>'Proximal Validation (double)'!F4</f>
        <v>0.08</v>
      </c>
      <c r="G4" s="10">
        <f>'Proximal Validation (double)'!G4</f>
        <v>3.1419999999999999</v>
      </c>
      <c r="H4" s="10">
        <f>'Proximal Validation (double)'!H4</f>
        <v>1.5707963267948966</v>
      </c>
      <c r="I4" s="10">
        <f>'Proximal Validation (double)'!I4</f>
        <v>0</v>
      </c>
      <c r="J4" s="10">
        <f>'Proximal Validation (double)'!J4</f>
        <v>0</v>
      </c>
      <c r="K4" s="10">
        <f>'Proximal Validation (double)'!K4</f>
        <v>0</v>
      </c>
      <c r="L4" s="8">
        <f>'Proximal Validation (double)'!L4</f>
        <v>-1.30488071590662E-3</v>
      </c>
      <c r="M4" s="8">
        <f>'Proximal Validation (double)'!M4</f>
        <v>-0.187399536371231</v>
      </c>
      <c r="N4" s="8">
        <f>'Proximal Validation (double)'!N4</f>
        <v>-0.148506805300713</v>
      </c>
      <c r="O4" s="8">
        <f>'Proximal Validation (double)'!O4</f>
        <v>-0.458716601133347</v>
      </c>
      <c r="P4" s="8">
        <f>'Proximal Validation (double)'!P4</f>
        <v>-0.81002575159072898</v>
      </c>
      <c r="Q4" s="8">
        <f>'Proximal Validation (double)'!Q4</f>
        <v>0.92483174800872803</v>
      </c>
      <c r="R4" s="8">
        <v>1</v>
      </c>
      <c r="S4" s="8">
        <v>0.1216</v>
      </c>
      <c r="T4" s="8">
        <v>1.6911</v>
      </c>
      <c r="U4" s="8">
        <v>1.5708</v>
      </c>
      <c r="V4" s="8">
        <v>0.73080000000000001</v>
      </c>
      <c r="W4" s="8">
        <v>0.08</v>
      </c>
      <c r="X4" s="8">
        <v>3.1415999999999999</v>
      </c>
      <c r="Y4" s="8">
        <v>1.5708</v>
      </c>
      <c r="Z4" s="8">
        <f t="shared" ref="Z4:Z42" si="2">R4-A4</f>
        <v>0</v>
      </c>
      <c r="AA4" s="8">
        <f t="shared" ref="AA4:AA42" si="3">S4-B4</f>
        <v>2.1599999999999994E-2</v>
      </c>
      <c r="AB4" s="8">
        <f t="shared" ref="AB4:AB42" si="4">T4-C4</f>
        <v>0.1201000000000001</v>
      </c>
      <c r="AC4" s="8">
        <f t="shared" ref="AC4:AC42" si="5">U4-D4</f>
        <v>3.6732051034160662E-6</v>
      </c>
      <c r="AD4" s="8">
        <f t="shared" ref="AD4:AD42" si="6">V4-E4</f>
        <v>-0.26919999999999999</v>
      </c>
      <c r="AE4" s="8">
        <f t="shared" ref="AE4:AE42" si="7">W4-F4</f>
        <v>0</v>
      </c>
      <c r="AF4" s="8">
        <f t="shared" ref="AF4:AF42" si="8">X4-G4</f>
        <v>-3.9999999999995595E-4</v>
      </c>
      <c r="AG4" s="8">
        <f t="shared" ref="AG4:AG42" si="9">Y4-H4</f>
        <v>3.6732051034160662E-6</v>
      </c>
      <c r="AH4" s="22">
        <f t="shared" ref="AH4:AH42" si="10">AVERAGE(ABS(Z4),ABS(AD4))</f>
        <v>0.1346</v>
      </c>
      <c r="AI4" s="22">
        <f t="shared" ref="AI4:AI42" si="11">AVERAGE(ABS(AA4),ABS(AE4))</f>
        <v>1.0799999999999997E-2</v>
      </c>
      <c r="AJ4" s="22">
        <f t="shared" ref="AJ4:AJ42" si="12">AVERAGE(ABS(AB4),ABS(AF4))</f>
        <v>6.0250000000000026E-2</v>
      </c>
      <c r="AK4" s="21" cm="1">
        <f t="array" ref="AK4">AVERAGE(ABS(Z3:Z42))</f>
        <v>0.1426625</v>
      </c>
      <c r="AL4" s="21" cm="1">
        <f t="array" ref="AL4">AVERAGE(ABS(AA3:AA42))</f>
        <v>3.0980000000000001E-2</v>
      </c>
      <c r="AM4" s="21" cm="1">
        <f t="array" ref="AM4">AVERAGE(ABS(AB3:AB42))</f>
        <v>0.32659999999999983</v>
      </c>
      <c r="AN4" s="21" cm="1">
        <f t="array" ref="AN4">AVERAGE(ABS(AC3:AC42))</f>
        <v>3.6732051034160662E-6</v>
      </c>
      <c r="AO4" s="21" cm="1">
        <f t="array" ref="AO4">AVERAGE(ABS(AD3:AD42))</f>
        <v>0.16870499999999997</v>
      </c>
      <c r="AP4" s="21" cm="1">
        <f t="array" ref="AP4">AVERAGE(ABS(AE3:AE42))</f>
        <v>2.1737499999999996E-2</v>
      </c>
      <c r="AQ4" s="21" cm="1">
        <f t="array" ref="AQ4">AVERAGE(ABS(AF3:AF42))</f>
        <v>0.23864000000000002</v>
      </c>
      <c r="AR4" s="21" cm="1">
        <f t="array" ref="AR4">AVERAGE(ABS(AG3:AG42))</f>
        <v>3.6732051034160662E-6</v>
      </c>
    </row>
    <row r="5" spans="1:44" x14ac:dyDescent="0.25">
      <c r="A5" s="10">
        <f>'Proximal Validation (double)'!A5</f>
        <v>0.5</v>
      </c>
      <c r="B5" s="10">
        <f>'Proximal Validation (double)'!B5</f>
        <v>0.1</v>
      </c>
      <c r="C5" s="10">
        <f>'Proximal Validation (double)'!C5</f>
        <v>1.571</v>
      </c>
      <c r="D5" s="10">
        <f>'Proximal Validation (double)'!D5</f>
        <v>1.5707963267948966</v>
      </c>
      <c r="E5" s="10">
        <f>'Proximal Validation (double)'!E5</f>
        <v>0.2</v>
      </c>
      <c r="F5" s="10">
        <f>'Proximal Validation (double)'!F5</f>
        <v>0.02</v>
      </c>
      <c r="G5" s="10">
        <f>'Proximal Validation (double)'!G5</f>
        <v>3.927</v>
      </c>
      <c r="H5" s="10">
        <f>'Proximal Validation (double)'!H5</f>
        <v>1.5707963267948966</v>
      </c>
      <c r="I5" s="10">
        <f>'Proximal Validation (double)'!I5</f>
        <v>0</v>
      </c>
      <c r="J5" s="10">
        <f>'Proximal Validation (double)'!J5</f>
        <v>0</v>
      </c>
      <c r="K5" s="10">
        <f>'Proximal Validation (double)'!K5</f>
        <v>0</v>
      </c>
      <c r="L5" s="8">
        <f>'Proximal Validation (double)'!L5</f>
        <v>-8.8173459516838206E-5</v>
      </c>
      <c r="M5" s="8">
        <f>'Proximal Validation (double)'!M5</f>
        <v>-9.0249709784984603E-2</v>
      </c>
      <c r="N5" s="8">
        <f>'Proximal Validation (double)'!N5</f>
        <v>-1.5381614677607999E-2</v>
      </c>
      <c r="O5" s="8">
        <f>'Proximal Validation (double)'!O5</f>
        <v>-5.9044521301984801E-2</v>
      </c>
      <c r="P5" s="8">
        <f>'Proximal Validation (double)'!P5</f>
        <v>-0.142551720142365</v>
      </c>
      <c r="Q5" s="8">
        <f>'Proximal Validation (double)'!Q5</f>
        <v>0.403866738080978</v>
      </c>
      <c r="R5" s="8">
        <v>0.53059999999999996</v>
      </c>
      <c r="S5" s="8">
        <v>0.1</v>
      </c>
      <c r="T5" s="8">
        <v>1.6040000000000001</v>
      </c>
      <c r="U5" s="8">
        <v>1.5708</v>
      </c>
      <c r="V5" s="8">
        <v>0.17499999999999999</v>
      </c>
      <c r="W5" s="8">
        <v>0.02</v>
      </c>
      <c r="X5" s="8">
        <v>3.9144000000000001</v>
      </c>
      <c r="Y5" s="8">
        <v>1.5708</v>
      </c>
      <c r="Z5" s="8">
        <f t="shared" si="2"/>
        <v>3.0599999999999961E-2</v>
      </c>
      <c r="AA5" s="8">
        <f t="shared" si="3"/>
        <v>0</v>
      </c>
      <c r="AB5" s="8">
        <f t="shared" si="4"/>
        <v>3.300000000000014E-2</v>
      </c>
      <c r="AC5" s="8">
        <f t="shared" si="5"/>
        <v>3.6732051034160662E-6</v>
      </c>
      <c r="AD5" s="8">
        <f t="shared" si="6"/>
        <v>-2.5000000000000022E-2</v>
      </c>
      <c r="AE5" s="8">
        <f t="shared" si="7"/>
        <v>0</v>
      </c>
      <c r="AF5" s="8">
        <f t="shared" si="8"/>
        <v>-1.2599999999999945E-2</v>
      </c>
      <c r="AG5" s="8">
        <f t="shared" si="9"/>
        <v>3.6732051034160662E-6</v>
      </c>
      <c r="AH5" s="22">
        <f t="shared" si="10"/>
        <v>2.7799999999999991E-2</v>
      </c>
      <c r="AI5" s="22">
        <f t="shared" si="11"/>
        <v>0</v>
      </c>
      <c r="AJ5" s="22">
        <f t="shared" si="12"/>
        <v>2.2800000000000042E-2</v>
      </c>
      <c r="AK5" s="33" t="s">
        <v>32</v>
      </c>
      <c r="AL5" s="33"/>
      <c r="AM5" s="33"/>
      <c r="AN5" s="33"/>
      <c r="AO5" s="33"/>
      <c r="AP5" s="33"/>
      <c r="AQ5" s="33"/>
      <c r="AR5" s="33"/>
    </row>
    <row r="6" spans="1:44" x14ac:dyDescent="0.25">
      <c r="A6" s="10">
        <f>'Proximal Validation (double)'!A6</f>
        <v>0.9</v>
      </c>
      <c r="B6" s="11">
        <f>'Proximal Validation (double)'!B6</f>
        <v>0.1</v>
      </c>
      <c r="C6" s="10">
        <f>'Proximal Validation (double)'!C6</f>
        <v>1.571</v>
      </c>
      <c r="D6" s="10">
        <f>'Proximal Validation (double)'!D6</f>
        <v>1.5707963267948966</v>
      </c>
      <c r="E6" s="11">
        <f>'Proximal Validation (double)'!E6</f>
        <v>0.2</v>
      </c>
      <c r="F6" s="11">
        <f>'Proximal Validation (double)'!F6</f>
        <v>0.08</v>
      </c>
      <c r="G6" s="10">
        <f>'Proximal Validation (double)'!G6</f>
        <v>4.7119999999999997</v>
      </c>
      <c r="H6" s="10">
        <f>'Proximal Validation (double)'!H6</f>
        <v>1.5707963267948966</v>
      </c>
      <c r="I6" s="10">
        <f>'Proximal Validation (double)'!I6</f>
        <v>1.2</v>
      </c>
      <c r="J6" s="10">
        <f>'Proximal Validation (double)'!J6</f>
        <v>0</v>
      </c>
      <c r="K6" s="10">
        <f>'Proximal Validation (double)'!K6</f>
        <v>0</v>
      </c>
      <c r="L6" s="8">
        <f>'Proximal Validation (double)'!L6</f>
        <v>4.0645110420882702E-3</v>
      </c>
      <c r="M6" s="8">
        <f>'Proximal Validation (double)'!M6</f>
        <v>-0.155094370245934</v>
      </c>
      <c r="N6" s="8">
        <f>'Proximal Validation (double)'!N6</f>
        <v>1.12637248821557E-3</v>
      </c>
      <c r="O6" s="8">
        <f>'Proximal Validation (double)'!O6</f>
        <v>-0.22939644753933</v>
      </c>
      <c r="P6" s="8">
        <f>'Proximal Validation (double)'!P6</f>
        <v>6.2979459762573199E-3</v>
      </c>
      <c r="Q6" s="8">
        <f>'Proximal Validation (double)'!Q6</f>
        <v>0.75826400518417403</v>
      </c>
      <c r="R6" s="8">
        <v>0.88919999999999999</v>
      </c>
      <c r="S6" s="8">
        <v>0.11509999999999999</v>
      </c>
      <c r="T6" s="8">
        <v>1.5708</v>
      </c>
      <c r="U6" s="8">
        <v>1.5708</v>
      </c>
      <c r="V6" s="8">
        <v>0.10009999999999999</v>
      </c>
      <c r="W6" s="8">
        <v>3.5000000000000003E-2</v>
      </c>
      <c r="X6" s="8">
        <v>4.7051999999999996</v>
      </c>
      <c r="Y6" s="8">
        <v>1.5708</v>
      </c>
      <c r="Z6" s="8">
        <f t="shared" si="2"/>
        <v>-1.0800000000000032E-2</v>
      </c>
      <c r="AA6" s="8">
        <f t="shared" si="3"/>
        <v>1.5099999999999988E-2</v>
      </c>
      <c r="AB6" s="8">
        <f t="shared" si="4"/>
        <v>-1.9999999999997797E-4</v>
      </c>
      <c r="AC6" s="8">
        <f t="shared" si="5"/>
        <v>3.6732051034160662E-6</v>
      </c>
      <c r="AD6" s="8">
        <f t="shared" si="6"/>
        <v>-9.9900000000000017E-2</v>
      </c>
      <c r="AE6" s="8">
        <f t="shared" si="7"/>
        <v>-4.4999999999999998E-2</v>
      </c>
      <c r="AF6" s="8">
        <f t="shared" si="8"/>
        <v>-6.8000000000001393E-3</v>
      </c>
      <c r="AG6" s="8">
        <f t="shared" si="9"/>
        <v>3.6732051034160662E-6</v>
      </c>
      <c r="AH6" s="22">
        <f t="shared" si="10"/>
        <v>5.5350000000000024E-2</v>
      </c>
      <c r="AI6" s="22">
        <f t="shared" si="11"/>
        <v>3.0049999999999993E-2</v>
      </c>
      <c r="AJ6" s="22">
        <f t="shared" si="12"/>
        <v>3.5000000000000586E-3</v>
      </c>
      <c r="AK6" s="20" t="s">
        <v>33</v>
      </c>
      <c r="AL6" s="20" t="s">
        <v>34</v>
      </c>
      <c r="AM6" s="20" t="s">
        <v>35</v>
      </c>
      <c r="AN6" s="21"/>
      <c r="AO6" s="21"/>
      <c r="AP6" s="21"/>
      <c r="AQ6" s="21"/>
      <c r="AR6" s="21"/>
    </row>
    <row r="7" spans="1:44" x14ac:dyDescent="0.25">
      <c r="A7" s="10">
        <f>'Proximal Validation (double)'!A7</f>
        <v>0.1</v>
      </c>
      <c r="B7" s="11">
        <f>'Proximal Validation (double)'!B7</f>
        <v>0.12</v>
      </c>
      <c r="C7" s="10">
        <f>'Proximal Validation (double)'!C7</f>
        <v>1.571</v>
      </c>
      <c r="D7" s="10">
        <f>'Proximal Validation (double)'!D7</f>
        <v>1.5707963267948966</v>
      </c>
      <c r="E7" s="11">
        <f>'Proximal Validation (double)'!E7</f>
        <v>1</v>
      </c>
      <c r="F7" s="11">
        <f>'Proximal Validation (double)'!F7</f>
        <v>0.06</v>
      </c>
      <c r="G7" s="10">
        <f>'Proximal Validation (double)'!G7</f>
        <v>3.927</v>
      </c>
      <c r="H7" s="10">
        <f>'Proximal Validation (double)'!H7</f>
        <v>1.5707963267948966</v>
      </c>
      <c r="I7" s="10">
        <f>'Proximal Validation (double)'!I7</f>
        <v>0</v>
      </c>
      <c r="J7" s="10">
        <f>'Proximal Validation (double)'!J7</f>
        <v>0</v>
      </c>
      <c r="K7" s="10">
        <f>'Proximal Validation (double)'!K7</f>
        <v>0</v>
      </c>
      <c r="L7" s="8">
        <f>'Proximal Validation (double)'!L7</f>
        <v>-3.3720862120389898E-5</v>
      </c>
      <c r="M7" s="8">
        <f>'Proximal Validation (double)'!M7</f>
        <v>5.5788416415452999E-2</v>
      </c>
      <c r="N7" s="8">
        <f>'Proximal Validation (double)'!N7</f>
        <v>-0.106843449175358</v>
      </c>
      <c r="O7" s="8">
        <f>'Proximal Validation (double)'!O7</f>
        <v>2.31804009526968E-2</v>
      </c>
      <c r="P7" s="8">
        <f>'Proximal Validation (double)'!P7</f>
        <v>-0.69266724586486805</v>
      </c>
      <c r="Q7" s="8">
        <f>'Proximal Validation (double)'!Q7</f>
        <v>-0.43824502825737</v>
      </c>
      <c r="R7" s="8">
        <v>0.1</v>
      </c>
      <c r="S7" s="8">
        <v>0.1</v>
      </c>
      <c r="T7" s="8">
        <v>2.5577000000000001</v>
      </c>
      <c r="U7" s="8">
        <v>1.5708</v>
      </c>
      <c r="V7" s="8">
        <v>0.78649999999999998</v>
      </c>
      <c r="W7" s="8">
        <v>0.02</v>
      </c>
      <c r="X7" s="8">
        <v>3.8218000000000001</v>
      </c>
      <c r="Y7" s="8">
        <v>1.5708</v>
      </c>
      <c r="Z7" s="8">
        <f t="shared" si="2"/>
        <v>0</v>
      </c>
      <c r="AA7" s="8">
        <f t="shared" si="3"/>
        <v>-1.999999999999999E-2</v>
      </c>
      <c r="AB7" s="8">
        <f t="shared" si="4"/>
        <v>0.98670000000000013</v>
      </c>
      <c r="AC7" s="8">
        <f t="shared" si="5"/>
        <v>3.6732051034160662E-6</v>
      </c>
      <c r="AD7" s="8">
        <f t="shared" si="6"/>
        <v>-0.21350000000000002</v>
      </c>
      <c r="AE7" s="8">
        <f t="shared" si="7"/>
        <v>-3.9999999999999994E-2</v>
      </c>
      <c r="AF7" s="8">
        <f t="shared" si="8"/>
        <v>-0.10519999999999996</v>
      </c>
      <c r="AG7" s="8">
        <f t="shared" si="9"/>
        <v>3.6732051034160662E-6</v>
      </c>
      <c r="AH7" s="22">
        <f t="shared" si="10"/>
        <v>0.10675000000000001</v>
      </c>
      <c r="AI7" s="22">
        <f t="shared" si="11"/>
        <v>2.9999999999999992E-2</v>
      </c>
      <c r="AJ7" s="22">
        <f t="shared" si="12"/>
        <v>0.54595000000000005</v>
      </c>
      <c r="AK7" s="21">
        <f>AVERAGE(AK4,AO4)</f>
        <v>0.15568374999999998</v>
      </c>
      <c r="AL7" s="21">
        <f t="shared" ref="AL7:AM7" si="13">AVERAGE(AL4,AP4)</f>
        <v>2.635875E-2</v>
      </c>
      <c r="AM7" s="21">
        <f t="shared" si="13"/>
        <v>0.28261999999999993</v>
      </c>
      <c r="AN7" s="21"/>
      <c r="AO7" s="21"/>
      <c r="AP7" s="21"/>
      <c r="AQ7" s="21"/>
      <c r="AR7" s="21"/>
    </row>
    <row r="8" spans="1:44" x14ac:dyDescent="0.25">
      <c r="A8" s="10">
        <f>'Proximal Validation (double)'!A8</f>
        <v>0.8</v>
      </c>
      <c r="B8" s="11">
        <f>'Proximal Validation (double)'!B8</f>
        <v>0.16</v>
      </c>
      <c r="C8" s="10">
        <f>'Proximal Validation (double)'!C8</f>
        <v>1.571</v>
      </c>
      <c r="D8" s="10">
        <f>'Proximal Validation (double)'!D8</f>
        <v>1.5707963267948966</v>
      </c>
      <c r="E8" s="11">
        <f>'Proximal Validation (double)'!E8</f>
        <v>0.8</v>
      </c>
      <c r="F8" s="11">
        <f>'Proximal Validation (double)'!F8</f>
        <v>0.06</v>
      </c>
      <c r="G8" s="10">
        <f>'Proximal Validation (double)'!G8</f>
        <v>3.927</v>
      </c>
      <c r="H8" s="10">
        <f>'Proximal Validation (double)'!H8</f>
        <v>1.5707963267948966</v>
      </c>
      <c r="I8" s="10">
        <f>'Proximal Validation (double)'!I8</f>
        <v>1.4</v>
      </c>
      <c r="J8" s="10">
        <f>'Proximal Validation (double)'!J8</f>
        <v>0</v>
      </c>
      <c r="K8" s="10">
        <f>'Proximal Validation (double)'!K8</f>
        <v>0</v>
      </c>
      <c r="L8" s="8">
        <f>'Proximal Validation (double)'!L8</f>
        <v>8.2578761503100395E-3</v>
      </c>
      <c r="M8" s="8">
        <f>'Proximal Validation (double)'!M8</f>
        <v>-0.106360949575901</v>
      </c>
      <c r="N8" s="8">
        <f>'Proximal Validation (double)'!N8</f>
        <v>-7.6963931322097806E-2</v>
      </c>
      <c r="O8" s="8">
        <f>'Proximal Validation (double)'!O8</f>
        <v>-0.29881915450096103</v>
      </c>
      <c r="P8" s="8">
        <f>'Proximal Validation (double)'!P8</f>
        <v>-0.50920194387435902</v>
      </c>
      <c r="Q8" s="8">
        <f>'Proximal Validation (double)'!Q8</f>
        <v>0.108889028429985</v>
      </c>
      <c r="R8" s="8">
        <v>0.70450000000000002</v>
      </c>
      <c r="S8" s="8">
        <v>0.182</v>
      </c>
      <c r="T8" s="8">
        <v>1.7450000000000001</v>
      </c>
      <c r="U8" s="8">
        <v>1.5708</v>
      </c>
      <c r="V8" s="8">
        <v>0.64</v>
      </c>
      <c r="W8" s="8">
        <v>3.2800000000000003E-2</v>
      </c>
      <c r="X8" s="8">
        <v>4.0251999999999999</v>
      </c>
      <c r="Y8" s="8">
        <v>1.5708</v>
      </c>
      <c r="Z8" s="8">
        <f t="shared" si="2"/>
        <v>-9.5500000000000029E-2</v>
      </c>
      <c r="AA8" s="8">
        <f t="shared" si="3"/>
        <v>2.1999999999999992E-2</v>
      </c>
      <c r="AB8" s="8">
        <f t="shared" si="4"/>
        <v>0.17400000000000015</v>
      </c>
      <c r="AC8" s="8">
        <f t="shared" si="5"/>
        <v>3.6732051034160662E-6</v>
      </c>
      <c r="AD8" s="8">
        <f t="shared" si="6"/>
        <v>-0.16000000000000003</v>
      </c>
      <c r="AE8" s="8">
        <f t="shared" si="7"/>
        <v>-2.7199999999999995E-2</v>
      </c>
      <c r="AF8" s="8">
        <f t="shared" si="8"/>
        <v>9.8199999999999843E-2</v>
      </c>
      <c r="AG8" s="8">
        <f t="shared" si="9"/>
        <v>3.6732051034160662E-6</v>
      </c>
      <c r="AH8" s="23">
        <f t="shared" si="10"/>
        <v>0.12775000000000003</v>
      </c>
      <c r="AI8" s="23">
        <f t="shared" si="11"/>
        <v>2.4599999999999993E-2</v>
      </c>
      <c r="AJ8" s="23">
        <f t="shared" si="12"/>
        <v>0.1361</v>
      </c>
    </row>
    <row r="9" spans="1:44" x14ac:dyDescent="0.25">
      <c r="A9" s="10">
        <f>'Proximal Validation (double)'!A9</f>
        <v>0.1</v>
      </c>
      <c r="B9" s="11">
        <f>'Proximal Validation (double)'!B9</f>
        <v>0.18</v>
      </c>
      <c r="C9" s="10">
        <f>'Proximal Validation (double)'!C9</f>
        <v>1.571</v>
      </c>
      <c r="D9" s="10">
        <f>'Proximal Validation (double)'!D9</f>
        <v>1.5707963267948966</v>
      </c>
      <c r="E9" s="11">
        <f>'Proximal Validation (double)'!E9</f>
        <v>0.1</v>
      </c>
      <c r="F9" s="11">
        <f>'Proximal Validation (double)'!F9</f>
        <v>0.02</v>
      </c>
      <c r="G9" s="10">
        <f>'Proximal Validation (double)'!G9</f>
        <v>3.1419999999999999</v>
      </c>
      <c r="H9" s="10">
        <f>'Proximal Validation (double)'!H9</f>
        <v>1.5707963267948966</v>
      </c>
      <c r="I9" s="10">
        <f>'Proximal Validation (double)'!I9</f>
        <v>1.2</v>
      </c>
      <c r="J9" s="10">
        <f>'Proximal Validation (double)'!J9</f>
        <v>0</v>
      </c>
      <c r="K9" s="10">
        <f>'Proximal Validation (double)'!K9</f>
        <v>0</v>
      </c>
      <c r="L9" s="8">
        <f>'Proximal Validation (double)'!L9</f>
        <v>2.53012054599822E-4</v>
      </c>
      <c r="M9" s="8">
        <f>'Proximal Validation (double)'!M9</f>
        <v>-6.1941463500261298E-3</v>
      </c>
      <c r="N9" s="8">
        <f>'Proximal Validation (double)'!N9</f>
        <v>-1.2296888045966599E-2</v>
      </c>
      <c r="O9" s="8">
        <f>'Proximal Validation (double)'!O9</f>
        <v>1.5694042667746499E-2</v>
      </c>
      <c r="P9" s="8">
        <f>'Proximal Validation (double)'!P9</f>
        <v>-0.108663953840733</v>
      </c>
      <c r="Q9" s="8">
        <f>'Proximal Validation (double)'!Q9</f>
        <v>1.80782899260521E-2</v>
      </c>
      <c r="R9" s="8">
        <v>0.1</v>
      </c>
      <c r="S9" s="8">
        <v>0.1</v>
      </c>
      <c r="T9" s="8">
        <v>1.5713999999999999</v>
      </c>
      <c r="U9" s="8">
        <v>1.5708</v>
      </c>
      <c r="V9" s="8">
        <v>0.1363</v>
      </c>
      <c r="W9" s="8">
        <v>3.9300000000000002E-2</v>
      </c>
      <c r="X9" s="8">
        <v>3.7917000000000001</v>
      </c>
      <c r="Y9" s="8">
        <v>1.5708</v>
      </c>
      <c r="Z9" s="8">
        <f t="shared" si="2"/>
        <v>0</v>
      </c>
      <c r="AA9" s="8">
        <f t="shared" si="3"/>
        <v>-7.9999999999999988E-2</v>
      </c>
      <c r="AB9" s="8">
        <f t="shared" si="4"/>
        <v>3.9999999999995595E-4</v>
      </c>
      <c r="AC9" s="8">
        <f t="shared" si="5"/>
        <v>3.6732051034160662E-6</v>
      </c>
      <c r="AD9" s="8">
        <f t="shared" si="6"/>
        <v>3.6299999999999999E-2</v>
      </c>
      <c r="AE9" s="8">
        <f t="shared" si="7"/>
        <v>1.9300000000000001E-2</v>
      </c>
      <c r="AF9" s="8">
        <f t="shared" si="8"/>
        <v>0.64970000000000017</v>
      </c>
      <c r="AG9" s="8">
        <f t="shared" si="9"/>
        <v>3.6732051034160662E-6</v>
      </c>
      <c r="AH9" s="22">
        <f t="shared" si="10"/>
        <v>1.8149999999999999E-2</v>
      </c>
      <c r="AI9" s="22">
        <f t="shared" si="11"/>
        <v>4.9649999999999993E-2</v>
      </c>
      <c r="AJ9" s="22">
        <f t="shared" si="12"/>
        <v>0.32505000000000006</v>
      </c>
    </row>
    <row r="10" spans="1:44" x14ac:dyDescent="0.25">
      <c r="A10" s="10">
        <f>'Proximal Validation (double)'!A10</f>
        <v>0.9</v>
      </c>
      <c r="B10" s="11">
        <f>'Proximal Validation (double)'!B10</f>
        <v>0.18</v>
      </c>
      <c r="C10" s="10">
        <f>'Proximal Validation (double)'!C10</f>
        <v>1.571</v>
      </c>
      <c r="D10" s="10">
        <f>'Proximal Validation (double)'!D10</f>
        <v>1.5707963267948966</v>
      </c>
      <c r="E10" s="11">
        <f>'Proximal Validation (double)'!E10</f>
        <v>0.1</v>
      </c>
      <c r="F10" s="11">
        <f>'Proximal Validation (double)'!F10</f>
        <v>0.08</v>
      </c>
      <c r="G10" s="10">
        <f>'Proximal Validation (double)'!G10</f>
        <v>4.7119999999999997</v>
      </c>
      <c r="H10" s="10">
        <f>'Proximal Validation (double)'!H10</f>
        <v>1.5707963267948966</v>
      </c>
      <c r="I10" s="10">
        <f>'Proximal Validation (double)'!I10</f>
        <v>0</v>
      </c>
      <c r="J10" s="10">
        <f>'Proximal Validation (double)'!J10</f>
        <v>0</v>
      </c>
      <c r="K10" s="10">
        <f>'Proximal Validation (double)'!K10</f>
        <v>0</v>
      </c>
      <c r="L10" s="8">
        <f>'Proximal Validation (double)'!L10</f>
        <v>-8.9414953254163298E-4</v>
      </c>
      <c r="M10" s="8">
        <f>'Proximal Validation (double)'!M10</f>
        <v>-0.180821523070335</v>
      </c>
      <c r="N10" s="8">
        <f>'Proximal Validation (double)'!N10</f>
        <v>8.0074910074472393E-3</v>
      </c>
      <c r="O10" s="8">
        <f>'Proximal Validation (double)'!O10</f>
        <v>-0.405538409948349</v>
      </c>
      <c r="P10" s="8">
        <f>'Proximal Validation (double)'!P10</f>
        <v>5.81999458372593E-2</v>
      </c>
      <c r="Q10" s="8">
        <f>'Proximal Validation (double)'!Q10</f>
        <v>0.51686221361160301</v>
      </c>
      <c r="R10" s="8">
        <v>0.76270000000000004</v>
      </c>
      <c r="S10" s="8">
        <v>0.18970000000000001</v>
      </c>
      <c r="T10" s="8">
        <v>1.5708</v>
      </c>
      <c r="U10" s="8">
        <v>1.5708</v>
      </c>
      <c r="V10" s="8">
        <v>0.1082</v>
      </c>
      <c r="W10" s="8">
        <v>7.7899999999999997E-2</v>
      </c>
      <c r="X10" s="8">
        <v>4.7123999999999997</v>
      </c>
      <c r="Y10" s="8">
        <v>1.5708</v>
      </c>
      <c r="Z10" s="8">
        <f t="shared" si="2"/>
        <v>-0.13729999999999998</v>
      </c>
      <c r="AA10" s="8">
        <f t="shared" si="3"/>
        <v>9.7000000000000142E-3</v>
      </c>
      <c r="AB10" s="8">
        <f t="shared" si="4"/>
        <v>-1.9999999999997797E-4</v>
      </c>
      <c r="AC10" s="8">
        <f t="shared" si="5"/>
        <v>3.6732051034160662E-6</v>
      </c>
      <c r="AD10" s="8">
        <f t="shared" si="6"/>
        <v>8.199999999999999E-3</v>
      </c>
      <c r="AE10" s="8">
        <f t="shared" si="7"/>
        <v>-2.1000000000000046E-3</v>
      </c>
      <c r="AF10" s="8">
        <f t="shared" si="8"/>
        <v>3.9999999999995595E-4</v>
      </c>
      <c r="AG10" s="8">
        <f t="shared" si="9"/>
        <v>3.6732051034160662E-6</v>
      </c>
      <c r="AH10" s="22">
        <f t="shared" si="10"/>
        <v>7.2749999999999981E-2</v>
      </c>
      <c r="AI10" s="22">
        <f t="shared" si="11"/>
        <v>5.9000000000000094E-3</v>
      </c>
      <c r="AJ10" s="22">
        <f t="shared" si="12"/>
        <v>2.9999999999996696E-4</v>
      </c>
    </row>
    <row r="11" spans="1:44" x14ac:dyDescent="0.25">
      <c r="A11" s="10">
        <f>'Proximal Validation (double)'!A11</f>
        <v>0.3</v>
      </c>
      <c r="B11" s="11">
        <f>'Proximal Validation (double)'!B11</f>
        <v>0.18</v>
      </c>
      <c r="C11" s="10">
        <f>'Proximal Validation (double)'!C11</f>
        <v>1.571</v>
      </c>
      <c r="D11" s="10">
        <f>'Proximal Validation (double)'!D11</f>
        <v>1.5707963267948966</v>
      </c>
      <c r="E11" s="11">
        <f>'Proximal Validation (double)'!E11</f>
        <v>0.9</v>
      </c>
      <c r="F11" s="11">
        <f>'Proximal Validation (double)'!F11</f>
        <v>0.08</v>
      </c>
      <c r="G11" s="10">
        <f>'Proximal Validation (double)'!G11</f>
        <v>4.7119999999999997</v>
      </c>
      <c r="H11" s="10">
        <f>'Proximal Validation (double)'!H11</f>
        <v>1.5707963267948966</v>
      </c>
      <c r="I11" s="10">
        <f>'Proximal Validation (double)'!I11</f>
        <v>1</v>
      </c>
      <c r="J11" s="10">
        <f>'Proximal Validation (double)'!J11</f>
        <v>0</v>
      </c>
      <c r="K11" s="10">
        <f>'Proximal Validation (double)'!K11</f>
        <v>0</v>
      </c>
      <c r="L11" s="8">
        <f>'Proximal Validation (double)'!L11</f>
        <v>2.41806032136083E-4</v>
      </c>
      <c r="M11" s="8">
        <f>'Proximal Validation (double)'!M11</f>
        <v>7.3132611811161E-2</v>
      </c>
      <c r="N11" s="8">
        <f>'Proximal Validation (double)'!N11</f>
        <v>-4.2187301442027101E-3</v>
      </c>
      <c r="O11" s="8">
        <f>'Proximal Validation (double)'!O11</f>
        <v>4.2406577616930001E-2</v>
      </c>
      <c r="P11" s="8">
        <f>'Proximal Validation (double)'!P11</f>
        <v>-2.1499879658222198E-2</v>
      </c>
      <c r="Q11" s="8">
        <f>'Proximal Validation (double)'!Q11</f>
        <v>-0.58056563138961803</v>
      </c>
      <c r="R11" s="8">
        <v>0.1</v>
      </c>
      <c r="S11" s="8">
        <v>0.1</v>
      </c>
      <c r="T11" s="8">
        <v>1.5835999999999999</v>
      </c>
      <c r="U11" s="8">
        <v>1.5708</v>
      </c>
      <c r="V11" s="8">
        <v>0.68269999999999997</v>
      </c>
      <c r="W11" s="8">
        <v>2.4199999999999999E-2</v>
      </c>
      <c r="X11" s="8">
        <v>4.6833</v>
      </c>
      <c r="Y11" s="8">
        <v>1.5708</v>
      </c>
      <c r="Z11" s="8">
        <f t="shared" si="2"/>
        <v>-0.19999999999999998</v>
      </c>
      <c r="AA11" s="8">
        <f t="shared" si="3"/>
        <v>-7.9999999999999988E-2</v>
      </c>
      <c r="AB11" s="8">
        <f t="shared" si="4"/>
        <v>1.2599999999999945E-2</v>
      </c>
      <c r="AC11" s="8">
        <f t="shared" si="5"/>
        <v>3.6732051034160662E-6</v>
      </c>
      <c r="AD11" s="8">
        <f t="shared" si="6"/>
        <v>-0.21730000000000005</v>
      </c>
      <c r="AE11" s="8">
        <f t="shared" si="7"/>
        <v>-5.5800000000000002E-2</v>
      </c>
      <c r="AF11" s="8">
        <f t="shared" si="8"/>
        <v>-2.8699999999999726E-2</v>
      </c>
      <c r="AG11" s="8">
        <f t="shared" si="9"/>
        <v>3.6732051034160662E-6</v>
      </c>
      <c r="AH11" s="22">
        <f t="shared" si="10"/>
        <v>0.20865</v>
      </c>
      <c r="AI11" s="22">
        <f t="shared" si="11"/>
        <v>6.7899999999999988E-2</v>
      </c>
      <c r="AJ11" s="22">
        <f t="shared" si="12"/>
        <v>2.0649999999999835E-2</v>
      </c>
    </row>
    <row r="12" spans="1:44" x14ac:dyDescent="0.25">
      <c r="A12" s="10">
        <f>'Proximal Validation (double)'!A12</f>
        <v>0.9</v>
      </c>
      <c r="B12" s="11">
        <f>'Proximal Validation (double)'!B12</f>
        <v>0.2</v>
      </c>
      <c r="C12" s="10">
        <f>'Proximal Validation (double)'!C12</f>
        <v>1.571</v>
      </c>
      <c r="D12" s="10">
        <f>'Proximal Validation (double)'!D12</f>
        <v>1.5707963267948966</v>
      </c>
      <c r="E12" s="11">
        <f>'Proximal Validation (double)'!E12</f>
        <v>1</v>
      </c>
      <c r="F12" s="11">
        <f>'Proximal Validation (double)'!F12</f>
        <v>0.02</v>
      </c>
      <c r="G12" s="10">
        <f>'Proximal Validation (double)'!G12</f>
        <v>3.1419999999999999</v>
      </c>
      <c r="H12" s="10">
        <f>'Proximal Validation (double)'!H12</f>
        <v>1.5707963267948966</v>
      </c>
      <c r="I12" s="10">
        <f>'Proximal Validation (double)'!I12</f>
        <v>0.4</v>
      </c>
      <c r="J12" s="10">
        <f>'Proximal Validation (double)'!J12</f>
        <v>0</v>
      </c>
      <c r="K12" s="10">
        <f>'Proximal Validation (double)'!K12</f>
        <v>0</v>
      </c>
      <c r="L12" s="8">
        <f>'Proximal Validation (double)'!L12</f>
        <v>-1.58930197358131E-4</v>
      </c>
      <c r="M12" s="8">
        <f>'Proximal Validation (double)'!M12</f>
        <v>-0.14518360793590501</v>
      </c>
      <c r="N12" s="8">
        <f>'Proximal Validation (double)'!N12</f>
        <v>-0.108183734118938</v>
      </c>
      <c r="O12" s="8">
        <f>'Proximal Validation (double)'!O12</f>
        <v>-0.55842369794845603</v>
      </c>
      <c r="P12" s="8">
        <f>'Proximal Validation (double)'!P12</f>
        <v>-0.97605288028716997</v>
      </c>
      <c r="Q12" s="8">
        <f>'Proximal Validation (double)'!Q12</f>
        <v>0.27430844306945801</v>
      </c>
      <c r="R12" s="8">
        <v>0.84899999999999998</v>
      </c>
      <c r="S12" s="8">
        <v>0.19980000000000001</v>
      </c>
      <c r="T12" s="8">
        <v>1.6468</v>
      </c>
      <c r="U12" s="8">
        <v>1.5708</v>
      </c>
      <c r="V12" s="8">
        <v>0.99460000000000004</v>
      </c>
      <c r="W12" s="8">
        <v>2.0899999999999998E-2</v>
      </c>
      <c r="X12" s="8">
        <v>3.4964</v>
      </c>
      <c r="Y12" s="8">
        <v>1.5708</v>
      </c>
      <c r="Z12" s="8">
        <f t="shared" si="2"/>
        <v>-5.1000000000000045E-2</v>
      </c>
      <c r="AA12" s="8">
        <f t="shared" si="3"/>
        <v>-2.0000000000000573E-4</v>
      </c>
      <c r="AB12" s="8">
        <f t="shared" si="4"/>
        <v>7.580000000000009E-2</v>
      </c>
      <c r="AC12" s="8">
        <f t="shared" si="5"/>
        <v>3.6732051034160662E-6</v>
      </c>
      <c r="AD12" s="8">
        <f t="shared" si="6"/>
        <v>-5.3999999999999604E-3</v>
      </c>
      <c r="AE12" s="8">
        <f t="shared" si="7"/>
        <v>8.9999999999999802E-4</v>
      </c>
      <c r="AF12" s="8">
        <f t="shared" si="8"/>
        <v>0.35440000000000005</v>
      </c>
      <c r="AG12" s="8">
        <f t="shared" si="9"/>
        <v>3.6732051034160662E-6</v>
      </c>
      <c r="AH12" s="22">
        <f t="shared" si="10"/>
        <v>2.8200000000000003E-2</v>
      </c>
      <c r="AI12" s="22">
        <f t="shared" si="11"/>
        <v>5.5000000000000188E-4</v>
      </c>
      <c r="AJ12" s="22">
        <f t="shared" si="12"/>
        <v>0.21510000000000007</v>
      </c>
    </row>
    <row r="13" spans="1:44" x14ac:dyDescent="0.25">
      <c r="A13" s="10">
        <f>'Proximal Validation (double)'!A13</f>
        <v>0.1</v>
      </c>
      <c r="B13" s="11">
        <f>'Proximal Validation (double)'!B13</f>
        <v>0.2</v>
      </c>
      <c r="C13" s="10">
        <f>'Proximal Validation (double)'!C13</f>
        <v>1.571</v>
      </c>
      <c r="D13" s="10">
        <f>'Proximal Validation (double)'!D13</f>
        <v>1.5707963267948966</v>
      </c>
      <c r="E13" s="11">
        <f>'Proximal Validation (double)'!E13</f>
        <v>0.3</v>
      </c>
      <c r="F13" s="11">
        <f>'Proximal Validation (double)'!F13</f>
        <v>0.08</v>
      </c>
      <c r="G13" s="10">
        <f>'Proximal Validation (double)'!G13</f>
        <v>3.1419999999999999</v>
      </c>
      <c r="H13" s="10">
        <f>'Proximal Validation (double)'!H13</f>
        <v>1.5707963267948966</v>
      </c>
      <c r="I13" s="10">
        <f>'Proximal Validation (double)'!I13</f>
        <v>0.2</v>
      </c>
      <c r="J13" s="10">
        <f>'Proximal Validation (double)'!J13</f>
        <v>0</v>
      </c>
      <c r="K13" s="10">
        <f>'Proximal Validation (double)'!K13</f>
        <v>0</v>
      </c>
      <c r="L13" s="8">
        <f>'Proximal Validation (double)'!L13</f>
        <v>-1.4157709665596499E-4</v>
      </c>
      <c r="M13" s="8">
        <f>'Proximal Validation (double)'!M13</f>
        <v>4.5513403601944403E-3</v>
      </c>
      <c r="N13" s="8">
        <f>'Proximal Validation (double)'!N13</f>
        <v>-4.92897629737854E-2</v>
      </c>
      <c r="O13" s="8">
        <f>'Proximal Validation (double)'!O13</f>
        <v>2.6178073137998598E-2</v>
      </c>
      <c r="P13" s="8">
        <f>'Proximal Validation (double)'!P13</f>
        <v>-0.27640634775161699</v>
      </c>
      <c r="Q13" s="8">
        <f>'Proximal Validation (double)'!Q13</f>
        <v>-3.6308467388153097E-2</v>
      </c>
      <c r="R13" s="8">
        <v>0.1</v>
      </c>
      <c r="S13" s="8">
        <v>0.1</v>
      </c>
      <c r="T13" s="8">
        <v>3.0446</v>
      </c>
      <c r="U13" s="8">
        <v>1.5708</v>
      </c>
      <c r="V13" s="8">
        <v>0.183</v>
      </c>
      <c r="W13" s="8">
        <v>0.02</v>
      </c>
      <c r="X13" s="8">
        <v>3.3963999999999999</v>
      </c>
      <c r="Y13" s="8">
        <v>1.5708</v>
      </c>
      <c r="Z13" s="8">
        <f t="shared" si="2"/>
        <v>0</v>
      </c>
      <c r="AA13" s="8">
        <f t="shared" si="3"/>
        <v>-0.1</v>
      </c>
      <c r="AB13" s="8">
        <f t="shared" si="4"/>
        <v>1.4736</v>
      </c>
      <c r="AC13" s="8">
        <f t="shared" si="5"/>
        <v>3.6732051034160662E-6</v>
      </c>
      <c r="AD13" s="8">
        <f t="shared" si="6"/>
        <v>-0.11699999999999999</v>
      </c>
      <c r="AE13" s="8">
        <f t="shared" si="7"/>
        <v>-0.06</v>
      </c>
      <c r="AF13" s="8">
        <f t="shared" si="8"/>
        <v>0.25439999999999996</v>
      </c>
      <c r="AG13" s="8">
        <f t="shared" si="9"/>
        <v>3.6732051034160662E-6</v>
      </c>
      <c r="AH13" s="22">
        <f t="shared" si="10"/>
        <v>5.8499999999999996E-2</v>
      </c>
      <c r="AI13" s="22">
        <f t="shared" si="11"/>
        <v>0.08</v>
      </c>
      <c r="AJ13" s="22">
        <f t="shared" si="12"/>
        <v>0.86399999999999999</v>
      </c>
    </row>
    <row r="14" spans="1:44" x14ac:dyDescent="0.25">
      <c r="A14" s="10">
        <f>'Proximal Validation (double)'!A14</f>
        <v>0.9</v>
      </c>
      <c r="B14" s="11">
        <f>'Proximal Validation (double)'!B14</f>
        <v>0.2</v>
      </c>
      <c r="C14" s="10">
        <f>'Proximal Validation (double)'!C14</f>
        <v>1.571</v>
      </c>
      <c r="D14" s="10">
        <f>'Proximal Validation (double)'!D14</f>
        <v>1.5707963267948966</v>
      </c>
      <c r="E14" s="11">
        <f>'Proximal Validation (double)'!E14</f>
        <v>0.3</v>
      </c>
      <c r="F14" s="11">
        <f>'Proximal Validation (double)'!F14</f>
        <v>0.02</v>
      </c>
      <c r="G14" s="10">
        <f>'Proximal Validation (double)'!G14</f>
        <v>4.7119999999999997</v>
      </c>
      <c r="H14" s="10">
        <f>'Proximal Validation (double)'!H14</f>
        <v>1.5707963267948966</v>
      </c>
      <c r="I14" s="10">
        <f>'Proximal Validation (double)'!I14</f>
        <v>1.4</v>
      </c>
      <c r="J14" s="10">
        <f>'Proximal Validation (double)'!J14</f>
        <v>0</v>
      </c>
      <c r="K14" s="10">
        <f>'Proximal Validation (double)'!K14</f>
        <v>0</v>
      </c>
      <c r="L14" s="8">
        <f>'Proximal Validation (double)'!L14</f>
        <v>9.2607205733656901E-3</v>
      </c>
      <c r="M14" s="8">
        <f>'Proximal Validation (double)'!M14</f>
        <v>-0.11755938827991499</v>
      </c>
      <c r="N14" s="8">
        <f>'Proximal Validation (double)'!N14</f>
        <v>-8.4324358031153696E-3</v>
      </c>
      <c r="O14" s="8">
        <f>'Proximal Validation (double)'!O14</f>
        <v>-0.58649873733520497</v>
      </c>
      <c r="P14" s="8">
        <f>'Proximal Validation (double)'!P14</f>
        <v>-5.0031639635562897E-2</v>
      </c>
      <c r="Q14" s="8">
        <f>'Proximal Validation (double)'!Q14</f>
        <v>4.2876139283180202E-2</v>
      </c>
      <c r="R14" s="8">
        <v>1</v>
      </c>
      <c r="S14" s="8">
        <v>0.2</v>
      </c>
      <c r="T14" s="8">
        <v>1.5891999999999999</v>
      </c>
      <c r="U14" s="8">
        <v>1.5708</v>
      </c>
      <c r="V14" s="8">
        <v>0.63639999999999997</v>
      </c>
      <c r="W14" s="8">
        <v>4.0399999999999998E-2</v>
      </c>
      <c r="X14" s="8">
        <v>4.6516999999999999</v>
      </c>
      <c r="Y14" s="8">
        <v>1.5708</v>
      </c>
      <c r="Z14" s="8">
        <f t="shared" si="2"/>
        <v>9.9999999999999978E-2</v>
      </c>
      <c r="AA14" s="8">
        <f t="shared" si="3"/>
        <v>0</v>
      </c>
      <c r="AB14" s="8">
        <f t="shared" si="4"/>
        <v>1.8199999999999994E-2</v>
      </c>
      <c r="AC14" s="8">
        <f t="shared" si="5"/>
        <v>3.6732051034160662E-6</v>
      </c>
      <c r="AD14" s="8">
        <f t="shared" si="6"/>
        <v>0.33639999999999998</v>
      </c>
      <c r="AE14" s="8">
        <f t="shared" si="7"/>
        <v>2.0399999999999998E-2</v>
      </c>
      <c r="AF14" s="8">
        <f t="shared" si="8"/>
        <v>-6.0299999999999798E-2</v>
      </c>
      <c r="AG14" s="8">
        <f t="shared" si="9"/>
        <v>3.6732051034160662E-6</v>
      </c>
      <c r="AH14" s="22">
        <f t="shared" si="10"/>
        <v>0.21819999999999998</v>
      </c>
      <c r="AI14" s="22">
        <f t="shared" si="11"/>
        <v>1.0199999999999999E-2</v>
      </c>
      <c r="AJ14" s="22">
        <f t="shared" si="12"/>
        <v>3.9249999999999896E-2</v>
      </c>
    </row>
    <row r="15" spans="1:44" x14ac:dyDescent="0.25">
      <c r="A15" s="10">
        <f>'Proximal Validation (double)'!A15</f>
        <v>0.9</v>
      </c>
      <c r="B15" s="11">
        <f>'Proximal Validation (double)'!B15</f>
        <v>0.1</v>
      </c>
      <c r="C15" s="10">
        <f>'Proximal Validation (double)'!C15</f>
        <v>2.3559999999999999</v>
      </c>
      <c r="D15" s="10">
        <f>'Proximal Validation (double)'!D15</f>
        <v>1.5707963267948966</v>
      </c>
      <c r="E15" s="11">
        <f>'Proximal Validation (double)'!E15</f>
        <v>0.9</v>
      </c>
      <c r="F15" s="11">
        <f>'Proximal Validation (double)'!F15</f>
        <v>0.02</v>
      </c>
      <c r="G15" s="10">
        <f>'Proximal Validation (double)'!G15</f>
        <v>4.7119999999999997</v>
      </c>
      <c r="H15" s="10">
        <f>'Proximal Validation (double)'!H15</f>
        <v>1.5707963267948966</v>
      </c>
      <c r="I15" s="10">
        <f>'Proximal Validation (double)'!I15</f>
        <v>0.4</v>
      </c>
      <c r="J15" s="10">
        <f>'Proximal Validation (double)'!J15</f>
        <v>0</v>
      </c>
      <c r="K15" s="10">
        <f>'Proximal Validation (double)'!K15</f>
        <v>0</v>
      </c>
      <c r="L15" s="8">
        <f>'Proximal Validation (double)'!L15</f>
        <v>-9.1172568500042005E-4</v>
      </c>
      <c r="M15" s="8">
        <f>'Proximal Validation (double)'!M15</f>
        <v>-3.9313092827796901E-2</v>
      </c>
      <c r="N15" s="8">
        <f>'Proximal Validation (double)'!N15</f>
        <v>-0.130889192223549</v>
      </c>
      <c r="O15" s="8">
        <f>'Proximal Validation (double)'!O15</f>
        <v>-0.256822139024735</v>
      </c>
      <c r="P15" s="8">
        <f>'Proximal Validation (double)'!P15</f>
        <v>-0.62632656097412098</v>
      </c>
      <c r="Q15" s="8">
        <f>'Proximal Validation (double)'!Q15</f>
        <v>-0.18459481000900299</v>
      </c>
      <c r="R15" s="8">
        <v>0.65010000000000001</v>
      </c>
      <c r="S15" s="8">
        <v>0.17649999999999999</v>
      </c>
      <c r="T15" s="8">
        <v>2.3098000000000001</v>
      </c>
      <c r="U15" s="8">
        <v>1.5708</v>
      </c>
      <c r="V15" s="8">
        <v>0.66279999999999994</v>
      </c>
      <c r="W15" s="8">
        <v>3.4200000000000001E-2</v>
      </c>
      <c r="X15" s="8">
        <v>4.3506</v>
      </c>
      <c r="Y15" s="8">
        <v>1.5708</v>
      </c>
      <c r="Z15" s="8">
        <f t="shared" si="2"/>
        <v>-0.24990000000000001</v>
      </c>
      <c r="AA15" s="8">
        <f t="shared" si="3"/>
        <v>7.6499999999999985E-2</v>
      </c>
      <c r="AB15" s="8">
        <f t="shared" si="4"/>
        <v>-4.6199999999999797E-2</v>
      </c>
      <c r="AC15" s="8">
        <f t="shared" si="5"/>
        <v>3.6732051034160662E-6</v>
      </c>
      <c r="AD15" s="8">
        <f t="shared" si="6"/>
        <v>-0.23720000000000008</v>
      </c>
      <c r="AE15" s="8">
        <f t="shared" si="7"/>
        <v>1.4200000000000001E-2</v>
      </c>
      <c r="AF15" s="8">
        <f t="shared" si="8"/>
        <v>-0.36139999999999972</v>
      </c>
      <c r="AG15" s="8">
        <f t="shared" si="9"/>
        <v>3.6732051034160662E-6</v>
      </c>
      <c r="AH15" s="22">
        <f t="shared" si="10"/>
        <v>0.24355000000000004</v>
      </c>
      <c r="AI15" s="22">
        <f t="shared" si="11"/>
        <v>4.5349999999999994E-2</v>
      </c>
      <c r="AJ15" s="22">
        <f t="shared" si="12"/>
        <v>0.20379999999999976</v>
      </c>
    </row>
    <row r="16" spans="1:44" x14ac:dyDescent="0.25">
      <c r="A16" s="10">
        <f>'Proximal Validation (double)'!A16</f>
        <v>0.4</v>
      </c>
      <c r="B16" s="11">
        <f>'Proximal Validation (double)'!B16</f>
        <v>0.12</v>
      </c>
      <c r="C16" s="10">
        <f>'Proximal Validation (double)'!C16</f>
        <v>2.3559999999999999</v>
      </c>
      <c r="D16" s="10">
        <f>'Proximal Validation (double)'!D16</f>
        <v>1.5707963267948966</v>
      </c>
      <c r="E16" s="11">
        <f>'Proximal Validation (double)'!E16</f>
        <v>0.1</v>
      </c>
      <c r="F16" s="11">
        <f>'Proximal Validation (double)'!F16</f>
        <v>0.06</v>
      </c>
      <c r="G16" s="10">
        <f>'Proximal Validation (double)'!G16</f>
        <v>3.1419999999999999</v>
      </c>
      <c r="H16" s="10">
        <f>'Proximal Validation (double)'!H16</f>
        <v>1.5707963267948966</v>
      </c>
      <c r="I16" s="10">
        <f>'Proximal Validation (double)'!I16</f>
        <v>0.4</v>
      </c>
      <c r="J16" s="10">
        <f>'Proximal Validation (double)'!J16</f>
        <v>0</v>
      </c>
      <c r="K16" s="10">
        <f>'Proximal Validation (double)'!K16</f>
        <v>0</v>
      </c>
      <c r="L16" s="8">
        <f>'Proximal Validation (double)'!L16</f>
        <v>-3.60760372132063E-3</v>
      </c>
      <c r="M16" s="8">
        <f>'Proximal Validation (double)'!M16</f>
        <v>-5.4309170693159103E-2</v>
      </c>
      <c r="N16" s="8">
        <f>'Proximal Validation (double)'!N16</f>
        <v>-7.0400118827819796E-2</v>
      </c>
      <c r="O16" s="8">
        <f>'Proximal Validation (double)'!O16</f>
        <v>-5.4136319085955602E-3</v>
      </c>
      <c r="P16" s="8">
        <f>'Proximal Validation (double)'!P16</f>
        <v>-0.32776689529418901</v>
      </c>
      <c r="Q16" s="8">
        <f>'Proximal Validation (double)'!Q16</f>
        <v>0.24705727398395499</v>
      </c>
      <c r="R16" s="8">
        <v>0.2495</v>
      </c>
      <c r="S16" s="8">
        <v>0.1</v>
      </c>
      <c r="T16" s="8">
        <v>1.7371000000000001</v>
      </c>
      <c r="U16" s="8">
        <v>1.5708</v>
      </c>
      <c r="V16" s="8">
        <v>0.28899999999999998</v>
      </c>
      <c r="W16" s="8">
        <v>5.9799999999999999E-2</v>
      </c>
      <c r="X16" s="8">
        <v>3.1415999999999999</v>
      </c>
      <c r="Y16" s="8">
        <v>1.5708</v>
      </c>
      <c r="Z16" s="8">
        <f t="shared" si="2"/>
        <v>-0.15050000000000002</v>
      </c>
      <c r="AA16" s="8">
        <f t="shared" si="3"/>
        <v>-1.999999999999999E-2</v>
      </c>
      <c r="AB16" s="8">
        <f t="shared" si="4"/>
        <v>-0.61889999999999978</v>
      </c>
      <c r="AC16" s="8">
        <f t="shared" si="5"/>
        <v>3.6732051034160662E-6</v>
      </c>
      <c r="AD16" s="8">
        <f t="shared" si="6"/>
        <v>0.18899999999999997</v>
      </c>
      <c r="AE16" s="8">
        <f t="shared" si="7"/>
        <v>-1.9999999999999879E-4</v>
      </c>
      <c r="AF16" s="8">
        <f t="shared" si="8"/>
        <v>-3.9999999999995595E-4</v>
      </c>
      <c r="AG16" s="8">
        <f t="shared" si="9"/>
        <v>3.6732051034160662E-6</v>
      </c>
      <c r="AH16" s="22">
        <f t="shared" si="10"/>
        <v>0.16975000000000001</v>
      </c>
      <c r="AI16" s="22">
        <f t="shared" si="11"/>
        <v>1.0099999999999994E-2</v>
      </c>
      <c r="AJ16" s="22">
        <f t="shared" si="12"/>
        <v>0.30964999999999987</v>
      </c>
    </row>
    <row r="17" spans="1:36" x14ac:dyDescent="0.25">
      <c r="A17" s="10">
        <f>'Proximal Validation (double)'!A17</f>
        <v>1</v>
      </c>
      <c r="B17" s="11">
        <f>'Proximal Validation (double)'!B17</f>
        <v>0.14000000000000001</v>
      </c>
      <c r="C17" s="10">
        <f>'Proximal Validation (double)'!C17</f>
        <v>2.3559999999999999</v>
      </c>
      <c r="D17" s="10">
        <f>'Proximal Validation (double)'!D17</f>
        <v>1.5707963267948966</v>
      </c>
      <c r="E17" s="11">
        <f>'Proximal Validation (double)'!E17</f>
        <v>0.4</v>
      </c>
      <c r="F17" s="11">
        <f>'Proximal Validation (double)'!F17</f>
        <v>0.04</v>
      </c>
      <c r="G17" s="10">
        <f>'Proximal Validation (double)'!G17</f>
        <v>3.927</v>
      </c>
      <c r="H17" s="10">
        <f>'Proximal Validation (double)'!H17</f>
        <v>1.5707963267948966</v>
      </c>
      <c r="I17" s="10">
        <f>'Proximal Validation (double)'!I17</f>
        <v>0.6</v>
      </c>
      <c r="J17" s="10">
        <f>'Proximal Validation (double)'!J17</f>
        <v>0</v>
      </c>
      <c r="K17" s="10">
        <f>'Proximal Validation (double)'!K17</f>
        <v>0</v>
      </c>
      <c r="L17" s="8">
        <f>'Proximal Validation (double)'!L17</f>
        <v>1.51338707655668E-3</v>
      </c>
      <c r="M17" s="8">
        <f>'Proximal Validation (double)'!M17</f>
        <v>-0.13520552217960399</v>
      </c>
      <c r="N17" s="8">
        <f>'Proximal Validation (double)'!N17</f>
        <v>-0.2040024548769</v>
      </c>
      <c r="O17" s="8">
        <f>'Proximal Validation (double)'!O17</f>
        <v>-0.46525964140892001</v>
      </c>
      <c r="P17" s="8">
        <f>'Proximal Validation (double)'!P17</f>
        <v>-0.93685162067413297</v>
      </c>
      <c r="Q17" s="8">
        <f>'Proximal Validation (double)'!Q17</f>
        <v>0.42077422142028797</v>
      </c>
      <c r="R17" s="8">
        <v>0.82330000000000003</v>
      </c>
      <c r="S17" s="8">
        <v>0.15290000000000001</v>
      </c>
      <c r="T17" s="8">
        <v>2.1145</v>
      </c>
      <c r="U17" s="8">
        <v>1.5708</v>
      </c>
      <c r="V17" s="8">
        <v>0.62529999999999997</v>
      </c>
      <c r="W17" s="8">
        <v>7.9000000000000001E-2</v>
      </c>
      <c r="X17" s="8">
        <v>3.4819</v>
      </c>
      <c r="Y17" s="8">
        <v>1.5708</v>
      </c>
      <c r="Z17" s="8">
        <f t="shared" si="2"/>
        <v>-0.17669999999999997</v>
      </c>
      <c r="AA17" s="8">
        <f t="shared" si="3"/>
        <v>1.2899999999999995E-2</v>
      </c>
      <c r="AB17" s="8">
        <f t="shared" si="4"/>
        <v>-0.24149999999999983</v>
      </c>
      <c r="AC17" s="8">
        <f t="shared" si="5"/>
        <v>3.6732051034160662E-6</v>
      </c>
      <c r="AD17" s="8">
        <f t="shared" si="6"/>
        <v>0.22529999999999994</v>
      </c>
      <c r="AE17" s="8">
        <f t="shared" si="7"/>
        <v>3.9E-2</v>
      </c>
      <c r="AF17" s="8">
        <f t="shared" si="8"/>
        <v>-0.44510000000000005</v>
      </c>
      <c r="AG17" s="8">
        <f t="shared" si="9"/>
        <v>3.6732051034160662E-6</v>
      </c>
      <c r="AH17" s="22">
        <f t="shared" si="10"/>
        <v>0.20099999999999996</v>
      </c>
      <c r="AI17" s="22">
        <f t="shared" si="11"/>
        <v>2.5949999999999997E-2</v>
      </c>
      <c r="AJ17" s="22">
        <f t="shared" si="12"/>
        <v>0.34329999999999994</v>
      </c>
    </row>
    <row r="18" spans="1:36" x14ac:dyDescent="0.25">
      <c r="A18" s="10">
        <f>'Proximal Validation (double)'!A18</f>
        <v>0.4</v>
      </c>
      <c r="B18" s="11">
        <f>'Proximal Validation (double)'!B18</f>
        <v>0.18</v>
      </c>
      <c r="C18" s="10">
        <f>'Proximal Validation (double)'!C18</f>
        <v>2.3559999999999999</v>
      </c>
      <c r="D18" s="10">
        <f>'Proximal Validation (double)'!D18</f>
        <v>1.5707963267948966</v>
      </c>
      <c r="E18" s="11">
        <f>'Proximal Validation (double)'!E18</f>
        <v>0.7</v>
      </c>
      <c r="F18" s="11">
        <f>'Proximal Validation (double)'!F18</f>
        <v>0.04</v>
      </c>
      <c r="G18" s="10">
        <f>'Proximal Validation (double)'!G18</f>
        <v>3.1419999999999999</v>
      </c>
      <c r="H18" s="10">
        <f>'Proximal Validation (double)'!H18</f>
        <v>1.5707963267948966</v>
      </c>
      <c r="I18" s="10">
        <f>'Proximal Validation (double)'!I18</f>
        <v>0</v>
      </c>
      <c r="J18" s="10">
        <f>'Proximal Validation (double)'!J18</f>
        <v>0</v>
      </c>
      <c r="K18" s="10">
        <f>'Proximal Validation (double)'!K18</f>
        <v>0</v>
      </c>
      <c r="L18" s="8">
        <f>'Proximal Validation (double)'!L18</f>
        <v>1.25857396051288E-3</v>
      </c>
      <c r="M18" s="8">
        <f>'Proximal Validation (double)'!M18</f>
        <v>-6.1508439481258399E-2</v>
      </c>
      <c r="N18" s="8">
        <f>'Proximal Validation (double)'!N18</f>
        <v>-0.139540165662766</v>
      </c>
      <c r="O18" s="8">
        <f>'Proximal Validation (double)'!O18</f>
        <v>-9.9908888339996296E-2</v>
      </c>
      <c r="P18" s="8">
        <f>'Proximal Validation (double)'!P18</f>
        <v>-0.836775302886963</v>
      </c>
      <c r="Q18" s="8">
        <f>'Proximal Validation (double)'!Q18</f>
        <v>0.23870468139648399</v>
      </c>
      <c r="R18" s="8">
        <v>0.41799999999999998</v>
      </c>
      <c r="S18" s="8">
        <v>0.1288</v>
      </c>
      <c r="T18" s="8">
        <v>2.3925999999999998</v>
      </c>
      <c r="U18" s="8">
        <v>1.5708</v>
      </c>
      <c r="V18" s="8">
        <v>0.53910000000000002</v>
      </c>
      <c r="W18" s="8">
        <v>3.1800000000000002E-2</v>
      </c>
      <c r="X18" s="8">
        <v>3.2183000000000002</v>
      </c>
      <c r="Y18" s="8">
        <v>1.5708</v>
      </c>
      <c r="Z18" s="8">
        <f t="shared" si="2"/>
        <v>1.799999999999996E-2</v>
      </c>
      <c r="AA18" s="8">
        <f t="shared" si="3"/>
        <v>-5.1199999999999996E-2</v>
      </c>
      <c r="AB18" s="8">
        <f t="shared" si="4"/>
        <v>3.6599999999999966E-2</v>
      </c>
      <c r="AC18" s="8">
        <f t="shared" si="5"/>
        <v>3.6732051034160662E-6</v>
      </c>
      <c r="AD18" s="8">
        <f t="shared" si="6"/>
        <v>-0.16089999999999993</v>
      </c>
      <c r="AE18" s="8">
        <f t="shared" si="7"/>
        <v>-8.199999999999999E-3</v>
      </c>
      <c r="AF18" s="8">
        <f t="shared" si="8"/>
        <v>7.6300000000000257E-2</v>
      </c>
      <c r="AG18" s="8">
        <f t="shared" si="9"/>
        <v>3.6732051034160662E-6</v>
      </c>
      <c r="AH18" s="22">
        <f t="shared" si="10"/>
        <v>8.9449999999999946E-2</v>
      </c>
      <c r="AI18" s="22">
        <f t="shared" si="11"/>
        <v>2.9699999999999997E-2</v>
      </c>
      <c r="AJ18" s="22">
        <f t="shared" si="12"/>
        <v>5.6450000000000111E-2</v>
      </c>
    </row>
    <row r="19" spans="1:36" x14ac:dyDescent="0.25">
      <c r="A19" s="10">
        <f>'Proximal Validation (double)'!A19</f>
        <v>0.1</v>
      </c>
      <c r="B19" s="11">
        <f>'Proximal Validation (double)'!B19</f>
        <v>0.18</v>
      </c>
      <c r="C19" s="10">
        <f>'Proximal Validation (double)'!C19</f>
        <v>2.3559999999999999</v>
      </c>
      <c r="D19" s="10">
        <f>'Proximal Validation (double)'!D19</f>
        <v>1.5707963267948966</v>
      </c>
      <c r="E19" s="11">
        <f>'Proximal Validation (double)'!E19</f>
        <v>0.2</v>
      </c>
      <c r="F19" s="11">
        <f>'Proximal Validation (double)'!F19</f>
        <v>0.06</v>
      </c>
      <c r="G19" s="10">
        <f>'Proximal Validation (double)'!G19</f>
        <v>4.7119999999999997</v>
      </c>
      <c r="H19" s="10">
        <f>'Proximal Validation (double)'!H19</f>
        <v>1.5707963267948966</v>
      </c>
      <c r="I19" s="10">
        <f>'Proximal Validation (double)'!I19</f>
        <v>0.4</v>
      </c>
      <c r="J19" s="10">
        <f>'Proximal Validation (double)'!J19</f>
        <v>0</v>
      </c>
      <c r="K19" s="10">
        <f>'Proximal Validation (double)'!K19</f>
        <v>0</v>
      </c>
      <c r="L19" s="8">
        <f>'Proximal Validation (double)'!L19</f>
        <v>-7.4886210495606097E-4</v>
      </c>
      <c r="M19" s="8">
        <f>'Proximal Validation (double)'!M19</f>
        <v>2.0453782752156299E-2</v>
      </c>
      <c r="N19" s="8">
        <f>'Proximal Validation (double)'!N19</f>
        <v>-9.3716401606798207E-3</v>
      </c>
      <c r="O19" s="8">
        <f>'Proximal Validation (double)'!O19</f>
        <v>1.6650179401040101E-2</v>
      </c>
      <c r="P19" s="8">
        <f>'Proximal Validation (double)'!P19</f>
        <v>-2.5679610669612898E-2</v>
      </c>
      <c r="Q19" s="8">
        <f>'Proximal Validation (double)'!Q19</f>
        <v>-0.15806177258491499</v>
      </c>
      <c r="R19" s="8">
        <v>0.13159999999999999</v>
      </c>
      <c r="S19" s="8">
        <v>0.1497</v>
      </c>
      <c r="T19" s="8">
        <v>1.6737</v>
      </c>
      <c r="U19" s="8">
        <v>1.5708</v>
      </c>
      <c r="V19" s="8">
        <v>0.2893</v>
      </c>
      <c r="W19" s="8">
        <v>0.08</v>
      </c>
      <c r="X19" s="8">
        <v>4.6679000000000004</v>
      </c>
      <c r="Y19" s="8">
        <v>1.5708</v>
      </c>
      <c r="Z19" s="8">
        <f t="shared" si="2"/>
        <v>3.1599999999999989E-2</v>
      </c>
      <c r="AA19" s="8">
        <f t="shared" si="3"/>
        <v>-3.0299999999999994E-2</v>
      </c>
      <c r="AB19" s="8">
        <f t="shared" si="4"/>
        <v>-0.68229999999999991</v>
      </c>
      <c r="AC19" s="8">
        <f t="shared" si="5"/>
        <v>3.6732051034160662E-6</v>
      </c>
      <c r="AD19" s="8">
        <f t="shared" si="6"/>
        <v>8.929999999999999E-2</v>
      </c>
      <c r="AE19" s="8">
        <f t="shared" si="7"/>
        <v>2.0000000000000004E-2</v>
      </c>
      <c r="AF19" s="8">
        <f t="shared" si="8"/>
        <v>-4.4099999999999362E-2</v>
      </c>
      <c r="AG19" s="8">
        <f t="shared" si="9"/>
        <v>3.6732051034160662E-6</v>
      </c>
      <c r="AH19" s="22">
        <f t="shared" si="10"/>
        <v>6.044999999999999E-2</v>
      </c>
      <c r="AI19" s="22">
        <f t="shared" si="11"/>
        <v>2.5149999999999999E-2</v>
      </c>
      <c r="AJ19" s="22">
        <f t="shared" si="12"/>
        <v>0.36319999999999963</v>
      </c>
    </row>
    <row r="20" spans="1:36" x14ac:dyDescent="0.25">
      <c r="A20" s="10">
        <f>'Proximal Validation (double)'!A20</f>
        <v>0.9</v>
      </c>
      <c r="B20" s="11">
        <f>'Proximal Validation (double)'!B20</f>
        <v>0.2</v>
      </c>
      <c r="C20" s="10">
        <f>'Proximal Validation (double)'!C20</f>
        <v>2.3559999999999999</v>
      </c>
      <c r="D20" s="10">
        <f>'Proximal Validation (double)'!D20</f>
        <v>1.5707963267948966</v>
      </c>
      <c r="E20" s="11">
        <f>'Proximal Validation (double)'!E20</f>
        <v>0.3</v>
      </c>
      <c r="F20" s="11">
        <f>'Proximal Validation (double)'!F20</f>
        <v>0.06</v>
      </c>
      <c r="G20" s="10">
        <f>'Proximal Validation (double)'!G20</f>
        <v>3.1419999999999999</v>
      </c>
      <c r="H20" s="10">
        <f>'Proximal Validation (double)'!H20</f>
        <v>1.5707963267948966</v>
      </c>
      <c r="I20" s="10">
        <f>'Proximal Validation (double)'!I20</f>
        <v>1.2</v>
      </c>
      <c r="J20" s="10">
        <f>'Proximal Validation (double)'!J20</f>
        <v>0</v>
      </c>
      <c r="K20" s="10">
        <f>'Proximal Validation (double)'!K20</f>
        <v>0</v>
      </c>
      <c r="L20" s="8">
        <f>'Proximal Validation (double)'!L20</f>
        <v>3.2496866770088699E-3</v>
      </c>
      <c r="M20" s="8">
        <f>'Proximal Validation (double)'!M20</f>
        <v>-0.114310443401337</v>
      </c>
      <c r="N20" s="8">
        <f>'Proximal Validation (double)'!N20</f>
        <v>-0.158231571316719</v>
      </c>
      <c r="O20" s="8">
        <f>'Proximal Validation (double)'!O20</f>
        <v>-0.49384498596191401</v>
      </c>
      <c r="P20" s="8">
        <f>'Proximal Validation (double)'!P20</f>
        <v>-0.55208766460418701</v>
      </c>
      <c r="Q20" s="8">
        <f>'Proximal Validation (double)'!Q20</f>
        <v>0.26307040452957198</v>
      </c>
      <c r="R20" s="8">
        <v>0.88429999999999997</v>
      </c>
      <c r="S20" s="8">
        <v>0.17949999999999999</v>
      </c>
      <c r="T20" s="8">
        <v>2.3613</v>
      </c>
      <c r="U20" s="8">
        <v>1.5708</v>
      </c>
      <c r="V20" s="8">
        <v>0.248</v>
      </c>
      <c r="W20" s="8">
        <v>0.06</v>
      </c>
      <c r="X20" s="8">
        <v>4.5034999999999998</v>
      </c>
      <c r="Y20" s="8">
        <v>1.5708</v>
      </c>
      <c r="Z20" s="8">
        <f t="shared" si="2"/>
        <v>-1.5700000000000047E-2</v>
      </c>
      <c r="AA20" s="8">
        <f t="shared" si="3"/>
        <v>-2.0500000000000018E-2</v>
      </c>
      <c r="AB20" s="8">
        <f t="shared" si="4"/>
        <v>5.3000000000000824E-3</v>
      </c>
      <c r="AC20" s="8">
        <f t="shared" si="5"/>
        <v>3.6732051034160662E-6</v>
      </c>
      <c r="AD20" s="8">
        <f t="shared" si="6"/>
        <v>-5.1999999999999991E-2</v>
      </c>
      <c r="AE20" s="8">
        <f t="shared" si="7"/>
        <v>0</v>
      </c>
      <c r="AF20" s="8">
        <f t="shared" si="8"/>
        <v>1.3614999999999999</v>
      </c>
      <c r="AG20" s="8">
        <f t="shared" si="9"/>
        <v>3.6732051034160662E-6</v>
      </c>
      <c r="AH20" s="22">
        <f t="shared" si="10"/>
        <v>3.3850000000000019E-2</v>
      </c>
      <c r="AI20" s="22">
        <f t="shared" si="11"/>
        <v>1.0250000000000009E-2</v>
      </c>
      <c r="AJ20" s="22">
        <f t="shared" si="12"/>
        <v>0.68340000000000001</v>
      </c>
    </row>
    <row r="21" spans="1:36" x14ac:dyDescent="0.25">
      <c r="A21" s="10">
        <f>'Proximal Validation (double)'!A21</f>
        <v>0.1</v>
      </c>
      <c r="B21" s="11">
        <f>'Proximal Validation (double)'!B21</f>
        <v>0.1</v>
      </c>
      <c r="C21" s="10">
        <f>'Proximal Validation (double)'!C21</f>
        <v>3.1419999999999999</v>
      </c>
      <c r="D21" s="10">
        <f>'Proximal Validation (double)'!D21</f>
        <v>1.5707963267948966</v>
      </c>
      <c r="E21" s="11">
        <f>'Proximal Validation (double)'!E21</f>
        <v>0.3</v>
      </c>
      <c r="F21" s="11">
        <f>'Proximal Validation (double)'!F21</f>
        <v>0.08</v>
      </c>
      <c r="G21" s="10">
        <f>'Proximal Validation (double)'!G21</f>
        <v>3.927</v>
      </c>
      <c r="H21" s="10">
        <f>'Proximal Validation (double)'!H21</f>
        <v>1.5707963267948966</v>
      </c>
      <c r="I21" s="10">
        <f>'Proximal Validation (double)'!I21</f>
        <v>1.2</v>
      </c>
      <c r="J21" s="10">
        <f>'Proximal Validation (double)'!J21</f>
        <v>0</v>
      </c>
      <c r="K21" s="10">
        <f>'Proximal Validation (double)'!K21</f>
        <v>0</v>
      </c>
      <c r="L21" s="8">
        <f>'Proximal Validation (double)'!L21</f>
        <v>4.3617305345833302E-4</v>
      </c>
      <c r="M21" s="8">
        <f>'Proximal Validation (double)'!M21</f>
        <v>3.7674464285373702E-2</v>
      </c>
      <c r="N21" s="8">
        <f>'Proximal Validation (double)'!N21</f>
        <v>-4.6963214874267599E-2</v>
      </c>
      <c r="O21" s="8">
        <f>'Proximal Validation (double)'!O21</f>
        <v>1.26499449834228E-2</v>
      </c>
      <c r="P21" s="8">
        <f>'Proximal Validation (double)'!P21</f>
        <v>-0.26442891359329201</v>
      </c>
      <c r="Q21" s="8">
        <f>'Proximal Validation (double)'!Q21</f>
        <v>-0.20531408488750499</v>
      </c>
      <c r="R21" s="8">
        <v>0.1</v>
      </c>
      <c r="S21" s="8">
        <v>0.1105</v>
      </c>
      <c r="T21" s="8">
        <v>3.7875999999999999</v>
      </c>
      <c r="U21" s="8">
        <v>1.5708</v>
      </c>
      <c r="V21" s="8">
        <v>0.23549999999999999</v>
      </c>
      <c r="W21" s="8">
        <v>2.0899999999999998E-2</v>
      </c>
      <c r="X21" s="8">
        <v>3.8062</v>
      </c>
      <c r="Y21" s="8">
        <v>1.5708</v>
      </c>
      <c r="Z21" s="8">
        <f t="shared" si="2"/>
        <v>0</v>
      </c>
      <c r="AA21" s="8">
        <f t="shared" si="3"/>
        <v>1.0499999999999995E-2</v>
      </c>
      <c r="AB21" s="8">
        <f t="shared" si="4"/>
        <v>0.64559999999999995</v>
      </c>
      <c r="AC21" s="8">
        <f t="shared" si="5"/>
        <v>3.6732051034160662E-6</v>
      </c>
      <c r="AD21" s="8">
        <f t="shared" si="6"/>
        <v>-6.4500000000000002E-2</v>
      </c>
      <c r="AE21" s="8">
        <f t="shared" si="7"/>
        <v>-5.91E-2</v>
      </c>
      <c r="AF21" s="8">
        <f t="shared" si="8"/>
        <v>-0.12080000000000002</v>
      </c>
      <c r="AG21" s="8">
        <f t="shared" si="9"/>
        <v>3.6732051034160662E-6</v>
      </c>
      <c r="AH21" s="22">
        <f t="shared" si="10"/>
        <v>3.2250000000000001E-2</v>
      </c>
      <c r="AI21" s="22">
        <f t="shared" si="11"/>
        <v>3.4799999999999998E-2</v>
      </c>
      <c r="AJ21" s="22">
        <f t="shared" si="12"/>
        <v>0.38319999999999999</v>
      </c>
    </row>
    <row r="22" spans="1:36" x14ac:dyDescent="0.25">
      <c r="A22" s="10">
        <f>'Proximal Validation (double)'!A22</f>
        <v>0.1</v>
      </c>
      <c r="B22" s="11">
        <f>'Proximal Validation (double)'!B22</f>
        <v>0.2</v>
      </c>
      <c r="C22" s="10">
        <f>'Proximal Validation (double)'!C22</f>
        <v>3.1419999999999999</v>
      </c>
      <c r="D22" s="10">
        <f>'Proximal Validation (double)'!D22</f>
        <v>1.5707963267948966</v>
      </c>
      <c r="E22" s="11">
        <f>'Proximal Validation (double)'!E22</f>
        <v>0.8</v>
      </c>
      <c r="F22" s="11">
        <f>'Proximal Validation (double)'!F22</f>
        <v>0.02</v>
      </c>
      <c r="G22" s="10">
        <f>'Proximal Validation (double)'!G22</f>
        <v>3.927</v>
      </c>
      <c r="H22" s="10">
        <f>'Proximal Validation (double)'!H22</f>
        <v>1.5707963267948966</v>
      </c>
      <c r="I22" s="10">
        <f>'Proximal Validation (double)'!I22</f>
        <v>1.2</v>
      </c>
      <c r="J22" s="10">
        <f>'Proximal Validation (double)'!J22</f>
        <v>0</v>
      </c>
      <c r="K22" s="10">
        <f>'Proximal Validation (double)'!K22</f>
        <v>0</v>
      </c>
      <c r="L22" s="8">
        <f>'Proximal Validation (double)'!L22</f>
        <v>1.0640500113368E-3</v>
      </c>
      <c r="M22" s="8">
        <f>'Proximal Validation (double)'!M22</f>
        <v>6.2404803931713097E-2</v>
      </c>
      <c r="N22" s="8">
        <f>'Proximal Validation (double)'!N22</f>
        <v>-7.4282236397266402E-2</v>
      </c>
      <c r="O22" s="8">
        <f>'Proximal Validation (double)'!O22</f>
        <v>1.72678660601377E-2</v>
      </c>
      <c r="P22" s="8">
        <f>'Proximal Validation (double)'!P22</f>
        <v>-0.60528373718261697</v>
      </c>
      <c r="Q22" s="8">
        <f>'Proximal Validation (double)'!Q22</f>
        <v>-0.54190033674240101</v>
      </c>
      <c r="R22" s="8">
        <v>0.1</v>
      </c>
      <c r="S22" s="8">
        <v>0.1</v>
      </c>
      <c r="T22" s="8">
        <v>1.5708</v>
      </c>
      <c r="U22" s="8">
        <v>1.5708</v>
      </c>
      <c r="V22" s="8">
        <v>0.88329999999999997</v>
      </c>
      <c r="W22" s="8">
        <v>2.1600000000000001E-2</v>
      </c>
      <c r="X22" s="8">
        <v>3.9569999999999999</v>
      </c>
      <c r="Y22" s="8">
        <v>1.5708</v>
      </c>
      <c r="Z22" s="8">
        <f t="shared" si="2"/>
        <v>0</v>
      </c>
      <c r="AA22" s="8">
        <f t="shared" si="3"/>
        <v>-0.1</v>
      </c>
      <c r="AB22" s="8">
        <f t="shared" si="4"/>
        <v>-1.5711999999999999</v>
      </c>
      <c r="AC22" s="8">
        <f t="shared" si="5"/>
        <v>3.6732051034160662E-6</v>
      </c>
      <c r="AD22" s="8">
        <f t="shared" si="6"/>
        <v>8.329999999999993E-2</v>
      </c>
      <c r="AE22" s="8">
        <f t="shared" si="7"/>
        <v>1.6000000000000007E-3</v>
      </c>
      <c r="AF22" s="8">
        <f t="shared" si="8"/>
        <v>2.9999999999999805E-2</v>
      </c>
      <c r="AG22" s="8">
        <f t="shared" si="9"/>
        <v>3.6732051034160662E-6</v>
      </c>
      <c r="AH22" s="22">
        <f t="shared" si="10"/>
        <v>4.1649999999999965E-2</v>
      </c>
      <c r="AI22" s="22">
        <f t="shared" si="11"/>
        <v>5.0800000000000005E-2</v>
      </c>
      <c r="AJ22" s="22">
        <f t="shared" si="12"/>
        <v>0.80059999999999987</v>
      </c>
    </row>
    <row r="23" spans="1:36" x14ac:dyDescent="0.25">
      <c r="A23" s="10">
        <f>'Proximal Validation (double)'!A23</f>
        <v>0.9</v>
      </c>
      <c r="B23" s="11">
        <f>'Proximal Validation (double)'!B23</f>
        <v>0.1</v>
      </c>
      <c r="C23" s="10">
        <f>'Proximal Validation (double)'!C23</f>
        <v>3.927</v>
      </c>
      <c r="D23" s="10">
        <f>'Proximal Validation (double)'!D23</f>
        <v>1.5707963267948966</v>
      </c>
      <c r="E23" s="11">
        <f>'Proximal Validation (double)'!E23</f>
        <v>0.2</v>
      </c>
      <c r="F23" s="11">
        <f>'Proximal Validation (double)'!F23</f>
        <v>0.02</v>
      </c>
      <c r="G23" s="10">
        <f>'Proximal Validation (double)'!G23</f>
        <v>3.1419999999999999</v>
      </c>
      <c r="H23" s="10">
        <f>'Proximal Validation (double)'!H23</f>
        <v>1.5707963267948966</v>
      </c>
      <c r="I23" s="10">
        <f>'Proximal Validation (double)'!I23</f>
        <v>1.4</v>
      </c>
      <c r="J23" s="10">
        <f>'Proximal Validation (double)'!J23</f>
        <v>0</v>
      </c>
      <c r="K23" s="10">
        <f>'Proximal Validation (double)'!K23</f>
        <v>0</v>
      </c>
      <c r="L23" s="8">
        <f>'Proximal Validation (double)'!L23</f>
        <v>-2.0453361794352501E-3</v>
      </c>
      <c r="M23" s="8">
        <f>'Proximal Validation (double)'!M23</f>
        <v>0.14060573279857599</v>
      </c>
      <c r="N23" s="8">
        <f>'Proximal Validation (double)'!N23</f>
        <v>-0.14573009312152899</v>
      </c>
      <c r="O23" s="8">
        <f>'Proximal Validation (double)'!O23</f>
        <v>-0.146071821451187</v>
      </c>
      <c r="P23" s="8">
        <f>'Proximal Validation (double)'!P23</f>
        <v>-0.82719779014587402</v>
      </c>
      <c r="Q23" s="8">
        <f>'Proximal Validation (double)'!Q23</f>
        <v>-0.70544010400772095</v>
      </c>
      <c r="R23" s="8">
        <v>0.34</v>
      </c>
      <c r="S23" s="8">
        <v>0.19589999999999999</v>
      </c>
      <c r="T23" s="8">
        <v>3.9935</v>
      </c>
      <c r="U23" s="8">
        <v>1.5708</v>
      </c>
      <c r="V23" s="8">
        <v>0.77190000000000003</v>
      </c>
      <c r="W23" s="8">
        <v>2.0199999999999999E-2</v>
      </c>
      <c r="X23" s="8">
        <v>3.7871999999999999</v>
      </c>
      <c r="Y23" s="8">
        <v>1.5708</v>
      </c>
      <c r="Z23" s="8">
        <f t="shared" si="2"/>
        <v>-0.56000000000000005</v>
      </c>
      <c r="AA23" s="8">
        <f t="shared" si="3"/>
        <v>9.5899999999999985E-2</v>
      </c>
      <c r="AB23" s="8">
        <f t="shared" si="4"/>
        <v>6.6500000000000004E-2</v>
      </c>
      <c r="AC23" s="8">
        <f t="shared" si="5"/>
        <v>3.6732051034160662E-6</v>
      </c>
      <c r="AD23" s="8">
        <f t="shared" si="6"/>
        <v>0.57190000000000007</v>
      </c>
      <c r="AE23" s="8">
        <f t="shared" si="7"/>
        <v>1.9999999999999879E-4</v>
      </c>
      <c r="AF23" s="8">
        <f t="shared" si="8"/>
        <v>0.6452</v>
      </c>
      <c r="AG23" s="8">
        <f t="shared" si="9"/>
        <v>3.6732051034160662E-6</v>
      </c>
      <c r="AH23" s="22">
        <f t="shared" si="10"/>
        <v>0.56595000000000006</v>
      </c>
      <c r="AI23" s="22">
        <f t="shared" si="11"/>
        <v>4.8049999999999995E-2</v>
      </c>
      <c r="AJ23" s="22">
        <f t="shared" si="12"/>
        <v>0.35585</v>
      </c>
    </row>
    <row r="24" spans="1:36" x14ac:dyDescent="0.25">
      <c r="A24" s="10">
        <f>'Proximal Validation (double)'!A24</f>
        <v>0.2</v>
      </c>
      <c r="B24" s="11">
        <f>'Proximal Validation (double)'!B24</f>
        <v>0.12</v>
      </c>
      <c r="C24" s="10">
        <f>'Proximal Validation (double)'!C24</f>
        <v>3.927</v>
      </c>
      <c r="D24" s="10">
        <f>'Proximal Validation (double)'!D24</f>
        <v>1.5707963267948966</v>
      </c>
      <c r="E24" s="11">
        <f>'Proximal Validation (double)'!E24</f>
        <v>0.2</v>
      </c>
      <c r="F24" s="11">
        <f>'Proximal Validation (double)'!F24</f>
        <v>0.02</v>
      </c>
      <c r="G24" s="10">
        <f>'Proximal Validation (double)'!G24</f>
        <v>4.7119999999999997</v>
      </c>
      <c r="H24" s="10">
        <f>'Proximal Validation (double)'!H24</f>
        <v>1.5707963267948966</v>
      </c>
      <c r="I24" s="10">
        <f>'Proximal Validation (double)'!I24</f>
        <v>1.2</v>
      </c>
      <c r="J24" s="10">
        <f>'Proximal Validation (double)'!J24</f>
        <v>0</v>
      </c>
      <c r="K24" s="10">
        <f>'Proximal Validation (double)'!K24</f>
        <v>0</v>
      </c>
      <c r="L24" s="8">
        <f>'Proximal Validation (double)'!L24</f>
        <v>-9.4009120948612701E-4</v>
      </c>
      <c r="M24" s="8">
        <f>'Proximal Validation (double)'!M24</f>
        <v>4.6884305775165599E-2</v>
      </c>
      <c r="N24" s="8">
        <f>'Proximal Validation (double)'!N24</f>
        <v>-2.4323541671037702E-2</v>
      </c>
      <c r="O24" s="8">
        <f>'Proximal Validation (double)'!O24</f>
        <v>5.6157279759645497E-3</v>
      </c>
      <c r="P24" s="8">
        <f>'Proximal Validation (double)'!P24</f>
        <v>-0.11253473162651099</v>
      </c>
      <c r="Q24" s="8">
        <f>'Proximal Validation (double)'!Q24</f>
        <v>-0.29774409532547003</v>
      </c>
      <c r="R24" s="8">
        <v>0.16009999999999999</v>
      </c>
      <c r="S24" s="8">
        <v>0.14630000000000001</v>
      </c>
      <c r="T24" s="8">
        <v>1.5757000000000001</v>
      </c>
      <c r="U24" s="8">
        <v>1.5708</v>
      </c>
      <c r="V24" s="8">
        <v>0.47220000000000001</v>
      </c>
      <c r="W24" s="8">
        <v>0.08</v>
      </c>
      <c r="X24" s="8">
        <v>4.4722</v>
      </c>
      <c r="Y24" s="8">
        <v>1.5708</v>
      </c>
      <c r="Z24" s="8">
        <f t="shared" si="2"/>
        <v>-3.9900000000000019E-2</v>
      </c>
      <c r="AA24" s="8">
        <f t="shared" si="3"/>
        <v>2.6300000000000018E-2</v>
      </c>
      <c r="AB24" s="8">
        <f t="shared" si="4"/>
        <v>-2.3513000000000002</v>
      </c>
      <c r="AC24" s="8">
        <f t="shared" si="5"/>
        <v>3.6732051034160662E-6</v>
      </c>
      <c r="AD24" s="8">
        <f t="shared" si="6"/>
        <v>0.2722</v>
      </c>
      <c r="AE24" s="8">
        <f t="shared" si="7"/>
        <v>0.06</v>
      </c>
      <c r="AF24" s="8">
        <f t="shared" si="8"/>
        <v>-0.23979999999999979</v>
      </c>
      <c r="AG24" s="8">
        <f t="shared" si="9"/>
        <v>3.6732051034160662E-6</v>
      </c>
      <c r="AH24" s="22">
        <f t="shared" si="10"/>
        <v>0.15605000000000002</v>
      </c>
      <c r="AI24" s="22">
        <f t="shared" si="11"/>
        <v>4.3150000000000008E-2</v>
      </c>
      <c r="AJ24" s="22">
        <f t="shared" si="12"/>
        <v>1.29555</v>
      </c>
    </row>
    <row r="25" spans="1:36" x14ac:dyDescent="0.25">
      <c r="A25" s="10">
        <f>'Proximal Validation (double)'!A25</f>
        <v>0.6</v>
      </c>
      <c r="B25" s="11">
        <f>'Proximal Validation (double)'!B25</f>
        <v>0.12</v>
      </c>
      <c r="C25" s="10">
        <f>'Proximal Validation (double)'!C25</f>
        <v>3.927</v>
      </c>
      <c r="D25" s="10">
        <f>'Proximal Validation (double)'!D25</f>
        <v>1.5707963267948966</v>
      </c>
      <c r="E25" s="11">
        <f>'Proximal Validation (double)'!E25</f>
        <v>0.5</v>
      </c>
      <c r="F25" s="11">
        <f>'Proximal Validation (double)'!F25</f>
        <v>0.08</v>
      </c>
      <c r="G25" s="10">
        <f>'Proximal Validation (double)'!G25</f>
        <v>4.7119999999999997</v>
      </c>
      <c r="H25" s="10">
        <f>'Proximal Validation (double)'!H25</f>
        <v>1.5707963267948966</v>
      </c>
      <c r="I25" s="10">
        <f>'Proximal Validation (double)'!I25</f>
        <v>0.2</v>
      </c>
      <c r="J25" s="10">
        <f>'Proximal Validation (double)'!J25</f>
        <v>0</v>
      </c>
      <c r="K25" s="10">
        <f>'Proximal Validation (double)'!K25</f>
        <v>0</v>
      </c>
      <c r="L25" s="8">
        <f>'Proximal Validation (double)'!L25</f>
        <v>3.5136193037033097E-4</v>
      </c>
      <c r="M25" s="8">
        <f>'Proximal Validation (double)'!M25</f>
        <v>0.18612760305404699</v>
      </c>
      <c r="N25" s="8">
        <f>'Proximal Validation (double)'!N25</f>
        <v>-8.7223671376705197E-2</v>
      </c>
      <c r="O25" s="8">
        <f>'Proximal Validation (double)'!O25</f>
        <v>-0.228773519396782</v>
      </c>
      <c r="P25" s="8">
        <f>'Proximal Validation (double)'!P25</f>
        <v>-0.39178490638732899</v>
      </c>
      <c r="Q25" s="8">
        <f>'Proximal Validation (double)'!Q25</f>
        <v>-0.93568027019500699</v>
      </c>
      <c r="R25" s="8">
        <v>0.1867</v>
      </c>
      <c r="S25" s="8">
        <v>0.1908</v>
      </c>
      <c r="T25" s="8">
        <v>3.9759000000000002</v>
      </c>
      <c r="U25" s="8">
        <v>1.5708</v>
      </c>
      <c r="V25" s="8">
        <v>0.86850000000000005</v>
      </c>
      <c r="W25" s="8">
        <v>7.6499999999999999E-2</v>
      </c>
      <c r="X25" s="8">
        <v>4.3844000000000003</v>
      </c>
      <c r="Y25" s="8">
        <v>1.5708</v>
      </c>
      <c r="Z25" s="8">
        <f t="shared" si="2"/>
        <v>-0.4133</v>
      </c>
      <c r="AA25" s="8">
        <f t="shared" si="3"/>
        <v>7.0800000000000002E-2</v>
      </c>
      <c r="AB25" s="8">
        <f t="shared" si="4"/>
        <v>4.8900000000000166E-2</v>
      </c>
      <c r="AC25" s="8">
        <f t="shared" si="5"/>
        <v>3.6732051034160662E-6</v>
      </c>
      <c r="AD25" s="8">
        <f t="shared" si="6"/>
        <v>0.36850000000000005</v>
      </c>
      <c r="AE25" s="8">
        <f t="shared" si="7"/>
        <v>-3.5000000000000031E-3</v>
      </c>
      <c r="AF25" s="8">
        <f t="shared" si="8"/>
        <v>-0.32759999999999945</v>
      </c>
      <c r="AG25" s="8">
        <f t="shared" si="9"/>
        <v>3.6732051034160662E-6</v>
      </c>
      <c r="AH25" s="22">
        <f t="shared" si="10"/>
        <v>0.39090000000000003</v>
      </c>
      <c r="AI25" s="22">
        <f t="shared" si="11"/>
        <v>3.7150000000000002E-2</v>
      </c>
      <c r="AJ25" s="22">
        <f t="shared" si="12"/>
        <v>0.18824999999999981</v>
      </c>
    </row>
    <row r="26" spans="1:36" x14ac:dyDescent="0.25">
      <c r="A26" s="10">
        <f>'Proximal Validation (double)'!A26</f>
        <v>0.7</v>
      </c>
      <c r="B26" s="11">
        <f>'Proximal Validation (double)'!B26</f>
        <v>0.16</v>
      </c>
      <c r="C26" s="10">
        <f>'Proximal Validation (double)'!C26</f>
        <v>3.927</v>
      </c>
      <c r="D26" s="10">
        <f>'Proximal Validation (double)'!D26</f>
        <v>1.5707963267948966</v>
      </c>
      <c r="E26" s="11">
        <f>'Proximal Validation (double)'!E26</f>
        <v>1</v>
      </c>
      <c r="F26" s="11">
        <f>'Proximal Validation (double)'!F26</f>
        <v>0.04</v>
      </c>
      <c r="G26" s="10">
        <f>'Proximal Validation (double)'!G26</f>
        <v>3.927</v>
      </c>
      <c r="H26" s="10">
        <f>'Proximal Validation (double)'!H26</f>
        <v>1.5707963267948966</v>
      </c>
      <c r="I26" s="10">
        <f>'Proximal Validation (double)'!I26</f>
        <v>1.2</v>
      </c>
      <c r="J26" s="10">
        <f>'Proximal Validation (double)'!J26</f>
        <v>0</v>
      </c>
      <c r="K26" s="10">
        <f>'Proximal Validation (double)'!K26</f>
        <v>0</v>
      </c>
      <c r="L26" s="8">
        <f>'Proximal Validation (double)'!L26</f>
        <v>-2.9902514070272398E-3</v>
      </c>
      <c r="M26" s="8">
        <f>'Proximal Validation (double)'!M26</f>
        <v>0.20048326253891</v>
      </c>
      <c r="N26" s="8">
        <f>'Proximal Validation (double)'!N26</f>
        <v>-0.21412828564643899</v>
      </c>
      <c r="O26" s="8">
        <f>'Proximal Validation (double)'!O26</f>
        <v>-0.35741558670997597</v>
      </c>
      <c r="P26" s="8">
        <f>'Proximal Validation (double)'!P26</f>
        <v>-1.1967084407806401</v>
      </c>
      <c r="Q26" s="8">
        <f>'Proximal Validation (double)'!Q26</f>
        <v>-1.0432312488555899</v>
      </c>
      <c r="R26" s="8">
        <v>0.68589999999999995</v>
      </c>
      <c r="S26" s="8">
        <v>0.15690000000000001</v>
      </c>
      <c r="T26" s="8">
        <v>3.9487999999999999</v>
      </c>
      <c r="U26" s="8">
        <v>1.5708</v>
      </c>
      <c r="V26" s="8">
        <v>0.96799999999999997</v>
      </c>
      <c r="W26" s="8">
        <v>0.02</v>
      </c>
      <c r="X26" s="8">
        <v>3.7995999999999999</v>
      </c>
      <c r="Y26" s="8">
        <v>1.5708</v>
      </c>
      <c r="Z26" s="8">
        <f t="shared" si="2"/>
        <v>-1.4100000000000001E-2</v>
      </c>
      <c r="AA26" s="8">
        <f t="shared" si="3"/>
        <v>-3.0999999999999917E-3</v>
      </c>
      <c r="AB26" s="8">
        <f t="shared" si="4"/>
        <v>2.179999999999982E-2</v>
      </c>
      <c r="AC26" s="8">
        <f t="shared" si="5"/>
        <v>3.6732051034160662E-6</v>
      </c>
      <c r="AD26" s="8">
        <f t="shared" si="6"/>
        <v>-3.2000000000000028E-2</v>
      </c>
      <c r="AE26" s="8">
        <f t="shared" si="7"/>
        <v>-0.02</v>
      </c>
      <c r="AF26" s="8">
        <f t="shared" si="8"/>
        <v>-0.12740000000000018</v>
      </c>
      <c r="AG26" s="8">
        <f t="shared" si="9"/>
        <v>3.6732051034160662E-6</v>
      </c>
      <c r="AH26" s="22">
        <f t="shared" si="10"/>
        <v>2.3050000000000015E-2</v>
      </c>
      <c r="AI26" s="22">
        <f t="shared" si="11"/>
        <v>1.1549999999999996E-2</v>
      </c>
      <c r="AJ26" s="22">
        <f t="shared" si="12"/>
        <v>7.46E-2</v>
      </c>
    </row>
    <row r="27" spans="1:36" x14ac:dyDescent="0.25">
      <c r="A27" s="10">
        <f>'Proximal Validation (double)'!A27</f>
        <v>0.1</v>
      </c>
      <c r="B27" s="11">
        <f>'Proximal Validation (double)'!B27</f>
        <v>0.18</v>
      </c>
      <c r="C27" s="10">
        <f>'Proximal Validation (double)'!C27</f>
        <v>3.927</v>
      </c>
      <c r="D27" s="10">
        <f>'Proximal Validation (double)'!D27</f>
        <v>1.5707963267948966</v>
      </c>
      <c r="E27" s="11">
        <f>'Proximal Validation (double)'!E27</f>
        <v>0.9</v>
      </c>
      <c r="F27" s="11">
        <f>'Proximal Validation (double)'!F27</f>
        <v>0.08</v>
      </c>
      <c r="G27" s="10">
        <f>'Proximal Validation (double)'!G27</f>
        <v>3.1419999999999999</v>
      </c>
      <c r="H27" s="10">
        <f>'Proximal Validation (double)'!H27</f>
        <v>1.5707963267948966</v>
      </c>
      <c r="I27" s="10">
        <f>'Proximal Validation (double)'!I27</f>
        <v>0.6</v>
      </c>
      <c r="J27" s="10">
        <f>'Proximal Validation (double)'!J27</f>
        <v>0</v>
      </c>
      <c r="K27" s="10">
        <f>'Proximal Validation (double)'!K27</f>
        <v>0</v>
      </c>
      <c r="L27" s="8">
        <f>'Proximal Validation (double)'!L27</f>
        <v>-2.0198281854391098E-3</v>
      </c>
      <c r="M27" s="8">
        <f>'Proximal Validation (double)'!M27</f>
        <v>2.0925674587488199E-2</v>
      </c>
      <c r="N27" s="8">
        <f>'Proximal Validation (double)'!N27</f>
        <v>-0.17995955049991599</v>
      </c>
      <c r="O27" s="8">
        <f>'Proximal Validation (double)'!O27</f>
        <v>-0.152651637792587</v>
      </c>
      <c r="P27" s="8">
        <f>'Proximal Validation (double)'!P27</f>
        <v>-0.97161656618118297</v>
      </c>
      <c r="Q27" s="8">
        <f>'Proximal Validation (double)'!Q27</f>
        <v>-4.6399652957916301E-2</v>
      </c>
      <c r="R27" s="8">
        <v>0.33829999999999999</v>
      </c>
      <c r="S27" s="8">
        <v>0.1996</v>
      </c>
      <c r="T27" s="8">
        <v>3.2898999999999998</v>
      </c>
      <c r="U27" s="8">
        <v>1.5708</v>
      </c>
      <c r="V27" s="8">
        <v>0.65700000000000003</v>
      </c>
      <c r="W27" s="8">
        <v>2.4500000000000001E-2</v>
      </c>
      <c r="X27" s="8">
        <v>3.1415999999999999</v>
      </c>
      <c r="Y27" s="8">
        <v>1.5708</v>
      </c>
      <c r="Z27" s="8">
        <f t="shared" si="2"/>
        <v>0.23829999999999998</v>
      </c>
      <c r="AA27" s="8">
        <f t="shared" si="3"/>
        <v>1.9600000000000006E-2</v>
      </c>
      <c r="AB27" s="8">
        <f t="shared" si="4"/>
        <v>-0.63710000000000022</v>
      </c>
      <c r="AC27" s="8">
        <f t="shared" si="5"/>
        <v>3.6732051034160662E-6</v>
      </c>
      <c r="AD27" s="8">
        <f t="shared" si="6"/>
        <v>-0.24299999999999999</v>
      </c>
      <c r="AE27" s="8">
        <f t="shared" si="7"/>
        <v>-5.5500000000000001E-2</v>
      </c>
      <c r="AF27" s="8">
        <f t="shared" si="8"/>
        <v>-3.9999999999995595E-4</v>
      </c>
      <c r="AG27" s="8">
        <f t="shared" si="9"/>
        <v>3.6732051034160662E-6</v>
      </c>
      <c r="AH27" s="22">
        <f t="shared" si="10"/>
        <v>0.24064999999999998</v>
      </c>
      <c r="AI27" s="22">
        <f t="shared" si="11"/>
        <v>3.755E-2</v>
      </c>
      <c r="AJ27" s="22">
        <f t="shared" si="12"/>
        <v>0.31875000000000009</v>
      </c>
    </row>
    <row r="28" spans="1:36" x14ac:dyDescent="0.25">
      <c r="A28" s="10">
        <f>'Proximal Validation (double)'!A28</f>
        <v>1</v>
      </c>
      <c r="B28" s="11">
        <f>'Proximal Validation (double)'!B28</f>
        <v>0.18</v>
      </c>
      <c r="C28" s="10">
        <f>'Proximal Validation (double)'!C28</f>
        <v>3.927</v>
      </c>
      <c r="D28" s="10">
        <f>'Proximal Validation (double)'!D28</f>
        <v>1.5707963267948966</v>
      </c>
      <c r="E28" s="11">
        <f>'Proximal Validation (double)'!E28</f>
        <v>0.1</v>
      </c>
      <c r="F28" s="11">
        <f>'Proximal Validation (double)'!F28</f>
        <v>0.08</v>
      </c>
      <c r="G28" s="10">
        <f>'Proximal Validation (double)'!G28</f>
        <v>4.7119999999999997</v>
      </c>
      <c r="H28" s="10">
        <f>'Proximal Validation (double)'!H28</f>
        <v>1.5707963267948966</v>
      </c>
      <c r="I28" s="10">
        <f>'Proximal Validation (double)'!I28</f>
        <v>1.4</v>
      </c>
      <c r="J28" s="10">
        <f>'Proximal Validation (double)'!J28</f>
        <v>0</v>
      </c>
      <c r="K28" s="10">
        <f>'Proximal Validation (double)'!K28</f>
        <v>0</v>
      </c>
      <c r="L28" s="8">
        <f>'Proximal Validation (double)'!L28</f>
        <v>-3.2074763439595699E-3</v>
      </c>
      <c r="M28" s="8">
        <f>'Proximal Validation (double)'!M28</f>
        <v>0.20627745985984799</v>
      </c>
      <c r="N28" s="8">
        <f>'Proximal Validation (double)'!N28</f>
        <v>-0.18315301835537001</v>
      </c>
      <c r="O28" s="8">
        <f>'Proximal Validation (double)'!O28</f>
        <v>-0.56037515401840199</v>
      </c>
      <c r="P28" s="8">
        <f>'Proximal Validation (double)'!P28</f>
        <v>-0.63611704111099199</v>
      </c>
      <c r="Q28" s="8">
        <f>'Proximal Validation (double)'!Q28</f>
        <v>-0.73725110292434703</v>
      </c>
      <c r="R28" s="8">
        <v>0.59960000000000002</v>
      </c>
      <c r="S28" s="8">
        <v>0.19689999999999999</v>
      </c>
      <c r="T28" s="8">
        <v>3.9563999999999999</v>
      </c>
      <c r="U28" s="8">
        <v>1.5708</v>
      </c>
      <c r="V28" s="8">
        <v>0.53469999999999995</v>
      </c>
      <c r="W28" s="8">
        <v>7.9600000000000004E-2</v>
      </c>
      <c r="X28" s="8">
        <v>4.0415999999999999</v>
      </c>
      <c r="Y28" s="8">
        <v>1.5708</v>
      </c>
      <c r="Z28" s="8">
        <f t="shared" si="2"/>
        <v>-0.40039999999999998</v>
      </c>
      <c r="AA28" s="8">
        <f t="shared" si="3"/>
        <v>1.6899999999999998E-2</v>
      </c>
      <c r="AB28" s="8">
        <f t="shared" si="4"/>
        <v>2.9399999999999871E-2</v>
      </c>
      <c r="AC28" s="8">
        <f t="shared" si="5"/>
        <v>3.6732051034160662E-6</v>
      </c>
      <c r="AD28" s="8">
        <f t="shared" si="6"/>
        <v>0.43469999999999998</v>
      </c>
      <c r="AE28" s="8">
        <f t="shared" si="7"/>
        <v>-3.9999999999999758E-4</v>
      </c>
      <c r="AF28" s="8">
        <f t="shared" si="8"/>
        <v>-0.67039999999999988</v>
      </c>
      <c r="AG28" s="8">
        <f t="shared" si="9"/>
        <v>3.6732051034160662E-6</v>
      </c>
      <c r="AH28" s="22">
        <f t="shared" si="10"/>
        <v>0.41754999999999998</v>
      </c>
      <c r="AI28" s="22">
        <f t="shared" si="11"/>
        <v>8.649999999999998E-3</v>
      </c>
      <c r="AJ28" s="22">
        <f t="shared" si="12"/>
        <v>0.34989999999999988</v>
      </c>
    </row>
    <row r="29" spans="1:36" x14ac:dyDescent="0.25">
      <c r="A29" s="10">
        <f>'Proximal Validation (double)'!A29</f>
        <v>0.7</v>
      </c>
      <c r="B29" s="11">
        <f>'Proximal Validation (double)'!B29</f>
        <v>0.2</v>
      </c>
      <c r="C29" s="10">
        <f>'Proximal Validation (double)'!C29</f>
        <v>3.927</v>
      </c>
      <c r="D29" s="10">
        <f>'Proximal Validation (double)'!D29</f>
        <v>1.5707963267948966</v>
      </c>
      <c r="E29" s="11">
        <f>'Proximal Validation (double)'!E29</f>
        <v>0.2</v>
      </c>
      <c r="F29" s="11">
        <f>'Proximal Validation (double)'!F29</f>
        <v>0.02</v>
      </c>
      <c r="G29" s="10">
        <f>'Proximal Validation (double)'!G29</f>
        <v>3.927</v>
      </c>
      <c r="H29" s="10">
        <f>'Proximal Validation (double)'!H29</f>
        <v>1.5707963267948966</v>
      </c>
      <c r="I29" s="10">
        <f>'Proximal Validation (double)'!I29</f>
        <v>0.4</v>
      </c>
      <c r="J29" s="10">
        <f>'Proximal Validation (double)'!J29</f>
        <v>0</v>
      </c>
      <c r="K29" s="10">
        <f>'Proximal Validation (double)'!K29</f>
        <v>0</v>
      </c>
      <c r="L29" s="8">
        <f>'Proximal Validation (double)'!L29</f>
        <v>-7.4698124080896399E-4</v>
      </c>
      <c r="M29" s="8">
        <f>'Proximal Validation (double)'!M29</f>
        <v>0.110706090927124</v>
      </c>
      <c r="N29" s="8">
        <f>'Proximal Validation (double)'!N29</f>
        <v>-0.128691270947456</v>
      </c>
      <c r="O29" s="8">
        <f>'Proximal Validation (double)'!O29</f>
        <v>-0.39982143044471702</v>
      </c>
      <c r="P29" s="8">
        <f>'Proximal Validation (double)'!P29</f>
        <v>-0.49842935800552401</v>
      </c>
      <c r="Q29" s="8">
        <f>'Proximal Validation (double)'!Q29</f>
        <v>-0.30814808607101402</v>
      </c>
      <c r="R29" s="8">
        <v>0.64019999999999999</v>
      </c>
      <c r="S29" s="8">
        <v>0.2</v>
      </c>
      <c r="T29" s="8">
        <v>3.8047</v>
      </c>
      <c r="U29" s="8">
        <v>1.5708</v>
      </c>
      <c r="V29" s="8">
        <v>0.1</v>
      </c>
      <c r="W29" s="8">
        <v>0.08</v>
      </c>
      <c r="X29" s="8">
        <v>3.1415999999999999</v>
      </c>
      <c r="Y29" s="8">
        <v>1.5708</v>
      </c>
      <c r="Z29" s="8">
        <f t="shared" si="2"/>
        <v>-5.9799999999999964E-2</v>
      </c>
      <c r="AA29" s="8">
        <f t="shared" si="3"/>
        <v>0</v>
      </c>
      <c r="AB29" s="8">
        <f t="shared" si="4"/>
        <v>-0.12230000000000008</v>
      </c>
      <c r="AC29" s="8">
        <f t="shared" si="5"/>
        <v>3.6732051034160662E-6</v>
      </c>
      <c r="AD29" s="8">
        <f t="shared" si="6"/>
        <v>-0.1</v>
      </c>
      <c r="AE29" s="8">
        <f t="shared" si="7"/>
        <v>0.06</v>
      </c>
      <c r="AF29" s="8">
        <f t="shared" si="8"/>
        <v>-0.7854000000000001</v>
      </c>
      <c r="AG29" s="8">
        <f t="shared" si="9"/>
        <v>3.6732051034160662E-6</v>
      </c>
      <c r="AH29" s="22">
        <f t="shared" si="10"/>
        <v>7.9899999999999985E-2</v>
      </c>
      <c r="AI29" s="22">
        <f t="shared" si="11"/>
        <v>0.03</v>
      </c>
      <c r="AJ29" s="22">
        <f t="shared" si="12"/>
        <v>0.45385000000000009</v>
      </c>
    </row>
    <row r="30" spans="1:36" x14ac:dyDescent="0.25">
      <c r="A30" s="10">
        <f>'Proximal Validation (double)'!A30</f>
        <v>1</v>
      </c>
      <c r="B30" s="11">
        <f>'Proximal Validation (double)'!B30</f>
        <v>0.2</v>
      </c>
      <c r="C30" s="10">
        <f>'Proximal Validation (double)'!C30</f>
        <v>3.927</v>
      </c>
      <c r="D30" s="10">
        <f>'Proximal Validation (double)'!D30</f>
        <v>1.5707963267948966</v>
      </c>
      <c r="E30" s="11">
        <f>'Proximal Validation (double)'!E30</f>
        <v>1</v>
      </c>
      <c r="F30" s="11">
        <f>'Proximal Validation (double)'!F30</f>
        <v>0.06</v>
      </c>
      <c r="G30" s="10">
        <f>'Proximal Validation (double)'!G30</f>
        <v>3.927</v>
      </c>
      <c r="H30" s="10">
        <f>'Proximal Validation (double)'!H30</f>
        <v>1.5707963267948966</v>
      </c>
      <c r="I30" s="10">
        <f>'Proximal Validation (double)'!I30</f>
        <v>0.2</v>
      </c>
      <c r="J30" s="10">
        <f>'Proximal Validation (double)'!J30</f>
        <v>0</v>
      </c>
      <c r="K30" s="10">
        <f>'Proximal Validation (double)'!K30</f>
        <v>0</v>
      </c>
      <c r="L30" s="8">
        <f>'Proximal Validation (double)'!L30</f>
        <v>-3.93409747630358E-3</v>
      </c>
      <c r="M30" s="8">
        <f>'Proximal Validation (double)'!M30</f>
        <v>0.26014894247055098</v>
      </c>
      <c r="N30" s="8">
        <f>'Proximal Validation (double)'!N30</f>
        <v>-0.247706294059753</v>
      </c>
      <c r="O30" s="8">
        <f>'Proximal Validation (double)'!O30</f>
        <v>-0.95730906724929798</v>
      </c>
      <c r="P30" s="8">
        <f>'Proximal Validation (double)'!P30</f>
        <v>-1.0179207324981701</v>
      </c>
      <c r="Q30" s="8">
        <f>'Proximal Validation (double)'!Q30</f>
        <v>-0.96642386913299605</v>
      </c>
      <c r="R30" s="8">
        <v>0.73009999999999997</v>
      </c>
      <c r="S30" s="8">
        <v>0.1938</v>
      </c>
      <c r="T30" s="8">
        <v>4.0614999999999997</v>
      </c>
      <c r="U30" s="8">
        <v>1.5708</v>
      </c>
      <c r="V30" s="8">
        <v>1</v>
      </c>
      <c r="W30" s="8">
        <v>7.0999999999999994E-2</v>
      </c>
      <c r="X30" s="8">
        <v>3.8153000000000001</v>
      </c>
      <c r="Y30" s="8">
        <v>1.5708</v>
      </c>
      <c r="Z30" s="8">
        <f t="shared" si="2"/>
        <v>-0.26990000000000003</v>
      </c>
      <c r="AA30" s="8">
        <f t="shared" si="3"/>
        <v>-6.2000000000000111E-3</v>
      </c>
      <c r="AB30" s="8">
        <f t="shared" si="4"/>
        <v>0.13449999999999962</v>
      </c>
      <c r="AC30" s="8">
        <f t="shared" si="5"/>
        <v>3.6732051034160662E-6</v>
      </c>
      <c r="AD30" s="8">
        <f t="shared" si="6"/>
        <v>0</v>
      </c>
      <c r="AE30" s="8">
        <f t="shared" si="7"/>
        <v>1.0999999999999996E-2</v>
      </c>
      <c r="AF30" s="8">
        <f t="shared" si="8"/>
        <v>-0.11169999999999991</v>
      </c>
      <c r="AG30" s="8">
        <f t="shared" si="9"/>
        <v>3.6732051034160662E-6</v>
      </c>
      <c r="AH30" s="22">
        <f t="shared" si="10"/>
        <v>0.13495000000000001</v>
      </c>
      <c r="AI30" s="22">
        <f t="shared" si="11"/>
        <v>8.6000000000000035E-3</v>
      </c>
      <c r="AJ30" s="22">
        <f t="shared" si="12"/>
        <v>0.12309999999999977</v>
      </c>
    </row>
    <row r="31" spans="1:36" x14ac:dyDescent="0.25">
      <c r="A31" s="10">
        <f>'Proximal Validation (double)'!A31</f>
        <v>0.1</v>
      </c>
      <c r="B31" s="11">
        <f>'Proximal Validation (double)'!B31</f>
        <v>0.1</v>
      </c>
      <c r="C31" s="10">
        <f>'Proximal Validation (double)'!C31</f>
        <v>4.7119999999999997</v>
      </c>
      <c r="D31" s="10">
        <f>'Proximal Validation (double)'!D31</f>
        <v>1.5707963267948966</v>
      </c>
      <c r="E31" s="11">
        <f>'Proximal Validation (double)'!E31</f>
        <v>0.2</v>
      </c>
      <c r="F31" s="11">
        <f>'Proximal Validation (double)'!F31</f>
        <v>0.02</v>
      </c>
      <c r="G31" s="10">
        <f>'Proximal Validation (double)'!G31</f>
        <v>3.1419999999999999</v>
      </c>
      <c r="H31" s="10">
        <f>'Proximal Validation (double)'!H31</f>
        <v>1.5707963267948966</v>
      </c>
      <c r="I31" s="10">
        <f>'Proximal Validation (double)'!I31</f>
        <v>0</v>
      </c>
      <c r="J31" s="10">
        <f>'Proximal Validation (double)'!J31</f>
        <v>0</v>
      </c>
      <c r="K31" s="10">
        <f>'Proximal Validation (double)'!K31</f>
        <v>0</v>
      </c>
      <c r="L31" s="8">
        <f>'Proximal Validation (double)'!L31</f>
        <v>-2.4949701037257899E-4</v>
      </c>
      <c r="M31" s="8">
        <f>'Proximal Validation (double)'!M31</f>
        <v>1.1188399977982001E-2</v>
      </c>
      <c r="N31" s="8">
        <f>'Proximal Validation (double)'!N31</f>
        <v>-2.3344287648797001E-2</v>
      </c>
      <c r="O31" s="8">
        <f>'Proximal Validation (double)'!O31</f>
        <v>-4.5918696559965602E-3</v>
      </c>
      <c r="P31" s="8">
        <f>'Proximal Validation (double)'!P31</f>
        <v>-0.20488628745078999</v>
      </c>
      <c r="Q31" s="8">
        <f>'Proximal Validation (double)'!Q31</f>
        <v>-6.8177700042724595E-2</v>
      </c>
      <c r="R31" s="8">
        <v>0.1004</v>
      </c>
      <c r="S31" s="8">
        <v>0.1012</v>
      </c>
      <c r="T31" s="8">
        <v>3.0122</v>
      </c>
      <c r="U31" s="8">
        <v>1.5708</v>
      </c>
      <c r="V31" s="8">
        <v>0.13320000000000001</v>
      </c>
      <c r="W31" s="8">
        <v>0.02</v>
      </c>
      <c r="X31" s="8">
        <v>3.8113999999999999</v>
      </c>
      <c r="Y31" s="8">
        <v>1.5708</v>
      </c>
      <c r="Z31" s="8">
        <f t="shared" si="2"/>
        <v>3.9999999999999758E-4</v>
      </c>
      <c r="AA31" s="8">
        <f t="shared" si="3"/>
        <v>1.1999999999999927E-3</v>
      </c>
      <c r="AB31" s="8">
        <f t="shared" si="4"/>
        <v>-1.6997999999999998</v>
      </c>
      <c r="AC31" s="8">
        <f t="shared" si="5"/>
        <v>3.6732051034160662E-6</v>
      </c>
      <c r="AD31" s="8">
        <f t="shared" si="6"/>
        <v>-6.6799999999999998E-2</v>
      </c>
      <c r="AE31" s="8">
        <f t="shared" si="7"/>
        <v>0</v>
      </c>
      <c r="AF31" s="8">
        <f t="shared" si="8"/>
        <v>0.6694</v>
      </c>
      <c r="AG31" s="8">
        <f t="shared" si="9"/>
        <v>3.6732051034160662E-6</v>
      </c>
      <c r="AH31" s="22">
        <f t="shared" si="10"/>
        <v>3.3599999999999998E-2</v>
      </c>
      <c r="AI31" s="22">
        <f t="shared" si="11"/>
        <v>5.9999999999999637E-4</v>
      </c>
      <c r="AJ31" s="22">
        <f t="shared" si="12"/>
        <v>1.1845999999999999</v>
      </c>
    </row>
    <row r="32" spans="1:36" x14ac:dyDescent="0.25">
      <c r="A32" s="10">
        <f>'Proximal Validation (double)'!A32</f>
        <v>0.3</v>
      </c>
      <c r="B32" s="11">
        <f>'Proximal Validation (double)'!B32</f>
        <v>0.1</v>
      </c>
      <c r="C32" s="10">
        <f>'Proximal Validation (double)'!C32</f>
        <v>4.7119999999999997</v>
      </c>
      <c r="D32" s="10">
        <f>'Proximal Validation (double)'!D32</f>
        <v>1.5707963267948966</v>
      </c>
      <c r="E32" s="11">
        <f>'Proximal Validation (double)'!E32</f>
        <v>0.8</v>
      </c>
      <c r="F32" s="11">
        <f>'Proximal Validation (double)'!F32</f>
        <v>0.04</v>
      </c>
      <c r="G32" s="10">
        <f>'Proximal Validation (double)'!G32</f>
        <v>3.927</v>
      </c>
      <c r="H32" s="10">
        <f>'Proximal Validation (double)'!H32</f>
        <v>1.5707963267948966</v>
      </c>
      <c r="I32" s="10">
        <f>'Proximal Validation (double)'!I32</f>
        <v>0.4</v>
      </c>
      <c r="J32" s="10">
        <f>'Proximal Validation (double)'!J32</f>
        <v>0</v>
      </c>
      <c r="K32" s="10">
        <f>'Proximal Validation (double)'!K32</f>
        <v>0</v>
      </c>
      <c r="L32" s="8">
        <f>'Proximal Validation (double)'!L32</f>
        <v>-1.44378747791052E-4</v>
      </c>
      <c r="M32" s="8">
        <f>'Proximal Validation (double)'!M32</f>
        <v>0.122855387628078</v>
      </c>
      <c r="N32" s="8">
        <f>'Proximal Validation (double)'!N32</f>
        <v>-6.9621779024600997E-2</v>
      </c>
      <c r="O32" s="8">
        <f>'Proximal Validation (double)'!O32</f>
        <v>-7.5552083551883698E-2</v>
      </c>
      <c r="P32" s="8">
        <f>'Proximal Validation (double)'!P32</f>
        <v>-0.53028601408004805</v>
      </c>
      <c r="Q32" s="8">
        <f>'Proximal Validation (double)'!Q32</f>
        <v>-0.79531830549240101</v>
      </c>
      <c r="R32" s="8">
        <v>0.41520000000000001</v>
      </c>
      <c r="S32" s="8">
        <v>0.1128</v>
      </c>
      <c r="T32" s="8">
        <v>4.3879999999999999</v>
      </c>
      <c r="U32" s="8">
        <v>1.5708</v>
      </c>
      <c r="V32" s="8">
        <v>0.56859999999999999</v>
      </c>
      <c r="W32" s="8">
        <v>0.02</v>
      </c>
      <c r="X32" s="8">
        <v>3.9344999999999999</v>
      </c>
      <c r="Y32" s="8">
        <v>1.5708</v>
      </c>
      <c r="Z32" s="8">
        <f t="shared" si="2"/>
        <v>0.11520000000000002</v>
      </c>
      <c r="AA32" s="8">
        <f t="shared" si="3"/>
        <v>1.2799999999999992E-2</v>
      </c>
      <c r="AB32" s="8">
        <f t="shared" si="4"/>
        <v>-0.32399999999999984</v>
      </c>
      <c r="AC32" s="8">
        <f t="shared" si="5"/>
        <v>3.6732051034160662E-6</v>
      </c>
      <c r="AD32" s="8">
        <f t="shared" si="6"/>
        <v>-0.23140000000000005</v>
      </c>
      <c r="AE32" s="8">
        <f t="shared" si="7"/>
        <v>-0.02</v>
      </c>
      <c r="AF32" s="8">
        <f t="shared" si="8"/>
        <v>7.4999999999998401E-3</v>
      </c>
      <c r="AG32" s="8">
        <f t="shared" si="9"/>
        <v>3.6732051034160662E-6</v>
      </c>
      <c r="AH32" s="22">
        <f t="shared" si="10"/>
        <v>0.17330000000000004</v>
      </c>
      <c r="AI32" s="22">
        <f t="shared" si="11"/>
        <v>1.6399999999999998E-2</v>
      </c>
      <c r="AJ32" s="22">
        <f t="shared" si="12"/>
        <v>0.16574999999999984</v>
      </c>
    </row>
    <row r="33" spans="1:36" x14ac:dyDescent="0.25">
      <c r="A33" s="10">
        <f>'Proximal Validation (double)'!A33</f>
        <v>1</v>
      </c>
      <c r="B33" s="11">
        <f>'Proximal Validation (double)'!B33</f>
        <v>0.1</v>
      </c>
      <c r="C33" s="10">
        <f>'Proximal Validation (double)'!C33</f>
        <v>4.7119999999999997</v>
      </c>
      <c r="D33" s="10">
        <f>'Proximal Validation (double)'!D33</f>
        <v>1.5707963267948966</v>
      </c>
      <c r="E33" s="11">
        <f>'Proximal Validation (double)'!E33</f>
        <v>0.1</v>
      </c>
      <c r="F33" s="11">
        <f>'Proximal Validation (double)'!F33</f>
        <v>0.04</v>
      </c>
      <c r="G33" s="10">
        <f>'Proximal Validation (double)'!G33</f>
        <v>4.7119999999999997</v>
      </c>
      <c r="H33" s="10">
        <f>'Proximal Validation (double)'!H33</f>
        <v>1.5707963267948966</v>
      </c>
      <c r="I33" s="10">
        <f>'Proximal Validation (double)'!I33</f>
        <v>0</v>
      </c>
      <c r="J33" s="10">
        <f>'Proximal Validation (double)'!J33</f>
        <v>0</v>
      </c>
      <c r="K33" s="10">
        <f>'Proximal Validation (double)'!K33</f>
        <v>0</v>
      </c>
      <c r="L33" s="8">
        <f>'Proximal Validation (double)'!L33</f>
        <v>2.13603163138032E-3</v>
      </c>
      <c r="M33" s="8">
        <f>'Proximal Validation (double)'!M33</f>
        <v>0.22294643521308899</v>
      </c>
      <c r="N33" s="8">
        <f>'Proximal Validation (double)'!N33</f>
        <v>-3.3264472149312501E-3</v>
      </c>
      <c r="O33" s="8">
        <f>'Proximal Validation (double)'!O33</f>
        <v>-0.25940474867820701</v>
      </c>
      <c r="P33" s="8">
        <f>'Proximal Validation (double)'!P33</f>
        <v>-2.7135983109474199E-2</v>
      </c>
      <c r="Q33" s="8">
        <f>'Proximal Validation (double)'!Q33</f>
        <v>-1.17376625537872</v>
      </c>
      <c r="R33" s="8">
        <v>0.32629999999999998</v>
      </c>
      <c r="S33" s="8">
        <v>0.1191</v>
      </c>
      <c r="T33" s="8">
        <v>4.6989999999999998</v>
      </c>
      <c r="U33" s="8">
        <v>1.5708</v>
      </c>
      <c r="V33" s="8">
        <v>0.87780000000000002</v>
      </c>
      <c r="W33" s="8">
        <v>7.6999999999999999E-2</v>
      </c>
      <c r="X33" s="8">
        <v>4.6862000000000004</v>
      </c>
      <c r="Y33" s="8">
        <v>1.5708</v>
      </c>
      <c r="Z33" s="8">
        <f t="shared" si="2"/>
        <v>-0.67369999999999997</v>
      </c>
      <c r="AA33" s="8">
        <f t="shared" si="3"/>
        <v>1.9099999999999992E-2</v>
      </c>
      <c r="AB33" s="8">
        <f t="shared" si="4"/>
        <v>-1.2999999999999901E-2</v>
      </c>
      <c r="AC33" s="8">
        <f t="shared" si="5"/>
        <v>3.6732051034160662E-6</v>
      </c>
      <c r="AD33" s="8">
        <f t="shared" si="6"/>
        <v>0.77780000000000005</v>
      </c>
      <c r="AE33" s="8">
        <f t="shared" si="7"/>
        <v>3.6999999999999998E-2</v>
      </c>
      <c r="AF33" s="8">
        <f t="shared" si="8"/>
        <v>-2.5799999999999379E-2</v>
      </c>
      <c r="AG33" s="8">
        <f t="shared" si="9"/>
        <v>3.6732051034160662E-6</v>
      </c>
      <c r="AH33" s="22">
        <f t="shared" si="10"/>
        <v>0.72575000000000001</v>
      </c>
      <c r="AI33" s="22">
        <f t="shared" si="11"/>
        <v>2.8049999999999995E-2</v>
      </c>
      <c r="AJ33" s="22">
        <f t="shared" si="12"/>
        <v>1.939999999999964E-2</v>
      </c>
    </row>
    <row r="34" spans="1:36" x14ac:dyDescent="0.25">
      <c r="A34" s="10">
        <f>'Proximal Validation (double)'!A34</f>
        <v>0.1</v>
      </c>
      <c r="B34" s="11">
        <f>'Proximal Validation (double)'!B34</f>
        <v>0.1</v>
      </c>
      <c r="C34" s="10">
        <f>'Proximal Validation (double)'!C34</f>
        <v>4.7119999999999997</v>
      </c>
      <c r="D34" s="10">
        <f>'Proximal Validation (double)'!D34</f>
        <v>1.5707963267948966</v>
      </c>
      <c r="E34" s="11">
        <f>'Proximal Validation (double)'!E34</f>
        <v>1</v>
      </c>
      <c r="F34" s="11">
        <f>'Proximal Validation (double)'!F34</f>
        <v>0.08</v>
      </c>
      <c r="G34" s="10">
        <f>'Proximal Validation (double)'!G34</f>
        <v>4.7119999999999997</v>
      </c>
      <c r="H34" s="10">
        <f>'Proximal Validation (double)'!H34</f>
        <v>1.5707963267948966</v>
      </c>
      <c r="I34" s="10">
        <f>'Proximal Validation (double)'!I34</f>
        <v>1.4</v>
      </c>
      <c r="J34" s="10">
        <f>'Proximal Validation (double)'!J34</f>
        <v>0</v>
      </c>
      <c r="K34" s="10">
        <f>'Proximal Validation (double)'!K34</f>
        <v>0</v>
      </c>
      <c r="L34" s="8">
        <f>'Proximal Validation (double)'!L34</f>
        <v>-2.9623867012560398E-3</v>
      </c>
      <c r="M34" s="8">
        <f>'Proximal Validation (double)'!M34</f>
        <v>0.167345225811005</v>
      </c>
      <c r="N34" s="8">
        <f>'Proximal Validation (double)'!N34</f>
        <v>-2.4530226364731799E-2</v>
      </c>
      <c r="O34" s="8">
        <f>'Proximal Validation (double)'!O34</f>
        <v>-0.11945986747741701</v>
      </c>
      <c r="P34" s="8">
        <f>'Proximal Validation (double)'!P34</f>
        <v>-0.14860638976097101</v>
      </c>
      <c r="Q34" s="8">
        <f>'Proximal Validation (double)'!Q34</f>
        <v>-0.949754118919373</v>
      </c>
      <c r="R34" s="8">
        <v>0.41799999999999998</v>
      </c>
      <c r="S34" s="8">
        <v>0.1479</v>
      </c>
      <c r="T34" s="8">
        <v>4.5761000000000003</v>
      </c>
      <c r="U34" s="8">
        <v>1.5708</v>
      </c>
      <c r="V34" s="8">
        <v>0.55549999999999999</v>
      </c>
      <c r="W34" s="8">
        <v>0.02</v>
      </c>
      <c r="X34" s="8">
        <v>4.5427</v>
      </c>
      <c r="Y34" s="8">
        <v>1.5708</v>
      </c>
      <c r="Z34" s="8">
        <f t="shared" si="2"/>
        <v>0.31799999999999995</v>
      </c>
      <c r="AA34" s="8">
        <f t="shared" si="3"/>
        <v>4.7899999999999998E-2</v>
      </c>
      <c r="AB34" s="8">
        <f t="shared" si="4"/>
        <v>-0.13589999999999947</v>
      </c>
      <c r="AC34" s="8">
        <f t="shared" si="5"/>
        <v>3.6732051034160662E-6</v>
      </c>
      <c r="AD34" s="8">
        <f t="shared" si="6"/>
        <v>-0.44450000000000001</v>
      </c>
      <c r="AE34" s="8">
        <f t="shared" si="7"/>
        <v>-0.06</v>
      </c>
      <c r="AF34" s="8">
        <f t="shared" si="8"/>
        <v>-0.16929999999999978</v>
      </c>
      <c r="AG34" s="8">
        <f t="shared" si="9"/>
        <v>3.6732051034160662E-6</v>
      </c>
      <c r="AH34" s="22">
        <f t="shared" si="10"/>
        <v>0.38124999999999998</v>
      </c>
      <c r="AI34" s="22">
        <f t="shared" si="11"/>
        <v>5.3949999999999998E-2</v>
      </c>
      <c r="AJ34" s="22">
        <f t="shared" si="12"/>
        <v>0.15259999999999962</v>
      </c>
    </row>
    <row r="35" spans="1:36" x14ac:dyDescent="0.25">
      <c r="A35" s="10">
        <f>'Proximal Validation (double)'!A35</f>
        <v>0.9</v>
      </c>
      <c r="B35" s="11">
        <f>'Proximal Validation (double)'!B35</f>
        <v>0.12</v>
      </c>
      <c r="C35" s="10">
        <f>'Proximal Validation (double)'!C35</f>
        <v>4.7119999999999997</v>
      </c>
      <c r="D35" s="10">
        <f>'Proximal Validation (double)'!D35</f>
        <v>1.5707963267948966</v>
      </c>
      <c r="E35" s="11">
        <f>'Proximal Validation (double)'!E35</f>
        <v>0.9</v>
      </c>
      <c r="F35" s="11">
        <f>'Proximal Validation (double)'!F35</f>
        <v>0.02</v>
      </c>
      <c r="G35" s="10">
        <f>'Proximal Validation (double)'!G35</f>
        <v>3.1419999999999999</v>
      </c>
      <c r="H35" s="10">
        <f>'Proximal Validation (double)'!H35</f>
        <v>1.5707963267948966</v>
      </c>
      <c r="I35" s="10">
        <f>'Proximal Validation (double)'!I35</f>
        <v>0</v>
      </c>
      <c r="J35" s="10">
        <f>'Proximal Validation (double)'!J35</f>
        <v>0</v>
      </c>
      <c r="K35" s="10">
        <f>'Proximal Validation (double)'!K35</f>
        <v>0</v>
      </c>
      <c r="L35" s="8">
        <f>'Proximal Validation (double)'!L35</f>
        <v>-7.8027322888374296E-4</v>
      </c>
      <c r="M35" s="8">
        <f>'Proximal Validation (double)'!M35</f>
        <v>0.20929773151874501</v>
      </c>
      <c r="N35" s="8">
        <f>'Proximal Validation (double)'!N35</f>
        <v>-9.5626659691333799E-2</v>
      </c>
      <c r="O35" s="8">
        <f>'Proximal Validation (double)'!O35</f>
        <v>-0.33798754215240501</v>
      </c>
      <c r="P35" s="8">
        <f>'Proximal Validation (double)'!P35</f>
        <v>-0.8543701171875</v>
      </c>
      <c r="Q35" s="8">
        <f>'Proximal Validation (double)'!Q35</f>
        <v>-0.97470813989639304</v>
      </c>
      <c r="R35" s="8">
        <v>0.73860000000000003</v>
      </c>
      <c r="S35" s="8">
        <v>0.15459999999999999</v>
      </c>
      <c r="T35" s="8">
        <v>4.7123999999999997</v>
      </c>
      <c r="U35" s="8">
        <v>1.5708</v>
      </c>
      <c r="V35" s="8">
        <v>0.90849999999999997</v>
      </c>
      <c r="W35" s="8">
        <v>2.2499999999999999E-2</v>
      </c>
      <c r="X35" s="8">
        <v>3.48</v>
      </c>
      <c r="Y35" s="8">
        <v>1.5708</v>
      </c>
      <c r="Z35" s="8">
        <f t="shared" si="2"/>
        <v>-0.16139999999999999</v>
      </c>
      <c r="AA35" s="8">
        <f t="shared" si="3"/>
        <v>3.4599999999999992E-2</v>
      </c>
      <c r="AB35" s="8">
        <f t="shared" si="4"/>
        <v>3.9999999999995595E-4</v>
      </c>
      <c r="AC35" s="8">
        <f t="shared" si="5"/>
        <v>3.6732051034160662E-6</v>
      </c>
      <c r="AD35" s="8">
        <f t="shared" si="6"/>
        <v>8.499999999999952E-3</v>
      </c>
      <c r="AE35" s="8">
        <f t="shared" si="7"/>
        <v>2.4999999999999988E-3</v>
      </c>
      <c r="AF35" s="8">
        <f t="shared" si="8"/>
        <v>0.33800000000000008</v>
      </c>
      <c r="AG35" s="8">
        <f t="shared" si="9"/>
        <v>3.6732051034160662E-6</v>
      </c>
      <c r="AH35" s="22">
        <f t="shared" si="10"/>
        <v>8.494999999999997E-2</v>
      </c>
      <c r="AI35" s="22">
        <f t="shared" si="11"/>
        <v>1.8549999999999997E-2</v>
      </c>
      <c r="AJ35" s="22">
        <f t="shared" si="12"/>
        <v>0.16920000000000002</v>
      </c>
    </row>
    <row r="36" spans="1:36" x14ac:dyDescent="0.25">
      <c r="A36" s="10">
        <f>'Proximal Validation (double)'!A36</f>
        <v>1</v>
      </c>
      <c r="B36" s="11">
        <f>'Proximal Validation (double)'!B36</f>
        <v>0.12</v>
      </c>
      <c r="C36" s="10">
        <f>'Proximal Validation (double)'!C36</f>
        <v>4.7119999999999997</v>
      </c>
      <c r="D36" s="10">
        <f>'Proximal Validation (double)'!D36</f>
        <v>1.5707963267948966</v>
      </c>
      <c r="E36" s="11">
        <f>'Proximal Validation (double)'!E36</f>
        <v>0.8</v>
      </c>
      <c r="F36" s="11">
        <f>'Proximal Validation (double)'!F36</f>
        <v>0.08</v>
      </c>
      <c r="G36" s="10">
        <f>'Proximal Validation (double)'!G36</f>
        <v>3.1419999999999999</v>
      </c>
      <c r="H36" s="10">
        <f>'Proximal Validation (double)'!H36</f>
        <v>1.5707963267948966</v>
      </c>
      <c r="I36" s="10">
        <f>'Proximal Validation (double)'!I36</f>
        <v>1.2</v>
      </c>
      <c r="J36" s="10">
        <f>'Proximal Validation (double)'!J36</f>
        <v>0</v>
      </c>
      <c r="K36" s="10">
        <f>'Proximal Validation (double)'!K36</f>
        <v>0</v>
      </c>
      <c r="L36" s="8">
        <f>'Proximal Validation (double)'!L36</f>
        <v>-5.3540230728685899E-3</v>
      </c>
      <c r="M36" s="8">
        <f>'Proximal Validation (double)'!M36</f>
        <v>0.23577138781547499</v>
      </c>
      <c r="N36" s="8">
        <f>'Proximal Validation (double)'!N36</f>
        <v>-0.12704449892044101</v>
      </c>
      <c r="O36" s="8">
        <f>'Proximal Validation (double)'!O36</f>
        <v>-0.53383183479309104</v>
      </c>
      <c r="P36" s="8">
        <f>'Proximal Validation (double)'!P36</f>
        <v>-0.71507501602172896</v>
      </c>
      <c r="Q36" s="8">
        <f>'Proximal Validation (double)'!Q36</f>
        <v>-1.0263080596923799</v>
      </c>
      <c r="R36" s="8">
        <v>0.6079</v>
      </c>
      <c r="S36" s="8">
        <v>0.1729</v>
      </c>
      <c r="T36" s="8">
        <v>4.5719000000000003</v>
      </c>
      <c r="U36" s="8">
        <v>1.5708</v>
      </c>
      <c r="V36" s="8">
        <v>0.85640000000000005</v>
      </c>
      <c r="W36" s="8">
        <v>6.9599999999999995E-2</v>
      </c>
      <c r="X36" s="8">
        <v>3.8149999999999999</v>
      </c>
      <c r="Y36" s="8">
        <v>1.5708</v>
      </c>
      <c r="Z36" s="8">
        <f t="shared" si="2"/>
        <v>-0.3921</v>
      </c>
      <c r="AA36" s="8">
        <f t="shared" si="3"/>
        <v>5.2900000000000003E-2</v>
      </c>
      <c r="AB36" s="8">
        <f t="shared" si="4"/>
        <v>-0.14009999999999945</v>
      </c>
      <c r="AC36" s="8">
        <f t="shared" si="5"/>
        <v>3.6732051034160662E-6</v>
      </c>
      <c r="AD36" s="8">
        <f t="shared" si="6"/>
        <v>5.6400000000000006E-2</v>
      </c>
      <c r="AE36" s="8">
        <f t="shared" si="7"/>
        <v>-1.0400000000000006E-2</v>
      </c>
      <c r="AF36" s="8">
        <f t="shared" si="8"/>
        <v>0.67300000000000004</v>
      </c>
      <c r="AG36" s="8">
        <f t="shared" si="9"/>
        <v>3.6732051034160662E-6</v>
      </c>
      <c r="AH36" s="22">
        <f t="shared" si="10"/>
        <v>0.22425</v>
      </c>
      <c r="AI36" s="22">
        <f t="shared" si="11"/>
        <v>3.1650000000000005E-2</v>
      </c>
      <c r="AJ36" s="22">
        <f t="shared" si="12"/>
        <v>0.40654999999999974</v>
      </c>
    </row>
    <row r="37" spans="1:36" x14ac:dyDescent="0.25">
      <c r="A37" s="10">
        <f>'Proximal Validation (double)'!A37</f>
        <v>0.3</v>
      </c>
      <c r="B37" s="11">
        <f>'Proximal Validation (double)'!B37</f>
        <v>0.18</v>
      </c>
      <c r="C37" s="10">
        <f>'Proximal Validation (double)'!C37</f>
        <v>4.7119999999999997</v>
      </c>
      <c r="D37" s="10">
        <f>'Proximal Validation (double)'!D37</f>
        <v>1.5707963267948966</v>
      </c>
      <c r="E37" s="11">
        <f>'Proximal Validation (double)'!E37</f>
        <v>0.3</v>
      </c>
      <c r="F37" s="11">
        <f>'Proximal Validation (double)'!F37</f>
        <v>0.06</v>
      </c>
      <c r="G37" s="10">
        <f>'Proximal Validation (double)'!G37</f>
        <v>3.1419999999999999</v>
      </c>
      <c r="H37" s="10">
        <f>'Proximal Validation (double)'!H37</f>
        <v>1.5707963267948966</v>
      </c>
      <c r="I37" s="10">
        <f>'Proximal Validation (double)'!I37</f>
        <v>1.4</v>
      </c>
      <c r="J37" s="10">
        <f>'Proximal Validation (double)'!J37</f>
        <v>0</v>
      </c>
      <c r="K37" s="10">
        <f>'Proximal Validation (double)'!K37</f>
        <v>0</v>
      </c>
      <c r="L37" s="8">
        <f>'Proximal Validation (double)'!L37</f>
        <v>-1.7680961173027799E-3</v>
      </c>
      <c r="M37" s="8">
        <f>'Proximal Validation (double)'!M37</f>
        <v>6.0080211609602002E-2</v>
      </c>
      <c r="N37" s="8">
        <f>'Proximal Validation (double)'!N37</f>
        <v>-4.9739588052034399E-2</v>
      </c>
      <c r="O37" s="8">
        <f>'Proximal Validation (double)'!O37</f>
        <v>-3.2015025615692097E-2</v>
      </c>
      <c r="P37" s="8">
        <f>'Proximal Validation (double)'!P37</f>
        <v>-0.322286486625671</v>
      </c>
      <c r="Q37" s="8">
        <f>'Proximal Validation (double)'!Q37</f>
        <v>-0.222265124320984</v>
      </c>
      <c r="R37" s="8">
        <v>0.26140000000000002</v>
      </c>
      <c r="S37" s="8">
        <v>0.13600000000000001</v>
      </c>
      <c r="T37" s="8">
        <v>4.1748000000000003</v>
      </c>
      <c r="U37" s="8">
        <v>1.5708</v>
      </c>
      <c r="V37" s="8">
        <v>0.18909999999999999</v>
      </c>
      <c r="W37" s="8">
        <v>2.7400000000000001E-2</v>
      </c>
      <c r="X37" s="8">
        <v>3.1425000000000001</v>
      </c>
      <c r="Y37" s="8">
        <v>1.5708</v>
      </c>
      <c r="Z37" s="8">
        <f t="shared" si="2"/>
        <v>-3.8599999999999968E-2</v>
      </c>
      <c r="AA37" s="8">
        <f t="shared" si="3"/>
        <v>-4.3999999999999984E-2</v>
      </c>
      <c r="AB37" s="8">
        <f t="shared" si="4"/>
        <v>-0.53719999999999946</v>
      </c>
      <c r="AC37" s="8">
        <f t="shared" si="5"/>
        <v>3.6732051034160662E-6</v>
      </c>
      <c r="AD37" s="8">
        <f t="shared" si="6"/>
        <v>-0.1109</v>
      </c>
      <c r="AE37" s="8">
        <f t="shared" si="7"/>
        <v>-3.2599999999999997E-2</v>
      </c>
      <c r="AF37" s="8">
        <f t="shared" si="8"/>
        <v>5.0000000000016698E-4</v>
      </c>
      <c r="AG37" s="8">
        <f t="shared" si="9"/>
        <v>3.6732051034160662E-6</v>
      </c>
      <c r="AH37" s="22">
        <f t="shared" si="10"/>
        <v>7.4749999999999983E-2</v>
      </c>
      <c r="AI37" s="22">
        <f t="shared" si="11"/>
        <v>3.8299999999999987E-2</v>
      </c>
      <c r="AJ37" s="22">
        <f t="shared" si="12"/>
        <v>0.26884999999999981</v>
      </c>
    </row>
    <row r="38" spans="1:36" x14ac:dyDescent="0.25">
      <c r="A38" s="10">
        <f>'Proximal Validation (double)'!A38</f>
        <v>0.9</v>
      </c>
      <c r="B38" s="11">
        <f>'Proximal Validation (double)'!B38</f>
        <v>0.18</v>
      </c>
      <c r="C38" s="10">
        <f>'Proximal Validation (double)'!C38</f>
        <v>4.7119999999999997</v>
      </c>
      <c r="D38" s="10">
        <f>'Proximal Validation (double)'!D38</f>
        <v>1.5707963267948966</v>
      </c>
      <c r="E38" s="11">
        <f>'Proximal Validation (double)'!E38</f>
        <v>0.2</v>
      </c>
      <c r="F38" s="11">
        <f>'Proximal Validation (double)'!F38</f>
        <v>0.08</v>
      </c>
      <c r="G38" s="10">
        <f>'Proximal Validation (double)'!G38</f>
        <v>3.1419999999999999</v>
      </c>
      <c r="H38" s="10">
        <f>'Proximal Validation (double)'!H38</f>
        <v>1.5707963267948966</v>
      </c>
      <c r="I38" s="10">
        <f>'Proximal Validation (double)'!I38</f>
        <v>0.2</v>
      </c>
      <c r="J38" s="10">
        <f>'Proximal Validation (double)'!J38</f>
        <v>0</v>
      </c>
      <c r="K38" s="10">
        <f>'Proximal Validation (double)'!K38</f>
        <v>0</v>
      </c>
      <c r="L38" s="8">
        <f>'Proximal Validation (double)'!L38</f>
        <v>-7.3416158556938198E-5</v>
      </c>
      <c r="M38" s="8">
        <f>'Proximal Validation (double)'!M38</f>
        <v>0.209005877375603</v>
      </c>
      <c r="N38" s="8">
        <f>'Proximal Validation (double)'!N38</f>
        <v>-3.9002325385808903E-2</v>
      </c>
      <c r="O38" s="8">
        <f>'Proximal Validation (double)'!O38</f>
        <v>-0.50677508115768399</v>
      </c>
      <c r="P38" s="8">
        <f>'Proximal Validation (double)'!P38</f>
        <v>-0.22871214151382399</v>
      </c>
      <c r="Q38" s="8">
        <f>'Proximal Validation (double)'!Q38</f>
        <v>-0.63768112659454301</v>
      </c>
      <c r="R38" s="8">
        <v>0.7681</v>
      </c>
      <c r="S38" s="8">
        <v>0.19750000000000001</v>
      </c>
      <c r="T38" s="8">
        <v>4.6539000000000001</v>
      </c>
      <c r="U38" s="8">
        <v>1.5708</v>
      </c>
      <c r="V38" s="8">
        <v>0.20499999999999999</v>
      </c>
      <c r="W38" s="8">
        <v>4.7300000000000002E-2</v>
      </c>
      <c r="X38" s="8">
        <v>3.3843999999999999</v>
      </c>
      <c r="Y38" s="8">
        <v>1.5708</v>
      </c>
      <c r="Z38" s="8">
        <f t="shared" si="2"/>
        <v>-0.13190000000000002</v>
      </c>
      <c r="AA38" s="8">
        <f t="shared" si="3"/>
        <v>1.7500000000000016E-2</v>
      </c>
      <c r="AB38" s="8">
        <f t="shared" si="4"/>
        <v>-5.8099999999999596E-2</v>
      </c>
      <c r="AC38" s="8">
        <f t="shared" si="5"/>
        <v>3.6732051034160662E-6</v>
      </c>
      <c r="AD38" s="8">
        <f t="shared" si="6"/>
        <v>4.9999999999999767E-3</v>
      </c>
      <c r="AE38" s="8">
        <f t="shared" si="7"/>
        <v>-3.27E-2</v>
      </c>
      <c r="AF38" s="8">
        <f t="shared" si="8"/>
        <v>0.24239999999999995</v>
      </c>
      <c r="AG38" s="8">
        <f t="shared" si="9"/>
        <v>3.6732051034160662E-6</v>
      </c>
      <c r="AH38" s="22">
        <f t="shared" si="10"/>
        <v>6.8449999999999997E-2</v>
      </c>
      <c r="AI38" s="22">
        <f t="shared" si="11"/>
        <v>2.5100000000000008E-2</v>
      </c>
      <c r="AJ38" s="22">
        <f t="shared" si="12"/>
        <v>0.15024999999999977</v>
      </c>
    </row>
    <row r="39" spans="1:36" x14ac:dyDescent="0.25">
      <c r="A39" s="10">
        <f>'Proximal Validation (double)'!A39</f>
        <v>0.1</v>
      </c>
      <c r="B39" s="11">
        <f>'Proximal Validation (double)'!B39</f>
        <v>0.18</v>
      </c>
      <c r="C39" s="10">
        <f>'Proximal Validation (double)'!C39</f>
        <v>4.7119999999999997</v>
      </c>
      <c r="D39" s="10">
        <f>'Proximal Validation (double)'!D39</f>
        <v>1.5707963267948966</v>
      </c>
      <c r="E39" s="11">
        <f>'Proximal Validation (double)'!E39</f>
        <v>1</v>
      </c>
      <c r="F39" s="11">
        <f>'Proximal Validation (double)'!F39</f>
        <v>0.02</v>
      </c>
      <c r="G39" s="10">
        <f>'Proximal Validation (double)'!G39</f>
        <v>4.7119999999999997</v>
      </c>
      <c r="H39" s="10">
        <f>'Proximal Validation (double)'!H39</f>
        <v>1.5707963267948966</v>
      </c>
      <c r="I39" s="10">
        <f>'Proximal Validation (double)'!I39</f>
        <v>0</v>
      </c>
      <c r="J39" s="10">
        <f>'Proximal Validation (double)'!J39</f>
        <v>0</v>
      </c>
      <c r="K39" s="10">
        <f>'Proximal Validation (double)'!K39</f>
        <v>0</v>
      </c>
      <c r="L39" s="8">
        <f>'Proximal Validation (double)'!L39</f>
        <v>1.8433155491948101E-4</v>
      </c>
      <c r="M39" s="8">
        <f>'Proximal Validation (double)'!M39</f>
        <v>0.11752788722515101</v>
      </c>
      <c r="N39" s="8">
        <f>'Proximal Validation (double)'!N39</f>
        <v>1.77300837822258E-3</v>
      </c>
      <c r="O39" s="8">
        <f>'Proximal Validation (double)'!O39</f>
        <v>-3.8502156734466601E-2</v>
      </c>
      <c r="P39" s="8">
        <f>'Proximal Validation (double)'!P39</f>
        <v>7.6181143522262599E-3</v>
      </c>
      <c r="Q39" s="8">
        <f>'Proximal Validation (double)'!Q39</f>
        <v>-0.99801015853881803</v>
      </c>
      <c r="R39" s="8">
        <v>0.1</v>
      </c>
      <c r="S39" s="8">
        <v>0.10009999999999999</v>
      </c>
      <c r="T39" s="8">
        <v>4.7122999999999999</v>
      </c>
      <c r="U39" s="8">
        <v>1.5708</v>
      </c>
      <c r="V39" s="8">
        <v>0.89770000000000005</v>
      </c>
      <c r="W39" s="8">
        <v>3.1600000000000003E-2</v>
      </c>
      <c r="X39" s="8">
        <v>4.7123999999999997</v>
      </c>
      <c r="Y39" s="8">
        <v>1.5708</v>
      </c>
      <c r="Z39" s="8">
        <f t="shared" si="2"/>
        <v>0</v>
      </c>
      <c r="AA39" s="8">
        <f t="shared" si="3"/>
        <v>-7.9899999999999999E-2</v>
      </c>
      <c r="AB39" s="8">
        <f t="shared" si="4"/>
        <v>3.00000000000189E-4</v>
      </c>
      <c r="AC39" s="8">
        <f t="shared" si="5"/>
        <v>3.6732051034160662E-6</v>
      </c>
      <c r="AD39" s="8">
        <f t="shared" si="6"/>
        <v>-0.10229999999999995</v>
      </c>
      <c r="AE39" s="8">
        <f t="shared" si="7"/>
        <v>1.1600000000000003E-2</v>
      </c>
      <c r="AF39" s="8">
        <f t="shared" si="8"/>
        <v>3.9999999999995595E-4</v>
      </c>
      <c r="AG39" s="8">
        <f t="shared" si="9"/>
        <v>3.6732051034160662E-6</v>
      </c>
      <c r="AH39" s="22">
        <f t="shared" si="10"/>
        <v>5.1149999999999973E-2</v>
      </c>
      <c r="AI39" s="22">
        <f t="shared" si="11"/>
        <v>4.5749999999999999E-2</v>
      </c>
      <c r="AJ39" s="22">
        <f t="shared" si="12"/>
        <v>3.5000000000007248E-4</v>
      </c>
    </row>
    <row r="40" spans="1:36" x14ac:dyDescent="0.25">
      <c r="A40" s="10">
        <f>'Proximal Validation (double)'!A40</f>
        <v>0.8</v>
      </c>
      <c r="B40" s="11">
        <f>'Proximal Validation (double)'!B40</f>
        <v>0.18</v>
      </c>
      <c r="C40" s="10">
        <f>'Proximal Validation (double)'!C40</f>
        <v>4.7119999999999997</v>
      </c>
      <c r="D40" s="10">
        <f>'Proximal Validation (double)'!D40</f>
        <v>1.5707963267948966</v>
      </c>
      <c r="E40" s="11">
        <f>'Proximal Validation (double)'!E40</f>
        <v>0.6</v>
      </c>
      <c r="F40" s="11">
        <f>'Proximal Validation (double)'!F40</f>
        <v>0.06</v>
      </c>
      <c r="G40" s="10">
        <f>'Proximal Validation (double)'!G40</f>
        <v>4.7119999999999997</v>
      </c>
      <c r="H40" s="10">
        <f>'Proximal Validation (double)'!H40</f>
        <v>1.5707963267948966</v>
      </c>
      <c r="I40" s="10">
        <f>'Proximal Validation (double)'!I40</f>
        <v>1</v>
      </c>
      <c r="J40" s="10">
        <f>'Proximal Validation (double)'!J40</f>
        <v>0</v>
      </c>
      <c r="K40" s="10">
        <f>'Proximal Validation (double)'!K40</f>
        <v>0</v>
      </c>
      <c r="L40" s="8">
        <f>'Proximal Validation (double)'!L40</f>
        <v>-5.2668377757072397E-3</v>
      </c>
      <c r="M40" s="8">
        <f>'Proximal Validation (double)'!M40</f>
        <v>0.27689665555954002</v>
      </c>
      <c r="N40" s="8">
        <f>'Proximal Validation (double)'!N40</f>
        <v>-1.6046434640884399E-2</v>
      </c>
      <c r="O40" s="8">
        <f>'Proximal Validation (double)'!O40</f>
        <v>-0.47105222940444902</v>
      </c>
      <c r="P40" s="8">
        <f>'Proximal Validation (double)'!P40</f>
        <v>-0.10896006226539599</v>
      </c>
      <c r="Q40" s="8">
        <f>'Proximal Validation (double)'!Q40</f>
        <v>-1.1885303258895901</v>
      </c>
      <c r="R40" s="8">
        <v>0.40899999999999997</v>
      </c>
      <c r="S40" s="8">
        <v>0.2</v>
      </c>
      <c r="T40" s="8">
        <v>4.7123999999999997</v>
      </c>
      <c r="U40" s="8">
        <v>1.5708</v>
      </c>
      <c r="V40" s="8">
        <v>0.88390000000000002</v>
      </c>
      <c r="W40" s="8">
        <v>7.2999999999999995E-2</v>
      </c>
      <c r="X40" s="8">
        <v>4.5843999999999996</v>
      </c>
      <c r="Y40" s="8">
        <v>1.5708</v>
      </c>
      <c r="Z40" s="8">
        <f t="shared" si="2"/>
        <v>-0.39100000000000007</v>
      </c>
      <c r="AA40" s="8">
        <f t="shared" si="3"/>
        <v>2.0000000000000018E-2</v>
      </c>
      <c r="AB40" s="8">
        <f t="shared" si="4"/>
        <v>3.9999999999995595E-4</v>
      </c>
      <c r="AC40" s="8">
        <f t="shared" si="5"/>
        <v>3.6732051034160662E-6</v>
      </c>
      <c r="AD40" s="8">
        <f t="shared" si="6"/>
        <v>0.28390000000000004</v>
      </c>
      <c r="AE40" s="8">
        <f t="shared" si="7"/>
        <v>1.2999999999999998E-2</v>
      </c>
      <c r="AF40" s="8">
        <f t="shared" si="8"/>
        <v>-0.12760000000000016</v>
      </c>
      <c r="AG40" s="8">
        <f t="shared" si="9"/>
        <v>3.6732051034160662E-6</v>
      </c>
      <c r="AH40" s="22">
        <f t="shared" si="10"/>
        <v>0.33745000000000003</v>
      </c>
      <c r="AI40" s="22">
        <f t="shared" si="11"/>
        <v>1.6500000000000008E-2</v>
      </c>
      <c r="AJ40" s="22">
        <f t="shared" si="12"/>
        <v>6.4000000000000057E-2</v>
      </c>
    </row>
    <row r="41" spans="1:36" x14ac:dyDescent="0.25">
      <c r="A41" s="10">
        <f>'Proximal Validation (double)'!A41</f>
        <v>1</v>
      </c>
      <c r="B41" s="11">
        <f>'Proximal Validation (double)'!B41</f>
        <v>0.2</v>
      </c>
      <c r="C41" s="10">
        <f>'Proximal Validation (double)'!C41</f>
        <v>4.7119999999999997</v>
      </c>
      <c r="D41" s="10">
        <f>'Proximal Validation (double)'!D41</f>
        <v>1.5707963267948966</v>
      </c>
      <c r="E41" s="11">
        <f>'Proximal Validation (double)'!E41</f>
        <v>0.8</v>
      </c>
      <c r="F41" s="11">
        <f>'Proximal Validation (double)'!F41</f>
        <v>0.02</v>
      </c>
      <c r="G41" s="10">
        <f>'Proximal Validation (double)'!G41</f>
        <v>3.1419999999999999</v>
      </c>
      <c r="H41" s="10">
        <f>'Proximal Validation (double)'!H41</f>
        <v>1.5707963267948966</v>
      </c>
      <c r="I41" s="10">
        <f>'Proximal Validation (double)'!I41</f>
        <v>1.4</v>
      </c>
      <c r="J41" s="10">
        <f>'Proximal Validation (double)'!J41</f>
        <v>0</v>
      </c>
      <c r="K41" s="10">
        <f>'Proximal Validation (double)'!K41</f>
        <v>0</v>
      </c>
      <c r="L41" s="8">
        <f>'Proximal Validation (double)'!L41</f>
        <v>-1.2570786289870701E-2</v>
      </c>
      <c r="M41" s="8">
        <f>'Proximal Validation (double)'!M41</f>
        <v>0.239984765648842</v>
      </c>
      <c r="N41" s="8">
        <f>'Proximal Validation (double)'!N41</f>
        <v>-9.4180338084697696E-2</v>
      </c>
      <c r="O41" s="8">
        <f>'Proximal Validation (double)'!O41</f>
        <v>-0.68777251243591297</v>
      </c>
      <c r="P41" s="8">
        <f>'Proximal Validation (double)'!P41</f>
        <v>-0.81574249267578103</v>
      </c>
      <c r="Q41" s="8">
        <f>'Proximal Validation (double)'!Q41</f>
        <v>-0.66350710391998302</v>
      </c>
      <c r="R41" s="8">
        <v>0.91739999999999999</v>
      </c>
      <c r="S41" s="8">
        <v>0.2</v>
      </c>
      <c r="T41" s="8">
        <v>4.7123999999999997</v>
      </c>
      <c r="U41" s="8">
        <v>1.5708</v>
      </c>
      <c r="V41" s="8">
        <v>0.82520000000000004</v>
      </c>
      <c r="W41" s="8">
        <v>2.6100000000000002E-2</v>
      </c>
      <c r="X41" s="8">
        <v>3.1919</v>
      </c>
      <c r="Y41" s="8">
        <v>1.5708</v>
      </c>
      <c r="Z41" s="8">
        <f t="shared" si="2"/>
        <v>-8.2600000000000007E-2</v>
      </c>
      <c r="AA41" s="8">
        <f t="shared" si="3"/>
        <v>0</v>
      </c>
      <c r="AB41" s="8">
        <f t="shared" si="4"/>
        <v>3.9999999999995595E-4</v>
      </c>
      <c r="AC41" s="8">
        <f t="shared" si="5"/>
        <v>3.6732051034160662E-6</v>
      </c>
      <c r="AD41" s="8">
        <f t="shared" si="6"/>
        <v>2.52E-2</v>
      </c>
      <c r="AE41" s="8">
        <f t="shared" si="7"/>
        <v>6.1000000000000013E-3</v>
      </c>
      <c r="AF41" s="8">
        <f t="shared" si="8"/>
        <v>4.9900000000000055E-2</v>
      </c>
      <c r="AG41" s="8">
        <f t="shared" si="9"/>
        <v>3.6732051034160662E-6</v>
      </c>
      <c r="AH41" s="22">
        <f t="shared" si="10"/>
        <v>5.3900000000000003E-2</v>
      </c>
      <c r="AI41" s="22">
        <f t="shared" si="11"/>
        <v>3.0500000000000006E-3</v>
      </c>
      <c r="AJ41" s="22">
        <f t="shared" si="12"/>
        <v>2.5150000000000006E-2</v>
      </c>
    </row>
    <row r="42" spans="1:36" x14ac:dyDescent="0.25">
      <c r="A42" s="10">
        <f>'Proximal Validation (double)'!A42</f>
        <v>0.2</v>
      </c>
      <c r="B42" s="13">
        <f>'Proximal Validation (double)'!B42</f>
        <v>0.2</v>
      </c>
      <c r="C42" s="14">
        <f>'Proximal Validation (double)'!C42</f>
        <v>4.7119999999999997</v>
      </c>
      <c r="D42" s="14">
        <f>'Proximal Validation (double)'!D42</f>
        <v>1.5707963267948966</v>
      </c>
      <c r="E42" s="13">
        <f>'Proximal Validation (double)'!E42</f>
        <v>0.1</v>
      </c>
      <c r="F42" s="13">
        <f>'Proximal Validation (double)'!F42</f>
        <v>0.08</v>
      </c>
      <c r="G42" s="14">
        <f>'Proximal Validation (double)'!G42</f>
        <v>3.927</v>
      </c>
      <c r="H42" s="14">
        <f>'Proximal Validation (double)'!H42</f>
        <v>1.5707963267948966</v>
      </c>
      <c r="I42" s="14">
        <f>'Proximal Validation (double)'!I42</f>
        <v>0</v>
      </c>
      <c r="J42" s="14">
        <f>'Proximal Validation (double)'!J42</f>
        <v>0</v>
      </c>
      <c r="K42" s="14">
        <f>'Proximal Validation (double)'!K42</f>
        <v>0</v>
      </c>
      <c r="L42" s="15">
        <f>'Proximal Validation (double)'!L42</f>
        <v>2.25764350034297E-4</v>
      </c>
      <c r="M42" s="15">
        <f>'Proximal Validation (double)'!M42</f>
        <v>5.42946308851242E-2</v>
      </c>
      <c r="N42" s="15">
        <f>'Proximal Validation (double)'!N42</f>
        <v>-1.43192345276475E-2</v>
      </c>
      <c r="O42" s="15">
        <f>'Proximal Validation (double)'!O42</f>
        <v>-3.8537099957466098E-2</v>
      </c>
      <c r="P42" s="15">
        <f>'Proximal Validation (double)'!P42</f>
        <v>-8.5683420300483704E-2</v>
      </c>
      <c r="Q42" s="15">
        <f>'Proximal Validation (double)'!Q42</f>
        <v>-0.207838654518127</v>
      </c>
      <c r="R42" s="15">
        <v>0.16170000000000001</v>
      </c>
      <c r="S42" s="15">
        <v>0.2</v>
      </c>
      <c r="T42" s="15">
        <v>4.7119999999999997</v>
      </c>
      <c r="U42" s="15">
        <v>1.5708</v>
      </c>
      <c r="V42" s="15">
        <v>0.1</v>
      </c>
      <c r="W42" s="15">
        <v>0.08</v>
      </c>
      <c r="X42" s="15">
        <v>3.6766999999999999</v>
      </c>
      <c r="Y42" s="15">
        <v>1.5708</v>
      </c>
      <c r="Z42" s="15">
        <f t="shared" si="2"/>
        <v>-3.8300000000000001E-2</v>
      </c>
      <c r="AA42" s="15">
        <f t="shared" si="3"/>
        <v>0</v>
      </c>
      <c r="AB42" s="15">
        <f t="shared" si="4"/>
        <v>0</v>
      </c>
      <c r="AC42" s="15">
        <f t="shared" si="5"/>
        <v>3.6732051034160662E-6</v>
      </c>
      <c r="AD42" s="15">
        <f t="shared" si="6"/>
        <v>0</v>
      </c>
      <c r="AE42" s="15">
        <f t="shared" si="7"/>
        <v>0</v>
      </c>
      <c r="AF42" s="15">
        <f t="shared" si="8"/>
        <v>-0.25030000000000019</v>
      </c>
      <c r="AG42" s="15">
        <f t="shared" si="9"/>
        <v>3.6732051034160662E-6</v>
      </c>
      <c r="AH42" s="22">
        <f t="shared" si="10"/>
        <v>1.915E-2</v>
      </c>
      <c r="AI42" s="22">
        <f t="shared" si="11"/>
        <v>0</v>
      </c>
      <c r="AJ42" s="22">
        <f t="shared" si="12"/>
        <v>0.12515000000000009</v>
      </c>
    </row>
    <row r="43" spans="1:36" ht="15.75" x14ac:dyDescent="0.25">
      <c r="A43" s="12"/>
      <c r="B43" s="16"/>
      <c r="C43" s="17"/>
      <c r="D43" s="17"/>
      <c r="E43" s="16"/>
      <c r="F43" s="16"/>
      <c r="G43" s="17"/>
      <c r="H43" s="17"/>
      <c r="I43" s="17"/>
      <c r="J43" s="17"/>
      <c r="K43" s="17"/>
      <c r="L43" s="18"/>
      <c r="M43" s="18"/>
      <c r="N43" s="18"/>
      <c r="O43" s="18"/>
      <c r="P43" s="18"/>
      <c r="Q43" s="18"/>
      <c r="R43" s="17"/>
      <c r="S43" s="17"/>
      <c r="T43" s="17"/>
      <c r="U43" s="17"/>
      <c r="V43" s="17"/>
      <c r="W43" s="17"/>
      <c r="X43" s="19"/>
      <c r="Y43" s="19"/>
    </row>
    <row r="44" spans="1:36" ht="15.75" x14ac:dyDescent="0.25">
      <c r="A44" s="12"/>
      <c r="B44" s="16"/>
      <c r="C44" s="17"/>
      <c r="D44" s="17"/>
      <c r="E44" s="16"/>
      <c r="F44" s="16"/>
      <c r="G44" s="17"/>
      <c r="H44" s="17"/>
      <c r="I44" s="17"/>
      <c r="J44" s="17"/>
      <c r="K44" s="17"/>
      <c r="L44" s="18"/>
      <c r="M44" s="18"/>
      <c r="N44" s="18"/>
      <c r="O44" s="18"/>
      <c r="P44" s="18"/>
      <c r="Q44" s="18"/>
      <c r="R44" s="17"/>
      <c r="S44" s="17"/>
      <c r="T44" s="17"/>
      <c r="U44" s="17"/>
      <c r="V44" s="17"/>
      <c r="W44" s="17"/>
      <c r="X44" s="19"/>
      <c r="Y44" s="19"/>
    </row>
    <row r="45" spans="1:36" ht="15.75" x14ac:dyDescent="0.25">
      <c r="A45" s="12"/>
      <c r="B45" s="16"/>
      <c r="C45" s="17"/>
      <c r="D45" s="17"/>
      <c r="E45" s="16"/>
      <c r="F45" s="16"/>
      <c r="G45" s="17"/>
      <c r="H45" s="17"/>
      <c r="I45" s="17"/>
      <c r="J45" s="17"/>
      <c r="K45" s="17"/>
      <c r="L45" s="18"/>
      <c r="M45" s="18"/>
      <c r="N45" s="18"/>
      <c r="O45" s="18"/>
      <c r="P45" s="18"/>
      <c r="Q45" s="18"/>
      <c r="R45" s="17"/>
      <c r="S45" s="17"/>
      <c r="T45" s="17"/>
      <c r="U45" s="17"/>
      <c r="V45" s="17"/>
      <c r="W45" s="17"/>
      <c r="X45" s="19"/>
      <c r="Y45" s="19"/>
    </row>
    <row r="46" spans="1:36" ht="15.75" x14ac:dyDescent="0.25">
      <c r="A46" s="12"/>
      <c r="B46" s="16"/>
      <c r="C46" s="17"/>
      <c r="D46" s="17"/>
      <c r="E46" s="16"/>
      <c r="F46" s="16"/>
      <c r="G46" s="17"/>
      <c r="H46" s="17"/>
      <c r="I46" s="17"/>
      <c r="J46" s="17"/>
      <c r="K46" s="17"/>
      <c r="L46" s="18"/>
      <c r="M46" s="18"/>
      <c r="N46" s="18"/>
      <c r="O46" s="18"/>
      <c r="P46" s="18"/>
      <c r="Q46" s="18"/>
      <c r="R46" s="17"/>
      <c r="S46" s="17"/>
      <c r="T46" s="17"/>
      <c r="U46" s="17"/>
      <c r="V46" s="17"/>
      <c r="W46" s="17"/>
      <c r="X46" s="19"/>
      <c r="Y46" s="19"/>
    </row>
    <row r="47" spans="1:36" ht="15.75" x14ac:dyDescent="0.25">
      <c r="A47" s="12"/>
      <c r="B47" s="16"/>
      <c r="C47" s="17"/>
      <c r="D47" s="17"/>
      <c r="E47" s="16"/>
      <c r="F47" s="16"/>
      <c r="G47" s="17"/>
      <c r="H47" s="17"/>
      <c r="I47" s="17"/>
      <c r="J47" s="17"/>
      <c r="K47" s="17"/>
      <c r="L47" s="18"/>
      <c r="M47" s="18"/>
      <c r="N47" s="18"/>
      <c r="O47" s="18"/>
      <c r="P47" s="18"/>
      <c r="Q47" s="18"/>
      <c r="R47" s="17"/>
      <c r="S47" s="17"/>
      <c r="T47" s="17"/>
      <c r="U47" s="17"/>
      <c r="V47" s="17"/>
      <c r="W47" s="17"/>
      <c r="X47" s="19"/>
      <c r="Y47" s="19"/>
    </row>
    <row r="48" spans="1:36" ht="15.75" x14ac:dyDescent="0.25">
      <c r="A48" s="12"/>
      <c r="B48" s="16"/>
      <c r="C48" s="17"/>
      <c r="D48" s="17"/>
      <c r="E48" s="16"/>
      <c r="F48" s="16"/>
      <c r="G48" s="17"/>
      <c r="H48" s="17"/>
      <c r="I48" s="17"/>
      <c r="J48" s="17"/>
      <c r="K48" s="17"/>
      <c r="L48" s="18"/>
      <c r="M48" s="18"/>
      <c r="N48" s="18"/>
      <c r="O48" s="18"/>
      <c r="P48" s="18"/>
      <c r="Q48" s="18"/>
      <c r="R48" s="17"/>
      <c r="S48" s="17"/>
      <c r="T48" s="17"/>
      <c r="U48" s="17"/>
      <c r="V48" s="17"/>
      <c r="W48" s="17"/>
      <c r="X48" s="19"/>
      <c r="Y48" s="19"/>
    </row>
    <row r="49" spans="1:25" ht="15.75" x14ac:dyDescent="0.25">
      <c r="A49" s="12"/>
      <c r="B49" s="16"/>
      <c r="C49" s="17"/>
      <c r="D49" s="17"/>
      <c r="E49" s="16"/>
      <c r="F49" s="16"/>
      <c r="G49" s="17"/>
      <c r="H49" s="17"/>
      <c r="I49" s="17"/>
      <c r="J49" s="17"/>
      <c r="K49" s="17"/>
      <c r="L49" s="18"/>
      <c r="M49" s="18"/>
      <c r="N49" s="18"/>
      <c r="O49" s="18"/>
      <c r="P49" s="18"/>
      <c r="Q49" s="18"/>
      <c r="R49" s="17"/>
      <c r="S49" s="17"/>
      <c r="T49" s="17"/>
      <c r="U49" s="17"/>
      <c r="V49" s="17"/>
      <c r="W49" s="17"/>
      <c r="X49" s="19"/>
      <c r="Y49" s="19"/>
    </row>
    <row r="50" spans="1:25" ht="15.75" x14ac:dyDescent="0.25">
      <c r="A50" s="12"/>
      <c r="B50" s="16"/>
      <c r="C50" s="17"/>
      <c r="D50" s="17"/>
      <c r="E50" s="16"/>
      <c r="F50" s="16"/>
      <c r="G50" s="17"/>
      <c r="H50" s="17"/>
      <c r="I50" s="17"/>
      <c r="J50" s="17"/>
      <c r="K50" s="17"/>
      <c r="L50" s="18"/>
      <c r="M50" s="18"/>
      <c r="N50" s="18"/>
      <c r="O50" s="18"/>
      <c r="P50" s="18"/>
      <c r="Q50" s="18"/>
      <c r="R50" s="17"/>
      <c r="S50" s="17"/>
      <c r="T50" s="17"/>
      <c r="U50" s="17"/>
      <c r="V50" s="17"/>
      <c r="W50" s="17"/>
      <c r="X50" s="19"/>
      <c r="Y50" s="19"/>
    </row>
    <row r="51" spans="1:25" ht="15.75" x14ac:dyDescent="0.25">
      <c r="A51" s="12"/>
      <c r="B51" s="16"/>
      <c r="C51" s="17"/>
      <c r="D51" s="17"/>
      <c r="E51" s="16"/>
      <c r="F51" s="16"/>
      <c r="G51" s="17"/>
      <c r="H51" s="17"/>
      <c r="I51" s="17"/>
      <c r="J51" s="17"/>
      <c r="K51" s="17"/>
      <c r="L51" s="18"/>
      <c r="M51" s="18"/>
      <c r="N51" s="18"/>
      <c r="O51" s="18"/>
      <c r="P51" s="18"/>
      <c r="Q51" s="18"/>
      <c r="R51" s="17"/>
      <c r="S51" s="17"/>
      <c r="T51" s="17"/>
      <c r="U51" s="17"/>
      <c r="V51" s="17"/>
      <c r="W51" s="17"/>
      <c r="X51" s="19"/>
      <c r="Y51" s="19"/>
    </row>
    <row r="52" spans="1:25" ht="15.75" x14ac:dyDescent="0.25">
      <c r="A52" s="12"/>
      <c r="B52" s="16"/>
      <c r="C52" s="17"/>
      <c r="D52" s="17"/>
      <c r="E52" s="16"/>
      <c r="F52" s="16"/>
      <c r="G52" s="17"/>
      <c r="H52" s="17"/>
      <c r="I52" s="17"/>
      <c r="J52" s="17"/>
      <c r="K52" s="17"/>
      <c r="L52" s="18"/>
      <c r="M52" s="18"/>
      <c r="N52" s="18"/>
      <c r="O52" s="18"/>
      <c r="P52" s="18"/>
      <c r="Q52" s="18"/>
      <c r="R52" s="17"/>
      <c r="S52" s="17"/>
      <c r="T52" s="17"/>
      <c r="U52" s="17"/>
      <c r="V52" s="17"/>
      <c r="W52" s="17"/>
      <c r="X52" s="19"/>
      <c r="Y52" s="19"/>
    </row>
  </sheetData>
  <mergeCells count="7">
    <mergeCell ref="AK2:AR2"/>
    <mergeCell ref="AK5:AR5"/>
    <mergeCell ref="AH1:AR1"/>
    <mergeCell ref="A1:K1"/>
    <mergeCell ref="L1:Q1"/>
    <mergeCell ref="R1:Y1"/>
    <mergeCell ref="Z1:A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R52"/>
  <sheetViews>
    <sheetView tabSelected="1" topLeftCell="T1" workbookViewId="0">
      <selection activeCell="AN9" sqref="AN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11" bestFit="1" customWidth="1"/>
    <col min="27" max="27" width="13.85546875" bestFit="1" customWidth="1"/>
    <col min="28" max="28" width="11.140625" bestFit="1" customWidth="1"/>
    <col min="34" max="34" width="15.140625" customWidth="1"/>
    <col min="35" max="35" width="15.28515625" customWidth="1"/>
    <col min="36" max="36" width="16.28515625" customWidth="1"/>
    <col min="37" max="37" width="11" bestFit="1" customWidth="1"/>
    <col min="38" max="38" width="13.85546875" bestFit="1" customWidth="1"/>
    <col min="39" max="39" width="11.140625" bestFit="1" customWidth="1"/>
  </cols>
  <sheetData>
    <row r="1" spans="1:44" ht="15.75" x14ac:dyDescent="0.25">
      <c r="A1" s="24" t="s">
        <v>11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26" t="s">
        <v>6</v>
      </c>
      <c r="M1" s="27"/>
      <c r="N1" s="27"/>
      <c r="O1" s="27"/>
      <c r="P1" s="27"/>
      <c r="Q1" s="27"/>
      <c r="R1" s="35" t="s">
        <v>7</v>
      </c>
      <c r="S1" s="36"/>
      <c r="T1" s="36"/>
      <c r="U1" s="36"/>
      <c r="V1" s="36"/>
      <c r="W1" s="36"/>
      <c r="X1" s="36"/>
      <c r="Y1" s="36"/>
      <c r="Z1" s="37" t="s">
        <v>13</v>
      </c>
      <c r="AA1" s="37"/>
      <c r="AB1" s="37"/>
      <c r="AC1" s="37"/>
      <c r="AD1" s="37"/>
      <c r="AE1" s="37"/>
      <c r="AF1" s="37"/>
      <c r="AG1" s="37"/>
      <c r="AH1" s="34" t="s">
        <v>36</v>
      </c>
      <c r="AI1" s="34"/>
      <c r="AJ1" s="34"/>
      <c r="AK1" s="34"/>
      <c r="AL1" s="34"/>
      <c r="AM1" s="34"/>
      <c r="AN1" s="34"/>
      <c r="AO1" s="34"/>
      <c r="AP1" s="34"/>
      <c r="AQ1" s="34"/>
      <c r="AR1" s="34"/>
    </row>
    <row r="2" spans="1:44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3" t="s">
        <v>23</v>
      </c>
      <c r="AA2" s="1" t="s">
        <v>24</v>
      </c>
      <c r="AB2" s="1" t="s">
        <v>25</v>
      </c>
      <c r="AC2" s="1" t="s">
        <v>29</v>
      </c>
      <c r="AD2" s="1" t="s">
        <v>26</v>
      </c>
      <c r="AE2" s="1" t="s">
        <v>27</v>
      </c>
      <c r="AF2" s="1" t="s">
        <v>28</v>
      </c>
      <c r="AG2" s="1" t="s">
        <v>30</v>
      </c>
      <c r="AH2" s="20" t="s">
        <v>33</v>
      </c>
      <c r="AI2" s="20" t="s">
        <v>34</v>
      </c>
      <c r="AJ2" s="20" t="s">
        <v>35</v>
      </c>
      <c r="AK2" s="33" t="s">
        <v>31</v>
      </c>
      <c r="AL2" s="33"/>
      <c r="AM2" s="33"/>
      <c r="AN2" s="33"/>
      <c r="AO2" s="33"/>
      <c r="AP2" s="33"/>
      <c r="AQ2" s="33"/>
      <c r="AR2" s="33"/>
    </row>
    <row r="3" spans="1:44" ht="15.75" x14ac:dyDescent="0.25">
      <c r="A3" s="10">
        <f>'Proximal Validation (double)'!A3</f>
        <v>0.2</v>
      </c>
      <c r="B3" s="11">
        <f>'Proximal Validation (double)'!B3</f>
        <v>0.1</v>
      </c>
      <c r="C3" s="10">
        <f>'Proximal Validation (double)'!C3</f>
        <v>1.571</v>
      </c>
      <c r="D3" s="10">
        <f>'Proximal Validation (double)'!D3</f>
        <v>1.5707963267948966</v>
      </c>
      <c r="E3" s="11">
        <f>'Proximal Validation (double)'!E3</f>
        <v>1</v>
      </c>
      <c r="F3" s="11">
        <f>'Proximal Validation (double)'!F3</f>
        <v>0.04</v>
      </c>
      <c r="G3" s="10">
        <f>'Proximal Validation (double)'!G3</f>
        <v>3.1419999999999999</v>
      </c>
      <c r="H3" s="10">
        <f>'Proximal Validation (double)'!H3</f>
        <v>1.5707963267948966</v>
      </c>
      <c r="I3" s="10">
        <f>'Proximal Validation (double)'!I3</f>
        <v>1.4</v>
      </c>
      <c r="J3" s="10">
        <f>'Proximal Validation (double)'!J3</f>
        <v>0</v>
      </c>
      <c r="K3" s="10">
        <f>'Proximal Validation (double)'!K3</f>
        <v>0</v>
      </c>
      <c r="L3" s="8">
        <f>'Proximal Validation (double)'!L3</f>
        <v>-8.4695406258106205E-5</v>
      </c>
      <c r="M3" s="8">
        <f>'Proximal Validation (double)'!M3</f>
        <v>-1.1448631994426301E-2</v>
      </c>
      <c r="N3" s="8">
        <f>'Proximal Validation (double)'!N3</f>
        <v>-0.13048847019672399</v>
      </c>
      <c r="O3" s="8">
        <f>'Proximal Validation (double)'!O3</f>
        <v>1.8870793282985701E-2</v>
      </c>
      <c r="P3" s="8">
        <f>'Proximal Validation (double)'!P3</f>
        <v>-0.97202777862548795</v>
      </c>
      <c r="Q3" s="8">
        <f>'Proximal Validation (double)'!Q3</f>
        <v>2.9205024242401099E-2</v>
      </c>
      <c r="R3" s="8">
        <v>0.36870000000000003</v>
      </c>
      <c r="S3" s="8">
        <v>2.0799999999999999E-2</v>
      </c>
      <c r="T3" s="8">
        <v>2.9089999999999998</v>
      </c>
      <c r="U3" s="8">
        <v>1.5708</v>
      </c>
      <c r="V3" s="8">
        <v>0.61770000000000003</v>
      </c>
      <c r="W3" s="8">
        <v>0.02</v>
      </c>
      <c r="X3" s="8">
        <v>3.2309999999999999</v>
      </c>
      <c r="Y3" s="8">
        <v>1.5708</v>
      </c>
      <c r="Z3" s="8">
        <f>R3-A3</f>
        <v>0.16870000000000002</v>
      </c>
      <c r="AA3" s="8">
        <f>S3-B3</f>
        <v>-7.9200000000000007E-2</v>
      </c>
      <c r="AB3" s="8">
        <f>T3-C3</f>
        <v>1.3379999999999999</v>
      </c>
      <c r="AC3" s="8">
        <f>U3-D3</f>
        <v>3.6732051034160662E-6</v>
      </c>
      <c r="AD3" s="8">
        <f t="shared" ref="AD3:AG18" si="0">V3-E3</f>
        <v>-0.38229999999999997</v>
      </c>
      <c r="AE3" s="8">
        <f t="shared" si="0"/>
        <v>-0.02</v>
      </c>
      <c r="AF3" s="8">
        <f t="shared" si="0"/>
        <v>8.8999999999999968E-2</v>
      </c>
      <c r="AG3" s="8">
        <f t="shared" si="0"/>
        <v>3.6732051034160662E-6</v>
      </c>
      <c r="AH3" s="22">
        <f>AVERAGE(ABS(Z3),ABS(AD3))</f>
        <v>0.27549999999999997</v>
      </c>
      <c r="AI3" s="22">
        <f t="shared" ref="AI3:AJ18" si="1">AVERAGE(ABS(AA3),ABS(AE3))</f>
        <v>4.9600000000000005E-2</v>
      </c>
      <c r="AJ3" s="22">
        <f t="shared" si="1"/>
        <v>0.71349999999999991</v>
      </c>
      <c r="AK3" s="1" t="s">
        <v>23</v>
      </c>
      <c r="AL3" s="1" t="s">
        <v>24</v>
      </c>
      <c r="AM3" s="1" t="s">
        <v>25</v>
      </c>
      <c r="AN3" s="1" t="s">
        <v>29</v>
      </c>
      <c r="AO3" s="1" t="s">
        <v>26</v>
      </c>
      <c r="AP3" s="1" t="s">
        <v>27</v>
      </c>
      <c r="AQ3" s="1" t="s">
        <v>28</v>
      </c>
      <c r="AR3" s="1" t="s">
        <v>30</v>
      </c>
    </row>
    <row r="4" spans="1:44" s="5" customFormat="1" x14ac:dyDescent="0.25">
      <c r="A4" s="10">
        <f>'Proximal Validation (double)'!A4</f>
        <v>1</v>
      </c>
      <c r="B4" s="11">
        <f>'Proximal Validation (double)'!B4</f>
        <v>0.1</v>
      </c>
      <c r="C4" s="10">
        <f>'Proximal Validation (double)'!C4</f>
        <v>1.571</v>
      </c>
      <c r="D4" s="10">
        <f>'Proximal Validation (double)'!D4</f>
        <v>1.5707963267948966</v>
      </c>
      <c r="E4" s="11">
        <f>'Proximal Validation (double)'!E4</f>
        <v>1</v>
      </c>
      <c r="F4" s="11">
        <f>'Proximal Validation (double)'!F4</f>
        <v>0.08</v>
      </c>
      <c r="G4" s="10">
        <f>'Proximal Validation (double)'!G4</f>
        <v>3.1419999999999999</v>
      </c>
      <c r="H4" s="10">
        <f>'Proximal Validation (double)'!H4</f>
        <v>1.5707963267948966</v>
      </c>
      <c r="I4" s="10">
        <f>'Proximal Validation (double)'!I4</f>
        <v>0</v>
      </c>
      <c r="J4" s="10">
        <f>'Proximal Validation (double)'!J4</f>
        <v>0</v>
      </c>
      <c r="K4" s="10">
        <f>'Proximal Validation (double)'!K4</f>
        <v>0</v>
      </c>
      <c r="L4" s="8">
        <f>'Proximal Validation (double)'!L4</f>
        <v>-1.30488071590662E-3</v>
      </c>
      <c r="M4" s="8">
        <f>'Proximal Validation (double)'!M4</f>
        <v>-0.187399536371231</v>
      </c>
      <c r="N4" s="8">
        <f>'Proximal Validation (double)'!N4</f>
        <v>-0.148506805300713</v>
      </c>
      <c r="O4" s="8">
        <f>'Proximal Validation (double)'!O4</f>
        <v>-0.458716601133347</v>
      </c>
      <c r="P4" s="8">
        <f>'Proximal Validation (double)'!P4</f>
        <v>-0.81002575159072898</v>
      </c>
      <c r="Q4" s="8">
        <f>'Proximal Validation (double)'!Q4</f>
        <v>0.92483174800872803</v>
      </c>
      <c r="R4" s="8">
        <v>0.1</v>
      </c>
      <c r="S4" s="8">
        <v>0.2</v>
      </c>
      <c r="T4" s="8">
        <v>6.2831999999999999</v>
      </c>
      <c r="U4" s="8">
        <v>1.5708</v>
      </c>
      <c r="V4" s="8">
        <v>1</v>
      </c>
      <c r="W4" s="8">
        <v>0.13300000000000001</v>
      </c>
      <c r="X4" s="8">
        <v>2.3376000000000001</v>
      </c>
      <c r="Y4" s="8">
        <v>1.5708</v>
      </c>
      <c r="Z4" s="8">
        <f t="shared" ref="Z4:AG42" si="2">R4-A4</f>
        <v>-0.9</v>
      </c>
      <c r="AA4" s="8">
        <f t="shared" si="2"/>
        <v>0.1</v>
      </c>
      <c r="AB4" s="8">
        <f t="shared" si="2"/>
        <v>4.7122000000000002</v>
      </c>
      <c r="AC4" s="8">
        <f t="shared" si="2"/>
        <v>3.6732051034160662E-6</v>
      </c>
      <c r="AD4" s="8">
        <f t="shared" si="0"/>
        <v>0</v>
      </c>
      <c r="AE4" s="8">
        <f t="shared" si="0"/>
        <v>5.3000000000000005E-2</v>
      </c>
      <c r="AF4" s="8">
        <f t="shared" si="0"/>
        <v>-0.80439999999999978</v>
      </c>
      <c r="AG4" s="8">
        <f t="shared" si="0"/>
        <v>3.6732051034160662E-6</v>
      </c>
      <c r="AH4" s="22">
        <f t="shared" ref="AH4:AJ42" si="3">AVERAGE(ABS(Z4),ABS(AD4))</f>
        <v>0.45</v>
      </c>
      <c r="AI4" s="22">
        <f t="shared" si="1"/>
        <v>7.6500000000000012E-2</v>
      </c>
      <c r="AJ4" s="22">
        <f t="shared" si="1"/>
        <v>2.7583000000000002</v>
      </c>
      <c r="AK4" s="21" cm="1">
        <f t="array" ref="AK4">AVERAGE(ABS(Z3:Z42))</f>
        <v>0.29834000000000005</v>
      </c>
      <c r="AL4" s="21" cm="1">
        <f t="array" ref="AL4">AVERAGE(ABS(AA3:AA42))</f>
        <v>5.078750000000002E-2</v>
      </c>
      <c r="AM4" s="21" cm="1">
        <f t="array" ref="AM4">AVERAGE(ABS(AB3:AB42))</f>
        <v>1.3322975000000001</v>
      </c>
      <c r="AN4" s="21" cm="1">
        <f t="array" ref="AN4">AVERAGE(ABS(AC3:AC42))</f>
        <v>3.6732051034160662E-6</v>
      </c>
      <c r="AO4" s="21" cm="1">
        <f t="array" ref="AO4">AVERAGE(ABS(AD3:AD42))</f>
        <v>0.28787249999999992</v>
      </c>
      <c r="AP4" s="21" cm="1">
        <f t="array" ref="AP4">AVERAGE(ABS(AE3:AE42))</f>
        <v>4.0839999999999994E-2</v>
      </c>
      <c r="AQ4" s="21" cm="1">
        <f t="array" ref="AQ4">AVERAGE(ABS(AF3:AF42))</f>
        <v>0.66034999999999999</v>
      </c>
      <c r="AR4" s="21" cm="1">
        <f t="array" ref="AR4">AVERAGE(ABS(AG3:AG42))</f>
        <v>3.6732051034160662E-6</v>
      </c>
    </row>
    <row r="5" spans="1:44" x14ac:dyDescent="0.25">
      <c r="A5" s="10">
        <f>'Proximal Validation (double)'!A5</f>
        <v>0.5</v>
      </c>
      <c r="B5" s="10">
        <f>'Proximal Validation (double)'!B5</f>
        <v>0.1</v>
      </c>
      <c r="C5" s="10">
        <f>'Proximal Validation (double)'!C5</f>
        <v>1.571</v>
      </c>
      <c r="D5" s="10">
        <f>'Proximal Validation (double)'!D5</f>
        <v>1.5707963267948966</v>
      </c>
      <c r="E5" s="10">
        <f>'Proximal Validation (double)'!E5</f>
        <v>0.2</v>
      </c>
      <c r="F5" s="10">
        <f>'Proximal Validation (double)'!F5</f>
        <v>0.02</v>
      </c>
      <c r="G5" s="10">
        <f>'Proximal Validation (double)'!G5</f>
        <v>3.927</v>
      </c>
      <c r="H5" s="10">
        <f>'Proximal Validation (double)'!H5</f>
        <v>1.5707963267948966</v>
      </c>
      <c r="I5" s="10">
        <f>'Proximal Validation (double)'!I5</f>
        <v>0</v>
      </c>
      <c r="J5" s="10">
        <f>'Proximal Validation (double)'!J5</f>
        <v>0</v>
      </c>
      <c r="K5" s="10">
        <f>'Proximal Validation (double)'!K5</f>
        <v>0</v>
      </c>
      <c r="L5" s="8">
        <f>'Proximal Validation (double)'!L5</f>
        <v>-8.8173459516838206E-5</v>
      </c>
      <c r="M5" s="8">
        <f>'Proximal Validation (double)'!M5</f>
        <v>-9.0249709784984603E-2</v>
      </c>
      <c r="N5" s="8">
        <f>'Proximal Validation (double)'!N5</f>
        <v>-1.5381614677607999E-2</v>
      </c>
      <c r="O5" s="8">
        <f>'Proximal Validation (double)'!O5</f>
        <v>-5.9044521301984801E-2</v>
      </c>
      <c r="P5" s="8">
        <f>'Proximal Validation (double)'!P5</f>
        <v>-0.142551720142365</v>
      </c>
      <c r="Q5" s="8">
        <f>'Proximal Validation (double)'!Q5</f>
        <v>0.403866738080978</v>
      </c>
      <c r="R5" s="8">
        <v>0.55500000000000005</v>
      </c>
      <c r="S5" s="8">
        <v>0.1132</v>
      </c>
      <c r="T5" s="8">
        <v>1.1952</v>
      </c>
      <c r="U5" s="8">
        <v>1.5708</v>
      </c>
      <c r="V5" s="8">
        <v>0.36270000000000002</v>
      </c>
      <c r="W5" s="8">
        <v>7.2599999999999998E-2</v>
      </c>
      <c r="X5" s="8">
        <v>3.4424999999999999</v>
      </c>
      <c r="Y5" s="8">
        <v>1.5708</v>
      </c>
      <c r="Z5" s="8">
        <f t="shared" si="2"/>
        <v>5.5000000000000049E-2</v>
      </c>
      <c r="AA5" s="8">
        <f t="shared" si="2"/>
        <v>1.319999999999999E-2</v>
      </c>
      <c r="AB5" s="8">
        <f t="shared" si="2"/>
        <v>-0.37579999999999991</v>
      </c>
      <c r="AC5" s="8">
        <f t="shared" si="2"/>
        <v>3.6732051034160662E-6</v>
      </c>
      <c r="AD5" s="8">
        <f t="shared" si="0"/>
        <v>0.16270000000000001</v>
      </c>
      <c r="AE5" s="8">
        <f t="shared" si="0"/>
        <v>5.2599999999999994E-2</v>
      </c>
      <c r="AF5" s="8">
        <f t="shared" si="0"/>
        <v>-0.48450000000000015</v>
      </c>
      <c r="AG5" s="8">
        <f t="shared" si="0"/>
        <v>3.6732051034160662E-6</v>
      </c>
      <c r="AH5" s="22">
        <f t="shared" si="3"/>
        <v>0.10885000000000003</v>
      </c>
      <c r="AI5" s="22">
        <f t="shared" si="1"/>
        <v>3.2899999999999992E-2</v>
      </c>
      <c r="AJ5" s="22">
        <f t="shared" si="1"/>
        <v>0.43015000000000003</v>
      </c>
      <c r="AK5" s="33" t="s">
        <v>32</v>
      </c>
      <c r="AL5" s="33"/>
      <c r="AM5" s="33"/>
      <c r="AN5" s="33"/>
      <c r="AO5" s="33"/>
      <c r="AP5" s="33"/>
      <c r="AQ5" s="33"/>
      <c r="AR5" s="33"/>
    </row>
    <row r="6" spans="1:44" x14ac:dyDescent="0.25">
      <c r="A6" s="10">
        <f>'Proximal Validation (double)'!A6</f>
        <v>0.9</v>
      </c>
      <c r="B6" s="11">
        <f>'Proximal Validation (double)'!B6</f>
        <v>0.1</v>
      </c>
      <c r="C6" s="10">
        <f>'Proximal Validation (double)'!C6</f>
        <v>1.571</v>
      </c>
      <c r="D6" s="10">
        <f>'Proximal Validation (double)'!D6</f>
        <v>1.5707963267948966</v>
      </c>
      <c r="E6" s="11">
        <f>'Proximal Validation (double)'!E6</f>
        <v>0.2</v>
      </c>
      <c r="F6" s="11">
        <f>'Proximal Validation (double)'!F6</f>
        <v>0.08</v>
      </c>
      <c r="G6" s="10">
        <f>'Proximal Validation (double)'!G6</f>
        <v>4.7119999999999997</v>
      </c>
      <c r="H6" s="10">
        <f>'Proximal Validation (double)'!H6</f>
        <v>1.5707963267948966</v>
      </c>
      <c r="I6" s="10">
        <f>'Proximal Validation (double)'!I6</f>
        <v>1.2</v>
      </c>
      <c r="J6" s="10">
        <f>'Proximal Validation (double)'!J6</f>
        <v>0</v>
      </c>
      <c r="K6" s="10">
        <f>'Proximal Validation (double)'!K6</f>
        <v>0</v>
      </c>
      <c r="L6" s="8">
        <f>'Proximal Validation (double)'!L6</f>
        <v>4.0645110420882702E-3</v>
      </c>
      <c r="M6" s="8">
        <f>'Proximal Validation (double)'!M6</f>
        <v>-0.155094370245934</v>
      </c>
      <c r="N6" s="8">
        <f>'Proximal Validation (double)'!N6</f>
        <v>1.12637248821557E-3</v>
      </c>
      <c r="O6" s="8">
        <f>'Proximal Validation (double)'!O6</f>
        <v>-0.22939644753933</v>
      </c>
      <c r="P6" s="8">
        <f>'Proximal Validation (double)'!P6</f>
        <v>6.2979459762573199E-3</v>
      </c>
      <c r="Q6" s="8">
        <f>'Proximal Validation (double)'!Q6</f>
        <v>0.75826400518417403</v>
      </c>
      <c r="R6" s="8">
        <v>0.36720000000000003</v>
      </c>
      <c r="S6" s="8">
        <v>0.126</v>
      </c>
      <c r="T6" s="8">
        <v>2.9241999999999999</v>
      </c>
      <c r="U6" s="8">
        <v>1.5708</v>
      </c>
      <c r="V6" s="8">
        <v>0.79900000000000004</v>
      </c>
      <c r="W6" s="8">
        <v>0.12520000000000001</v>
      </c>
      <c r="X6" s="8">
        <v>1.0968</v>
      </c>
      <c r="Y6" s="8">
        <v>1.5708</v>
      </c>
      <c r="Z6" s="8">
        <f t="shared" si="2"/>
        <v>-0.53279999999999994</v>
      </c>
      <c r="AA6" s="8">
        <f t="shared" si="2"/>
        <v>2.5999999999999995E-2</v>
      </c>
      <c r="AB6" s="8">
        <f t="shared" si="2"/>
        <v>1.3532</v>
      </c>
      <c r="AC6" s="8">
        <f t="shared" si="2"/>
        <v>3.6732051034160662E-6</v>
      </c>
      <c r="AD6" s="8">
        <f t="shared" si="0"/>
        <v>0.59899999999999998</v>
      </c>
      <c r="AE6" s="8">
        <f t="shared" si="0"/>
        <v>4.5200000000000004E-2</v>
      </c>
      <c r="AF6" s="8">
        <f t="shared" si="0"/>
        <v>-3.6151999999999997</v>
      </c>
      <c r="AG6" s="8">
        <f t="shared" si="0"/>
        <v>3.6732051034160662E-6</v>
      </c>
      <c r="AH6" s="22">
        <f t="shared" si="3"/>
        <v>0.56589999999999996</v>
      </c>
      <c r="AI6" s="22">
        <f t="shared" si="1"/>
        <v>3.56E-2</v>
      </c>
      <c r="AJ6" s="22">
        <f t="shared" si="1"/>
        <v>2.4842</v>
      </c>
      <c r="AK6" s="20" t="s">
        <v>33</v>
      </c>
      <c r="AL6" s="20" t="s">
        <v>34</v>
      </c>
      <c r="AM6" s="20" t="s">
        <v>35</v>
      </c>
      <c r="AN6" s="21"/>
      <c r="AO6" s="21"/>
      <c r="AP6" s="21"/>
      <c r="AQ6" s="21"/>
      <c r="AR6" s="21"/>
    </row>
    <row r="7" spans="1:44" x14ac:dyDescent="0.25">
      <c r="A7" s="10">
        <f>'Proximal Validation (double)'!A7</f>
        <v>0.1</v>
      </c>
      <c r="B7" s="11">
        <f>'Proximal Validation (double)'!B7</f>
        <v>0.12</v>
      </c>
      <c r="C7" s="10">
        <f>'Proximal Validation (double)'!C7</f>
        <v>1.571</v>
      </c>
      <c r="D7" s="10">
        <f>'Proximal Validation (double)'!D7</f>
        <v>1.5707963267948966</v>
      </c>
      <c r="E7" s="11">
        <f>'Proximal Validation (double)'!E7</f>
        <v>1</v>
      </c>
      <c r="F7" s="11">
        <f>'Proximal Validation (double)'!F7</f>
        <v>0.06</v>
      </c>
      <c r="G7" s="10">
        <f>'Proximal Validation (double)'!G7</f>
        <v>3.927</v>
      </c>
      <c r="H7" s="10">
        <f>'Proximal Validation (double)'!H7</f>
        <v>1.5707963267948966</v>
      </c>
      <c r="I7" s="10">
        <f>'Proximal Validation (double)'!I7</f>
        <v>0</v>
      </c>
      <c r="J7" s="10">
        <f>'Proximal Validation (double)'!J7</f>
        <v>0</v>
      </c>
      <c r="K7" s="10">
        <f>'Proximal Validation (double)'!K7</f>
        <v>0</v>
      </c>
      <c r="L7" s="8">
        <f>'Proximal Validation (double)'!L7</f>
        <v>-3.3720862120389898E-5</v>
      </c>
      <c r="M7" s="8">
        <f>'Proximal Validation (double)'!M7</f>
        <v>5.5788416415452999E-2</v>
      </c>
      <c r="N7" s="8">
        <f>'Proximal Validation (double)'!N7</f>
        <v>-0.106843449175358</v>
      </c>
      <c r="O7" s="8">
        <f>'Proximal Validation (double)'!O7</f>
        <v>2.31804009526968E-2</v>
      </c>
      <c r="P7" s="8">
        <f>'Proximal Validation (double)'!P7</f>
        <v>-0.69266724586486805</v>
      </c>
      <c r="Q7" s="8">
        <f>'Proximal Validation (double)'!Q7</f>
        <v>-0.43824502825737</v>
      </c>
      <c r="R7" s="8">
        <v>0.53480000000000005</v>
      </c>
      <c r="S7" s="8">
        <v>2.8299999999999999E-2</v>
      </c>
      <c r="T7" s="8">
        <v>2.7162000000000002</v>
      </c>
      <c r="U7" s="8">
        <v>1.5708</v>
      </c>
      <c r="V7" s="8">
        <v>0.69169999999999998</v>
      </c>
      <c r="W7" s="8">
        <v>0.02</v>
      </c>
      <c r="X7" s="8">
        <v>4.4069000000000003</v>
      </c>
      <c r="Y7" s="8">
        <v>1.5708</v>
      </c>
      <c r="Z7" s="8">
        <f t="shared" si="2"/>
        <v>0.43480000000000008</v>
      </c>
      <c r="AA7" s="8">
        <f t="shared" si="2"/>
        <v>-9.1700000000000004E-2</v>
      </c>
      <c r="AB7" s="8">
        <f t="shared" si="2"/>
        <v>1.1452000000000002</v>
      </c>
      <c r="AC7" s="8">
        <f t="shared" si="2"/>
        <v>3.6732051034160662E-6</v>
      </c>
      <c r="AD7" s="8">
        <f t="shared" si="0"/>
        <v>-0.30830000000000002</v>
      </c>
      <c r="AE7" s="8">
        <f t="shared" si="0"/>
        <v>-3.9999999999999994E-2</v>
      </c>
      <c r="AF7" s="8">
        <f t="shared" si="0"/>
        <v>0.47990000000000022</v>
      </c>
      <c r="AG7" s="8">
        <f t="shared" si="0"/>
        <v>3.6732051034160662E-6</v>
      </c>
      <c r="AH7" s="22">
        <f t="shared" si="3"/>
        <v>0.37155000000000005</v>
      </c>
      <c r="AI7" s="22">
        <f t="shared" si="1"/>
        <v>6.5849999999999992E-2</v>
      </c>
      <c r="AJ7" s="22">
        <f t="shared" si="1"/>
        <v>0.81255000000000022</v>
      </c>
      <c r="AK7" s="21">
        <f>AVERAGE(AK4,AO4)</f>
        <v>0.29310625000000001</v>
      </c>
      <c r="AL7" s="21">
        <f t="shared" ref="AL7:AM7" si="4">AVERAGE(AL4,AP4)</f>
        <v>4.5813750000000007E-2</v>
      </c>
      <c r="AM7" s="21">
        <f t="shared" si="4"/>
        <v>0.99632375000000006</v>
      </c>
      <c r="AN7" s="21"/>
      <c r="AO7" s="21"/>
      <c r="AP7" s="21"/>
      <c r="AQ7" s="21"/>
      <c r="AR7" s="21"/>
    </row>
    <row r="8" spans="1:44" x14ac:dyDescent="0.25">
      <c r="A8" s="10">
        <f>'Proximal Validation (double)'!A8</f>
        <v>0.8</v>
      </c>
      <c r="B8" s="11">
        <f>'Proximal Validation (double)'!B8</f>
        <v>0.16</v>
      </c>
      <c r="C8" s="10">
        <f>'Proximal Validation (double)'!C8</f>
        <v>1.571</v>
      </c>
      <c r="D8" s="10">
        <f>'Proximal Validation (double)'!D8</f>
        <v>1.5707963267948966</v>
      </c>
      <c r="E8" s="11">
        <f>'Proximal Validation (double)'!E8</f>
        <v>0.8</v>
      </c>
      <c r="F8" s="11">
        <f>'Proximal Validation (double)'!F8</f>
        <v>0.06</v>
      </c>
      <c r="G8" s="10">
        <f>'Proximal Validation (double)'!G8</f>
        <v>3.927</v>
      </c>
      <c r="H8" s="10">
        <f>'Proximal Validation (double)'!H8</f>
        <v>1.5707963267948966</v>
      </c>
      <c r="I8" s="10">
        <f>'Proximal Validation (double)'!I8</f>
        <v>1.4</v>
      </c>
      <c r="J8" s="10">
        <f>'Proximal Validation (double)'!J8</f>
        <v>0</v>
      </c>
      <c r="K8" s="10">
        <f>'Proximal Validation (double)'!K8</f>
        <v>0</v>
      </c>
      <c r="L8" s="8">
        <f>'Proximal Validation (double)'!L8</f>
        <v>8.2578761503100395E-3</v>
      </c>
      <c r="M8" s="8">
        <f>'Proximal Validation (double)'!M8</f>
        <v>-0.106360949575901</v>
      </c>
      <c r="N8" s="8">
        <f>'Proximal Validation (double)'!N8</f>
        <v>-7.6963931322097806E-2</v>
      </c>
      <c r="O8" s="8">
        <f>'Proximal Validation (double)'!O8</f>
        <v>-0.29881915450096103</v>
      </c>
      <c r="P8" s="8">
        <f>'Proximal Validation (double)'!P8</f>
        <v>-0.50920194387435902</v>
      </c>
      <c r="Q8" s="8">
        <f>'Proximal Validation (double)'!Q8</f>
        <v>0.108889028429985</v>
      </c>
      <c r="R8" s="8">
        <v>0.68420000000000003</v>
      </c>
      <c r="S8" s="8">
        <v>0.17879999999999999</v>
      </c>
      <c r="T8" s="8">
        <v>1.8047</v>
      </c>
      <c r="U8" s="8">
        <v>1.5708</v>
      </c>
      <c r="V8" s="8">
        <v>0.60329999999999995</v>
      </c>
      <c r="W8" s="8">
        <v>0.02</v>
      </c>
      <c r="X8" s="8">
        <v>4.0500999999999996</v>
      </c>
      <c r="Y8" s="8">
        <v>1.5708</v>
      </c>
      <c r="Z8" s="8">
        <f t="shared" si="2"/>
        <v>-0.11580000000000001</v>
      </c>
      <c r="AA8" s="8">
        <f t="shared" si="2"/>
        <v>1.8799999999999983E-2</v>
      </c>
      <c r="AB8" s="8">
        <f t="shared" si="2"/>
        <v>0.23370000000000002</v>
      </c>
      <c r="AC8" s="8">
        <f t="shared" si="2"/>
        <v>3.6732051034160662E-6</v>
      </c>
      <c r="AD8" s="8">
        <f t="shared" si="0"/>
        <v>-0.1967000000000001</v>
      </c>
      <c r="AE8" s="8">
        <f t="shared" si="0"/>
        <v>-3.9999999999999994E-2</v>
      </c>
      <c r="AF8" s="8">
        <f t="shared" si="0"/>
        <v>0.12309999999999954</v>
      </c>
      <c r="AG8" s="8">
        <f t="shared" si="0"/>
        <v>3.6732051034160662E-6</v>
      </c>
      <c r="AH8" s="23">
        <f t="shared" si="3"/>
        <v>0.15625000000000006</v>
      </c>
      <c r="AI8" s="23">
        <f t="shared" si="1"/>
        <v>2.9399999999999989E-2</v>
      </c>
      <c r="AJ8" s="23">
        <f t="shared" si="1"/>
        <v>0.17839999999999978</v>
      </c>
    </row>
    <row r="9" spans="1:44" x14ac:dyDescent="0.25">
      <c r="A9" s="10">
        <f>'Proximal Validation (double)'!A9</f>
        <v>0.1</v>
      </c>
      <c r="B9" s="11">
        <f>'Proximal Validation (double)'!B9</f>
        <v>0.18</v>
      </c>
      <c r="C9" s="10">
        <f>'Proximal Validation (double)'!C9</f>
        <v>1.571</v>
      </c>
      <c r="D9" s="10">
        <f>'Proximal Validation (double)'!D9</f>
        <v>1.5707963267948966</v>
      </c>
      <c r="E9" s="11">
        <f>'Proximal Validation (double)'!E9</f>
        <v>0.1</v>
      </c>
      <c r="F9" s="11">
        <f>'Proximal Validation (double)'!F9</f>
        <v>0.02</v>
      </c>
      <c r="G9" s="10">
        <f>'Proximal Validation (double)'!G9</f>
        <v>3.1419999999999999</v>
      </c>
      <c r="H9" s="10">
        <f>'Proximal Validation (double)'!H9</f>
        <v>1.5707963267948966</v>
      </c>
      <c r="I9" s="10">
        <f>'Proximal Validation (double)'!I9</f>
        <v>1.2</v>
      </c>
      <c r="J9" s="10">
        <f>'Proximal Validation (double)'!J9</f>
        <v>0</v>
      </c>
      <c r="K9" s="10">
        <f>'Proximal Validation (double)'!K9</f>
        <v>0</v>
      </c>
      <c r="L9" s="8">
        <f>'Proximal Validation (double)'!L9</f>
        <v>2.53012054599822E-4</v>
      </c>
      <c r="M9" s="8">
        <f>'Proximal Validation (double)'!M9</f>
        <v>-6.1941463500261298E-3</v>
      </c>
      <c r="N9" s="8">
        <f>'Proximal Validation (double)'!N9</f>
        <v>-1.2296888045966599E-2</v>
      </c>
      <c r="O9" s="8">
        <f>'Proximal Validation (double)'!O9</f>
        <v>1.5694042667746499E-2</v>
      </c>
      <c r="P9" s="8">
        <f>'Proximal Validation (double)'!P9</f>
        <v>-0.108663953840733</v>
      </c>
      <c r="Q9" s="8">
        <f>'Proximal Validation (double)'!Q9</f>
        <v>1.80782899260521E-2</v>
      </c>
      <c r="R9" s="8">
        <v>0.32179999999999997</v>
      </c>
      <c r="S9" s="8">
        <v>4.7699999999999999E-2</v>
      </c>
      <c r="T9" s="8">
        <v>0.59040000000000004</v>
      </c>
      <c r="U9" s="8">
        <v>1.5708</v>
      </c>
      <c r="V9" s="8">
        <v>0.40949999999999998</v>
      </c>
      <c r="W9" s="8">
        <v>3.6499999999999998E-2</v>
      </c>
      <c r="X9" s="8">
        <v>3.5457000000000001</v>
      </c>
      <c r="Y9" s="8">
        <v>1.5708</v>
      </c>
      <c r="Z9" s="8">
        <f t="shared" si="2"/>
        <v>0.22179999999999997</v>
      </c>
      <c r="AA9" s="8">
        <f t="shared" si="2"/>
        <v>-0.1323</v>
      </c>
      <c r="AB9" s="8">
        <f t="shared" si="2"/>
        <v>-0.98059999999999992</v>
      </c>
      <c r="AC9" s="8">
        <f t="shared" si="2"/>
        <v>3.6732051034160662E-6</v>
      </c>
      <c r="AD9" s="8">
        <f t="shared" si="0"/>
        <v>0.3095</v>
      </c>
      <c r="AE9" s="8">
        <f t="shared" si="0"/>
        <v>1.6499999999999997E-2</v>
      </c>
      <c r="AF9" s="8">
        <f t="shared" si="0"/>
        <v>0.40370000000000017</v>
      </c>
      <c r="AG9" s="8">
        <f t="shared" si="0"/>
        <v>3.6732051034160662E-6</v>
      </c>
      <c r="AH9" s="22">
        <f t="shared" si="3"/>
        <v>0.26565</v>
      </c>
      <c r="AI9" s="22">
        <f t="shared" si="1"/>
        <v>7.4399999999999994E-2</v>
      </c>
      <c r="AJ9" s="22">
        <f t="shared" si="1"/>
        <v>0.69215000000000004</v>
      </c>
    </row>
    <row r="10" spans="1:44" x14ac:dyDescent="0.25">
      <c r="A10" s="10">
        <f>'Proximal Validation (double)'!A10</f>
        <v>0.9</v>
      </c>
      <c r="B10" s="11">
        <f>'Proximal Validation (double)'!B10</f>
        <v>0.18</v>
      </c>
      <c r="C10" s="10">
        <f>'Proximal Validation (double)'!C10</f>
        <v>1.571</v>
      </c>
      <c r="D10" s="10">
        <f>'Proximal Validation (double)'!D10</f>
        <v>1.5707963267948966</v>
      </c>
      <c r="E10" s="11">
        <f>'Proximal Validation (double)'!E10</f>
        <v>0.1</v>
      </c>
      <c r="F10" s="11">
        <f>'Proximal Validation (double)'!F10</f>
        <v>0.08</v>
      </c>
      <c r="G10" s="10">
        <f>'Proximal Validation (double)'!G10</f>
        <v>4.7119999999999997</v>
      </c>
      <c r="H10" s="10">
        <f>'Proximal Validation (double)'!H10</f>
        <v>1.5707963267948966</v>
      </c>
      <c r="I10" s="10">
        <f>'Proximal Validation (double)'!I10</f>
        <v>0</v>
      </c>
      <c r="J10" s="10">
        <f>'Proximal Validation (double)'!J10</f>
        <v>0</v>
      </c>
      <c r="K10" s="10">
        <f>'Proximal Validation (double)'!K10</f>
        <v>0</v>
      </c>
      <c r="L10" s="8">
        <f>'Proximal Validation (double)'!L10</f>
        <v>-8.9414953254163298E-4</v>
      </c>
      <c r="M10" s="8">
        <f>'Proximal Validation (double)'!M10</f>
        <v>-0.180821523070335</v>
      </c>
      <c r="N10" s="8">
        <f>'Proximal Validation (double)'!N10</f>
        <v>8.0074910074472393E-3</v>
      </c>
      <c r="O10" s="8">
        <f>'Proximal Validation (double)'!O10</f>
        <v>-0.405538409948349</v>
      </c>
      <c r="P10" s="8">
        <f>'Proximal Validation (double)'!P10</f>
        <v>5.81999458372593E-2</v>
      </c>
      <c r="Q10" s="8">
        <f>'Proximal Validation (double)'!Q10</f>
        <v>0.51686221361160301</v>
      </c>
      <c r="R10" s="8">
        <v>0.46729999999999999</v>
      </c>
      <c r="S10" s="8">
        <v>0.2</v>
      </c>
      <c r="T10" s="8">
        <v>1.0578000000000001</v>
      </c>
      <c r="U10" s="8">
        <v>1.5708</v>
      </c>
      <c r="V10" s="8">
        <v>0.31119999999999998</v>
      </c>
      <c r="W10" s="8">
        <v>0.2</v>
      </c>
      <c r="X10" s="8">
        <v>2.1044</v>
      </c>
      <c r="Y10" s="8">
        <v>1.5708</v>
      </c>
      <c r="Z10" s="8">
        <f t="shared" si="2"/>
        <v>-0.43270000000000003</v>
      </c>
      <c r="AA10" s="8">
        <f t="shared" si="2"/>
        <v>2.0000000000000018E-2</v>
      </c>
      <c r="AB10" s="8">
        <f t="shared" si="2"/>
        <v>-0.51319999999999988</v>
      </c>
      <c r="AC10" s="8">
        <f t="shared" si="2"/>
        <v>3.6732051034160662E-6</v>
      </c>
      <c r="AD10" s="8">
        <f t="shared" si="0"/>
        <v>0.21119999999999997</v>
      </c>
      <c r="AE10" s="8">
        <f t="shared" si="0"/>
        <v>0.12000000000000001</v>
      </c>
      <c r="AF10" s="8">
        <f t="shared" si="0"/>
        <v>-2.6075999999999997</v>
      </c>
      <c r="AG10" s="8">
        <f t="shared" si="0"/>
        <v>3.6732051034160662E-6</v>
      </c>
      <c r="AH10" s="22">
        <f t="shared" si="3"/>
        <v>0.32195000000000001</v>
      </c>
      <c r="AI10" s="22">
        <f t="shared" si="1"/>
        <v>7.0000000000000007E-2</v>
      </c>
      <c r="AJ10" s="22">
        <f t="shared" si="1"/>
        <v>1.5603999999999998</v>
      </c>
    </row>
    <row r="11" spans="1:44" x14ac:dyDescent="0.25">
      <c r="A11" s="10">
        <f>'Proximal Validation (double)'!A11</f>
        <v>0.3</v>
      </c>
      <c r="B11" s="11">
        <f>'Proximal Validation (double)'!B11</f>
        <v>0.18</v>
      </c>
      <c r="C11" s="10">
        <f>'Proximal Validation (double)'!C11</f>
        <v>1.571</v>
      </c>
      <c r="D11" s="10">
        <f>'Proximal Validation (double)'!D11</f>
        <v>1.5707963267948966</v>
      </c>
      <c r="E11" s="11">
        <f>'Proximal Validation (double)'!E11</f>
        <v>0.9</v>
      </c>
      <c r="F11" s="11">
        <f>'Proximal Validation (double)'!F11</f>
        <v>0.08</v>
      </c>
      <c r="G11" s="10">
        <f>'Proximal Validation (double)'!G11</f>
        <v>4.7119999999999997</v>
      </c>
      <c r="H11" s="10">
        <f>'Proximal Validation (double)'!H11</f>
        <v>1.5707963267948966</v>
      </c>
      <c r="I11" s="10">
        <f>'Proximal Validation (double)'!I11</f>
        <v>1</v>
      </c>
      <c r="J11" s="10">
        <f>'Proximal Validation (double)'!J11</f>
        <v>0</v>
      </c>
      <c r="K11" s="10">
        <f>'Proximal Validation (double)'!K11</f>
        <v>0</v>
      </c>
      <c r="L11" s="8">
        <f>'Proximal Validation (double)'!L11</f>
        <v>2.41806032136083E-4</v>
      </c>
      <c r="M11" s="8">
        <f>'Proximal Validation (double)'!M11</f>
        <v>7.3132611811161E-2</v>
      </c>
      <c r="N11" s="8">
        <f>'Proximal Validation (double)'!N11</f>
        <v>-4.2187301442027101E-3</v>
      </c>
      <c r="O11" s="8">
        <f>'Proximal Validation (double)'!O11</f>
        <v>4.2406577616930001E-2</v>
      </c>
      <c r="P11" s="8">
        <f>'Proximal Validation (double)'!P11</f>
        <v>-2.1499879658222198E-2</v>
      </c>
      <c r="Q11" s="8">
        <f>'Proximal Validation (double)'!Q11</f>
        <v>-0.58056563138961803</v>
      </c>
      <c r="R11" s="8">
        <v>0.28749999999999998</v>
      </c>
      <c r="S11" s="8">
        <v>0.02</v>
      </c>
      <c r="T11" s="8">
        <v>4.8132000000000001</v>
      </c>
      <c r="U11" s="8">
        <v>1.5708</v>
      </c>
      <c r="V11" s="8">
        <v>0.29980000000000001</v>
      </c>
      <c r="W11" s="8">
        <v>0.02</v>
      </c>
      <c r="X11" s="8">
        <v>4.5445000000000002</v>
      </c>
      <c r="Y11" s="8">
        <v>1.5708</v>
      </c>
      <c r="Z11" s="8">
        <f t="shared" si="2"/>
        <v>-1.2500000000000011E-2</v>
      </c>
      <c r="AA11" s="8">
        <f t="shared" si="2"/>
        <v>-0.16</v>
      </c>
      <c r="AB11" s="8">
        <f t="shared" si="2"/>
        <v>3.2422000000000004</v>
      </c>
      <c r="AC11" s="8">
        <f t="shared" si="2"/>
        <v>3.6732051034160662E-6</v>
      </c>
      <c r="AD11" s="8">
        <f t="shared" si="0"/>
        <v>-0.60020000000000007</v>
      </c>
      <c r="AE11" s="8">
        <f t="shared" si="0"/>
        <v>-0.06</v>
      </c>
      <c r="AF11" s="8">
        <f t="shared" si="0"/>
        <v>-0.16749999999999954</v>
      </c>
      <c r="AG11" s="8">
        <f t="shared" si="0"/>
        <v>3.6732051034160662E-6</v>
      </c>
      <c r="AH11" s="22">
        <f t="shared" si="3"/>
        <v>0.30635000000000001</v>
      </c>
      <c r="AI11" s="22">
        <f t="shared" si="1"/>
        <v>0.11</v>
      </c>
      <c r="AJ11" s="22">
        <f t="shared" si="1"/>
        <v>1.70485</v>
      </c>
    </row>
    <row r="12" spans="1:44" x14ac:dyDescent="0.25">
      <c r="A12" s="10">
        <f>'Proximal Validation (double)'!A12</f>
        <v>0.9</v>
      </c>
      <c r="B12" s="11">
        <f>'Proximal Validation (double)'!B12</f>
        <v>0.2</v>
      </c>
      <c r="C12" s="10">
        <f>'Proximal Validation (double)'!C12</f>
        <v>1.571</v>
      </c>
      <c r="D12" s="10">
        <f>'Proximal Validation (double)'!D12</f>
        <v>1.5707963267948966</v>
      </c>
      <c r="E12" s="11">
        <f>'Proximal Validation (double)'!E12</f>
        <v>1</v>
      </c>
      <c r="F12" s="11">
        <f>'Proximal Validation (double)'!F12</f>
        <v>0.02</v>
      </c>
      <c r="G12" s="10">
        <f>'Proximal Validation (double)'!G12</f>
        <v>3.1419999999999999</v>
      </c>
      <c r="H12" s="10">
        <f>'Proximal Validation (double)'!H12</f>
        <v>1.5707963267948966</v>
      </c>
      <c r="I12" s="10">
        <f>'Proximal Validation (double)'!I12</f>
        <v>0.4</v>
      </c>
      <c r="J12" s="10">
        <f>'Proximal Validation (double)'!J12</f>
        <v>0</v>
      </c>
      <c r="K12" s="10">
        <f>'Proximal Validation (double)'!K12</f>
        <v>0</v>
      </c>
      <c r="L12" s="8">
        <f>'Proximal Validation (double)'!L12</f>
        <v>-1.58930197358131E-4</v>
      </c>
      <c r="M12" s="8">
        <f>'Proximal Validation (double)'!M12</f>
        <v>-0.14518360793590501</v>
      </c>
      <c r="N12" s="8">
        <f>'Proximal Validation (double)'!N12</f>
        <v>-0.108183734118938</v>
      </c>
      <c r="O12" s="8">
        <f>'Proximal Validation (double)'!O12</f>
        <v>-0.55842369794845603</v>
      </c>
      <c r="P12" s="8">
        <f>'Proximal Validation (double)'!P12</f>
        <v>-0.97605288028716997</v>
      </c>
      <c r="Q12" s="8">
        <f>'Proximal Validation (double)'!Q12</f>
        <v>0.27430844306945801</v>
      </c>
      <c r="R12" s="8">
        <v>0.1</v>
      </c>
      <c r="S12" s="8">
        <v>0.2</v>
      </c>
      <c r="T12" s="8">
        <v>6.2831999999999999</v>
      </c>
      <c r="U12" s="8">
        <v>1.5708</v>
      </c>
      <c r="V12" s="8">
        <v>1</v>
      </c>
      <c r="W12" s="8">
        <v>0.158</v>
      </c>
      <c r="X12" s="8">
        <v>2.8611</v>
      </c>
      <c r="Y12" s="8">
        <v>1.5708</v>
      </c>
      <c r="Z12" s="8">
        <f t="shared" si="2"/>
        <v>-0.8</v>
      </c>
      <c r="AA12" s="8">
        <f t="shared" si="2"/>
        <v>0</v>
      </c>
      <c r="AB12" s="8">
        <f t="shared" si="2"/>
        <v>4.7122000000000002</v>
      </c>
      <c r="AC12" s="8">
        <f t="shared" si="2"/>
        <v>3.6732051034160662E-6</v>
      </c>
      <c r="AD12" s="8">
        <f t="shared" si="0"/>
        <v>0</v>
      </c>
      <c r="AE12" s="8">
        <f t="shared" si="0"/>
        <v>0.13800000000000001</v>
      </c>
      <c r="AF12" s="8">
        <f t="shared" si="0"/>
        <v>-0.28089999999999993</v>
      </c>
      <c r="AG12" s="8">
        <f t="shared" si="0"/>
        <v>3.6732051034160662E-6</v>
      </c>
      <c r="AH12" s="22">
        <f t="shared" si="3"/>
        <v>0.4</v>
      </c>
      <c r="AI12" s="22">
        <f t="shared" si="1"/>
        <v>6.9000000000000006E-2</v>
      </c>
      <c r="AJ12" s="22">
        <f t="shared" si="1"/>
        <v>2.49655</v>
      </c>
    </row>
    <row r="13" spans="1:44" x14ac:dyDescent="0.25">
      <c r="A13" s="10">
        <f>'Proximal Validation (double)'!A13</f>
        <v>0.1</v>
      </c>
      <c r="B13" s="11">
        <f>'Proximal Validation (double)'!B13</f>
        <v>0.2</v>
      </c>
      <c r="C13" s="10">
        <f>'Proximal Validation (double)'!C13</f>
        <v>1.571</v>
      </c>
      <c r="D13" s="10">
        <f>'Proximal Validation (double)'!D13</f>
        <v>1.5707963267948966</v>
      </c>
      <c r="E13" s="11">
        <f>'Proximal Validation (double)'!E13</f>
        <v>0.3</v>
      </c>
      <c r="F13" s="11">
        <f>'Proximal Validation (double)'!F13</f>
        <v>0.08</v>
      </c>
      <c r="G13" s="10">
        <f>'Proximal Validation (double)'!G13</f>
        <v>3.1419999999999999</v>
      </c>
      <c r="H13" s="10">
        <f>'Proximal Validation (double)'!H13</f>
        <v>1.5707963267948966</v>
      </c>
      <c r="I13" s="10">
        <f>'Proximal Validation (double)'!I13</f>
        <v>0.2</v>
      </c>
      <c r="J13" s="10">
        <f>'Proximal Validation (double)'!J13</f>
        <v>0</v>
      </c>
      <c r="K13" s="10">
        <f>'Proximal Validation (double)'!K13</f>
        <v>0</v>
      </c>
      <c r="L13" s="8">
        <f>'Proximal Validation (double)'!L13</f>
        <v>-1.4157709665596499E-4</v>
      </c>
      <c r="M13" s="8">
        <f>'Proximal Validation (double)'!M13</f>
        <v>4.5513403601944403E-3</v>
      </c>
      <c r="N13" s="8">
        <f>'Proximal Validation (double)'!N13</f>
        <v>-4.92897629737854E-2</v>
      </c>
      <c r="O13" s="8">
        <f>'Proximal Validation (double)'!O13</f>
        <v>2.6178073137998598E-2</v>
      </c>
      <c r="P13" s="8">
        <f>'Proximal Validation (double)'!P13</f>
        <v>-0.27640634775161699</v>
      </c>
      <c r="Q13" s="8">
        <f>'Proximal Validation (double)'!Q13</f>
        <v>-3.6308467388153097E-2</v>
      </c>
      <c r="R13" s="8">
        <v>0.42980000000000002</v>
      </c>
      <c r="S13" s="8">
        <v>3.2399999999999998E-2</v>
      </c>
      <c r="T13" s="8">
        <v>3.1334</v>
      </c>
      <c r="U13" s="8">
        <v>1.5708</v>
      </c>
      <c r="V13" s="8">
        <v>0.15759999999999999</v>
      </c>
      <c r="W13" s="8">
        <v>2.4400000000000002E-2</v>
      </c>
      <c r="X13" s="8">
        <v>6.0288000000000004</v>
      </c>
      <c r="Y13" s="8">
        <v>1.5708</v>
      </c>
      <c r="Z13" s="8">
        <f t="shared" si="2"/>
        <v>0.32979999999999998</v>
      </c>
      <c r="AA13" s="8">
        <f t="shared" si="2"/>
        <v>-0.16760000000000003</v>
      </c>
      <c r="AB13" s="8">
        <f t="shared" si="2"/>
        <v>1.5624</v>
      </c>
      <c r="AC13" s="8">
        <f t="shared" si="2"/>
        <v>3.6732051034160662E-6</v>
      </c>
      <c r="AD13" s="8">
        <f t="shared" si="0"/>
        <v>-0.1424</v>
      </c>
      <c r="AE13" s="8">
        <f t="shared" si="0"/>
        <v>-5.5599999999999997E-2</v>
      </c>
      <c r="AF13" s="8">
        <f t="shared" si="0"/>
        <v>2.8868000000000005</v>
      </c>
      <c r="AG13" s="8">
        <f t="shared" si="0"/>
        <v>3.6732051034160662E-6</v>
      </c>
      <c r="AH13" s="22">
        <f t="shared" si="3"/>
        <v>0.23609999999999998</v>
      </c>
      <c r="AI13" s="22">
        <f t="shared" si="1"/>
        <v>0.1116</v>
      </c>
      <c r="AJ13" s="22">
        <f t="shared" si="1"/>
        <v>2.2246000000000001</v>
      </c>
    </row>
    <row r="14" spans="1:44" x14ac:dyDescent="0.25">
      <c r="A14" s="10">
        <f>'Proximal Validation (double)'!A14</f>
        <v>0.9</v>
      </c>
      <c r="B14" s="11">
        <f>'Proximal Validation (double)'!B14</f>
        <v>0.2</v>
      </c>
      <c r="C14" s="10">
        <f>'Proximal Validation (double)'!C14</f>
        <v>1.571</v>
      </c>
      <c r="D14" s="10">
        <f>'Proximal Validation (double)'!D14</f>
        <v>1.5707963267948966</v>
      </c>
      <c r="E14" s="11">
        <f>'Proximal Validation (double)'!E14</f>
        <v>0.3</v>
      </c>
      <c r="F14" s="11">
        <f>'Proximal Validation (double)'!F14</f>
        <v>0.02</v>
      </c>
      <c r="G14" s="10">
        <f>'Proximal Validation (double)'!G14</f>
        <v>4.7119999999999997</v>
      </c>
      <c r="H14" s="10">
        <f>'Proximal Validation (double)'!H14</f>
        <v>1.5707963267948966</v>
      </c>
      <c r="I14" s="10">
        <f>'Proximal Validation (double)'!I14</f>
        <v>1.4</v>
      </c>
      <c r="J14" s="10">
        <f>'Proximal Validation (double)'!J14</f>
        <v>0</v>
      </c>
      <c r="K14" s="10">
        <f>'Proximal Validation (double)'!K14</f>
        <v>0</v>
      </c>
      <c r="L14" s="8">
        <f>'Proximal Validation (double)'!L14</f>
        <v>9.2607205733656901E-3</v>
      </c>
      <c r="M14" s="8">
        <f>'Proximal Validation (double)'!M14</f>
        <v>-0.11755938827991499</v>
      </c>
      <c r="N14" s="8">
        <f>'Proximal Validation (double)'!N14</f>
        <v>-8.4324358031153696E-3</v>
      </c>
      <c r="O14" s="8">
        <f>'Proximal Validation (double)'!O14</f>
        <v>-0.58649873733520497</v>
      </c>
      <c r="P14" s="8">
        <f>'Proximal Validation (double)'!P14</f>
        <v>-5.0031639635562897E-2</v>
      </c>
      <c r="Q14" s="8">
        <f>'Proximal Validation (double)'!Q14</f>
        <v>4.2876139283180202E-2</v>
      </c>
      <c r="R14" s="8">
        <v>1</v>
      </c>
      <c r="S14" s="8">
        <v>0.2</v>
      </c>
      <c r="T14" s="8">
        <v>6.2831999999999999</v>
      </c>
      <c r="U14" s="8">
        <v>1.5708</v>
      </c>
      <c r="V14" s="8">
        <v>0.74160000000000004</v>
      </c>
      <c r="W14" s="8">
        <v>3.78E-2</v>
      </c>
      <c r="X14" s="8">
        <v>3.0628000000000002</v>
      </c>
      <c r="Y14" s="8">
        <v>1.5708</v>
      </c>
      <c r="Z14" s="8">
        <f t="shared" si="2"/>
        <v>9.9999999999999978E-2</v>
      </c>
      <c r="AA14" s="8">
        <f t="shared" si="2"/>
        <v>0</v>
      </c>
      <c r="AB14" s="8">
        <f t="shared" si="2"/>
        <v>4.7122000000000002</v>
      </c>
      <c r="AC14" s="8">
        <f t="shared" si="2"/>
        <v>3.6732051034160662E-6</v>
      </c>
      <c r="AD14" s="8">
        <f t="shared" si="0"/>
        <v>0.44160000000000005</v>
      </c>
      <c r="AE14" s="8">
        <f t="shared" si="0"/>
        <v>1.78E-2</v>
      </c>
      <c r="AF14" s="8">
        <f t="shared" si="0"/>
        <v>-1.6491999999999996</v>
      </c>
      <c r="AG14" s="8">
        <f t="shared" si="0"/>
        <v>3.6732051034160662E-6</v>
      </c>
      <c r="AH14" s="22">
        <f t="shared" si="3"/>
        <v>0.27080000000000004</v>
      </c>
      <c r="AI14" s="22">
        <f t="shared" si="1"/>
        <v>8.8999999999999999E-3</v>
      </c>
      <c r="AJ14" s="22">
        <f t="shared" si="1"/>
        <v>3.1806999999999999</v>
      </c>
    </row>
    <row r="15" spans="1:44" x14ac:dyDescent="0.25">
      <c r="A15" s="10">
        <f>'Proximal Validation (double)'!A15</f>
        <v>0.9</v>
      </c>
      <c r="B15" s="11">
        <f>'Proximal Validation (double)'!B15</f>
        <v>0.1</v>
      </c>
      <c r="C15" s="10">
        <f>'Proximal Validation (double)'!C15</f>
        <v>2.3559999999999999</v>
      </c>
      <c r="D15" s="10">
        <f>'Proximal Validation (double)'!D15</f>
        <v>1.5707963267948966</v>
      </c>
      <c r="E15" s="11">
        <f>'Proximal Validation (double)'!E15</f>
        <v>0.9</v>
      </c>
      <c r="F15" s="11">
        <f>'Proximal Validation (double)'!F15</f>
        <v>0.02</v>
      </c>
      <c r="G15" s="10">
        <f>'Proximal Validation (double)'!G15</f>
        <v>4.7119999999999997</v>
      </c>
      <c r="H15" s="10">
        <f>'Proximal Validation (double)'!H15</f>
        <v>1.5707963267948966</v>
      </c>
      <c r="I15" s="10">
        <f>'Proximal Validation (double)'!I15</f>
        <v>0.4</v>
      </c>
      <c r="J15" s="10">
        <f>'Proximal Validation (double)'!J15</f>
        <v>0</v>
      </c>
      <c r="K15" s="10">
        <f>'Proximal Validation (double)'!K15</f>
        <v>0</v>
      </c>
      <c r="L15" s="8">
        <f>'Proximal Validation (double)'!L15</f>
        <v>-9.1172568500042005E-4</v>
      </c>
      <c r="M15" s="8">
        <f>'Proximal Validation (double)'!M15</f>
        <v>-3.9313092827796901E-2</v>
      </c>
      <c r="N15" s="8">
        <f>'Proximal Validation (double)'!N15</f>
        <v>-0.130889192223549</v>
      </c>
      <c r="O15" s="8">
        <f>'Proximal Validation (double)'!O15</f>
        <v>-0.256822139024735</v>
      </c>
      <c r="P15" s="8">
        <f>'Proximal Validation (double)'!P15</f>
        <v>-0.62632656097412098</v>
      </c>
      <c r="Q15" s="8">
        <f>'Proximal Validation (double)'!Q15</f>
        <v>-0.18459481000900299</v>
      </c>
      <c r="R15" s="8">
        <v>0.59150000000000003</v>
      </c>
      <c r="S15" s="8">
        <v>0.2</v>
      </c>
      <c r="T15" s="8">
        <v>2.2374999999999998</v>
      </c>
      <c r="U15" s="8">
        <v>1.5708</v>
      </c>
      <c r="V15" s="8">
        <v>0.6734</v>
      </c>
      <c r="W15" s="8">
        <v>5.1200000000000002E-2</v>
      </c>
      <c r="X15" s="8">
        <v>4.2344999999999997</v>
      </c>
      <c r="Y15" s="8">
        <v>1.5708</v>
      </c>
      <c r="Z15" s="8">
        <f t="shared" si="2"/>
        <v>-0.3085</v>
      </c>
      <c r="AA15" s="8">
        <f t="shared" si="2"/>
        <v>0.1</v>
      </c>
      <c r="AB15" s="8">
        <f t="shared" si="2"/>
        <v>-0.11850000000000005</v>
      </c>
      <c r="AC15" s="8">
        <f t="shared" si="2"/>
        <v>3.6732051034160662E-6</v>
      </c>
      <c r="AD15" s="8">
        <f t="shared" si="0"/>
        <v>-0.22660000000000002</v>
      </c>
      <c r="AE15" s="8">
        <f t="shared" si="0"/>
        <v>3.1200000000000002E-2</v>
      </c>
      <c r="AF15" s="8">
        <f t="shared" si="0"/>
        <v>-0.47750000000000004</v>
      </c>
      <c r="AG15" s="8">
        <f t="shared" si="0"/>
        <v>3.6732051034160662E-6</v>
      </c>
      <c r="AH15" s="22">
        <f t="shared" si="3"/>
        <v>0.26755000000000001</v>
      </c>
      <c r="AI15" s="22">
        <f t="shared" si="1"/>
        <v>6.5600000000000006E-2</v>
      </c>
      <c r="AJ15" s="22">
        <f t="shared" si="1"/>
        <v>0.29800000000000004</v>
      </c>
    </row>
    <row r="16" spans="1:44" x14ac:dyDescent="0.25">
      <c r="A16" s="10">
        <f>'Proximal Validation (double)'!A16</f>
        <v>0.4</v>
      </c>
      <c r="B16" s="11">
        <f>'Proximal Validation (double)'!B16</f>
        <v>0.12</v>
      </c>
      <c r="C16" s="10">
        <f>'Proximal Validation (double)'!C16</f>
        <v>2.3559999999999999</v>
      </c>
      <c r="D16" s="10">
        <f>'Proximal Validation (double)'!D16</f>
        <v>1.5707963267948966</v>
      </c>
      <c r="E16" s="11">
        <f>'Proximal Validation (double)'!E16</f>
        <v>0.1</v>
      </c>
      <c r="F16" s="11">
        <f>'Proximal Validation (double)'!F16</f>
        <v>0.06</v>
      </c>
      <c r="G16" s="10">
        <f>'Proximal Validation (double)'!G16</f>
        <v>3.1419999999999999</v>
      </c>
      <c r="H16" s="10">
        <f>'Proximal Validation (double)'!H16</f>
        <v>1.5707963267948966</v>
      </c>
      <c r="I16" s="10">
        <f>'Proximal Validation (double)'!I16</f>
        <v>0.4</v>
      </c>
      <c r="J16" s="10">
        <f>'Proximal Validation (double)'!J16</f>
        <v>0</v>
      </c>
      <c r="K16" s="10">
        <f>'Proximal Validation (double)'!K16</f>
        <v>0</v>
      </c>
      <c r="L16" s="8">
        <f>'Proximal Validation (double)'!L16</f>
        <v>-3.60760372132063E-3</v>
      </c>
      <c r="M16" s="8">
        <f>'Proximal Validation (double)'!M16</f>
        <v>-5.4309170693159103E-2</v>
      </c>
      <c r="N16" s="8">
        <f>'Proximal Validation (double)'!N16</f>
        <v>-7.0400118827819796E-2</v>
      </c>
      <c r="O16" s="8">
        <f>'Proximal Validation (double)'!O16</f>
        <v>-5.4136319085955602E-3</v>
      </c>
      <c r="P16" s="8">
        <f>'Proximal Validation (double)'!P16</f>
        <v>-0.32776689529418901</v>
      </c>
      <c r="Q16" s="8">
        <f>'Proximal Validation (double)'!Q16</f>
        <v>0.24705727398395499</v>
      </c>
      <c r="R16" s="8">
        <v>0.1295</v>
      </c>
      <c r="S16" s="8">
        <v>8.5999999999999993E-2</v>
      </c>
      <c r="T16" s="8">
        <v>6.2752999999999997</v>
      </c>
      <c r="U16" s="8">
        <v>1.5708</v>
      </c>
      <c r="V16" s="8">
        <v>0.52280000000000004</v>
      </c>
      <c r="W16" s="8">
        <v>7.4899999999999994E-2</v>
      </c>
      <c r="X16" s="8">
        <v>2.6440999999999999</v>
      </c>
      <c r="Y16" s="8">
        <v>1.5708</v>
      </c>
      <c r="Z16" s="8">
        <f t="shared" si="2"/>
        <v>-0.27050000000000002</v>
      </c>
      <c r="AA16" s="8">
        <f t="shared" si="2"/>
        <v>-3.4000000000000002E-2</v>
      </c>
      <c r="AB16" s="8">
        <f t="shared" si="2"/>
        <v>3.9192999999999998</v>
      </c>
      <c r="AC16" s="8">
        <f t="shared" si="2"/>
        <v>3.6732051034160662E-6</v>
      </c>
      <c r="AD16" s="8">
        <f t="shared" si="0"/>
        <v>0.42280000000000006</v>
      </c>
      <c r="AE16" s="8">
        <f t="shared" si="0"/>
        <v>1.4899999999999997E-2</v>
      </c>
      <c r="AF16" s="8">
        <f t="shared" si="0"/>
        <v>-0.49790000000000001</v>
      </c>
      <c r="AG16" s="8">
        <f t="shared" si="0"/>
        <v>3.6732051034160662E-6</v>
      </c>
      <c r="AH16" s="22">
        <f t="shared" si="3"/>
        <v>0.34665000000000001</v>
      </c>
      <c r="AI16" s="22">
        <f t="shared" si="1"/>
        <v>2.445E-2</v>
      </c>
      <c r="AJ16" s="22">
        <f t="shared" si="1"/>
        <v>2.2085999999999997</v>
      </c>
    </row>
    <row r="17" spans="1:36" x14ac:dyDescent="0.25">
      <c r="A17" s="10">
        <f>'Proximal Validation (double)'!A17</f>
        <v>1</v>
      </c>
      <c r="B17" s="11">
        <f>'Proximal Validation (double)'!B17</f>
        <v>0.14000000000000001</v>
      </c>
      <c r="C17" s="10">
        <f>'Proximal Validation (double)'!C17</f>
        <v>2.3559999999999999</v>
      </c>
      <c r="D17" s="10">
        <f>'Proximal Validation (double)'!D17</f>
        <v>1.5707963267948966</v>
      </c>
      <c r="E17" s="11">
        <f>'Proximal Validation (double)'!E17</f>
        <v>0.4</v>
      </c>
      <c r="F17" s="11">
        <f>'Proximal Validation (double)'!F17</f>
        <v>0.04</v>
      </c>
      <c r="G17" s="10">
        <f>'Proximal Validation (double)'!G17</f>
        <v>3.927</v>
      </c>
      <c r="H17" s="10">
        <f>'Proximal Validation (double)'!H17</f>
        <v>1.5707963267948966</v>
      </c>
      <c r="I17" s="10">
        <f>'Proximal Validation (double)'!I17</f>
        <v>0.6</v>
      </c>
      <c r="J17" s="10">
        <f>'Proximal Validation (double)'!J17</f>
        <v>0</v>
      </c>
      <c r="K17" s="10">
        <f>'Proximal Validation (double)'!K17</f>
        <v>0</v>
      </c>
      <c r="L17" s="8">
        <f>'Proximal Validation (double)'!L17</f>
        <v>1.51338707655668E-3</v>
      </c>
      <c r="M17" s="8">
        <f>'Proximal Validation (double)'!M17</f>
        <v>-0.13520552217960399</v>
      </c>
      <c r="N17" s="8">
        <f>'Proximal Validation (double)'!N17</f>
        <v>-0.2040024548769</v>
      </c>
      <c r="O17" s="8">
        <f>'Proximal Validation (double)'!O17</f>
        <v>-0.46525964140892001</v>
      </c>
      <c r="P17" s="8">
        <f>'Proximal Validation (double)'!P17</f>
        <v>-0.93685162067413297</v>
      </c>
      <c r="Q17" s="8">
        <f>'Proximal Validation (double)'!Q17</f>
        <v>0.42077422142028797</v>
      </c>
      <c r="R17" s="8">
        <v>0.80010000000000003</v>
      </c>
      <c r="S17" s="8">
        <v>0.1636</v>
      </c>
      <c r="T17" s="8">
        <v>2.3277000000000001</v>
      </c>
      <c r="U17" s="8">
        <v>1.5708</v>
      </c>
      <c r="V17" s="8">
        <v>0.47839999999999999</v>
      </c>
      <c r="W17" s="8">
        <v>4.7100000000000003E-2</v>
      </c>
      <c r="X17" s="8">
        <v>3.3172999999999999</v>
      </c>
      <c r="Y17" s="8">
        <v>1.5708</v>
      </c>
      <c r="Z17" s="8">
        <f t="shared" si="2"/>
        <v>-0.19989999999999997</v>
      </c>
      <c r="AA17" s="8">
        <f t="shared" si="2"/>
        <v>2.3599999999999982E-2</v>
      </c>
      <c r="AB17" s="8">
        <f t="shared" si="2"/>
        <v>-2.829999999999977E-2</v>
      </c>
      <c r="AC17" s="8">
        <f t="shared" si="2"/>
        <v>3.6732051034160662E-6</v>
      </c>
      <c r="AD17" s="8">
        <f t="shared" si="0"/>
        <v>7.839999999999997E-2</v>
      </c>
      <c r="AE17" s="8">
        <f t="shared" si="0"/>
        <v>7.1000000000000021E-3</v>
      </c>
      <c r="AF17" s="8">
        <f t="shared" si="0"/>
        <v>-0.60970000000000013</v>
      </c>
      <c r="AG17" s="8">
        <f t="shared" si="0"/>
        <v>3.6732051034160662E-6</v>
      </c>
      <c r="AH17" s="22">
        <f t="shared" si="3"/>
        <v>0.13914999999999997</v>
      </c>
      <c r="AI17" s="22">
        <f t="shared" si="1"/>
        <v>1.5349999999999992E-2</v>
      </c>
      <c r="AJ17" s="22">
        <f t="shared" si="1"/>
        <v>0.31899999999999995</v>
      </c>
    </row>
    <row r="18" spans="1:36" x14ac:dyDescent="0.25">
      <c r="A18" s="10">
        <f>'Proximal Validation (double)'!A18</f>
        <v>0.4</v>
      </c>
      <c r="B18" s="11">
        <f>'Proximal Validation (double)'!B18</f>
        <v>0.18</v>
      </c>
      <c r="C18" s="10">
        <f>'Proximal Validation (double)'!C18</f>
        <v>2.3559999999999999</v>
      </c>
      <c r="D18" s="10">
        <f>'Proximal Validation (double)'!D18</f>
        <v>1.5707963267948966</v>
      </c>
      <c r="E18" s="11">
        <f>'Proximal Validation (double)'!E18</f>
        <v>0.7</v>
      </c>
      <c r="F18" s="11">
        <f>'Proximal Validation (double)'!F18</f>
        <v>0.04</v>
      </c>
      <c r="G18" s="10">
        <f>'Proximal Validation (double)'!G18</f>
        <v>3.1419999999999999</v>
      </c>
      <c r="H18" s="10">
        <f>'Proximal Validation (double)'!H18</f>
        <v>1.5707963267948966</v>
      </c>
      <c r="I18" s="10">
        <f>'Proximal Validation (double)'!I18</f>
        <v>0</v>
      </c>
      <c r="J18" s="10">
        <f>'Proximal Validation (double)'!J18</f>
        <v>0</v>
      </c>
      <c r="K18" s="10">
        <f>'Proximal Validation (double)'!K18</f>
        <v>0</v>
      </c>
      <c r="L18" s="8">
        <f>'Proximal Validation (double)'!L18</f>
        <v>1.25857396051288E-3</v>
      </c>
      <c r="M18" s="8">
        <f>'Proximal Validation (double)'!M18</f>
        <v>-6.1508439481258399E-2</v>
      </c>
      <c r="N18" s="8">
        <f>'Proximal Validation (double)'!N18</f>
        <v>-0.139540165662766</v>
      </c>
      <c r="O18" s="8">
        <f>'Proximal Validation (double)'!O18</f>
        <v>-9.9908888339996296E-2</v>
      </c>
      <c r="P18" s="8">
        <f>'Proximal Validation (double)'!P18</f>
        <v>-0.836775302886963</v>
      </c>
      <c r="Q18" s="8">
        <f>'Proximal Validation (double)'!Q18</f>
        <v>0.23870468139648399</v>
      </c>
      <c r="R18" s="8">
        <v>0.56000000000000005</v>
      </c>
      <c r="S18" s="8">
        <v>0.1041</v>
      </c>
      <c r="T18" s="8">
        <v>2.3974000000000002</v>
      </c>
      <c r="U18" s="8">
        <v>1.5708</v>
      </c>
      <c r="V18" s="8">
        <v>0.4521</v>
      </c>
      <c r="W18" s="8">
        <v>3.15E-2</v>
      </c>
      <c r="X18" s="8">
        <v>3.4466000000000001</v>
      </c>
      <c r="Y18" s="8">
        <v>1.5708</v>
      </c>
      <c r="Z18" s="8">
        <f t="shared" si="2"/>
        <v>0.16000000000000003</v>
      </c>
      <c r="AA18" s="8">
        <f t="shared" si="2"/>
        <v>-7.5899999999999995E-2</v>
      </c>
      <c r="AB18" s="8">
        <f t="shared" si="2"/>
        <v>4.1400000000000325E-2</v>
      </c>
      <c r="AC18" s="8">
        <f t="shared" si="2"/>
        <v>3.6732051034160662E-6</v>
      </c>
      <c r="AD18" s="8">
        <f t="shared" si="0"/>
        <v>-0.24789999999999995</v>
      </c>
      <c r="AE18" s="8">
        <f t="shared" si="0"/>
        <v>-8.5000000000000006E-3</v>
      </c>
      <c r="AF18" s="8">
        <f t="shared" si="0"/>
        <v>0.3046000000000002</v>
      </c>
      <c r="AG18" s="8">
        <f t="shared" si="0"/>
        <v>3.6732051034160662E-6</v>
      </c>
      <c r="AH18" s="22">
        <f t="shared" si="3"/>
        <v>0.20394999999999999</v>
      </c>
      <c r="AI18" s="22">
        <f t="shared" si="1"/>
        <v>4.2200000000000001E-2</v>
      </c>
      <c r="AJ18" s="22">
        <f t="shared" si="1"/>
        <v>0.17300000000000026</v>
      </c>
    </row>
    <row r="19" spans="1:36" x14ac:dyDescent="0.25">
      <c r="A19" s="10">
        <f>'Proximal Validation (double)'!A19</f>
        <v>0.1</v>
      </c>
      <c r="B19" s="11">
        <f>'Proximal Validation (double)'!B19</f>
        <v>0.18</v>
      </c>
      <c r="C19" s="10">
        <f>'Proximal Validation (double)'!C19</f>
        <v>2.3559999999999999</v>
      </c>
      <c r="D19" s="10">
        <f>'Proximal Validation (double)'!D19</f>
        <v>1.5707963267948966</v>
      </c>
      <c r="E19" s="11">
        <f>'Proximal Validation (double)'!E19</f>
        <v>0.2</v>
      </c>
      <c r="F19" s="11">
        <f>'Proximal Validation (double)'!F19</f>
        <v>0.06</v>
      </c>
      <c r="G19" s="10">
        <f>'Proximal Validation (double)'!G19</f>
        <v>4.7119999999999997</v>
      </c>
      <c r="H19" s="10">
        <f>'Proximal Validation (double)'!H19</f>
        <v>1.5707963267948966</v>
      </c>
      <c r="I19" s="10">
        <f>'Proximal Validation (double)'!I19</f>
        <v>0.4</v>
      </c>
      <c r="J19" s="10">
        <f>'Proximal Validation (double)'!J19</f>
        <v>0</v>
      </c>
      <c r="K19" s="10">
        <f>'Proximal Validation (double)'!K19</f>
        <v>0</v>
      </c>
      <c r="L19" s="8">
        <f>'Proximal Validation (double)'!L19</f>
        <v>-7.4886210495606097E-4</v>
      </c>
      <c r="M19" s="8">
        <f>'Proximal Validation (double)'!M19</f>
        <v>2.0453782752156299E-2</v>
      </c>
      <c r="N19" s="8">
        <f>'Proximal Validation (double)'!N19</f>
        <v>-9.3716401606798207E-3</v>
      </c>
      <c r="O19" s="8">
        <f>'Proximal Validation (double)'!O19</f>
        <v>1.6650179401040101E-2</v>
      </c>
      <c r="P19" s="8">
        <f>'Proximal Validation (double)'!P19</f>
        <v>-2.5679610669612898E-2</v>
      </c>
      <c r="Q19" s="8">
        <f>'Proximal Validation (double)'!Q19</f>
        <v>-0.15806177258491499</v>
      </c>
      <c r="R19" s="8">
        <v>0.56110000000000004</v>
      </c>
      <c r="S19" s="8">
        <v>0.2</v>
      </c>
      <c r="T19" s="8">
        <v>1.5481</v>
      </c>
      <c r="U19" s="8">
        <v>1.5708</v>
      </c>
      <c r="V19" s="8">
        <v>0.7198</v>
      </c>
      <c r="W19" s="8">
        <v>0.15770000000000001</v>
      </c>
      <c r="X19" s="8">
        <v>4.6581999999999999</v>
      </c>
      <c r="Y19" s="8">
        <v>1.5708</v>
      </c>
      <c r="Z19" s="8">
        <f t="shared" si="2"/>
        <v>0.46110000000000007</v>
      </c>
      <c r="AA19" s="8">
        <f t="shared" si="2"/>
        <v>2.0000000000000018E-2</v>
      </c>
      <c r="AB19" s="8">
        <f t="shared" si="2"/>
        <v>-0.80789999999999984</v>
      </c>
      <c r="AC19" s="8">
        <f t="shared" si="2"/>
        <v>3.6732051034160662E-6</v>
      </c>
      <c r="AD19" s="8">
        <f t="shared" si="2"/>
        <v>0.51980000000000004</v>
      </c>
      <c r="AE19" s="8">
        <f t="shared" si="2"/>
        <v>9.7700000000000009E-2</v>
      </c>
      <c r="AF19" s="8">
        <f t="shared" si="2"/>
        <v>-5.3799999999999848E-2</v>
      </c>
      <c r="AG19" s="8">
        <f t="shared" si="2"/>
        <v>3.6732051034160662E-6</v>
      </c>
      <c r="AH19" s="22">
        <f t="shared" si="3"/>
        <v>0.49045000000000005</v>
      </c>
      <c r="AI19" s="22">
        <f t="shared" si="3"/>
        <v>5.8850000000000013E-2</v>
      </c>
      <c r="AJ19" s="22">
        <f t="shared" si="3"/>
        <v>0.43084999999999984</v>
      </c>
    </row>
    <row r="20" spans="1:36" x14ac:dyDescent="0.25">
      <c r="A20" s="10">
        <f>'Proximal Validation (double)'!A20</f>
        <v>0.9</v>
      </c>
      <c r="B20" s="11">
        <f>'Proximal Validation (double)'!B20</f>
        <v>0.2</v>
      </c>
      <c r="C20" s="10">
        <f>'Proximal Validation (double)'!C20</f>
        <v>2.3559999999999999</v>
      </c>
      <c r="D20" s="10">
        <f>'Proximal Validation (double)'!D20</f>
        <v>1.5707963267948966</v>
      </c>
      <c r="E20" s="11">
        <f>'Proximal Validation (double)'!E20</f>
        <v>0.3</v>
      </c>
      <c r="F20" s="11">
        <f>'Proximal Validation (double)'!F20</f>
        <v>0.06</v>
      </c>
      <c r="G20" s="10">
        <f>'Proximal Validation (double)'!G20</f>
        <v>3.1419999999999999</v>
      </c>
      <c r="H20" s="10">
        <f>'Proximal Validation (double)'!H20</f>
        <v>1.5707963267948966</v>
      </c>
      <c r="I20" s="10">
        <f>'Proximal Validation (double)'!I20</f>
        <v>1.2</v>
      </c>
      <c r="J20" s="10">
        <f>'Proximal Validation (double)'!J20</f>
        <v>0</v>
      </c>
      <c r="K20" s="10">
        <f>'Proximal Validation (double)'!K20</f>
        <v>0</v>
      </c>
      <c r="L20" s="8">
        <f>'Proximal Validation (double)'!L20</f>
        <v>3.2496866770088699E-3</v>
      </c>
      <c r="M20" s="8">
        <f>'Proximal Validation (double)'!M20</f>
        <v>-0.114310443401337</v>
      </c>
      <c r="N20" s="8">
        <f>'Proximal Validation (double)'!N20</f>
        <v>-0.158231571316719</v>
      </c>
      <c r="O20" s="8">
        <f>'Proximal Validation (double)'!O20</f>
        <v>-0.49384498596191401</v>
      </c>
      <c r="P20" s="8">
        <f>'Proximal Validation (double)'!P20</f>
        <v>-0.55208766460418701</v>
      </c>
      <c r="Q20" s="8">
        <f>'Proximal Validation (double)'!Q20</f>
        <v>0.26307040452957198</v>
      </c>
      <c r="R20" s="8">
        <v>0.80459999999999998</v>
      </c>
      <c r="S20" s="8">
        <v>0.19969999999999999</v>
      </c>
      <c r="T20" s="8">
        <v>2.1591999999999998</v>
      </c>
      <c r="U20" s="8">
        <v>1.5708</v>
      </c>
      <c r="V20" s="8">
        <v>0.3679</v>
      </c>
      <c r="W20" s="8">
        <v>0.1201</v>
      </c>
      <c r="X20" s="8">
        <v>4.0159000000000002</v>
      </c>
      <c r="Y20" s="8">
        <v>1.5708</v>
      </c>
      <c r="Z20" s="8">
        <f t="shared" si="2"/>
        <v>-9.540000000000004E-2</v>
      </c>
      <c r="AA20" s="8">
        <f t="shared" si="2"/>
        <v>-3.0000000000002247E-4</v>
      </c>
      <c r="AB20" s="8">
        <f t="shared" si="2"/>
        <v>-0.19680000000000009</v>
      </c>
      <c r="AC20" s="8">
        <f t="shared" si="2"/>
        <v>3.6732051034160662E-6</v>
      </c>
      <c r="AD20" s="8">
        <f t="shared" si="2"/>
        <v>6.7900000000000016E-2</v>
      </c>
      <c r="AE20" s="8">
        <f t="shared" si="2"/>
        <v>6.0100000000000001E-2</v>
      </c>
      <c r="AF20" s="8">
        <f t="shared" si="2"/>
        <v>0.87390000000000034</v>
      </c>
      <c r="AG20" s="8">
        <f t="shared" si="2"/>
        <v>3.6732051034160662E-6</v>
      </c>
      <c r="AH20" s="22">
        <f t="shared" si="3"/>
        <v>8.1650000000000028E-2</v>
      </c>
      <c r="AI20" s="22">
        <f t="shared" si="3"/>
        <v>3.0200000000000012E-2</v>
      </c>
      <c r="AJ20" s="22">
        <f t="shared" si="3"/>
        <v>0.53535000000000021</v>
      </c>
    </row>
    <row r="21" spans="1:36" x14ac:dyDescent="0.25">
      <c r="A21" s="10">
        <f>'Proximal Validation (double)'!A21</f>
        <v>0.1</v>
      </c>
      <c r="B21" s="11">
        <f>'Proximal Validation (double)'!B21</f>
        <v>0.1</v>
      </c>
      <c r="C21" s="10">
        <f>'Proximal Validation (double)'!C21</f>
        <v>3.1419999999999999</v>
      </c>
      <c r="D21" s="10">
        <f>'Proximal Validation (double)'!D21</f>
        <v>1.5707963267948966</v>
      </c>
      <c r="E21" s="11">
        <f>'Proximal Validation (double)'!E21</f>
        <v>0.3</v>
      </c>
      <c r="F21" s="11">
        <f>'Proximal Validation (double)'!F21</f>
        <v>0.08</v>
      </c>
      <c r="G21" s="10">
        <f>'Proximal Validation (double)'!G21</f>
        <v>3.927</v>
      </c>
      <c r="H21" s="10">
        <f>'Proximal Validation (double)'!H21</f>
        <v>1.5707963267948966</v>
      </c>
      <c r="I21" s="10">
        <f>'Proximal Validation (double)'!I21</f>
        <v>1.2</v>
      </c>
      <c r="J21" s="10">
        <f>'Proximal Validation (double)'!J21</f>
        <v>0</v>
      </c>
      <c r="K21" s="10">
        <f>'Proximal Validation (double)'!K21</f>
        <v>0</v>
      </c>
      <c r="L21" s="8">
        <f>'Proximal Validation (double)'!L21</f>
        <v>4.3617305345833302E-4</v>
      </c>
      <c r="M21" s="8">
        <f>'Proximal Validation (double)'!M21</f>
        <v>3.7674464285373702E-2</v>
      </c>
      <c r="N21" s="8">
        <f>'Proximal Validation (double)'!N21</f>
        <v>-4.6963214874267599E-2</v>
      </c>
      <c r="O21" s="8">
        <f>'Proximal Validation (double)'!O21</f>
        <v>1.26499449834228E-2</v>
      </c>
      <c r="P21" s="8">
        <f>'Proximal Validation (double)'!P21</f>
        <v>-0.26442891359329201</v>
      </c>
      <c r="Q21" s="8">
        <f>'Proximal Validation (double)'!Q21</f>
        <v>-0.20531408488750499</v>
      </c>
      <c r="R21" s="8">
        <v>0.31230000000000002</v>
      </c>
      <c r="S21" s="8">
        <v>0.13350000000000001</v>
      </c>
      <c r="T21" s="8">
        <v>0.60289999999999999</v>
      </c>
      <c r="U21" s="8">
        <v>1.5708</v>
      </c>
      <c r="V21" s="8">
        <v>0.64770000000000005</v>
      </c>
      <c r="W21" s="8">
        <v>8.8900000000000007E-2</v>
      </c>
      <c r="X21" s="8">
        <v>3.7740999999999998</v>
      </c>
      <c r="Y21" s="8">
        <v>1.5708</v>
      </c>
      <c r="Z21" s="8">
        <f t="shared" si="2"/>
        <v>0.21230000000000002</v>
      </c>
      <c r="AA21" s="8">
        <f t="shared" si="2"/>
        <v>3.3500000000000002E-2</v>
      </c>
      <c r="AB21" s="8">
        <f t="shared" si="2"/>
        <v>-2.5390999999999999</v>
      </c>
      <c r="AC21" s="8">
        <f t="shared" si="2"/>
        <v>3.6732051034160662E-6</v>
      </c>
      <c r="AD21" s="8">
        <f t="shared" si="2"/>
        <v>0.34770000000000006</v>
      </c>
      <c r="AE21" s="8">
        <f t="shared" si="2"/>
        <v>8.9000000000000051E-3</v>
      </c>
      <c r="AF21" s="8">
        <f t="shared" si="2"/>
        <v>-0.15290000000000026</v>
      </c>
      <c r="AG21" s="8">
        <f t="shared" si="2"/>
        <v>3.6732051034160662E-6</v>
      </c>
      <c r="AH21" s="22">
        <f t="shared" si="3"/>
        <v>0.28000000000000003</v>
      </c>
      <c r="AI21" s="22">
        <f t="shared" si="3"/>
        <v>2.1200000000000004E-2</v>
      </c>
      <c r="AJ21" s="22">
        <f t="shared" si="3"/>
        <v>1.3460000000000001</v>
      </c>
    </row>
    <row r="22" spans="1:36" x14ac:dyDescent="0.25">
      <c r="A22" s="10">
        <f>'Proximal Validation (double)'!A22</f>
        <v>0.1</v>
      </c>
      <c r="B22" s="11">
        <f>'Proximal Validation (double)'!B22</f>
        <v>0.2</v>
      </c>
      <c r="C22" s="10">
        <f>'Proximal Validation (double)'!C22</f>
        <v>3.1419999999999999</v>
      </c>
      <c r="D22" s="10">
        <f>'Proximal Validation (double)'!D22</f>
        <v>1.5707963267948966</v>
      </c>
      <c r="E22" s="11">
        <f>'Proximal Validation (double)'!E22</f>
        <v>0.8</v>
      </c>
      <c r="F22" s="11">
        <f>'Proximal Validation (double)'!F22</f>
        <v>0.02</v>
      </c>
      <c r="G22" s="10">
        <f>'Proximal Validation (double)'!G22</f>
        <v>3.927</v>
      </c>
      <c r="H22" s="10">
        <f>'Proximal Validation (double)'!H22</f>
        <v>1.5707963267948966</v>
      </c>
      <c r="I22" s="10">
        <f>'Proximal Validation (double)'!I22</f>
        <v>1.2</v>
      </c>
      <c r="J22" s="10">
        <f>'Proximal Validation (double)'!J22</f>
        <v>0</v>
      </c>
      <c r="K22" s="10">
        <f>'Proximal Validation (double)'!K22</f>
        <v>0</v>
      </c>
      <c r="L22" s="8">
        <f>'Proximal Validation (double)'!L22</f>
        <v>1.0640500113368E-3</v>
      </c>
      <c r="M22" s="8">
        <f>'Proximal Validation (double)'!M22</f>
        <v>6.2404803931713097E-2</v>
      </c>
      <c r="N22" s="8">
        <f>'Proximal Validation (double)'!N22</f>
        <v>-7.4282236397266402E-2</v>
      </c>
      <c r="O22" s="8">
        <f>'Proximal Validation (double)'!O22</f>
        <v>1.72678660601377E-2</v>
      </c>
      <c r="P22" s="8">
        <f>'Proximal Validation (double)'!P22</f>
        <v>-0.60528373718261697</v>
      </c>
      <c r="Q22" s="8">
        <f>'Proximal Validation (double)'!Q22</f>
        <v>-0.54190033674240101</v>
      </c>
      <c r="R22" s="8">
        <v>0.69210000000000005</v>
      </c>
      <c r="S22" s="8">
        <v>0.02</v>
      </c>
      <c r="T22" s="8">
        <v>4.2142999999999997</v>
      </c>
      <c r="U22" s="8">
        <v>1.5708</v>
      </c>
      <c r="V22" s="8">
        <v>0.2828</v>
      </c>
      <c r="W22" s="8">
        <v>0.02</v>
      </c>
      <c r="X22" s="8">
        <v>2.9062999999999999</v>
      </c>
      <c r="Y22" s="8">
        <v>1.5708</v>
      </c>
      <c r="Z22" s="8">
        <f t="shared" si="2"/>
        <v>0.59210000000000007</v>
      </c>
      <c r="AA22" s="8">
        <f t="shared" si="2"/>
        <v>-0.18000000000000002</v>
      </c>
      <c r="AB22" s="8">
        <f t="shared" si="2"/>
        <v>1.0722999999999998</v>
      </c>
      <c r="AC22" s="8">
        <f t="shared" si="2"/>
        <v>3.6732051034160662E-6</v>
      </c>
      <c r="AD22" s="8">
        <f t="shared" si="2"/>
        <v>-0.5172000000000001</v>
      </c>
      <c r="AE22" s="8">
        <f t="shared" si="2"/>
        <v>0</v>
      </c>
      <c r="AF22" s="8">
        <f t="shared" si="2"/>
        <v>-1.0207000000000002</v>
      </c>
      <c r="AG22" s="8">
        <f t="shared" si="2"/>
        <v>3.6732051034160662E-6</v>
      </c>
      <c r="AH22" s="22">
        <f t="shared" si="3"/>
        <v>0.55465000000000009</v>
      </c>
      <c r="AI22" s="22">
        <f t="shared" si="3"/>
        <v>9.0000000000000011E-2</v>
      </c>
      <c r="AJ22" s="22">
        <f t="shared" si="3"/>
        <v>1.0465</v>
      </c>
    </row>
    <row r="23" spans="1:36" x14ac:dyDescent="0.25">
      <c r="A23" s="10">
        <f>'Proximal Validation (double)'!A23</f>
        <v>0.9</v>
      </c>
      <c r="B23" s="11">
        <f>'Proximal Validation (double)'!B23</f>
        <v>0.1</v>
      </c>
      <c r="C23" s="10">
        <f>'Proximal Validation (double)'!C23</f>
        <v>3.927</v>
      </c>
      <c r="D23" s="10">
        <f>'Proximal Validation (double)'!D23</f>
        <v>1.5707963267948966</v>
      </c>
      <c r="E23" s="11">
        <f>'Proximal Validation (double)'!E23</f>
        <v>0.2</v>
      </c>
      <c r="F23" s="11">
        <f>'Proximal Validation (double)'!F23</f>
        <v>0.02</v>
      </c>
      <c r="G23" s="10">
        <f>'Proximal Validation (double)'!G23</f>
        <v>3.1419999999999999</v>
      </c>
      <c r="H23" s="10">
        <f>'Proximal Validation (double)'!H23</f>
        <v>1.5707963267948966</v>
      </c>
      <c r="I23" s="10">
        <f>'Proximal Validation (double)'!I23</f>
        <v>1.4</v>
      </c>
      <c r="J23" s="10">
        <f>'Proximal Validation (double)'!J23</f>
        <v>0</v>
      </c>
      <c r="K23" s="10">
        <f>'Proximal Validation (double)'!K23</f>
        <v>0</v>
      </c>
      <c r="L23" s="8">
        <f>'Proximal Validation (double)'!L23</f>
        <v>-2.0453361794352501E-3</v>
      </c>
      <c r="M23" s="8">
        <f>'Proximal Validation (double)'!M23</f>
        <v>0.14060573279857599</v>
      </c>
      <c r="N23" s="8">
        <f>'Proximal Validation (double)'!N23</f>
        <v>-0.14573009312152899</v>
      </c>
      <c r="O23" s="8">
        <f>'Proximal Validation (double)'!O23</f>
        <v>-0.146071821451187</v>
      </c>
      <c r="P23" s="8">
        <f>'Proximal Validation (double)'!P23</f>
        <v>-0.82719779014587402</v>
      </c>
      <c r="Q23" s="8">
        <f>'Proximal Validation (double)'!Q23</f>
        <v>-0.70544010400772095</v>
      </c>
      <c r="R23" s="8">
        <v>0.59279999999999999</v>
      </c>
      <c r="S23" s="8">
        <v>9.01E-2</v>
      </c>
      <c r="T23" s="8">
        <v>4.3304999999999998</v>
      </c>
      <c r="U23" s="8">
        <v>1.5708</v>
      </c>
      <c r="V23" s="8">
        <v>0.63560000000000005</v>
      </c>
      <c r="W23" s="8">
        <v>5.8099999999999999E-2</v>
      </c>
      <c r="X23" s="8">
        <v>3.4030999999999998</v>
      </c>
      <c r="Y23" s="8">
        <v>1.5708</v>
      </c>
      <c r="Z23" s="8">
        <f t="shared" si="2"/>
        <v>-0.30720000000000003</v>
      </c>
      <c r="AA23" s="8">
        <f t="shared" si="2"/>
        <v>-9.900000000000006E-3</v>
      </c>
      <c r="AB23" s="8">
        <f t="shared" si="2"/>
        <v>0.40349999999999975</v>
      </c>
      <c r="AC23" s="8">
        <f t="shared" si="2"/>
        <v>3.6732051034160662E-6</v>
      </c>
      <c r="AD23" s="8">
        <f t="shared" si="2"/>
        <v>0.43560000000000004</v>
      </c>
      <c r="AE23" s="8">
        <f t="shared" si="2"/>
        <v>3.8099999999999995E-2</v>
      </c>
      <c r="AF23" s="8">
        <f t="shared" si="2"/>
        <v>0.26109999999999989</v>
      </c>
      <c r="AG23" s="8">
        <f t="shared" si="2"/>
        <v>3.6732051034160662E-6</v>
      </c>
      <c r="AH23" s="22">
        <f t="shared" si="3"/>
        <v>0.37140000000000006</v>
      </c>
      <c r="AI23" s="22">
        <f t="shared" si="3"/>
        <v>2.4E-2</v>
      </c>
      <c r="AJ23" s="22">
        <f t="shared" si="3"/>
        <v>0.33229999999999982</v>
      </c>
    </row>
    <row r="24" spans="1:36" x14ac:dyDescent="0.25">
      <c r="A24" s="10">
        <f>'Proximal Validation (double)'!A24</f>
        <v>0.2</v>
      </c>
      <c r="B24" s="11">
        <f>'Proximal Validation (double)'!B24</f>
        <v>0.12</v>
      </c>
      <c r="C24" s="10">
        <f>'Proximal Validation (double)'!C24</f>
        <v>3.927</v>
      </c>
      <c r="D24" s="10">
        <f>'Proximal Validation (double)'!D24</f>
        <v>1.5707963267948966</v>
      </c>
      <c r="E24" s="11">
        <f>'Proximal Validation (double)'!E24</f>
        <v>0.2</v>
      </c>
      <c r="F24" s="11">
        <f>'Proximal Validation (double)'!F24</f>
        <v>0.02</v>
      </c>
      <c r="G24" s="10">
        <f>'Proximal Validation (double)'!G24</f>
        <v>4.7119999999999997</v>
      </c>
      <c r="H24" s="10">
        <f>'Proximal Validation (double)'!H24</f>
        <v>1.5707963267948966</v>
      </c>
      <c r="I24" s="10">
        <f>'Proximal Validation (double)'!I24</f>
        <v>1.2</v>
      </c>
      <c r="J24" s="10">
        <f>'Proximal Validation (double)'!J24</f>
        <v>0</v>
      </c>
      <c r="K24" s="10">
        <f>'Proximal Validation (double)'!K24</f>
        <v>0</v>
      </c>
      <c r="L24" s="8">
        <f>'Proximal Validation (double)'!L24</f>
        <v>-9.4009120948612701E-4</v>
      </c>
      <c r="M24" s="8">
        <f>'Proximal Validation (double)'!M24</f>
        <v>4.6884305775165599E-2</v>
      </c>
      <c r="N24" s="8">
        <f>'Proximal Validation (double)'!N24</f>
        <v>-2.4323541671037702E-2</v>
      </c>
      <c r="O24" s="8">
        <f>'Proximal Validation (double)'!O24</f>
        <v>5.6157279759645497E-3</v>
      </c>
      <c r="P24" s="8">
        <f>'Proximal Validation (double)'!P24</f>
        <v>-0.11253473162651099</v>
      </c>
      <c r="Q24" s="8">
        <f>'Proximal Validation (double)'!Q24</f>
        <v>-0.29774409532547003</v>
      </c>
      <c r="R24" s="8">
        <v>0.11559999999999999</v>
      </c>
      <c r="S24" s="8">
        <v>0.1918</v>
      </c>
      <c r="T24" s="8">
        <v>1.5241</v>
      </c>
      <c r="U24" s="8">
        <v>1.5708</v>
      </c>
      <c r="V24" s="8">
        <v>0.43090000000000001</v>
      </c>
      <c r="W24" s="8">
        <v>8.4500000000000006E-2</v>
      </c>
      <c r="X24" s="8">
        <v>4.4330999999999996</v>
      </c>
      <c r="Y24" s="8">
        <v>1.5708</v>
      </c>
      <c r="Z24" s="8">
        <f t="shared" si="2"/>
        <v>-8.4400000000000017E-2</v>
      </c>
      <c r="AA24" s="8">
        <f t="shared" si="2"/>
        <v>7.1800000000000003E-2</v>
      </c>
      <c r="AB24" s="8">
        <f t="shared" si="2"/>
        <v>-2.4028999999999998</v>
      </c>
      <c r="AC24" s="8">
        <f t="shared" si="2"/>
        <v>3.6732051034160662E-6</v>
      </c>
      <c r="AD24" s="8">
        <f t="shared" si="2"/>
        <v>0.23089999999999999</v>
      </c>
      <c r="AE24" s="8">
        <f t="shared" si="2"/>
        <v>6.4500000000000002E-2</v>
      </c>
      <c r="AF24" s="8">
        <f t="shared" si="2"/>
        <v>-0.27890000000000015</v>
      </c>
      <c r="AG24" s="8">
        <f t="shared" si="2"/>
        <v>3.6732051034160662E-6</v>
      </c>
      <c r="AH24" s="22">
        <f t="shared" si="3"/>
        <v>0.15765000000000001</v>
      </c>
      <c r="AI24" s="22">
        <f t="shared" si="3"/>
        <v>6.8150000000000002E-2</v>
      </c>
      <c r="AJ24" s="22">
        <f t="shared" si="3"/>
        <v>1.3409</v>
      </c>
    </row>
    <row r="25" spans="1:36" x14ac:dyDescent="0.25">
      <c r="A25" s="10">
        <f>'Proximal Validation (double)'!A25</f>
        <v>0.6</v>
      </c>
      <c r="B25" s="11">
        <f>'Proximal Validation (double)'!B25</f>
        <v>0.12</v>
      </c>
      <c r="C25" s="10">
        <f>'Proximal Validation (double)'!C25</f>
        <v>3.927</v>
      </c>
      <c r="D25" s="10">
        <f>'Proximal Validation (double)'!D25</f>
        <v>1.5707963267948966</v>
      </c>
      <c r="E25" s="11">
        <f>'Proximal Validation (double)'!E25</f>
        <v>0.5</v>
      </c>
      <c r="F25" s="11">
        <f>'Proximal Validation (double)'!F25</f>
        <v>0.08</v>
      </c>
      <c r="G25" s="10">
        <f>'Proximal Validation (double)'!G25</f>
        <v>4.7119999999999997</v>
      </c>
      <c r="H25" s="10">
        <f>'Proximal Validation (double)'!H25</f>
        <v>1.5707963267948966</v>
      </c>
      <c r="I25" s="10">
        <f>'Proximal Validation (double)'!I25</f>
        <v>0.2</v>
      </c>
      <c r="J25" s="10">
        <f>'Proximal Validation (double)'!J25</f>
        <v>0</v>
      </c>
      <c r="K25" s="10">
        <f>'Proximal Validation (double)'!K25</f>
        <v>0</v>
      </c>
      <c r="L25" s="8">
        <f>'Proximal Validation (double)'!L25</f>
        <v>3.5136193037033097E-4</v>
      </c>
      <c r="M25" s="8">
        <f>'Proximal Validation (double)'!M25</f>
        <v>0.18612760305404699</v>
      </c>
      <c r="N25" s="8">
        <f>'Proximal Validation (double)'!N25</f>
        <v>-8.7223671376705197E-2</v>
      </c>
      <c r="O25" s="8">
        <f>'Proximal Validation (double)'!O25</f>
        <v>-0.228773519396782</v>
      </c>
      <c r="P25" s="8">
        <f>'Proximal Validation (double)'!P25</f>
        <v>-0.39178490638732899</v>
      </c>
      <c r="Q25" s="8">
        <f>'Proximal Validation (double)'!Q25</f>
        <v>-0.93568027019500699</v>
      </c>
      <c r="R25" s="8">
        <v>0.55669999999999997</v>
      </c>
      <c r="S25" s="8">
        <v>0.12429999999999999</v>
      </c>
      <c r="T25" s="8">
        <v>4.1219000000000001</v>
      </c>
      <c r="U25" s="8">
        <v>1.5708</v>
      </c>
      <c r="V25" s="8">
        <v>0.5071</v>
      </c>
      <c r="W25" s="8">
        <v>6.4500000000000002E-2</v>
      </c>
      <c r="X25" s="8">
        <v>4.5236000000000001</v>
      </c>
      <c r="Y25" s="8">
        <v>1.5708</v>
      </c>
      <c r="Z25" s="8">
        <f t="shared" si="2"/>
        <v>-4.3300000000000005E-2</v>
      </c>
      <c r="AA25" s="8">
        <f t="shared" si="2"/>
        <v>4.2999999999999983E-3</v>
      </c>
      <c r="AB25" s="8">
        <f t="shared" si="2"/>
        <v>0.19490000000000007</v>
      </c>
      <c r="AC25" s="8">
        <f t="shared" si="2"/>
        <v>3.6732051034160662E-6</v>
      </c>
      <c r="AD25" s="8">
        <f t="shared" si="2"/>
        <v>7.0999999999999952E-3</v>
      </c>
      <c r="AE25" s="8">
        <f t="shared" si="2"/>
        <v>-1.55E-2</v>
      </c>
      <c r="AF25" s="8">
        <f t="shared" si="2"/>
        <v>-0.18839999999999968</v>
      </c>
      <c r="AG25" s="8">
        <f t="shared" si="2"/>
        <v>3.6732051034160662E-6</v>
      </c>
      <c r="AH25" s="22">
        <f t="shared" si="3"/>
        <v>2.52E-2</v>
      </c>
      <c r="AI25" s="22">
        <f t="shared" si="3"/>
        <v>9.8999999999999991E-3</v>
      </c>
      <c r="AJ25" s="22">
        <f t="shared" si="3"/>
        <v>0.19164999999999988</v>
      </c>
    </row>
    <row r="26" spans="1:36" x14ac:dyDescent="0.25">
      <c r="A26" s="10">
        <f>'Proximal Validation (double)'!A26</f>
        <v>0.7</v>
      </c>
      <c r="B26" s="11">
        <f>'Proximal Validation (double)'!B26</f>
        <v>0.16</v>
      </c>
      <c r="C26" s="10">
        <f>'Proximal Validation (double)'!C26</f>
        <v>3.927</v>
      </c>
      <c r="D26" s="10">
        <f>'Proximal Validation (double)'!D26</f>
        <v>1.5707963267948966</v>
      </c>
      <c r="E26" s="11">
        <f>'Proximal Validation (double)'!E26</f>
        <v>1</v>
      </c>
      <c r="F26" s="11">
        <f>'Proximal Validation (double)'!F26</f>
        <v>0.04</v>
      </c>
      <c r="G26" s="10">
        <f>'Proximal Validation (double)'!G26</f>
        <v>3.927</v>
      </c>
      <c r="H26" s="10">
        <f>'Proximal Validation (double)'!H26</f>
        <v>1.5707963267948966</v>
      </c>
      <c r="I26" s="10">
        <f>'Proximal Validation (double)'!I26</f>
        <v>1.2</v>
      </c>
      <c r="J26" s="10">
        <f>'Proximal Validation (double)'!J26</f>
        <v>0</v>
      </c>
      <c r="K26" s="10">
        <f>'Proximal Validation (double)'!K26</f>
        <v>0</v>
      </c>
      <c r="L26" s="8">
        <f>'Proximal Validation (double)'!L26</f>
        <v>-2.9902514070272398E-3</v>
      </c>
      <c r="M26" s="8">
        <f>'Proximal Validation (double)'!M26</f>
        <v>0.20048326253891</v>
      </c>
      <c r="N26" s="8">
        <f>'Proximal Validation (double)'!N26</f>
        <v>-0.21412828564643899</v>
      </c>
      <c r="O26" s="8">
        <f>'Proximal Validation (double)'!O26</f>
        <v>-0.35741558670997597</v>
      </c>
      <c r="P26" s="8">
        <f>'Proximal Validation (double)'!P26</f>
        <v>-1.1967084407806401</v>
      </c>
      <c r="Q26" s="8">
        <f>'Proximal Validation (double)'!Q26</f>
        <v>-1.0432312488555899</v>
      </c>
      <c r="R26" s="8">
        <v>0.87080000000000002</v>
      </c>
      <c r="S26" s="8">
        <v>9.0300000000000005E-2</v>
      </c>
      <c r="T26" s="8">
        <v>4.1566000000000001</v>
      </c>
      <c r="U26" s="8">
        <v>1.5708</v>
      </c>
      <c r="V26" s="8">
        <v>0.8367</v>
      </c>
      <c r="W26" s="8">
        <v>6.2700000000000006E-2</v>
      </c>
      <c r="X26" s="8">
        <v>3.5520999999999998</v>
      </c>
      <c r="Y26" s="8">
        <v>1.5708</v>
      </c>
      <c r="Z26" s="8">
        <f t="shared" si="2"/>
        <v>0.17080000000000006</v>
      </c>
      <c r="AA26" s="8">
        <f t="shared" si="2"/>
        <v>-6.9699999999999998E-2</v>
      </c>
      <c r="AB26" s="8">
        <f t="shared" si="2"/>
        <v>0.22960000000000003</v>
      </c>
      <c r="AC26" s="8">
        <f t="shared" si="2"/>
        <v>3.6732051034160662E-6</v>
      </c>
      <c r="AD26" s="8">
        <f t="shared" si="2"/>
        <v>-0.1633</v>
      </c>
      <c r="AE26" s="8">
        <f t="shared" si="2"/>
        <v>2.2700000000000005E-2</v>
      </c>
      <c r="AF26" s="8">
        <f t="shared" si="2"/>
        <v>-0.37490000000000023</v>
      </c>
      <c r="AG26" s="8">
        <f t="shared" si="2"/>
        <v>3.6732051034160662E-6</v>
      </c>
      <c r="AH26" s="22">
        <f t="shared" si="3"/>
        <v>0.16705000000000003</v>
      </c>
      <c r="AI26" s="22">
        <f t="shared" si="3"/>
        <v>4.6200000000000005E-2</v>
      </c>
      <c r="AJ26" s="22">
        <f t="shared" si="3"/>
        <v>0.30225000000000013</v>
      </c>
    </row>
    <row r="27" spans="1:36" x14ac:dyDescent="0.25">
      <c r="A27" s="10">
        <f>'Proximal Validation (double)'!A27</f>
        <v>0.1</v>
      </c>
      <c r="B27" s="11">
        <f>'Proximal Validation (double)'!B27</f>
        <v>0.18</v>
      </c>
      <c r="C27" s="10">
        <f>'Proximal Validation (double)'!C27</f>
        <v>3.927</v>
      </c>
      <c r="D27" s="10">
        <f>'Proximal Validation (double)'!D27</f>
        <v>1.5707963267948966</v>
      </c>
      <c r="E27" s="11">
        <f>'Proximal Validation (double)'!E27</f>
        <v>0.9</v>
      </c>
      <c r="F27" s="11">
        <f>'Proximal Validation (double)'!F27</f>
        <v>0.08</v>
      </c>
      <c r="G27" s="10">
        <f>'Proximal Validation (double)'!G27</f>
        <v>3.1419999999999999</v>
      </c>
      <c r="H27" s="10">
        <f>'Proximal Validation (double)'!H27</f>
        <v>1.5707963267948966</v>
      </c>
      <c r="I27" s="10">
        <f>'Proximal Validation (double)'!I27</f>
        <v>0.6</v>
      </c>
      <c r="J27" s="10">
        <f>'Proximal Validation (double)'!J27</f>
        <v>0</v>
      </c>
      <c r="K27" s="10">
        <f>'Proximal Validation (double)'!K27</f>
        <v>0</v>
      </c>
      <c r="L27" s="8">
        <f>'Proximal Validation (double)'!L27</f>
        <v>-2.0198281854391098E-3</v>
      </c>
      <c r="M27" s="8">
        <f>'Proximal Validation (double)'!M27</f>
        <v>2.0925674587488199E-2</v>
      </c>
      <c r="N27" s="8">
        <f>'Proximal Validation (double)'!N27</f>
        <v>-0.17995955049991599</v>
      </c>
      <c r="O27" s="8">
        <f>'Proximal Validation (double)'!O27</f>
        <v>-0.152651637792587</v>
      </c>
      <c r="P27" s="8">
        <f>'Proximal Validation (double)'!P27</f>
        <v>-0.97161656618118297</v>
      </c>
      <c r="Q27" s="8">
        <f>'Proximal Validation (double)'!Q27</f>
        <v>-4.6399652957916301E-2</v>
      </c>
      <c r="R27" s="8">
        <v>0.61660000000000004</v>
      </c>
      <c r="S27" s="8">
        <v>0.1008</v>
      </c>
      <c r="T27" s="8">
        <v>3.5787</v>
      </c>
      <c r="U27" s="8">
        <v>1.5708</v>
      </c>
      <c r="V27" s="8">
        <v>0.47589999999999999</v>
      </c>
      <c r="W27" s="8">
        <v>5.74E-2</v>
      </c>
      <c r="X27" s="8">
        <v>2.6795</v>
      </c>
      <c r="Y27" s="8">
        <v>1.5708</v>
      </c>
      <c r="Z27" s="8">
        <f t="shared" si="2"/>
        <v>0.51660000000000006</v>
      </c>
      <c r="AA27" s="8">
        <f t="shared" si="2"/>
        <v>-7.9199999999999993E-2</v>
      </c>
      <c r="AB27" s="8">
        <f t="shared" si="2"/>
        <v>-0.34830000000000005</v>
      </c>
      <c r="AC27" s="8">
        <f t="shared" si="2"/>
        <v>3.6732051034160662E-6</v>
      </c>
      <c r="AD27" s="8">
        <f t="shared" si="2"/>
        <v>-0.42410000000000003</v>
      </c>
      <c r="AE27" s="8">
        <f t="shared" si="2"/>
        <v>-2.2600000000000002E-2</v>
      </c>
      <c r="AF27" s="8">
        <f t="shared" si="2"/>
        <v>-0.46249999999999991</v>
      </c>
      <c r="AG27" s="8">
        <f t="shared" si="2"/>
        <v>3.6732051034160662E-6</v>
      </c>
      <c r="AH27" s="22">
        <f t="shared" si="3"/>
        <v>0.47035000000000005</v>
      </c>
      <c r="AI27" s="22">
        <f t="shared" si="3"/>
        <v>5.0900000000000001E-2</v>
      </c>
      <c r="AJ27" s="22">
        <f t="shared" si="3"/>
        <v>0.40539999999999998</v>
      </c>
    </row>
    <row r="28" spans="1:36" x14ac:dyDescent="0.25">
      <c r="A28" s="10">
        <f>'Proximal Validation (double)'!A28</f>
        <v>1</v>
      </c>
      <c r="B28" s="11">
        <f>'Proximal Validation (double)'!B28</f>
        <v>0.18</v>
      </c>
      <c r="C28" s="10">
        <f>'Proximal Validation (double)'!C28</f>
        <v>3.927</v>
      </c>
      <c r="D28" s="10">
        <f>'Proximal Validation (double)'!D28</f>
        <v>1.5707963267948966</v>
      </c>
      <c r="E28" s="11">
        <f>'Proximal Validation (double)'!E28</f>
        <v>0.1</v>
      </c>
      <c r="F28" s="11">
        <f>'Proximal Validation (double)'!F28</f>
        <v>0.08</v>
      </c>
      <c r="G28" s="10">
        <f>'Proximal Validation (double)'!G28</f>
        <v>4.7119999999999997</v>
      </c>
      <c r="H28" s="10">
        <f>'Proximal Validation (double)'!H28</f>
        <v>1.5707963267948966</v>
      </c>
      <c r="I28" s="10">
        <f>'Proximal Validation (double)'!I28</f>
        <v>1.4</v>
      </c>
      <c r="J28" s="10">
        <f>'Proximal Validation (double)'!J28</f>
        <v>0</v>
      </c>
      <c r="K28" s="10">
        <f>'Proximal Validation (double)'!K28</f>
        <v>0</v>
      </c>
      <c r="L28" s="8">
        <f>'Proximal Validation (double)'!L28</f>
        <v>-3.2074763439595699E-3</v>
      </c>
      <c r="M28" s="8">
        <f>'Proximal Validation (double)'!M28</f>
        <v>0.20627745985984799</v>
      </c>
      <c r="N28" s="8">
        <f>'Proximal Validation (double)'!N28</f>
        <v>-0.18315301835537001</v>
      </c>
      <c r="O28" s="8">
        <f>'Proximal Validation (double)'!O28</f>
        <v>-0.56037515401840199</v>
      </c>
      <c r="P28" s="8">
        <f>'Proximal Validation (double)'!P28</f>
        <v>-0.63611704111099199</v>
      </c>
      <c r="Q28" s="8">
        <f>'Proximal Validation (double)'!Q28</f>
        <v>-0.73725110292434703</v>
      </c>
      <c r="R28" s="8">
        <v>0.56640000000000001</v>
      </c>
      <c r="S28" s="8">
        <v>0.158</v>
      </c>
      <c r="T28" s="8">
        <v>3.8382000000000001</v>
      </c>
      <c r="U28" s="8">
        <v>1.5708</v>
      </c>
      <c r="V28" s="8">
        <v>0.57540000000000002</v>
      </c>
      <c r="W28" s="8">
        <v>0.125</v>
      </c>
      <c r="X28" s="8">
        <v>4.1524000000000001</v>
      </c>
      <c r="Y28" s="8">
        <v>1.5708</v>
      </c>
      <c r="Z28" s="8">
        <f t="shared" si="2"/>
        <v>-0.43359999999999999</v>
      </c>
      <c r="AA28" s="8">
        <f t="shared" si="2"/>
        <v>-2.1999999999999992E-2</v>
      </c>
      <c r="AB28" s="8">
        <f t="shared" si="2"/>
        <v>-8.879999999999999E-2</v>
      </c>
      <c r="AC28" s="8">
        <f t="shared" si="2"/>
        <v>3.6732051034160662E-6</v>
      </c>
      <c r="AD28" s="8">
        <f t="shared" si="2"/>
        <v>0.47540000000000004</v>
      </c>
      <c r="AE28" s="8">
        <f t="shared" si="2"/>
        <v>4.4999999999999998E-2</v>
      </c>
      <c r="AF28" s="8">
        <f t="shared" si="2"/>
        <v>-0.55959999999999965</v>
      </c>
      <c r="AG28" s="8">
        <f t="shared" si="2"/>
        <v>3.6732051034160662E-6</v>
      </c>
      <c r="AH28" s="22">
        <f t="shared" si="3"/>
        <v>0.45450000000000002</v>
      </c>
      <c r="AI28" s="22">
        <f t="shared" si="3"/>
        <v>3.3499999999999995E-2</v>
      </c>
      <c r="AJ28" s="22">
        <f t="shared" si="3"/>
        <v>0.32419999999999982</v>
      </c>
    </row>
    <row r="29" spans="1:36" x14ac:dyDescent="0.25">
      <c r="A29" s="10">
        <f>'Proximal Validation (double)'!A29</f>
        <v>0.7</v>
      </c>
      <c r="B29" s="11">
        <f>'Proximal Validation (double)'!B29</f>
        <v>0.2</v>
      </c>
      <c r="C29" s="10">
        <f>'Proximal Validation (double)'!C29</f>
        <v>3.927</v>
      </c>
      <c r="D29" s="10">
        <f>'Proximal Validation (double)'!D29</f>
        <v>1.5707963267948966</v>
      </c>
      <c r="E29" s="11">
        <f>'Proximal Validation (double)'!E29</f>
        <v>0.2</v>
      </c>
      <c r="F29" s="11">
        <f>'Proximal Validation (double)'!F29</f>
        <v>0.02</v>
      </c>
      <c r="G29" s="10">
        <f>'Proximal Validation (double)'!G29</f>
        <v>3.927</v>
      </c>
      <c r="H29" s="10">
        <f>'Proximal Validation (double)'!H29</f>
        <v>1.5707963267948966</v>
      </c>
      <c r="I29" s="10">
        <f>'Proximal Validation (double)'!I29</f>
        <v>0.4</v>
      </c>
      <c r="J29" s="10">
        <f>'Proximal Validation (double)'!J29</f>
        <v>0</v>
      </c>
      <c r="K29" s="10">
        <f>'Proximal Validation (double)'!K29</f>
        <v>0</v>
      </c>
      <c r="L29" s="8">
        <f>'Proximal Validation (double)'!L29</f>
        <v>-7.4698124080896399E-4</v>
      </c>
      <c r="M29" s="8">
        <f>'Proximal Validation (double)'!M29</f>
        <v>0.110706090927124</v>
      </c>
      <c r="N29" s="8">
        <f>'Proximal Validation (double)'!N29</f>
        <v>-0.128691270947456</v>
      </c>
      <c r="O29" s="8">
        <f>'Proximal Validation (double)'!O29</f>
        <v>-0.39982143044471702</v>
      </c>
      <c r="P29" s="8">
        <f>'Proximal Validation (double)'!P29</f>
        <v>-0.49842935800552401</v>
      </c>
      <c r="Q29" s="8">
        <f>'Proximal Validation (double)'!Q29</f>
        <v>-0.30814808607101402</v>
      </c>
      <c r="R29" s="8">
        <v>0.71199999999999997</v>
      </c>
      <c r="S29" s="8">
        <v>0.19789999999999999</v>
      </c>
      <c r="T29" s="8">
        <v>4.2606999999999999</v>
      </c>
      <c r="U29" s="8">
        <v>1.5708</v>
      </c>
      <c r="V29" s="8">
        <v>0.3609</v>
      </c>
      <c r="W29" s="8">
        <v>0.1278</v>
      </c>
      <c r="X29" s="8">
        <v>2.419</v>
      </c>
      <c r="Y29" s="8">
        <v>1.5708</v>
      </c>
      <c r="Z29" s="8">
        <f t="shared" si="2"/>
        <v>1.2000000000000011E-2</v>
      </c>
      <c r="AA29" s="8">
        <f t="shared" si="2"/>
        <v>-2.1000000000000185E-3</v>
      </c>
      <c r="AB29" s="8">
        <f t="shared" si="2"/>
        <v>0.33369999999999989</v>
      </c>
      <c r="AC29" s="8">
        <f t="shared" si="2"/>
        <v>3.6732051034160662E-6</v>
      </c>
      <c r="AD29" s="8">
        <f t="shared" si="2"/>
        <v>0.16089999999999999</v>
      </c>
      <c r="AE29" s="8">
        <f t="shared" si="2"/>
        <v>0.10779999999999999</v>
      </c>
      <c r="AF29" s="8">
        <f t="shared" si="2"/>
        <v>-1.508</v>
      </c>
      <c r="AG29" s="8">
        <f t="shared" si="2"/>
        <v>3.6732051034160662E-6</v>
      </c>
      <c r="AH29" s="22">
        <f t="shared" si="3"/>
        <v>8.6449999999999999E-2</v>
      </c>
      <c r="AI29" s="22">
        <f t="shared" si="3"/>
        <v>5.4950000000000006E-2</v>
      </c>
      <c r="AJ29" s="22">
        <f t="shared" si="3"/>
        <v>0.92084999999999995</v>
      </c>
    </row>
    <row r="30" spans="1:36" x14ac:dyDescent="0.25">
      <c r="A30" s="10">
        <f>'Proximal Validation (double)'!A30</f>
        <v>1</v>
      </c>
      <c r="B30" s="11">
        <f>'Proximal Validation (double)'!B30</f>
        <v>0.2</v>
      </c>
      <c r="C30" s="10">
        <f>'Proximal Validation (double)'!C30</f>
        <v>3.927</v>
      </c>
      <c r="D30" s="10">
        <f>'Proximal Validation (double)'!D30</f>
        <v>1.5707963267948966</v>
      </c>
      <c r="E30" s="11">
        <f>'Proximal Validation (double)'!E30</f>
        <v>1</v>
      </c>
      <c r="F30" s="11">
        <f>'Proximal Validation (double)'!F30</f>
        <v>0.06</v>
      </c>
      <c r="G30" s="10">
        <f>'Proximal Validation (double)'!G30</f>
        <v>3.927</v>
      </c>
      <c r="H30" s="10">
        <f>'Proximal Validation (double)'!H30</f>
        <v>1.5707963267948966</v>
      </c>
      <c r="I30" s="10">
        <f>'Proximal Validation (double)'!I30</f>
        <v>0.2</v>
      </c>
      <c r="J30" s="10">
        <f>'Proximal Validation (double)'!J30</f>
        <v>0</v>
      </c>
      <c r="K30" s="10">
        <f>'Proximal Validation (double)'!K30</f>
        <v>0</v>
      </c>
      <c r="L30" s="8">
        <f>'Proximal Validation (double)'!L30</f>
        <v>-3.93409747630358E-3</v>
      </c>
      <c r="M30" s="8">
        <f>'Proximal Validation (double)'!M30</f>
        <v>0.26014894247055098</v>
      </c>
      <c r="N30" s="8">
        <f>'Proximal Validation (double)'!N30</f>
        <v>-0.247706294059753</v>
      </c>
      <c r="O30" s="8">
        <f>'Proximal Validation (double)'!O30</f>
        <v>-0.95730906724929798</v>
      </c>
      <c r="P30" s="8">
        <f>'Proximal Validation (double)'!P30</f>
        <v>-1.0179207324981701</v>
      </c>
      <c r="Q30" s="8">
        <f>'Proximal Validation (double)'!Q30</f>
        <v>-0.96642386913299605</v>
      </c>
      <c r="R30" s="8">
        <v>0.84330000000000005</v>
      </c>
      <c r="S30" s="8">
        <v>0.16489999999999999</v>
      </c>
      <c r="T30" s="8">
        <v>4.1058000000000003</v>
      </c>
      <c r="U30" s="8">
        <v>1.5708</v>
      </c>
      <c r="V30" s="8">
        <v>0.89170000000000005</v>
      </c>
      <c r="W30" s="8">
        <v>8.3599999999999994E-2</v>
      </c>
      <c r="X30" s="8">
        <v>3.7412999999999998</v>
      </c>
      <c r="Y30" s="8">
        <v>1.5708</v>
      </c>
      <c r="Z30" s="8">
        <f t="shared" si="2"/>
        <v>-0.15669999999999995</v>
      </c>
      <c r="AA30" s="8">
        <f t="shared" si="2"/>
        <v>-3.510000000000002E-2</v>
      </c>
      <c r="AB30" s="8">
        <f t="shared" si="2"/>
        <v>0.17880000000000029</v>
      </c>
      <c r="AC30" s="8">
        <f t="shared" si="2"/>
        <v>3.6732051034160662E-6</v>
      </c>
      <c r="AD30" s="8">
        <f t="shared" si="2"/>
        <v>-0.10829999999999995</v>
      </c>
      <c r="AE30" s="8">
        <f t="shared" si="2"/>
        <v>2.3599999999999996E-2</v>
      </c>
      <c r="AF30" s="8">
        <f t="shared" si="2"/>
        <v>-0.1857000000000002</v>
      </c>
      <c r="AG30" s="8">
        <f t="shared" si="2"/>
        <v>3.6732051034160662E-6</v>
      </c>
      <c r="AH30" s="22">
        <f t="shared" si="3"/>
        <v>0.13249999999999995</v>
      </c>
      <c r="AI30" s="22">
        <f t="shared" si="3"/>
        <v>2.9350000000000008E-2</v>
      </c>
      <c r="AJ30" s="22">
        <f t="shared" si="3"/>
        <v>0.18225000000000025</v>
      </c>
    </row>
    <row r="31" spans="1:36" x14ac:dyDescent="0.25">
      <c r="A31" s="10">
        <f>'Proximal Validation (double)'!A31</f>
        <v>0.1</v>
      </c>
      <c r="B31" s="11">
        <f>'Proximal Validation (double)'!B31</f>
        <v>0.1</v>
      </c>
      <c r="C31" s="10">
        <f>'Proximal Validation (double)'!C31</f>
        <v>4.7119999999999997</v>
      </c>
      <c r="D31" s="10">
        <f>'Proximal Validation (double)'!D31</f>
        <v>1.5707963267948966</v>
      </c>
      <c r="E31" s="11">
        <f>'Proximal Validation (double)'!E31</f>
        <v>0.2</v>
      </c>
      <c r="F31" s="11">
        <f>'Proximal Validation (double)'!F31</f>
        <v>0.02</v>
      </c>
      <c r="G31" s="10">
        <f>'Proximal Validation (double)'!G31</f>
        <v>3.1419999999999999</v>
      </c>
      <c r="H31" s="10">
        <f>'Proximal Validation (double)'!H31</f>
        <v>1.5707963267948966</v>
      </c>
      <c r="I31" s="10">
        <f>'Proximal Validation (double)'!I31</f>
        <v>0</v>
      </c>
      <c r="J31" s="10">
        <f>'Proximal Validation (double)'!J31</f>
        <v>0</v>
      </c>
      <c r="K31" s="10">
        <f>'Proximal Validation (double)'!K31</f>
        <v>0</v>
      </c>
      <c r="L31" s="8">
        <f>'Proximal Validation (double)'!L31</f>
        <v>-2.4949701037257899E-4</v>
      </c>
      <c r="M31" s="8">
        <f>'Proximal Validation (double)'!M31</f>
        <v>1.1188399977982001E-2</v>
      </c>
      <c r="N31" s="8">
        <f>'Proximal Validation (double)'!N31</f>
        <v>-2.3344287648797001E-2</v>
      </c>
      <c r="O31" s="8">
        <f>'Proximal Validation (double)'!O31</f>
        <v>-4.5918696559965602E-3</v>
      </c>
      <c r="P31" s="8">
        <f>'Proximal Validation (double)'!P31</f>
        <v>-0.20488628745078999</v>
      </c>
      <c r="Q31" s="8">
        <f>'Proximal Validation (double)'!Q31</f>
        <v>-6.8177700042724595E-2</v>
      </c>
      <c r="R31" s="8">
        <v>0.49959999999999999</v>
      </c>
      <c r="S31" s="8">
        <v>0.1754</v>
      </c>
      <c r="T31" s="8">
        <v>0.1578</v>
      </c>
      <c r="U31" s="8">
        <v>1.5708</v>
      </c>
      <c r="V31" s="8">
        <v>0.71309999999999996</v>
      </c>
      <c r="W31" s="8">
        <v>0.1313</v>
      </c>
      <c r="X31" s="8">
        <v>3.3483999999999998</v>
      </c>
      <c r="Y31" s="8">
        <v>1.5708</v>
      </c>
      <c r="Z31" s="8">
        <f t="shared" si="2"/>
        <v>0.39959999999999996</v>
      </c>
      <c r="AA31" s="8">
        <f t="shared" si="2"/>
        <v>7.5399999999999995E-2</v>
      </c>
      <c r="AB31" s="8">
        <f t="shared" si="2"/>
        <v>-4.5541999999999998</v>
      </c>
      <c r="AC31" s="8">
        <f t="shared" si="2"/>
        <v>3.6732051034160662E-6</v>
      </c>
      <c r="AD31" s="8">
        <f t="shared" si="2"/>
        <v>0.51309999999999989</v>
      </c>
      <c r="AE31" s="8">
        <f t="shared" si="2"/>
        <v>0.1113</v>
      </c>
      <c r="AF31" s="8">
        <f t="shared" si="2"/>
        <v>0.20639999999999992</v>
      </c>
      <c r="AG31" s="8">
        <f t="shared" si="2"/>
        <v>3.6732051034160662E-6</v>
      </c>
      <c r="AH31" s="22">
        <f t="shared" si="3"/>
        <v>0.45634999999999992</v>
      </c>
      <c r="AI31" s="22">
        <f t="shared" si="3"/>
        <v>9.3349999999999989E-2</v>
      </c>
      <c r="AJ31" s="22">
        <f t="shared" si="3"/>
        <v>2.3803000000000001</v>
      </c>
    </row>
    <row r="32" spans="1:36" x14ac:dyDescent="0.25">
      <c r="A32" s="10">
        <f>'Proximal Validation (double)'!A32</f>
        <v>0.3</v>
      </c>
      <c r="B32" s="11">
        <f>'Proximal Validation (double)'!B32</f>
        <v>0.1</v>
      </c>
      <c r="C32" s="10">
        <f>'Proximal Validation (double)'!C32</f>
        <v>4.7119999999999997</v>
      </c>
      <c r="D32" s="10">
        <f>'Proximal Validation (double)'!D32</f>
        <v>1.5707963267948966</v>
      </c>
      <c r="E32" s="11">
        <f>'Proximal Validation (double)'!E32</f>
        <v>0.8</v>
      </c>
      <c r="F32" s="11">
        <f>'Proximal Validation (double)'!F32</f>
        <v>0.04</v>
      </c>
      <c r="G32" s="10">
        <f>'Proximal Validation (double)'!G32</f>
        <v>3.927</v>
      </c>
      <c r="H32" s="10">
        <f>'Proximal Validation (double)'!H32</f>
        <v>1.5707963267948966</v>
      </c>
      <c r="I32" s="10">
        <f>'Proximal Validation (double)'!I32</f>
        <v>0.4</v>
      </c>
      <c r="J32" s="10">
        <f>'Proximal Validation (double)'!J32</f>
        <v>0</v>
      </c>
      <c r="K32" s="10">
        <f>'Proximal Validation (double)'!K32</f>
        <v>0</v>
      </c>
      <c r="L32" s="8">
        <f>'Proximal Validation (double)'!L32</f>
        <v>-1.44378747791052E-4</v>
      </c>
      <c r="M32" s="8">
        <f>'Proximal Validation (double)'!M32</f>
        <v>0.122855387628078</v>
      </c>
      <c r="N32" s="8">
        <f>'Proximal Validation (double)'!N32</f>
        <v>-6.9621779024600997E-2</v>
      </c>
      <c r="O32" s="8">
        <f>'Proximal Validation (double)'!O32</f>
        <v>-7.5552083551883698E-2</v>
      </c>
      <c r="P32" s="8">
        <f>'Proximal Validation (double)'!P32</f>
        <v>-0.53028601408004805</v>
      </c>
      <c r="Q32" s="8">
        <f>'Proximal Validation (double)'!Q32</f>
        <v>-0.79531830549240101</v>
      </c>
      <c r="R32" s="8">
        <v>0.42</v>
      </c>
      <c r="S32" s="8">
        <v>9.69E-2</v>
      </c>
      <c r="T32" s="8">
        <v>4.5042</v>
      </c>
      <c r="U32" s="8">
        <v>1.5708</v>
      </c>
      <c r="V32" s="8">
        <v>0.58919999999999995</v>
      </c>
      <c r="W32" s="8">
        <v>3.2399999999999998E-2</v>
      </c>
      <c r="X32" s="8">
        <v>3.8582999999999998</v>
      </c>
      <c r="Y32" s="8">
        <v>1.5708</v>
      </c>
      <c r="Z32" s="8">
        <f t="shared" si="2"/>
        <v>0.12</v>
      </c>
      <c r="AA32" s="8">
        <f t="shared" si="2"/>
        <v>-3.1000000000000055E-3</v>
      </c>
      <c r="AB32" s="8">
        <f t="shared" si="2"/>
        <v>-0.20779999999999976</v>
      </c>
      <c r="AC32" s="8">
        <f t="shared" si="2"/>
        <v>3.6732051034160662E-6</v>
      </c>
      <c r="AD32" s="8">
        <f t="shared" si="2"/>
        <v>-0.2108000000000001</v>
      </c>
      <c r="AE32" s="8">
        <f t="shared" si="2"/>
        <v>-7.6000000000000026E-3</v>
      </c>
      <c r="AF32" s="8">
        <f t="shared" si="2"/>
        <v>-6.8700000000000205E-2</v>
      </c>
      <c r="AG32" s="8">
        <f t="shared" si="2"/>
        <v>3.6732051034160662E-6</v>
      </c>
      <c r="AH32" s="22">
        <f t="shared" si="3"/>
        <v>0.16540000000000005</v>
      </c>
      <c r="AI32" s="22">
        <f t="shared" si="3"/>
        <v>5.3500000000000041E-3</v>
      </c>
      <c r="AJ32" s="22">
        <f t="shared" si="3"/>
        <v>0.13824999999999998</v>
      </c>
    </row>
    <row r="33" spans="1:36" x14ac:dyDescent="0.25">
      <c r="A33" s="10">
        <f>'Proximal Validation (double)'!A33</f>
        <v>1</v>
      </c>
      <c r="B33" s="11">
        <f>'Proximal Validation (double)'!B33</f>
        <v>0.1</v>
      </c>
      <c r="C33" s="10">
        <f>'Proximal Validation (double)'!C33</f>
        <v>4.7119999999999997</v>
      </c>
      <c r="D33" s="10">
        <f>'Proximal Validation (double)'!D33</f>
        <v>1.5707963267948966</v>
      </c>
      <c r="E33" s="11">
        <f>'Proximal Validation (double)'!E33</f>
        <v>0.1</v>
      </c>
      <c r="F33" s="11">
        <f>'Proximal Validation (double)'!F33</f>
        <v>0.04</v>
      </c>
      <c r="G33" s="10">
        <f>'Proximal Validation (double)'!G33</f>
        <v>4.7119999999999997</v>
      </c>
      <c r="H33" s="10">
        <f>'Proximal Validation (double)'!H33</f>
        <v>1.5707963267948966</v>
      </c>
      <c r="I33" s="10">
        <f>'Proximal Validation (double)'!I33</f>
        <v>0</v>
      </c>
      <c r="J33" s="10">
        <f>'Proximal Validation (double)'!J33</f>
        <v>0</v>
      </c>
      <c r="K33" s="10">
        <f>'Proximal Validation (double)'!K33</f>
        <v>0</v>
      </c>
      <c r="L33" s="8">
        <f>'Proximal Validation (double)'!L33</f>
        <v>2.13603163138032E-3</v>
      </c>
      <c r="M33" s="8">
        <f>'Proximal Validation (double)'!M33</f>
        <v>0.22294643521308899</v>
      </c>
      <c r="N33" s="8">
        <f>'Proximal Validation (double)'!N33</f>
        <v>-3.3264472149312501E-3</v>
      </c>
      <c r="O33" s="8">
        <f>'Proximal Validation (double)'!O33</f>
        <v>-0.25940474867820701</v>
      </c>
      <c r="P33" s="8">
        <f>'Proximal Validation (double)'!P33</f>
        <v>-2.7135983109474199E-2</v>
      </c>
      <c r="Q33" s="8">
        <f>'Proximal Validation (double)'!Q33</f>
        <v>-1.17376625537872</v>
      </c>
      <c r="R33" s="8">
        <v>0.3322</v>
      </c>
      <c r="S33" s="8">
        <v>0.1052</v>
      </c>
      <c r="T33" s="8">
        <v>4.8952999999999998</v>
      </c>
      <c r="U33" s="8">
        <v>1.5708</v>
      </c>
      <c r="V33" s="8">
        <v>0.88100000000000001</v>
      </c>
      <c r="W33" s="8">
        <v>8.2299999999999998E-2</v>
      </c>
      <c r="X33" s="8">
        <v>4.6131000000000002</v>
      </c>
      <c r="Y33" s="8">
        <v>1.5708</v>
      </c>
      <c r="Z33" s="8">
        <f t="shared" si="2"/>
        <v>-0.66779999999999995</v>
      </c>
      <c r="AA33" s="8">
        <f t="shared" si="2"/>
        <v>5.1999999999999963E-3</v>
      </c>
      <c r="AB33" s="8">
        <f t="shared" si="2"/>
        <v>0.18330000000000002</v>
      </c>
      <c r="AC33" s="8">
        <f t="shared" si="2"/>
        <v>3.6732051034160662E-6</v>
      </c>
      <c r="AD33" s="8">
        <f t="shared" si="2"/>
        <v>0.78100000000000003</v>
      </c>
      <c r="AE33" s="8">
        <f t="shared" si="2"/>
        <v>4.2299999999999997E-2</v>
      </c>
      <c r="AF33" s="8">
        <f t="shared" si="2"/>
        <v>-9.8899999999999544E-2</v>
      </c>
      <c r="AG33" s="8">
        <f t="shared" si="2"/>
        <v>3.6732051034160662E-6</v>
      </c>
      <c r="AH33" s="22">
        <f t="shared" si="3"/>
        <v>0.72439999999999993</v>
      </c>
      <c r="AI33" s="22">
        <f t="shared" si="3"/>
        <v>2.3749999999999997E-2</v>
      </c>
      <c r="AJ33" s="22">
        <f t="shared" si="3"/>
        <v>0.14109999999999978</v>
      </c>
    </row>
    <row r="34" spans="1:36" x14ac:dyDescent="0.25">
      <c r="A34" s="10">
        <f>'Proximal Validation (double)'!A34</f>
        <v>0.1</v>
      </c>
      <c r="B34" s="11">
        <f>'Proximal Validation (double)'!B34</f>
        <v>0.1</v>
      </c>
      <c r="C34" s="10">
        <f>'Proximal Validation (double)'!C34</f>
        <v>4.7119999999999997</v>
      </c>
      <c r="D34" s="10">
        <f>'Proximal Validation (double)'!D34</f>
        <v>1.5707963267948966</v>
      </c>
      <c r="E34" s="11">
        <f>'Proximal Validation (double)'!E34</f>
        <v>1</v>
      </c>
      <c r="F34" s="11">
        <f>'Proximal Validation (double)'!F34</f>
        <v>0.08</v>
      </c>
      <c r="G34" s="10">
        <f>'Proximal Validation (double)'!G34</f>
        <v>4.7119999999999997</v>
      </c>
      <c r="H34" s="10">
        <f>'Proximal Validation (double)'!H34</f>
        <v>1.5707963267948966</v>
      </c>
      <c r="I34" s="10">
        <f>'Proximal Validation (double)'!I34</f>
        <v>1.4</v>
      </c>
      <c r="J34" s="10">
        <f>'Proximal Validation (double)'!J34</f>
        <v>0</v>
      </c>
      <c r="K34" s="10">
        <f>'Proximal Validation (double)'!K34</f>
        <v>0</v>
      </c>
      <c r="L34" s="8">
        <f>'Proximal Validation (double)'!L34</f>
        <v>-2.9623867012560398E-3</v>
      </c>
      <c r="M34" s="8">
        <f>'Proximal Validation (double)'!M34</f>
        <v>0.167345225811005</v>
      </c>
      <c r="N34" s="8">
        <f>'Proximal Validation (double)'!N34</f>
        <v>-2.4530226364731799E-2</v>
      </c>
      <c r="O34" s="8">
        <f>'Proximal Validation (double)'!O34</f>
        <v>-0.11945986747741701</v>
      </c>
      <c r="P34" s="8">
        <f>'Proximal Validation (double)'!P34</f>
        <v>-0.14860638976097101</v>
      </c>
      <c r="Q34" s="8">
        <f>'Proximal Validation (double)'!Q34</f>
        <v>-0.949754118919373</v>
      </c>
      <c r="R34" s="8">
        <v>0.1089</v>
      </c>
      <c r="S34" s="8">
        <v>8.4699999999999998E-2</v>
      </c>
      <c r="T34" s="8">
        <v>6.1000000000000004E-3</v>
      </c>
      <c r="U34" s="8">
        <v>1.5708</v>
      </c>
      <c r="V34" s="8">
        <v>0.99350000000000005</v>
      </c>
      <c r="W34" s="8">
        <v>7.51E-2</v>
      </c>
      <c r="X34" s="8">
        <v>4.4485999999999999</v>
      </c>
      <c r="Y34" s="8">
        <v>1.5708</v>
      </c>
      <c r="Z34" s="8">
        <f t="shared" si="2"/>
        <v>8.8999999999999913E-3</v>
      </c>
      <c r="AA34" s="8">
        <f t="shared" si="2"/>
        <v>-1.5300000000000008E-2</v>
      </c>
      <c r="AB34" s="8">
        <f t="shared" si="2"/>
        <v>-4.7058999999999997</v>
      </c>
      <c r="AC34" s="8">
        <f t="shared" si="2"/>
        <v>3.6732051034160662E-6</v>
      </c>
      <c r="AD34" s="8">
        <f t="shared" si="2"/>
        <v>-6.4999999999999503E-3</v>
      </c>
      <c r="AE34" s="8">
        <f t="shared" si="2"/>
        <v>-4.9000000000000016E-3</v>
      </c>
      <c r="AF34" s="8">
        <f t="shared" si="2"/>
        <v>-0.26339999999999986</v>
      </c>
      <c r="AG34" s="8">
        <f t="shared" si="2"/>
        <v>3.6732051034160662E-6</v>
      </c>
      <c r="AH34" s="22">
        <f t="shared" si="3"/>
        <v>7.6999999999999708E-3</v>
      </c>
      <c r="AI34" s="22">
        <f t="shared" si="3"/>
        <v>1.0100000000000005E-2</v>
      </c>
      <c r="AJ34" s="22">
        <f t="shared" si="3"/>
        <v>2.4846499999999998</v>
      </c>
    </row>
    <row r="35" spans="1:36" x14ac:dyDescent="0.25">
      <c r="A35" s="10">
        <f>'Proximal Validation (double)'!A35</f>
        <v>0.9</v>
      </c>
      <c r="B35" s="11">
        <f>'Proximal Validation (double)'!B35</f>
        <v>0.12</v>
      </c>
      <c r="C35" s="10">
        <f>'Proximal Validation (double)'!C35</f>
        <v>4.7119999999999997</v>
      </c>
      <c r="D35" s="10">
        <f>'Proximal Validation (double)'!D35</f>
        <v>1.5707963267948966</v>
      </c>
      <c r="E35" s="11">
        <f>'Proximal Validation (double)'!E35</f>
        <v>0.9</v>
      </c>
      <c r="F35" s="11">
        <f>'Proximal Validation (double)'!F35</f>
        <v>0.02</v>
      </c>
      <c r="G35" s="10">
        <f>'Proximal Validation (double)'!G35</f>
        <v>3.1419999999999999</v>
      </c>
      <c r="H35" s="10">
        <f>'Proximal Validation (double)'!H35</f>
        <v>1.5707963267948966</v>
      </c>
      <c r="I35" s="10">
        <f>'Proximal Validation (double)'!I35</f>
        <v>0</v>
      </c>
      <c r="J35" s="10">
        <f>'Proximal Validation (double)'!J35</f>
        <v>0</v>
      </c>
      <c r="K35" s="10">
        <f>'Proximal Validation (double)'!K35</f>
        <v>0</v>
      </c>
      <c r="L35" s="8">
        <f>'Proximal Validation (double)'!L35</f>
        <v>-7.8027322888374296E-4</v>
      </c>
      <c r="M35" s="8">
        <f>'Proximal Validation (double)'!M35</f>
        <v>0.20929773151874501</v>
      </c>
      <c r="N35" s="8">
        <f>'Proximal Validation (double)'!N35</f>
        <v>-9.5626659691333799E-2</v>
      </c>
      <c r="O35" s="8">
        <f>'Proximal Validation (double)'!O35</f>
        <v>-0.33798754215240501</v>
      </c>
      <c r="P35" s="8">
        <f>'Proximal Validation (double)'!P35</f>
        <v>-0.8543701171875</v>
      </c>
      <c r="Q35" s="8">
        <f>'Proximal Validation (double)'!Q35</f>
        <v>-0.97470813989639304</v>
      </c>
      <c r="R35" s="8">
        <v>0.79590000000000005</v>
      </c>
      <c r="S35" s="8">
        <v>0.1457</v>
      </c>
      <c r="T35" s="8">
        <v>4.6913</v>
      </c>
      <c r="U35" s="8">
        <v>1.5708</v>
      </c>
      <c r="V35" s="8">
        <v>0.87529999999999997</v>
      </c>
      <c r="W35" s="8">
        <v>2.01E-2</v>
      </c>
      <c r="X35" s="8">
        <v>3.4226999999999999</v>
      </c>
      <c r="Y35" s="8">
        <v>1.5708</v>
      </c>
      <c r="Z35" s="8">
        <f t="shared" si="2"/>
        <v>-0.10409999999999997</v>
      </c>
      <c r="AA35" s="8">
        <f t="shared" si="2"/>
        <v>2.5700000000000001E-2</v>
      </c>
      <c r="AB35" s="8">
        <f t="shared" si="2"/>
        <v>-2.0699999999999719E-2</v>
      </c>
      <c r="AC35" s="8">
        <f t="shared" si="2"/>
        <v>3.6732051034160662E-6</v>
      </c>
      <c r="AD35" s="8">
        <f t="shared" si="2"/>
        <v>-2.4700000000000055E-2</v>
      </c>
      <c r="AE35" s="8">
        <f t="shared" si="2"/>
        <v>9.9999999999999395E-5</v>
      </c>
      <c r="AF35" s="8">
        <f t="shared" si="2"/>
        <v>0.28069999999999995</v>
      </c>
      <c r="AG35" s="8">
        <f t="shared" si="2"/>
        <v>3.6732051034160662E-6</v>
      </c>
      <c r="AH35" s="22">
        <f t="shared" si="3"/>
        <v>6.4400000000000013E-2</v>
      </c>
      <c r="AI35" s="22">
        <f t="shared" si="3"/>
        <v>1.29E-2</v>
      </c>
      <c r="AJ35" s="22">
        <f t="shared" si="3"/>
        <v>0.15069999999999983</v>
      </c>
    </row>
    <row r="36" spans="1:36" x14ac:dyDescent="0.25">
      <c r="A36" s="10">
        <f>'Proximal Validation (double)'!A36</f>
        <v>1</v>
      </c>
      <c r="B36" s="11">
        <f>'Proximal Validation (double)'!B36</f>
        <v>0.12</v>
      </c>
      <c r="C36" s="10">
        <f>'Proximal Validation (double)'!C36</f>
        <v>4.7119999999999997</v>
      </c>
      <c r="D36" s="10">
        <f>'Proximal Validation (double)'!D36</f>
        <v>1.5707963267948966</v>
      </c>
      <c r="E36" s="11">
        <f>'Proximal Validation (double)'!E36</f>
        <v>0.8</v>
      </c>
      <c r="F36" s="11">
        <f>'Proximal Validation (double)'!F36</f>
        <v>0.08</v>
      </c>
      <c r="G36" s="10">
        <f>'Proximal Validation (double)'!G36</f>
        <v>3.1419999999999999</v>
      </c>
      <c r="H36" s="10">
        <f>'Proximal Validation (double)'!H36</f>
        <v>1.5707963267948966</v>
      </c>
      <c r="I36" s="10">
        <f>'Proximal Validation (double)'!I36</f>
        <v>1.2</v>
      </c>
      <c r="J36" s="10">
        <f>'Proximal Validation (double)'!J36</f>
        <v>0</v>
      </c>
      <c r="K36" s="10">
        <f>'Proximal Validation (double)'!K36</f>
        <v>0</v>
      </c>
      <c r="L36" s="8">
        <f>'Proximal Validation (double)'!L36</f>
        <v>-5.3540230728685899E-3</v>
      </c>
      <c r="M36" s="8">
        <f>'Proximal Validation (double)'!M36</f>
        <v>0.23577138781547499</v>
      </c>
      <c r="N36" s="8">
        <f>'Proximal Validation (double)'!N36</f>
        <v>-0.12704449892044101</v>
      </c>
      <c r="O36" s="8">
        <f>'Proximal Validation (double)'!O36</f>
        <v>-0.53383183479309104</v>
      </c>
      <c r="P36" s="8">
        <f>'Proximal Validation (double)'!P36</f>
        <v>-0.71507501602172896</v>
      </c>
      <c r="Q36" s="8">
        <f>'Proximal Validation (double)'!Q36</f>
        <v>-1.0263080596923799</v>
      </c>
      <c r="R36" s="8">
        <v>0.64980000000000004</v>
      </c>
      <c r="S36" s="8">
        <v>0.16400000000000001</v>
      </c>
      <c r="T36" s="8">
        <v>4.5960999999999999</v>
      </c>
      <c r="U36" s="8">
        <v>1.5708</v>
      </c>
      <c r="V36" s="8">
        <v>0.83699999999999997</v>
      </c>
      <c r="W36" s="8">
        <v>7.22E-2</v>
      </c>
      <c r="X36" s="8">
        <v>3.7664</v>
      </c>
      <c r="Y36" s="8">
        <v>1.5708</v>
      </c>
      <c r="Z36" s="8">
        <f t="shared" si="2"/>
        <v>-0.35019999999999996</v>
      </c>
      <c r="AA36" s="8">
        <f t="shared" si="2"/>
        <v>4.4000000000000011E-2</v>
      </c>
      <c r="AB36" s="8">
        <f t="shared" si="2"/>
        <v>-0.11589999999999989</v>
      </c>
      <c r="AC36" s="8">
        <f t="shared" si="2"/>
        <v>3.6732051034160662E-6</v>
      </c>
      <c r="AD36" s="8">
        <f t="shared" si="2"/>
        <v>3.6999999999999922E-2</v>
      </c>
      <c r="AE36" s="8">
        <f t="shared" si="2"/>
        <v>-7.8000000000000014E-3</v>
      </c>
      <c r="AF36" s="8">
        <f t="shared" si="2"/>
        <v>0.62440000000000007</v>
      </c>
      <c r="AG36" s="8">
        <f t="shared" si="2"/>
        <v>3.6732051034160662E-6</v>
      </c>
      <c r="AH36" s="22">
        <f t="shared" si="3"/>
        <v>0.19359999999999994</v>
      </c>
      <c r="AI36" s="22">
        <f t="shared" si="3"/>
        <v>2.5900000000000006E-2</v>
      </c>
      <c r="AJ36" s="22">
        <f t="shared" si="3"/>
        <v>0.37014999999999998</v>
      </c>
    </row>
    <row r="37" spans="1:36" x14ac:dyDescent="0.25">
      <c r="A37" s="10">
        <f>'Proximal Validation (double)'!A37</f>
        <v>0.3</v>
      </c>
      <c r="B37" s="11">
        <f>'Proximal Validation (double)'!B37</f>
        <v>0.18</v>
      </c>
      <c r="C37" s="10">
        <f>'Proximal Validation (double)'!C37</f>
        <v>4.7119999999999997</v>
      </c>
      <c r="D37" s="10">
        <f>'Proximal Validation (double)'!D37</f>
        <v>1.5707963267948966</v>
      </c>
      <c r="E37" s="11">
        <f>'Proximal Validation (double)'!E37</f>
        <v>0.3</v>
      </c>
      <c r="F37" s="11">
        <f>'Proximal Validation (double)'!F37</f>
        <v>0.06</v>
      </c>
      <c r="G37" s="10">
        <f>'Proximal Validation (double)'!G37</f>
        <v>3.1419999999999999</v>
      </c>
      <c r="H37" s="10">
        <f>'Proximal Validation (double)'!H37</f>
        <v>1.5707963267948966</v>
      </c>
      <c r="I37" s="10">
        <f>'Proximal Validation (double)'!I37</f>
        <v>1.4</v>
      </c>
      <c r="J37" s="10">
        <f>'Proximal Validation (double)'!J37</f>
        <v>0</v>
      </c>
      <c r="K37" s="10">
        <f>'Proximal Validation (double)'!K37</f>
        <v>0</v>
      </c>
      <c r="L37" s="8">
        <f>'Proximal Validation (double)'!L37</f>
        <v>-1.7680961173027799E-3</v>
      </c>
      <c r="M37" s="8">
        <f>'Proximal Validation (double)'!M37</f>
        <v>6.0080211609602002E-2</v>
      </c>
      <c r="N37" s="8">
        <f>'Proximal Validation (double)'!N37</f>
        <v>-4.9739588052034399E-2</v>
      </c>
      <c r="O37" s="8">
        <f>'Proximal Validation (double)'!O37</f>
        <v>-3.2015025615692097E-2</v>
      </c>
      <c r="P37" s="8">
        <f>'Proximal Validation (double)'!P37</f>
        <v>-0.322286486625671</v>
      </c>
      <c r="Q37" s="8">
        <f>'Proximal Validation (double)'!Q37</f>
        <v>-0.222265124320984</v>
      </c>
      <c r="R37" s="8">
        <v>0.63670000000000004</v>
      </c>
      <c r="S37" s="8">
        <v>7.2099999999999997E-2</v>
      </c>
      <c r="T37" s="8">
        <v>4.3524000000000003</v>
      </c>
      <c r="U37" s="8">
        <v>1.5708</v>
      </c>
      <c r="V37" s="8">
        <v>0.38490000000000002</v>
      </c>
      <c r="W37" s="8">
        <v>2.2100000000000002E-2</v>
      </c>
      <c r="X37" s="8">
        <v>1.8297000000000001</v>
      </c>
      <c r="Y37" s="8">
        <v>1.5708</v>
      </c>
      <c r="Z37" s="8">
        <f t="shared" si="2"/>
        <v>0.33670000000000005</v>
      </c>
      <c r="AA37" s="8">
        <f t="shared" si="2"/>
        <v>-0.1079</v>
      </c>
      <c r="AB37" s="8">
        <f t="shared" si="2"/>
        <v>-0.35959999999999948</v>
      </c>
      <c r="AC37" s="8">
        <f t="shared" si="2"/>
        <v>3.6732051034160662E-6</v>
      </c>
      <c r="AD37" s="8">
        <f t="shared" si="2"/>
        <v>8.4900000000000031E-2</v>
      </c>
      <c r="AE37" s="8">
        <f t="shared" si="2"/>
        <v>-3.7899999999999996E-2</v>
      </c>
      <c r="AF37" s="8">
        <f t="shared" si="2"/>
        <v>-1.3122999999999998</v>
      </c>
      <c r="AG37" s="8">
        <f t="shared" si="2"/>
        <v>3.6732051034160662E-6</v>
      </c>
      <c r="AH37" s="22">
        <f t="shared" si="3"/>
        <v>0.21080000000000004</v>
      </c>
      <c r="AI37" s="22">
        <f t="shared" si="3"/>
        <v>7.2899999999999993E-2</v>
      </c>
      <c r="AJ37" s="22">
        <f t="shared" si="3"/>
        <v>0.83594999999999964</v>
      </c>
    </row>
    <row r="38" spans="1:36" x14ac:dyDescent="0.25">
      <c r="A38" s="10">
        <f>'Proximal Validation (double)'!A38</f>
        <v>0.9</v>
      </c>
      <c r="B38" s="11">
        <f>'Proximal Validation (double)'!B38</f>
        <v>0.18</v>
      </c>
      <c r="C38" s="10">
        <f>'Proximal Validation (double)'!C38</f>
        <v>4.7119999999999997</v>
      </c>
      <c r="D38" s="10">
        <f>'Proximal Validation (double)'!D38</f>
        <v>1.5707963267948966</v>
      </c>
      <c r="E38" s="11">
        <f>'Proximal Validation (double)'!E38</f>
        <v>0.2</v>
      </c>
      <c r="F38" s="11">
        <f>'Proximal Validation (double)'!F38</f>
        <v>0.08</v>
      </c>
      <c r="G38" s="10">
        <f>'Proximal Validation (double)'!G38</f>
        <v>3.1419999999999999</v>
      </c>
      <c r="H38" s="10">
        <f>'Proximal Validation (double)'!H38</f>
        <v>1.5707963267948966</v>
      </c>
      <c r="I38" s="10">
        <f>'Proximal Validation (double)'!I38</f>
        <v>0.2</v>
      </c>
      <c r="J38" s="10">
        <f>'Proximal Validation (double)'!J38</f>
        <v>0</v>
      </c>
      <c r="K38" s="10">
        <f>'Proximal Validation (double)'!K38</f>
        <v>0</v>
      </c>
      <c r="L38" s="8">
        <f>'Proximal Validation (double)'!L38</f>
        <v>-7.3416158556938198E-5</v>
      </c>
      <c r="M38" s="8">
        <f>'Proximal Validation (double)'!M38</f>
        <v>0.209005877375603</v>
      </c>
      <c r="N38" s="8">
        <f>'Proximal Validation (double)'!N38</f>
        <v>-3.9002325385808903E-2</v>
      </c>
      <c r="O38" s="8">
        <f>'Proximal Validation (double)'!O38</f>
        <v>-0.50677508115768399</v>
      </c>
      <c r="P38" s="8">
        <f>'Proximal Validation (double)'!P38</f>
        <v>-0.22871214151382399</v>
      </c>
      <c r="Q38" s="8">
        <f>'Proximal Validation (double)'!Q38</f>
        <v>-0.63768112659454301</v>
      </c>
      <c r="R38" s="8">
        <v>0.73260000000000003</v>
      </c>
      <c r="S38" s="8">
        <v>0.19969999999999999</v>
      </c>
      <c r="T38" s="8">
        <v>5.1043000000000003</v>
      </c>
      <c r="U38" s="8">
        <v>1.5708</v>
      </c>
      <c r="V38" s="8">
        <v>0.53649999999999998</v>
      </c>
      <c r="W38" s="8">
        <v>0.1411</v>
      </c>
      <c r="X38" s="8">
        <v>3.3967000000000001</v>
      </c>
      <c r="Y38" s="8">
        <v>1.5708</v>
      </c>
      <c r="Z38" s="8">
        <f t="shared" si="2"/>
        <v>-0.16739999999999999</v>
      </c>
      <c r="AA38" s="8">
        <f t="shared" si="2"/>
        <v>1.9699999999999995E-2</v>
      </c>
      <c r="AB38" s="8">
        <f t="shared" si="2"/>
        <v>0.39230000000000054</v>
      </c>
      <c r="AC38" s="8">
        <f t="shared" si="2"/>
        <v>3.6732051034160662E-6</v>
      </c>
      <c r="AD38" s="8">
        <f t="shared" si="2"/>
        <v>0.33649999999999997</v>
      </c>
      <c r="AE38" s="8">
        <f t="shared" si="2"/>
        <v>6.1100000000000002E-2</v>
      </c>
      <c r="AF38" s="8">
        <f t="shared" si="2"/>
        <v>0.25470000000000015</v>
      </c>
      <c r="AG38" s="8">
        <f t="shared" si="2"/>
        <v>3.6732051034160662E-6</v>
      </c>
      <c r="AH38" s="22">
        <f t="shared" si="3"/>
        <v>0.25195000000000001</v>
      </c>
      <c r="AI38" s="22">
        <f t="shared" si="3"/>
        <v>4.0399999999999998E-2</v>
      </c>
      <c r="AJ38" s="22">
        <f t="shared" si="3"/>
        <v>0.32350000000000034</v>
      </c>
    </row>
    <row r="39" spans="1:36" x14ac:dyDescent="0.25">
      <c r="A39" s="10">
        <f>'Proximal Validation (double)'!A39</f>
        <v>0.1</v>
      </c>
      <c r="B39" s="11">
        <f>'Proximal Validation (double)'!B39</f>
        <v>0.18</v>
      </c>
      <c r="C39" s="10">
        <f>'Proximal Validation (double)'!C39</f>
        <v>4.7119999999999997</v>
      </c>
      <c r="D39" s="10">
        <f>'Proximal Validation (double)'!D39</f>
        <v>1.5707963267948966</v>
      </c>
      <c r="E39" s="11">
        <f>'Proximal Validation (double)'!E39</f>
        <v>1</v>
      </c>
      <c r="F39" s="11">
        <f>'Proximal Validation (double)'!F39</f>
        <v>0.02</v>
      </c>
      <c r="G39" s="10">
        <f>'Proximal Validation (double)'!G39</f>
        <v>4.7119999999999997</v>
      </c>
      <c r="H39" s="10">
        <f>'Proximal Validation (double)'!H39</f>
        <v>1.5707963267948966</v>
      </c>
      <c r="I39" s="10">
        <f>'Proximal Validation (double)'!I39</f>
        <v>0</v>
      </c>
      <c r="J39" s="10">
        <f>'Proximal Validation (double)'!J39</f>
        <v>0</v>
      </c>
      <c r="K39" s="10">
        <f>'Proximal Validation (double)'!K39</f>
        <v>0</v>
      </c>
      <c r="L39" s="8">
        <f>'Proximal Validation (double)'!L39</f>
        <v>1.8433155491948101E-4</v>
      </c>
      <c r="M39" s="8">
        <f>'Proximal Validation (double)'!M39</f>
        <v>0.11752788722515101</v>
      </c>
      <c r="N39" s="8">
        <f>'Proximal Validation (double)'!N39</f>
        <v>1.77300837822258E-3</v>
      </c>
      <c r="O39" s="8">
        <f>'Proximal Validation (double)'!O39</f>
        <v>-3.8502156734466601E-2</v>
      </c>
      <c r="P39" s="8">
        <f>'Proximal Validation (double)'!P39</f>
        <v>7.6181143522262599E-3</v>
      </c>
      <c r="Q39" s="8">
        <f>'Proximal Validation (double)'!Q39</f>
        <v>-0.99801015853881803</v>
      </c>
      <c r="R39" s="8">
        <v>0.96230000000000004</v>
      </c>
      <c r="S39" s="8">
        <v>3.8600000000000002E-2</v>
      </c>
      <c r="T39" s="8">
        <v>4.8483999999999998</v>
      </c>
      <c r="U39" s="8">
        <v>1.5708</v>
      </c>
      <c r="V39" s="8">
        <v>0.13020000000000001</v>
      </c>
      <c r="W39" s="8">
        <v>2.86E-2</v>
      </c>
      <c r="X39" s="8">
        <v>3.4885000000000002</v>
      </c>
      <c r="Y39" s="8">
        <v>1.5708</v>
      </c>
      <c r="Z39" s="8">
        <f t="shared" si="2"/>
        <v>0.86230000000000007</v>
      </c>
      <c r="AA39" s="8">
        <f t="shared" si="2"/>
        <v>-0.1414</v>
      </c>
      <c r="AB39" s="8">
        <f t="shared" si="2"/>
        <v>0.13640000000000008</v>
      </c>
      <c r="AC39" s="8">
        <f t="shared" si="2"/>
        <v>3.6732051034160662E-6</v>
      </c>
      <c r="AD39" s="8">
        <f t="shared" si="2"/>
        <v>-0.86980000000000002</v>
      </c>
      <c r="AE39" s="8">
        <f t="shared" si="2"/>
        <v>8.6E-3</v>
      </c>
      <c r="AF39" s="8">
        <f t="shared" si="2"/>
        <v>-1.2234999999999996</v>
      </c>
      <c r="AG39" s="8">
        <f t="shared" si="2"/>
        <v>3.6732051034160662E-6</v>
      </c>
      <c r="AH39" s="22">
        <f t="shared" si="3"/>
        <v>0.86604999999999999</v>
      </c>
      <c r="AI39" s="22">
        <f t="shared" si="3"/>
        <v>7.4999999999999997E-2</v>
      </c>
      <c r="AJ39" s="22">
        <f t="shared" si="3"/>
        <v>0.67994999999999983</v>
      </c>
    </row>
    <row r="40" spans="1:36" x14ac:dyDescent="0.25">
      <c r="A40" s="10">
        <f>'Proximal Validation (double)'!A40</f>
        <v>0.8</v>
      </c>
      <c r="B40" s="11">
        <f>'Proximal Validation (double)'!B40</f>
        <v>0.18</v>
      </c>
      <c r="C40" s="10">
        <f>'Proximal Validation (double)'!C40</f>
        <v>4.7119999999999997</v>
      </c>
      <c r="D40" s="10">
        <f>'Proximal Validation (double)'!D40</f>
        <v>1.5707963267948966</v>
      </c>
      <c r="E40" s="11">
        <f>'Proximal Validation (double)'!E40</f>
        <v>0.6</v>
      </c>
      <c r="F40" s="11">
        <f>'Proximal Validation (double)'!F40</f>
        <v>0.06</v>
      </c>
      <c r="G40" s="10">
        <f>'Proximal Validation (double)'!G40</f>
        <v>4.7119999999999997</v>
      </c>
      <c r="H40" s="10">
        <f>'Proximal Validation (double)'!H40</f>
        <v>1.5707963267948966</v>
      </c>
      <c r="I40" s="10">
        <f>'Proximal Validation (double)'!I40</f>
        <v>1</v>
      </c>
      <c r="J40" s="10">
        <f>'Proximal Validation (double)'!J40</f>
        <v>0</v>
      </c>
      <c r="K40" s="10">
        <f>'Proximal Validation (double)'!K40</f>
        <v>0</v>
      </c>
      <c r="L40" s="8">
        <f>'Proximal Validation (double)'!L40</f>
        <v>-5.2668377757072397E-3</v>
      </c>
      <c r="M40" s="8">
        <f>'Proximal Validation (double)'!M40</f>
        <v>0.27689665555954002</v>
      </c>
      <c r="N40" s="8">
        <f>'Proximal Validation (double)'!N40</f>
        <v>-1.6046434640884399E-2</v>
      </c>
      <c r="O40" s="8">
        <f>'Proximal Validation (double)'!O40</f>
        <v>-0.47105222940444902</v>
      </c>
      <c r="P40" s="8">
        <f>'Proximal Validation (double)'!P40</f>
        <v>-0.10896006226539599</v>
      </c>
      <c r="Q40" s="8">
        <f>'Proximal Validation (double)'!Q40</f>
        <v>-1.1885303258895901</v>
      </c>
      <c r="R40" s="8">
        <v>0.4642</v>
      </c>
      <c r="S40" s="8">
        <v>0.1671</v>
      </c>
      <c r="T40" s="8">
        <v>4.8101000000000003</v>
      </c>
      <c r="U40" s="8">
        <v>1.5708</v>
      </c>
      <c r="V40" s="8">
        <v>0.83609999999999995</v>
      </c>
      <c r="W40" s="8">
        <v>8.1900000000000001E-2</v>
      </c>
      <c r="X40" s="8">
        <v>4.5247000000000002</v>
      </c>
      <c r="Y40" s="8">
        <v>1.5708</v>
      </c>
      <c r="Z40" s="8">
        <f t="shared" si="2"/>
        <v>-0.33580000000000004</v>
      </c>
      <c r="AA40" s="8">
        <f t="shared" si="2"/>
        <v>-1.2899999999999995E-2</v>
      </c>
      <c r="AB40" s="8">
        <f t="shared" si="2"/>
        <v>9.810000000000052E-2</v>
      </c>
      <c r="AC40" s="8">
        <f t="shared" si="2"/>
        <v>3.6732051034160662E-6</v>
      </c>
      <c r="AD40" s="8">
        <f t="shared" si="2"/>
        <v>0.23609999999999998</v>
      </c>
      <c r="AE40" s="8">
        <f t="shared" si="2"/>
        <v>2.1900000000000003E-2</v>
      </c>
      <c r="AF40" s="8">
        <f t="shared" si="2"/>
        <v>-0.18729999999999958</v>
      </c>
      <c r="AG40" s="8">
        <f t="shared" si="2"/>
        <v>3.6732051034160662E-6</v>
      </c>
      <c r="AH40" s="22">
        <f t="shared" si="3"/>
        <v>0.28595000000000004</v>
      </c>
      <c r="AI40" s="22">
        <f t="shared" si="3"/>
        <v>1.7399999999999999E-2</v>
      </c>
      <c r="AJ40" s="22">
        <f t="shared" si="3"/>
        <v>0.14270000000000005</v>
      </c>
    </row>
    <row r="41" spans="1:36" x14ac:dyDescent="0.25">
      <c r="A41" s="10">
        <f>'Proximal Validation (double)'!A41</f>
        <v>1</v>
      </c>
      <c r="B41" s="11">
        <f>'Proximal Validation (double)'!B41</f>
        <v>0.2</v>
      </c>
      <c r="C41" s="10">
        <f>'Proximal Validation (double)'!C41</f>
        <v>4.7119999999999997</v>
      </c>
      <c r="D41" s="10">
        <f>'Proximal Validation (double)'!D41</f>
        <v>1.5707963267948966</v>
      </c>
      <c r="E41" s="11">
        <f>'Proximal Validation (double)'!E41</f>
        <v>0.8</v>
      </c>
      <c r="F41" s="11">
        <f>'Proximal Validation (double)'!F41</f>
        <v>0.02</v>
      </c>
      <c r="G41" s="10">
        <f>'Proximal Validation (double)'!G41</f>
        <v>3.1419999999999999</v>
      </c>
      <c r="H41" s="10">
        <f>'Proximal Validation (double)'!H41</f>
        <v>1.5707963267948966</v>
      </c>
      <c r="I41" s="10">
        <f>'Proximal Validation (double)'!I41</f>
        <v>1.4</v>
      </c>
      <c r="J41" s="10">
        <f>'Proximal Validation (double)'!J41</f>
        <v>0</v>
      </c>
      <c r="K41" s="10">
        <f>'Proximal Validation (double)'!K41</f>
        <v>0</v>
      </c>
      <c r="L41" s="8">
        <f>'Proximal Validation (double)'!L41</f>
        <v>-1.2570786289870701E-2</v>
      </c>
      <c r="M41" s="8">
        <f>'Proximal Validation (double)'!M41</f>
        <v>0.239984765648842</v>
      </c>
      <c r="N41" s="8">
        <f>'Proximal Validation (double)'!N41</f>
        <v>-9.4180338084697696E-2</v>
      </c>
      <c r="O41" s="8">
        <f>'Proximal Validation (double)'!O41</f>
        <v>-0.68777251243591297</v>
      </c>
      <c r="P41" s="8">
        <f>'Proximal Validation (double)'!P41</f>
        <v>-0.81574249267578103</v>
      </c>
      <c r="Q41" s="8">
        <f>'Proximal Validation (double)'!Q41</f>
        <v>-0.66350710391998302</v>
      </c>
      <c r="R41" s="8">
        <v>0.9496</v>
      </c>
      <c r="S41" s="8">
        <v>0.19020000000000001</v>
      </c>
      <c r="T41" s="8">
        <v>4.6904000000000003</v>
      </c>
      <c r="U41" s="8">
        <v>1.5708</v>
      </c>
      <c r="V41" s="8">
        <v>0.80649999999999999</v>
      </c>
      <c r="W41" s="8">
        <v>2.01E-2</v>
      </c>
      <c r="X41" s="8">
        <v>3.1463000000000001</v>
      </c>
      <c r="Y41" s="8">
        <v>1.5708</v>
      </c>
      <c r="Z41" s="8">
        <f t="shared" si="2"/>
        <v>-5.04E-2</v>
      </c>
      <c r="AA41" s="8">
        <f t="shared" si="2"/>
        <v>-9.8000000000000032E-3</v>
      </c>
      <c r="AB41" s="8">
        <f t="shared" si="2"/>
        <v>-2.1599999999999397E-2</v>
      </c>
      <c r="AC41" s="8">
        <f t="shared" si="2"/>
        <v>3.6732051034160662E-6</v>
      </c>
      <c r="AD41" s="8">
        <f t="shared" si="2"/>
        <v>6.4999999999999503E-3</v>
      </c>
      <c r="AE41" s="8">
        <f t="shared" si="2"/>
        <v>9.9999999999999395E-5</v>
      </c>
      <c r="AF41" s="8">
        <f t="shared" si="2"/>
        <v>4.3000000000001926E-3</v>
      </c>
      <c r="AG41" s="8">
        <f t="shared" si="2"/>
        <v>3.6732051034160662E-6</v>
      </c>
      <c r="AH41" s="22">
        <f t="shared" si="3"/>
        <v>2.8449999999999975E-2</v>
      </c>
      <c r="AI41" s="22">
        <f t="shared" si="3"/>
        <v>4.9500000000000013E-3</v>
      </c>
      <c r="AJ41" s="22">
        <f t="shared" si="3"/>
        <v>1.2949999999999795E-2</v>
      </c>
    </row>
    <row r="42" spans="1:36" x14ac:dyDescent="0.25">
      <c r="A42" s="10">
        <f>'Proximal Validation (double)'!A42</f>
        <v>0.2</v>
      </c>
      <c r="B42" s="13">
        <f>'Proximal Validation (double)'!B42</f>
        <v>0.2</v>
      </c>
      <c r="C42" s="14">
        <f>'Proximal Validation (double)'!C42</f>
        <v>4.7119999999999997</v>
      </c>
      <c r="D42" s="14">
        <f>'Proximal Validation (double)'!D42</f>
        <v>1.5707963267948966</v>
      </c>
      <c r="E42" s="13">
        <f>'Proximal Validation (double)'!E42</f>
        <v>0.1</v>
      </c>
      <c r="F42" s="13">
        <f>'Proximal Validation (double)'!F42</f>
        <v>0.08</v>
      </c>
      <c r="G42" s="14">
        <f>'Proximal Validation (double)'!G42</f>
        <v>3.927</v>
      </c>
      <c r="H42" s="14">
        <f>'Proximal Validation (double)'!H42</f>
        <v>1.5707963267948966</v>
      </c>
      <c r="I42" s="14">
        <f>'Proximal Validation (double)'!I42</f>
        <v>0</v>
      </c>
      <c r="J42" s="14">
        <f>'Proximal Validation (double)'!J42</f>
        <v>0</v>
      </c>
      <c r="K42" s="14">
        <f>'Proximal Validation (double)'!K42</f>
        <v>0</v>
      </c>
      <c r="L42" s="15">
        <f>'Proximal Validation (double)'!L42</f>
        <v>2.25764350034297E-4</v>
      </c>
      <c r="M42" s="15">
        <f>'Proximal Validation (double)'!M42</f>
        <v>5.42946308851242E-2</v>
      </c>
      <c r="N42" s="15">
        <f>'Proximal Validation (double)'!N42</f>
        <v>-1.43192345276475E-2</v>
      </c>
      <c r="O42" s="15">
        <f>'Proximal Validation (double)'!O42</f>
        <v>-3.8537099957466098E-2</v>
      </c>
      <c r="P42" s="15">
        <f>'Proximal Validation (double)'!P42</f>
        <v>-8.5683420300483704E-2</v>
      </c>
      <c r="Q42" s="15">
        <f>'Proximal Validation (double)'!Q42</f>
        <v>-0.207838654518127</v>
      </c>
      <c r="R42" s="15">
        <v>0.60209999999999997</v>
      </c>
      <c r="S42" s="15">
        <v>0.1991</v>
      </c>
      <c r="T42" s="15">
        <v>8.9999999999999998E-4</v>
      </c>
      <c r="U42" s="15">
        <v>1.5708</v>
      </c>
      <c r="V42" s="15">
        <v>0.72019999999999995</v>
      </c>
      <c r="W42" s="15">
        <v>0.18310000000000001</v>
      </c>
      <c r="X42" s="15">
        <v>3.4394999999999998</v>
      </c>
      <c r="Y42" s="15">
        <v>1.5708</v>
      </c>
      <c r="Z42" s="15">
        <f t="shared" si="2"/>
        <v>0.40209999999999996</v>
      </c>
      <c r="AA42" s="15">
        <f t="shared" si="2"/>
        <v>-9.000000000000119E-4</v>
      </c>
      <c r="AB42" s="15">
        <f t="shared" si="2"/>
        <v>-4.7111000000000001</v>
      </c>
      <c r="AC42" s="15">
        <f t="shared" si="2"/>
        <v>3.6732051034160662E-6</v>
      </c>
      <c r="AD42" s="15">
        <f t="shared" si="2"/>
        <v>0.62019999999999997</v>
      </c>
      <c r="AE42" s="15">
        <f t="shared" si="2"/>
        <v>0.10310000000000001</v>
      </c>
      <c r="AF42" s="15">
        <f t="shared" si="2"/>
        <v>-0.48750000000000027</v>
      </c>
      <c r="AG42" s="15">
        <f t="shared" si="2"/>
        <v>3.6732051034160662E-6</v>
      </c>
      <c r="AH42" s="22">
        <f t="shared" si="3"/>
        <v>0.51114999999999999</v>
      </c>
      <c r="AI42" s="22">
        <f t="shared" si="3"/>
        <v>5.2000000000000011E-2</v>
      </c>
      <c r="AJ42" s="22">
        <f t="shared" si="3"/>
        <v>2.5993000000000004</v>
      </c>
    </row>
    <row r="43" spans="1:36" ht="15.75" x14ac:dyDescent="0.25">
      <c r="A43" s="12"/>
      <c r="B43" s="16"/>
      <c r="C43" s="17"/>
      <c r="D43" s="17"/>
      <c r="E43" s="16"/>
      <c r="F43" s="16"/>
      <c r="G43" s="17"/>
      <c r="H43" s="17"/>
      <c r="I43" s="17"/>
      <c r="J43" s="17"/>
      <c r="K43" s="17"/>
      <c r="L43" s="18"/>
      <c r="M43" s="18"/>
      <c r="N43" s="18"/>
      <c r="O43" s="18"/>
      <c r="P43" s="18"/>
      <c r="Q43" s="18"/>
      <c r="R43" s="17"/>
      <c r="S43" s="17"/>
      <c r="T43" s="17"/>
      <c r="U43" s="17"/>
      <c r="V43" s="17"/>
      <c r="W43" s="17"/>
      <c r="X43" s="19"/>
      <c r="Y43" s="19"/>
    </row>
    <row r="44" spans="1:36" ht="15.75" x14ac:dyDescent="0.25">
      <c r="A44" s="12"/>
      <c r="B44" s="16"/>
      <c r="C44" s="17"/>
      <c r="D44" s="17"/>
      <c r="E44" s="16"/>
      <c r="F44" s="16"/>
      <c r="G44" s="17"/>
      <c r="H44" s="17"/>
      <c r="I44" s="17"/>
      <c r="J44" s="17"/>
      <c r="K44" s="17"/>
      <c r="L44" s="18"/>
      <c r="M44" s="18"/>
      <c r="N44" s="18"/>
      <c r="O44" s="18"/>
      <c r="P44" s="18"/>
      <c r="Q44" s="18"/>
      <c r="R44" s="17"/>
      <c r="S44" s="17"/>
      <c r="T44" s="17"/>
      <c r="U44" s="17"/>
      <c r="V44" s="17"/>
      <c r="W44" s="17"/>
      <c r="X44" s="19"/>
      <c r="Y44" s="19"/>
    </row>
    <row r="45" spans="1:36" ht="15.75" x14ac:dyDescent="0.25">
      <c r="A45" s="12"/>
      <c r="B45" s="16"/>
      <c r="C45" s="17"/>
      <c r="D45" s="17"/>
      <c r="E45" s="16"/>
      <c r="F45" s="16"/>
      <c r="G45" s="17"/>
      <c r="H45" s="17"/>
      <c r="I45" s="17"/>
      <c r="J45" s="17"/>
      <c r="K45" s="17"/>
      <c r="L45" s="18"/>
      <c r="M45" s="18"/>
      <c r="N45" s="18"/>
      <c r="O45" s="18"/>
      <c r="P45" s="18"/>
      <c r="Q45" s="18"/>
      <c r="R45" s="17"/>
      <c r="S45" s="17"/>
      <c r="T45" s="17"/>
      <c r="U45" s="17"/>
      <c r="V45" s="17"/>
      <c r="W45" s="17"/>
      <c r="X45" s="19"/>
      <c r="Y45" s="19"/>
    </row>
    <row r="46" spans="1:36" ht="15.75" x14ac:dyDescent="0.25">
      <c r="A46" s="12"/>
      <c r="B46" s="16"/>
      <c r="C46" s="17"/>
      <c r="D46" s="17"/>
      <c r="E46" s="16"/>
      <c r="F46" s="16"/>
      <c r="G46" s="17"/>
      <c r="H46" s="17"/>
      <c r="I46" s="17"/>
      <c r="J46" s="17"/>
      <c r="K46" s="17"/>
      <c r="L46" s="18"/>
      <c r="M46" s="18"/>
      <c r="N46" s="18"/>
      <c r="O46" s="18"/>
      <c r="P46" s="18"/>
      <c r="Q46" s="18"/>
      <c r="R46" s="17"/>
      <c r="S46" s="17"/>
      <c r="T46" s="17"/>
      <c r="U46" s="17"/>
      <c r="V46" s="17"/>
      <c r="W46" s="17"/>
      <c r="X46" s="19"/>
      <c r="Y46" s="19"/>
    </row>
    <row r="47" spans="1:36" ht="15.75" x14ac:dyDescent="0.25">
      <c r="A47" s="12"/>
      <c r="B47" s="16"/>
      <c r="C47" s="17"/>
      <c r="D47" s="17"/>
      <c r="E47" s="16"/>
      <c r="F47" s="16"/>
      <c r="G47" s="17"/>
      <c r="H47" s="17"/>
      <c r="I47" s="17"/>
      <c r="J47" s="17"/>
      <c r="K47" s="17"/>
      <c r="L47" s="18"/>
      <c r="M47" s="18"/>
      <c r="N47" s="18"/>
      <c r="O47" s="18"/>
      <c r="P47" s="18"/>
      <c r="Q47" s="18"/>
      <c r="R47" s="17"/>
      <c r="S47" s="17"/>
      <c r="T47" s="17"/>
      <c r="U47" s="17"/>
      <c r="V47" s="17"/>
      <c r="W47" s="17"/>
      <c r="X47" s="19"/>
      <c r="Y47" s="19"/>
    </row>
    <row r="48" spans="1:36" ht="15.75" x14ac:dyDescent="0.25">
      <c r="A48" s="12"/>
      <c r="B48" s="16"/>
      <c r="C48" s="17"/>
      <c r="D48" s="17"/>
      <c r="E48" s="16"/>
      <c r="F48" s="16"/>
      <c r="G48" s="17"/>
      <c r="H48" s="17"/>
      <c r="I48" s="17"/>
      <c r="J48" s="17"/>
      <c r="K48" s="17"/>
      <c r="L48" s="18"/>
      <c r="M48" s="18"/>
      <c r="N48" s="18"/>
      <c r="O48" s="18"/>
      <c r="P48" s="18"/>
      <c r="Q48" s="18"/>
      <c r="R48" s="17"/>
      <c r="S48" s="17"/>
      <c r="T48" s="17"/>
      <c r="U48" s="17"/>
      <c r="V48" s="17"/>
      <c r="W48" s="17"/>
      <c r="X48" s="19"/>
      <c r="Y48" s="19"/>
    </row>
    <row r="49" spans="1:25" ht="15.75" x14ac:dyDescent="0.25">
      <c r="A49" s="12"/>
      <c r="B49" s="16"/>
      <c r="C49" s="17"/>
      <c r="D49" s="17"/>
      <c r="E49" s="16"/>
      <c r="F49" s="16"/>
      <c r="G49" s="17"/>
      <c r="H49" s="17"/>
      <c r="I49" s="17"/>
      <c r="J49" s="17"/>
      <c r="K49" s="17"/>
      <c r="L49" s="18"/>
      <c r="M49" s="18"/>
      <c r="N49" s="18"/>
      <c r="O49" s="18"/>
      <c r="P49" s="18"/>
      <c r="Q49" s="18"/>
      <c r="R49" s="17"/>
      <c r="S49" s="17"/>
      <c r="T49" s="17"/>
      <c r="U49" s="17"/>
      <c r="V49" s="17"/>
      <c r="W49" s="17"/>
      <c r="X49" s="19"/>
      <c r="Y49" s="19"/>
    </row>
    <row r="50" spans="1:25" ht="15.75" x14ac:dyDescent="0.25">
      <c r="A50" s="12"/>
      <c r="B50" s="16"/>
      <c r="C50" s="17"/>
      <c r="D50" s="17"/>
      <c r="E50" s="16"/>
      <c r="F50" s="16"/>
      <c r="G50" s="17"/>
      <c r="H50" s="17"/>
      <c r="I50" s="17"/>
      <c r="J50" s="17"/>
      <c r="K50" s="17"/>
      <c r="L50" s="18"/>
      <c r="M50" s="18"/>
      <c r="N50" s="18"/>
      <c r="O50" s="18"/>
      <c r="P50" s="18"/>
      <c r="Q50" s="18"/>
      <c r="R50" s="17"/>
      <c r="S50" s="17"/>
      <c r="T50" s="17"/>
      <c r="U50" s="17"/>
      <c r="V50" s="17"/>
      <c r="W50" s="17"/>
      <c r="X50" s="19"/>
      <c r="Y50" s="19"/>
    </row>
    <row r="51" spans="1:25" ht="15.75" x14ac:dyDescent="0.25">
      <c r="A51" s="12"/>
      <c r="B51" s="16"/>
      <c r="C51" s="17"/>
      <c r="D51" s="17"/>
      <c r="E51" s="16"/>
      <c r="F51" s="16"/>
      <c r="G51" s="17"/>
      <c r="H51" s="17"/>
      <c r="I51" s="17"/>
      <c r="J51" s="17"/>
      <c r="K51" s="17"/>
      <c r="L51" s="18"/>
      <c r="M51" s="18"/>
      <c r="N51" s="18"/>
      <c r="O51" s="18"/>
      <c r="P51" s="18"/>
      <c r="Q51" s="18"/>
      <c r="R51" s="17"/>
      <c r="S51" s="17"/>
      <c r="T51" s="17"/>
      <c r="U51" s="17"/>
      <c r="V51" s="17"/>
      <c r="W51" s="17"/>
      <c r="X51" s="19"/>
      <c r="Y51" s="19"/>
    </row>
    <row r="52" spans="1:25" ht="15.75" x14ac:dyDescent="0.25">
      <c r="A52" s="12"/>
      <c r="B52" s="16"/>
      <c r="C52" s="17"/>
      <c r="D52" s="17"/>
      <c r="E52" s="16"/>
      <c r="F52" s="16"/>
      <c r="G52" s="17"/>
      <c r="H52" s="17"/>
      <c r="I52" s="17"/>
      <c r="J52" s="17"/>
      <c r="K52" s="17"/>
      <c r="L52" s="18"/>
      <c r="M52" s="18"/>
      <c r="N52" s="18"/>
      <c r="O52" s="18"/>
      <c r="P52" s="18"/>
      <c r="Q52" s="18"/>
      <c r="R52" s="17"/>
      <c r="S52" s="17"/>
      <c r="T52" s="17"/>
      <c r="U52" s="17"/>
      <c r="V52" s="17"/>
      <c r="W52" s="17"/>
      <c r="X52" s="19"/>
      <c r="Y52" s="19"/>
    </row>
  </sheetData>
  <mergeCells count="7">
    <mergeCell ref="AK5:AR5"/>
    <mergeCell ref="A1:K1"/>
    <mergeCell ref="L1:Q1"/>
    <mergeCell ref="R1:Y1"/>
    <mergeCell ref="Z1:AG1"/>
    <mergeCell ref="AH1:AR1"/>
    <mergeCell ref="AK2:AR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44"/>
  <sheetViews>
    <sheetView topLeftCell="A18" workbookViewId="0">
      <selection activeCell="H44" sqref="H44:M44"/>
    </sheetView>
  </sheetViews>
  <sheetFormatPr defaultRowHeight="15" x14ac:dyDescent="0.25"/>
  <sheetData>
    <row r="1" spans="1:13" ht="15.75" x14ac:dyDescent="0.25">
      <c r="A1" s="38" t="s">
        <v>21</v>
      </c>
      <c r="B1" s="39"/>
      <c r="C1" s="39"/>
      <c r="D1" s="39"/>
      <c r="E1" s="39"/>
      <c r="F1" s="40"/>
      <c r="H1" s="38" t="s">
        <v>22</v>
      </c>
      <c r="I1" s="39"/>
      <c r="J1" s="39"/>
      <c r="K1" s="39"/>
      <c r="L1" s="39"/>
      <c r="M1" s="40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2.9205024242401099E-2</v>
      </c>
      <c r="B3">
        <v>0.97202777862548795</v>
      </c>
      <c r="C3">
        <v>1.8870793282985701E-2</v>
      </c>
      <c r="D3">
        <v>-0.13048847019672399</v>
      </c>
      <c r="E3">
        <v>1.1448631994426301E-2</v>
      </c>
      <c r="F3" s="4">
        <v>-8.4695406258106205E-5</v>
      </c>
      <c r="H3">
        <f>$F3</f>
        <v>-8.4695406258106205E-5</v>
      </c>
      <c r="I3">
        <f>-1*$E3</f>
        <v>-1.1448631994426301E-2</v>
      </c>
      <c r="J3">
        <f>$D3</f>
        <v>-0.13048847019672399</v>
      </c>
      <c r="K3">
        <f>$C3</f>
        <v>1.8870793282985701E-2</v>
      </c>
      <c r="L3">
        <f>-1*$B3</f>
        <v>-0.97202777862548795</v>
      </c>
      <c r="M3">
        <f>$A3</f>
        <v>2.9205024242401099E-2</v>
      </c>
    </row>
    <row r="4" spans="1:13" x14ac:dyDescent="0.25">
      <c r="A4">
        <v>0.92483174800872803</v>
      </c>
      <c r="B4">
        <v>0.81002575159072898</v>
      </c>
      <c r="C4">
        <v>-0.458716601133347</v>
      </c>
      <c r="D4">
        <v>-0.148506805300713</v>
      </c>
      <c r="E4">
        <v>0.187399536371231</v>
      </c>
      <c r="F4">
        <v>-1.30488071590662E-3</v>
      </c>
      <c r="H4">
        <f t="shared" ref="H4:H44" si="0">$F4</f>
        <v>-1.30488071590662E-3</v>
      </c>
      <c r="I4">
        <f t="shared" ref="I4:I44" si="1">-1*$E4</f>
        <v>-0.187399536371231</v>
      </c>
      <c r="J4">
        <f t="shared" ref="J4:J44" si="2">$D4</f>
        <v>-0.148506805300713</v>
      </c>
      <c r="K4">
        <f t="shared" ref="K4:K44" si="3">$C4</f>
        <v>-0.458716601133347</v>
      </c>
      <c r="L4">
        <f t="shared" ref="L4:L44" si="4">-1*$B4</f>
        <v>-0.81002575159072898</v>
      </c>
      <c r="M4">
        <f t="shared" ref="M4:M44" si="5">$A4</f>
        <v>0.92483174800872803</v>
      </c>
    </row>
    <row r="5" spans="1:13" x14ac:dyDescent="0.25">
      <c r="A5">
        <v>0.403866738080978</v>
      </c>
      <c r="B5">
        <v>0.142551720142365</v>
      </c>
      <c r="C5">
        <v>-5.9044521301984801E-2</v>
      </c>
      <c r="D5">
        <v>-1.5381614677607999E-2</v>
      </c>
      <c r="E5">
        <v>9.0249709784984603E-2</v>
      </c>
      <c r="F5">
        <v>-8.8173459516838206E-5</v>
      </c>
      <c r="H5">
        <f t="shared" si="0"/>
        <v>-8.8173459516838206E-5</v>
      </c>
      <c r="I5">
        <f t="shared" si="1"/>
        <v>-9.0249709784984603E-2</v>
      </c>
      <c r="J5">
        <f t="shared" si="2"/>
        <v>-1.5381614677607999E-2</v>
      </c>
      <c r="K5">
        <f t="shared" si="3"/>
        <v>-5.9044521301984801E-2</v>
      </c>
      <c r="L5">
        <f t="shared" si="4"/>
        <v>-0.142551720142365</v>
      </c>
      <c r="M5">
        <f t="shared" si="5"/>
        <v>0.403866738080978</v>
      </c>
    </row>
    <row r="6" spans="1:13" x14ac:dyDescent="0.25">
      <c r="A6">
        <v>0.75826400518417403</v>
      </c>
      <c r="B6">
        <v>-6.2979459762573199E-3</v>
      </c>
      <c r="C6">
        <v>-0.22939644753933</v>
      </c>
      <c r="D6">
        <v>1.12637248821557E-3</v>
      </c>
      <c r="E6">
        <v>0.155094370245934</v>
      </c>
      <c r="F6">
        <v>4.0645110420882702E-3</v>
      </c>
      <c r="H6">
        <f t="shared" si="0"/>
        <v>4.0645110420882702E-3</v>
      </c>
      <c r="I6">
        <f t="shared" si="1"/>
        <v>-0.155094370245934</v>
      </c>
      <c r="J6">
        <f t="shared" si="2"/>
        <v>1.12637248821557E-3</v>
      </c>
      <c r="K6">
        <f t="shared" si="3"/>
        <v>-0.22939644753933</v>
      </c>
      <c r="L6">
        <f t="shared" si="4"/>
        <v>6.2979459762573199E-3</v>
      </c>
      <c r="M6">
        <f t="shared" si="5"/>
        <v>0.75826400518417403</v>
      </c>
    </row>
    <row r="7" spans="1:13" x14ac:dyDescent="0.25">
      <c r="A7">
        <v>-0.43824502825737</v>
      </c>
      <c r="B7">
        <v>0.69266724586486805</v>
      </c>
      <c r="C7">
        <v>2.31804009526968E-2</v>
      </c>
      <c r="D7">
        <v>-0.106843449175358</v>
      </c>
      <c r="E7">
        <v>-5.5788416415452999E-2</v>
      </c>
      <c r="F7">
        <v>-3.3720862120389898E-5</v>
      </c>
      <c r="H7">
        <f t="shared" si="0"/>
        <v>-3.3720862120389898E-5</v>
      </c>
      <c r="I7">
        <f t="shared" si="1"/>
        <v>5.5788416415452999E-2</v>
      </c>
      <c r="J7">
        <f t="shared" si="2"/>
        <v>-0.106843449175358</v>
      </c>
      <c r="K7">
        <f t="shared" si="3"/>
        <v>2.31804009526968E-2</v>
      </c>
      <c r="L7">
        <f t="shared" si="4"/>
        <v>-0.69266724586486805</v>
      </c>
      <c r="M7">
        <f t="shared" si="5"/>
        <v>-0.43824502825737</v>
      </c>
    </row>
    <row r="8" spans="1:13" x14ac:dyDescent="0.25">
      <c r="A8">
        <v>0.108889028429985</v>
      </c>
      <c r="B8">
        <v>0.50920194387435902</v>
      </c>
      <c r="C8">
        <v>-0.29881915450096103</v>
      </c>
      <c r="D8">
        <v>-7.6963931322097806E-2</v>
      </c>
      <c r="E8">
        <v>0.106360949575901</v>
      </c>
      <c r="F8">
        <v>8.2578761503100395E-3</v>
      </c>
      <c r="H8">
        <f t="shared" si="0"/>
        <v>8.2578761503100395E-3</v>
      </c>
      <c r="I8">
        <f t="shared" si="1"/>
        <v>-0.106360949575901</v>
      </c>
      <c r="J8">
        <f t="shared" si="2"/>
        <v>-7.6963931322097806E-2</v>
      </c>
      <c r="K8">
        <f t="shared" si="3"/>
        <v>-0.29881915450096103</v>
      </c>
      <c r="L8">
        <f t="shared" si="4"/>
        <v>-0.50920194387435902</v>
      </c>
      <c r="M8">
        <f t="shared" si="5"/>
        <v>0.108889028429985</v>
      </c>
    </row>
    <row r="9" spans="1:13" x14ac:dyDescent="0.25">
      <c r="A9">
        <v>1.80782899260521E-2</v>
      </c>
      <c r="B9">
        <v>0.108663953840733</v>
      </c>
      <c r="C9">
        <v>1.5694042667746499E-2</v>
      </c>
      <c r="D9">
        <v>-1.2296888045966599E-2</v>
      </c>
      <c r="E9">
        <v>6.1941463500261298E-3</v>
      </c>
      <c r="F9">
        <v>2.53012054599822E-4</v>
      </c>
      <c r="H9">
        <f t="shared" si="0"/>
        <v>2.53012054599822E-4</v>
      </c>
      <c r="I9">
        <f t="shared" si="1"/>
        <v>-6.1941463500261298E-3</v>
      </c>
      <c r="J9">
        <f t="shared" si="2"/>
        <v>-1.2296888045966599E-2</v>
      </c>
      <c r="K9">
        <f t="shared" si="3"/>
        <v>1.5694042667746499E-2</v>
      </c>
      <c r="L9">
        <f t="shared" si="4"/>
        <v>-0.108663953840733</v>
      </c>
      <c r="M9">
        <f t="shared" si="5"/>
        <v>1.80782899260521E-2</v>
      </c>
    </row>
    <row r="10" spans="1:13" x14ac:dyDescent="0.25">
      <c r="A10">
        <v>0.51686221361160301</v>
      </c>
      <c r="B10">
        <v>-5.81999458372593E-2</v>
      </c>
      <c r="C10">
        <v>-0.405538409948349</v>
      </c>
      <c r="D10">
        <v>8.0074910074472393E-3</v>
      </c>
      <c r="E10">
        <v>0.180821523070335</v>
      </c>
      <c r="F10">
        <v>-8.9414953254163298E-4</v>
      </c>
      <c r="H10">
        <f t="shared" si="0"/>
        <v>-8.9414953254163298E-4</v>
      </c>
      <c r="I10">
        <f t="shared" si="1"/>
        <v>-0.180821523070335</v>
      </c>
      <c r="J10">
        <f t="shared" si="2"/>
        <v>8.0074910074472393E-3</v>
      </c>
      <c r="K10">
        <f t="shared" si="3"/>
        <v>-0.405538409948349</v>
      </c>
      <c r="L10">
        <f t="shared" si="4"/>
        <v>5.81999458372593E-2</v>
      </c>
      <c r="M10">
        <f t="shared" si="5"/>
        <v>0.51686221361160301</v>
      </c>
    </row>
    <row r="11" spans="1:13" x14ac:dyDescent="0.25">
      <c r="A11">
        <v>-0.58056563138961803</v>
      </c>
      <c r="B11">
        <v>2.1499879658222198E-2</v>
      </c>
      <c r="C11">
        <v>4.2406577616930001E-2</v>
      </c>
      <c r="D11">
        <v>-4.2187301442027101E-3</v>
      </c>
      <c r="E11">
        <v>-7.3132611811161E-2</v>
      </c>
      <c r="F11">
        <v>2.41806032136083E-4</v>
      </c>
      <c r="H11">
        <f t="shared" si="0"/>
        <v>2.41806032136083E-4</v>
      </c>
      <c r="I11">
        <f t="shared" si="1"/>
        <v>7.3132611811161E-2</v>
      </c>
      <c r="J11">
        <f t="shared" si="2"/>
        <v>-4.2187301442027101E-3</v>
      </c>
      <c r="K11">
        <f t="shared" si="3"/>
        <v>4.2406577616930001E-2</v>
      </c>
      <c r="L11">
        <f t="shared" si="4"/>
        <v>-2.1499879658222198E-2</v>
      </c>
      <c r="M11">
        <f t="shared" si="5"/>
        <v>-0.58056563138961803</v>
      </c>
    </row>
    <row r="12" spans="1:13" x14ac:dyDescent="0.25">
      <c r="A12">
        <v>0.27430844306945801</v>
      </c>
      <c r="B12">
        <v>0.97605288028716997</v>
      </c>
      <c r="C12">
        <v>-0.55842369794845603</v>
      </c>
      <c r="D12">
        <v>-0.108183734118938</v>
      </c>
      <c r="E12">
        <v>0.14518360793590501</v>
      </c>
      <c r="F12">
        <v>-1.58930197358131E-4</v>
      </c>
      <c r="H12">
        <f t="shared" si="0"/>
        <v>-1.58930197358131E-4</v>
      </c>
      <c r="I12">
        <f t="shared" si="1"/>
        <v>-0.14518360793590501</v>
      </c>
      <c r="J12">
        <f t="shared" si="2"/>
        <v>-0.108183734118938</v>
      </c>
      <c r="K12">
        <f t="shared" si="3"/>
        <v>-0.55842369794845603</v>
      </c>
      <c r="L12">
        <f t="shared" si="4"/>
        <v>-0.97605288028716997</v>
      </c>
      <c r="M12">
        <f t="shared" si="5"/>
        <v>0.27430844306945801</v>
      </c>
    </row>
    <row r="13" spans="1:13" x14ac:dyDescent="0.25">
      <c r="A13">
        <v>-3.6308467388153097E-2</v>
      </c>
      <c r="B13">
        <v>0.27640634775161699</v>
      </c>
      <c r="C13">
        <v>2.6178073137998598E-2</v>
      </c>
      <c r="D13">
        <v>-4.92897629737854E-2</v>
      </c>
      <c r="E13">
        <v>-4.5513403601944403E-3</v>
      </c>
      <c r="F13">
        <v>-1.4157709665596499E-4</v>
      </c>
      <c r="H13">
        <f t="shared" si="0"/>
        <v>-1.4157709665596499E-4</v>
      </c>
      <c r="I13">
        <f t="shared" si="1"/>
        <v>4.5513403601944403E-3</v>
      </c>
      <c r="J13">
        <f t="shared" si="2"/>
        <v>-4.92897629737854E-2</v>
      </c>
      <c r="K13">
        <f t="shared" si="3"/>
        <v>2.6178073137998598E-2</v>
      </c>
      <c r="L13">
        <f t="shared" si="4"/>
        <v>-0.27640634775161699</v>
      </c>
      <c r="M13">
        <f t="shared" si="5"/>
        <v>-3.6308467388153097E-2</v>
      </c>
    </row>
    <row r="14" spans="1:13" x14ac:dyDescent="0.25">
      <c r="A14">
        <v>4.2876139283180202E-2</v>
      </c>
      <c r="B14">
        <v>5.0031639635562897E-2</v>
      </c>
      <c r="C14">
        <v>-0.58649873733520497</v>
      </c>
      <c r="D14">
        <v>-8.4324358031153696E-3</v>
      </c>
      <c r="E14">
        <v>0.11755938827991499</v>
      </c>
      <c r="F14">
        <v>9.2607205733656901E-3</v>
      </c>
      <c r="H14">
        <f t="shared" si="0"/>
        <v>9.2607205733656901E-3</v>
      </c>
      <c r="I14">
        <f t="shared" si="1"/>
        <v>-0.11755938827991499</v>
      </c>
      <c r="J14">
        <f t="shared" si="2"/>
        <v>-8.4324358031153696E-3</v>
      </c>
      <c r="K14">
        <f t="shared" si="3"/>
        <v>-0.58649873733520497</v>
      </c>
      <c r="L14">
        <f t="shared" si="4"/>
        <v>-5.0031639635562897E-2</v>
      </c>
      <c r="M14">
        <f t="shared" si="5"/>
        <v>4.2876139283180202E-2</v>
      </c>
    </row>
    <row r="15" spans="1:13" x14ac:dyDescent="0.25">
      <c r="A15">
        <v>-0.18459481000900299</v>
      </c>
      <c r="B15">
        <v>0.62632656097412098</v>
      </c>
      <c r="C15">
        <v>-0.256822139024735</v>
      </c>
      <c r="D15">
        <v>-0.130889192223549</v>
      </c>
      <c r="E15">
        <v>3.9313092827796901E-2</v>
      </c>
      <c r="F15">
        <v>-9.1172568500042005E-4</v>
      </c>
      <c r="H15">
        <f t="shared" si="0"/>
        <v>-9.1172568500042005E-4</v>
      </c>
      <c r="I15">
        <f t="shared" si="1"/>
        <v>-3.9313092827796901E-2</v>
      </c>
      <c r="J15">
        <f t="shared" si="2"/>
        <v>-0.130889192223549</v>
      </c>
      <c r="K15">
        <f t="shared" si="3"/>
        <v>-0.256822139024735</v>
      </c>
      <c r="L15">
        <f t="shared" si="4"/>
        <v>-0.62632656097412098</v>
      </c>
      <c r="M15">
        <f t="shared" si="5"/>
        <v>-0.18459481000900299</v>
      </c>
    </row>
    <row r="16" spans="1:13" x14ac:dyDescent="0.25">
      <c r="A16">
        <v>0.24705727398395499</v>
      </c>
      <c r="B16">
        <v>0.32776689529418901</v>
      </c>
      <c r="C16">
        <v>-5.4136319085955602E-3</v>
      </c>
      <c r="D16">
        <v>-7.0400118827819796E-2</v>
      </c>
      <c r="E16">
        <v>5.4309170693159103E-2</v>
      </c>
      <c r="F16">
        <v>-3.60760372132063E-3</v>
      </c>
      <c r="H16">
        <f t="shared" si="0"/>
        <v>-3.60760372132063E-3</v>
      </c>
      <c r="I16">
        <f t="shared" si="1"/>
        <v>-5.4309170693159103E-2</v>
      </c>
      <c r="J16">
        <f t="shared" si="2"/>
        <v>-7.0400118827819796E-2</v>
      </c>
      <c r="K16">
        <f t="shared" si="3"/>
        <v>-5.4136319085955602E-3</v>
      </c>
      <c r="L16">
        <f t="shared" si="4"/>
        <v>-0.32776689529418901</v>
      </c>
      <c r="M16">
        <f t="shared" si="5"/>
        <v>0.24705727398395499</v>
      </c>
    </row>
    <row r="17" spans="1:13" x14ac:dyDescent="0.25">
      <c r="A17">
        <v>0.42077422142028797</v>
      </c>
      <c r="B17">
        <v>0.93685162067413297</v>
      </c>
      <c r="C17">
        <v>-0.46525964140892001</v>
      </c>
      <c r="D17">
        <v>-0.2040024548769</v>
      </c>
      <c r="E17">
        <v>0.13520552217960399</v>
      </c>
      <c r="F17">
        <v>1.51338707655668E-3</v>
      </c>
      <c r="H17">
        <f t="shared" si="0"/>
        <v>1.51338707655668E-3</v>
      </c>
      <c r="I17">
        <f t="shared" si="1"/>
        <v>-0.13520552217960399</v>
      </c>
      <c r="J17">
        <f t="shared" si="2"/>
        <v>-0.2040024548769</v>
      </c>
      <c r="K17">
        <f t="shared" si="3"/>
        <v>-0.46525964140892001</v>
      </c>
      <c r="L17">
        <f t="shared" si="4"/>
        <v>-0.93685162067413297</v>
      </c>
      <c r="M17">
        <f t="shared" si="5"/>
        <v>0.42077422142028797</v>
      </c>
    </row>
    <row r="18" spans="1:13" x14ac:dyDescent="0.25">
      <c r="A18">
        <v>0.23870468139648399</v>
      </c>
      <c r="B18">
        <v>0.836775302886963</v>
      </c>
      <c r="C18">
        <v>-9.9908888339996296E-2</v>
      </c>
      <c r="D18">
        <v>-0.139540165662766</v>
      </c>
      <c r="E18">
        <v>6.1508439481258399E-2</v>
      </c>
      <c r="F18">
        <v>1.25857396051288E-3</v>
      </c>
      <c r="H18">
        <f t="shared" si="0"/>
        <v>1.25857396051288E-3</v>
      </c>
      <c r="I18">
        <f t="shared" si="1"/>
        <v>-6.1508439481258399E-2</v>
      </c>
      <c r="J18">
        <f t="shared" si="2"/>
        <v>-0.139540165662766</v>
      </c>
      <c r="K18">
        <f t="shared" si="3"/>
        <v>-9.9908888339996296E-2</v>
      </c>
      <c r="L18">
        <f t="shared" si="4"/>
        <v>-0.836775302886963</v>
      </c>
      <c r="M18">
        <f t="shared" si="5"/>
        <v>0.23870468139648399</v>
      </c>
    </row>
    <row r="19" spans="1:13" x14ac:dyDescent="0.25">
      <c r="A19">
        <v>-0.15806177258491499</v>
      </c>
      <c r="B19">
        <v>2.5679610669612898E-2</v>
      </c>
      <c r="C19">
        <v>1.6650179401040101E-2</v>
      </c>
      <c r="D19">
        <v>-9.3716401606798207E-3</v>
      </c>
      <c r="E19">
        <v>-2.0453782752156299E-2</v>
      </c>
      <c r="F19">
        <v>-7.4886210495606097E-4</v>
      </c>
      <c r="H19">
        <f t="shared" si="0"/>
        <v>-7.4886210495606097E-4</v>
      </c>
      <c r="I19">
        <f t="shared" si="1"/>
        <v>2.0453782752156299E-2</v>
      </c>
      <c r="J19">
        <f t="shared" si="2"/>
        <v>-9.3716401606798207E-3</v>
      </c>
      <c r="K19">
        <f t="shared" si="3"/>
        <v>1.6650179401040101E-2</v>
      </c>
      <c r="L19">
        <f t="shared" si="4"/>
        <v>-2.5679610669612898E-2</v>
      </c>
      <c r="M19">
        <f t="shared" si="5"/>
        <v>-0.15806177258491499</v>
      </c>
    </row>
    <row r="20" spans="1:13" x14ac:dyDescent="0.25">
      <c r="A20">
        <v>0.26307040452957198</v>
      </c>
      <c r="B20">
        <v>0.55208766460418701</v>
      </c>
      <c r="C20">
        <v>-0.49384498596191401</v>
      </c>
      <c r="D20">
        <v>-0.158231571316719</v>
      </c>
      <c r="E20">
        <v>0.114310443401337</v>
      </c>
      <c r="F20">
        <v>3.2496866770088699E-3</v>
      </c>
      <c r="H20">
        <f t="shared" si="0"/>
        <v>3.2496866770088699E-3</v>
      </c>
      <c r="I20">
        <f t="shared" si="1"/>
        <v>-0.114310443401337</v>
      </c>
      <c r="J20">
        <f t="shared" si="2"/>
        <v>-0.158231571316719</v>
      </c>
      <c r="K20">
        <f t="shared" si="3"/>
        <v>-0.49384498596191401</v>
      </c>
      <c r="L20">
        <f t="shared" si="4"/>
        <v>-0.55208766460418701</v>
      </c>
      <c r="M20">
        <f t="shared" si="5"/>
        <v>0.26307040452957198</v>
      </c>
    </row>
    <row r="21" spans="1:13" x14ac:dyDescent="0.25">
      <c r="A21">
        <v>-0.20531408488750499</v>
      </c>
      <c r="B21">
        <v>0.26442891359329201</v>
      </c>
      <c r="C21">
        <v>1.26499449834228E-2</v>
      </c>
      <c r="D21">
        <v>-4.6963214874267599E-2</v>
      </c>
      <c r="E21">
        <v>-3.7674464285373702E-2</v>
      </c>
      <c r="F21">
        <v>4.3617305345833302E-4</v>
      </c>
      <c r="H21">
        <f t="shared" si="0"/>
        <v>4.3617305345833302E-4</v>
      </c>
      <c r="I21">
        <f t="shared" si="1"/>
        <v>3.7674464285373702E-2</v>
      </c>
      <c r="J21">
        <f t="shared" si="2"/>
        <v>-4.6963214874267599E-2</v>
      </c>
      <c r="K21">
        <f t="shared" si="3"/>
        <v>1.26499449834228E-2</v>
      </c>
      <c r="L21">
        <f t="shared" si="4"/>
        <v>-0.26442891359329201</v>
      </c>
      <c r="M21">
        <f t="shared" si="5"/>
        <v>-0.20531408488750499</v>
      </c>
    </row>
    <row r="22" spans="1:13" x14ac:dyDescent="0.25">
      <c r="A22">
        <v>-0.54190033674240101</v>
      </c>
      <c r="B22">
        <v>0.60528373718261697</v>
      </c>
      <c r="C22">
        <v>1.72678660601377E-2</v>
      </c>
      <c r="D22">
        <v>-7.4282236397266402E-2</v>
      </c>
      <c r="E22">
        <v>-6.2404803931713097E-2</v>
      </c>
      <c r="F22">
        <v>1.0640500113368E-3</v>
      </c>
      <c r="H22">
        <f t="shared" si="0"/>
        <v>1.0640500113368E-3</v>
      </c>
      <c r="I22">
        <f t="shared" si="1"/>
        <v>6.2404803931713097E-2</v>
      </c>
      <c r="J22">
        <f t="shared" si="2"/>
        <v>-7.4282236397266402E-2</v>
      </c>
      <c r="K22">
        <f t="shared" si="3"/>
        <v>1.72678660601377E-2</v>
      </c>
      <c r="L22">
        <f t="shared" si="4"/>
        <v>-0.60528373718261697</v>
      </c>
      <c r="M22">
        <f t="shared" si="5"/>
        <v>-0.54190033674240101</v>
      </c>
    </row>
    <row r="23" spans="1:13" x14ac:dyDescent="0.25">
      <c r="A23">
        <v>-0.70544010400772095</v>
      </c>
      <c r="B23">
        <v>0.82719779014587402</v>
      </c>
      <c r="C23">
        <v>-0.146071821451187</v>
      </c>
      <c r="D23">
        <v>-0.14573009312152899</v>
      </c>
      <c r="E23">
        <v>-0.14060573279857599</v>
      </c>
      <c r="F23">
        <v>-2.0453361794352501E-3</v>
      </c>
      <c r="H23">
        <f t="shared" si="0"/>
        <v>-2.0453361794352501E-3</v>
      </c>
      <c r="I23">
        <f t="shared" si="1"/>
        <v>0.14060573279857599</v>
      </c>
      <c r="J23">
        <f t="shared" si="2"/>
        <v>-0.14573009312152899</v>
      </c>
      <c r="K23">
        <f t="shared" si="3"/>
        <v>-0.146071821451187</v>
      </c>
      <c r="L23">
        <f t="shared" si="4"/>
        <v>-0.82719779014587402</v>
      </c>
      <c r="M23">
        <f t="shared" si="5"/>
        <v>-0.70544010400772095</v>
      </c>
    </row>
    <row r="24" spans="1:13" x14ac:dyDescent="0.25">
      <c r="A24">
        <v>-0.29774409532547003</v>
      </c>
      <c r="B24">
        <v>0.11253473162651099</v>
      </c>
      <c r="C24">
        <v>5.6157279759645497E-3</v>
      </c>
      <c r="D24">
        <v>-2.4323541671037702E-2</v>
      </c>
      <c r="E24">
        <v>-4.6884305775165599E-2</v>
      </c>
      <c r="F24">
        <v>-9.4009120948612701E-4</v>
      </c>
      <c r="H24">
        <f t="shared" si="0"/>
        <v>-9.4009120948612701E-4</v>
      </c>
      <c r="I24">
        <f t="shared" si="1"/>
        <v>4.6884305775165599E-2</v>
      </c>
      <c r="J24">
        <f t="shared" si="2"/>
        <v>-2.4323541671037702E-2</v>
      </c>
      <c r="K24">
        <f t="shared" si="3"/>
        <v>5.6157279759645497E-3</v>
      </c>
      <c r="L24">
        <f t="shared" si="4"/>
        <v>-0.11253473162651099</v>
      </c>
      <c r="M24">
        <f t="shared" si="5"/>
        <v>-0.29774409532547003</v>
      </c>
    </row>
    <row r="25" spans="1:13" x14ac:dyDescent="0.25">
      <c r="A25">
        <v>-0.93568027019500699</v>
      </c>
      <c r="B25">
        <v>0.39178490638732899</v>
      </c>
      <c r="C25">
        <v>-0.228773519396782</v>
      </c>
      <c r="D25">
        <v>-8.7223671376705197E-2</v>
      </c>
      <c r="E25">
        <v>-0.18612760305404699</v>
      </c>
      <c r="F25">
        <v>3.5136193037033097E-4</v>
      </c>
      <c r="H25">
        <f t="shared" si="0"/>
        <v>3.5136193037033097E-4</v>
      </c>
      <c r="I25">
        <f t="shared" si="1"/>
        <v>0.18612760305404699</v>
      </c>
      <c r="J25">
        <f t="shared" si="2"/>
        <v>-8.7223671376705197E-2</v>
      </c>
      <c r="K25">
        <f t="shared" si="3"/>
        <v>-0.228773519396782</v>
      </c>
      <c r="L25">
        <f t="shared" si="4"/>
        <v>-0.39178490638732899</v>
      </c>
      <c r="M25">
        <f t="shared" si="5"/>
        <v>-0.93568027019500699</v>
      </c>
    </row>
    <row r="26" spans="1:13" x14ac:dyDescent="0.25">
      <c r="A26">
        <v>-1.0432312488555899</v>
      </c>
      <c r="B26">
        <v>1.1967084407806401</v>
      </c>
      <c r="C26">
        <v>-0.35741558670997597</v>
      </c>
      <c r="D26">
        <v>-0.21412828564643899</v>
      </c>
      <c r="E26">
        <v>-0.20048326253891</v>
      </c>
      <c r="F26">
        <v>-2.9902514070272398E-3</v>
      </c>
      <c r="H26">
        <f t="shared" si="0"/>
        <v>-2.9902514070272398E-3</v>
      </c>
      <c r="I26">
        <f t="shared" si="1"/>
        <v>0.20048326253891</v>
      </c>
      <c r="J26">
        <f t="shared" si="2"/>
        <v>-0.21412828564643899</v>
      </c>
      <c r="K26">
        <f t="shared" si="3"/>
        <v>-0.35741558670997597</v>
      </c>
      <c r="L26">
        <f t="shared" si="4"/>
        <v>-1.1967084407806401</v>
      </c>
      <c r="M26">
        <f t="shared" si="5"/>
        <v>-1.0432312488555899</v>
      </c>
    </row>
    <row r="27" spans="1:13" x14ac:dyDescent="0.25">
      <c r="A27">
        <v>-4.6399652957916301E-2</v>
      </c>
      <c r="B27">
        <v>0.97161656618118297</v>
      </c>
      <c r="C27">
        <v>-0.152651637792587</v>
      </c>
      <c r="D27">
        <v>-0.17995955049991599</v>
      </c>
      <c r="E27">
        <v>-2.0925674587488199E-2</v>
      </c>
      <c r="F27">
        <v>-2.0198281854391098E-3</v>
      </c>
      <c r="H27">
        <f t="shared" si="0"/>
        <v>-2.0198281854391098E-3</v>
      </c>
      <c r="I27">
        <f t="shared" si="1"/>
        <v>2.0925674587488199E-2</v>
      </c>
      <c r="J27">
        <f t="shared" si="2"/>
        <v>-0.17995955049991599</v>
      </c>
      <c r="K27">
        <f t="shared" si="3"/>
        <v>-0.152651637792587</v>
      </c>
      <c r="L27">
        <f t="shared" si="4"/>
        <v>-0.97161656618118297</v>
      </c>
      <c r="M27">
        <f t="shared" si="5"/>
        <v>-4.6399652957916301E-2</v>
      </c>
    </row>
    <row r="28" spans="1:13" x14ac:dyDescent="0.25">
      <c r="A28">
        <v>-0.73725110292434703</v>
      </c>
      <c r="B28">
        <v>0.63611704111099199</v>
      </c>
      <c r="C28">
        <v>-0.56037515401840199</v>
      </c>
      <c r="D28">
        <v>-0.18315301835537001</v>
      </c>
      <c r="E28">
        <v>-0.20627745985984799</v>
      </c>
      <c r="F28">
        <v>-3.2074763439595699E-3</v>
      </c>
      <c r="H28">
        <f t="shared" si="0"/>
        <v>-3.2074763439595699E-3</v>
      </c>
      <c r="I28">
        <f t="shared" si="1"/>
        <v>0.20627745985984799</v>
      </c>
      <c r="J28">
        <f t="shared" si="2"/>
        <v>-0.18315301835537001</v>
      </c>
      <c r="K28">
        <f t="shared" si="3"/>
        <v>-0.56037515401840199</v>
      </c>
      <c r="L28">
        <f t="shared" si="4"/>
        <v>-0.63611704111099199</v>
      </c>
      <c r="M28">
        <f t="shared" si="5"/>
        <v>-0.73725110292434703</v>
      </c>
    </row>
    <row r="29" spans="1:13" x14ac:dyDescent="0.25">
      <c r="A29">
        <v>-0.30814808607101402</v>
      </c>
      <c r="B29">
        <v>0.49842935800552401</v>
      </c>
      <c r="C29">
        <v>-0.39982143044471702</v>
      </c>
      <c r="D29">
        <v>-0.128691270947456</v>
      </c>
      <c r="E29">
        <v>-0.110706090927124</v>
      </c>
      <c r="F29">
        <v>-7.4698124080896399E-4</v>
      </c>
      <c r="H29">
        <f t="shared" si="0"/>
        <v>-7.4698124080896399E-4</v>
      </c>
      <c r="I29">
        <f t="shared" si="1"/>
        <v>0.110706090927124</v>
      </c>
      <c r="J29">
        <f t="shared" si="2"/>
        <v>-0.128691270947456</v>
      </c>
      <c r="K29">
        <f t="shared" si="3"/>
        <v>-0.39982143044471702</v>
      </c>
      <c r="L29">
        <f t="shared" si="4"/>
        <v>-0.49842935800552401</v>
      </c>
      <c r="M29">
        <f t="shared" si="5"/>
        <v>-0.30814808607101402</v>
      </c>
    </row>
    <row r="30" spans="1:13" x14ac:dyDescent="0.25">
      <c r="A30">
        <v>-6.8177700042724595E-2</v>
      </c>
      <c r="B30">
        <v>0.20488628745078999</v>
      </c>
      <c r="C30">
        <v>-4.5918696559965602E-3</v>
      </c>
      <c r="D30">
        <v>-2.3344287648797001E-2</v>
      </c>
      <c r="E30">
        <v>-1.1188399977982001E-2</v>
      </c>
      <c r="F30">
        <v>-2.4949701037257899E-4</v>
      </c>
      <c r="H30">
        <f t="shared" si="0"/>
        <v>-2.4949701037257899E-4</v>
      </c>
      <c r="I30">
        <f t="shared" si="1"/>
        <v>1.1188399977982001E-2</v>
      </c>
      <c r="J30">
        <f t="shared" si="2"/>
        <v>-2.3344287648797001E-2</v>
      </c>
      <c r="K30">
        <f t="shared" si="3"/>
        <v>-4.5918696559965602E-3</v>
      </c>
      <c r="L30">
        <f t="shared" si="4"/>
        <v>-0.20488628745078999</v>
      </c>
      <c r="M30">
        <f t="shared" si="5"/>
        <v>-6.8177700042724595E-2</v>
      </c>
    </row>
    <row r="31" spans="1:13" x14ac:dyDescent="0.25">
      <c r="A31">
        <v>-0.79531830549240101</v>
      </c>
      <c r="B31">
        <v>0.53028601408004805</v>
      </c>
      <c r="C31">
        <v>-7.5552083551883698E-2</v>
      </c>
      <c r="D31">
        <v>-6.9621779024600997E-2</v>
      </c>
      <c r="E31">
        <v>-0.122855387628078</v>
      </c>
      <c r="F31">
        <v>-1.44378747791052E-4</v>
      </c>
      <c r="H31">
        <f t="shared" si="0"/>
        <v>-1.44378747791052E-4</v>
      </c>
      <c r="I31">
        <f t="shared" si="1"/>
        <v>0.122855387628078</v>
      </c>
      <c r="J31">
        <f t="shared" si="2"/>
        <v>-6.9621779024600997E-2</v>
      </c>
      <c r="K31">
        <f t="shared" si="3"/>
        <v>-7.5552083551883698E-2</v>
      </c>
      <c r="L31">
        <f t="shared" si="4"/>
        <v>-0.53028601408004805</v>
      </c>
      <c r="M31">
        <f t="shared" si="5"/>
        <v>-0.79531830549240101</v>
      </c>
    </row>
    <row r="32" spans="1:13" x14ac:dyDescent="0.25">
      <c r="A32">
        <v>0.47454249858856201</v>
      </c>
      <c r="B32">
        <v>-9.5382109284400905E-3</v>
      </c>
      <c r="C32">
        <v>0.93826621770858798</v>
      </c>
      <c r="D32">
        <v>1.82380492333323E-3</v>
      </c>
      <c r="E32">
        <v>2.0575292408466301E-2</v>
      </c>
      <c r="F32">
        <v>-3.8294540718197801E-4</v>
      </c>
      <c r="H32">
        <f t="shared" si="0"/>
        <v>-3.8294540718197801E-4</v>
      </c>
      <c r="I32">
        <f t="shared" si="1"/>
        <v>-2.0575292408466301E-2</v>
      </c>
      <c r="J32">
        <f t="shared" si="2"/>
        <v>1.82380492333323E-3</v>
      </c>
      <c r="K32">
        <f t="shared" si="3"/>
        <v>0.93826621770858798</v>
      </c>
      <c r="L32">
        <f t="shared" si="4"/>
        <v>9.5382109284400905E-3</v>
      </c>
      <c r="M32">
        <f t="shared" si="5"/>
        <v>0.47454249858856201</v>
      </c>
    </row>
    <row r="33" spans="1:13" x14ac:dyDescent="0.25">
      <c r="A33">
        <v>-0.949754118919373</v>
      </c>
      <c r="B33">
        <v>0.14860638976097101</v>
      </c>
      <c r="C33">
        <v>-0.11945986747741701</v>
      </c>
      <c r="D33">
        <v>-2.4530226364731799E-2</v>
      </c>
      <c r="E33">
        <v>-0.167345225811005</v>
      </c>
      <c r="F33">
        <v>-2.9623867012560398E-3</v>
      </c>
      <c r="H33">
        <f t="shared" si="0"/>
        <v>-2.9623867012560398E-3</v>
      </c>
      <c r="I33">
        <f t="shared" si="1"/>
        <v>0.167345225811005</v>
      </c>
      <c r="J33">
        <f t="shared" si="2"/>
        <v>-2.4530226364731799E-2</v>
      </c>
      <c r="K33">
        <f t="shared" si="3"/>
        <v>-0.11945986747741701</v>
      </c>
      <c r="L33">
        <f t="shared" si="4"/>
        <v>-0.14860638976097101</v>
      </c>
      <c r="M33">
        <f t="shared" si="5"/>
        <v>-0.949754118919373</v>
      </c>
    </row>
    <row r="34" spans="1:13" x14ac:dyDescent="0.25">
      <c r="A34">
        <v>-0.97470813989639304</v>
      </c>
      <c r="B34">
        <v>0.8543701171875</v>
      </c>
      <c r="C34">
        <v>-0.33798754215240501</v>
      </c>
      <c r="D34">
        <v>-9.5626659691333799E-2</v>
      </c>
      <c r="E34">
        <v>-0.20929773151874501</v>
      </c>
      <c r="F34">
        <v>-7.8027322888374296E-4</v>
      </c>
      <c r="H34">
        <f t="shared" si="0"/>
        <v>-7.8027322888374296E-4</v>
      </c>
      <c r="I34">
        <f t="shared" si="1"/>
        <v>0.20929773151874501</v>
      </c>
      <c r="J34">
        <f t="shared" si="2"/>
        <v>-9.5626659691333799E-2</v>
      </c>
      <c r="K34">
        <f t="shared" si="3"/>
        <v>-0.33798754215240501</v>
      </c>
      <c r="L34">
        <f t="shared" si="4"/>
        <v>-0.8543701171875</v>
      </c>
      <c r="M34">
        <f t="shared" si="5"/>
        <v>-0.97470813989639304</v>
      </c>
    </row>
    <row r="35" spans="1:13" x14ac:dyDescent="0.25">
      <c r="A35">
        <v>-1.0263080596923799</v>
      </c>
      <c r="B35">
        <v>0.71507501602172896</v>
      </c>
      <c r="C35">
        <v>-0.53383183479309104</v>
      </c>
      <c r="D35">
        <v>-0.12704449892044101</v>
      </c>
      <c r="E35">
        <v>-0.23577138781547499</v>
      </c>
      <c r="F35">
        <v>-5.3540230728685899E-3</v>
      </c>
      <c r="H35">
        <f t="shared" si="0"/>
        <v>-5.3540230728685899E-3</v>
      </c>
      <c r="I35">
        <f t="shared" si="1"/>
        <v>0.23577138781547499</v>
      </c>
      <c r="J35">
        <f t="shared" si="2"/>
        <v>-0.12704449892044101</v>
      </c>
      <c r="K35">
        <f t="shared" si="3"/>
        <v>-0.53383183479309104</v>
      </c>
      <c r="L35">
        <f t="shared" si="4"/>
        <v>-0.71507501602172896</v>
      </c>
      <c r="M35">
        <f t="shared" si="5"/>
        <v>-1.0263080596923799</v>
      </c>
    </row>
    <row r="36" spans="1:13" x14ac:dyDescent="0.25">
      <c r="A36">
        <v>-0.222265124320984</v>
      </c>
      <c r="B36">
        <v>0.322286486625671</v>
      </c>
      <c r="C36">
        <v>-3.2015025615692097E-2</v>
      </c>
      <c r="D36">
        <v>-4.9739588052034399E-2</v>
      </c>
      <c r="E36">
        <v>-6.0080211609602002E-2</v>
      </c>
      <c r="F36">
        <v>-1.7680961173027799E-3</v>
      </c>
      <c r="H36">
        <f t="shared" si="0"/>
        <v>-1.7680961173027799E-3</v>
      </c>
      <c r="I36">
        <f t="shared" si="1"/>
        <v>6.0080211609602002E-2</v>
      </c>
      <c r="J36">
        <f t="shared" si="2"/>
        <v>-4.9739588052034399E-2</v>
      </c>
      <c r="K36">
        <f t="shared" si="3"/>
        <v>-3.2015025615692097E-2</v>
      </c>
      <c r="L36">
        <f t="shared" si="4"/>
        <v>-0.322286486625671</v>
      </c>
      <c r="M36">
        <f t="shared" si="5"/>
        <v>-0.222265124320984</v>
      </c>
    </row>
    <row r="37" spans="1:13" x14ac:dyDescent="0.25">
      <c r="A37">
        <v>-0.63768112659454301</v>
      </c>
      <c r="B37">
        <v>0.22871214151382399</v>
      </c>
      <c r="C37">
        <v>-0.50677508115768399</v>
      </c>
      <c r="D37">
        <v>-3.9002325385808903E-2</v>
      </c>
      <c r="E37">
        <v>-0.209005877375603</v>
      </c>
      <c r="F37">
        <v>-7.3416158556938198E-5</v>
      </c>
      <c r="H37">
        <f t="shared" si="0"/>
        <v>-7.3416158556938198E-5</v>
      </c>
      <c r="I37">
        <f t="shared" si="1"/>
        <v>0.209005877375603</v>
      </c>
      <c r="J37">
        <f t="shared" si="2"/>
        <v>-3.9002325385808903E-2</v>
      </c>
      <c r="K37">
        <f t="shared" si="3"/>
        <v>-0.50677508115768399</v>
      </c>
      <c r="L37">
        <f t="shared" si="4"/>
        <v>-0.22871214151382399</v>
      </c>
      <c r="M37">
        <f t="shared" si="5"/>
        <v>-0.63768112659454301</v>
      </c>
    </row>
    <row r="38" spans="1:13" x14ac:dyDescent="0.25">
      <c r="A38">
        <v>-0.99801015853881803</v>
      </c>
      <c r="B38">
        <v>-7.6181143522262599E-3</v>
      </c>
      <c r="C38">
        <v>-3.8502156734466601E-2</v>
      </c>
      <c r="D38">
        <v>1.77300837822258E-3</v>
      </c>
      <c r="E38">
        <v>-0.11752788722515101</v>
      </c>
      <c r="F38">
        <v>1.8433155491948101E-4</v>
      </c>
      <c r="H38">
        <f t="shared" si="0"/>
        <v>1.8433155491948101E-4</v>
      </c>
      <c r="I38">
        <f t="shared" si="1"/>
        <v>0.11752788722515101</v>
      </c>
      <c r="J38">
        <f t="shared" si="2"/>
        <v>1.77300837822258E-3</v>
      </c>
      <c r="K38">
        <f t="shared" si="3"/>
        <v>-3.8502156734466601E-2</v>
      </c>
      <c r="L38">
        <f t="shared" si="4"/>
        <v>7.6181143522262599E-3</v>
      </c>
      <c r="M38">
        <f t="shared" si="5"/>
        <v>-0.99801015853881803</v>
      </c>
    </row>
    <row r="39" spans="1:13" x14ac:dyDescent="0.25">
      <c r="A39">
        <v>-1.1885303258895901</v>
      </c>
      <c r="B39">
        <v>0.10896006226539599</v>
      </c>
      <c r="C39">
        <v>-0.47105222940444902</v>
      </c>
      <c r="D39">
        <v>-1.6046434640884399E-2</v>
      </c>
      <c r="E39">
        <v>-0.27689665555954002</v>
      </c>
      <c r="F39">
        <v>-5.2668377757072397E-3</v>
      </c>
      <c r="H39">
        <f t="shared" si="0"/>
        <v>-5.2668377757072397E-3</v>
      </c>
      <c r="I39">
        <f t="shared" si="1"/>
        <v>0.27689665555954002</v>
      </c>
      <c r="J39">
        <f t="shared" si="2"/>
        <v>-1.6046434640884399E-2</v>
      </c>
      <c r="K39">
        <f t="shared" si="3"/>
        <v>-0.47105222940444902</v>
      </c>
      <c r="L39">
        <f t="shared" si="4"/>
        <v>-0.10896006226539599</v>
      </c>
      <c r="M39">
        <f t="shared" si="5"/>
        <v>-1.1885303258895901</v>
      </c>
    </row>
    <row r="40" spans="1:13" x14ac:dyDescent="0.25">
      <c r="A40">
        <v>-0.66350710391998302</v>
      </c>
      <c r="B40">
        <v>0.81574249267578103</v>
      </c>
      <c r="C40">
        <v>-0.68777251243591297</v>
      </c>
      <c r="D40">
        <v>-9.4180338084697696E-2</v>
      </c>
      <c r="E40">
        <v>-0.239984765648842</v>
      </c>
      <c r="F40">
        <v>-1.2570786289870701E-2</v>
      </c>
      <c r="H40">
        <f t="shared" si="0"/>
        <v>-1.2570786289870701E-2</v>
      </c>
      <c r="I40">
        <f t="shared" si="1"/>
        <v>0.239984765648842</v>
      </c>
      <c r="J40">
        <f t="shared" si="2"/>
        <v>-9.4180338084697696E-2</v>
      </c>
      <c r="K40">
        <f t="shared" si="3"/>
        <v>-0.68777251243591297</v>
      </c>
      <c r="L40">
        <f t="shared" si="4"/>
        <v>-0.81574249267578103</v>
      </c>
      <c r="M40">
        <f t="shared" si="5"/>
        <v>-0.66350710391998302</v>
      </c>
    </row>
    <row r="41" spans="1:13" x14ac:dyDescent="0.25">
      <c r="A41">
        <v>-0.207838654518127</v>
      </c>
      <c r="B41">
        <v>8.5683420300483704E-2</v>
      </c>
      <c r="C41">
        <v>-3.8537099957466098E-2</v>
      </c>
      <c r="D41">
        <v>-1.43192345276475E-2</v>
      </c>
      <c r="E41">
        <v>-5.42946308851242E-2</v>
      </c>
      <c r="F41">
        <v>2.25764350034297E-4</v>
      </c>
      <c r="H41">
        <f t="shared" si="0"/>
        <v>2.25764350034297E-4</v>
      </c>
      <c r="I41">
        <f t="shared" si="1"/>
        <v>5.42946308851242E-2</v>
      </c>
      <c r="J41">
        <f t="shared" si="2"/>
        <v>-1.43192345276475E-2</v>
      </c>
      <c r="K41">
        <f t="shared" si="3"/>
        <v>-3.8537099957466098E-2</v>
      </c>
      <c r="L41">
        <f t="shared" si="4"/>
        <v>-8.5683420300483704E-2</v>
      </c>
      <c r="M41">
        <f t="shared" si="5"/>
        <v>-0.207838654518127</v>
      </c>
    </row>
    <row r="42" spans="1:13" x14ac:dyDescent="0.25">
      <c r="A42">
        <v>-1.17376625537872</v>
      </c>
      <c r="B42">
        <v>2.7135983109474199E-2</v>
      </c>
      <c r="C42">
        <v>-0.25940474867820701</v>
      </c>
      <c r="D42">
        <v>-3.3264472149312501E-3</v>
      </c>
      <c r="E42">
        <v>-0.22294643521308899</v>
      </c>
      <c r="F42">
        <v>2.13603163138032E-3</v>
      </c>
      <c r="H42">
        <f t="shared" si="0"/>
        <v>2.13603163138032E-3</v>
      </c>
      <c r="I42">
        <f t="shared" si="1"/>
        <v>0.22294643521308899</v>
      </c>
      <c r="J42">
        <f t="shared" si="2"/>
        <v>-3.3264472149312501E-3</v>
      </c>
      <c r="K42">
        <f t="shared" si="3"/>
        <v>-0.25940474867820701</v>
      </c>
      <c r="L42">
        <f t="shared" si="4"/>
        <v>-2.7135983109474199E-2</v>
      </c>
      <c r="M42">
        <f t="shared" si="5"/>
        <v>-1.17376625537872</v>
      </c>
    </row>
    <row r="43" spans="1:13" x14ac:dyDescent="0.25">
      <c r="A43">
        <v>-1.0569527745246899E-2</v>
      </c>
      <c r="B43">
        <v>0.140231847763062</v>
      </c>
      <c r="C43">
        <v>-6.7896731197834001E-2</v>
      </c>
      <c r="D43">
        <v>-1.5967145562171901E-2</v>
      </c>
      <c r="E43">
        <v>2.5537339970469501E-3</v>
      </c>
      <c r="F43">
        <v>4.9941525794565704E-3</v>
      </c>
      <c r="H43">
        <f t="shared" si="0"/>
        <v>4.9941525794565704E-3</v>
      </c>
      <c r="I43">
        <f t="shared" si="1"/>
        <v>-2.5537339970469501E-3</v>
      </c>
      <c r="J43">
        <f t="shared" si="2"/>
        <v>-1.5967145562171901E-2</v>
      </c>
      <c r="K43">
        <f t="shared" si="3"/>
        <v>-6.7896731197834001E-2</v>
      </c>
      <c r="L43">
        <f t="shared" si="4"/>
        <v>-0.140231847763062</v>
      </c>
      <c r="M43">
        <f t="shared" si="5"/>
        <v>-1.0569527745246899E-2</v>
      </c>
    </row>
    <row r="44" spans="1:13" x14ac:dyDescent="0.25">
      <c r="A44">
        <v>-0.96642386913299605</v>
      </c>
      <c r="B44">
        <v>1.0179207324981701</v>
      </c>
      <c r="C44">
        <v>-0.95730906724929798</v>
      </c>
      <c r="D44">
        <v>-0.247706294059753</v>
      </c>
      <c r="E44">
        <v>-0.26014894247055098</v>
      </c>
      <c r="F44">
        <v>-3.93409747630358E-3</v>
      </c>
      <c r="H44">
        <f t="shared" si="0"/>
        <v>-3.93409747630358E-3</v>
      </c>
      <c r="I44">
        <f t="shared" si="1"/>
        <v>0.26014894247055098</v>
      </c>
      <c r="J44">
        <f t="shared" si="2"/>
        <v>-0.247706294059753</v>
      </c>
      <c r="K44">
        <f t="shared" si="3"/>
        <v>-0.95730906724929798</v>
      </c>
      <c r="L44">
        <f t="shared" si="4"/>
        <v>-1.0179207324981701</v>
      </c>
      <c r="M44">
        <f t="shared" si="5"/>
        <v>-0.96642386913299605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Proximal Validation (double)</vt:lpstr>
      <vt:lpstr>Distal Vali (double, tight)</vt:lpstr>
      <vt:lpstr>Distal Vali (double, loose)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2025-10-05T08:33:08Z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