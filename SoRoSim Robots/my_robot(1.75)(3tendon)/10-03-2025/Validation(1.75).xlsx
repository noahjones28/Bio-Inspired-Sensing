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https://djpropertycom-my.sharepoint.com/personal/noah_familiajones_org/Documents/Work and Projects/Github/Whisker_Inspired_Sensing_CR/SoRoSim Robots/my_robot(1.75)(3tendon)/10-03-2025/"/>
    </mc:Choice>
  </mc:AlternateContent>
  <xr:revisionPtr revIDLastSave="2408" documentId="8_{DFFD6B0C-681F-42C8-B2E4-5D4B90AAE966}" xr6:coauthVersionLast="47" xr6:coauthVersionMax="47" xr10:uidLastSave="{9CA50D69-A8F2-48B2-BF80-4D14B5A215F8}"/>
  <bookViews>
    <workbookView xWindow="-120" yWindow="-120" windowWidth="29040" windowHeight="15720" firstSheet="1" activeTab="4" xr2:uid="{3D16C37F-3C74-4527-A308-796C339DFE9F}"/>
  </bookViews>
  <sheets>
    <sheet name="Proximal Validation (double)" sheetId="12" r:id="rId1"/>
    <sheet name="Distal Vali (double, simulated)" sheetId="20" r:id="rId2"/>
    <sheet name="Distal Vali (double, tight)" sheetId="17" r:id="rId3"/>
    <sheet name="Distal Vali (double, sim, 2to1)" sheetId="22" r:id="rId4"/>
    <sheet name="Distal Vali (double, loose)" sheetId="19" r:id="rId5"/>
    <sheet name="Conversion" sheetId="4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N4" i="19" l="1" a="1"/>
  <c r="AN4" i="19" s="1"/>
  <c r="AN13" i="19"/>
  <c r="AN13" i="22"/>
  <c r="AP13" i="19"/>
  <c r="AO13" i="19"/>
  <c r="AP13" i="20"/>
  <c r="AO13" i="20"/>
  <c r="AN13" i="20"/>
  <c r="AO13" i="22"/>
  <c r="AP13" i="22"/>
  <c r="AM4" i="22"/>
  <c r="AM5" i="22"/>
  <c r="AM6" i="22"/>
  <c r="AM7" i="22"/>
  <c r="AM8" i="22"/>
  <c r="AM9" i="22"/>
  <c r="AM10" i="22"/>
  <c r="AM11" i="22"/>
  <c r="AM12" i="22"/>
  <c r="AM13" i="22"/>
  <c r="AM14" i="22"/>
  <c r="AM15" i="22"/>
  <c r="AM16" i="22"/>
  <c r="AM17" i="22"/>
  <c r="AM18" i="22"/>
  <c r="AM19" i="22"/>
  <c r="AM20" i="22"/>
  <c r="AM21" i="22"/>
  <c r="AM22" i="22"/>
  <c r="AM23" i="22"/>
  <c r="AM24" i="22"/>
  <c r="AM25" i="22"/>
  <c r="AM26" i="22"/>
  <c r="AM27" i="22"/>
  <c r="AM28" i="22"/>
  <c r="AM29" i="22"/>
  <c r="AM30" i="22"/>
  <c r="AM31" i="22"/>
  <c r="AM32" i="22"/>
  <c r="AM33" i="22"/>
  <c r="AM34" i="22"/>
  <c r="AM35" i="22"/>
  <c r="AM36" i="22"/>
  <c r="AM37" i="22"/>
  <c r="AM38" i="22"/>
  <c r="AM39" i="22"/>
  <c r="AM40" i="22"/>
  <c r="AM41" i="22"/>
  <c r="AM42" i="22"/>
  <c r="AM3" i="22"/>
  <c r="K42" i="22"/>
  <c r="J42" i="22"/>
  <c r="I42" i="22"/>
  <c r="H42" i="22"/>
  <c r="AH42" i="22" s="1"/>
  <c r="G42" i="22"/>
  <c r="AG42" i="22" s="1"/>
  <c r="F42" i="22"/>
  <c r="AF42" i="22" s="1"/>
  <c r="E42" i="22"/>
  <c r="AE42" i="22" s="1"/>
  <c r="D42" i="22"/>
  <c r="AD42" i="22" s="1"/>
  <c r="C42" i="22"/>
  <c r="AC42" i="22" s="1"/>
  <c r="B42" i="22"/>
  <c r="AB42" i="22" s="1"/>
  <c r="A42" i="22"/>
  <c r="AL42" i="22" s="1"/>
  <c r="AD41" i="22"/>
  <c r="AA41" i="22"/>
  <c r="K41" i="22"/>
  <c r="J41" i="22"/>
  <c r="I41" i="22"/>
  <c r="H41" i="22"/>
  <c r="AH41" i="22" s="1"/>
  <c r="G41" i="22"/>
  <c r="AG41" i="22" s="1"/>
  <c r="F41" i="22"/>
  <c r="AF41" i="22" s="1"/>
  <c r="E41" i="22"/>
  <c r="AE41" i="22" s="1"/>
  <c r="D41" i="22"/>
  <c r="C41" i="22"/>
  <c r="AC41" i="22" s="1"/>
  <c r="B41" i="22"/>
  <c r="AB41" i="22" s="1"/>
  <c r="AJ41" i="22" s="1"/>
  <c r="A41" i="22"/>
  <c r="AB40" i="22"/>
  <c r="K40" i="22"/>
  <c r="J40" i="22"/>
  <c r="I40" i="22"/>
  <c r="H40" i="22"/>
  <c r="AH40" i="22" s="1"/>
  <c r="G40" i="22"/>
  <c r="AG40" i="22" s="1"/>
  <c r="F40" i="22"/>
  <c r="AF40" i="22" s="1"/>
  <c r="AJ40" i="22" s="1"/>
  <c r="E40" i="22"/>
  <c r="AE40" i="22" s="1"/>
  <c r="D40" i="22"/>
  <c r="AD40" i="22" s="1"/>
  <c r="C40" i="22"/>
  <c r="AC40" i="22" s="1"/>
  <c r="B40" i="22"/>
  <c r="A40" i="22"/>
  <c r="AA40" i="22" s="1"/>
  <c r="AA39" i="22"/>
  <c r="K39" i="22"/>
  <c r="J39" i="22"/>
  <c r="I39" i="22"/>
  <c r="H39" i="22"/>
  <c r="AH39" i="22" s="1"/>
  <c r="G39" i="22"/>
  <c r="AG39" i="22" s="1"/>
  <c r="F39" i="22"/>
  <c r="AF39" i="22" s="1"/>
  <c r="E39" i="22"/>
  <c r="AE39" i="22" s="1"/>
  <c r="AI39" i="22" s="1"/>
  <c r="D39" i="22"/>
  <c r="AD39" i="22" s="1"/>
  <c r="C39" i="22"/>
  <c r="AC39" i="22" s="1"/>
  <c r="B39" i="22"/>
  <c r="AB39" i="22" s="1"/>
  <c r="A39" i="22"/>
  <c r="AL38" i="22"/>
  <c r="AD38" i="22"/>
  <c r="AA38" i="22"/>
  <c r="AI38" i="22" s="1"/>
  <c r="K38" i="22"/>
  <c r="J38" i="22"/>
  <c r="I38" i="22"/>
  <c r="H38" i="22"/>
  <c r="AH38" i="22" s="1"/>
  <c r="G38" i="22"/>
  <c r="AG38" i="22" s="1"/>
  <c r="F38" i="22"/>
  <c r="AF38" i="22" s="1"/>
  <c r="E38" i="22"/>
  <c r="AE38" i="22" s="1"/>
  <c r="D38" i="22"/>
  <c r="C38" i="22"/>
  <c r="AC38" i="22" s="1"/>
  <c r="B38" i="22"/>
  <c r="AB38" i="22" s="1"/>
  <c r="A38" i="22"/>
  <c r="AG37" i="22"/>
  <c r="AC37" i="22"/>
  <c r="K37" i="22"/>
  <c r="J37" i="22"/>
  <c r="I37" i="22"/>
  <c r="H37" i="22"/>
  <c r="AH37" i="22" s="1"/>
  <c r="G37" i="22"/>
  <c r="F37" i="22"/>
  <c r="AF37" i="22" s="1"/>
  <c r="E37" i="22"/>
  <c r="AE37" i="22" s="1"/>
  <c r="D37" i="22"/>
  <c r="AD37" i="22" s="1"/>
  <c r="C37" i="22"/>
  <c r="B37" i="22"/>
  <c r="AB37" i="22" s="1"/>
  <c r="AJ37" i="22" s="1"/>
  <c r="A37" i="22"/>
  <c r="AA37" i="22" s="1"/>
  <c r="AI37" i="22" s="1"/>
  <c r="AH36" i="22"/>
  <c r="AF36" i="22"/>
  <c r="AB36" i="22"/>
  <c r="K36" i="22"/>
  <c r="J36" i="22"/>
  <c r="I36" i="22"/>
  <c r="H36" i="22"/>
  <c r="G36" i="22"/>
  <c r="AG36" i="22" s="1"/>
  <c r="F36" i="22"/>
  <c r="E36" i="22"/>
  <c r="AE36" i="22" s="1"/>
  <c r="D36" i="22"/>
  <c r="AD36" i="22" s="1"/>
  <c r="C36" i="22"/>
  <c r="AC36" i="22" s="1"/>
  <c r="AK36" i="22" s="1"/>
  <c r="B36" i="22"/>
  <c r="A36" i="22"/>
  <c r="AA36" i="22" s="1"/>
  <c r="AL35" i="22"/>
  <c r="AG35" i="22"/>
  <c r="AA35" i="22"/>
  <c r="K35" i="22"/>
  <c r="J35" i="22"/>
  <c r="I35" i="22"/>
  <c r="H35" i="22"/>
  <c r="AH35" i="22" s="1"/>
  <c r="G35" i="22"/>
  <c r="F35" i="22"/>
  <c r="AF35" i="22" s="1"/>
  <c r="E35" i="22"/>
  <c r="AE35" i="22" s="1"/>
  <c r="AI35" i="22" s="1"/>
  <c r="D35" i="22"/>
  <c r="AD35" i="22" s="1"/>
  <c r="C35" i="22"/>
  <c r="AC35" i="22" s="1"/>
  <c r="B35" i="22"/>
  <c r="AB35" i="22" s="1"/>
  <c r="AJ35" i="22" s="1"/>
  <c r="A35" i="22"/>
  <c r="K34" i="22"/>
  <c r="J34" i="22"/>
  <c r="I34" i="22"/>
  <c r="H34" i="22"/>
  <c r="AH34" i="22" s="1"/>
  <c r="G34" i="22"/>
  <c r="AG34" i="22" s="1"/>
  <c r="F34" i="22"/>
  <c r="AF34" i="22" s="1"/>
  <c r="E34" i="22"/>
  <c r="AE34" i="22" s="1"/>
  <c r="D34" i="22"/>
  <c r="AD34" i="22" s="1"/>
  <c r="C34" i="22"/>
  <c r="AC34" i="22" s="1"/>
  <c r="B34" i="22"/>
  <c r="AB34" i="22" s="1"/>
  <c r="A34" i="22"/>
  <c r="AA34" i="22" s="1"/>
  <c r="AC33" i="22"/>
  <c r="K33" i="22"/>
  <c r="J33" i="22"/>
  <c r="I33" i="22"/>
  <c r="H33" i="22"/>
  <c r="AH33" i="22" s="1"/>
  <c r="G33" i="22"/>
  <c r="AG33" i="22" s="1"/>
  <c r="F33" i="22"/>
  <c r="AF33" i="22" s="1"/>
  <c r="E33" i="22"/>
  <c r="AE33" i="22" s="1"/>
  <c r="D33" i="22"/>
  <c r="AD33" i="22" s="1"/>
  <c r="C33" i="22"/>
  <c r="B33" i="22"/>
  <c r="AB33" i="22" s="1"/>
  <c r="A33" i="22"/>
  <c r="AA33" i="22" s="1"/>
  <c r="AG32" i="22"/>
  <c r="AF32" i="22"/>
  <c r="AD32" i="22"/>
  <c r="AB32" i="22"/>
  <c r="K32" i="22"/>
  <c r="J32" i="22"/>
  <c r="I32" i="22"/>
  <c r="H32" i="22"/>
  <c r="AH32" i="22" s="1"/>
  <c r="G32" i="22"/>
  <c r="F32" i="22"/>
  <c r="E32" i="22"/>
  <c r="AE32" i="22" s="1"/>
  <c r="D32" i="22"/>
  <c r="C32" i="22"/>
  <c r="AC32" i="22" s="1"/>
  <c r="AK32" i="22" s="1"/>
  <c r="B32" i="22"/>
  <c r="A32" i="22"/>
  <c r="AA32" i="22" s="1"/>
  <c r="AL31" i="22"/>
  <c r="AF31" i="22"/>
  <c r="AE31" i="22"/>
  <c r="AA31" i="22"/>
  <c r="K31" i="22"/>
  <c r="J31" i="22"/>
  <c r="I31" i="22"/>
  <c r="H31" i="22"/>
  <c r="AH31" i="22" s="1"/>
  <c r="G31" i="22"/>
  <c r="AG31" i="22" s="1"/>
  <c r="F31" i="22"/>
  <c r="E31" i="22"/>
  <c r="D31" i="22"/>
  <c r="AD31" i="22" s="1"/>
  <c r="C31" i="22"/>
  <c r="AC31" i="22" s="1"/>
  <c r="B31" i="22"/>
  <c r="AB31" i="22" s="1"/>
  <c r="A31" i="22"/>
  <c r="AE30" i="22"/>
  <c r="K30" i="22"/>
  <c r="J30" i="22"/>
  <c r="I30" i="22"/>
  <c r="H30" i="22"/>
  <c r="AH30" i="22" s="1"/>
  <c r="G30" i="22"/>
  <c r="AG30" i="22" s="1"/>
  <c r="F30" i="22"/>
  <c r="AF30" i="22" s="1"/>
  <c r="E30" i="22"/>
  <c r="AL30" i="22" s="1"/>
  <c r="D30" i="22"/>
  <c r="AD30" i="22" s="1"/>
  <c r="C30" i="22"/>
  <c r="AC30" i="22" s="1"/>
  <c r="B30" i="22"/>
  <c r="AB30" i="22" s="1"/>
  <c r="AJ30" i="22" s="1"/>
  <c r="A30" i="22"/>
  <c r="AA30" i="22" s="1"/>
  <c r="AG29" i="22"/>
  <c r="AE29" i="22"/>
  <c r="AD29" i="22"/>
  <c r="AC29" i="22"/>
  <c r="AA29" i="22"/>
  <c r="K29" i="22"/>
  <c r="J29" i="22"/>
  <c r="I29" i="22"/>
  <c r="H29" i="22"/>
  <c r="AH29" i="22" s="1"/>
  <c r="G29" i="22"/>
  <c r="F29" i="22"/>
  <c r="AF29" i="22" s="1"/>
  <c r="E29" i="22"/>
  <c r="D29" i="22"/>
  <c r="C29" i="22"/>
  <c r="B29" i="22"/>
  <c r="AB29" i="22" s="1"/>
  <c r="A29" i="22"/>
  <c r="AL29" i="22" s="1"/>
  <c r="AD28" i="22"/>
  <c r="AC28" i="22"/>
  <c r="K28" i="22"/>
  <c r="J28" i="22"/>
  <c r="I28" i="22"/>
  <c r="H28" i="22"/>
  <c r="AH28" i="22" s="1"/>
  <c r="G28" i="22"/>
  <c r="AG28" i="22" s="1"/>
  <c r="F28" i="22"/>
  <c r="AF28" i="22" s="1"/>
  <c r="E28" i="22"/>
  <c r="AE28" i="22" s="1"/>
  <c r="D28" i="22"/>
  <c r="C28" i="22"/>
  <c r="B28" i="22"/>
  <c r="AB28" i="22" s="1"/>
  <c r="A28" i="22"/>
  <c r="AA28" i="22" s="1"/>
  <c r="AB27" i="22"/>
  <c r="AA27" i="22"/>
  <c r="K27" i="22"/>
  <c r="J27" i="22"/>
  <c r="I27" i="22"/>
  <c r="H27" i="22"/>
  <c r="AH27" i="22" s="1"/>
  <c r="G27" i="22"/>
  <c r="AG27" i="22" s="1"/>
  <c r="F27" i="22"/>
  <c r="AF27" i="22" s="1"/>
  <c r="E27" i="22"/>
  <c r="AE27" i="22" s="1"/>
  <c r="AI27" i="22" s="1"/>
  <c r="D27" i="22"/>
  <c r="AD27" i="22" s="1"/>
  <c r="C27" i="22"/>
  <c r="AC27" i="22" s="1"/>
  <c r="B27" i="22"/>
  <c r="A27" i="22"/>
  <c r="AB26" i="22"/>
  <c r="K26" i="22"/>
  <c r="J26" i="22"/>
  <c r="I26" i="22"/>
  <c r="H26" i="22"/>
  <c r="AH26" i="22" s="1"/>
  <c r="G26" i="22"/>
  <c r="AG26" i="22" s="1"/>
  <c r="F26" i="22"/>
  <c r="AF26" i="22" s="1"/>
  <c r="AJ26" i="22" s="1"/>
  <c r="E26" i="22"/>
  <c r="AE26" i="22" s="1"/>
  <c r="D26" i="22"/>
  <c r="AD26" i="22" s="1"/>
  <c r="C26" i="22"/>
  <c r="AC26" i="22" s="1"/>
  <c r="B26" i="22"/>
  <c r="A26" i="22"/>
  <c r="AL26" i="22" s="1"/>
  <c r="AA25" i="22"/>
  <c r="K25" i="22"/>
  <c r="J25" i="22"/>
  <c r="I25" i="22"/>
  <c r="H25" i="22"/>
  <c r="AH25" i="22" s="1"/>
  <c r="G25" i="22"/>
  <c r="AG25" i="22" s="1"/>
  <c r="F25" i="22"/>
  <c r="AF25" i="22" s="1"/>
  <c r="E25" i="22"/>
  <c r="AE25" i="22" s="1"/>
  <c r="D25" i="22"/>
  <c r="AD25" i="22" s="1"/>
  <c r="C25" i="22"/>
  <c r="AC25" i="22" s="1"/>
  <c r="B25" i="22"/>
  <c r="AB25" i="22" s="1"/>
  <c r="A25" i="22"/>
  <c r="AF24" i="22"/>
  <c r="K24" i="22"/>
  <c r="J24" i="22"/>
  <c r="I24" i="22"/>
  <c r="H24" i="22"/>
  <c r="AH24" i="22" s="1"/>
  <c r="G24" i="22"/>
  <c r="AG24" i="22" s="1"/>
  <c r="F24" i="22"/>
  <c r="E24" i="22"/>
  <c r="AE24" i="22" s="1"/>
  <c r="D24" i="22"/>
  <c r="AD24" i="22" s="1"/>
  <c r="C24" i="22"/>
  <c r="AC24" i="22" s="1"/>
  <c r="B24" i="22"/>
  <c r="AB24" i="22" s="1"/>
  <c r="A24" i="22"/>
  <c r="AA24" i="22" s="1"/>
  <c r="AI24" i="22" s="1"/>
  <c r="AG23" i="22"/>
  <c r="AE23" i="22"/>
  <c r="K23" i="22"/>
  <c r="J23" i="22"/>
  <c r="I23" i="22"/>
  <c r="H23" i="22"/>
  <c r="AH23" i="22" s="1"/>
  <c r="G23" i="22"/>
  <c r="F23" i="22"/>
  <c r="AF23" i="22" s="1"/>
  <c r="E23" i="22"/>
  <c r="D23" i="22"/>
  <c r="AD23" i="22" s="1"/>
  <c r="C23" i="22"/>
  <c r="AC23" i="22" s="1"/>
  <c r="B23" i="22"/>
  <c r="AB23" i="22" s="1"/>
  <c r="AJ23" i="22" s="1"/>
  <c r="A23" i="22"/>
  <c r="AA23" i="22" s="1"/>
  <c r="AH22" i="22"/>
  <c r="AF22" i="22"/>
  <c r="AD22" i="22"/>
  <c r="K22" i="22"/>
  <c r="J22" i="22"/>
  <c r="I22" i="22"/>
  <c r="H22" i="22"/>
  <c r="G22" i="22"/>
  <c r="AG22" i="22" s="1"/>
  <c r="F22" i="22"/>
  <c r="E22" i="22"/>
  <c r="AE22" i="22" s="1"/>
  <c r="D22" i="22"/>
  <c r="C22" i="22"/>
  <c r="AC22" i="22" s="1"/>
  <c r="AK22" i="22" s="1"/>
  <c r="B22" i="22"/>
  <c r="AB22" i="22" s="1"/>
  <c r="A22" i="22"/>
  <c r="AA22" i="22" s="1"/>
  <c r="AH21" i="22"/>
  <c r="AG21" i="22"/>
  <c r="K21" i="22"/>
  <c r="J21" i="22"/>
  <c r="I21" i="22"/>
  <c r="H21" i="22"/>
  <c r="G21" i="22"/>
  <c r="F21" i="22"/>
  <c r="AF21" i="22" s="1"/>
  <c r="E21" i="22"/>
  <c r="AE21" i="22" s="1"/>
  <c r="D21" i="22"/>
  <c r="AD21" i="22" s="1"/>
  <c r="C21" i="22"/>
  <c r="AC21" i="22" s="1"/>
  <c r="B21" i="22"/>
  <c r="AB21" i="22" s="1"/>
  <c r="A21" i="22"/>
  <c r="AA21" i="22" s="1"/>
  <c r="AB20" i="22"/>
  <c r="K20" i="22"/>
  <c r="J20" i="22"/>
  <c r="I20" i="22"/>
  <c r="H20" i="22"/>
  <c r="AH20" i="22" s="1"/>
  <c r="G20" i="22"/>
  <c r="AG20" i="22" s="1"/>
  <c r="F20" i="22"/>
  <c r="AF20" i="22" s="1"/>
  <c r="E20" i="22"/>
  <c r="AE20" i="22" s="1"/>
  <c r="D20" i="22"/>
  <c r="AD20" i="22" s="1"/>
  <c r="C20" i="22"/>
  <c r="AC20" i="22" s="1"/>
  <c r="B20" i="22"/>
  <c r="A20" i="22"/>
  <c r="AA20" i="22" s="1"/>
  <c r="AE19" i="22"/>
  <c r="AC19" i="22"/>
  <c r="AA19" i="22"/>
  <c r="K19" i="22"/>
  <c r="J19" i="22"/>
  <c r="I19" i="22"/>
  <c r="H19" i="22"/>
  <c r="AH19" i="22" s="1"/>
  <c r="G19" i="22"/>
  <c r="AG19" i="22" s="1"/>
  <c r="F19" i="22"/>
  <c r="AF19" i="22" s="1"/>
  <c r="E19" i="22"/>
  <c r="D19" i="22"/>
  <c r="AD19" i="22" s="1"/>
  <c r="C19" i="22"/>
  <c r="B19" i="22"/>
  <c r="AB19" i="22" s="1"/>
  <c r="A19" i="22"/>
  <c r="AL19" i="22" s="1"/>
  <c r="AE18" i="22"/>
  <c r="AD18" i="22"/>
  <c r="AB18" i="22"/>
  <c r="K18" i="22"/>
  <c r="J18" i="22"/>
  <c r="I18" i="22"/>
  <c r="H18" i="22"/>
  <c r="AH18" i="22" s="1"/>
  <c r="G18" i="22"/>
  <c r="AG18" i="22" s="1"/>
  <c r="F18" i="22"/>
  <c r="AF18" i="22" s="1"/>
  <c r="E18" i="22"/>
  <c r="D18" i="22"/>
  <c r="C18" i="22"/>
  <c r="AC18" i="22" s="1"/>
  <c r="B18" i="22"/>
  <c r="A18" i="22"/>
  <c r="AA18" i="22" s="1"/>
  <c r="AF17" i="22"/>
  <c r="AA17" i="22"/>
  <c r="K17" i="22"/>
  <c r="J17" i="22"/>
  <c r="I17" i="22"/>
  <c r="H17" i="22"/>
  <c r="AH17" i="22" s="1"/>
  <c r="G17" i="22"/>
  <c r="AG17" i="22" s="1"/>
  <c r="F17" i="22"/>
  <c r="E17" i="22"/>
  <c r="AE17" i="22" s="1"/>
  <c r="D17" i="22"/>
  <c r="AD17" i="22" s="1"/>
  <c r="C17" i="22"/>
  <c r="AC17" i="22" s="1"/>
  <c r="B17" i="22"/>
  <c r="AB17" i="22" s="1"/>
  <c r="A17" i="22"/>
  <c r="AC16" i="22"/>
  <c r="K16" i="22"/>
  <c r="J16" i="22"/>
  <c r="I16" i="22"/>
  <c r="H16" i="22"/>
  <c r="AH16" i="22" s="1"/>
  <c r="G16" i="22"/>
  <c r="AG16" i="22" s="1"/>
  <c r="AK16" i="22" s="1"/>
  <c r="F16" i="22"/>
  <c r="AF16" i="22" s="1"/>
  <c r="E16" i="22"/>
  <c r="AE16" i="22" s="1"/>
  <c r="D16" i="22"/>
  <c r="AD16" i="22" s="1"/>
  <c r="C16" i="22"/>
  <c r="B16" i="22"/>
  <c r="AB16" i="22" s="1"/>
  <c r="A16" i="22"/>
  <c r="AA16" i="22" s="1"/>
  <c r="AA15" i="22"/>
  <c r="K15" i="22"/>
  <c r="J15" i="22"/>
  <c r="I15" i="22"/>
  <c r="H15" i="22"/>
  <c r="AH15" i="22" s="1"/>
  <c r="G15" i="22"/>
  <c r="AG15" i="22" s="1"/>
  <c r="F15" i="22"/>
  <c r="AF15" i="22" s="1"/>
  <c r="E15" i="22"/>
  <c r="AE15" i="22" s="1"/>
  <c r="AI15" i="22" s="1"/>
  <c r="D15" i="22"/>
  <c r="AD15" i="22" s="1"/>
  <c r="C15" i="22"/>
  <c r="AC15" i="22" s="1"/>
  <c r="B15" i="22"/>
  <c r="AB15" i="22" s="1"/>
  <c r="A15" i="22"/>
  <c r="AL14" i="22"/>
  <c r="AA14" i="22"/>
  <c r="K14" i="22"/>
  <c r="J14" i="22"/>
  <c r="I14" i="22"/>
  <c r="H14" i="22"/>
  <c r="AH14" i="22" s="1"/>
  <c r="G14" i="22"/>
  <c r="AG14" i="22" s="1"/>
  <c r="F14" i="22"/>
  <c r="AF14" i="22" s="1"/>
  <c r="E14" i="22"/>
  <c r="AE14" i="22" s="1"/>
  <c r="D14" i="22"/>
  <c r="AD14" i="22" s="1"/>
  <c r="C14" i="22"/>
  <c r="AC14" i="22" s="1"/>
  <c r="B14" i="22"/>
  <c r="AB14" i="22" s="1"/>
  <c r="A14" i="22"/>
  <c r="K13" i="22"/>
  <c r="J13" i="22"/>
  <c r="I13" i="22"/>
  <c r="H13" i="22"/>
  <c r="AH13" i="22" s="1"/>
  <c r="G13" i="22"/>
  <c r="AG13" i="22" s="1"/>
  <c r="F13" i="22"/>
  <c r="AF13" i="22" s="1"/>
  <c r="E13" i="22"/>
  <c r="AE13" i="22" s="1"/>
  <c r="D13" i="22"/>
  <c r="AD13" i="22" s="1"/>
  <c r="C13" i="22"/>
  <c r="AC13" i="22" s="1"/>
  <c r="B13" i="22"/>
  <c r="AB13" i="22" s="1"/>
  <c r="A13" i="22"/>
  <c r="AA13" i="22" s="1"/>
  <c r="AF12" i="22"/>
  <c r="K12" i="22"/>
  <c r="J12" i="22"/>
  <c r="I12" i="22"/>
  <c r="H12" i="22"/>
  <c r="AH12" i="22" s="1"/>
  <c r="G12" i="22"/>
  <c r="AG12" i="22" s="1"/>
  <c r="F12" i="22"/>
  <c r="E12" i="22"/>
  <c r="AE12" i="22" s="1"/>
  <c r="D12" i="22"/>
  <c r="AD12" i="22" s="1"/>
  <c r="C12" i="22"/>
  <c r="AC12" i="22" s="1"/>
  <c r="B12" i="22"/>
  <c r="AB12" i="22" s="1"/>
  <c r="A12" i="22"/>
  <c r="AA12" i="22" s="1"/>
  <c r="AI12" i="22" s="1"/>
  <c r="AH11" i="22"/>
  <c r="AC11" i="22"/>
  <c r="AK11" i="22" s="1"/>
  <c r="K11" i="22"/>
  <c r="J11" i="22"/>
  <c r="I11" i="22"/>
  <c r="H11" i="22"/>
  <c r="G11" i="22"/>
  <c r="AG11" i="22" s="1"/>
  <c r="F11" i="22"/>
  <c r="AF11" i="22" s="1"/>
  <c r="E11" i="22"/>
  <c r="AE11" i="22" s="1"/>
  <c r="D11" i="22"/>
  <c r="AD11" i="22" s="1"/>
  <c r="C11" i="22"/>
  <c r="B11" i="22"/>
  <c r="AB11" i="22" s="1"/>
  <c r="AJ11" i="22" s="1"/>
  <c r="A11" i="22"/>
  <c r="AA11" i="22" s="1"/>
  <c r="AG10" i="22"/>
  <c r="AB10" i="22"/>
  <c r="AJ10" i="22" s="1"/>
  <c r="K10" i="22"/>
  <c r="J10" i="22"/>
  <c r="I10" i="22"/>
  <c r="H10" i="22"/>
  <c r="AH10" i="22" s="1"/>
  <c r="G10" i="22"/>
  <c r="F10" i="22"/>
  <c r="AF10" i="22" s="1"/>
  <c r="E10" i="22"/>
  <c r="AE10" i="22" s="1"/>
  <c r="D10" i="22"/>
  <c r="AD10" i="22" s="1"/>
  <c r="C10" i="22"/>
  <c r="AC10" i="22" s="1"/>
  <c r="B10" i="22"/>
  <c r="A10" i="22"/>
  <c r="AA10" i="22" s="1"/>
  <c r="AD9" i="22"/>
  <c r="AC9" i="22"/>
  <c r="K9" i="22"/>
  <c r="J9" i="22"/>
  <c r="I9" i="22"/>
  <c r="H9" i="22"/>
  <c r="AH9" i="22" s="1"/>
  <c r="G9" i="22"/>
  <c r="AG9" i="22" s="1"/>
  <c r="F9" i="22"/>
  <c r="AF9" i="22" s="1"/>
  <c r="E9" i="22"/>
  <c r="AE9" i="22" s="1"/>
  <c r="D9" i="22"/>
  <c r="C9" i="22"/>
  <c r="B9" i="22"/>
  <c r="AB9" i="22" s="1"/>
  <c r="A9" i="22"/>
  <c r="AL9" i="22" s="1"/>
  <c r="AC8" i="22"/>
  <c r="K8" i="22"/>
  <c r="J8" i="22"/>
  <c r="I8" i="22"/>
  <c r="H8" i="22"/>
  <c r="AH8" i="22" s="1"/>
  <c r="G8" i="22"/>
  <c r="AG8" i="22" s="1"/>
  <c r="F8" i="22"/>
  <c r="AF8" i="22" s="1"/>
  <c r="E8" i="22"/>
  <c r="AE8" i="22" s="1"/>
  <c r="D8" i="22"/>
  <c r="AD8" i="22" s="1"/>
  <c r="C8" i="22"/>
  <c r="B8" i="22"/>
  <c r="AB8" i="22" s="1"/>
  <c r="A8" i="22"/>
  <c r="AA8" i="22" s="1"/>
  <c r="AD7" i="22"/>
  <c r="K7" i="22"/>
  <c r="J7" i="22"/>
  <c r="I7" i="22"/>
  <c r="H7" i="22"/>
  <c r="AH7" i="22" s="1"/>
  <c r="G7" i="22"/>
  <c r="AG7" i="22" s="1"/>
  <c r="F7" i="22"/>
  <c r="AF7" i="22" s="1"/>
  <c r="E7" i="22"/>
  <c r="AE7" i="22" s="1"/>
  <c r="D7" i="22"/>
  <c r="C7" i="22"/>
  <c r="AC7" i="22" s="1"/>
  <c r="B7" i="22"/>
  <c r="AB7" i="22" s="1"/>
  <c r="A7" i="22"/>
  <c r="AA7" i="22" s="1"/>
  <c r="AA6" i="22"/>
  <c r="K6" i="22"/>
  <c r="J6" i="22"/>
  <c r="I6" i="22"/>
  <c r="H6" i="22"/>
  <c r="AH6" i="22" s="1"/>
  <c r="G6" i="22"/>
  <c r="AG6" i="22" s="1"/>
  <c r="F6" i="22"/>
  <c r="AF6" i="22" s="1"/>
  <c r="E6" i="22"/>
  <c r="AE6" i="22" s="1"/>
  <c r="D6" i="22"/>
  <c r="AD6" i="22" s="1"/>
  <c r="C6" i="22"/>
  <c r="AC6" i="22" s="1"/>
  <c r="B6" i="22"/>
  <c r="AB6" i="22" s="1"/>
  <c r="A6" i="22"/>
  <c r="AL6" i="22" s="1"/>
  <c r="AH5" i="22"/>
  <c r="AC5" i="22"/>
  <c r="AB5" i="22"/>
  <c r="AJ5" i="22" s="1"/>
  <c r="K5" i="22"/>
  <c r="J5" i="22"/>
  <c r="I5" i="22"/>
  <c r="H5" i="22"/>
  <c r="G5" i="22"/>
  <c r="AG5" i="22" s="1"/>
  <c r="F5" i="22"/>
  <c r="AF5" i="22" s="1"/>
  <c r="E5" i="22"/>
  <c r="AE5" i="22" s="1"/>
  <c r="D5" i="22"/>
  <c r="AD5" i="22" s="1"/>
  <c r="C5" i="22"/>
  <c r="B5" i="22"/>
  <c r="A5" i="22"/>
  <c r="AA5" i="22" s="1"/>
  <c r="AC4" i="22"/>
  <c r="K4" i="22"/>
  <c r="J4" i="22"/>
  <c r="I4" i="22"/>
  <c r="H4" i="22"/>
  <c r="AH4" i="22" s="1"/>
  <c r="G4" i="22"/>
  <c r="AG4" i="22" s="1"/>
  <c r="AK4" i="22" s="1"/>
  <c r="F4" i="22"/>
  <c r="AF4" i="22" s="1"/>
  <c r="E4" i="22"/>
  <c r="AE4" i="22" s="1"/>
  <c r="D4" i="22"/>
  <c r="AD4" i="22" s="1"/>
  <c r="C4" i="22"/>
  <c r="B4" i="22"/>
  <c r="AB4" i="22" s="1"/>
  <c r="A4" i="22"/>
  <c r="AA4" i="22" s="1"/>
  <c r="AI4" i="22" s="1"/>
  <c r="AD3" i="22"/>
  <c r="AB3" i="22"/>
  <c r="K3" i="22"/>
  <c r="J3" i="22"/>
  <c r="I3" i="22"/>
  <c r="H3" i="22"/>
  <c r="AH3" i="22" s="1"/>
  <c r="G3" i="22"/>
  <c r="AG3" i="22" s="1"/>
  <c r="F3" i="22"/>
  <c r="AF3" i="22" s="1"/>
  <c r="E3" i="22"/>
  <c r="AE3" i="22" s="1"/>
  <c r="D3" i="22"/>
  <c r="C3" i="22"/>
  <c r="AC3" i="22" s="1"/>
  <c r="B3" i="22"/>
  <c r="A3" i="22"/>
  <c r="AA3" i="22" s="1"/>
  <c r="AL18" i="22" l="1"/>
  <c r="AL5" i="22"/>
  <c r="AL11" i="22"/>
  <c r="AK17" i="22"/>
  <c r="AK33" i="22"/>
  <c r="AK41" i="22"/>
  <c r="AJ6" i="22"/>
  <c r="AA26" i="22"/>
  <c r="AI26" i="22" s="1"/>
  <c r="AI30" i="22"/>
  <c r="AI33" i="22"/>
  <c r="AI7" i="22"/>
  <c r="AL3" i="22"/>
  <c r="AL15" i="22"/>
  <c r="AJ20" i="22"/>
  <c r="AL4" i="22"/>
  <c r="AL39" i="22"/>
  <c r="AJ3" i="22"/>
  <c r="AI9" i="22"/>
  <c r="AL17" i="22"/>
  <c r="AK20" i="22"/>
  <c r="AL27" i="22"/>
  <c r="AJ34" i="22"/>
  <c r="AJ15" i="22"/>
  <c r="AJ16" i="22"/>
  <c r="AL8" i="22"/>
  <c r="AA9" i="22"/>
  <c r="AI21" i="22"/>
  <c r="AL41" i="22"/>
  <c r="AJ9" i="22"/>
  <c r="AI10" i="22"/>
  <c r="AI22" i="22"/>
  <c r="AJ32" i="22"/>
  <c r="AI36" i="22"/>
  <c r="AI11" i="22"/>
  <c r="AK18" i="22"/>
  <c r="AJ29" i="22"/>
  <c r="AI32" i="22"/>
  <c r="AK42" i="22"/>
  <c r="AI23" i="22"/>
  <c r="AJ36" i="22"/>
  <c r="AK29" i="22"/>
  <c r="AI19" i="22"/>
  <c r="AK19" i="22"/>
  <c r="AK27" i="22"/>
  <c r="AJ24" i="22"/>
  <c r="AJ12" i="22"/>
  <c r="AI13" i="22"/>
  <c r="AK23" i="22"/>
  <c r="AI14" i="22"/>
  <c r="AJ17" i="22"/>
  <c r="AI18" i="22"/>
  <c r="AI29" i="22"/>
  <c r="AJ31" i="22"/>
  <c r="AK35" i="22"/>
  <c r="AJ22" i="22"/>
  <c r="AJ42" i="22"/>
  <c r="AI5" i="22"/>
  <c r="AK10" i="22"/>
  <c r="AK6" i="22"/>
  <c r="AJ19" i="22"/>
  <c r="AJ28" i="22"/>
  <c r="AK37" i="22"/>
  <c r="AK5" i="22"/>
  <c r="AK13" i="22"/>
  <c r="AK25" i="22"/>
  <c r="AI6" i="22"/>
  <c r="AK21" i="22"/>
  <c r="AI25" i="22"/>
  <c r="AI31" i="22"/>
  <c r="AJ7" i="22"/>
  <c r="AU4" i="22" a="1"/>
  <c r="AU4" i="22" s="1"/>
  <c r="AS4" i="22" a="1"/>
  <c r="AS4" i="22" s="1"/>
  <c r="AP4" i="22" a="1"/>
  <c r="AP4" i="22" s="1"/>
  <c r="AP7" i="22" s="1"/>
  <c r="AK3" i="22"/>
  <c r="AI3" i="22"/>
  <c r="AK12" i="22"/>
  <c r="AJ13" i="22"/>
  <c r="AJ14" i="22"/>
  <c r="AK24" i="22"/>
  <c r="AJ25" i="22"/>
  <c r="AJ38" i="22"/>
  <c r="AR4" i="22" a="1"/>
  <c r="AR4" i="22" s="1"/>
  <c r="AJ8" i="22"/>
  <c r="AK14" i="22"/>
  <c r="AI20" i="22"/>
  <c r="AJ33" i="22"/>
  <c r="AK38" i="22"/>
  <c r="AK7" i="22"/>
  <c r="AI8" i="22"/>
  <c r="AK8" i="22"/>
  <c r="AI16" i="22"/>
  <c r="AI17" i="22"/>
  <c r="AK26" i="22"/>
  <c r="AK30" i="22"/>
  <c r="AJ39" i="22"/>
  <c r="AT4" i="22" a="1"/>
  <c r="AT4" i="22" s="1"/>
  <c r="AJ4" i="22"/>
  <c r="AO4" i="22" a="1"/>
  <c r="AO4" i="22" s="1"/>
  <c r="AK15" i="22"/>
  <c r="AJ27" i="22"/>
  <c r="AI34" i="22"/>
  <c r="AK39" i="22"/>
  <c r="AI40" i="22"/>
  <c r="AK40" i="22"/>
  <c r="AI41" i="22"/>
  <c r="AQ4" i="22" a="1"/>
  <c r="AQ4" i="22" s="1"/>
  <c r="AK9" i="22"/>
  <c r="AJ18" i="22"/>
  <c r="AJ21" i="22"/>
  <c r="AI28" i="22"/>
  <c r="AK28" i="22"/>
  <c r="AK31" i="22"/>
  <c r="AK34" i="22"/>
  <c r="AA42" i="22"/>
  <c r="AI42" i="22" s="1"/>
  <c r="AL7" i="22"/>
  <c r="AL16" i="22"/>
  <c r="AL28" i="22"/>
  <c r="AL40" i="22"/>
  <c r="AL10" i="22"/>
  <c r="AL13" i="22"/>
  <c r="AL25" i="22"/>
  <c r="AL37" i="22"/>
  <c r="AL12" i="22"/>
  <c r="AL24" i="22"/>
  <c r="AL36" i="22"/>
  <c r="AL23" i="22"/>
  <c r="AL22" i="22"/>
  <c r="AL34" i="22"/>
  <c r="AL21" i="22"/>
  <c r="AL33" i="22"/>
  <c r="AL20" i="22"/>
  <c r="AL32" i="22"/>
  <c r="AN9" i="22" l="1"/>
  <c r="AN11" i="22"/>
  <c r="AO7" i="22"/>
  <c r="AP11" i="22"/>
  <c r="AO9" i="22"/>
  <c r="AN4" i="22" a="1"/>
  <c r="AN4" i="22" s="1"/>
  <c r="AN7" i="22" s="1"/>
  <c r="AO11" i="22"/>
  <c r="AP9" i="22"/>
  <c r="AD42" i="20" l="1"/>
  <c r="AC42" i="20"/>
  <c r="AB42" i="20"/>
  <c r="AA42" i="20"/>
  <c r="K42" i="20"/>
  <c r="J42" i="20"/>
  <c r="I42" i="20"/>
  <c r="H42" i="20"/>
  <c r="AH42" i="20" s="1"/>
  <c r="G42" i="20"/>
  <c r="AG42" i="20" s="1"/>
  <c r="F42" i="20"/>
  <c r="AF42" i="20" s="1"/>
  <c r="E42" i="20"/>
  <c r="AE42" i="20" s="1"/>
  <c r="D42" i="20"/>
  <c r="C42" i="20"/>
  <c r="B42" i="20"/>
  <c r="A42" i="20"/>
  <c r="AF41" i="20"/>
  <c r="K41" i="20"/>
  <c r="J41" i="20"/>
  <c r="I41" i="20"/>
  <c r="H41" i="20"/>
  <c r="AH41" i="20" s="1"/>
  <c r="G41" i="20"/>
  <c r="AG41" i="20" s="1"/>
  <c r="F41" i="20"/>
  <c r="E41" i="20"/>
  <c r="AE41" i="20" s="1"/>
  <c r="D41" i="20"/>
  <c r="AD41" i="20" s="1"/>
  <c r="C41" i="20"/>
  <c r="AC41" i="20" s="1"/>
  <c r="B41" i="20"/>
  <c r="AB41" i="20" s="1"/>
  <c r="A41" i="20"/>
  <c r="AC40" i="20"/>
  <c r="AB40" i="20"/>
  <c r="K40" i="20"/>
  <c r="J40" i="20"/>
  <c r="I40" i="20"/>
  <c r="H40" i="20"/>
  <c r="AH40" i="20" s="1"/>
  <c r="G40" i="20"/>
  <c r="AG40" i="20" s="1"/>
  <c r="F40" i="20"/>
  <c r="AF40" i="20" s="1"/>
  <c r="E40" i="20"/>
  <c r="AE40" i="20" s="1"/>
  <c r="D40" i="20"/>
  <c r="AD40" i="20" s="1"/>
  <c r="C40" i="20"/>
  <c r="B40" i="20"/>
  <c r="A40" i="20"/>
  <c r="AL40" i="20" s="1"/>
  <c r="AG39" i="20"/>
  <c r="AF39" i="20"/>
  <c r="AE39" i="20"/>
  <c r="K39" i="20"/>
  <c r="J39" i="20"/>
  <c r="I39" i="20"/>
  <c r="H39" i="20"/>
  <c r="AH39" i="20" s="1"/>
  <c r="G39" i="20"/>
  <c r="F39" i="20"/>
  <c r="E39" i="20"/>
  <c r="D39" i="20"/>
  <c r="AD39" i="20" s="1"/>
  <c r="C39" i="20"/>
  <c r="AC39" i="20" s="1"/>
  <c r="B39" i="20"/>
  <c r="AB39" i="20" s="1"/>
  <c r="A39" i="20"/>
  <c r="K38" i="20"/>
  <c r="J38" i="20"/>
  <c r="I38" i="20"/>
  <c r="H38" i="20"/>
  <c r="AH38" i="20" s="1"/>
  <c r="G38" i="20"/>
  <c r="AG38" i="20" s="1"/>
  <c r="F38" i="20"/>
  <c r="AF38" i="20" s="1"/>
  <c r="E38" i="20"/>
  <c r="AE38" i="20" s="1"/>
  <c r="D38" i="20"/>
  <c r="AD38" i="20" s="1"/>
  <c r="C38" i="20"/>
  <c r="AC38" i="20" s="1"/>
  <c r="B38" i="20"/>
  <c r="AB38" i="20" s="1"/>
  <c r="A38" i="20"/>
  <c r="AL38" i="20" s="1"/>
  <c r="AD37" i="20"/>
  <c r="AC37" i="20"/>
  <c r="AB37" i="20"/>
  <c r="K37" i="20"/>
  <c r="J37" i="20"/>
  <c r="I37" i="20"/>
  <c r="H37" i="20"/>
  <c r="AH37" i="20" s="1"/>
  <c r="G37" i="20"/>
  <c r="AG37" i="20" s="1"/>
  <c r="F37" i="20"/>
  <c r="AF37" i="20" s="1"/>
  <c r="E37" i="20"/>
  <c r="AE37" i="20" s="1"/>
  <c r="D37" i="20"/>
  <c r="C37" i="20"/>
  <c r="B37" i="20"/>
  <c r="A37" i="20"/>
  <c r="K36" i="20"/>
  <c r="J36" i="20"/>
  <c r="I36" i="20"/>
  <c r="H36" i="20"/>
  <c r="AH36" i="20" s="1"/>
  <c r="G36" i="20"/>
  <c r="AG36" i="20" s="1"/>
  <c r="F36" i="20"/>
  <c r="AF36" i="20" s="1"/>
  <c r="E36" i="20"/>
  <c r="AE36" i="20" s="1"/>
  <c r="D36" i="20"/>
  <c r="AD36" i="20" s="1"/>
  <c r="C36" i="20"/>
  <c r="AC36" i="20" s="1"/>
  <c r="B36" i="20"/>
  <c r="AB36" i="20" s="1"/>
  <c r="A36" i="20"/>
  <c r="AD35" i="20"/>
  <c r="AC35" i="20"/>
  <c r="AB35" i="20"/>
  <c r="K35" i="20"/>
  <c r="J35" i="20"/>
  <c r="I35" i="20"/>
  <c r="H35" i="20"/>
  <c r="AH35" i="20" s="1"/>
  <c r="G35" i="20"/>
  <c r="AG35" i="20" s="1"/>
  <c r="F35" i="20"/>
  <c r="AF35" i="20" s="1"/>
  <c r="E35" i="20"/>
  <c r="AE35" i="20" s="1"/>
  <c r="D35" i="20"/>
  <c r="C35" i="20"/>
  <c r="B35" i="20"/>
  <c r="A35" i="20"/>
  <c r="AL35" i="20" s="1"/>
  <c r="AG34" i="20"/>
  <c r="AF34" i="20"/>
  <c r="AE34" i="20"/>
  <c r="K34" i="20"/>
  <c r="J34" i="20"/>
  <c r="I34" i="20"/>
  <c r="H34" i="20"/>
  <c r="AH34" i="20" s="1"/>
  <c r="G34" i="20"/>
  <c r="F34" i="20"/>
  <c r="E34" i="20"/>
  <c r="D34" i="20"/>
  <c r="AD34" i="20" s="1"/>
  <c r="C34" i="20"/>
  <c r="AC34" i="20" s="1"/>
  <c r="B34" i="20"/>
  <c r="AB34" i="20" s="1"/>
  <c r="A34" i="20"/>
  <c r="K33" i="20"/>
  <c r="J33" i="20"/>
  <c r="I33" i="20"/>
  <c r="H33" i="20"/>
  <c r="AH33" i="20" s="1"/>
  <c r="G33" i="20"/>
  <c r="AG33" i="20" s="1"/>
  <c r="F33" i="20"/>
  <c r="AF33" i="20" s="1"/>
  <c r="E33" i="20"/>
  <c r="AE33" i="20" s="1"/>
  <c r="D33" i="20"/>
  <c r="AD33" i="20" s="1"/>
  <c r="C33" i="20"/>
  <c r="AC33" i="20" s="1"/>
  <c r="B33" i="20"/>
  <c r="AB33" i="20" s="1"/>
  <c r="A33" i="20"/>
  <c r="AL33" i="20" s="1"/>
  <c r="AD32" i="20"/>
  <c r="AC32" i="20"/>
  <c r="K32" i="20"/>
  <c r="J32" i="20"/>
  <c r="I32" i="20"/>
  <c r="H32" i="20"/>
  <c r="AH32" i="20" s="1"/>
  <c r="G32" i="20"/>
  <c r="AG32" i="20" s="1"/>
  <c r="F32" i="20"/>
  <c r="AF32" i="20" s="1"/>
  <c r="E32" i="20"/>
  <c r="AE32" i="20" s="1"/>
  <c r="D32" i="20"/>
  <c r="C32" i="20"/>
  <c r="B32" i="20"/>
  <c r="AB32" i="20" s="1"/>
  <c r="A32" i="20"/>
  <c r="AH31" i="20"/>
  <c r="K31" i="20"/>
  <c r="J31" i="20"/>
  <c r="I31" i="20"/>
  <c r="H31" i="20"/>
  <c r="G31" i="20"/>
  <c r="AG31" i="20" s="1"/>
  <c r="F31" i="20"/>
  <c r="AF31" i="20" s="1"/>
  <c r="E31" i="20"/>
  <c r="AE31" i="20" s="1"/>
  <c r="D31" i="20"/>
  <c r="AD31" i="20" s="1"/>
  <c r="C31" i="20"/>
  <c r="AC31" i="20" s="1"/>
  <c r="B31" i="20"/>
  <c r="AB31" i="20" s="1"/>
  <c r="A31" i="20"/>
  <c r="AE30" i="20"/>
  <c r="AD30" i="20"/>
  <c r="AC30" i="20"/>
  <c r="AB30" i="20"/>
  <c r="K30" i="20"/>
  <c r="J30" i="20"/>
  <c r="I30" i="20"/>
  <c r="H30" i="20"/>
  <c r="AH30" i="20" s="1"/>
  <c r="G30" i="20"/>
  <c r="AG30" i="20" s="1"/>
  <c r="F30" i="20"/>
  <c r="AF30" i="20" s="1"/>
  <c r="E30" i="20"/>
  <c r="D30" i="20"/>
  <c r="C30" i="20"/>
  <c r="B30" i="20"/>
  <c r="A30" i="20"/>
  <c r="AL30" i="20" s="1"/>
  <c r="AG29" i="20"/>
  <c r="AK29" i="20" s="1"/>
  <c r="AF29" i="20"/>
  <c r="K29" i="20"/>
  <c r="J29" i="20"/>
  <c r="I29" i="20"/>
  <c r="H29" i="20"/>
  <c r="AH29" i="20" s="1"/>
  <c r="G29" i="20"/>
  <c r="F29" i="20"/>
  <c r="E29" i="20"/>
  <c r="AE29" i="20" s="1"/>
  <c r="D29" i="20"/>
  <c r="AD29" i="20" s="1"/>
  <c r="C29" i="20"/>
  <c r="AC29" i="20" s="1"/>
  <c r="B29" i="20"/>
  <c r="AB29" i="20" s="1"/>
  <c r="A29" i="20"/>
  <c r="AD28" i="20"/>
  <c r="AC28" i="20"/>
  <c r="K28" i="20"/>
  <c r="J28" i="20"/>
  <c r="I28" i="20"/>
  <c r="H28" i="20"/>
  <c r="AH28" i="20" s="1"/>
  <c r="G28" i="20"/>
  <c r="AG28" i="20" s="1"/>
  <c r="F28" i="20"/>
  <c r="AF28" i="20" s="1"/>
  <c r="E28" i="20"/>
  <c r="AE28" i="20" s="1"/>
  <c r="D28" i="20"/>
  <c r="C28" i="20"/>
  <c r="B28" i="20"/>
  <c r="AB28" i="20" s="1"/>
  <c r="A28" i="20"/>
  <c r="AA28" i="20" s="1"/>
  <c r="AE27" i="20"/>
  <c r="AD27" i="20"/>
  <c r="K27" i="20"/>
  <c r="J27" i="20"/>
  <c r="I27" i="20"/>
  <c r="H27" i="20"/>
  <c r="AH27" i="20" s="1"/>
  <c r="G27" i="20"/>
  <c r="AG27" i="20" s="1"/>
  <c r="F27" i="20"/>
  <c r="AF27" i="20" s="1"/>
  <c r="E27" i="20"/>
  <c r="D27" i="20"/>
  <c r="C27" i="20"/>
  <c r="AC27" i="20" s="1"/>
  <c r="B27" i="20"/>
  <c r="AB27" i="20" s="1"/>
  <c r="A27" i="20"/>
  <c r="AB26" i="20"/>
  <c r="AA26" i="20"/>
  <c r="AI26" i="20" s="1"/>
  <c r="K26" i="20"/>
  <c r="J26" i="20"/>
  <c r="I26" i="20"/>
  <c r="H26" i="20"/>
  <c r="AH26" i="20" s="1"/>
  <c r="G26" i="20"/>
  <c r="AG26" i="20" s="1"/>
  <c r="F26" i="20"/>
  <c r="AF26" i="20" s="1"/>
  <c r="E26" i="20"/>
  <c r="AE26" i="20" s="1"/>
  <c r="D26" i="20"/>
  <c r="AD26" i="20" s="1"/>
  <c r="C26" i="20"/>
  <c r="AC26" i="20" s="1"/>
  <c r="B26" i="20"/>
  <c r="A26" i="20"/>
  <c r="AL26" i="20" s="1"/>
  <c r="AF25" i="20"/>
  <c r="AE25" i="20"/>
  <c r="AC25" i="20"/>
  <c r="AB25" i="20"/>
  <c r="K25" i="20"/>
  <c r="J25" i="20"/>
  <c r="I25" i="20"/>
  <c r="H25" i="20"/>
  <c r="AH25" i="20" s="1"/>
  <c r="G25" i="20"/>
  <c r="AG25" i="20" s="1"/>
  <c r="F25" i="20"/>
  <c r="E25" i="20"/>
  <c r="D25" i="20"/>
  <c r="AD25" i="20" s="1"/>
  <c r="C25" i="20"/>
  <c r="B25" i="20"/>
  <c r="A25" i="20"/>
  <c r="AH24" i="20"/>
  <c r="AG24" i="20"/>
  <c r="K24" i="20"/>
  <c r="J24" i="20"/>
  <c r="I24" i="20"/>
  <c r="H24" i="20"/>
  <c r="G24" i="20"/>
  <c r="F24" i="20"/>
  <c r="AF24" i="20" s="1"/>
  <c r="E24" i="20"/>
  <c r="AE24" i="20" s="1"/>
  <c r="D24" i="20"/>
  <c r="AD24" i="20" s="1"/>
  <c r="C24" i="20"/>
  <c r="AC24" i="20" s="1"/>
  <c r="B24" i="20"/>
  <c r="AB24" i="20" s="1"/>
  <c r="A24" i="20"/>
  <c r="AD23" i="20"/>
  <c r="AA23" i="20"/>
  <c r="K23" i="20"/>
  <c r="J23" i="20"/>
  <c r="I23" i="20"/>
  <c r="H23" i="20"/>
  <c r="AH23" i="20" s="1"/>
  <c r="G23" i="20"/>
  <c r="AG23" i="20" s="1"/>
  <c r="F23" i="20"/>
  <c r="AF23" i="20" s="1"/>
  <c r="E23" i="20"/>
  <c r="AE23" i="20" s="1"/>
  <c r="D23" i="20"/>
  <c r="C23" i="20"/>
  <c r="AC23" i="20" s="1"/>
  <c r="B23" i="20"/>
  <c r="AB23" i="20" s="1"/>
  <c r="A23" i="20"/>
  <c r="AE22" i="20"/>
  <c r="K22" i="20"/>
  <c r="J22" i="20"/>
  <c r="I22" i="20"/>
  <c r="H22" i="20"/>
  <c r="AH22" i="20" s="1"/>
  <c r="G22" i="20"/>
  <c r="AG22" i="20" s="1"/>
  <c r="F22" i="20"/>
  <c r="AF22" i="20" s="1"/>
  <c r="E22" i="20"/>
  <c r="D22" i="20"/>
  <c r="AD22" i="20" s="1"/>
  <c r="C22" i="20"/>
  <c r="AC22" i="20" s="1"/>
  <c r="B22" i="20"/>
  <c r="AB22" i="20" s="1"/>
  <c r="A22" i="20"/>
  <c r="AB21" i="20"/>
  <c r="AA21" i="20"/>
  <c r="K21" i="20"/>
  <c r="J21" i="20"/>
  <c r="I21" i="20"/>
  <c r="H21" i="20"/>
  <c r="AH21" i="20" s="1"/>
  <c r="G21" i="20"/>
  <c r="AG21" i="20" s="1"/>
  <c r="F21" i="20"/>
  <c r="AF21" i="20" s="1"/>
  <c r="E21" i="20"/>
  <c r="AE21" i="20" s="1"/>
  <c r="D21" i="20"/>
  <c r="AD21" i="20" s="1"/>
  <c r="C21" i="20"/>
  <c r="AC21" i="20" s="1"/>
  <c r="B21" i="20"/>
  <c r="A21" i="20"/>
  <c r="AL21" i="20" s="1"/>
  <c r="AG20" i="20"/>
  <c r="AF20" i="20"/>
  <c r="AD20" i="20"/>
  <c r="AC20" i="20"/>
  <c r="K20" i="20"/>
  <c r="J20" i="20"/>
  <c r="I20" i="20"/>
  <c r="H20" i="20"/>
  <c r="AH20" i="20" s="1"/>
  <c r="G20" i="20"/>
  <c r="F20" i="20"/>
  <c r="E20" i="20"/>
  <c r="AE20" i="20" s="1"/>
  <c r="D20" i="20"/>
  <c r="C20" i="20"/>
  <c r="B20" i="20"/>
  <c r="AB20" i="20" s="1"/>
  <c r="A20" i="20"/>
  <c r="AH19" i="20"/>
  <c r="K19" i="20"/>
  <c r="J19" i="20"/>
  <c r="I19" i="20"/>
  <c r="H19" i="20"/>
  <c r="G19" i="20"/>
  <c r="AG19" i="20" s="1"/>
  <c r="F19" i="20"/>
  <c r="AF19" i="20" s="1"/>
  <c r="E19" i="20"/>
  <c r="AE19" i="20" s="1"/>
  <c r="D19" i="20"/>
  <c r="AD19" i="20" s="1"/>
  <c r="C19" i="20"/>
  <c r="AC19" i="20" s="1"/>
  <c r="B19" i="20"/>
  <c r="AB19" i="20" s="1"/>
  <c r="A19" i="20"/>
  <c r="AE18" i="20"/>
  <c r="AD18" i="20"/>
  <c r="AA18" i="20"/>
  <c r="K18" i="20"/>
  <c r="J18" i="20"/>
  <c r="I18" i="20"/>
  <c r="H18" i="20"/>
  <c r="AH18" i="20" s="1"/>
  <c r="G18" i="20"/>
  <c r="AG18" i="20" s="1"/>
  <c r="F18" i="20"/>
  <c r="AF18" i="20" s="1"/>
  <c r="E18" i="20"/>
  <c r="D18" i="20"/>
  <c r="C18" i="20"/>
  <c r="AC18" i="20" s="1"/>
  <c r="B18" i="20"/>
  <c r="AB18" i="20" s="1"/>
  <c r="A18" i="20"/>
  <c r="K17" i="20"/>
  <c r="J17" i="20"/>
  <c r="I17" i="20"/>
  <c r="H17" i="20"/>
  <c r="AH17" i="20" s="1"/>
  <c r="G17" i="20"/>
  <c r="AG17" i="20" s="1"/>
  <c r="F17" i="20"/>
  <c r="AF17" i="20" s="1"/>
  <c r="E17" i="20"/>
  <c r="AE17" i="20" s="1"/>
  <c r="D17" i="20"/>
  <c r="AD17" i="20" s="1"/>
  <c r="C17" i="20"/>
  <c r="AC17" i="20" s="1"/>
  <c r="B17" i="20"/>
  <c r="AB17" i="20" s="1"/>
  <c r="A17" i="20"/>
  <c r="AC16" i="20"/>
  <c r="AB16" i="20"/>
  <c r="AA16" i="20"/>
  <c r="K16" i="20"/>
  <c r="J16" i="20"/>
  <c r="I16" i="20"/>
  <c r="H16" i="20"/>
  <c r="AH16" i="20" s="1"/>
  <c r="G16" i="20"/>
  <c r="AG16" i="20" s="1"/>
  <c r="F16" i="20"/>
  <c r="AF16" i="20" s="1"/>
  <c r="E16" i="20"/>
  <c r="AE16" i="20" s="1"/>
  <c r="D16" i="20"/>
  <c r="AD16" i="20" s="1"/>
  <c r="C16" i="20"/>
  <c r="B16" i="20"/>
  <c r="A16" i="20"/>
  <c r="AL16" i="20" s="1"/>
  <c r="AH15" i="20"/>
  <c r="AG15" i="20"/>
  <c r="AE15" i="20"/>
  <c r="AD15" i="20"/>
  <c r="K15" i="20"/>
  <c r="J15" i="20"/>
  <c r="I15" i="20"/>
  <c r="H15" i="20"/>
  <c r="G15" i="20"/>
  <c r="F15" i="20"/>
  <c r="AF15" i="20" s="1"/>
  <c r="E15" i="20"/>
  <c r="D15" i="20"/>
  <c r="C15" i="20"/>
  <c r="AC15" i="20" s="1"/>
  <c r="B15" i="20"/>
  <c r="AB15" i="20" s="1"/>
  <c r="A15" i="20"/>
  <c r="AA14" i="20"/>
  <c r="K14" i="20"/>
  <c r="J14" i="20"/>
  <c r="I14" i="20"/>
  <c r="H14" i="20"/>
  <c r="AH14" i="20" s="1"/>
  <c r="G14" i="20"/>
  <c r="AG14" i="20" s="1"/>
  <c r="F14" i="20"/>
  <c r="AF14" i="20" s="1"/>
  <c r="E14" i="20"/>
  <c r="AE14" i="20" s="1"/>
  <c r="D14" i="20"/>
  <c r="AD14" i="20" s="1"/>
  <c r="C14" i="20"/>
  <c r="AC14" i="20" s="1"/>
  <c r="B14" i="20"/>
  <c r="AB14" i="20" s="1"/>
  <c r="A14" i="20"/>
  <c r="AL14" i="20" s="1"/>
  <c r="AG13" i="20"/>
  <c r="AF13" i="20"/>
  <c r="AC13" i="20"/>
  <c r="AB13" i="20"/>
  <c r="K13" i="20"/>
  <c r="J13" i="20"/>
  <c r="I13" i="20"/>
  <c r="H13" i="20"/>
  <c r="AH13" i="20" s="1"/>
  <c r="G13" i="20"/>
  <c r="F13" i="20"/>
  <c r="E13" i="20"/>
  <c r="AE13" i="20" s="1"/>
  <c r="D13" i="20"/>
  <c r="AD13" i="20" s="1"/>
  <c r="C13" i="20"/>
  <c r="B13" i="20"/>
  <c r="A13" i="20"/>
  <c r="AH12" i="20"/>
  <c r="K12" i="20"/>
  <c r="J12" i="20"/>
  <c r="I12" i="20"/>
  <c r="H12" i="20"/>
  <c r="G12" i="20"/>
  <c r="AG12" i="20" s="1"/>
  <c r="AK12" i="20" s="1"/>
  <c r="F12" i="20"/>
  <c r="AF12" i="20" s="1"/>
  <c r="E12" i="20"/>
  <c r="AE12" i="20" s="1"/>
  <c r="D12" i="20"/>
  <c r="AD12" i="20" s="1"/>
  <c r="C12" i="20"/>
  <c r="AC12" i="20" s="1"/>
  <c r="B12" i="20"/>
  <c r="AB12" i="20" s="1"/>
  <c r="A12" i="20"/>
  <c r="AE11" i="20"/>
  <c r="AD11" i="20"/>
  <c r="AC11" i="20"/>
  <c r="AB11" i="20"/>
  <c r="K11" i="20"/>
  <c r="J11" i="20"/>
  <c r="I11" i="20"/>
  <c r="H11" i="20"/>
  <c r="AH11" i="20" s="1"/>
  <c r="G11" i="20"/>
  <c r="AG11" i="20" s="1"/>
  <c r="F11" i="20"/>
  <c r="AF11" i="20" s="1"/>
  <c r="E11" i="20"/>
  <c r="D11" i="20"/>
  <c r="C11" i="20"/>
  <c r="B11" i="20"/>
  <c r="A11" i="20"/>
  <c r="AL11" i="20" s="1"/>
  <c r="AG10" i="20"/>
  <c r="AF10" i="20"/>
  <c r="AE10" i="20"/>
  <c r="K10" i="20"/>
  <c r="J10" i="20"/>
  <c r="I10" i="20"/>
  <c r="H10" i="20"/>
  <c r="AH10" i="20" s="1"/>
  <c r="G10" i="20"/>
  <c r="F10" i="20"/>
  <c r="E10" i="20"/>
  <c r="D10" i="20"/>
  <c r="AD10" i="20" s="1"/>
  <c r="C10" i="20"/>
  <c r="AC10" i="20" s="1"/>
  <c r="B10" i="20"/>
  <c r="AB10" i="20" s="1"/>
  <c r="A10" i="20"/>
  <c r="AC9" i="20"/>
  <c r="AK9" i="20" s="1"/>
  <c r="K9" i="20"/>
  <c r="J9" i="20"/>
  <c r="I9" i="20"/>
  <c r="H9" i="20"/>
  <c r="AH9" i="20" s="1"/>
  <c r="G9" i="20"/>
  <c r="AG9" i="20" s="1"/>
  <c r="F9" i="20"/>
  <c r="AF9" i="20" s="1"/>
  <c r="E9" i="20"/>
  <c r="AE9" i="20" s="1"/>
  <c r="D9" i="20"/>
  <c r="AD9" i="20" s="1"/>
  <c r="C9" i="20"/>
  <c r="B9" i="20"/>
  <c r="AB9" i="20" s="1"/>
  <c r="AJ9" i="20" s="1"/>
  <c r="A9" i="20"/>
  <c r="AA9" i="20" s="1"/>
  <c r="AI9" i="20" s="1"/>
  <c r="AE8" i="20"/>
  <c r="AD8" i="20"/>
  <c r="AC8" i="20"/>
  <c r="K8" i="20"/>
  <c r="J8" i="20"/>
  <c r="I8" i="20"/>
  <c r="H8" i="20"/>
  <c r="AH8" i="20" s="1"/>
  <c r="G8" i="20"/>
  <c r="AG8" i="20" s="1"/>
  <c r="F8" i="20"/>
  <c r="AF8" i="20" s="1"/>
  <c r="E8" i="20"/>
  <c r="D8" i="20"/>
  <c r="C8" i="20"/>
  <c r="B8" i="20"/>
  <c r="AB8" i="20" s="1"/>
  <c r="A8" i="20"/>
  <c r="AC7" i="20"/>
  <c r="AK7" i="20" s="1"/>
  <c r="AB7" i="20"/>
  <c r="AA7" i="20"/>
  <c r="K7" i="20"/>
  <c r="J7" i="20"/>
  <c r="I7" i="20"/>
  <c r="H7" i="20"/>
  <c r="AH7" i="20" s="1"/>
  <c r="G7" i="20"/>
  <c r="AG7" i="20" s="1"/>
  <c r="F7" i="20"/>
  <c r="AF7" i="20" s="1"/>
  <c r="E7" i="20"/>
  <c r="AE7" i="20" s="1"/>
  <c r="D7" i="20"/>
  <c r="AD7" i="20" s="1"/>
  <c r="C7" i="20"/>
  <c r="B7" i="20"/>
  <c r="A7" i="20"/>
  <c r="AL7" i="20" s="1"/>
  <c r="AH6" i="20"/>
  <c r="AG6" i="20"/>
  <c r="AF6" i="20"/>
  <c r="AE6" i="20"/>
  <c r="K6" i="20"/>
  <c r="J6" i="20"/>
  <c r="I6" i="20"/>
  <c r="H6" i="20"/>
  <c r="G6" i="20"/>
  <c r="F6" i="20"/>
  <c r="E6" i="20"/>
  <c r="D6" i="20"/>
  <c r="AD6" i="20" s="1"/>
  <c r="C6" i="20"/>
  <c r="AC6" i="20" s="1"/>
  <c r="AK6" i="20" s="1"/>
  <c r="B6" i="20"/>
  <c r="AB6" i="20" s="1"/>
  <c r="A6" i="20"/>
  <c r="K5" i="20"/>
  <c r="J5" i="20"/>
  <c r="I5" i="20"/>
  <c r="H5" i="20"/>
  <c r="AH5" i="20" s="1"/>
  <c r="G5" i="20"/>
  <c r="AG5" i="20" s="1"/>
  <c r="F5" i="20"/>
  <c r="AF5" i="20" s="1"/>
  <c r="E5" i="20"/>
  <c r="AE5" i="20" s="1"/>
  <c r="D5" i="20"/>
  <c r="AD5" i="20" s="1"/>
  <c r="C5" i="20"/>
  <c r="AC5" i="20" s="1"/>
  <c r="AK5" i="20" s="1"/>
  <c r="B5" i="20"/>
  <c r="AB5" i="20" s="1"/>
  <c r="A5" i="20"/>
  <c r="AL5" i="20" s="1"/>
  <c r="K4" i="20"/>
  <c r="J4" i="20"/>
  <c r="I4" i="20"/>
  <c r="H4" i="20"/>
  <c r="AH4" i="20" s="1"/>
  <c r="G4" i="20"/>
  <c r="AG4" i="20" s="1"/>
  <c r="F4" i="20"/>
  <c r="AF4" i="20" s="1"/>
  <c r="AJ4" i="20" s="1"/>
  <c r="E4" i="20"/>
  <c r="AE4" i="20" s="1"/>
  <c r="D4" i="20"/>
  <c r="AD4" i="20" s="1"/>
  <c r="C4" i="20"/>
  <c r="AC4" i="20" s="1"/>
  <c r="B4" i="20"/>
  <c r="AB4" i="20" s="1"/>
  <c r="A4" i="20"/>
  <c r="AC3" i="20"/>
  <c r="AB3" i="20"/>
  <c r="AA3" i="20"/>
  <c r="K3" i="20"/>
  <c r="J3" i="20"/>
  <c r="I3" i="20"/>
  <c r="H3" i="20"/>
  <c r="AH3" i="20" s="1"/>
  <c r="G3" i="20"/>
  <c r="AG3" i="20" s="1"/>
  <c r="F3" i="20"/>
  <c r="AF3" i="20" s="1"/>
  <c r="E3" i="20"/>
  <c r="AE3" i="20" s="1"/>
  <c r="D3" i="20"/>
  <c r="AD3" i="20" s="1"/>
  <c r="C3" i="20"/>
  <c r="B3" i="20"/>
  <c r="A3" i="20"/>
  <c r="AA11" i="20" l="1"/>
  <c r="AJ15" i="20"/>
  <c r="AA30" i="20"/>
  <c r="AI30" i="20" s="1"/>
  <c r="AA35" i="20"/>
  <c r="AI35" i="20" s="1"/>
  <c r="AA40" i="20"/>
  <c r="AI40" i="20" s="1"/>
  <c r="AA6" i="20"/>
  <c r="AI6" i="20" s="1"/>
  <c r="AL6" i="20"/>
  <c r="AA10" i="20"/>
  <c r="AL10" i="20"/>
  <c r="AA24" i="20"/>
  <c r="AI24" i="20" s="1"/>
  <c r="AL24" i="20"/>
  <c r="AA15" i="20"/>
  <c r="AI15" i="20" s="1"/>
  <c r="AL15" i="20"/>
  <c r="AA20" i="20"/>
  <c r="AI20" i="20" s="1"/>
  <c r="AL20" i="20"/>
  <c r="AA34" i="20"/>
  <c r="AI34" i="20" s="1"/>
  <c r="AL34" i="20"/>
  <c r="AA19" i="20"/>
  <c r="AI19" i="20" s="1"/>
  <c r="AL19" i="20"/>
  <c r="AA25" i="20"/>
  <c r="AI25" i="20" s="1"/>
  <c r="AL25" i="20"/>
  <c r="AA29" i="20"/>
  <c r="AI29" i="20" s="1"/>
  <c r="AL29" i="20"/>
  <c r="AA41" i="20"/>
  <c r="AL41" i="20"/>
  <c r="AJ37" i="20"/>
  <c r="AL3" i="20"/>
  <c r="AK26" i="20"/>
  <c r="AA31" i="20"/>
  <c r="AI31" i="20" s="1"/>
  <c r="AL31" i="20"/>
  <c r="AA32" i="20"/>
  <c r="AI32" i="20" s="1"/>
  <c r="AL32" i="20"/>
  <c r="AJ36" i="20"/>
  <c r="AA37" i="20"/>
  <c r="AI37" i="20" s="1"/>
  <c r="AL37" i="20"/>
  <c r="AA4" i="20"/>
  <c r="AL4" i="20"/>
  <c r="AL18" i="20"/>
  <c r="AL23" i="20"/>
  <c r="AA8" i="20"/>
  <c r="AI8" i="20" s="1"/>
  <c r="AL8" i="20"/>
  <c r="AA22" i="20"/>
  <c r="AL22" i="20"/>
  <c r="AA27" i="20"/>
  <c r="AI27" i="20" s="1"/>
  <c r="AL27" i="20"/>
  <c r="AA36" i="20"/>
  <c r="AI36" i="20" s="1"/>
  <c r="AL36" i="20"/>
  <c r="AA12" i="20"/>
  <c r="AI12" i="20" s="1"/>
  <c r="AL12" i="20"/>
  <c r="AA17" i="20"/>
  <c r="AI17" i="20" s="1"/>
  <c r="AL17" i="20"/>
  <c r="AL42" i="20"/>
  <c r="AA13" i="20"/>
  <c r="AI13" i="20" s="1"/>
  <c r="AL13" i="20"/>
  <c r="AA5" i="20"/>
  <c r="AI5" i="20" s="1"/>
  <c r="AL9" i="20"/>
  <c r="AL28" i="20"/>
  <c r="AA33" i="20"/>
  <c r="AI33" i="20" s="1"/>
  <c r="AA38" i="20"/>
  <c r="AI38" i="20" s="1"/>
  <c r="AA39" i="20"/>
  <c r="AL39" i="20"/>
  <c r="AJ12" i="20"/>
  <c r="AJ13" i="20"/>
  <c r="AK20" i="20"/>
  <c r="AJ6" i="20"/>
  <c r="AJ41" i="20"/>
  <c r="AJ24" i="20"/>
  <c r="AI22" i="20"/>
  <c r="AJ40" i="20"/>
  <c r="AJ17" i="20"/>
  <c r="AK17" i="20"/>
  <c r="AJ31" i="20"/>
  <c r="AK31" i="20"/>
  <c r="AK14" i="20"/>
  <c r="AI10" i="20"/>
  <c r="AJ19" i="20"/>
  <c r="AI39" i="20"/>
  <c r="AJ33" i="20"/>
  <c r="AK40" i="20"/>
  <c r="AK38" i="20"/>
  <c r="AJ26" i="20"/>
  <c r="AK33" i="20"/>
  <c r="AI41" i="20"/>
  <c r="AK22" i="20"/>
  <c r="AI14" i="20"/>
  <c r="AJ25" i="20"/>
  <c r="AK15" i="20"/>
  <c r="AI18" i="20"/>
  <c r="AJ21" i="20"/>
  <c r="AI28" i="20"/>
  <c r="AK34" i="20"/>
  <c r="AI42" i="20"/>
  <c r="AJ14" i="20"/>
  <c r="AK21" i="20"/>
  <c r="AJ22" i="20"/>
  <c r="AJ34" i="20"/>
  <c r="AK4" i="20"/>
  <c r="AK10" i="20"/>
  <c r="AK16" i="20"/>
  <c r="AK19" i="20"/>
  <c r="AJ20" i="20"/>
  <c r="AJ29" i="20"/>
  <c r="AJ32" i="20"/>
  <c r="AJ23" i="20"/>
  <c r="AK36" i="20"/>
  <c r="AK41" i="20"/>
  <c r="AJ10" i="20"/>
  <c r="AK28" i="20"/>
  <c r="AI4" i="20"/>
  <c r="AJ5" i="20"/>
  <c r="AK24" i="20"/>
  <c r="AJ11" i="20"/>
  <c r="AI21" i="20"/>
  <c r="AJ30" i="20"/>
  <c r="AJ38" i="20"/>
  <c r="AQ4" i="20" a="1"/>
  <c r="AQ4" i="20" s="1"/>
  <c r="AS4" i="20" a="1"/>
  <c r="AS4" i="20" s="1"/>
  <c r="AR4" i="20" a="1"/>
  <c r="AR4" i="20" s="1"/>
  <c r="AJ28" i="20"/>
  <c r="AK30" i="20"/>
  <c r="AK25" i="20"/>
  <c r="AK37" i="20"/>
  <c r="AI23" i="20"/>
  <c r="AI3" i="20"/>
  <c r="AT4" i="20" a="1"/>
  <c r="AT4" i="20" s="1"/>
  <c r="AU4" i="20" a="1"/>
  <c r="AU4" i="20" s="1"/>
  <c r="AI16" i="20"/>
  <c r="AJ18" i="20"/>
  <c r="AK35" i="20"/>
  <c r="AJ39" i="20"/>
  <c r="AK13" i="20"/>
  <c r="AJ27" i="20"/>
  <c r="AK32" i="20"/>
  <c r="AK42" i="20"/>
  <c r="AJ7" i="20"/>
  <c r="AI11" i="20"/>
  <c r="AK27" i="20"/>
  <c r="AJ3" i="20"/>
  <c r="AO4" i="20" a="1"/>
  <c r="AO4" i="20" s="1"/>
  <c r="AO7" i="20" s="1"/>
  <c r="AJ35" i="20"/>
  <c r="AK18" i="20"/>
  <c r="AK39" i="20"/>
  <c r="AK8" i="20"/>
  <c r="AK23" i="20"/>
  <c r="AP4" i="20" a="1"/>
  <c r="AP4" i="20" s="1"/>
  <c r="AP7" i="20" s="1"/>
  <c r="AJ8" i="20"/>
  <c r="AO11" i="20" s="1"/>
  <c r="AJ16" i="20"/>
  <c r="AJ42" i="20"/>
  <c r="AK3" i="20"/>
  <c r="AI7" i="20"/>
  <c r="AK11" i="20"/>
  <c r="Y44" i="12"/>
  <c r="Z44" i="12"/>
  <c r="AA44" i="12"/>
  <c r="AB44" i="12"/>
  <c r="AC44" i="12"/>
  <c r="X44" i="12"/>
  <c r="Q42" i="19"/>
  <c r="P42" i="19"/>
  <c r="O42" i="19"/>
  <c r="N42" i="19"/>
  <c r="M42" i="19"/>
  <c r="L42" i="19"/>
  <c r="K42" i="19"/>
  <c r="J42" i="19"/>
  <c r="I42" i="19"/>
  <c r="H42" i="19"/>
  <c r="AH42" i="19" s="1"/>
  <c r="G42" i="19"/>
  <c r="AG42" i="19" s="1"/>
  <c r="F42" i="19"/>
  <c r="AF42" i="19" s="1"/>
  <c r="E42" i="19"/>
  <c r="AE42" i="19" s="1"/>
  <c r="D42" i="19"/>
  <c r="AD42" i="19" s="1"/>
  <c r="C42" i="19"/>
  <c r="AC42" i="19" s="1"/>
  <c r="B42" i="19"/>
  <c r="AB42" i="19" s="1"/>
  <c r="A42" i="19"/>
  <c r="Q41" i="19"/>
  <c r="P41" i="19"/>
  <c r="O41" i="19"/>
  <c r="N41" i="19"/>
  <c r="M41" i="19"/>
  <c r="L41" i="19"/>
  <c r="K41" i="19"/>
  <c r="J41" i="19"/>
  <c r="I41" i="19"/>
  <c r="H41" i="19"/>
  <c r="AH41" i="19" s="1"/>
  <c r="G41" i="19"/>
  <c r="AG41" i="19" s="1"/>
  <c r="F41" i="19"/>
  <c r="AF41" i="19" s="1"/>
  <c r="E41" i="19"/>
  <c r="AE41" i="19" s="1"/>
  <c r="D41" i="19"/>
  <c r="AD41" i="19" s="1"/>
  <c r="C41" i="19"/>
  <c r="AC41" i="19" s="1"/>
  <c r="B41" i="19"/>
  <c r="AB41" i="19" s="1"/>
  <c r="A41" i="19"/>
  <c r="AC40" i="19"/>
  <c r="Q40" i="19"/>
  <c r="P40" i="19"/>
  <c r="O40" i="19"/>
  <c r="N40" i="19"/>
  <c r="M40" i="19"/>
  <c r="L40" i="19"/>
  <c r="K40" i="19"/>
  <c r="J40" i="19"/>
  <c r="I40" i="19"/>
  <c r="H40" i="19"/>
  <c r="AH40" i="19" s="1"/>
  <c r="G40" i="19"/>
  <c r="AG40" i="19" s="1"/>
  <c r="F40" i="19"/>
  <c r="AF40" i="19" s="1"/>
  <c r="E40" i="19"/>
  <c r="AE40" i="19" s="1"/>
  <c r="D40" i="19"/>
  <c r="AD40" i="19" s="1"/>
  <c r="C40" i="19"/>
  <c r="B40" i="19"/>
  <c r="AB40" i="19" s="1"/>
  <c r="A40" i="19"/>
  <c r="Q39" i="19"/>
  <c r="P39" i="19"/>
  <c r="O39" i="19"/>
  <c r="N39" i="19"/>
  <c r="M39" i="19"/>
  <c r="L39" i="19"/>
  <c r="K39" i="19"/>
  <c r="J39" i="19"/>
  <c r="I39" i="19"/>
  <c r="H39" i="19"/>
  <c r="AH39" i="19" s="1"/>
  <c r="G39" i="19"/>
  <c r="AG39" i="19" s="1"/>
  <c r="F39" i="19"/>
  <c r="AF39" i="19" s="1"/>
  <c r="E39" i="19"/>
  <c r="AE39" i="19" s="1"/>
  <c r="D39" i="19"/>
  <c r="AD39" i="19" s="1"/>
  <c r="C39" i="19"/>
  <c r="AC39" i="19" s="1"/>
  <c r="B39" i="19"/>
  <c r="AB39" i="19" s="1"/>
  <c r="A39" i="19"/>
  <c r="Q38" i="19"/>
  <c r="P38" i="19"/>
  <c r="O38" i="19"/>
  <c r="N38" i="19"/>
  <c r="M38" i="19"/>
  <c r="L38" i="19"/>
  <c r="K38" i="19"/>
  <c r="J38" i="19"/>
  <c r="I38" i="19"/>
  <c r="H38" i="19"/>
  <c r="AH38" i="19" s="1"/>
  <c r="G38" i="19"/>
  <c r="AG38" i="19" s="1"/>
  <c r="F38" i="19"/>
  <c r="AF38" i="19" s="1"/>
  <c r="E38" i="19"/>
  <c r="AE38" i="19" s="1"/>
  <c r="D38" i="19"/>
  <c r="AD38" i="19" s="1"/>
  <c r="C38" i="19"/>
  <c r="AC38" i="19" s="1"/>
  <c r="B38" i="19"/>
  <c r="AB38" i="19" s="1"/>
  <c r="A38" i="19"/>
  <c r="Q37" i="19"/>
  <c r="P37" i="19"/>
  <c r="O37" i="19"/>
  <c r="N37" i="19"/>
  <c r="M37" i="19"/>
  <c r="L37" i="19"/>
  <c r="K37" i="19"/>
  <c r="J37" i="19"/>
  <c r="I37" i="19"/>
  <c r="H37" i="19"/>
  <c r="AH37" i="19" s="1"/>
  <c r="G37" i="19"/>
  <c r="AG37" i="19" s="1"/>
  <c r="F37" i="19"/>
  <c r="AF37" i="19" s="1"/>
  <c r="E37" i="19"/>
  <c r="AE37" i="19" s="1"/>
  <c r="D37" i="19"/>
  <c r="AD37" i="19" s="1"/>
  <c r="C37" i="19"/>
  <c r="AC37" i="19" s="1"/>
  <c r="B37" i="19"/>
  <c r="AB37" i="19" s="1"/>
  <c r="A37" i="19"/>
  <c r="Q36" i="19"/>
  <c r="P36" i="19"/>
  <c r="O36" i="19"/>
  <c r="N36" i="19"/>
  <c r="M36" i="19"/>
  <c r="L36" i="19"/>
  <c r="K36" i="19"/>
  <c r="J36" i="19"/>
  <c r="I36" i="19"/>
  <c r="H36" i="19"/>
  <c r="AH36" i="19" s="1"/>
  <c r="G36" i="19"/>
  <c r="AG36" i="19" s="1"/>
  <c r="F36" i="19"/>
  <c r="AF36" i="19" s="1"/>
  <c r="E36" i="19"/>
  <c r="AE36" i="19" s="1"/>
  <c r="D36" i="19"/>
  <c r="AD36" i="19" s="1"/>
  <c r="C36" i="19"/>
  <c r="AC36" i="19" s="1"/>
  <c r="B36" i="19"/>
  <c r="AB36" i="19" s="1"/>
  <c r="A36" i="19"/>
  <c r="Q35" i="19"/>
  <c r="P35" i="19"/>
  <c r="O35" i="19"/>
  <c r="N35" i="19"/>
  <c r="M35" i="19"/>
  <c r="L35" i="19"/>
  <c r="K35" i="19"/>
  <c r="J35" i="19"/>
  <c r="I35" i="19"/>
  <c r="H35" i="19"/>
  <c r="AH35" i="19" s="1"/>
  <c r="G35" i="19"/>
  <c r="AG35" i="19" s="1"/>
  <c r="F35" i="19"/>
  <c r="AF35" i="19" s="1"/>
  <c r="E35" i="19"/>
  <c r="AE35" i="19" s="1"/>
  <c r="D35" i="19"/>
  <c r="AD35" i="19" s="1"/>
  <c r="C35" i="19"/>
  <c r="AC35" i="19" s="1"/>
  <c r="B35" i="19"/>
  <c r="AB35" i="19" s="1"/>
  <c r="A35" i="19"/>
  <c r="AH34" i="19"/>
  <c r="Q34" i="19"/>
  <c r="P34" i="19"/>
  <c r="O34" i="19"/>
  <c r="N34" i="19"/>
  <c r="M34" i="19"/>
  <c r="L34" i="19"/>
  <c r="K34" i="19"/>
  <c r="J34" i="19"/>
  <c r="I34" i="19"/>
  <c r="H34" i="19"/>
  <c r="G34" i="19"/>
  <c r="AG34" i="19" s="1"/>
  <c r="F34" i="19"/>
  <c r="AF34" i="19" s="1"/>
  <c r="E34" i="19"/>
  <c r="AE34" i="19" s="1"/>
  <c r="D34" i="19"/>
  <c r="AD34" i="19" s="1"/>
  <c r="C34" i="19"/>
  <c r="AC34" i="19" s="1"/>
  <c r="B34" i="19"/>
  <c r="AB34" i="19" s="1"/>
  <c r="A34" i="19"/>
  <c r="Q33" i="19"/>
  <c r="P33" i="19"/>
  <c r="O33" i="19"/>
  <c r="N33" i="19"/>
  <c r="M33" i="19"/>
  <c r="L33" i="19"/>
  <c r="K33" i="19"/>
  <c r="J33" i="19"/>
  <c r="I33" i="19"/>
  <c r="H33" i="19"/>
  <c r="AH33" i="19" s="1"/>
  <c r="G33" i="19"/>
  <c r="AG33" i="19" s="1"/>
  <c r="F33" i="19"/>
  <c r="AF33" i="19" s="1"/>
  <c r="E33" i="19"/>
  <c r="AE33" i="19" s="1"/>
  <c r="D33" i="19"/>
  <c r="AD33" i="19" s="1"/>
  <c r="C33" i="19"/>
  <c r="AC33" i="19" s="1"/>
  <c r="B33" i="19"/>
  <c r="AB33" i="19" s="1"/>
  <c r="A33" i="19"/>
  <c r="Q32" i="19"/>
  <c r="P32" i="19"/>
  <c r="O32" i="19"/>
  <c r="N32" i="19"/>
  <c r="M32" i="19"/>
  <c r="L32" i="19"/>
  <c r="K32" i="19"/>
  <c r="J32" i="19"/>
  <c r="I32" i="19"/>
  <c r="H32" i="19"/>
  <c r="AH32" i="19" s="1"/>
  <c r="G32" i="19"/>
  <c r="AG32" i="19" s="1"/>
  <c r="F32" i="19"/>
  <c r="AF32" i="19" s="1"/>
  <c r="E32" i="19"/>
  <c r="AE32" i="19" s="1"/>
  <c r="D32" i="19"/>
  <c r="AD32" i="19" s="1"/>
  <c r="C32" i="19"/>
  <c r="AC32" i="19" s="1"/>
  <c r="B32" i="19"/>
  <c r="AB32" i="19" s="1"/>
  <c r="A32" i="19"/>
  <c r="Q31" i="19"/>
  <c r="P31" i="19"/>
  <c r="O31" i="19"/>
  <c r="N31" i="19"/>
  <c r="M31" i="19"/>
  <c r="L31" i="19"/>
  <c r="K31" i="19"/>
  <c r="J31" i="19"/>
  <c r="I31" i="19"/>
  <c r="H31" i="19"/>
  <c r="AH31" i="19" s="1"/>
  <c r="G31" i="19"/>
  <c r="AG31" i="19" s="1"/>
  <c r="F31" i="19"/>
  <c r="AF31" i="19" s="1"/>
  <c r="E31" i="19"/>
  <c r="AE31" i="19" s="1"/>
  <c r="D31" i="19"/>
  <c r="AD31" i="19" s="1"/>
  <c r="C31" i="19"/>
  <c r="AC31" i="19" s="1"/>
  <c r="B31" i="19"/>
  <c r="AB31" i="19" s="1"/>
  <c r="A31" i="19"/>
  <c r="Q30" i="19"/>
  <c r="P30" i="19"/>
  <c r="O30" i="19"/>
  <c r="N30" i="19"/>
  <c r="M30" i="19"/>
  <c r="L30" i="19"/>
  <c r="K30" i="19"/>
  <c r="J30" i="19"/>
  <c r="I30" i="19"/>
  <c r="H30" i="19"/>
  <c r="AH30" i="19" s="1"/>
  <c r="G30" i="19"/>
  <c r="AG30" i="19" s="1"/>
  <c r="F30" i="19"/>
  <c r="AF30" i="19" s="1"/>
  <c r="E30" i="19"/>
  <c r="AE30" i="19" s="1"/>
  <c r="D30" i="19"/>
  <c r="AD30" i="19" s="1"/>
  <c r="C30" i="19"/>
  <c r="AC30" i="19" s="1"/>
  <c r="B30" i="19"/>
  <c r="AB30" i="19" s="1"/>
  <c r="A30" i="19"/>
  <c r="Q29" i="19"/>
  <c r="P29" i="19"/>
  <c r="O29" i="19"/>
  <c r="N29" i="19"/>
  <c r="M29" i="19"/>
  <c r="L29" i="19"/>
  <c r="K29" i="19"/>
  <c r="J29" i="19"/>
  <c r="I29" i="19"/>
  <c r="H29" i="19"/>
  <c r="AH29" i="19" s="1"/>
  <c r="G29" i="19"/>
  <c r="AG29" i="19" s="1"/>
  <c r="F29" i="19"/>
  <c r="AF29" i="19" s="1"/>
  <c r="E29" i="19"/>
  <c r="AE29" i="19" s="1"/>
  <c r="D29" i="19"/>
  <c r="AD29" i="19" s="1"/>
  <c r="C29" i="19"/>
  <c r="AC29" i="19" s="1"/>
  <c r="B29" i="19"/>
  <c r="AB29" i="19" s="1"/>
  <c r="A29" i="19"/>
  <c r="AE28" i="19"/>
  <c r="Q28" i="19"/>
  <c r="P28" i="19"/>
  <c r="O28" i="19"/>
  <c r="N28" i="19"/>
  <c r="M28" i="19"/>
  <c r="L28" i="19"/>
  <c r="K28" i="19"/>
  <c r="J28" i="19"/>
  <c r="I28" i="19"/>
  <c r="H28" i="19"/>
  <c r="AH28" i="19" s="1"/>
  <c r="G28" i="19"/>
  <c r="AG28" i="19" s="1"/>
  <c r="F28" i="19"/>
  <c r="AF28" i="19" s="1"/>
  <c r="E28" i="19"/>
  <c r="D28" i="19"/>
  <c r="AD28" i="19" s="1"/>
  <c r="C28" i="19"/>
  <c r="AC28" i="19" s="1"/>
  <c r="B28" i="19"/>
  <c r="AB28" i="19" s="1"/>
  <c r="A28" i="19"/>
  <c r="Q27" i="19"/>
  <c r="P27" i="19"/>
  <c r="O27" i="19"/>
  <c r="N27" i="19"/>
  <c r="M27" i="19"/>
  <c r="L27" i="19"/>
  <c r="K27" i="19"/>
  <c r="J27" i="19"/>
  <c r="I27" i="19"/>
  <c r="H27" i="19"/>
  <c r="AH27" i="19" s="1"/>
  <c r="G27" i="19"/>
  <c r="AG27" i="19" s="1"/>
  <c r="F27" i="19"/>
  <c r="AF27" i="19" s="1"/>
  <c r="E27" i="19"/>
  <c r="AE27" i="19" s="1"/>
  <c r="D27" i="19"/>
  <c r="AD27" i="19" s="1"/>
  <c r="C27" i="19"/>
  <c r="AC27" i="19" s="1"/>
  <c r="B27" i="19"/>
  <c r="AB27" i="19" s="1"/>
  <c r="A27" i="19"/>
  <c r="Q26" i="19"/>
  <c r="P26" i="19"/>
  <c r="O26" i="19"/>
  <c r="N26" i="19"/>
  <c r="M26" i="19"/>
  <c r="L26" i="19"/>
  <c r="K26" i="19"/>
  <c r="J26" i="19"/>
  <c r="I26" i="19"/>
  <c r="H26" i="19"/>
  <c r="AH26" i="19" s="1"/>
  <c r="G26" i="19"/>
  <c r="AG26" i="19" s="1"/>
  <c r="F26" i="19"/>
  <c r="AF26" i="19" s="1"/>
  <c r="E26" i="19"/>
  <c r="AE26" i="19" s="1"/>
  <c r="D26" i="19"/>
  <c r="AD26" i="19" s="1"/>
  <c r="C26" i="19"/>
  <c r="AC26" i="19" s="1"/>
  <c r="B26" i="19"/>
  <c r="AB26" i="19" s="1"/>
  <c r="A26" i="19"/>
  <c r="Q25" i="19"/>
  <c r="P25" i="19"/>
  <c r="O25" i="19"/>
  <c r="N25" i="19"/>
  <c r="M25" i="19"/>
  <c r="L25" i="19"/>
  <c r="K25" i="19"/>
  <c r="J25" i="19"/>
  <c r="I25" i="19"/>
  <c r="H25" i="19"/>
  <c r="AH25" i="19" s="1"/>
  <c r="G25" i="19"/>
  <c r="AG25" i="19" s="1"/>
  <c r="F25" i="19"/>
  <c r="AF25" i="19" s="1"/>
  <c r="E25" i="19"/>
  <c r="AE25" i="19" s="1"/>
  <c r="D25" i="19"/>
  <c r="AD25" i="19" s="1"/>
  <c r="C25" i="19"/>
  <c r="AC25" i="19" s="1"/>
  <c r="B25" i="19"/>
  <c r="AB25" i="19" s="1"/>
  <c r="A25" i="19"/>
  <c r="Q24" i="19"/>
  <c r="P24" i="19"/>
  <c r="O24" i="19"/>
  <c r="N24" i="19"/>
  <c r="M24" i="19"/>
  <c r="L24" i="19"/>
  <c r="K24" i="19"/>
  <c r="J24" i="19"/>
  <c r="I24" i="19"/>
  <c r="H24" i="19"/>
  <c r="AH24" i="19" s="1"/>
  <c r="G24" i="19"/>
  <c r="AG24" i="19" s="1"/>
  <c r="F24" i="19"/>
  <c r="AF24" i="19" s="1"/>
  <c r="E24" i="19"/>
  <c r="AE24" i="19" s="1"/>
  <c r="D24" i="19"/>
  <c r="AD24" i="19" s="1"/>
  <c r="C24" i="19"/>
  <c r="AC24" i="19" s="1"/>
  <c r="B24" i="19"/>
  <c r="AB24" i="19" s="1"/>
  <c r="A24" i="19"/>
  <c r="Q23" i="19"/>
  <c r="P23" i="19"/>
  <c r="O23" i="19"/>
  <c r="N23" i="19"/>
  <c r="M23" i="19"/>
  <c r="L23" i="19"/>
  <c r="K23" i="19"/>
  <c r="J23" i="19"/>
  <c r="I23" i="19"/>
  <c r="H23" i="19"/>
  <c r="AH23" i="19" s="1"/>
  <c r="G23" i="19"/>
  <c r="AG23" i="19" s="1"/>
  <c r="F23" i="19"/>
  <c r="AF23" i="19" s="1"/>
  <c r="E23" i="19"/>
  <c r="AE23" i="19" s="1"/>
  <c r="D23" i="19"/>
  <c r="AD23" i="19" s="1"/>
  <c r="C23" i="19"/>
  <c r="AC23" i="19" s="1"/>
  <c r="B23" i="19"/>
  <c r="AB23" i="19" s="1"/>
  <c r="A23" i="19"/>
  <c r="Q22" i="19"/>
  <c r="P22" i="19"/>
  <c r="O22" i="19"/>
  <c r="N22" i="19"/>
  <c r="M22" i="19"/>
  <c r="L22" i="19"/>
  <c r="K22" i="19"/>
  <c r="J22" i="19"/>
  <c r="I22" i="19"/>
  <c r="H22" i="19"/>
  <c r="AH22" i="19" s="1"/>
  <c r="G22" i="19"/>
  <c r="AG22" i="19" s="1"/>
  <c r="F22" i="19"/>
  <c r="AF22" i="19" s="1"/>
  <c r="E22" i="19"/>
  <c r="AE22" i="19" s="1"/>
  <c r="D22" i="19"/>
  <c r="AD22" i="19" s="1"/>
  <c r="C22" i="19"/>
  <c r="AC22" i="19" s="1"/>
  <c r="B22" i="19"/>
  <c r="AB22" i="19" s="1"/>
  <c r="A22" i="19"/>
  <c r="Q21" i="19"/>
  <c r="P21" i="19"/>
  <c r="O21" i="19"/>
  <c r="N21" i="19"/>
  <c r="M21" i="19"/>
  <c r="L21" i="19"/>
  <c r="K21" i="19"/>
  <c r="J21" i="19"/>
  <c r="I21" i="19"/>
  <c r="H21" i="19"/>
  <c r="AH21" i="19" s="1"/>
  <c r="G21" i="19"/>
  <c r="AG21" i="19" s="1"/>
  <c r="F21" i="19"/>
  <c r="AF21" i="19" s="1"/>
  <c r="E21" i="19"/>
  <c r="AE21" i="19" s="1"/>
  <c r="D21" i="19"/>
  <c r="AD21" i="19" s="1"/>
  <c r="C21" i="19"/>
  <c r="AC21" i="19" s="1"/>
  <c r="B21" i="19"/>
  <c r="AB21" i="19" s="1"/>
  <c r="A21" i="19"/>
  <c r="Q20" i="19"/>
  <c r="P20" i="19"/>
  <c r="O20" i="19"/>
  <c r="N20" i="19"/>
  <c r="M20" i="19"/>
  <c r="L20" i="19"/>
  <c r="K20" i="19"/>
  <c r="J20" i="19"/>
  <c r="I20" i="19"/>
  <c r="H20" i="19"/>
  <c r="AH20" i="19" s="1"/>
  <c r="G20" i="19"/>
  <c r="AG20" i="19" s="1"/>
  <c r="F20" i="19"/>
  <c r="AF20" i="19" s="1"/>
  <c r="E20" i="19"/>
  <c r="AE20" i="19" s="1"/>
  <c r="D20" i="19"/>
  <c r="AD20" i="19" s="1"/>
  <c r="C20" i="19"/>
  <c r="AC20" i="19" s="1"/>
  <c r="B20" i="19"/>
  <c r="AB20" i="19" s="1"/>
  <c r="A20" i="19"/>
  <c r="Q19" i="19"/>
  <c r="P19" i="19"/>
  <c r="O19" i="19"/>
  <c r="N19" i="19"/>
  <c r="M19" i="19"/>
  <c r="L19" i="19"/>
  <c r="K19" i="19"/>
  <c r="J19" i="19"/>
  <c r="I19" i="19"/>
  <c r="H19" i="19"/>
  <c r="AH19" i="19" s="1"/>
  <c r="G19" i="19"/>
  <c r="AG19" i="19" s="1"/>
  <c r="F19" i="19"/>
  <c r="AF19" i="19" s="1"/>
  <c r="E19" i="19"/>
  <c r="AE19" i="19" s="1"/>
  <c r="D19" i="19"/>
  <c r="AD19" i="19" s="1"/>
  <c r="C19" i="19"/>
  <c r="AC19" i="19" s="1"/>
  <c r="B19" i="19"/>
  <c r="AB19" i="19" s="1"/>
  <c r="A19" i="19"/>
  <c r="Q18" i="19"/>
  <c r="P18" i="19"/>
  <c r="O18" i="19"/>
  <c r="N18" i="19"/>
  <c r="M18" i="19"/>
  <c r="L18" i="19"/>
  <c r="K18" i="19"/>
  <c r="J18" i="19"/>
  <c r="I18" i="19"/>
  <c r="H18" i="19"/>
  <c r="AH18" i="19" s="1"/>
  <c r="G18" i="19"/>
  <c r="AG18" i="19" s="1"/>
  <c r="F18" i="19"/>
  <c r="AF18" i="19" s="1"/>
  <c r="E18" i="19"/>
  <c r="AE18" i="19" s="1"/>
  <c r="D18" i="19"/>
  <c r="AD18" i="19" s="1"/>
  <c r="C18" i="19"/>
  <c r="AC18" i="19" s="1"/>
  <c r="B18" i="19"/>
  <c r="AB18" i="19" s="1"/>
  <c r="A18" i="19"/>
  <c r="AA17" i="19"/>
  <c r="Q17" i="19"/>
  <c r="P17" i="19"/>
  <c r="O17" i="19"/>
  <c r="N17" i="19"/>
  <c r="M17" i="19"/>
  <c r="L17" i="19"/>
  <c r="K17" i="19"/>
  <c r="J17" i="19"/>
  <c r="I17" i="19"/>
  <c r="H17" i="19"/>
  <c r="AH17" i="19" s="1"/>
  <c r="G17" i="19"/>
  <c r="AG17" i="19" s="1"/>
  <c r="F17" i="19"/>
  <c r="AF17" i="19" s="1"/>
  <c r="E17" i="19"/>
  <c r="AE17" i="19" s="1"/>
  <c r="D17" i="19"/>
  <c r="AD17" i="19" s="1"/>
  <c r="C17" i="19"/>
  <c r="AC17" i="19" s="1"/>
  <c r="B17" i="19"/>
  <c r="AB17" i="19" s="1"/>
  <c r="A17" i="19"/>
  <c r="Q16" i="19"/>
  <c r="P16" i="19"/>
  <c r="O16" i="19"/>
  <c r="N16" i="19"/>
  <c r="M16" i="19"/>
  <c r="L16" i="19"/>
  <c r="K16" i="19"/>
  <c r="J16" i="19"/>
  <c r="I16" i="19"/>
  <c r="H16" i="19"/>
  <c r="AH16" i="19" s="1"/>
  <c r="G16" i="19"/>
  <c r="AG16" i="19" s="1"/>
  <c r="F16" i="19"/>
  <c r="AF16" i="19" s="1"/>
  <c r="E16" i="19"/>
  <c r="AE16" i="19" s="1"/>
  <c r="D16" i="19"/>
  <c r="AD16" i="19" s="1"/>
  <c r="C16" i="19"/>
  <c r="AC16" i="19" s="1"/>
  <c r="B16" i="19"/>
  <c r="AB16" i="19" s="1"/>
  <c r="A16" i="19"/>
  <c r="Q15" i="19"/>
  <c r="P15" i="19"/>
  <c r="O15" i="19"/>
  <c r="N15" i="19"/>
  <c r="M15" i="19"/>
  <c r="L15" i="19"/>
  <c r="K15" i="19"/>
  <c r="J15" i="19"/>
  <c r="I15" i="19"/>
  <c r="H15" i="19"/>
  <c r="AH15" i="19" s="1"/>
  <c r="G15" i="19"/>
  <c r="AG15" i="19" s="1"/>
  <c r="F15" i="19"/>
  <c r="AF15" i="19" s="1"/>
  <c r="E15" i="19"/>
  <c r="AE15" i="19" s="1"/>
  <c r="D15" i="19"/>
  <c r="AD15" i="19" s="1"/>
  <c r="C15" i="19"/>
  <c r="AC15" i="19" s="1"/>
  <c r="B15" i="19"/>
  <c r="AB15" i="19" s="1"/>
  <c r="A15" i="19"/>
  <c r="Q14" i="19"/>
  <c r="P14" i="19"/>
  <c r="O14" i="19"/>
  <c r="N14" i="19"/>
  <c r="M14" i="19"/>
  <c r="L14" i="19"/>
  <c r="K14" i="19"/>
  <c r="J14" i="19"/>
  <c r="I14" i="19"/>
  <c r="H14" i="19"/>
  <c r="AH14" i="19" s="1"/>
  <c r="G14" i="19"/>
  <c r="AG14" i="19" s="1"/>
  <c r="F14" i="19"/>
  <c r="AF14" i="19" s="1"/>
  <c r="E14" i="19"/>
  <c r="AE14" i="19" s="1"/>
  <c r="D14" i="19"/>
  <c r="AD14" i="19" s="1"/>
  <c r="C14" i="19"/>
  <c r="AC14" i="19" s="1"/>
  <c r="B14" i="19"/>
  <c r="AB14" i="19" s="1"/>
  <c r="A14" i="19"/>
  <c r="Q13" i="19"/>
  <c r="P13" i="19"/>
  <c r="O13" i="19"/>
  <c r="N13" i="19"/>
  <c r="M13" i="19"/>
  <c r="L13" i="19"/>
  <c r="K13" i="19"/>
  <c r="J13" i="19"/>
  <c r="I13" i="19"/>
  <c r="H13" i="19"/>
  <c r="AH13" i="19" s="1"/>
  <c r="G13" i="19"/>
  <c r="AG13" i="19" s="1"/>
  <c r="F13" i="19"/>
  <c r="AF13" i="19" s="1"/>
  <c r="E13" i="19"/>
  <c r="AE13" i="19" s="1"/>
  <c r="D13" i="19"/>
  <c r="AD13" i="19" s="1"/>
  <c r="C13" i="19"/>
  <c r="AC13" i="19" s="1"/>
  <c r="B13" i="19"/>
  <c r="AB13" i="19" s="1"/>
  <c r="A13" i="19"/>
  <c r="Q12" i="19"/>
  <c r="P12" i="19"/>
  <c r="O12" i="19"/>
  <c r="N12" i="19"/>
  <c r="M12" i="19"/>
  <c r="L12" i="19"/>
  <c r="K12" i="19"/>
  <c r="J12" i="19"/>
  <c r="I12" i="19"/>
  <c r="H12" i="19"/>
  <c r="AH12" i="19" s="1"/>
  <c r="G12" i="19"/>
  <c r="AG12" i="19" s="1"/>
  <c r="F12" i="19"/>
  <c r="AF12" i="19" s="1"/>
  <c r="E12" i="19"/>
  <c r="AE12" i="19" s="1"/>
  <c r="D12" i="19"/>
  <c r="AD12" i="19" s="1"/>
  <c r="C12" i="19"/>
  <c r="AC12" i="19" s="1"/>
  <c r="B12" i="19"/>
  <c r="AB12" i="19" s="1"/>
  <c r="A12" i="19"/>
  <c r="Q11" i="19"/>
  <c r="P11" i="19"/>
  <c r="O11" i="19"/>
  <c r="N11" i="19"/>
  <c r="M11" i="19"/>
  <c r="L11" i="19"/>
  <c r="K11" i="19"/>
  <c r="J11" i="19"/>
  <c r="I11" i="19"/>
  <c r="H11" i="19"/>
  <c r="AH11" i="19" s="1"/>
  <c r="G11" i="19"/>
  <c r="AG11" i="19" s="1"/>
  <c r="F11" i="19"/>
  <c r="AF11" i="19" s="1"/>
  <c r="E11" i="19"/>
  <c r="AE11" i="19" s="1"/>
  <c r="D11" i="19"/>
  <c r="AD11" i="19" s="1"/>
  <c r="C11" i="19"/>
  <c r="AC11" i="19" s="1"/>
  <c r="B11" i="19"/>
  <c r="AB11" i="19" s="1"/>
  <c r="A11" i="19"/>
  <c r="Q10" i="19"/>
  <c r="P10" i="19"/>
  <c r="O10" i="19"/>
  <c r="N10" i="19"/>
  <c r="M10" i="19"/>
  <c r="L10" i="19"/>
  <c r="K10" i="19"/>
  <c r="J10" i="19"/>
  <c r="I10" i="19"/>
  <c r="H10" i="19"/>
  <c r="AH10" i="19" s="1"/>
  <c r="G10" i="19"/>
  <c r="AG10" i="19" s="1"/>
  <c r="F10" i="19"/>
  <c r="AF10" i="19" s="1"/>
  <c r="E10" i="19"/>
  <c r="AE10" i="19" s="1"/>
  <c r="D10" i="19"/>
  <c r="AD10" i="19" s="1"/>
  <c r="C10" i="19"/>
  <c r="AC10" i="19" s="1"/>
  <c r="B10" i="19"/>
  <c r="AB10" i="19" s="1"/>
  <c r="A10" i="19"/>
  <c r="Q9" i="19"/>
  <c r="P9" i="19"/>
  <c r="O9" i="19"/>
  <c r="N9" i="19"/>
  <c r="M9" i="19"/>
  <c r="L9" i="19"/>
  <c r="K9" i="19"/>
  <c r="J9" i="19"/>
  <c r="I9" i="19"/>
  <c r="H9" i="19"/>
  <c r="AH9" i="19" s="1"/>
  <c r="G9" i="19"/>
  <c r="AG9" i="19" s="1"/>
  <c r="F9" i="19"/>
  <c r="AF9" i="19" s="1"/>
  <c r="E9" i="19"/>
  <c r="AE9" i="19" s="1"/>
  <c r="D9" i="19"/>
  <c r="AD9" i="19" s="1"/>
  <c r="C9" i="19"/>
  <c r="AC9" i="19" s="1"/>
  <c r="B9" i="19"/>
  <c r="AB9" i="19" s="1"/>
  <c r="A9" i="19"/>
  <c r="Q8" i="19"/>
  <c r="P8" i="19"/>
  <c r="O8" i="19"/>
  <c r="N8" i="19"/>
  <c r="M8" i="19"/>
  <c r="L8" i="19"/>
  <c r="K8" i="19"/>
  <c r="J8" i="19"/>
  <c r="I8" i="19"/>
  <c r="H8" i="19"/>
  <c r="AH8" i="19" s="1"/>
  <c r="G8" i="19"/>
  <c r="AG8" i="19" s="1"/>
  <c r="F8" i="19"/>
  <c r="AF8" i="19" s="1"/>
  <c r="E8" i="19"/>
  <c r="AE8" i="19" s="1"/>
  <c r="D8" i="19"/>
  <c r="AD8" i="19" s="1"/>
  <c r="C8" i="19"/>
  <c r="AC8" i="19" s="1"/>
  <c r="B8" i="19"/>
  <c r="AB8" i="19" s="1"/>
  <c r="A8" i="19"/>
  <c r="Q7" i="19"/>
  <c r="P7" i="19"/>
  <c r="O7" i="19"/>
  <c r="N7" i="19"/>
  <c r="M7" i="19"/>
  <c r="L7" i="19"/>
  <c r="K7" i="19"/>
  <c r="J7" i="19"/>
  <c r="I7" i="19"/>
  <c r="H7" i="19"/>
  <c r="AH7" i="19" s="1"/>
  <c r="G7" i="19"/>
  <c r="AG7" i="19" s="1"/>
  <c r="F7" i="19"/>
  <c r="AF7" i="19" s="1"/>
  <c r="E7" i="19"/>
  <c r="AE7" i="19" s="1"/>
  <c r="D7" i="19"/>
  <c r="AD7" i="19" s="1"/>
  <c r="C7" i="19"/>
  <c r="AC7" i="19" s="1"/>
  <c r="B7" i="19"/>
  <c r="AB7" i="19" s="1"/>
  <c r="A7" i="19"/>
  <c r="Q6" i="19"/>
  <c r="P6" i="19"/>
  <c r="O6" i="19"/>
  <c r="N6" i="19"/>
  <c r="M6" i="19"/>
  <c r="L6" i="19"/>
  <c r="K6" i="19"/>
  <c r="J6" i="19"/>
  <c r="I6" i="19"/>
  <c r="H6" i="19"/>
  <c r="AH6" i="19" s="1"/>
  <c r="G6" i="19"/>
  <c r="AG6" i="19" s="1"/>
  <c r="F6" i="19"/>
  <c r="AF6" i="19" s="1"/>
  <c r="E6" i="19"/>
  <c r="AE6" i="19" s="1"/>
  <c r="D6" i="19"/>
  <c r="AD6" i="19" s="1"/>
  <c r="C6" i="19"/>
  <c r="AC6" i="19" s="1"/>
  <c r="B6" i="19"/>
  <c r="AB6" i="19" s="1"/>
  <c r="A6" i="19"/>
  <c r="AB5" i="19"/>
  <c r="Q5" i="19"/>
  <c r="P5" i="19"/>
  <c r="O5" i="19"/>
  <c r="N5" i="19"/>
  <c r="M5" i="19"/>
  <c r="L5" i="19"/>
  <c r="K5" i="19"/>
  <c r="J5" i="19"/>
  <c r="I5" i="19"/>
  <c r="H5" i="19"/>
  <c r="AH5" i="19" s="1"/>
  <c r="G5" i="19"/>
  <c r="AG5" i="19" s="1"/>
  <c r="F5" i="19"/>
  <c r="AF5" i="19" s="1"/>
  <c r="E5" i="19"/>
  <c r="AE5" i="19" s="1"/>
  <c r="D5" i="19"/>
  <c r="AD5" i="19" s="1"/>
  <c r="C5" i="19"/>
  <c r="AC5" i="19" s="1"/>
  <c r="B5" i="19"/>
  <c r="A5" i="19"/>
  <c r="Q4" i="19"/>
  <c r="P4" i="19"/>
  <c r="O4" i="19"/>
  <c r="N4" i="19"/>
  <c r="M4" i="19"/>
  <c r="L4" i="19"/>
  <c r="K4" i="19"/>
  <c r="J4" i="19"/>
  <c r="I4" i="19"/>
  <c r="H4" i="19"/>
  <c r="AH4" i="19" s="1"/>
  <c r="G4" i="19"/>
  <c r="AG4" i="19" s="1"/>
  <c r="F4" i="19"/>
  <c r="AF4" i="19" s="1"/>
  <c r="E4" i="19"/>
  <c r="AE4" i="19" s="1"/>
  <c r="D4" i="19"/>
  <c r="AD4" i="19" s="1"/>
  <c r="C4" i="19"/>
  <c r="AC4" i="19" s="1"/>
  <c r="B4" i="19"/>
  <c r="AB4" i="19" s="1"/>
  <c r="A4" i="19"/>
  <c r="Q3" i="19"/>
  <c r="P3" i="19"/>
  <c r="O3" i="19"/>
  <c r="N3" i="19"/>
  <c r="M3" i="19"/>
  <c r="L3" i="19"/>
  <c r="K3" i="19"/>
  <c r="J3" i="19"/>
  <c r="I3" i="19"/>
  <c r="H3" i="19"/>
  <c r="AH3" i="19" s="1"/>
  <c r="G3" i="19"/>
  <c r="AG3" i="19" s="1"/>
  <c r="F3" i="19"/>
  <c r="AF3" i="19" s="1"/>
  <c r="E3" i="19"/>
  <c r="AE3" i="19" s="1"/>
  <c r="D3" i="19"/>
  <c r="AD3" i="19" s="1"/>
  <c r="C3" i="19"/>
  <c r="AC3" i="19" s="1"/>
  <c r="B3" i="19"/>
  <c r="AB3" i="19" s="1"/>
  <c r="A3" i="19"/>
  <c r="H44" i="4"/>
  <c r="I44" i="4"/>
  <c r="J44" i="4"/>
  <c r="K44" i="4"/>
  <c r="L44" i="4"/>
  <c r="M44" i="4"/>
  <c r="AD4" i="17"/>
  <c r="Z5" i="17"/>
  <c r="AC5" i="17"/>
  <c r="AE5" i="17"/>
  <c r="AF5" i="17"/>
  <c r="AG5" i="17"/>
  <c r="Z6" i="17"/>
  <c r="AC6" i="17"/>
  <c r="AD6" i="17"/>
  <c r="AF6" i="17"/>
  <c r="AA7" i="17"/>
  <c r="AE7" i="17"/>
  <c r="AG7" i="17"/>
  <c r="Z8" i="17"/>
  <c r="AB8" i="17"/>
  <c r="Z9" i="17"/>
  <c r="AC9" i="17"/>
  <c r="AD9" i="17"/>
  <c r="AG9" i="17"/>
  <c r="AB10" i="17"/>
  <c r="AD10" i="17"/>
  <c r="AG10" i="17"/>
  <c r="Z11" i="17"/>
  <c r="AB11" i="17"/>
  <c r="AE11" i="17"/>
  <c r="Z12" i="17"/>
  <c r="AD12" i="17"/>
  <c r="AF12" i="17"/>
  <c r="AA13" i="17"/>
  <c r="AB13" i="17"/>
  <c r="AC13" i="17"/>
  <c r="AD13" i="17"/>
  <c r="AG13" i="17"/>
  <c r="Z14" i="17"/>
  <c r="AB14" i="17"/>
  <c r="AF14" i="17"/>
  <c r="AA15" i="17"/>
  <c r="AC15" i="17"/>
  <c r="AD15" i="17"/>
  <c r="AF15" i="17"/>
  <c r="AD16" i="17"/>
  <c r="Z17" i="17"/>
  <c r="AC17" i="17"/>
  <c r="AE17" i="17"/>
  <c r="AF17" i="17"/>
  <c r="AG17" i="17"/>
  <c r="Z18" i="17"/>
  <c r="AC18" i="17"/>
  <c r="AD18" i="17"/>
  <c r="AF18" i="17"/>
  <c r="AA19" i="17"/>
  <c r="AG19" i="17"/>
  <c r="Z20" i="17"/>
  <c r="AB20" i="17"/>
  <c r="Z21" i="17"/>
  <c r="AC21" i="17"/>
  <c r="AD21" i="17"/>
  <c r="AB22" i="17"/>
  <c r="AD22" i="17"/>
  <c r="AG22" i="17"/>
  <c r="AB26" i="17"/>
  <c r="AC27" i="17"/>
  <c r="AD27" i="17"/>
  <c r="AF27" i="17"/>
  <c r="AD28" i="17"/>
  <c r="Z29" i="17"/>
  <c r="AE29" i="17"/>
  <c r="AF29" i="17"/>
  <c r="AG29" i="17"/>
  <c r="Z30" i="17"/>
  <c r="AC30" i="17"/>
  <c r="AD30" i="17"/>
  <c r="AA31" i="17"/>
  <c r="AG31" i="17"/>
  <c r="Z32" i="17"/>
  <c r="AB32" i="17"/>
  <c r="AD33" i="17"/>
  <c r="AB34" i="17"/>
  <c r="AD34" i="17"/>
  <c r="AG34" i="17"/>
  <c r="Z35" i="17"/>
  <c r="AB35" i="17"/>
  <c r="AE35" i="17"/>
  <c r="Z36" i="17"/>
  <c r="AD36" i="17"/>
  <c r="AF36" i="17"/>
  <c r="AA37" i="17"/>
  <c r="AB37" i="17"/>
  <c r="AC37" i="17"/>
  <c r="AD37" i="17"/>
  <c r="AG37" i="17"/>
  <c r="Z38" i="17"/>
  <c r="AB38" i="17"/>
  <c r="AF38" i="17"/>
  <c r="AC39" i="17"/>
  <c r="AD39" i="17"/>
  <c r="AF39" i="17"/>
  <c r="AD40" i="17"/>
  <c r="Z41" i="17"/>
  <c r="AE41" i="17"/>
  <c r="AF41" i="17"/>
  <c r="AG41" i="17"/>
  <c r="Z42" i="17"/>
  <c r="AC42" i="17"/>
  <c r="AD42" i="17"/>
  <c r="AF42" i="17"/>
  <c r="AA3" i="17"/>
  <c r="AD3" i="17"/>
  <c r="AE3" i="17"/>
  <c r="A3" i="17"/>
  <c r="Z3" i="17" s="1"/>
  <c r="B3" i="17"/>
  <c r="C3" i="17"/>
  <c r="AB3" i="17" s="1"/>
  <c r="D3" i="17"/>
  <c r="AC3" i="17" s="1"/>
  <c r="E3" i="17"/>
  <c r="F3" i="17"/>
  <c r="G3" i="17"/>
  <c r="AF3" i="17" s="1"/>
  <c r="H3" i="17"/>
  <c r="AG3" i="17" s="1"/>
  <c r="I3" i="17"/>
  <c r="J3" i="17"/>
  <c r="K3" i="17"/>
  <c r="L3" i="17"/>
  <c r="M3" i="17"/>
  <c r="N3" i="17"/>
  <c r="O3" i="17"/>
  <c r="P3" i="17"/>
  <c r="Q3" i="17"/>
  <c r="A4" i="17"/>
  <c r="Z4" i="17" s="1"/>
  <c r="B4" i="17"/>
  <c r="AA4" i="17" s="1"/>
  <c r="C4" i="17"/>
  <c r="AB4" i="17" s="1"/>
  <c r="D4" i="17"/>
  <c r="AC4" i="17" s="1"/>
  <c r="E4" i="17"/>
  <c r="F4" i="17"/>
  <c r="AE4" i="17" s="1"/>
  <c r="G4" i="17"/>
  <c r="AF4" i="17" s="1"/>
  <c r="H4" i="17"/>
  <c r="AG4" i="17" s="1"/>
  <c r="I4" i="17"/>
  <c r="J4" i="17"/>
  <c r="K4" i="17"/>
  <c r="L4" i="17"/>
  <c r="M4" i="17"/>
  <c r="N4" i="17"/>
  <c r="O4" i="17"/>
  <c r="P4" i="17"/>
  <c r="Q4" i="17"/>
  <c r="A5" i="17"/>
  <c r="B5" i="17"/>
  <c r="AA5" i="17" s="1"/>
  <c r="C5" i="17"/>
  <c r="AB5" i="17" s="1"/>
  <c r="D5" i="17"/>
  <c r="E5" i="17"/>
  <c r="AD5" i="17" s="1"/>
  <c r="F5" i="17"/>
  <c r="G5" i="17"/>
  <c r="H5" i="17"/>
  <c r="I5" i="17"/>
  <c r="J5" i="17"/>
  <c r="K5" i="17"/>
  <c r="L5" i="17"/>
  <c r="M5" i="17"/>
  <c r="N5" i="17"/>
  <c r="O5" i="17"/>
  <c r="P5" i="17"/>
  <c r="Q5" i="17"/>
  <c r="A6" i="17"/>
  <c r="B6" i="17"/>
  <c r="AA6" i="17" s="1"/>
  <c r="AI6" i="17" s="1"/>
  <c r="C6" i="17"/>
  <c r="AB6" i="17" s="1"/>
  <c r="D6" i="17"/>
  <c r="E6" i="17"/>
  <c r="F6" i="17"/>
  <c r="AE6" i="17" s="1"/>
  <c r="G6" i="17"/>
  <c r="H6" i="17"/>
  <c r="AG6" i="17" s="1"/>
  <c r="I6" i="17"/>
  <c r="J6" i="17"/>
  <c r="K6" i="17"/>
  <c r="L6" i="17"/>
  <c r="M6" i="17"/>
  <c r="N6" i="17"/>
  <c r="O6" i="17"/>
  <c r="P6" i="17"/>
  <c r="Q6" i="17"/>
  <c r="A7" i="17"/>
  <c r="Z7" i="17" s="1"/>
  <c r="B7" i="17"/>
  <c r="C7" i="17"/>
  <c r="AB7" i="17" s="1"/>
  <c r="D7" i="17"/>
  <c r="AC7" i="17" s="1"/>
  <c r="E7" i="17"/>
  <c r="AD7" i="17" s="1"/>
  <c r="F7" i="17"/>
  <c r="G7" i="17"/>
  <c r="AF7" i="17" s="1"/>
  <c r="H7" i="17"/>
  <c r="I7" i="17"/>
  <c r="J7" i="17"/>
  <c r="K7" i="17"/>
  <c r="L7" i="17"/>
  <c r="M7" i="17"/>
  <c r="N7" i="17"/>
  <c r="O7" i="17"/>
  <c r="P7" i="17"/>
  <c r="Q7" i="17"/>
  <c r="A8" i="17"/>
  <c r="B8" i="17"/>
  <c r="AA8" i="17" s="1"/>
  <c r="C8" i="17"/>
  <c r="D8" i="17"/>
  <c r="AC8" i="17" s="1"/>
  <c r="E8" i="17"/>
  <c r="AD8" i="17" s="1"/>
  <c r="F8" i="17"/>
  <c r="AE8" i="17" s="1"/>
  <c r="G8" i="17"/>
  <c r="AF8" i="17" s="1"/>
  <c r="H8" i="17"/>
  <c r="AG8" i="17" s="1"/>
  <c r="I8" i="17"/>
  <c r="J8" i="17"/>
  <c r="K8" i="17"/>
  <c r="L8" i="17"/>
  <c r="M8" i="17"/>
  <c r="N8" i="17"/>
  <c r="O8" i="17"/>
  <c r="P8" i="17"/>
  <c r="Q8" i="17"/>
  <c r="A9" i="17"/>
  <c r="B9" i="17"/>
  <c r="AA9" i="17" s="1"/>
  <c r="C9" i="17"/>
  <c r="AB9" i="17" s="1"/>
  <c r="D9" i="17"/>
  <c r="E9" i="17"/>
  <c r="F9" i="17"/>
  <c r="AE9" i="17" s="1"/>
  <c r="G9" i="17"/>
  <c r="AF9" i="17" s="1"/>
  <c r="H9" i="17"/>
  <c r="I9" i="17"/>
  <c r="J9" i="17"/>
  <c r="K9" i="17"/>
  <c r="L9" i="17"/>
  <c r="M9" i="17"/>
  <c r="N9" i="17"/>
  <c r="O9" i="17"/>
  <c r="P9" i="17"/>
  <c r="Q9" i="17"/>
  <c r="A10" i="17"/>
  <c r="Z10" i="17" s="1"/>
  <c r="B10" i="17"/>
  <c r="AA10" i="17" s="1"/>
  <c r="C10" i="17"/>
  <c r="D10" i="17"/>
  <c r="AC10" i="17" s="1"/>
  <c r="E10" i="17"/>
  <c r="F10" i="17"/>
  <c r="AE10" i="17" s="1"/>
  <c r="G10" i="17"/>
  <c r="AF10" i="17" s="1"/>
  <c r="AJ10" i="17" s="1"/>
  <c r="H10" i="17"/>
  <c r="I10" i="17"/>
  <c r="J10" i="17"/>
  <c r="K10" i="17"/>
  <c r="L10" i="17"/>
  <c r="M10" i="17"/>
  <c r="N10" i="17"/>
  <c r="O10" i="17"/>
  <c r="P10" i="17"/>
  <c r="Q10" i="17"/>
  <c r="A11" i="17"/>
  <c r="B11" i="17"/>
  <c r="AA11" i="17" s="1"/>
  <c r="C11" i="17"/>
  <c r="D11" i="17"/>
  <c r="AC11" i="17" s="1"/>
  <c r="E11" i="17"/>
  <c r="AD11" i="17" s="1"/>
  <c r="F11" i="17"/>
  <c r="G11" i="17"/>
  <c r="AF11" i="17" s="1"/>
  <c r="H11" i="17"/>
  <c r="AG11" i="17" s="1"/>
  <c r="I11" i="17"/>
  <c r="J11" i="17"/>
  <c r="K11" i="17"/>
  <c r="L11" i="17"/>
  <c r="M11" i="17"/>
  <c r="N11" i="17"/>
  <c r="O11" i="17"/>
  <c r="P11" i="17"/>
  <c r="Q11" i="17"/>
  <c r="A12" i="17"/>
  <c r="B12" i="17"/>
  <c r="AA12" i="17" s="1"/>
  <c r="C12" i="17"/>
  <c r="AB12" i="17" s="1"/>
  <c r="D12" i="17"/>
  <c r="AC12" i="17" s="1"/>
  <c r="E12" i="17"/>
  <c r="F12" i="17"/>
  <c r="AE12" i="17" s="1"/>
  <c r="G12" i="17"/>
  <c r="H12" i="17"/>
  <c r="AG12" i="17" s="1"/>
  <c r="I12" i="17"/>
  <c r="J12" i="17"/>
  <c r="K12" i="17"/>
  <c r="L12" i="17"/>
  <c r="M12" i="17"/>
  <c r="N12" i="17"/>
  <c r="O12" i="17"/>
  <c r="P12" i="17"/>
  <c r="Q12" i="17"/>
  <c r="A13" i="17"/>
  <c r="Z13" i="17" s="1"/>
  <c r="AH13" i="17" s="1"/>
  <c r="B13" i="17"/>
  <c r="C13" i="17"/>
  <c r="D13" i="17"/>
  <c r="E13" i="17"/>
  <c r="F13" i="17"/>
  <c r="AE13" i="17" s="1"/>
  <c r="G13" i="17"/>
  <c r="AF13" i="17" s="1"/>
  <c r="H13" i="17"/>
  <c r="I13" i="17"/>
  <c r="J13" i="17"/>
  <c r="K13" i="17"/>
  <c r="L13" i="17"/>
  <c r="M13" i="17"/>
  <c r="N13" i="17"/>
  <c r="O13" i="17"/>
  <c r="P13" i="17"/>
  <c r="Q13" i="17"/>
  <c r="A14" i="17"/>
  <c r="B14" i="17"/>
  <c r="AA14" i="17" s="1"/>
  <c r="C14" i="17"/>
  <c r="D14" i="17"/>
  <c r="AC14" i="17" s="1"/>
  <c r="E14" i="17"/>
  <c r="AD14" i="17" s="1"/>
  <c r="F14" i="17"/>
  <c r="AE14" i="17" s="1"/>
  <c r="G14" i="17"/>
  <c r="H14" i="17"/>
  <c r="AG14" i="17" s="1"/>
  <c r="I14" i="17"/>
  <c r="J14" i="17"/>
  <c r="K14" i="17"/>
  <c r="L14" i="17"/>
  <c r="M14" i="17"/>
  <c r="N14" i="17"/>
  <c r="O14" i="17"/>
  <c r="P14" i="17"/>
  <c r="Q14" i="17"/>
  <c r="A15" i="17"/>
  <c r="Z15" i="17" s="1"/>
  <c r="B15" i="17"/>
  <c r="C15" i="17"/>
  <c r="AB15" i="17" s="1"/>
  <c r="AJ15" i="17" s="1"/>
  <c r="D15" i="17"/>
  <c r="E15" i="17"/>
  <c r="F15" i="17"/>
  <c r="AE15" i="17" s="1"/>
  <c r="G15" i="17"/>
  <c r="H15" i="17"/>
  <c r="AG15" i="17" s="1"/>
  <c r="I15" i="17"/>
  <c r="J15" i="17"/>
  <c r="K15" i="17"/>
  <c r="L15" i="17"/>
  <c r="M15" i="17"/>
  <c r="N15" i="17"/>
  <c r="O15" i="17"/>
  <c r="P15" i="17"/>
  <c r="Q15" i="17"/>
  <c r="A16" i="17"/>
  <c r="Z16" i="17" s="1"/>
  <c r="B16" i="17"/>
  <c r="AA16" i="17" s="1"/>
  <c r="C16" i="17"/>
  <c r="AB16" i="17" s="1"/>
  <c r="D16" i="17"/>
  <c r="AC16" i="17" s="1"/>
  <c r="E16" i="17"/>
  <c r="F16" i="17"/>
  <c r="AE16" i="17" s="1"/>
  <c r="G16" i="17"/>
  <c r="AF16" i="17" s="1"/>
  <c r="H16" i="17"/>
  <c r="AG16" i="17" s="1"/>
  <c r="I16" i="17"/>
  <c r="J16" i="17"/>
  <c r="K16" i="17"/>
  <c r="L16" i="17"/>
  <c r="M16" i="17"/>
  <c r="N16" i="17"/>
  <c r="O16" i="17"/>
  <c r="P16" i="17"/>
  <c r="Q16" i="17"/>
  <c r="A17" i="17"/>
  <c r="B17" i="17"/>
  <c r="AA17" i="17" s="1"/>
  <c r="AI17" i="17" s="1"/>
  <c r="C17" i="17"/>
  <c r="AB17" i="17" s="1"/>
  <c r="AJ17" i="17" s="1"/>
  <c r="D17" i="17"/>
  <c r="E17" i="17"/>
  <c r="AD17" i="17" s="1"/>
  <c r="F17" i="17"/>
  <c r="G17" i="17"/>
  <c r="H17" i="17"/>
  <c r="I17" i="17"/>
  <c r="J17" i="17"/>
  <c r="K17" i="17"/>
  <c r="L17" i="17"/>
  <c r="M17" i="17"/>
  <c r="N17" i="17"/>
  <c r="O17" i="17"/>
  <c r="P17" i="17"/>
  <c r="Q17" i="17"/>
  <c r="A18" i="17"/>
  <c r="B18" i="17"/>
  <c r="AA18" i="17" s="1"/>
  <c r="AI18" i="17" s="1"/>
  <c r="C18" i="17"/>
  <c r="AB18" i="17" s="1"/>
  <c r="D18" i="17"/>
  <c r="E18" i="17"/>
  <c r="F18" i="17"/>
  <c r="AE18" i="17" s="1"/>
  <c r="G18" i="17"/>
  <c r="H18" i="17"/>
  <c r="AG18" i="17" s="1"/>
  <c r="I18" i="17"/>
  <c r="J18" i="17"/>
  <c r="K18" i="17"/>
  <c r="L18" i="17"/>
  <c r="M18" i="17"/>
  <c r="N18" i="17"/>
  <c r="O18" i="17"/>
  <c r="P18" i="17"/>
  <c r="Q18" i="17"/>
  <c r="A19" i="17"/>
  <c r="Z19" i="17" s="1"/>
  <c r="B19" i="17"/>
  <c r="C19" i="17"/>
  <c r="AB19" i="17" s="1"/>
  <c r="D19" i="17"/>
  <c r="AC19" i="17" s="1"/>
  <c r="E19" i="17"/>
  <c r="AD19" i="17" s="1"/>
  <c r="F19" i="17"/>
  <c r="AE19" i="17" s="1"/>
  <c r="G19" i="17"/>
  <c r="AF19" i="17" s="1"/>
  <c r="H19" i="17"/>
  <c r="I19" i="17"/>
  <c r="J19" i="17"/>
  <c r="K19" i="17"/>
  <c r="L19" i="17"/>
  <c r="M19" i="17"/>
  <c r="N19" i="17"/>
  <c r="O19" i="17"/>
  <c r="P19" i="17"/>
  <c r="Q19" i="17"/>
  <c r="A20" i="17"/>
  <c r="B20" i="17"/>
  <c r="AA20" i="17" s="1"/>
  <c r="C20" i="17"/>
  <c r="D20" i="17"/>
  <c r="AC20" i="17" s="1"/>
  <c r="E20" i="17"/>
  <c r="AD20" i="17" s="1"/>
  <c r="F20" i="17"/>
  <c r="AE20" i="17" s="1"/>
  <c r="G20" i="17"/>
  <c r="AF20" i="17" s="1"/>
  <c r="H20" i="17"/>
  <c r="AG20" i="17" s="1"/>
  <c r="I20" i="17"/>
  <c r="J20" i="17"/>
  <c r="K20" i="17"/>
  <c r="L20" i="17"/>
  <c r="M20" i="17"/>
  <c r="N20" i="17"/>
  <c r="O20" i="17"/>
  <c r="P20" i="17"/>
  <c r="Q20" i="17"/>
  <c r="A21" i="17"/>
  <c r="B21" i="17"/>
  <c r="AA21" i="17" s="1"/>
  <c r="C21" i="17"/>
  <c r="AB21" i="17" s="1"/>
  <c r="D21" i="17"/>
  <c r="E21" i="17"/>
  <c r="F21" i="17"/>
  <c r="AE21" i="17" s="1"/>
  <c r="G21" i="17"/>
  <c r="AF21" i="17" s="1"/>
  <c r="H21" i="17"/>
  <c r="AG21" i="17" s="1"/>
  <c r="I21" i="17"/>
  <c r="J21" i="17"/>
  <c r="K21" i="17"/>
  <c r="L21" i="17"/>
  <c r="M21" i="17"/>
  <c r="N21" i="17"/>
  <c r="O21" i="17"/>
  <c r="P21" i="17"/>
  <c r="Q21" i="17"/>
  <c r="A22" i="17"/>
  <c r="Z22" i="17" s="1"/>
  <c r="AH22" i="17" s="1"/>
  <c r="B22" i="17"/>
  <c r="AA22" i="17" s="1"/>
  <c r="C22" i="17"/>
  <c r="D22" i="17"/>
  <c r="AC22" i="17" s="1"/>
  <c r="E22" i="17"/>
  <c r="F22" i="17"/>
  <c r="AE22" i="17" s="1"/>
  <c r="G22" i="17"/>
  <c r="AF22" i="17" s="1"/>
  <c r="H22" i="17"/>
  <c r="I22" i="17"/>
  <c r="J22" i="17"/>
  <c r="K22" i="17"/>
  <c r="L22" i="17"/>
  <c r="M22" i="17"/>
  <c r="N22" i="17"/>
  <c r="O22" i="17"/>
  <c r="P22" i="17"/>
  <c r="Q22" i="17"/>
  <c r="A23" i="17"/>
  <c r="Z23" i="17" s="1"/>
  <c r="B23" i="17"/>
  <c r="AA23" i="17" s="1"/>
  <c r="C23" i="17"/>
  <c r="AB23" i="17" s="1"/>
  <c r="D23" i="17"/>
  <c r="AC23" i="17" s="1"/>
  <c r="E23" i="17"/>
  <c r="AD23" i="17" s="1"/>
  <c r="F23" i="17"/>
  <c r="AE23" i="17" s="1"/>
  <c r="G23" i="17"/>
  <c r="AF23" i="17" s="1"/>
  <c r="H23" i="17"/>
  <c r="AG23" i="17" s="1"/>
  <c r="I23" i="17"/>
  <c r="J23" i="17"/>
  <c r="K23" i="17"/>
  <c r="L23" i="17"/>
  <c r="M23" i="17"/>
  <c r="N23" i="17"/>
  <c r="O23" i="17"/>
  <c r="P23" i="17"/>
  <c r="Q23" i="17"/>
  <c r="A24" i="17"/>
  <c r="Z24" i="17" s="1"/>
  <c r="B24" i="17"/>
  <c r="AA24" i="17" s="1"/>
  <c r="C24" i="17"/>
  <c r="AB24" i="17" s="1"/>
  <c r="D24" i="17"/>
  <c r="AC24" i="17" s="1"/>
  <c r="E24" i="17"/>
  <c r="AD24" i="17" s="1"/>
  <c r="F24" i="17"/>
  <c r="AE24" i="17" s="1"/>
  <c r="G24" i="17"/>
  <c r="AF24" i="17" s="1"/>
  <c r="H24" i="17"/>
  <c r="AG24" i="17" s="1"/>
  <c r="I24" i="17"/>
  <c r="J24" i="17"/>
  <c r="K24" i="17"/>
  <c r="L24" i="17"/>
  <c r="M24" i="17"/>
  <c r="N24" i="17"/>
  <c r="O24" i="17"/>
  <c r="P24" i="17"/>
  <c r="Q24" i="17"/>
  <c r="A25" i="17"/>
  <c r="Z25" i="17" s="1"/>
  <c r="B25" i="17"/>
  <c r="AA25" i="17" s="1"/>
  <c r="C25" i="17"/>
  <c r="AB25" i="17" s="1"/>
  <c r="AJ25" i="17" s="1"/>
  <c r="D25" i="17"/>
  <c r="AC25" i="17" s="1"/>
  <c r="E25" i="17"/>
  <c r="AD25" i="17" s="1"/>
  <c r="F25" i="17"/>
  <c r="AE25" i="17" s="1"/>
  <c r="G25" i="17"/>
  <c r="AF25" i="17" s="1"/>
  <c r="H25" i="17"/>
  <c r="AG25" i="17" s="1"/>
  <c r="I25" i="17"/>
  <c r="J25" i="17"/>
  <c r="K25" i="17"/>
  <c r="L25" i="17"/>
  <c r="M25" i="17"/>
  <c r="N25" i="17"/>
  <c r="O25" i="17"/>
  <c r="P25" i="17"/>
  <c r="Q25" i="17"/>
  <c r="A26" i="17"/>
  <c r="Z26" i="17" s="1"/>
  <c r="B26" i="17"/>
  <c r="AA26" i="17" s="1"/>
  <c r="C26" i="17"/>
  <c r="D26" i="17"/>
  <c r="AC26" i="17" s="1"/>
  <c r="E26" i="17"/>
  <c r="AD26" i="17" s="1"/>
  <c r="F26" i="17"/>
  <c r="AE26" i="17" s="1"/>
  <c r="G26" i="17"/>
  <c r="AF26" i="17" s="1"/>
  <c r="H26" i="17"/>
  <c r="AG26" i="17" s="1"/>
  <c r="I26" i="17"/>
  <c r="J26" i="17"/>
  <c r="K26" i="17"/>
  <c r="L26" i="17"/>
  <c r="M26" i="17"/>
  <c r="N26" i="17"/>
  <c r="O26" i="17"/>
  <c r="P26" i="17"/>
  <c r="Q26" i="17"/>
  <c r="A27" i="17"/>
  <c r="Z27" i="17" s="1"/>
  <c r="B27" i="17"/>
  <c r="AA27" i="17" s="1"/>
  <c r="C27" i="17"/>
  <c r="AB27" i="17" s="1"/>
  <c r="AJ27" i="17" s="1"/>
  <c r="D27" i="17"/>
  <c r="E27" i="17"/>
  <c r="F27" i="17"/>
  <c r="AE27" i="17" s="1"/>
  <c r="G27" i="17"/>
  <c r="H27" i="17"/>
  <c r="AG27" i="17" s="1"/>
  <c r="I27" i="17"/>
  <c r="J27" i="17"/>
  <c r="K27" i="17"/>
  <c r="L27" i="17"/>
  <c r="M27" i="17"/>
  <c r="N27" i="17"/>
  <c r="O27" i="17"/>
  <c r="P27" i="17"/>
  <c r="Q27" i="17"/>
  <c r="A28" i="17"/>
  <c r="Z28" i="17" s="1"/>
  <c r="B28" i="17"/>
  <c r="AA28" i="17" s="1"/>
  <c r="C28" i="17"/>
  <c r="AB28" i="17" s="1"/>
  <c r="D28" i="17"/>
  <c r="AC28" i="17" s="1"/>
  <c r="E28" i="17"/>
  <c r="F28" i="17"/>
  <c r="AE28" i="17" s="1"/>
  <c r="G28" i="17"/>
  <c r="AF28" i="17" s="1"/>
  <c r="H28" i="17"/>
  <c r="AG28" i="17" s="1"/>
  <c r="I28" i="17"/>
  <c r="J28" i="17"/>
  <c r="K28" i="17"/>
  <c r="L28" i="17"/>
  <c r="M28" i="17"/>
  <c r="N28" i="17"/>
  <c r="O28" i="17"/>
  <c r="P28" i="17"/>
  <c r="Q28" i="17"/>
  <c r="A29" i="17"/>
  <c r="B29" i="17"/>
  <c r="AA29" i="17" s="1"/>
  <c r="C29" i="17"/>
  <c r="AB29" i="17" s="1"/>
  <c r="AJ29" i="17" s="1"/>
  <c r="D29" i="17"/>
  <c r="AC29" i="17" s="1"/>
  <c r="E29" i="17"/>
  <c r="AD29" i="17" s="1"/>
  <c r="F29" i="17"/>
  <c r="G29" i="17"/>
  <c r="H29" i="17"/>
  <c r="I29" i="17"/>
  <c r="J29" i="17"/>
  <c r="K29" i="17"/>
  <c r="L29" i="17"/>
  <c r="M29" i="17"/>
  <c r="N29" i="17"/>
  <c r="O29" i="17"/>
  <c r="P29" i="17"/>
  <c r="Q29" i="17"/>
  <c r="A30" i="17"/>
  <c r="B30" i="17"/>
  <c r="AA30" i="17" s="1"/>
  <c r="C30" i="17"/>
  <c r="AB30" i="17" s="1"/>
  <c r="D30" i="17"/>
  <c r="E30" i="17"/>
  <c r="F30" i="17"/>
  <c r="AE30" i="17" s="1"/>
  <c r="G30" i="17"/>
  <c r="AF30" i="17" s="1"/>
  <c r="H30" i="17"/>
  <c r="AG30" i="17" s="1"/>
  <c r="I30" i="17"/>
  <c r="J30" i="17"/>
  <c r="K30" i="17"/>
  <c r="L30" i="17"/>
  <c r="M30" i="17"/>
  <c r="N30" i="17"/>
  <c r="O30" i="17"/>
  <c r="P30" i="17"/>
  <c r="Q30" i="17"/>
  <c r="A31" i="17"/>
  <c r="Z31" i="17" s="1"/>
  <c r="B31" i="17"/>
  <c r="C31" i="17"/>
  <c r="AB31" i="17" s="1"/>
  <c r="D31" i="17"/>
  <c r="AC31" i="17" s="1"/>
  <c r="E31" i="17"/>
  <c r="AD31" i="17" s="1"/>
  <c r="F31" i="17"/>
  <c r="AE31" i="17" s="1"/>
  <c r="G31" i="17"/>
  <c r="AF31" i="17" s="1"/>
  <c r="H31" i="17"/>
  <c r="I31" i="17"/>
  <c r="J31" i="17"/>
  <c r="K31" i="17"/>
  <c r="L31" i="17"/>
  <c r="M31" i="17"/>
  <c r="N31" i="17"/>
  <c r="O31" i="17"/>
  <c r="P31" i="17"/>
  <c r="Q31" i="17"/>
  <c r="A32" i="17"/>
  <c r="B32" i="17"/>
  <c r="AA32" i="17" s="1"/>
  <c r="C32" i="17"/>
  <c r="D32" i="17"/>
  <c r="AC32" i="17" s="1"/>
  <c r="E32" i="17"/>
  <c r="AD32" i="17" s="1"/>
  <c r="F32" i="17"/>
  <c r="AE32" i="17" s="1"/>
  <c r="G32" i="17"/>
  <c r="AF32" i="17" s="1"/>
  <c r="H32" i="17"/>
  <c r="AG32" i="17" s="1"/>
  <c r="I32" i="17"/>
  <c r="J32" i="17"/>
  <c r="K32" i="17"/>
  <c r="L32" i="17"/>
  <c r="M32" i="17"/>
  <c r="N32" i="17"/>
  <c r="O32" i="17"/>
  <c r="P32" i="17"/>
  <c r="Q32" i="17"/>
  <c r="A33" i="17"/>
  <c r="Z33" i="17" s="1"/>
  <c r="B33" i="17"/>
  <c r="AA33" i="17" s="1"/>
  <c r="C33" i="17"/>
  <c r="AB33" i="17" s="1"/>
  <c r="D33" i="17"/>
  <c r="AC33" i="17" s="1"/>
  <c r="E33" i="17"/>
  <c r="F33" i="17"/>
  <c r="AE33" i="17" s="1"/>
  <c r="G33" i="17"/>
  <c r="AF33" i="17" s="1"/>
  <c r="H33" i="17"/>
  <c r="AG33" i="17" s="1"/>
  <c r="I33" i="17"/>
  <c r="J33" i="17"/>
  <c r="K33" i="17"/>
  <c r="L33" i="17"/>
  <c r="M33" i="17"/>
  <c r="N33" i="17"/>
  <c r="O33" i="17"/>
  <c r="P33" i="17"/>
  <c r="Q33" i="17"/>
  <c r="A34" i="17"/>
  <c r="Z34" i="17" s="1"/>
  <c r="B34" i="17"/>
  <c r="AA34" i="17" s="1"/>
  <c r="C34" i="17"/>
  <c r="D34" i="17"/>
  <c r="AC34" i="17" s="1"/>
  <c r="E34" i="17"/>
  <c r="F34" i="17"/>
  <c r="AE34" i="17" s="1"/>
  <c r="G34" i="17"/>
  <c r="AF34" i="17" s="1"/>
  <c r="H34" i="17"/>
  <c r="I34" i="17"/>
  <c r="J34" i="17"/>
  <c r="K34" i="17"/>
  <c r="L34" i="17"/>
  <c r="M34" i="17"/>
  <c r="N34" i="17"/>
  <c r="O34" i="17"/>
  <c r="P34" i="17"/>
  <c r="Q34" i="17"/>
  <c r="A35" i="17"/>
  <c r="B35" i="17"/>
  <c r="AA35" i="17" s="1"/>
  <c r="C35" i="17"/>
  <c r="D35" i="17"/>
  <c r="AC35" i="17" s="1"/>
  <c r="E35" i="17"/>
  <c r="AD35" i="17" s="1"/>
  <c r="F35" i="17"/>
  <c r="G35" i="17"/>
  <c r="AF35" i="17" s="1"/>
  <c r="H35" i="17"/>
  <c r="AG35" i="17" s="1"/>
  <c r="I35" i="17"/>
  <c r="J35" i="17"/>
  <c r="K35" i="17"/>
  <c r="L35" i="17"/>
  <c r="M35" i="17"/>
  <c r="N35" i="17"/>
  <c r="O35" i="17"/>
  <c r="P35" i="17"/>
  <c r="Q35" i="17"/>
  <c r="A36" i="17"/>
  <c r="B36" i="17"/>
  <c r="AA36" i="17" s="1"/>
  <c r="C36" i="17"/>
  <c r="AB36" i="17" s="1"/>
  <c r="D36" i="17"/>
  <c r="AC36" i="17" s="1"/>
  <c r="E36" i="17"/>
  <c r="F36" i="17"/>
  <c r="AE36" i="17" s="1"/>
  <c r="G36" i="17"/>
  <c r="H36" i="17"/>
  <c r="AG36" i="17" s="1"/>
  <c r="I36" i="17"/>
  <c r="J36" i="17"/>
  <c r="K36" i="17"/>
  <c r="L36" i="17"/>
  <c r="M36" i="17"/>
  <c r="N36" i="17"/>
  <c r="O36" i="17"/>
  <c r="P36" i="17"/>
  <c r="Q36" i="17"/>
  <c r="A37" i="17"/>
  <c r="Z37" i="17" s="1"/>
  <c r="B37" i="17"/>
  <c r="C37" i="17"/>
  <c r="D37" i="17"/>
  <c r="E37" i="17"/>
  <c r="F37" i="17"/>
  <c r="AE37" i="17" s="1"/>
  <c r="G37" i="17"/>
  <c r="AF37" i="17" s="1"/>
  <c r="H37" i="17"/>
  <c r="I37" i="17"/>
  <c r="J37" i="17"/>
  <c r="K37" i="17"/>
  <c r="L37" i="17"/>
  <c r="M37" i="17"/>
  <c r="N37" i="17"/>
  <c r="O37" i="17"/>
  <c r="P37" i="17"/>
  <c r="Q37" i="17"/>
  <c r="A38" i="17"/>
  <c r="B38" i="17"/>
  <c r="AA38" i="17" s="1"/>
  <c r="C38" i="17"/>
  <c r="D38" i="17"/>
  <c r="AC38" i="17" s="1"/>
  <c r="E38" i="17"/>
  <c r="AD38" i="17" s="1"/>
  <c r="F38" i="17"/>
  <c r="AE38" i="17" s="1"/>
  <c r="G38" i="17"/>
  <c r="H38" i="17"/>
  <c r="AG38" i="17" s="1"/>
  <c r="I38" i="17"/>
  <c r="J38" i="17"/>
  <c r="K38" i="17"/>
  <c r="L38" i="17"/>
  <c r="M38" i="17"/>
  <c r="N38" i="17"/>
  <c r="O38" i="17"/>
  <c r="P38" i="17"/>
  <c r="Q38" i="17"/>
  <c r="A39" i="17"/>
  <c r="Z39" i="17" s="1"/>
  <c r="B39" i="17"/>
  <c r="AA39" i="17" s="1"/>
  <c r="C39" i="17"/>
  <c r="AB39" i="17" s="1"/>
  <c r="AJ39" i="17" s="1"/>
  <c r="D39" i="17"/>
  <c r="E39" i="17"/>
  <c r="F39" i="17"/>
  <c r="AE39" i="17" s="1"/>
  <c r="G39" i="17"/>
  <c r="H39" i="17"/>
  <c r="AG39" i="17" s="1"/>
  <c r="I39" i="17"/>
  <c r="J39" i="17"/>
  <c r="K39" i="17"/>
  <c r="L39" i="17"/>
  <c r="M39" i="17"/>
  <c r="N39" i="17"/>
  <c r="O39" i="17"/>
  <c r="P39" i="17"/>
  <c r="Q39" i="17"/>
  <c r="A40" i="17"/>
  <c r="Z40" i="17" s="1"/>
  <c r="B40" i="17"/>
  <c r="AA40" i="17" s="1"/>
  <c r="C40" i="17"/>
  <c r="AB40" i="17" s="1"/>
  <c r="D40" i="17"/>
  <c r="AC40" i="17" s="1"/>
  <c r="E40" i="17"/>
  <c r="F40" i="17"/>
  <c r="AE40" i="17" s="1"/>
  <c r="G40" i="17"/>
  <c r="AF40" i="17" s="1"/>
  <c r="H40" i="17"/>
  <c r="AG40" i="17" s="1"/>
  <c r="I40" i="17"/>
  <c r="J40" i="17"/>
  <c r="K40" i="17"/>
  <c r="L40" i="17"/>
  <c r="M40" i="17"/>
  <c r="N40" i="17"/>
  <c r="O40" i="17"/>
  <c r="P40" i="17"/>
  <c r="Q40" i="17"/>
  <c r="A41" i="17"/>
  <c r="B41" i="17"/>
  <c r="AA41" i="17" s="1"/>
  <c r="C41" i="17"/>
  <c r="AB41" i="17" s="1"/>
  <c r="D41" i="17"/>
  <c r="AC41" i="17" s="1"/>
  <c r="E41" i="17"/>
  <c r="AD41" i="17" s="1"/>
  <c r="F41" i="17"/>
  <c r="G41" i="17"/>
  <c r="H41" i="17"/>
  <c r="I41" i="17"/>
  <c r="J41" i="17"/>
  <c r="K41" i="17"/>
  <c r="L41" i="17"/>
  <c r="M41" i="17"/>
  <c r="N41" i="17"/>
  <c r="O41" i="17"/>
  <c r="P41" i="17"/>
  <c r="Q41" i="17"/>
  <c r="A42" i="17"/>
  <c r="B42" i="17"/>
  <c r="AA42" i="17" s="1"/>
  <c r="AI42" i="17" s="1"/>
  <c r="C42" i="17"/>
  <c r="AB42" i="17" s="1"/>
  <c r="D42" i="17"/>
  <c r="E42" i="17"/>
  <c r="F42" i="17"/>
  <c r="AE42" i="17" s="1"/>
  <c r="G42" i="17"/>
  <c r="H42" i="17"/>
  <c r="AG42" i="17" s="1"/>
  <c r="I42" i="17"/>
  <c r="J42" i="17"/>
  <c r="K42" i="17"/>
  <c r="L42" i="17"/>
  <c r="M42" i="17"/>
  <c r="N42" i="17"/>
  <c r="O42" i="17"/>
  <c r="P42" i="17"/>
  <c r="Q42" i="17"/>
  <c r="X4" i="12"/>
  <c r="Y4" i="12"/>
  <c r="Z4" i="12"/>
  <c r="AA4" i="12"/>
  <c r="AB4" i="12"/>
  <c r="AC4" i="12"/>
  <c r="X5" i="12"/>
  <c r="Y5" i="12"/>
  <c r="Z5" i="12"/>
  <c r="AA5" i="12"/>
  <c r="AB5" i="12"/>
  <c r="AC5" i="12"/>
  <c r="X6" i="12"/>
  <c r="Y6" i="12"/>
  <c r="Z6" i="12"/>
  <c r="AA6" i="12"/>
  <c r="AB6" i="12"/>
  <c r="AC6" i="12"/>
  <c r="X7" i="12"/>
  <c r="Y7" i="12"/>
  <c r="Z7" i="12"/>
  <c r="AA7" i="12"/>
  <c r="AB7" i="12"/>
  <c r="AC7" i="12"/>
  <c r="X8" i="12"/>
  <c r="Y8" i="12"/>
  <c r="Z8" i="12"/>
  <c r="AA8" i="12"/>
  <c r="AB8" i="12"/>
  <c r="AC8" i="12"/>
  <c r="X9" i="12"/>
  <c r="Y9" i="12"/>
  <c r="Z9" i="12"/>
  <c r="AA9" i="12"/>
  <c r="AB9" i="12"/>
  <c r="AC9" i="12"/>
  <c r="X10" i="12"/>
  <c r="Y10" i="12"/>
  <c r="Z10" i="12"/>
  <c r="AA10" i="12"/>
  <c r="AB10" i="12"/>
  <c r="AC10" i="12"/>
  <c r="X11" i="12"/>
  <c r="Y11" i="12"/>
  <c r="Z11" i="12"/>
  <c r="AA11" i="12"/>
  <c r="AB11" i="12"/>
  <c r="AC11" i="12"/>
  <c r="X12" i="12"/>
  <c r="Y12" i="12"/>
  <c r="Z12" i="12"/>
  <c r="AA12" i="12"/>
  <c r="AB12" i="12"/>
  <c r="AC12" i="12"/>
  <c r="X13" i="12"/>
  <c r="Y13" i="12"/>
  <c r="Z13" i="12"/>
  <c r="AA13" i="12"/>
  <c r="AB13" i="12"/>
  <c r="AC13" i="12"/>
  <c r="X14" i="12"/>
  <c r="Y14" i="12"/>
  <c r="Z14" i="12"/>
  <c r="AA14" i="12"/>
  <c r="AB14" i="12"/>
  <c r="AC14" i="12"/>
  <c r="X15" i="12"/>
  <c r="Y15" i="12"/>
  <c r="Z15" i="12"/>
  <c r="AA15" i="12"/>
  <c r="AB15" i="12"/>
  <c r="AC15" i="12"/>
  <c r="X16" i="12"/>
  <c r="Y16" i="12"/>
  <c r="Z16" i="12"/>
  <c r="AA16" i="12"/>
  <c r="AB16" i="12"/>
  <c r="AC16" i="12"/>
  <c r="X17" i="12"/>
  <c r="Y17" i="12"/>
  <c r="Z17" i="12"/>
  <c r="AA17" i="12"/>
  <c r="AB17" i="12"/>
  <c r="AC17" i="12"/>
  <c r="X18" i="12"/>
  <c r="Y18" i="12"/>
  <c r="Z18" i="12"/>
  <c r="AA18" i="12"/>
  <c r="AB18" i="12"/>
  <c r="AC18" i="12"/>
  <c r="X19" i="12"/>
  <c r="Y19" i="12"/>
  <c r="Z19" i="12"/>
  <c r="AA19" i="12"/>
  <c r="AB19" i="12"/>
  <c r="AC19" i="12"/>
  <c r="X20" i="12"/>
  <c r="Y20" i="12"/>
  <c r="Z20" i="12"/>
  <c r="AA20" i="12"/>
  <c r="AB20" i="12"/>
  <c r="AC20" i="12"/>
  <c r="X21" i="12"/>
  <c r="Y21" i="12"/>
  <c r="Z21" i="12"/>
  <c r="AA21" i="12"/>
  <c r="AB21" i="12"/>
  <c r="AC21" i="12"/>
  <c r="X22" i="12"/>
  <c r="Y22" i="12"/>
  <c r="Z22" i="12"/>
  <c r="AA22" i="12"/>
  <c r="AB22" i="12"/>
  <c r="AC22" i="12"/>
  <c r="X23" i="12"/>
  <c r="Y23" i="12"/>
  <c r="Z23" i="12"/>
  <c r="AA23" i="12"/>
  <c r="AB23" i="12"/>
  <c r="AC23" i="12"/>
  <c r="X24" i="12"/>
  <c r="Y24" i="12"/>
  <c r="Z24" i="12"/>
  <c r="AA24" i="12"/>
  <c r="AB24" i="12"/>
  <c r="AC24" i="12"/>
  <c r="X25" i="12"/>
  <c r="Y25" i="12"/>
  <c r="Z25" i="12"/>
  <c r="AA25" i="12"/>
  <c r="AB25" i="12"/>
  <c r="AC25" i="12"/>
  <c r="X26" i="12"/>
  <c r="Y26" i="12"/>
  <c r="Z26" i="12"/>
  <c r="AA26" i="12"/>
  <c r="AB26" i="12"/>
  <c r="AC26" i="12"/>
  <c r="X27" i="12"/>
  <c r="Y27" i="12"/>
  <c r="Z27" i="12"/>
  <c r="AA27" i="12"/>
  <c r="AB27" i="12"/>
  <c r="AC27" i="12"/>
  <c r="X28" i="12"/>
  <c r="Y28" i="12"/>
  <c r="Z28" i="12"/>
  <c r="AA28" i="12"/>
  <c r="AB28" i="12"/>
  <c r="AC28" i="12"/>
  <c r="X29" i="12"/>
  <c r="Y29" i="12"/>
  <c r="Z29" i="12"/>
  <c r="AA29" i="12"/>
  <c r="AB29" i="12"/>
  <c r="AC29" i="12"/>
  <c r="X30" i="12"/>
  <c r="Y30" i="12"/>
  <c r="Z30" i="12"/>
  <c r="AA30" i="12"/>
  <c r="AB30" i="12"/>
  <c r="AC30" i="12"/>
  <c r="X31" i="12"/>
  <c r="Y31" i="12"/>
  <c r="Z31" i="12"/>
  <c r="AA31" i="12"/>
  <c r="AB31" i="12"/>
  <c r="AC31" i="12"/>
  <c r="X32" i="12"/>
  <c r="Y32" i="12"/>
  <c r="Z32" i="12"/>
  <c r="AA32" i="12"/>
  <c r="AB32" i="12"/>
  <c r="AC32" i="12"/>
  <c r="X33" i="12"/>
  <c r="Y33" i="12"/>
  <c r="Z33" i="12"/>
  <c r="AA33" i="12"/>
  <c r="AB33" i="12"/>
  <c r="AC33" i="12"/>
  <c r="X34" i="12"/>
  <c r="Y34" i="12"/>
  <c r="Z34" i="12"/>
  <c r="AA34" i="12"/>
  <c r="AB34" i="12"/>
  <c r="AC34" i="12"/>
  <c r="X35" i="12"/>
  <c r="Y35" i="12"/>
  <c r="Z35" i="12"/>
  <c r="AA35" i="12"/>
  <c r="AB35" i="12"/>
  <c r="AC35" i="12"/>
  <c r="X36" i="12"/>
  <c r="Y36" i="12"/>
  <c r="Z36" i="12"/>
  <c r="AA36" i="12"/>
  <c r="AB36" i="12"/>
  <c r="AC36" i="12"/>
  <c r="X37" i="12"/>
  <c r="Y37" i="12"/>
  <c r="Z37" i="12"/>
  <c r="AA37" i="12"/>
  <c r="AB37" i="12"/>
  <c r="AC37" i="12"/>
  <c r="X38" i="12"/>
  <c r="Y38" i="12"/>
  <c r="Z38" i="12"/>
  <c r="AA38" i="12"/>
  <c r="AB38" i="12"/>
  <c r="AC38" i="12"/>
  <c r="X39" i="12"/>
  <c r="Y39" i="12"/>
  <c r="Z39" i="12"/>
  <c r="AA39" i="12"/>
  <c r="AB39" i="12"/>
  <c r="AC39" i="12"/>
  <c r="X40" i="12"/>
  <c r="Y40" i="12"/>
  <c r="Z40" i="12"/>
  <c r="AA40" i="12"/>
  <c r="AB40" i="12"/>
  <c r="AC40" i="12"/>
  <c r="X41" i="12"/>
  <c r="Y41" i="12"/>
  <c r="Z41" i="12"/>
  <c r="AA41" i="12"/>
  <c r="AB41" i="12"/>
  <c r="AC41" i="12"/>
  <c r="X42" i="12"/>
  <c r="Y42" i="12"/>
  <c r="Z42" i="12"/>
  <c r="AA42" i="12"/>
  <c r="AB42" i="12"/>
  <c r="AC42" i="12"/>
  <c r="H36" i="4"/>
  <c r="I36" i="4"/>
  <c r="J36" i="4"/>
  <c r="K36" i="4"/>
  <c r="L36" i="4"/>
  <c r="M36" i="4"/>
  <c r="H37" i="4"/>
  <c r="I37" i="4"/>
  <c r="J37" i="4"/>
  <c r="K37" i="4"/>
  <c r="L37" i="4"/>
  <c r="M37" i="4"/>
  <c r="H38" i="4"/>
  <c r="I38" i="4"/>
  <c r="J38" i="4"/>
  <c r="K38" i="4"/>
  <c r="L38" i="4"/>
  <c r="M38" i="4"/>
  <c r="H39" i="4"/>
  <c r="I39" i="4"/>
  <c r="J39" i="4"/>
  <c r="K39" i="4"/>
  <c r="L39" i="4"/>
  <c r="M39" i="4"/>
  <c r="H40" i="4"/>
  <c r="I40" i="4"/>
  <c r="J40" i="4"/>
  <c r="K40" i="4"/>
  <c r="L40" i="4"/>
  <c r="M40" i="4"/>
  <c r="H41" i="4"/>
  <c r="I41" i="4"/>
  <c r="J41" i="4"/>
  <c r="K41" i="4"/>
  <c r="L41" i="4"/>
  <c r="M41" i="4"/>
  <c r="H42" i="4"/>
  <c r="I42" i="4"/>
  <c r="J42" i="4"/>
  <c r="K42" i="4"/>
  <c r="L42" i="4"/>
  <c r="M42" i="4"/>
  <c r="H43" i="4"/>
  <c r="I43" i="4"/>
  <c r="J43" i="4"/>
  <c r="K43" i="4"/>
  <c r="L43" i="4"/>
  <c r="M43" i="4"/>
  <c r="H31" i="4"/>
  <c r="I31" i="4"/>
  <c r="J31" i="4"/>
  <c r="K31" i="4"/>
  <c r="L31" i="4"/>
  <c r="M31" i="4"/>
  <c r="H32" i="4"/>
  <c r="I32" i="4"/>
  <c r="J32" i="4"/>
  <c r="K32" i="4"/>
  <c r="L32" i="4"/>
  <c r="M32" i="4"/>
  <c r="H33" i="4"/>
  <c r="I33" i="4"/>
  <c r="J33" i="4"/>
  <c r="K33" i="4"/>
  <c r="L33" i="4"/>
  <c r="M33" i="4"/>
  <c r="H34" i="4"/>
  <c r="I34" i="4"/>
  <c r="J34" i="4"/>
  <c r="K34" i="4"/>
  <c r="L34" i="4"/>
  <c r="M34" i="4"/>
  <c r="H35" i="4"/>
  <c r="I35" i="4"/>
  <c r="J35" i="4"/>
  <c r="K35" i="4"/>
  <c r="L35" i="4"/>
  <c r="M35" i="4"/>
  <c r="H27" i="4"/>
  <c r="I27" i="4"/>
  <c r="J27" i="4"/>
  <c r="K27" i="4"/>
  <c r="L27" i="4"/>
  <c r="M27" i="4"/>
  <c r="H28" i="4"/>
  <c r="I28" i="4"/>
  <c r="J28" i="4"/>
  <c r="K28" i="4"/>
  <c r="L28" i="4"/>
  <c r="M28" i="4"/>
  <c r="H29" i="4"/>
  <c r="I29" i="4"/>
  <c r="J29" i="4"/>
  <c r="K29" i="4"/>
  <c r="L29" i="4"/>
  <c r="M29" i="4"/>
  <c r="H30" i="4"/>
  <c r="I30" i="4"/>
  <c r="J30" i="4"/>
  <c r="K30" i="4"/>
  <c r="L30" i="4"/>
  <c r="M30" i="4"/>
  <c r="H4" i="12"/>
  <c r="H5" i="12"/>
  <c r="H6" i="12"/>
  <c r="H7" i="12"/>
  <c r="H8" i="12"/>
  <c r="H9" i="12"/>
  <c r="H10" i="12"/>
  <c r="H11" i="12"/>
  <c r="H12" i="12"/>
  <c r="H13" i="12"/>
  <c r="H14" i="12"/>
  <c r="H15" i="12"/>
  <c r="H16" i="12"/>
  <c r="H17" i="12"/>
  <c r="H18" i="12"/>
  <c r="H19" i="12"/>
  <c r="H20" i="12"/>
  <c r="H21" i="12"/>
  <c r="H22" i="12"/>
  <c r="H23" i="12"/>
  <c r="H24" i="12"/>
  <c r="H25" i="12"/>
  <c r="H26" i="12"/>
  <c r="H27" i="12"/>
  <c r="H28" i="12"/>
  <c r="H29" i="12"/>
  <c r="H30" i="12"/>
  <c r="H31" i="12"/>
  <c r="H32" i="12"/>
  <c r="H33" i="12"/>
  <c r="H34" i="12"/>
  <c r="H35" i="12"/>
  <c r="H36" i="12"/>
  <c r="H37" i="12"/>
  <c r="H38" i="12"/>
  <c r="H39" i="12"/>
  <c r="H40" i="12"/>
  <c r="H41" i="12"/>
  <c r="H42" i="12"/>
  <c r="H3" i="12"/>
  <c r="D4" i="12"/>
  <c r="D5" i="12"/>
  <c r="D6" i="12"/>
  <c r="D7" i="12"/>
  <c r="D8" i="12"/>
  <c r="D9" i="12"/>
  <c r="D10" i="12"/>
  <c r="D11" i="12"/>
  <c r="D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3" i="12"/>
  <c r="H24" i="4"/>
  <c r="I24" i="4"/>
  <c r="J24" i="4"/>
  <c r="K24" i="4"/>
  <c r="L24" i="4"/>
  <c r="M24" i="4"/>
  <c r="H25" i="4"/>
  <c r="I25" i="4"/>
  <c r="J25" i="4"/>
  <c r="K25" i="4"/>
  <c r="L25" i="4"/>
  <c r="M25" i="4"/>
  <c r="H26" i="4"/>
  <c r="I26" i="4"/>
  <c r="J26" i="4"/>
  <c r="K26" i="4"/>
  <c r="L26" i="4"/>
  <c r="M26" i="4"/>
  <c r="H22" i="4"/>
  <c r="I22" i="4"/>
  <c r="J22" i="4"/>
  <c r="K22" i="4"/>
  <c r="L22" i="4"/>
  <c r="M22" i="4"/>
  <c r="H23" i="4"/>
  <c r="I23" i="4"/>
  <c r="J23" i="4"/>
  <c r="K23" i="4"/>
  <c r="L23" i="4"/>
  <c r="M23" i="4"/>
  <c r="AC3" i="12"/>
  <c r="AB3" i="12"/>
  <c r="AA3" i="12"/>
  <c r="Z3" i="12"/>
  <c r="Y3" i="12"/>
  <c r="X3" i="12"/>
  <c r="H4" i="4"/>
  <c r="I4" i="4"/>
  <c r="J4" i="4"/>
  <c r="K4" i="4"/>
  <c r="L4" i="4"/>
  <c r="M4" i="4"/>
  <c r="H5" i="4"/>
  <c r="I5" i="4"/>
  <c r="J5" i="4"/>
  <c r="K5" i="4"/>
  <c r="L5" i="4"/>
  <c r="M5" i="4"/>
  <c r="H6" i="4"/>
  <c r="I6" i="4"/>
  <c r="J6" i="4"/>
  <c r="K6" i="4"/>
  <c r="L6" i="4"/>
  <c r="M6" i="4"/>
  <c r="H7" i="4"/>
  <c r="I7" i="4"/>
  <c r="J7" i="4"/>
  <c r="K7" i="4"/>
  <c r="L7" i="4"/>
  <c r="M7" i="4"/>
  <c r="H8" i="4"/>
  <c r="I8" i="4"/>
  <c r="J8" i="4"/>
  <c r="K8" i="4"/>
  <c r="L8" i="4"/>
  <c r="M8" i="4"/>
  <c r="H9" i="4"/>
  <c r="I9" i="4"/>
  <c r="J9" i="4"/>
  <c r="K9" i="4"/>
  <c r="L9" i="4"/>
  <c r="M9" i="4"/>
  <c r="H10" i="4"/>
  <c r="I10" i="4"/>
  <c r="J10" i="4"/>
  <c r="K10" i="4"/>
  <c r="L10" i="4"/>
  <c r="M10" i="4"/>
  <c r="H11" i="4"/>
  <c r="I11" i="4"/>
  <c r="J11" i="4"/>
  <c r="K11" i="4"/>
  <c r="L11" i="4"/>
  <c r="M11" i="4"/>
  <c r="H12" i="4"/>
  <c r="I12" i="4"/>
  <c r="J12" i="4"/>
  <c r="K12" i="4"/>
  <c r="L12" i="4"/>
  <c r="M12" i="4"/>
  <c r="H13" i="4"/>
  <c r="I13" i="4"/>
  <c r="J13" i="4"/>
  <c r="K13" i="4"/>
  <c r="L13" i="4"/>
  <c r="M13" i="4"/>
  <c r="H14" i="4"/>
  <c r="I14" i="4"/>
  <c r="J14" i="4"/>
  <c r="K14" i="4"/>
  <c r="L14" i="4"/>
  <c r="M14" i="4"/>
  <c r="H15" i="4"/>
  <c r="I15" i="4"/>
  <c r="J15" i="4"/>
  <c r="K15" i="4"/>
  <c r="L15" i="4"/>
  <c r="M15" i="4"/>
  <c r="H16" i="4"/>
  <c r="I16" i="4"/>
  <c r="J16" i="4"/>
  <c r="K16" i="4"/>
  <c r="L16" i="4"/>
  <c r="M16" i="4"/>
  <c r="H17" i="4"/>
  <c r="I17" i="4"/>
  <c r="J17" i="4"/>
  <c r="K17" i="4"/>
  <c r="L17" i="4"/>
  <c r="M17" i="4"/>
  <c r="H18" i="4"/>
  <c r="I18" i="4"/>
  <c r="J18" i="4"/>
  <c r="K18" i="4"/>
  <c r="L18" i="4"/>
  <c r="M18" i="4"/>
  <c r="H19" i="4"/>
  <c r="I19" i="4"/>
  <c r="J19" i="4"/>
  <c r="K19" i="4"/>
  <c r="L19" i="4"/>
  <c r="M19" i="4"/>
  <c r="H20" i="4"/>
  <c r="I20" i="4"/>
  <c r="J20" i="4"/>
  <c r="K20" i="4"/>
  <c r="L20" i="4"/>
  <c r="M20" i="4"/>
  <c r="H21" i="4"/>
  <c r="I21" i="4"/>
  <c r="J21" i="4"/>
  <c r="K21" i="4"/>
  <c r="L21" i="4"/>
  <c r="M21" i="4"/>
  <c r="M3" i="4"/>
  <c r="L3" i="4"/>
  <c r="K3" i="4"/>
  <c r="J3" i="4"/>
  <c r="I3" i="4"/>
  <c r="H3" i="4"/>
  <c r="AA4" i="19" l="1"/>
  <c r="AL4" i="19"/>
  <c r="AA11" i="19"/>
  <c r="AL11" i="19"/>
  <c r="AA20" i="19"/>
  <c r="AI20" i="19" s="1"/>
  <c r="AL20" i="19"/>
  <c r="AA41" i="19"/>
  <c r="AI41" i="19" s="1"/>
  <c r="AL41" i="19"/>
  <c r="AA27" i="19"/>
  <c r="AI27" i="19" s="1"/>
  <c r="AL27" i="19"/>
  <c r="AA34" i="19"/>
  <c r="AI34" i="19" s="1"/>
  <c r="AL34" i="19"/>
  <c r="AA25" i="19"/>
  <c r="AL25" i="19"/>
  <c r="AA32" i="19"/>
  <c r="AL32" i="19"/>
  <c r="AA39" i="19"/>
  <c r="AL39" i="19"/>
  <c r="AA9" i="19"/>
  <c r="AI9" i="19" s="1"/>
  <c r="AL9" i="19"/>
  <c r="AA16" i="19"/>
  <c r="AL16" i="19"/>
  <c r="AA18" i="19"/>
  <c r="AI18" i="19" s="1"/>
  <c r="AL18" i="19"/>
  <c r="AA23" i="19"/>
  <c r="AL23" i="19"/>
  <c r="AA30" i="19"/>
  <c r="AL30" i="19"/>
  <c r="AA37" i="19"/>
  <c r="AI37" i="19" s="1"/>
  <c r="AL37" i="19"/>
  <c r="AA5" i="19"/>
  <c r="AN7" i="19" s="1"/>
  <c r="AL5" i="19"/>
  <c r="AA12" i="19"/>
  <c r="AI12" i="19" s="1"/>
  <c r="AL12" i="19"/>
  <c r="AA21" i="19"/>
  <c r="AI21" i="19" s="1"/>
  <c r="AL21" i="19"/>
  <c r="AA35" i="19"/>
  <c r="AL35" i="19"/>
  <c r="AA42" i="19"/>
  <c r="AL42" i="19"/>
  <c r="AA6" i="19"/>
  <c r="AL6" i="19"/>
  <c r="AA7" i="19"/>
  <c r="AL7" i="19"/>
  <c r="AA14" i="19"/>
  <c r="AI14" i="19" s="1"/>
  <c r="AL14" i="19"/>
  <c r="AA28" i="19"/>
  <c r="AI28" i="19" s="1"/>
  <c r="AL28" i="19"/>
  <c r="AA33" i="19"/>
  <c r="AL33" i="19"/>
  <c r="AA3" i="19"/>
  <c r="AL3" i="19"/>
  <c r="AA10" i="19"/>
  <c r="AL10" i="19"/>
  <c r="AA19" i="19"/>
  <c r="AI19" i="19" s="1"/>
  <c r="AL19" i="19"/>
  <c r="AA26" i="19"/>
  <c r="AI26" i="19" s="1"/>
  <c r="AL26" i="19"/>
  <c r="AA40" i="19"/>
  <c r="AI40" i="19" s="1"/>
  <c r="AL40" i="19"/>
  <c r="AL17" i="19"/>
  <c r="AA24" i="19"/>
  <c r="AL24" i="19"/>
  <c r="AA31" i="19"/>
  <c r="AI31" i="19" s="1"/>
  <c r="AL31" i="19"/>
  <c r="AA38" i="19"/>
  <c r="AL38" i="19"/>
  <c r="AA8" i="19"/>
  <c r="AL8" i="19"/>
  <c r="AA15" i="19"/>
  <c r="AI15" i="19" s="1"/>
  <c r="AL15" i="19"/>
  <c r="AA13" i="19"/>
  <c r="AI13" i="19" s="1"/>
  <c r="AL13" i="19"/>
  <c r="AA22" i="19"/>
  <c r="AL22" i="19"/>
  <c r="AA29" i="19"/>
  <c r="AL29" i="19"/>
  <c r="AA36" i="19"/>
  <c r="AL36" i="19"/>
  <c r="AO9" i="20"/>
  <c r="AP9" i="20"/>
  <c r="AN11" i="20"/>
  <c r="AN9" i="20"/>
  <c r="AP11" i="20"/>
  <c r="AN4" i="20" a="1"/>
  <c r="AN4" i="20" s="1"/>
  <c r="AN7" i="20" s="1"/>
  <c r="AJ10" i="19"/>
  <c r="AK16" i="19"/>
  <c r="AK34" i="19"/>
  <c r="AK10" i="19"/>
  <c r="AI42" i="19"/>
  <c r="AJ22" i="19"/>
  <c r="AJ3" i="19"/>
  <c r="AI32" i="19"/>
  <c r="AI17" i="19"/>
  <c r="AJ34" i="19"/>
  <c r="AK22" i="19"/>
  <c r="AK12" i="19"/>
  <c r="AI24" i="19"/>
  <c r="AK28" i="19"/>
  <c r="AI36" i="19"/>
  <c r="AK40" i="19"/>
  <c r="AK24" i="19"/>
  <c r="AJ7" i="19"/>
  <c r="AI8" i="19"/>
  <c r="AI10" i="19"/>
  <c r="AK15" i="19"/>
  <c r="AI22" i="19"/>
  <c r="AK27" i="19"/>
  <c r="AK39" i="19"/>
  <c r="AK19" i="19"/>
  <c r="AK31" i="19"/>
  <c r="AI39" i="19"/>
  <c r="AJ5" i="19"/>
  <c r="AK18" i="19"/>
  <c r="AK30" i="19"/>
  <c r="AK42" i="19"/>
  <c r="AK7" i="19"/>
  <c r="AI29" i="19"/>
  <c r="AK36" i="19"/>
  <c r="AI11" i="19"/>
  <c r="AI23" i="19"/>
  <c r="AI25" i="19"/>
  <c r="AI35" i="19"/>
  <c r="AK5" i="19"/>
  <c r="AI30" i="19"/>
  <c r="AT4" i="19" a="1"/>
  <c r="AT4" i="19" s="1"/>
  <c r="AK9" i="19"/>
  <c r="AI16" i="19"/>
  <c r="AK21" i="19"/>
  <c r="AK33" i="19"/>
  <c r="AI38" i="19"/>
  <c r="AJ16" i="19"/>
  <c r="AJ28" i="19"/>
  <c r="AJ40" i="19"/>
  <c r="AK13" i="19"/>
  <c r="AK25" i="19"/>
  <c r="AI33" i="19"/>
  <c r="AK37" i="19"/>
  <c r="AK14" i="19"/>
  <c r="AK26" i="19"/>
  <c r="AI3" i="19"/>
  <c r="AK6" i="19"/>
  <c r="AK17" i="19"/>
  <c r="AJ19" i="19"/>
  <c r="AK29" i="19"/>
  <c r="AJ31" i="19"/>
  <c r="AK41" i="19"/>
  <c r="AI7" i="19"/>
  <c r="AJ11" i="19"/>
  <c r="AJ15" i="19"/>
  <c r="AJ23" i="19"/>
  <c r="AJ27" i="19"/>
  <c r="AJ35" i="19"/>
  <c r="AJ39" i="19"/>
  <c r="AR4" i="19" a="1"/>
  <c r="AR4" i="19" s="1"/>
  <c r="AJ4" i="19"/>
  <c r="AK8" i="19"/>
  <c r="AK20" i="19"/>
  <c r="AK32" i="19"/>
  <c r="AJ42" i="19"/>
  <c r="AK4" i="19"/>
  <c r="AJ14" i="19"/>
  <c r="AJ18" i="19"/>
  <c r="AJ26" i="19"/>
  <c r="AJ30" i="19"/>
  <c r="AJ38" i="19"/>
  <c r="AI6" i="19"/>
  <c r="AQ4" i="19" a="1"/>
  <c r="AQ4" i="19" s="1"/>
  <c r="AI5" i="19"/>
  <c r="AK11" i="19"/>
  <c r="AJ13" i="19"/>
  <c r="AK23" i="19"/>
  <c r="AJ25" i="19"/>
  <c r="AK35" i="19"/>
  <c r="AJ37" i="19"/>
  <c r="AU4" i="19" a="1"/>
  <c r="AU4" i="19" s="1"/>
  <c r="AS4" i="19" a="1"/>
  <c r="AS4" i="19" s="1"/>
  <c r="AJ9" i="19"/>
  <c r="AJ17" i="19"/>
  <c r="AJ21" i="19"/>
  <c r="AJ29" i="19"/>
  <c r="AJ33" i="19"/>
  <c r="AJ41" i="19"/>
  <c r="AK38" i="19"/>
  <c r="AI4" i="19"/>
  <c r="AJ6" i="19"/>
  <c r="AJ8" i="19"/>
  <c r="AJ12" i="19"/>
  <c r="AJ20" i="19"/>
  <c r="AJ24" i="19"/>
  <c r="AJ32" i="19"/>
  <c r="AJ36" i="19"/>
  <c r="AP4" i="19" a="1"/>
  <c r="AP4" i="19" s="1"/>
  <c r="AP7" i="19" s="1"/>
  <c r="AO4" i="19" a="1"/>
  <c r="AO4" i="19" s="1"/>
  <c r="AO7" i="19" s="1"/>
  <c r="AK3" i="19"/>
  <c r="AI29" i="17"/>
  <c r="AH18" i="17"/>
  <c r="AH34" i="17"/>
  <c r="AI7" i="17"/>
  <c r="AI3" i="17"/>
  <c r="AJ14" i="17"/>
  <c r="AH12" i="17"/>
  <c r="AH10" i="17"/>
  <c r="AI5" i="17"/>
  <c r="AJ5" i="17"/>
  <c r="AI41" i="17"/>
  <c r="AJ36" i="17"/>
  <c r="AH36" i="17"/>
  <c r="AJ41" i="17"/>
  <c r="AH27" i="17"/>
  <c r="AH15" i="17"/>
  <c r="AH24" i="17"/>
  <c r="AH11" i="17"/>
  <c r="AH9" i="17"/>
  <c r="AJ38" i="17"/>
  <c r="AH33" i="17"/>
  <c r="AJ42" i="17"/>
  <c r="AH40" i="17"/>
  <c r="AH28" i="17"/>
  <c r="AJ22" i="17"/>
  <c r="AJ18" i="17"/>
  <c r="AH16" i="17"/>
  <c r="AI15" i="17"/>
  <c r="AI11" i="17"/>
  <c r="AJ6" i="17"/>
  <c r="AH4" i="17"/>
  <c r="AH21" i="17"/>
  <c r="AH6" i="17"/>
  <c r="AJ20" i="17"/>
  <c r="AJ12" i="17"/>
  <c r="AI25" i="17"/>
  <c r="AH20" i="17"/>
  <c r="AI13" i="17"/>
  <c r="AH37" i="17"/>
  <c r="AI32" i="17"/>
  <c r="AI20" i="17"/>
  <c r="AI8" i="17"/>
  <c r="AJ37" i="17"/>
  <c r="AJ32" i="17"/>
  <c r="AI39" i="17"/>
  <c r="AI27" i="17"/>
  <c r="AI37" i="17"/>
  <c r="AH32" i="17"/>
  <c r="AH39" i="17"/>
  <c r="AI40" i="17"/>
  <c r="AI28" i="17"/>
  <c r="AI16" i="17"/>
  <c r="AI35" i="17"/>
  <c r="AJ34" i="17"/>
  <c r="AH42" i="17"/>
  <c r="AI30" i="17"/>
  <c r="AH30" i="17"/>
  <c r="AJ30" i="17"/>
  <c r="AJ26" i="17"/>
  <c r="AH25" i="17"/>
  <c r="AJ24" i="17"/>
  <c r="AI23" i="17"/>
  <c r="AN4" i="17" a="1"/>
  <c r="AN4" i="17" s="1"/>
  <c r="AI4" i="17"/>
  <c r="AL4" i="17" a="1"/>
  <c r="AL4" i="17" s="1"/>
  <c r="AQ4" i="17" a="1"/>
  <c r="AQ4" i="17" s="1"/>
  <c r="AH38" i="17"/>
  <c r="AH26" i="17"/>
  <c r="AJ11" i="17"/>
  <c r="AH14" i="17"/>
  <c r="AM4" i="17" a="1"/>
  <c r="AM4" i="17" s="1"/>
  <c r="AJ3" i="17"/>
  <c r="AH41" i="17"/>
  <c r="AH29" i="17"/>
  <c r="AI34" i="17"/>
  <c r="AI22" i="17"/>
  <c r="AI10" i="17"/>
  <c r="AH3" i="17"/>
  <c r="AK4" i="17" a="1"/>
  <c r="AK4" i="17" s="1"/>
  <c r="AH17" i="17"/>
  <c r="AJ13" i="17"/>
  <c r="AI12" i="17"/>
  <c r="AJ7" i="17"/>
  <c r="AI31" i="17"/>
  <c r="AI19" i="17"/>
  <c r="AJ8" i="17"/>
  <c r="AP4" i="17" a="1"/>
  <c r="AP4" i="17" s="1"/>
  <c r="AI36" i="17"/>
  <c r="AJ31" i="17"/>
  <c r="AI24" i="17"/>
  <c r="AJ19" i="17"/>
  <c r="AO4" i="17" a="1"/>
  <c r="AO4" i="17" s="1"/>
  <c r="AI38" i="17"/>
  <c r="AJ33" i="17"/>
  <c r="AH31" i="17"/>
  <c r="AI26" i="17"/>
  <c r="AJ21" i="17"/>
  <c r="AH19" i="17"/>
  <c r="AI14" i="17"/>
  <c r="AJ9" i="17"/>
  <c r="AH7" i="17"/>
  <c r="AJ35" i="17"/>
  <c r="AJ23" i="17"/>
  <c r="AH8" i="17"/>
  <c r="AH5" i="17"/>
  <c r="AJ40" i="17"/>
  <c r="AI33" i="17"/>
  <c r="AJ28" i="17"/>
  <c r="AI21" i="17"/>
  <c r="AJ16" i="17"/>
  <c r="AI9" i="17"/>
  <c r="AJ4" i="17"/>
  <c r="AR4" i="17" a="1"/>
  <c r="AR4" i="17" s="1"/>
  <c r="AH35" i="17"/>
  <c r="AH23" i="17"/>
  <c r="AN11" i="19" l="1"/>
  <c r="AO9" i="19"/>
  <c r="AP11" i="19"/>
  <c r="AN9" i="19"/>
  <c r="AP9" i="19"/>
  <c r="AO11" i="19"/>
  <c r="AM7" i="17"/>
  <c r="AK7" i="17"/>
  <c r="AL7" i="1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<sst xmlns="http://schemas.openxmlformats.org/spreadsheetml/2006/main" count="278" uniqueCount="43">
  <si>
    <t>Fx (N)</t>
  </si>
  <si>
    <t>Fy (N)</t>
  </si>
  <si>
    <t>Fz (N)</t>
  </si>
  <si>
    <t>Tx (Nm)</t>
  </si>
  <si>
    <t>Ty (Nm)</t>
  </si>
  <si>
    <t>Tz(Nm)</t>
  </si>
  <si>
    <t>6-Axis FT Sensor</t>
  </si>
  <si>
    <t>SoRoSim get_distal_value</t>
  </si>
  <si>
    <t>tau1 (N)</t>
  </si>
  <si>
    <t>tau2 (N)</t>
  </si>
  <si>
    <t>tau3 (N)</t>
  </si>
  <si>
    <t>Ground Truth</t>
  </si>
  <si>
    <t>SoRoSim get_proximal_value</t>
  </si>
  <si>
    <t>Distal Errors</t>
  </si>
  <si>
    <t>Proximal Errors</t>
  </si>
  <si>
    <t>Fx</t>
  </si>
  <si>
    <t>Fy</t>
  </si>
  <si>
    <t>Fz</t>
  </si>
  <si>
    <t>Tx</t>
  </si>
  <si>
    <t>Ty</t>
  </si>
  <si>
    <t>Tz</t>
  </si>
  <si>
    <t>Raw Data</t>
  </si>
  <si>
    <t>Converted</t>
  </si>
  <si>
    <t>F1 (N)</t>
  </si>
  <si>
    <t>s1 (m)</t>
  </si>
  <si>
    <t>el1 (rad)</t>
  </si>
  <si>
    <t>F2 (N)</t>
  </si>
  <si>
    <t>s2 (m)</t>
  </si>
  <si>
    <t>el2 (rad)</t>
  </si>
  <si>
    <t>az1 (rad)</t>
  </si>
  <si>
    <t>az2 (rad)</t>
  </si>
  <si>
    <t>Absolute Mean Error</t>
  </si>
  <si>
    <t>Absolute Mean Error (Across Both Forces)</t>
  </si>
  <si>
    <t>force_error</t>
  </si>
  <si>
    <t>position_error</t>
  </si>
  <si>
    <t>angle_error</t>
  </si>
  <si>
    <t>Stats</t>
  </si>
  <si>
    <t>f_final</t>
  </si>
  <si>
    <t>min_f</t>
  </si>
  <si>
    <t>with 0.1 cuttof</t>
  </si>
  <si>
    <t>with 0.2 cuttof</t>
  </si>
  <si>
    <t>get_proximal_value</t>
  </si>
  <si>
    <t>0.2 cutoof + no close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</si>
</sst>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000"/>
    <numFmt numFmtId="166" formatCode="0.00000"/>
  </numFmts>
  <fonts count="6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B1BDF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6D6D"/>
        <bgColor indexed="64"/>
      </patternFill>
    </fill>
    <fill>
      <patternFill patternType="solid">
        <fgColor theme="5" tint="0.59999389629810485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3" fillId="9" borderId="0" applyNumberFormat="0" applyBorder="0" applyAlignment="0" applyProtection="0"/>
  </cellStyleXfs>
  <cellXfs count="51">
    <xf numFmtId="0" fontId="0" fillId="0" borderId="0" xfId="0"/>
    <xf numFmtId="0" fontId="2" fillId="6" borderId="1" xfId="0" applyFont="1" applyFill="1" applyBorder="1"/>
    <xf numFmtId="0" fontId="2" fillId="6" borderId="8" xfId="0" applyFont="1" applyFill="1" applyBorder="1"/>
    <xf numFmtId="0" fontId="2" fillId="6" borderId="5" xfId="0" applyFont="1" applyFill="1" applyBorder="1"/>
    <xf numFmtId="11" fontId="0" fillId="0" borderId="0" xfId="0" applyNumberFormat="1"/>
    <xf numFmtId="0" fontId="0" fillId="6" borderId="0" xfId="0" applyFill="1"/>
    <xf numFmtId="164" fontId="1" fillId="8" borderId="1" xfId="0" applyNumberFormat="1" applyFont="1" applyFill="1" applyBorder="1"/>
    <xf numFmtId="165" fontId="1" fillId="8" borderId="1" xfId="0" applyNumberFormat="1" applyFont="1" applyFill="1" applyBorder="1"/>
    <xf numFmtId="164" fontId="5" fillId="8" borderId="1" xfId="0" applyNumberFormat="1" applyFont="1" applyFill="1" applyBorder="1"/>
    <xf numFmtId="2" fontId="5" fillId="8" borderId="1" xfId="0" applyNumberFormat="1" applyFont="1" applyFill="1" applyBorder="1"/>
    <xf numFmtId="164" fontId="3" fillId="9" borderId="1" xfId="1" applyNumberFormat="1" applyBorder="1"/>
    <xf numFmtId="2" fontId="3" fillId="9" borderId="1" xfId="1" applyNumberFormat="1" applyBorder="1"/>
    <xf numFmtId="164" fontId="5" fillId="8" borderId="2" xfId="0" applyNumberFormat="1" applyFont="1" applyFill="1" applyBorder="1"/>
    <xf numFmtId="2" fontId="3" fillId="9" borderId="12" xfId="1" applyNumberFormat="1" applyBorder="1"/>
    <xf numFmtId="164" fontId="3" fillId="9" borderId="12" xfId="1" applyNumberFormat="1" applyBorder="1"/>
    <xf numFmtId="164" fontId="5" fillId="8" borderId="12" xfId="0" applyNumberFormat="1" applyFont="1" applyFill="1" applyBorder="1"/>
    <xf numFmtId="2" fontId="5" fillId="8" borderId="0" xfId="0" applyNumberFormat="1" applyFont="1" applyFill="1"/>
    <xf numFmtId="164" fontId="5" fillId="8" borderId="0" xfId="0" applyNumberFormat="1" applyFont="1" applyFill="1"/>
    <xf numFmtId="164" fontId="1" fillId="8" borderId="0" xfId="0" applyNumberFormat="1" applyFont="1" applyFill="1"/>
    <xf numFmtId="165" fontId="1" fillId="8" borderId="0" xfId="0" applyNumberFormat="1" applyFont="1" applyFill="1"/>
    <xf numFmtId="0" fontId="4" fillId="6" borderId="1" xfId="0" applyFont="1" applyFill="1" applyBorder="1"/>
    <xf numFmtId="0" fontId="0" fillId="0" borderId="1" xfId="0" applyBorder="1"/>
    <xf numFmtId="166" fontId="5" fillId="8" borderId="1" xfId="0" applyNumberFormat="1" applyFont="1" applyFill="1" applyBorder="1"/>
    <xf numFmtId="166" fontId="5" fillId="8" borderId="13" xfId="0" applyNumberFormat="1" applyFont="1" applyFill="1" applyBorder="1"/>
    <xf numFmtId="0" fontId="2" fillId="4" borderId="6" xfId="0" applyFont="1" applyFill="1" applyBorder="1" applyAlignment="1">
      <alignment horizontal="center"/>
    </xf>
    <xf numFmtId="0" fontId="2" fillId="4" borderId="10" xfId="0" applyFont="1" applyFill="1" applyBorder="1"/>
    <xf numFmtId="0" fontId="2" fillId="4" borderId="6" xfId="0" applyFont="1" applyFill="1" applyBorder="1"/>
    <xf numFmtId="166" fontId="0" fillId="0" borderId="1" xfId="0" applyNumberFormat="1" applyBorder="1"/>
    <xf numFmtId="165" fontId="5" fillId="8" borderId="1" xfId="0" applyNumberFormat="1" applyFont="1" applyFill="1" applyBorder="1"/>
    <xf numFmtId="165" fontId="5" fillId="8" borderId="12" xfId="0" applyNumberFormat="1" applyFont="1" applyFill="1" applyBorder="1"/>
    <xf numFmtId="166" fontId="0" fillId="0" borderId="0" xfId="0" applyNumberFormat="1"/>
    <xf numFmtId="166" fontId="5" fillId="8" borderId="0" xfId="0" applyNumberFormat="1" applyFont="1" applyFill="1"/>
    <xf numFmtId="0" fontId="2" fillId="2" borderId="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3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4" fillId="10" borderId="6" xfId="0" applyFont="1" applyFill="1" applyBorder="1" applyAlignment="1">
      <alignment horizontal="center"/>
    </xf>
    <xf numFmtId="0" fontId="4" fillId="7" borderId="0" xfId="0" applyFont="1" applyFill="1" applyAlignment="1">
      <alignment horizontal="center"/>
    </xf>
    <xf numFmtId="0" fontId="2" fillId="11" borderId="3" xfId="0" applyFont="1" applyFill="1" applyBorder="1" applyAlignment="1">
      <alignment horizontal="center"/>
    </xf>
    <xf numFmtId="0" fontId="2" fillId="11" borderId="4" xfId="0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6" borderId="8" xfId="0" applyFont="1" applyFill="1" applyBorder="1" applyAlignment="1">
      <alignment horizontal="center"/>
    </xf>
  </cellXfs>
  <cellStyles count="2">
    <cellStyle name="Good" xfId="1" builtinId="26"/>
    <cellStyle name="Normal" xfId="0" builtinId="0"/>
  </cellStyles>
  <dxfs count="0"/>
  <tableStyles count="0" defaultTableStyle="TableStyleMedium2" defaultPivotStyle="PivotStyleLight16"/>
  <colors>
    <mruColors>
      <color rgb="FFB1BDF9"/>
      <color rgb="FFFF6D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3EDC-8536-442D-A8D3-F37978D4DE80}">
  <dimension ref="A1:AC52"/>
  <sheetViews>
    <sheetView topLeftCell="B12" workbookViewId="0">
      <selection activeCell="R3" sqref="R3:W42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8.7109375" bestFit="1" customWidth="1"/>
    <col min="4" max="4" width="9.42578125" bestFit="1" customWidth="1"/>
    <col min="5" max="5" width="6.5703125" bestFit="1" customWidth="1"/>
    <col min="6" max="6" width="6.85546875" bestFit="1" customWidth="1"/>
    <col min="7" max="7" width="8.7109375" bestFit="1" customWidth="1"/>
    <col min="8" max="8" width="9.42578125" bestFit="1" customWidth="1"/>
    <col min="9" max="11" width="8.42578125" bestFit="1" customWidth="1"/>
    <col min="12" max="13" width="8.140625" bestFit="1" customWidth="1"/>
    <col min="14" max="14" width="7.7109375" bestFit="1" customWidth="1"/>
    <col min="15" max="17" width="6.42578125" bestFit="1" customWidth="1"/>
    <col min="18" max="19" width="8.140625" bestFit="1" customWidth="1"/>
    <col min="20" max="20" width="7.7109375" bestFit="1" customWidth="1"/>
    <col min="21" max="23" width="6.42578125" bestFit="1" customWidth="1"/>
    <col min="24" max="25" width="8.140625" bestFit="1" customWidth="1"/>
    <col min="26" max="26" width="7.7109375" bestFit="1" customWidth="1"/>
    <col min="27" max="29" width="7.28515625" bestFit="1" customWidth="1"/>
  </cols>
  <sheetData>
    <row r="1" spans="1:29" ht="15.75" x14ac:dyDescent="0.25">
      <c r="A1" s="32" t="s">
        <v>11</v>
      </c>
      <c r="B1" s="32"/>
      <c r="C1" s="32"/>
      <c r="D1" s="32"/>
      <c r="E1" s="32"/>
      <c r="F1" s="32"/>
      <c r="G1" s="32"/>
      <c r="H1" s="32"/>
      <c r="I1" s="32"/>
      <c r="J1" s="32"/>
      <c r="K1" s="33"/>
      <c r="L1" s="34" t="s">
        <v>6</v>
      </c>
      <c r="M1" s="35"/>
      <c r="N1" s="35"/>
      <c r="O1" s="35"/>
      <c r="P1" s="35"/>
      <c r="Q1" s="35"/>
      <c r="R1" s="36" t="s">
        <v>12</v>
      </c>
      <c r="S1" s="37"/>
      <c r="T1" s="37"/>
      <c r="U1" s="37"/>
      <c r="V1" s="37"/>
      <c r="W1" s="37"/>
      <c r="X1" s="38" t="s">
        <v>14</v>
      </c>
      <c r="Y1" s="39"/>
      <c r="Z1" s="39"/>
      <c r="AA1" s="39"/>
      <c r="AB1" s="39"/>
      <c r="AC1" s="40"/>
    </row>
    <row r="2" spans="1:29" ht="15.75" x14ac:dyDescent="0.25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3</v>
      </c>
      <c r="S2" s="1" t="s">
        <v>4</v>
      </c>
      <c r="T2" s="1" t="s">
        <v>5</v>
      </c>
      <c r="U2" s="1" t="s">
        <v>0</v>
      </c>
      <c r="V2" s="1" t="s">
        <v>1</v>
      </c>
      <c r="W2" s="1" t="s">
        <v>2</v>
      </c>
      <c r="X2" s="1" t="s">
        <v>3</v>
      </c>
      <c r="Y2" s="1" t="s">
        <v>4</v>
      </c>
      <c r="Z2" s="1" t="s">
        <v>5</v>
      </c>
      <c r="AA2" s="1" t="s">
        <v>0</v>
      </c>
      <c r="AB2" s="1" t="s">
        <v>1</v>
      </c>
      <c r="AC2" s="1" t="s">
        <v>2</v>
      </c>
    </row>
    <row r="3" spans="1:29" x14ac:dyDescent="0.25">
      <c r="A3" s="10">
        <v>0.2</v>
      </c>
      <c r="B3" s="10">
        <v>0.1</v>
      </c>
      <c r="C3" s="10">
        <v>1.571</v>
      </c>
      <c r="D3" s="10">
        <f>PI()/2</f>
        <v>1.5707963267948966</v>
      </c>
      <c r="E3" s="10">
        <v>1</v>
      </c>
      <c r="F3" s="10">
        <v>0.04</v>
      </c>
      <c r="G3" s="10">
        <v>3.1419999999999999</v>
      </c>
      <c r="H3" s="10">
        <f>PI()/2</f>
        <v>1.5707963267948966</v>
      </c>
      <c r="I3" s="10">
        <v>1.4</v>
      </c>
      <c r="J3" s="10">
        <v>0</v>
      </c>
      <c r="K3" s="10">
        <v>0</v>
      </c>
      <c r="L3" s="8">
        <v>-8.4695406258106205E-5</v>
      </c>
      <c r="M3" s="8">
        <v>-1.1448631994426301E-2</v>
      </c>
      <c r="N3" s="8">
        <v>-0.13048847019672399</v>
      </c>
      <c r="O3" s="8">
        <v>1.8870793282985701E-2</v>
      </c>
      <c r="P3" s="8">
        <v>-0.97202777862548795</v>
      </c>
      <c r="Q3" s="8">
        <v>2.9205024242401099E-2</v>
      </c>
      <c r="R3" s="8">
        <v>6.9999999999999999E-4</v>
      </c>
      <c r="S3" s="8">
        <v>-3.7900000000000003E-2</v>
      </c>
      <c r="T3" s="8">
        <v>-0.12970000000000001</v>
      </c>
      <c r="U3" s="8">
        <v>-3.3599999999999998E-2</v>
      </c>
      <c r="V3" s="8">
        <v>-0.99970000000000003</v>
      </c>
      <c r="W3" s="8">
        <v>0.1988</v>
      </c>
      <c r="X3" s="8">
        <f t="shared" ref="X3:AC3" si="0">ABS(L3-R3)</f>
        <v>7.8469540625810622E-4</v>
      </c>
      <c r="Y3" s="8">
        <f t="shared" si="0"/>
        <v>2.6451368005573704E-2</v>
      </c>
      <c r="Z3" s="8">
        <f t="shared" si="0"/>
        <v>7.8847019672398377E-4</v>
      </c>
      <c r="AA3" s="8">
        <f t="shared" si="0"/>
        <v>5.2470793282985699E-2</v>
      </c>
      <c r="AB3" s="8">
        <f t="shared" si="0"/>
        <v>2.7672221374512085E-2</v>
      </c>
      <c r="AC3" s="8">
        <f t="shared" si="0"/>
        <v>0.16959497575759891</v>
      </c>
    </row>
    <row r="4" spans="1:29" s="5" customFormat="1" x14ac:dyDescent="0.25">
      <c r="A4" s="10">
        <v>1</v>
      </c>
      <c r="B4" s="10">
        <v>0.1</v>
      </c>
      <c r="C4" s="10">
        <v>1.571</v>
      </c>
      <c r="D4" s="10">
        <f t="shared" ref="D4:D42" si="1">PI()/2</f>
        <v>1.5707963267948966</v>
      </c>
      <c r="E4" s="10">
        <v>1</v>
      </c>
      <c r="F4" s="10">
        <v>0.08</v>
      </c>
      <c r="G4" s="10">
        <v>3.1419999999999999</v>
      </c>
      <c r="H4" s="10">
        <f t="shared" ref="H4:H42" si="2">PI()/2</f>
        <v>1.5707963267948966</v>
      </c>
      <c r="I4" s="10">
        <v>0</v>
      </c>
      <c r="J4" s="10">
        <v>0</v>
      </c>
      <c r="K4" s="10">
        <v>0</v>
      </c>
      <c r="L4" s="8">
        <v>-1.30488071590662E-3</v>
      </c>
      <c r="M4" s="8">
        <v>-0.187399536371231</v>
      </c>
      <c r="N4" s="8">
        <v>-0.148506805300713</v>
      </c>
      <c r="O4" s="8">
        <v>-0.458716601133347</v>
      </c>
      <c r="P4" s="8">
        <v>-0.81002575159072898</v>
      </c>
      <c r="Q4" s="8">
        <v>0.92483174800872803</v>
      </c>
      <c r="R4" s="8">
        <v>0</v>
      </c>
      <c r="S4" s="8">
        <v>-0.18540000000000001</v>
      </c>
      <c r="T4" s="8">
        <v>-0.16669999999999999</v>
      </c>
      <c r="U4" s="8">
        <v>-0.37630000000000002</v>
      </c>
      <c r="V4" s="8">
        <v>-0.96960000000000002</v>
      </c>
      <c r="W4" s="8">
        <v>0.95799999999999996</v>
      </c>
      <c r="X4" s="8">
        <f t="shared" ref="X4:X42" si="3">ABS(L4-R4)</f>
        <v>1.30488071590662E-3</v>
      </c>
      <c r="Y4" s="8">
        <f t="shared" ref="Y4:Y42" si="4">ABS(M4-S4)</f>
        <v>1.9995363712309866E-3</v>
      </c>
      <c r="Z4" s="8">
        <f t="shared" ref="Z4:Z42" si="5">ABS(N4-T4)</f>
        <v>1.8193194699286985E-2</v>
      </c>
      <c r="AA4" s="8">
        <f t="shared" ref="AA4:AA42" si="6">ABS(O4-U4)</f>
        <v>8.2416601133346978E-2</v>
      </c>
      <c r="AB4" s="8">
        <f t="shared" ref="AB4:AB42" si="7">ABS(P4-V4)</f>
        <v>0.15957424840927104</v>
      </c>
      <c r="AC4" s="8">
        <f t="shared" ref="AC4:AC42" si="8">ABS(Q4-W4)</f>
        <v>3.3168251991271935E-2</v>
      </c>
    </row>
    <row r="5" spans="1:29" x14ac:dyDescent="0.25">
      <c r="A5" s="10">
        <v>0.5</v>
      </c>
      <c r="B5" s="10">
        <v>0.1</v>
      </c>
      <c r="C5" s="10">
        <v>1.571</v>
      </c>
      <c r="D5" s="10">
        <f t="shared" si="1"/>
        <v>1.5707963267948966</v>
      </c>
      <c r="E5" s="10">
        <v>0.2</v>
      </c>
      <c r="F5" s="10">
        <v>0.02</v>
      </c>
      <c r="G5" s="10">
        <v>3.927</v>
      </c>
      <c r="H5" s="10">
        <f t="shared" si="2"/>
        <v>1.5707963267948966</v>
      </c>
      <c r="I5" s="10">
        <v>0</v>
      </c>
      <c r="J5" s="10">
        <v>0</v>
      </c>
      <c r="K5" s="10">
        <v>0</v>
      </c>
      <c r="L5" s="8">
        <v>-8.8173459516838206E-5</v>
      </c>
      <c r="M5" s="8">
        <v>-9.0249709784984603E-2</v>
      </c>
      <c r="N5" s="8">
        <v>-1.5381614677607999E-2</v>
      </c>
      <c r="O5" s="8">
        <v>-5.9044521301984801E-2</v>
      </c>
      <c r="P5" s="8">
        <v>-0.142551720142365</v>
      </c>
      <c r="Q5" s="8">
        <v>0.403866738080978</v>
      </c>
      <c r="R5" s="8">
        <v>0</v>
      </c>
      <c r="S5" s="8">
        <v>-7.9200000000000007E-2</v>
      </c>
      <c r="T5" s="8">
        <v>-1.55E-2</v>
      </c>
      <c r="U5" s="8">
        <v>-5.21E-2</v>
      </c>
      <c r="V5" s="8">
        <v>-0.14149999999999999</v>
      </c>
      <c r="W5" s="8">
        <v>0.35539999999999999</v>
      </c>
      <c r="X5" s="8">
        <f t="shared" si="3"/>
        <v>8.8173459516838206E-5</v>
      </c>
      <c r="Y5" s="8">
        <f t="shared" si="4"/>
        <v>1.1049709784984596E-2</v>
      </c>
      <c r="Z5" s="8">
        <f t="shared" si="5"/>
        <v>1.1838532239200061E-4</v>
      </c>
      <c r="AA5" s="8">
        <f t="shared" si="6"/>
        <v>6.9445213019848004E-3</v>
      </c>
      <c r="AB5" s="8">
        <f t="shared" si="7"/>
        <v>1.0517201423650147E-3</v>
      </c>
      <c r="AC5" s="8">
        <f t="shared" si="8"/>
        <v>4.8466738080978011E-2</v>
      </c>
    </row>
    <row r="6" spans="1:29" x14ac:dyDescent="0.25">
      <c r="A6" s="10">
        <v>0.9</v>
      </c>
      <c r="B6" s="10">
        <v>0.1</v>
      </c>
      <c r="C6" s="10">
        <v>1.571</v>
      </c>
      <c r="D6" s="10">
        <f t="shared" si="1"/>
        <v>1.5707963267948966</v>
      </c>
      <c r="E6" s="10">
        <v>0.2</v>
      </c>
      <c r="F6" s="10">
        <v>0.08</v>
      </c>
      <c r="G6" s="10">
        <v>4.7119999999999997</v>
      </c>
      <c r="H6" s="10">
        <f t="shared" si="2"/>
        <v>1.5707963267948966</v>
      </c>
      <c r="I6" s="10">
        <v>1.2</v>
      </c>
      <c r="J6" s="10">
        <v>0</v>
      </c>
      <c r="K6" s="10">
        <v>0</v>
      </c>
      <c r="L6" s="8">
        <v>4.0645110420882702E-3</v>
      </c>
      <c r="M6" s="8">
        <v>-0.155094370245934</v>
      </c>
      <c r="N6" s="8">
        <v>1.12637248821557E-3</v>
      </c>
      <c r="O6" s="8">
        <v>-0.22939644753933</v>
      </c>
      <c r="P6" s="8">
        <v>6.2979459762573199E-3</v>
      </c>
      <c r="Q6" s="8">
        <v>0.75826400518417403</v>
      </c>
      <c r="R6" s="8">
        <v>1.5E-3</v>
      </c>
      <c r="S6" s="8">
        <v>-0.1353</v>
      </c>
      <c r="T6" s="8">
        <v>-2.0000000000000001E-4</v>
      </c>
      <c r="U6" s="8">
        <v>-0.14380000000000001</v>
      </c>
      <c r="V6" s="8">
        <v>-2.3999999999999998E-3</v>
      </c>
      <c r="W6" s="8">
        <v>0.68510000000000004</v>
      </c>
      <c r="X6" s="8">
        <f t="shared" si="3"/>
        <v>2.5645110420882702E-3</v>
      </c>
      <c r="Y6" s="8">
        <f t="shared" si="4"/>
        <v>1.9794370245934001E-2</v>
      </c>
      <c r="Z6" s="8">
        <f t="shared" si="5"/>
        <v>1.3263724882155701E-3</v>
      </c>
      <c r="AA6" s="8">
        <f t="shared" si="6"/>
        <v>8.559644753932999E-2</v>
      </c>
      <c r="AB6" s="8">
        <f t="shared" si="7"/>
        <v>8.6979459762573201E-3</v>
      </c>
      <c r="AC6" s="8">
        <f t="shared" si="8"/>
        <v>7.3164005184173986E-2</v>
      </c>
    </row>
    <row r="7" spans="1:29" x14ac:dyDescent="0.25">
      <c r="A7" s="10">
        <v>0.1</v>
      </c>
      <c r="B7" s="10">
        <v>0.12</v>
      </c>
      <c r="C7" s="10">
        <v>1.571</v>
      </c>
      <c r="D7" s="10">
        <f t="shared" si="1"/>
        <v>1.5707963267948966</v>
      </c>
      <c r="E7" s="10">
        <v>1</v>
      </c>
      <c r="F7" s="10">
        <v>0.06</v>
      </c>
      <c r="G7" s="10">
        <v>3.927</v>
      </c>
      <c r="H7" s="10">
        <f t="shared" si="2"/>
        <v>1.5707963267948966</v>
      </c>
      <c r="I7" s="10">
        <v>0</v>
      </c>
      <c r="J7" s="10">
        <v>0</v>
      </c>
      <c r="K7" s="10">
        <v>0</v>
      </c>
      <c r="L7" s="8">
        <v>-3.3720862120389898E-5</v>
      </c>
      <c r="M7" s="8">
        <v>5.5788416415452999E-2</v>
      </c>
      <c r="N7" s="8">
        <v>-0.106843449175358</v>
      </c>
      <c r="O7" s="8">
        <v>2.31804009526968E-2</v>
      </c>
      <c r="P7" s="8">
        <v>-0.69266724586486805</v>
      </c>
      <c r="Q7" s="8">
        <v>-0.43824502825737</v>
      </c>
      <c r="R7" s="8">
        <v>0</v>
      </c>
      <c r="S7" s="8">
        <v>8.4900000000000003E-2</v>
      </c>
      <c r="T7" s="8">
        <v>-0.10580000000000001</v>
      </c>
      <c r="U7" s="8">
        <v>-6.3E-2</v>
      </c>
      <c r="V7" s="8">
        <v>-0.70530000000000004</v>
      </c>
      <c r="W7" s="8">
        <v>-0.60589999999999999</v>
      </c>
      <c r="X7" s="8">
        <f t="shared" si="3"/>
        <v>3.3720862120389898E-5</v>
      </c>
      <c r="Y7" s="8">
        <f t="shared" si="4"/>
        <v>2.9111583584547004E-2</v>
      </c>
      <c r="Z7" s="8">
        <f t="shared" si="5"/>
        <v>1.0434491753579939E-3</v>
      </c>
      <c r="AA7" s="8">
        <f t="shared" si="6"/>
        <v>8.6180400952696801E-2</v>
      </c>
      <c r="AB7" s="8">
        <f t="shared" si="7"/>
        <v>1.2632754135131985E-2</v>
      </c>
      <c r="AC7" s="8">
        <f t="shared" si="8"/>
        <v>0.16765497174263</v>
      </c>
    </row>
    <row r="8" spans="1:29" x14ac:dyDescent="0.25">
      <c r="A8" s="10">
        <v>0.8</v>
      </c>
      <c r="B8" s="10">
        <v>0.16</v>
      </c>
      <c r="C8" s="10">
        <v>1.571</v>
      </c>
      <c r="D8" s="10">
        <f t="shared" si="1"/>
        <v>1.5707963267948966</v>
      </c>
      <c r="E8" s="10">
        <v>0.8</v>
      </c>
      <c r="F8" s="10">
        <v>0.06</v>
      </c>
      <c r="G8" s="10">
        <v>3.927</v>
      </c>
      <c r="H8" s="10">
        <f t="shared" si="2"/>
        <v>1.5707963267948966</v>
      </c>
      <c r="I8" s="10">
        <v>1.4</v>
      </c>
      <c r="J8" s="10">
        <v>0</v>
      </c>
      <c r="K8" s="10">
        <v>0</v>
      </c>
      <c r="L8" s="8">
        <v>8.2578761503100395E-3</v>
      </c>
      <c r="M8" s="8">
        <v>-0.106360949575901</v>
      </c>
      <c r="N8" s="8">
        <v>-7.6963931322097806E-2</v>
      </c>
      <c r="O8" s="8">
        <v>-0.29881915450096103</v>
      </c>
      <c r="P8" s="8">
        <v>-0.50920194387435902</v>
      </c>
      <c r="Q8" s="8">
        <v>0.108889028429985</v>
      </c>
      <c r="R8" s="8">
        <v>4.4000000000000003E-3</v>
      </c>
      <c r="S8" s="8">
        <v>-0.10639999999999999</v>
      </c>
      <c r="T8" s="8">
        <v>-8.3900000000000002E-2</v>
      </c>
      <c r="U8" s="8">
        <v>-0.22939999999999999</v>
      </c>
      <c r="V8" s="8">
        <v>-0.56430000000000002</v>
      </c>
      <c r="W8" s="8">
        <v>0.1658</v>
      </c>
      <c r="X8" s="8">
        <f t="shared" si="3"/>
        <v>3.8578761503100393E-3</v>
      </c>
      <c r="Y8" s="8">
        <f t="shared" si="4"/>
        <v>3.9050424098990844E-5</v>
      </c>
      <c r="Z8" s="8">
        <f t="shared" si="5"/>
        <v>6.9360686779021963E-3</v>
      </c>
      <c r="AA8" s="8">
        <f t="shared" si="6"/>
        <v>6.9419154500961033E-2</v>
      </c>
      <c r="AB8" s="8">
        <f t="shared" si="7"/>
        <v>5.5098056125641004E-2</v>
      </c>
      <c r="AC8" s="8">
        <f t="shared" si="8"/>
        <v>5.6910971570014998E-2</v>
      </c>
    </row>
    <row r="9" spans="1:29" x14ac:dyDescent="0.25">
      <c r="A9" s="10">
        <v>0.1</v>
      </c>
      <c r="B9" s="10">
        <v>0.18</v>
      </c>
      <c r="C9" s="10">
        <v>1.571</v>
      </c>
      <c r="D9" s="10">
        <f t="shared" si="1"/>
        <v>1.5707963267948966</v>
      </c>
      <c r="E9" s="10">
        <v>0.1</v>
      </c>
      <c r="F9" s="10">
        <v>0.02</v>
      </c>
      <c r="G9" s="10">
        <v>3.1419999999999999</v>
      </c>
      <c r="H9" s="10">
        <f t="shared" si="2"/>
        <v>1.5707963267948966</v>
      </c>
      <c r="I9" s="10">
        <v>1.2</v>
      </c>
      <c r="J9" s="10">
        <v>0</v>
      </c>
      <c r="K9" s="10">
        <v>0</v>
      </c>
      <c r="L9" s="8">
        <v>2.53012054599822E-4</v>
      </c>
      <c r="M9" s="8">
        <v>-6.1941463500261298E-3</v>
      </c>
      <c r="N9" s="8">
        <v>-1.2296888045966599E-2</v>
      </c>
      <c r="O9" s="8">
        <v>1.5694042667746499E-2</v>
      </c>
      <c r="P9" s="8">
        <v>-0.108663953840733</v>
      </c>
      <c r="Q9" s="8">
        <v>1.80782899260521E-2</v>
      </c>
      <c r="R9" s="8">
        <v>5.9999999999999995E-4</v>
      </c>
      <c r="S9" s="8">
        <v>-2.7E-2</v>
      </c>
      <c r="T9" s="8">
        <v>-1.0999999999999999E-2</v>
      </c>
      <c r="U9" s="8">
        <v>-1.0999999999999999E-2</v>
      </c>
      <c r="V9" s="8">
        <v>-0.1003</v>
      </c>
      <c r="W9" s="8">
        <v>9.9299999999999999E-2</v>
      </c>
      <c r="X9" s="8">
        <f t="shared" si="3"/>
        <v>3.4698794540017795E-4</v>
      </c>
      <c r="Y9" s="8">
        <f t="shared" si="4"/>
        <v>2.0805853649973869E-2</v>
      </c>
      <c r="Z9" s="8">
        <f t="shared" si="5"/>
        <v>1.2968880459665998E-3</v>
      </c>
      <c r="AA9" s="8">
        <f t="shared" si="6"/>
        <v>2.6694042667746498E-2</v>
      </c>
      <c r="AB9" s="8">
        <f t="shared" si="7"/>
        <v>8.3639538407330044E-3</v>
      </c>
      <c r="AC9" s="8">
        <f t="shared" si="8"/>
        <v>8.1221710073947906E-2</v>
      </c>
    </row>
    <row r="10" spans="1:29" x14ac:dyDescent="0.25">
      <c r="A10" s="10">
        <v>0.9</v>
      </c>
      <c r="B10" s="10">
        <v>0.18</v>
      </c>
      <c r="C10" s="10">
        <v>1.571</v>
      </c>
      <c r="D10" s="10">
        <f t="shared" si="1"/>
        <v>1.5707963267948966</v>
      </c>
      <c r="E10" s="10">
        <v>0.1</v>
      </c>
      <c r="F10" s="10">
        <v>0.08</v>
      </c>
      <c r="G10" s="10">
        <v>4.7119999999999997</v>
      </c>
      <c r="H10" s="10">
        <f t="shared" si="2"/>
        <v>1.5707963267948966</v>
      </c>
      <c r="I10" s="10">
        <v>0</v>
      </c>
      <c r="J10" s="10">
        <v>0</v>
      </c>
      <c r="K10" s="10">
        <v>0</v>
      </c>
      <c r="L10" s="8">
        <v>-8.9414953254163298E-4</v>
      </c>
      <c r="M10" s="8">
        <v>-0.180821523070335</v>
      </c>
      <c r="N10" s="8">
        <v>8.0074910074472393E-3</v>
      </c>
      <c r="O10" s="8">
        <v>-0.405538409948349</v>
      </c>
      <c r="P10" s="8">
        <v>5.81999458372593E-2</v>
      </c>
      <c r="Q10" s="8">
        <v>0.51686221361160301</v>
      </c>
      <c r="R10" s="8">
        <v>0</v>
      </c>
      <c r="S10" s="8">
        <v>-0.20330000000000001</v>
      </c>
      <c r="T10" s="8">
        <v>-1E-4</v>
      </c>
      <c r="U10" s="8">
        <v>-0.51039999999999996</v>
      </c>
      <c r="V10" s="8">
        <v>-2.0000000000000001E-4</v>
      </c>
      <c r="W10" s="8">
        <v>0.61929999999999996</v>
      </c>
      <c r="X10" s="8">
        <f t="shared" si="3"/>
        <v>8.9414953254163298E-4</v>
      </c>
      <c r="Y10" s="8">
        <f t="shared" si="4"/>
        <v>2.2478476929665009E-2</v>
      </c>
      <c r="Z10" s="8">
        <f t="shared" si="5"/>
        <v>8.1074910074472387E-3</v>
      </c>
      <c r="AA10" s="8">
        <f t="shared" si="6"/>
        <v>0.10486159005165097</v>
      </c>
      <c r="AB10" s="8">
        <f t="shared" si="7"/>
        <v>5.8399945837259298E-2</v>
      </c>
      <c r="AC10" s="8">
        <f t="shared" si="8"/>
        <v>0.10243778638839696</v>
      </c>
    </row>
    <row r="11" spans="1:29" x14ac:dyDescent="0.25">
      <c r="A11" s="10">
        <v>0.3</v>
      </c>
      <c r="B11" s="10">
        <v>0.18</v>
      </c>
      <c r="C11" s="10">
        <v>1.571</v>
      </c>
      <c r="D11" s="10">
        <f t="shared" si="1"/>
        <v>1.5707963267948966</v>
      </c>
      <c r="E11" s="10">
        <v>0.9</v>
      </c>
      <c r="F11" s="10">
        <v>0.08</v>
      </c>
      <c r="G11" s="10">
        <v>4.7119999999999997</v>
      </c>
      <c r="H11" s="10">
        <f t="shared" si="2"/>
        <v>1.5707963267948966</v>
      </c>
      <c r="I11" s="10">
        <v>1</v>
      </c>
      <c r="J11" s="10">
        <v>0</v>
      </c>
      <c r="K11" s="10">
        <v>0</v>
      </c>
      <c r="L11" s="8">
        <v>2.41806032136083E-4</v>
      </c>
      <c r="M11" s="8">
        <v>7.3132611811161E-2</v>
      </c>
      <c r="N11" s="8">
        <v>-4.2187301442027101E-3</v>
      </c>
      <c r="O11" s="8">
        <v>4.2406577616930001E-2</v>
      </c>
      <c r="P11" s="8">
        <v>-2.1499879658222198E-2</v>
      </c>
      <c r="Q11" s="8">
        <v>-0.58056563138961803</v>
      </c>
      <c r="R11" s="8">
        <v>5.9999999999999995E-4</v>
      </c>
      <c r="S11" s="8">
        <v>7.2099999999999997E-2</v>
      </c>
      <c r="T11" s="8">
        <v>-1E-4</v>
      </c>
      <c r="U11" s="8">
        <v>-3.0999999999999999E-3</v>
      </c>
      <c r="V11" s="8">
        <v>-8.9999999999999998E-4</v>
      </c>
      <c r="W11" s="8">
        <v>-0.6018</v>
      </c>
      <c r="X11" s="8">
        <f t="shared" si="3"/>
        <v>3.5819396786391697E-4</v>
      </c>
      <c r="Y11" s="8">
        <f t="shared" si="4"/>
        <v>1.0326118111610022E-3</v>
      </c>
      <c r="Z11" s="8">
        <f t="shared" si="5"/>
        <v>4.1187301442027098E-3</v>
      </c>
      <c r="AA11" s="8">
        <f t="shared" si="6"/>
        <v>4.550657761693E-2</v>
      </c>
      <c r="AB11" s="8">
        <f t="shared" si="7"/>
        <v>2.0599879658222197E-2</v>
      </c>
      <c r="AC11" s="8">
        <f t="shared" si="8"/>
        <v>2.1234368610381971E-2</v>
      </c>
    </row>
    <row r="12" spans="1:29" x14ac:dyDescent="0.25">
      <c r="A12" s="10">
        <v>0.9</v>
      </c>
      <c r="B12" s="10">
        <v>0.2</v>
      </c>
      <c r="C12" s="10">
        <v>1.571</v>
      </c>
      <c r="D12" s="10">
        <f t="shared" si="1"/>
        <v>1.5707963267948966</v>
      </c>
      <c r="E12" s="10">
        <v>1</v>
      </c>
      <c r="F12" s="10">
        <v>0.02</v>
      </c>
      <c r="G12" s="10">
        <v>3.1419999999999999</v>
      </c>
      <c r="H12" s="10">
        <f t="shared" si="2"/>
        <v>1.5707963267948966</v>
      </c>
      <c r="I12" s="10">
        <v>0.4</v>
      </c>
      <c r="J12" s="10">
        <v>0</v>
      </c>
      <c r="K12" s="10">
        <v>0</v>
      </c>
      <c r="L12" s="8">
        <v>-1.58930197358131E-4</v>
      </c>
      <c r="M12" s="8">
        <v>-0.14518360793590501</v>
      </c>
      <c r="N12" s="8">
        <v>-0.108183734118938</v>
      </c>
      <c r="O12" s="8">
        <v>-0.55842369794845603</v>
      </c>
      <c r="P12" s="8">
        <v>-0.97605288028716997</v>
      </c>
      <c r="Q12" s="8">
        <v>0.27430844306945801</v>
      </c>
      <c r="R12" s="8">
        <v>2.2000000000000001E-3</v>
      </c>
      <c r="S12" s="8">
        <v>-0.2213</v>
      </c>
      <c r="T12" s="8">
        <v>-0.1089</v>
      </c>
      <c r="U12" s="8">
        <v>-0.6623</v>
      </c>
      <c r="V12" s="8">
        <v>-1.0009999999999999</v>
      </c>
      <c r="W12" s="8">
        <v>0.61360000000000003</v>
      </c>
      <c r="X12" s="8">
        <f t="shared" si="3"/>
        <v>2.3589301973581311E-3</v>
      </c>
      <c r="Y12" s="8">
        <f t="shared" si="4"/>
        <v>7.6116392064094984E-2</v>
      </c>
      <c r="Z12" s="8">
        <f t="shared" si="5"/>
        <v>7.1626588106199485E-4</v>
      </c>
      <c r="AA12" s="8">
        <f t="shared" si="6"/>
        <v>0.10387630205154397</v>
      </c>
      <c r="AB12" s="8">
        <f t="shared" si="7"/>
        <v>2.4947119712829924E-2</v>
      </c>
      <c r="AC12" s="8">
        <f t="shared" si="8"/>
        <v>0.33929155693054203</v>
      </c>
    </row>
    <row r="13" spans="1:29" x14ac:dyDescent="0.25">
      <c r="A13" s="10">
        <v>0.1</v>
      </c>
      <c r="B13" s="10">
        <v>0.2</v>
      </c>
      <c r="C13" s="10">
        <v>1.571</v>
      </c>
      <c r="D13" s="10">
        <f t="shared" si="1"/>
        <v>1.5707963267948966</v>
      </c>
      <c r="E13" s="10">
        <v>0.3</v>
      </c>
      <c r="F13" s="10">
        <v>0.08</v>
      </c>
      <c r="G13" s="10">
        <v>3.1419999999999999</v>
      </c>
      <c r="H13" s="10">
        <f t="shared" si="2"/>
        <v>1.5707963267948966</v>
      </c>
      <c r="I13" s="10">
        <v>0.2</v>
      </c>
      <c r="J13" s="10">
        <v>0</v>
      </c>
      <c r="K13" s="10">
        <v>0</v>
      </c>
      <c r="L13" s="8">
        <v>-1.4157709665596499E-4</v>
      </c>
      <c r="M13" s="8">
        <v>4.5513403601944403E-3</v>
      </c>
      <c r="N13" s="8">
        <v>-4.92897629737854E-2</v>
      </c>
      <c r="O13" s="8">
        <v>2.6178073137998598E-2</v>
      </c>
      <c r="P13" s="8">
        <v>-0.27640634775161699</v>
      </c>
      <c r="Q13" s="8">
        <v>-3.6308467388153097E-2</v>
      </c>
      <c r="R13" s="8">
        <v>2.0000000000000001E-4</v>
      </c>
      <c r="S13" s="8">
        <v>-2.87E-2</v>
      </c>
      <c r="T13" s="8">
        <v>-5.0900000000000001E-2</v>
      </c>
      <c r="U13" s="8">
        <v>-2.1600000000000001E-2</v>
      </c>
      <c r="V13" s="8">
        <v>-0.29949999999999999</v>
      </c>
      <c r="W13" s="8">
        <v>9.9099999999999994E-2</v>
      </c>
      <c r="X13" s="8">
        <f t="shared" si="3"/>
        <v>3.41577096655965E-4</v>
      </c>
      <c r="Y13" s="8">
        <f t="shared" si="4"/>
        <v>3.3251340360194441E-2</v>
      </c>
      <c r="Z13" s="8">
        <f t="shared" si="5"/>
        <v>1.6102370262146004E-3</v>
      </c>
      <c r="AA13" s="8">
        <f t="shared" si="6"/>
        <v>4.7778073137998603E-2</v>
      </c>
      <c r="AB13" s="8">
        <f t="shared" si="7"/>
        <v>2.3093652248383001E-2</v>
      </c>
      <c r="AC13" s="8">
        <f t="shared" si="8"/>
        <v>0.1354084673881531</v>
      </c>
    </row>
    <row r="14" spans="1:29" x14ac:dyDescent="0.25">
      <c r="A14" s="10">
        <v>0.9</v>
      </c>
      <c r="B14" s="10">
        <v>0.2</v>
      </c>
      <c r="C14" s="10">
        <v>1.571</v>
      </c>
      <c r="D14" s="10">
        <f t="shared" si="1"/>
        <v>1.5707963267948966</v>
      </c>
      <c r="E14" s="10">
        <v>0.3</v>
      </c>
      <c r="F14" s="10">
        <v>0.02</v>
      </c>
      <c r="G14" s="10">
        <v>4.7119999999999997</v>
      </c>
      <c r="H14" s="10">
        <f t="shared" si="2"/>
        <v>1.5707963267948966</v>
      </c>
      <c r="I14" s="10">
        <v>1.4</v>
      </c>
      <c r="J14" s="10">
        <v>0</v>
      </c>
      <c r="K14" s="10">
        <v>0</v>
      </c>
      <c r="L14" s="8">
        <v>9.2607205733656901E-3</v>
      </c>
      <c r="M14" s="8">
        <v>-0.11755938827991499</v>
      </c>
      <c r="N14" s="8">
        <v>-8.4324358031153696E-3</v>
      </c>
      <c r="O14" s="8">
        <v>-0.58649873733520497</v>
      </c>
      <c r="P14" s="8">
        <v>-5.0031639635562897E-2</v>
      </c>
      <c r="Q14" s="8">
        <v>4.2876139283180202E-2</v>
      </c>
      <c r="R14" s="8">
        <v>7.7000000000000002E-3</v>
      </c>
      <c r="S14" s="8">
        <v>-0.1855</v>
      </c>
      <c r="T14" s="8">
        <v>-2.9999999999999997E-4</v>
      </c>
      <c r="U14" s="8">
        <v>-0.63229999999999997</v>
      </c>
      <c r="V14" s="8">
        <v>-2.47E-2</v>
      </c>
      <c r="W14" s="8">
        <v>0.29699999999999999</v>
      </c>
      <c r="X14" s="8">
        <f t="shared" si="3"/>
        <v>1.5607205733656898E-3</v>
      </c>
      <c r="Y14" s="8">
        <f t="shared" si="4"/>
        <v>6.7940611720085003E-2</v>
      </c>
      <c r="Z14" s="8">
        <f t="shared" si="5"/>
        <v>8.1324358031153697E-3</v>
      </c>
      <c r="AA14" s="8">
        <f t="shared" si="6"/>
        <v>4.5801262664795006E-2</v>
      </c>
      <c r="AB14" s="8">
        <f t="shared" si="7"/>
        <v>2.5331639635562897E-2</v>
      </c>
      <c r="AC14" s="8">
        <f t="shared" si="8"/>
        <v>0.2541238607168198</v>
      </c>
    </row>
    <row r="15" spans="1:29" x14ac:dyDescent="0.25">
      <c r="A15" s="10">
        <v>0.9</v>
      </c>
      <c r="B15" s="10">
        <v>0.1</v>
      </c>
      <c r="C15" s="10">
        <v>2.3559999999999999</v>
      </c>
      <c r="D15" s="10">
        <f t="shared" si="1"/>
        <v>1.5707963267948966</v>
      </c>
      <c r="E15" s="10">
        <v>0.9</v>
      </c>
      <c r="F15" s="10">
        <v>0.02</v>
      </c>
      <c r="G15" s="10">
        <v>4.7119999999999997</v>
      </c>
      <c r="H15" s="10">
        <f t="shared" si="2"/>
        <v>1.5707963267948966</v>
      </c>
      <c r="I15" s="10">
        <v>0.4</v>
      </c>
      <c r="J15" s="10">
        <v>0</v>
      </c>
      <c r="K15" s="10">
        <v>0</v>
      </c>
      <c r="L15" s="8">
        <v>-9.1172568500042005E-4</v>
      </c>
      <c r="M15" s="8">
        <v>-3.9313092827796901E-2</v>
      </c>
      <c r="N15" s="8">
        <v>-0.130889192223549</v>
      </c>
      <c r="O15" s="8">
        <v>-0.256822139024735</v>
      </c>
      <c r="P15" s="8">
        <v>-0.62632656097412098</v>
      </c>
      <c r="Q15" s="8">
        <v>-0.18459481000900299</v>
      </c>
      <c r="R15" s="8">
        <v>5.9999999999999995E-4</v>
      </c>
      <c r="S15" s="8">
        <v>-2.12E-2</v>
      </c>
      <c r="T15" s="8">
        <v>-0.1196</v>
      </c>
      <c r="U15" s="8">
        <v>-0.13669999999999999</v>
      </c>
      <c r="V15" s="8">
        <v>-0.625</v>
      </c>
      <c r="W15" s="8">
        <v>-0.2752</v>
      </c>
      <c r="X15" s="8">
        <f t="shared" si="3"/>
        <v>1.5117256850004199E-3</v>
      </c>
      <c r="Y15" s="8">
        <f t="shared" si="4"/>
        <v>1.8113092827796901E-2</v>
      </c>
      <c r="Z15" s="8">
        <f t="shared" si="5"/>
        <v>1.1289192223549002E-2</v>
      </c>
      <c r="AA15" s="8">
        <f t="shared" si="6"/>
        <v>0.12012213902473501</v>
      </c>
      <c r="AB15" s="8">
        <f t="shared" si="7"/>
        <v>1.3265609741209827E-3</v>
      </c>
      <c r="AC15" s="8">
        <f t="shared" si="8"/>
        <v>9.0605189990997009E-2</v>
      </c>
    </row>
    <row r="16" spans="1:29" x14ac:dyDescent="0.25">
      <c r="A16" s="10">
        <v>0.4</v>
      </c>
      <c r="B16" s="10">
        <v>0.12</v>
      </c>
      <c r="C16" s="10">
        <v>2.3559999999999999</v>
      </c>
      <c r="D16" s="10">
        <f t="shared" si="1"/>
        <v>1.5707963267948966</v>
      </c>
      <c r="E16" s="10">
        <v>0.1</v>
      </c>
      <c r="F16" s="10">
        <v>0.06</v>
      </c>
      <c r="G16" s="10">
        <v>3.1419999999999999</v>
      </c>
      <c r="H16" s="10">
        <f t="shared" si="2"/>
        <v>1.5707963267948966</v>
      </c>
      <c r="I16" s="10">
        <v>0.4</v>
      </c>
      <c r="J16" s="10">
        <v>0</v>
      </c>
      <c r="K16" s="10">
        <v>0</v>
      </c>
      <c r="L16" s="8">
        <v>-3.60760372132063E-3</v>
      </c>
      <c r="M16" s="8">
        <v>-5.4309170693159103E-2</v>
      </c>
      <c r="N16" s="8">
        <v>-7.0400118827819796E-2</v>
      </c>
      <c r="O16" s="8">
        <v>-5.4136319085955602E-3</v>
      </c>
      <c r="P16" s="8">
        <v>-0.32776689529418901</v>
      </c>
      <c r="Q16" s="8">
        <v>0.24705727398395499</v>
      </c>
      <c r="R16" s="8">
        <v>4.0000000000000002E-4</v>
      </c>
      <c r="S16" s="8">
        <v>-5.91E-2</v>
      </c>
      <c r="T16" s="8">
        <v>-7.4099999999999999E-2</v>
      </c>
      <c r="U16" s="8">
        <v>-6.1600000000000002E-2</v>
      </c>
      <c r="V16" s="8">
        <v>-0.38</v>
      </c>
      <c r="W16" s="8">
        <v>0.27989999999999998</v>
      </c>
      <c r="X16" s="8">
        <f t="shared" si="3"/>
        <v>4.0076037213206302E-3</v>
      </c>
      <c r="Y16" s="8">
        <f t="shared" si="4"/>
        <v>4.7908293068408964E-3</v>
      </c>
      <c r="Z16" s="8">
        <f t="shared" si="5"/>
        <v>3.6998811721802027E-3</v>
      </c>
      <c r="AA16" s="8">
        <f t="shared" si="6"/>
        <v>5.618636809140444E-2</v>
      </c>
      <c r="AB16" s="8">
        <f t="shared" si="7"/>
        <v>5.2233104705810995E-2</v>
      </c>
      <c r="AC16" s="8">
        <f t="shared" si="8"/>
        <v>3.2842726016044987E-2</v>
      </c>
    </row>
    <row r="17" spans="1:29" x14ac:dyDescent="0.25">
      <c r="A17" s="10">
        <v>1</v>
      </c>
      <c r="B17" s="10">
        <v>0.14000000000000001</v>
      </c>
      <c r="C17" s="10">
        <v>2.3559999999999999</v>
      </c>
      <c r="D17" s="10">
        <f t="shared" si="1"/>
        <v>1.5707963267948966</v>
      </c>
      <c r="E17" s="10">
        <v>0.4</v>
      </c>
      <c r="F17" s="10">
        <v>0.04</v>
      </c>
      <c r="G17" s="10">
        <v>3.927</v>
      </c>
      <c r="H17" s="10">
        <f t="shared" si="2"/>
        <v>1.5707963267948966</v>
      </c>
      <c r="I17" s="10">
        <v>0.6</v>
      </c>
      <c r="J17" s="10">
        <v>0</v>
      </c>
      <c r="K17" s="10">
        <v>0</v>
      </c>
      <c r="L17" s="8">
        <v>1.51338707655668E-3</v>
      </c>
      <c r="M17" s="8">
        <v>-0.13520552217960399</v>
      </c>
      <c r="N17" s="8">
        <v>-0.2040024548769</v>
      </c>
      <c r="O17" s="8">
        <v>-0.46525964140892001</v>
      </c>
      <c r="P17" s="8">
        <v>-0.93685162067413297</v>
      </c>
      <c r="Q17" s="8">
        <v>0.42077422142028797</v>
      </c>
      <c r="R17" s="8">
        <v>2.0999999999999999E-3</v>
      </c>
      <c r="S17" s="8">
        <v>-0.1181</v>
      </c>
      <c r="T17" s="8">
        <v>-0.1908</v>
      </c>
      <c r="U17" s="8">
        <v>-0.436</v>
      </c>
      <c r="V17" s="8">
        <v>-0.91920000000000002</v>
      </c>
      <c r="W17" s="8">
        <v>0.35489999999999999</v>
      </c>
      <c r="X17" s="8">
        <f t="shared" si="3"/>
        <v>5.8661292344331989E-4</v>
      </c>
      <c r="Y17" s="8">
        <f t="shared" si="4"/>
        <v>1.7105522179603996E-2</v>
      </c>
      <c r="Z17" s="8">
        <f t="shared" si="5"/>
        <v>1.3202454876899999E-2</v>
      </c>
      <c r="AA17" s="8">
        <f t="shared" si="6"/>
        <v>2.9259641408920012E-2</v>
      </c>
      <c r="AB17" s="8">
        <f t="shared" si="7"/>
        <v>1.7651620674132951E-2</v>
      </c>
      <c r="AC17" s="8">
        <f t="shared" si="8"/>
        <v>6.5874221420287982E-2</v>
      </c>
    </row>
    <row r="18" spans="1:29" x14ac:dyDescent="0.25">
      <c r="A18" s="10">
        <v>0.4</v>
      </c>
      <c r="B18" s="10">
        <v>0.18</v>
      </c>
      <c r="C18" s="10">
        <v>2.3559999999999999</v>
      </c>
      <c r="D18" s="10">
        <f t="shared" si="1"/>
        <v>1.5707963267948966</v>
      </c>
      <c r="E18" s="10">
        <v>0.7</v>
      </c>
      <c r="F18" s="10">
        <v>0.04</v>
      </c>
      <c r="G18" s="10">
        <v>3.1419999999999999</v>
      </c>
      <c r="H18" s="10">
        <f t="shared" si="2"/>
        <v>1.5707963267948966</v>
      </c>
      <c r="I18" s="10">
        <v>0</v>
      </c>
      <c r="J18" s="10">
        <v>0</v>
      </c>
      <c r="K18" s="10">
        <v>0</v>
      </c>
      <c r="L18" s="8">
        <v>1.25857396051288E-3</v>
      </c>
      <c r="M18" s="8">
        <v>-6.1508439481258399E-2</v>
      </c>
      <c r="N18" s="8">
        <v>-0.139540165662766</v>
      </c>
      <c r="O18" s="8">
        <v>-9.9908888339996296E-2</v>
      </c>
      <c r="P18" s="8">
        <v>-0.836775302886963</v>
      </c>
      <c r="Q18" s="8">
        <v>0.23870468139648399</v>
      </c>
      <c r="R18" s="8">
        <v>0</v>
      </c>
      <c r="S18" s="8">
        <v>-7.4499999999999997E-2</v>
      </c>
      <c r="T18" s="8">
        <v>-0.16500000000000001</v>
      </c>
      <c r="U18" s="8">
        <v>-0.2039</v>
      </c>
      <c r="V18" s="8">
        <v>-0.96240000000000003</v>
      </c>
      <c r="W18" s="8">
        <v>0.26619999999999999</v>
      </c>
      <c r="X18" s="8">
        <f t="shared" si="3"/>
        <v>1.25857396051288E-3</v>
      </c>
      <c r="Y18" s="8">
        <f t="shared" si="4"/>
        <v>1.2991560518741598E-2</v>
      </c>
      <c r="Z18" s="8">
        <f t="shared" si="5"/>
        <v>2.5459834337234005E-2</v>
      </c>
      <c r="AA18" s="8">
        <f t="shared" si="6"/>
        <v>0.1039911116600037</v>
      </c>
      <c r="AB18" s="8">
        <f t="shared" si="7"/>
        <v>0.12562469711303703</v>
      </c>
      <c r="AC18" s="8">
        <f t="shared" si="8"/>
        <v>2.7495318603516006E-2</v>
      </c>
    </row>
    <row r="19" spans="1:29" x14ac:dyDescent="0.25">
      <c r="A19" s="10">
        <v>0.1</v>
      </c>
      <c r="B19" s="10">
        <v>0.18</v>
      </c>
      <c r="C19" s="10">
        <v>2.3559999999999999</v>
      </c>
      <c r="D19" s="10">
        <f t="shared" si="1"/>
        <v>1.5707963267948966</v>
      </c>
      <c r="E19" s="10">
        <v>0.2</v>
      </c>
      <c r="F19" s="10">
        <v>0.06</v>
      </c>
      <c r="G19" s="10">
        <v>4.7119999999999997</v>
      </c>
      <c r="H19" s="10">
        <f t="shared" si="2"/>
        <v>1.5707963267948966</v>
      </c>
      <c r="I19" s="10">
        <v>0.4</v>
      </c>
      <c r="J19" s="10">
        <v>0</v>
      </c>
      <c r="K19" s="10">
        <v>0</v>
      </c>
      <c r="L19" s="8">
        <v>-7.4886210495606097E-4</v>
      </c>
      <c r="M19" s="8">
        <v>2.0453782752156299E-2</v>
      </c>
      <c r="N19" s="8">
        <v>-9.3716401606798207E-3</v>
      </c>
      <c r="O19" s="8">
        <v>1.6650179401040101E-2</v>
      </c>
      <c r="P19" s="8">
        <v>-2.5679610669612898E-2</v>
      </c>
      <c r="Q19" s="8">
        <v>-0.15806177258491499</v>
      </c>
      <c r="R19" s="8">
        <v>2.0000000000000001E-4</v>
      </c>
      <c r="S19" s="8">
        <v>1.0800000000000001E-2</v>
      </c>
      <c r="T19" s="8">
        <v>-1.9099999999999999E-2</v>
      </c>
      <c r="U19" s="8">
        <v>-2.2000000000000001E-3</v>
      </c>
      <c r="V19" s="8">
        <v>-7.0699999999999999E-2</v>
      </c>
      <c r="W19" s="8">
        <v>-0.12939999999999999</v>
      </c>
      <c r="X19" s="8">
        <f t="shared" si="3"/>
        <v>9.4886210495606096E-4</v>
      </c>
      <c r="Y19" s="8">
        <f t="shared" si="4"/>
        <v>9.6537827521562987E-3</v>
      </c>
      <c r="Z19" s="8">
        <f t="shared" si="5"/>
        <v>9.7283598393201783E-3</v>
      </c>
      <c r="AA19" s="8">
        <f t="shared" si="6"/>
        <v>1.8850179401040102E-2</v>
      </c>
      <c r="AB19" s="8">
        <f t="shared" si="7"/>
        <v>4.5020389330387101E-2</v>
      </c>
      <c r="AC19" s="8">
        <f t="shared" si="8"/>
        <v>2.8661772584915007E-2</v>
      </c>
    </row>
    <row r="20" spans="1:29" x14ac:dyDescent="0.25">
      <c r="A20" s="10">
        <v>0.9</v>
      </c>
      <c r="B20" s="10">
        <v>0.2</v>
      </c>
      <c r="C20" s="10">
        <v>2.3559999999999999</v>
      </c>
      <c r="D20" s="10">
        <f t="shared" si="1"/>
        <v>1.5707963267948966</v>
      </c>
      <c r="E20" s="10">
        <v>0.3</v>
      </c>
      <c r="F20" s="10">
        <v>0.06</v>
      </c>
      <c r="G20" s="10">
        <v>3.1419999999999999</v>
      </c>
      <c r="H20" s="10">
        <f t="shared" si="2"/>
        <v>1.5707963267948966</v>
      </c>
      <c r="I20" s="10">
        <v>1.2</v>
      </c>
      <c r="J20" s="10">
        <v>0</v>
      </c>
      <c r="K20" s="10">
        <v>0</v>
      </c>
      <c r="L20" s="8">
        <v>3.2496866770088699E-3</v>
      </c>
      <c r="M20" s="8">
        <v>-0.114310443401337</v>
      </c>
      <c r="N20" s="8">
        <v>-0.158231571316719</v>
      </c>
      <c r="O20" s="8">
        <v>-0.49384498596191401</v>
      </c>
      <c r="P20" s="8">
        <v>-0.55208766460418701</v>
      </c>
      <c r="Q20" s="8">
        <v>0.26307040452957198</v>
      </c>
      <c r="R20" s="8">
        <v>7.6E-3</v>
      </c>
      <c r="S20" s="8">
        <v>-0.15740000000000001</v>
      </c>
      <c r="T20" s="8">
        <v>-0.20069999999999999</v>
      </c>
      <c r="U20" s="8">
        <v>-0.73</v>
      </c>
      <c r="V20" s="8">
        <v>-0.73870000000000002</v>
      </c>
      <c r="W20" s="8">
        <v>0.42199999999999999</v>
      </c>
      <c r="X20" s="8">
        <f t="shared" si="3"/>
        <v>4.3503133229911301E-3</v>
      </c>
      <c r="Y20" s="8">
        <f t="shared" si="4"/>
        <v>4.3089556598663009E-2</v>
      </c>
      <c r="Z20" s="8">
        <f t="shared" si="5"/>
        <v>4.246842868328099E-2</v>
      </c>
      <c r="AA20" s="8">
        <f t="shared" si="6"/>
        <v>0.23615501403808598</v>
      </c>
      <c r="AB20" s="8">
        <f t="shared" si="7"/>
        <v>0.18661233539581301</v>
      </c>
      <c r="AC20" s="8">
        <f t="shared" si="8"/>
        <v>0.15892959547042801</v>
      </c>
    </row>
    <row r="21" spans="1:29" x14ac:dyDescent="0.25">
      <c r="A21" s="10">
        <v>0.1</v>
      </c>
      <c r="B21" s="10">
        <v>0.1</v>
      </c>
      <c r="C21" s="10">
        <v>3.1419999999999999</v>
      </c>
      <c r="D21" s="10">
        <f t="shared" si="1"/>
        <v>1.5707963267948966</v>
      </c>
      <c r="E21" s="10">
        <v>0.3</v>
      </c>
      <c r="F21" s="10">
        <v>0.08</v>
      </c>
      <c r="G21" s="10">
        <v>3.927</v>
      </c>
      <c r="H21" s="10">
        <f t="shared" si="2"/>
        <v>1.5707963267948966</v>
      </c>
      <c r="I21" s="10">
        <v>1.2</v>
      </c>
      <c r="J21" s="10">
        <v>0</v>
      </c>
      <c r="K21" s="10">
        <v>0</v>
      </c>
      <c r="L21" s="8">
        <v>4.3617305345833302E-4</v>
      </c>
      <c r="M21" s="8">
        <v>3.7674464285373702E-2</v>
      </c>
      <c r="N21" s="8">
        <v>-4.6963214874267599E-2</v>
      </c>
      <c r="O21" s="8">
        <v>1.26499449834228E-2</v>
      </c>
      <c r="P21" s="8">
        <v>-0.26442891359329201</v>
      </c>
      <c r="Q21" s="8">
        <v>-0.20531408488750499</v>
      </c>
      <c r="R21" s="8">
        <v>0</v>
      </c>
      <c r="S21" s="8">
        <v>3.61E-2</v>
      </c>
      <c r="T21" s="8">
        <v>-5.5E-2</v>
      </c>
      <c r="U21" s="8">
        <v>-9.1999999999999998E-3</v>
      </c>
      <c r="V21" s="8">
        <v>-0.312</v>
      </c>
      <c r="W21" s="8">
        <v>-0.21210000000000001</v>
      </c>
      <c r="X21" s="8">
        <f t="shared" si="3"/>
        <v>4.3617305345833302E-4</v>
      </c>
      <c r="Y21" s="8">
        <f t="shared" si="4"/>
        <v>1.5744642853737015E-3</v>
      </c>
      <c r="Z21" s="8">
        <f t="shared" si="5"/>
        <v>8.0367851257324013E-3</v>
      </c>
      <c r="AA21" s="8">
        <f t="shared" si="6"/>
        <v>2.1849944983422798E-2</v>
      </c>
      <c r="AB21" s="8">
        <f t="shared" si="7"/>
        <v>4.7571086406707985E-2</v>
      </c>
      <c r="AC21" s="8">
        <f t="shared" si="8"/>
        <v>6.7859151124950168E-3</v>
      </c>
    </row>
    <row r="22" spans="1:29" x14ac:dyDescent="0.25">
      <c r="A22" s="10">
        <v>0.1</v>
      </c>
      <c r="B22" s="10">
        <v>0.2</v>
      </c>
      <c r="C22" s="10">
        <v>3.1419999999999999</v>
      </c>
      <c r="D22" s="10">
        <f t="shared" si="1"/>
        <v>1.5707963267948966</v>
      </c>
      <c r="E22" s="10">
        <v>0.8</v>
      </c>
      <c r="F22" s="10">
        <v>0.02</v>
      </c>
      <c r="G22" s="10">
        <v>3.927</v>
      </c>
      <c r="H22" s="10">
        <f t="shared" si="2"/>
        <v>1.5707963267948966</v>
      </c>
      <c r="I22" s="10">
        <v>1.2</v>
      </c>
      <c r="J22" s="10">
        <v>0</v>
      </c>
      <c r="K22" s="10">
        <v>0</v>
      </c>
      <c r="L22" s="8">
        <v>1.0640500113368E-3</v>
      </c>
      <c r="M22" s="8">
        <v>6.2404803931713097E-2</v>
      </c>
      <c r="N22" s="8">
        <v>-7.4282236397266402E-2</v>
      </c>
      <c r="O22" s="8">
        <v>1.72678660601377E-2</v>
      </c>
      <c r="P22" s="8">
        <v>-0.60528373718261697</v>
      </c>
      <c r="Q22" s="8">
        <v>-0.54190033674240101</v>
      </c>
      <c r="R22" s="8">
        <v>4.0000000000000002E-4</v>
      </c>
      <c r="S22" s="8">
        <v>6.1899999999999997E-2</v>
      </c>
      <c r="T22" s="8">
        <v>-9.06E-2</v>
      </c>
      <c r="U22" s="8">
        <v>-9.7000000000000003E-3</v>
      </c>
      <c r="V22" s="8">
        <v>-0.66559999999999997</v>
      </c>
      <c r="W22" s="8">
        <v>-0.56569999999999998</v>
      </c>
      <c r="X22" s="8">
        <f t="shared" si="3"/>
        <v>6.640500113368E-4</v>
      </c>
      <c r="Y22" s="8">
        <f t="shared" si="4"/>
        <v>5.0480393171310062E-4</v>
      </c>
      <c r="Z22" s="8">
        <f t="shared" si="5"/>
        <v>1.6317763602733598E-2</v>
      </c>
      <c r="AA22" s="8">
        <f t="shared" si="6"/>
        <v>2.69678660601377E-2</v>
      </c>
      <c r="AB22" s="8">
        <f t="shared" si="7"/>
        <v>6.0316262817383004E-2</v>
      </c>
      <c r="AC22" s="8">
        <f t="shared" si="8"/>
        <v>2.3799663257598969E-2</v>
      </c>
    </row>
    <row r="23" spans="1:29" x14ac:dyDescent="0.25">
      <c r="A23" s="10">
        <v>0.9</v>
      </c>
      <c r="B23" s="10">
        <v>0.1</v>
      </c>
      <c r="C23" s="10">
        <v>3.927</v>
      </c>
      <c r="D23" s="10">
        <f t="shared" si="1"/>
        <v>1.5707963267948966</v>
      </c>
      <c r="E23" s="10">
        <v>0.2</v>
      </c>
      <c r="F23" s="10">
        <v>0.02</v>
      </c>
      <c r="G23" s="10">
        <v>3.1419999999999999</v>
      </c>
      <c r="H23" s="10">
        <f t="shared" si="2"/>
        <v>1.5707963267948966</v>
      </c>
      <c r="I23" s="10">
        <v>1.4</v>
      </c>
      <c r="J23" s="10">
        <v>0</v>
      </c>
      <c r="K23" s="10">
        <v>0</v>
      </c>
      <c r="L23" s="8">
        <v>-2.0453361794352501E-3</v>
      </c>
      <c r="M23" s="8">
        <v>0.14060573279857599</v>
      </c>
      <c r="N23" s="8">
        <v>-0.14573009312152899</v>
      </c>
      <c r="O23" s="8">
        <v>-0.146071821451187</v>
      </c>
      <c r="P23" s="8">
        <v>-0.82719779014587402</v>
      </c>
      <c r="Q23" s="8">
        <v>-0.70544010400772095</v>
      </c>
      <c r="R23" s="8">
        <v>-5.9999999999999995E-4</v>
      </c>
      <c r="S23" s="8">
        <v>0.12</v>
      </c>
      <c r="T23" s="8">
        <v>-0.1419</v>
      </c>
      <c r="U23" s="8">
        <v>-0.15340000000000001</v>
      </c>
      <c r="V23" s="8">
        <v>-0.82820000000000005</v>
      </c>
      <c r="W23" s="8">
        <v>-0.62770000000000004</v>
      </c>
      <c r="X23" s="8">
        <f t="shared" si="3"/>
        <v>1.4453361794352503E-3</v>
      </c>
      <c r="Y23" s="8">
        <f t="shared" si="4"/>
        <v>2.0605732798575999E-2</v>
      </c>
      <c r="Z23" s="8">
        <f t="shared" si="5"/>
        <v>3.830093121528988E-3</v>
      </c>
      <c r="AA23" s="8">
        <f t="shared" si="6"/>
        <v>7.3281785488130136E-3</v>
      </c>
      <c r="AB23" s="8">
        <f t="shared" si="7"/>
        <v>1.0022098541260238E-3</v>
      </c>
      <c r="AC23" s="8">
        <f t="shared" si="8"/>
        <v>7.7740104007720912E-2</v>
      </c>
    </row>
    <row r="24" spans="1:29" x14ac:dyDescent="0.25">
      <c r="A24" s="10">
        <v>0.2</v>
      </c>
      <c r="B24" s="10">
        <v>0.12</v>
      </c>
      <c r="C24" s="10">
        <v>3.927</v>
      </c>
      <c r="D24" s="10">
        <f t="shared" si="1"/>
        <v>1.5707963267948966</v>
      </c>
      <c r="E24" s="10">
        <v>0.2</v>
      </c>
      <c r="F24" s="10">
        <v>0.02</v>
      </c>
      <c r="G24" s="10">
        <v>4.7119999999999997</v>
      </c>
      <c r="H24" s="10">
        <f t="shared" si="2"/>
        <v>1.5707963267948966</v>
      </c>
      <c r="I24" s="10">
        <v>1.2</v>
      </c>
      <c r="J24" s="10">
        <v>0</v>
      </c>
      <c r="K24" s="10">
        <v>0</v>
      </c>
      <c r="L24" s="8">
        <v>-9.4009120948612701E-4</v>
      </c>
      <c r="M24" s="8">
        <v>4.6884305775165599E-2</v>
      </c>
      <c r="N24" s="8">
        <v>-2.4323541671037702E-2</v>
      </c>
      <c r="O24" s="8">
        <v>5.6157279759645497E-3</v>
      </c>
      <c r="P24" s="8">
        <v>-0.11253473162651099</v>
      </c>
      <c r="Q24" s="8">
        <v>-0.29774409532547003</v>
      </c>
      <c r="R24" s="8">
        <v>-2.0000000000000001E-4</v>
      </c>
      <c r="S24" s="8">
        <v>5.16E-2</v>
      </c>
      <c r="T24" s="8">
        <v>-2.9700000000000001E-2</v>
      </c>
      <c r="U24" s="8">
        <v>-5.5999999999999999E-3</v>
      </c>
      <c r="V24" s="8">
        <v>-0.14149999999999999</v>
      </c>
      <c r="W24" s="8">
        <v>-0.34139999999999998</v>
      </c>
      <c r="X24" s="8">
        <f t="shared" si="3"/>
        <v>7.4009120948612703E-4</v>
      </c>
      <c r="Y24" s="8">
        <f t="shared" si="4"/>
        <v>4.7156942248344005E-3</v>
      </c>
      <c r="Z24" s="8">
        <f t="shared" si="5"/>
        <v>5.376458328962299E-3</v>
      </c>
      <c r="AA24" s="8">
        <f t="shared" si="6"/>
        <v>1.121572797596455E-2</v>
      </c>
      <c r="AB24" s="8">
        <f t="shared" si="7"/>
        <v>2.8965268373488992E-2</v>
      </c>
      <c r="AC24" s="8">
        <f t="shared" si="8"/>
        <v>4.3655904674529955E-2</v>
      </c>
    </row>
    <row r="25" spans="1:29" x14ac:dyDescent="0.25">
      <c r="A25" s="10">
        <v>0.6</v>
      </c>
      <c r="B25" s="10">
        <v>0.12</v>
      </c>
      <c r="C25" s="10">
        <v>3.927</v>
      </c>
      <c r="D25" s="10">
        <f t="shared" si="1"/>
        <v>1.5707963267948966</v>
      </c>
      <c r="E25" s="10">
        <v>0.5</v>
      </c>
      <c r="F25" s="10">
        <v>0.08</v>
      </c>
      <c r="G25" s="10">
        <v>4.7119999999999997</v>
      </c>
      <c r="H25" s="10">
        <f t="shared" si="2"/>
        <v>1.5707963267948966</v>
      </c>
      <c r="I25" s="10">
        <v>0.2</v>
      </c>
      <c r="J25" s="10">
        <v>0</v>
      </c>
      <c r="K25" s="10">
        <v>0</v>
      </c>
      <c r="L25" s="8">
        <v>3.5136193037033097E-4</v>
      </c>
      <c r="M25" s="8">
        <v>0.18612760305404699</v>
      </c>
      <c r="N25" s="8">
        <v>-8.7223671376705197E-2</v>
      </c>
      <c r="O25" s="8">
        <v>-0.228773519396782</v>
      </c>
      <c r="P25" s="8">
        <v>-0.39178490638732899</v>
      </c>
      <c r="Q25" s="8">
        <v>-0.93568027019500699</v>
      </c>
      <c r="R25" s="8">
        <v>-2.0000000000000001E-4</v>
      </c>
      <c r="S25" s="8">
        <v>0.17119999999999999</v>
      </c>
      <c r="T25" s="8">
        <v>-8.7400000000000005E-2</v>
      </c>
      <c r="U25" s="8">
        <v>-0.24460000000000001</v>
      </c>
      <c r="V25" s="8">
        <v>-0.4093</v>
      </c>
      <c r="W25" s="8">
        <v>-0.89829999999999999</v>
      </c>
      <c r="X25" s="8">
        <f t="shared" si="3"/>
        <v>5.5136193037033101E-4</v>
      </c>
      <c r="Y25" s="8">
        <f t="shared" si="4"/>
        <v>1.4927603054047001E-2</v>
      </c>
      <c r="Z25" s="8">
        <f t="shared" si="5"/>
        <v>1.7632862329480803E-4</v>
      </c>
      <c r="AA25" s="8">
        <f t="shared" si="6"/>
        <v>1.5826480603218007E-2</v>
      </c>
      <c r="AB25" s="8">
        <f t="shared" si="7"/>
        <v>1.7515093612671007E-2</v>
      </c>
      <c r="AC25" s="8">
        <f t="shared" si="8"/>
        <v>3.7380270195007004E-2</v>
      </c>
    </row>
    <row r="26" spans="1:29" x14ac:dyDescent="0.25">
      <c r="A26" s="10">
        <v>0.7</v>
      </c>
      <c r="B26" s="10">
        <v>0.16</v>
      </c>
      <c r="C26" s="10">
        <v>3.927</v>
      </c>
      <c r="D26" s="10">
        <f t="shared" si="1"/>
        <v>1.5707963267948966</v>
      </c>
      <c r="E26" s="10">
        <v>1</v>
      </c>
      <c r="F26" s="10">
        <v>0.04</v>
      </c>
      <c r="G26" s="10">
        <v>3.927</v>
      </c>
      <c r="H26" s="10">
        <f t="shared" si="2"/>
        <v>1.5707963267948966</v>
      </c>
      <c r="I26" s="10">
        <v>1.2</v>
      </c>
      <c r="J26" s="10">
        <v>0</v>
      </c>
      <c r="K26" s="10">
        <v>0</v>
      </c>
      <c r="L26" s="8">
        <v>-2.9902514070272398E-3</v>
      </c>
      <c r="M26" s="8">
        <v>0.20048326253891</v>
      </c>
      <c r="N26" s="8">
        <v>-0.21412828564643899</v>
      </c>
      <c r="O26" s="8">
        <v>-0.35741558670997597</v>
      </c>
      <c r="P26" s="8">
        <v>-1.1967084407806401</v>
      </c>
      <c r="Q26" s="8">
        <v>-1.0432312488555899</v>
      </c>
      <c r="R26" s="8">
        <v>-1.1000000000000001E-3</v>
      </c>
      <c r="S26" s="8">
        <v>0.2099</v>
      </c>
      <c r="T26" s="8">
        <v>-0.2099</v>
      </c>
      <c r="U26" s="8">
        <v>-0.4637</v>
      </c>
      <c r="V26" s="8">
        <v>-1.1525000000000001</v>
      </c>
      <c r="W26" s="8">
        <v>-1.1497999999999999</v>
      </c>
      <c r="X26" s="8">
        <f t="shared" si="3"/>
        <v>1.8902514070272397E-3</v>
      </c>
      <c r="Y26" s="8">
        <f t="shared" si="4"/>
        <v>9.4167374610900079E-3</v>
      </c>
      <c r="Z26" s="8">
        <f t="shared" si="5"/>
        <v>4.228285646438984E-3</v>
      </c>
      <c r="AA26" s="8">
        <f t="shared" si="6"/>
        <v>0.10628441329002403</v>
      </c>
      <c r="AB26" s="8">
        <f t="shared" si="7"/>
        <v>4.4208440780640013E-2</v>
      </c>
      <c r="AC26" s="8">
        <f t="shared" si="8"/>
        <v>0.10656875114441</v>
      </c>
    </row>
    <row r="27" spans="1:29" x14ac:dyDescent="0.25">
      <c r="A27" s="10">
        <v>0.1</v>
      </c>
      <c r="B27" s="10">
        <v>0.18</v>
      </c>
      <c r="C27" s="10">
        <v>3.927</v>
      </c>
      <c r="D27" s="10">
        <f t="shared" si="1"/>
        <v>1.5707963267948966</v>
      </c>
      <c r="E27" s="10">
        <v>0.9</v>
      </c>
      <c r="F27" s="10">
        <v>0.08</v>
      </c>
      <c r="G27" s="10">
        <v>3.1419999999999999</v>
      </c>
      <c r="H27" s="10">
        <f t="shared" si="2"/>
        <v>1.5707963267948966</v>
      </c>
      <c r="I27" s="10">
        <v>0.6</v>
      </c>
      <c r="J27" s="10">
        <v>0</v>
      </c>
      <c r="K27" s="10">
        <v>0</v>
      </c>
      <c r="L27" s="8">
        <v>-2.0198281854391098E-3</v>
      </c>
      <c r="M27" s="8">
        <v>2.0925674587488199E-2</v>
      </c>
      <c r="N27" s="8">
        <v>-0.17995955049991599</v>
      </c>
      <c r="O27" s="8">
        <v>-0.152651637792587</v>
      </c>
      <c r="P27" s="8">
        <v>-0.97161656618118297</v>
      </c>
      <c r="Q27" s="8">
        <v>-4.6399652957916301E-2</v>
      </c>
      <c r="R27" s="8">
        <v>2.0000000000000001E-4</v>
      </c>
      <c r="S27" s="8">
        <v>1.9E-2</v>
      </c>
      <c r="T27" s="8">
        <v>-0.17080000000000001</v>
      </c>
      <c r="U27" s="8">
        <v>-0.15190000000000001</v>
      </c>
      <c r="V27" s="8">
        <v>-0.95889999999999997</v>
      </c>
      <c r="W27" s="8">
        <v>-6.93E-2</v>
      </c>
      <c r="X27" s="8">
        <f t="shared" si="3"/>
        <v>2.2198281854391099E-3</v>
      </c>
      <c r="Y27" s="8">
        <f t="shared" si="4"/>
        <v>1.9256745874881992E-3</v>
      </c>
      <c r="Z27" s="8">
        <f t="shared" si="5"/>
        <v>9.159550499915986E-3</v>
      </c>
      <c r="AA27" s="8">
        <f t="shared" si="6"/>
        <v>7.5163779258699548E-4</v>
      </c>
      <c r="AB27" s="8">
        <f t="shared" si="7"/>
        <v>1.2716566181182998E-2</v>
      </c>
      <c r="AC27" s="8">
        <f t="shared" si="8"/>
        <v>2.2900347042083699E-2</v>
      </c>
    </row>
    <row r="28" spans="1:29" x14ac:dyDescent="0.25">
      <c r="A28" s="10">
        <v>1</v>
      </c>
      <c r="B28" s="10">
        <v>0.18</v>
      </c>
      <c r="C28" s="10">
        <v>3.927</v>
      </c>
      <c r="D28" s="10">
        <f t="shared" si="1"/>
        <v>1.5707963267948966</v>
      </c>
      <c r="E28" s="10">
        <v>0.1</v>
      </c>
      <c r="F28" s="10">
        <v>0.08</v>
      </c>
      <c r="G28" s="10">
        <v>4.7119999999999997</v>
      </c>
      <c r="H28" s="10">
        <f t="shared" si="2"/>
        <v>1.5707963267948966</v>
      </c>
      <c r="I28" s="10">
        <v>1.4</v>
      </c>
      <c r="J28" s="10">
        <v>0</v>
      </c>
      <c r="K28" s="10">
        <v>0</v>
      </c>
      <c r="L28" s="8">
        <v>-3.2074763439595699E-3</v>
      </c>
      <c r="M28" s="8">
        <v>0.20627745985984799</v>
      </c>
      <c r="N28" s="8">
        <v>-0.18315301835537001</v>
      </c>
      <c r="O28" s="8">
        <v>-0.56037515401840199</v>
      </c>
      <c r="P28" s="8">
        <v>-0.63611704111099199</v>
      </c>
      <c r="Q28" s="8">
        <v>-0.73725110292434703</v>
      </c>
      <c r="R28" s="8">
        <v>-2.3E-3</v>
      </c>
      <c r="S28" s="8">
        <v>0.18809999999999999</v>
      </c>
      <c r="T28" s="8">
        <v>-0.17180000000000001</v>
      </c>
      <c r="U28" s="8">
        <v>-0.65800000000000003</v>
      </c>
      <c r="V28" s="8">
        <v>-0.5544</v>
      </c>
      <c r="W28" s="8">
        <v>-0.63919999999999999</v>
      </c>
      <c r="X28" s="8">
        <f t="shared" si="3"/>
        <v>9.0747634395956997E-4</v>
      </c>
      <c r="Y28" s="8">
        <f t="shared" si="4"/>
        <v>1.8177459859848005E-2</v>
      </c>
      <c r="Z28" s="8">
        <f t="shared" si="5"/>
        <v>1.1353018355370004E-2</v>
      </c>
      <c r="AA28" s="8">
        <f t="shared" si="6"/>
        <v>9.7624845981598041E-2</v>
      </c>
      <c r="AB28" s="8">
        <f t="shared" si="7"/>
        <v>8.1717041110991984E-2</v>
      </c>
      <c r="AC28" s="8">
        <f t="shared" si="8"/>
        <v>9.8051102924347044E-2</v>
      </c>
    </row>
    <row r="29" spans="1:29" x14ac:dyDescent="0.25">
      <c r="A29" s="10">
        <v>0.7</v>
      </c>
      <c r="B29" s="10">
        <v>0.2</v>
      </c>
      <c r="C29" s="10">
        <v>3.927</v>
      </c>
      <c r="D29" s="10">
        <f t="shared" si="1"/>
        <v>1.5707963267948966</v>
      </c>
      <c r="E29" s="10">
        <v>0.2</v>
      </c>
      <c r="F29" s="10">
        <v>0.02</v>
      </c>
      <c r="G29" s="10">
        <v>3.927</v>
      </c>
      <c r="H29" s="10">
        <f t="shared" si="2"/>
        <v>1.5707963267948966</v>
      </c>
      <c r="I29" s="10">
        <v>0.4</v>
      </c>
      <c r="J29" s="10">
        <v>0</v>
      </c>
      <c r="K29" s="10">
        <v>0</v>
      </c>
      <c r="L29" s="8">
        <v>-7.4698124080896399E-4</v>
      </c>
      <c r="M29" s="8">
        <v>0.110706090927124</v>
      </c>
      <c r="N29" s="8">
        <v>-0.128691270947456</v>
      </c>
      <c r="O29" s="8">
        <v>-0.39982143044471702</v>
      </c>
      <c r="P29" s="8">
        <v>-0.49842935800552401</v>
      </c>
      <c r="Q29" s="8">
        <v>-0.30814808607101402</v>
      </c>
      <c r="R29" s="8">
        <v>-5.0000000000000001E-4</v>
      </c>
      <c r="S29" s="8">
        <v>0.1464</v>
      </c>
      <c r="T29" s="8">
        <v>-0.1464</v>
      </c>
      <c r="U29" s="8">
        <v>-0.42180000000000001</v>
      </c>
      <c r="V29" s="8">
        <v>-0.54790000000000005</v>
      </c>
      <c r="W29" s="8">
        <v>-0.5464</v>
      </c>
      <c r="X29" s="8">
        <f t="shared" si="3"/>
        <v>2.4698124080896398E-4</v>
      </c>
      <c r="Y29" s="8">
        <f t="shared" si="4"/>
        <v>3.5693909072876007E-2</v>
      </c>
      <c r="Z29" s="8">
        <f t="shared" si="5"/>
        <v>1.7708729052544003E-2</v>
      </c>
      <c r="AA29" s="8">
        <f t="shared" si="6"/>
        <v>2.197856955528299E-2</v>
      </c>
      <c r="AB29" s="8">
        <f t="shared" si="7"/>
        <v>4.9470641994476039E-2</v>
      </c>
      <c r="AC29" s="8">
        <f t="shared" si="8"/>
        <v>0.23825191392898598</v>
      </c>
    </row>
    <row r="30" spans="1:29" x14ac:dyDescent="0.25">
      <c r="A30" s="10">
        <v>1</v>
      </c>
      <c r="B30" s="10">
        <v>0.2</v>
      </c>
      <c r="C30" s="10">
        <v>3.927</v>
      </c>
      <c r="D30" s="10">
        <f t="shared" si="1"/>
        <v>1.5707963267948966</v>
      </c>
      <c r="E30" s="10">
        <v>1</v>
      </c>
      <c r="F30" s="10">
        <v>0.06</v>
      </c>
      <c r="G30" s="10">
        <v>3.927</v>
      </c>
      <c r="H30" s="10">
        <f t="shared" si="2"/>
        <v>1.5707963267948966</v>
      </c>
      <c r="I30" s="10">
        <v>0.2</v>
      </c>
      <c r="J30" s="10">
        <v>0</v>
      </c>
      <c r="K30" s="10">
        <v>0</v>
      </c>
      <c r="L30" s="8">
        <v>-3.93409747630358E-3</v>
      </c>
      <c r="M30" s="8">
        <v>0.26014894247055098</v>
      </c>
      <c r="N30" s="8">
        <v>-0.247706294059753</v>
      </c>
      <c r="O30" s="8">
        <v>-0.95730906724929798</v>
      </c>
      <c r="P30" s="8">
        <v>-1.0179207324981701</v>
      </c>
      <c r="Q30" s="8">
        <v>-0.96642386913299605</v>
      </c>
      <c r="R30" s="8">
        <v>-4.0000000000000002E-4</v>
      </c>
      <c r="S30" s="8">
        <v>0.2606</v>
      </c>
      <c r="T30" s="8">
        <v>-0.2606</v>
      </c>
      <c r="U30" s="8">
        <v>-1.3205</v>
      </c>
      <c r="V30" s="8">
        <v>-1.0181</v>
      </c>
      <c r="W30" s="8">
        <v>-1.0159</v>
      </c>
      <c r="X30" s="8">
        <f t="shared" si="3"/>
        <v>3.5340974763035798E-3</v>
      </c>
      <c r="Y30" s="8">
        <f t="shared" si="4"/>
        <v>4.5105752944901711E-4</v>
      </c>
      <c r="Z30" s="8">
        <f t="shared" si="5"/>
        <v>1.2893705940246997E-2</v>
      </c>
      <c r="AA30" s="8">
        <f t="shared" si="6"/>
        <v>0.36319093275070202</v>
      </c>
      <c r="AB30" s="8">
        <f t="shared" si="7"/>
        <v>1.7926750182994944E-4</v>
      </c>
      <c r="AC30" s="8">
        <f t="shared" si="8"/>
        <v>4.9476130867003976E-2</v>
      </c>
    </row>
    <row r="31" spans="1:29" x14ac:dyDescent="0.25">
      <c r="A31" s="10">
        <v>0.1</v>
      </c>
      <c r="B31" s="10">
        <v>0.1</v>
      </c>
      <c r="C31" s="10">
        <v>4.7119999999999997</v>
      </c>
      <c r="D31" s="10">
        <f t="shared" si="1"/>
        <v>1.5707963267948966</v>
      </c>
      <c r="E31" s="10">
        <v>0.2</v>
      </c>
      <c r="F31" s="10">
        <v>0.02</v>
      </c>
      <c r="G31" s="10">
        <v>3.1419999999999999</v>
      </c>
      <c r="H31" s="10">
        <f t="shared" si="2"/>
        <v>1.5707963267948966</v>
      </c>
      <c r="I31" s="10">
        <v>0</v>
      </c>
      <c r="J31" s="10">
        <v>0</v>
      </c>
      <c r="K31" s="10">
        <v>0</v>
      </c>
      <c r="L31" s="8">
        <v>-2.4949701037257899E-4</v>
      </c>
      <c r="M31" s="8">
        <v>1.1188399977982001E-2</v>
      </c>
      <c r="N31" s="8">
        <v>-2.3344287648797001E-2</v>
      </c>
      <c r="O31" s="8">
        <v>-4.5918696559965602E-3</v>
      </c>
      <c r="P31" s="8">
        <v>-0.20488628745078999</v>
      </c>
      <c r="Q31" s="8">
        <v>-6.8177700042724595E-2</v>
      </c>
      <c r="R31" s="8">
        <v>0</v>
      </c>
      <c r="S31" s="8">
        <v>1.9E-2</v>
      </c>
      <c r="T31" s="8">
        <v>-2.1899999999999999E-2</v>
      </c>
      <c r="U31" s="8">
        <v>-2.5999999999999999E-3</v>
      </c>
      <c r="V31" s="8">
        <v>-0.2</v>
      </c>
      <c r="W31" s="8">
        <v>-0.10009999999999999</v>
      </c>
      <c r="X31" s="8">
        <f t="shared" si="3"/>
        <v>2.4949701037257899E-4</v>
      </c>
      <c r="Y31" s="8">
        <f t="shared" si="4"/>
        <v>7.8116000220179987E-3</v>
      </c>
      <c r="Z31" s="8">
        <f t="shared" si="5"/>
        <v>1.4442876487970012E-3</v>
      </c>
      <c r="AA31" s="8">
        <f t="shared" si="6"/>
        <v>1.9918696559965603E-3</v>
      </c>
      <c r="AB31" s="8">
        <f t="shared" si="7"/>
        <v>4.8862874507899778E-3</v>
      </c>
      <c r="AC31" s="8">
        <f t="shared" si="8"/>
        <v>3.1922299957275399E-2</v>
      </c>
    </row>
    <row r="32" spans="1:29" x14ac:dyDescent="0.25">
      <c r="A32" s="10">
        <v>0.3</v>
      </c>
      <c r="B32" s="10">
        <v>0.1</v>
      </c>
      <c r="C32" s="10">
        <v>4.7119999999999997</v>
      </c>
      <c r="D32" s="10">
        <f t="shared" si="1"/>
        <v>1.5707963267948966</v>
      </c>
      <c r="E32" s="10">
        <v>0.8</v>
      </c>
      <c r="F32" s="10">
        <v>0.04</v>
      </c>
      <c r="G32" s="10">
        <v>3.927</v>
      </c>
      <c r="H32" s="10">
        <f t="shared" si="2"/>
        <v>1.5707963267948966</v>
      </c>
      <c r="I32" s="10">
        <v>0.4</v>
      </c>
      <c r="J32" s="10">
        <v>0</v>
      </c>
      <c r="K32" s="10">
        <v>0</v>
      </c>
      <c r="L32" s="8">
        <v>-1.44378747791052E-4</v>
      </c>
      <c r="M32" s="8">
        <v>0.122855387628078</v>
      </c>
      <c r="N32" s="8">
        <v>-6.9621779024600997E-2</v>
      </c>
      <c r="O32" s="8">
        <v>-7.5552083551883698E-2</v>
      </c>
      <c r="P32" s="8">
        <v>-0.53028601408004805</v>
      </c>
      <c r="Q32" s="8">
        <v>-0.79531830549240101</v>
      </c>
      <c r="R32" s="8">
        <v>-2.0000000000000001E-4</v>
      </c>
      <c r="S32" s="8">
        <v>0.13020000000000001</v>
      </c>
      <c r="T32" s="8">
        <v>-7.3400000000000007E-2</v>
      </c>
      <c r="U32" s="8">
        <v>-6.9400000000000003E-2</v>
      </c>
      <c r="V32" s="8">
        <v>-0.56510000000000005</v>
      </c>
      <c r="W32" s="8">
        <v>-0.86329999999999996</v>
      </c>
      <c r="X32" s="8">
        <f t="shared" si="3"/>
        <v>5.5621252208948009E-5</v>
      </c>
      <c r="Y32" s="8">
        <f t="shared" si="4"/>
        <v>7.3446123719220074E-3</v>
      </c>
      <c r="Z32" s="8">
        <f t="shared" si="5"/>
        <v>3.7782209753990104E-3</v>
      </c>
      <c r="AA32" s="8">
        <f t="shared" si="6"/>
        <v>6.1520835518836942E-3</v>
      </c>
      <c r="AB32" s="8">
        <f t="shared" si="7"/>
        <v>3.4813985919951995E-2</v>
      </c>
      <c r="AC32" s="8">
        <f t="shared" si="8"/>
        <v>6.7981694507598944E-2</v>
      </c>
    </row>
    <row r="33" spans="1:29" x14ac:dyDescent="0.25">
      <c r="A33" s="10">
        <v>1</v>
      </c>
      <c r="B33" s="10">
        <v>0.1</v>
      </c>
      <c r="C33" s="10">
        <v>4.7119999999999997</v>
      </c>
      <c r="D33" s="10">
        <f t="shared" si="1"/>
        <v>1.5707963267948966</v>
      </c>
      <c r="E33" s="10">
        <v>0.1</v>
      </c>
      <c r="F33" s="10">
        <v>0.04</v>
      </c>
      <c r="G33" s="10">
        <v>4.7119999999999997</v>
      </c>
      <c r="H33" s="10">
        <f t="shared" si="2"/>
        <v>1.5707963267948966</v>
      </c>
      <c r="I33" s="10">
        <v>0</v>
      </c>
      <c r="J33" s="10">
        <v>0</v>
      </c>
      <c r="K33" s="10">
        <v>0</v>
      </c>
      <c r="L33" s="8">
        <v>2.13603163138032E-3</v>
      </c>
      <c r="M33" s="8">
        <v>0.22294643521308899</v>
      </c>
      <c r="N33" s="8">
        <v>-3.3264472149312501E-3</v>
      </c>
      <c r="O33" s="8">
        <v>-0.25940474867820701</v>
      </c>
      <c r="P33" s="8">
        <v>-2.7135983109474199E-2</v>
      </c>
      <c r="Q33" s="8">
        <v>-1.17376625537872</v>
      </c>
      <c r="R33" s="8">
        <v>0</v>
      </c>
      <c r="S33" s="8">
        <v>0.19980000000000001</v>
      </c>
      <c r="T33" s="8">
        <v>-1E-4</v>
      </c>
      <c r="U33" s="8">
        <v>-0.25019999999999998</v>
      </c>
      <c r="V33" s="8">
        <v>-4.0000000000000002E-4</v>
      </c>
      <c r="W33" s="8">
        <v>-1.0708</v>
      </c>
      <c r="X33" s="8">
        <f t="shared" si="3"/>
        <v>2.13603163138032E-3</v>
      </c>
      <c r="Y33" s="8">
        <f t="shared" si="4"/>
        <v>2.3146435213088984E-2</v>
      </c>
      <c r="Z33" s="8">
        <f t="shared" si="5"/>
        <v>3.2264472149312502E-3</v>
      </c>
      <c r="AA33" s="8">
        <f t="shared" si="6"/>
        <v>9.2047486782070309E-3</v>
      </c>
      <c r="AB33" s="8">
        <f t="shared" si="7"/>
        <v>2.6735983109474198E-2</v>
      </c>
      <c r="AC33" s="8">
        <f t="shared" si="8"/>
        <v>0.10296625537872006</v>
      </c>
    </row>
    <row r="34" spans="1:29" x14ac:dyDescent="0.25">
      <c r="A34" s="10">
        <v>0.1</v>
      </c>
      <c r="B34" s="10">
        <v>0.1</v>
      </c>
      <c r="C34" s="10">
        <v>4.7119999999999997</v>
      </c>
      <c r="D34" s="10">
        <f t="shared" si="1"/>
        <v>1.5707963267948966</v>
      </c>
      <c r="E34" s="10">
        <v>1</v>
      </c>
      <c r="F34" s="10">
        <v>0.08</v>
      </c>
      <c r="G34" s="10">
        <v>4.7119999999999997</v>
      </c>
      <c r="H34" s="10">
        <f t="shared" si="2"/>
        <v>1.5707963267948966</v>
      </c>
      <c r="I34" s="10">
        <v>1.4</v>
      </c>
      <c r="J34" s="10">
        <v>0</v>
      </c>
      <c r="K34" s="10">
        <v>0</v>
      </c>
      <c r="L34" s="8">
        <v>-2.9623867012560398E-3</v>
      </c>
      <c r="M34" s="8">
        <v>0.167345225811005</v>
      </c>
      <c r="N34" s="8">
        <v>-2.4530226364731799E-2</v>
      </c>
      <c r="O34" s="8">
        <v>-0.11945986747741701</v>
      </c>
      <c r="P34" s="8">
        <v>-0.14860638976097101</v>
      </c>
      <c r="Q34" s="8">
        <v>-0.949754118919373</v>
      </c>
      <c r="R34" s="8">
        <v>-1.6999999999999999E-3</v>
      </c>
      <c r="S34" s="8">
        <v>0.18759999999999999</v>
      </c>
      <c r="T34" s="8">
        <v>-1E-4</v>
      </c>
      <c r="U34" s="8">
        <v>-0.16339999999999999</v>
      </c>
      <c r="V34" s="8">
        <v>-2.3E-3</v>
      </c>
      <c r="W34" s="8">
        <v>-1.0878000000000001</v>
      </c>
      <c r="X34" s="8">
        <f t="shared" si="3"/>
        <v>1.2623867012560399E-3</v>
      </c>
      <c r="Y34" s="8">
        <f t="shared" si="4"/>
        <v>2.0254774188994989E-2</v>
      </c>
      <c r="Z34" s="8">
        <f t="shared" si="5"/>
        <v>2.44302263647318E-2</v>
      </c>
      <c r="AA34" s="8">
        <f t="shared" si="6"/>
        <v>4.3940132522582984E-2</v>
      </c>
      <c r="AB34" s="8">
        <f t="shared" si="7"/>
        <v>0.14630638976097102</v>
      </c>
      <c r="AC34" s="8">
        <f t="shared" si="8"/>
        <v>0.1380458810806271</v>
      </c>
    </row>
    <row r="35" spans="1:29" x14ac:dyDescent="0.25">
      <c r="A35" s="10">
        <v>0.9</v>
      </c>
      <c r="B35" s="10">
        <v>0.12</v>
      </c>
      <c r="C35" s="10">
        <v>4.7119999999999997</v>
      </c>
      <c r="D35" s="10">
        <f t="shared" si="1"/>
        <v>1.5707963267948966</v>
      </c>
      <c r="E35" s="10">
        <v>0.9</v>
      </c>
      <c r="F35" s="10">
        <v>0.02</v>
      </c>
      <c r="G35" s="10">
        <v>3.1419999999999999</v>
      </c>
      <c r="H35" s="10">
        <f t="shared" si="2"/>
        <v>1.5707963267948966</v>
      </c>
      <c r="I35" s="10">
        <v>0</v>
      </c>
      <c r="J35" s="10">
        <v>0</v>
      </c>
      <c r="K35" s="10">
        <v>0</v>
      </c>
      <c r="L35" s="8">
        <v>-7.8027322888374296E-4</v>
      </c>
      <c r="M35" s="8">
        <v>0.20929773151874501</v>
      </c>
      <c r="N35" s="8">
        <v>-9.5626659691333799E-2</v>
      </c>
      <c r="O35" s="8">
        <v>-0.33798754215240501</v>
      </c>
      <c r="P35" s="8">
        <v>-0.8543701171875</v>
      </c>
      <c r="Q35" s="8">
        <v>-0.97470813989639304</v>
      </c>
      <c r="R35" s="8">
        <v>0</v>
      </c>
      <c r="S35" s="8">
        <v>0.18429999999999999</v>
      </c>
      <c r="T35" s="8">
        <v>-9.8299999999999998E-2</v>
      </c>
      <c r="U35" s="8">
        <v>-0.27539999999999998</v>
      </c>
      <c r="V35" s="8">
        <v>-0.89829999999999999</v>
      </c>
      <c r="W35" s="8">
        <v>-0.8589</v>
      </c>
      <c r="X35" s="8">
        <f t="shared" si="3"/>
        <v>7.8027322888374296E-4</v>
      </c>
      <c r="Y35" s="8">
        <f t="shared" si="4"/>
        <v>2.4997731518745014E-2</v>
      </c>
      <c r="Z35" s="8">
        <f t="shared" si="5"/>
        <v>2.6733403086662E-3</v>
      </c>
      <c r="AA35" s="8">
        <f t="shared" si="6"/>
        <v>6.2587542152405029E-2</v>
      </c>
      <c r="AB35" s="8">
        <f t="shared" si="7"/>
        <v>4.3929882812499987E-2</v>
      </c>
      <c r="AC35" s="8">
        <f t="shared" si="8"/>
        <v>0.11580813989639305</v>
      </c>
    </row>
    <row r="36" spans="1:29" x14ac:dyDescent="0.25">
      <c r="A36" s="10">
        <v>1</v>
      </c>
      <c r="B36" s="10">
        <v>0.12</v>
      </c>
      <c r="C36" s="10">
        <v>4.7119999999999997</v>
      </c>
      <c r="D36" s="10">
        <f t="shared" si="1"/>
        <v>1.5707963267948966</v>
      </c>
      <c r="E36" s="10">
        <v>0.8</v>
      </c>
      <c r="F36" s="10">
        <v>0.08</v>
      </c>
      <c r="G36" s="10">
        <v>3.1419999999999999</v>
      </c>
      <c r="H36" s="10">
        <f t="shared" si="2"/>
        <v>1.5707963267948966</v>
      </c>
      <c r="I36" s="10">
        <v>1.2</v>
      </c>
      <c r="J36" s="10">
        <v>0</v>
      </c>
      <c r="K36" s="10">
        <v>0</v>
      </c>
      <c r="L36" s="8">
        <v>-5.3540230728685899E-3</v>
      </c>
      <c r="M36" s="8">
        <v>0.23577138781547499</v>
      </c>
      <c r="N36" s="8">
        <v>-0.12704449892044101</v>
      </c>
      <c r="O36" s="8">
        <v>-0.53383183479309104</v>
      </c>
      <c r="P36" s="8">
        <v>-0.71507501602172896</v>
      </c>
      <c r="Q36" s="8">
        <v>-1.0263080596923799</v>
      </c>
      <c r="R36" s="8">
        <v>-2.2000000000000001E-3</v>
      </c>
      <c r="S36" s="8">
        <v>0.2041</v>
      </c>
      <c r="T36" s="8">
        <v>-0.13339999999999999</v>
      </c>
      <c r="U36" s="8">
        <v>-0.37419999999999998</v>
      </c>
      <c r="V36" s="8">
        <v>-0.77939999999999998</v>
      </c>
      <c r="W36" s="8">
        <v>-0.94550000000000001</v>
      </c>
      <c r="X36" s="8">
        <f t="shared" si="3"/>
        <v>3.1540230728685898E-3</v>
      </c>
      <c r="Y36" s="8">
        <f t="shared" si="4"/>
        <v>3.1671387815474988E-2</v>
      </c>
      <c r="Z36" s="8">
        <f t="shared" si="5"/>
        <v>6.3555010795589839E-3</v>
      </c>
      <c r="AA36" s="8">
        <f t="shared" si="6"/>
        <v>0.15963183479309107</v>
      </c>
      <c r="AB36" s="8">
        <f t="shared" si="7"/>
        <v>6.4324983978271022E-2</v>
      </c>
      <c r="AC36" s="8">
        <f t="shared" si="8"/>
        <v>8.0808059692379919E-2</v>
      </c>
    </row>
    <row r="37" spans="1:29" x14ac:dyDescent="0.25">
      <c r="A37" s="10">
        <v>0.3</v>
      </c>
      <c r="B37" s="10">
        <v>0.18</v>
      </c>
      <c r="C37" s="10">
        <v>4.7119999999999997</v>
      </c>
      <c r="D37" s="10">
        <f t="shared" si="1"/>
        <v>1.5707963267948966</v>
      </c>
      <c r="E37" s="10">
        <v>0.3</v>
      </c>
      <c r="F37" s="10">
        <v>0.06</v>
      </c>
      <c r="G37" s="10">
        <v>3.1419999999999999</v>
      </c>
      <c r="H37" s="10">
        <f t="shared" si="2"/>
        <v>1.5707963267948966</v>
      </c>
      <c r="I37" s="10">
        <v>1.4</v>
      </c>
      <c r="J37" s="10">
        <v>0</v>
      </c>
      <c r="K37" s="10">
        <v>0</v>
      </c>
      <c r="L37" s="8">
        <v>-1.7680961173027799E-3</v>
      </c>
      <c r="M37" s="8">
        <v>6.0080211609602002E-2</v>
      </c>
      <c r="N37" s="8">
        <v>-4.9739588052034399E-2</v>
      </c>
      <c r="O37" s="8">
        <v>-3.2015025615692097E-2</v>
      </c>
      <c r="P37" s="8">
        <v>-0.322286486625671</v>
      </c>
      <c r="Q37" s="8">
        <v>-0.222265124320984</v>
      </c>
      <c r="R37" s="8">
        <v>-2.0999999999999999E-3</v>
      </c>
      <c r="S37" s="8">
        <v>8.0600000000000005E-2</v>
      </c>
      <c r="T37" s="8">
        <v>-4.48E-2</v>
      </c>
      <c r="U37" s="8">
        <v>-5.3499999999999999E-2</v>
      </c>
      <c r="V37" s="8">
        <v>-0.3004</v>
      </c>
      <c r="W37" s="8">
        <v>-0.2954</v>
      </c>
      <c r="X37" s="8">
        <f t="shared" si="3"/>
        <v>3.3190388269721993E-4</v>
      </c>
      <c r="Y37" s="8">
        <f t="shared" si="4"/>
        <v>2.0519788390398003E-2</v>
      </c>
      <c r="Z37" s="8">
        <f t="shared" si="5"/>
        <v>4.9395880520343993E-3</v>
      </c>
      <c r="AA37" s="8">
        <f t="shared" si="6"/>
        <v>2.1484974384307902E-2</v>
      </c>
      <c r="AB37" s="8">
        <f t="shared" si="7"/>
        <v>2.1886486625670998E-2</v>
      </c>
      <c r="AC37" s="8">
        <f t="shared" si="8"/>
        <v>7.3134875679015998E-2</v>
      </c>
    </row>
    <row r="38" spans="1:29" x14ac:dyDescent="0.25">
      <c r="A38" s="10">
        <v>0.9</v>
      </c>
      <c r="B38" s="10">
        <v>0.18</v>
      </c>
      <c r="C38" s="10">
        <v>4.7119999999999997</v>
      </c>
      <c r="D38" s="10">
        <f t="shared" si="1"/>
        <v>1.5707963267948966</v>
      </c>
      <c r="E38" s="10">
        <v>0.2</v>
      </c>
      <c r="F38" s="10">
        <v>0.08</v>
      </c>
      <c r="G38" s="10">
        <v>3.1419999999999999</v>
      </c>
      <c r="H38" s="10">
        <f t="shared" si="2"/>
        <v>1.5707963267948966</v>
      </c>
      <c r="I38" s="10">
        <v>0.2</v>
      </c>
      <c r="J38" s="10">
        <v>0</v>
      </c>
      <c r="K38" s="10">
        <v>0</v>
      </c>
      <c r="L38" s="8">
        <v>-7.3416158556938198E-5</v>
      </c>
      <c r="M38" s="8">
        <v>0.209005877375603</v>
      </c>
      <c r="N38" s="8">
        <v>-3.9002325385808903E-2</v>
      </c>
      <c r="O38" s="8">
        <v>-0.50677508115768399</v>
      </c>
      <c r="P38" s="8">
        <v>-0.22871214151382399</v>
      </c>
      <c r="Q38" s="8">
        <v>-0.63768112659454301</v>
      </c>
      <c r="R38" s="8">
        <v>-8.9999999999999998E-4</v>
      </c>
      <c r="S38" s="8">
        <v>0.21870000000000001</v>
      </c>
      <c r="T38" s="8">
        <v>-3.27E-2</v>
      </c>
      <c r="U38" s="8">
        <v>-0.56420000000000003</v>
      </c>
      <c r="V38" s="8">
        <v>-0.19</v>
      </c>
      <c r="W38" s="8">
        <v>-0.70420000000000005</v>
      </c>
      <c r="X38" s="8">
        <f t="shared" si="3"/>
        <v>8.265838414430618E-4</v>
      </c>
      <c r="Y38" s="8">
        <f t="shared" si="4"/>
        <v>9.6941226243970058E-3</v>
      </c>
      <c r="Z38" s="8">
        <f t="shared" si="5"/>
        <v>6.3023253858089032E-3</v>
      </c>
      <c r="AA38" s="8">
        <f t="shared" si="6"/>
        <v>5.7424918842316042E-2</v>
      </c>
      <c r="AB38" s="8">
        <f t="shared" si="7"/>
        <v>3.8712141513823989E-2</v>
      </c>
      <c r="AC38" s="8">
        <f t="shared" si="8"/>
        <v>6.6518873405457035E-2</v>
      </c>
    </row>
    <row r="39" spans="1:29" x14ac:dyDescent="0.25">
      <c r="A39" s="10">
        <v>0.1</v>
      </c>
      <c r="B39" s="10">
        <v>0.18</v>
      </c>
      <c r="C39" s="10">
        <v>4.7119999999999997</v>
      </c>
      <c r="D39" s="10">
        <f t="shared" si="1"/>
        <v>1.5707963267948966</v>
      </c>
      <c r="E39" s="10">
        <v>1</v>
      </c>
      <c r="F39" s="10">
        <v>0.02</v>
      </c>
      <c r="G39" s="10">
        <v>4.7119999999999997</v>
      </c>
      <c r="H39" s="10">
        <f t="shared" si="2"/>
        <v>1.5707963267948966</v>
      </c>
      <c r="I39" s="10">
        <v>0</v>
      </c>
      <c r="J39" s="10">
        <v>0</v>
      </c>
      <c r="K39" s="10">
        <v>0</v>
      </c>
      <c r="L39" s="8">
        <v>1.8433155491948101E-4</v>
      </c>
      <c r="M39" s="8">
        <v>0.11752788722515101</v>
      </c>
      <c r="N39" s="8">
        <v>1.77300837822258E-3</v>
      </c>
      <c r="O39" s="8">
        <v>-3.8502156734466601E-2</v>
      </c>
      <c r="P39" s="8">
        <v>7.6181143522262599E-3</v>
      </c>
      <c r="Q39" s="8">
        <v>-0.99801015853881803</v>
      </c>
      <c r="R39" s="8">
        <v>0</v>
      </c>
      <c r="S39" s="8">
        <v>0.13639999999999999</v>
      </c>
      <c r="T39" s="8">
        <v>-1E-4</v>
      </c>
      <c r="U39" s="8">
        <v>-3.1699999999999999E-2</v>
      </c>
      <c r="V39" s="8">
        <v>-4.0000000000000002E-4</v>
      </c>
      <c r="W39" s="8">
        <v>-1.0992999999999999</v>
      </c>
      <c r="X39" s="8">
        <f t="shared" si="3"/>
        <v>1.8433155491948101E-4</v>
      </c>
      <c r="Y39" s="8">
        <f t="shared" si="4"/>
        <v>1.8872112774848987E-2</v>
      </c>
      <c r="Z39" s="8">
        <f t="shared" si="5"/>
        <v>1.87300837822258E-3</v>
      </c>
      <c r="AA39" s="8">
        <f t="shared" si="6"/>
        <v>6.8021567344666023E-3</v>
      </c>
      <c r="AB39" s="8">
        <f t="shared" si="7"/>
        <v>8.0181143522262601E-3</v>
      </c>
      <c r="AC39" s="8">
        <f t="shared" si="8"/>
        <v>0.10128984146118192</v>
      </c>
    </row>
    <row r="40" spans="1:29" x14ac:dyDescent="0.25">
      <c r="A40" s="10">
        <v>0.8</v>
      </c>
      <c r="B40" s="10">
        <v>0.18</v>
      </c>
      <c r="C40" s="10">
        <v>4.7119999999999997</v>
      </c>
      <c r="D40" s="10">
        <f t="shared" si="1"/>
        <v>1.5707963267948966</v>
      </c>
      <c r="E40" s="10">
        <v>0.6</v>
      </c>
      <c r="F40" s="10">
        <v>0.06</v>
      </c>
      <c r="G40" s="10">
        <v>4.7119999999999997</v>
      </c>
      <c r="H40" s="10">
        <f t="shared" si="2"/>
        <v>1.5707963267948966</v>
      </c>
      <c r="I40" s="10">
        <v>1</v>
      </c>
      <c r="J40" s="10">
        <v>0</v>
      </c>
      <c r="K40" s="10">
        <v>0</v>
      </c>
      <c r="L40" s="8">
        <v>-5.2668377757072397E-3</v>
      </c>
      <c r="M40" s="8">
        <v>0.27689665555954002</v>
      </c>
      <c r="N40" s="8">
        <v>-1.6046434640884399E-2</v>
      </c>
      <c r="O40" s="8">
        <v>-0.47105222940444902</v>
      </c>
      <c r="P40" s="8">
        <v>-0.10896006226539599</v>
      </c>
      <c r="Q40" s="8">
        <v>-1.1885303258895901</v>
      </c>
      <c r="R40" s="8">
        <v>-4.4999999999999997E-3</v>
      </c>
      <c r="S40" s="8">
        <v>0.28349999999999997</v>
      </c>
      <c r="T40" s="8">
        <v>-1E-4</v>
      </c>
      <c r="U40" s="8">
        <v>-0.68269999999999997</v>
      </c>
      <c r="V40" s="8">
        <v>-1.1900000000000001E-2</v>
      </c>
      <c r="W40" s="8">
        <v>-1.2096</v>
      </c>
      <c r="X40" s="8">
        <f t="shared" si="3"/>
        <v>7.6683777570724001E-4</v>
      </c>
      <c r="Y40" s="8">
        <f t="shared" si="4"/>
        <v>6.6033444404599573E-3</v>
      </c>
      <c r="Z40" s="8">
        <f t="shared" si="5"/>
        <v>1.59464346408844E-2</v>
      </c>
      <c r="AA40" s="8">
        <f t="shared" si="6"/>
        <v>0.21164777059555095</v>
      </c>
      <c r="AB40" s="8">
        <f t="shared" si="7"/>
        <v>9.7060062265395985E-2</v>
      </c>
      <c r="AC40" s="8">
        <f t="shared" si="8"/>
        <v>2.1069674110409942E-2</v>
      </c>
    </row>
    <row r="41" spans="1:29" x14ac:dyDescent="0.25">
      <c r="A41" s="10">
        <v>1</v>
      </c>
      <c r="B41" s="10">
        <v>0.2</v>
      </c>
      <c r="C41" s="10">
        <v>4.7119999999999997</v>
      </c>
      <c r="D41" s="10">
        <f t="shared" si="1"/>
        <v>1.5707963267948966</v>
      </c>
      <c r="E41" s="10">
        <v>0.8</v>
      </c>
      <c r="F41" s="10">
        <v>0.02</v>
      </c>
      <c r="G41" s="10">
        <v>3.1419999999999999</v>
      </c>
      <c r="H41" s="10">
        <f t="shared" si="2"/>
        <v>1.5707963267948966</v>
      </c>
      <c r="I41" s="10">
        <v>1.4</v>
      </c>
      <c r="J41" s="10">
        <v>0</v>
      </c>
      <c r="K41" s="10">
        <v>0</v>
      </c>
      <c r="L41" s="8">
        <v>-1.2570786289870701E-2</v>
      </c>
      <c r="M41" s="8">
        <v>0.239984765648842</v>
      </c>
      <c r="N41" s="8">
        <v>-9.4180338084697696E-2</v>
      </c>
      <c r="O41" s="8">
        <v>-0.68777251243591297</v>
      </c>
      <c r="P41" s="8">
        <v>-0.81574249267578103</v>
      </c>
      <c r="Q41" s="8">
        <v>-0.66350710391998302</v>
      </c>
      <c r="R41" s="8">
        <v>-8.6999999999999994E-3</v>
      </c>
      <c r="S41" s="8">
        <v>0.24410000000000001</v>
      </c>
      <c r="T41" s="8">
        <v>-8.6900000000000005E-2</v>
      </c>
      <c r="U41" s="8">
        <v>-0.74209999999999998</v>
      </c>
      <c r="V41" s="8">
        <v>-0.82110000000000005</v>
      </c>
      <c r="W41" s="8">
        <v>-0.66659999999999997</v>
      </c>
      <c r="X41" s="8">
        <f t="shared" si="3"/>
        <v>3.8707862898707014E-3</v>
      </c>
      <c r="Y41" s="8">
        <f t="shared" si="4"/>
        <v>4.1152343511580147E-3</v>
      </c>
      <c r="Z41" s="8">
        <f t="shared" si="5"/>
        <v>7.2803380846976906E-3</v>
      </c>
      <c r="AA41" s="8">
        <f t="shared" si="6"/>
        <v>5.4327487564087007E-2</v>
      </c>
      <c r="AB41" s="8">
        <f t="shared" si="7"/>
        <v>5.3575073242190241E-3</v>
      </c>
      <c r="AC41" s="8">
        <f t="shared" si="8"/>
        <v>3.0928960800169492E-3</v>
      </c>
    </row>
    <row r="42" spans="1:29" x14ac:dyDescent="0.25">
      <c r="A42" s="10">
        <v>0.2</v>
      </c>
      <c r="B42" s="10">
        <v>0.2</v>
      </c>
      <c r="C42" s="10">
        <v>4.7119999999999997</v>
      </c>
      <c r="D42" s="10">
        <f t="shared" si="1"/>
        <v>1.5707963267948966</v>
      </c>
      <c r="E42" s="10">
        <v>0.1</v>
      </c>
      <c r="F42" s="10">
        <v>0.08</v>
      </c>
      <c r="G42" s="10">
        <v>3.927</v>
      </c>
      <c r="H42" s="10">
        <f t="shared" si="2"/>
        <v>1.5707963267948966</v>
      </c>
      <c r="I42" s="10">
        <v>0</v>
      </c>
      <c r="J42" s="10">
        <v>0</v>
      </c>
      <c r="K42" s="10">
        <v>0</v>
      </c>
      <c r="L42" s="8">
        <v>2.25764350034297E-4</v>
      </c>
      <c r="M42" s="8">
        <v>5.42946308851242E-2</v>
      </c>
      <c r="N42" s="8">
        <v>-1.43192345276475E-2</v>
      </c>
      <c r="O42" s="8">
        <v>-3.8537099957466098E-2</v>
      </c>
      <c r="P42" s="8">
        <v>-8.5683420300483704E-2</v>
      </c>
      <c r="Q42" s="8">
        <v>-0.207838654518127</v>
      </c>
      <c r="R42" s="8">
        <v>0</v>
      </c>
      <c r="S42" s="8">
        <v>6.9000000000000006E-2</v>
      </c>
      <c r="T42" s="8">
        <v>-1.2E-2</v>
      </c>
      <c r="U42" s="8">
        <v>-4.82E-2</v>
      </c>
      <c r="V42" s="8">
        <v>-7.0400000000000004E-2</v>
      </c>
      <c r="W42" s="8">
        <v>-0.26640000000000003</v>
      </c>
      <c r="X42" s="8">
        <f t="shared" si="3"/>
        <v>2.25764350034297E-4</v>
      </c>
      <c r="Y42" s="8">
        <f t="shared" si="4"/>
        <v>1.4705369114875806E-2</v>
      </c>
      <c r="Z42" s="8">
        <f t="shared" si="5"/>
        <v>2.3192345276475002E-3</v>
      </c>
      <c r="AA42" s="8">
        <f t="shared" si="6"/>
        <v>9.6629000425339021E-3</v>
      </c>
      <c r="AB42" s="8">
        <f t="shared" si="7"/>
        <v>1.5283420300483699E-2</v>
      </c>
      <c r="AC42" s="8">
        <f t="shared" si="8"/>
        <v>5.8561345481873028E-2</v>
      </c>
    </row>
    <row r="43" spans="1:29" ht="15.75" x14ac:dyDescent="0.25">
      <c r="A43" s="8"/>
      <c r="B43" s="9"/>
      <c r="C43" s="8"/>
      <c r="D43" s="8"/>
      <c r="E43" s="9"/>
      <c r="F43" s="9"/>
      <c r="G43" s="8"/>
      <c r="H43" s="8"/>
      <c r="I43" s="8"/>
      <c r="J43" s="8"/>
      <c r="K43" s="8"/>
      <c r="L43" s="6"/>
      <c r="M43" s="6"/>
      <c r="N43" s="6"/>
      <c r="O43" s="6"/>
      <c r="P43" s="6"/>
      <c r="Q43" s="6"/>
      <c r="R43" s="8"/>
      <c r="S43" s="8"/>
      <c r="T43" s="8"/>
      <c r="U43" s="8"/>
      <c r="V43" s="8"/>
      <c r="W43" s="8"/>
      <c r="X43" s="7"/>
      <c r="Y43" s="7"/>
      <c r="Z43" s="7"/>
      <c r="AA43" s="7"/>
      <c r="AB43" s="7"/>
      <c r="AC43" s="7"/>
    </row>
    <row r="44" spans="1:29" ht="15.75" x14ac:dyDescent="0.25">
      <c r="A44" s="8"/>
      <c r="B44" s="9"/>
      <c r="C44" s="8"/>
      <c r="D44" s="8"/>
      <c r="E44" s="9"/>
      <c r="F44" s="9"/>
      <c r="G44" s="8"/>
      <c r="H44" s="8"/>
      <c r="I44" s="8"/>
      <c r="J44" s="8"/>
      <c r="K44" s="8"/>
      <c r="L44" s="6"/>
      <c r="M44" s="6"/>
      <c r="N44" s="6"/>
      <c r="O44" s="6"/>
      <c r="P44" s="6"/>
      <c r="Q44" s="6"/>
      <c r="R44" s="8"/>
      <c r="S44" s="8"/>
      <c r="T44" s="8"/>
      <c r="U44" s="8"/>
      <c r="V44" s="8"/>
      <c r="W44" s="8"/>
      <c r="X44" s="7">
        <f>AVERAGE(X3:X42)</f>
        <v>1.3409449074219437E-3</v>
      </c>
      <c r="Y44" s="7">
        <f t="shared" ref="Y44:AC44" si="9">AVERAGE(Y3:Y42)</f>
        <v>1.7838622469175589E-2</v>
      </c>
      <c r="Z44" s="7">
        <f t="shared" si="9"/>
        <v>8.1971452639624832E-3</v>
      </c>
      <c r="AA44" s="7">
        <f t="shared" si="9"/>
        <v>6.5999680939633459E-2</v>
      </c>
      <c r="AB44" s="7">
        <f t="shared" si="9"/>
        <v>4.2622724233418681E-2</v>
      </c>
      <c r="AC44" s="7">
        <f t="shared" si="9"/>
        <v>8.6322410710155756E-2</v>
      </c>
    </row>
    <row r="45" spans="1:29" ht="15.75" x14ac:dyDescent="0.25">
      <c r="A45" s="8"/>
      <c r="B45" s="9"/>
      <c r="C45" s="8"/>
      <c r="D45" s="8"/>
      <c r="E45" s="9"/>
      <c r="F45" s="9"/>
      <c r="G45" s="8"/>
      <c r="H45" s="8"/>
      <c r="I45" s="8"/>
      <c r="J45" s="8"/>
      <c r="K45" s="8"/>
      <c r="L45" s="6"/>
      <c r="M45" s="6"/>
      <c r="N45" s="6"/>
      <c r="O45" s="6"/>
      <c r="P45" s="6"/>
      <c r="Q45" s="6"/>
      <c r="R45" s="8"/>
      <c r="S45" s="8"/>
      <c r="T45" s="8"/>
      <c r="U45" s="8"/>
      <c r="V45" s="8"/>
      <c r="W45" s="8"/>
      <c r="X45" s="7"/>
      <c r="Y45" s="7"/>
      <c r="Z45" s="7"/>
      <c r="AA45" s="7"/>
      <c r="AB45" s="7"/>
      <c r="AC45" s="7"/>
    </row>
    <row r="46" spans="1:29" ht="15.75" x14ac:dyDescent="0.25">
      <c r="A46" s="8"/>
      <c r="B46" s="9"/>
      <c r="C46" s="8"/>
      <c r="D46" s="8"/>
      <c r="E46" s="9"/>
      <c r="F46" s="9"/>
      <c r="G46" s="8"/>
      <c r="H46" s="8"/>
      <c r="I46" s="8"/>
      <c r="J46" s="8"/>
      <c r="K46" s="8"/>
      <c r="L46" s="6"/>
      <c r="M46" s="6"/>
      <c r="N46" s="6"/>
      <c r="O46" s="6"/>
      <c r="P46" s="6"/>
      <c r="Q46" s="6"/>
      <c r="R46" s="8"/>
      <c r="S46" s="8"/>
      <c r="T46" s="8"/>
      <c r="U46" s="8"/>
      <c r="V46" s="8"/>
      <c r="W46" s="8"/>
      <c r="X46" s="7"/>
      <c r="Y46" s="7"/>
      <c r="Z46" s="7"/>
      <c r="AA46" s="7"/>
      <c r="AB46" s="7"/>
      <c r="AC46" s="7"/>
    </row>
    <row r="47" spans="1:29" ht="15.75" x14ac:dyDescent="0.25">
      <c r="A47" s="8"/>
      <c r="B47" s="9"/>
      <c r="C47" s="8"/>
      <c r="D47" s="8"/>
      <c r="E47" s="9"/>
      <c r="F47" s="9"/>
      <c r="G47" s="8"/>
      <c r="H47" s="8"/>
      <c r="I47" s="8"/>
      <c r="J47" s="8"/>
      <c r="K47" s="8"/>
      <c r="L47" s="6"/>
      <c r="M47" s="6"/>
      <c r="N47" s="6"/>
      <c r="O47" s="6"/>
      <c r="P47" s="6"/>
      <c r="Q47" s="6"/>
      <c r="R47" s="8"/>
      <c r="S47" s="8"/>
      <c r="T47" s="8"/>
      <c r="U47" s="8"/>
      <c r="V47" s="8"/>
      <c r="W47" s="8"/>
      <c r="X47" s="7"/>
      <c r="Y47" s="7"/>
      <c r="Z47" s="7"/>
      <c r="AA47" s="7"/>
      <c r="AB47" s="7"/>
      <c r="AC47" s="7"/>
    </row>
    <row r="48" spans="1:29" ht="15.75" x14ac:dyDescent="0.25">
      <c r="A48" s="8"/>
      <c r="B48" s="9"/>
      <c r="C48" s="8"/>
      <c r="D48" s="8"/>
      <c r="E48" s="9"/>
      <c r="F48" s="9"/>
      <c r="G48" s="8"/>
      <c r="H48" s="8"/>
      <c r="I48" s="8"/>
      <c r="J48" s="8"/>
      <c r="K48" s="8"/>
      <c r="L48" s="6"/>
      <c r="M48" s="6"/>
      <c r="N48" s="6"/>
      <c r="O48" s="6"/>
      <c r="P48" s="6"/>
      <c r="Q48" s="6"/>
      <c r="R48" s="8"/>
      <c r="S48" s="8"/>
      <c r="T48" s="8"/>
      <c r="U48" s="8"/>
      <c r="V48" s="8"/>
      <c r="W48" s="8"/>
      <c r="X48" s="7"/>
      <c r="Y48" s="7"/>
      <c r="Z48" s="7"/>
      <c r="AA48" s="7"/>
      <c r="AB48" s="7"/>
      <c r="AC48" s="7"/>
    </row>
    <row r="49" spans="1:29" ht="15.75" x14ac:dyDescent="0.25">
      <c r="A49" s="8"/>
      <c r="B49" s="9"/>
      <c r="C49" s="8"/>
      <c r="D49" s="8"/>
      <c r="E49" s="9"/>
      <c r="F49" s="9"/>
      <c r="G49" s="8"/>
      <c r="H49" s="8"/>
      <c r="I49" s="8"/>
      <c r="J49" s="8"/>
      <c r="K49" s="8"/>
      <c r="L49" s="6"/>
      <c r="M49" s="6"/>
      <c r="N49" s="6"/>
      <c r="O49" s="6"/>
      <c r="P49" s="6"/>
      <c r="Q49" s="6"/>
      <c r="R49" s="8"/>
      <c r="S49" s="8"/>
      <c r="T49" s="8"/>
      <c r="U49" s="8"/>
      <c r="V49" s="8"/>
      <c r="W49" s="8"/>
      <c r="X49" s="7"/>
      <c r="Y49" s="7"/>
      <c r="Z49" s="7"/>
      <c r="AA49" s="7"/>
      <c r="AB49" s="7"/>
      <c r="AC49" s="7"/>
    </row>
    <row r="50" spans="1:29" ht="15.75" x14ac:dyDescent="0.25">
      <c r="A50" s="8"/>
      <c r="B50" s="9"/>
      <c r="C50" s="8"/>
      <c r="D50" s="8"/>
      <c r="E50" s="9"/>
      <c r="F50" s="9"/>
      <c r="G50" s="8"/>
      <c r="H50" s="8"/>
      <c r="I50" s="8"/>
      <c r="J50" s="8"/>
      <c r="K50" s="8"/>
      <c r="L50" s="6"/>
      <c r="M50" s="6"/>
      <c r="N50" s="6"/>
      <c r="O50" s="6"/>
      <c r="P50" s="6"/>
      <c r="Q50" s="6"/>
      <c r="R50" s="8"/>
      <c r="S50" s="8"/>
      <c r="T50" s="8"/>
      <c r="U50" s="8"/>
      <c r="V50" s="8"/>
      <c r="W50" s="8"/>
      <c r="X50" s="7"/>
      <c r="Y50" s="7"/>
      <c r="Z50" s="7"/>
      <c r="AA50" s="7"/>
      <c r="AB50" s="7"/>
      <c r="AC50" s="7"/>
    </row>
    <row r="51" spans="1:29" ht="15.75" x14ac:dyDescent="0.25">
      <c r="A51" s="8"/>
      <c r="B51" s="9"/>
      <c r="C51" s="8"/>
      <c r="D51" s="8"/>
      <c r="E51" s="9"/>
      <c r="F51" s="9"/>
      <c r="G51" s="8"/>
      <c r="H51" s="8"/>
      <c r="I51" s="8"/>
      <c r="J51" s="8"/>
      <c r="K51" s="8"/>
      <c r="L51" s="6"/>
      <c r="M51" s="6"/>
      <c r="N51" s="6"/>
      <c r="O51" s="6"/>
      <c r="P51" s="6"/>
      <c r="Q51" s="6"/>
      <c r="R51" s="8"/>
      <c r="S51" s="8"/>
      <c r="T51" s="8"/>
      <c r="U51" s="8"/>
      <c r="V51" s="8"/>
      <c r="W51" s="8"/>
      <c r="X51" s="7"/>
      <c r="Y51" s="7"/>
      <c r="Z51" s="7"/>
      <c r="AA51" s="7"/>
      <c r="AB51" s="7"/>
      <c r="AC51" s="7"/>
    </row>
    <row r="52" spans="1:29" ht="15.75" x14ac:dyDescent="0.25">
      <c r="A52" s="8"/>
      <c r="B52" s="9"/>
      <c r="C52" s="8"/>
      <c r="D52" s="8"/>
      <c r="E52" s="9"/>
      <c r="F52" s="9"/>
      <c r="G52" s="8"/>
      <c r="H52" s="8"/>
      <c r="I52" s="8"/>
      <c r="J52" s="8"/>
      <c r="K52" s="8"/>
      <c r="L52" s="6"/>
      <c r="M52" s="6"/>
      <c r="N52" s="6"/>
      <c r="O52" s="6"/>
      <c r="P52" s="6"/>
      <c r="Q52" s="6"/>
      <c r="R52" s="8"/>
      <c r="S52" s="8"/>
      <c r="T52" s="8"/>
      <c r="U52" s="8"/>
      <c r="V52" s="8"/>
      <c r="W52" s="8"/>
      <c r="X52" s="7"/>
      <c r="Y52" s="7"/>
      <c r="Z52" s="7"/>
      <c r="AA52" s="7"/>
      <c r="AB52" s="7"/>
      <c r="AC52" s="7"/>
    </row>
  </sheetData>
  <mergeCells count="4">
    <mergeCell ref="A1:K1"/>
    <mergeCell ref="L1:Q1"/>
    <mergeCell ref="R1:W1"/>
    <mergeCell ref="X1:A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7EFE67-730D-45A5-9324-1291EE7BD511}">
  <dimension ref="A1:AU52"/>
  <sheetViews>
    <sheetView topLeftCell="S1" workbookViewId="0">
      <pane ySplit="2" topLeftCell="A3" activePane="bottomLeft" state="frozen"/>
      <selection activeCell="K1" sqref="K1"/>
      <selection pane="bottomLeft" activeCell="AO33" sqref="AO33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8.7109375" bestFit="1" customWidth="1"/>
    <col min="4" max="4" width="9.42578125" bestFit="1" customWidth="1"/>
    <col min="5" max="5" width="6.5703125" bestFit="1" customWidth="1"/>
    <col min="6" max="6" width="6.85546875" bestFit="1" customWidth="1"/>
    <col min="7" max="7" width="8.7109375" bestFit="1" customWidth="1"/>
    <col min="8" max="8" width="9.42578125" bestFit="1" customWidth="1"/>
    <col min="9" max="11" width="8.42578125" bestFit="1" customWidth="1"/>
    <col min="12" max="13" width="8.140625" bestFit="1" customWidth="1"/>
    <col min="14" max="14" width="7.7109375" bestFit="1" customWidth="1"/>
    <col min="15" max="17" width="6.42578125" bestFit="1" customWidth="1"/>
    <col min="18" max="18" width="6.5703125" bestFit="1" customWidth="1"/>
    <col min="19" max="19" width="6.85546875" bestFit="1" customWidth="1"/>
    <col min="20" max="20" width="8.7109375" bestFit="1" customWidth="1"/>
    <col min="21" max="21" width="9.140625" bestFit="1" customWidth="1"/>
    <col min="22" max="22" width="6.5703125" bestFit="1" customWidth="1"/>
    <col min="23" max="23" width="6.85546875" bestFit="1" customWidth="1"/>
    <col min="24" max="24" width="8.7109375" bestFit="1" customWidth="1"/>
    <col min="25" max="25" width="9.140625" bestFit="1" customWidth="1"/>
    <col min="26" max="26" width="6.7109375" bestFit="1" customWidth="1"/>
    <col min="27" max="27" width="6.5703125" bestFit="1" customWidth="1"/>
    <col min="28" max="28" width="6.85546875" bestFit="1" customWidth="1"/>
    <col min="29" max="29" width="8.7109375" bestFit="1" customWidth="1"/>
    <col min="31" max="31" width="6.5703125" bestFit="1" customWidth="1"/>
    <col min="32" max="32" width="6.85546875" bestFit="1" customWidth="1"/>
    <col min="33" max="33" width="8.7109375" bestFit="1" customWidth="1"/>
    <col min="35" max="35" width="15.140625" customWidth="1"/>
    <col min="36" max="36" width="15.28515625" customWidth="1"/>
    <col min="37" max="37" width="16.28515625" customWidth="1"/>
    <col min="38" max="38" width="8.42578125" bestFit="1" customWidth="1"/>
    <col min="39" max="39" width="8.42578125" customWidth="1"/>
    <col min="40" max="40" width="11" bestFit="1" customWidth="1"/>
    <col min="41" max="41" width="13.85546875" bestFit="1" customWidth="1"/>
    <col min="42" max="42" width="11.140625" bestFit="1" customWidth="1"/>
  </cols>
  <sheetData>
    <row r="1" spans="1:47" ht="15.75" x14ac:dyDescent="0.25">
      <c r="A1" s="32" t="s">
        <v>11</v>
      </c>
      <c r="B1" s="32"/>
      <c r="C1" s="32"/>
      <c r="D1" s="32"/>
      <c r="E1" s="32"/>
      <c r="F1" s="32"/>
      <c r="G1" s="32"/>
      <c r="H1" s="32"/>
      <c r="I1" s="32"/>
      <c r="J1" s="32"/>
      <c r="K1" s="33"/>
      <c r="L1" s="34" t="s">
        <v>6</v>
      </c>
      <c r="M1" s="35"/>
      <c r="N1" s="35"/>
      <c r="O1" s="35"/>
      <c r="P1" s="35"/>
      <c r="Q1" s="35"/>
      <c r="R1" s="42" t="s">
        <v>7</v>
      </c>
      <c r="S1" s="43"/>
      <c r="T1" s="43"/>
      <c r="U1" s="43"/>
      <c r="V1" s="43"/>
      <c r="W1" s="43"/>
      <c r="X1" s="43"/>
      <c r="Y1" s="43"/>
      <c r="Z1" s="43"/>
      <c r="AA1" s="44" t="s">
        <v>13</v>
      </c>
      <c r="AB1" s="44"/>
      <c r="AC1" s="44"/>
      <c r="AD1" s="44"/>
      <c r="AE1" s="44"/>
      <c r="AF1" s="44"/>
      <c r="AG1" s="44"/>
      <c r="AH1" s="44"/>
      <c r="AI1" s="45" t="s">
        <v>36</v>
      </c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1:47" ht="15.75" x14ac:dyDescent="0.25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23</v>
      </c>
      <c r="S2" s="1" t="s">
        <v>24</v>
      </c>
      <c r="T2" s="1" t="s">
        <v>25</v>
      </c>
      <c r="U2" s="1" t="s">
        <v>29</v>
      </c>
      <c r="V2" s="1" t="s">
        <v>26</v>
      </c>
      <c r="W2" s="1" t="s">
        <v>27</v>
      </c>
      <c r="X2" s="1" t="s">
        <v>28</v>
      </c>
      <c r="Y2" s="1" t="s">
        <v>30</v>
      </c>
      <c r="Z2" s="2" t="s">
        <v>37</v>
      </c>
      <c r="AA2" s="3" t="s">
        <v>23</v>
      </c>
      <c r="AB2" s="1" t="s">
        <v>24</v>
      </c>
      <c r="AC2" s="1" t="s">
        <v>25</v>
      </c>
      <c r="AD2" s="1" t="s">
        <v>29</v>
      </c>
      <c r="AE2" s="1" t="s">
        <v>26</v>
      </c>
      <c r="AF2" s="1" t="s">
        <v>27</v>
      </c>
      <c r="AG2" s="1" t="s">
        <v>28</v>
      </c>
      <c r="AH2" s="1" t="s">
        <v>30</v>
      </c>
      <c r="AI2" s="20" t="s">
        <v>33</v>
      </c>
      <c r="AJ2" s="20" t="s">
        <v>34</v>
      </c>
      <c r="AK2" s="20" t="s">
        <v>35</v>
      </c>
      <c r="AL2" s="20" t="s">
        <v>38</v>
      </c>
      <c r="AM2" s="20"/>
      <c r="AN2" s="41" t="s">
        <v>31</v>
      </c>
      <c r="AO2" s="41"/>
      <c r="AP2" s="41"/>
      <c r="AQ2" s="41"/>
      <c r="AR2" s="41"/>
      <c r="AS2" s="41"/>
      <c r="AT2" s="41"/>
      <c r="AU2" s="41"/>
    </row>
    <row r="3" spans="1:47" ht="15.75" x14ac:dyDescent="0.25">
      <c r="A3" s="10">
        <f>'Proximal Validation (double)'!A3</f>
        <v>0.2</v>
      </c>
      <c r="B3" s="11">
        <f>'Proximal Validation (double)'!B3</f>
        <v>0.1</v>
      </c>
      <c r="C3" s="10">
        <f>'Proximal Validation (double)'!C3</f>
        <v>1.571</v>
      </c>
      <c r="D3" s="10">
        <f>'Proximal Validation (double)'!D3</f>
        <v>1.5707963267948966</v>
      </c>
      <c r="E3" s="11">
        <f>'Proximal Validation (double)'!E3</f>
        <v>1</v>
      </c>
      <c r="F3" s="11">
        <f>'Proximal Validation (double)'!F3</f>
        <v>0.04</v>
      </c>
      <c r="G3" s="10">
        <f>'Proximal Validation (double)'!G3</f>
        <v>3.1419999999999999</v>
      </c>
      <c r="H3" s="10">
        <f>'Proximal Validation (double)'!H3</f>
        <v>1.5707963267948966</v>
      </c>
      <c r="I3" s="10">
        <f>'Proximal Validation (double)'!I3</f>
        <v>1.4</v>
      </c>
      <c r="J3" s="10">
        <f>'Proximal Validation (double)'!J3</f>
        <v>0</v>
      </c>
      <c r="K3" s="10">
        <f>'Proximal Validation (double)'!K3</f>
        <v>0</v>
      </c>
      <c r="L3" s="8"/>
      <c r="M3" s="8"/>
      <c r="N3" s="8"/>
      <c r="O3" s="8"/>
      <c r="P3" s="8"/>
      <c r="Q3" s="8"/>
      <c r="R3" s="8">
        <v>0.72402043005766104</v>
      </c>
      <c r="S3" s="8">
        <v>5.524449961106833E-2</v>
      </c>
      <c r="T3" s="8">
        <v>2.4520908095598801</v>
      </c>
      <c r="U3" s="8">
        <v>1.5707963267948966</v>
      </c>
      <c r="V3" s="8">
        <v>0.51299035464770104</v>
      </c>
      <c r="W3" s="8">
        <v>2.0997154200721395E-2</v>
      </c>
      <c r="X3" s="8">
        <v>3.6758993940877334</v>
      </c>
      <c r="Y3" s="8">
        <v>1.5707963267948966</v>
      </c>
      <c r="Z3" s="28">
        <v>3.1328116587737823E-8</v>
      </c>
      <c r="AA3" s="8">
        <f t="shared" ref="AA3:AH34" si="0">R3-A3</f>
        <v>0.52402043005766097</v>
      </c>
      <c r="AB3" s="8">
        <f t="shared" si="0"/>
        <v>-4.4755500388931675E-2</v>
      </c>
      <c r="AC3" s="8">
        <f t="shared" si="0"/>
        <v>0.88109080955988017</v>
      </c>
      <c r="AD3" s="8">
        <f t="shared" si="0"/>
        <v>0</v>
      </c>
      <c r="AE3" s="8">
        <f t="shared" si="0"/>
        <v>-0.48700964535229896</v>
      </c>
      <c r="AF3" s="8">
        <f t="shared" si="0"/>
        <v>-1.9002845799278606E-2</v>
      </c>
      <c r="AG3" s="8">
        <f t="shared" si="0"/>
        <v>0.53389939408773346</v>
      </c>
      <c r="AH3" s="8">
        <f t="shared" si="0"/>
        <v>0</v>
      </c>
      <c r="AI3" s="22">
        <f>AVERAGE(ABS(AA3),ABS(AE3))</f>
        <v>0.50551503770497996</v>
      </c>
      <c r="AJ3" s="22">
        <f t="shared" ref="AJ3:AK18" si="1">AVERAGE(ABS(AB3),ABS(AF3))</f>
        <v>3.1879173094105137E-2</v>
      </c>
      <c r="AK3" s="22">
        <f t="shared" si="1"/>
        <v>0.70749510182380682</v>
      </c>
      <c r="AL3" s="22">
        <f>MIN(A3,E3)</f>
        <v>0.2</v>
      </c>
      <c r="AM3" s="22"/>
      <c r="AN3" s="1" t="s">
        <v>23</v>
      </c>
      <c r="AO3" s="1" t="s">
        <v>24</v>
      </c>
      <c r="AP3" s="1" t="s">
        <v>25</v>
      </c>
      <c r="AQ3" s="1" t="s">
        <v>29</v>
      </c>
      <c r="AR3" s="1" t="s">
        <v>26</v>
      </c>
      <c r="AS3" s="1" t="s">
        <v>27</v>
      </c>
      <c r="AT3" s="1" t="s">
        <v>28</v>
      </c>
      <c r="AU3" s="1" t="s">
        <v>30</v>
      </c>
    </row>
    <row r="4" spans="1:47" s="5" customFormat="1" x14ac:dyDescent="0.25">
      <c r="A4" s="10">
        <f>'Proximal Validation (double)'!A4</f>
        <v>1</v>
      </c>
      <c r="B4" s="11">
        <f>'Proximal Validation (double)'!B4</f>
        <v>0.1</v>
      </c>
      <c r="C4" s="10">
        <f>'Proximal Validation (double)'!C4</f>
        <v>1.571</v>
      </c>
      <c r="D4" s="10">
        <f>'Proximal Validation (double)'!D4</f>
        <v>1.5707963267948966</v>
      </c>
      <c r="E4" s="11">
        <f>'Proximal Validation (double)'!E4</f>
        <v>1</v>
      </c>
      <c r="F4" s="11">
        <f>'Proximal Validation (double)'!F4</f>
        <v>0.08</v>
      </c>
      <c r="G4" s="10">
        <f>'Proximal Validation (double)'!G4</f>
        <v>3.1419999999999999</v>
      </c>
      <c r="H4" s="10">
        <f>'Proximal Validation (double)'!H4</f>
        <v>1.5707963267948966</v>
      </c>
      <c r="I4" s="10">
        <f>'Proximal Validation (double)'!I4</f>
        <v>0</v>
      </c>
      <c r="J4" s="10">
        <f>'Proximal Validation (double)'!J4</f>
        <v>0</v>
      </c>
      <c r="K4" s="10">
        <f>'Proximal Validation (double)'!K4</f>
        <v>0</v>
      </c>
      <c r="L4" s="8"/>
      <c r="M4" s="8"/>
      <c r="N4" s="8"/>
      <c r="O4" s="8"/>
      <c r="P4" s="8"/>
      <c r="Q4" s="8"/>
      <c r="R4" s="8">
        <v>0.80543712693968972</v>
      </c>
      <c r="S4" s="8">
        <v>0.10820832371203896</v>
      </c>
      <c r="T4" s="8">
        <v>1.8556017815951484</v>
      </c>
      <c r="U4" s="8">
        <v>1.5707963267948966</v>
      </c>
      <c r="V4" s="8">
        <v>0.80650216620377013</v>
      </c>
      <c r="W4" s="8">
        <v>7.1660667764034153E-2</v>
      </c>
      <c r="X4" s="8">
        <v>2.8566708729651733</v>
      </c>
      <c r="Y4" s="8">
        <v>1.5707963267948966</v>
      </c>
      <c r="Z4" s="28">
        <v>1.4054740434315479E-8</v>
      </c>
      <c r="AA4" s="8">
        <f t="shared" si="0"/>
        <v>-0.19456287306031028</v>
      </c>
      <c r="AB4" s="8">
        <f t="shared" si="0"/>
        <v>8.2083237120389591E-3</v>
      </c>
      <c r="AC4" s="8">
        <f t="shared" si="0"/>
        <v>0.28460178159514848</v>
      </c>
      <c r="AD4" s="8">
        <f t="shared" si="0"/>
        <v>0</v>
      </c>
      <c r="AE4" s="8">
        <f t="shared" si="0"/>
        <v>-0.19349783379622987</v>
      </c>
      <c r="AF4" s="8">
        <f t="shared" si="0"/>
        <v>-8.3393322359658489E-3</v>
      </c>
      <c r="AG4" s="8">
        <f t="shared" si="0"/>
        <v>-0.2853291270348266</v>
      </c>
      <c r="AH4" s="8">
        <f t="shared" si="0"/>
        <v>0</v>
      </c>
      <c r="AI4" s="22">
        <f t="shared" ref="AI4:AK42" si="2">AVERAGE(ABS(AA4),ABS(AE4))</f>
        <v>0.19403035342827007</v>
      </c>
      <c r="AJ4" s="22">
        <f t="shared" si="1"/>
        <v>8.273827974002404E-3</v>
      </c>
      <c r="AK4" s="22">
        <f t="shared" si="1"/>
        <v>0.28496545431498754</v>
      </c>
      <c r="AL4" s="22">
        <f t="shared" ref="AL4:AL42" si="3">MIN(A4,E4)</f>
        <v>1</v>
      </c>
      <c r="AM4" s="22"/>
      <c r="AN4" s="21" cm="1">
        <f t="array" ref="AN4">AVERAGE(ABS(AA3:AA42))</f>
        <v>0.22571672211622137</v>
      </c>
      <c r="AO4" s="21" cm="1">
        <f t="array" ref="AO4">AVERAGE(ABS(AB3:AB42))</f>
        <v>3.0943459903510447E-2</v>
      </c>
      <c r="AP4" s="21" cm="1">
        <f t="array" ref="AP4">AVERAGE(ABS(AC3:AC42))</f>
        <v>0.35897312816542126</v>
      </c>
      <c r="AQ4" s="21" cm="1">
        <f t="array" ref="AQ4">AVERAGE(ABS(AD3:AD42))</f>
        <v>0</v>
      </c>
      <c r="AR4" s="21" cm="1">
        <f t="array" ref="AR4">AVERAGE(ABS(AE3:AE42))</f>
        <v>0.21049436410719841</v>
      </c>
      <c r="AS4" s="21" cm="1">
        <f t="array" ref="AS4">AVERAGE(ABS(AF3:AF42))</f>
        <v>2.9710516665137653E-2</v>
      </c>
      <c r="AT4" s="21" cm="1">
        <f t="array" ref="AT4">AVERAGE(ABS(AG3:AG42))</f>
        <v>0.52874467034391703</v>
      </c>
      <c r="AU4" s="21" cm="1">
        <f t="array" ref="AU4">AVERAGE(ABS(AH3:AH42))</f>
        <v>0</v>
      </c>
    </row>
    <row r="5" spans="1:47" x14ac:dyDescent="0.25">
      <c r="A5" s="10">
        <f>'Proximal Validation (double)'!A5</f>
        <v>0.5</v>
      </c>
      <c r="B5" s="10">
        <f>'Proximal Validation (double)'!B5</f>
        <v>0.1</v>
      </c>
      <c r="C5" s="10">
        <f>'Proximal Validation (double)'!C5</f>
        <v>1.571</v>
      </c>
      <c r="D5" s="10">
        <f>'Proximal Validation (double)'!D5</f>
        <v>1.5707963267948966</v>
      </c>
      <c r="E5" s="10">
        <f>'Proximal Validation (double)'!E5</f>
        <v>0.2</v>
      </c>
      <c r="F5" s="10">
        <f>'Proximal Validation (double)'!F5</f>
        <v>0.02</v>
      </c>
      <c r="G5" s="10">
        <f>'Proximal Validation (double)'!G5</f>
        <v>3.927</v>
      </c>
      <c r="H5" s="10">
        <f>'Proximal Validation (double)'!H5</f>
        <v>1.5707963267948966</v>
      </c>
      <c r="I5" s="10">
        <f>'Proximal Validation (double)'!I5</f>
        <v>0</v>
      </c>
      <c r="J5" s="10">
        <f>'Proximal Validation (double)'!J5</f>
        <v>0</v>
      </c>
      <c r="K5" s="10">
        <f>'Proximal Validation (double)'!K5</f>
        <v>0</v>
      </c>
      <c r="L5" s="8"/>
      <c r="M5" s="8"/>
      <c r="N5" s="8"/>
      <c r="O5" s="8"/>
      <c r="P5" s="8"/>
      <c r="Q5" s="8"/>
      <c r="R5" s="8">
        <v>0.26916403286917195</v>
      </c>
      <c r="S5" s="8">
        <v>0.16720341316039652</v>
      </c>
      <c r="T5" s="8">
        <v>0.4630938974109387</v>
      </c>
      <c r="U5" s="8">
        <v>1.5707963267948966</v>
      </c>
      <c r="V5" s="8">
        <v>0.45064398049591825</v>
      </c>
      <c r="W5" s="8">
        <v>0.11272919605489042</v>
      </c>
      <c r="X5" s="8">
        <v>2.5823832294049338</v>
      </c>
      <c r="Y5" s="8">
        <v>1.5707963267948966</v>
      </c>
      <c r="Z5" s="28">
        <v>5.5404560890501551E-8</v>
      </c>
      <c r="AA5" s="8">
        <f t="shared" si="0"/>
        <v>-0.23083596713082805</v>
      </c>
      <c r="AB5" s="8">
        <f t="shared" si="0"/>
        <v>6.7203413160396519E-2</v>
      </c>
      <c r="AC5" s="8">
        <f t="shared" si="0"/>
        <v>-1.1079061025890613</v>
      </c>
      <c r="AD5" s="8">
        <f t="shared" si="0"/>
        <v>0</v>
      </c>
      <c r="AE5" s="8">
        <f t="shared" si="0"/>
        <v>0.25064398049591824</v>
      </c>
      <c r="AF5" s="8">
        <f t="shared" si="0"/>
        <v>9.2729196054890412E-2</v>
      </c>
      <c r="AG5" s="8">
        <f t="shared" si="0"/>
        <v>-1.3446167705950662</v>
      </c>
      <c r="AH5" s="8">
        <f t="shared" si="0"/>
        <v>0</v>
      </c>
      <c r="AI5" s="22">
        <f t="shared" si="2"/>
        <v>0.24073997381337314</v>
      </c>
      <c r="AJ5" s="22">
        <f t="shared" si="1"/>
        <v>7.9966304607643465E-2</v>
      </c>
      <c r="AK5" s="22">
        <f t="shared" si="1"/>
        <v>1.2262614365920639</v>
      </c>
      <c r="AL5" s="22">
        <f t="shared" si="3"/>
        <v>0.2</v>
      </c>
      <c r="AM5" s="22"/>
      <c r="AN5" s="41" t="s">
        <v>32</v>
      </c>
      <c r="AO5" s="41"/>
      <c r="AP5" s="41"/>
      <c r="AQ5" s="41"/>
      <c r="AR5" s="41"/>
      <c r="AS5" s="41"/>
      <c r="AT5" s="41"/>
      <c r="AU5" s="41"/>
    </row>
    <row r="6" spans="1:47" x14ac:dyDescent="0.25">
      <c r="A6" s="10">
        <f>'Proximal Validation (double)'!A6</f>
        <v>0.9</v>
      </c>
      <c r="B6" s="11">
        <f>'Proximal Validation (double)'!B6</f>
        <v>0.1</v>
      </c>
      <c r="C6" s="10">
        <f>'Proximal Validation (double)'!C6</f>
        <v>1.571</v>
      </c>
      <c r="D6" s="10">
        <f>'Proximal Validation (double)'!D6</f>
        <v>1.5707963267948966</v>
      </c>
      <c r="E6" s="11">
        <f>'Proximal Validation (double)'!E6</f>
        <v>0.2</v>
      </c>
      <c r="F6" s="11">
        <f>'Proximal Validation (double)'!F6</f>
        <v>0.08</v>
      </c>
      <c r="G6" s="10">
        <f>'Proximal Validation (double)'!G6</f>
        <v>4.7119999999999997</v>
      </c>
      <c r="H6" s="10">
        <f>'Proximal Validation (double)'!H6</f>
        <v>1.5707963267948966</v>
      </c>
      <c r="I6" s="10">
        <f>'Proximal Validation (double)'!I6</f>
        <v>1.2</v>
      </c>
      <c r="J6" s="10">
        <f>'Proximal Validation (double)'!J6</f>
        <v>0</v>
      </c>
      <c r="K6" s="10">
        <f>'Proximal Validation (double)'!K6</f>
        <v>0</v>
      </c>
      <c r="L6" s="8"/>
      <c r="M6" s="8"/>
      <c r="N6" s="8"/>
      <c r="O6" s="8"/>
      <c r="P6" s="8"/>
      <c r="Q6" s="8"/>
      <c r="R6" s="8">
        <v>0.3302632982461004</v>
      </c>
      <c r="S6" s="8">
        <v>0.1058397564573816</v>
      </c>
      <c r="T6" s="8">
        <v>3.2787606953324584</v>
      </c>
      <c r="U6" s="8">
        <v>1.5707963267948966</v>
      </c>
      <c r="V6" s="8">
        <v>0.81373513046892043</v>
      </c>
      <c r="W6" s="8">
        <v>0.10570428996488686</v>
      </c>
      <c r="X6" s="8">
        <v>1.1574205140336551</v>
      </c>
      <c r="Y6" s="8">
        <v>1.5707963267948966</v>
      </c>
      <c r="Z6" s="28">
        <v>6.1985454693276041E-10</v>
      </c>
      <c r="AA6" s="8">
        <f t="shared" si="0"/>
        <v>-0.56973670175389968</v>
      </c>
      <c r="AB6" s="8">
        <f t="shared" si="0"/>
        <v>5.8397564573815924E-3</v>
      </c>
      <c r="AC6" s="8">
        <f t="shared" si="0"/>
        <v>1.7077606953324584</v>
      </c>
      <c r="AD6" s="8">
        <f t="shared" si="0"/>
        <v>0</v>
      </c>
      <c r="AE6" s="8">
        <f t="shared" si="0"/>
        <v>0.61373513046892048</v>
      </c>
      <c r="AF6" s="8">
        <f t="shared" si="0"/>
        <v>2.5704289964886856E-2</v>
      </c>
      <c r="AG6" s="8">
        <f t="shared" si="0"/>
        <v>-3.5545794859663449</v>
      </c>
      <c r="AH6" s="8">
        <f t="shared" si="0"/>
        <v>0</v>
      </c>
      <c r="AI6" s="22">
        <f t="shared" si="2"/>
        <v>0.59173591611141008</v>
      </c>
      <c r="AJ6" s="22">
        <f t="shared" si="1"/>
        <v>1.5772023211134224E-2</v>
      </c>
      <c r="AK6" s="22">
        <f t="shared" si="1"/>
        <v>2.6311700906494018</v>
      </c>
      <c r="AL6" s="22">
        <f t="shared" si="3"/>
        <v>0.2</v>
      </c>
      <c r="AM6" s="22"/>
      <c r="AN6" s="20" t="s">
        <v>33</v>
      </c>
      <c r="AO6" s="20" t="s">
        <v>34</v>
      </c>
      <c r="AP6" s="20" t="s">
        <v>35</v>
      </c>
      <c r="AQ6" s="21"/>
      <c r="AR6" s="21"/>
      <c r="AS6" s="21"/>
      <c r="AT6" s="21"/>
      <c r="AU6" s="21"/>
    </row>
    <row r="7" spans="1:47" x14ac:dyDescent="0.25">
      <c r="A7" s="10">
        <f>'Proximal Validation (double)'!A7</f>
        <v>0.1</v>
      </c>
      <c r="B7" s="11">
        <f>'Proximal Validation (double)'!B7</f>
        <v>0.12</v>
      </c>
      <c r="C7" s="10">
        <f>'Proximal Validation (double)'!C7</f>
        <v>1.571</v>
      </c>
      <c r="D7" s="10">
        <f>'Proximal Validation (double)'!D7</f>
        <v>1.5707963267948966</v>
      </c>
      <c r="E7" s="11">
        <f>'Proximal Validation (double)'!E7</f>
        <v>1</v>
      </c>
      <c r="F7" s="11">
        <f>'Proximal Validation (double)'!F7</f>
        <v>0.06</v>
      </c>
      <c r="G7" s="10">
        <f>'Proximal Validation (double)'!G7</f>
        <v>3.927</v>
      </c>
      <c r="H7" s="10">
        <f>'Proximal Validation (double)'!H7</f>
        <v>1.5707963267948966</v>
      </c>
      <c r="I7" s="10">
        <f>'Proximal Validation (double)'!I7</f>
        <v>0</v>
      </c>
      <c r="J7" s="10">
        <f>'Proximal Validation (double)'!J7</f>
        <v>0</v>
      </c>
      <c r="K7" s="10">
        <f>'Proximal Validation (double)'!K7</f>
        <v>0</v>
      </c>
      <c r="L7" s="8"/>
      <c r="M7" s="8"/>
      <c r="N7" s="8"/>
      <c r="O7" s="8"/>
      <c r="P7" s="8"/>
      <c r="Q7" s="8"/>
      <c r="R7" s="8">
        <v>0.70609936399387108</v>
      </c>
      <c r="S7" s="8">
        <v>5.997347574179638E-2</v>
      </c>
      <c r="T7" s="8">
        <v>2.9586795384631097</v>
      </c>
      <c r="U7" s="8">
        <v>1.5707963267948966</v>
      </c>
      <c r="V7" s="8">
        <v>0.73564242749594033</v>
      </c>
      <c r="W7" s="8">
        <v>5.1771670830741565E-2</v>
      </c>
      <c r="X7" s="8">
        <v>4.6950019302851507</v>
      </c>
      <c r="Y7" s="8">
        <v>1.5707963267948966</v>
      </c>
      <c r="Z7" s="28">
        <v>2.9796244819297263E-8</v>
      </c>
      <c r="AA7" s="8">
        <f t="shared" si="0"/>
        <v>0.6060993639938711</v>
      </c>
      <c r="AB7" s="8">
        <f t="shared" si="0"/>
        <v>-6.0026524258203616E-2</v>
      </c>
      <c r="AC7" s="8">
        <f t="shared" si="0"/>
        <v>1.3876795384631098</v>
      </c>
      <c r="AD7" s="8">
        <f t="shared" si="0"/>
        <v>0</v>
      </c>
      <c r="AE7" s="8">
        <f t="shared" si="0"/>
        <v>-0.26435757250405967</v>
      </c>
      <c r="AF7" s="8">
        <f t="shared" si="0"/>
        <v>-8.2283291692584332E-3</v>
      </c>
      <c r="AG7" s="8">
        <f t="shared" si="0"/>
        <v>0.76800193028515062</v>
      </c>
      <c r="AH7" s="8">
        <f t="shared" si="0"/>
        <v>0</v>
      </c>
      <c r="AI7" s="22">
        <f t="shared" si="2"/>
        <v>0.43522846824896538</v>
      </c>
      <c r="AJ7" s="22">
        <f t="shared" si="1"/>
        <v>3.4127426713731021E-2</v>
      </c>
      <c r="AK7" s="22">
        <f t="shared" si="1"/>
        <v>1.0778407343741301</v>
      </c>
      <c r="AL7" s="22">
        <f t="shared" si="3"/>
        <v>0.1</v>
      </c>
      <c r="AM7" s="22"/>
      <c r="AN7" s="27">
        <f>AVERAGE(AN4,AR4)</f>
        <v>0.21810554311170988</v>
      </c>
      <c r="AO7" s="27">
        <f t="shared" ref="AO7:AP7" si="4">AVERAGE(AO4,AS4)</f>
        <v>3.032698828432405E-2</v>
      </c>
      <c r="AP7" s="27">
        <f t="shared" si="4"/>
        <v>0.44385889925466915</v>
      </c>
      <c r="AQ7" s="21"/>
      <c r="AR7" s="21"/>
      <c r="AS7" s="21"/>
      <c r="AT7" s="21"/>
      <c r="AU7" s="21"/>
    </row>
    <row r="8" spans="1:47" x14ac:dyDescent="0.25">
      <c r="A8" s="10">
        <f>'Proximal Validation (double)'!A8</f>
        <v>0.8</v>
      </c>
      <c r="B8" s="11">
        <f>'Proximal Validation (double)'!B8</f>
        <v>0.16</v>
      </c>
      <c r="C8" s="10">
        <f>'Proximal Validation (double)'!C8</f>
        <v>1.571</v>
      </c>
      <c r="D8" s="10">
        <f>'Proximal Validation (double)'!D8</f>
        <v>1.5707963267948966</v>
      </c>
      <c r="E8" s="11">
        <f>'Proximal Validation (double)'!E8</f>
        <v>0.8</v>
      </c>
      <c r="F8" s="11">
        <f>'Proximal Validation (double)'!F8</f>
        <v>0.06</v>
      </c>
      <c r="G8" s="10">
        <f>'Proximal Validation (double)'!G8</f>
        <v>3.927</v>
      </c>
      <c r="H8" s="10">
        <f>'Proximal Validation (double)'!H8</f>
        <v>1.5707963267948966</v>
      </c>
      <c r="I8" s="10">
        <f>'Proximal Validation (double)'!I8</f>
        <v>1.4</v>
      </c>
      <c r="J8" s="10">
        <f>'Proximal Validation (double)'!J8</f>
        <v>0</v>
      </c>
      <c r="K8" s="10">
        <f>'Proximal Validation (double)'!K8</f>
        <v>0</v>
      </c>
      <c r="L8" s="8"/>
      <c r="M8" s="8"/>
      <c r="N8" s="8"/>
      <c r="O8" s="8"/>
      <c r="P8" s="8"/>
      <c r="Q8" s="8"/>
      <c r="R8" s="8">
        <v>0.59796517450302777</v>
      </c>
      <c r="S8" s="8">
        <v>0.17307097406258373</v>
      </c>
      <c r="T8" s="8">
        <v>1.8198678570548521</v>
      </c>
      <c r="U8" s="8">
        <v>1.5707963267948966</v>
      </c>
      <c r="V8" s="8">
        <v>0.55497423219965203</v>
      </c>
      <c r="W8" s="8">
        <v>2.0939229711121898E-2</v>
      </c>
      <c r="X8" s="8">
        <v>3.8426222580651732</v>
      </c>
      <c r="Y8" s="8">
        <v>1.5707963267948966</v>
      </c>
      <c r="Z8" s="28">
        <v>5.6810497452325858E-8</v>
      </c>
      <c r="AA8" s="8">
        <f t="shared" si="0"/>
        <v>-0.20203482549697227</v>
      </c>
      <c r="AB8" s="8">
        <f t="shared" si="0"/>
        <v>1.3070974062583729E-2</v>
      </c>
      <c r="AC8" s="8">
        <f t="shared" si="0"/>
        <v>0.24886785705485215</v>
      </c>
      <c r="AD8" s="8">
        <f t="shared" si="0"/>
        <v>0</v>
      </c>
      <c r="AE8" s="8">
        <f t="shared" si="0"/>
        <v>-0.24502576780034802</v>
      </c>
      <c r="AF8" s="8">
        <f t="shared" si="0"/>
        <v>-3.9060770288878097E-2</v>
      </c>
      <c r="AG8" s="8">
        <f t="shared" si="0"/>
        <v>-8.4377741934826833E-2</v>
      </c>
      <c r="AH8" s="8">
        <f t="shared" si="0"/>
        <v>0</v>
      </c>
      <c r="AI8" s="23">
        <f t="shared" si="2"/>
        <v>0.22353029664866014</v>
      </c>
      <c r="AJ8" s="23">
        <f t="shared" si="1"/>
        <v>2.6065872175730913E-2</v>
      </c>
      <c r="AK8" s="23">
        <f t="shared" si="1"/>
        <v>0.16662279949483949</v>
      </c>
      <c r="AL8" s="22">
        <f t="shared" si="3"/>
        <v>0.8</v>
      </c>
      <c r="AM8" s="31"/>
      <c r="AN8" t="s">
        <v>39</v>
      </c>
    </row>
    <row r="9" spans="1:47" x14ac:dyDescent="0.25">
      <c r="A9" s="10">
        <f>'Proximal Validation (double)'!A9</f>
        <v>0.1</v>
      </c>
      <c r="B9" s="11">
        <f>'Proximal Validation (double)'!B9</f>
        <v>0.18</v>
      </c>
      <c r="C9" s="10">
        <f>'Proximal Validation (double)'!C9</f>
        <v>1.571</v>
      </c>
      <c r="D9" s="10">
        <f>'Proximal Validation (double)'!D9</f>
        <v>1.5707963267948966</v>
      </c>
      <c r="E9" s="11">
        <f>'Proximal Validation (double)'!E9</f>
        <v>0.1</v>
      </c>
      <c r="F9" s="11">
        <f>'Proximal Validation (double)'!F9</f>
        <v>0.02</v>
      </c>
      <c r="G9" s="10">
        <f>'Proximal Validation (double)'!G9</f>
        <v>3.1419999999999999</v>
      </c>
      <c r="H9" s="10">
        <f>'Proximal Validation (double)'!H9</f>
        <v>1.5707963267948966</v>
      </c>
      <c r="I9" s="10">
        <f>'Proximal Validation (double)'!I9</f>
        <v>1.2</v>
      </c>
      <c r="J9" s="10">
        <f>'Proximal Validation (double)'!J9</f>
        <v>0</v>
      </c>
      <c r="K9" s="10">
        <f>'Proximal Validation (double)'!K9</f>
        <v>0</v>
      </c>
      <c r="L9" s="8"/>
      <c r="M9" s="8"/>
      <c r="N9" s="8"/>
      <c r="O9" s="8"/>
      <c r="P9" s="8"/>
      <c r="Q9" s="8"/>
      <c r="R9" s="8">
        <v>0.58495958053597297</v>
      </c>
      <c r="S9" s="8">
        <v>0.11082422843734907</v>
      </c>
      <c r="T9" s="8">
        <v>0.89894756352343141</v>
      </c>
      <c r="U9" s="8">
        <v>1.5707963267948966</v>
      </c>
      <c r="V9" s="8">
        <v>0.58591178192610027</v>
      </c>
      <c r="W9" s="8">
        <v>9.1256716904159957E-2</v>
      </c>
      <c r="X9" s="8">
        <v>3.7985207932855896</v>
      </c>
      <c r="Y9" s="8">
        <v>1.5707963267948966</v>
      </c>
      <c r="Z9" s="28">
        <v>2.3551041364364755E-8</v>
      </c>
      <c r="AA9" s="8">
        <f t="shared" si="0"/>
        <v>0.48495958053597299</v>
      </c>
      <c r="AB9" s="8">
        <f t="shared" si="0"/>
        <v>-6.9175771562650923E-2</v>
      </c>
      <c r="AC9" s="8">
        <f t="shared" si="0"/>
        <v>-0.67205243647656854</v>
      </c>
      <c r="AD9" s="8">
        <f t="shared" si="0"/>
        <v>0</v>
      </c>
      <c r="AE9" s="8">
        <f t="shared" si="0"/>
        <v>0.48591178192610029</v>
      </c>
      <c r="AF9" s="8">
        <f t="shared" si="0"/>
        <v>7.1256716904159953E-2</v>
      </c>
      <c r="AG9" s="8">
        <f t="shared" si="0"/>
        <v>0.65652079328558965</v>
      </c>
      <c r="AH9" s="8">
        <f t="shared" si="0"/>
        <v>0</v>
      </c>
      <c r="AI9" s="22">
        <f t="shared" si="2"/>
        <v>0.48543568123103664</v>
      </c>
      <c r="AJ9" s="22">
        <f t="shared" si="1"/>
        <v>7.0216244233405445E-2</v>
      </c>
      <c r="AK9" s="22">
        <f t="shared" si="1"/>
        <v>0.6642866148810791</v>
      </c>
      <c r="AL9" s="22">
        <f t="shared" si="3"/>
        <v>0.1</v>
      </c>
      <c r="AM9" s="31"/>
      <c r="AN9" s="30">
        <f>AVERAGE(AI3,AI4,AI5,AI6,AI8,AI11,AI12,AI14,AI15,AI17,AI18,AI20,AI23,AI24,AI25,AI26,AI29,AI30,AI32,AI35,AI36,AI37,AI38,AI40,AI41)</f>
        <v>0.1528488556043954</v>
      </c>
      <c r="AO9" s="30">
        <f>AVERAGE(AJ3,AJ4,AJ5,AJ6,AJ8,AJ11,AJ12,AJ14,AJ15,AJ17,AJ18,AJ20,AJ23,AJ24,AJ25,AJ26,AJ29,AJ30,AJ32,AJ35,AJ36,AJ37,AJ38,AJ40,AJ41)</f>
        <v>2.5376972767408384E-2</v>
      </c>
      <c r="AP9" s="30">
        <f>AVERAGE(AK3,AK4,AK5,AK6,AK8,AK11,AK12,AK14,AK15,AK17,AK18,AK20,AK23,AK24,AK25,AK26,AK29,AK30,AK32,AK35,AK36,AK37,AK38,AK40,AK41)</f>
        <v>0.33220057537212055</v>
      </c>
    </row>
    <row r="10" spans="1:47" x14ac:dyDescent="0.25">
      <c r="A10" s="10">
        <f>'Proximal Validation (double)'!A10</f>
        <v>0.9</v>
      </c>
      <c r="B10" s="11">
        <f>'Proximal Validation (double)'!B10</f>
        <v>0.18</v>
      </c>
      <c r="C10" s="10">
        <f>'Proximal Validation (double)'!C10</f>
        <v>1.571</v>
      </c>
      <c r="D10" s="10">
        <f>'Proximal Validation (double)'!D10</f>
        <v>1.5707963267948966</v>
      </c>
      <c r="E10" s="11">
        <f>'Proximal Validation (double)'!E10</f>
        <v>0.1</v>
      </c>
      <c r="F10" s="11">
        <f>'Proximal Validation (double)'!F10</f>
        <v>0.08</v>
      </c>
      <c r="G10" s="10">
        <f>'Proximal Validation (double)'!G10</f>
        <v>4.7119999999999997</v>
      </c>
      <c r="H10" s="10">
        <f>'Proximal Validation (double)'!H10</f>
        <v>1.5707963267948966</v>
      </c>
      <c r="I10" s="10">
        <f>'Proximal Validation (double)'!I10</f>
        <v>0</v>
      </c>
      <c r="J10" s="10">
        <f>'Proximal Validation (double)'!J10</f>
        <v>0</v>
      </c>
      <c r="K10" s="10">
        <f>'Proximal Validation (double)'!K10</f>
        <v>0</v>
      </c>
      <c r="L10" s="8"/>
      <c r="M10" s="8"/>
      <c r="N10" s="8"/>
      <c r="O10" s="8"/>
      <c r="P10" s="8"/>
      <c r="Q10" s="8"/>
      <c r="R10" s="8">
        <v>0.19021220322348098</v>
      </c>
      <c r="S10" s="8">
        <v>0.19175285393769345</v>
      </c>
      <c r="T10" s="8">
        <v>3.5499846532926562</v>
      </c>
      <c r="U10" s="8">
        <v>1.5707963267948966</v>
      </c>
      <c r="V10" s="8">
        <v>0.8951759088882365</v>
      </c>
      <c r="W10" s="8">
        <v>0.1916129062694979</v>
      </c>
      <c r="X10" s="8">
        <v>1.3748818853114551</v>
      </c>
      <c r="Y10" s="8">
        <v>1.5707963267948966</v>
      </c>
      <c r="Z10" s="28">
        <v>4.4988739837930178E-9</v>
      </c>
      <c r="AA10" s="8">
        <f t="shared" si="0"/>
        <v>-0.70978779677651904</v>
      </c>
      <c r="AB10" s="8">
        <f t="shared" si="0"/>
        <v>1.1752853937693458E-2</v>
      </c>
      <c r="AC10" s="8">
        <f t="shared" si="0"/>
        <v>1.9789846532926563</v>
      </c>
      <c r="AD10" s="8">
        <f t="shared" si="0"/>
        <v>0</v>
      </c>
      <c r="AE10" s="8">
        <f t="shared" si="0"/>
        <v>0.79517590888823653</v>
      </c>
      <c r="AF10" s="8">
        <f t="shared" si="0"/>
        <v>0.11161290626949789</v>
      </c>
      <c r="AG10" s="8">
        <f t="shared" si="0"/>
        <v>-3.3371181146885447</v>
      </c>
      <c r="AH10" s="8">
        <f t="shared" si="0"/>
        <v>0</v>
      </c>
      <c r="AI10" s="22">
        <f t="shared" si="2"/>
        <v>0.75248185283237778</v>
      </c>
      <c r="AJ10" s="22">
        <f t="shared" si="1"/>
        <v>6.1682880103595676E-2</v>
      </c>
      <c r="AK10" s="22">
        <f t="shared" si="1"/>
        <v>2.6580513839906006</v>
      </c>
      <c r="AL10" s="22">
        <f t="shared" si="3"/>
        <v>0.1</v>
      </c>
      <c r="AM10" s="31"/>
      <c r="AN10" t="s">
        <v>40</v>
      </c>
    </row>
    <row r="11" spans="1:47" x14ac:dyDescent="0.25">
      <c r="A11" s="10">
        <f>'Proximal Validation (double)'!A11</f>
        <v>0.3</v>
      </c>
      <c r="B11" s="11">
        <f>'Proximal Validation (double)'!B11</f>
        <v>0.18</v>
      </c>
      <c r="C11" s="10">
        <f>'Proximal Validation (double)'!C11</f>
        <v>1.571</v>
      </c>
      <c r="D11" s="10">
        <f>'Proximal Validation (double)'!D11</f>
        <v>1.5707963267948966</v>
      </c>
      <c r="E11" s="11">
        <f>'Proximal Validation (double)'!E11</f>
        <v>0.9</v>
      </c>
      <c r="F11" s="11">
        <f>'Proximal Validation (double)'!F11</f>
        <v>0.08</v>
      </c>
      <c r="G11" s="10">
        <f>'Proximal Validation (double)'!G11</f>
        <v>4.7119999999999997</v>
      </c>
      <c r="H11" s="10">
        <f>'Proximal Validation (double)'!H11</f>
        <v>1.5707963267948966</v>
      </c>
      <c r="I11" s="10">
        <f>'Proximal Validation (double)'!I11</f>
        <v>1</v>
      </c>
      <c r="J11" s="10">
        <f>'Proximal Validation (double)'!J11</f>
        <v>0</v>
      </c>
      <c r="K11" s="10">
        <f>'Proximal Validation (double)'!K11</f>
        <v>0</v>
      </c>
      <c r="L11" s="8"/>
      <c r="M11" s="8"/>
      <c r="N11" s="8"/>
      <c r="O11" s="8"/>
      <c r="P11" s="8"/>
      <c r="Q11" s="8"/>
      <c r="R11" s="8">
        <v>0.2498623890730256</v>
      </c>
      <c r="S11" s="8">
        <v>0.17156760212345276</v>
      </c>
      <c r="T11" s="8">
        <v>1.569435542159116</v>
      </c>
      <c r="U11" s="8">
        <v>1.5707963267948966</v>
      </c>
      <c r="V11" s="8">
        <v>0.8506454936899509</v>
      </c>
      <c r="W11" s="8">
        <v>7.1577960415482048E-2</v>
      </c>
      <c r="X11" s="8">
        <v>4.7113270622554397</v>
      </c>
      <c r="Y11" s="8">
        <v>1.5707963267948966</v>
      </c>
      <c r="Z11" s="28">
        <v>1.435801290116086E-8</v>
      </c>
      <c r="AA11" s="8">
        <f t="shared" si="0"/>
        <v>-5.0137610926974385E-2</v>
      </c>
      <c r="AB11" s="8">
        <f t="shared" si="0"/>
        <v>-8.4323978765472318E-3</v>
      </c>
      <c r="AC11" s="8">
        <f t="shared" si="0"/>
        <v>-1.5644578408839926E-3</v>
      </c>
      <c r="AD11" s="8">
        <f t="shared" si="0"/>
        <v>0</v>
      </c>
      <c r="AE11" s="8">
        <f t="shared" si="0"/>
        <v>-4.9354506310049118E-2</v>
      </c>
      <c r="AF11" s="8">
        <f t="shared" si="0"/>
        <v>-8.4220395845179541E-3</v>
      </c>
      <c r="AG11" s="8">
        <f t="shared" si="0"/>
        <v>-6.7293774456000932E-4</v>
      </c>
      <c r="AH11" s="8">
        <f t="shared" si="0"/>
        <v>0</v>
      </c>
      <c r="AI11" s="22">
        <f t="shared" si="2"/>
        <v>4.9746058618511751E-2</v>
      </c>
      <c r="AJ11" s="22">
        <f t="shared" si="1"/>
        <v>8.427218730532593E-3</v>
      </c>
      <c r="AK11" s="22">
        <f t="shared" si="1"/>
        <v>1.118697792722001E-3</v>
      </c>
      <c r="AL11" s="22">
        <f t="shared" si="3"/>
        <v>0.3</v>
      </c>
      <c r="AM11" s="31"/>
      <c r="AN11" s="30">
        <f>AVERAGE(AI4,AI8,AI11,AI12,AI14,AI15,AI17,AI18,AI20,AI25,AI26,AI30,AI32,AI35,AI36,AI37,AI40,AI41)</f>
        <v>0.10491482810696036</v>
      </c>
      <c r="AO11" s="30">
        <f>AVERAGE(AJ4,AJ8,AJ11,AJ12,AJ14,AJ15,AJ17,AJ18,AJ20,AJ25,AJ26,AJ30,AJ32,AJ35,AJ36,AJ37,AJ40,AJ41)</f>
        <v>1.8914551439463339E-2</v>
      </c>
      <c r="AP11" s="30">
        <f>AVERAGE(AK4,AK8,AK11,AK12,AK14,AK15,AK17,AK18,AK20,AK25,AK26,AK30,AK32,AK35,AK36,AK37,AK40,AK41)</f>
        <v>0.12173739146974254</v>
      </c>
    </row>
    <row r="12" spans="1:47" x14ac:dyDescent="0.25">
      <c r="A12" s="10">
        <f>'Proximal Validation (double)'!A12</f>
        <v>0.9</v>
      </c>
      <c r="B12" s="11">
        <f>'Proximal Validation (double)'!B12</f>
        <v>0.2</v>
      </c>
      <c r="C12" s="10">
        <f>'Proximal Validation (double)'!C12</f>
        <v>1.571</v>
      </c>
      <c r="D12" s="10">
        <f>'Proximal Validation (double)'!D12</f>
        <v>1.5707963267948966</v>
      </c>
      <c r="E12" s="11">
        <f>'Proximal Validation (double)'!E12</f>
        <v>1</v>
      </c>
      <c r="F12" s="11">
        <f>'Proximal Validation (double)'!F12</f>
        <v>0.02</v>
      </c>
      <c r="G12" s="10">
        <f>'Proximal Validation (double)'!G12</f>
        <v>3.1419999999999999</v>
      </c>
      <c r="H12" s="10">
        <f>'Proximal Validation (double)'!H12</f>
        <v>1.5707963267948966</v>
      </c>
      <c r="I12" s="10">
        <f>'Proximal Validation (double)'!I12</f>
        <v>0.4</v>
      </c>
      <c r="J12" s="10">
        <f>'Proximal Validation (double)'!J12</f>
        <v>0</v>
      </c>
      <c r="K12" s="10">
        <f>'Proximal Validation (double)'!K12</f>
        <v>0</v>
      </c>
      <c r="L12" s="8"/>
      <c r="M12" s="8"/>
      <c r="N12" s="8"/>
      <c r="O12" s="8"/>
      <c r="P12" s="8"/>
      <c r="Q12" s="8"/>
      <c r="R12" s="8">
        <v>0.91298600241391958</v>
      </c>
      <c r="S12" s="8">
        <v>0.19379460404623908</v>
      </c>
      <c r="T12" s="8">
        <v>1.5725635636531756</v>
      </c>
      <c r="U12" s="8">
        <v>1.5707963267948966</v>
      </c>
      <c r="V12" s="8">
        <v>0.99921403490630323</v>
      </c>
      <c r="W12" s="8">
        <v>2.0000000951788152E-2</v>
      </c>
      <c r="X12" s="8">
        <v>3.1588653807968621</v>
      </c>
      <c r="Y12" s="8">
        <v>1.5707963267948966</v>
      </c>
      <c r="Z12" s="28">
        <v>7.5700692429089426E-8</v>
      </c>
      <c r="AA12" s="8">
        <f t="shared" si="0"/>
        <v>1.2986002413919562E-2</v>
      </c>
      <c r="AB12" s="8">
        <f t="shared" si="0"/>
        <v>-6.2053959537609338E-3</v>
      </c>
      <c r="AC12" s="8">
        <f t="shared" si="0"/>
        <v>1.5635636531756703E-3</v>
      </c>
      <c r="AD12" s="8">
        <f t="shared" si="0"/>
        <v>0</v>
      </c>
      <c r="AE12" s="8">
        <f t="shared" si="0"/>
        <v>-7.8596509369677214E-4</v>
      </c>
      <c r="AF12" s="8">
        <f t="shared" si="0"/>
        <v>9.5178815176510945E-10</v>
      </c>
      <c r="AG12" s="8">
        <f t="shared" si="0"/>
        <v>1.6865380796862173E-2</v>
      </c>
      <c r="AH12" s="8">
        <f t="shared" si="0"/>
        <v>0</v>
      </c>
      <c r="AI12" s="22">
        <f t="shared" si="2"/>
        <v>6.885983753808167E-3</v>
      </c>
      <c r="AJ12" s="22">
        <f t="shared" si="1"/>
        <v>3.1026984527745428E-3</v>
      </c>
      <c r="AK12" s="22">
        <f t="shared" si="1"/>
        <v>9.2144722250189215E-3</v>
      </c>
      <c r="AL12" s="22">
        <f t="shared" si="3"/>
        <v>0.9</v>
      </c>
      <c r="AM12" s="31"/>
      <c r="AN12" t="s">
        <v>42</v>
      </c>
    </row>
    <row r="13" spans="1:47" x14ac:dyDescent="0.25">
      <c r="A13" s="10">
        <f>'Proximal Validation (double)'!A13</f>
        <v>0.1</v>
      </c>
      <c r="B13" s="11">
        <f>'Proximal Validation (double)'!B13</f>
        <v>0.2</v>
      </c>
      <c r="C13" s="10">
        <f>'Proximal Validation (double)'!C13</f>
        <v>1.571</v>
      </c>
      <c r="D13" s="10">
        <f>'Proximal Validation (double)'!D13</f>
        <v>1.5707963267948966</v>
      </c>
      <c r="E13" s="11">
        <f>'Proximal Validation (double)'!E13</f>
        <v>0.3</v>
      </c>
      <c r="F13" s="11">
        <f>'Proximal Validation (double)'!F13</f>
        <v>0.08</v>
      </c>
      <c r="G13" s="10">
        <f>'Proximal Validation (double)'!G13</f>
        <v>3.1419999999999999</v>
      </c>
      <c r="H13" s="10">
        <f>'Proximal Validation (double)'!H13</f>
        <v>1.5707963267948966</v>
      </c>
      <c r="I13" s="10">
        <f>'Proximal Validation (double)'!I13</f>
        <v>0.2</v>
      </c>
      <c r="J13" s="10">
        <f>'Proximal Validation (double)'!J13</f>
        <v>0</v>
      </c>
      <c r="K13" s="10">
        <f>'Proximal Validation (double)'!K13</f>
        <v>0</v>
      </c>
      <c r="L13" s="8"/>
      <c r="M13" s="8"/>
      <c r="N13" s="8"/>
      <c r="O13" s="8"/>
      <c r="P13" s="8"/>
      <c r="Q13" s="8"/>
      <c r="R13" s="8">
        <v>0.58258500301960148</v>
      </c>
      <c r="S13" s="8">
        <v>0.11872246518809271</v>
      </c>
      <c r="T13" s="8">
        <v>1.0461197178661943</v>
      </c>
      <c r="U13" s="8">
        <v>1.5707963267948966</v>
      </c>
      <c r="V13" s="8">
        <v>0.71681920554978018</v>
      </c>
      <c r="W13" s="8">
        <v>9.9074785919592775E-2</v>
      </c>
      <c r="X13" s="8">
        <v>3.741014433244684</v>
      </c>
      <c r="Y13" s="8">
        <v>1.5707963267948966</v>
      </c>
      <c r="Z13" s="28">
        <v>5.3719826467351871E-9</v>
      </c>
      <c r="AA13" s="8">
        <f t="shared" si="0"/>
        <v>0.4825850030196015</v>
      </c>
      <c r="AB13" s="8">
        <f t="shared" si="0"/>
        <v>-8.1277534811907304E-2</v>
      </c>
      <c r="AC13" s="8">
        <f t="shared" si="0"/>
        <v>-0.52488028213380566</v>
      </c>
      <c r="AD13" s="8">
        <f t="shared" si="0"/>
        <v>0</v>
      </c>
      <c r="AE13" s="8">
        <f t="shared" si="0"/>
        <v>0.41681920554978019</v>
      </c>
      <c r="AF13" s="8">
        <f t="shared" si="0"/>
        <v>1.9074785919592774E-2</v>
      </c>
      <c r="AG13" s="8">
        <f t="shared" si="0"/>
        <v>0.59901443324468406</v>
      </c>
      <c r="AH13" s="8">
        <f t="shared" si="0"/>
        <v>0</v>
      </c>
      <c r="AI13" s="22">
        <f t="shared" si="2"/>
        <v>0.44970210428469082</v>
      </c>
      <c r="AJ13" s="22">
        <f t="shared" si="1"/>
        <v>5.0176160365750039E-2</v>
      </c>
      <c r="AK13" s="22">
        <f t="shared" si="1"/>
        <v>0.56194735768924486</v>
      </c>
      <c r="AL13" s="22">
        <f t="shared" si="3"/>
        <v>0.1</v>
      </c>
      <c r="AM13" s="31"/>
      <c r="AN13" s="30">
        <f>AVERAGE(AI8,AI11,AI12,AI14,AI15,AI17,AI18,AI20,AI26,AI30,AI32,AI35,AI37,AI40,AI41)</f>
        <v>9.2166423611051193E-2</v>
      </c>
      <c r="AO13" s="30">
        <f t="shared" ref="AO13:AP13" si="5">AVERAGE(AJ8,AJ11,AJ12,AJ14,AJ15,AJ17,AJ18,AJ20,AJ26,AJ30,AJ32,AJ35,AJ37,AJ40,AJ41)</f>
        <v>1.940816878271245E-2</v>
      </c>
      <c r="AP13" s="30">
        <f t="shared" si="5"/>
        <v>9.2247072414085182E-2</v>
      </c>
    </row>
    <row r="14" spans="1:47" x14ac:dyDescent="0.25">
      <c r="A14" s="10">
        <f>'Proximal Validation (double)'!A14</f>
        <v>0.9</v>
      </c>
      <c r="B14" s="11">
        <f>'Proximal Validation (double)'!B14</f>
        <v>0.2</v>
      </c>
      <c r="C14" s="10">
        <f>'Proximal Validation (double)'!C14</f>
        <v>1.571</v>
      </c>
      <c r="D14" s="10">
        <f>'Proximal Validation (double)'!D14</f>
        <v>1.5707963267948966</v>
      </c>
      <c r="E14" s="11">
        <f>'Proximal Validation (double)'!E14</f>
        <v>0.3</v>
      </c>
      <c r="F14" s="11">
        <f>'Proximal Validation (double)'!F14</f>
        <v>0.02</v>
      </c>
      <c r="G14" s="10">
        <f>'Proximal Validation (double)'!G14</f>
        <v>4.7119999999999997</v>
      </c>
      <c r="H14" s="10">
        <f>'Proximal Validation (double)'!H14</f>
        <v>1.5707963267948966</v>
      </c>
      <c r="I14" s="10">
        <f>'Proximal Validation (double)'!I14</f>
        <v>1.4</v>
      </c>
      <c r="J14" s="10">
        <f>'Proximal Validation (double)'!J14</f>
        <v>0</v>
      </c>
      <c r="K14" s="10">
        <f>'Proximal Validation (double)'!K14</f>
        <v>0</v>
      </c>
      <c r="L14" s="8"/>
      <c r="M14" s="8"/>
      <c r="N14" s="8"/>
      <c r="O14" s="8"/>
      <c r="P14" s="8"/>
      <c r="Q14" s="8"/>
      <c r="R14" s="8">
        <v>0.90193284345904312</v>
      </c>
      <c r="S14" s="8">
        <v>0.1989334884672066</v>
      </c>
      <c r="T14" s="8">
        <v>1.5711347452934625</v>
      </c>
      <c r="U14" s="8">
        <v>1.5707963267948966</v>
      </c>
      <c r="V14" s="8">
        <v>0.30209588591483583</v>
      </c>
      <c r="W14" s="8">
        <v>2.0243284155819764E-2</v>
      </c>
      <c r="X14" s="8">
        <v>4.7123230917104815</v>
      </c>
      <c r="Y14" s="8">
        <v>1.5707963267948966</v>
      </c>
      <c r="Z14" s="28">
        <v>1.2457202573765748E-9</v>
      </c>
      <c r="AA14" s="8">
        <f t="shared" si="0"/>
        <v>1.9328434590430987E-3</v>
      </c>
      <c r="AB14" s="8">
        <f t="shared" si="0"/>
        <v>-1.0665115327934127E-3</v>
      </c>
      <c r="AC14" s="8">
        <f t="shared" si="0"/>
        <v>1.3474529346257924E-4</v>
      </c>
      <c r="AD14" s="8">
        <f t="shared" si="0"/>
        <v>0</v>
      </c>
      <c r="AE14" s="8">
        <f t="shared" si="0"/>
        <v>2.0958859148358377E-3</v>
      </c>
      <c r="AF14" s="8">
        <f t="shared" si="0"/>
        <v>2.432841558197632E-4</v>
      </c>
      <c r="AG14" s="8">
        <f t="shared" si="0"/>
        <v>3.2309171048172658E-4</v>
      </c>
      <c r="AH14" s="8">
        <f t="shared" si="0"/>
        <v>0</v>
      </c>
      <c r="AI14" s="22">
        <f t="shared" si="2"/>
        <v>2.0143646869394682E-3</v>
      </c>
      <c r="AJ14" s="22">
        <f t="shared" si="1"/>
        <v>6.5489784430658796E-4</v>
      </c>
      <c r="AK14" s="22">
        <f t="shared" si="1"/>
        <v>2.2891850197215291E-4</v>
      </c>
      <c r="AL14" s="22">
        <f t="shared" si="3"/>
        <v>0.3</v>
      </c>
      <c r="AM14" s="31"/>
    </row>
    <row r="15" spans="1:47" x14ac:dyDescent="0.25">
      <c r="A15" s="10">
        <f>'Proximal Validation (double)'!A15</f>
        <v>0.9</v>
      </c>
      <c r="B15" s="11">
        <f>'Proximal Validation (double)'!B15</f>
        <v>0.1</v>
      </c>
      <c r="C15" s="10">
        <f>'Proximal Validation (double)'!C15</f>
        <v>2.3559999999999999</v>
      </c>
      <c r="D15" s="10">
        <f>'Proximal Validation (double)'!D15</f>
        <v>1.5707963267948966</v>
      </c>
      <c r="E15" s="11">
        <f>'Proximal Validation (double)'!E15</f>
        <v>0.9</v>
      </c>
      <c r="F15" s="11">
        <f>'Proximal Validation (double)'!F15</f>
        <v>0.02</v>
      </c>
      <c r="G15" s="10">
        <f>'Proximal Validation (double)'!G15</f>
        <v>4.7119999999999997</v>
      </c>
      <c r="H15" s="10">
        <f>'Proximal Validation (double)'!H15</f>
        <v>1.5707963267948966</v>
      </c>
      <c r="I15" s="10">
        <f>'Proximal Validation (double)'!I15</f>
        <v>0.4</v>
      </c>
      <c r="J15" s="10">
        <f>'Proximal Validation (double)'!J15</f>
        <v>0</v>
      </c>
      <c r="K15" s="10">
        <f>'Proximal Validation (double)'!K15</f>
        <v>0</v>
      </c>
      <c r="L15" s="8"/>
      <c r="M15" s="8"/>
      <c r="N15" s="8"/>
      <c r="O15" s="8"/>
      <c r="P15" s="8"/>
      <c r="Q15" s="8"/>
      <c r="R15" s="8">
        <v>0.4877743756410387</v>
      </c>
      <c r="S15" s="8">
        <v>0.16761234783736903</v>
      </c>
      <c r="T15" s="8">
        <v>2.3567286433127652</v>
      </c>
      <c r="U15" s="8">
        <v>1.5707963267948966</v>
      </c>
      <c r="V15" s="8">
        <v>0.6719545699807935</v>
      </c>
      <c r="W15" s="8">
        <v>2.0007018153952123E-2</v>
      </c>
      <c r="X15" s="8">
        <v>4.2562617371110729</v>
      </c>
      <c r="Y15" s="8">
        <v>1.5707963267948966</v>
      </c>
      <c r="Z15" s="28">
        <v>3.1640606403382931E-7</v>
      </c>
      <c r="AA15" s="8">
        <f t="shared" si="0"/>
        <v>-0.41222562435896132</v>
      </c>
      <c r="AB15" s="8">
        <f t="shared" si="0"/>
        <v>6.7612347837369025E-2</v>
      </c>
      <c r="AC15" s="8">
        <f t="shared" si="0"/>
        <v>7.2864331276534244E-4</v>
      </c>
      <c r="AD15" s="8">
        <f t="shared" si="0"/>
        <v>0</v>
      </c>
      <c r="AE15" s="8">
        <f t="shared" si="0"/>
        <v>-0.22804543001920652</v>
      </c>
      <c r="AF15" s="8">
        <f t="shared" si="0"/>
        <v>7.0181539521228797E-6</v>
      </c>
      <c r="AG15" s="8">
        <f t="shared" si="0"/>
        <v>-0.45573826288892683</v>
      </c>
      <c r="AH15" s="8">
        <f t="shared" si="0"/>
        <v>0</v>
      </c>
      <c r="AI15" s="22">
        <f t="shared" si="2"/>
        <v>0.32013552718908389</v>
      </c>
      <c r="AJ15" s="22">
        <f t="shared" si="1"/>
        <v>3.3809682995660575E-2</v>
      </c>
      <c r="AK15" s="22">
        <f t="shared" si="1"/>
        <v>0.22823345310084608</v>
      </c>
      <c r="AL15" s="22">
        <f t="shared" si="3"/>
        <v>0.9</v>
      </c>
      <c r="AM15" s="31"/>
    </row>
    <row r="16" spans="1:47" x14ac:dyDescent="0.25">
      <c r="A16" s="10">
        <f>'Proximal Validation (double)'!A16</f>
        <v>0.4</v>
      </c>
      <c r="B16" s="11">
        <f>'Proximal Validation (double)'!B16</f>
        <v>0.12</v>
      </c>
      <c r="C16" s="10">
        <f>'Proximal Validation (double)'!C16</f>
        <v>2.3559999999999999</v>
      </c>
      <c r="D16" s="10">
        <f>'Proximal Validation (double)'!D16</f>
        <v>1.5707963267948966</v>
      </c>
      <c r="E16" s="11">
        <f>'Proximal Validation (double)'!E16</f>
        <v>0.1</v>
      </c>
      <c r="F16" s="11">
        <f>'Proximal Validation (double)'!F16</f>
        <v>0.06</v>
      </c>
      <c r="G16" s="10">
        <f>'Proximal Validation (double)'!G16</f>
        <v>3.1419999999999999</v>
      </c>
      <c r="H16" s="10">
        <f>'Proximal Validation (double)'!H16</f>
        <v>1.5707963267948966</v>
      </c>
      <c r="I16" s="10">
        <f>'Proximal Validation (double)'!I16</f>
        <v>0.4</v>
      </c>
      <c r="J16" s="10">
        <f>'Proximal Validation (double)'!J16</f>
        <v>0</v>
      </c>
      <c r="K16" s="10">
        <f>'Proximal Validation (double)'!K16</f>
        <v>0</v>
      </c>
      <c r="L16" s="8"/>
      <c r="M16" s="8"/>
      <c r="N16" s="8"/>
      <c r="O16" s="8"/>
      <c r="P16" s="8"/>
      <c r="Q16" s="8"/>
      <c r="R16" s="8">
        <v>0.29366714645001141</v>
      </c>
      <c r="S16" s="8">
        <v>0.12128404722910409</v>
      </c>
      <c r="T16" s="8">
        <v>1.9966100823867254</v>
      </c>
      <c r="U16" s="8">
        <v>1.5707963267948966</v>
      </c>
      <c r="V16" s="8">
        <v>0.26196100122589394</v>
      </c>
      <c r="W16" s="8">
        <v>9.6509796878930645E-2</v>
      </c>
      <c r="X16" s="8">
        <v>3.0827775485598576</v>
      </c>
      <c r="Y16" s="8">
        <v>1.5707963267948966</v>
      </c>
      <c r="Z16" s="28">
        <v>1.9942343461204714E-9</v>
      </c>
      <c r="AA16" s="8">
        <f t="shared" si="0"/>
        <v>-0.10633285354998862</v>
      </c>
      <c r="AB16" s="8">
        <f t="shared" si="0"/>
        <v>1.2840472291040933E-3</v>
      </c>
      <c r="AC16" s="8">
        <f t="shared" si="0"/>
        <v>-0.35938991761327443</v>
      </c>
      <c r="AD16" s="8">
        <f t="shared" si="0"/>
        <v>0</v>
      </c>
      <c r="AE16" s="8">
        <f t="shared" si="0"/>
        <v>0.16196100122589394</v>
      </c>
      <c r="AF16" s="8">
        <f t="shared" si="0"/>
        <v>3.6509796878930648E-2</v>
      </c>
      <c r="AG16" s="8">
        <f t="shared" si="0"/>
        <v>-5.9222451440142265E-2</v>
      </c>
      <c r="AH16" s="8">
        <f t="shared" si="0"/>
        <v>0</v>
      </c>
      <c r="AI16" s="22">
        <f t="shared" si="2"/>
        <v>0.13414692738794126</v>
      </c>
      <c r="AJ16" s="22">
        <f t="shared" si="1"/>
        <v>1.889692205401737E-2</v>
      </c>
      <c r="AK16" s="22">
        <f t="shared" si="1"/>
        <v>0.20930618452670835</v>
      </c>
      <c r="AL16" s="22">
        <f t="shared" si="3"/>
        <v>0.1</v>
      </c>
      <c r="AM16" s="31"/>
    </row>
    <row r="17" spans="1:39" x14ac:dyDescent="0.25">
      <c r="A17" s="10">
        <f>'Proximal Validation (double)'!A17</f>
        <v>1</v>
      </c>
      <c r="B17" s="11">
        <f>'Proximal Validation (double)'!B17</f>
        <v>0.14000000000000001</v>
      </c>
      <c r="C17" s="10">
        <f>'Proximal Validation (double)'!C17</f>
        <v>2.3559999999999999</v>
      </c>
      <c r="D17" s="10">
        <f>'Proximal Validation (double)'!D17</f>
        <v>1.5707963267948966</v>
      </c>
      <c r="E17" s="11">
        <f>'Proximal Validation (double)'!E17</f>
        <v>0.4</v>
      </c>
      <c r="F17" s="11">
        <f>'Proximal Validation (double)'!F17</f>
        <v>0.04</v>
      </c>
      <c r="G17" s="10">
        <f>'Proximal Validation (double)'!G17</f>
        <v>3.927</v>
      </c>
      <c r="H17" s="10">
        <f>'Proximal Validation (double)'!H17</f>
        <v>1.5707963267948966</v>
      </c>
      <c r="I17" s="10">
        <f>'Proximal Validation (double)'!I17</f>
        <v>0.6</v>
      </c>
      <c r="J17" s="10">
        <f>'Proximal Validation (double)'!J17</f>
        <v>0</v>
      </c>
      <c r="K17" s="10">
        <f>'Proximal Validation (double)'!K17</f>
        <v>0</v>
      </c>
      <c r="L17" s="8"/>
      <c r="M17" s="8"/>
      <c r="N17" s="8"/>
      <c r="O17" s="8"/>
      <c r="P17" s="8"/>
      <c r="Q17" s="8"/>
      <c r="R17" s="8">
        <v>0.85651596431620891</v>
      </c>
      <c r="S17" s="8">
        <v>0.15985976798390097</v>
      </c>
      <c r="T17" s="8">
        <v>2.4074779765114882</v>
      </c>
      <c r="U17" s="8">
        <v>1.5707963267948966</v>
      </c>
      <c r="V17" s="8">
        <v>0.38888865575055565</v>
      </c>
      <c r="W17" s="8">
        <v>2.5796373460923935E-2</v>
      </c>
      <c r="X17" s="8">
        <v>3.5237204553445238</v>
      </c>
      <c r="Y17" s="8">
        <v>1.5707963267948966</v>
      </c>
      <c r="Z17" s="28">
        <v>6.5751521840015665E-8</v>
      </c>
      <c r="AA17" s="8">
        <f t="shared" si="0"/>
        <v>-0.14348403568379109</v>
      </c>
      <c r="AB17" s="8">
        <f t="shared" si="0"/>
        <v>1.9859767983900961E-2</v>
      </c>
      <c r="AC17" s="8">
        <f t="shared" si="0"/>
        <v>5.1477976511488333E-2</v>
      </c>
      <c r="AD17" s="8">
        <f t="shared" si="0"/>
        <v>0</v>
      </c>
      <c r="AE17" s="8">
        <f t="shared" si="0"/>
        <v>-1.1111344249444377E-2</v>
      </c>
      <c r="AF17" s="8">
        <f t="shared" si="0"/>
        <v>-1.4203626539076065E-2</v>
      </c>
      <c r="AG17" s="8">
        <f t="shared" si="0"/>
        <v>-0.40327954465547622</v>
      </c>
      <c r="AH17" s="8">
        <f t="shared" si="0"/>
        <v>0</v>
      </c>
      <c r="AI17" s="22">
        <f t="shared" si="2"/>
        <v>7.7297689966617733E-2</v>
      </c>
      <c r="AJ17" s="22">
        <f t="shared" si="1"/>
        <v>1.7031697261488513E-2</v>
      </c>
      <c r="AK17" s="22">
        <f t="shared" si="1"/>
        <v>0.22737876058348228</v>
      </c>
      <c r="AL17" s="22">
        <f t="shared" si="3"/>
        <v>0.4</v>
      </c>
      <c r="AM17" s="31"/>
    </row>
    <row r="18" spans="1:39" x14ac:dyDescent="0.25">
      <c r="A18" s="10">
        <f>'Proximal Validation (double)'!A18</f>
        <v>0.4</v>
      </c>
      <c r="B18" s="11">
        <f>'Proximal Validation (double)'!B18</f>
        <v>0.18</v>
      </c>
      <c r="C18" s="10">
        <f>'Proximal Validation (double)'!C18</f>
        <v>2.3559999999999999</v>
      </c>
      <c r="D18" s="10">
        <f>'Proximal Validation (double)'!D18</f>
        <v>1.5707963267948966</v>
      </c>
      <c r="E18" s="11">
        <f>'Proximal Validation (double)'!E18</f>
        <v>0.7</v>
      </c>
      <c r="F18" s="11">
        <f>'Proximal Validation (double)'!F18</f>
        <v>0.04</v>
      </c>
      <c r="G18" s="10">
        <f>'Proximal Validation (double)'!G18</f>
        <v>3.1419999999999999</v>
      </c>
      <c r="H18" s="10">
        <f>'Proximal Validation (double)'!H18</f>
        <v>1.5707963267948966</v>
      </c>
      <c r="I18" s="10">
        <f>'Proximal Validation (double)'!I18</f>
        <v>0</v>
      </c>
      <c r="J18" s="10">
        <f>'Proximal Validation (double)'!J18</f>
        <v>0</v>
      </c>
      <c r="K18" s="10">
        <f>'Proximal Validation (double)'!K18</f>
        <v>0</v>
      </c>
      <c r="L18" s="8"/>
      <c r="M18" s="8"/>
      <c r="N18" s="8"/>
      <c r="O18" s="8"/>
      <c r="P18" s="8"/>
      <c r="Q18" s="8"/>
      <c r="R18" s="8">
        <v>0.91331588432749466</v>
      </c>
      <c r="S18" s="8">
        <v>0.10143052663328925</v>
      </c>
      <c r="T18" s="8">
        <v>2.3180348116944272</v>
      </c>
      <c r="U18" s="8">
        <v>1.5707963267948966</v>
      </c>
      <c r="V18" s="8">
        <v>0.53031257098908002</v>
      </c>
      <c r="W18" s="8">
        <v>4.4074814173077431E-2</v>
      </c>
      <c r="X18" s="8">
        <v>3.9682446416623272</v>
      </c>
      <c r="Y18" s="8">
        <v>1.5707963267948966</v>
      </c>
      <c r="Z18" s="28">
        <v>3.5757449861197577E-11</v>
      </c>
      <c r="AA18" s="8">
        <f t="shared" si="0"/>
        <v>0.51331588432749464</v>
      </c>
      <c r="AB18" s="8">
        <f t="shared" si="0"/>
        <v>-7.8569473366710746E-2</v>
      </c>
      <c r="AC18" s="8">
        <f t="shared" si="0"/>
        <v>-3.7965188305572717E-2</v>
      </c>
      <c r="AD18" s="8">
        <f t="shared" si="0"/>
        <v>0</v>
      </c>
      <c r="AE18" s="8">
        <f t="shared" si="0"/>
        <v>-0.16968742901091993</v>
      </c>
      <c r="AF18" s="8">
        <f t="shared" si="0"/>
        <v>4.0748141730774304E-3</v>
      </c>
      <c r="AG18" s="8">
        <f t="shared" si="0"/>
        <v>0.82624464166232725</v>
      </c>
      <c r="AH18" s="8">
        <f t="shared" si="0"/>
        <v>0</v>
      </c>
      <c r="AI18" s="22">
        <f t="shared" si="2"/>
        <v>0.34150165666920729</v>
      </c>
      <c r="AJ18" s="22">
        <f t="shared" si="1"/>
        <v>4.1322143769894085E-2</v>
      </c>
      <c r="AK18" s="22">
        <f t="shared" si="1"/>
        <v>0.43210491498394998</v>
      </c>
      <c r="AL18" s="22">
        <f t="shared" si="3"/>
        <v>0.4</v>
      </c>
      <c r="AM18" s="31"/>
    </row>
    <row r="19" spans="1:39" x14ac:dyDescent="0.25">
      <c r="A19" s="10">
        <f>'Proximal Validation (double)'!A19</f>
        <v>0.1</v>
      </c>
      <c r="B19" s="11">
        <f>'Proximal Validation (double)'!B19</f>
        <v>0.18</v>
      </c>
      <c r="C19" s="10">
        <f>'Proximal Validation (double)'!C19</f>
        <v>2.3559999999999999</v>
      </c>
      <c r="D19" s="10">
        <f>'Proximal Validation (double)'!D19</f>
        <v>1.5707963267948966</v>
      </c>
      <c r="E19" s="11">
        <f>'Proximal Validation (double)'!E19</f>
        <v>0.2</v>
      </c>
      <c r="F19" s="11">
        <f>'Proximal Validation (double)'!F19</f>
        <v>0.06</v>
      </c>
      <c r="G19" s="10">
        <f>'Proximal Validation (double)'!G19</f>
        <v>4.7119999999999997</v>
      </c>
      <c r="H19" s="10">
        <f>'Proximal Validation (double)'!H19</f>
        <v>1.5707963267948966</v>
      </c>
      <c r="I19" s="10">
        <f>'Proximal Validation (double)'!I19</f>
        <v>0.4</v>
      </c>
      <c r="J19" s="10">
        <f>'Proximal Validation (double)'!J19</f>
        <v>0</v>
      </c>
      <c r="K19" s="10">
        <f>'Proximal Validation (double)'!K19</f>
        <v>0</v>
      </c>
      <c r="L19" s="8"/>
      <c r="M19" s="8"/>
      <c r="N19" s="8"/>
      <c r="O19" s="8"/>
      <c r="P19" s="8"/>
      <c r="Q19" s="8"/>
      <c r="R19" s="8">
        <v>0.51282581329976329</v>
      </c>
      <c r="S19" s="8">
        <v>0.14703434782061817</v>
      </c>
      <c r="T19" s="8">
        <v>1.8540572174736207</v>
      </c>
      <c r="U19" s="8">
        <v>1.5707963267948966</v>
      </c>
      <c r="V19" s="8">
        <v>0.62576631535451999</v>
      </c>
      <c r="W19" s="8">
        <v>0.1151925381061368</v>
      </c>
      <c r="X19" s="8">
        <v>4.8285709848245508</v>
      </c>
      <c r="Y19" s="8">
        <v>1.5707963267948966</v>
      </c>
      <c r="Z19" s="28">
        <v>1.8167426427648998E-9</v>
      </c>
      <c r="AA19" s="8">
        <f t="shared" si="0"/>
        <v>0.41282581329976331</v>
      </c>
      <c r="AB19" s="8">
        <f t="shared" si="0"/>
        <v>-3.2965652179381827E-2</v>
      </c>
      <c r="AC19" s="8">
        <f t="shared" si="0"/>
        <v>-0.50194278252637914</v>
      </c>
      <c r="AD19" s="8">
        <f t="shared" si="0"/>
        <v>0</v>
      </c>
      <c r="AE19" s="8">
        <f t="shared" si="0"/>
        <v>0.42576631535451998</v>
      </c>
      <c r="AF19" s="8">
        <f t="shared" si="0"/>
        <v>5.5192538106136807E-2</v>
      </c>
      <c r="AG19" s="8">
        <f t="shared" si="0"/>
        <v>0.11657098482455108</v>
      </c>
      <c r="AH19" s="8">
        <f t="shared" si="0"/>
        <v>0</v>
      </c>
      <c r="AI19" s="22">
        <f t="shared" si="2"/>
        <v>0.41929606432714162</v>
      </c>
      <c r="AJ19" s="22">
        <f t="shared" si="2"/>
        <v>4.4079095142759317E-2</v>
      </c>
      <c r="AK19" s="22">
        <f t="shared" si="2"/>
        <v>0.30925688367546511</v>
      </c>
      <c r="AL19" s="22">
        <f t="shared" si="3"/>
        <v>0.1</v>
      </c>
      <c r="AM19" s="31"/>
    </row>
    <row r="20" spans="1:39" x14ac:dyDescent="0.25">
      <c r="A20" s="10">
        <f>'Proximal Validation (double)'!A20</f>
        <v>0.9</v>
      </c>
      <c r="B20" s="11">
        <f>'Proximal Validation (double)'!B20</f>
        <v>0.2</v>
      </c>
      <c r="C20" s="10">
        <f>'Proximal Validation (double)'!C20</f>
        <v>2.3559999999999999</v>
      </c>
      <c r="D20" s="10">
        <f>'Proximal Validation (double)'!D20</f>
        <v>1.5707963267948966</v>
      </c>
      <c r="E20" s="11">
        <f>'Proximal Validation (double)'!E20</f>
        <v>0.3</v>
      </c>
      <c r="F20" s="11">
        <f>'Proximal Validation (double)'!F20</f>
        <v>0.06</v>
      </c>
      <c r="G20" s="10">
        <f>'Proximal Validation (double)'!G20</f>
        <v>3.1419999999999999</v>
      </c>
      <c r="H20" s="10">
        <f>'Proximal Validation (double)'!H20</f>
        <v>1.5707963267948966</v>
      </c>
      <c r="I20" s="10">
        <f>'Proximal Validation (double)'!I20</f>
        <v>1.2</v>
      </c>
      <c r="J20" s="10">
        <f>'Proximal Validation (double)'!J20</f>
        <v>0</v>
      </c>
      <c r="K20" s="10">
        <f>'Proximal Validation (double)'!K20</f>
        <v>0</v>
      </c>
      <c r="L20" s="8"/>
      <c r="M20" s="8"/>
      <c r="N20" s="8"/>
      <c r="O20" s="8"/>
      <c r="P20" s="8"/>
      <c r="Q20" s="8"/>
      <c r="R20" s="8">
        <v>0.90335419953902696</v>
      </c>
      <c r="S20" s="8">
        <v>0.19590396126786308</v>
      </c>
      <c r="T20" s="8">
        <v>2.3481908946336874</v>
      </c>
      <c r="U20" s="8">
        <v>1.5707963267948966</v>
      </c>
      <c r="V20" s="8">
        <v>0.30114477439021553</v>
      </c>
      <c r="W20" s="8">
        <v>6.4264263069533423E-2</v>
      </c>
      <c r="X20" s="8">
        <v>3.1704354775930037</v>
      </c>
      <c r="Y20" s="8">
        <v>1.5707963267948966</v>
      </c>
      <c r="Z20" s="28">
        <v>2.9479399573405729E-9</v>
      </c>
      <c r="AA20" s="8">
        <f t="shared" si="0"/>
        <v>3.3541995390269363E-3</v>
      </c>
      <c r="AB20" s="8">
        <f t="shared" si="0"/>
        <v>-4.0960387321369307E-3</v>
      </c>
      <c r="AC20" s="8">
        <f t="shared" si="0"/>
        <v>-7.8091053663125187E-3</v>
      </c>
      <c r="AD20" s="8">
        <f t="shared" si="0"/>
        <v>0</v>
      </c>
      <c r="AE20" s="8">
        <f t="shared" si="0"/>
        <v>1.1447743902155416E-3</v>
      </c>
      <c r="AF20" s="8">
        <f t="shared" si="0"/>
        <v>4.2642630695334249E-3</v>
      </c>
      <c r="AG20" s="8">
        <f t="shared" si="0"/>
        <v>2.84354775930038E-2</v>
      </c>
      <c r="AH20" s="8">
        <f t="shared" si="0"/>
        <v>0</v>
      </c>
      <c r="AI20" s="22">
        <f t="shared" si="2"/>
        <v>2.249486964621239E-3</v>
      </c>
      <c r="AJ20" s="22">
        <f t="shared" si="2"/>
        <v>4.1801509008351778E-3</v>
      </c>
      <c r="AK20" s="22">
        <f t="shared" si="2"/>
        <v>1.8122291479658159E-2</v>
      </c>
      <c r="AL20" s="22">
        <f t="shared" si="3"/>
        <v>0.3</v>
      </c>
      <c r="AM20" s="31"/>
    </row>
    <row r="21" spans="1:39" x14ac:dyDescent="0.25">
      <c r="A21" s="10">
        <f>'Proximal Validation (double)'!A21</f>
        <v>0.1</v>
      </c>
      <c r="B21" s="11">
        <f>'Proximal Validation (double)'!B21</f>
        <v>0.1</v>
      </c>
      <c r="C21" s="10">
        <f>'Proximal Validation (double)'!C21</f>
        <v>3.1419999999999999</v>
      </c>
      <c r="D21" s="10">
        <f>'Proximal Validation (double)'!D21</f>
        <v>1.5707963267948966</v>
      </c>
      <c r="E21" s="11">
        <f>'Proximal Validation (double)'!E21</f>
        <v>0.3</v>
      </c>
      <c r="F21" s="11">
        <f>'Proximal Validation (double)'!F21</f>
        <v>0.08</v>
      </c>
      <c r="G21" s="10">
        <f>'Proximal Validation (double)'!G21</f>
        <v>3.927</v>
      </c>
      <c r="H21" s="10">
        <f>'Proximal Validation (double)'!H21</f>
        <v>1.5707963267948966</v>
      </c>
      <c r="I21" s="10">
        <f>'Proximal Validation (double)'!I21</f>
        <v>1.2</v>
      </c>
      <c r="J21" s="10">
        <f>'Proximal Validation (double)'!J21</f>
        <v>0</v>
      </c>
      <c r="K21" s="10">
        <f>'Proximal Validation (double)'!K21</f>
        <v>0</v>
      </c>
      <c r="L21" s="8"/>
      <c r="M21" s="8"/>
      <c r="N21" s="8"/>
      <c r="O21" s="8"/>
      <c r="P21" s="8"/>
      <c r="Q21" s="8"/>
      <c r="R21" s="8">
        <v>0.5040426015666154</v>
      </c>
      <c r="S21" s="8">
        <v>7.9969626894462811E-2</v>
      </c>
      <c r="T21" s="8">
        <v>3.5852611065339697</v>
      </c>
      <c r="U21" s="8">
        <v>1.5707963267948966</v>
      </c>
      <c r="V21" s="8">
        <v>0.1432085685220402</v>
      </c>
      <c r="W21" s="8">
        <v>6.6253580334969114E-2</v>
      </c>
      <c r="X21" s="8">
        <v>2.9350441433996732E-2</v>
      </c>
      <c r="Y21" s="8">
        <v>1.5707963267948966</v>
      </c>
      <c r="Z21" s="28">
        <v>4.5059462147691185E-10</v>
      </c>
      <c r="AA21" s="8">
        <f t="shared" si="0"/>
        <v>0.40404260156661542</v>
      </c>
      <c r="AB21" s="8">
        <f t="shared" si="0"/>
        <v>-2.0030373105537194E-2</v>
      </c>
      <c r="AC21" s="8">
        <f t="shared" si="0"/>
        <v>0.44326110653396977</v>
      </c>
      <c r="AD21" s="8">
        <f t="shared" si="0"/>
        <v>0</v>
      </c>
      <c r="AE21" s="8">
        <f t="shared" si="0"/>
        <v>-0.15679143147795979</v>
      </c>
      <c r="AF21" s="8">
        <f t="shared" si="0"/>
        <v>-1.3746419665030887E-2</v>
      </c>
      <c r="AG21" s="8">
        <f t="shared" si="0"/>
        <v>-3.8976495585660031</v>
      </c>
      <c r="AH21" s="8">
        <f t="shared" si="0"/>
        <v>0</v>
      </c>
      <c r="AI21" s="22">
        <f t="shared" si="2"/>
        <v>0.28041701652228762</v>
      </c>
      <c r="AJ21" s="22">
        <f t="shared" si="2"/>
        <v>1.6888396385284041E-2</v>
      </c>
      <c r="AK21" s="22">
        <f t="shared" si="2"/>
        <v>2.1704553325499862</v>
      </c>
      <c r="AL21" s="22">
        <f t="shared" si="3"/>
        <v>0.1</v>
      </c>
      <c r="AM21" s="31"/>
    </row>
    <row r="22" spans="1:39" x14ac:dyDescent="0.25">
      <c r="A22" s="10">
        <f>'Proximal Validation (double)'!A22</f>
        <v>0.1</v>
      </c>
      <c r="B22" s="11">
        <f>'Proximal Validation (double)'!B22</f>
        <v>0.2</v>
      </c>
      <c r="C22" s="10">
        <f>'Proximal Validation (double)'!C22</f>
        <v>3.1419999999999999</v>
      </c>
      <c r="D22" s="10">
        <f>'Proximal Validation (double)'!D22</f>
        <v>1.5707963267948966</v>
      </c>
      <c r="E22" s="11">
        <f>'Proximal Validation (double)'!E22</f>
        <v>0.8</v>
      </c>
      <c r="F22" s="11">
        <f>'Proximal Validation (double)'!F22</f>
        <v>0.02</v>
      </c>
      <c r="G22" s="10">
        <f>'Proximal Validation (double)'!G22</f>
        <v>3.927</v>
      </c>
      <c r="H22" s="10">
        <f>'Proximal Validation (double)'!H22</f>
        <v>1.5707963267948966</v>
      </c>
      <c r="I22" s="10">
        <f>'Proximal Validation (double)'!I22</f>
        <v>1.2</v>
      </c>
      <c r="J22" s="10">
        <f>'Proximal Validation (double)'!J22</f>
        <v>0</v>
      </c>
      <c r="K22" s="10">
        <f>'Proximal Validation (double)'!K22</f>
        <v>0</v>
      </c>
      <c r="L22" s="8"/>
      <c r="M22" s="8"/>
      <c r="N22" s="8"/>
      <c r="O22" s="8"/>
      <c r="P22" s="8"/>
      <c r="Q22" s="8"/>
      <c r="R22" s="8">
        <v>0.18500725493918269</v>
      </c>
      <c r="S22" s="8">
        <v>9.5021753496434533E-2</v>
      </c>
      <c r="T22" s="8">
        <v>2.5576798083936159</v>
      </c>
      <c r="U22" s="8">
        <v>1.5707963267948966</v>
      </c>
      <c r="V22" s="8">
        <v>0.84100949978439188</v>
      </c>
      <c r="W22" s="8">
        <v>3.1197448395310728E-2</v>
      </c>
      <c r="X22" s="8">
        <v>4.0588267670215386</v>
      </c>
      <c r="Y22" s="8">
        <v>1.5707963267948966</v>
      </c>
      <c r="Z22" s="28">
        <v>1.5228861426600789E-7</v>
      </c>
      <c r="AA22" s="8">
        <f t="shared" si="0"/>
        <v>8.500725493918268E-2</v>
      </c>
      <c r="AB22" s="8">
        <f t="shared" si="0"/>
        <v>-0.10497824650356548</v>
      </c>
      <c r="AC22" s="8">
        <f t="shared" si="0"/>
        <v>-0.58432019160638404</v>
      </c>
      <c r="AD22" s="8">
        <f t="shared" si="0"/>
        <v>0</v>
      </c>
      <c r="AE22" s="8">
        <f t="shared" si="0"/>
        <v>4.1009499784391834E-2</v>
      </c>
      <c r="AF22" s="8">
        <f t="shared" si="0"/>
        <v>1.1197448395310727E-2</v>
      </c>
      <c r="AG22" s="8">
        <f t="shared" si="0"/>
        <v>0.1318267670215385</v>
      </c>
      <c r="AH22" s="8">
        <f t="shared" si="0"/>
        <v>0</v>
      </c>
      <c r="AI22" s="22">
        <f t="shared" si="2"/>
        <v>6.3008377361787257E-2</v>
      </c>
      <c r="AJ22" s="22">
        <f t="shared" si="2"/>
        <v>5.8087847449438103E-2</v>
      </c>
      <c r="AK22" s="22">
        <f t="shared" si="2"/>
        <v>0.35807347931396127</v>
      </c>
      <c r="AL22" s="22">
        <f t="shared" si="3"/>
        <v>0.1</v>
      </c>
      <c r="AM22" s="31"/>
    </row>
    <row r="23" spans="1:39" x14ac:dyDescent="0.25">
      <c r="A23" s="10">
        <f>'Proximal Validation (double)'!A23</f>
        <v>0.9</v>
      </c>
      <c r="B23" s="11">
        <f>'Proximal Validation (double)'!B23</f>
        <v>0.1</v>
      </c>
      <c r="C23" s="10">
        <f>'Proximal Validation (double)'!C23</f>
        <v>3.927</v>
      </c>
      <c r="D23" s="10">
        <f>'Proximal Validation (double)'!D23</f>
        <v>1.5707963267948966</v>
      </c>
      <c r="E23" s="11">
        <f>'Proximal Validation (double)'!E23</f>
        <v>0.2</v>
      </c>
      <c r="F23" s="11">
        <f>'Proximal Validation (double)'!F23</f>
        <v>0.02</v>
      </c>
      <c r="G23" s="10">
        <f>'Proximal Validation (double)'!G23</f>
        <v>3.1419999999999999</v>
      </c>
      <c r="H23" s="10">
        <f>'Proximal Validation (double)'!H23</f>
        <v>1.5707963267948966</v>
      </c>
      <c r="I23" s="10">
        <f>'Proximal Validation (double)'!I23</f>
        <v>1.4</v>
      </c>
      <c r="J23" s="10">
        <f>'Proximal Validation (double)'!J23</f>
        <v>0</v>
      </c>
      <c r="K23" s="10">
        <f>'Proximal Validation (double)'!K23</f>
        <v>0</v>
      </c>
      <c r="L23" s="8"/>
      <c r="M23" s="8"/>
      <c r="N23" s="8"/>
      <c r="O23" s="8"/>
      <c r="P23" s="8"/>
      <c r="Q23" s="8"/>
      <c r="R23" s="8">
        <v>0.79071397615965522</v>
      </c>
      <c r="S23" s="8">
        <v>0.10257958451869997</v>
      </c>
      <c r="T23" s="8">
        <v>4.0159790591200606</v>
      </c>
      <c r="U23" s="8">
        <v>1.5707963267948966</v>
      </c>
      <c r="V23" s="8">
        <v>0.33006185263917021</v>
      </c>
      <c r="W23" s="8">
        <v>4.7362099000975197E-2</v>
      </c>
      <c r="X23" s="8">
        <v>3.2314783983565567</v>
      </c>
      <c r="Y23" s="8">
        <v>1.5707963267948966</v>
      </c>
      <c r="Z23" s="28">
        <v>5.5030003982087758E-9</v>
      </c>
      <c r="AA23" s="8">
        <f t="shared" si="0"/>
        <v>-0.1092860238403448</v>
      </c>
      <c r="AB23" s="8">
        <f t="shared" si="0"/>
        <v>2.5795845186999677E-3</v>
      </c>
      <c r="AC23" s="8">
        <f t="shared" si="0"/>
        <v>8.8979059120060544E-2</v>
      </c>
      <c r="AD23" s="8">
        <f t="shared" si="0"/>
        <v>0</v>
      </c>
      <c r="AE23" s="8">
        <f t="shared" si="0"/>
        <v>0.13006185263917019</v>
      </c>
      <c r="AF23" s="8">
        <f t="shared" si="0"/>
        <v>2.7362099000975196E-2</v>
      </c>
      <c r="AG23" s="8">
        <f t="shared" si="0"/>
        <v>8.9478398356556799E-2</v>
      </c>
      <c r="AH23" s="8">
        <f t="shared" si="0"/>
        <v>0</v>
      </c>
      <c r="AI23" s="22">
        <f t="shared" si="2"/>
        <v>0.1196739382397575</v>
      </c>
      <c r="AJ23" s="22">
        <f t="shared" si="2"/>
        <v>1.4970841759837582E-2</v>
      </c>
      <c r="AK23" s="22">
        <f t="shared" si="2"/>
        <v>8.9228728738308671E-2</v>
      </c>
      <c r="AL23" s="22">
        <f t="shared" si="3"/>
        <v>0.2</v>
      </c>
      <c r="AM23" s="31"/>
    </row>
    <row r="24" spans="1:39" x14ac:dyDescent="0.25">
      <c r="A24" s="10">
        <f>'Proximal Validation (double)'!A24</f>
        <v>0.2</v>
      </c>
      <c r="B24" s="11">
        <f>'Proximal Validation (double)'!B24</f>
        <v>0.12</v>
      </c>
      <c r="C24" s="10">
        <f>'Proximal Validation (double)'!C24</f>
        <v>3.927</v>
      </c>
      <c r="D24" s="10">
        <f>'Proximal Validation (double)'!D24</f>
        <v>1.5707963267948966</v>
      </c>
      <c r="E24" s="11">
        <f>'Proximal Validation (double)'!E24</f>
        <v>0.2</v>
      </c>
      <c r="F24" s="11">
        <f>'Proximal Validation (double)'!F24</f>
        <v>0.02</v>
      </c>
      <c r="G24" s="10">
        <f>'Proximal Validation (double)'!G24</f>
        <v>4.7119999999999997</v>
      </c>
      <c r="H24" s="10">
        <f>'Proximal Validation (double)'!H24</f>
        <v>1.5707963267948966</v>
      </c>
      <c r="I24" s="10">
        <f>'Proximal Validation (double)'!I24</f>
        <v>1.2</v>
      </c>
      <c r="J24" s="10">
        <f>'Proximal Validation (double)'!J24</f>
        <v>0</v>
      </c>
      <c r="K24" s="10">
        <f>'Proximal Validation (double)'!K24</f>
        <v>0</v>
      </c>
      <c r="L24" s="8"/>
      <c r="M24" s="8"/>
      <c r="N24" s="8"/>
      <c r="O24" s="8"/>
      <c r="P24" s="8"/>
      <c r="Q24" s="8"/>
      <c r="R24" s="8">
        <v>0.2156437736180695</v>
      </c>
      <c r="S24" s="8">
        <v>0.10313660206494145</v>
      </c>
      <c r="T24" s="8">
        <v>3.7465666311286365</v>
      </c>
      <c r="U24" s="8">
        <v>1.5707963267948966</v>
      </c>
      <c r="V24" s="8">
        <v>0.22170444830172412</v>
      </c>
      <c r="W24" s="8">
        <v>3.7737511945097217E-2</v>
      </c>
      <c r="X24" s="8">
        <v>4.8747594856089318</v>
      </c>
      <c r="Y24" s="8">
        <v>1.5707963267948966</v>
      </c>
      <c r="Z24" s="28">
        <v>1.0224646501631247E-8</v>
      </c>
      <c r="AA24" s="8">
        <f t="shared" si="0"/>
        <v>1.5643773618069484E-2</v>
      </c>
      <c r="AB24" s="8">
        <f t="shared" si="0"/>
        <v>-1.6863397935058547E-2</v>
      </c>
      <c r="AC24" s="8">
        <f t="shared" si="0"/>
        <v>-0.18043336887136352</v>
      </c>
      <c r="AD24" s="8">
        <f t="shared" si="0"/>
        <v>0</v>
      </c>
      <c r="AE24" s="8">
        <f t="shared" si="0"/>
        <v>2.1704448301724105E-2</v>
      </c>
      <c r="AF24" s="8">
        <f t="shared" si="0"/>
        <v>1.7737511945097217E-2</v>
      </c>
      <c r="AG24" s="8">
        <f t="shared" si="0"/>
        <v>0.16275948560893205</v>
      </c>
      <c r="AH24" s="8">
        <f t="shared" si="0"/>
        <v>0</v>
      </c>
      <c r="AI24" s="22">
        <f t="shared" si="2"/>
        <v>1.8674110959896795E-2</v>
      </c>
      <c r="AJ24" s="22">
        <f t="shared" si="2"/>
        <v>1.7300454940077883E-2</v>
      </c>
      <c r="AK24" s="22">
        <f t="shared" si="2"/>
        <v>0.17159642724014779</v>
      </c>
      <c r="AL24" s="22">
        <f t="shared" si="3"/>
        <v>0.2</v>
      </c>
      <c r="AM24" s="31"/>
    </row>
    <row r="25" spans="1:39" x14ac:dyDescent="0.25">
      <c r="A25" s="10">
        <f>'Proximal Validation (double)'!A25</f>
        <v>0.6</v>
      </c>
      <c r="B25" s="11">
        <f>'Proximal Validation (double)'!B25</f>
        <v>0.12</v>
      </c>
      <c r="C25" s="10">
        <f>'Proximal Validation (double)'!C25</f>
        <v>3.927</v>
      </c>
      <c r="D25" s="10">
        <f>'Proximal Validation (double)'!D25</f>
        <v>1.5707963267948966</v>
      </c>
      <c r="E25" s="11">
        <f>'Proximal Validation (double)'!E25</f>
        <v>0.5</v>
      </c>
      <c r="F25" s="11">
        <f>'Proximal Validation (double)'!F25</f>
        <v>0.08</v>
      </c>
      <c r="G25" s="10">
        <f>'Proximal Validation (double)'!G25</f>
        <v>4.7119999999999997</v>
      </c>
      <c r="H25" s="10">
        <f>'Proximal Validation (double)'!H25</f>
        <v>1.5707963267948966</v>
      </c>
      <c r="I25" s="10">
        <f>'Proximal Validation (double)'!I25</f>
        <v>0.2</v>
      </c>
      <c r="J25" s="10">
        <f>'Proximal Validation (double)'!J25</f>
        <v>0</v>
      </c>
      <c r="K25" s="10">
        <f>'Proximal Validation (double)'!K25</f>
        <v>0</v>
      </c>
      <c r="L25" s="8"/>
      <c r="M25" s="8"/>
      <c r="N25" s="8"/>
      <c r="O25" s="8"/>
      <c r="P25" s="8"/>
      <c r="Q25" s="8"/>
      <c r="R25" s="8">
        <v>0.73534641375538246</v>
      </c>
      <c r="S25" s="8">
        <v>0.11208057838633882</v>
      </c>
      <c r="T25" s="8">
        <v>3.8999394615459497</v>
      </c>
      <c r="U25" s="8">
        <v>1.5707963267948966</v>
      </c>
      <c r="V25" s="8">
        <v>0.4325920258688809</v>
      </c>
      <c r="W25" s="8">
        <v>8.1724503351698619E-2</v>
      </c>
      <c r="X25" s="8">
        <v>4.9680881900515299</v>
      </c>
      <c r="Y25" s="8">
        <v>1.5707963267948966</v>
      </c>
      <c r="Z25" s="28">
        <v>6.9295490210791116E-10</v>
      </c>
      <c r="AA25" s="8">
        <f t="shared" si="0"/>
        <v>0.13534641375538248</v>
      </c>
      <c r="AB25" s="8">
        <f t="shared" si="0"/>
        <v>-7.9194216136611734E-3</v>
      </c>
      <c r="AC25" s="8">
        <f t="shared" si="0"/>
        <v>-2.706053845405032E-2</v>
      </c>
      <c r="AD25" s="8">
        <f t="shared" si="0"/>
        <v>0</v>
      </c>
      <c r="AE25" s="8">
        <f t="shared" si="0"/>
        <v>-6.7407974131119097E-2</v>
      </c>
      <c r="AF25" s="8">
        <f t="shared" si="0"/>
        <v>1.7245033516986169E-3</v>
      </c>
      <c r="AG25" s="8">
        <f t="shared" si="0"/>
        <v>0.25608819005153016</v>
      </c>
      <c r="AH25" s="8">
        <f t="shared" si="0"/>
        <v>0</v>
      </c>
      <c r="AI25" s="22">
        <f t="shared" si="2"/>
        <v>0.10137719394325079</v>
      </c>
      <c r="AJ25" s="22">
        <f t="shared" si="2"/>
        <v>4.8219624826798951E-3</v>
      </c>
      <c r="AK25" s="22">
        <f t="shared" si="2"/>
        <v>0.14157436425279024</v>
      </c>
      <c r="AL25" s="22">
        <f t="shared" si="3"/>
        <v>0.5</v>
      </c>
      <c r="AM25" s="31"/>
    </row>
    <row r="26" spans="1:39" x14ac:dyDescent="0.25">
      <c r="A26" s="10">
        <f>'Proximal Validation (double)'!A26</f>
        <v>0.7</v>
      </c>
      <c r="B26" s="11">
        <f>'Proximal Validation (double)'!B26</f>
        <v>0.16</v>
      </c>
      <c r="C26" s="10">
        <f>'Proximal Validation (double)'!C26</f>
        <v>3.927</v>
      </c>
      <c r="D26" s="10">
        <f>'Proximal Validation (double)'!D26</f>
        <v>1.5707963267948966</v>
      </c>
      <c r="E26" s="11">
        <f>'Proximal Validation (double)'!E26</f>
        <v>1</v>
      </c>
      <c r="F26" s="11">
        <f>'Proximal Validation (double)'!F26</f>
        <v>0.04</v>
      </c>
      <c r="G26" s="10">
        <f>'Proximal Validation (double)'!G26</f>
        <v>3.927</v>
      </c>
      <c r="H26" s="10">
        <f>'Proximal Validation (double)'!H26</f>
        <v>1.5707963267948966</v>
      </c>
      <c r="I26" s="10">
        <f>'Proximal Validation (double)'!I26</f>
        <v>1.2</v>
      </c>
      <c r="J26" s="10">
        <f>'Proximal Validation (double)'!J26</f>
        <v>0</v>
      </c>
      <c r="K26" s="10">
        <f>'Proximal Validation (double)'!K26</f>
        <v>0</v>
      </c>
      <c r="L26" s="8"/>
      <c r="M26" s="8"/>
      <c r="N26" s="8"/>
      <c r="O26" s="8"/>
      <c r="P26" s="8"/>
      <c r="Q26" s="8"/>
      <c r="R26" s="8">
        <v>0.83517303430225709</v>
      </c>
      <c r="S26" s="8">
        <v>0.12456928309645718</v>
      </c>
      <c r="T26" s="8">
        <v>3.9283419054885043</v>
      </c>
      <c r="U26" s="8">
        <v>1.5707963267948966</v>
      </c>
      <c r="V26" s="8">
        <v>0.85848454643639482</v>
      </c>
      <c r="W26" s="8">
        <v>5.5333406172012836E-2</v>
      </c>
      <c r="X26" s="8">
        <v>3.9253725483441242</v>
      </c>
      <c r="Y26" s="8">
        <v>1.5707963267948966</v>
      </c>
      <c r="Z26" s="28">
        <v>3.7017829316066357E-8</v>
      </c>
      <c r="AA26" s="8">
        <f t="shared" si="0"/>
        <v>0.13517303430225713</v>
      </c>
      <c r="AB26" s="8">
        <f t="shared" si="0"/>
        <v>-3.5430716903542825E-2</v>
      </c>
      <c r="AC26" s="8">
        <f t="shared" si="0"/>
        <v>1.3419054885042137E-3</v>
      </c>
      <c r="AD26" s="8">
        <f t="shared" si="0"/>
        <v>0</v>
      </c>
      <c r="AE26" s="8">
        <f t="shared" si="0"/>
        <v>-0.14151545356360518</v>
      </c>
      <c r="AF26" s="8">
        <f t="shared" si="0"/>
        <v>1.5333406172012835E-2</v>
      </c>
      <c r="AG26" s="8">
        <f t="shared" si="0"/>
        <v>-1.6274516558758556E-3</v>
      </c>
      <c r="AH26" s="8">
        <f t="shared" si="0"/>
        <v>0</v>
      </c>
      <c r="AI26" s="22">
        <f t="shared" si="2"/>
        <v>0.13834424393293115</v>
      </c>
      <c r="AJ26" s="22">
        <f t="shared" si="2"/>
        <v>2.538206153777783E-2</v>
      </c>
      <c r="AK26" s="22">
        <f t="shared" si="2"/>
        <v>1.4846785721900346E-3</v>
      </c>
      <c r="AL26" s="22">
        <f t="shared" si="3"/>
        <v>0.7</v>
      </c>
      <c r="AM26" s="31"/>
    </row>
    <row r="27" spans="1:39" x14ac:dyDescent="0.25">
      <c r="A27" s="10">
        <f>'Proximal Validation (double)'!A27</f>
        <v>0.1</v>
      </c>
      <c r="B27" s="11">
        <f>'Proximal Validation (double)'!B27</f>
        <v>0.18</v>
      </c>
      <c r="C27" s="10">
        <f>'Proximal Validation (double)'!C27</f>
        <v>3.927</v>
      </c>
      <c r="D27" s="10">
        <f>'Proximal Validation (double)'!D27</f>
        <v>1.5707963267948966</v>
      </c>
      <c r="E27" s="11">
        <f>'Proximal Validation (double)'!E27</f>
        <v>0.9</v>
      </c>
      <c r="F27" s="11">
        <f>'Proximal Validation (double)'!F27</f>
        <v>0.08</v>
      </c>
      <c r="G27" s="10">
        <f>'Proximal Validation (double)'!G27</f>
        <v>3.1419999999999999</v>
      </c>
      <c r="H27" s="10">
        <f>'Proximal Validation (double)'!H27</f>
        <v>1.5707963267948966</v>
      </c>
      <c r="I27" s="10">
        <f>'Proximal Validation (double)'!I27</f>
        <v>0.6</v>
      </c>
      <c r="J27" s="10">
        <f>'Proximal Validation (double)'!J27</f>
        <v>0</v>
      </c>
      <c r="K27" s="10">
        <f>'Proximal Validation (double)'!K27</f>
        <v>0</v>
      </c>
      <c r="L27" s="8"/>
      <c r="M27" s="8"/>
      <c r="N27" s="8"/>
      <c r="O27" s="8"/>
      <c r="P27" s="8"/>
      <c r="Q27" s="8"/>
      <c r="R27" s="8">
        <v>0.28064626863302228</v>
      </c>
      <c r="S27" s="8">
        <v>0.11123624286314465</v>
      </c>
      <c r="T27" s="8">
        <v>4.2150719269545593</v>
      </c>
      <c r="U27" s="8">
        <v>1.5707963267948966</v>
      </c>
      <c r="V27" s="8">
        <v>0.85505951060317764</v>
      </c>
      <c r="W27" s="8">
        <v>8.3381878951025168E-2</v>
      </c>
      <c r="X27" s="8">
        <v>2.9347837210857786</v>
      </c>
      <c r="Y27" s="8">
        <v>1.5707963267948966</v>
      </c>
      <c r="Z27" s="28">
        <v>4.9454215755344403E-9</v>
      </c>
      <c r="AA27" s="8">
        <f t="shared" si="0"/>
        <v>0.18064626863302227</v>
      </c>
      <c r="AB27" s="8">
        <f t="shared" si="0"/>
        <v>-6.8763757136855341E-2</v>
      </c>
      <c r="AC27" s="8">
        <f t="shared" si="0"/>
        <v>0.2880719269545593</v>
      </c>
      <c r="AD27" s="8">
        <f t="shared" si="0"/>
        <v>0</v>
      </c>
      <c r="AE27" s="8">
        <f t="shared" si="0"/>
        <v>-4.4940489396822381E-2</v>
      </c>
      <c r="AF27" s="8">
        <f t="shared" si="0"/>
        <v>3.3818789510251662E-3</v>
      </c>
      <c r="AG27" s="8">
        <f t="shared" si="0"/>
        <v>-0.20721627891422134</v>
      </c>
      <c r="AH27" s="8">
        <f t="shared" si="0"/>
        <v>0</v>
      </c>
      <c r="AI27" s="22">
        <f t="shared" si="2"/>
        <v>0.11279337901492233</v>
      </c>
      <c r="AJ27" s="22">
        <f t="shared" si="2"/>
        <v>3.6072818043940254E-2</v>
      </c>
      <c r="AK27" s="22">
        <f t="shared" si="2"/>
        <v>0.24764410293439032</v>
      </c>
      <c r="AL27" s="22">
        <f t="shared" si="3"/>
        <v>0.1</v>
      </c>
      <c r="AM27" s="31"/>
    </row>
    <row r="28" spans="1:39" x14ac:dyDescent="0.25">
      <c r="A28" s="10">
        <f>'Proximal Validation (double)'!A28</f>
        <v>1</v>
      </c>
      <c r="B28" s="11">
        <f>'Proximal Validation (double)'!B28</f>
        <v>0.18</v>
      </c>
      <c r="C28" s="10">
        <f>'Proximal Validation (double)'!C28</f>
        <v>3.927</v>
      </c>
      <c r="D28" s="10">
        <f>'Proximal Validation (double)'!D28</f>
        <v>1.5707963267948966</v>
      </c>
      <c r="E28" s="11">
        <f>'Proximal Validation (double)'!E28</f>
        <v>0.1</v>
      </c>
      <c r="F28" s="11">
        <f>'Proximal Validation (double)'!F28</f>
        <v>0.08</v>
      </c>
      <c r="G28" s="10">
        <f>'Proximal Validation (double)'!G28</f>
        <v>4.7119999999999997</v>
      </c>
      <c r="H28" s="10">
        <f>'Proximal Validation (double)'!H28</f>
        <v>1.5707963267948966</v>
      </c>
      <c r="I28" s="10">
        <f>'Proximal Validation (double)'!I28</f>
        <v>1.4</v>
      </c>
      <c r="J28" s="10">
        <f>'Proximal Validation (double)'!J28</f>
        <v>0</v>
      </c>
      <c r="K28" s="10">
        <f>'Proximal Validation (double)'!K28</f>
        <v>0</v>
      </c>
      <c r="L28" s="8"/>
      <c r="M28" s="8"/>
      <c r="N28" s="8"/>
      <c r="O28" s="8"/>
      <c r="P28" s="8"/>
      <c r="Q28" s="8"/>
      <c r="R28" s="8">
        <v>0.95319175655071942</v>
      </c>
      <c r="S28" s="8">
        <v>0.1815960143395145</v>
      </c>
      <c r="T28" s="8">
        <v>3.9013791855231932</v>
      </c>
      <c r="U28" s="8">
        <v>1.5707963267948966</v>
      </c>
      <c r="V28" s="8">
        <v>0.15069101199946325</v>
      </c>
      <c r="W28" s="8">
        <v>0.10669747020742344</v>
      </c>
      <c r="X28" s="8">
        <v>4.6075951016781147</v>
      </c>
      <c r="Y28" s="8">
        <v>1.5707963267948966</v>
      </c>
      <c r="Z28" s="28">
        <v>5.0845595490293593E-10</v>
      </c>
      <c r="AA28" s="8">
        <f t="shared" si="0"/>
        <v>-4.6808243449280584E-2</v>
      </c>
      <c r="AB28" s="8">
        <f t="shared" si="0"/>
        <v>1.5960143395145066E-3</v>
      </c>
      <c r="AC28" s="8">
        <f t="shared" si="0"/>
        <v>-2.5620814476806864E-2</v>
      </c>
      <c r="AD28" s="8">
        <f t="shared" si="0"/>
        <v>0</v>
      </c>
      <c r="AE28" s="8">
        <f t="shared" si="0"/>
        <v>5.0691011999463242E-2</v>
      </c>
      <c r="AF28" s="8">
        <f t="shared" si="0"/>
        <v>2.669747020742344E-2</v>
      </c>
      <c r="AG28" s="8">
        <f t="shared" si="0"/>
        <v>-0.10440489832188504</v>
      </c>
      <c r="AH28" s="8">
        <f t="shared" si="0"/>
        <v>0</v>
      </c>
      <c r="AI28" s="22">
        <f t="shared" si="2"/>
        <v>4.8749627724371913E-2</v>
      </c>
      <c r="AJ28" s="22">
        <f t="shared" si="2"/>
        <v>1.4146742273468974E-2</v>
      </c>
      <c r="AK28" s="22">
        <f t="shared" si="2"/>
        <v>6.5012856399345953E-2</v>
      </c>
      <c r="AL28" s="22">
        <f t="shared" si="3"/>
        <v>0.1</v>
      </c>
      <c r="AM28" s="31"/>
    </row>
    <row r="29" spans="1:39" x14ac:dyDescent="0.25">
      <c r="A29" s="10">
        <f>'Proximal Validation (double)'!A29</f>
        <v>0.7</v>
      </c>
      <c r="B29" s="11">
        <f>'Proximal Validation (double)'!B29</f>
        <v>0.2</v>
      </c>
      <c r="C29" s="10">
        <f>'Proximal Validation (double)'!C29</f>
        <v>3.927</v>
      </c>
      <c r="D29" s="10">
        <f>'Proximal Validation (double)'!D29</f>
        <v>1.5707963267948966</v>
      </c>
      <c r="E29" s="11">
        <f>'Proximal Validation (double)'!E29</f>
        <v>0.2</v>
      </c>
      <c r="F29" s="11">
        <f>'Proximal Validation (double)'!F29</f>
        <v>0.02</v>
      </c>
      <c r="G29" s="10">
        <f>'Proximal Validation (double)'!G29</f>
        <v>3.927</v>
      </c>
      <c r="H29" s="10">
        <f>'Proximal Validation (double)'!H29</f>
        <v>1.5707963267948966</v>
      </c>
      <c r="I29" s="10">
        <f>'Proximal Validation (double)'!I29</f>
        <v>0.4</v>
      </c>
      <c r="J29" s="10">
        <f>'Proximal Validation (double)'!J29</f>
        <v>0</v>
      </c>
      <c r="K29" s="10">
        <f>'Proximal Validation (double)'!K29</f>
        <v>0</v>
      </c>
      <c r="L29" s="8"/>
      <c r="M29" s="8"/>
      <c r="N29" s="8"/>
      <c r="O29" s="8"/>
      <c r="P29" s="8"/>
      <c r="Q29" s="8"/>
      <c r="R29" s="8">
        <v>0.76303374153316594</v>
      </c>
      <c r="S29" s="8">
        <v>0.15957950769876025</v>
      </c>
      <c r="T29" s="8">
        <v>4.4124619791718374</v>
      </c>
      <c r="U29" s="8">
        <v>1.5707963267948966</v>
      </c>
      <c r="V29" s="8">
        <v>0.41166198573508417</v>
      </c>
      <c r="W29" s="8">
        <v>0.15947574896901903</v>
      </c>
      <c r="X29" s="8">
        <v>2.8814333552922067</v>
      </c>
      <c r="Y29" s="8">
        <v>1.5707963267948966</v>
      </c>
      <c r="Z29" s="28">
        <v>4.3322417979036345E-9</v>
      </c>
      <c r="AA29" s="8">
        <f t="shared" si="0"/>
        <v>6.3033741533165988E-2</v>
      </c>
      <c r="AB29" s="8">
        <f t="shared" si="0"/>
        <v>-4.0420492301239758E-2</v>
      </c>
      <c r="AC29" s="8">
        <f t="shared" si="0"/>
        <v>0.48546197917183731</v>
      </c>
      <c r="AD29" s="8">
        <f t="shared" si="0"/>
        <v>0</v>
      </c>
      <c r="AE29" s="8">
        <f t="shared" si="0"/>
        <v>0.21166198573508416</v>
      </c>
      <c r="AF29" s="8">
        <f t="shared" si="0"/>
        <v>0.13947574896901904</v>
      </c>
      <c r="AG29" s="8">
        <f t="shared" si="0"/>
        <v>-1.0455666447077934</v>
      </c>
      <c r="AH29" s="8">
        <f t="shared" si="0"/>
        <v>0</v>
      </c>
      <c r="AI29" s="22">
        <f t="shared" si="2"/>
        <v>0.13734786363412507</v>
      </c>
      <c r="AJ29" s="22">
        <f t="shared" si="2"/>
        <v>8.99481206351294E-2</v>
      </c>
      <c r="AK29" s="22">
        <f t="shared" si="2"/>
        <v>0.76551431193981534</v>
      </c>
      <c r="AL29" s="22">
        <f t="shared" si="3"/>
        <v>0.2</v>
      </c>
      <c r="AM29" s="31"/>
    </row>
    <row r="30" spans="1:39" x14ac:dyDescent="0.25">
      <c r="A30" s="10">
        <f>'Proximal Validation (double)'!A30</f>
        <v>1</v>
      </c>
      <c r="B30" s="11">
        <f>'Proximal Validation (double)'!B30</f>
        <v>0.2</v>
      </c>
      <c r="C30" s="10">
        <f>'Proximal Validation (double)'!C30</f>
        <v>3.927</v>
      </c>
      <c r="D30" s="10">
        <f>'Proximal Validation (double)'!D30</f>
        <v>1.5707963267948966</v>
      </c>
      <c r="E30" s="11">
        <f>'Proximal Validation (double)'!E30</f>
        <v>1</v>
      </c>
      <c r="F30" s="11">
        <f>'Proximal Validation (double)'!F30</f>
        <v>0.06</v>
      </c>
      <c r="G30" s="10">
        <f>'Proximal Validation (double)'!G30</f>
        <v>3.927</v>
      </c>
      <c r="H30" s="10">
        <f>'Proximal Validation (double)'!H30</f>
        <v>1.5707963267948966</v>
      </c>
      <c r="I30" s="10">
        <f>'Proximal Validation (double)'!I30</f>
        <v>0.2</v>
      </c>
      <c r="J30" s="10">
        <f>'Proximal Validation (double)'!J30</f>
        <v>0</v>
      </c>
      <c r="K30" s="10">
        <f>'Proximal Validation (double)'!K30</f>
        <v>0</v>
      </c>
      <c r="L30" s="8"/>
      <c r="M30" s="8"/>
      <c r="N30" s="8"/>
      <c r="O30" s="8"/>
      <c r="P30" s="8"/>
      <c r="Q30" s="8"/>
      <c r="R30" s="8">
        <v>0.96617329809996677</v>
      </c>
      <c r="S30" s="8">
        <v>0.14443803458598095</v>
      </c>
      <c r="T30" s="8">
        <v>3.9432130699392447</v>
      </c>
      <c r="U30" s="8">
        <v>1.5707963267948966</v>
      </c>
      <c r="V30" s="8">
        <v>0.95527449552934629</v>
      </c>
      <c r="W30" s="8">
        <v>0.11630344488399973</v>
      </c>
      <c r="X30" s="8">
        <v>3.9137276427828254</v>
      </c>
      <c r="Y30" s="8">
        <v>1.5707963267948966</v>
      </c>
      <c r="Z30" s="28">
        <v>1.0185362043540265E-3</v>
      </c>
      <c r="AA30" s="8">
        <f t="shared" si="0"/>
        <v>-3.3826701900033229E-2</v>
      </c>
      <c r="AB30" s="8">
        <f t="shared" si="0"/>
        <v>-5.556196541401906E-2</v>
      </c>
      <c r="AC30" s="8">
        <f t="shared" si="0"/>
        <v>1.6213069939244651E-2</v>
      </c>
      <c r="AD30" s="8">
        <f t="shared" si="0"/>
        <v>0</v>
      </c>
      <c r="AE30" s="8">
        <f t="shared" si="0"/>
        <v>-4.472550447065371E-2</v>
      </c>
      <c r="AF30" s="8">
        <f t="shared" si="0"/>
        <v>5.6303444883999729E-2</v>
      </c>
      <c r="AG30" s="8">
        <f t="shared" si="0"/>
        <v>-1.327235721717468E-2</v>
      </c>
      <c r="AH30" s="8">
        <f t="shared" si="0"/>
        <v>0</v>
      </c>
      <c r="AI30" s="22">
        <f t="shared" si="2"/>
        <v>3.9276103185343469E-2</v>
      </c>
      <c r="AJ30" s="22">
        <f t="shared" si="2"/>
        <v>5.5932705149009394E-2</v>
      </c>
      <c r="AK30" s="22">
        <f t="shared" si="2"/>
        <v>1.4742713578209665E-2</v>
      </c>
      <c r="AL30" s="22">
        <f t="shared" si="3"/>
        <v>1</v>
      </c>
      <c r="AM30" s="31"/>
    </row>
    <row r="31" spans="1:39" x14ac:dyDescent="0.25">
      <c r="A31" s="10">
        <f>'Proximal Validation (double)'!A31</f>
        <v>0.1</v>
      </c>
      <c r="B31" s="11">
        <f>'Proximal Validation (double)'!B31</f>
        <v>0.1</v>
      </c>
      <c r="C31" s="10">
        <f>'Proximal Validation (double)'!C31</f>
        <v>4.7119999999999997</v>
      </c>
      <c r="D31" s="10">
        <f>'Proximal Validation (double)'!D31</f>
        <v>1.5707963267948966</v>
      </c>
      <c r="E31" s="11">
        <f>'Proximal Validation (double)'!E31</f>
        <v>0.2</v>
      </c>
      <c r="F31" s="11">
        <f>'Proximal Validation (double)'!F31</f>
        <v>0.02</v>
      </c>
      <c r="G31" s="10">
        <f>'Proximal Validation (double)'!G31</f>
        <v>3.1419999999999999</v>
      </c>
      <c r="H31" s="10">
        <f>'Proximal Validation (double)'!H31</f>
        <v>1.5707963267948966</v>
      </c>
      <c r="I31" s="10">
        <f>'Proximal Validation (double)'!I31</f>
        <v>0</v>
      </c>
      <c r="J31" s="10">
        <f>'Proximal Validation (double)'!J31</f>
        <v>0</v>
      </c>
      <c r="K31" s="10">
        <f>'Proximal Validation (double)'!K31</f>
        <v>0</v>
      </c>
      <c r="L31" s="8"/>
      <c r="M31" s="8"/>
      <c r="N31" s="8"/>
      <c r="O31" s="8"/>
      <c r="P31" s="8"/>
      <c r="Q31" s="8"/>
      <c r="R31" s="8">
        <v>0.19889693404239581</v>
      </c>
      <c r="S31" s="8">
        <v>7.1557920117122725E-2</v>
      </c>
      <c r="T31" s="8">
        <v>5.1634417648150137</v>
      </c>
      <c r="U31" s="8">
        <v>1.5707963267948966</v>
      </c>
      <c r="V31" s="8">
        <v>0.29735175799116798</v>
      </c>
      <c r="W31" s="8">
        <v>3.5601492777343556E-2</v>
      </c>
      <c r="X31" s="8">
        <v>2.8731003579007215</v>
      </c>
      <c r="Y31" s="8">
        <v>1.5707963267948966</v>
      </c>
      <c r="Z31" s="28">
        <v>1.2718495551641102E-9</v>
      </c>
      <c r="AA31" s="8">
        <f t="shared" si="0"/>
        <v>9.8896934042395801E-2</v>
      </c>
      <c r="AB31" s="8">
        <f t="shared" si="0"/>
        <v>-2.844207988287728E-2</v>
      </c>
      <c r="AC31" s="8">
        <f t="shared" si="0"/>
        <v>0.45144176481501397</v>
      </c>
      <c r="AD31" s="8">
        <f t="shared" si="0"/>
        <v>0</v>
      </c>
      <c r="AE31" s="8">
        <f t="shared" si="0"/>
        <v>9.7351757991167964E-2</v>
      </c>
      <c r="AF31" s="8">
        <f t="shared" si="0"/>
        <v>1.5601492777343556E-2</v>
      </c>
      <c r="AG31" s="8">
        <f t="shared" si="0"/>
        <v>-0.26889964209927841</v>
      </c>
      <c r="AH31" s="8">
        <f t="shared" si="0"/>
        <v>0</v>
      </c>
      <c r="AI31" s="22">
        <f t="shared" si="2"/>
        <v>9.8124346016781883E-2</v>
      </c>
      <c r="AJ31" s="22">
        <f t="shared" si="2"/>
        <v>2.202178633011042E-2</v>
      </c>
      <c r="AK31" s="22">
        <f t="shared" si="2"/>
        <v>0.36017070345714619</v>
      </c>
      <c r="AL31" s="22">
        <f t="shared" si="3"/>
        <v>0.1</v>
      </c>
      <c r="AM31" s="31"/>
    </row>
    <row r="32" spans="1:39" x14ac:dyDescent="0.25">
      <c r="A32" s="10">
        <f>'Proximal Validation (double)'!A32</f>
        <v>0.3</v>
      </c>
      <c r="B32" s="11">
        <f>'Proximal Validation (double)'!B32</f>
        <v>0.1</v>
      </c>
      <c r="C32" s="10">
        <f>'Proximal Validation (double)'!C32</f>
        <v>4.7119999999999997</v>
      </c>
      <c r="D32" s="10">
        <f>'Proximal Validation (double)'!D32</f>
        <v>1.5707963267948966</v>
      </c>
      <c r="E32" s="11">
        <f>'Proximal Validation (double)'!E32</f>
        <v>0.8</v>
      </c>
      <c r="F32" s="11">
        <f>'Proximal Validation (double)'!F32</f>
        <v>0.04</v>
      </c>
      <c r="G32" s="10">
        <f>'Proximal Validation (double)'!G32</f>
        <v>3.927</v>
      </c>
      <c r="H32" s="10">
        <f>'Proximal Validation (double)'!H32</f>
        <v>1.5707963267948966</v>
      </c>
      <c r="I32" s="10">
        <f>'Proximal Validation (double)'!I32</f>
        <v>0.4</v>
      </c>
      <c r="J32" s="10">
        <f>'Proximal Validation (double)'!J32</f>
        <v>0</v>
      </c>
      <c r="K32" s="10">
        <f>'Proximal Validation (double)'!K32</f>
        <v>0</v>
      </c>
      <c r="L32" s="8"/>
      <c r="M32" s="8"/>
      <c r="N32" s="8"/>
      <c r="O32" s="8"/>
      <c r="P32" s="8"/>
      <c r="Q32" s="8"/>
      <c r="R32" s="8">
        <v>0.3802770523158458</v>
      </c>
      <c r="S32" s="8">
        <v>0.10638512331985547</v>
      </c>
      <c r="T32" s="8">
        <v>4.4649514616667734</v>
      </c>
      <c r="U32" s="8">
        <v>1.5707963267948966</v>
      </c>
      <c r="V32" s="8">
        <v>0.68605936095241504</v>
      </c>
      <c r="W32" s="8">
        <v>2.7162573417528459E-2</v>
      </c>
      <c r="X32" s="8">
        <v>3.9522243894655666</v>
      </c>
      <c r="Y32" s="8">
        <v>1.5707963267948966</v>
      </c>
      <c r="Z32" s="28">
        <v>1.8400684404689681E-9</v>
      </c>
      <c r="AA32" s="8">
        <f t="shared" si="0"/>
        <v>8.0277052315845809E-2</v>
      </c>
      <c r="AB32" s="8">
        <f t="shared" si="0"/>
        <v>6.385123319855468E-3</v>
      </c>
      <c r="AC32" s="8">
        <f t="shared" si="0"/>
        <v>-0.24704853833322638</v>
      </c>
      <c r="AD32" s="8">
        <f t="shared" si="0"/>
        <v>0</v>
      </c>
      <c r="AE32" s="8">
        <f t="shared" si="0"/>
        <v>-0.113940639047585</v>
      </c>
      <c r="AF32" s="8">
        <f t="shared" si="0"/>
        <v>-1.2837426582471542E-2</v>
      </c>
      <c r="AG32" s="8">
        <f t="shared" si="0"/>
        <v>2.5224389465566599E-2</v>
      </c>
      <c r="AH32" s="8">
        <f t="shared" si="0"/>
        <v>0</v>
      </c>
      <c r="AI32" s="22">
        <f t="shared" si="2"/>
        <v>9.7108845681715406E-2</v>
      </c>
      <c r="AJ32" s="22">
        <f t="shared" si="2"/>
        <v>9.6112749511635051E-3</v>
      </c>
      <c r="AK32" s="22">
        <f t="shared" si="2"/>
        <v>0.13613646389939649</v>
      </c>
      <c r="AL32" s="22">
        <f t="shared" si="3"/>
        <v>0.3</v>
      </c>
      <c r="AM32" s="31"/>
    </row>
    <row r="33" spans="1:39" x14ac:dyDescent="0.25">
      <c r="A33" s="10">
        <f>'Proximal Validation (double)'!A33</f>
        <v>1</v>
      </c>
      <c r="B33" s="11">
        <f>'Proximal Validation (double)'!B33</f>
        <v>0.1</v>
      </c>
      <c r="C33" s="10">
        <f>'Proximal Validation (double)'!C33</f>
        <v>4.7119999999999997</v>
      </c>
      <c r="D33" s="10">
        <f>'Proximal Validation (double)'!D33</f>
        <v>1.5707963267948966</v>
      </c>
      <c r="E33" s="11">
        <f>'Proximal Validation (double)'!E33</f>
        <v>0.1</v>
      </c>
      <c r="F33" s="11">
        <f>'Proximal Validation (double)'!F33</f>
        <v>0.04</v>
      </c>
      <c r="G33" s="10">
        <f>'Proximal Validation (double)'!G33</f>
        <v>4.7119999999999997</v>
      </c>
      <c r="H33" s="10">
        <f>'Proximal Validation (double)'!H33</f>
        <v>1.5707963267948966</v>
      </c>
      <c r="I33" s="10">
        <f>'Proximal Validation (double)'!I33</f>
        <v>0</v>
      </c>
      <c r="J33" s="10">
        <f>'Proximal Validation (double)'!J33</f>
        <v>0</v>
      </c>
      <c r="K33" s="10">
        <f>'Proximal Validation (double)'!K33</f>
        <v>0</v>
      </c>
      <c r="L33" s="8"/>
      <c r="M33" s="8"/>
      <c r="N33" s="8"/>
      <c r="O33" s="8"/>
      <c r="P33" s="8"/>
      <c r="Q33" s="8"/>
      <c r="R33" s="8">
        <v>0.61679110523590852</v>
      </c>
      <c r="S33" s="8">
        <v>9.9881662766369297E-2</v>
      </c>
      <c r="T33" s="8">
        <v>4.7082491568982912</v>
      </c>
      <c r="U33" s="8">
        <v>1.5707963267948966</v>
      </c>
      <c r="V33" s="8">
        <v>0.48280447589221032</v>
      </c>
      <c r="W33" s="8">
        <v>8.7962341756611356E-2</v>
      </c>
      <c r="X33" s="8">
        <v>4.7168028187950606</v>
      </c>
      <c r="Y33" s="8">
        <v>1.5707963267948966</v>
      </c>
      <c r="Z33" s="28">
        <v>1.2183629707532473E-8</v>
      </c>
      <c r="AA33" s="8">
        <f t="shared" si="0"/>
        <v>-0.38320889476409148</v>
      </c>
      <c r="AB33" s="8">
        <f t="shared" si="0"/>
        <v>-1.1833723363070814E-4</v>
      </c>
      <c r="AC33" s="8">
        <f t="shared" si="0"/>
        <v>-3.7508431017085897E-3</v>
      </c>
      <c r="AD33" s="8">
        <f t="shared" si="0"/>
        <v>0</v>
      </c>
      <c r="AE33" s="8">
        <f t="shared" si="0"/>
        <v>0.38280447589221034</v>
      </c>
      <c r="AF33" s="8">
        <f t="shared" si="0"/>
        <v>4.7962341756611356E-2</v>
      </c>
      <c r="AG33" s="8">
        <f t="shared" si="0"/>
        <v>4.802818795060837E-3</v>
      </c>
      <c r="AH33" s="8">
        <f t="shared" si="0"/>
        <v>0</v>
      </c>
      <c r="AI33" s="22">
        <f t="shared" si="2"/>
        <v>0.38300668532815091</v>
      </c>
      <c r="AJ33" s="22">
        <f t="shared" si="2"/>
        <v>2.4040339495121032E-2</v>
      </c>
      <c r="AK33" s="22">
        <f t="shared" si="2"/>
        <v>4.2768309483847133E-3</v>
      </c>
      <c r="AL33" s="22">
        <f t="shared" si="3"/>
        <v>0.1</v>
      </c>
      <c r="AM33" s="31"/>
    </row>
    <row r="34" spans="1:39" x14ac:dyDescent="0.25">
      <c r="A34" s="10">
        <f>'Proximal Validation (double)'!A34</f>
        <v>0.1</v>
      </c>
      <c r="B34" s="11">
        <f>'Proximal Validation (double)'!B34</f>
        <v>0.1</v>
      </c>
      <c r="C34" s="10">
        <f>'Proximal Validation (double)'!C34</f>
        <v>4.7119999999999997</v>
      </c>
      <c r="D34" s="10">
        <f>'Proximal Validation (double)'!D34</f>
        <v>1.5707963267948966</v>
      </c>
      <c r="E34" s="11">
        <f>'Proximal Validation (double)'!E34</f>
        <v>1</v>
      </c>
      <c r="F34" s="11">
        <f>'Proximal Validation (double)'!F34</f>
        <v>0.08</v>
      </c>
      <c r="G34" s="10">
        <f>'Proximal Validation (double)'!G34</f>
        <v>4.7119999999999997</v>
      </c>
      <c r="H34" s="10">
        <f>'Proximal Validation (double)'!H34</f>
        <v>1.5707963267948966</v>
      </c>
      <c r="I34" s="10">
        <f>'Proximal Validation (double)'!I34</f>
        <v>1.4</v>
      </c>
      <c r="J34" s="10">
        <f>'Proximal Validation (double)'!J34</f>
        <v>0</v>
      </c>
      <c r="K34" s="10">
        <f>'Proximal Validation (double)'!K34</f>
        <v>0</v>
      </c>
      <c r="L34" s="8"/>
      <c r="M34" s="8"/>
      <c r="N34" s="8"/>
      <c r="O34" s="8"/>
      <c r="P34" s="8"/>
      <c r="Q34" s="8"/>
      <c r="R34" s="8">
        <v>0.61980327761019205</v>
      </c>
      <c r="S34" s="8">
        <v>8.946151991816266E-2</v>
      </c>
      <c r="T34" s="8">
        <v>4.7151722699735581</v>
      </c>
      <c r="U34" s="8">
        <v>1.5707963267948966</v>
      </c>
      <c r="V34" s="8">
        <v>0.48019553468286053</v>
      </c>
      <c r="W34" s="8">
        <v>7.1885773266456413E-2</v>
      </c>
      <c r="X34" s="8">
        <v>4.7079644152744846</v>
      </c>
      <c r="Y34" s="8">
        <v>1.5707963267948966</v>
      </c>
      <c r="Z34" s="28">
        <v>4.6018173911160735E-10</v>
      </c>
      <c r="AA34" s="8">
        <f t="shared" si="0"/>
        <v>0.51980327761019207</v>
      </c>
      <c r="AB34" s="8">
        <f t="shared" si="0"/>
        <v>-1.0538480081837345E-2</v>
      </c>
      <c r="AC34" s="8">
        <f t="shared" si="0"/>
        <v>3.1722699735583504E-3</v>
      </c>
      <c r="AD34" s="8">
        <f t="shared" si="0"/>
        <v>0</v>
      </c>
      <c r="AE34" s="8">
        <f t="shared" si="0"/>
        <v>-0.51980446531713942</v>
      </c>
      <c r="AF34" s="8">
        <f t="shared" si="0"/>
        <v>-8.1142267335435891E-3</v>
      </c>
      <c r="AG34" s="8">
        <f t="shared" si="0"/>
        <v>-4.0355847255151289E-3</v>
      </c>
      <c r="AH34" s="8">
        <f t="shared" ref="AH34:AH42" si="6">Y34-H34</f>
        <v>0</v>
      </c>
      <c r="AI34" s="22">
        <f t="shared" si="2"/>
        <v>0.51980387146366569</v>
      </c>
      <c r="AJ34" s="22">
        <f t="shared" si="2"/>
        <v>9.3263534076904672E-3</v>
      </c>
      <c r="AK34" s="22">
        <f t="shared" si="2"/>
        <v>3.6039273495367397E-3</v>
      </c>
      <c r="AL34" s="22">
        <f t="shared" si="3"/>
        <v>0.1</v>
      </c>
      <c r="AM34" s="31"/>
    </row>
    <row r="35" spans="1:39" x14ac:dyDescent="0.25">
      <c r="A35" s="10">
        <f>'Proximal Validation (double)'!A35</f>
        <v>0.9</v>
      </c>
      <c r="B35" s="11">
        <f>'Proximal Validation (double)'!B35</f>
        <v>0.12</v>
      </c>
      <c r="C35" s="10">
        <f>'Proximal Validation (double)'!C35</f>
        <v>4.7119999999999997</v>
      </c>
      <c r="D35" s="10">
        <f>'Proximal Validation (double)'!D35</f>
        <v>1.5707963267948966</v>
      </c>
      <c r="E35" s="11">
        <f>'Proximal Validation (double)'!E35</f>
        <v>0.9</v>
      </c>
      <c r="F35" s="11">
        <f>'Proximal Validation (double)'!F35</f>
        <v>0.02</v>
      </c>
      <c r="G35" s="10">
        <f>'Proximal Validation (double)'!G35</f>
        <v>3.1419999999999999</v>
      </c>
      <c r="H35" s="10">
        <f>'Proximal Validation (double)'!H35</f>
        <v>1.5707963267948966</v>
      </c>
      <c r="I35" s="10">
        <f>'Proximal Validation (double)'!I35</f>
        <v>0</v>
      </c>
      <c r="J35" s="10">
        <f>'Proximal Validation (double)'!J35</f>
        <v>0</v>
      </c>
      <c r="K35" s="10">
        <f>'Proximal Validation (double)'!K35</f>
        <v>0</v>
      </c>
      <c r="L35" s="8"/>
      <c r="M35" s="8"/>
      <c r="N35" s="8"/>
      <c r="O35" s="8"/>
      <c r="P35" s="8"/>
      <c r="Q35" s="8"/>
      <c r="R35" s="8">
        <v>0.89528449988752956</v>
      </c>
      <c r="S35" s="8">
        <v>0.12049016919715477</v>
      </c>
      <c r="T35" s="8">
        <v>4.7125427637704886</v>
      </c>
      <c r="U35" s="8">
        <v>1.5707963267948966</v>
      </c>
      <c r="V35" s="8">
        <v>0.90051258375333554</v>
      </c>
      <c r="W35" s="8">
        <v>2.0028889149407057E-2</v>
      </c>
      <c r="X35" s="8">
        <v>3.1473400900423414</v>
      </c>
      <c r="Y35" s="8">
        <v>1.5707963267948966</v>
      </c>
      <c r="Z35" s="28">
        <v>1.0292568308906452E-10</v>
      </c>
      <c r="AA35" s="8">
        <f t="shared" ref="AA35:AG42" si="7">R35-A35</f>
        <v>-4.715500112470461E-3</v>
      </c>
      <c r="AB35" s="8">
        <f t="shared" si="7"/>
        <v>4.9016919715477725E-4</v>
      </c>
      <c r="AC35" s="8">
        <f t="shared" si="7"/>
        <v>5.4276377048889657E-4</v>
      </c>
      <c r="AD35" s="8">
        <f t="shared" si="7"/>
        <v>0</v>
      </c>
      <c r="AE35" s="8">
        <f t="shared" si="7"/>
        <v>5.1258375333551598E-4</v>
      </c>
      <c r="AF35" s="8">
        <f t="shared" si="7"/>
        <v>2.8889149407056863E-5</v>
      </c>
      <c r="AG35" s="8">
        <f t="shared" si="7"/>
        <v>5.3400900423414832E-3</v>
      </c>
      <c r="AH35" s="8">
        <f t="shared" si="6"/>
        <v>0</v>
      </c>
      <c r="AI35" s="22">
        <f t="shared" si="2"/>
        <v>2.6140419329029885E-3</v>
      </c>
      <c r="AJ35" s="22">
        <f t="shared" si="2"/>
        <v>2.5952917328091706E-4</v>
      </c>
      <c r="AK35" s="22">
        <f t="shared" si="2"/>
        <v>2.9414269064151899E-3</v>
      </c>
      <c r="AL35" s="22">
        <f t="shared" si="3"/>
        <v>0.9</v>
      </c>
      <c r="AM35" s="31"/>
    </row>
    <row r="36" spans="1:39" x14ac:dyDescent="0.25">
      <c r="A36" s="10">
        <f>'Proximal Validation (double)'!A36</f>
        <v>1</v>
      </c>
      <c r="B36" s="11">
        <f>'Proximal Validation (double)'!B36</f>
        <v>0.12</v>
      </c>
      <c r="C36" s="10">
        <f>'Proximal Validation (double)'!C36</f>
        <v>4.7119999999999997</v>
      </c>
      <c r="D36" s="10">
        <f>'Proximal Validation (double)'!D36</f>
        <v>1.5707963267948966</v>
      </c>
      <c r="E36" s="11">
        <f>'Proximal Validation (double)'!E36</f>
        <v>0.8</v>
      </c>
      <c r="F36" s="11">
        <f>'Proximal Validation (double)'!F36</f>
        <v>0.08</v>
      </c>
      <c r="G36" s="10">
        <f>'Proximal Validation (double)'!G36</f>
        <v>3.1419999999999999</v>
      </c>
      <c r="H36" s="10">
        <f>'Proximal Validation (double)'!H36</f>
        <v>1.5707963267948966</v>
      </c>
      <c r="I36" s="10">
        <f>'Proximal Validation (double)'!I36</f>
        <v>1.2</v>
      </c>
      <c r="J36" s="10">
        <f>'Proximal Validation (double)'!J36</f>
        <v>0</v>
      </c>
      <c r="K36" s="10">
        <f>'Proximal Validation (double)'!K36</f>
        <v>0</v>
      </c>
      <c r="L36" s="8"/>
      <c r="M36" s="8"/>
      <c r="N36" s="8"/>
      <c r="O36" s="8"/>
      <c r="P36" s="8"/>
      <c r="Q36" s="8"/>
      <c r="R36" s="8">
        <v>0.97390423358109168</v>
      </c>
      <c r="S36" s="8">
        <v>0.13383723336651235</v>
      </c>
      <c r="T36" s="8">
        <v>4.2666302557422302</v>
      </c>
      <c r="U36" s="8">
        <v>1.5707963267948966</v>
      </c>
      <c r="V36" s="8">
        <v>0.4049697576429126</v>
      </c>
      <c r="W36" s="8">
        <v>2.1350025940570394E-2</v>
      </c>
      <c r="X36" s="8">
        <v>3.4586845390948509</v>
      </c>
      <c r="Y36" s="8">
        <v>1.5707963267948966</v>
      </c>
      <c r="Z36" s="28">
        <v>3.8735610091937671E-10</v>
      </c>
      <c r="AA36" s="8">
        <f t="shared" si="7"/>
        <v>-2.6095766418908317E-2</v>
      </c>
      <c r="AB36" s="8">
        <f t="shared" si="7"/>
        <v>1.3837233366512353E-2</v>
      </c>
      <c r="AC36" s="8">
        <f t="shared" si="7"/>
        <v>-0.44536974425776954</v>
      </c>
      <c r="AD36" s="8">
        <f t="shared" si="7"/>
        <v>0</v>
      </c>
      <c r="AE36" s="8">
        <f t="shared" si="7"/>
        <v>-0.39503024235708745</v>
      </c>
      <c r="AF36" s="8">
        <f t="shared" si="7"/>
        <v>-5.8649974059429608E-2</v>
      </c>
      <c r="AG36" s="8">
        <f t="shared" si="7"/>
        <v>0.31668453909485095</v>
      </c>
      <c r="AH36" s="8">
        <f t="shared" si="6"/>
        <v>0</v>
      </c>
      <c r="AI36" s="22">
        <f t="shared" si="2"/>
        <v>0.21056300438799788</v>
      </c>
      <c r="AJ36" s="22">
        <f t="shared" si="2"/>
        <v>3.624360371297098E-2</v>
      </c>
      <c r="AK36" s="22">
        <f t="shared" si="2"/>
        <v>0.38102714167631024</v>
      </c>
      <c r="AL36" s="22">
        <f t="shared" si="3"/>
        <v>0.8</v>
      </c>
      <c r="AM36" s="31"/>
    </row>
    <row r="37" spans="1:39" x14ac:dyDescent="0.25">
      <c r="A37" s="10">
        <f>'Proximal Validation (double)'!A37</f>
        <v>0.3</v>
      </c>
      <c r="B37" s="11">
        <f>'Proximal Validation (double)'!B37</f>
        <v>0.18</v>
      </c>
      <c r="C37" s="10">
        <f>'Proximal Validation (double)'!C37</f>
        <v>4.7119999999999997</v>
      </c>
      <c r="D37" s="10">
        <f>'Proximal Validation (double)'!D37</f>
        <v>1.5707963267948966</v>
      </c>
      <c r="E37" s="11">
        <f>'Proximal Validation (double)'!E37</f>
        <v>0.3</v>
      </c>
      <c r="F37" s="11">
        <f>'Proximal Validation (double)'!F37</f>
        <v>0.06</v>
      </c>
      <c r="G37" s="10">
        <f>'Proximal Validation (double)'!G37</f>
        <v>3.1419999999999999</v>
      </c>
      <c r="H37" s="10">
        <f>'Proximal Validation (double)'!H37</f>
        <v>1.5707963267948966</v>
      </c>
      <c r="I37" s="10">
        <f>'Proximal Validation (double)'!I37</f>
        <v>1.4</v>
      </c>
      <c r="J37" s="10">
        <f>'Proximal Validation (double)'!J37</f>
        <v>0</v>
      </c>
      <c r="K37" s="10">
        <f>'Proximal Validation (double)'!K37</f>
        <v>0</v>
      </c>
      <c r="L37" s="8"/>
      <c r="M37" s="8"/>
      <c r="N37" s="8"/>
      <c r="O37" s="8"/>
      <c r="P37" s="8"/>
      <c r="Q37" s="8"/>
      <c r="R37" s="8">
        <v>0.27328769083885124</v>
      </c>
      <c r="S37" s="8">
        <v>0.19189128097460806</v>
      </c>
      <c r="T37" s="8">
        <v>4.6557496016451942</v>
      </c>
      <c r="U37" s="8">
        <v>1.5707963267948966</v>
      </c>
      <c r="V37" s="8">
        <v>0.28604032224354492</v>
      </c>
      <c r="W37" s="8">
        <v>5.275322536670659E-2</v>
      </c>
      <c r="X37" s="8">
        <v>3.2373362638536269</v>
      </c>
      <c r="Y37" s="8">
        <v>1.5707963267948966</v>
      </c>
      <c r="Z37" s="28">
        <v>2.8946787971717783E-9</v>
      </c>
      <c r="AA37" s="8">
        <f t="shared" si="7"/>
        <v>-2.6712309161148751E-2</v>
      </c>
      <c r="AB37" s="8">
        <f t="shared" si="7"/>
        <v>1.1891280974608065E-2</v>
      </c>
      <c r="AC37" s="8">
        <f t="shared" si="7"/>
        <v>-5.6250398354805498E-2</v>
      </c>
      <c r="AD37" s="8">
        <f t="shared" si="7"/>
        <v>0</v>
      </c>
      <c r="AE37" s="8">
        <f t="shared" si="7"/>
        <v>-1.3959677756455069E-2</v>
      </c>
      <c r="AF37" s="8">
        <f t="shared" si="7"/>
        <v>-7.2467746332934083E-3</v>
      </c>
      <c r="AG37" s="8">
        <f t="shared" si="7"/>
        <v>9.5336263853627035E-2</v>
      </c>
      <c r="AH37" s="8">
        <f t="shared" si="6"/>
        <v>0</v>
      </c>
      <c r="AI37" s="22">
        <f t="shared" si="2"/>
        <v>2.033599345880191E-2</v>
      </c>
      <c r="AJ37" s="22">
        <f t="shared" si="2"/>
        <v>9.5690278039507366E-3</v>
      </c>
      <c r="AK37" s="22">
        <f t="shared" si="2"/>
        <v>7.5793331104216266E-2</v>
      </c>
      <c r="AL37" s="22">
        <f t="shared" si="3"/>
        <v>0.3</v>
      </c>
      <c r="AM37" s="31"/>
    </row>
    <row r="38" spans="1:39" x14ac:dyDescent="0.25">
      <c r="A38" s="10">
        <f>'Proximal Validation (double)'!A38</f>
        <v>0.9</v>
      </c>
      <c r="B38" s="11">
        <f>'Proximal Validation (double)'!B38</f>
        <v>0.18</v>
      </c>
      <c r="C38" s="10">
        <f>'Proximal Validation (double)'!C38</f>
        <v>4.7119999999999997</v>
      </c>
      <c r="D38" s="10">
        <f>'Proximal Validation (double)'!D38</f>
        <v>1.5707963267948966</v>
      </c>
      <c r="E38" s="11">
        <f>'Proximal Validation (double)'!E38</f>
        <v>0.2</v>
      </c>
      <c r="F38" s="11">
        <f>'Proximal Validation (double)'!F38</f>
        <v>0.08</v>
      </c>
      <c r="G38" s="10">
        <f>'Proximal Validation (double)'!G38</f>
        <v>3.1419999999999999</v>
      </c>
      <c r="H38" s="10">
        <f>'Proximal Validation (double)'!H38</f>
        <v>1.5707963267948966</v>
      </c>
      <c r="I38" s="10">
        <f>'Proximal Validation (double)'!I38</f>
        <v>0.2</v>
      </c>
      <c r="J38" s="10">
        <f>'Proximal Validation (double)'!J38</f>
        <v>0</v>
      </c>
      <c r="K38" s="10">
        <f>'Proximal Validation (double)'!K38</f>
        <v>0</v>
      </c>
      <c r="L38" s="8"/>
      <c r="M38" s="8"/>
      <c r="N38" s="8"/>
      <c r="O38" s="8"/>
      <c r="P38" s="8"/>
      <c r="Q38" s="8"/>
      <c r="R38" s="8">
        <v>0.65839963787928801</v>
      </c>
      <c r="S38" s="8">
        <v>0.19747309756649156</v>
      </c>
      <c r="T38" s="8">
        <v>5.1960163787865907</v>
      </c>
      <c r="U38" s="8">
        <v>1.5707963267948966</v>
      </c>
      <c r="V38" s="8">
        <v>0.59653492532139918</v>
      </c>
      <c r="W38" s="8">
        <v>0.15077785248739234</v>
      </c>
      <c r="X38" s="8">
        <v>3.7029341029416147</v>
      </c>
      <c r="Y38" s="8">
        <v>1.5707963267948966</v>
      </c>
      <c r="Z38" s="28">
        <v>1.2796884254731891E-8</v>
      </c>
      <c r="AA38" s="8">
        <f t="shared" si="7"/>
        <v>-0.24160036212071201</v>
      </c>
      <c r="AB38" s="8">
        <f t="shared" si="7"/>
        <v>1.7473097566491569E-2</v>
      </c>
      <c r="AC38" s="8">
        <f t="shared" si="7"/>
        <v>0.48401637878659098</v>
      </c>
      <c r="AD38" s="8">
        <f t="shared" si="7"/>
        <v>0</v>
      </c>
      <c r="AE38" s="8">
        <f t="shared" si="7"/>
        <v>0.39653492532139917</v>
      </c>
      <c r="AF38" s="8">
        <f t="shared" si="7"/>
        <v>7.0777852487392337E-2</v>
      </c>
      <c r="AG38" s="8">
        <f t="shared" si="7"/>
        <v>0.56093410294161483</v>
      </c>
      <c r="AH38" s="8">
        <f t="shared" si="6"/>
        <v>0</v>
      </c>
      <c r="AI38" s="22">
        <f t="shared" si="2"/>
        <v>0.31906764372105556</v>
      </c>
      <c r="AJ38" s="22">
        <f t="shared" si="2"/>
        <v>4.4125475026941953E-2</v>
      </c>
      <c r="AK38" s="22">
        <f t="shared" si="2"/>
        <v>0.52247524086410291</v>
      </c>
      <c r="AL38" s="22">
        <f t="shared" si="3"/>
        <v>0.2</v>
      </c>
      <c r="AM38" s="31"/>
    </row>
    <row r="39" spans="1:39" x14ac:dyDescent="0.25">
      <c r="A39" s="10">
        <f>'Proximal Validation (double)'!A39</f>
        <v>0.1</v>
      </c>
      <c r="B39" s="11">
        <f>'Proximal Validation (double)'!B39</f>
        <v>0.18</v>
      </c>
      <c r="C39" s="10">
        <f>'Proximal Validation (double)'!C39</f>
        <v>4.7119999999999997</v>
      </c>
      <c r="D39" s="10">
        <f>'Proximal Validation (double)'!D39</f>
        <v>1.5707963267948966</v>
      </c>
      <c r="E39" s="11">
        <f>'Proximal Validation (double)'!E39</f>
        <v>1</v>
      </c>
      <c r="F39" s="11">
        <f>'Proximal Validation (double)'!F39</f>
        <v>0.02</v>
      </c>
      <c r="G39" s="10">
        <f>'Proximal Validation (double)'!G39</f>
        <v>4.7119999999999997</v>
      </c>
      <c r="H39" s="10">
        <f>'Proximal Validation (double)'!H39</f>
        <v>1.5707963267948966</v>
      </c>
      <c r="I39" s="10">
        <f>'Proximal Validation (double)'!I39</f>
        <v>0</v>
      </c>
      <c r="J39" s="10">
        <f>'Proximal Validation (double)'!J39</f>
        <v>0</v>
      </c>
      <c r="K39" s="10">
        <f>'Proximal Validation (double)'!K39</f>
        <v>0</v>
      </c>
      <c r="L39" s="8"/>
      <c r="M39" s="8"/>
      <c r="N39" s="8"/>
      <c r="O39" s="8"/>
      <c r="P39" s="8"/>
      <c r="Q39" s="8"/>
      <c r="R39" s="8">
        <v>0.80507502731746938</v>
      </c>
      <c r="S39" s="8">
        <v>3.4031779252076802E-2</v>
      </c>
      <c r="T39" s="8">
        <v>4.492679881952327</v>
      </c>
      <c r="U39" s="8">
        <v>1.5707963267948966</v>
      </c>
      <c r="V39" s="8">
        <v>0.3595790938400002</v>
      </c>
      <c r="W39" s="8">
        <v>3.3744536655050401E-2</v>
      </c>
      <c r="X39" s="8">
        <v>5.2208698760402958</v>
      </c>
      <c r="Y39" s="8">
        <v>1.5707963267948966</v>
      </c>
      <c r="Z39" s="28">
        <v>2.8045737436777918E-7</v>
      </c>
      <c r="AA39" s="8">
        <f t="shared" si="7"/>
        <v>0.7050750273174694</v>
      </c>
      <c r="AB39" s="8">
        <f t="shared" si="7"/>
        <v>-0.14596822074792321</v>
      </c>
      <c r="AC39" s="8">
        <f t="shared" si="7"/>
        <v>-0.21932011804767271</v>
      </c>
      <c r="AD39" s="8">
        <f t="shared" si="7"/>
        <v>0</v>
      </c>
      <c r="AE39" s="8">
        <f t="shared" si="7"/>
        <v>-0.6404209061599998</v>
      </c>
      <c r="AF39" s="8">
        <f t="shared" si="7"/>
        <v>1.3744536655050401E-2</v>
      </c>
      <c r="AG39" s="8">
        <f t="shared" si="7"/>
        <v>0.5088698760402961</v>
      </c>
      <c r="AH39" s="8">
        <f t="shared" si="6"/>
        <v>0</v>
      </c>
      <c r="AI39" s="22">
        <f t="shared" si="2"/>
        <v>0.6727479667387346</v>
      </c>
      <c r="AJ39" s="22">
        <f t="shared" si="2"/>
        <v>7.9856378701486805E-2</v>
      </c>
      <c r="AK39" s="22">
        <f t="shared" si="2"/>
        <v>0.3640949970439844</v>
      </c>
      <c r="AL39" s="22">
        <f t="shared" si="3"/>
        <v>0.1</v>
      </c>
      <c r="AM39" s="31"/>
    </row>
    <row r="40" spans="1:39" x14ac:dyDescent="0.25">
      <c r="A40" s="10">
        <f>'Proximal Validation (double)'!A40</f>
        <v>0.8</v>
      </c>
      <c r="B40" s="11">
        <f>'Proximal Validation (double)'!B40</f>
        <v>0.18</v>
      </c>
      <c r="C40" s="10">
        <f>'Proximal Validation (double)'!C40</f>
        <v>4.7119999999999997</v>
      </c>
      <c r="D40" s="10">
        <f>'Proximal Validation (double)'!D40</f>
        <v>1.5707963267948966</v>
      </c>
      <c r="E40" s="11">
        <f>'Proximal Validation (double)'!E40</f>
        <v>0.6</v>
      </c>
      <c r="F40" s="11">
        <f>'Proximal Validation (double)'!F40</f>
        <v>0.06</v>
      </c>
      <c r="G40" s="10">
        <f>'Proximal Validation (double)'!G40</f>
        <v>4.7119999999999997</v>
      </c>
      <c r="H40" s="10">
        <f>'Proximal Validation (double)'!H40</f>
        <v>1.5707963267948966</v>
      </c>
      <c r="I40" s="10">
        <f>'Proximal Validation (double)'!I40</f>
        <v>1</v>
      </c>
      <c r="J40" s="10">
        <f>'Proximal Validation (double)'!J40</f>
        <v>0</v>
      </c>
      <c r="K40" s="10">
        <f>'Proximal Validation (double)'!K40</f>
        <v>0</v>
      </c>
      <c r="L40" s="8"/>
      <c r="M40" s="8"/>
      <c r="N40" s="8"/>
      <c r="O40" s="8"/>
      <c r="P40" s="8"/>
      <c r="Q40" s="8"/>
      <c r="R40" s="8">
        <v>0.73543995616829083</v>
      </c>
      <c r="S40" s="8">
        <v>0.13310660694381654</v>
      </c>
      <c r="T40" s="8">
        <v>4.7761685620731944</v>
      </c>
      <c r="U40" s="8">
        <v>1.5707963267948966</v>
      </c>
      <c r="V40" s="8">
        <v>0.65682614730335231</v>
      </c>
      <c r="W40" s="8">
        <v>0.12423391821310875</v>
      </c>
      <c r="X40" s="8">
        <v>4.6388331206701601</v>
      </c>
      <c r="Y40" s="8">
        <v>1.5707963267948966</v>
      </c>
      <c r="Z40" s="28">
        <v>6.137456344653456E-7</v>
      </c>
      <c r="AA40" s="8">
        <f t="shared" si="7"/>
        <v>-6.4560043831709213E-2</v>
      </c>
      <c r="AB40" s="8">
        <f t="shared" si="7"/>
        <v>-4.6893393056183452E-2</v>
      </c>
      <c r="AC40" s="8">
        <f t="shared" si="7"/>
        <v>6.4168562073194657E-2</v>
      </c>
      <c r="AD40" s="8">
        <f t="shared" si="7"/>
        <v>0</v>
      </c>
      <c r="AE40" s="8">
        <f t="shared" si="7"/>
        <v>5.6826147303352337E-2</v>
      </c>
      <c r="AF40" s="8">
        <f t="shared" si="7"/>
        <v>6.4233918213108754E-2</v>
      </c>
      <c r="AG40" s="8">
        <f t="shared" si="7"/>
        <v>-7.3166879329839674E-2</v>
      </c>
      <c r="AH40" s="8">
        <f t="shared" si="6"/>
        <v>0</v>
      </c>
      <c r="AI40" s="22">
        <f t="shared" si="2"/>
        <v>6.0693095567530775E-2</v>
      </c>
      <c r="AJ40" s="22">
        <f t="shared" si="2"/>
        <v>5.5563655634646103E-2</v>
      </c>
      <c r="AK40" s="22">
        <f t="shared" si="2"/>
        <v>6.8667720701517165E-2</v>
      </c>
      <c r="AL40" s="22">
        <f t="shared" si="3"/>
        <v>0.6</v>
      </c>
      <c r="AM40" s="31"/>
    </row>
    <row r="41" spans="1:39" x14ac:dyDescent="0.25">
      <c r="A41" s="10">
        <f>'Proximal Validation (double)'!A41</f>
        <v>1</v>
      </c>
      <c r="B41" s="11">
        <f>'Proximal Validation (double)'!B41</f>
        <v>0.2</v>
      </c>
      <c r="C41" s="10">
        <f>'Proximal Validation (double)'!C41</f>
        <v>4.7119999999999997</v>
      </c>
      <c r="D41" s="10">
        <f>'Proximal Validation (double)'!D41</f>
        <v>1.5707963267948966</v>
      </c>
      <c r="E41" s="11">
        <f>'Proximal Validation (double)'!E41</f>
        <v>0.8</v>
      </c>
      <c r="F41" s="11">
        <f>'Proximal Validation (double)'!F41</f>
        <v>0.02</v>
      </c>
      <c r="G41" s="10">
        <f>'Proximal Validation (double)'!G41</f>
        <v>3.1419999999999999</v>
      </c>
      <c r="H41" s="10">
        <f>'Proximal Validation (double)'!H41</f>
        <v>1.5707963267948966</v>
      </c>
      <c r="I41" s="10">
        <f>'Proximal Validation (double)'!I41</f>
        <v>1.4</v>
      </c>
      <c r="J41" s="10">
        <f>'Proximal Validation (double)'!J41</f>
        <v>0</v>
      </c>
      <c r="K41" s="10">
        <f>'Proximal Validation (double)'!K41</f>
        <v>0</v>
      </c>
      <c r="L41" s="8"/>
      <c r="M41" s="8"/>
      <c r="N41" s="8"/>
      <c r="O41" s="8"/>
      <c r="P41" s="8"/>
      <c r="Q41" s="8"/>
      <c r="R41" s="8">
        <v>0.9997491911361599</v>
      </c>
      <c r="S41" s="8">
        <v>0.19999999864830129</v>
      </c>
      <c r="T41" s="8">
        <v>4.7136921245407573</v>
      </c>
      <c r="U41" s="8">
        <v>1.5707963267948966</v>
      </c>
      <c r="V41" s="8">
        <v>0.801275122954345</v>
      </c>
      <c r="W41" s="8">
        <v>2.0419829367571793E-2</v>
      </c>
      <c r="X41" s="8">
        <v>3.1421387620329302</v>
      </c>
      <c r="Y41" s="8">
        <v>1.5707963267948966</v>
      </c>
      <c r="Z41" s="28">
        <v>7.7069339968005795E-8</v>
      </c>
      <c r="AA41" s="8">
        <f t="shared" si="7"/>
        <v>-2.5080886384010181E-4</v>
      </c>
      <c r="AB41" s="8">
        <f t="shared" si="7"/>
        <v>-1.3516987251716017E-9</v>
      </c>
      <c r="AC41" s="8">
        <f t="shared" si="7"/>
        <v>1.6921245407575114E-3</v>
      </c>
      <c r="AD41" s="8">
        <f t="shared" si="7"/>
        <v>0</v>
      </c>
      <c r="AE41" s="8">
        <f t="shared" si="7"/>
        <v>1.2751229543449538E-3</v>
      </c>
      <c r="AF41" s="8">
        <f t="shared" si="7"/>
        <v>4.1982936757179248E-4</v>
      </c>
      <c r="AG41" s="8">
        <f t="shared" si="7"/>
        <v>1.3876203293028411E-4</v>
      </c>
      <c r="AH41" s="8">
        <f t="shared" si="6"/>
        <v>0</v>
      </c>
      <c r="AI41" s="22">
        <f t="shared" si="2"/>
        <v>7.6296590909252782E-4</v>
      </c>
      <c r="AJ41" s="22">
        <f t="shared" si="2"/>
        <v>2.0991535963525883E-4</v>
      </c>
      <c r="AK41" s="22">
        <f t="shared" si="2"/>
        <v>9.1544328684389775E-4</v>
      </c>
      <c r="AL41" s="22">
        <f t="shared" si="3"/>
        <v>0.8</v>
      </c>
      <c r="AM41" s="31"/>
    </row>
    <row r="42" spans="1:39" x14ac:dyDescent="0.25">
      <c r="A42" s="10">
        <f>'Proximal Validation (double)'!A42</f>
        <v>0.2</v>
      </c>
      <c r="B42" s="13">
        <f>'Proximal Validation (double)'!B42</f>
        <v>0.2</v>
      </c>
      <c r="C42" s="14">
        <f>'Proximal Validation (double)'!C42</f>
        <v>4.7119999999999997</v>
      </c>
      <c r="D42" s="14">
        <f>'Proximal Validation (double)'!D42</f>
        <v>1.5707963267948966</v>
      </c>
      <c r="E42" s="13">
        <f>'Proximal Validation (double)'!E42</f>
        <v>0.1</v>
      </c>
      <c r="F42" s="13">
        <f>'Proximal Validation (double)'!F42</f>
        <v>0.08</v>
      </c>
      <c r="G42" s="14">
        <f>'Proximal Validation (double)'!G42</f>
        <v>3.927</v>
      </c>
      <c r="H42" s="14">
        <f>'Proximal Validation (double)'!H42</f>
        <v>1.5707963267948966</v>
      </c>
      <c r="I42" s="14">
        <f>'Proximal Validation (double)'!I42</f>
        <v>0</v>
      </c>
      <c r="J42" s="14">
        <f>'Proximal Validation (double)'!J42</f>
        <v>0</v>
      </c>
      <c r="K42" s="14">
        <f>'Proximal Validation (double)'!K42</f>
        <v>0</v>
      </c>
      <c r="L42" s="15"/>
      <c r="M42" s="15"/>
      <c r="N42" s="15"/>
      <c r="O42" s="15"/>
      <c r="P42" s="15"/>
      <c r="Q42" s="15"/>
      <c r="R42" s="15">
        <v>0.20744144116811758</v>
      </c>
      <c r="S42" s="15">
        <v>0.17984527545354184</v>
      </c>
      <c r="T42" s="15">
        <v>5.1969871230244262</v>
      </c>
      <c r="U42" s="15">
        <v>1.5707963267948966</v>
      </c>
      <c r="V42" s="15">
        <v>0.18867449058319044</v>
      </c>
      <c r="W42" s="15">
        <v>0.1379169184294485</v>
      </c>
      <c r="X42" s="15">
        <v>3.6213467295248405</v>
      </c>
      <c r="Y42" s="15">
        <v>1.5707963267948966</v>
      </c>
      <c r="Z42" s="29">
        <v>8.1491489964904085E-10</v>
      </c>
      <c r="AA42" s="15">
        <f t="shared" si="7"/>
        <v>7.4414411681175685E-3</v>
      </c>
      <c r="AB42" s="15">
        <f t="shared" si="7"/>
        <v>-2.0154724546458169E-2</v>
      </c>
      <c r="AC42" s="15">
        <f t="shared" si="7"/>
        <v>0.48498712302442648</v>
      </c>
      <c r="AD42" s="15">
        <f t="shared" si="7"/>
        <v>0</v>
      </c>
      <c r="AE42" s="15">
        <f t="shared" si="7"/>
        <v>8.8674490583190435E-2</v>
      </c>
      <c r="AF42" s="15">
        <f t="shared" si="7"/>
        <v>5.7916918429448502E-2</v>
      </c>
      <c r="AG42" s="15">
        <f t="shared" si="7"/>
        <v>-0.30565327047515956</v>
      </c>
      <c r="AH42" s="15">
        <f t="shared" si="6"/>
        <v>0</v>
      </c>
      <c r="AI42" s="22">
        <f t="shared" si="2"/>
        <v>4.8057965875654002E-2</v>
      </c>
      <c r="AJ42" s="22">
        <f t="shared" si="2"/>
        <v>3.9035821487953336E-2</v>
      </c>
      <c r="AK42" s="22">
        <f t="shared" si="2"/>
        <v>0.39532019674979302</v>
      </c>
      <c r="AL42" s="22">
        <f t="shared" si="3"/>
        <v>0.1</v>
      </c>
      <c r="AM42" s="31"/>
    </row>
    <row r="43" spans="1:39" ht="15.75" x14ac:dyDescent="0.25">
      <c r="A43" s="12"/>
      <c r="B43" s="16"/>
      <c r="C43" s="17"/>
      <c r="D43" s="17"/>
      <c r="E43" s="16"/>
      <c r="F43" s="16"/>
      <c r="G43" s="17"/>
      <c r="H43" s="17"/>
      <c r="I43" s="17"/>
      <c r="J43" s="17"/>
      <c r="K43" s="17"/>
      <c r="L43" s="18"/>
      <c r="M43" s="18"/>
      <c r="N43" s="18"/>
      <c r="O43" s="18"/>
      <c r="P43" s="18"/>
      <c r="Q43" s="18"/>
      <c r="R43" s="17"/>
      <c r="S43" s="17"/>
      <c r="T43" s="17"/>
      <c r="U43" s="17"/>
      <c r="V43" s="17"/>
      <c r="W43" s="17"/>
      <c r="X43" s="19"/>
      <c r="Y43" s="19"/>
      <c r="Z43" s="19"/>
    </row>
    <row r="44" spans="1:39" ht="15.75" x14ac:dyDescent="0.25">
      <c r="A44" s="12"/>
      <c r="B44" s="16"/>
      <c r="C44" s="17"/>
      <c r="D44" s="17"/>
      <c r="E44" s="16"/>
      <c r="F44" s="16"/>
      <c r="G44" s="17"/>
      <c r="H44" s="17"/>
      <c r="I44" s="17"/>
      <c r="J44" s="17"/>
      <c r="K44" s="17"/>
      <c r="L44" s="18"/>
      <c r="M44" s="18"/>
      <c r="N44" s="18"/>
      <c r="O44" s="18"/>
      <c r="P44" s="18"/>
      <c r="Q44" s="18"/>
      <c r="R44" s="17"/>
      <c r="S44" s="17"/>
      <c r="T44" s="17"/>
      <c r="U44" s="17"/>
      <c r="V44" s="17"/>
      <c r="W44" s="17"/>
      <c r="X44" s="19"/>
      <c r="Y44" s="19"/>
      <c r="Z44" s="19"/>
    </row>
    <row r="45" spans="1:39" ht="15.75" x14ac:dyDescent="0.25">
      <c r="A45" s="12"/>
      <c r="B45" s="16"/>
      <c r="C45" s="17"/>
      <c r="D45" s="17"/>
      <c r="E45" s="16"/>
      <c r="F45" s="16"/>
      <c r="G45" s="17"/>
      <c r="H45" s="17"/>
      <c r="I45" s="17"/>
      <c r="J45" s="17"/>
      <c r="K45" s="17"/>
      <c r="L45" s="18"/>
      <c r="M45" s="18"/>
      <c r="N45" s="18"/>
      <c r="O45" s="18"/>
      <c r="P45" s="18"/>
      <c r="Q45" s="18"/>
      <c r="R45" s="17"/>
      <c r="S45" s="17"/>
      <c r="T45" s="17"/>
      <c r="U45" s="17"/>
      <c r="V45" s="17"/>
      <c r="W45" s="17"/>
      <c r="X45" s="19"/>
      <c r="Y45" s="19"/>
      <c r="Z45" s="19"/>
    </row>
    <row r="46" spans="1:39" ht="15.75" x14ac:dyDescent="0.25">
      <c r="A46" s="12"/>
      <c r="B46" s="16"/>
      <c r="C46" s="17"/>
      <c r="D46" s="17"/>
      <c r="E46" s="16"/>
      <c r="F46" s="16"/>
      <c r="G46" s="17"/>
      <c r="H46" s="17"/>
      <c r="I46" s="17"/>
      <c r="J46" s="17"/>
      <c r="K46" s="17"/>
      <c r="L46" s="18"/>
      <c r="M46" s="18"/>
      <c r="N46" s="18"/>
      <c r="O46" s="18"/>
      <c r="P46" s="18"/>
      <c r="Q46" s="18"/>
      <c r="R46" s="17"/>
      <c r="S46" s="17"/>
      <c r="T46" s="17"/>
      <c r="U46" s="17"/>
      <c r="V46" s="17"/>
      <c r="W46" s="17"/>
      <c r="X46" s="19"/>
      <c r="Y46" s="19"/>
      <c r="Z46" s="19"/>
    </row>
    <row r="47" spans="1:39" ht="15.75" x14ac:dyDescent="0.25">
      <c r="A47" s="12"/>
      <c r="B47" s="16"/>
      <c r="C47" s="17"/>
      <c r="D47" s="17"/>
      <c r="E47" s="16"/>
      <c r="F47" s="16"/>
      <c r="G47" s="17"/>
      <c r="H47" s="17"/>
      <c r="I47" s="17"/>
      <c r="J47" s="17"/>
      <c r="K47" s="17"/>
      <c r="L47" s="18"/>
      <c r="M47" s="18"/>
      <c r="N47" s="18"/>
      <c r="O47" s="18"/>
      <c r="P47" s="18"/>
      <c r="Q47" s="18"/>
      <c r="R47" s="17"/>
      <c r="S47" s="17"/>
      <c r="T47" s="17"/>
      <c r="U47" s="17"/>
      <c r="V47" s="17"/>
      <c r="W47" s="17"/>
      <c r="X47" s="19"/>
      <c r="Y47" s="19"/>
      <c r="Z47" s="19"/>
    </row>
    <row r="48" spans="1:39" ht="15.75" x14ac:dyDescent="0.25">
      <c r="A48" s="12"/>
      <c r="B48" s="16"/>
      <c r="C48" s="17"/>
      <c r="D48" s="17"/>
      <c r="E48" s="16"/>
      <c r="F48" s="16"/>
      <c r="G48" s="17"/>
      <c r="H48" s="17"/>
      <c r="I48" s="17"/>
      <c r="J48" s="17"/>
      <c r="K48" s="17"/>
      <c r="L48" s="18"/>
      <c r="M48" s="18"/>
      <c r="N48" s="18"/>
      <c r="O48" s="18"/>
      <c r="P48" s="18"/>
      <c r="Q48" s="18"/>
      <c r="R48" s="17"/>
      <c r="S48" s="17"/>
      <c r="T48" s="17"/>
      <c r="U48" s="17"/>
      <c r="V48" s="17"/>
      <c r="W48" s="17"/>
      <c r="X48" s="19"/>
      <c r="Y48" s="19"/>
      <c r="Z48" s="19"/>
    </row>
    <row r="49" spans="1:26" ht="15.75" x14ac:dyDescent="0.25">
      <c r="A49" s="12"/>
      <c r="B49" s="16"/>
      <c r="C49" s="17"/>
      <c r="D49" s="17"/>
      <c r="E49" s="16"/>
      <c r="F49" s="16"/>
      <c r="G49" s="17"/>
      <c r="H49" s="17"/>
      <c r="I49" s="17"/>
      <c r="J49" s="17"/>
      <c r="K49" s="17"/>
      <c r="L49" s="18"/>
      <c r="M49" s="18"/>
      <c r="N49" s="18"/>
      <c r="O49" s="18"/>
      <c r="P49" s="18"/>
      <c r="Q49" s="18"/>
      <c r="R49" s="17"/>
      <c r="S49" s="17"/>
      <c r="T49" s="17"/>
      <c r="U49" s="17"/>
      <c r="V49" s="17"/>
      <c r="W49" s="17"/>
      <c r="X49" s="19"/>
      <c r="Y49" s="19"/>
      <c r="Z49" s="19"/>
    </row>
    <row r="50" spans="1:26" ht="15.75" x14ac:dyDescent="0.25">
      <c r="A50" s="12"/>
      <c r="B50" s="16"/>
      <c r="C50" s="17"/>
      <c r="D50" s="17"/>
      <c r="E50" s="16"/>
      <c r="F50" s="16"/>
      <c r="G50" s="17"/>
      <c r="H50" s="17"/>
      <c r="I50" s="17"/>
      <c r="J50" s="17"/>
      <c r="K50" s="17"/>
      <c r="L50" s="18"/>
      <c r="M50" s="18"/>
      <c r="N50" s="18"/>
      <c r="O50" s="18"/>
      <c r="P50" s="18"/>
      <c r="Q50" s="18"/>
      <c r="R50" s="17"/>
      <c r="S50" s="17"/>
      <c r="T50" s="17"/>
      <c r="U50" s="17"/>
      <c r="V50" s="17"/>
      <c r="W50" s="17"/>
      <c r="X50" s="19"/>
      <c r="Y50" s="19"/>
      <c r="Z50" s="19"/>
    </row>
    <row r="51" spans="1:26" ht="15.75" x14ac:dyDescent="0.25">
      <c r="A51" s="12"/>
      <c r="B51" s="16"/>
      <c r="C51" s="17"/>
      <c r="D51" s="17"/>
      <c r="E51" s="16"/>
      <c r="F51" s="16"/>
      <c r="G51" s="17"/>
      <c r="H51" s="17"/>
      <c r="I51" s="17"/>
      <c r="J51" s="17"/>
      <c r="K51" s="17"/>
      <c r="L51" s="18"/>
      <c r="M51" s="18"/>
      <c r="N51" s="18"/>
      <c r="O51" s="18"/>
      <c r="P51" s="18"/>
      <c r="Q51" s="18"/>
      <c r="R51" s="17"/>
      <c r="S51" s="17"/>
      <c r="T51" s="17"/>
      <c r="U51" s="17"/>
      <c r="V51" s="17"/>
      <c r="W51" s="17"/>
      <c r="X51" s="19"/>
      <c r="Y51" s="19"/>
      <c r="Z51" s="19"/>
    </row>
    <row r="52" spans="1:26" ht="15.75" x14ac:dyDescent="0.25">
      <c r="A52" s="12"/>
      <c r="B52" s="16"/>
      <c r="C52" s="17"/>
      <c r="D52" s="17"/>
      <c r="E52" s="16"/>
      <c r="F52" s="16"/>
      <c r="G52" s="17"/>
      <c r="H52" s="17"/>
      <c r="I52" s="17"/>
      <c r="J52" s="17"/>
      <c r="K52" s="17"/>
      <c r="L52" s="18"/>
      <c r="M52" s="18"/>
      <c r="N52" s="18"/>
      <c r="O52" s="18"/>
      <c r="P52" s="18"/>
      <c r="Q52" s="18"/>
      <c r="R52" s="17"/>
      <c r="S52" s="17"/>
      <c r="T52" s="17"/>
      <c r="U52" s="17"/>
      <c r="V52" s="17"/>
      <c r="W52" s="17"/>
      <c r="X52" s="19"/>
      <c r="Y52" s="19"/>
      <c r="Z52" s="19"/>
    </row>
  </sheetData>
  <mergeCells count="7">
    <mergeCell ref="AN5:AU5"/>
    <mergeCell ref="R1:Z1"/>
    <mergeCell ref="A1:K1"/>
    <mergeCell ref="L1:Q1"/>
    <mergeCell ref="AA1:AH1"/>
    <mergeCell ref="AI1:AU1"/>
    <mergeCell ref="AN2:AU2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4A6AF4-6514-4C61-8746-7EF28C671104}">
  <dimension ref="A1:AR52"/>
  <sheetViews>
    <sheetView topLeftCell="T1" workbookViewId="0">
      <selection activeCell="S26" sqref="S26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8.7109375" bestFit="1" customWidth="1"/>
    <col min="4" max="4" width="9.42578125" bestFit="1" customWidth="1"/>
    <col min="5" max="5" width="6.5703125" bestFit="1" customWidth="1"/>
    <col min="6" max="6" width="6.85546875" bestFit="1" customWidth="1"/>
    <col min="7" max="7" width="8.7109375" bestFit="1" customWidth="1"/>
    <col min="8" max="8" width="9.42578125" bestFit="1" customWidth="1"/>
    <col min="9" max="11" width="8.42578125" bestFit="1" customWidth="1"/>
    <col min="12" max="13" width="8.140625" bestFit="1" customWidth="1"/>
    <col min="14" max="14" width="7.7109375" bestFit="1" customWidth="1"/>
    <col min="15" max="17" width="6.42578125" bestFit="1" customWidth="1"/>
    <col min="18" max="18" width="6.5703125" bestFit="1" customWidth="1"/>
    <col min="19" max="19" width="6.85546875" bestFit="1" customWidth="1"/>
    <col min="20" max="20" width="8.7109375" bestFit="1" customWidth="1"/>
    <col min="21" max="21" width="9.140625" bestFit="1" customWidth="1"/>
    <col min="22" max="22" width="6.5703125" bestFit="1" customWidth="1"/>
    <col min="23" max="23" width="6.85546875" bestFit="1" customWidth="1"/>
    <col min="24" max="24" width="8.7109375" bestFit="1" customWidth="1"/>
    <col min="25" max="25" width="9.140625" bestFit="1" customWidth="1"/>
    <col min="26" max="26" width="11" bestFit="1" customWidth="1"/>
    <col min="27" max="27" width="13.85546875" bestFit="1" customWidth="1"/>
    <col min="28" max="28" width="11.140625" bestFit="1" customWidth="1"/>
    <col min="34" max="34" width="15.140625" customWidth="1"/>
    <col min="35" max="35" width="15.28515625" customWidth="1"/>
    <col min="36" max="36" width="16.28515625" customWidth="1"/>
    <col min="37" max="37" width="11" bestFit="1" customWidth="1"/>
    <col min="38" max="38" width="13.85546875" bestFit="1" customWidth="1"/>
    <col min="39" max="39" width="11.140625" bestFit="1" customWidth="1"/>
  </cols>
  <sheetData>
    <row r="1" spans="1:44" ht="15.75" x14ac:dyDescent="0.25">
      <c r="A1" s="32" t="s">
        <v>11</v>
      </c>
      <c r="B1" s="32"/>
      <c r="C1" s="32"/>
      <c r="D1" s="32"/>
      <c r="E1" s="32"/>
      <c r="F1" s="32"/>
      <c r="G1" s="32"/>
      <c r="H1" s="32"/>
      <c r="I1" s="32"/>
      <c r="J1" s="32"/>
      <c r="K1" s="33"/>
      <c r="L1" s="34" t="s">
        <v>6</v>
      </c>
      <c r="M1" s="35"/>
      <c r="N1" s="35"/>
      <c r="O1" s="35"/>
      <c r="P1" s="35"/>
      <c r="Q1" s="35"/>
      <c r="R1" s="42" t="s">
        <v>7</v>
      </c>
      <c r="S1" s="43"/>
      <c r="T1" s="43"/>
      <c r="U1" s="43"/>
      <c r="V1" s="43"/>
      <c r="W1" s="43"/>
      <c r="X1" s="43"/>
      <c r="Y1" s="43"/>
      <c r="Z1" s="44" t="s">
        <v>13</v>
      </c>
      <c r="AA1" s="44"/>
      <c r="AB1" s="44"/>
      <c r="AC1" s="44"/>
      <c r="AD1" s="44"/>
      <c r="AE1" s="44"/>
      <c r="AF1" s="44"/>
      <c r="AG1" s="44"/>
      <c r="AH1" s="45" t="s">
        <v>36</v>
      </c>
      <c r="AI1" s="45"/>
      <c r="AJ1" s="45"/>
      <c r="AK1" s="45"/>
      <c r="AL1" s="45"/>
      <c r="AM1" s="45"/>
      <c r="AN1" s="45"/>
      <c r="AO1" s="45"/>
      <c r="AP1" s="45"/>
      <c r="AQ1" s="45"/>
      <c r="AR1" s="45"/>
    </row>
    <row r="2" spans="1:44" ht="15.75" x14ac:dyDescent="0.25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23</v>
      </c>
      <c r="S2" s="1" t="s">
        <v>24</v>
      </c>
      <c r="T2" s="1" t="s">
        <v>25</v>
      </c>
      <c r="U2" s="1" t="s">
        <v>29</v>
      </c>
      <c r="V2" s="1" t="s">
        <v>26</v>
      </c>
      <c r="W2" s="1" t="s">
        <v>27</v>
      </c>
      <c r="X2" s="1" t="s">
        <v>28</v>
      </c>
      <c r="Y2" s="1" t="s">
        <v>30</v>
      </c>
      <c r="Z2" s="3" t="s">
        <v>23</v>
      </c>
      <c r="AA2" s="1" t="s">
        <v>24</v>
      </c>
      <c r="AB2" s="1" t="s">
        <v>25</v>
      </c>
      <c r="AC2" s="1" t="s">
        <v>29</v>
      </c>
      <c r="AD2" s="1" t="s">
        <v>26</v>
      </c>
      <c r="AE2" s="1" t="s">
        <v>27</v>
      </c>
      <c r="AF2" s="1" t="s">
        <v>28</v>
      </c>
      <c r="AG2" s="1" t="s">
        <v>30</v>
      </c>
      <c r="AH2" s="20" t="s">
        <v>33</v>
      </c>
      <c r="AI2" s="20" t="s">
        <v>34</v>
      </c>
      <c r="AJ2" s="20" t="s">
        <v>35</v>
      </c>
      <c r="AK2" s="41" t="s">
        <v>31</v>
      </c>
      <c r="AL2" s="41"/>
      <c r="AM2" s="41"/>
      <c r="AN2" s="41"/>
      <c r="AO2" s="41"/>
      <c r="AP2" s="41"/>
      <c r="AQ2" s="41"/>
      <c r="AR2" s="41"/>
    </row>
    <row r="3" spans="1:44" ht="15.75" x14ac:dyDescent="0.25">
      <c r="A3" s="10">
        <f>'Proximal Validation (double)'!A3</f>
        <v>0.2</v>
      </c>
      <c r="B3" s="11">
        <f>'Proximal Validation (double)'!B3</f>
        <v>0.1</v>
      </c>
      <c r="C3" s="10">
        <f>'Proximal Validation (double)'!C3</f>
        <v>1.571</v>
      </c>
      <c r="D3" s="10">
        <f>'Proximal Validation (double)'!D3</f>
        <v>1.5707963267948966</v>
      </c>
      <c r="E3" s="11">
        <f>'Proximal Validation (double)'!E3</f>
        <v>1</v>
      </c>
      <c r="F3" s="11">
        <f>'Proximal Validation (double)'!F3</f>
        <v>0.04</v>
      </c>
      <c r="G3" s="10">
        <f>'Proximal Validation (double)'!G3</f>
        <v>3.1419999999999999</v>
      </c>
      <c r="H3" s="10">
        <f>'Proximal Validation (double)'!H3</f>
        <v>1.5707963267948966</v>
      </c>
      <c r="I3" s="10">
        <f>'Proximal Validation (double)'!I3</f>
        <v>1.4</v>
      </c>
      <c r="J3" s="10">
        <f>'Proximal Validation (double)'!J3</f>
        <v>0</v>
      </c>
      <c r="K3" s="10">
        <f>'Proximal Validation (double)'!K3</f>
        <v>0</v>
      </c>
      <c r="L3" s="8">
        <f>'Proximal Validation (double)'!L3</f>
        <v>-8.4695406258106205E-5</v>
      </c>
      <c r="M3" s="8">
        <f>'Proximal Validation (double)'!M3</f>
        <v>-1.1448631994426301E-2</v>
      </c>
      <c r="N3" s="8">
        <f>'Proximal Validation (double)'!N3</f>
        <v>-0.13048847019672399</v>
      </c>
      <c r="O3" s="8">
        <f>'Proximal Validation (double)'!O3</f>
        <v>1.8870793282985701E-2</v>
      </c>
      <c r="P3" s="8">
        <f>'Proximal Validation (double)'!P3</f>
        <v>-0.97202777862548795</v>
      </c>
      <c r="Q3" s="8">
        <f>'Proximal Validation (double)'!Q3</f>
        <v>2.9205024242401099E-2</v>
      </c>
      <c r="R3" s="8">
        <v>0.1</v>
      </c>
      <c r="S3" s="8">
        <v>0.1</v>
      </c>
      <c r="T3" s="8">
        <v>1.5708</v>
      </c>
      <c r="U3" s="8">
        <v>1.5708</v>
      </c>
      <c r="V3" s="8">
        <v>0.97650000000000003</v>
      </c>
      <c r="W3" s="8">
        <v>0.02</v>
      </c>
      <c r="X3" s="8">
        <v>3.2149000000000001</v>
      </c>
      <c r="Y3" s="8">
        <v>1.5708</v>
      </c>
      <c r="Z3" s="8">
        <f>R3-A3</f>
        <v>-0.1</v>
      </c>
      <c r="AA3" s="8">
        <f>S3-B3</f>
        <v>0</v>
      </c>
      <c r="AB3" s="8">
        <f>T3-C3</f>
        <v>-1.9999999999997797E-4</v>
      </c>
      <c r="AC3" s="8">
        <f>U3-D3</f>
        <v>3.6732051034160662E-6</v>
      </c>
      <c r="AD3" s="8">
        <f t="shared" ref="AD3:AG3" si="0">V3-E3</f>
        <v>-2.3499999999999965E-2</v>
      </c>
      <c r="AE3" s="8">
        <f t="shared" si="0"/>
        <v>-0.02</v>
      </c>
      <c r="AF3" s="8">
        <f t="shared" si="0"/>
        <v>7.2900000000000187E-2</v>
      </c>
      <c r="AG3" s="8">
        <f t="shared" si="0"/>
        <v>3.6732051034160662E-6</v>
      </c>
      <c r="AH3" s="22">
        <f>AVERAGE(ABS(Z3),ABS(AD3))</f>
        <v>6.1749999999999985E-2</v>
      </c>
      <c r="AI3" s="22">
        <f t="shared" ref="AI3:AJ3" si="1">AVERAGE(ABS(AA3),ABS(AE3))</f>
        <v>0.01</v>
      </c>
      <c r="AJ3" s="22">
        <f t="shared" si="1"/>
        <v>3.6550000000000082E-2</v>
      </c>
      <c r="AK3" s="1" t="s">
        <v>23</v>
      </c>
      <c r="AL3" s="1" t="s">
        <v>24</v>
      </c>
      <c r="AM3" s="1" t="s">
        <v>25</v>
      </c>
      <c r="AN3" s="1" t="s">
        <v>29</v>
      </c>
      <c r="AO3" s="1" t="s">
        <v>26</v>
      </c>
      <c r="AP3" s="1" t="s">
        <v>27</v>
      </c>
      <c r="AQ3" s="1" t="s">
        <v>28</v>
      </c>
      <c r="AR3" s="1" t="s">
        <v>30</v>
      </c>
    </row>
    <row r="4" spans="1:44" s="5" customFormat="1" x14ac:dyDescent="0.25">
      <c r="A4" s="10">
        <f>'Proximal Validation (double)'!A4</f>
        <v>1</v>
      </c>
      <c r="B4" s="11">
        <f>'Proximal Validation (double)'!B4</f>
        <v>0.1</v>
      </c>
      <c r="C4" s="10">
        <f>'Proximal Validation (double)'!C4</f>
        <v>1.571</v>
      </c>
      <c r="D4" s="10">
        <f>'Proximal Validation (double)'!D4</f>
        <v>1.5707963267948966</v>
      </c>
      <c r="E4" s="11">
        <f>'Proximal Validation (double)'!E4</f>
        <v>1</v>
      </c>
      <c r="F4" s="11">
        <f>'Proximal Validation (double)'!F4</f>
        <v>0.08</v>
      </c>
      <c r="G4" s="10">
        <f>'Proximal Validation (double)'!G4</f>
        <v>3.1419999999999999</v>
      </c>
      <c r="H4" s="10">
        <f>'Proximal Validation (double)'!H4</f>
        <v>1.5707963267948966</v>
      </c>
      <c r="I4" s="10">
        <f>'Proximal Validation (double)'!I4</f>
        <v>0</v>
      </c>
      <c r="J4" s="10">
        <f>'Proximal Validation (double)'!J4</f>
        <v>0</v>
      </c>
      <c r="K4" s="10">
        <f>'Proximal Validation (double)'!K4</f>
        <v>0</v>
      </c>
      <c r="L4" s="8">
        <f>'Proximal Validation (double)'!L4</f>
        <v>-1.30488071590662E-3</v>
      </c>
      <c r="M4" s="8">
        <f>'Proximal Validation (double)'!M4</f>
        <v>-0.187399536371231</v>
      </c>
      <c r="N4" s="8">
        <f>'Proximal Validation (double)'!N4</f>
        <v>-0.148506805300713</v>
      </c>
      <c r="O4" s="8">
        <f>'Proximal Validation (double)'!O4</f>
        <v>-0.458716601133347</v>
      </c>
      <c r="P4" s="8">
        <f>'Proximal Validation (double)'!P4</f>
        <v>-0.81002575159072898</v>
      </c>
      <c r="Q4" s="8">
        <f>'Proximal Validation (double)'!Q4</f>
        <v>0.92483174800872803</v>
      </c>
      <c r="R4" s="8">
        <v>1</v>
      </c>
      <c r="S4" s="8">
        <v>0.1216</v>
      </c>
      <c r="T4" s="8">
        <v>1.6911</v>
      </c>
      <c r="U4" s="8">
        <v>1.5708</v>
      </c>
      <c r="V4" s="8">
        <v>0.73080000000000001</v>
      </c>
      <c r="W4" s="8">
        <v>0.08</v>
      </c>
      <c r="X4" s="8">
        <v>3.1415999999999999</v>
      </c>
      <c r="Y4" s="8">
        <v>1.5708</v>
      </c>
      <c r="Z4" s="8">
        <f t="shared" ref="Z4:Z42" si="2">R4-A4</f>
        <v>0</v>
      </c>
      <c r="AA4" s="8">
        <f t="shared" ref="AA4:AA42" si="3">S4-B4</f>
        <v>2.1599999999999994E-2</v>
      </c>
      <c r="AB4" s="8">
        <f t="shared" ref="AB4:AB42" si="4">T4-C4</f>
        <v>0.1201000000000001</v>
      </c>
      <c r="AC4" s="8">
        <f t="shared" ref="AC4:AC42" si="5">U4-D4</f>
        <v>3.6732051034160662E-6</v>
      </c>
      <c r="AD4" s="8">
        <f t="shared" ref="AD4:AD42" si="6">V4-E4</f>
        <v>-0.26919999999999999</v>
      </c>
      <c r="AE4" s="8">
        <f t="shared" ref="AE4:AE42" si="7">W4-F4</f>
        <v>0</v>
      </c>
      <c r="AF4" s="8">
        <f t="shared" ref="AF4:AF42" si="8">X4-G4</f>
        <v>-3.9999999999995595E-4</v>
      </c>
      <c r="AG4" s="8">
        <f t="shared" ref="AG4:AG42" si="9">Y4-H4</f>
        <v>3.6732051034160662E-6</v>
      </c>
      <c r="AH4" s="22">
        <f t="shared" ref="AH4:AH42" si="10">AVERAGE(ABS(Z4),ABS(AD4))</f>
        <v>0.1346</v>
      </c>
      <c r="AI4" s="22">
        <f t="shared" ref="AI4:AI42" si="11">AVERAGE(ABS(AA4),ABS(AE4))</f>
        <v>1.0799999999999997E-2</v>
      </c>
      <c r="AJ4" s="22">
        <f t="shared" ref="AJ4:AJ42" si="12">AVERAGE(ABS(AB4),ABS(AF4))</f>
        <v>6.0250000000000026E-2</v>
      </c>
      <c r="AK4" s="21" cm="1">
        <f t="array" ref="AK4">AVERAGE(ABS(Z3:Z42))</f>
        <v>0.1426625</v>
      </c>
      <c r="AL4" s="21" cm="1">
        <f t="array" ref="AL4">AVERAGE(ABS(AA3:AA42))</f>
        <v>3.0980000000000001E-2</v>
      </c>
      <c r="AM4" s="21" cm="1">
        <f t="array" ref="AM4">AVERAGE(ABS(AB3:AB42))</f>
        <v>0.32659999999999983</v>
      </c>
      <c r="AN4" s="21" cm="1">
        <f t="array" ref="AN4">AVERAGE(ABS(AC3:AC42))</f>
        <v>3.6732051034160662E-6</v>
      </c>
      <c r="AO4" s="21" cm="1">
        <f t="array" ref="AO4">AVERAGE(ABS(AD3:AD42))</f>
        <v>0.16870499999999997</v>
      </c>
      <c r="AP4" s="21" cm="1">
        <f t="array" ref="AP4">AVERAGE(ABS(AE3:AE42))</f>
        <v>2.1737499999999996E-2</v>
      </c>
      <c r="AQ4" s="21" cm="1">
        <f t="array" ref="AQ4">AVERAGE(ABS(AF3:AF42))</f>
        <v>0.23864000000000002</v>
      </c>
      <c r="AR4" s="21" cm="1">
        <f t="array" ref="AR4">AVERAGE(ABS(AG3:AG42))</f>
        <v>3.6732051034160662E-6</v>
      </c>
    </row>
    <row r="5" spans="1:44" x14ac:dyDescent="0.25">
      <c r="A5" s="10">
        <f>'Proximal Validation (double)'!A5</f>
        <v>0.5</v>
      </c>
      <c r="B5" s="10">
        <f>'Proximal Validation (double)'!B5</f>
        <v>0.1</v>
      </c>
      <c r="C5" s="10">
        <f>'Proximal Validation (double)'!C5</f>
        <v>1.571</v>
      </c>
      <c r="D5" s="10">
        <f>'Proximal Validation (double)'!D5</f>
        <v>1.5707963267948966</v>
      </c>
      <c r="E5" s="10">
        <f>'Proximal Validation (double)'!E5</f>
        <v>0.2</v>
      </c>
      <c r="F5" s="10">
        <f>'Proximal Validation (double)'!F5</f>
        <v>0.02</v>
      </c>
      <c r="G5" s="10">
        <f>'Proximal Validation (double)'!G5</f>
        <v>3.927</v>
      </c>
      <c r="H5" s="10">
        <f>'Proximal Validation (double)'!H5</f>
        <v>1.5707963267948966</v>
      </c>
      <c r="I5" s="10">
        <f>'Proximal Validation (double)'!I5</f>
        <v>0</v>
      </c>
      <c r="J5" s="10">
        <f>'Proximal Validation (double)'!J5</f>
        <v>0</v>
      </c>
      <c r="K5" s="10">
        <f>'Proximal Validation (double)'!K5</f>
        <v>0</v>
      </c>
      <c r="L5" s="8">
        <f>'Proximal Validation (double)'!L5</f>
        <v>-8.8173459516838206E-5</v>
      </c>
      <c r="M5" s="8">
        <f>'Proximal Validation (double)'!M5</f>
        <v>-9.0249709784984603E-2</v>
      </c>
      <c r="N5" s="8">
        <f>'Proximal Validation (double)'!N5</f>
        <v>-1.5381614677607999E-2</v>
      </c>
      <c r="O5" s="8">
        <f>'Proximal Validation (double)'!O5</f>
        <v>-5.9044521301984801E-2</v>
      </c>
      <c r="P5" s="8">
        <f>'Proximal Validation (double)'!P5</f>
        <v>-0.142551720142365</v>
      </c>
      <c r="Q5" s="8">
        <f>'Proximal Validation (double)'!Q5</f>
        <v>0.403866738080978</v>
      </c>
      <c r="R5" s="8">
        <v>0.53059999999999996</v>
      </c>
      <c r="S5" s="8">
        <v>0.1</v>
      </c>
      <c r="T5" s="8">
        <v>1.6040000000000001</v>
      </c>
      <c r="U5" s="8">
        <v>1.5708</v>
      </c>
      <c r="V5" s="8">
        <v>0.17499999999999999</v>
      </c>
      <c r="W5" s="8">
        <v>0.02</v>
      </c>
      <c r="X5" s="8">
        <v>3.9144000000000001</v>
      </c>
      <c r="Y5" s="8">
        <v>1.5708</v>
      </c>
      <c r="Z5" s="8">
        <f t="shared" si="2"/>
        <v>3.0599999999999961E-2</v>
      </c>
      <c r="AA5" s="8">
        <f t="shared" si="3"/>
        <v>0</v>
      </c>
      <c r="AB5" s="8">
        <f t="shared" si="4"/>
        <v>3.300000000000014E-2</v>
      </c>
      <c r="AC5" s="8">
        <f t="shared" si="5"/>
        <v>3.6732051034160662E-6</v>
      </c>
      <c r="AD5" s="8">
        <f t="shared" si="6"/>
        <v>-2.5000000000000022E-2</v>
      </c>
      <c r="AE5" s="8">
        <f t="shared" si="7"/>
        <v>0</v>
      </c>
      <c r="AF5" s="8">
        <f t="shared" si="8"/>
        <v>-1.2599999999999945E-2</v>
      </c>
      <c r="AG5" s="8">
        <f t="shared" si="9"/>
        <v>3.6732051034160662E-6</v>
      </c>
      <c r="AH5" s="22">
        <f t="shared" si="10"/>
        <v>2.7799999999999991E-2</v>
      </c>
      <c r="AI5" s="22">
        <f t="shared" si="11"/>
        <v>0</v>
      </c>
      <c r="AJ5" s="22">
        <f t="shared" si="12"/>
        <v>2.2800000000000042E-2</v>
      </c>
      <c r="AK5" s="41" t="s">
        <v>32</v>
      </c>
      <c r="AL5" s="41"/>
      <c r="AM5" s="41"/>
      <c r="AN5" s="41"/>
      <c r="AO5" s="41"/>
      <c r="AP5" s="41"/>
      <c r="AQ5" s="41"/>
      <c r="AR5" s="41"/>
    </row>
    <row r="6" spans="1:44" x14ac:dyDescent="0.25">
      <c r="A6" s="10">
        <f>'Proximal Validation (double)'!A6</f>
        <v>0.9</v>
      </c>
      <c r="B6" s="11">
        <f>'Proximal Validation (double)'!B6</f>
        <v>0.1</v>
      </c>
      <c r="C6" s="10">
        <f>'Proximal Validation (double)'!C6</f>
        <v>1.571</v>
      </c>
      <c r="D6" s="10">
        <f>'Proximal Validation (double)'!D6</f>
        <v>1.5707963267948966</v>
      </c>
      <c r="E6" s="11">
        <f>'Proximal Validation (double)'!E6</f>
        <v>0.2</v>
      </c>
      <c r="F6" s="11">
        <f>'Proximal Validation (double)'!F6</f>
        <v>0.08</v>
      </c>
      <c r="G6" s="10">
        <f>'Proximal Validation (double)'!G6</f>
        <v>4.7119999999999997</v>
      </c>
      <c r="H6" s="10">
        <f>'Proximal Validation (double)'!H6</f>
        <v>1.5707963267948966</v>
      </c>
      <c r="I6" s="10">
        <f>'Proximal Validation (double)'!I6</f>
        <v>1.2</v>
      </c>
      <c r="J6" s="10">
        <f>'Proximal Validation (double)'!J6</f>
        <v>0</v>
      </c>
      <c r="K6" s="10">
        <f>'Proximal Validation (double)'!K6</f>
        <v>0</v>
      </c>
      <c r="L6" s="8">
        <f>'Proximal Validation (double)'!L6</f>
        <v>4.0645110420882702E-3</v>
      </c>
      <c r="M6" s="8">
        <f>'Proximal Validation (double)'!M6</f>
        <v>-0.155094370245934</v>
      </c>
      <c r="N6" s="8">
        <f>'Proximal Validation (double)'!N6</f>
        <v>1.12637248821557E-3</v>
      </c>
      <c r="O6" s="8">
        <f>'Proximal Validation (double)'!O6</f>
        <v>-0.22939644753933</v>
      </c>
      <c r="P6" s="8">
        <f>'Proximal Validation (double)'!P6</f>
        <v>6.2979459762573199E-3</v>
      </c>
      <c r="Q6" s="8">
        <f>'Proximal Validation (double)'!Q6</f>
        <v>0.75826400518417403</v>
      </c>
      <c r="R6" s="8">
        <v>0.88919999999999999</v>
      </c>
      <c r="S6" s="8">
        <v>0.11509999999999999</v>
      </c>
      <c r="T6" s="8">
        <v>1.5708</v>
      </c>
      <c r="U6" s="8">
        <v>1.5708</v>
      </c>
      <c r="V6" s="8">
        <v>0.10009999999999999</v>
      </c>
      <c r="W6" s="8">
        <v>3.5000000000000003E-2</v>
      </c>
      <c r="X6" s="8">
        <v>4.7051999999999996</v>
      </c>
      <c r="Y6" s="8">
        <v>1.5708</v>
      </c>
      <c r="Z6" s="8">
        <f t="shared" si="2"/>
        <v>-1.0800000000000032E-2</v>
      </c>
      <c r="AA6" s="8">
        <f t="shared" si="3"/>
        <v>1.5099999999999988E-2</v>
      </c>
      <c r="AB6" s="8">
        <f t="shared" si="4"/>
        <v>-1.9999999999997797E-4</v>
      </c>
      <c r="AC6" s="8">
        <f t="shared" si="5"/>
        <v>3.6732051034160662E-6</v>
      </c>
      <c r="AD6" s="8">
        <f t="shared" si="6"/>
        <v>-9.9900000000000017E-2</v>
      </c>
      <c r="AE6" s="8">
        <f t="shared" si="7"/>
        <v>-4.4999999999999998E-2</v>
      </c>
      <c r="AF6" s="8">
        <f t="shared" si="8"/>
        <v>-6.8000000000001393E-3</v>
      </c>
      <c r="AG6" s="8">
        <f t="shared" si="9"/>
        <v>3.6732051034160662E-6</v>
      </c>
      <c r="AH6" s="22">
        <f t="shared" si="10"/>
        <v>5.5350000000000024E-2</v>
      </c>
      <c r="AI6" s="22">
        <f t="shared" si="11"/>
        <v>3.0049999999999993E-2</v>
      </c>
      <c r="AJ6" s="22">
        <f t="shared" si="12"/>
        <v>3.5000000000000586E-3</v>
      </c>
      <c r="AK6" s="20" t="s">
        <v>33</v>
      </c>
      <c r="AL6" s="20" t="s">
        <v>34</v>
      </c>
      <c r="AM6" s="20" t="s">
        <v>35</v>
      </c>
      <c r="AN6" s="21"/>
      <c r="AO6" s="21"/>
      <c r="AP6" s="21"/>
      <c r="AQ6" s="21"/>
      <c r="AR6" s="21"/>
    </row>
    <row r="7" spans="1:44" x14ac:dyDescent="0.25">
      <c r="A7" s="10">
        <f>'Proximal Validation (double)'!A7</f>
        <v>0.1</v>
      </c>
      <c r="B7" s="11">
        <f>'Proximal Validation (double)'!B7</f>
        <v>0.12</v>
      </c>
      <c r="C7" s="10">
        <f>'Proximal Validation (double)'!C7</f>
        <v>1.571</v>
      </c>
      <c r="D7" s="10">
        <f>'Proximal Validation (double)'!D7</f>
        <v>1.5707963267948966</v>
      </c>
      <c r="E7" s="11">
        <f>'Proximal Validation (double)'!E7</f>
        <v>1</v>
      </c>
      <c r="F7" s="11">
        <f>'Proximal Validation (double)'!F7</f>
        <v>0.06</v>
      </c>
      <c r="G7" s="10">
        <f>'Proximal Validation (double)'!G7</f>
        <v>3.927</v>
      </c>
      <c r="H7" s="10">
        <f>'Proximal Validation (double)'!H7</f>
        <v>1.5707963267948966</v>
      </c>
      <c r="I7" s="10">
        <f>'Proximal Validation (double)'!I7</f>
        <v>0</v>
      </c>
      <c r="J7" s="10">
        <f>'Proximal Validation (double)'!J7</f>
        <v>0</v>
      </c>
      <c r="K7" s="10">
        <f>'Proximal Validation (double)'!K7</f>
        <v>0</v>
      </c>
      <c r="L7" s="8">
        <f>'Proximal Validation (double)'!L7</f>
        <v>-3.3720862120389898E-5</v>
      </c>
      <c r="M7" s="8">
        <f>'Proximal Validation (double)'!M7</f>
        <v>5.5788416415452999E-2</v>
      </c>
      <c r="N7" s="8">
        <f>'Proximal Validation (double)'!N7</f>
        <v>-0.106843449175358</v>
      </c>
      <c r="O7" s="8">
        <f>'Proximal Validation (double)'!O7</f>
        <v>2.31804009526968E-2</v>
      </c>
      <c r="P7" s="8">
        <f>'Proximal Validation (double)'!P7</f>
        <v>-0.69266724586486805</v>
      </c>
      <c r="Q7" s="8">
        <f>'Proximal Validation (double)'!Q7</f>
        <v>-0.43824502825737</v>
      </c>
      <c r="R7" s="8">
        <v>0.1</v>
      </c>
      <c r="S7" s="8">
        <v>0.1</v>
      </c>
      <c r="T7" s="8">
        <v>2.5577000000000001</v>
      </c>
      <c r="U7" s="8">
        <v>1.5708</v>
      </c>
      <c r="V7" s="8">
        <v>0.78649999999999998</v>
      </c>
      <c r="W7" s="8">
        <v>0.02</v>
      </c>
      <c r="X7" s="8">
        <v>3.8218000000000001</v>
      </c>
      <c r="Y7" s="8">
        <v>1.5708</v>
      </c>
      <c r="Z7" s="8">
        <f t="shared" si="2"/>
        <v>0</v>
      </c>
      <c r="AA7" s="8">
        <f t="shared" si="3"/>
        <v>-1.999999999999999E-2</v>
      </c>
      <c r="AB7" s="8">
        <f t="shared" si="4"/>
        <v>0.98670000000000013</v>
      </c>
      <c r="AC7" s="8">
        <f t="shared" si="5"/>
        <v>3.6732051034160662E-6</v>
      </c>
      <c r="AD7" s="8">
        <f t="shared" si="6"/>
        <v>-0.21350000000000002</v>
      </c>
      <c r="AE7" s="8">
        <f t="shared" si="7"/>
        <v>-3.9999999999999994E-2</v>
      </c>
      <c r="AF7" s="8">
        <f t="shared" si="8"/>
        <v>-0.10519999999999996</v>
      </c>
      <c r="AG7" s="8">
        <f t="shared" si="9"/>
        <v>3.6732051034160662E-6</v>
      </c>
      <c r="AH7" s="22">
        <f t="shared" si="10"/>
        <v>0.10675000000000001</v>
      </c>
      <c r="AI7" s="22">
        <f t="shared" si="11"/>
        <v>2.9999999999999992E-2</v>
      </c>
      <c r="AJ7" s="22">
        <f t="shared" si="12"/>
        <v>0.54595000000000005</v>
      </c>
      <c r="AK7" s="21">
        <f>AVERAGE(AK4,AO4)</f>
        <v>0.15568374999999998</v>
      </c>
      <c r="AL7" s="21">
        <f t="shared" ref="AL7:AM7" si="13">AVERAGE(AL4,AP4)</f>
        <v>2.635875E-2</v>
      </c>
      <c r="AM7" s="21">
        <f t="shared" si="13"/>
        <v>0.28261999999999993</v>
      </c>
      <c r="AN7" s="21"/>
      <c r="AO7" s="21"/>
      <c r="AP7" s="21"/>
      <c r="AQ7" s="21"/>
      <c r="AR7" s="21"/>
    </row>
    <row r="8" spans="1:44" x14ac:dyDescent="0.25">
      <c r="A8" s="10">
        <f>'Proximal Validation (double)'!A8</f>
        <v>0.8</v>
      </c>
      <c r="B8" s="11">
        <f>'Proximal Validation (double)'!B8</f>
        <v>0.16</v>
      </c>
      <c r="C8" s="10">
        <f>'Proximal Validation (double)'!C8</f>
        <v>1.571</v>
      </c>
      <c r="D8" s="10">
        <f>'Proximal Validation (double)'!D8</f>
        <v>1.5707963267948966</v>
      </c>
      <c r="E8" s="11">
        <f>'Proximal Validation (double)'!E8</f>
        <v>0.8</v>
      </c>
      <c r="F8" s="11">
        <f>'Proximal Validation (double)'!F8</f>
        <v>0.06</v>
      </c>
      <c r="G8" s="10">
        <f>'Proximal Validation (double)'!G8</f>
        <v>3.927</v>
      </c>
      <c r="H8" s="10">
        <f>'Proximal Validation (double)'!H8</f>
        <v>1.5707963267948966</v>
      </c>
      <c r="I8" s="10">
        <f>'Proximal Validation (double)'!I8</f>
        <v>1.4</v>
      </c>
      <c r="J8" s="10">
        <f>'Proximal Validation (double)'!J8</f>
        <v>0</v>
      </c>
      <c r="K8" s="10">
        <f>'Proximal Validation (double)'!K8</f>
        <v>0</v>
      </c>
      <c r="L8" s="8">
        <f>'Proximal Validation (double)'!L8</f>
        <v>8.2578761503100395E-3</v>
      </c>
      <c r="M8" s="8">
        <f>'Proximal Validation (double)'!M8</f>
        <v>-0.106360949575901</v>
      </c>
      <c r="N8" s="8">
        <f>'Proximal Validation (double)'!N8</f>
        <v>-7.6963931322097806E-2</v>
      </c>
      <c r="O8" s="8">
        <f>'Proximal Validation (double)'!O8</f>
        <v>-0.29881915450096103</v>
      </c>
      <c r="P8" s="8">
        <f>'Proximal Validation (double)'!P8</f>
        <v>-0.50920194387435902</v>
      </c>
      <c r="Q8" s="8">
        <f>'Proximal Validation (double)'!Q8</f>
        <v>0.108889028429985</v>
      </c>
      <c r="R8" s="8">
        <v>0.70450000000000002</v>
      </c>
      <c r="S8" s="8">
        <v>0.182</v>
      </c>
      <c r="T8" s="8">
        <v>1.7450000000000001</v>
      </c>
      <c r="U8" s="8">
        <v>1.5708</v>
      </c>
      <c r="V8" s="8">
        <v>0.64</v>
      </c>
      <c r="W8" s="8">
        <v>3.2800000000000003E-2</v>
      </c>
      <c r="X8" s="8">
        <v>4.0251999999999999</v>
      </c>
      <c r="Y8" s="8">
        <v>1.5708</v>
      </c>
      <c r="Z8" s="8">
        <f t="shared" si="2"/>
        <v>-9.5500000000000029E-2</v>
      </c>
      <c r="AA8" s="8">
        <f t="shared" si="3"/>
        <v>2.1999999999999992E-2</v>
      </c>
      <c r="AB8" s="8">
        <f t="shared" si="4"/>
        <v>0.17400000000000015</v>
      </c>
      <c r="AC8" s="8">
        <f t="shared" si="5"/>
        <v>3.6732051034160662E-6</v>
      </c>
      <c r="AD8" s="8">
        <f t="shared" si="6"/>
        <v>-0.16000000000000003</v>
      </c>
      <c r="AE8" s="8">
        <f t="shared" si="7"/>
        <v>-2.7199999999999995E-2</v>
      </c>
      <c r="AF8" s="8">
        <f t="shared" si="8"/>
        <v>9.8199999999999843E-2</v>
      </c>
      <c r="AG8" s="8">
        <f t="shared" si="9"/>
        <v>3.6732051034160662E-6</v>
      </c>
      <c r="AH8" s="23">
        <f t="shared" si="10"/>
        <v>0.12775000000000003</v>
      </c>
      <c r="AI8" s="23">
        <f t="shared" si="11"/>
        <v>2.4599999999999993E-2</v>
      </c>
      <c r="AJ8" s="23">
        <f t="shared" si="12"/>
        <v>0.1361</v>
      </c>
    </row>
    <row r="9" spans="1:44" x14ac:dyDescent="0.25">
      <c r="A9" s="10">
        <f>'Proximal Validation (double)'!A9</f>
        <v>0.1</v>
      </c>
      <c r="B9" s="11">
        <f>'Proximal Validation (double)'!B9</f>
        <v>0.18</v>
      </c>
      <c r="C9" s="10">
        <f>'Proximal Validation (double)'!C9</f>
        <v>1.571</v>
      </c>
      <c r="D9" s="10">
        <f>'Proximal Validation (double)'!D9</f>
        <v>1.5707963267948966</v>
      </c>
      <c r="E9" s="11">
        <f>'Proximal Validation (double)'!E9</f>
        <v>0.1</v>
      </c>
      <c r="F9" s="11">
        <f>'Proximal Validation (double)'!F9</f>
        <v>0.02</v>
      </c>
      <c r="G9" s="10">
        <f>'Proximal Validation (double)'!G9</f>
        <v>3.1419999999999999</v>
      </c>
      <c r="H9" s="10">
        <f>'Proximal Validation (double)'!H9</f>
        <v>1.5707963267948966</v>
      </c>
      <c r="I9" s="10">
        <f>'Proximal Validation (double)'!I9</f>
        <v>1.2</v>
      </c>
      <c r="J9" s="10">
        <f>'Proximal Validation (double)'!J9</f>
        <v>0</v>
      </c>
      <c r="K9" s="10">
        <f>'Proximal Validation (double)'!K9</f>
        <v>0</v>
      </c>
      <c r="L9" s="8">
        <f>'Proximal Validation (double)'!L9</f>
        <v>2.53012054599822E-4</v>
      </c>
      <c r="M9" s="8">
        <f>'Proximal Validation (double)'!M9</f>
        <v>-6.1941463500261298E-3</v>
      </c>
      <c r="N9" s="8">
        <f>'Proximal Validation (double)'!N9</f>
        <v>-1.2296888045966599E-2</v>
      </c>
      <c r="O9" s="8">
        <f>'Proximal Validation (double)'!O9</f>
        <v>1.5694042667746499E-2</v>
      </c>
      <c r="P9" s="8">
        <f>'Proximal Validation (double)'!P9</f>
        <v>-0.108663953840733</v>
      </c>
      <c r="Q9" s="8">
        <f>'Proximal Validation (double)'!Q9</f>
        <v>1.80782899260521E-2</v>
      </c>
      <c r="R9" s="8">
        <v>0.1</v>
      </c>
      <c r="S9" s="8">
        <v>0.1</v>
      </c>
      <c r="T9" s="8">
        <v>1.5713999999999999</v>
      </c>
      <c r="U9" s="8">
        <v>1.5708</v>
      </c>
      <c r="V9" s="8">
        <v>0.1363</v>
      </c>
      <c r="W9" s="8">
        <v>3.9300000000000002E-2</v>
      </c>
      <c r="X9" s="8">
        <v>3.7917000000000001</v>
      </c>
      <c r="Y9" s="8">
        <v>1.5708</v>
      </c>
      <c r="Z9" s="8">
        <f t="shared" si="2"/>
        <v>0</v>
      </c>
      <c r="AA9" s="8">
        <f t="shared" si="3"/>
        <v>-7.9999999999999988E-2</v>
      </c>
      <c r="AB9" s="8">
        <f t="shared" si="4"/>
        <v>3.9999999999995595E-4</v>
      </c>
      <c r="AC9" s="8">
        <f t="shared" si="5"/>
        <v>3.6732051034160662E-6</v>
      </c>
      <c r="AD9" s="8">
        <f t="shared" si="6"/>
        <v>3.6299999999999999E-2</v>
      </c>
      <c r="AE9" s="8">
        <f t="shared" si="7"/>
        <v>1.9300000000000001E-2</v>
      </c>
      <c r="AF9" s="8">
        <f t="shared" si="8"/>
        <v>0.64970000000000017</v>
      </c>
      <c r="AG9" s="8">
        <f t="shared" si="9"/>
        <v>3.6732051034160662E-6</v>
      </c>
      <c r="AH9" s="22">
        <f t="shared" si="10"/>
        <v>1.8149999999999999E-2</v>
      </c>
      <c r="AI9" s="22">
        <f t="shared" si="11"/>
        <v>4.9649999999999993E-2</v>
      </c>
      <c r="AJ9" s="22">
        <f t="shared" si="12"/>
        <v>0.32505000000000006</v>
      </c>
    </row>
    <row r="10" spans="1:44" x14ac:dyDescent="0.25">
      <c r="A10" s="10">
        <f>'Proximal Validation (double)'!A10</f>
        <v>0.9</v>
      </c>
      <c r="B10" s="11">
        <f>'Proximal Validation (double)'!B10</f>
        <v>0.18</v>
      </c>
      <c r="C10" s="10">
        <f>'Proximal Validation (double)'!C10</f>
        <v>1.571</v>
      </c>
      <c r="D10" s="10">
        <f>'Proximal Validation (double)'!D10</f>
        <v>1.5707963267948966</v>
      </c>
      <c r="E10" s="11">
        <f>'Proximal Validation (double)'!E10</f>
        <v>0.1</v>
      </c>
      <c r="F10" s="11">
        <f>'Proximal Validation (double)'!F10</f>
        <v>0.08</v>
      </c>
      <c r="G10" s="10">
        <f>'Proximal Validation (double)'!G10</f>
        <v>4.7119999999999997</v>
      </c>
      <c r="H10" s="10">
        <f>'Proximal Validation (double)'!H10</f>
        <v>1.5707963267948966</v>
      </c>
      <c r="I10" s="10">
        <f>'Proximal Validation (double)'!I10</f>
        <v>0</v>
      </c>
      <c r="J10" s="10">
        <f>'Proximal Validation (double)'!J10</f>
        <v>0</v>
      </c>
      <c r="K10" s="10">
        <f>'Proximal Validation (double)'!K10</f>
        <v>0</v>
      </c>
      <c r="L10" s="8">
        <f>'Proximal Validation (double)'!L10</f>
        <v>-8.9414953254163298E-4</v>
      </c>
      <c r="M10" s="8">
        <f>'Proximal Validation (double)'!M10</f>
        <v>-0.180821523070335</v>
      </c>
      <c r="N10" s="8">
        <f>'Proximal Validation (double)'!N10</f>
        <v>8.0074910074472393E-3</v>
      </c>
      <c r="O10" s="8">
        <f>'Proximal Validation (double)'!O10</f>
        <v>-0.405538409948349</v>
      </c>
      <c r="P10" s="8">
        <f>'Proximal Validation (double)'!P10</f>
        <v>5.81999458372593E-2</v>
      </c>
      <c r="Q10" s="8">
        <f>'Proximal Validation (double)'!Q10</f>
        <v>0.51686221361160301</v>
      </c>
      <c r="R10" s="8">
        <v>0.76270000000000004</v>
      </c>
      <c r="S10" s="8">
        <v>0.18970000000000001</v>
      </c>
      <c r="T10" s="8">
        <v>1.5708</v>
      </c>
      <c r="U10" s="8">
        <v>1.5708</v>
      </c>
      <c r="V10" s="8">
        <v>0.1082</v>
      </c>
      <c r="W10" s="8">
        <v>7.7899999999999997E-2</v>
      </c>
      <c r="X10" s="8">
        <v>4.7123999999999997</v>
      </c>
      <c r="Y10" s="8">
        <v>1.5708</v>
      </c>
      <c r="Z10" s="8">
        <f t="shared" si="2"/>
        <v>-0.13729999999999998</v>
      </c>
      <c r="AA10" s="8">
        <f t="shared" si="3"/>
        <v>9.7000000000000142E-3</v>
      </c>
      <c r="AB10" s="8">
        <f t="shared" si="4"/>
        <v>-1.9999999999997797E-4</v>
      </c>
      <c r="AC10" s="8">
        <f t="shared" si="5"/>
        <v>3.6732051034160662E-6</v>
      </c>
      <c r="AD10" s="8">
        <f t="shared" si="6"/>
        <v>8.199999999999999E-3</v>
      </c>
      <c r="AE10" s="8">
        <f t="shared" si="7"/>
        <v>-2.1000000000000046E-3</v>
      </c>
      <c r="AF10" s="8">
        <f t="shared" si="8"/>
        <v>3.9999999999995595E-4</v>
      </c>
      <c r="AG10" s="8">
        <f t="shared" si="9"/>
        <v>3.6732051034160662E-6</v>
      </c>
      <c r="AH10" s="22">
        <f t="shared" si="10"/>
        <v>7.2749999999999981E-2</v>
      </c>
      <c r="AI10" s="22">
        <f t="shared" si="11"/>
        <v>5.9000000000000094E-3</v>
      </c>
      <c r="AJ10" s="22">
        <f t="shared" si="12"/>
        <v>2.9999999999996696E-4</v>
      </c>
    </row>
    <row r="11" spans="1:44" x14ac:dyDescent="0.25">
      <c r="A11" s="10">
        <f>'Proximal Validation (double)'!A11</f>
        <v>0.3</v>
      </c>
      <c r="B11" s="11">
        <f>'Proximal Validation (double)'!B11</f>
        <v>0.18</v>
      </c>
      <c r="C11" s="10">
        <f>'Proximal Validation (double)'!C11</f>
        <v>1.571</v>
      </c>
      <c r="D11" s="10">
        <f>'Proximal Validation (double)'!D11</f>
        <v>1.5707963267948966</v>
      </c>
      <c r="E11" s="11">
        <f>'Proximal Validation (double)'!E11</f>
        <v>0.9</v>
      </c>
      <c r="F11" s="11">
        <f>'Proximal Validation (double)'!F11</f>
        <v>0.08</v>
      </c>
      <c r="G11" s="10">
        <f>'Proximal Validation (double)'!G11</f>
        <v>4.7119999999999997</v>
      </c>
      <c r="H11" s="10">
        <f>'Proximal Validation (double)'!H11</f>
        <v>1.5707963267948966</v>
      </c>
      <c r="I11" s="10">
        <f>'Proximal Validation (double)'!I11</f>
        <v>1</v>
      </c>
      <c r="J11" s="10">
        <f>'Proximal Validation (double)'!J11</f>
        <v>0</v>
      </c>
      <c r="K11" s="10">
        <f>'Proximal Validation (double)'!K11</f>
        <v>0</v>
      </c>
      <c r="L11" s="8">
        <f>'Proximal Validation (double)'!L11</f>
        <v>2.41806032136083E-4</v>
      </c>
      <c r="M11" s="8">
        <f>'Proximal Validation (double)'!M11</f>
        <v>7.3132611811161E-2</v>
      </c>
      <c r="N11" s="8">
        <f>'Proximal Validation (double)'!N11</f>
        <v>-4.2187301442027101E-3</v>
      </c>
      <c r="O11" s="8">
        <f>'Proximal Validation (double)'!O11</f>
        <v>4.2406577616930001E-2</v>
      </c>
      <c r="P11" s="8">
        <f>'Proximal Validation (double)'!P11</f>
        <v>-2.1499879658222198E-2</v>
      </c>
      <c r="Q11" s="8">
        <f>'Proximal Validation (double)'!Q11</f>
        <v>-0.58056563138961803</v>
      </c>
      <c r="R11" s="8">
        <v>0.1</v>
      </c>
      <c r="S11" s="8">
        <v>0.1</v>
      </c>
      <c r="T11" s="8">
        <v>1.5835999999999999</v>
      </c>
      <c r="U11" s="8">
        <v>1.5708</v>
      </c>
      <c r="V11" s="8">
        <v>0.68269999999999997</v>
      </c>
      <c r="W11" s="8">
        <v>2.4199999999999999E-2</v>
      </c>
      <c r="X11" s="8">
        <v>4.6833</v>
      </c>
      <c r="Y11" s="8">
        <v>1.5708</v>
      </c>
      <c r="Z11" s="8">
        <f t="shared" si="2"/>
        <v>-0.19999999999999998</v>
      </c>
      <c r="AA11" s="8">
        <f t="shared" si="3"/>
        <v>-7.9999999999999988E-2</v>
      </c>
      <c r="AB11" s="8">
        <f t="shared" si="4"/>
        <v>1.2599999999999945E-2</v>
      </c>
      <c r="AC11" s="8">
        <f t="shared" si="5"/>
        <v>3.6732051034160662E-6</v>
      </c>
      <c r="AD11" s="8">
        <f t="shared" si="6"/>
        <v>-0.21730000000000005</v>
      </c>
      <c r="AE11" s="8">
        <f t="shared" si="7"/>
        <v>-5.5800000000000002E-2</v>
      </c>
      <c r="AF11" s="8">
        <f t="shared" si="8"/>
        <v>-2.8699999999999726E-2</v>
      </c>
      <c r="AG11" s="8">
        <f t="shared" si="9"/>
        <v>3.6732051034160662E-6</v>
      </c>
      <c r="AH11" s="22">
        <f t="shared" si="10"/>
        <v>0.20865</v>
      </c>
      <c r="AI11" s="22">
        <f t="shared" si="11"/>
        <v>6.7899999999999988E-2</v>
      </c>
      <c r="AJ11" s="22">
        <f t="shared" si="12"/>
        <v>2.0649999999999835E-2</v>
      </c>
    </row>
    <row r="12" spans="1:44" x14ac:dyDescent="0.25">
      <c r="A12" s="10">
        <f>'Proximal Validation (double)'!A12</f>
        <v>0.9</v>
      </c>
      <c r="B12" s="11">
        <f>'Proximal Validation (double)'!B12</f>
        <v>0.2</v>
      </c>
      <c r="C12" s="10">
        <f>'Proximal Validation (double)'!C12</f>
        <v>1.571</v>
      </c>
      <c r="D12" s="10">
        <f>'Proximal Validation (double)'!D12</f>
        <v>1.5707963267948966</v>
      </c>
      <c r="E12" s="11">
        <f>'Proximal Validation (double)'!E12</f>
        <v>1</v>
      </c>
      <c r="F12" s="11">
        <f>'Proximal Validation (double)'!F12</f>
        <v>0.02</v>
      </c>
      <c r="G12" s="10">
        <f>'Proximal Validation (double)'!G12</f>
        <v>3.1419999999999999</v>
      </c>
      <c r="H12" s="10">
        <f>'Proximal Validation (double)'!H12</f>
        <v>1.5707963267948966</v>
      </c>
      <c r="I12" s="10">
        <f>'Proximal Validation (double)'!I12</f>
        <v>0.4</v>
      </c>
      <c r="J12" s="10">
        <f>'Proximal Validation (double)'!J12</f>
        <v>0</v>
      </c>
      <c r="K12" s="10">
        <f>'Proximal Validation (double)'!K12</f>
        <v>0</v>
      </c>
      <c r="L12" s="8">
        <f>'Proximal Validation (double)'!L12</f>
        <v>-1.58930197358131E-4</v>
      </c>
      <c r="M12" s="8">
        <f>'Proximal Validation (double)'!M12</f>
        <v>-0.14518360793590501</v>
      </c>
      <c r="N12" s="8">
        <f>'Proximal Validation (double)'!N12</f>
        <v>-0.108183734118938</v>
      </c>
      <c r="O12" s="8">
        <f>'Proximal Validation (double)'!O12</f>
        <v>-0.55842369794845603</v>
      </c>
      <c r="P12" s="8">
        <f>'Proximal Validation (double)'!P12</f>
        <v>-0.97605288028716997</v>
      </c>
      <c r="Q12" s="8">
        <f>'Proximal Validation (double)'!Q12</f>
        <v>0.27430844306945801</v>
      </c>
      <c r="R12" s="8">
        <v>0.84899999999999998</v>
      </c>
      <c r="S12" s="8">
        <v>0.19980000000000001</v>
      </c>
      <c r="T12" s="8">
        <v>1.6468</v>
      </c>
      <c r="U12" s="8">
        <v>1.5708</v>
      </c>
      <c r="V12" s="8">
        <v>0.99460000000000004</v>
      </c>
      <c r="W12" s="8">
        <v>2.0899999999999998E-2</v>
      </c>
      <c r="X12" s="8">
        <v>3.4964</v>
      </c>
      <c r="Y12" s="8">
        <v>1.5708</v>
      </c>
      <c r="Z12" s="8">
        <f t="shared" si="2"/>
        <v>-5.1000000000000045E-2</v>
      </c>
      <c r="AA12" s="8">
        <f t="shared" si="3"/>
        <v>-2.0000000000000573E-4</v>
      </c>
      <c r="AB12" s="8">
        <f t="shared" si="4"/>
        <v>7.580000000000009E-2</v>
      </c>
      <c r="AC12" s="8">
        <f t="shared" si="5"/>
        <v>3.6732051034160662E-6</v>
      </c>
      <c r="AD12" s="8">
        <f t="shared" si="6"/>
        <v>-5.3999999999999604E-3</v>
      </c>
      <c r="AE12" s="8">
        <f t="shared" si="7"/>
        <v>8.9999999999999802E-4</v>
      </c>
      <c r="AF12" s="8">
        <f t="shared" si="8"/>
        <v>0.35440000000000005</v>
      </c>
      <c r="AG12" s="8">
        <f t="shared" si="9"/>
        <v>3.6732051034160662E-6</v>
      </c>
      <c r="AH12" s="22">
        <f t="shared" si="10"/>
        <v>2.8200000000000003E-2</v>
      </c>
      <c r="AI12" s="22">
        <f t="shared" si="11"/>
        <v>5.5000000000000188E-4</v>
      </c>
      <c r="AJ12" s="22">
        <f t="shared" si="12"/>
        <v>0.21510000000000007</v>
      </c>
    </row>
    <row r="13" spans="1:44" x14ac:dyDescent="0.25">
      <c r="A13" s="10">
        <f>'Proximal Validation (double)'!A13</f>
        <v>0.1</v>
      </c>
      <c r="B13" s="11">
        <f>'Proximal Validation (double)'!B13</f>
        <v>0.2</v>
      </c>
      <c r="C13" s="10">
        <f>'Proximal Validation (double)'!C13</f>
        <v>1.571</v>
      </c>
      <c r="D13" s="10">
        <f>'Proximal Validation (double)'!D13</f>
        <v>1.5707963267948966</v>
      </c>
      <c r="E13" s="11">
        <f>'Proximal Validation (double)'!E13</f>
        <v>0.3</v>
      </c>
      <c r="F13" s="11">
        <f>'Proximal Validation (double)'!F13</f>
        <v>0.08</v>
      </c>
      <c r="G13" s="10">
        <f>'Proximal Validation (double)'!G13</f>
        <v>3.1419999999999999</v>
      </c>
      <c r="H13" s="10">
        <f>'Proximal Validation (double)'!H13</f>
        <v>1.5707963267948966</v>
      </c>
      <c r="I13" s="10">
        <f>'Proximal Validation (double)'!I13</f>
        <v>0.2</v>
      </c>
      <c r="J13" s="10">
        <f>'Proximal Validation (double)'!J13</f>
        <v>0</v>
      </c>
      <c r="K13" s="10">
        <f>'Proximal Validation (double)'!K13</f>
        <v>0</v>
      </c>
      <c r="L13" s="8">
        <f>'Proximal Validation (double)'!L13</f>
        <v>-1.4157709665596499E-4</v>
      </c>
      <c r="M13" s="8">
        <f>'Proximal Validation (double)'!M13</f>
        <v>4.5513403601944403E-3</v>
      </c>
      <c r="N13" s="8">
        <f>'Proximal Validation (double)'!N13</f>
        <v>-4.92897629737854E-2</v>
      </c>
      <c r="O13" s="8">
        <f>'Proximal Validation (double)'!O13</f>
        <v>2.6178073137998598E-2</v>
      </c>
      <c r="P13" s="8">
        <f>'Proximal Validation (double)'!P13</f>
        <v>-0.27640634775161699</v>
      </c>
      <c r="Q13" s="8">
        <f>'Proximal Validation (double)'!Q13</f>
        <v>-3.6308467388153097E-2</v>
      </c>
      <c r="R13" s="8">
        <v>0.1</v>
      </c>
      <c r="S13" s="8">
        <v>0.1</v>
      </c>
      <c r="T13" s="8">
        <v>3.0446</v>
      </c>
      <c r="U13" s="8">
        <v>1.5708</v>
      </c>
      <c r="V13" s="8">
        <v>0.183</v>
      </c>
      <c r="W13" s="8">
        <v>0.02</v>
      </c>
      <c r="X13" s="8">
        <v>3.3963999999999999</v>
      </c>
      <c r="Y13" s="8">
        <v>1.5708</v>
      </c>
      <c r="Z13" s="8">
        <f t="shared" si="2"/>
        <v>0</v>
      </c>
      <c r="AA13" s="8">
        <f t="shared" si="3"/>
        <v>-0.1</v>
      </c>
      <c r="AB13" s="8">
        <f t="shared" si="4"/>
        <v>1.4736</v>
      </c>
      <c r="AC13" s="8">
        <f t="shared" si="5"/>
        <v>3.6732051034160662E-6</v>
      </c>
      <c r="AD13" s="8">
        <f t="shared" si="6"/>
        <v>-0.11699999999999999</v>
      </c>
      <c r="AE13" s="8">
        <f t="shared" si="7"/>
        <v>-0.06</v>
      </c>
      <c r="AF13" s="8">
        <f t="shared" si="8"/>
        <v>0.25439999999999996</v>
      </c>
      <c r="AG13" s="8">
        <f t="shared" si="9"/>
        <v>3.6732051034160662E-6</v>
      </c>
      <c r="AH13" s="22">
        <f t="shared" si="10"/>
        <v>5.8499999999999996E-2</v>
      </c>
      <c r="AI13" s="22">
        <f t="shared" si="11"/>
        <v>0.08</v>
      </c>
      <c r="AJ13" s="22">
        <f t="shared" si="12"/>
        <v>0.86399999999999999</v>
      </c>
    </row>
    <row r="14" spans="1:44" x14ac:dyDescent="0.25">
      <c r="A14" s="10">
        <f>'Proximal Validation (double)'!A14</f>
        <v>0.9</v>
      </c>
      <c r="B14" s="11">
        <f>'Proximal Validation (double)'!B14</f>
        <v>0.2</v>
      </c>
      <c r="C14" s="10">
        <f>'Proximal Validation (double)'!C14</f>
        <v>1.571</v>
      </c>
      <c r="D14" s="10">
        <f>'Proximal Validation (double)'!D14</f>
        <v>1.5707963267948966</v>
      </c>
      <c r="E14" s="11">
        <f>'Proximal Validation (double)'!E14</f>
        <v>0.3</v>
      </c>
      <c r="F14" s="11">
        <f>'Proximal Validation (double)'!F14</f>
        <v>0.02</v>
      </c>
      <c r="G14" s="10">
        <f>'Proximal Validation (double)'!G14</f>
        <v>4.7119999999999997</v>
      </c>
      <c r="H14" s="10">
        <f>'Proximal Validation (double)'!H14</f>
        <v>1.5707963267948966</v>
      </c>
      <c r="I14" s="10">
        <f>'Proximal Validation (double)'!I14</f>
        <v>1.4</v>
      </c>
      <c r="J14" s="10">
        <f>'Proximal Validation (double)'!J14</f>
        <v>0</v>
      </c>
      <c r="K14" s="10">
        <f>'Proximal Validation (double)'!K14</f>
        <v>0</v>
      </c>
      <c r="L14" s="8">
        <f>'Proximal Validation (double)'!L14</f>
        <v>9.2607205733656901E-3</v>
      </c>
      <c r="M14" s="8">
        <f>'Proximal Validation (double)'!M14</f>
        <v>-0.11755938827991499</v>
      </c>
      <c r="N14" s="8">
        <f>'Proximal Validation (double)'!N14</f>
        <v>-8.4324358031153696E-3</v>
      </c>
      <c r="O14" s="8">
        <f>'Proximal Validation (double)'!O14</f>
        <v>-0.58649873733520497</v>
      </c>
      <c r="P14" s="8">
        <f>'Proximal Validation (double)'!P14</f>
        <v>-5.0031639635562897E-2</v>
      </c>
      <c r="Q14" s="8">
        <f>'Proximal Validation (double)'!Q14</f>
        <v>4.2876139283180202E-2</v>
      </c>
      <c r="R14" s="8">
        <v>1</v>
      </c>
      <c r="S14" s="8">
        <v>0.2</v>
      </c>
      <c r="T14" s="8">
        <v>1.5891999999999999</v>
      </c>
      <c r="U14" s="8">
        <v>1.5708</v>
      </c>
      <c r="V14" s="8">
        <v>0.63639999999999997</v>
      </c>
      <c r="W14" s="8">
        <v>4.0399999999999998E-2</v>
      </c>
      <c r="X14" s="8">
        <v>4.6516999999999999</v>
      </c>
      <c r="Y14" s="8">
        <v>1.5708</v>
      </c>
      <c r="Z14" s="8">
        <f t="shared" si="2"/>
        <v>9.9999999999999978E-2</v>
      </c>
      <c r="AA14" s="8">
        <f t="shared" si="3"/>
        <v>0</v>
      </c>
      <c r="AB14" s="8">
        <f t="shared" si="4"/>
        <v>1.8199999999999994E-2</v>
      </c>
      <c r="AC14" s="8">
        <f t="shared" si="5"/>
        <v>3.6732051034160662E-6</v>
      </c>
      <c r="AD14" s="8">
        <f t="shared" si="6"/>
        <v>0.33639999999999998</v>
      </c>
      <c r="AE14" s="8">
        <f t="shared" si="7"/>
        <v>2.0399999999999998E-2</v>
      </c>
      <c r="AF14" s="8">
        <f t="shared" si="8"/>
        <v>-6.0299999999999798E-2</v>
      </c>
      <c r="AG14" s="8">
        <f t="shared" si="9"/>
        <v>3.6732051034160662E-6</v>
      </c>
      <c r="AH14" s="22">
        <f t="shared" si="10"/>
        <v>0.21819999999999998</v>
      </c>
      <c r="AI14" s="22">
        <f t="shared" si="11"/>
        <v>1.0199999999999999E-2</v>
      </c>
      <c r="AJ14" s="22">
        <f t="shared" si="12"/>
        <v>3.9249999999999896E-2</v>
      </c>
    </row>
    <row r="15" spans="1:44" x14ac:dyDescent="0.25">
      <c r="A15" s="10">
        <f>'Proximal Validation (double)'!A15</f>
        <v>0.9</v>
      </c>
      <c r="B15" s="11">
        <f>'Proximal Validation (double)'!B15</f>
        <v>0.1</v>
      </c>
      <c r="C15" s="10">
        <f>'Proximal Validation (double)'!C15</f>
        <v>2.3559999999999999</v>
      </c>
      <c r="D15" s="10">
        <f>'Proximal Validation (double)'!D15</f>
        <v>1.5707963267948966</v>
      </c>
      <c r="E15" s="11">
        <f>'Proximal Validation (double)'!E15</f>
        <v>0.9</v>
      </c>
      <c r="F15" s="11">
        <f>'Proximal Validation (double)'!F15</f>
        <v>0.02</v>
      </c>
      <c r="G15" s="10">
        <f>'Proximal Validation (double)'!G15</f>
        <v>4.7119999999999997</v>
      </c>
      <c r="H15" s="10">
        <f>'Proximal Validation (double)'!H15</f>
        <v>1.5707963267948966</v>
      </c>
      <c r="I15" s="10">
        <f>'Proximal Validation (double)'!I15</f>
        <v>0.4</v>
      </c>
      <c r="J15" s="10">
        <f>'Proximal Validation (double)'!J15</f>
        <v>0</v>
      </c>
      <c r="K15" s="10">
        <f>'Proximal Validation (double)'!K15</f>
        <v>0</v>
      </c>
      <c r="L15" s="8">
        <f>'Proximal Validation (double)'!L15</f>
        <v>-9.1172568500042005E-4</v>
      </c>
      <c r="M15" s="8">
        <f>'Proximal Validation (double)'!M15</f>
        <v>-3.9313092827796901E-2</v>
      </c>
      <c r="N15" s="8">
        <f>'Proximal Validation (double)'!N15</f>
        <v>-0.130889192223549</v>
      </c>
      <c r="O15" s="8">
        <f>'Proximal Validation (double)'!O15</f>
        <v>-0.256822139024735</v>
      </c>
      <c r="P15" s="8">
        <f>'Proximal Validation (double)'!P15</f>
        <v>-0.62632656097412098</v>
      </c>
      <c r="Q15" s="8">
        <f>'Proximal Validation (double)'!Q15</f>
        <v>-0.18459481000900299</v>
      </c>
      <c r="R15" s="8">
        <v>0.65010000000000001</v>
      </c>
      <c r="S15" s="8">
        <v>0.17649999999999999</v>
      </c>
      <c r="T15" s="8">
        <v>2.3098000000000001</v>
      </c>
      <c r="U15" s="8">
        <v>1.5708</v>
      </c>
      <c r="V15" s="8">
        <v>0.66279999999999994</v>
      </c>
      <c r="W15" s="8">
        <v>3.4200000000000001E-2</v>
      </c>
      <c r="X15" s="8">
        <v>4.3506</v>
      </c>
      <c r="Y15" s="8">
        <v>1.5708</v>
      </c>
      <c r="Z15" s="8">
        <f t="shared" si="2"/>
        <v>-0.24990000000000001</v>
      </c>
      <c r="AA15" s="8">
        <f t="shared" si="3"/>
        <v>7.6499999999999985E-2</v>
      </c>
      <c r="AB15" s="8">
        <f t="shared" si="4"/>
        <v>-4.6199999999999797E-2</v>
      </c>
      <c r="AC15" s="8">
        <f t="shared" si="5"/>
        <v>3.6732051034160662E-6</v>
      </c>
      <c r="AD15" s="8">
        <f t="shared" si="6"/>
        <v>-0.23720000000000008</v>
      </c>
      <c r="AE15" s="8">
        <f t="shared" si="7"/>
        <v>1.4200000000000001E-2</v>
      </c>
      <c r="AF15" s="8">
        <f t="shared" si="8"/>
        <v>-0.36139999999999972</v>
      </c>
      <c r="AG15" s="8">
        <f t="shared" si="9"/>
        <v>3.6732051034160662E-6</v>
      </c>
      <c r="AH15" s="22">
        <f t="shared" si="10"/>
        <v>0.24355000000000004</v>
      </c>
      <c r="AI15" s="22">
        <f t="shared" si="11"/>
        <v>4.5349999999999994E-2</v>
      </c>
      <c r="AJ15" s="22">
        <f t="shared" si="12"/>
        <v>0.20379999999999976</v>
      </c>
    </row>
    <row r="16" spans="1:44" x14ac:dyDescent="0.25">
      <c r="A16" s="10">
        <f>'Proximal Validation (double)'!A16</f>
        <v>0.4</v>
      </c>
      <c r="B16" s="11">
        <f>'Proximal Validation (double)'!B16</f>
        <v>0.12</v>
      </c>
      <c r="C16" s="10">
        <f>'Proximal Validation (double)'!C16</f>
        <v>2.3559999999999999</v>
      </c>
      <c r="D16" s="10">
        <f>'Proximal Validation (double)'!D16</f>
        <v>1.5707963267948966</v>
      </c>
      <c r="E16" s="11">
        <f>'Proximal Validation (double)'!E16</f>
        <v>0.1</v>
      </c>
      <c r="F16" s="11">
        <f>'Proximal Validation (double)'!F16</f>
        <v>0.06</v>
      </c>
      <c r="G16" s="10">
        <f>'Proximal Validation (double)'!G16</f>
        <v>3.1419999999999999</v>
      </c>
      <c r="H16" s="10">
        <f>'Proximal Validation (double)'!H16</f>
        <v>1.5707963267948966</v>
      </c>
      <c r="I16" s="10">
        <f>'Proximal Validation (double)'!I16</f>
        <v>0.4</v>
      </c>
      <c r="J16" s="10">
        <f>'Proximal Validation (double)'!J16</f>
        <v>0</v>
      </c>
      <c r="K16" s="10">
        <f>'Proximal Validation (double)'!K16</f>
        <v>0</v>
      </c>
      <c r="L16" s="8">
        <f>'Proximal Validation (double)'!L16</f>
        <v>-3.60760372132063E-3</v>
      </c>
      <c r="M16" s="8">
        <f>'Proximal Validation (double)'!M16</f>
        <v>-5.4309170693159103E-2</v>
      </c>
      <c r="N16" s="8">
        <f>'Proximal Validation (double)'!N16</f>
        <v>-7.0400118827819796E-2</v>
      </c>
      <c r="O16" s="8">
        <f>'Proximal Validation (double)'!O16</f>
        <v>-5.4136319085955602E-3</v>
      </c>
      <c r="P16" s="8">
        <f>'Proximal Validation (double)'!P16</f>
        <v>-0.32776689529418901</v>
      </c>
      <c r="Q16" s="8">
        <f>'Proximal Validation (double)'!Q16</f>
        <v>0.24705727398395499</v>
      </c>
      <c r="R16" s="8">
        <v>0.2495</v>
      </c>
      <c r="S16" s="8">
        <v>0.1</v>
      </c>
      <c r="T16" s="8">
        <v>1.7371000000000001</v>
      </c>
      <c r="U16" s="8">
        <v>1.5708</v>
      </c>
      <c r="V16" s="8">
        <v>0.28899999999999998</v>
      </c>
      <c r="W16" s="8">
        <v>5.9799999999999999E-2</v>
      </c>
      <c r="X16" s="8">
        <v>3.1415999999999999</v>
      </c>
      <c r="Y16" s="8">
        <v>1.5708</v>
      </c>
      <c r="Z16" s="8">
        <f t="shared" si="2"/>
        <v>-0.15050000000000002</v>
      </c>
      <c r="AA16" s="8">
        <f t="shared" si="3"/>
        <v>-1.999999999999999E-2</v>
      </c>
      <c r="AB16" s="8">
        <f t="shared" si="4"/>
        <v>-0.61889999999999978</v>
      </c>
      <c r="AC16" s="8">
        <f t="shared" si="5"/>
        <v>3.6732051034160662E-6</v>
      </c>
      <c r="AD16" s="8">
        <f t="shared" si="6"/>
        <v>0.18899999999999997</v>
      </c>
      <c r="AE16" s="8">
        <f t="shared" si="7"/>
        <v>-1.9999999999999879E-4</v>
      </c>
      <c r="AF16" s="8">
        <f t="shared" si="8"/>
        <v>-3.9999999999995595E-4</v>
      </c>
      <c r="AG16" s="8">
        <f t="shared" si="9"/>
        <v>3.6732051034160662E-6</v>
      </c>
      <c r="AH16" s="22">
        <f t="shared" si="10"/>
        <v>0.16975000000000001</v>
      </c>
      <c r="AI16" s="22">
        <f t="shared" si="11"/>
        <v>1.0099999999999994E-2</v>
      </c>
      <c r="AJ16" s="22">
        <f t="shared" si="12"/>
        <v>0.30964999999999987</v>
      </c>
    </row>
    <row r="17" spans="1:36" x14ac:dyDescent="0.25">
      <c r="A17" s="10">
        <f>'Proximal Validation (double)'!A17</f>
        <v>1</v>
      </c>
      <c r="B17" s="11">
        <f>'Proximal Validation (double)'!B17</f>
        <v>0.14000000000000001</v>
      </c>
      <c r="C17" s="10">
        <f>'Proximal Validation (double)'!C17</f>
        <v>2.3559999999999999</v>
      </c>
      <c r="D17" s="10">
        <f>'Proximal Validation (double)'!D17</f>
        <v>1.5707963267948966</v>
      </c>
      <c r="E17" s="11">
        <f>'Proximal Validation (double)'!E17</f>
        <v>0.4</v>
      </c>
      <c r="F17" s="11">
        <f>'Proximal Validation (double)'!F17</f>
        <v>0.04</v>
      </c>
      <c r="G17" s="10">
        <f>'Proximal Validation (double)'!G17</f>
        <v>3.927</v>
      </c>
      <c r="H17" s="10">
        <f>'Proximal Validation (double)'!H17</f>
        <v>1.5707963267948966</v>
      </c>
      <c r="I17" s="10">
        <f>'Proximal Validation (double)'!I17</f>
        <v>0.6</v>
      </c>
      <c r="J17" s="10">
        <f>'Proximal Validation (double)'!J17</f>
        <v>0</v>
      </c>
      <c r="K17" s="10">
        <f>'Proximal Validation (double)'!K17</f>
        <v>0</v>
      </c>
      <c r="L17" s="8">
        <f>'Proximal Validation (double)'!L17</f>
        <v>1.51338707655668E-3</v>
      </c>
      <c r="M17" s="8">
        <f>'Proximal Validation (double)'!M17</f>
        <v>-0.13520552217960399</v>
      </c>
      <c r="N17" s="8">
        <f>'Proximal Validation (double)'!N17</f>
        <v>-0.2040024548769</v>
      </c>
      <c r="O17" s="8">
        <f>'Proximal Validation (double)'!O17</f>
        <v>-0.46525964140892001</v>
      </c>
      <c r="P17" s="8">
        <f>'Proximal Validation (double)'!P17</f>
        <v>-0.93685162067413297</v>
      </c>
      <c r="Q17" s="8">
        <f>'Proximal Validation (double)'!Q17</f>
        <v>0.42077422142028797</v>
      </c>
      <c r="R17" s="8">
        <v>0.82330000000000003</v>
      </c>
      <c r="S17" s="8">
        <v>0.15290000000000001</v>
      </c>
      <c r="T17" s="8">
        <v>2.1145</v>
      </c>
      <c r="U17" s="8">
        <v>1.5708</v>
      </c>
      <c r="V17" s="8">
        <v>0.62529999999999997</v>
      </c>
      <c r="W17" s="8">
        <v>7.9000000000000001E-2</v>
      </c>
      <c r="X17" s="8">
        <v>3.4819</v>
      </c>
      <c r="Y17" s="8">
        <v>1.5708</v>
      </c>
      <c r="Z17" s="8">
        <f t="shared" si="2"/>
        <v>-0.17669999999999997</v>
      </c>
      <c r="AA17" s="8">
        <f t="shared" si="3"/>
        <v>1.2899999999999995E-2</v>
      </c>
      <c r="AB17" s="8">
        <f t="shared" si="4"/>
        <v>-0.24149999999999983</v>
      </c>
      <c r="AC17" s="8">
        <f t="shared" si="5"/>
        <v>3.6732051034160662E-6</v>
      </c>
      <c r="AD17" s="8">
        <f t="shared" si="6"/>
        <v>0.22529999999999994</v>
      </c>
      <c r="AE17" s="8">
        <f t="shared" si="7"/>
        <v>3.9E-2</v>
      </c>
      <c r="AF17" s="8">
        <f t="shared" si="8"/>
        <v>-0.44510000000000005</v>
      </c>
      <c r="AG17" s="8">
        <f t="shared" si="9"/>
        <v>3.6732051034160662E-6</v>
      </c>
      <c r="AH17" s="22">
        <f t="shared" si="10"/>
        <v>0.20099999999999996</v>
      </c>
      <c r="AI17" s="22">
        <f t="shared" si="11"/>
        <v>2.5949999999999997E-2</v>
      </c>
      <c r="AJ17" s="22">
        <f t="shared" si="12"/>
        <v>0.34329999999999994</v>
      </c>
    </row>
    <row r="18" spans="1:36" x14ac:dyDescent="0.25">
      <c r="A18" s="10">
        <f>'Proximal Validation (double)'!A18</f>
        <v>0.4</v>
      </c>
      <c r="B18" s="11">
        <f>'Proximal Validation (double)'!B18</f>
        <v>0.18</v>
      </c>
      <c r="C18" s="10">
        <f>'Proximal Validation (double)'!C18</f>
        <v>2.3559999999999999</v>
      </c>
      <c r="D18" s="10">
        <f>'Proximal Validation (double)'!D18</f>
        <v>1.5707963267948966</v>
      </c>
      <c r="E18" s="11">
        <f>'Proximal Validation (double)'!E18</f>
        <v>0.7</v>
      </c>
      <c r="F18" s="11">
        <f>'Proximal Validation (double)'!F18</f>
        <v>0.04</v>
      </c>
      <c r="G18" s="10">
        <f>'Proximal Validation (double)'!G18</f>
        <v>3.1419999999999999</v>
      </c>
      <c r="H18" s="10">
        <f>'Proximal Validation (double)'!H18</f>
        <v>1.5707963267948966</v>
      </c>
      <c r="I18" s="10">
        <f>'Proximal Validation (double)'!I18</f>
        <v>0</v>
      </c>
      <c r="J18" s="10">
        <f>'Proximal Validation (double)'!J18</f>
        <v>0</v>
      </c>
      <c r="K18" s="10">
        <f>'Proximal Validation (double)'!K18</f>
        <v>0</v>
      </c>
      <c r="L18" s="8">
        <f>'Proximal Validation (double)'!L18</f>
        <v>1.25857396051288E-3</v>
      </c>
      <c r="M18" s="8">
        <f>'Proximal Validation (double)'!M18</f>
        <v>-6.1508439481258399E-2</v>
      </c>
      <c r="N18" s="8">
        <f>'Proximal Validation (double)'!N18</f>
        <v>-0.139540165662766</v>
      </c>
      <c r="O18" s="8">
        <f>'Proximal Validation (double)'!O18</f>
        <v>-9.9908888339996296E-2</v>
      </c>
      <c r="P18" s="8">
        <f>'Proximal Validation (double)'!P18</f>
        <v>-0.836775302886963</v>
      </c>
      <c r="Q18" s="8">
        <f>'Proximal Validation (double)'!Q18</f>
        <v>0.23870468139648399</v>
      </c>
      <c r="R18" s="8">
        <v>0.41799999999999998</v>
      </c>
      <c r="S18" s="8">
        <v>0.1288</v>
      </c>
      <c r="T18" s="8">
        <v>2.3925999999999998</v>
      </c>
      <c r="U18" s="8">
        <v>1.5708</v>
      </c>
      <c r="V18" s="8">
        <v>0.53910000000000002</v>
      </c>
      <c r="W18" s="8">
        <v>3.1800000000000002E-2</v>
      </c>
      <c r="X18" s="8">
        <v>3.2183000000000002</v>
      </c>
      <c r="Y18" s="8">
        <v>1.5708</v>
      </c>
      <c r="Z18" s="8">
        <f t="shared" si="2"/>
        <v>1.799999999999996E-2</v>
      </c>
      <c r="AA18" s="8">
        <f t="shared" si="3"/>
        <v>-5.1199999999999996E-2</v>
      </c>
      <c r="AB18" s="8">
        <f t="shared" si="4"/>
        <v>3.6599999999999966E-2</v>
      </c>
      <c r="AC18" s="8">
        <f t="shared" si="5"/>
        <v>3.6732051034160662E-6</v>
      </c>
      <c r="AD18" s="8">
        <f t="shared" si="6"/>
        <v>-0.16089999999999993</v>
      </c>
      <c r="AE18" s="8">
        <f t="shared" si="7"/>
        <v>-8.199999999999999E-3</v>
      </c>
      <c r="AF18" s="8">
        <f t="shared" si="8"/>
        <v>7.6300000000000257E-2</v>
      </c>
      <c r="AG18" s="8">
        <f t="shared" si="9"/>
        <v>3.6732051034160662E-6</v>
      </c>
      <c r="AH18" s="22">
        <f t="shared" si="10"/>
        <v>8.9449999999999946E-2</v>
      </c>
      <c r="AI18" s="22">
        <f t="shared" si="11"/>
        <v>2.9699999999999997E-2</v>
      </c>
      <c r="AJ18" s="22">
        <f t="shared" si="12"/>
        <v>5.6450000000000111E-2</v>
      </c>
    </row>
    <row r="19" spans="1:36" x14ac:dyDescent="0.25">
      <c r="A19" s="10">
        <f>'Proximal Validation (double)'!A19</f>
        <v>0.1</v>
      </c>
      <c r="B19" s="11">
        <f>'Proximal Validation (double)'!B19</f>
        <v>0.18</v>
      </c>
      <c r="C19" s="10">
        <f>'Proximal Validation (double)'!C19</f>
        <v>2.3559999999999999</v>
      </c>
      <c r="D19" s="10">
        <f>'Proximal Validation (double)'!D19</f>
        <v>1.5707963267948966</v>
      </c>
      <c r="E19" s="11">
        <f>'Proximal Validation (double)'!E19</f>
        <v>0.2</v>
      </c>
      <c r="F19" s="11">
        <f>'Proximal Validation (double)'!F19</f>
        <v>0.06</v>
      </c>
      <c r="G19" s="10">
        <f>'Proximal Validation (double)'!G19</f>
        <v>4.7119999999999997</v>
      </c>
      <c r="H19" s="10">
        <f>'Proximal Validation (double)'!H19</f>
        <v>1.5707963267948966</v>
      </c>
      <c r="I19" s="10">
        <f>'Proximal Validation (double)'!I19</f>
        <v>0.4</v>
      </c>
      <c r="J19" s="10">
        <f>'Proximal Validation (double)'!J19</f>
        <v>0</v>
      </c>
      <c r="K19" s="10">
        <f>'Proximal Validation (double)'!K19</f>
        <v>0</v>
      </c>
      <c r="L19" s="8">
        <f>'Proximal Validation (double)'!L19</f>
        <v>-7.4886210495606097E-4</v>
      </c>
      <c r="M19" s="8">
        <f>'Proximal Validation (double)'!M19</f>
        <v>2.0453782752156299E-2</v>
      </c>
      <c r="N19" s="8">
        <f>'Proximal Validation (double)'!N19</f>
        <v>-9.3716401606798207E-3</v>
      </c>
      <c r="O19" s="8">
        <f>'Proximal Validation (double)'!O19</f>
        <v>1.6650179401040101E-2</v>
      </c>
      <c r="P19" s="8">
        <f>'Proximal Validation (double)'!P19</f>
        <v>-2.5679610669612898E-2</v>
      </c>
      <c r="Q19" s="8">
        <f>'Proximal Validation (double)'!Q19</f>
        <v>-0.15806177258491499</v>
      </c>
      <c r="R19" s="8">
        <v>0.13159999999999999</v>
      </c>
      <c r="S19" s="8">
        <v>0.1497</v>
      </c>
      <c r="T19" s="8">
        <v>1.6737</v>
      </c>
      <c r="U19" s="8">
        <v>1.5708</v>
      </c>
      <c r="V19" s="8">
        <v>0.2893</v>
      </c>
      <c r="W19" s="8">
        <v>0.08</v>
      </c>
      <c r="X19" s="8">
        <v>4.6679000000000004</v>
      </c>
      <c r="Y19" s="8">
        <v>1.5708</v>
      </c>
      <c r="Z19" s="8">
        <f t="shared" si="2"/>
        <v>3.1599999999999989E-2</v>
      </c>
      <c r="AA19" s="8">
        <f t="shared" si="3"/>
        <v>-3.0299999999999994E-2</v>
      </c>
      <c r="AB19" s="8">
        <f t="shared" si="4"/>
        <v>-0.68229999999999991</v>
      </c>
      <c r="AC19" s="8">
        <f t="shared" si="5"/>
        <v>3.6732051034160662E-6</v>
      </c>
      <c r="AD19" s="8">
        <f t="shared" si="6"/>
        <v>8.929999999999999E-2</v>
      </c>
      <c r="AE19" s="8">
        <f t="shared" si="7"/>
        <v>2.0000000000000004E-2</v>
      </c>
      <c r="AF19" s="8">
        <f t="shared" si="8"/>
        <v>-4.4099999999999362E-2</v>
      </c>
      <c r="AG19" s="8">
        <f t="shared" si="9"/>
        <v>3.6732051034160662E-6</v>
      </c>
      <c r="AH19" s="22">
        <f t="shared" si="10"/>
        <v>6.044999999999999E-2</v>
      </c>
      <c r="AI19" s="22">
        <f t="shared" si="11"/>
        <v>2.5149999999999999E-2</v>
      </c>
      <c r="AJ19" s="22">
        <f t="shared" si="12"/>
        <v>0.36319999999999963</v>
      </c>
    </row>
    <row r="20" spans="1:36" x14ac:dyDescent="0.25">
      <c r="A20" s="10">
        <f>'Proximal Validation (double)'!A20</f>
        <v>0.9</v>
      </c>
      <c r="B20" s="11">
        <f>'Proximal Validation (double)'!B20</f>
        <v>0.2</v>
      </c>
      <c r="C20" s="10">
        <f>'Proximal Validation (double)'!C20</f>
        <v>2.3559999999999999</v>
      </c>
      <c r="D20" s="10">
        <f>'Proximal Validation (double)'!D20</f>
        <v>1.5707963267948966</v>
      </c>
      <c r="E20" s="11">
        <f>'Proximal Validation (double)'!E20</f>
        <v>0.3</v>
      </c>
      <c r="F20" s="11">
        <f>'Proximal Validation (double)'!F20</f>
        <v>0.06</v>
      </c>
      <c r="G20" s="10">
        <f>'Proximal Validation (double)'!G20</f>
        <v>3.1419999999999999</v>
      </c>
      <c r="H20" s="10">
        <f>'Proximal Validation (double)'!H20</f>
        <v>1.5707963267948966</v>
      </c>
      <c r="I20" s="10">
        <f>'Proximal Validation (double)'!I20</f>
        <v>1.2</v>
      </c>
      <c r="J20" s="10">
        <f>'Proximal Validation (double)'!J20</f>
        <v>0</v>
      </c>
      <c r="K20" s="10">
        <f>'Proximal Validation (double)'!K20</f>
        <v>0</v>
      </c>
      <c r="L20" s="8">
        <f>'Proximal Validation (double)'!L20</f>
        <v>3.2496866770088699E-3</v>
      </c>
      <c r="M20" s="8">
        <f>'Proximal Validation (double)'!M20</f>
        <v>-0.114310443401337</v>
      </c>
      <c r="N20" s="8">
        <f>'Proximal Validation (double)'!N20</f>
        <v>-0.158231571316719</v>
      </c>
      <c r="O20" s="8">
        <f>'Proximal Validation (double)'!O20</f>
        <v>-0.49384498596191401</v>
      </c>
      <c r="P20" s="8">
        <f>'Proximal Validation (double)'!P20</f>
        <v>-0.55208766460418701</v>
      </c>
      <c r="Q20" s="8">
        <f>'Proximal Validation (double)'!Q20</f>
        <v>0.26307040452957198</v>
      </c>
      <c r="R20" s="8">
        <v>0.88429999999999997</v>
      </c>
      <c r="S20" s="8">
        <v>0.17949999999999999</v>
      </c>
      <c r="T20" s="8">
        <v>2.3613</v>
      </c>
      <c r="U20" s="8">
        <v>1.5708</v>
      </c>
      <c r="V20" s="8">
        <v>0.248</v>
      </c>
      <c r="W20" s="8">
        <v>0.06</v>
      </c>
      <c r="X20" s="8">
        <v>4.5034999999999998</v>
      </c>
      <c r="Y20" s="8">
        <v>1.5708</v>
      </c>
      <c r="Z20" s="8">
        <f t="shared" si="2"/>
        <v>-1.5700000000000047E-2</v>
      </c>
      <c r="AA20" s="8">
        <f t="shared" si="3"/>
        <v>-2.0500000000000018E-2</v>
      </c>
      <c r="AB20" s="8">
        <f t="shared" si="4"/>
        <v>5.3000000000000824E-3</v>
      </c>
      <c r="AC20" s="8">
        <f t="shared" si="5"/>
        <v>3.6732051034160662E-6</v>
      </c>
      <c r="AD20" s="8">
        <f t="shared" si="6"/>
        <v>-5.1999999999999991E-2</v>
      </c>
      <c r="AE20" s="8">
        <f t="shared" si="7"/>
        <v>0</v>
      </c>
      <c r="AF20" s="8">
        <f t="shared" si="8"/>
        <v>1.3614999999999999</v>
      </c>
      <c r="AG20" s="8">
        <f t="shared" si="9"/>
        <v>3.6732051034160662E-6</v>
      </c>
      <c r="AH20" s="22">
        <f t="shared" si="10"/>
        <v>3.3850000000000019E-2</v>
      </c>
      <c r="AI20" s="22">
        <f t="shared" si="11"/>
        <v>1.0250000000000009E-2</v>
      </c>
      <c r="AJ20" s="22">
        <f t="shared" si="12"/>
        <v>0.68340000000000001</v>
      </c>
    </row>
    <row r="21" spans="1:36" x14ac:dyDescent="0.25">
      <c r="A21" s="10">
        <f>'Proximal Validation (double)'!A21</f>
        <v>0.1</v>
      </c>
      <c r="B21" s="11">
        <f>'Proximal Validation (double)'!B21</f>
        <v>0.1</v>
      </c>
      <c r="C21" s="10">
        <f>'Proximal Validation (double)'!C21</f>
        <v>3.1419999999999999</v>
      </c>
      <c r="D21" s="10">
        <f>'Proximal Validation (double)'!D21</f>
        <v>1.5707963267948966</v>
      </c>
      <c r="E21" s="11">
        <f>'Proximal Validation (double)'!E21</f>
        <v>0.3</v>
      </c>
      <c r="F21" s="11">
        <f>'Proximal Validation (double)'!F21</f>
        <v>0.08</v>
      </c>
      <c r="G21" s="10">
        <f>'Proximal Validation (double)'!G21</f>
        <v>3.927</v>
      </c>
      <c r="H21" s="10">
        <f>'Proximal Validation (double)'!H21</f>
        <v>1.5707963267948966</v>
      </c>
      <c r="I21" s="10">
        <f>'Proximal Validation (double)'!I21</f>
        <v>1.2</v>
      </c>
      <c r="J21" s="10">
        <f>'Proximal Validation (double)'!J21</f>
        <v>0</v>
      </c>
      <c r="K21" s="10">
        <f>'Proximal Validation (double)'!K21</f>
        <v>0</v>
      </c>
      <c r="L21" s="8">
        <f>'Proximal Validation (double)'!L21</f>
        <v>4.3617305345833302E-4</v>
      </c>
      <c r="M21" s="8">
        <f>'Proximal Validation (double)'!M21</f>
        <v>3.7674464285373702E-2</v>
      </c>
      <c r="N21" s="8">
        <f>'Proximal Validation (double)'!N21</f>
        <v>-4.6963214874267599E-2</v>
      </c>
      <c r="O21" s="8">
        <f>'Proximal Validation (double)'!O21</f>
        <v>1.26499449834228E-2</v>
      </c>
      <c r="P21" s="8">
        <f>'Proximal Validation (double)'!P21</f>
        <v>-0.26442891359329201</v>
      </c>
      <c r="Q21" s="8">
        <f>'Proximal Validation (double)'!Q21</f>
        <v>-0.20531408488750499</v>
      </c>
      <c r="R21" s="8">
        <v>0.1</v>
      </c>
      <c r="S21" s="8">
        <v>0.1105</v>
      </c>
      <c r="T21" s="8">
        <v>3.7875999999999999</v>
      </c>
      <c r="U21" s="8">
        <v>1.5708</v>
      </c>
      <c r="V21" s="8">
        <v>0.23549999999999999</v>
      </c>
      <c r="W21" s="8">
        <v>2.0899999999999998E-2</v>
      </c>
      <c r="X21" s="8">
        <v>3.8062</v>
      </c>
      <c r="Y21" s="8">
        <v>1.5708</v>
      </c>
      <c r="Z21" s="8">
        <f t="shared" si="2"/>
        <v>0</v>
      </c>
      <c r="AA21" s="8">
        <f t="shared" si="3"/>
        <v>1.0499999999999995E-2</v>
      </c>
      <c r="AB21" s="8">
        <f t="shared" si="4"/>
        <v>0.64559999999999995</v>
      </c>
      <c r="AC21" s="8">
        <f t="shared" si="5"/>
        <v>3.6732051034160662E-6</v>
      </c>
      <c r="AD21" s="8">
        <f t="shared" si="6"/>
        <v>-6.4500000000000002E-2</v>
      </c>
      <c r="AE21" s="8">
        <f t="shared" si="7"/>
        <v>-5.91E-2</v>
      </c>
      <c r="AF21" s="8">
        <f t="shared" si="8"/>
        <v>-0.12080000000000002</v>
      </c>
      <c r="AG21" s="8">
        <f t="shared" si="9"/>
        <v>3.6732051034160662E-6</v>
      </c>
      <c r="AH21" s="22">
        <f t="shared" si="10"/>
        <v>3.2250000000000001E-2</v>
      </c>
      <c r="AI21" s="22">
        <f t="shared" si="11"/>
        <v>3.4799999999999998E-2</v>
      </c>
      <c r="AJ21" s="22">
        <f t="shared" si="12"/>
        <v>0.38319999999999999</v>
      </c>
    </row>
    <row r="22" spans="1:36" x14ac:dyDescent="0.25">
      <c r="A22" s="10">
        <f>'Proximal Validation (double)'!A22</f>
        <v>0.1</v>
      </c>
      <c r="B22" s="11">
        <f>'Proximal Validation (double)'!B22</f>
        <v>0.2</v>
      </c>
      <c r="C22" s="10">
        <f>'Proximal Validation (double)'!C22</f>
        <v>3.1419999999999999</v>
      </c>
      <c r="D22" s="10">
        <f>'Proximal Validation (double)'!D22</f>
        <v>1.5707963267948966</v>
      </c>
      <c r="E22" s="11">
        <f>'Proximal Validation (double)'!E22</f>
        <v>0.8</v>
      </c>
      <c r="F22" s="11">
        <f>'Proximal Validation (double)'!F22</f>
        <v>0.02</v>
      </c>
      <c r="G22" s="10">
        <f>'Proximal Validation (double)'!G22</f>
        <v>3.927</v>
      </c>
      <c r="H22" s="10">
        <f>'Proximal Validation (double)'!H22</f>
        <v>1.5707963267948966</v>
      </c>
      <c r="I22" s="10">
        <f>'Proximal Validation (double)'!I22</f>
        <v>1.2</v>
      </c>
      <c r="J22" s="10">
        <f>'Proximal Validation (double)'!J22</f>
        <v>0</v>
      </c>
      <c r="K22" s="10">
        <f>'Proximal Validation (double)'!K22</f>
        <v>0</v>
      </c>
      <c r="L22" s="8">
        <f>'Proximal Validation (double)'!L22</f>
        <v>1.0640500113368E-3</v>
      </c>
      <c r="M22" s="8">
        <f>'Proximal Validation (double)'!M22</f>
        <v>6.2404803931713097E-2</v>
      </c>
      <c r="N22" s="8">
        <f>'Proximal Validation (double)'!N22</f>
        <v>-7.4282236397266402E-2</v>
      </c>
      <c r="O22" s="8">
        <f>'Proximal Validation (double)'!O22</f>
        <v>1.72678660601377E-2</v>
      </c>
      <c r="P22" s="8">
        <f>'Proximal Validation (double)'!P22</f>
        <v>-0.60528373718261697</v>
      </c>
      <c r="Q22" s="8">
        <f>'Proximal Validation (double)'!Q22</f>
        <v>-0.54190033674240101</v>
      </c>
      <c r="R22" s="8">
        <v>0.1</v>
      </c>
      <c r="S22" s="8">
        <v>0.1</v>
      </c>
      <c r="T22" s="8">
        <v>1.5708</v>
      </c>
      <c r="U22" s="8">
        <v>1.5708</v>
      </c>
      <c r="V22" s="8">
        <v>0.88329999999999997</v>
      </c>
      <c r="W22" s="8">
        <v>2.1600000000000001E-2</v>
      </c>
      <c r="X22" s="8">
        <v>3.9569999999999999</v>
      </c>
      <c r="Y22" s="8">
        <v>1.5708</v>
      </c>
      <c r="Z22" s="8">
        <f t="shared" si="2"/>
        <v>0</v>
      </c>
      <c r="AA22" s="8">
        <f t="shared" si="3"/>
        <v>-0.1</v>
      </c>
      <c r="AB22" s="8">
        <f t="shared" si="4"/>
        <v>-1.5711999999999999</v>
      </c>
      <c r="AC22" s="8">
        <f t="shared" si="5"/>
        <v>3.6732051034160662E-6</v>
      </c>
      <c r="AD22" s="8">
        <f t="shared" si="6"/>
        <v>8.329999999999993E-2</v>
      </c>
      <c r="AE22" s="8">
        <f t="shared" si="7"/>
        <v>1.6000000000000007E-3</v>
      </c>
      <c r="AF22" s="8">
        <f t="shared" si="8"/>
        <v>2.9999999999999805E-2</v>
      </c>
      <c r="AG22" s="8">
        <f t="shared" si="9"/>
        <v>3.6732051034160662E-6</v>
      </c>
      <c r="AH22" s="22">
        <f t="shared" si="10"/>
        <v>4.1649999999999965E-2</v>
      </c>
      <c r="AI22" s="22">
        <f t="shared" si="11"/>
        <v>5.0800000000000005E-2</v>
      </c>
      <c r="AJ22" s="22">
        <f t="shared" si="12"/>
        <v>0.80059999999999987</v>
      </c>
    </row>
    <row r="23" spans="1:36" x14ac:dyDescent="0.25">
      <c r="A23" s="10">
        <f>'Proximal Validation (double)'!A23</f>
        <v>0.9</v>
      </c>
      <c r="B23" s="11">
        <f>'Proximal Validation (double)'!B23</f>
        <v>0.1</v>
      </c>
      <c r="C23" s="10">
        <f>'Proximal Validation (double)'!C23</f>
        <v>3.927</v>
      </c>
      <c r="D23" s="10">
        <f>'Proximal Validation (double)'!D23</f>
        <v>1.5707963267948966</v>
      </c>
      <c r="E23" s="11">
        <f>'Proximal Validation (double)'!E23</f>
        <v>0.2</v>
      </c>
      <c r="F23" s="11">
        <f>'Proximal Validation (double)'!F23</f>
        <v>0.02</v>
      </c>
      <c r="G23" s="10">
        <f>'Proximal Validation (double)'!G23</f>
        <v>3.1419999999999999</v>
      </c>
      <c r="H23" s="10">
        <f>'Proximal Validation (double)'!H23</f>
        <v>1.5707963267948966</v>
      </c>
      <c r="I23" s="10">
        <f>'Proximal Validation (double)'!I23</f>
        <v>1.4</v>
      </c>
      <c r="J23" s="10">
        <f>'Proximal Validation (double)'!J23</f>
        <v>0</v>
      </c>
      <c r="K23" s="10">
        <f>'Proximal Validation (double)'!K23</f>
        <v>0</v>
      </c>
      <c r="L23" s="8">
        <f>'Proximal Validation (double)'!L23</f>
        <v>-2.0453361794352501E-3</v>
      </c>
      <c r="M23" s="8">
        <f>'Proximal Validation (double)'!M23</f>
        <v>0.14060573279857599</v>
      </c>
      <c r="N23" s="8">
        <f>'Proximal Validation (double)'!N23</f>
        <v>-0.14573009312152899</v>
      </c>
      <c r="O23" s="8">
        <f>'Proximal Validation (double)'!O23</f>
        <v>-0.146071821451187</v>
      </c>
      <c r="P23" s="8">
        <f>'Proximal Validation (double)'!P23</f>
        <v>-0.82719779014587402</v>
      </c>
      <c r="Q23" s="8">
        <f>'Proximal Validation (double)'!Q23</f>
        <v>-0.70544010400772095</v>
      </c>
      <c r="R23" s="8">
        <v>0.34</v>
      </c>
      <c r="S23" s="8">
        <v>0.19589999999999999</v>
      </c>
      <c r="T23" s="8">
        <v>3.9935</v>
      </c>
      <c r="U23" s="8">
        <v>1.5708</v>
      </c>
      <c r="V23" s="8">
        <v>0.77190000000000003</v>
      </c>
      <c r="W23" s="8">
        <v>2.0199999999999999E-2</v>
      </c>
      <c r="X23" s="8">
        <v>3.7871999999999999</v>
      </c>
      <c r="Y23" s="8">
        <v>1.5708</v>
      </c>
      <c r="Z23" s="8">
        <f t="shared" si="2"/>
        <v>-0.56000000000000005</v>
      </c>
      <c r="AA23" s="8">
        <f t="shared" si="3"/>
        <v>9.5899999999999985E-2</v>
      </c>
      <c r="AB23" s="8">
        <f t="shared" si="4"/>
        <v>6.6500000000000004E-2</v>
      </c>
      <c r="AC23" s="8">
        <f t="shared" si="5"/>
        <v>3.6732051034160662E-6</v>
      </c>
      <c r="AD23" s="8">
        <f t="shared" si="6"/>
        <v>0.57190000000000007</v>
      </c>
      <c r="AE23" s="8">
        <f t="shared" si="7"/>
        <v>1.9999999999999879E-4</v>
      </c>
      <c r="AF23" s="8">
        <f t="shared" si="8"/>
        <v>0.6452</v>
      </c>
      <c r="AG23" s="8">
        <f t="shared" si="9"/>
        <v>3.6732051034160662E-6</v>
      </c>
      <c r="AH23" s="22">
        <f t="shared" si="10"/>
        <v>0.56595000000000006</v>
      </c>
      <c r="AI23" s="22">
        <f t="shared" si="11"/>
        <v>4.8049999999999995E-2</v>
      </c>
      <c r="AJ23" s="22">
        <f t="shared" si="12"/>
        <v>0.35585</v>
      </c>
    </row>
    <row r="24" spans="1:36" x14ac:dyDescent="0.25">
      <c r="A24" s="10">
        <f>'Proximal Validation (double)'!A24</f>
        <v>0.2</v>
      </c>
      <c r="B24" s="11">
        <f>'Proximal Validation (double)'!B24</f>
        <v>0.12</v>
      </c>
      <c r="C24" s="10">
        <f>'Proximal Validation (double)'!C24</f>
        <v>3.927</v>
      </c>
      <c r="D24" s="10">
        <f>'Proximal Validation (double)'!D24</f>
        <v>1.5707963267948966</v>
      </c>
      <c r="E24" s="11">
        <f>'Proximal Validation (double)'!E24</f>
        <v>0.2</v>
      </c>
      <c r="F24" s="11">
        <f>'Proximal Validation (double)'!F24</f>
        <v>0.02</v>
      </c>
      <c r="G24" s="10">
        <f>'Proximal Validation (double)'!G24</f>
        <v>4.7119999999999997</v>
      </c>
      <c r="H24" s="10">
        <f>'Proximal Validation (double)'!H24</f>
        <v>1.5707963267948966</v>
      </c>
      <c r="I24" s="10">
        <f>'Proximal Validation (double)'!I24</f>
        <v>1.2</v>
      </c>
      <c r="J24" s="10">
        <f>'Proximal Validation (double)'!J24</f>
        <v>0</v>
      </c>
      <c r="K24" s="10">
        <f>'Proximal Validation (double)'!K24</f>
        <v>0</v>
      </c>
      <c r="L24" s="8">
        <f>'Proximal Validation (double)'!L24</f>
        <v>-9.4009120948612701E-4</v>
      </c>
      <c r="M24" s="8">
        <f>'Proximal Validation (double)'!M24</f>
        <v>4.6884305775165599E-2</v>
      </c>
      <c r="N24" s="8">
        <f>'Proximal Validation (double)'!N24</f>
        <v>-2.4323541671037702E-2</v>
      </c>
      <c r="O24" s="8">
        <f>'Proximal Validation (double)'!O24</f>
        <v>5.6157279759645497E-3</v>
      </c>
      <c r="P24" s="8">
        <f>'Proximal Validation (double)'!P24</f>
        <v>-0.11253473162651099</v>
      </c>
      <c r="Q24" s="8">
        <f>'Proximal Validation (double)'!Q24</f>
        <v>-0.29774409532547003</v>
      </c>
      <c r="R24" s="8">
        <v>0.16009999999999999</v>
      </c>
      <c r="S24" s="8">
        <v>0.14630000000000001</v>
      </c>
      <c r="T24" s="8">
        <v>1.5757000000000001</v>
      </c>
      <c r="U24" s="8">
        <v>1.5708</v>
      </c>
      <c r="V24" s="8">
        <v>0.47220000000000001</v>
      </c>
      <c r="W24" s="8">
        <v>0.08</v>
      </c>
      <c r="X24" s="8">
        <v>4.4722</v>
      </c>
      <c r="Y24" s="8">
        <v>1.5708</v>
      </c>
      <c r="Z24" s="8">
        <f t="shared" si="2"/>
        <v>-3.9900000000000019E-2</v>
      </c>
      <c r="AA24" s="8">
        <f t="shared" si="3"/>
        <v>2.6300000000000018E-2</v>
      </c>
      <c r="AB24" s="8">
        <f t="shared" si="4"/>
        <v>-2.3513000000000002</v>
      </c>
      <c r="AC24" s="8">
        <f t="shared" si="5"/>
        <v>3.6732051034160662E-6</v>
      </c>
      <c r="AD24" s="8">
        <f t="shared" si="6"/>
        <v>0.2722</v>
      </c>
      <c r="AE24" s="8">
        <f t="shared" si="7"/>
        <v>0.06</v>
      </c>
      <c r="AF24" s="8">
        <f t="shared" si="8"/>
        <v>-0.23979999999999979</v>
      </c>
      <c r="AG24" s="8">
        <f t="shared" si="9"/>
        <v>3.6732051034160662E-6</v>
      </c>
      <c r="AH24" s="22">
        <f t="shared" si="10"/>
        <v>0.15605000000000002</v>
      </c>
      <c r="AI24" s="22">
        <f t="shared" si="11"/>
        <v>4.3150000000000008E-2</v>
      </c>
      <c r="AJ24" s="22">
        <f t="shared" si="12"/>
        <v>1.29555</v>
      </c>
    </row>
    <row r="25" spans="1:36" x14ac:dyDescent="0.25">
      <c r="A25" s="10">
        <f>'Proximal Validation (double)'!A25</f>
        <v>0.6</v>
      </c>
      <c r="B25" s="11">
        <f>'Proximal Validation (double)'!B25</f>
        <v>0.12</v>
      </c>
      <c r="C25" s="10">
        <f>'Proximal Validation (double)'!C25</f>
        <v>3.927</v>
      </c>
      <c r="D25" s="10">
        <f>'Proximal Validation (double)'!D25</f>
        <v>1.5707963267948966</v>
      </c>
      <c r="E25" s="11">
        <f>'Proximal Validation (double)'!E25</f>
        <v>0.5</v>
      </c>
      <c r="F25" s="11">
        <f>'Proximal Validation (double)'!F25</f>
        <v>0.08</v>
      </c>
      <c r="G25" s="10">
        <f>'Proximal Validation (double)'!G25</f>
        <v>4.7119999999999997</v>
      </c>
      <c r="H25" s="10">
        <f>'Proximal Validation (double)'!H25</f>
        <v>1.5707963267948966</v>
      </c>
      <c r="I25" s="10">
        <f>'Proximal Validation (double)'!I25</f>
        <v>0.2</v>
      </c>
      <c r="J25" s="10">
        <f>'Proximal Validation (double)'!J25</f>
        <v>0</v>
      </c>
      <c r="K25" s="10">
        <f>'Proximal Validation (double)'!K25</f>
        <v>0</v>
      </c>
      <c r="L25" s="8">
        <f>'Proximal Validation (double)'!L25</f>
        <v>3.5136193037033097E-4</v>
      </c>
      <c r="M25" s="8">
        <f>'Proximal Validation (double)'!M25</f>
        <v>0.18612760305404699</v>
      </c>
      <c r="N25" s="8">
        <f>'Proximal Validation (double)'!N25</f>
        <v>-8.7223671376705197E-2</v>
      </c>
      <c r="O25" s="8">
        <f>'Proximal Validation (double)'!O25</f>
        <v>-0.228773519396782</v>
      </c>
      <c r="P25" s="8">
        <f>'Proximal Validation (double)'!P25</f>
        <v>-0.39178490638732899</v>
      </c>
      <c r="Q25" s="8">
        <f>'Proximal Validation (double)'!Q25</f>
        <v>-0.93568027019500699</v>
      </c>
      <c r="R25" s="8">
        <v>0.1867</v>
      </c>
      <c r="S25" s="8">
        <v>0.1908</v>
      </c>
      <c r="T25" s="8">
        <v>3.9759000000000002</v>
      </c>
      <c r="U25" s="8">
        <v>1.5708</v>
      </c>
      <c r="V25" s="8">
        <v>0.86850000000000005</v>
      </c>
      <c r="W25" s="8">
        <v>7.6499999999999999E-2</v>
      </c>
      <c r="X25" s="8">
        <v>4.3844000000000003</v>
      </c>
      <c r="Y25" s="8">
        <v>1.5708</v>
      </c>
      <c r="Z25" s="8">
        <f t="shared" si="2"/>
        <v>-0.4133</v>
      </c>
      <c r="AA25" s="8">
        <f t="shared" si="3"/>
        <v>7.0800000000000002E-2</v>
      </c>
      <c r="AB25" s="8">
        <f t="shared" si="4"/>
        <v>4.8900000000000166E-2</v>
      </c>
      <c r="AC25" s="8">
        <f t="shared" si="5"/>
        <v>3.6732051034160662E-6</v>
      </c>
      <c r="AD25" s="8">
        <f t="shared" si="6"/>
        <v>0.36850000000000005</v>
      </c>
      <c r="AE25" s="8">
        <f t="shared" si="7"/>
        <v>-3.5000000000000031E-3</v>
      </c>
      <c r="AF25" s="8">
        <f t="shared" si="8"/>
        <v>-0.32759999999999945</v>
      </c>
      <c r="AG25" s="8">
        <f t="shared" si="9"/>
        <v>3.6732051034160662E-6</v>
      </c>
      <c r="AH25" s="22">
        <f t="shared" si="10"/>
        <v>0.39090000000000003</v>
      </c>
      <c r="AI25" s="22">
        <f t="shared" si="11"/>
        <v>3.7150000000000002E-2</v>
      </c>
      <c r="AJ25" s="22">
        <f t="shared" si="12"/>
        <v>0.18824999999999981</v>
      </c>
    </row>
    <row r="26" spans="1:36" x14ac:dyDescent="0.25">
      <c r="A26" s="10">
        <f>'Proximal Validation (double)'!A26</f>
        <v>0.7</v>
      </c>
      <c r="B26" s="11">
        <f>'Proximal Validation (double)'!B26</f>
        <v>0.16</v>
      </c>
      <c r="C26" s="10">
        <f>'Proximal Validation (double)'!C26</f>
        <v>3.927</v>
      </c>
      <c r="D26" s="10">
        <f>'Proximal Validation (double)'!D26</f>
        <v>1.5707963267948966</v>
      </c>
      <c r="E26" s="11">
        <f>'Proximal Validation (double)'!E26</f>
        <v>1</v>
      </c>
      <c r="F26" s="11">
        <f>'Proximal Validation (double)'!F26</f>
        <v>0.04</v>
      </c>
      <c r="G26" s="10">
        <f>'Proximal Validation (double)'!G26</f>
        <v>3.927</v>
      </c>
      <c r="H26" s="10">
        <f>'Proximal Validation (double)'!H26</f>
        <v>1.5707963267948966</v>
      </c>
      <c r="I26" s="10">
        <f>'Proximal Validation (double)'!I26</f>
        <v>1.2</v>
      </c>
      <c r="J26" s="10">
        <f>'Proximal Validation (double)'!J26</f>
        <v>0</v>
      </c>
      <c r="K26" s="10">
        <f>'Proximal Validation (double)'!K26</f>
        <v>0</v>
      </c>
      <c r="L26" s="8">
        <f>'Proximal Validation (double)'!L26</f>
        <v>-2.9902514070272398E-3</v>
      </c>
      <c r="M26" s="8">
        <f>'Proximal Validation (double)'!M26</f>
        <v>0.20048326253891</v>
      </c>
      <c r="N26" s="8">
        <f>'Proximal Validation (double)'!N26</f>
        <v>-0.21412828564643899</v>
      </c>
      <c r="O26" s="8">
        <f>'Proximal Validation (double)'!O26</f>
        <v>-0.35741558670997597</v>
      </c>
      <c r="P26" s="8">
        <f>'Proximal Validation (double)'!P26</f>
        <v>-1.1967084407806401</v>
      </c>
      <c r="Q26" s="8">
        <f>'Proximal Validation (double)'!Q26</f>
        <v>-1.0432312488555899</v>
      </c>
      <c r="R26" s="8">
        <v>0.68589999999999995</v>
      </c>
      <c r="S26" s="8">
        <v>0.15690000000000001</v>
      </c>
      <c r="T26" s="8">
        <v>3.9487999999999999</v>
      </c>
      <c r="U26" s="8">
        <v>1.5708</v>
      </c>
      <c r="V26" s="8">
        <v>0.96799999999999997</v>
      </c>
      <c r="W26" s="8">
        <v>0.02</v>
      </c>
      <c r="X26" s="8">
        <v>3.7995999999999999</v>
      </c>
      <c r="Y26" s="8">
        <v>1.5708</v>
      </c>
      <c r="Z26" s="8">
        <f t="shared" si="2"/>
        <v>-1.4100000000000001E-2</v>
      </c>
      <c r="AA26" s="8">
        <f t="shared" si="3"/>
        <v>-3.0999999999999917E-3</v>
      </c>
      <c r="AB26" s="8">
        <f t="shared" si="4"/>
        <v>2.179999999999982E-2</v>
      </c>
      <c r="AC26" s="8">
        <f t="shared" si="5"/>
        <v>3.6732051034160662E-6</v>
      </c>
      <c r="AD26" s="8">
        <f t="shared" si="6"/>
        <v>-3.2000000000000028E-2</v>
      </c>
      <c r="AE26" s="8">
        <f t="shared" si="7"/>
        <v>-0.02</v>
      </c>
      <c r="AF26" s="8">
        <f t="shared" si="8"/>
        <v>-0.12740000000000018</v>
      </c>
      <c r="AG26" s="8">
        <f t="shared" si="9"/>
        <v>3.6732051034160662E-6</v>
      </c>
      <c r="AH26" s="22">
        <f t="shared" si="10"/>
        <v>2.3050000000000015E-2</v>
      </c>
      <c r="AI26" s="22">
        <f t="shared" si="11"/>
        <v>1.1549999999999996E-2</v>
      </c>
      <c r="AJ26" s="22">
        <f t="shared" si="12"/>
        <v>7.46E-2</v>
      </c>
    </row>
    <row r="27" spans="1:36" x14ac:dyDescent="0.25">
      <c r="A27" s="10">
        <f>'Proximal Validation (double)'!A27</f>
        <v>0.1</v>
      </c>
      <c r="B27" s="11">
        <f>'Proximal Validation (double)'!B27</f>
        <v>0.18</v>
      </c>
      <c r="C27" s="10">
        <f>'Proximal Validation (double)'!C27</f>
        <v>3.927</v>
      </c>
      <c r="D27" s="10">
        <f>'Proximal Validation (double)'!D27</f>
        <v>1.5707963267948966</v>
      </c>
      <c r="E27" s="11">
        <f>'Proximal Validation (double)'!E27</f>
        <v>0.9</v>
      </c>
      <c r="F27" s="11">
        <f>'Proximal Validation (double)'!F27</f>
        <v>0.08</v>
      </c>
      <c r="G27" s="10">
        <f>'Proximal Validation (double)'!G27</f>
        <v>3.1419999999999999</v>
      </c>
      <c r="H27" s="10">
        <f>'Proximal Validation (double)'!H27</f>
        <v>1.5707963267948966</v>
      </c>
      <c r="I27" s="10">
        <f>'Proximal Validation (double)'!I27</f>
        <v>0.6</v>
      </c>
      <c r="J27" s="10">
        <f>'Proximal Validation (double)'!J27</f>
        <v>0</v>
      </c>
      <c r="K27" s="10">
        <f>'Proximal Validation (double)'!K27</f>
        <v>0</v>
      </c>
      <c r="L27" s="8">
        <f>'Proximal Validation (double)'!L27</f>
        <v>-2.0198281854391098E-3</v>
      </c>
      <c r="M27" s="8">
        <f>'Proximal Validation (double)'!M27</f>
        <v>2.0925674587488199E-2</v>
      </c>
      <c r="N27" s="8">
        <f>'Proximal Validation (double)'!N27</f>
        <v>-0.17995955049991599</v>
      </c>
      <c r="O27" s="8">
        <f>'Proximal Validation (double)'!O27</f>
        <v>-0.152651637792587</v>
      </c>
      <c r="P27" s="8">
        <f>'Proximal Validation (double)'!P27</f>
        <v>-0.97161656618118297</v>
      </c>
      <c r="Q27" s="8">
        <f>'Proximal Validation (double)'!Q27</f>
        <v>-4.6399652957916301E-2</v>
      </c>
      <c r="R27" s="8">
        <v>0.33829999999999999</v>
      </c>
      <c r="S27" s="8">
        <v>0.1996</v>
      </c>
      <c r="T27" s="8">
        <v>3.2898999999999998</v>
      </c>
      <c r="U27" s="8">
        <v>1.5708</v>
      </c>
      <c r="V27" s="8">
        <v>0.65700000000000003</v>
      </c>
      <c r="W27" s="8">
        <v>2.4500000000000001E-2</v>
      </c>
      <c r="X27" s="8">
        <v>3.1415999999999999</v>
      </c>
      <c r="Y27" s="8">
        <v>1.5708</v>
      </c>
      <c r="Z27" s="8">
        <f t="shared" si="2"/>
        <v>0.23829999999999998</v>
      </c>
      <c r="AA27" s="8">
        <f t="shared" si="3"/>
        <v>1.9600000000000006E-2</v>
      </c>
      <c r="AB27" s="8">
        <f t="shared" si="4"/>
        <v>-0.63710000000000022</v>
      </c>
      <c r="AC27" s="8">
        <f t="shared" si="5"/>
        <v>3.6732051034160662E-6</v>
      </c>
      <c r="AD27" s="8">
        <f t="shared" si="6"/>
        <v>-0.24299999999999999</v>
      </c>
      <c r="AE27" s="8">
        <f t="shared" si="7"/>
        <v>-5.5500000000000001E-2</v>
      </c>
      <c r="AF27" s="8">
        <f t="shared" si="8"/>
        <v>-3.9999999999995595E-4</v>
      </c>
      <c r="AG27" s="8">
        <f t="shared" si="9"/>
        <v>3.6732051034160662E-6</v>
      </c>
      <c r="AH27" s="22">
        <f t="shared" si="10"/>
        <v>0.24064999999999998</v>
      </c>
      <c r="AI27" s="22">
        <f t="shared" si="11"/>
        <v>3.755E-2</v>
      </c>
      <c r="AJ27" s="22">
        <f t="shared" si="12"/>
        <v>0.31875000000000009</v>
      </c>
    </row>
    <row r="28" spans="1:36" x14ac:dyDescent="0.25">
      <c r="A28" s="10">
        <f>'Proximal Validation (double)'!A28</f>
        <v>1</v>
      </c>
      <c r="B28" s="11">
        <f>'Proximal Validation (double)'!B28</f>
        <v>0.18</v>
      </c>
      <c r="C28" s="10">
        <f>'Proximal Validation (double)'!C28</f>
        <v>3.927</v>
      </c>
      <c r="D28" s="10">
        <f>'Proximal Validation (double)'!D28</f>
        <v>1.5707963267948966</v>
      </c>
      <c r="E28" s="11">
        <f>'Proximal Validation (double)'!E28</f>
        <v>0.1</v>
      </c>
      <c r="F28" s="11">
        <f>'Proximal Validation (double)'!F28</f>
        <v>0.08</v>
      </c>
      <c r="G28" s="10">
        <f>'Proximal Validation (double)'!G28</f>
        <v>4.7119999999999997</v>
      </c>
      <c r="H28" s="10">
        <f>'Proximal Validation (double)'!H28</f>
        <v>1.5707963267948966</v>
      </c>
      <c r="I28" s="10">
        <f>'Proximal Validation (double)'!I28</f>
        <v>1.4</v>
      </c>
      <c r="J28" s="10">
        <f>'Proximal Validation (double)'!J28</f>
        <v>0</v>
      </c>
      <c r="K28" s="10">
        <f>'Proximal Validation (double)'!K28</f>
        <v>0</v>
      </c>
      <c r="L28" s="8">
        <f>'Proximal Validation (double)'!L28</f>
        <v>-3.2074763439595699E-3</v>
      </c>
      <c r="M28" s="8">
        <f>'Proximal Validation (double)'!M28</f>
        <v>0.20627745985984799</v>
      </c>
      <c r="N28" s="8">
        <f>'Proximal Validation (double)'!N28</f>
        <v>-0.18315301835537001</v>
      </c>
      <c r="O28" s="8">
        <f>'Proximal Validation (double)'!O28</f>
        <v>-0.56037515401840199</v>
      </c>
      <c r="P28" s="8">
        <f>'Proximal Validation (double)'!P28</f>
        <v>-0.63611704111099199</v>
      </c>
      <c r="Q28" s="8">
        <f>'Proximal Validation (double)'!Q28</f>
        <v>-0.73725110292434703</v>
      </c>
      <c r="R28" s="8">
        <v>0.59960000000000002</v>
      </c>
      <c r="S28" s="8">
        <v>0.19689999999999999</v>
      </c>
      <c r="T28" s="8">
        <v>3.9563999999999999</v>
      </c>
      <c r="U28" s="8">
        <v>1.5708</v>
      </c>
      <c r="V28" s="8">
        <v>0.53469999999999995</v>
      </c>
      <c r="W28" s="8">
        <v>7.9600000000000004E-2</v>
      </c>
      <c r="X28" s="8">
        <v>4.0415999999999999</v>
      </c>
      <c r="Y28" s="8">
        <v>1.5708</v>
      </c>
      <c r="Z28" s="8">
        <f t="shared" si="2"/>
        <v>-0.40039999999999998</v>
      </c>
      <c r="AA28" s="8">
        <f t="shared" si="3"/>
        <v>1.6899999999999998E-2</v>
      </c>
      <c r="AB28" s="8">
        <f t="shared" si="4"/>
        <v>2.9399999999999871E-2</v>
      </c>
      <c r="AC28" s="8">
        <f t="shared" si="5"/>
        <v>3.6732051034160662E-6</v>
      </c>
      <c r="AD28" s="8">
        <f t="shared" si="6"/>
        <v>0.43469999999999998</v>
      </c>
      <c r="AE28" s="8">
        <f t="shared" si="7"/>
        <v>-3.9999999999999758E-4</v>
      </c>
      <c r="AF28" s="8">
        <f t="shared" si="8"/>
        <v>-0.67039999999999988</v>
      </c>
      <c r="AG28" s="8">
        <f t="shared" si="9"/>
        <v>3.6732051034160662E-6</v>
      </c>
      <c r="AH28" s="22">
        <f t="shared" si="10"/>
        <v>0.41754999999999998</v>
      </c>
      <c r="AI28" s="22">
        <f t="shared" si="11"/>
        <v>8.649999999999998E-3</v>
      </c>
      <c r="AJ28" s="22">
        <f t="shared" si="12"/>
        <v>0.34989999999999988</v>
      </c>
    </row>
    <row r="29" spans="1:36" x14ac:dyDescent="0.25">
      <c r="A29" s="10">
        <f>'Proximal Validation (double)'!A29</f>
        <v>0.7</v>
      </c>
      <c r="B29" s="11">
        <f>'Proximal Validation (double)'!B29</f>
        <v>0.2</v>
      </c>
      <c r="C29" s="10">
        <f>'Proximal Validation (double)'!C29</f>
        <v>3.927</v>
      </c>
      <c r="D29" s="10">
        <f>'Proximal Validation (double)'!D29</f>
        <v>1.5707963267948966</v>
      </c>
      <c r="E29" s="11">
        <f>'Proximal Validation (double)'!E29</f>
        <v>0.2</v>
      </c>
      <c r="F29" s="11">
        <f>'Proximal Validation (double)'!F29</f>
        <v>0.02</v>
      </c>
      <c r="G29" s="10">
        <f>'Proximal Validation (double)'!G29</f>
        <v>3.927</v>
      </c>
      <c r="H29" s="10">
        <f>'Proximal Validation (double)'!H29</f>
        <v>1.5707963267948966</v>
      </c>
      <c r="I29" s="10">
        <f>'Proximal Validation (double)'!I29</f>
        <v>0.4</v>
      </c>
      <c r="J29" s="10">
        <f>'Proximal Validation (double)'!J29</f>
        <v>0</v>
      </c>
      <c r="K29" s="10">
        <f>'Proximal Validation (double)'!K29</f>
        <v>0</v>
      </c>
      <c r="L29" s="8">
        <f>'Proximal Validation (double)'!L29</f>
        <v>-7.4698124080896399E-4</v>
      </c>
      <c r="M29" s="8">
        <f>'Proximal Validation (double)'!M29</f>
        <v>0.110706090927124</v>
      </c>
      <c r="N29" s="8">
        <f>'Proximal Validation (double)'!N29</f>
        <v>-0.128691270947456</v>
      </c>
      <c r="O29" s="8">
        <f>'Proximal Validation (double)'!O29</f>
        <v>-0.39982143044471702</v>
      </c>
      <c r="P29" s="8">
        <f>'Proximal Validation (double)'!P29</f>
        <v>-0.49842935800552401</v>
      </c>
      <c r="Q29" s="8">
        <f>'Proximal Validation (double)'!Q29</f>
        <v>-0.30814808607101402</v>
      </c>
      <c r="R29" s="8">
        <v>0.64019999999999999</v>
      </c>
      <c r="S29" s="8">
        <v>0.2</v>
      </c>
      <c r="T29" s="8">
        <v>3.8047</v>
      </c>
      <c r="U29" s="8">
        <v>1.5708</v>
      </c>
      <c r="V29" s="8">
        <v>0.1</v>
      </c>
      <c r="W29" s="8">
        <v>0.08</v>
      </c>
      <c r="X29" s="8">
        <v>3.1415999999999999</v>
      </c>
      <c r="Y29" s="8">
        <v>1.5708</v>
      </c>
      <c r="Z29" s="8">
        <f t="shared" si="2"/>
        <v>-5.9799999999999964E-2</v>
      </c>
      <c r="AA29" s="8">
        <f t="shared" si="3"/>
        <v>0</v>
      </c>
      <c r="AB29" s="8">
        <f t="shared" si="4"/>
        <v>-0.12230000000000008</v>
      </c>
      <c r="AC29" s="8">
        <f t="shared" si="5"/>
        <v>3.6732051034160662E-6</v>
      </c>
      <c r="AD29" s="8">
        <f t="shared" si="6"/>
        <v>-0.1</v>
      </c>
      <c r="AE29" s="8">
        <f t="shared" si="7"/>
        <v>0.06</v>
      </c>
      <c r="AF29" s="8">
        <f t="shared" si="8"/>
        <v>-0.7854000000000001</v>
      </c>
      <c r="AG29" s="8">
        <f t="shared" si="9"/>
        <v>3.6732051034160662E-6</v>
      </c>
      <c r="AH29" s="22">
        <f t="shared" si="10"/>
        <v>7.9899999999999985E-2</v>
      </c>
      <c r="AI29" s="22">
        <f t="shared" si="11"/>
        <v>0.03</v>
      </c>
      <c r="AJ29" s="22">
        <f t="shared" si="12"/>
        <v>0.45385000000000009</v>
      </c>
    </row>
    <row r="30" spans="1:36" x14ac:dyDescent="0.25">
      <c r="A30" s="10">
        <f>'Proximal Validation (double)'!A30</f>
        <v>1</v>
      </c>
      <c r="B30" s="11">
        <f>'Proximal Validation (double)'!B30</f>
        <v>0.2</v>
      </c>
      <c r="C30" s="10">
        <f>'Proximal Validation (double)'!C30</f>
        <v>3.927</v>
      </c>
      <c r="D30" s="10">
        <f>'Proximal Validation (double)'!D30</f>
        <v>1.5707963267948966</v>
      </c>
      <c r="E30" s="11">
        <f>'Proximal Validation (double)'!E30</f>
        <v>1</v>
      </c>
      <c r="F30" s="11">
        <f>'Proximal Validation (double)'!F30</f>
        <v>0.06</v>
      </c>
      <c r="G30" s="10">
        <f>'Proximal Validation (double)'!G30</f>
        <v>3.927</v>
      </c>
      <c r="H30" s="10">
        <f>'Proximal Validation (double)'!H30</f>
        <v>1.5707963267948966</v>
      </c>
      <c r="I30" s="10">
        <f>'Proximal Validation (double)'!I30</f>
        <v>0.2</v>
      </c>
      <c r="J30" s="10">
        <f>'Proximal Validation (double)'!J30</f>
        <v>0</v>
      </c>
      <c r="K30" s="10">
        <f>'Proximal Validation (double)'!K30</f>
        <v>0</v>
      </c>
      <c r="L30" s="8">
        <f>'Proximal Validation (double)'!L30</f>
        <v>-3.93409747630358E-3</v>
      </c>
      <c r="M30" s="8">
        <f>'Proximal Validation (double)'!M30</f>
        <v>0.26014894247055098</v>
      </c>
      <c r="N30" s="8">
        <f>'Proximal Validation (double)'!N30</f>
        <v>-0.247706294059753</v>
      </c>
      <c r="O30" s="8">
        <f>'Proximal Validation (double)'!O30</f>
        <v>-0.95730906724929798</v>
      </c>
      <c r="P30" s="8">
        <f>'Proximal Validation (double)'!P30</f>
        <v>-1.0179207324981701</v>
      </c>
      <c r="Q30" s="8">
        <f>'Proximal Validation (double)'!Q30</f>
        <v>-0.96642386913299605</v>
      </c>
      <c r="R30" s="8">
        <v>0.73009999999999997</v>
      </c>
      <c r="S30" s="8">
        <v>0.1938</v>
      </c>
      <c r="T30" s="8">
        <v>4.0614999999999997</v>
      </c>
      <c r="U30" s="8">
        <v>1.5708</v>
      </c>
      <c r="V30" s="8">
        <v>1</v>
      </c>
      <c r="W30" s="8">
        <v>7.0999999999999994E-2</v>
      </c>
      <c r="X30" s="8">
        <v>3.8153000000000001</v>
      </c>
      <c r="Y30" s="8">
        <v>1.5708</v>
      </c>
      <c r="Z30" s="8">
        <f t="shared" si="2"/>
        <v>-0.26990000000000003</v>
      </c>
      <c r="AA30" s="8">
        <f t="shared" si="3"/>
        <v>-6.2000000000000111E-3</v>
      </c>
      <c r="AB30" s="8">
        <f t="shared" si="4"/>
        <v>0.13449999999999962</v>
      </c>
      <c r="AC30" s="8">
        <f t="shared" si="5"/>
        <v>3.6732051034160662E-6</v>
      </c>
      <c r="AD30" s="8">
        <f t="shared" si="6"/>
        <v>0</v>
      </c>
      <c r="AE30" s="8">
        <f t="shared" si="7"/>
        <v>1.0999999999999996E-2</v>
      </c>
      <c r="AF30" s="8">
        <f t="shared" si="8"/>
        <v>-0.11169999999999991</v>
      </c>
      <c r="AG30" s="8">
        <f t="shared" si="9"/>
        <v>3.6732051034160662E-6</v>
      </c>
      <c r="AH30" s="22">
        <f t="shared" si="10"/>
        <v>0.13495000000000001</v>
      </c>
      <c r="AI30" s="22">
        <f t="shared" si="11"/>
        <v>8.6000000000000035E-3</v>
      </c>
      <c r="AJ30" s="22">
        <f t="shared" si="12"/>
        <v>0.12309999999999977</v>
      </c>
    </row>
    <row r="31" spans="1:36" x14ac:dyDescent="0.25">
      <c r="A31" s="10">
        <f>'Proximal Validation (double)'!A31</f>
        <v>0.1</v>
      </c>
      <c r="B31" s="11">
        <f>'Proximal Validation (double)'!B31</f>
        <v>0.1</v>
      </c>
      <c r="C31" s="10">
        <f>'Proximal Validation (double)'!C31</f>
        <v>4.7119999999999997</v>
      </c>
      <c r="D31" s="10">
        <f>'Proximal Validation (double)'!D31</f>
        <v>1.5707963267948966</v>
      </c>
      <c r="E31" s="11">
        <f>'Proximal Validation (double)'!E31</f>
        <v>0.2</v>
      </c>
      <c r="F31" s="11">
        <f>'Proximal Validation (double)'!F31</f>
        <v>0.02</v>
      </c>
      <c r="G31" s="10">
        <f>'Proximal Validation (double)'!G31</f>
        <v>3.1419999999999999</v>
      </c>
      <c r="H31" s="10">
        <f>'Proximal Validation (double)'!H31</f>
        <v>1.5707963267948966</v>
      </c>
      <c r="I31" s="10">
        <f>'Proximal Validation (double)'!I31</f>
        <v>0</v>
      </c>
      <c r="J31" s="10">
        <f>'Proximal Validation (double)'!J31</f>
        <v>0</v>
      </c>
      <c r="K31" s="10">
        <f>'Proximal Validation (double)'!K31</f>
        <v>0</v>
      </c>
      <c r="L31" s="8">
        <f>'Proximal Validation (double)'!L31</f>
        <v>-2.4949701037257899E-4</v>
      </c>
      <c r="M31" s="8">
        <f>'Proximal Validation (double)'!M31</f>
        <v>1.1188399977982001E-2</v>
      </c>
      <c r="N31" s="8">
        <f>'Proximal Validation (double)'!N31</f>
        <v>-2.3344287648797001E-2</v>
      </c>
      <c r="O31" s="8">
        <f>'Proximal Validation (double)'!O31</f>
        <v>-4.5918696559965602E-3</v>
      </c>
      <c r="P31" s="8">
        <f>'Proximal Validation (double)'!P31</f>
        <v>-0.20488628745078999</v>
      </c>
      <c r="Q31" s="8">
        <f>'Proximal Validation (double)'!Q31</f>
        <v>-6.8177700042724595E-2</v>
      </c>
      <c r="R31" s="8">
        <v>0.1004</v>
      </c>
      <c r="S31" s="8">
        <v>0.1012</v>
      </c>
      <c r="T31" s="8">
        <v>3.0122</v>
      </c>
      <c r="U31" s="8">
        <v>1.5708</v>
      </c>
      <c r="V31" s="8">
        <v>0.13320000000000001</v>
      </c>
      <c r="W31" s="8">
        <v>0.02</v>
      </c>
      <c r="X31" s="8">
        <v>3.8113999999999999</v>
      </c>
      <c r="Y31" s="8">
        <v>1.5708</v>
      </c>
      <c r="Z31" s="8">
        <f t="shared" si="2"/>
        <v>3.9999999999999758E-4</v>
      </c>
      <c r="AA31" s="8">
        <f t="shared" si="3"/>
        <v>1.1999999999999927E-3</v>
      </c>
      <c r="AB31" s="8">
        <f t="shared" si="4"/>
        <v>-1.6997999999999998</v>
      </c>
      <c r="AC31" s="8">
        <f t="shared" si="5"/>
        <v>3.6732051034160662E-6</v>
      </c>
      <c r="AD31" s="8">
        <f t="shared" si="6"/>
        <v>-6.6799999999999998E-2</v>
      </c>
      <c r="AE31" s="8">
        <f t="shared" si="7"/>
        <v>0</v>
      </c>
      <c r="AF31" s="8">
        <f t="shared" si="8"/>
        <v>0.6694</v>
      </c>
      <c r="AG31" s="8">
        <f t="shared" si="9"/>
        <v>3.6732051034160662E-6</v>
      </c>
      <c r="AH31" s="22">
        <f t="shared" si="10"/>
        <v>3.3599999999999998E-2</v>
      </c>
      <c r="AI31" s="22">
        <f t="shared" si="11"/>
        <v>5.9999999999999637E-4</v>
      </c>
      <c r="AJ31" s="22">
        <f t="shared" si="12"/>
        <v>1.1845999999999999</v>
      </c>
    </row>
    <row r="32" spans="1:36" x14ac:dyDescent="0.25">
      <c r="A32" s="10">
        <f>'Proximal Validation (double)'!A32</f>
        <v>0.3</v>
      </c>
      <c r="B32" s="11">
        <f>'Proximal Validation (double)'!B32</f>
        <v>0.1</v>
      </c>
      <c r="C32" s="10">
        <f>'Proximal Validation (double)'!C32</f>
        <v>4.7119999999999997</v>
      </c>
      <c r="D32" s="10">
        <f>'Proximal Validation (double)'!D32</f>
        <v>1.5707963267948966</v>
      </c>
      <c r="E32" s="11">
        <f>'Proximal Validation (double)'!E32</f>
        <v>0.8</v>
      </c>
      <c r="F32" s="11">
        <f>'Proximal Validation (double)'!F32</f>
        <v>0.04</v>
      </c>
      <c r="G32" s="10">
        <f>'Proximal Validation (double)'!G32</f>
        <v>3.927</v>
      </c>
      <c r="H32" s="10">
        <f>'Proximal Validation (double)'!H32</f>
        <v>1.5707963267948966</v>
      </c>
      <c r="I32" s="10">
        <f>'Proximal Validation (double)'!I32</f>
        <v>0.4</v>
      </c>
      <c r="J32" s="10">
        <f>'Proximal Validation (double)'!J32</f>
        <v>0</v>
      </c>
      <c r="K32" s="10">
        <f>'Proximal Validation (double)'!K32</f>
        <v>0</v>
      </c>
      <c r="L32" s="8">
        <f>'Proximal Validation (double)'!L32</f>
        <v>-1.44378747791052E-4</v>
      </c>
      <c r="M32" s="8">
        <f>'Proximal Validation (double)'!M32</f>
        <v>0.122855387628078</v>
      </c>
      <c r="N32" s="8">
        <f>'Proximal Validation (double)'!N32</f>
        <v>-6.9621779024600997E-2</v>
      </c>
      <c r="O32" s="8">
        <f>'Proximal Validation (double)'!O32</f>
        <v>-7.5552083551883698E-2</v>
      </c>
      <c r="P32" s="8">
        <f>'Proximal Validation (double)'!P32</f>
        <v>-0.53028601408004805</v>
      </c>
      <c r="Q32" s="8">
        <f>'Proximal Validation (double)'!Q32</f>
        <v>-0.79531830549240101</v>
      </c>
      <c r="R32" s="8">
        <v>0.41520000000000001</v>
      </c>
      <c r="S32" s="8">
        <v>0.1128</v>
      </c>
      <c r="T32" s="8">
        <v>4.3879999999999999</v>
      </c>
      <c r="U32" s="8">
        <v>1.5708</v>
      </c>
      <c r="V32" s="8">
        <v>0.56859999999999999</v>
      </c>
      <c r="W32" s="8">
        <v>0.02</v>
      </c>
      <c r="X32" s="8">
        <v>3.9344999999999999</v>
      </c>
      <c r="Y32" s="8">
        <v>1.5708</v>
      </c>
      <c r="Z32" s="8">
        <f t="shared" si="2"/>
        <v>0.11520000000000002</v>
      </c>
      <c r="AA32" s="8">
        <f t="shared" si="3"/>
        <v>1.2799999999999992E-2</v>
      </c>
      <c r="AB32" s="8">
        <f t="shared" si="4"/>
        <v>-0.32399999999999984</v>
      </c>
      <c r="AC32" s="8">
        <f t="shared" si="5"/>
        <v>3.6732051034160662E-6</v>
      </c>
      <c r="AD32" s="8">
        <f t="shared" si="6"/>
        <v>-0.23140000000000005</v>
      </c>
      <c r="AE32" s="8">
        <f t="shared" si="7"/>
        <v>-0.02</v>
      </c>
      <c r="AF32" s="8">
        <f t="shared" si="8"/>
        <v>7.4999999999998401E-3</v>
      </c>
      <c r="AG32" s="8">
        <f t="shared" si="9"/>
        <v>3.6732051034160662E-6</v>
      </c>
      <c r="AH32" s="22">
        <f t="shared" si="10"/>
        <v>0.17330000000000004</v>
      </c>
      <c r="AI32" s="22">
        <f t="shared" si="11"/>
        <v>1.6399999999999998E-2</v>
      </c>
      <c r="AJ32" s="22">
        <f t="shared" si="12"/>
        <v>0.16574999999999984</v>
      </c>
    </row>
    <row r="33" spans="1:36" x14ac:dyDescent="0.25">
      <c r="A33" s="10">
        <f>'Proximal Validation (double)'!A33</f>
        <v>1</v>
      </c>
      <c r="B33" s="11">
        <f>'Proximal Validation (double)'!B33</f>
        <v>0.1</v>
      </c>
      <c r="C33" s="10">
        <f>'Proximal Validation (double)'!C33</f>
        <v>4.7119999999999997</v>
      </c>
      <c r="D33" s="10">
        <f>'Proximal Validation (double)'!D33</f>
        <v>1.5707963267948966</v>
      </c>
      <c r="E33" s="11">
        <f>'Proximal Validation (double)'!E33</f>
        <v>0.1</v>
      </c>
      <c r="F33" s="11">
        <f>'Proximal Validation (double)'!F33</f>
        <v>0.04</v>
      </c>
      <c r="G33" s="10">
        <f>'Proximal Validation (double)'!G33</f>
        <v>4.7119999999999997</v>
      </c>
      <c r="H33" s="10">
        <f>'Proximal Validation (double)'!H33</f>
        <v>1.5707963267948966</v>
      </c>
      <c r="I33" s="10">
        <f>'Proximal Validation (double)'!I33</f>
        <v>0</v>
      </c>
      <c r="J33" s="10">
        <f>'Proximal Validation (double)'!J33</f>
        <v>0</v>
      </c>
      <c r="K33" s="10">
        <f>'Proximal Validation (double)'!K33</f>
        <v>0</v>
      </c>
      <c r="L33" s="8">
        <f>'Proximal Validation (double)'!L33</f>
        <v>2.13603163138032E-3</v>
      </c>
      <c r="M33" s="8">
        <f>'Proximal Validation (double)'!M33</f>
        <v>0.22294643521308899</v>
      </c>
      <c r="N33" s="8">
        <f>'Proximal Validation (double)'!N33</f>
        <v>-3.3264472149312501E-3</v>
      </c>
      <c r="O33" s="8">
        <f>'Proximal Validation (double)'!O33</f>
        <v>-0.25940474867820701</v>
      </c>
      <c r="P33" s="8">
        <f>'Proximal Validation (double)'!P33</f>
        <v>-2.7135983109474199E-2</v>
      </c>
      <c r="Q33" s="8">
        <f>'Proximal Validation (double)'!Q33</f>
        <v>-1.17376625537872</v>
      </c>
      <c r="R33" s="8">
        <v>0.32629999999999998</v>
      </c>
      <c r="S33" s="8">
        <v>0.1191</v>
      </c>
      <c r="T33" s="8">
        <v>4.6989999999999998</v>
      </c>
      <c r="U33" s="8">
        <v>1.5708</v>
      </c>
      <c r="V33" s="8">
        <v>0.87780000000000002</v>
      </c>
      <c r="W33" s="8">
        <v>7.6999999999999999E-2</v>
      </c>
      <c r="X33" s="8">
        <v>4.6862000000000004</v>
      </c>
      <c r="Y33" s="8">
        <v>1.5708</v>
      </c>
      <c r="Z33" s="8">
        <f t="shared" si="2"/>
        <v>-0.67369999999999997</v>
      </c>
      <c r="AA33" s="8">
        <f t="shared" si="3"/>
        <v>1.9099999999999992E-2</v>
      </c>
      <c r="AB33" s="8">
        <f t="shared" si="4"/>
        <v>-1.2999999999999901E-2</v>
      </c>
      <c r="AC33" s="8">
        <f t="shared" si="5"/>
        <v>3.6732051034160662E-6</v>
      </c>
      <c r="AD33" s="8">
        <f t="shared" si="6"/>
        <v>0.77780000000000005</v>
      </c>
      <c r="AE33" s="8">
        <f t="shared" si="7"/>
        <v>3.6999999999999998E-2</v>
      </c>
      <c r="AF33" s="8">
        <f t="shared" si="8"/>
        <v>-2.5799999999999379E-2</v>
      </c>
      <c r="AG33" s="8">
        <f t="shared" si="9"/>
        <v>3.6732051034160662E-6</v>
      </c>
      <c r="AH33" s="22">
        <f t="shared" si="10"/>
        <v>0.72575000000000001</v>
      </c>
      <c r="AI33" s="22">
        <f t="shared" si="11"/>
        <v>2.8049999999999995E-2</v>
      </c>
      <c r="AJ33" s="22">
        <f t="shared" si="12"/>
        <v>1.939999999999964E-2</v>
      </c>
    </row>
    <row r="34" spans="1:36" x14ac:dyDescent="0.25">
      <c r="A34" s="10">
        <f>'Proximal Validation (double)'!A34</f>
        <v>0.1</v>
      </c>
      <c r="B34" s="11">
        <f>'Proximal Validation (double)'!B34</f>
        <v>0.1</v>
      </c>
      <c r="C34" s="10">
        <f>'Proximal Validation (double)'!C34</f>
        <v>4.7119999999999997</v>
      </c>
      <c r="D34" s="10">
        <f>'Proximal Validation (double)'!D34</f>
        <v>1.5707963267948966</v>
      </c>
      <c r="E34" s="11">
        <f>'Proximal Validation (double)'!E34</f>
        <v>1</v>
      </c>
      <c r="F34" s="11">
        <f>'Proximal Validation (double)'!F34</f>
        <v>0.08</v>
      </c>
      <c r="G34" s="10">
        <f>'Proximal Validation (double)'!G34</f>
        <v>4.7119999999999997</v>
      </c>
      <c r="H34" s="10">
        <f>'Proximal Validation (double)'!H34</f>
        <v>1.5707963267948966</v>
      </c>
      <c r="I34" s="10">
        <f>'Proximal Validation (double)'!I34</f>
        <v>1.4</v>
      </c>
      <c r="J34" s="10">
        <f>'Proximal Validation (double)'!J34</f>
        <v>0</v>
      </c>
      <c r="K34" s="10">
        <f>'Proximal Validation (double)'!K34</f>
        <v>0</v>
      </c>
      <c r="L34" s="8">
        <f>'Proximal Validation (double)'!L34</f>
        <v>-2.9623867012560398E-3</v>
      </c>
      <c r="M34" s="8">
        <f>'Proximal Validation (double)'!M34</f>
        <v>0.167345225811005</v>
      </c>
      <c r="N34" s="8">
        <f>'Proximal Validation (double)'!N34</f>
        <v>-2.4530226364731799E-2</v>
      </c>
      <c r="O34" s="8">
        <f>'Proximal Validation (double)'!O34</f>
        <v>-0.11945986747741701</v>
      </c>
      <c r="P34" s="8">
        <f>'Proximal Validation (double)'!P34</f>
        <v>-0.14860638976097101</v>
      </c>
      <c r="Q34" s="8">
        <f>'Proximal Validation (double)'!Q34</f>
        <v>-0.949754118919373</v>
      </c>
      <c r="R34" s="8">
        <v>0.41799999999999998</v>
      </c>
      <c r="S34" s="8">
        <v>0.1479</v>
      </c>
      <c r="T34" s="8">
        <v>4.5761000000000003</v>
      </c>
      <c r="U34" s="8">
        <v>1.5708</v>
      </c>
      <c r="V34" s="8">
        <v>0.55549999999999999</v>
      </c>
      <c r="W34" s="8">
        <v>0.02</v>
      </c>
      <c r="X34" s="8">
        <v>4.5427</v>
      </c>
      <c r="Y34" s="8">
        <v>1.5708</v>
      </c>
      <c r="Z34" s="8">
        <f t="shared" si="2"/>
        <v>0.31799999999999995</v>
      </c>
      <c r="AA34" s="8">
        <f t="shared" si="3"/>
        <v>4.7899999999999998E-2</v>
      </c>
      <c r="AB34" s="8">
        <f t="shared" si="4"/>
        <v>-0.13589999999999947</v>
      </c>
      <c r="AC34" s="8">
        <f t="shared" si="5"/>
        <v>3.6732051034160662E-6</v>
      </c>
      <c r="AD34" s="8">
        <f t="shared" si="6"/>
        <v>-0.44450000000000001</v>
      </c>
      <c r="AE34" s="8">
        <f t="shared" si="7"/>
        <v>-0.06</v>
      </c>
      <c r="AF34" s="8">
        <f t="shared" si="8"/>
        <v>-0.16929999999999978</v>
      </c>
      <c r="AG34" s="8">
        <f t="shared" si="9"/>
        <v>3.6732051034160662E-6</v>
      </c>
      <c r="AH34" s="22">
        <f t="shared" si="10"/>
        <v>0.38124999999999998</v>
      </c>
      <c r="AI34" s="22">
        <f t="shared" si="11"/>
        <v>5.3949999999999998E-2</v>
      </c>
      <c r="AJ34" s="22">
        <f t="shared" si="12"/>
        <v>0.15259999999999962</v>
      </c>
    </row>
    <row r="35" spans="1:36" x14ac:dyDescent="0.25">
      <c r="A35" s="10">
        <f>'Proximal Validation (double)'!A35</f>
        <v>0.9</v>
      </c>
      <c r="B35" s="11">
        <f>'Proximal Validation (double)'!B35</f>
        <v>0.12</v>
      </c>
      <c r="C35" s="10">
        <f>'Proximal Validation (double)'!C35</f>
        <v>4.7119999999999997</v>
      </c>
      <c r="D35" s="10">
        <f>'Proximal Validation (double)'!D35</f>
        <v>1.5707963267948966</v>
      </c>
      <c r="E35" s="11">
        <f>'Proximal Validation (double)'!E35</f>
        <v>0.9</v>
      </c>
      <c r="F35" s="11">
        <f>'Proximal Validation (double)'!F35</f>
        <v>0.02</v>
      </c>
      <c r="G35" s="10">
        <f>'Proximal Validation (double)'!G35</f>
        <v>3.1419999999999999</v>
      </c>
      <c r="H35" s="10">
        <f>'Proximal Validation (double)'!H35</f>
        <v>1.5707963267948966</v>
      </c>
      <c r="I35" s="10">
        <f>'Proximal Validation (double)'!I35</f>
        <v>0</v>
      </c>
      <c r="J35" s="10">
        <f>'Proximal Validation (double)'!J35</f>
        <v>0</v>
      </c>
      <c r="K35" s="10">
        <f>'Proximal Validation (double)'!K35</f>
        <v>0</v>
      </c>
      <c r="L35" s="8">
        <f>'Proximal Validation (double)'!L35</f>
        <v>-7.8027322888374296E-4</v>
      </c>
      <c r="M35" s="8">
        <f>'Proximal Validation (double)'!M35</f>
        <v>0.20929773151874501</v>
      </c>
      <c r="N35" s="8">
        <f>'Proximal Validation (double)'!N35</f>
        <v>-9.5626659691333799E-2</v>
      </c>
      <c r="O35" s="8">
        <f>'Proximal Validation (double)'!O35</f>
        <v>-0.33798754215240501</v>
      </c>
      <c r="P35" s="8">
        <f>'Proximal Validation (double)'!P35</f>
        <v>-0.8543701171875</v>
      </c>
      <c r="Q35" s="8">
        <f>'Proximal Validation (double)'!Q35</f>
        <v>-0.97470813989639304</v>
      </c>
      <c r="R35" s="8">
        <v>0.73860000000000003</v>
      </c>
      <c r="S35" s="8">
        <v>0.15459999999999999</v>
      </c>
      <c r="T35" s="8">
        <v>4.7123999999999997</v>
      </c>
      <c r="U35" s="8">
        <v>1.5708</v>
      </c>
      <c r="V35" s="8">
        <v>0.90849999999999997</v>
      </c>
      <c r="W35" s="8">
        <v>2.2499999999999999E-2</v>
      </c>
      <c r="X35" s="8">
        <v>3.48</v>
      </c>
      <c r="Y35" s="8">
        <v>1.5708</v>
      </c>
      <c r="Z35" s="8">
        <f t="shared" si="2"/>
        <v>-0.16139999999999999</v>
      </c>
      <c r="AA35" s="8">
        <f t="shared" si="3"/>
        <v>3.4599999999999992E-2</v>
      </c>
      <c r="AB35" s="8">
        <f t="shared" si="4"/>
        <v>3.9999999999995595E-4</v>
      </c>
      <c r="AC35" s="8">
        <f t="shared" si="5"/>
        <v>3.6732051034160662E-6</v>
      </c>
      <c r="AD35" s="8">
        <f t="shared" si="6"/>
        <v>8.499999999999952E-3</v>
      </c>
      <c r="AE35" s="8">
        <f t="shared" si="7"/>
        <v>2.4999999999999988E-3</v>
      </c>
      <c r="AF35" s="8">
        <f t="shared" si="8"/>
        <v>0.33800000000000008</v>
      </c>
      <c r="AG35" s="8">
        <f t="shared" si="9"/>
        <v>3.6732051034160662E-6</v>
      </c>
      <c r="AH35" s="22">
        <f t="shared" si="10"/>
        <v>8.494999999999997E-2</v>
      </c>
      <c r="AI35" s="22">
        <f t="shared" si="11"/>
        <v>1.8549999999999997E-2</v>
      </c>
      <c r="AJ35" s="22">
        <f t="shared" si="12"/>
        <v>0.16920000000000002</v>
      </c>
    </row>
    <row r="36" spans="1:36" x14ac:dyDescent="0.25">
      <c r="A36" s="10">
        <f>'Proximal Validation (double)'!A36</f>
        <v>1</v>
      </c>
      <c r="B36" s="11">
        <f>'Proximal Validation (double)'!B36</f>
        <v>0.12</v>
      </c>
      <c r="C36" s="10">
        <f>'Proximal Validation (double)'!C36</f>
        <v>4.7119999999999997</v>
      </c>
      <c r="D36" s="10">
        <f>'Proximal Validation (double)'!D36</f>
        <v>1.5707963267948966</v>
      </c>
      <c r="E36" s="11">
        <f>'Proximal Validation (double)'!E36</f>
        <v>0.8</v>
      </c>
      <c r="F36" s="11">
        <f>'Proximal Validation (double)'!F36</f>
        <v>0.08</v>
      </c>
      <c r="G36" s="10">
        <f>'Proximal Validation (double)'!G36</f>
        <v>3.1419999999999999</v>
      </c>
      <c r="H36" s="10">
        <f>'Proximal Validation (double)'!H36</f>
        <v>1.5707963267948966</v>
      </c>
      <c r="I36" s="10">
        <f>'Proximal Validation (double)'!I36</f>
        <v>1.2</v>
      </c>
      <c r="J36" s="10">
        <f>'Proximal Validation (double)'!J36</f>
        <v>0</v>
      </c>
      <c r="K36" s="10">
        <f>'Proximal Validation (double)'!K36</f>
        <v>0</v>
      </c>
      <c r="L36" s="8">
        <f>'Proximal Validation (double)'!L36</f>
        <v>-5.3540230728685899E-3</v>
      </c>
      <c r="M36" s="8">
        <f>'Proximal Validation (double)'!M36</f>
        <v>0.23577138781547499</v>
      </c>
      <c r="N36" s="8">
        <f>'Proximal Validation (double)'!N36</f>
        <v>-0.12704449892044101</v>
      </c>
      <c r="O36" s="8">
        <f>'Proximal Validation (double)'!O36</f>
        <v>-0.53383183479309104</v>
      </c>
      <c r="P36" s="8">
        <f>'Proximal Validation (double)'!P36</f>
        <v>-0.71507501602172896</v>
      </c>
      <c r="Q36" s="8">
        <f>'Proximal Validation (double)'!Q36</f>
        <v>-1.0263080596923799</v>
      </c>
      <c r="R36" s="8">
        <v>0.6079</v>
      </c>
      <c r="S36" s="8">
        <v>0.1729</v>
      </c>
      <c r="T36" s="8">
        <v>4.5719000000000003</v>
      </c>
      <c r="U36" s="8">
        <v>1.5708</v>
      </c>
      <c r="V36" s="8">
        <v>0.85640000000000005</v>
      </c>
      <c r="W36" s="8">
        <v>6.9599999999999995E-2</v>
      </c>
      <c r="X36" s="8">
        <v>3.8149999999999999</v>
      </c>
      <c r="Y36" s="8">
        <v>1.5708</v>
      </c>
      <c r="Z36" s="8">
        <f t="shared" si="2"/>
        <v>-0.3921</v>
      </c>
      <c r="AA36" s="8">
        <f t="shared" si="3"/>
        <v>5.2900000000000003E-2</v>
      </c>
      <c r="AB36" s="8">
        <f t="shared" si="4"/>
        <v>-0.14009999999999945</v>
      </c>
      <c r="AC36" s="8">
        <f t="shared" si="5"/>
        <v>3.6732051034160662E-6</v>
      </c>
      <c r="AD36" s="8">
        <f t="shared" si="6"/>
        <v>5.6400000000000006E-2</v>
      </c>
      <c r="AE36" s="8">
        <f t="shared" si="7"/>
        <v>-1.0400000000000006E-2</v>
      </c>
      <c r="AF36" s="8">
        <f t="shared" si="8"/>
        <v>0.67300000000000004</v>
      </c>
      <c r="AG36" s="8">
        <f t="shared" si="9"/>
        <v>3.6732051034160662E-6</v>
      </c>
      <c r="AH36" s="22">
        <f t="shared" si="10"/>
        <v>0.22425</v>
      </c>
      <c r="AI36" s="22">
        <f t="shared" si="11"/>
        <v>3.1650000000000005E-2</v>
      </c>
      <c r="AJ36" s="22">
        <f t="shared" si="12"/>
        <v>0.40654999999999974</v>
      </c>
    </row>
    <row r="37" spans="1:36" x14ac:dyDescent="0.25">
      <c r="A37" s="10">
        <f>'Proximal Validation (double)'!A37</f>
        <v>0.3</v>
      </c>
      <c r="B37" s="11">
        <f>'Proximal Validation (double)'!B37</f>
        <v>0.18</v>
      </c>
      <c r="C37" s="10">
        <f>'Proximal Validation (double)'!C37</f>
        <v>4.7119999999999997</v>
      </c>
      <c r="D37" s="10">
        <f>'Proximal Validation (double)'!D37</f>
        <v>1.5707963267948966</v>
      </c>
      <c r="E37" s="11">
        <f>'Proximal Validation (double)'!E37</f>
        <v>0.3</v>
      </c>
      <c r="F37" s="11">
        <f>'Proximal Validation (double)'!F37</f>
        <v>0.06</v>
      </c>
      <c r="G37" s="10">
        <f>'Proximal Validation (double)'!G37</f>
        <v>3.1419999999999999</v>
      </c>
      <c r="H37" s="10">
        <f>'Proximal Validation (double)'!H37</f>
        <v>1.5707963267948966</v>
      </c>
      <c r="I37" s="10">
        <f>'Proximal Validation (double)'!I37</f>
        <v>1.4</v>
      </c>
      <c r="J37" s="10">
        <f>'Proximal Validation (double)'!J37</f>
        <v>0</v>
      </c>
      <c r="K37" s="10">
        <f>'Proximal Validation (double)'!K37</f>
        <v>0</v>
      </c>
      <c r="L37" s="8">
        <f>'Proximal Validation (double)'!L37</f>
        <v>-1.7680961173027799E-3</v>
      </c>
      <c r="M37" s="8">
        <f>'Proximal Validation (double)'!M37</f>
        <v>6.0080211609602002E-2</v>
      </c>
      <c r="N37" s="8">
        <f>'Proximal Validation (double)'!N37</f>
        <v>-4.9739588052034399E-2</v>
      </c>
      <c r="O37" s="8">
        <f>'Proximal Validation (double)'!O37</f>
        <v>-3.2015025615692097E-2</v>
      </c>
      <c r="P37" s="8">
        <f>'Proximal Validation (double)'!P37</f>
        <v>-0.322286486625671</v>
      </c>
      <c r="Q37" s="8">
        <f>'Proximal Validation (double)'!Q37</f>
        <v>-0.222265124320984</v>
      </c>
      <c r="R37" s="8">
        <v>0.26140000000000002</v>
      </c>
      <c r="S37" s="8">
        <v>0.13600000000000001</v>
      </c>
      <c r="T37" s="8">
        <v>4.1748000000000003</v>
      </c>
      <c r="U37" s="8">
        <v>1.5708</v>
      </c>
      <c r="V37" s="8">
        <v>0.18909999999999999</v>
      </c>
      <c r="W37" s="8">
        <v>2.7400000000000001E-2</v>
      </c>
      <c r="X37" s="8">
        <v>3.1425000000000001</v>
      </c>
      <c r="Y37" s="8">
        <v>1.5708</v>
      </c>
      <c r="Z37" s="8">
        <f t="shared" si="2"/>
        <v>-3.8599999999999968E-2</v>
      </c>
      <c r="AA37" s="8">
        <f t="shared" si="3"/>
        <v>-4.3999999999999984E-2</v>
      </c>
      <c r="AB37" s="8">
        <f t="shared" si="4"/>
        <v>-0.53719999999999946</v>
      </c>
      <c r="AC37" s="8">
        <f t="shared" si="5"/>
        <v>3.6732051034160662E-6</v>
      </c>
      <c r="AD37" s="8">
        <f t="shared" si="6"/>
        <v>-0.1109</v>
      </c>
      <c r="AE37" s="8">
        <f t="shared" si="7"/>
        <v>-3.2599999999999997E-2</v>
      </c>
      <c r="AF37" s="8">
        <f t="shared" si="8"/>
        <v>5.0000000000016698E-4</v>
      </c>
      <c r="AG37" s="8">
        <f t="shared" si="9"/>
        <v>3.6732051034160662E-6</v>
      </c>
      <c r="AH37" s="22">
        <f t="shared" si="10"/>
        <v>7.4749999999999983E-2</v>
      </c>
      <c r="AI37" s="22">
        <f t="shared" si="11"/>
        <v>3.8299999999999987E-2</v>
      </c>
      <c r="AJ37" s="22">
        <f t="shared" si="12"/>
        <v>0.26884999999999981</v>
      </c>
    </row>
    <row r="38" spans="1:36" x14ac:dyDescent="0.25">
      <c r="A38" s="10">
        <f>'Proximal Validation (double)'!A38</f>
        <v>0.9</v>
      </c>
      <c r="B38" s="11">
        <f>'Proximal Validation (double)'!B38</f>
        <v>0.18</v>
      </c>
      <c r="C38" s="10">
        <f>'Proximal Validation (double)'!C38</f>
        <v>4.7119999999999997</v>
      </c>
      <c r="D38" s="10">
        <f>'Proximal Validation (double)'!D38</f>
        <v>1.5707963267948966</v>
      </c>
      <c r="E38" s="11">
        <f>'Proximal Validation (double)'!E38</f>
        <v>0.2</v>
      </c>
      <c r="F38" s="11">
        <f>'Proximal Validation (double)'!F38</f>
        <v>0.08</v>
      </c>
      <c r="G38" s="10">
        <f>'Proximal Validation (double)'!G38</f>
        <v>3.1419999999999999</v>
      </c>
      <c r="H38" s="10">
        <f>'Proximal Validation (double)'!H38</f>
        <v>1.5707963267948966</v>
      </c>
      <c r="I38" s="10">
        <f>'Proximal Validation (double)'!I38</f>
        <v>0.2</v>
      </c>
      <c r="J38" s="10">
        <f>'Proximal Validation (double)'!J38</f>
        <v>0</v>
      </c>
      <c r="K38" s="10">
        <f>'Proximal Validation (double)'!K38</f>
        <v>0</v>
      </c>
      <c r="L38" s="8">
        <f>'Proximal Validation (double)'!L38</f>
        <v>-7.3416158556938198E-5</v>
      </c>
      <c r="M38" s="8">
        <f>'Proximal Validation (double)'!M38</f>
        <v>0.209005877375603</v>
      </c>
      <c r="N38" s="8">
        <f>'Proximal Validation (double)'!N38</f>
        <v>-3.9002325385808903E-2</v>
      </c>
      <c r="O38" s="8">
        <f>'Proximal Validation (double)'!O38</f>
        <v>-0.50677508115768399</v>
      </c>
      <c r="P38" s="8">
        <f>'Proximal Validation (double)'!P38</f>
        <v>-0.22871214151382399</v>
      </c>
      <c r="Q38" s="8">
        <f>'Proximal Validation (double)'!Q38</f>
        <v>-0.63768112659454301</v>
      </c>
      <c r="R38" s="8">
        <v>0.7681</v>
      </c>
      <c r="S38" s="8">
        <v>0.19750000000000001</v>
      </c>
      <c r="T38" s="8">
        <v>4.6539000000000001</v>
      </c>
      <c r="U38" s="8">
        <v>1.5708</v>
      </c>
      <c r="V38" s="8">
        <v>0.20499999999999999</v>
      </c>
      <c r="W38" s="8">
        <v>4.7300000000000002E-2</v>
      </c>
      <c r="X38" s="8">
        <v>3.3843999999999999</v>
      </c>
      <c r="Y38" s="8">
        <v>1.5708</v>
      </c>
      <c r="Z38" s="8">
        <f t="shared" si="2"/>
        <v>-0.13190000000000002</v>
      </c>
      <c r="AA38" s="8">
        <f t="shared" si="3"/>
        <v>1.7500000000000016E-2</v>
      </c>
      <c r="AB38" s="8">
        <f t="shared" si="4"/>
        <v>-5.8099999999999596E-2</v>
      </c>
      <c r="AC38" s="8">
        <f t="shared" si="5"/>
        <v>3.6732051034160662E-6</v>
      </c>
      <c r="AD38" s="8">
        <f t="shared" si="6"/>
        <v>4.9999999999999767E-3</v>
      </c>
      <c r="AE38" s="8">
        <f t="shared" si="7"/>
        <v>-3.27E-2</v>
      </c>
      <c r="AF38" s="8">
        <f t="shared" si="8"/>
        <v>0.24239999999999995</v>
      </c>
      <c r="AG38" s="8">
        <f t="shared" si="9"/>
        <v>3.6732051034160662E-6</v>
      </c>
      <c r="AH38" s="22">
        <f t="shared" si="10"/>
        <v>6.8449999999999997E-2</v>
      </c>
      <c r="AI38" s="22">
        <f t="shared" si="11"/>
        <v>2.5100000000000008E-2</v>
      </c>
      <c r="AJ38" s="22">
        <f t="shared" si="12"/>
        <v>0.15024999999999977</v>
      </c>
    </row>
    <row r="39" spans="1:36" x14ac:dyDescent="0.25">
      <c r="A39" s="10">
        <f>'Proximal Validation (double)'!A39</f>
        <v>0.1</v>
      </c>
      <c r="B39" s="11">
        <f>'Proximal Validation (double)'!B39</f>
        <v>0.18</v>
      </c>
      <c r="C39" s="10">
        <f>'Proximal Validation (double)'!C39</f>
        <v>4.7119999999999997</v>
      </c>
      <c r="D39" s="10">
        <f>'Proximal Validation (double)'!D39</f>
        <v>1.5707963267948966</v>
      </c>
      <c r="E39" s="11">
        <f>'Proximal Validation (double)'!E39</f>
        <v>1</v>
      </c>
      <c r="F39" s="11">
        <f>'Proximal Validation (double)'!F39</f>
        <v>0.02</v>
      </c>
      <c r="G39" s="10">
        <f>'Proximal Validation (double)'!G39</f>
        <v>4.7119999999999997</v>
      </c>
      <c r="H39" s="10">
        <f>'Proximal Validation (double)'!H39</f>
        <v>1.5707963267948966</v>
      </c>
      <c r="I39" s="10">
        <f>'Proximal Validation (double)'!I39</f>
        <v>0</v>
      </c>
      <c r="J39" s="10">
        <f>'Proximal Validation (double)'!J39</f>
        <v>0</v>
      </c>
      <c r="K39" s="10">
        <f>'Proximal Validation (double)'!K39</f>
        <v>0</v>
      </c>
      <c r="L39" s="8">
        <f>'Proximal Validation (double)'!L39</f>
        <v>1.8433155491948101E-4</v>
      </c>
      <c r="M39" s="8">
        <f>'Proximal Validation (double)'!M39</f>
        <v>0.11752788722515101</v>
      </c>
      <c r="N39" s="8">
        <f>'Proximal Validation (double)'!N39</f>
        <v>1.77300837822258E-3</v>
      </c>
      <c r="O39" s="8">
        <f>'Proximal Validation (double)'!O39</f>
        <v>-3.8502156734466601E-2</v>
      </c>
      <c r="P39" s="8">
        <f>'Proximal Validation (double)'!P39</f>
        <v>7.6181143522262599E-3</v>
      </c>
      <c r="Q39" s="8">
        <f>'Proximal Validation (double)'!Q39</f>
        <v>-0.99801015853881803</v>
      </c>
      <c r="R39" s="8">
        <v>0.1</v>
      </c>
      <c r="S39" s="8">
        <v>0.10009999999999999</v>
      </c>
      <c r="T39" s="8">
        <v>4.7122999999999999</v>
      </c>
      <c r="U39" s="8">
        <v>1.5708</v>
      </c>
      <c r="V39" s="8">
        <v>0.89770000000000005</v>
      </c>
      <c r="W39" s="8">
        <v>3.1600000000000003E-2</v>
      </c>
      <c r="X39" s="8">
        <v>4.7123999999999997</v>
      </c>
      <c r="Y39" s="8">
        <v>1.5708</v>
      </c>
      <c r="Z39" s="8">
        <f t="shared" si="2"/>
        <v>0</v>
      </c>
      <c r="AA39" s="8">
        <f t="shared" si="3"/>
        <v>-7.9899999999999999E-2</v>
      </c>
      <c r="AB39" s="8">
        <f t="shared" si="4"/>
        <v>3.00000000000189E-4</v>
      </c>
      <c r="AC39" s="8">
        <f t="shared" si="5"/>
        <v>3.6732051034160662E-6</v>
      </c>
      <c r="AD39" s="8">
        <f t="shared" si="6"/>
        <v>-0.10229999999999995</v>
      </c>
      <c r="AE39" s="8">
        <f t="shared" si="7"/>
        <v>1.1600000000000003E-2</v>
      </c>
      <c r="AF39" s="8">
        <f t="shared" si="8"/>
        <v>3.9999999999995595E-4</v>
      </c>
      <c r="AG39" s="8">
        <f t="shared" si="9"/>
        <v>3.6732051034160662E-6</v>
      </c>
      <c r="AH39" s="22">
        <f t="shared" si="10"/>
        <v>5.1149999999999973E-2</v>
      </c>
      <c r="AI39" s="22">
        <f t="shared" si="11"/>
        <v>4.5749999999999999E-2</v>
      </c>
      <c r="AJ39" s="22">
        <f t="shared" si="12"/>
        <v>3.5000000000007248E-4</v>
      </c>
    </row>
    <row r="40" spans="1:36" x14ac:dyDescent="0.25">
      <c r="A40" s="10">
        <f>'Proximal Validation (double)'!A40</f>
        <v>0.8</v>
      </c>
      <c r="B40" s="11">
        <f>'Proximal Validation (double)'!B40</f>
        <v>0.18</v>
      </c>
      <c r="C40" s="10">
        <f>'Proximal Validation (double)'!C40</f>
        <v>4.7119999999999997</v>
      </c>
      <c r="D40" s="10">
        <f>'Proximal Validation (double)'!D40</f>
        <v>1.5707963267948966</v>
      </c>
      <c r="E40" s="11">
        <f>'Proximal Validation (double)'!E40</f>
        <v>0.6</v>
      </c>
      <c r="F40" s="11">
        <f>'Proximal Validation (double)'!F40</f>
        <v>0.06</v>
      </c>
      <c r="G40" s="10">
        <f>'Proximal Validation (double)'!G40</f>
        <v>4.7119999999999997</v>
      </c>
      <c r="H40" s="10">
        <f>'Proximal Validation (double)'!H40</f>
        <v>1.5707963267948966</v>
      </c>
      <c r="I40" s="10">
        <f>'Proximal Validation (double)'!I40</f>
        <v>1</v>
      </c>
      <c r="J40" s="10">
        <f>'Proximal Validation (double)'!J40</f>
        <v>0</v>
      </c>
      <c r="K40" s="10">
        <f>'Proximal Validation (double)'!K40</f>
        <v>0</v>
      </c>
      <c r="L40" s="8">
        <f>'Proximal Validation (double)'!L40</f>
        <v>-5.2668377757072397E-3</v>
      </c>
      <c r="M40" s="8">
        <f>'Proximal Validation (double)'!M40</f>
        <v>0.27689665555954002</v>
      </c>
      <c r="N40" s="8">
        <f>'Proximal Validation (double)'!N40</f>
        <v>-1.6046434640884399E-2</v>
      </c>
      <c r="O40" s="8">
        <f>'Proximal Validation (double)'!O40</f>
        <v>-0.47105222940444902</v>
      </c>
      <c r="P40" s="8">
        <f>'Proximal Validation (double)'!P40</f>
        <v>-0.10896006226539599</v>
      </c>
      <c r="Q40" s="8">
        <f>'Proximal Validation (double)'!Q40</f>
        <v>-1.1885303258895901</v>
      </c>
      <c r="R40" s="8">
        <v>0.40899999999999997</v>
      </c>
      <c r="S40" s="8">
        <v>0.2</v>
      </c>
      <c r="T40" s="8">
        <v>4.7123999999999997</v>
      </c>
      <c r="U40" s="8">
        <v>1.5708</v>
      </c>
      <c r="V40" s="8">
        <v>0.88390000000000002</v>
      </c>
      <c r="W40" s="8">
        <v>7.2999999999999995E-2</v>
      </c>
      <c r="X40" s="8">
        <v>4.5843999999999996</v>
      </c>
      <c r="Y40" s="8">
        <v>1.5708</v>
      </c>
      <c r="Z40" s="8">
        <f t="shared" si="2"/>
        <v>-0.39100000000000007</v>
      </c>
      <c r="AA40" s="8">
        <f t="shared" si="3"/>
        <v>2.0000000000000018E-2</v>
      </c>
      <c r="AB40" s="8">
        <f t="shared" si="4"/>
        <v>3.9999999999995595E-4</v>
      </c>
      <c r="AC40" s="8">
        <f t="shared" si="5"/>
        <v>3.6732051034160662E-6</v>
      </c>
      <c r="AD40" s="8">
        <f t="shared" si="6"/>
        <v>0.28390000000000004</v>
      </c>
      <c r="AE40" s="8">
        <f t="shared" si="7"/>
        <v>1.2999999999999998E-2</v>
      </c>
      <c r="AF40" s="8">
        <f t="shared" si="8"/>
        <v>-0.12760000000000016</v>
      </c>
      <c r="AG40" s="8">
        <f t="shared" si="9"/>
        <v>3.6732051034160662E-6</v>
      </c>
      <c r="AH40" s="22">
        <f t="shared" si="10"/>
        <v>0.33745000000000003</v>
      </c>
      <c r="AI40" s="22">
        <f t="shared" si="11"/>
        <v>1.6500000000000008E-2</v>
      </c>
      <c r="AJ40" s="22">
        <f t="shared" si="12"/>
        <v>6.4000000000000057E-2</v>
      </c>
    </row>
    <row r="41" spans="1:36" x14ac:dyDescent="0.25">
      <c r="A41" s="10">
        <f>'Proximal Validation (double)'!A41</f>
        <v>1</v>
      </c>
      <c r="B41" s="11">
        <f>'Proximal Validation (double)'!B41</f>
        <v>0.2</v>
      </c>
      <c r="C41" s="10">
        <f>'Proximal Validation (double)'!C41</f>
        <v>4.7119999999999997</v>
      </c>
      <c r="D41" s="10">
        <f>'Proximal Validation (double)'!D41</f>
        <v>1.5707963267948966</v>
      </c>
      <c r="E41" s="11">
        <f>'Proximal Validation (double)'!E41</f>
        <v>0.8</v>
      </c>
      <c r="F41" s="11">
        <f>'Proximal Validation (double)'!F41</f>
        <v>0.02</v>
      </c>
      <c r="G41" s="10">
        <f>'Proximal Validation (double)'!G41</f>
        <v>3.1419999999999999</v>
      </c>
      <c r="H41" s="10">
        <f>'Proximal Validation (double)'!H41</f>
        <v>1.5707963267948966</v>
      </c>
      <c r="I41" s="10">
        <f>'Proximal Validation (double)'!I41</f>
        <v>1.4</v>
      </c>
      <c r="J41" s="10">
        <f>'Proximal Validation (double)'!J41</f>
        <v>0</v>
      </c>
      <c r="K41" s="10">
        <f>'Proximal Validation (double)'!K41</f>
        <v>0</v>
      </c>
      <c r="L41" s="8">
        <f>'Proximal Validation (double)'!L41</f>
        <v>-1.2570786289870701E-2</v>
      </c>
      <c r="M41" s="8">
        <f>'Proximal Validation (double)'!M41</f>
        <v>0.239984765648842</v>
      </c>
      <c r="N41" s="8">
        <f>'Proximal Validation (double)'!N41</f>
        <v>-9.4180338084697696E-2</v>
      </c>
      <c r="O41" s="8">
        <f>'Proximal Validation (double)'!O41</f>
        <v>-0.68777251243591297</v>
      </c>
      <c r="P41" s="8">
        <f>'Proximal Validation (double)'!P41</f>
        <v>-0.81574249267578103</v>
      </c>
      <c r="Q41" s="8">
        <f>'Proximal Validation (double)'!Q41</f>
        <v>-0.66350710391998302</v>
      </c>
      <c r="R41" s="8">
        <v>0.91739999999999999</v>
      </c>
      <c r="S41" s="8">
        <v>0.2</v>
      </c>
      <c r="T41" s="8">
        <v>4.7123999999999997</v>
      </c>
      <c r="U41" s="8">
        <v>1.5708</v>
      </c>
      <c r="V41" s="8">
        <v>0.82520000000000004</v>
      </c>
      <c r="W41" s="8">
        <v>2.6100000000000002E-2</v>
      </c>
      <c r="X41" s="8">
        <v>3.1919</v>
      </c>
      <c r="Y41" s="8">
        <v>1.5708</v>
      </c>
      <c r="Z41" s="8">
        <f t="shared" si="2"/>
        <v>-8.2600000000000007E-2</v>
      </c>
      <c r="AA41" s="8">
        <f t="shared" si="3"/>
        <v>0</v>
      </c>
      <c r="AB41" s="8">
        <f t="shared" si="4"/>
        <v>3.9999999999995595E-4</v>
      </c>
      <c r="AC41" s="8">
        <f t="shared" si="5"/>
        <v>3.6732051034160662E-6</v>
      </c>
      <c r="AD41" s="8">
        <f t="shared" si="6"/>
        <v>2.52E-2</v>
      </c>
      <c r="AE41" s="8">
        <f t="shared" si="7"/>
        <v>6.1000000000000013E-3</v>
      </c>
      <c r="AF41" s="8">
        <f t="shared" si="8"/>
        <v>4.9900000000000055E-2</v>
      </c>
      <c r="AG41" s="8">
        <f t="shared" si="9"/>
        <v>3.6732051034160662E-6</v>
      </c>
      <c r="AH41" s="22">
        <f t="shared" si="10"/>
        <v>5.3900000000000003E-2</v>
      </c>
      <c r="AI41" s="22">
        <f t="shared" si="11"/>
        <v>3.0500000000000006E-3</v>
      </c>
      <c r="AJ41" s="22">
        <f t="shared" si="12"/>
        <v>2.5150000000000006E-2</v>
      </c>
    </row>
    <row r="42" spans="1:36" x14ac:dyDescent="0.25">
      <c r="A42" s="10">
        <f>'Proximal Validation (double)'!A42</f>
        <v>0.2</v>
      </c>
      <c r="B42" s="13">
        <f>'Proximal Validation (double)'!B42</f>
        <v>0.2</v>
      </c>
      <c r="C42" s="14">
        <f>'Proximal Validation (double)'!C42</f>
        <v>4.7119999999999997</v>
      </c>
      <c r="D42" s="14">
        <f>'Proximal Validation (double)'!D42</f>
        <v>1.5707963267948966</v>
      </c>
      <c r="E42" s="13">
        <f>'Proximal Validation (double)'!E42</f>
        <v>0.1</v>
      </c>
      <c r="F42" s="13">
        <f>'Proximal Validation (double)'!F42</f>
        <v>0.08</v>
      </c>
      <c r="G42" s="14">
        <f>'Proximal Validation (double)'!G42</f>
        <v>3.927</v>
      </c>
      <c r="H42" s="14">
        <f>'Proximal Validation (double)'!H42</f>
        <v>1.5707963267948966</v>
      </c>
      <c r="I42" s="14">
        <f>'Proximal Validation (double)'!I42</f>
        <v>0</v>
      </c>
      <c r="J42" s="14">
        <f>'Proximal Validation (double)'!J42</f>
        <v>0</v>
      </c>
      <c r="K42" s="14">
        <f>'Proximal Validation (double)'!K42</f>
        <v>0</v>
      </c>
      <c r="L42" s="15">
        <f>'Proximal Validation (double)'!L42</f>
        <v>2.25764350034297E-4</v>
      </c>
      <c r="M42" s="15">
        <f>'Proximal Validation (double)'!M42</f>
        <v>5.42946308851242E-2</v>
      </c>
      <c r="N42" s="15">
        <f>'Proximal Validation (double)'!N42</f>
        <v>-1.43192345276475E-2</v>
      </c>
      <c r="O42" s="15">
        <f>'Proximal Validation (double)'!O42</f>
        <v>-3.8537099957466098E-2</v>
      </c>
      <c r="P42" s="15">
        <f>'Proximal Validation (double)'!P42</f>
        <v>-8.5683420300483704E-2</v>
      </c>
      <c r="Q42" s="15">
        <f>'Proximal Validation (double)'!Q42</f>
        <v>-0.207838654518127</v>
      </c>
      <c r="R42" s="15">
        <v>0.16170000000000001</v>
      </c>
      <c r="S42" s="15">
        <v>0.2</v>
      </c>
      <c r="T42" s="15">
        <v>4.7119999999999997</v>
      </c>
      <c r="U42" s="15">
        <v>1.5708</v>
      </c>
      <c r="V42" s="15">
        <v>0.1</v>
      </c>
      <c r="W42" s="15">
        <v>0.08</v>
      </c>
      <c r="X42" s="15">
        <v>3.6766999999999999</v>
      </c>
      <c r="Y42" s="15">
        <v>1.5708</v>
      </c>
      <c r="Z42" s="15">
        <f t="shared" si="2"/>
        <v>-3.8300000000000001E-2</v>
      </c>
      <c r="AA42" s="15">
        <f t="shared" si="3"/>
        <v>0</v>
      </c>
      <c r="AB42" s="15">
        <f t="shared" si="4"/>
        <v>0</v>
      </c>
      <c r="AC42" s="15">
        <f t="shared" si="5"/>
        <v>3.6732051034160662E-6</v>
      </c>
      <c r="AD42" s="15">
        <f t="shared" si="6"/>
        <v>0</v>
      </c>
      <c r="AE42" s="15">
        <f t="shared" si="7"/>
        <v>0</v>
      </c>
      <c r="AF42" s="15">
        <f t="shared" si="8"/>
        <v>-0.25030000000000019</v>
      </c>
      <c r="AG42" s="15">
        <f t="shared" si="9"/>
        <v>3.6732051034160662E-6</v>
      </c>
      <c r="AH42" s="22">
        <f t="shared" si="10"/>
        <v>1.915E-2</v>
      </c>
      <c r="AI42" s="22">
        <f t="shared" si="11"/>
        <v>0</v>
      </c>
      <c r="AJ42" s="22">
        <f t="shared" si="12"/>
        <v>0.12515000000000009</v>
      </c>
    </row>
    <row r="43" spans="1:36" ht="15.75" x14ac:dyDescent="0.25">
      <c r="A43" s="12"/>
      <c r="B43" s="16"/>
      <c r="C43" s="17"/>
      <c r="D43" s="17"/>
      <c r="E43" s="16"/>
      <c r="F43" s="16"/>
      <c r="G43" s="17"/>
      <c r="H43" s="17"/>
      <c r="I43" s="17"/>
      <c r="J43" s="17"/>
      <c r="K43" s="17"/>
      <c r="L43" s="18"/>
      <c r="M43" s="18"/>
      <c r="N43" s="18"/>
      <c r="O43" s="18"/>
      <c r="P43" s="18"/>
      <c r="Q43" s="18"/>
      <c r="R43" s="17"/>
      <c r="S43" s="17"/>
      <c r="T43" s="17"/>
      <c r="U43" s="17"/>
      <c r="V43" s="17"/>
      <c r="W43" s="17"/>
      <c r="X43" s="19"/>
      <c r="Y43" s="19"/>
    </row>
    <row r="44" spans="1:36" ht="15.75" x14ac:dyDescent="0.25">
      <c r="A44" s="12"/>
      <c r="B44" s="16"/>
      <c r="C44" s="17"/>
      <c r="D44" s="17"/>
      <c r="E44" s="16"/>
      <c r="F44" s="16"/>
      <c r="G44" s="17"/>
      <c r="H44" s="17"/>
      <c r="I44" s="17"/>
      <c r="J44" s="17"/>
      <c r="K44" s="17"/>
      <c r="L44" s="18"/>
      <c r="M44" s="18"/>
      <c r="N44" s="18"/>
      <c r="O44" s="18"/>
      <c r="P44" s="18"/>
      <c r="Q44" s="18"/>
      <c r="R44" s="17"/>
      <c r="S44" s="17"/>
      <c r="T44" s="17"/>
      <c r="U44" s="17"/>
      <c r="V44" s="17"/>
      <c r="W44" s="17"/>
      <c r="X44" s="19"/>
      <c r="Y44" s="19"/>
    </row>
    <row r="45" spans="1:36" ht="15.75" x14ac:dyDescent="0.25">
      <c r="A45" s="12"/>
      <c r="B45" s="16"/>
      <c r="C45" s="17"/>
      <c r="D45" s="17"/>
      <c r="E45" s="16"/>
      <c r="F45" s="16"/>
      <c r="G45" s="17"/>
      <c r="H45" s="17"/>
      <c r="I45" s="17"/>
      <c r="J45" s="17"/>
      <c r="K45" s="17"/>
      <c r="L45" s="18"/>
      <c r="M45" s="18"/>
      <c r="N45" s="18"/>
      <c r="O45" s="18"/>
      <c r="P45" s="18"/>
      <c r="Q45" s="18"/>
      <c r="R45" s="17"/>
      <c r="S45" s="17"/>
      <c r="T45" s="17"/>
      <c r="U45" s="17"/>
      <c r="V45" s="17"/>
      <c r="W45" s="17"/>
      <c r="X45" s="19"/>
      <c r="Y45" s="19"/>
    </row>
    <row r="46" spans="1:36" ht="15.75" x14ac:dyDescent="0.25">
      <c r="A46" s="12"/>
      <c r="B46" s="16"/>
      <c r="C46" s="17"/>
      <c r="D46" s="17"/>
      <c r="E46" s="16"/>
      <c r="F46" s="16"/>
      <c r="G46" s="17"/>
      <c r="H46" s="17"/>
      <c r="I46" s="17"/>
      <c r="J46" s="17"/>
      <c r="K46" s="17"/>
      <c r="L46" s="18"/>
      <c r="M46" s="18"/>
      <c r="N46" s="18"/>
      <c r="O46" s="18"/>
      <c r="P46" s="18"/>
      <c r="Q46" s="18"/>
      <c r="R46" s="17"/>
      <c r="S46" s="17"/>
      <c r="T46" s="17"/>
      <c r="U46" s="17"/>
      <c r="V46" s="17"/>
      <c r="W46" s="17"/>
      <c r="X46" s="19"/>
      <c r="Y46" s="19"/>
    </row>
    <row r="47" spans="1:36" ht="15.75" x14ac:dyDescent="0.25">
      <c r="A47" s="12"/>
      <c r="B47" s="16"/>
      <c r="C47" s="17"/>
      <c r="D47" s="17"/>
      <c r="E47" s="16"/>
      <c r="F47" s="16"/>
      <c r="G47" s="17"/>
      <c r="H47" s="17"/>
      <c r="I47" s="17"/>
      <c r="J47" s="17"/>
      <c r="K47" s="17"/>
      <c r="L47" s="18"/>
      <c r="M47" s="18"/>
      <c r="N47" s="18"/>
      <c r="O47" s="18"/>
      <c r="P47" s="18"/>
      <c r="Q47" s="18"/>
      <c r="R47" s="17"/>
      <c r="S47" s="17"/>
      <c r="T47" s="17"/>
      <c r="U47" s="17"/>
      <c r="V47" s="17"/>
      <c r="W47" s="17"/>
      <c r="X47" s="19"/>
      <c r="Y47" s="19"/>
    </row>
    <row r="48" spans="1:36" ht="15.75" x14ac:dyDescent="0.25">
      <c r="A48" s="12"/>
      <c r="B48" s="16"/>
      <c r="C48" s="17"/>
      <c r="D48" s="17"/>
      <c r="E48" s="16"/>
      <c r="F48" s="16"/>
      <c r="G48" s="17"/>
      <c r="H48" s="17"/>
      <c r="I48" s="17"/>
      <c r="J48" s="17"/>
      <c r="K48" s="17"/>
      <c r="L48" s="18"/>
      <c r="M48" s="18"/>
      <c r="N48" s="18"/>
      <c r="O48" s="18"/>
      <c r="P48" s="18"/>
      <c r="Q48" s="18"/>
      <c r="R48" s="17"/>
      <c r="S48" s="17"/>
      <c r="T48" s="17"/>
      <c r="U48" s="17"/>
      <c r="V48" s="17"/>
      <c r="W48" s="17"/>
      <c r="X48" s="19"/>
      <c r="Y48" s="19"/>
    </row>
    <row r="49" spans="1:25" ht="15.75" x14ac:dyDescent="0.25">
      <c r="A49" s="12"/>
      <c r="B49" s="16"/>
      <c r="C49" s="17"/>
      <c r="D49" s="17"/>
      <c r="E49" s="16"/>
      <c r="F49" s="16"/>
      <c r="G49" s="17"/>
      <c r="H49" s="17"/>
      <c r="I49" s="17"/>
      <c r="J49" s="17"/>
      <c r="K49" s="17"/>
      <c r="L49" s="18"/>
      <c r="M49" s="18"/>
      <c r="N49" s="18"/>
      <c r="O49" s="18"/>
      <c r="P49" s="18"/>
      <c r="Q49" s="18"/>
      <c r="R49" s="17"/>
      <c r="S49" s="17"/>
      <c r="T49" s="17"/>
      <c r="U49" s="17"/>
      <c r="V49" s="17"/>
      <c r="W49" s="17"/>
      <c r="X49" s="19"/>
      <c r="Y49" s="19"/>
    </row>
    <row r="50" spans="1:25" ht="15.75" x14ac:dyDescent="0.25">
      <c r="A50" s="12"/>
      <c r="B50" s="16"/>
      <c r="C50" s="17"/>
      <c r="D50" s="17"/>
      <c r="E50" s="16"/>
      <c r="F50" s="16"/>
      <c r="G50" s="17"/>
      <c r="H50" s="17"/>
      <c r="I50" s="17"/>
      <c r="J50" s="17"/>
      <c r="K50" s="17"/>
      <c r="L50" s="18"/>
      <c r="M50" s="18"/>
      <c r="N50" s="18"/>
      <c r="O50" s="18"/>
      <c r="P50" s="18"/>
      <c r="Q50" s="18"/>
      <c r="R50" s="17"/>
      <c r="S50" s="17"/>
      <c r="T50" s="17"/>
      <c r="U50" s="17"/>
      <c r="V50" s="17"/>
      <c r="W50" s="17"/>
      <c r="X50" s="19"/>
      <c r="Y50" s="19"/>
    </row>
    <row r="51" spans="1:25" ht="15.75" x14ac:dyDescent="0.25">
      <c r="A51" s="12"/>
      <c r="B51" s="16"/>
      <c r="C51" s="17"/>
      <c r="D51" s="17"/>
      <c r="E51" s="16"/>
      <c r="F51" s="16"/>
      <c r="G51" s="17"/>
      <c r="H51" s="17"/>
      <c r="I51" s="17"/>
      <c r="J51" s="17"/>
      <c r="K51" s="17"/>
      <c r="L51" s="18"/>
      <c r="M51" s="18"/>
      <c r="N51" s="18"/>
      <c r="O51" s="18"/>
      <c r="P51" s="18"/>
      <c r="Q51" s="18"/>
      <c r="R51" s="17"/>
      <c r="S51" s="17"/>
      <c r="T51" s="17"/>
      <c r="U51" s="17"/>
      <c r="V51" s="17"/>
      <c r="W51" s="17"/>
      <c r="X51" s="19"/>
      <c r="Y51" s="19"/>
    </row>
    <row r="52" spans="1:25" ht="15.75" x14ac:dyDescent="0.25">
      <c r="A52" s="12"/>
      <c r="B52" s="16"/>
      <c r="C52" s="17"/>
      <c r="D52" s="17"/>
      <c r="E52" s="16"/>
      <c r="F52" s="16"/>
      <c r="G52" s="17"/>
      <c r="H52" s="17"/>
      <c r="I52" s="17"/>
      <c r="J52" s="17"/>
      <c r="K52" s="17"/>
      <c r="L52" s="18"/>
      <c r="M52" s="18"/>
      <c r="N52" s="18"/>
      <c r="O52" s="18"/>
      <c r="P52" s="18"/>
      <c r="Q52" s="18"/>
      <c r="R52" s="17"/>
      <c r="S52" s="17"/>
      <c r="T52" s="17"/>
      <c r="U52" s="17"/>
      <c r="V52" s="17"/>
      <c r="W52" s="17"/>
      <c r="X52" s="19"/>
      <c r="Y52" s="19"/>
    </row>
  </sheetData>
  <mergeCells count="7">
    <mergeCell ref="AK2:AR2"/>
    <mergeCell ref="AK5:AR5"/>
    <mergeCell ref="AH1:AR1"/>
    <mergeCell ref="A1:K1"/>
    <mergeCell ref="L1:Q1"/>
    <mergeCell ref="R1:Y1"/>
    <mergeCell ref="Z1:AG1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5993D2-3D1C-473F-989F-528D715C9318}">
  <dimension ref="A1:AU52"/>
  <sheetViews>
    <sheetView topLeftCell="T1" workbookViewId="0">
      <pane ySplit="2" topLeftCell="A3" activePane="bottomLeft" state="frozen"/>
      <selection activeCell="K1" sqref="K1"/>
      <selection pane="bottomLeft" activeCell="AN13" sqref="AN13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8.7109375" bestFit="1" customWidth="1"/>
    <col min="4" max="4" width="9.42578125" bestFit="1" customWidth="1"/>
    <col min="5" max="5" width="6.5703125" bestFit="1" customWidth="1"/>
    <col min="6" max="6" width="6.85546875" bestFit="1" customWidth="1"/>
    <col min="7" max="7" width="8.7109375" bestFit="1" customWidth="1"/>
    <col min="8" max="8" width="9.42578125" bestFit="1" customWidth="1"/>
    <col min="9" max="11" width="8.42578125" bestFit="1" customWidth="1"/>
    <col min="12" max="13" width="8.28515625" bestFit="1" customWidth="1"/>
    <col min="14" max="14" width="7.85546875" bestFit="1" customWidth="1"/>
    <col min="15" max="17" width="7" bestFit="1" customWidth="1"/>
    <col min="18" max="18" width="6.5703125" bestFit="1" customWidth="1"/>
    <col min="19" max="19" width="6.85546875" bestFit="1" customWidth="1"/>
    <col min="20" max="20" width="8.7109375" bestFit="1" customWidth="1"/>
    <col min="21" max="21" width="9.140625" bestFit="1" customWidth="1"/>
    <col min="22" max="22" width="6.5703125" bestFit="1" customWidth="1"/>
    <col min="23" max="23" width="6.85546875" bestFit="1" customWidth="1"/>
    <col min="24" max="24" width="8.7109375" bestFit="1" customWidth="1"/>
    <col min="25" max="25" width="9.140625" bestFit="1" customWidth="1"/>
    <col min="26" max="26" width="6.7109375" bestFit="1" customWidth="1"/>
    <col min="27" max="27" width="6.5703125" bestFit="1" customWidth="1"/>
    <col min="28" max="28" width="6.85546875" bestFit="1" customWidth="1"/>
    <col min="29" max="29" width="8.7109375" bestFit="1" customWidth="1"/>
    <col min="31" max="31" width="6.5703125" bestFit="1" customWidth="1"/>
    <col min="32" max="32" width="6.85546875" bestFit="1" customWidth="1"/>
    <col min="33" max="33" width="8.7109375" bestFit="1" customWidth="1"/>
    <col min="35" max="35" width="15.140625" customWidth="1"/>
    <col min="36" max="36" width="15.28515625" customWidth="1"/>
    <col min="37" max="37" width="16.28515625" customWidth="1"/>
    <col min="38" max="38" width="8.42578125" bestFit="1" customWidth="1"/>
    <col min="39" max="39" width="8.42578125" customWidth="1"/>
    <col min="40" max="40" width="11" bestFit="1" customWidth="1"/>
    <col min="41" max="41" width="13.85546875" bestFit="1" customWidth="1"/>
    <col min="42" max="42" width="11.140625" bestFit="1" customWidth="1"/>
  </cols>
  <sheetData>
    <row r="1" spans="1:47" ht="15.75" x14ac:dyDescent="0.25">
      <c r="A1" s="32" t="s">
        <v>11</v>
      </c>
      <c r="B1" s="32"/>
      <c r="C1" s="32"/>
      <c r="D1" s="32"/>
      <c r="E1" s="32"/>
      <c r="F1" s="32"/>
      <c r="G1" s="32"/>
      <c r="H1" s="32"/>
      <c r="I1" s="32"/>
      <c r="J1" s="32"/>
      <c r="K1" s="33"/>
      <c r="L1" s="46" t="s">
        <v>41</v>
      </c>
      <c r="M1" s="47"/>
      <c r="N1" s="47"/>
      <c r="O1" s="47"/>
      <c r="P1" s="47"/>
      <c r="Q1" s="47"/>
      <c r="R1" s="42" t="s">
        <v>7</v>
      </c>
      <c r="S1" s="43"/>
      <c r="T1" s="43"/>
      <c r="U1" s="43"/>
      <c r="V1" s="43"/>
      <c r="W1" s="43"/>
      <c r="X1" s="43"/>
      <c r="Y1" s="43"/>
      <c r="Z1" s="43"/>
      <c r="AA1" s="44" t="s">
        <v>13</v>
      </c>
      <c r="AB1" s="44"/>
      <c r="AC1" s="44"/>
      <c r="AD1" s="44"/>
      <c r="AE1" s="44"/>
      <c r="AF1" s="44"/>
      <c r="AG1" s="44"/>
      <c r="AH1" s="44"/>
      <c r="AI1" s="45" t="s">
        <v>36</v>
      </c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1:47" ht="15.75" x14ac:dyDescent="0.25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23</v>
      </c>
      <c r="S2" s="1" t="s">
        <v>24</v>
      </c>
      <c r="T2" s="1" t="s">
        <v>25</v>
      </c>
      <c r="U2" s="1" t="s">
        <v>29</v>
      </c>
      <c r="V2" s="1" t="s">
        <v>26</v>
      </c>
      <c r="W2" s="1" t="s">
        <v>27</v>
      </c>
      <c r="X2" s="1" t="s">
        <v>28</v>
      </c>
      <c r="Y2" s="1" t="s">
        <v>30</v>
      </c>
      <c r="Z2" s="2" t="s">
        <v>37</v>
      </c>
      <c r="AA2" s="3" t="s">
        <v>23</v>
      </c>
      <c r="AB2" s="1" t="s">
        <v>24</v>
      </c>
      <c r="AC2" s="1" t="s">
        <v>25</v>
      </c>
      <c r="AD2" s="1" t="s">
        <v>29</v>
      </c>
      <c r="AE2" s="1" t="s">
        <v>26</v>
      </c>
      <c r="AF2" s="1" t="s">
        <v>27</v>
      </c>
      <c r="AG2" s="1" t="s">
        <v>28</v>
      </c>
      <c r="AH2" s="1" t="s">
        <v>30</v>
      </c>
      <c r="AI2" s="20" t="s">
        <v>33</v>
      </c>
      <c r="AJ2" s="20" t="s">
        <v>34</v>
      </c>
      <c r="AK2" s="20" t="s">
        <v>35</v>
      </c>
      <c r="AL2" s="20" t="s">
        <v>38</v>
      </c>
      <c r="AM2" s="20"/>
      <c r="AN2" s="41" t="s">
        <v>31</v>
      </c>
      <c r="AO2" s="41"/>
      <c r="AP2" s="41"/>
      <c r="AQ2" s="41"/>
      <c r="AR2" s="41"/>
      <c r="AS2" s="41"/>
      <c r="AT2" s="41"/>
      <c r="AU2" s="41"/>
    </row>
    <row r="3" spans="1:47" ht="15.75" x14ac:dyDescent="0.25">
      <c r="A3" s="10">
        <f>'Proximal Validation (double)'!A3</f>
        <v>0.2</v>
      </c>
      <c r="B3" s="11">
        <f>'Proximal Validation (double)'!B3</f>
        <v>0.1</v>
      </c>
      <c r="C3" s="10">
        <f>'Proximal Validation (double)'!C3</f>
        <v>1.571</v>
      </c>
      <c r="D3" s="10">
        <f>'Proximal Validation (double)'!D3</f>
        <v>1.5707963267948966</v>
      </c>
      <c r="E3" s="11">
        <f>'Proximal Validation (double)'!E3</f>
        <v>1</v>
      </c>
      <c r="F3" s="11">
        <f>'Proximal Validation (double)'!F3</f>
        <v>0.04</v>
      </c>
      <c r="G3" s="10">
        <f>'Proximal Validation (double)'!G3</f>
        <v>3.1419999999999999</v>
      </c>
      <c r="H3" s="10">
        <f>'Proximal Validation (double)'!H3</f>
        <v>1.5707963267948966</v>
      </c>
      <c r="I3" s="10">
        <f>'Proximal Validation (double)'!I3</f>
        <v>1.4</v>
      </c>
      <c r="J3" s="10">
        <f>'Proximal Validation (double)'!J3</f>
        <v>0</v>
      </c>
      <c r="K3" s="10">
        <f>'Proximal Validation (double)'!K3</f>
        <v>0</v>
      </c>
      <c r="L3" s="28">
        <v>5.3931649415889747E-4</v>
      </c>
      <c r="M3" s="28">
        <v>-3.7889045588098892E-2</v>
      </c>
      <c r="N3" s="28">
        <v>-0.12975347517948893</v>
      </c>
      <c r="O3" s="28">
        <v>-2.4894947926389022E-2</v>
      </c>
      <c r="P3" s="28">
        <v>-0.99993892954005836</v>
      </c>
      <c r="Q3" s="28">
        <v>0.19908331248052261</v>
      </c>
      <c r="R3" s="8">
        <v>0.2394099457365351</v>
      </c>
      <c r="S3" s="8">
        <v>0.11213816596022452</v>
      </c>
      <c r="T3" s="8">
        <v>2.3291718013798799</v>
      </c>
      <c r="U3" s="8">
        <v>1.5707963267948966</v>
      </c>
      <c r="V3" s="8">
        <v>0.83586880828946841</v>
      </c>
      <c r="W3" s="8">
        <v>2.6123170513965861E-2</v>
      </c>
      <c r="X3" s="8">
        <v>3.1108719728858731</v>
      </c>
      <c r="Y3" s="8">
        <v>1.5707963267948966</v>
      </c>
      <c r="Z3" s="28">
        <v>1.3010925003221973E-7</v>
      </c>
      <c r="AA3" s="8">
        <f t="shared" ref="AA3:AH34" si="0">R3-A3</f>
        <v>3.9409945736535085E-2</v>
      </c>
      <c r="AB3" s="8">
        <f t="shared" si="0"/>
        <v>1.2138165960224517E-2</v>
      </c>
      <c r="AC3" s="8">
        <f t="shared" si="0"/>
        <v>0.75817180137987994</v>
      </c>
      <c r="AD3" s="8">
        <f t="shared" si="0"/>
        <v>0</v>
      </c>
      <c r="AE3" s="8">
        <f t="shared" si="0"/>
        <v>-0.16413119171053159</v>
      </c>
      <c r="AF3" s="8">
        <f t="shared" si="0"/>
        <v>-1.387682948603414E-2</v>
      </c>
      <c r="AG3" s="8">
        <f t="shared" si="0"/>
        <v>-3.1128027114126766E-2</v>
      </c>
      <c r="AH3" s="8">
        <f t="shared" si="0"/>
        <v>0</v>
      </c>
      <c r="AI3" s="22">
        <f>AVERAGE(ABS(AA3),ABS(AE3))</f>
        <v>0.10177056872353334</v>
      </c>
      <c r="AJ3" s="22">
        <f t="shared" ref="AJ3:AK18" si="1">AVERAGE(ABS(AB3),ABS(AF3))</f>
        <v>1.3007497723129329E-2</v>
      </c>
      <c r="AK3" s="22">
        <f t="shared" si="1"/>
        <v>0.39464991424700335</v>
      </c>
      <c r="AL3" s="22">
        <f>MIN(A3,E3)</f>
        <v>0.2</v>
      </c>
      <c r="AM3" s="22">
        <f>ABS(B3-F3)</f>
        <v>6.0000000000000005E-2</v>
      </c>
      <c r="AN3" s="1" t="s">
        <v>23</v>
      </c>
      <c r="AO3" s="1" t="s">
        <v>24</v>
      </c>
      <c r="AP3" s="1" t="s">
        <v>25</v>
      </c>
      <c r="AQ3" s="1" t="s">
        <v>29</v>
      </c>
      <c r="AR3" s="1" t="s">
        <v>26</v>
      </c>
      <c r="AS3" s="1" t="s">
        <v>27</v>
      </c>
      <c r="AT3" s="1" t="s">
        <v>28</v>
      </c>
      <c r="AU3" s="1" t="s">
        <v>30</v>
      </c>
    </row>
    <row r="4" spans="1:47" s="5" customFormat="1" x14ac:dyDescent="0.25">
      <c r="A4" s="10">
        <f>'Proximal Validation (double)'!A4</f>
        <v>1</v>
      </c>
      <c r="B4" s="11">
        <f>'Proximal Validation (double)'!B4</f>
        <v>0.1</v>
      </c>
      <c r="C4" s="10">
        <f>'Proximal Validation (double)'!C4</f>
        <v>1.571</v>
      </c>
      <c r="D4" s="10">
        <f>'Proximal Validation (double)'!D4</f>
        <v>1.5707963267948966</v>
      </c>
      <c r="E4" s="11">
        <f>'Proximal Validation (double)'!E4</f>
        <v>1</v>
      </c>
      <c r="F4" s="11">
        <f>'Proximal Validation (double)'!F4</f>
        <v>0.08</v>
      </c>
      <c r="G4" s="10">
        <f>'Proximal Validation (double)'!G4</f>
        <v>3.1419999999999999</v>
      </c>
      <c r="H4" s="10">
        <f>'Proximal Validation (double)'!H4</f>
        <v>1.5707963267948966</v>
      </c>
      <c r="I4" s="10">
        <f>'Proximal Validation (double)'!I4</f>
        <v>0</v>
      </c>
      <c r="J4" s="10">
        <f>'Proximal Validation (double)'!J4</f>
        <v>0</v>
      </c>
      <c r="K4" s="10">
        <f>'Proximal Validation (double)'!K4</f>
        <v>0</v>
      </c>
      <c r="L4" s="28">
        <v>2.5185185537609318E-10</v>
      </c>
      <c r="M4" s="28">
        <v>-0.18648030514289105</v>
      </c>
      <c r="N4" s="28">
        <v>-0.16762566874765483</v>
      </c>
      <c r="O4" s="28">
        <v>-0.31806636372917829</v>
      </c>
      <c r="P4" s="28">
        <v>-0.97896173521635754</v>
      </c>
      <c r="Q4" s="28">
        <v>0.96946848028732324</v>
      </c>
      <c r="R4" s="8">
        <v>0.92413753264095377</v>
      </c>
      <c r="S4" s="8">
        <v>0.10808724240378365</v>
      </c>
      <c r="T4" s="8">
        <v>2.0444631684144494</v>
      </c>
      <c r="U4" s="8">
        <v>1.5707963267948966</v>
      </c>
      <c r="V4" s="8">
        <v>0.60584801256192233</v>
      </c>
      <c r="W4" s="8">
        <v>5.9094905111509964E-2</v>
      </c>
      <c r="X4" s="8">
        <v>2.844051065693129</v>
      </c>
      <c r="Y4" s="8">
        <v>1.5707963267948966</v>
      </c>
      <c r="Z4" s="28">
        <v>5.2113347894924301E-7</v>
      </c>
      <c r="AA4" s="8">
        <f t="shared" si="0"/>
        <v>-7.5862467359046226E-2</v>
      </c>
      <c r="AB4" s="8">
        <f t="shared" si="0"/>
        <v>8.0872424037836399E-3</v>
      </c>
      <c r="AC4" s="8">
        <f t="shared" si="0"/>
        <v>0.47346316841444946</v>
      </c>
      <c r="AD4" s="8">
        <f t="shared" si="0"/>
        <v>0</v>
      </c>
      <c r="AE4" s="8">
        <f t="shared" si="0"/>
        <v>-0.39415198743807767</v>
      </c>
      <c r="AF4" s="8">
        <f t="shared" si="0"/>
        <v>-2.0905094888490038E-2</v>
      </c>
      <c r="AG4" s="8">
        <f t="shared" si="0"/>
        <v>-0.29794893430687086</v>
      </c>
      <c r="AH4" s="8">
        <f t="shared" si="0"/>
        <v>0</v>
      </c>
      <c r="AI4" s="22">
        <f t="shared" ref="AI4:AK42" si="2">AVERAGE(ABS(AA4),ABS(AE4))</f>
        <v>0.23500722739856195</v>
      </c>
      <c r="AJ4" s="22">
        <f t="shared" si="1"/>
        <v>1.4496168646136839E-2</v>
      </c>
      <c r="AK4" s="22">
        <f t="shared" si="1"/>
        <v>0.38570605136066016</v>
      </c>
      <c r="AL4" s="22">
        <f t="shared" ref="AL4:AL42" si="3">MIN(A4,E4)</f>
        <v>1</v>
      </c>
      <c r="AM4" s="22">
        <f t="shared" ref="AM4:AM42" si="4">ABS(B4-F4)</f>
        <v>2.0000000000000004E-2</v>
      </c>
      <c r="AN4" s="21" cm="1">
        <f t="array" ref="AN4">AVERAGE(ABS(AA3:AA42))</f>
        <v>0.17612275544663347</v>
      </c>
      <c r="AO4" s="21" cm="1">
        <f t="array" ref="AO4">AVERAGE(ABS(AB3:AB42))</f>
        <v>2.1144565946161396E-2</v>
      </c>
      <c r="AP4" s="21" cm="1">
        <f t="array" ref="AP4">AVERAGE(ABS(AC3:AC42))</f>
        <v>0.4042284075137651</v>
      </c>
      <c r="AQ4" s="21" cm="1">
        <f t="array" ref="AQ4">AVERAGE(ABS(AD3:AD42))</f>
        <v>0</v>
      </c>
      <c r="AR4" s="21" cm="1">
        <f t="array" ref="AR4">AVERAGE(ABS(AE3:AE42))</f>
        <v>0.20157424495677775</v>
      </c>
      <c r="AS4" s="21" cm="1">
        <f t="array" ref="AS4">AVERAGE(ABS(AF3:AF42))</f>
        <v>2.2789402141880705E-2</v>
      </c>
      <c r="AT4" s="21" cm="1">
        <f t="array" ref="AT4">AVERAGE(ABS(AG3:AG42))</f>
        <v>0.2933235601377569</v>
      </c>
      <c r="AU4" s="21" cm="1">
        <f t="array" ref="AU4">AVERAGE(ABS(AH3:AH42))</f>
        <v>0</v>
      </c>
    </row>
    <row r="5" spans="1:47" x14ac:dyDescent="0.25">
      <c r="A5" s="10">
        <f>'Proximal Validation (double)'!A5</f>
        <v>0.5</v>
      </c>
      <c r="B5" s="10">
        <f>'Proximal Validation (double)'!B5</f>
        <v>0.1</v>
      </c>
      <c r="C5" s="10">
        <f>'Proximal Validation (double)'!C5</f>
        <v>1.571</v>
      </c>
      <c r="D5" s="10">
        <f>'Proximal Validation (double)'!D5</f>
        <v>1.5707963267948966</v>
      </c>
      <c r="E5" s="10">
        <f>'Proximal Validation (double)'!E5</f>
        <v>0.2</v>
      </c>
      <c r="F5" s="10">
        <f>'Proximal Validation (double)'!F5</f>
        <v>0.02</v>
      </c>
      <c r="G5" s="10">
        <f>'Proximal Validation (double)'!G5</f>
        <v>3.927</v>
      </c>
      <c r="H5" s="10">
        <f>'Proximal Validation (double)'!H5</f>
        <v>1.5707963267948966</v>
      </c>
      <c r="I5" s="10">
        <f>'Proximal Validation (double)'!I5</f>
        <v>0</v>
      </c>
      <c r="J5" s="10">
        <f>'Proximal Validation (double)'!J5</f>
        <v>0</v>
      </c>
      <c r="K5" s="10">
        <f>'Proximal Validation (double)'!K5</f>
        <v>0</v>
      </c>
      <c r="L5" s="28">
        <v>8.0154310317308645E-13</v>
      </c>
      <c r="M5" s="28">
        <v>-7.9238175416034493E-2</v>
      </c>
      <c r="N5" s="28">
        <v>-1.5485325806740696E-2</v>
      </c>
      <c r="O5" s="28">
        <v>-4.6898334908615988E-2</v>
      </c>
      <c r="P5" s="28">
        <v>-0.14148383702006256</v>
      </c>
      <c r="Q5" s="28">
        <v>0.35607195549675286</v>
      </c>
      <c r="R5" s="8">
        <v>0.44039465420771978</v>
      </c>
      <c r="S5" s="8">
        <v>0.1107951279929523</v>
      </c>
      <c r="T5" s="8">
        <v>1.5294927645792133</v>
      </c>
      <c r="U5" s="8">
        <v>1.5707963267948966</v>
      </c>
      <c r="V5" s="8">
        <v>0.17887902200942155</v>
      </c>
      <c r="W5" s="8">
        <v>2.9636245137814606E-2</v>
      </c>
      <c r="X5" s="8">
        <v>3.6110981141350136</v>
      </c>
      <c r="Y5" s="8">
        <v>1.5707963267948966</v>
      </c>
      <c r="Z5" s="28">
        <v>9.0476710413926683E-7</v>
      </c>
      <c r="AA5" s="8">
        <f t="shared" si="0"/>
        <v>-5.9605345792280218E-2</v>
      </c>
      <c r="AB5" s="8">
        <f t="shared" si="0"/>
        <v>1.0795127992952291E-2</v>
      </c>
      <c r="AC5" s="8">
        <f t="shared" si="0"/>
        <v>-4.1507235420786603E-2</v>
      </c>
      <c r="AD5" s="8">
        <f t="shared" si="0"/>
        <v>0</v>
      </c>
      <c r="AE5" s="8">
        <f t="shared" si="0"/>
        <v>-2.1120977990578466E-2</v>
      </c>
      <c r="AF5" s="8">
        <f t="shared" si="0"/>
        <v>9.6362451378146051E-3</v>
      </c>
      <c r="AG5" s="8">
        <f t="shared" si="0"/>
        <v>-0.31590188586498646</v>
      </c>
      <c r="AH5" s="8">
        <f t="shared" si="0"/>
        <v>0</v>
      </c>
      <c r="AI5" s="22">
        <f t="shared" si="2"/>
        <v>4.0363161891429342E-2</v>
      </c>
      <c r="AJ5" s="22">
        <f t="shared" si="1"/>
        <v>1.0215686565383448E-2</v>
      </c>
      <c r="AK5" s="22">
        <f t="shared" si="1"/>
        <v>0.17870456064288653</v>
      </c>
      <c r="AL5" s="22">
        <f t="shared" si="3"/>
        <v>0.2</v>
      </c>
      <c r="AM5" s="22">
        <f t="shared" si="4"/>
        <v>0.08</v>
      </c>
      <c r="AN5" s="41" t="s">
        <v>32</v>
      </c>
      <c r="AO5" s="41"/>
      <c r="AP5" s="41"/>
      <c r="AQ5" s="41"/>
      <c r="AR5" s="41"/>
      <c r="AS5" s="41"/>
      <c r="AT5" s="41"/>
      <c r="AU5" s="41"/>
    </row>
    <row r="6" spans="1:47" x14ac:dyDescent="0.25">
      <c r="A6" s="10">
        <f>'Proximal Validation (double)'!A6</f>
        <v>0.9</v>
      </c>
      <c r="B6" s="11">
        <f>'Proximal Validation (double)'!B6</f>
        <v>0.1</v>
      </c>
      <c r="C6" s="10">
        <f>'Proximal Validation (double)'!C6</f>
        <v>1.571</v>
      </c>
      <c r="D6" s="10">
        <f>'Proximal Validation (double)'!D6</f>
        <v>1.5707963267948966</v>
      </c>
      <c r="E6" s="11">
        <f>'Proximal Validation (double)'!E6</f>
        <v>0.2</v>
      </c>
      <c r="F6" s="11">
        <f>'Proximal Validation (double)'!F6</f>
        <v>0.08</v>
      </c>
      <c r="G6" s="10">
        <f>'Proximal Validation (double)'!G6</f>
        <v>4.7119999999999997</v>
      </c>
      <c r="H6" s="10">
        <f>'Proximal Validation (double)'!H6</f>
        <v>1.5707963267948966</v>
      </c>
      <c r="I6" s="10">
        <f>'Proximal Validation (double)'!I6</f>
        <v>1.2</v>
      </c>
      <c r="J6" s="10">
        <f>'Proximal Validation (double)'!J6</f>
        <v>0</v>
      </c>
      <c r="K6" s="10">
        <f>'Proximal Validation (double)'!K6</f>
        <v>0</v>
      </c>
      <c r="L6" s="28">
        <v>1.3329517114050197E-3</v>
      </c>
      <c r="M6" s="28">
        <v>-0.13551664280365339</v>
      </c>
      <c r="N6" s="28">
        <v>-1.8669694270399698E-4</v>
      </c>
      <c r="O6" s="28">
        <v>-0.13125427461300679</v>
      </c>
      <c r="P6" s="28">
        <v>-2.2537721558984832E-3</v>
      </c>
      <c r="Q6" s="28">
        <v>0.68764610593006059</v>
      </c>
      <c r="R6" s="8">
        <v>0.28507703509530852</v>
      </c>
      <c r="S6" s="8">
        <v>0.10574956046857975</v>
      </c>
      <c r="T6" s="8">
        <v>3.7826903705641755</v>
      </c>
      <c r="U6" s="8">
        <v>1.5707963267948966</v>
      </c>
      <c r="V6" s="8">
        <v>0.90000861690080913</v>
      </c>
      <c r="W6" s="8">
        <v>0.10557529130264716</v>
      </c>
      <c r="X6" s="8">
        <v>1.3144000646499125</v>
      </c>
      <c r="Y6" s="8">
        <v>1.5707963267948966</v>
      </c>
      <c r="Z6" s="28">
        <v>2.1165930870314128E-8</v>
      </c>
      <c r="AA6" s="8">
        <f t="shared" si="0"/>
        <v>-0.61492296490469145</v>
      </c>
      <c r="AB6" s="8">
        <f t="shared" si="0"/>
        <v>5.7495604685797452E-3</v>
      </c>
      <c r="AC6" s="8">
        <f t="shared" si="0"/>
        <v>2.2116903705641757</v>
      </c>
      <c r="AD6" s="8">
        <f t="shared" si="0"/>
        <v>0</v>
      </c>
      <c r="AE6" s="8">
        <f t="shared" si="0"/>
        <v>0.70000861690080907</v>
      </c>
      <c r="AF6" s="8">
        <f t="shared" si="0"/>
        <v>2.5575291302647157E-2</v>
      </c>
      <c r="AG6" s="8">
        <f t="shared" si="0"/>
        <v>-3.3975999353500872</v>
      </c>
      <c r="AH6" s="8">
        <f t="shared" si="0"/>
        <v>0</v>
      </c>
      <c r="AI6" s="22">
        <f t="shared" si="2"/>
        <v>0.65746579090275026</v>
      </c>
      <c r="AJ6" s="22">
        <f t="shared" si="1"/>
        <v>1.5662425885613451E-2</v>
      </c>
      <c r="AK6" s="22">
        <f t="shared" si="1"/>
        <v>2.8046451529571312</v>
      </c>
      <c r="AL6" s="22">
        <f t="shared" si="3"/>
        <v>0.2</v>
      </c>
      <c r="AM6" s="22">
        <f t="shared" si="4"/>
        <v>2.0000000000000004E-2</v>
      </c>
      <c r="AN6" s="20" t="s">
        <v>33</v>
      </c>
      <c r="AO6" s="20" t="s">
        <v>34</v>
      </c>
      <c r="AP6" s="20" t="s">
        <v>35</v>
      </c>
      <c r="AQ6" s="21"/>
      <c r="AR6" s="21"/>
      <c r="AS6" s="21"/>
      <c r="AT6" s="21"/>
      <c r="AU6" s="21"/>
    </row>
    <row r="7" spans="1:47" x14ac:dyDescent="0.25">
      <c r="A7" s="10">
        <f>'Proximal Validation (double)'!A7</f>
        <v>0.1</v>
      </c>
      <c r="B7" s="11">
        <f>'Proximal Validation (double)'!B7</f>
        <v>0.12</v>
      </c>
      <c r="C7" s="10">
        <f>'Proximal Validation (double)'!C7</f>
        <v>1.571</v>
      </c>
      <c r="D7" s="10">
        <f>'Proximal Validation (double)'!D7</f>
        <v>1.5707963267948966</v>
      </c>
      <c r="E7" s="11">
        <f>'Proximal Validation (double)'!E7</f>
        <v>1</v>
      </c>
      <c r="F7" s="11">
        <f>'Proximal Validation (double)'!F7</f>
        <v>0.06</v>
      </c>
      <c r="G7" s="10">
        <f>'Proximal Validation (double)'!G7</f>
        <v>3.927</v>
      </c>
      <c r="H7" s="10">
        <f>'Proximal Validation (double)'!H7</f>
        <v>1.5707963267948966</v>
      </c>
      <c r="I7" s="10">
        <f>'Proximal Validation (double)'!I7</f>
        <v>0</v>
      </c>
      <c r="J7" s="10">
        <f>'Proximal Validation (double)'!J7</f>
        <v>0</v>
      </c>
      <c r="K7" s="10">
        <f>'Proximal Validation (double)'!K7</f>
        <v>0</v>
      </c>
      <c r="L7" s="28">
        <v>1.7438567979386354E-12</v>
      </c>
      <c r="M7" s="28">
        <v>8.4916434787792802E-2</v>
      </c>
      <c r="N7" s="28">
        <v>-0.10589037537185693</v>
      </c>
      <c r="O7" s="28">
        <v>-4.4149465132442556E-2</v>
      </c>
      <c r="P7" s="28">
        <v>-0.70623528650841483</v>
      </c>
      <c r="Q7" s="28">
        <v>-0.60654005690696577</v>
      </c>
      <c r="R7" s="8">
        <v>0.25902346741675863</v>
      </c>
      <c r="S7" s="8">
        <v>7.2142334691812707E-2</v>
      </c>
      <c r="T7" s="8">
        <v>2.5974499327497655</v>
      </c>
      <c r="U7" s="8">
        <v>1.5707963267948966</v>
      </c>
      <c r="V7" s="8">
        <v>0.88604551583322488</v>
      </c>
      <c r="W7" s="8">
        <v>5.3990099679473519E-2</v>
      </c>
      <c r="X7" s="8">
        <v>4.1324758900059129</v>
      </c>
      <c r="Y7" s="8">
        <v>1.5707963267948966</v>
      </c>
      <c r="Z7" s="28">
        <v>8.0053485113732075E-8</v>
      </c>
      <c r="AA7" s="8">
        <f t="shared" si="0"/>
        <v>0.15902346741675863</v>
      </c>
      <c r="AB7" s="8">
        <f t="shared" si="0"/>
        <v>-4.7857665308187289E-2</v>
      </c>
      <c r="AC7" s="8">
        <f t="shared" si="0"/>
        <v>1.0264499327497656</v>
      </c>
      <c r="AD7" s="8">
        <f t="shared" si="0"/>
        <v>0</v>
      </c>
      <c r="AE7" s="8">
        <f t="shared" si="0"/>
        <v>-0.11395448416677512</v>
      </c>
      <c r="AF7" s="8">
        <f t="shared" si="0"/>
        <v>-6.0099003205264789E-3</v>
      </c>
      <c r="AG7" s="8">
        <f t="shared" si="0"/>
        <v>0.20547589000591282</v>
      </c>
      <c r="AH7" s="8">
        <f t="shared" si="0"/>
        <v>0</v>
      </c>
      <c r="AI7" s="22">
        <f t="shared" si="2"/>
        <v>0.13648897579176689</v>
      </c>
      <c r="AJ7" s="22">
        <f t="shared" si="1"/>
        <v>2.6933782814356884E-2</v>
      </c>
      <c r="AK7" s="22">
        <f t="shared" si="1"/>
        <v>0.61596291137783921</v>
      </c>
      <c r="AL7" s="22">
        <f t="shared" si="3"/>
        <v>0.1</v>
      </c>
      <c r="AM7" s="22">
        <f t="shared" si="4"/>
        <v>0.06</v>
      </c>
      <c r="AN7" s="27">
        <f>AVERAGE(AN4,AR4)</f>
        <v>0.18884850020170563</v>
      </c>
      <c r="AO7" s="27">
        <f t="shared" ref="AO7:AP7" si="5">AVERAGE(AO4,AS4)</f>
        <v>2.1966984044021053E-2</v>
      </c>
      <c r="AP7" s="27">
        <f t="shared" si="5"/>
        <v>0.34877598382576103</v>
      </c>
      <c r="AQ7" s="21"/>
      <c r="AR7" s="21"/>
      <c r="AS7" s="21"/>
      <c r="AT7" s="21"/>
      <c r="AU7" s="21"/>
    </row>
    <row r="8" spans="1:47" x14ac:dyDescent="0.25">
      <c r="A8" s="10">
        <f>'Proximal Validation (double)'!A8</f>
        <v>0.8</v>
      </c>
      <c r="B8" s="11">
        <f>'Proximal Validation (double)'!B8</f>
        <v>0.16</v>
      </c>
      <c r="C8" s="10">
        <f>'Proximal Validation (double)'!C8</f>
        <v>1.571</v>
      </c>
      <c r="D8" s="10">
        <f>'Proximal Validation (double)'!D8</f>
        <v>1.5707963267948966</v>
      </c>
      <c r="E8" s="11">
        <f>'Proximal Validation (double)'!E8</f>
        <v>0.8</v>
      </c>
      <c r="F8" s="11">
        <f>'Proximal Validation (double)'!F8</f>
        <v>0.06</v>
      </c>
      <c r="G8" s="10">
        <f>'Proximal Validation (double)'!G8</f>
        <v>3.927</v>
      </c>
      <c r="H8" s="10">
        <f>'Proximal Validation (double)'!H8</f>
        <v>1.5707963267948966</v>
      </c>
      <c r="I8" s="10">
        <f>'Proximal Validation (double)'!I8</f>
        <v>1.4</v>
      </c>
      <c r="J8" s="10">
        <f>'Proximal Validation (double)'!J8</f>
        <v>0</v>
      </c>
      <c r="K8" s="10">
        <f>'Proximal Validation (double)'!K8</f>
        <v>0</v>
      </c>
      <c r="L8" s="28">
        <v>5.2984970842091016E-3</v>
      </c>
      <c r="M8" s="28">
        <v>-9.5753716983653023E-2</v>
      </c>
      <c r="N8" s="28">
        <v>-8.5181442919793376E-2</v>
      </c>
      <c r="O8" s="28">
        <v>-0.34574407619669389</v>
      </c>
      <c r="P8" s="28">
        <v>-0.57333817525278685</v>
      </c>
      <c r="Q8" s="28">
        <v>0.10434494712680099</v>
      </c>
      <c r="R8" s="8">
        <v>0.644743258338773</v>
      </c>
      <c r="S8" s="8">
        <v>0.17397019480849935</v>
      </c>
      <c r="T8" s="8">
        <v>1.697219871777651</v>
      </c>
      <c r="U8" s="8">
        <v>1.5707963267948966</v>
      </c>
      <c r="V8" s="8">
        <v>0.63729333139604172</v>
      </c>
      <c r="W8" s="8">
        <v>4.206278266430423E-2</v>
      </c>
      <c r="X8" s="8">
        <v>3.831471995753164</v>
      </c>
      <c r="Y8" s="8">
        <v>1.5707963267948966</v>
      </c>
      <c r="Z8" s="28">
        <v>5.2268976590931763E-7</v>
      </c>
      <c r="AA8" s="8">
        <f t="shared" si="0"/>
        <v>-0.15525674166122705</v>
      </c>
      <c r="AB8" s="8">
        <f t="shared" si="0"/>
        <v>1.3970194808499342E-2</v>
      </c>
      <c r="AC8" s="8">
        <f t="shared" si="0"/>
        <v>0.12621987177765104</v>
      </c>
      <c r="AD8" s="8">
        <f t="shared" si="0"/>
        <v>0</v>
      </c>
      <c r="AE8" s="8">
        <f t="shared" si="0"/>
        <v>-0.16270666860395833</v>
      </c>
      <c r="AF8" s="8">
        <f t="shared" si="0"/>
        <v>-1.7937217335695768E-2</v>
      </c>
      <c r="AG8" s="8">
        <f t="shared" si="0"/>
        <v>-9.5528004246836051E-2</v>
      </c>
      <c r="AH8" s="8">
        <f t="shared" si="0"/>
        <v>0</v>
      </c>
      <c r="AI8" s="23">
        <f t="shared" si="2"/>
        <v>0.15898170513259269</v>
      </c>
      <c r="AJ8" s="23">
        <f t="shared" si="1"/>
        <v>1.5953706072097555E-2</v>
      </c>
      <c r="AK8" s="23">
        <f t="shared" si="1"/>
        <v>0.11087393801224354</v>
      </c>
      <c r="AL8" s="22">
        <f t="shared" si="3"/>
        <v>0.8</v>
      </c>
      <c r="AM8" s="22">
        <f t="shared" si="4"/>
        <v>0.1</v>
      </c>
      <c r="AN8" t="s">
        <v>39</v>
      </c>
    </row>
    <row r="9" spans="1:47" x14ac:dyDescent="0.25">
      <c r="A9" s="10">
        <f>'Proximal Validation (double)'!A9</f>
        <v>0.1</v>
      </c>
      <c r="B9" s="11">
        <f>'Proximal Validation (double)'!B9</f>
        <v>0.18</v>
      </c>
      <c r="C9" s="10">
        <f>'Proximal Validation (double)'!C9</f>
        <v>1.571</v>
      </c>
      <c r="D9" s="10">
        <f>'Proximal Validation (double)'!D9</f>
        <v>1.5707963267948966</v>
      </c>
      <c r="E9" s="11">
        <f>'Proximal Validation (double)'!E9</f>
        <v>0.1</v>
      </c>
      <c r="F9" s="11">
        <f>'Proximal Validation (double)'!F9</f>
        <v>0.02</v>
      </c>
      <c r="G9" s="10">
        <f>'Proximal Validation (double)'!G9</f>
        <v>3.1419999999999999</v>
      </c>
      <c r="H9" s="10">
        <f>'Proximal Validation (double)'!H9</f>
        <v>1.5707963267948966</v>
      </c>
      <c r="I9" s="10">
        <f>'Proximal Validation (double)'!I9</f>
        <v>1.2</v>
      </c>
      <c r="J9" s="10">
        <f>'Proximal Validation (double)'!J9</f>
        <v>0</v>
      </c>
      <c r="K9" s="10">
        <f>'Proximal Validation (double)'!K9</f>
        <v>0</v>
      </c>
      <c r="L9" s="28">
        <v>8.6666780467379071E-4</v>
      </c>
      <c r="M9" s="28">
        <v>-2.670946753687618E-2</v>
      </c>
      <c r="N9" s="28">
        <v>-1.1084630883185799E-2</v>
      </c>
      <c r="O9" s="28">
        <v>-1.8759338041119063E-2</v>
      </c>
      <c r="P9" s="28">
        <v>-0.10114892137647928</v>
      </c>
      <c r="Q9" s="28">
        <v>9.8091043980931478E-2</v>
      </c>
      <c r="R9" s="8">
        <v>0.64092489472999958</v>
      </c>
      <c r="S9" s="8">
        <v>0.12228811746301133</v>
      </c>
      <c r="T9" s="8">
        <v>0.72422958053364006</v>
      </c>
      <c r="U9" s="8">
        <v>1.5707963267948966</v>
      </c>
      <c r="V9" s="8">
        <v>0.6647831989343278</v>
      </c>
      <c r="W9" s="8">
        <v>0.1046124520672478</v>
      </c>
      <c r="X9" s="8">
        <v>3.6523206520859257</v>
      </c>
      <c r="Y9" s="8">
        <v>1.5707963267948966</v>
      </c>
      <c r="Z9" s="28">
        <v>1.8803789000283296E-7</v>
      </c>
      <c r="AA9" s="8">
        <f t="shared" si="0"/>
        <v>0.54092489472999961</v>
      </c>
      <c r="AB9" s="8">
        <f t="shared" si="0"/>
        <v>-5.7711882536988668E-2</v>
      </c>
      <c r="AC9" s="8">
        <f t="shared" si="0"/>
        <v>-0.84677041946635989</v>
      </c>
      <c r="AD9" s="8">
        <f t="shared" si="0"/>
        <v>0</v>
      </c>
      <c r="AE9" s="8">
        <f t="shared" si="0"/>
        <v>0.56478319893432782</v>
      </c>
      <c r="AF9" s="8">
        <f t="shared" si="0"/>
        <v>8.4612452067247795E-2</v>
      </c>
      <c r="AG9" s="8">
        <f t="shared" si="0"/>
        <v>0.51032065208592581</v>
      </c>
      <c r="AH9" s="8">
        <f t="shared" si="0"/>
        <v>0</v>
      </c>
      <c r="AI9" s="22">
        <f t="shared" si="2"/>
        <v>0.55285404683216366</v>
      </c>
      <c r="AJ9" s="22">
        <f t="shared" si="1"/>
        <v>7.1162167302118232E-2</v>
      </c>
      <c r="AK9" s="22">
        <f t="shared" si="1"/>
        <v>0.67854553577614285</v>
      </c>
      <c r="AL9" s="22">
        <f t="shared" si="3"/>
        <v>0.1</v>
      </c>
      <c r="AM9" s="22">
        <f t="shared" si="4"/>
        <v>0.16</v>
      </c>
      <c r="AN9" s="30">
        <f>AVERAGE(AI3,AI4,AI5,AI6,AI8,AI11,AI12,AI14,AI15,AI17,AI18,AI20,AI23,AI24,AI25,AI26,AI29,AI30,AI32,AI35,AI36,AI37,AI38,AI40,AI41)</f>
        <v>0.1234572277326646</v>
      </c>
      <c r="AO9" s="30">
        <f t="shared" ref="AO9:AP9" si="6">AVERAGE(AJ3,AJ4,AJ5,AJ6,AJ8,AJ11,AJ12,AJ14,AJ15,AJ17,AJ18,AJ20,AJ23,AJ24,AJ25,AJ26,AJ29,AJ30,AJ32,AJ35,AJ36,AJ37,AJ38,AJ40,AJ41)</f>
        <v>1.382059393386182E-2</v>
      </c>
      <c r="AP9" s="30">
        <f t="shared" si="6"/>
        <v>0.27456886974068667</v>
      </c>
    </row>
    <row r="10" spans="1:47" x14ac:dyDescent="0.25">
      <c r="A10" s="10">
        <f>'Proximal Validation (double)'!A10</f>
        <v>0.9</v>
      </c>
      <c r="B10" s="11">
        <f>'Proximal Validation (double)'!B10</f>
        <v>0.18</v>
      </c>
      <c r="C10" s="10">
        <f>'Proximal Validation (double)'!C10</f>
        <v>1.571</v>
      </c>
      <c r="D10" s="10">
        <f>'Proximal Validation (double)'!D10</f>
        <v>1.5707963267948966</v>
      </c>
      <c r="E10" s="11">
        <f>'Proximal Validation (double)'!E10</f>
        <v>0.1</v>
      </c>
      <c r="F10" s="11">
        <f>'Proximal Validation (double)'!F10</f>
        <v>0.08</v>
      </c>
      <c r="G10" s="10">
        <f>'Proximal Validation (double)'!G10</f>
        <v>4.7119999999999997</v>
      </c>
      <c r="H10" s="10">
        <f>'Proximal Validation (double)'!H10</f>
        <v>1.5707963267948966</v>
      </c>
      <c r="I10" s="10">
        <f>'Proximal Validation (double)'!I10</f>
        <v>0</v>
      </c>
      <c r="J10" s="10">
        <f>'Proximal Validation (double)'!J10</f>
        <v>0</v>
      </c>
      <c r="K10" s="10">
        <f>'Proximal Validation (double)'!K10</f>
        <v>0</v>
      </c>
      <c r="L10" s="28">
        <v>2.0108863174131173E-14</v>
      </c>
      <c r="M10" s="28">
        <v>-0.17623386078146683</v>
      </c>
      <c r="N10" s="28">
        <v>-4.5466402318209354E-5</v>
      </c>
      <c r="O10" s="28">
        <v>-0.6618294650712151</v>
      </c>
      <c r="P10" s="28">
        <v>-1.5170938484649265E-4</v>
      </c>
      <c r="Q10" s="28">
        <v>0.47426518520179384</v>
      </c>
      <c r="R10" s="8">
        <v>0.92504652148430244</v>
      </c>
      <c r="S10" s="8">
        <v>0.17841214180566167</v>
      </c>
      <c r="T10" s="8">
        <v>1.5709964809905177</v>
      </c>
      <c r="U10" s="8">
        <v>1.5707963267948966</v>
      </c>
      <c r="V10" s="8">
        <v>0.12525236540812668</v>
      </c>
      <c r="W10" s="8">
        <v>8.8453610173281974E-2</v>
      </c>
      <c r="X10" s="8">
        <v>4.7121041862792064</v>
      </c>
      <c r="Y10" s="8">
        <v>1.5707963267948966</v>
      </c>
      <c r="Z10" s="28">
        <v>4.3930929838360059E-11</v>
      </c>
      <c r="AA10" s="8">
        <f t="shared" si="0"/>
        <v>2.504652148430242E-2</v>
      </c>
      <c r="AB10" s="8">
        <f t="shared" si="0"/>
        <v>-1.5878581943383208E-3</v>
      </c>
      <c r="AC10" s="8">
        <f t="shared" si="0"/>
        <v>-3.5190094822556972E-6</v>
      </c>
      <c r="AD10" s="8">
        <f t="shared" si="0"/>
        <v>0</v>
      </c>
      <c r="AE10" s="8">
        <f t="shared" si="0"/>
        <v>2.525236540812667E-2</v>
      </c>
      <c r="AF10" s="8">
        <f t="shared" si="0"/>
        <v>8.4536101732819724E-3</v>
      </c>
      <c r="AG10" s="8">
        <f t="shared" si="0"/>
        <v>1.0418627920660839E-4</v>
      </c>
      <c r="AH10" s="8">
        <f t="shared" si="0"/>
        <v>0</v>
      </c>
      <c r="AI10" s="22">
        <f t="shared" si="2"/>
        <v>2.5149443446214545E-2</v>
      </c>
      <c r="AJ10" s="22">
        <f t="shared" si="1"/>
        <v>5.0207341838101466E-3</v>
      </c>
      <c r="AK10" s="22">
        <f t="shared" si="1"/>
        <v>5.3852644344432044E-5</v>
      </c>
      <c r="AL10" s="22">
        <f t="shared" si="3"/>
        <v>0.1</v>
      </c>
      <c r="AM10" s="22">
        <f t="shared" si="4"/>
        <v>9.9999999999999992E-2</v>
      </c>
      <c r="AN10" t="s">
        <v>40</v>
      </c>
    </row>
    <row r="11" spans="1:47" x14ac:dyDescent="0.25">
      <c r="A11" s="10">
        <f>'Proximal Validation (double)'!A11</f>
        <v>0.3</v>
      </c>
      <c r="B11" s="11">
        <f>'Proximal Validation (double)'!B11</f>
        <v>0.18</v>
      </c>
      <c r="C11" s="10">
        <f>'Proximal Validation (double)'!C11</f>
        <v>1.571</v>
      </c>
      <c r="D11" s="10">
        <f>'Proximal Validation (double)'!D11</f>
        <v>1.5707963267948966</v>
      </c>
      <c r="E11" s="11">
        <f>'Proximal Validation (double)'!E11</f>
        <v>0.9</v>
      </c>
      <c r="F11" s="11">
        <f>'Proximal Validation (double)'!F11</f>
        <v>0.08</v>
      </c>
      <c r="G11" s="10">
        <f>'Proximal Validation (double)'!G11</f>
        <v>4.7119999999999997</v>
      </c>
      <c r="H11" s="10">
        <f>'Proximal Validation (double)'!H11</f>
        <v>1.5707963267948966</v>
      </c>
      <c r="I11" s="10">
        <f>'Proximal Validation (double)'!I11</f>
        <v>1</v>
      </c>
      <c r="J11" s="10">
        <f>'Proximal Validation (double)'!J11</f>
        <v>0</v>
      </c>
      <c r="K11" s="10">
        <f>'Proximal Validation (double)'!K11</f>
        <v>0</v>
      </c>
      <c r="L11" s="28">
        <v>1.3949844464727446E-3</v>
      </c>
      <c r="M11" s="28">
        <v>7.3948515145511692E-2</v>
      </c>
      <c r="N11" s="28">
        <v>-6.239835639507002E-4</v>
      </c>
      <c r="O11" s="28">
        <v>-4.1684440315429117E-2</v>
      </c>
      <c r="P11" s="28">
        <v>-4.2462645763125095E-3</v>
      </c>
      <c r="Q11" s="28">
        <v>-0.61088116998829756</v>
      </c>
      <c r="R11" s="8">
        <v>0.29685194815802851</v>
      </c>
      <c r="S11" s="8">
        <v>0.18054925477488154</v>
      </c>
      <c r="T11" s="8">
        <v>1.5709387815572544</v>
      </c>
      <c r="U11" s="8">
        <v>1.5707963267948966</v>
      </c>
      <c r="V11" s="8">
        <v>0.89684462940562348</v>
      </c>
      <c r="W11" s="8">
        <v>7.9840230635223122E-2</v>
      </c>
      <c r="X11" s="8">
        <v>4.7119912879458461</v>
      </c>
      <c r="Y11" s="8">
        <v>1.5707963267948966</v>
      </c>
      <c r="Z11" s="28">
        <v>5.3874062707921398E-11</v>
      </c>
      <c r="AA11" s="8">
        <f t="shared" si="0"/>
        <v>-3.1480518419714776E-3</v>
      </c>
      <c r="AB11" s="8">
        <f t="shared" si="0"/>
        <v>5.4925477488154684E-4</v>
      </c>
      <c r="AC11" s="8">
        <f t="shared" si="0"/>
        <v>-6.121844274553645E-5</v>
      </c>
      <c r="AD11" s="8">
        <f t="shared" si="0"/>
        <v>0</v>
      </c>
      <c r="AE11" s="8">
        <f t="shared" si="0"/>
        <v>-3.1553705943765387E-3</v>
      </c>
      <c r="AF11" s="8">
        <f t="shared" si="0"/>
        <v>-1.5976936477687942E-4</v>
      </c>
      <c r="AG11" s="8">
        <f t="shared" si="0"/>
        <v>-8.7120541536478413E-6</v>
      </c>
      <c r="AH11" s="8">
        <f t="shared" si="0"/>
        <v>0</v>
      </c>
      <c r="AI11" s="22">
        <f t="shared" si="2"/>
        <v>3.1517112181740081E-3</v>
      </c>
      <c r="AJ11" s="22">
        <f t="shared" si="1"/>
        <v>3.5451206982921313E-4</v>
      </c>
      <c r="AK11" s="22">
        <f t="shared" si="1"/>
        <v>3.4965248449592146E-5</v>
      </c>
      <c r="AL11" s="22">
        <f t="shared" si="3"/>
        <v>0.3</v>
      </c>
      <c r="AM11" s="22">
        <f t="shared" si="4"/>
        <v>9.9999999999999992E-2</v>
      </c>
      <c r="AN11" s="30">
        <f>AVERAGE(AI4,AI8,AI11,AI12,AI14,AI15,AI17,AI18,AI20,AI25,AI26,AI30,AI32,AI35,AI36,AI37,AI40,AI41)</f>
        <v>0.10768499442641194</v>
      </c>
      <c r="AO11" s="30">
        <f t="shared" ref="AO11:AP11" si="7">AVERAGE(AJ4,AJ8,AJ11,AJ12,AJ14,AJ15,AJ17,AJ18,AJ20,AJ25,AJ26,AJ30,AJ32,AJ35,AJ36,AJ37,AJ40,AJ41)</f>
        <v>9.5219836378364116E-3</v>
      </c>
      <c r="AP11" s="30">
        <f t="shared" si="7"/>
        <v>0.11567864186058006</v>
      </c>
    </row>
    <row r="12" spans="1:47" x14ac:dyDescent="0.25">
      <c r="A12" s="10">
        <f>'Proximal Validation (double)'!A12</f>
        <v>0.9</v>
      </c>
      <c r="B12" s="11">
        <f>'Proximal Validation (double)'!B12</f>
        <v>0.2</v>
      </c>
      <c r="C12" s="10">
        <f>'Proximal Validation (double)'!C12</f>
        <v>1.571</v>
      </c>
      <c r="D12" s="10">
        <f>'Proximal Validation (double)'!D12</f>
        <v>1.5707963267948966</v>
      </c>
      <c r="E12" s="11">
        <f>'Proximal Validation (double)'!E12</f>
        <v>1</v>
      </c>
      <c r="F12" s="11">
        <f>'Proximal Validation (double)'!F12</f>
        <v>0.02</v>
      </c>
      <c r="G12" s="10">
        <f>'Proximal Validation (double)'!G12</f>
        <v>3.1419999999999999</v>
      </c>
      <c r="H12" s="10">
        <f>'Proximal Validation (double)'!H12</f>
        <v>1.5707963267948966</v>
      </c>
      <c r="I12" s="10">
        <f>'Proximal Validation (double)'!I12</f>
        <v>0.4</v>
      </c>
      <c r="J12" s="10">
        <f>'Proximal Validation (double)'!J12</f>
        <v>0</v>
      </c>
      <c r="K12" s="10">
        <f>'Proximal Validation (double)'!K12</f>
        <v>0</v>
      </c>
      <c r="L12" s="28">
        <v>3.2374593847895204E-3</v>
      </c>
      <c r="M12" s="28">
        <v>-0.16268225230090921</v>
      </c>
      <c r="N12" s="28">
        <v>-0.1108258345620691</v>
      </c>
      <c r="O12" s="28">
        <v>-0.84238871763834577</v>
      </c>
      <c r="P12" s="28">
        <v>-1.0154340599427958</v>
      </c>
      <c r="Q12" s="28">
        <v>0.3248717539326173</v>
      </c>
      <c r="R12" s="8">
        <v>0.90195681245419379</v>
      </c>
      <c r="S12" s="8">
        <v>0.19861171734179658</v>
      </c>
      <c r="T12" s="8">
        <v>1.5739444509655307</v>
      </c>
      <c r="U12" s="8">
        <v>1.5707963267948966</v>
      </c>
      <c r="V12" s="8">
        <v>0.99902164141278715</v>
      </c>
      <c r="W12" s="8">
        <v>2.0054026162280893E-2</v>
      </c>
      <c r="X12" s="8">
        <v>3.1474464507386846</v>
      </c>
      <c r="Y12" s="8">
        <v>1.5707963267948966</v>
      </c>
      <c r="Z12" s="28">
        <v>3.5480608285410113E-7</v>
      </c>
      <c r="AA12" s="8">
        <f t="shared" si="0"/>
        <v>1.9568124541937681E-3</v>
      </c>
      <c r="AB12" s="8">
        <f t="shared" si="0"/>
        <v>-1.3882826582034269E-3</v>
      </c>
      <c r="AC12" s="8">
        <f t="shared" si="0"/>
        <v>2.9444509655307538E-3</v>
      </c>
      <c r="AD12" s="8">
        <f t="shared" si="0"/>
        <v>0</v>
      </c>
      <c r="AE12" s="8">
        <f t="shared" si="0"/>
        <v>-9.7835858721284641E-4</v>
      </c>
      <c r="AF12" s="8">
        <f t="shared" si="0"/>
        <v>5.402616228089227E-5</v>
      </c>
      <c r="AG12" s="8">
        <f t="shared" si="0"/>
        <v>5.4464507386846606E-3</v>
      </c>
      <c r="AH12" s="8">
        <f t="shared" si="0"/>
        <v>0</v>
      </c>
      <c r="AI12" s="22">
        <f t="shared" si="2"/>
        <v>1.4675855207033073E-3</v>
      </c>
      <c r="AJ12" s="22">
        <f t="shared" si="1"/>
        <v>7.2115441024215958E-4</v>
      </c>
      <c r="AK12" s="22">
        <f t="shared" si="1"/>
        <v>4.1954508521077072E-3</v>
      </c>
      <c r="AL12" s="22">
        <f t="shared" si="3"/>
        <v>0.9</v>
      </c>
      <c r="AM12" s="22">
        <f t="shared" si="4"/>
        <v>0.18000000000000002</v>
      </c>
      <c r="AN12" t="s">
        <v>42</v>
      </c>
    </row>
    <row r="13" spans="1:47" x14ac:dyDescent="0.25">
      <c r="A13" s="10">
        <f>'Proximal Validation (double)'!A13</f>
        <v>0.1</v>
      </c>
      <c r="B13" s="11">
        <f>'Proximal Validation (double)'!B13</f>
        <v>0.2</v>
      </c>
      <c r="C13" s="10">
        <f>'Proximal Validation (double)'!C13</f>
        <v>1.571</v>
      </c>
      <c r="D13" s="10">
        <f>'Proximal Validation (double)'!D13</f>
        <v>1.5707963267948966</v>
      </c>
      <c r="E13" s="11">
        <f>'Proximal Validation (double)'!E13</f>
        <v>0.3</v>
      </c>
      <c r="F13" s="11">
        <f>'Proximal Validation (double)'!F13</f>
        <v>0.08</v>
      </c>
      <c r="G13" s="10">
        <f>'Proximal Validation (double)'!G13</f>
        <v>3.1419999999999999</v>
      </c>
      <c r="H13" s="10">
        <f>'Proximal Validation (double)'!H13</f>
        <v>1.5707963267948966</v>
      </c>
      <c r="I13" s="10">
        <f>'Proximal Validation (double)'!I13</f>
        <v>0.2</v>
      </c>
      <c r="J13" s="10">
        <f>'Proximal Validation (double)'!J13</f>
        <v>0</v>
      </c>
      <c r="K13" s="10">
        <f>'Proximal Validation (double)'!K13</f>
        <v>0</v>
      </c>
      <c r="L13" s="28">
        <v>2.2413368940623184E-4</v>
      </c>
      <c r="M13" s="28">
        <v>-2.8532980831273272E-2</v>
      </c>
      <c r="N13" s="28">
        <v>-5.0930364408423967E-2</v>
      </c>
      <c r="O13" s="28">
        <v>-2.5042114591438919E-2</v>
      </c>
      <c r="P13" s="28">
        <v>-0.29954273934575504</v>
      </c>
      <c r="Q13" s="28">
        <v>9.8434368902930919E-2</v>
      </c>
      <c r="R13" s="8">
        <v>0.24975085330683855</v>
      </c>
      <c r="S13" s="8">
        <v>0.1632147255300021</v>
      </c>
      <c r="T13" s="8">
        <v>0.62819784052545635</v>
      </c>
      <c r="U13" s="8">
        <v>1.5707963267948966</v>
      </c>
      <c r="V13" s="8">
        <v>0.5041760647352761</v>
      </c>
      <c r="W13" s="8">
        <v>0.11325010013282125</v>
      </c>
      <c r="X13" s="8">
        <v>3.2339138016334457</v>
      </c>
      <c r="Y13" s="8">
        <v>1.5707963267948966</v>
      </c>
      <c r="Z13" s="28">
        <v>1.4195806988833431E-6</v>
      </c>
      <c r="AA13" s="8">
        <f t="shared" si="0"/>
        <v>0.14975085330683854</v>
      </c>
      <c r="AB13" s="8">
        <f t="shared" si="0"/>
        <v>-3.6785274469997908E-2</v>
      </c>
      <c r="AC13" s="8">
        <f t="shared" si="0"/>
        <v>-0.9428021594745436</v>
      </c>
      <c r="AD13" s="8">
        <f t="shared" si="0"/>
        <v>0</v>
      </c>
      <c r="AE13" s="8">
        <f t="shared" si="0"/>
        <v>0.20417606473527611</v>
      </c>
      <c r="AF13" s="8">
        <f t="shared" si="0"/>
        <v>3.3250100132821245E-2</v>
      </c>
      <c r="AG13" s="8">
        <f t="shared" si="0"/>
        <v>9.1913801633445757E-2</v>
      </c>
      <c r="AH13" s="8">
        <f t="shared" si="0"/>
        <v>0</v>
      </c>
      <c r="AI13" s="22">
        <f t="shared" si="2"/>
        <v>0.17696345902105731</v>
      </c>
      <c r="AJ13" s="22">
        <f t="shared" si="1"/>
        <v>3.5017687301409577E-2</v>
      </c>
      <c r="AK13" s="22">
        <f t="shared" si="1"/>
        <v>0.51735798055399473</v>
      </c>
      <c r="AL13" s="22">
        <f t="shared" si="3"/>
        <v>0.1</v>
      </c>
      <c r="AM13" s="22">
        <f t="shared" si="4"/>
        <v>0.12000000000000001</v>
      </c>
      <c r="AN13" s="30">
        <f>AVERAGE(AI8,AI11,AI12,AI14,AI15,AI17,AI18,AI20,AI26,AI30,AI32,AI35,AI37,AI40,AI41)</f>
        <v>7.0163028663591184E-2</v>
      </c>
      <c r="AO13" s="30">
        <f t="shared" ref="AO13:AP13" si="8">AVERAGE(AJ8,AJ11,AJ12,AJ14,AJ15,AJ17,AJ18,AJ20,AJ26,AJ30,AJ32,AJ35,AJ37,AJ40,AJ41)</f>
        <v>7.1128192395804391E-3</v>
      </c>
      <c r="AP13" s="30">
        <f t="shared" si="8"/>
        <v>5.2851907727120534E-2</v>
      </c>
    </row>
    <row r="14" spans="1:47" x14ac:dyDescent="0.25">
      <c r="A14" s="10">
        <f>'Proximal Validation (double)'!A14</f>
        <v>0.9</v>
      </c>
      <c r="B14" s="11">
        <f>'Proximal Validation (double)'!B14</f>
        <v>0.2</v>
      </c>
      <c r="C14" s="10">
        <f>'Proximal Validation (double)'!C14</f>
        <v>1.571</v>
      </c>
      <c r="D14" s="10">
        <f>'Proximal Validation (double)'!D14</f>
        <v>1.5707963267948966</v>
      </c>
      <c r="E14" s="11">
        <f>'Proximal Validation (double)'!E14</f>
        <v>0.3</v>
      </c>
      <c r="F14" s="11">
        <f>'Proximal Validation (double)'!F14</f>
        <v>0.02</v>
      </c>
      <c r="G14" s="10">
        <f>'Proximal Validation (double)'!G14</f>
        <v>4.7119999999999997</v>
      </c>
      <c r="H14" s="10">
        <f>'Proximal Validation (double)'!H14</f>
        <v>1.5707963267948966</v>
      </c>
      <c r="I14" s="10">
        <f>'Proximal Validation (double)'!I14</f>
        <v>1.4</v>
      </c>
      <c r="J14" s="10">
        <f>'Proximal Validation (double)'!J14</f>
        <v>0</v>
      </c>
      <c r="K14" s="10">
        <f>'Proximal Validation (double)'!K14</f>
        <v>0</v>
      </c>
      <c r="L14" s="28">
        <v>1.1011098028363919E-2</v>
      </c>
      <c r="M14" s="28">
        <v>-0.11717945507831574</v>
      </c>
      <c r="N14" s="28">
        <v>-8.1174027547110759E-3</v>
      </c>
      <c r="O14" s="28">
        <v>-0.83288036284406275</v>
      </c>
      <c r="P14" s="28">
        <v>-7.7499633372220725E-2</v>
      </c>
      <c r="Q14" s="28">
        <v>-3.0704268958378005E-2</v>
      </c>
      <c r="R14" s="8">
        <v>0.91291699631352385</v>
      </c>
      <c r="S14" s="8">
        <v>0.19640172009647131</v>
      </c>
      <c r="T14" s="8">
        <v>1.571900642332114</v>
      </c>
      <c r="U14" s="8">
        <v>1.5707963267948966</v>
      </c>
      <c r="V14" s="8">
        <v>0.31522673959405967</v>
      </c>
      <c r="W14" s="8">
        <v>2.5761553939335363E-2</v>
      </c>
      <c r="X14" s="8">
        <v>4.7092419614789049</v>
      </c>
      <c r="Y14" s="8">
        <v>1.5707963267948966</v>
      </c>
      <c r="Z14" s="28">
        <v>4.6755352966164954E-9</v>
      </c>
      <c r="AA14" s="8">
        <f t="shared" si="0"/>
        <v>1.2916996313523832E-2</v>
      </c>
      <c r="AB14" s="8">
        <f t="shared" si="0"/>
        <v>-3.5982799035287061E-3</v>
      </c>
      <c r="AC14" s="8">
        <f t="shared" si="0"/>
        <v>9.0064233211406552E-4</v>
      </c>
      <c r="AD14" s="8">
        <f t="shared" si="0"/>
        <v>0</v>
      </c>
      <c r="AE14" s="8">
        <f t="shared" si="0"/>
        <v>1.5226739594059679E-2</v>
      </c>
      <c r="AF14" s="8">
        <f t="shared" si="0"/>
        <v>5.7615539393353621E-3</v>
      </c>
      <c r="AG14" s="8">
        <f t="shared" si="0"/>
        <v>-2.7580385210947966E-3</v>
      </c>
      <c r="AH14" s="8">
        <f t="shared" si="0"/>
        <v>0</v>
      </c>
      <c r="AI14" s="22">
        <f t="shared" si="2"/>
        <v>1.4071867953791756E-2</v>
      </c>
      <c r="AJ14" s="22">
        <f t="shared" si="1"/>
        <v>4.6799169214320341E-3</v>
      </c>
      <c r="AK14" s="22">
        <f t="shared" si="1"/>
        <v>1.8293404266044311E-3</v>
      </c>
      <c r="AL14" s="22">
        <f t="shared" si="3"/>
        <v>0.3</v>
      </c>
      <c r="AM14" s="22">
        <f t="shared" si="4"/>
        <v>0.18000000000000002</v>
      </c>
    </row>
    <row r="15" spans="1:47" x14ac:dyDescent="0.25">
      <c r="A15" s="10">
        <f>'Proximal Validation (double)'!A15</f>
        <v>0.9</v>
      </c>
      <c r="B15" s="11">
        <f>'Proximal Validation (double)'!B15</f>
        <v>0.1</v>
      </c>
      <c r="C15" s="10">
        <f>'Proximal Validation (double)'!C15</f>
        <v>2.3559999999999999</v>
      </c>
      <c r="D15" s="10">
        <f>'Proximal Validation (double)'!D15</f>
        <v>1.5707963267948966</v>
      </c>
      <c r="E15" s="11">
        <f>'Proximal Validation (double)'!E15</f>
        <v>0.9</v>
      </c>
      <c r="F15" s="11">
        <f>'Proximal Validation (double)'!F15</f>
        <v>0.02</v>
      </c>
      <c r="G15" s="10">
        <f>'Proximal Validation (double)'!G15</f>
        <v>4.7119999999999997</v>
      </c>
      <c r="H15" s="10">
        <f>'Proximal Validation (double)'!H15</f>
        <v>1.5707963267948966</v>
      </c>
      <c r="I15" s="10">
        <f>'Proximal Validation (double)'!I15</f>
        <v>0.4</v>
      </c>
      <c r="J15" s="10">
        <f>'Proximal Validation (double)'!J15</f>
        <v>0</v>
      </c>
      <c r="K15" s="10">
        <f>'Proximal Validation (double)'!K15</f>
        <v>0</v>
      </c>
      <c r="L15" s="28">
        <v>5.564755021400824E-4</v>
      </c>
      <c r="M15" s="28">
        <v>-2.139389384040187E-2</v>
      </c>
      <c r="N15" s="28">
        <v>-0.11982889915040677</v>
      </c>
      <c r="O15" s="28">
        <v>-0.13037267480297263</v>
      </c>
      <c r="P15" s="28">
        <v>-0.6274562981027636</v>
      </c>
      <c r="Q15" s="28">
        <v>-0.27301172137415475</v>
      </c>
      <c r="R15" s="8">
        <v>0.84832807961631551</v>
      </c>
      <c r="S15" s="8">
        <v>0.10443362379662131</v>
      </c>
      <c r="T15" s="8">
        <v>2.3509047830060972</v>
      </c>
      <c r="U15" s="8">
        <v>1.5707963267948966</v>
      </c>
      <c r="V15" s="8">
        <v>0.86691438316141489</v>
      </c>
      <c r="W15" s="8">
        <v>2.0554359466073386E-2</v>
      </c>
      <c r="X15" s="8">
        <v>4.6658375674987189</v>
      </c>
      <c r="Y15" s="8">
        <v>1.5707963267948966</v>
      </c>
      <c r="Z15" s="28">
        <v>6.0268808293212041E-7</v>
      </c>
      <c r="AA15" s="8">
        <f t="shared" si="0"/>
        <v>-5.1671920383684511E-2</v>
      </c>
      <c r="AB15" s="8">
        <f t="shared" si="0"/>
        <v>4.4336237966213082E-3</v>
      </c>
      <c r="AC15" s="8">
        <f t="shared" si="0"/>
        <v>-5.0952169939026959E-3</v>
      </c>
      <c r="AD15" s="8">
        <f t="shared" si="0"/>
        <v>0</v>
      </c>
      <c r="AE15" s="8">
        <f t="shared" si="0"/>
        <v>-3.308561683858513E-2</v>
      </c>
      <c r="AF15" s="8">
        <f t="shared" si="0"/>
        <v>5.5435946607338554E-4</v>
      </c>
      <c r="AG15" s="8">
        <f t="shared" si="0"/>
        <v>-4.6162432501280826E-2</v>
      </c>
      <c r="AH15" s="8">
        <f t="shared" si="0"/>
        <v>0</v>
      </c>
      <c r="AI15" s="22">
        <f t="shared" si="2"/>
        <v>4.2378768611134821E-2</v>
      </c>
      <c r="AJ15" s="22">
        <f t="shared" si="1"/>
        <v>2.4939916313473469E-3</v>
      </c>
      <c r="AK15" s="22">
        <f t="shared" si="1"/>
        <v>2.5628824747591761E-2</v>
      </c>
      <c r="AL15" s="22">
        <f t="shared" si="3"/>
        <v>0.9</v>
      </c>
      <c r="AM15" s="22">
        <f t="shared" si="4"/>
        <v>0.08</v>
      </c>
    </row>
    <row r="16" spans="1:47" x14ac:dyDescent="0.25">
      <c r="A16" s="10">
        <f>'Proximal Validation (double)'!A16</f>
        <v>0.4</v>
      </c>
      <c r="B16" s="11">
        <f>'Proximal Validation (double)'!B16</f>
        <v>0.12</v>
      </c>
      <c r="C16" s="10">
        <f>'Proximal Validation (double)'!C16</f>
        <v>2.3559999999999999</v>
      </c>
      <c r="D16" s="10">
        <f>'Proximal Validation (double)'!D16</f>
        <v>1.5707963267948966</v>
      </c>
      <c r="E16" s="11">
        <f>'Proximal Validation (double)'!E16</f>
        <v>0.1</v>
      </c>
      <c r="F16" s="11">
        <f>'Proximal Validation (double)'!F16</f>
        <v>0.06</v>
      </c>
      <c r="G16" s="10">
        <f>'Proximal Validation (double)'!G16</f>
        <v>3.1419999999999999</v>
      </c>
      <c r="H16" s="10">
        <f>'Proximal Validation (double)'!H16</f>
        <v>1.5707963267948966</v>
      </c>
      <c r="I16" s="10">
        <f>'Proximal Validation (double)'!I16</f>
        <v>0.4</v>
      </c>
      <c r="J16" s="10">
        <f>'Proximal Validation (double)'!J16</f>
        <v>0</v>
      </c>
      <c r="K16" s="10">
        <f>'Proximal Validation (double)'!K16</f>
        <v>0</v>
      </c>
      <c r="L16" s="28">
        <v>4.1022850815081017E-4</v>
      </c>
      <c r="M16" s="28">
        <v>-5.9127279197820778E-2</v>
      </c>
      <c r="N16" s="28">
        <v>-7.409232630655764E-2</v>
      </c>
      <c r="O16" s="28">
        <v>-5.6152971367816433E-2</v>
      </c>
      <c r="P16" s="28">
        <v>-0.38046374645876152</v>
      </c>
      <c r="Q16" s="28">
        <v>0.28032651450191065</v>
      </c>
      <c r="R16" s="8">
        <v>0.67376533521089954</v>
      </c>
      <c r="S16" s="8">
        <v>0.1116895480238248</v>
      </c>
      <c r="T16" s="8">
        <v>1.476097426645268</v>
      </c>
      <c r="U16" s="8">
        <v>1.5707963267948966</v>
      </c>
      <c r="V16" s="8">
        <v>0.59141838124726953</v>
      </c>
      <c r="W16" s="8">
        <v>0.10548204877012224</v>
      </c>
      <c r="X16" s="8">
        <v>3.8569606799913969</v>
      </c>
      <c r="Y16" s="8">
        <v>1.5707963267948966</v>
      </c>
      <c r="Z16" s="28">
        <v>6.9099208934648049E-9</v>
      </c>
      <c r="AA16" s="8">
        <f t="shared" si="0"/>
        <v>0.27376533521089952</v>
      </c>
      <c r="AB16" s="8">
        <f t="shared" si="0"/>
        <v>-8.3104519761751927E-3</v>
      </c>
      <c r="AC16" s="8">
        <f t="shared" si="0"/>
        <v>-0.87990257335473188</v>
      </c>
      <c r="AD16" s="8">
        <f t="shared" si="0"/>
        <v>0</v>
      </c>
      <c r="AE16" s="8">
        <f t="shared" si="0"/>
        <v>0.49141838124726955</v>
      </c>
      <c r="AF16" s="8">
        <f t="shared" si="0"/>
        <v>4.5482048770122241E-2</v>
      </c>
      <c r="AG16" s="8">
        <f t="shared" si="0"/>
        <v>0.71496067999139701</v>
      </c>
      <c r="AH16" s="8">
        <f t="shared" si="0"/>
        <v>0</v>
      </c>
      <c r="AI16" s="22">
        <f t="shared" si="2"/>
        <v>0.38259185822908454</v>
      </c>
      <c r="AJ16" s="22">
        <f t="shared" si="1"/>
        <v>2.6896250373148717E-2</v>
      </c>
      <c r="AK16" s="22">
        <f t="shared" si="1"/>
        <v>0.79743162667306444</v>
      </c>
      <c r="AL16" s="22">
        <f t="shared" si="3"/>
        <v>0.1</v>
      </c>
      <c r="AM16" s="22">
        <f t="shared" si="4"/>
        <v>0.06</v>
      </c>
    </row>
    <row r="17" spans="1:39" x14ac:dyDescent="0.25">
      <c r="A17" s="10">
        <f>'Proximal Validation (double)'!A17</f>
        <v>1</v>
      </c>
      <c r="B17" s="11">
        <f>'Proximal Validation (double)'!B17</f>
        <v>0.14000000000000001</v>
      </c>
      <c r="C17" s="10">
        <f>'Proximal Validation (double)'!C17</f>
        <v>2.3559999999999999</v>
      </c>
      <c r="D17" s="10">
        <f>'Proximal Validation (double)'!D17</f>
        <v>1.5707963267948966</v>
      </c>
      <c r="E17" s="11">
        <f>'Proximal Validation (double)'!E17</f>
        <v>0.4</v>
      </c>
      <c r="F17" s="11">
        <f>'Proximal Validation (double)'!F17</f>
        <v>0.04</v>
      </c>
      <c r="G17" s="10">
        <f>'Proximal Validation (double)'!G17</f>
        <v>3.927</v>
      </c>
      <c r="H17" s="10">
        <f>'Proximal Validation (double)'!H17</f>
        <v>1.5707963267948966</v>
      </c>
      <c r="I17" s="10">
        <f>'Proximal Validation (double)'!I17</f>
        <v>0.6</v>
      </c>
      <c r="J17" s="10">
        <f>'Proximal Validation (double)'!J17</f>
        <v>0</v>
      </c>
      <c r="K17" s="10">
        <f>'Proximal Validation (double)'!K17</f>
        <v>0</v>
      </c>
      <c r="L17" s="28">
        <v>2.2330927280650734E-3</v>
      </c>
      <c r="M17" s="28">
        <v>-0.11620502914967845</v>
      </c>
      <c r="N17" s="28">
        <v>-0.18941462196000258</v>
      </c>
      <c r="O17" s="28">
        <v>-0.45282433928476112</v>
      </c>
      <c r="P17" s="28">
        <v>-0.91502379204948614</v>
      </c>
      <c r="Q17" s="28">
        <v>0.34677416567990066</v>
      </c>
      <c r="R17" s="8">
        <v>0.8009570383250928</v>
      </c>
      <c r="S17" s="8">
        <v>0.15389199969218184</v>
      </c>
      <c r="T17" s="8">
        <v>2.0412799478774994</v>
      </c>
      <c r="U17" s="8">
        <v>1.5707963267948966</v>
      </c>
      <c r="V17" s="8">
        <v>0.6827388998676992</v>
      </c>
      <c r="W17" s="8">
        <v>8.415824758404554E-2</v>
      </c>
      <c r="X17" s="8">
        <v>3.5620281426985421</v>
      </c>
      <c r="Y17" s="8">
        <v>1.5707963267948966</v>
      </c>
      <c r="Z17" s="28">
        <v>8.9733642992419877E-6</v>
      </c>
      <c r="AA17" s="8">
        <f t="shared" si="0"/>
        <v>-0.1990429616749072</v>
      </c>
      <c r="AB17" s="8">
        <f t="shared" si="0"/>
        <v>1.3891999692181828E-2</v>
      </c>
      <c r="AC17" s="8">
        <f t="shared" si="0"/>
        <v>-0.31472005212250043</v>
      </c>
      <c r="AD17" s="8">
        <f t="shared" si="0"/>
        <v>0</v>
      </c>
      <c r="AE17" s="8">
        <f t="shared" si="0"/>
        <v>0.28273889986769918</v>
      </c>
      <c r="AF17" s="8">
        <f t="shared" si="0"/>
        <v>4.4158247584045539E-2</v>
      </c>
      <c r="AG17" s="8">
        <f t="shared" si="0"/>
        <v>-0.36497185730145798</v>
      </c>
      <c r="AH17" s="8">
        <f t="shared" si="0"/>
        <v>0</v>
      </c>
      <c r="AI17" s="22">
        <f t="shared" si="2"/>
        <v>0.24089093077130319</v>
      </c>
      <c r="AJ17" s="22">
        <f t="shared" si="1"/>
        <v>2.9025123638113683E-2</v>
      </c>
      <c r="AK17" s="22">
        <f t="shared" si="1"/>
        <v>0.3398459547119792</v>
      </c>
      <c r="AL17" s="22">
        <f t="shared" si="3"/>
        <v>0.4</v>
      </c>
      <c r="AM17" s="22">
        <f t="shared" si="4"/>
        <v>0.1</v>
      </c>
    </row>
    <row r="18" spans="1:39" x14ac:dyDescent="0.25">
      <c r="A18" s="10">
        <f>'Proximal Validation (double)'!A18</f>
        <v>0.4</v>
      </c>
      <c r="B18" s="11">
        <f>'Proximal Validation (double)'!B18</f>
        <v>0.18</v>
      </c>
      <c r="C18" s="10">
        <f>'Proximal Validation (double)'!C18</f>
        <v>2.3559999999999999</v>
      </c>
      <c r="D18" s="10">
        <f>'Proximal Validation (double)'!D18</f>
        <v>1.5707963267948966</v>
      </c>
      <c r="E18" s="11">
        <f>'Proximal Validation (double)'!E18</f>
        <v>0.7</v>
      </c>
      <c r="F18" s="11">
        <f>'Proximal Validation (double)'!F18</f>
        <v>0.04</v>
      </c>
      <c r="G18" s="10">
        <f>'Proximal Validation (double)'!G18</f>
        <v>3.1419999999999999</v>
      </c>
      <c r="H18" s="10">
        <f>'Proximal Validation (double)'!H18</f>
        <v>1.5707963267948966</v>
      </c>
      <c r="I18" s="10">
        <f>'Proximal Validation (double)'!I18</f>
        <v>0</v>
      </c>
      <c r="J18" s="10">
        <f>'Proximal Validation (double)'!J18</f>
        <v>0</v>
      </c>
      <c r="K18" s="10">
        <f>'Proximal Validation (double)'!K18</f>
        <v>0</v>
      </c>
      <c r="L18" s="28">
        <v>6.774899908882119E-11</v>
      </c>
      <c r="M18" s="28">
        <v>-7.2756563797925333E-2</v>
      </c>
      <c r="N18" s="28">
        <v>-0.16326350189293107</v>
      </c>
      <c r="O18" s="28">
        <v>-0.21903869244773008</v>
      </c>
      <c r="P18" s="28">
        <v>-0.95397345191183369</v>
      </c>
      <c r="Q18" s="28">
        <v>0.25706425550326867</v>
      </c>
      <c r="R18" s="8">
        <v>0.35979533638912764</v>
      </c>
      <c r="S18" s="8">
        <v>0.18768526593866749</v>
      </c>
      <c r="T18" s="8">
        <v>2.304803244551938</v>
      </c>
      <c r="U18" s="8">
        <v>1.5707963267948966</v>
      </c>
      <c r="V18" s="8">
        <v>0.74140333799026115</v>
      </c>
      <c r="W18" s="8">
        <v>4.52314067212677E-2</v>
      </c>
      <c r="X18" s="8">
        <v>3.1194071688467018</v>
      </c>
      <c r="Y18" s="8">
        <v>1.5707963267948966</v>
      </c>
      <c r="Z18" s="28">
        <v>6.2876595254186454E-10</v>
      </c>
      <c r="AA18" s="8">
        <f t="shared" si="0"/>
        <v>-4.0204663610872382E-2</v>
      </c>
      <c r="AB18" s="8">
        <f t="shared" si="0"/>
        <v>7.6852659386675015E-3</v>
      </c>
      <c r="AC18" s="8">
        <f t="shared" si="0"/>
        <v>-5.1196755448061904E-2</v>
      </c>
      <c r="AD18" s="8">
        <f t="shared" si="0"/>
        <v>0</v>
      </c>
      <c r="AE18" s="8">
        <f t="shared" si="0"/>
        <v>4.1403337990261191E-2</v>
      </c>
      <c r="AF18" s="8">
        <f t="shared" si="0"/>
        <v>5.2314067212676993E-3</v>
      </c>
      <c r="AG18" s="8">
        <f t="shared" si="0"/>
        <v>-2.2592831153298132E-2</v>
      </c>
      <c r="AH18" s="8">
        <f t="shared" si="0"/>
        <v>0</v>
      </c>
      <c r="AI18" s="22">
        <f t="shared" si="2"/>
        <v>4.0804000800566786E-2</v>
      </c>
      <c r="AJ18" s="22">
        <f t="shared" si="1"/>
        <v>6.4583363299676004E-3</v>
      </c>
      <c r="AK18" s="22">
        <f t="shared" si="1"/>
        <v>3.6894793300680018E-2</v>
      </c>
      <c r="AL18" s="22">
        <f t="shared" si="3"/>
        <v>0.4</v>
      </c>
      <c r="AM18" s="22">
        <f t="shared" si="4"/>
        <v>0.13999999999999999</v>
      </c>
    </row>
    <row r="19" spans="1:39" x14ac:dyDescent="0.25">
      <c r="A19" s="10">
        <f>'Proximal Validation (double)'!A19</f>
        <v>0.1</v>
      </c>
      <c r="B19" s="11">
        <f>'Proximal Validation (double)'!B19</f>
        <v>0.18</v>
      </c>
      <c r="C19" s="10">
        <f>'Proximal Validation (double)'!C19</f>
        <v>2.3559999999999999</v>
      </c>
      <c r="D19" s="10">
        <f>'Proximal Validation (double)'!D19</f>
        <v>1.5707963267948966</v>
      </c>
      <c r="E19" s="11">
        <f>'Proximal Validation (double)'!E19</f>
        <v>0.2</v>
      </c>
      <c r="F19" s="11">
        <f>'Proximal Validation (double)'!F19</f>
        <v>0.06</v>
      </c>
      <c r="G19" s="10">
        <f>'Proximal Validation (double)'!G19</f>
        <v>4.7119999999999997</v>
      </c>
      <c r="H19" s="10">
        <f>'Proximal Validation (double)'!H19</f>
        <v>1.5707963267948966</v>
      </c>
      <c r="I19" s="10">
        <f>'Proximal Validation (double)'!I19</f>
        <v>0.4</v>
      </c>
      <c r="J19" s="10">
        <f>'Proximal Validation (double)'!J19</f>
        <v>0</v>
      </c>
      <c r="K19" s="10">
        <f>'Proximal Validation (double)'!K19</f>
        <v>0</v>
      </c>
      <c r="L19" s="28">
        <v>2.8786723909102706E-4</v>
      </c>
      <c r="M19" s="28">
        <v>1.0869017426500909E-2</v>
      </c>
      <c r="N19" s="28">
        <v>-1.9109561632723662E-2</v>
      </c>
      <c r="O19" s="28">
        <v>-4.8769547120239131E-3</v>
      </c>
      <c r="P19" s="28">
        <v>-7.0620580927223883E-2</v>
      </c>
      <c r="Q19" s="28">
        <v>-0.12951491910386845</v>
      </c>
      <c r="R19" s="8">
        <v>0.21243019110254543</v>
      </c>
      <c r="S19" s="8">
        <v>0.14054262443471099</v>
      </c>
      <c r="T19" s="8">
        <v>2.1463369682792011</v>
      </c>
      <c r="U19" s="8">
        <v>1.5707963267948966</v>
      </c>
      <c r="V19" s="8">
        <v>0.31078101877411901</v>
      </c>
      <c r="W19" s="8">
        <v>7.9049947097742032E-2</v>
      </c>
      <c r="X19" s="8">
        <v>4.8570631375514335</v>
      </c>
      <c r="Y19" s="8">
        <v>1.5707963267948966</v>
      </c>
      <c r="Z19" s="28">
        <v>1.9064657993621408E-8</v>
      </c>
      <c r="AA19" s="8">
        <f t="shared" si="0"/>
        <v>0.11243019110254543</v>
      </c>
      <c r="AB19" s="8">
        <f t="shared" si="0"/>
        <v>-3.9457375565288999E-2</v>
      </c>
      <c r="AC19" s="8">
        <f t="shared" si="0"/>
        <v>-0.20966303172079881</v>
      </c>
      <c r="AD19" s="8">
        <f t="shared" si="0"/>
        <v>0</v>
      </c>
      <c r="AE19" s="8">
        <f t="shared" si="0"/>
        <v>0.110781018774119</v>
      </c>
      <c r="AF19" s="8">
        <f t="shared" si="0"/>
        <v>1.9049947097742034E-2</v>
      </c>
      <c r="AG19" s="8">
        <f t="shared" si="0"/>
        <v>0.14506313755143374</v>
      </c>
      <c r="AH19" s="8">
        <f t="shared" si="0"/>
        <v>0</v>
      </c>
      <c r="AI19" s="22">
        <f t="shared" si="2"/>
        <v>0.11160560493833221</v>
      </c>
      <c r="AJ19" s="22">
        <f t="shared" si="2"/>
        <v>2.9253661331515517E-2</v>
      </c>
      <c r="AK19" s="22">
        <f t="shared" si="2"/>
        <v>0.17736308463611627</v>
      </c>
      <c r="AL19" s="22">
        <f t="shared" si="3"/>
        <v>0.1</v>
      </c>
      <c r="AM19" s="22">
        <f t="shared" si="4"/>
        <v>0.12</v>
      </c>
    </row>
    <row r="20" spans="1:39" x14ac:dyDescent="0.25">
      <c r="A20" s="10">
        <f>'Proximal Validation (double)'!A20</f>
        <v>0.9</v>
      </c>
      <c r="B20" s="11">
        <f>'Proximal Validation (double)'!B20</f>
        <v>0.2</v>
      </c>
      <c r="C20" s="10">
        <f>'Proximal Validation (double)'!C20</f>
        <v>2.3559999999999999</v>
      </c>
      <c r="D20" s="10">
        <f>'Proximal Validation (double)'!D20</f>
        <v>1.5707963267948966</v>
      </c>
      <c r="E20" s="11">
        <f>'Proximal Validation (double)'!E20</f>
        <v>0.3</v>
      </c>
      <c r="F20" s="11">
        <f>'Proximal Validation (double)'!F20</f>
        <v>0.06</v>
      </c>
      <c r="G20" s="10">
        <f>'Proximal Validation (double)'!G20</f>
        <v>3.1419999999999999</v>
      </c>
      <c r="H20" s="10">
        <f>'Proximal Validation (double)'!H20</f>
        <v>1.5707963267948966</v>
      </c>
      <c r="I20" s="10">
        <f>'Proximal Validation (double)'!I20</f>
        <v>1.2</v>
      </c>
      <c r="J20" s="10">
        <f>'Proximal Validation (double)'!J20</f>
        <v>0</v>
      </c>
      <c r="K20" s="10">
        <f>'Proximal Validation (double)'!K20</f>
        <v>0</v>
      </c>
      <c r="L20" s="28">
        <v>1.1093949734481022E-2</v>
      </c>
      <c r="M20" s="28">
        <v>-0.1202979319904556</v>
      </c>
      <c r="N20" s="28">
        <v>-0.17020158316248915</v>
      </c>
      <c r="O20" s="28">
        <v>-0.87051092412422004</v>
      </c>
      <c r="P20" s="28">
        <v>-0.6018879171643432</v>
      </c>
      <c r="Q20" s="28">
        <v>0.22899762407386126</v>
      </c>
      <c r="R20" s="8">
        <v>0.9037653535751432</v>
      </c>
      <c r="S20" s="8">
        <v>0.19904584194817593</v>
      </c>
      <c r="T20" s="8">
        <v>2.358951842393215</v>
      </c>
      <c r="U20" s="8">
        <v>1.5707963267948966</v>
      </c>
      <c r="V20" s="8">
        <v>0.29623915606338685</v>
      </c>
      <c r="W20" s="8">
        <v>5.8444958674012622E-2</v>
      </c>
      <c r="X20" s="8">
        <v>3.1471642131778093</v>
      </c>
      <c r="Y20" s="8">
        <v>1.5707963267948966</v>
      </c>
      <c r="Z20" s="28">
        <v>3.9007945240181935E-10</v>
      </c>
      <c r="AA20" s="8">
        <f t="shared" si="0"/>
        <v>3.7653535751431821E-3</v>
      </c>
      <c r="AB20" s="8">
        <f t="shared" si="0"/>
        <v>-9.5415805182408331E-4</v>
      </c>
      <c r="AC20" s="8">
        <f t="shared" si="0"/>
        <v>2.9518423932151094E-3</v>
      </c>
      <c r="AD20" s="8">
        <f t="shared" si="0"/>
        <v>0</v>
      </c>
      <c r="AE20" s="8">
        <f t="shared" si="0"/>
        <v>-3.7608439366131341E-3</v>
      </c>
      <c r="AF20" s="8">
        <f t="shared" si="0"/>
        <v>-1.555041325987376E-3</v>
      </c>
      <c r="AG20" s="8">
        <f t="shared" si="0"/>
        <v>5.1642131778093514E-3</v>
      </c>
      <c r="AH20" s="8">
        <f t="shared" si="0"/>
        <v>0</v>
      </c>
      <c r="AI20" s="22">
        <f t="shared" si="2"/>
        <v>3.7630987558781581E-3</v>
      </c>
      <c r="AJ20" s="22">
        <f t="shared" si="2"/>
        <v>1.2545996889057297E-3</v>
      </c>
      <c r="AK20" s="22">
        <f t="shared" si="2"/>
        <v>4.0580277855122304E-3</v>
      </c>
      <c r="AL20" s="22">
        <f t="shared" si="3"/>
        <v>0.3</v>
      </c>
      <c r="AM20" s="22">
        <f t="shared" si="4"/>
        <v>0.14000000000000001</v>
      </c>
    </row>
    <row r="21" spans="1:39" x14ac:dyDescent="0.25">
      <c r="A21" s="10">
        <f>'Proximal Validation (double)'!A21</f>
        <v>0.1</v>
      </c>
      <c r="B21" s="11">
        <f>'Proximal Validation (double)'!B21</f>
        <v>0.1</v>
      </c>
      <c r="C21" s="10">
        <f>'Proximal Validation (double)'!C21</f>
        <v>3.1419999999999999</v>
      </c>
      <c r="D21" s="10">
        <f>'Proximal Validation (double)'!D21</f>
        <v>1.5707963267948966</v>
      </c>
      <c r="E21" s="11">
        <f>'Proximal Validation (double)'!E21</f>
        <v>0.3</v>
      </c>
      <c r="F21" s="11">
        <f>'Proximal Validation (double)'!F21</f>
        <v>0.08</v>
      </c>
      <c r="G21" s="10">
        <f>'Proximal Validation (double)'!G21</f>
        <v>3.927</v>
      </c>
      <c r="H21" s="10">
        <f>'Proximal Validation (double)'!H21</f>
        <v>1.5707963267948966</v>
      </c>
      <c r="I21" s="10">
        <f>'Proximal Validation (double)'!I21</f>
        <v>1.2</v>
      </c>
      <c r="J21" s="10">
        <f>'Proximal Validation (double)'!J21</f>
        <v>0</v>
      </c>
      <c r="K21" s="10">
        <f>'Proximal Validation (double)'!K21</f>
        <v>0</v>
      </c>
      <c r="L21" s="28">
        <v>8.44615879703364E-6</v>
      </c>
      <c r="M21" s="28">
        <v>3.6056035385299744E-2</v>
      </c>
      <c r="N21" s="28">
        <v>-5.5046474446580188E-2</v>
      </c>
      <c r="O21" s="28">
        <v>-5.253831014603718E-3</v>
      </c>
      <c r="P21" s="28">
        <v>-0.31209646671149077</v>
      </c>
      <c r="Q21" s="28">
        <v>-0.21215072546436153</v>
      </c>
      <c r="R21" s="8">
        <v>0.24975566710388433</v>
      </c>
      <c r="S21" s="8">
        <v>8.7653581170894723E-2</v>
      </c>
      <c r="T21" s="8">
        <v>3.0449620931812227</v>
      </c>
      <c r="U21" s="8">
        <v>1.5707963267948966</v>
      </c>
      <c r="V21" s="8">
        <v>0.24466872524180122</v>
      </c>
      <c r="W21" s="8">
        <v>8.0621373591866038E-2</v>
      </c>
      <c r="X21" s="8">
        <v>4.4496660598259634</v>
      </c>
      <c r="Y21" s="8">
        <v>1.5707963267948966</v>
      </c>
      <c r="Z21" s="28">
        <v>1.2294587322729837E-8</v>
      </c>
      <c r="AA21" s="8">
        <f t="shared" si="0"/>
        <v>0.14975566710388433</v>
      </c>
      <c r="AB21" s="8">
        <f t="shared" si="0"/>
        <v>-1.2346418829105282E-2</v>
      </c>
      <c r="AC21" s="8">
        <f t="shared" si="0"/>
        <v>-9.703790681877722E-2</v>
      </c>
      <c r="AD21" s="8">
        <f t="shared" si="0"/>
        <v>0</v>
      </c>
      <c r="AE21" s="8">
        <f t="shared" si="0"/>
        <v>-5.5331274758198767E-2</v>
      </c>
      <c r="AF21" s="8">
        <f t="shared" si="0"/>
        <v>6.213735918660368E-4</v>
      </c>
      <c r="AG21" s="8">
        <f t="shared" si="0"/>
        <v>0.52266605982596337</v>
      </c>
      <c r="AH21" s="8">
        <f t="shared" si="0"/>
        <v>0</v>
      </c>
      <c r="AI21" s="22">
        <f t="shared" si="2"/>
        <v>0.10254347093104155</v>
      </c>
      <c r="AJ21" s="22">
        <f t="shared" si="2"/>
        <v>6.4838962104856596E-3</v>
      </c>
      <c r="AK21" s="22">
        <f t="shared" si="2"/>
        <v>0.30985198332237029</v>
      </c>
      <c r="AL21" s="22">
        <f t="shared" si="3"/>
        <v>0.1</v>
      </c>
      <c r="AM21" s="22">
        <f t="shared" si="4"/>
        <v>2.0000000000000004E-2</v>
      </c>
    </row>
    <row r="22" spans="1:39" x14ac:dyDescent="0.25">
      <c r="A22" s="10">
        <f>'Proximal Validation (double)'!A22</f>
        <v>0.1</v>
      </c>
      <c r="B22" s="11">
        <f>'Proximal Validation (double)'!B22</f>
        <v>0.2</v>
      </c>
      <c r="C22" s="10">
        <f>'Proximal Validation (double)'!C22</f>
        <v>3.1419999999999999</v>
      </c>
      <c r="D22" s="10">
        <f>'Proximal Validation (double)'!D22</f>
        <v>1.5707963267948966</v>
      </c>
      <c r="E22" s="11">
        <f>'Proximal Validation (double)'!E22</f>
        <v>0.8</v>
      </c>
      <c r="F22" s="11">
        <f>'Proximal Validation (double)'!F22</f>
        <v>0.02</v>
      </c>
      <c r="G22" s="10">
        <f>'Proximal Validation (double)'!G22</f>
        <v>3.927</v>
      </c>
      <c r="H22" s="10">
        <f>'Proximal Validation (double)'!H22</f>
        <v>1.5707963267948966</v>
      </c>
      <c r="I22" s="10">
        <f>'Proximal Validation (double)'!I22</f>
        <v>1.2</v>
      </c>
      <c r="J22" s="10">
        <f>'Proximal Validation (double)'!J22</f>
        <v>0</v>
      </c>
      <c r="K22" s="10">
        <f>'Proximal Validation (double)'!K22</f>
        <v>0</v>
      </c>
      <c r="L22" s="28">
        <v>6.6614859109123811E-4</v>
      </c>
      <c r="M22" s="28">
        <v>6.1712084576319597E-2</v>
      </c>
      <c r="N22" s="28">
        <v>-9.0552495084290932E-2</v>
      </c>
      <c r="O22" s="28">
        <v>9.2478269634822688E-4</v>
      </c>
      <c r="P22" s="28">
        <v>-0.66546084021570429</v>
      </c>
      <c r="Q22" s="28">
        <v>-0.56497427167501413</v>
      </c>
      <c r="R22" s="8">
        <v>0.50884976288125083</v>
      </c>
      <c r="S22" s="8">
        <v>4.9022575568060806E-2</v>
      </c>
      <c r="T22" s="8">
        <v>3.0933784106064643</v>
      </c>
      <c r="U22" s="8">
        <v>1.5707963267948966</v>
      </c>
      <c r="V22" s="8">
        <v>0.61021539286361304</v>
      </c>
      <c r="W22" s="8">
        <v>2.006395789191542E-2</v>
      </c>
      <c r="X22" s="8">
        <v>4.4514802253605055</v>
      </c>
      <c r="Y22" s="8">
        <v>1.5707963267948966</v>
      </c>
      <c r="Z22" s="28">
        <v>3.2939789348176324E-5</v>
      </c>
      <c r="AA22" s="8">
        <f t="shared" si="0"/>
        <v>0.40884976288125086</v>
      </c>
      <c r="AB22" s="8">
        <f t="shared" si="0"/>
        <v>-0.15097742443193921</v>
      </c>
      <c r="AC22" s="8">
        <f t="shared" si="0"/>
        <v>-4.8621589393535558E-2</v>
      </c>
      <c r="AD22" s="8">
        <f t="shared" si="0"/>
        <v>0</v>
      </c>
      <c r="AE22" s="8">
        <f t="shared" si="0"/>
        <v>-0.18978460713638701</v>
      </c>
      <c r="AF22" s="8">
        <f t="shared" si="0"/>
        <v>6.3957891915419895E-5</v>
      </c>
      <c r="AG22" s="8">
        <f t="shared" si="0"/>
        <v>0.52448022536050543</v>
      </c>
      <c r="AH22" s="8">
        <f t="shared" si="0"/>
        <v>0</v>
      </c>
      <c r="AI22" s="22">
        <f t="shared" si="2"/>
        <v>0.29931718500881893</v>
      </c>
      <c r="AJ22" s="22">
        <f t="shared" si="2"/>
        <v>7.5520691161927306E-2</v>
      </c>
      <c r="AK22" s="22">
        <f t="shared" si="2"/>
        <v>0.28655090737702049</v>
      </c>
      <c r="AL22" s="22">
        <f t="shared" si="3"/>
        <v>0.1</v>
      </c>
      <c r="AM22" s="22">
        <f t="shared" si="4"/>
        <v>0.18000000000000002</v>
      </c>
    </row>
    <row r="23" spans="1:39" x14ac:dyDescent="0.25">
      <c r="A23" s="10">
        <f>'Proximal Validation (double)'!A23</f>
        <v>0.9</v>
      </c>
      <c r="B23" s="11">
        <f>'Proximal Validation (double)'!B23</f>
        <v>0.1</v>
      </c>
      <c r="C23" s="10">
        <f>'Proximal Validation (double)'!C23</f>
        <v>3.927</v>
      </c>
      <c r="D23" s="10">
        <f>'Proximal Validation (double)'!D23</f>
        <v>1.5707963267948966</v>
      </c>
      <c r="E23" s="11">
        <f>'Proximal Validation (double)'!E23</f>
        <v>0.2</v>
      </c>
      <c r="F23" s="11">
        <f>'Proximal Validation (double)'!F23</f>
        <v>0.02</v>
      </c>
      <c r="G23" s="10">
        <f>'Proximal Validation (double)'!G23</f>
        <v>3.1419999999999999</v>
      </c>
      <c r="H23" s="10">
        <f>'Proximal Validation (double)'!H23</f>
        <v>1.5707963267948966</v>
      </c>
      <c r="I23" s="10">
        <f>'Proximal Validation (double)'!I23</f>
        <v>1.4</v>
      </c>
      <c r="J23" s="10">
        <f>'Proximal Validation (double)'!J23</f>
        <v>0</v>
      </c>
      <c r="K23" s="10">
        <f>'Proximal Validation (double)'!K23</f>
        <v>0</v>
      </c>
      <c r="L23" s="28">
        <v>-5.2938185202413245E-4</v>
      </c>
      <c r="M23" s="28">
        <v>0.12032071735459937</v>
      </c>
      <c r="N23" s="28">
        <v>-0.14218281176323483</v>
      </c>
      <c r="O23" s="28">
        <v>-0.12238377193114189</v>
      </c>
      <c r="P23" s="28">
        <v>-0.83115668970309442</v>
      </c>
      <c r="Q23" s="28">
        <v>-0.63081250047249215</v>
      </c>
      <c r="R23" s="8">
        <v>0.76592584367340233</v>
      </c>
      <c r="S23" s="8">
        <v>0.10471708392773033</v>
      </c>
      <c r="T23" s="8">
        <v>4.019843478046135</v>
      </c>
      <c r="U23" s="8">
        <v>1.5707963267948966</v>
      </c>
      <c r="V23" s="8">
        <v>0.3500475346770594</v>
      </c>
      <c r="W23" s="8">
        <v>4.8034573864294459E-2</v>
      </c>
      <c r="X23" s="8">
        <v>3.275420985673362</v>
      </c>
      <c r="Y23" s="8">
        <v>1.5707963267948966</v>
      </c>
      <c r="Z23" s="28">
        <v>2.6603260387709846E-7</v>
      </c>
      <c r="AA23" s="8">
        <f t="shared" si="0"/>
        <v>-0.13407415632659769</v>
      </c>
      <c r="AB23" s="8">
        <f t="shared" si="0"/>
        <v>4.71708392773032E-3</v>
      </c>
      <c r="AC23" s="8">
        <f t="shared" si="0"/>
        <v>9.2843478046134909E-2</v>
      </c>
      <c r="AD23" s="8">
        <f t="shared" si="0"/>
        <v>0</v>
      </c>
      <c r="AE23" s="8">
        <f t="shared" si="0"/>
        <v>0.15004753467705939</v>
      </c>
      <c r="AF23" s="8">
        <f t="shared" si="0"/>
        <v>2.8034573864294459E-2</v>
      </c>
      <c r="AG23" s="8">
        <f t="shared" si="0"/>
        <v>0.13342098567336214</v>
      </c>
      <c r="AH23" s="8">
        <f t="shared" si="0"/>
        <v>0</v>
      </c>
      <c r="AI23" s="22">
        <f t="shared" si="2"/>
        <v>0.14206084550182854</v>
      </c>
      <c r="AJ23" s="22">
        <f t="shared" si="2"/>
        <v>1.6375828896012391E-2</v>
      </c>
      <c r="AK23" s="22">
        <f t="shared" si="2"/>
        <v>0.11313223185974852</v>
      </c>
      <c r="AL23" s="22">
        <f t="shared" si="3"/>
        <v>0.2</v>
      </c>
      <c r="AM23" s="22">
        <f t="shared" si="4"/>
        <v>0.08</v>
      </c>
    </row>
    <row r="24" spans="1:39" x14ac:dyDescent="0.25">
      <c r="A24" s="10">
        <f>'Proximal Validation (double)'!A24</f>
        <v>0.2</v>
      </c>
      <c r="B24" s="11">
        <f>'Proximal Validation (double)'!B24</f>
        <v>0.12</v>
      </c>
      <c r="C24" s="10">
        <f>'Proximal Validation (double)'!C24</f>
        <v>3.927</v>
      </c>
      <c r="D24" s="10">
        <f>'Proximal Validation (double)'!D24</f>
        <v>1.5707963267948966</v>
      </c>
      <c r="E24" s="11">
        <f>'Proximal Validation (double)'!E24</f>
        <v>0.2</v>
      </c>
      <c r="F24" s="11">
        <f>'Proximal Validation (double)'!F24</f>
        <v>0.02</v>
      </c>
      <c r="G24" s="10">
        <f>'Proximal Validation (double)'!G24</f>
        <v>4.7119999999999997</v>
      </c>
      <c r="H24" s="10">
        <f>'Proximal Validation (double)'!H24</f>
        <v>1.5707963267948966</v>
      </c>
      <c r="I24" s="10">
        <f>'Proximal Validation (double)'!I24</f>
        <v>1.2</v>
      </c>
      <c r="J24" s="10">
        <f>'Proximal Validation (double)'!J24</f>
        <v>0</v>
      </c>
      <c r="K24" s="10">
        <f>'Proximal Validation (double)'!K24</f>
        <v>0</v>
      </c>
      <c r="L24" s="28">
        <v>-1.7029882329926211E-4</v>
      </c>
      <c r="M24" s="28">
        <v>5.1586357598487426E-2</v>
      </c>
      <c r="N24" s="28">
        <v>-2.9703246235744721E-2</v>
      </c>
      <c r="O24" s="28">
        <v>-1.5180936708702854E-3</v>
      </c>
      <c r="P24" s="28">
        <v>-0.14146061285274153</v>
      </c>
      <c r="Q24" s="28">
        <v>-0.34144803259978596</v>
      </c>
      <c r="R24" s="8">
        <v>0.21270455566021548</v>
      </c>
      <c r="S24" s="8">
        <v>0.10425003805274594</v>
      </c>
      <c r="T24" s="8">
        <v>3.7638276795345194</v>
      </c>
      <c r="U24" s="8">
        <v>1.5707963267948966</v>
      </c>
      <c r="V24" s="8">
        <v>0.2196935810102835</v>
      </c>
      <c r="W24" s="8">
        <v>3.5761178058977196E-2</v>
      </c>
      <c r="X24" s="8">
        <v>4.8555578376330057</v>
      </c>
      <c r="Y24" s="8">
        <v>1.5707963267948966</v>
      </c>
      <c r="Z24" s="28">
        <v>2.2356128104253819E-7</v>
      </c>
      <c r="AA24" s="8">
        <f t="shared" si="0"/>
        <v>1.2704555660215472E-2</v>
      </c>
      <c r="AB24" s="8">
        <f t="shared" si="0"/>
        <v>-1.574996194725406E-2</v>
      </c>
      <c r="AC24" s="8">
        <f t="shared" si="0"/>
        <v>-0.16317232046548069</v>
      </c>
      <c r="AD24" s="8">
        <f t="shared" si="0"/>
        <v>0</v>
      </c>
      <c r="AE24" s="8">
        <f t="shared" si="0"/>
        <v>1.9693581010283484E-2</v>
      </c>
      <c r="AF24" s="8">
        <f t="shared" si="0"/>
        <v>1.5761178058977195E-2</v>
      </c>
      <c r="AG24" s="8">
        <f t="shared" si="0"/>
        <v>0.143557837633006</v>
      </c>
      <c r="AH24" s="8">
        <f t="shared" si="0"/>
        <v>0</v>
      </c>
      <c r="AI24" s="22">
        <f t="shared" si="2"/>
        <v>1.6199068335249478E-2</v>
      </c>
      <c r="AJ24" s="22">
        <f t="shared" si="2"/>
        <v>1.5755570003115629E-2</v>
      </c>
      <c r="AK24" s="22">
        <f t="shared" si="2"/>
        <v>0.15336507904924335</v>
      </c>
      <c r="AL24" s="22">
        <f t="shared" si="3"/>
        <v>0.2</v>
      </c>
      <c r="AM24" s="22">
        <f t="shared" si="4"/>
        <v>9.9999999999999992E-2</v>
      </c>
    </row>
    <row r="25" spans="1:39" x14ac:dyDescent="0.25">
      <c r="A25" s="10">
        <f>'Proximal Validation (double)'!A25</f>
        <v>0.6</v>
      </c>
      <c r="B25" s="11">
        <f>'Proximal Validation (double)'!B25</f>
        <v>0.12</v>
      </c>
      <c r="C25" s="10">
        <f>'Proximal Validation (double)'!C25</f>
        <v>3.927</v>
      </c>
      <c r="D25" s="10">
        <f>'Proximal Validation (double)'!D25</f>
        <v>1.5707963267948966</v>
      </c>
      <c r="E25" s="11">
        <f>'Proximal Validation (double)'!E25</f>
        <v>0.5</v>
      </c>
      <c r="F25" s="11">
        <f>'Proximal Validation (double)'!F25</f>
        <v>0.08</v>
      </c>
      <c r="G25" s="10">
        <f>'Proximal Validation (double)'!G25</f>
        <v>4.7119999999999997</v>
      </c>
      <c r="H25" s="10">
        <f>'Proximal Validation (double)'!H25</f>
        <v>1.5707963267948966</v>
      </c>
      <c r="I25" s="10">
        <f>'Proximal Validation (double)'!I25</f>
        <v>0.2</v>
      </c>
      <c r="J25" s="10">
        <f>'Proximal Validation (double)'!J25</f>
        <v>0</v>
      </c>
      <c r="K25" s="10">
        <f>'Proximal Validation (double)'!K25</f>
        <v>0</v>
      </c>
      <c r="L25" s="28">
        <v>-1.6388388167207983E-4</v>
      </c>
      <c r="M25" s="28">
        <v>0.17176276391650536</v>
      </c>
      <c r="N25" s="28">
        <v>-8.7698740164258382E-2</v>
      </c>
      <c r="O25" s="28">
        <v>-0.21578188673641913</v>
      </c>
      <c r="P25" s="28">
        <v>-0.41235683260177985</v>
      </c>
      <c r="Q25" s="28">
        <v>-0.90416517714234457</v>
      </c>
      <c r="R25" s="8">
        <v>0.15341049075299557</v>
      </c>
      <c r="S25" s="8">
        <v>0.15604730629356958</v>
      </c>
      <c r="T25" s="8">
        <v>2.9710288020654056</v>
      </c>
      <c r="U25" s="8">
        <v>1.5707963267948966</v>
      </c>
      <c r="V25" s="8">
        <v>0.98867300878563924</v>
      </c>
      <c r="W25" s="8">
        <v>9.9939381396853516E-2</v>
      </c>
      <c r="X25" s="8">
        <v>4.4323414231868181</v>
      </c>
      <c r="Y25" s="8">
        <v>1.5707963267948966</v>
      </c>
      <c r="Z25" s="28">
        <v>2.0830294251286657E-9</v>
      </c>
      <c r="AA25" s="8">
        <f t="shared" si="0"/>
        <v>-0.44658950924700441</v>
      </c>
      <c r="AB25" s="8">
        <f t="shared" si="0"/>
        <v>3.6047306293569586E-2</v>
      </c>
      <c r="AC25" s="8">
        <f t="shared" si="0"/>
        <v>-0.9559711979345944</v>
      </c>
      <c r="AD25" s="8">
        <f t="shared" si="0"/>
        <v>0</v>
      </c>
      <c r="AE25" s="8">
        <f t="shared" si="0"/>
        <v>0.48867300878563924</v>
      </c>
      <c r="AF25" s="8">
        <f t="shared" si="0"/>
        <v>1.9939381396853514E-2</v>
      </c>
      <c r="AG25" s="8">
        <f t="shared" si="0"/>
        <v>-0.27965857681318163</v>
      </c>
      <c r="AH25" s="8">
        <f t="shared" si="0"/>
        <v>0</v>
      </c>
      <c r="AI25" s="22">
        <f t="shared" si="2"/>
        <v>0.46763125901632185</v>
      </c>
      <c r="AJ25" s="22">
        <f t="shared" si="2"/>
        <v>2.799334384521155E-2</v>
      </c>
      <c r="AK25" s="22">
        <f t="shared" si="2"/>
        <v>0.61781488737388801</v>
      </c>
      <c r="AL25" s="22">
        <f t="shared" si="3"/>
        <v>0.5</v>
      </c>
      <c r="AM25" s="22">
        <f t="shared" si="4"/>
        <v>3.9999999999999994E-2</v>
      </c>
    </row>
    <row r="26" spans="1:39" x14ac:dyDescent="0.25">
      <c r="A26" s="10">
        <f>'Proximal Validation (double)'!A26</f>
        <v>0.7</v>
      </c>
      <c r="B26" s="11">
        <f>'Proximal Validation (double)'!B26</f>
        <v>0.16</v>
      </c>
      <c r="C26" s="10">
        <f>'Proximal Validation (double)'!C26</f>
        <v>3.927</v>
      </c>
      <c r="D26" s="10">
        <f>'Proximal Validation (double)'!D26</f>
        <v>1.5707963267948966</v>
      </c>
      <c r="E26" s="11">
        <f>'Proximal Validation (double)'!E26</f>
        <v>1</v>
      </c>
      <c r="F26" s="11">
        <f>'Proximal Validation (double)'!F26</f>
        <v>0.04</v>
      </c>
      <c r="G26" s="10">
        <f>'Proximal Validation (double)'!G26</f>
        <v>3.927</v>
      </c>
      <c r="H26" s="10">
        <f>'Proximal Validation (double)'!H26</f>
        <v>1.5707963267948966</v>
      </c>
      <c r="I26" s="10">
        <f>'Proximal Validation (double)'!I26</f>
        <v>1.2</v>
      </c>
      <c r="J26" s="10">
        <f>'Proximal Validation (double)'!J26</f>
        <v>0</v>
      </c>
      <c r="K26" s="10">
        <f>'Proximal Validation (double)'!K26</f>
        <v>0</v>
      </c>
      <c r="L26" s="28">
        <v>-1.3100502166051981E-3</v>
      </c>
      <c r="M26" s="28">
        <v>0.20970348859840873</v>
      </c>
      <c r="N26" s="28">
        <v>-0.20971332292137901</v>
      </c>
      <c r="O26" s="28">
        <v>-0.41713309424378675</v>
      </c>
      <c r="P26" s="28">
        <v>-1.1564713208607724</v>
      </c>
      <c r="Q26" s="28">
        <v>-1.1533381337019448</v>
      </c>
      <c r="R26" s="8">
        <v>0.83896990547973094</v>
      </c>
      <c r="S26" s="8">
        <v>0.14747466560645042</v>
      </c>
      <c r="T26" s="8">
        <v>3.9273954554044734</v>
      </c>
      <c r="U26" s="8">
        <v>1.5707963267948966</v>
      </c>
      <c r="V26" s="8">
        <v>0.86186333784955727</v>
      </c>
      <c r="W26" s="8">
        <v>3.2830333444051139E-2</v>
      </c>
      <c r="X26" s="8">
        <v>3.9265602861707198</v>
      </c>
      <c r="Y26" s="8">
        <v>1.5707963267948966</v>
      </c>
      <c r="Z26" s="28">
        <v>9.4063713563719725E-9</v>
      </c>
      <c r="AA26" s="8">
        <f t="shared" si="0"/>
        <v>0.13896990547973098</v>
      </c>
      <c r="AB26" s="8">
        <f t="shared" si="0"/>
        <v>-1.2525334393549581E-2</v>
      </c>
      <c r="AC26" s="8">
        <f t="shared" si="0"/>
        <v>3.9545540447338823E-4</v>
      </c>
      <c r="AD26" s="8">
        <f t="shared" si="0"/>
        <v>0</v>
      </c>
      <c r="AE26" s="8">
        <f t="shared" si="0"/>
        <v>-0.13813666215044273</v>
      </c>
      <c r="AF26" s="8">
        <f t="shared" si="0"/>
        <v>-7.1696665559488615E-3</v>
      </c>
      <c r="AG26" s="8">
        <f t="shared" si="0"/>
        <v>-4.397138292802083E-4</v>
      </c>
      <c r="AH26" s="8">
        <f t="shared" si="0"/>
        <v>0</v>
      </c>
      <c r="AI26" s="22">
        <f t="shared" si="2"/>
        <v>0.13855328381508686</v>
      </c>
      <c r="AJ26" s="22">
        <f t="shared" si="2"/>
        <v>9.8475004747492212E-3</v>
      </c>
      <c r="AK26" s="22">
        <f t="shared" si="2"/>
        <v>4.1758461687679826E-4</v>
      </c>
      <c r="AL26" s="22">
        <f t="shared" si="3"/>
        <v>0.7</v>
      </c>
      <c r="AM26" s="22">
        <f t="shared" si="4"/>
        <v>0.12</v>
      </c>
    </row>
    <row r="27" spans="1:39" x14ac:dyDescent="0.25">
      <c r="A27" s="10">
        <f>'Proximal Validation (double)'!A27</f>
        <v>0.1</v>
      </c>
      <c r="B27" s="11">
        <f>'Proximal Validation (double)'!B27</f>
        <v>0.18</v>
      </c>
      <c r="C27" s="10">
        <f>'Proximal Validation (double)'!C27</f>
        <v>3.927</v>
      </c>
      <c r="D27" s="10">
        <f>'Proximal Validation (double)'!D27</f>
        <v>1.5707963267948966</v>
      </c>
      <c r="E27" s="11">
        <f>'Proximal Validation (double)'!E27</f>
        <v>0.9</v>
      </c>
      <c r="F27" s="11">
        <f>'Proximal Validation (double)'!F27</f>
        <v>0.08</v>
      </c>
      <c r="G27" s="10">
        <f>'Proximal Validation (double)'!G27</f>
        <v>3.1419999999999999</v>
      </c>
      <c r="H27" s="10">
        <f>'Proximal Validation (double)'!H27</f>
        <v>1.5707963267948966</v>
      </c>
      <c r="I27" s="10">
        <f>'Proximal Validation (double)'!I27</f>
        <v>0.6</v>
      </c>
      <c r="J27" s="10">
        <f>'Proximal Validation (double)'!J27</f>
        <v>0</v>
      </c>
      <c r="K27" s="10">
        <f>'Proximal Validation (double)'!K27</f>
        <v>0</v>
      </c>
      <c r="L27" s="28">
        <v>1.3086064174940102E-4</v>
      </c>
      <c r="M27" s="28">
        <v>1.9066066582979581E-2</v>
      </c>
      <c r="N27" s="28">
        <v>-0.1712520522215854</v>
      </c>
      <c r="O27" s="28">
        <v>-0.12088348400389362</v>
      </c>
      <c r="P27" s="28">
        <v>-0.9631869386902121</v>
      </c>
      <c r="Q27" s="28">
        <v>-6.9934746215694968E-2</v>
      </c>
      <c r="R27" s="8">
        <v>0.30666852476084666</v>
      </c>
      <c r="S27" s="8">
        <v>0.11280119930139193</v>
      </c>
      <c r="T27" s="8">
        <v>3.8924186098075664</v>
      </c>
      <c r="U27" s="8">
        <v>1.5707963267948966</v>
      </c>
      <c r="V27" s="8">
        <v>0.75915516413683026</v>
      </c>
      <c r="W27" s="8">
        <v>7.8828054915922707E-2</v>
      </c>
      <c r="X27" s="8">
        <v>2.9587069546972193</v>
      </c>
      <c r="Y27" s="8">
        <v>1.5707963267948966</v>
      </c>
      <c r="Z27" s="28">
        <v>4.1721551084049787E-7</v>
      </c>
      <c r="AA27" s="8">
        <f t="shared" si="0"/>
        <v>0.20666852476084666</v>
      </c>
      <c r="AB27" s="8">
        <f t="shared" si="0"/>
        <v>-6.7198800698608063E-2</v>
      </c>
      <c r="AC27" s="8">
        <f t="shared" si="0"/>
        <v>-3.458139019243367E-2</v>
      </c>
      <c r="AD27" s="8">
        <f t="shared" si="0"/>
        <v>0</v>
      </c>
      <c r="AE27" s="8">
        <f t="shared" si="0"/>
        <v>-0.14084483586316976</v>
      </c>
      <c r="AF27" s="8">
        <f t="shared" si="0"/>
        <v>-1.1719450840772944E-3</v>
      </c>
      <c r="AG27" s="8">
        <f t="shared" si="0"/>
        <v>-0.18329304530278057</v>
      </c>
      <c r="AH27" s="8">
        <f t="shared" si="0"/>
        <v>0</v>
      </c>
      <c r="AI27" s="22">
        <f t="shared" si="2"/>
        <v>0.17375668031200819</v>
      </c>
      <c r="AJ27" s="22">
        <f t="shared" si="2"/>
        <v>3.4185372891342679E-2</v>
      </c>
      <c r="AK27" s="22">
        <f t="shared" si="2"/>
        <v>0.10893721774760712</v>
      </c>
      <c r="AL27" s="22">
        <f t="shared" si="3"/>
        <v>0.1</v>
      </c>
      <c r="AM27" s="22">
        <f t="shared" si="4"/>
        <v>9.9999999999999992E-2</v>
      </c>
    </row>
    <row r="28" spans="1:39" x14ac:dyDescent="0.25">
      <c r="A28" s="10">
        <f>'Proximal Validation (double)'!A28</f>
        <v>1</v>
      </c>
      <c r="B28" s="11">
        <f>'Proximal Validation (double)'!B28</f>
        <v>0.18</v>
      </c>
      <c r="C28" s="10">
        <f>'Proximal Validation (double)'!C28</f>
        <v>3.927</v>
      </c>
      <c r="D28" s="10">
        <f>'Proximal Validation (double)'!D28</f>
        <v>1.5707963267948966</v>
      </c>
      <c r="E28" s="11">
        <f>'Proximal Validation (double)'!E28</f>
        <v>0.1</v>
      </c>
      <c r="F28" s="11">
        <f>'Proximal Validation (double)'!F28</f>
        <v>0.08</v>
      </c>
      <c r="G28" s="10">
        <f>'Proximal Validation (double)'!G28</f>
        <v>4.7119999999999997</v>
      </c>
      <c r="H28" s="10">
        <f>'Proximal Validation (double)'!H28</f>
        <v>1.5707963267948966</v>
      </c>
      <c r="I28" s="10">
        <f>'Proximal Validation (double)'!I28</f>
        <v>1.4</v>
      </c>
      <c r="J28" s="10">
        <f>'Proximal Validation (double)'!J28</f>
        <v>0</v>
      </c>
      <c r="K28" s="10">
        <f>'Proximal Validation (double)'!K28</f>
        <v>0</v>
      </c>
      <c r="L28" s="28">
        <v>-3.0880755558564434E-3</v>
      </c>
      <c r="M28" s="28">
        <v>0.1744792587561434</v>
      </c>
      <c r="N28" s="28">
        <v>-0.15878461506774247</v>
      </c>
      <c r="O28" s="28">
        <v>-0.76193665820160961</v>
      </c>
      <c r="P28" s="28">
        <v>-0.48849612432785317</v>
      </c>
      <c r="Q28" s="28">
        <v>-0.5657932763804272</v>
      </c>
      <c r="R28" s="8">
        <v>0.47270059168632667</v>
      </c>
      <c r="S28" s="8">
        <v>0.18565008750574427</v>
      </c>
      <c r="T28" s="8">
        <v>3.1758459271860859</v>
      </c>
      <c r="U28" s="8">
        <v>1.5707963267948966</v>
      </c>
      <c r="V28" s="8">
        <v>0.81914776653535082</v>
      </c>
      <c r="W28" s="8">
        <v>0.16905567973337068</v>
      </c>
      <c r="X28" s="8">
        <v>4.4249949897557954</v>
      </c>
      <c r="Y28" s="8">
        <v>1.5707963267948966</v>
      </c>
      <c r="Z28" s="28">
        <v>1.3891967462873504E-6</v>
      </c>
      <c r="AA28" s="8">
        <f t="shared" si="0"/>
        <v>-0.52729940831367328</v>
      </c>
      <c r="AB28" s="8">
        <f t="shared" si="0"/>
        <v>5.6500875057442779E-3</v>
      </c>
      <c r="AC28" s="8">
        <f t="shared" si="0"/>
        <v>-0.75115407281391411</v>
      </c>
      <c r="AD28" s="8">
        <f t="shared" si="0"/>
        <v>0</v>
      </c>
      <c r="AE28" s="8">
        <f t="shared" si="0"/>
        <v>0.71914776653535084</v>
      </c>
      <c r="AF28" s="8">
        <f t="shared" si="0"/>
        <v>8.9055679733370682E-2</v>
      </c>
      <c r="AG28" s="8">
        <f t="shared" si="0"/>
        <v>-0.28700501024420433</v>
      </c>
      <c r="AH28" s="8">
        <f t="shared" si="0"/>
        <v>0</v>
      </c>
      <c r="AI28" s="22">
        <f t="shared" si="2"/>
        <v>0.623223587424512</v>
      </c>
      <c r="AJ28" s="22">
        <f t="shared" si="2"/>
        <v>4.735288361955748E-2</v>
      </c>
      <c r="AK28" s="22">
        <f t="shared" si="2"/>
        <v>0.51907954152905922</v>
      </c>
      <c r="AL28" s="22">
        <f t="shared" si="3"/>
        <v>0.1</v>
      </c>
      <c r="AM28" s="22">
        <f t="shared" si="4"/>
        <v>9.9999999999999992E-2</v>
      </c>
    </row>
    <row r="29" spans="1:39" x14ac:dyDescent="0.25">
      <c r="A29" s="10">
        <f>'Proximal Validation (double)'!A29</f>
        <v>0.7</v>
      </c>
      <c r="B29" s="11">
        <f>'Proximal Validation (double)'!B29</f>
        <v>0.2</v>
      </c>
      <c r="C29" s="10">
        <f>'Proximal Validation (double)'!C29</f>
        <v>3.927</v>
      </c>
      <c r="D29" s="10">
        <f>'Proximal Validation (double)'!D29</f>
        <v>1.5707963267948966</v>
      </c>
      <c r="E29" s="11">
        <f>'Proximal Validation (double)'!E29</f>
        <v>0.2</v>
      </c>
      <c r="F29" s="11">
        <f>'Proximal Validation (double)'!F29</f>
        <v>0.02</v>
      </c>
      <c r="G29" s="10">
        <f>'Proximal Validation (double)'!G29</f>
        <v>3.927</v>
      </c>
      <c r="H29" s="10">
        <f>'Proximal Validation (double)'!H29</f>
        <v>1.5707963267948966</v>
      </c>
      <c r="I29" s="10">
        <f>'Proximal Validation (double)'!I29</f>
        <v>0.4</v>
      </c>
      <c r="J29" s="10">
        <f>'Proximal Validation (double)'!J29</f>
        <v>0</v>
      </c>
      <c r="K29" s="10">
        <f>'Proximal Validation (double)'!K29</f>
        <v>0</v>
      </c>
      <c r="L29" s="28">
        <v>-7.9056477771557413E-4</v>
      </c>
      <c r="M29" s="28">
        <v>0.12953600625205777</v>
      </c>
      <c r="N29" s="28">
        <v>-0.12982905738785427</v>
      </c>
      <c r="O29" s="28">
        <v>-0.55002206322118807</v>
      </c>
      <c r="P29" s="28">
        <v>-0.46143733855198266</v>
      </c>
      <c r="Q29" s="28">
        <v>-0.45691315996674081</v>
      </c>
      <c r="R29" s="8">
        <v>0.90596865377866231</v>
      </c>
      <c r="S29" s="8">
        <v>0.1720869977474378</v>
      </c>
      <c r="T29" s="8">
        <v>4.0631482855506587</v>
      </c>
      <c r="U29" s="8">
        <v>1.5707963267948966</v>
      </c>
      <c r="V29" s="8">
        <v>0.13207101831806903</v>
      </c>
      <c r="W29" s="8">
        <v>0.16834534637730372</v>
      </c>
      <c r="X29" s="8">
        <v>1.9812462897170746</v>
      </c>
      <c r="Y29" s="8">
        <v>1.5707963267948966</v>
      </c>
      <c r="Z29" s="28">
        <v>1.1151179697127734E-4</v>
      </c>
      <c r="AA29" s="8">
        <f t="shared" si="0"/>
        <v>0.20596865377866236</v>
      </c>
      <c r="AB29" s="8">
        <f t="shared" si="0"/>
        <v>-2.7913002252562213E-2</v>
      </c>
      <c r="AC29" s="8">
        <f t="shared" si="0"/>
        <v>0.13614828555065861</v>
      </c>
      <c r="AD29" s="8">
        <f t="shared" si="0"/>
        <v>0</v>
      </c>
      <c r="AE29" s="8">
        <f t="shared" si="0"/>
        <v>-6.7928981681930983E-2</v>
      </c>
      <c r="AF29" s="8">
        <f t="shared" si="0"/>
        <v>0.14834534637730373</v>
      </c>
      <c r="AG29" s="8">
        <f t="shared" si="0"/>
        <v>-1.9457537102829254</v>
      </c>
      <c r="AH29" s="8">
        <f t="shared" si="0"/>
        <v>0</v>
      </c>
      <c r="AI29" s="22">
        <f t="shared" si="2"/>
        <v>0.13694881773029666</v>
      </c>
      <c r="AJ29" s="22">
        <f t="shared" si="2"/>
        <v>8.8129174314932973E-2</v>
      </c>
      <c r="AK29" s="22">
        <f t="shared" si="2"/>
        <v>1.0409509979167919</v>
      </c>
      <c r="AL29" s="22">
        <f t="shared" si="3"/>
        <v>0.2</v>
      </c>
      <c r="AM29" s="22">
        <f t="shared" si="4"/>
        <v>0.18000000000000002</v>
      </c>
    </row>
    <row r="30" spans="1:39" x14ac:dyDescent="0.25">
      <c r="A30" s="10">
        <f>'Proximal Validation (double)'!A30</f>
        <v>1</v>
      </c>
      <c r="B30" s="11">
        <f>'Proximal Validation (double)'!B30</f>
        <v>0.2</v>
      </c>
      <c r="C30" s="10">
        <f>'Proximal Validation (double)'!C30</f>
        <v>3.927</v>
      </c>
      <c r="D30" s="10">
        <f>'Proximal Validation (double)'!D30</f>
        <v>1.5707963267948966</v>
      </c>
      <c r="E30" s="11">
        <f>'Proximal Validation (double)'!E30</f>
        <v>1</v>
      </c>
      <c r="F30" s="11">
        <f>'Proximal Validation (double)'!F30</f>
        <v>0.06</v>
      </c>
      <c r="G30" s="10">
        <f>'Proximal Validation (double)'!G30</f>
        <v>3.927</v>
      </c>
      <c r="H30" s="10">
        <f>'Proximal Validation (double)'!H30</f>
        <v>1.5707963267948966</v>
      </c>
      <c r="I30" s="10">
        <f>'Proximal Validation (double)'!I30</f>
        <v>0.2</v>
      </c>
      <c r="J30" s="10">
        <f>'Proximal Validation (double)'!J30</f>
        <v>0</v>
      </c>
      <c r="K30" s="10">
        <f>'Proximal Validation (double)'!K30</f>
        <v>0</v>
      </c>
      <c r="L30" s="28">
        <v>-5.6167068596584034E-4</v>
      </c>
      <c r="M30" s="28">
        <v>0.21931358638349535</v>
      </c>
      <c r="N30" s="28">
        <v>-0.2197072082890808</v>
      </c>
      <c r="O30" s="28">
        <v>-1.3141539709711738</v>
      </c>
      <c r="P30" s="28">
        <v>-0.84651000854504987</v>
      </c>
      <c r="Q30" s="28">
        <v>-0.84135710477991532</v>
      </c>
      <c r="R30" s="8">
        <v>0.99289432525119548</v>
      </c>
      <c r="S30" s="8">
        <v>0.19955239100699915</v>
      </c>
      <c r="T30" s="8">
        <v>3.9270477512631654</v>
      </c>
      <c r="U30" s="8">
        <v>1.5707963267948966</v>
      </c>
      <c r="V30" s="8">
        <v>0.99820054842158523</v>
      </c>
      <c r="W30" s="8">
        <v>6.1297894767032131E-2</v>
      </c>
      <c r="X30" s="8">
        <v>3.9269345880159365</v>
      </c>
      <c r="Y30" s="8">
        <v>1.5707963267948966</v>
      </c>
      <c r="Z30" s="28">
        <v>5.380710829729713E-7</v>
      </c>
      <c r="AA30" s="8">
        <f t="shared" si="0"/>
        <v>-7.1056747488045247E-3</v>
      </c>
      <c r="AB30" s="8">
        <f t="shared" si="0"/>
        <v>-4.4760899300086421E-4</v>
      </c>
      <c r="AC30" s="8">
        <f t="shared" si="0"/>
        <v>4.7751263165363156E-5</v>
      </c>
      <c r="AD30" s="8">
        <f t="shared" si="0"/>
        <v>0</v>
      </c>
      <c r="AE30" s="8">
        <f t="shared" si="0"/>
        <v>-1.799451578414768E-3</v>
      </c>
      <c r="AF30" s="8">
        <f t="shared" si="0"/>
        <v>1.2978947670321331E-3</v>
      </c>
      <c r="AG30" s="8">
        <f t="shared" si="0"/>
        <v>-6.5411984063512563E-5</v>
      </c>
      <c r="AH30" s="8">
        <f t="shared" si="0"/>
        <v>0</v>
      </c>
      <c r="AI30" s="22">
        <f t="shared" si="2"/>
        <v>4.4525631636096463E-3</v>
      </c>
      <c r="AJ30" s="22">
        <f t="shared" si="2"/>
        <v>8.7275188001649864E-4</v>
      </c>
      <c r="AK30" s="22">
        <f t="shared" si="2"/>
        <v>5.6581623614437859E-5</v>
      </c>
      <c r="AL30" s="22">
        <f t="shared" si="3"/>
        <v>1</v>
      </c>
      <c r="AM30" s="22">
        <f t="shared" si="4"/>
        <v>0.14000000000000001</v>
      </c>
    </row>
    <row r="31" spans="1:39" x14ac:dyDescent="0.25">
      <c r="A31" s="10">
        <f>'Proximal Validation (double)'!A31</f>
        <v>0.1</v>
      </c>
      <c r="B31" s="11">
        <f>'Proximal Validation (double)'!B31</f>
        <v>0.1</v>
      </c>
      <c r="C31" s="10">
        <f>'Proximal Validation (double)'!C31</f>
        <v>4.7119999999999997</v>
      </c>
      <c r="D31" s="10">
        <f>'Proximal Validation (double)'!D31</f>
        <v>1.5707963267948966</v>
      </c>
      <c r="E31" s="11">
        <f>'Proximal Validation (double)'!E31</f>
        <v>0.2</v>
      </c>
      <c r="F31" s="11">
        <f>'Proximal Validation (double)'!F31</f>
        <v>0.02</v>
      </c>
      <c r="G31" s="10">
        <f>'Proximal Validation (double)'!G31</f>
        <v>3.1419999999999999</v>
      </c>
      <c r="H31" s="10">
        <f>'Proximal Validation (double)'!H31</f>
        <v>1.5707963267948966</v>
      </c>
      <c r="I31" s="10">
        <f>'Proximal Validation (double)'!I31</f>
        <v>0</v>
      </c>
      <c r="J31" s="10">
        <f>'Proximal Validation (double)'!J31</f>
        <v>0</v>
      </c>
      <c r="K31" s="10">
        <f>'Proximal Validation (double)'!K31</f>
        <v>0</v>
      </c>
      <c r="L31" s="28">
        <v>-9.6463050545753866E-15</v>
      </c>
      <c r="M31" s="28">
        <v>1.9006482919280282E-2</v>
      </c>
      <c r="N31" s="28">
        <v>-2.1884919793431691E-2</v>
      </c>
      <c r="O31" s="28">
        <v>-2.2074524955232188E-3</v>
      </c>
      <c r="P31" s="28">
        <v>-0.20003657066936334</v>
      </c>
      <c r="Q31" s="28">
        <v>-0.10006043796252584</v>
      </c>
      <c r="R31" s="8">
        <v>0.19945906610579378</v>
      </c>
      <c r="S31" s="8">
        <v>7.1555967202943979E-2</v>
      </c>
      <c r="T31" s="8">
        <v>5.1588774374200153</v>
      </c>
      <c r="U31" s="8">
        <v>1.5707963267948966</v>
      </c>
      <c r="V31" s="8">
        <v>0.29708543333791032</v>
      </c>
      <c r="W31" s="8">
        <v>3.5485122407452115E-2</v>
      </c>
      <c r="X31" s="8">
        <v>2.8695260246496974</v>
      </c>
      <c r="Y31" s="8">
        <v>1.5707963267948966</v>
      </c>
      <c r="Z31" s="28">
        <v>6.5390777039471386E-9</v>
      </c>
      <c r="AA31" s="8">
        <f t="shared" si="0"/>
        <v>9.9459066105793775E-2</v>
      </c>
      <c r="AB31" s="8">
        <f t="shared" si="0"/>
        <v>-2.8444032797056026E-2</v>
      </c>
      <c r="AC31" s="8">
        <f t="shared" si="0"/>
        <v>0.44687743742001551</v>
      </c>
      <c r="AD31" s="8">
        <f t="shared" si="0"/>
        <v>0</v>
      </c>
      <c r="AE31" s="8">
        <f t="shared" si="0"/>
        <v>9.708543333791031E-2</v>
      </c>
      <c r="AF31" s="8">
        <f t="shared" si="0"/>
        <v>1.5485122407452114E-2</v>
      </c>
      <c r="AG31" s="8">
        <f t="shared" si="0"/>
        <v>-0.27247397535030249</v>
      </c>
      <c r="AH31" s="8">
        <f t="shared" si="0"/>
        <v>0</v>
      </c>
      <c r="AI31" s="22">
        <f t="shared" si="2"/>
        <v>9.8272249721852042E-2</v>
      </c>
      <c r="AJ31" s="22">
        <f t="shared" si="2"/>
        <v>2.1964577602254072E-2</v>
      </c>
      <c r="AK31" s="22">
        <f t="shared" si="2"/>
        <v>0.359675706385159</v>
      </c>
      <c r="AL31" s="22">
        <f t="shared" si="3"/>
        <v>0.1</v>
      </c>
      <c r="AM31" s="22">
        <f t="shared" si="4"/>
        <v>0.08</v>
      </c>
    </row>
    <row r="32" spans="1:39" x14ac:dyDescent="0.25">
      <c r="A32" s="10">
        <f>'Proximal Validation (double)'!A32</f>
        <v>0.3</v>
      </c>
      <c r="B32" s="11">
        <f>'Proximal Validation (double)'!B32</f>
        <v>0.1</v>
      </c>
      <c r="C32" s="10">
        <f>'Proximal Validation (double)'!C32</f>
        <v>4.7119999999999997</v>
      </c>
      <c r="D32" s="10">
        <f>'Proximal Validation (double)'!D32</f>
        <v>1.5707963267948966</v>
      </c>
      <c r="E32" s="11">
        <f>'Proximal Validation (double)'!E32</f>
        <v>0.8</v>
      </c>
      <c r="F32" s="11">
        <f>'Proximal Validation (double)'!F32</f>
        <v>0.04</v>
      </c>
      <c r="G32" s="10">
        <f>'Proximal Validation (double)'!G32</f>
        <v>3.927</v>
      </c>
      <c r="H32" s="10">
        <f>'Proximal Validation (double)'!H32</f>
        <v>1.5707963267948966</v>
      </c>
      <c r="I32" s="10">
        <f>'Proximal Validation (double)'!I32</f>
        <v>0.4</v>
      </c>
      <c r="J32" s="10">
        <f>'Proximal Validation (double)'!J32</f>
        <v>0</v>
      </c>
      <c r="K32" s="10">
        <f>'Proximal Validation (double)'!K32</f>
        <v>0</v>
      </c>
      <c r="L32" s="28">
        <v>-1.8735267518192031E-4</v>
      </c>
      <c r="M32" s="28">
        <v>0.13026943116456993</v>
      </c>
      <c r="N32" s="28">
        <v>-7.3386852428692362E-2</v>
      </c>
      <c r="O32" s="28">
        <v>-5.056680492063504E-2</v>
      </c>
      <c r="P32" s="28">
        <v>-0.56545797259114006</v>
      </c>
      <c r="Q32" s="28">
        <v>-0.86438492605382711</v>
      </c>
      <c r="R32" s="8">
        <v>0.54472371551044185</v>
      </c>
      <c r="S32" s="8">
        <v>8.0906042389708582E-2</v>
      </c>
      <c r="T32" s="8">
        <v>4.4817944909412715</v>
      </c>
      <c r="U32" s="8">
        <v>1.5707963267948966</v>
      </c>
      <c r="V32" s="8">
        <v>0.55432199243312485</v>
      </c>
      <c r="W32" s="8">
        <v>2.8678456945302092E-2</v>
      </c>
      <c r="X32" s="8">
        <v>3.7914723293577017</v>
      </c>
      <c r="Y32" s="8">
        <v>1.5707963267948966</v>
      </c>
      <c r="Z32" s="28">
        <v>2.0836938322616433E-8</v>
      </c>
      <c r="AA32" s="8">
        <f t="shared" si="0"/>
        <v>0.24472371551044186</v>
      </c>
      <c r="AB32" s="8">
        <f t="shared" si="0"/>
        <v>-1.9093957610291423E-2</v>
      </c>
      <c r="AC32" s="8">
        <f t="shared" si="0"/>
        <v>-0.23020550905872827</v>
      </c>
      <c r="AD32" s="8">
        <f t="shared" si="0"/>
        <v>0</v>
      </c>
      <c r="AE32" s="8">
        <f t="shared" si="0"/>
        <v>-0.24567800756687519</v>
      </c>
      <c r="AF32" s="8">
        <f t="shared" si="0"/>
        <v>-1.1321543054697909E-2</v>
      </c>
      <c r="AG32" s="8">
        <f t="shared" si="0"/>
        <v>-0.13552767064229831</v>
      </c>
      <c r="AH32" s="8">
        <f t="shared" si="0"/>
        <v>0</v>
      </c>
      <c r="AI32" s="22">
        <f t="shared" si="2"/>
        <v>0.24520086153865853</v>
      </c>
      <c r="AJ32" s="22">
        <f t="shared" si="2"/>
        <v>1.5207750332494666E-2</v>
      </c>
      <c r="AK32" s="22">
        <f t="shared" si="2"/>
        <v>0.18286658985051329</v>
      </c>
      <c r="AL32" s="22">
        <f t="shared" si="3"/>
        <v>0.3</v>
      </c>
      <c r="AM32" s="22">
        <f t="shared" si="4"/>
        <v>6.0000000000000005E-2</v>
      </c>
    </row>
    <row r="33" spans="1:39" x14ac:dyDescent="0.25">
      <c r="A33" s="10">
        <f>'Proximal Validation (double)'!A33</f>
        <v>1</v>
      </c>
      <c r="B33" s="11">
        <f>'Proximal Validation (double)'!B33</f>
        <v>0.1</v>
      </c>
      <c r="C33" s="10">
        <f>'Proximal Validation (double)'!C33</f>
        <v>4.7119999999999997</v>
      </c>
      <c r="D33" s="10">
        <f>'Proximal Validation (double)'!D33</f>
        <v>1.5707963267948966</v>
      </c>
      <c r="E33" s="11">
        <f>'Proximal Validation (double)'!E33</f>
        <v>0.1</v>
      </c>
      <c r="F33" s="11">
        <f>'Proximal Validation (double)'!F33</f>
        <v>0.04</v>
      </c>
      <c r="G33" s="10">
        <f>'Proximal Validation (double)'!G33</f>
        <v>4.7119999999999997</v>
      </c>
      <c r="H33" s="10">
        <f>'Proximal Validation (double)'!H33</f>
        <v>1.5707963267948966</v>
      </c>
      <c r="I33" s="10">
        <f>'Proximal Validation (double)'!I33</f>
        <v>0</v>
      </c>
      <c r="J33" s="10">
        <f>'Proximal Validation (double)'!J33</f>
        <v>0</v>
      </c>
      <c r="K33" s="10">
        <f>'Proximal Validation (double)'!K33</f>
        <v>0</v>
      </c>
      <c r="L33" s="28">
        <v>3.3675521632401496E-22</v>
      </c>
      <c r="M33" s="28">
        <v>0.20047698154309754</v>
      </c>
      <c r="N33" s="28">
        <v>-7.7981615717722045E-5</v>
      </c>
      <c r="O33" s="28">
        <v>-0.21526249907717668</v>
      </c>
      <c r="P33" s="28">
        <v>-4.1943145031509484E-4</v>
      </c>
      <c r="Q33" s="28">
        <v>-1.0782842898227429</v>
      </c>
      <c r="R33" s="8">
        <v>0.62501520286098733</v>
      </c>
      <c r="S33" s="8">
        <v>0.10108041129351139</v>
      </c>
      <c r="T33" s="8">
        <v>4.6636793282329521</v>
      </c>
      <c r="U33" s="8">
        <v>1.5707963267948966</v>
      </c>
      <c r="V33" s="8">
        <v>0.47604825024640951</v>
      </c>
      <c r="W33" s="8">
        <v>8.6888166447043252E-2</v>
      </c>
      <c r="X33" s="8">
        <v>4.7752583608357275</v>
      </c>
      <c r="Y33" s="8">
        <v>1.5707963267948966</v>
      </c>
      <c r="Z33" s="28">
        <v>3.9395771795218636E-7</v>
      </c>
      <c r="AA33" s="8">
        <f t="shared" si="0"/>
        <v>-0.37498479713901267</v>
      </c>
      <c r="AB33" s="8">
        <f t="shared" si="0"/>
        <v>1.0804112935113852E-3</v>
      </c>
      <c r="AC33" s="8">
        <f t="shared" si="0"/>
        <v>-4.8320671767047685E-2</v>
      </c>
      <c r="AD33" s="8">
        <f t="shared" si="0"/>
        <v>0</v>
      </c>
      <c r="AE33" s="8">
        <f t="shared" si="0"/>
        <v>0.37604825024640953</v>
      </c>
      <c r="AF33" s="8">
        <f t="shared" si="0"/>
        <v>4.6888166447043252E-2</v>
      </c>
      <c r="AG33" s="8">
        <f t="shared" si="0"/>
        <v>6.3258360835727778E-2</v>
      </c>
      <c r="AH33" s="8">
        <f t="shared" si="0"/>
        <v>0</v>
      </c>
      <c r="AI33" s="22">
        <f t="shared" si="2"/>
        <v>0.3755165236927111</v>
      </c>
      <c r="AJ33" s="22">
        <f t="shared" si="2"/>
        <v>2.3984288870277318E-2</v>
      </c>
      <c r="AK33" s="22">
        <f t="shared" si="2"/>
        <v>5.5789516301387732E-2</v>
      </c>
      <c r="AL33" s="22">
        <f t="shared" si="3"/>
        <v>0.1</v>
      </c>
      <c r="AM33" s="22">
        <f t="shared" si="4"/>
        <v>6.0000000000000005E-2</v>
      </c>
    </row>
    <row r="34" spans="1:39" x14ac:dyDescent="0.25">
      <c r="A34" s="10">
        <f>'Proximal Validation (double)'!A34</f>
        <v>0.1</v>
      </c>
      <c r="B34" s="11">
        <f>'Proximal Validation (double)'!B34</f>
        <v>0.1</v>
      </c>
      <c r="C34" s="10">
        <f>'Proximal Validation (double)'!C34</f>
        <v>4.7119999999999997</v>
      </c>
      <c r="D34" s="10">
        <f>'Proximal Validation (double)'!D34</f>
        <v>1.5707963267948966</v>
      </c>
      <c r="E34" s="11">
        <f>'Proximal Validation (double)'!E34</f>
        <v>1</v>
      </c>
      <c r="F34" s="11">
        <f>'Proximal Validation (double)'!F34</f>
        <v>0.08</v>
      </c>
      <c r="G34" s="10">
        <f>'Proximal Validation (double)'!G34</f>
        <v>4.7119999999999997</v>
      </c>
      <c r="H34" s="10">
        <f>'Proximal Validation (double)'!H34</f>
        <v>1.5707963267948966</v>
      </c>
      <c r="I34" s="10">
        <f>'Proximal Validation (double)'!I34</f>
        <v>1.4</v>
      </c>
      <c r="J34" s="10">
        <f>'Proximal Validation (double)'!J34</f>
        <v>0</v>
      </c>
      <c r="K34" s="10">
        <f>'Proximal Validation (double)'!K34</f>
        <v>0</v>
      </c>
      <c r="L34" s="28">
        <v>-1.3698349173989221E-3</v>
      </c>
      <c r="M34" s="28">
        <v>0.18811789818403296</v>
      </c>
      <c r="N34" s="28">
        <v>-1.3686039372192059E-4</v>
      </c>
      <c r="O34" s="28">
        <v>-0.12825353049453608</v>
      </c>
      <c r="P34" s="28">
        <v>-1.7290205857887022E-3</v>
      </c>
      <c r="Q34" s="28">
        <v>-1.0924948373701213</v>
      </c>
      <c r="R34" s="8">
        <v>0.62528519813720751</v>
      </c>
      <c r="S34" s="8">
        <v>8.1859382815529791E-2</v>
      </c>
      <c r="T34" s="8">
        <v>5.2245613790652614</v>
      </c>
      <c r="U34" s="8">
        <v>1.5707963267948966</v>
      </c>
      <c r="V34" s="8">
        <v>0.63413718547229148</v>
      </c>
      <c r="W34" s="8">
        <v>8.1787016914950952E-2</v>
      </c>
      <c r="X34" s="8">
        <v>4.2072845102525243</v>
      </c>
      <c r="Y34" s="8">
        <v>1.5707963267948966</v>
      </c>
      <c r="Z34" s="28">
        <v>2.7118609745118949E-9</v>
      </c>
      <c r="AA34" s="8">
        <f t="shared" si="0"/>
        <v>0.52528519813720753</v>
      </c>
      <c r="AB34" s="8">
        <f t="shared" si="0"/>
        <v>-1.8140617184470215E-2</v>
      </c>
      <c r="AC34" s="8">
        <f t="shared" si="0"/>
        <v>0.51256137906526167</v>
      </c>
      <c r="AD34" s="8">
        <f t="shared" si="0"/>
        <v>0</v>
      </c>
      <c r="AE34" s="8">
        <f t="shared" si="0"/>
        <v>-0.36586281452770852</v>
      </c>
      <c r="AF34" s="8">
        <f t="shared" si="0"/>
        <v>1.7870169149509507E-3</v>
      </c>
      <c r="AG34" s="8">
        <f t="shared" si="0"/>
        <v>-0.50471548974747549</v>
      </c>
      <c r="AH34" s="8">
        <f t="shared" ref="AH34:AH42" si="9">Y34-H34</f>
        <v>0</v>
      </c>
      <c r="AI34" s="22">
        <f t="shared" si="2"/>
        <v>0.44557400633245803</v>
      </c>
      <c r="AJ34" s="22">
        <f t="shared" si="2"/>
        <v>9.9638170497105827E-3</v>
      </c>
      <c r="AK34" s="22">
        <f t="shared" si="2"/>
        <v>0.50863843440636858</v>
      </c>
      <c r="AL34" s="22">
        <f t="shared" si="3"/>
        <v>0.1</v>
      </c>
      <c r="AM34" s="22">
        <f t="shared" si="4"/>
        <v>2.0000000000000004E-2</v>
      </c>
    </row>
    <row r="35" spans="1:39" x14ac:dyDescent="0.25">
      <c r="A35" s="10">
        <f>'Proximal Validation (double)'!A35</f>
        <v>0.9</v>
      </c>
      <c r="B35" s="11">
        <f>'Proximal Validation (double)'!B35</f>
        <v>0.12</v>
      </c>
      <c r="C35" s="10">
        <f>'Proximal Validation (double)'!C35</f>
        <v>4.7119999999999997</v>
      </c>
      <c r="D35" s="10">
        <f>'Proximal Validation (double)'!D35</f>
        <v>1.5707963267948966</v>
      </c>
      <c r="E35" s="11">
        <f>'Proximal Validation (double)'!E35</f>
        <v>0.9</v>
      </c>
      <c r="F35" s="11">
        <f>'Proximal Validation (double)'!F35</f>
        <v>0.02</v>
      </c>
      <c r="G35" s="10">
        <f>'Proximal Validation (double)'!G35</f>
        <v>3.1419999999999999</v>
      </c>
      <c r="H35" s="10">
        <f>'Proximal Validation (double)'!H35</f>
        <v>1.5707963267948966</v>
      </c>
      <c r="I35" s="10">
        <f>'Proximal Validation (double)'!I35</f>
        <v>0</v>
      </c>
      <c r="J35" s="10">
        <f>'Proximal Validation (double)'!J35</f>
        <v>0</v>
      </c>
      <c r="K35" s="10">
        <f>'Proximal Validation (double)'!K35</f>
        <v>0</v>
      </c>
      <c r="L35" s="28">
        <v>-6.3277442016083658E-11</v>
      </c>
      <c r="M35" s="28">
        <v>0.18455565821392136</v>
      </c>
      <c r="N35" s="28">
        <v>-9.8391993682386936E-2</v>
      </c>
      <c r="O35" s="28">
        <v>-0.25929255281587532</v>
      </c>
      <c r="P35" s="28">
        <v>-0.89905832509923367</v>
      </c>
      <c r="Q35" s="28">
        <v>-0.86333265854721175</v>
      </c>
      <c r="R35" s="8">
        <v>0.93843401666483195</v>
      </c>
      <c r="S35" s="8">
        <v>0.11644073271988248</v>
      </c>
      <c r="T35" s="8">
        <v>4.7120093082360794</v>
      </c>
      <c r="U35" s="8">
        <v>1.5707963267948966</v>
      </c>
      <c r="V35" s="8">
        <v>0.90085175656264294</v>
      </c>
      <c r="W35" s="8">
        <v>2.0057931781968959E-2</v>
      </c>
      <c r="X35" s="8">
        <v>3.0980788838516475</v>
      </c>
      <c r="Y35" s="8">
        <v>1.5707963267948966</v>
      </c>
      <c r="Z35" s="28">
        <v>3.4156293952442585E-7</v>
      </c>
      <c r="AA35" s="8">
        <f t="shared" ref="AA35:AG42" si="10">R35-A35</f>
        <v>3.8434016664831927E-2</v>
      </c>
      <c r="AB35" s="8">
        <f t="shared" si="10"/>
        <v>-3.5592672801175174E-3</v>
      </c>
      <c r="AC35" s="8">
        <f t="shared" si="10"/>
        <v>9.3082360796969965E-6</v>
      </c>
      <c r="AD35" s="8">
        <f t="shared" si="10"/>
        <v>0</v>
      </c>
      <c r="AE35" s="8">
        <f t="shared" si="10"/>
        <v>8.5175656264291355E-4</v>
      </c>
      <c r="AF35" s="8">
        <f t="shared" si="10"/>
        <v>5.7931781968958984E-5</v>
      </c>
      <c r="AG35" s="8">
        <f t="shared" si="10"/>
        <v>-4.3921116148352368E-2</v>
      </c>
      <c r="AH35" s="8">
        <f t="shared" si="9"/>
        <v>0</v>
      </c>
      <c r="AI35" s="22">
        <f t="shared" si="2"/>
        <v>1.964288661373742E-2</v>
      </c>
      <c r="AJ35" s="22">
        <f t="shared" si="2"/>
        <v>1.8085995310432382E-3</v>
      </c>
      <c r="AK35" s="22">
        <f t="shared" si="2"/>
        <v>2.1965212192216033E-2</v>
      </c>
      <c r="AL35" s="22">
        <f t="shared" si="3"/>
        <v>0.9</v>
      </c>
      <c r="AM35" s="22">
        <f t="shared" si="4"/>
        <v>9.9999999999999992E-2</v>
      </c>
    </row>
    <row r="36" spans="1:39" x14ac:dyDescent="0.25">
      <c r="A36" s="10">
        <f>'Proximal Validation (double)'!A36</f>
        <v>1</v>
      </c>
      <c r="B36" s="11">
        <f>'Proximal Validation (double)'!B36</f>
        <v>0.12</v>
      </c>
      <c r="C36" s="10">
        <f>'Proximal Validation (double)'!C36</f>
        <v>4.7119999999999997</v>
      </c>
      <c r="D36" s="10">
        <f>'Proximal Validation (double)'!D36</f>
        <v>1.5707963267948966</v>
      </c>
      <c r="E36" s="11">
        <f>'Proximal Validation (double)'!E36</f>
        <v>0.8</v>
      </c>
      <c r="F36" s="11">
        <f>'Proximal Validation (double)'!F36</f>
        <v>0.08</v>
      </c>
      <c r="G36" s="10">
        <f>'Proximal Validation (double)'!G36</f>
        <v>3.1419999999999999</v>
      </c>
      <c r="H36" s="10">
        <f>'Proximal Validation (double)'!H36</f>
        <v>1.5707963267948966</v>
      </c>
      <c r="I36" s="10">
        <f>'Proximal Validation (double)'!I36</f>
        <v>1.2</v>
      </c>
      <c r="J36" s="10">
        <f>'Proximal Validation (double)'!J36</f>
        <v>0</v>
      </c>
      <c r="K36" s="10">
        <f>'Proximal Validation (double)'!K36</f>
        <v>0</v>
      </c>
      <c r="L36" s="28">
        <v>-2.2230197889146113E-3</v>
      </c>
      <c r="M36" s="28">
        <v>0.20486630091146932</v>
      </c>
      <c r="N36" s="28">
        <v>-0.1340935852331466</v>
      </c>
      <c r="O36" s="28">
        <v>-0.3336938278696901</v>
      </c>
      <c r="P36" s="28">
        <v>-0.78561149127896102</v>
      </c>
      <c r="Q36" s="28">
        <v>-0.95556065190178741</v>
      </c>
      <c r="R36" s="8">
        <v>0.97821105462820579</v>
      </c>
      <c r="S36" s="8">
        <v>0.12676270694712963</v>
      </c>
      <c r="T36" s="8">
        <v>4.3394813829244923</v>
      </c>
      <c r="U36" s="8">
        <v>1.5707963267948966</v>
      </c>
      <c r="V36" s="8">
        <v>0.45529697875846786</v>
      </c>
      <c r="W36" s="8">
        <v>4.2334898155128774E-2</v>
      </c>
      <c r="X36" s="8">
        <v>3.3413133806226623</v>
      </c>
      <c r="Y36" s="8">
        <v>1.5707963267948966</v>
      </c>
      <c r="Z36" s="28">
        <v>7.081427531893194E-7</v>
      </c>
      <c r="AA36" s="8">
        <f t="shared" si="10"/>
        <v>-2.1788945371794211E-2</v>
      </c>
      <c r="AB36" s="8">
        <f t="shared" si="10"/>
        <v>6.7627069471296319E-3</v>
      </c>
      <c r="AC36" s="8">
        <f t="shared" si="10"/>
        <v>-0.37251861707550749</v>
      </c>
      <c r="AD36" s="8">
        <f t="shared" si="10"/>
        <v>0</v>
      </c>
      <c r="AE36" s="8">
        <f t="shared" si="10"/>
        <v>-0.34470302124153218</v>
      </c>
      <c r="AF36" s="8">
        <f t="shared" si="10"/>
        <v>-3.7665101844871228E-2</v>
      </c>
      <c r="AG36" s="8">
        <f t="shared" si="10"/>
        <v>0.19931338062266235</v>
      </c>
      <c r="AH36" s="8">
        <f t="shared" si="9"/>
        <v>0</v>
      </c>
      <c r="AI36" s="22">
        <f t="shared" si="2"/>
        <v>0.1832459833066632</v>
      </c>
      <c r="AJ36" s="22">
        <f t="shared" si="2"/>
        <v>2.221390439600043E-2</v>
      </c>
      <c r="AK36" s="22">
        <f t="shared" si="2"/>
        <v>0.28591599884908492</v>
      </c>
      <c r="AL36" s="22">
        <f t="shared" si="3"/>
        <v>0.8</v>
      </c>
      <c r="AM36" s="22">
        <f t="shared" si="4"/>
        <v>3.9999999999999994E-2</v>
      </c>
    </row>
    <row r="37" spans="1:39" x14ac:dyDescent="0.25">
      <c r="A37" s="10">
        <f>'Proximal Validation (double)'!A37</f>
        <v>0.3</v>
      </c>
      <c r="B37" s="11">
        <f>'Proximal Validation (double)'!B37</f>
        <v>0.18</v>
      </c>
      <c r="C37" s="10">
        <f>'Proximal Validation (double)'!C37</f>
        <v>4.7119999999999997</v>
      </c>
      <c r="D37" s="10">
        <f>'Proximal Validation (double)'!D37</f>
        <v>1.5707963267948966</v>
      </c>
      <c r="E37" s="11">
        <f>'Proximal Validation (double)'!E37</f>
        <v>0.3</v>
      </c>
      <c r="F37" s="11">
        <f>'Proximal Validation (double)'!F37</f>
        <v>0.06</v>
      </c>
      <c r="G37" s="10">
        <f>'Proximal Validation (double)'!G37</f>
        <v>3.1419999999999999</v>
      </c>
      <c r="H37" s="10">
        <f>'Proximal Validation (double)'!H37</f>
        <v>1.5707963267948966</v>
      </c>
      <c r="I37" s="10">
        <f>'Proximal Validation (double)'!I37</f>
        <v>1.4</v>
      </c>
      <c r="J37" s="10">
        <f>'Proximal Validation (double)'!J37</f>
        <v>0</v>
      </c>
      <c r="K37" s="10">
        <f>'Proximal Validation (double)'!K37</f>
        <v>0</v>
      </c>
      <c r="L37" s="28">
        <v>-2.9267365046324744E-3</v>
      </c>
      <c r="M37" s="28">
        <v>8.0236744528678336E-2</v>
      </c>
      <c r="N37" s="28">
        <v>-4.4736478069197394E-2</v>
      </c>
      <c r="O37" s="28">
        <v>-5.9999367183207544E-2</v>
      </c>
      <c r="P37" s="28">
        <v>-0.30091478231089347</v>
      </c>
      <c r="Q37" s="28">
        <v>-0.29388597285543272</v>
      </c>
      <c r="R37" s="8">
        <v>0.27553616279076726</v>
      </c>
      <c r="S37" s="8">
        <v>0.19002699443374688</v>
      </c>
      <c r="T37" s="8">
        <v>4.6853001651645103</v>
      </c>
      <c r="U37" s="8">
        <v>1.5707963267948966</v>
      </c>
      <c r="V37" s="8">
        <v>0.29404271437048085</v>
      </c>
      <c r="W37" s="8">
        <v>5.7255996029991207E-2</v>
      </c>
      <c r="X37" s="8">
        <v>3.2261411483716658</v>
      </c>
      <c r="Y37" s="8">
        <v>1.5707963267948966</v>
      </c>
      <c r="Z37" s="28">
        <v>1.2290679477264349E-7</v>
      </c>
      <c r="AA37" s="8">
        <f t="shared" si="10"/>
        <v>-2.4463837209232731E-2</v>
      </c>
      <c r="AB37" s="8">
        <f t="shared" si="10"/>
        <v>1.0026994433746883E-2</v>
      </c>
      <c r="AC37" s="8">
        <f t="shared" si="10"/>
        <v>-2.6699834835489433E-2</v>
      </c>
      <c r="AD37" s="8">
        <f t="shared" si="10"/>
        <v>0</v>
      </c>
      <c r="AE37" s="8">
        <f t="shared" si="10"/>
        <v>-5.9572856295191379E-3</v>
      </c>
      <c r="AF37" s="8">
        <f t="shared" si="10"/>
        <v>-2.7440039700087904E-3</v>
      </c>
      <c r="AG37" s="8">
        <f t="shared" si="10"/>
        <v>8.4141148371665864E-2</v>
      </c>
      <c r="AH37" s="8">
        <f t="shared" si="9"/>
        <v>0</v>
      </c>
      <c r="AI37" s="22">
        <f t="shared" si="2"/>
        <v>1.5210561419375934E-2</v>
      </c>
      <c r="AJ37" s="22">
        <f t="shared" si="2"/>
        <v>6.3854992018778367E-3</v>
      </c>
      <c r="AK37" s="22">
        <f t="shared" si="2"/>
        <v>5.5420491603577648E-2</v>
      </c>
      <c r="AL37" s="22">
        <f t="shared" si="3"/>
        <v>0.3</v>
      </c>
      <c r="AM37" s="22">
        <f t="shared" si="4"/>
        <v>0.12</v>
      </c>
    </row>
    <row r="38" spans="1:39" x14ac:dyDescent="0.25">
      <c r="A38" s="10">
        <f>'Proximal Validation (double)'!A38</f>
        <v>0.9</v>
      </c>
      <c r="B38" s="11">
        <f>'Proximal Validation (double)'!B38</f>
        <v>0.18</v>
      </c>
      <c r="C38" s="10">
        <f>'Proximal Validation (double)'!C38</f>
        <v>4.7119999999999997</v>
      </c>
      <c r="D38" s="10">
        <f>'Proximal Validation (double)'!D38</f>
        <v>1.5707963267948966</v>
      </c>
      <c r="E38" s="11">
        <f>'Proximal Validation (double)'!E38</f>
        <v>0.2</v>
      </c>
      <c r="F38" s="11">
        <f>'Proximal Validation (double)'!F38</f>
        <v>0.08</v>
      </c>
      <c r="G38" s="10">
        <f>'Proximal Validation (double)'!G38</f>
        <v>3.1419999999999999</v>
      </c>
      <c r="H38" s="10">
        <f>'Proximal Validation (double)'!H38</f>
        <v>1.5707963267948966</v>
      </c>
      <c r="I38" s="10">
        <f>'Proximal Validation (double)'!I38</f>
        <v>0.2</v>
      </c>
      <c r="J38" s="10">
        <f>'Proximal Validation (double)'!J38</f>
        <v>0</v>
      </c>
      <c r="K38" s="10">
        <f>'Proximal Validation (double)'!K38</f>
        <v>0</v>
      </c>
      <c r="L38" s="28">
        <v>-1.2309184158080572E-3</v>
      </c>
      <c r="M38" s="28">
        <v>0.19306385744933829</v>
      </c>
      <c r="N38" s="28">
        <v>-3.2733888313864139E-2</v>
      </c>
      <c r="O38" s="28">
        <v>-0.70120895802333194</v>
      </c>
      <c r="P38" s="28">
        <v>-0.19144527798041755</v>
      </c>
      <c r="Q38" s="28">
        <v>-0.56818741132589756</v>
      </c>
      <c r="R38" s="8">
        <v>0.93157669616540584</v>
      </c>
      <c r="S38" s="8">
        <v>0.17790762524797668</v>
      </c>
      <c r="T38" s="8">
        <v>4.7976977710992035</v>
      </c>
      <c r="U38" s="8">
        <v>1.5707963267948966</v>
      </c>
      <c r="V38" s="8">
        <v>0.27500838494681867</v>
      </c>
      <c r="W38" s="8">
        <v>0.10785354420258246</v>
      </c>
      <c r="X38" s="8">
        <v>3.0345812643913566</v>
      </c>
      <c r="Y38" s="8">
        <v>1.5707963267948966</v>
      </c>
      <c r="Z38" s="28">
        <v>9.1686556956475464E-9</v>
      </c>
      <c r="AA38" s="8">
        <f t="shared" si="10"/>
        <v>3.1576696165405815E-2</v>
      </c>
      <c r="AB38" s="8">
        <f t="shared" si="10"/>
        <v>-2.0923747520233127E-3</v>
      </c>
      <c r="AC38" s="8">
        <f t="shared" si="10"/>
        <v>8.5697771099203734E-2</v>
      </c>
      <c r="AD38" s="8">
        <f t="shared" si="10"/>
        <v>0</v>
      </c>
      <c r="AE38" s="8">
        <f t="shared" si="10"/>
        <v>7.5008384946818663E-2</v>
      </c>
      <c r="AF38" s="8">
        <f t="shared" si="10"/>
        <v>2.7853544202582459E-2</v>
      </c>
      <c r="AG38" s="8">
        <f t="shared" si="10"/>
        <v>-0.10741873560864335</v>
      </c>
      <c r="AH38" s="8">
        <f t="shared" si="9"/>
        <v>0</v>
      </c>
      <c r="AI38" s="22">
        <f t="shared" si="2"/>
        <v>5.3292540556112239E-2</v>
      </c>
      <c r="AJ38" s="22">
        <f t="shared" si="2"/>
        <v>1.4972959477302886E-2</v>
      </c>
      <c r="AK38" s="22">
        <f t="shared" si="2"/>
        <v>9.655825335392354E-2</v>
      </c>
      <c r="AL38" s="22">
        <f t="shared" si="3"/>
        <v>0.2</v>
      </c>
      <c r="AM38" s="22">
        <f t="shared" si="4"/>
        <v>9.9999999999999992E-2</v>
      </c>
    </row>
    <row r="39" spans="1:39" x14ac:dyDescent="0.25">
      <c r="A39" s="10">
        <f>'Proximal Validation (double)'!A39</f>
        <v>0.1</v>
      </c>
      <c r="B39" s="11">
        <f>'Proximal Validation (double)'!B39</f>
        <v>0.18</v>
      </c>
      <c r="C39" s="10">
        <f>'Proximal Validation (double)'!C39</f>
        <v>4.7119999999999997</v>
      </c>
      <c r="D39" s="10">
        <f>'Proximal Validation (double)'!D39</f>
        <v>1.5707963267948966</v>
      </c>
      <c r="E39" s="11">
        <f>'Proximal Validation (double)'!E39</f>
        <v>1</v>
      </c>
      <c r="F39" s="11">
        <f>'Proximal Validation (double)'!F39</f>
        <v>0.02</v>
      </c>
      <c r="G39" s="10">
        <f>'Proximal Validation (double)'!G39</f>
        <v>4.7119999999999997</v>
      </c>
      <c r="H39" s="10">
        <f>'Proximal Validation (double)'!H39</f>
        <v>1.5707963267948966</v>
      </c>
      <c r="I39" s="10">
        <f>'Proximal Validation (double)'!I39</f>
        <v>0</v>
      </c>
      <c r="J39" s="10">
        <f>'Proximal Validation (double)'!J39</f>
        <v>0</v>
      </c>
      <c r="K39" s="10">
        <f>'Proximal Validation (double)'!K39</f>
        <v>0</v>
      </c>
      <c r="L39" s="28">
        <v>-1.7640053078458729E-22</v>
      </c>
      <c r="M39" s="28">
        <v>0.13634776220970543</v>
      </c>
      <c r="N39" s="28">
        <v>-5.3036606570828964E-5</v>
      </c>
      <c r="O39" s="28">
        <v>-2.6475613949021749E-2</v>
      </c>
      <c r="P39" s="28">
        <v>-4.2758786967096117E-4</v>
      </c>
      <c r="Q39" s="28">
        <v>-1.0992530055593168</v>
      </c>
      <c r="R39" s="8">
        <v>0.58644621094070348</v>
      </c>
      <c r="S39" s="8">
        <v>4.896415384973786E-2</v>
      </c>
      <c r="T39" s="8">
        <v>4.7207330220154669</v>
      </c>
      <c r="U39" s="8">
        <v>1.5707963267948966</v>
      </c>
      <c r="V39" s="8">
        <v>0.51292830814089996</v>
      </c>
      <c r="W39" s="8">
        <v>2.2128114383353274E-2</v>
      </c>
      <c r="X39" s="8">
        <v>4.7022589635617296</v>
      </c>
      <c r="Y39" s="8">
        <v>1.5707963267948966</v>
      </c>
      <c r="Z39" s="28">
        <v>8.1282449706524015E-6</v>
      </c>
      <c r="AA39" s="8">
        <f t="shared" si="10"/>
        <v>0.48644621094070351</v>
      </c>
      <c r="AB39" s="8">
        <f t="shared" si="10"/>
        <v>-0.13103584615026215</v>
      </c>
      <c r="AC39" s="8">
        <f t="shared" si="10"/>
        <v>8.7330220154671068E-3</v>
      </c>
      <c r="AD39" s="8">
        <f t="shared" si="10"/>
        <v>0</v>
      </c>
      <c r="AE39" s="8">
        <f t="shared" si="10"/>
        <v>-0.48707169185910004</v>
      </c>
      <c r="AF39" s="8">
        <f t="shared" si="10"/>
        <v>2.1281143833532731E-3</v>
      </c>
      <c r="AG39" s="8">
        <f t="shared" si="10"/>
        <v>-9.7410364382701786E-3</v>
      </c>
      <c r="AH39" s="8">
        <f t="shared" si="9"/>
        <v>0</v>
      </c>
      <c r="AI39" s="22">
        <f t="shared" si="2"/>
        <v>0.48675895139990177</v>
      </c>
      <c r="AJ39" s="22">
        <f t="shared" si="2"/>
        <v>6.6581980266807714E-2</v>
      </c>
      <c r="AK39" s="22">
        <f t="shared" si="2"/>
        <v>9.2370292268686427E-3</v>
      </c>
      <c r="AL39" s="22">
        <f t="shared" si="3"/>
        <v>0.1</v>
      </c>
      <c r="AM39" s="22">
        <f t="shared" si="4"/>
        <v>0.16</v>
      </c>
    </row>
    <row r="40" spans="1:39" x14ac:dyDescent="0.25">
      <c r="A40" s="10">
        <f>'Proximal Validation (double)'!A40</f>
        <v>0.8</v>
      </c>
      <c r="B40" s="11">
        <f>'Proximal Validation (double)'!B40</f>
        <v>0.18</v>
      </c>
      <c r="C40" s="10">
        <f>'Proximal Validation (double)'!C40</f>
        <v>4.7119999999999997</v>
      </c>
      <c r="D40" s="10">
        <f>'Proximal Validation (double)'!D40</f>
        <v>1.5707963267948966</v>
      </c>
      <c r="E40" s="11">
        <f>'Proximal Validation (double)'!E40</f>
        <v>0.6</v>
      </c>
      <c r="F40" s="11">
        <f>'Proximal Validation (double)'!F40</f>
        <v>0.06</v>
      </c>
      <c r="G40" s="10">
        <f>'Proximal Validation (double)'!G40</f>
        <v>4.7119999999999997</v>
      </c>
      <c r="H40" s="10">
        <f>'Proximal Validation (double)'!H40</f>
        <v>1.5707963267948966</v>
      </c>
      <c r="I40" s="10">
        <f>'Proximal Validation (double)'!I40</f>
        <v>1</v>
      </c>
      <c r="J40" s="10">
        <f>'Proximal Validation (double)'!J40</f>
        <v>0</v>
      </c>
      <c r="K40" s="10">
        <f>'Proximal Validation (double)'!K40</f>
        <v>0</v>
      </c>
      <c r="L40" s="28">
        <v>-5.9029006367940394E-3</v>
      </c>
      <c r="M40" s="28">
        <v>0.27049055742873901</v>
      </c>
      <c r="N40" s="28">
        <v>-1.1369379441710352E-3</v>
      </c>
      <c r="O40" s="28">
        <v>-0.72467412201415671</v>
      </c>
      <c r="P40" s="28">
        <v>-2.1773161354468315E-2</v>
      </c>
      <c r="Q40" s="28">
        <v>-1.1486162911463516</v>
      </c>
      <c r="R40" s="8">
        <v>0.92077645801071983</v>
      </c>
      <c r="S40" s="8">
        <v>0.16965900997266536</v>
      </c>
      <c r="T40" s="8">
        <v>4.7140494047799741</v>
      </c>
      <c r="U40" s="8">
        <v>1.5707963267948966</v>
      </c>
      <c r="V40" s="8">
        <v>0.47736642450106387</v>
      </c>
      <c r="W40" s="8">
        <v>4.8902786812610254E-2</v>
      </c>
      <c r="X40" s="8">
        <v>4.7065056037332491</v>
      </c>
      <c r="Y40" s="8">
        <v>1.5707963267948966</v>
      </c>
      <c r="Z40" s="28">
        <v>1.6060799809355555E-7</v>
      </c>
      <c r="AA40" s="8">
        <f t="shared" si="10"/>
        <v>0.12077645801071979</v>
      </c>
      <c r="AB40" s="8">
        <f t="shared" si="10"/>
        <v>-1.0340990027334629E-2</v>
      </c>
      <c r="AC40" s="8">
        <f t="shared" si="10"/>
        <v>2.0494047799743953E-3</v>
      </c>
      <c r="AD40" s="8">
        <f t="shared" si="10"/>
        <v>0</v>
      </c>
      <c r="AE40" s="8">
        <f t="shared" si="10"/>
        <v>-0.12263357549893611</v>
      </c>
      <c r="AF40" s="8">
        <f t="shared" si="10"/>
        <v>-1.1097213187389744E-2</v>
      </c>
      <c r="AG40" s="8">
        <f t="shared" si="10"/>
        <v>-5.4943962667506341E-3</v>
      </c>
      <c r="AH40" s="8">
        <f t="shared" si="9"/>
        <v>0</v>
      </c>
      <c r="AI40" s="22">
        <f t="shared" si="2"/>
        <v>0.12170501675482795</v>
      </c>
      <c r="AJ40" s="22">
        <f t="shared" si="2"/>
        <v>1.0719101607362187E-2</v>
      </c>
      <c r="AK40" s="22">
        <f t="shared" si="2"/>
        <v>3.7719005233625147E-3</v>
      </c>
      <c r="AL40" s="22">
        <f t="shared" si="3"/>
        <v>0.6</v>
      </c>
      <c r="AM40" s="22">
        <f t="shared" si="4"/>
        <v>0.12</v>
      </c>
    </row>
    <row r="41" spans="1:39" x14ac:dyDescent="0.25">
      <c r="A41" s="10">
        <f>'Proximal Validation (double)'!A41</f>
        <v>1</v>
      </c>
      <c r="B41" s="11">
        <f>'Proximal Validation (double)'!B41</f>
        <v>0.2</v>
      </c>
      <c r="C41" s="10">
        <f>'Proximal Validation (double)'!C41</f>
        <v>4.7119999999999997</v>
      </c>
      <c r="D41" s="10">
        <f>'Proximal Validation (double)'!D41</f>
        <v>1.5707963267948966</v>
      </c>
      <c r="E41" s="11">
        <f>'Proximal Validation (double)'!E41</f>
        <v>0.8</v>
      </c>
      <c r="F41" s="11">
        <f>'Proximal Validation (double)'!F41</f>
        <v>0.02</v>
      </c>
      <c r="G41" s="10">
        <f>'Proximal Validation (double)'!G41</f>
        <v>3.1419999999999999</v>
      </c>
      <c r="H41" s="10">
        <f>'Proximal Validation (double)'!H41</f>
        <v>1.5707963267948966</v>
      </c>
      <c r="I41" s="10">
        <f>'Proximal Validation (double)'!I41</f>
        <v>1.4</v>
      </c>
      <c r="J41" s="10">
        <f>'Proximal Validation (double)'!J41</f>
        <v>0</v>
      </c>
      <c r="K41" s="10">
        <f>'Proximal Validation (double)'!K41</f>
        <v>0</v>
      </c>
      <c r="L41" s="28">
        <v>-1.2779739916851168E-2</v>
      </c>
      <c r="M41" s="28">
        <v>0.18837631403337476</v>
      </c>
      <c r="N41" s="28">
        <v>-9.2179744887666781E-2</v>
      </c>
      <c r="O41" s="28">
        <v>-0.91556613340679349</v>
      </c>
      <c r="P41" s="28">
        <v>-0.86857345870453251</v>
      </c>
      <c r="Q41" s="28">
        <v>-0.39211715825424137</v>
      </c>
      <c r="R41" s="8">
        <v>0.99982919557920458</v>
      </c>
      <c r="S41" s="8">
        <v>0.1998781952333622</v>
      </c>
      <c r="T41" s="8">
        <v>4.7217483132587823</v>
      </c>
      <c r="U41" s="8">
        <v>1.5707963267948966</v>
      </c>
      <c r="V41" s="8">
        <v>0.80417037134805769</v>
      </c>
      <c r="W41" s="8">
        <v>2.1697684841817385E-2</v>
      </c>
      <c r="X41" s="8">
        <v>3.1420896075641749</v>
      </c>
      <c r="Y41" s="8">
        <v>1.5707963267948966</v>
      </c>
      <c r="Z41" s="28">
        <v>1.0196014845337427E-7</v>
      </c>
      <c r="AA41" s="8">
        <f t="shared" si="10"/>
        <v>-1.7080442079542291E-4</v>
      </c>
      <c r="AB41" s="8">
        <f t="shared" si="10"/>
        <v>-1.2180476663781192E-4</v>
      </c>
      <c r="AC41" s="8">
        <f t="shared" si="10"/>
        <v>9.7483132587825594E-3</v>
      </c>
      <c r="AD41" s="8">
        <f t="shared" si="10"/>
        <v>0</v>
      </c>
      <c r="AE41" s="8">
        <f t="shared" si="10"/>
        <v>4.1703713480576443E-3</v>
      </c>
      <c r="AF41" s="8">
        <f t="shared" si="10"/>
        <v>1.6976848418173845E-3</v>
      </c>
      <c r="AG41" s="8">
        <f t="shared" si="10"/>
        <v>8.9607564174976062E-5</v>
      </c>
      <c r="AH41" s="8">
        <f t="shared" si="9"/>
        <v>0</v>
      </c>
      <c r="AI41" s="22">
        <f t="shared" si="2"/>
        <v>2.1705878844265336E-3</v>
      </c>
      <c r="AJ41" s="22">
        <f t="shared" si="2"/>
        <v>9.0974480422759824E-4</v>
      </c>
      <c r="AK41" s="22">
        <f t="shared" si="2"/>
        <v>4.9189604114787677E-3</v>
      </c>
      <c r="AL41" s="22">
        <f t="shared" si="3"/>
        <v>0.8</v>
      </c>
      <c r="AM41" s="22">
        <f t="shared" si="4"/>
        <v>0.18000000000000002</v>
      </c>
    </row>
    <row r="42" spans="1:39" x14ac:dyDescent="0.25">
      <c r="A42" s="10">
        <f>'Proximal Validation (double)'!A42</f>
        <v>0.2</v>
      </c>
      <c r="B42" s="13">
        <f>'Proximal Validation (double)'!B42</f>
        <v>0.2</v>
      </c>
      <c r="C42" s="14">
        <f>'Proximal Validation (double)'!C42</f>
        <v>4.7119999999999997</v>
      </c>
      <c r="D42" s="14">
        <f>'Proximal Validation (double)'!D42</f>
        <v>1.5707963267948966</v>
      </c>
      <c r="E42" s="13">
        <f>'Proximal Validation (double)'!E42</f>
        <v>0.1</v>
      </c>
      <c r="F42" s="13">
        <f>'Proximal Validation (double)'!F42</f>
        <v>0.08</v>
      </c>
      <c r="G42" s="14">
        <f>'Proximal Validation (double)'!G42</f>
        <v>3.927</v>
      </c>
      <c r="H42" s="14">
        <f>'Proximal Validation (double)'!H42</f>
        <v>1.5707963267948966</v>
      </c>
      <c r="I42" s="14">
        <f>'Proximal Validation (double)'!I42</f>
        <v>0</v>
      </c>
      <c r="J42" s="14">
        <f>'Proximal Validation (double)'!J42</f>
        <v>0</v>
      </c>
      <c r="K42" s="14">
        <f>'Proximal Validation (double)'!K42</f>
        <v>0</v>
      </c>
      <c r="L42" s="29">
        <v>-9.5662418259774998E-12</v>
      </c>
      <c r="M42" s="29">
        <v>6.821939494711958E-2</v>
      </c>
      <c r="N42" s="29">
        <v>-1.1984688214892564E-2</v>
      </c>
      <c r="O42" s="29">
        <v>-6.5451664445801444E-2</v>
      </c>
      <c r="P42" s="29">
        <v>-7.0327558154022862E-2</v>
      </c>
      <c r="Q42" s="29">
        <v>-0.26197003925943446</v>
      </c>
      <c r="R42" s="15">
        <v>0.52010916532930707</v>
      </c>
      <c r="S42" s="15">
        <v>0.1934410591701127</v>
      </c>
      <c r="T42" s="15">
        <v>0.46077267797482196</v>
      </c>
      <c r="U42" s="15">
        <v>1.5707963267948966</v>
      </c>
      <c r="V42" s="15">
        <v>0.73367737801006871</v>
      </c>
      <c r="W42" s="15">
        <v>0.17912650404126174</v>
      </c>
      <c r="X42" s="15">
        <v>3.8935427589133318</v>
      </c>
      <c r="Y42" s="15">
        <v>1.5707963267948966</v>
      </c>
      <c r="Z42" s="29">
        <v>1.7548095655253226E-8</v>
      </c>
      <c r="AA42" s="15">
        <f t="shared" si="10"/>
        <v>0.32010916532930705</v>
      </c>
      <c r="AB42" s="15">
        <f t="shared" si="10"/>
        <v>-6.5589408298873109E-3</v>
      </c>
      <c r="AC42" s="15">
        <f t="shared" si="10"/>
        <v>-4.2512273220251782</v>
      </c>
      <c r="AD42" s="15">
        <f t="shared" si="10"/>
        <v>0</v>
      </c>
      <c r="AE42" s="15">
        <f t="shared" si="10"/>
        <v>0.63367737801006874</v>
      </c>
      <c r="AF42" s="15">
        <f t="shared" si="10"/>
        <v>9.9126504041261734E-2</v>
      </c>
      <c r="AG42" s="15">
        <f t="shared" si="10"/>
        <v>-3.3457241086668255E-2</v>
      </c>
      <c r="AH42" s="15">
        <f t="shared" si="9"/>
        <v>0</v>
      </c>
      <c r="AI42" s="22">
        <f t="shared" si="2"/>
        <v>0.47689327166968787</v>
      </c>
      <c r="AJ42" s="22">
        <f t="shared" si="2"/>
        <v>5.2842722435574523E-2</v>
      </c>
      <c r="AK42" s="22">
        <f t="shared" si="2"/>
        <v>2.1423422815559232</v>
      </c>
      <c r="AL42" s="22">
        <f t="shared" si="3"/>
        <v>0.1</v>
      </c>
      <c r="AM42" s="22">
        <f t="shared" si="4"/>
        <v>0.12000000000000001</v>
      </c>
    </row>
    <row r="43" spans="1:39" ht="15.75" x14ac:dyDescent="0.25">
      <c r="A43" s="12"/>
      <c r="B43" s="16"/>
      <c r="C43" s="17"/>
      <c r="D43" s="17"/>
      <c r="E43" s="16"/>
      <c r="F43" s="16"/>
      <c r="G43" s="17"/>
      <c r="H43" s="17"/>
      <c r="I43" s="17"/>
      <c r="J43" s="17"/>
      <c r="K43" s="17"/>
      <c r="L43" s="18"/>
      <c r="M43" s="18"/>
      <c r="N43" s="18"/>
      <c r="O43" s="18"/>
      <c r="P43" s="18"/>
      <c r="Q43" s="18"/>
      <c r="R43" s="17"/>
      <c r="S43" s="17"/>
      <c r="T43" s="17"/>
      <c r="U43" s="17"/>
      <c r="V43" s="17"/>
      <c r="W43" s="17"/>
      <c r="X43" s="19"/>
      <c r="Y43" s="19"/>
      <c r="Z43" s="19"/>
    </row>
    <row r="44" spans="1:39" ht="15.75" x14ac:dyDescent="0.25">
      <c r="A44" s="12"/>
      <c r="B44" s="16"/>
      <c r="C44" s="17"/>
      <c r="D44" s="17"/>
      <c r="E44" s="16"/>
      <c r="F44" s="16"/>
      <c r="G44" s="17"/>
      <c r="H44" s="17"/>
      <c r="I44" s="17"/>
      <c r="J44" s="17"/>
      <c r="K44" s="17"/>
      <c r="L44" s="18"/>
      <c r="M44" s="18"/>
      <c r="N44" s="18"/>
      <c r="O44" s="18"/>
      <c r="P44" s="18"/>
      <c r="Q44" s="18"/>
      <c r="R44" s="17"/>
      <c r="S44" s="17"/>
      <c r="T44" s="17"/>
      <c r="U44" s="17"/>
      <c r="V44" s="17"/>
      <c r="W44" s="17"/>
      <c r="X44" s="19"/>
      <c r="Y44" s="19"/>
      <c r="Z44" s="19"/>
    </row>
    <row r="45" spans="1:39" ht="15.75" x14ac:dyDescent="0.25">
      <c r="A45" s="12"/>
      <c r="B45" s="16"/>
      <c r="C45" s="17"/>
      <c r="D45" s="17"/>
      <c r="E45" s="16"/>
      <c r="F45" s="16"/>
      <c r="G45" s="17"/>
      <c r="H45" s="17"/>
      <c r="I45" s="17"/>
      <c r="J45" s="17"/>
      <c r="K45" s="17"/>
      <c r="L45" s="18"/>
      <c r="M45" s="18"/>
      <c r="N45" s="18"/>
      <c r="O45" s="18"/>
      <c r="P45" s="18"/>
      <c r="Q45" s="18"/>
      <c r="R45" s="17"/>
      <c r="S45" s="17"/>
      <c r="T45" s="17"/>
      <c r="U45" s="17"/>
      <c r="V45" s="17"/>
      <c r="W45" s="17"/>
      <c r="X45" s="19"/>
      <c r="Y45" s="19"/>
      <c r="Z45" s="19"/>
    </row>
    <row r="46" spans="1:39" ht="15.75" x14ac:dyDescent="0.25">
      <c r="A46" s="12"/>
      <c r="B46" s="16"/>
      <c r="C46" s="17"/>
      <c r="D46" s="17"/>
      <c r="E46" s="16"/>
      <c r="F46" s="16"/>
      <c r="G46" s="17"/>
      <c r="H46" s="17"/>
      <c r="I46" s="17"/>
      <c r="J46" s="17"/>
      <c r="K46" s="17"/>
      <c r="L46" s="18"/>
      <c r="M46" s="18"/>
      <c r="N46" s="18"/>
      <c r="O46" s="18"/>
      <c r="P46" s="18"/>
      <c r="Q46" s="18"/>
      <c r="R46" s="17"/>
      <c r="S46" s="17"/>
      <c r="T46" s="17"/>
      <c r="U46" s="17"/>
      <c r="V46" s="17"/>
      <c r="W46" s="17"/>
      <c r="X46" s="19"/>
      <c r="Y46" s="19"/>
      <c r="Z46" s="19"/>
    </row>
    <row r="47" spans="1:39" ht="15.75" x14ac:dyDescent="0.25">
      <c r="A47" s="12"/>
      <c r="B47" s="16"/>
      <c r="C47" s="17"/>
      <c r="D47" s="17"/>
      <c r="E47" s="16"/>
      <c r="F47" s="16"/>
      <c r="G47" s="17"/>
      <c r="H47" s="17"/>
      <c r="I47" s="17"/>
      <c r="J47" s="17"/>
      <c r="K47" s="17"/>
      <c r="L47" s="18"/>
      <c r="M47" s="18"/>
      <c r="N47" s="18"/>
      <c r="O47" s="18"/>
      <c r="P47" s="18"/>
      <c r="Q47" s="18"/>
      <c r="R47" s="17"/>
      <c r="S47" s="17"/>
      <c r="T47" s="17"/>
      <c r="U47" s="17"/>
      <c r="V47" s="17"/>
      <c r="W47" s="17"/>
      <c r="X47" s="19"/>
      <c r="Y47" s="19"/>
      <c r="Z47" s="19"/>
    </row>
    <row r="48" spans="1:39" ht="15.75" x14ac:dyDescent="0.25">
      <c r="A48" s="12"/>
      <c r="B48" s="16"/>
      <c r="C48" s="17"/>
      <c r="D48" s="17"/>
      <c r="E48" s="16"/>
      <c r="F48" s="16"/>
      <c r="G48" s="17"/>
      <c r="H48" s="17"/>
      <c r="I48" s="17"/>
      <c r="J48" s="17"/>
      <c r="K48" s="17"/>
      <c r="L48" s="18"/>
      <c r="M48" s="18"/>
      <c r="N48" s="18"/>
      <c r="O48" s="18"/>
      <c r="P48" s="18"/>
      <c r="Q48" s="18"/>
      <c r="R48" s="17"/>
      <c r="S48" s="17"/>
      <c r="T48" s="17"/>
      <c r="U48" s="17"/>
      <c r="V48" s="17"/>
      <c r="W48" s="17"/>
      <c r="X48" s="19"/>
      <c r="Y48" s="19"/>
      <c r="Z48" s="19"/>
    </row>
    <row r="49" spans="1:26" ht="15.75" x14ac:dyDescent="0.25">
      <c r="A49" s="12"/>
      <c r="B49" s="16"/>
      <c r="C49" s="17"/>
      <c r="D49" s="17"/>
      <c r="E49" s="16"/>
      <c r="F49" s="16"/>
      <c r="G49" s="17"/>
      <c r="H49" s="17"/>
      <c r="I49" s="17"/>
      <c r="J49" s="17"/>
      <c r="K49" s="17"/>
      <c r="L49" s="18"/>
      <c r="M49" s="18"/>
      <c r="N49" s="18"/>
      <c r="O49" s="18"/>
      <c r="P49" s="18"/>
      <c r="Q49" s="18"/>
      <c r="R49" s="17"/>
      <c r="S49" s="17"/>
      <c r="T49" s="17"/>
      <c r="U49" s="17"/>
      <c r="V49" s="17"/>
      <c r="W49" s="17"/>
      <c r="X49" s="19"/>
      <c r="Y49" s="19"/>
      <c r="Z49" s="19"/>
    </row>
    <row r="50" spans="1:26" ht="15.75" x14ac:dyDescent="0.25">
      <c r="A50" s="12"/>
      <c r="B50" s="16"/>
      <c r="C50" s="17"/>
      <c r="D50" s="17"/>
      <c r="E50" s="16"/>
      <c r="F50" s="16"/>
      <c r="G50" s="17"/>
      <c r="H50" s="17"/>
      <c r="I50" s="17"/>
      <c r="J50" s="17"/>
      <c r="K50" s="17"/>
      <c r="L50" s="18"/>
      <c r="M50" s="18"/>
      <c r="N50" s="18"/>
      <c r="O50" s="18"/>
      <c r="P50" s="18"/>
      <c r="Q50" s="18"/>
      <c r="R50" s="17"/>
      <c r="S50" s="17"/>
      <c r="T50" s="17"/>
      <c r="U50" s="17"/>
      <c r="V50" s="17"/>
      <c r="W50" s="17"/>
      <c r="X50" s="19"/>
      <c r="Y50" s="19"/>
      <c r="Z50" s="19"/>
    </row>
    <row r="51" spans="1:26" ht="15.75" x14ac:dyDescent="0.25">
      <c r="A51" s="12"/>
      <c r="B51" s="16"/>
      <c r="C51" s="17"/>
      <c r="D51" s="17"/>
      <c r="E51" s="16"/>
      <c r="F51" s="16"/>
      <c r="G51" s="17"/>
      <c r="H51" s="17"/>
      <c r="I51" s="17"/>
      <c r="J51" s="17"/>
      <c r="K51" s="17"/>
      <c r="L51" s="18"/>
      <c r="M51" s="18"/>
      <c r="N51" s="18"/>
      <c r="O51" s="18"/>
      <c r="P51" s="18"/>
      <c r="Q51" s="18"/>
      <c r="R51" s="17"/>
      <c r="S51" s="17"/>
      <c r="T51" s="17"/>
      <c r="U51" s="17"/>
      <c r="V51" s="17"/>
      <c r="W51" s="17"/>
      <c r="X51" s="19"/>
      <c r="Y51" s="19"/>
      <c r="Z51" s="19"/>
    </row>
    <row r="52" spans="1:26" ht="15.75" x14ac:dyDescent="0.25">
      <c r="A52" s="12"/>
      <c r="B52" s="16"/>
      <c r="C52" s="17"/>
      <c r="D52" s="17"/>
      <c r="E52" s="16"/>
      <c r="F52" s="16"/>
      <c r="G52" s="17"/>
      <c r="H52" s="17"/>
      <c r="I52" s="17"/>
      <c r="J52" s="17"/>
      <c r="K52" s="17"/>
      <c r="L52" s="18"/>
      <c r="M52" s="18"/>
      <c r="N52" s="18"/>
      <c r="O52" s="18"/>
      <c r="P52" s="18"/>
      <c r="Q52" s="18"/>
      <c r="R52" s="17"/>
      <c r="S52" s="17"/>
      <c r="T52" s="17"/>
      <c r="U52" s="17"/>
      <c r="V52" s="17"/>
      <c r="W52" s="17"/>
      <c r="X52" s="19"/>
      <c r="Y52" s="19"/>
      <c r="Z52" s="19"/>
    </row>
  </sheetData>
  <mergeCells count="7">
    <mergeCell ref="AN5:AU5"/>
    <mergeCell ref="A1:K1"/>
    <mergeCell ref="L1:Q1"/>
    <mergeCell ref="R1:Z1"/>
    <mergeCell ref="AA1:AH1"/>
    <mergeCell ref="AI1:AU1"/>
    <mergeCell ref="AN2:AU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9BE333-3BAE-4E8D-AF02-67A9E2013036}">
  <dimension ref="A1:AU52"/>
  <sheetViews>
    <sheetView tabSelected="1" topLeftCell="AF1" workbookViewId="0">
      <pane ySplit="2" topLeftCell="A3" activePane="bottomLeft" state="frozen"/>
      <selection activeCell="K1" sqref="K1"/>
      <selection pane="bottomLeft" activeCell="AN11" sqref="AN11"/>
    </sheetView>
  </sheetViews>
  <sheetFormatPr defaultRowHeight="15" x14ac:dyDescent="0.25"/>
  <cols>
    <col min="1" max="1" width="6.5703125" bestFit="1" customWidth="1"/>
    <col min="2" max="2" width="6.85546875" bestFit="1" customWidth="1"/>
    <col min="3" max="3" width="8.7109375" bestFit="1" customWidth="1"/>
    <col min="4" max="4" width="9.42578125" bestFit="1" customWidth="1"/>
    <col min="5" max="5" width="6.5703125" bestFit="1" customWidth="1"/>
    <col min="6" max="6" width="6.85546875" bestFit="1" customWidth="1"/>
    <col min="7" max="7" width="8.7109375" bestFit="1" customWidth="1"/>
    <col min="8" max="8" width="9.42578125" bestFit="1" customWidth="1"/>
    <col min="9" max="11" width="8.42578125" bestFit="1" customWidth="1"/>
    <col min="12" max="13" width="8.140625" bestFit="1" customWidth="1"/>
    <col min="14" max="14" width="7.7109375" bestFit="1" customWidth="1"/>
    <col min="15" max="17" width="6.42578125" bestFit="1" customWidth="1"/>
    <col min="18" max="18" width="6.5703125" bestFit="1" customWidth="1"/>
    <col min="19" max="19" width="6.85546875" bestFit="1" customWidth="1"/>
    <col min="20" max="20" width="8.7109375" bestFit="1" customWidth="1"/>
    <col min="21" max="21" width="9.140625" bestFit="1" customWidth="1"/>
    <col min="22" max="22" width="6.5703125" bestFit="1" customWidth="1"/>
    <col min="23" max="23" width="6.85546875" bestFit="1" customWidth="1"/>
    <col min="24" max="24" width="8.7109375" bestFit="1" customWidth="1"/>
    <col min="25" max="25" width="9.140625" bestFit="1" customWidth="1"/>
    <col min="26" max="26" width="6.7109375" bestFit="1" customWidth="1"/>
    <col min="27" max="27" width="11" bestFit="1" customWidth="1"/>
    <col min="28" max="28" width="13.85546875" bestFit="1" customWidth="1"/>
    <col min="29" max="29" width="11.140625" bestFit="1" customWidth="1"/>
    <col min="35" max="35" width="15.140625" customWidth="1"/>
    <col min="36" max="36" width="15.28515625" customWidth="1"/>
    <col min="37" max="39" width="16.28515625" customWidth="1"/>
    <col min="40" max="40" width="11" bestFit="1" customWidth="1"/>
    <col min="41" max="41" width="13.85546875" bestFit="1" customWidth="1"/>
    <col min="42" max="42" width="11.140625" bestFit="1" customWidth="1"/>
  </cols>
  <sheetData>
    <row r="1" spans="1:47" ht="15.75" x14ac:dyDescent="0.25">
      <c r="A1" s="32" t="s">
        <v>11</v>
      </c>
      <c r="B1" s="32"/>
      <c r="C1" s="32"/>
      <c r="D1" s="32"/>
      <c r="E1" s="32"/>
      <c r="F1" s="32"/>
      <c r="G1" s="32"/>
      <c r="H1" s="32"/>
      <c r="I1" s="32"/>
      <c r="J1" s="32"/>
      <c r="K1" s="33"/>
      <c r="L1" s="34" t="s">
        <v>6</v>
      </c>
      <c r="M1" s="35"/>
      <c r="N1" s="35"/>
      <c r="O1" s="35"/>
      <c r="P1" s="35"/>
      <c r="Q1" s="35"/>
      <c r="R1" s="25" t="s">
        <v>7</v>
      </c>
      <c r="S1" s="26"/>
      <c r="T1" s="26"/>
      <c r="U1" s="26"/>
      <c r="V1" s="26"/>
      <c r="W1" s="26"/>
      <c r="X1" s="26"/>
      <c r="Y1" s="26"/>
      <c r="Z1" s="24"/>
      <c r="AA1" s="44" t="s">
        <v>13</v>
      </c>
      <c r="AB1" s="44"/>
      <c r="AC1" s="44"/>
      <c r="AD1" s="44"/>
      <c r="AE1" s="44"/>
      <c r="AF1" s="44"/>
      <c r="AG1" s="44"/>
      <c r="AH1" s="44"/>
      <c r="AI1" s="45" t="s">
        <v>36</v>
      </c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1:47" ht="15.75" x14ac:dyDescent="0.25">
      <c r="A2" s="1" t="s">
        <v>23</v>
      </c>
      <c r="B2" s="1" t="s">
        <v>24</v>
      </c>
      <c r="C2" s="1" t="s">
        <v>25</v>
      </c>
      <c r="D2" s="1" t="s">
        <v>29</v>
      </c>
      <c r="E2" s="1" t="s">
        <v>26</v>
      </c>
      <c r="F2" s="1" t="s">
        <v>27</v>
      </c>
      <c r="G2" s="1" t="s">
        <v>28</v>
      </c>
      <c r="H2" s="1" t="s">
        <v>30</v>
      </c>
      <c r="I2" s="1" t="s">
        <v>8</v>
      </c>
      <c r="J2" s="1" t="s">
        <v>9</v>
      </c>
      <c r="K2" s="1" t="s">
        <v>10</v>
      </c>
      <c r="L2" s="2" t="s">
        <v>3</v>
      </c>
      <c r="M2" s="1" t="s">
        <v>4</v>
      </c>
      <c r="N2" s="1" t="s">
        <v>5</v>
      </c>
      <c r="O2" s="1" t="s">
        <v>0</v>
      </c>
      <c r="P2" s="1" t="s">
        <v>1</v>
      </c>
      <c r="Q2" s="1" t="s">
        <v>2</v>
      </c>
      <c r="R2" s="3" t="s">
        <v>23</v>
      </c>
      <c r="S2" s="1" t="s">
        <v>24</v>
      </c>
      <c r="T2" s="1" t="s">
        <v>25</v>
      </c>
      <c r="U2" s="1" t="s">
        <v>29</v>
      </c>
      <c r="V2" s="1" t="s">
        <v>26</v>
      </c>
      <c r="W2" s="1" t="s">
        <v>27</v>
      </c>
      <c r="X2" s="1" t="s">
        <v>28</v>
      </c>
      <c r="Y2" s="1" t="s">
        <v>30</v>
      </c>
      <c r="Z2" s="2" t="s">
        <v>37</v>
      </c>
      <c r="AA2" s="3" t="s">
        <v>23</v>
      </c>
      <c r="AB2" s="1" t="s">
        <v>24</v>
      </c>
      <c r="AC2" s="1" t="s">
        <v>25</v>
      </c>
      <c r="AD2" s="1" t="s">
        <v>29</v>
      </c>
      <c r="AE2" s="1" t="s">
        <v>26</v>
      </c>
      <c r="AF2" s="1" t="s">
        <v>27</v>
      </c>
      <c r="AG2" s="1" t="s">
        <v>28</v>
      </c>
      <c r="AH2" s="1" t="s">
        <v>30</v>
      </c>
      <c r="AI2" s="20" t="s">
        <v>33</v>
      </c>
      <c r="AJ2" s="20" t="s">
        <v>34</v>
      </c>
      <c r="AK2" s="20" t="s">
        <v>35</v>
      </c>
      <c r="AL2" s="20" t="s">
        <v>38</v>
      </c>
      <c r="AM2" s="20"/>
      <c r="AN2" s="41" t="s">
        <v>31</v>
      </c>
      <c r="AO2" s="41"/>
      <c r="AP2" s="41"/>
      <c r="AQ2" s="41"/>
      <c r="AR2" s="41"/>
      <c r="AS2" s="41"/>
      <c r="AT2" s="41"/>
      <c r="AU2" s="41"/>
    </row>
    <row r="3" spans="1:47" ht="15.75" x14ac:dyDescent="0.25">
      <c r="A3" s="10">
        <f>'Proximal Validation (double)'!A3</f>
        <v>0.2</v>
      </c>
      <c r="B3" s="11">
        <f>'Proximal Validation (double)'!B3</f>
        <v>0.1</v>
      </c>
      <c r="C3" s="10">
        <f>'Proximal Validation (double)'!C3</f>
        <v>1.571</v>
      </c>
      <c r="D3" s="10">
        <f>'Proximal Validation (double)'!D3</f>
        <v>1.5707963267948966</v>
      </c>
      <c r="E3" s="11">
        <f>'Proximal Validation (double)'!E3</f>
        <v>1</v>
      </c>
      <c r="F3" s="11">
        <f>'Proximal Validation (double)'!F3</f>
        <v>0.04</v>
      </c>
      <c r="G3" s="10">
        <f>'Proximal Validation (double)'!G3</f>
        <v>3.1419999999999999</v>
      </c>
      <c r="H3" s="10">
        <f>'Proximal Validation (double)'!H3</f>
        <v>1.5707963267948966</v>
      </c>
      <c r="I3" s="10">
        <f>'Proximal Validation (double)'!I3</f>
        <v>1.4</v>
      </c>
      <c r="J3" s="10">
        <f>'Proximal Validation (double)'!J3</f>
        <v>0</v>
      </c>
      <c r="K3" s="10">
        <f>'Proximal Validation (double)'!K3</f>
        <v>0</v>
      </c>
      <c r="L3" s="8">
        <f>'Proximal Validation (double)'!L3</f>
        <v>-8.4695406258106205E-5</v>
      </c>
      <c r="M3" s="8">
        <f>'Proximal Validation (double)'!M3</f>
        <v>-1.1448631994426301E-2</v>
      </c>
      <c r="N3" s="8">
        <f>'Proximal Validation (double)'!N3</f>
        <v>-0.13048847019672399</v>
      </c>
      <c r="O3" s="8">
        <f>'Proximal Validation (double)'!O3</f>
        <v>1.8870793282985701E-2</v>
      </c>
      <c r="P3" s="8">
        <f>'Proximal Validation (double)'!P3</f>
        <v>-0.97202777862548795</v>
      </c>
      <c r="Q3" s="8">
        <f>'Proximal Validation (double)'!Q3</f>
        <v>2.9205024242401099E-2</v>
      </c>
      <c r="R3" s="8">
        <v>0.12365517953574107</v>
      </c>
      <c r="S3" s="8">
        <v>3.0723739545781212E-2</v>
      </c>
      <c r="T3" s="8">
        <v>2.1432406708350462</v>
      </c>
      <c r="U3" s="8">
        <v>1.5707963267948966</v>
      </c>
      <c r="V3" s="8">
        <v>0.90962688152965243</v>
      </c>
      <c r="W3" s="8">
        <v>2.6104835295467945E-2</v>
      </c>
      <c r="X3" s="8">
        <v>3.2230505299508798</v>
      </c>
      <c r="Y3" s="8">
        <v>1.5707963267948966</v>
      </c>
      <c r="Z3" s="28">
        <v>8.5362849074319938E-4</v>
      </c>
      <c r="AA3" s="8">
        <f t="shared" ref="AA3:AA42" si="0">R3-A3</f>
        <v>-7.6344820464258945E-2</v>
      </c>
      <c r="AB3" s="8">
        <f t="shared" ref="AB3:AB42" si="1">S3-B3</f>
        <v>-6.9276260454218794E-2</v>
      </c>
      <c r="AC3" s="8">
        <f t="shared" ref="AC3:AC42" si="2">T3-C3</f>
        <v>0.57224067083504626</v>
      </c>
      <c r="AD3" s="8">
        <f t="shared" ref="AD3:AD42" si="3">U3-D3</f>
        <v>0</v>
      </c>
      <c r="AE3" s="8">
        <f t="shared" ref="AE3:AE42" si="4">V3-E3</f>
        <v>-9.0373118470347569E-2</v>
      </c>
      <c r="AF3" s="8">
        <f t="shared" ref="AF3:AF42" si="5">W3-F3</f>
        <v>-1.3895164704532056E-2</v>
      </c>
      <c r="AG3" s="8">
        <f t="shared" ref="AG3:AG42" si="6">X3-G3</f>
        <v>8.1050529950879913E-2</v>
      </c>
      <c r="AH3" s="8">
        <f t="shared" ref="AH3:AH42" si="7">Y3-H3</f>
        <v>0</v>
      </c>
      <c r="AI3" s="22">
        <f>AVERAGE(ABS(AA3),ABS(AE3))</f>
        <v>8.3358969467303257E-2</v>
      </c>
      <c r="AJ3" s="22">
        <f t="shared" ref="AJ3:AK18" si="8">AVERAGE(ABS(AB3),ABS(AF3))</f>
        <v>4.1585712579375426E-2</v>
      </c>
      <c r="AK3" s="22">
        <f t="shared" si="8"/>
        <v>0.32664560039296309</v>
      </c>
      <c r="AL3" s="22">
        <f>MIN(A3,E3)</f>
        <v>0.2</v>
      </c>
      <c r="AM3" s="22"/>
      <c r="AN3" s="1" t="s">
        <v>23</v>
      </c>
      <c r="AO3" s="1" t="s">
        <v>24</v>
      </c>
      <c r="AP3" s="1" t="s">
        <v>25</v>
      </c>
      <c r="AQ3" s="1" t="s">
        <v>29</v>
      </c>
      <c r="AR3" s="1" t="s">
        <v>26</v>
      </c>
      <c r="AS3" s="1" t="s">
        <v>27</v>
      </c>
      <c r="AT3" s="1" t="s">
        <v>28</v>
      </c>
      <c r="AU3" s="1" t="s">
        <v>30</v>
      </c>
    </row>
    <row r="4" spans="1:47" s="5" customFormat="1" x14ac:dyDescent="0.25">
      <c r="A4" s="10">
        <f>'Proximal Validation (double)'!A4</f>
        <v>1</v>
      </c>
      <c r="B4" s="11">
        <f>'Proximal Validation (double)'!B4</f>
        <v>0.1</v>
      </c>
      <c r="C4" s="10">
        <f>'Proximal Validation (double)'!C4</f>
        <v>1.571</v>
      </c>
      <c r="D4" s="10">
        <f>'Proximal Validation (double)'!D4</f>
        <v>1.5707963267948966</v>
      </c>
      <c r="E4" s="11">
        <f>'Proximal Validation (double)'!E4</f>
        <v>1</v>
      </c>
      <c r="F4" s="11">
        <f>'Proximal Validation (double)'!F4</f>
        <v>0.08</v>
      </c>
      <c r="G4" s="10">
        <f>'Proximal Validation (double)'!G4</f>
        <v>3.1419999999999999</v>
      </c>
      <c r="H4" s="10">
        <f>'Proximal Validation (double)'!H4</f>
        <v>1.5707963267948966</v>
      </c>
      <c r="I4" s="10">
        <f>'Proximal Validation (double)'!I4</f>
        <v>0</v>
      </c>
      <c r="J4" s="10">
        <f>'Proximal Validation (double)'!J4</f>
        <v>0</v>
      </c>
      <c r="K4" s="10">
        <f>'Proximal Validation (double)'!K4</f>
        <v>0</v>
      </c>
      <c r="L4" s="8">
        <f>'Proximal Validation (double)'!L4</f>
        <v>-1.30488071590662E-3</v>
      </c>
      <c r="M4" s="8">
        <f>'Proximal Validation (double)'!M4</f>
        <v>-0.187399536371231</v>
      </c>
      <c r="N4" s="8">
        <f>'Proximal Validation (double)'!N4</f>
        <v>-0.148506805300713</v>
      </c>
      <c r="O4" s="8">
        <f>'Proximal Validation (double)'!O4</f>
        <v>-0.458716601133347</v>
      </c>
      <c r="P4" s="8">
        <f>'Proximal Validation (double)'!P4</f>
        <v>-0.81002575159072898</v>
      </c>
      <c r="Q4" s="8">
        <f>'Proximal Validation (double)'!Q4</f>
        <v>0.92483174800872803</v>
      </c>
      <c r="R4" s="8">
        <v>0.79968704296625615</v>
      </c>
      <c r="S4" s="8">
        <v>0.12165839285416974</v>
      </c>
      <c r="T4" s="8">
        <v>1.774189296299566</v>
      </c>
      <c r="U4" s="8">
        <v>1.5707963267948966</v>
      </c>
      <c r="V4" s="8">
        <v>0.72538438305532082</v>
      </c>
      <c r="W4" s="8">
        <v>9.1362623730660897E-2</v>
      </c>
      <c r="X4" s="8">
        <v>2.8488834832823713</v>
      </c>
      <c r="Y4" s="8">
        <v>1.5707963267948966</v>
      </c>
      <c r="Z4" s="28">
        <v>1.2260444346690632E-4</v>
      </c>
      <c r="AA4" s="8">
        <f t="shared" si="0"/>
        <v>-0.20031295703374385</v>
      </c>
      <c r="AB4" s="8">
        <f t="shared" si="1"/>
        <v>2.1658392854169733E-2</v>
      </c>
      <c r="AC4" s="8">
        <f t="shared" si="2"/>
        <v>0.20318929629956606</v>
      </c>
      <c r="AD4" s="8">
        <f t="shared" si="3"/>
        <v>0</v>
      </c>
      <c r="AE4" s="8">
        <f t="shared" si="4"/>
        <v>-0.27461561694467918</v>
      </c>
      <c r="AF4" s="8">
        <f t="shared" si="5"/>
        <v>1.1362623730660895E-2</v>
      </c>
      <c r="AG4" s="8">
        <f t="shared" si="6"/>
        <v>-0.29311651671762862</v>
      </c>
      <c r="AH4" s="8">
        <f t="shared" si="7"/>
        <v>0</v>
      </c>
      <c r="AI4" s="22">
        <f t="shared" ref="AI4:AK42" si="9">AVERAGE(ABS(AA4),ABS(AE4))</f>
        <v>0.23746428698921151</v>
      </c>
      <c r="AJ4" s="22">
        <f t="shared" si="8"/>
        <v>1.6510508292415314E-2</v>
      </c>
      <c r="AK4" s="22">
        <f t="shared" si="8"/>
        <v>0.24815290650859734</v>
      </c>
      <c r="AL4" s="22">
        <f t="shared" ref="AL4:AL42" si="10">MIN(A4,E4)</f>
        <v>1</v>
      </c>
      <c r="AM4" s="22"/>
      <c r="AN4" s="21" cm="1">
        <f t="array" ref="AN4">AVERAGE(ABS(AA3:AA42))</f>
        <v>0.19393953177104953</v>
      </c>
      <c r="AO4" s="21" cm="1">
        <f t="array" ref="AO4">AVERAGE(ABS(AB3:AB42))</f>
        <v>4.1850897709294232E-2</v>
      </c>
      <c r="AP4" s="21" cm="1">
        <f t="array" ref="AP4">AVERAGE(ABS(AC3:AC42))</f>
        <v>0.76423485779332823</v>
      </c>
      <c r="AQ4" s="21" cm="1">
        <f t="array" ref="AQ4">AVERAGE(ABS(AD3:AD42))</f>
        <v>0</v>
      </c>
      <c r="AR4" s="21" cm="1">
        <f t="array" ref="AR4">AVERAGE(ABS(AE3:AE42))</f>
        <v>0.22106596105489157</v>
      </c>
      <c r="AS4" s="21" cm="1">
        <f t="array" ref="AS4">AVERAGE(ABS(AF3:AF42))</f>
        <v>2.8732106151103255E-2</v>
      </c>
      <c r="AT4" s="21" cm="1">
        <f t="array" ref="AT4">AVERAGE(ABS(AG3:AG42))</f>
        <v>0.62001344833102834</v>
      </c>
      <c r="AU4" s="21" cm="1">
        <f t="array" ref="AU4">AVERAGE(ABS(AH3:AH42))</f>
        <v>0</v>
      </c>
    </row>
    <row r="5" spans="1:47" x14ac:dyDescent="0.25">
      <c r="A5" s="10">
        <f>'Proximal Validation (double)'!A5</f>
        <v>0.5</v>
      </c>
      <c r="B5" s="10">
        <f>'Proximal Validation (double)'!B5</f>
        <v>0.1</v>
      </c>
      <c r="C5" s="10">
        <f>'Proximal Validation (double)'!C5</f>
        <v>1.571</v>
      </c>
      <c r="D5" s="10">
        <f>'Proximal Validation (double)'!D5</f>
        <v>1.5707963267948966</v>
      </c>
      <c r="E5" s="10">
        <f>'Proximal Validation (double)'!E5</f>
        <v>0.2</v>
      </c>
      <c r="F5" s="10">
        <f>'Proximal Validation (double)'!F5</f>
        <v>0.02</v>
      </c>
      <c r="G5" s="10">
        <f>'Proximal Validation (double)'!G5</f>
        <v>3.927</v>
      </c>
      <c r="H5" s="10">
        <f>'Proximal Validation (double)'!H5</f>
        <v>1.5707963267948966</v>
      </c>
      <c r="I5" s="10">
        <f>'Proximal Validation (double)'!I5</f>
        <v>0</v>
      </c>
      <c r="J5" s="10">
        <f>'Proximal Validation (double)'!J5</f>
        <v>0</v>
      </c>
      <c r="K5" s="10">
        <f>'Proximal Validation (double)'!K5</f>
        <v>0</v>
      </c>
      <c r="L5" s="8">
        <f>'Proximal Validation (double)'!L5</f>
        <v>-8.8173459516838206E-5</v>
      </c>
      <c r="M5" s="8">
        <f>'Proximal Validation (double)'!M5</f>
        <v>-9.0249709784984603E-2</v>
      </c>
      <c r="N5" s="8">
        <f>'Proximal Validation (double)'!N5</f>
        <v>-1.5381614677607999E-2</v>
      </c>
      <c r="O5" s="8">
        <f>'Proximal Validation (double)'!O5</f>
        <v>-5.9044521301984801E-2</v>
      </c>
      <c r="P5" s="8">
        <f>'Proximal Validation (double)'!P5</f>
        <v>-0.142551720142365</v>
      </c>
      <c r="Q5" s="8">
        <f>'Proximal Validation (double)'!Q5</f>
        <v>0.403866738080978</v>
      </c>
      <c r="R5" s="8">
        <v>0.73206812184850478</v>
      </c>
      <c r="S5" s="8">
        <v>8.2722674699006737E-2</v>
      </c>
      <c r="T5" s="8">
        <v>1.526198086375534</v>
      </c>
      <c r="U5" s="8">
        <v>1.5707963267948966</v>
      </c>
      <c r="V5" s="8">
        <v>0.36781315852047219</v>
      </c>
      <c r="W5" s="8">
        <v>2.8822358272140448E-2</v>
      </c>
      <c r="X5" s="8">
        <v>4.2157204575110176</v>
      </c>
      <c r="Y5" s="8">
        <v>1.5707963267948966</v>
      </c>
      <c r="Z5" s="28">
        <v>8.7591708360427934E-6</v>
      </c>
      <c r="AA5" s="8">
        <f t="shared" si="0"/>
        <v>0.23206812184850478</v>
      </c>
      <c r="AB5" s="8">
        <f t="shared" si="1"/>
        <v>-1.7277325300993268E-2</v>
      </c>
      <c r="AC5" s="8">
        <f t="shared" si="2"/>
        <v>-4.480191362446595E-2</v>
      </c>
      <c r="AD5" s="8">
        <f t="shared" si="3"/>
        <v>0</v>
      </c>
      <c r="AE5" s="8">
        <f t="shared" si="4"/>
        <v>0.16781315852047218</v>
      </c>
      <c r="AF5" s="8">
        <f t="shared" si="5"/>
        <v>8.822358272140448E-3</v>
      </c>
      <c r="AG5" s="8">
        <f t="shared" si="6"/>
        <v>0.2887204575110176</v>
      </c>
      <c r="AH5" s="8">
        <f t="shared" si="7"/>
        <v>0</v>
      </c>
      <c r="AI5" s="22">
        <f t="shared" si="9"/>
        <v>0.19994064018448848</v>
      </c>
      <c r="AJ5" s="22">
        <f t="shared" si="8"/>
        <v>1.3049841786566858E-2</v>
      </c>
      <c r="AK5" s="22">
        <f t="shared" si="8"/>
        <v>0.16676118556774178</v>
      </c>
      <c r="AL5" s="22">
        <f t="shared" si="10"/>
        <v>0.2</v>
      </c>
      <c r="AM5" s="22"/>
      <c r="AN5" s="41" t="s">
        <v>32</v>
      </c>
      <c r="AO5" s="41"/>
      <c r="AP5" s="41"/>
      <c r="AQ5" s="41"/>
      <c r="AR5" s="41"/>
      <c r="AS5" s="41"/>
      <c r="AT5" s="41"/>
      <c r="AU5" s="41"/>
    </row>
    <row r="6" spans="1:47" x14ac:dyDescent="0.25">
      <c r="A6" s="10">
        <f>'Proximal Validation (double)'!A6</f>
        <v>0.9</v>
      </c>
      <c r="B6" s="11">
        <f>'Proximal Validation (double)'!B6</f>
        <v>0.1</v>
      </c>
      <c r="C6" s="10">
        <f>'Proximal Validation (double)'!C6</f>
        <v>1.571</v>
      </c>
      <c r="D6" s="10">
        <f>'Proximal Validation (double)'!D6</f>
        <v>1.5707963267948966</v>
      </c>
      <c r="E6" s="11">
        <f>'Proximal Validation (double)'!E6</f>
        <v>0.2</v>
      </c>
      <c r="F6" s="11">
        <f>'Proximal Validation (double)'!F6</f>
        <v>0.08</v>
      </c>
      <c r="G6" s="10">
        <f>'Proximal Validation (double)'!G6</f>
        <v>4.7119999999999997</v>
      </c>
      <c r="H6" s="10">
        <f>'Proximal Validation (double)'!H6</f>
        <v>1.5707963267948966</v>
      </c>
      <c r="I6" s="10">
        <f>'Proximal Validation (double)'!I6</f>
        <v>1.2</v>
      </c>
      <c r="J6" s="10">
        <f>'Proximal Validation (double)'!J6</f>
        <v>0</v>
      </c>
      <c r="K6" s="10">
        <f>'Proximal Validation (double)'!K6</f>
        <v>0</v>
      </c>
      <c r="L6" s="8">
        <f>'Proximal Validation (double)'!L6</f>
        <v>4.0645110420882702E-3</v>
      </c>
      <c r="M6" s="8">
        <f>'Proximal Validation (double)'!M6</f>
        <v>-0.155094370245934</v>
      </c>
      <c r="N6" s="8">
        <f>'Proximal Validation (double)'!N6</f>
        <v>1.12637248821557E-3</v>
      </c>
      <c r="O6" s="8">
        <f>'Proximal Validation (double)'!O6</f>
        <v>-0.22939644753933</v>
      </c>
      <c r="P6" s="8">
        <f>'Proximal Validation (double)'!P6</f>
        <v>6.2979459762573199E-3</v>
      </c>
      <c r="Q6" s="8">
        <f>'Proximal Validation (double)'!Q6</f>
        <v>0.75826400518417403</v>
      </c>
      <c r="R6" s="8">
        <v>0.16547610353053588</v>
      </c>
      <c r="S6" s="8">
        <v>0.1213503265334763</v>
      </c>
      <c r="T6" s="8">
        <v>3.4454386761218623</v>
      </c>
      <c r="U6" s="8">
        <v>1.5707963267948966</v>
      </c>
      <c r="V6" s="8">
        <v>0.8573356948468841</v>
      </c>
      <c r="W6" s="8">
        <v>0.1196184106124578</v>
      </c>
      <c r="X6" s="8">
        <v>1.3732669759881475</v>
      </c>
      <c r="Y6" s="8">
        <v>1.5707963267948966</v>
      </c>
      <c r="Z6" s="28">
        <v>5.255411687160461E-5</v>
      </c>
      <c r="AA6" s="8">
        <f t="shared" si="0"/>
        <v>-0.73452389646946414</v>
      </c>
      <c r="AB6" s="8">
        <f t="shared" si="1"/>
        <v>2.1350326533476294E-2</v>
      </c>
      <c r="AC6" s="8">
        <f t="shared" si="2"/>
        <v>1.8744386761218623</v>
      </c>
      <c r="AD6" s="8">
        <f t="shared" si="3"/>
        <v>0</v>
      </c>
      <c r="AE6" s="8">
        <f t="shared" si="4"/>
        <v>0.65733569484688403</v>
      </c>
      <c r="AF6" s="8">
        <f t="shared" si="5"/>
        <v>3.9618410612457799E-2</v>
      </c>
      <c r="AG6" s="8">
        <f t="shared" si="6"/>
        <v>-3.3387330240118525</v>
      </c>
      <c r="AH6" s="8">
        <f t="shared" si="7"/>
        <v>0</v>
      </c>
      <c r="AI6" s="22">
        <f t="shared" si="9"/>
        <v>0.69592979565817403</v>
      </c>
      <c r="AJ6" s="22">
        <f t="shared" si="8"/>
        <v>3.0484368572967047E-2</v>
      </c>
      <c r="AK6" s="22">
        <f t="shared" si="8"/>
        <v>2.6065858500668573</v>
      </c>
      <c r="AL6" s="22">
        <f t="shared" si="10"/>
        <v>0.2</v>
      </c>
      <c r="AM6" s="22"/>
      <c r="AN6" s="20" t="s">
        <v>33</v>
      </c>
      <c r="AO6" s="20" t="s">
        <v>34</v>
      </c>
      <c r="AP6" s="20" t="s">
        <v>35</v>
      </c>
      <c r="AQ6" s="21"/>
      <c r="AR6" s="21"/>
      <c r="AS6" s="21"/>
      <c r="AT6" s="21"/>
      <c r="AU6" s="21"/>
    </row>
    <row r="7" spans="1:47" x14ac:dyDescent="0.25">
      <c r="A7" s="10">
        <f>'Proximal Validation (double)'!A7</f>
        <v>0.1</v>
      </c>
      <c r="B7" s="11">
        <f>'Proximal Validation (double)'!B7</f>
        <v>0.12</v>
      </c>
      <c r="C7" s="10">
        <f>'Proximal Validation (double)'!C7</f>
        <v>1.571</v>
      </c>
      <c r="D7" s="10">
        <f>'Proximal Validation (double)'!D7</f>
        <v>1.5707963267948966</v>
      </c>
      <c r="E7" s="11">
        <f>'Proximal Validation (double)'!E7</f>
        <v>1</v>
      </c>
      <c r="F7" s="11">
        <f>'Proximal Validation (double)'!F7</f>
        <v>0.06</v>
      </c>
      <c r="G7" s="10">
        <f>'Proximal Validation (double)'!G7</f>
        <v>3.927</v>
      </c>
      <c r="H7" s="10">
        <f>'Proximal Validation (double)'!H7</f>
        <v>1.5707963267948966</v>
      </c>
      <c r="I7" s="10">
        <f>'Proximal Validation (double)'!I7</f>
        <v>0</v>
      </c>
      <c r="J7" s="10">
        <f>'Proximal Validation (double)'!J7</f>
        <v>0</v>
      </c>
      <c r="K7" s="10">
        <f>'Proximal Validation (double)'!K7</f>
        <v>0</v>
      </c>
      <c r="L7" s="8">
        <f>'Proximal Validation (double)'!L7</f>
        <v>-3.3720862120389898E-5</v>
      </c>
      <c r="M7" s="8">
        <f>'Proximal Validation (double)'!M7</f>
        <v>5.5788416415452999E-2</v>
      </c>
      <c r="N7" s="8">
        <f>'Proximal Validation (double)'!N7</f>
        <v>-0.106843449175358</v>
      </c>
      <c r="O7" s="8">
        <f>'Proximal Validation (double)'!O7</f>
        <v>2.31804009526968E-2</v>
      </c>
      <c r="P7" s="8">
        <f>'Proximal Validation (double)'!P7</f>
        <v>-0.69266724586486805</v>
      </c>
      <c r="Q7" s="8">
        <f>'Proximal Validation (double)'!Q7</f>
        <v>-0.43824502825737</v>
      </c>
      <c r="R7" s="8">
        <v>0.18750368932980405</v>
      </c>
      <c r="S7" s="8">
        <v>4.4917344117036552E-2</v>
      </c>
      <c r="T7" s="8">
        <v>2.2814030111158203</v>
      </c>
      <c r="U7" s="8">
        <v>1.5707963267948966</v>
      </c>
      <c r="V7" s="8">
        <v>0.81644058720151547</v>
      </c>
      <c r="W7" s="8">
        <v>2.2206902816660684E-2</v>
      </c>
      <c r="X7" s="8">
        <v>3.9346548671720707</v>
      </c>
      <c r="Y7" s="8">
        <v>1.5707963267948966</v>
      </c>
      <c r="Z7" s="28">
        <v>1.7594221059338189E-3</v>
      </c>
      <c r="AA7" s="8">
        <f t="shared" si="0"/>
        <v>8.7503689329804041E-2</v>
      </c>
      <c r="AB7" s="8">
        <f t="shared" si="1"/>
        <v>-7.508265588296345E-2</v>
      </c>
      <c r="AC7" s="8">
        <f t="shared" si="2"/>
        <v>0.71040301111582038</v>
      </c>
      <c r="AD7" s="8">
        <f t="shared" si="3"/>
        <v>0</v>
      </c>
      <c r="AE7" s="8">
        <f t="shared" si="4"/>
        <v>-0.18355941279848453</v>
      </c>
      <c r="AF7" s="8">
        <f t="shared" si="5"/>
        <v>-3.7793097183339314E-2</v>
      </c>
      <c r="AG7" s="8">
        <f t="shared" si="6"/>
        <v>7.6548671720706452E-3</v>
      </c>
      <c r="AH7" s="8">
        <f t="shared" si="7"/>
        <v>0</v>
      </c>
      <c r="AI7" s="22">
        <f t="shared" si="9"/>
        <v>0.13553155106414427</v>
      </c>
      <c r="AJ7" s="22">
        <f t="shared" si="8"/>
        <v>5.6437876533151382E-2</v>
      </c>
      <c r="AK7" s="22">
        <f t="shared" si="8"/>
        <v>0.35902893914394551</v>
      </c>
      <c r="AL7" s="22">
        <f t="shared" si="10"/>
        <v>0.1</v>
      </c>
      <c r="AM7" s="22"/>
      <c r="AN7" s="27">
        <f>AVERAGE(AN4,AR4)</f>
        <v>0.20750274641297056</v>
      </c>
      <c r="AO7" s="27">
        <f t="shared" ref="AO7:AP7" si="11">AVERAGE(AO4,AS4)</f>
        <v>3.529150193019874E-2</v>
      </c>
      <c r="AP7" s="27">
        <f t="shared" si="11"/>
        <v>0.69212415306217823</v>
      </c>
      <c r="AQ7" s="21"/>
      <c r="AR7" s="21"/>
      <c r="AS7" s="21"/>
      <c r="AT7" s="21"/>
      <c r="AU7" s="21"/>
    </row>
    <row r="8" spans="1:47" x14ac:dyDescent="0.25">
      <c r="A8" s="10">
        <f>'Proximal Validation (double)'!A8</f>
        <v>0.8</v>
      </c>
      <c r="B8" s="11">
        <f>'Proximal Validation (double)'!B8</f>
        <v>0.16</v>
      </c>
      <c r="C8" s="10">
        <f>'Proximal Validation (double)'!C8</f>
        <v>1.571</v>
      </c>
      <c r="D8" s="10">
        <f>'Proximal Validation (double)'!D8</f>
        <v>1.5707963267948966</v>
      </c>
      <c r="E8" s="11">
        <f>'Proximal Validation (double)'!E8</f>
        <v>0.8</v>
      </c>
      <c r="F8" s="11">
        <f>'Proximal Validation (double)'!F8</f>
        <v>0.06</v>
      </c>
      <c r="G8" s="10">
        <f>'Proximal Validation (double)'!G8</f>
        <v>3.927</v>
      </c>
      <c r="H8" s="10">
        <f>'Proximal Validation (double)'!H8</f>
        <v>1.5707963267948966</v>
      </c>
      <c r="I8" s="10">
        <f>'Proximal Validation (double)'!I8</f>
        <v>1.4</v>
      </c>
      <c r="J8" s="10">
        <f>'Proximal Validation (double)'!J8</f>
        <v>0</v>
      </c>
      <c r="K8" s="10">
        <f>'Proximal Validation (double)'!K8</f>
        <v>0</v>
      </c>
      <c r="L8" s="8">
        <f>'Proximal Validation (double)'!L8</f>
        <v>8.2578761503100395E-3</v>
      </c>
      <c r="M8" s="8">
        <f>'Proximal Validation (double)'!M8</f>
        <v>-0.106360949575901</v>
      </c>
      <c r="N8" s="8">
        <f>'Proximal Validation (double)'!N8</f>
        <v>-7.6963931322097806E-2</v>
      </c>
      <c r="O8" s="8">
        <f>'Proximal Validation (double)'!O8</f>
        <v>-0.29881915450096103</v>
      </c>
      <c r="P8" s="8">
        <f>'Proximal Validation (double)'!P8</f>
        <v>-0.50920194387435902</v>
      </c>
      <c r="Q8" s="8">
        <f>'Proximal Validation (double)'!Q8</f>
        <v>0.108889028429985</v>
      </c>
      <c r="R8" s="8">
        <v>0.65018920088546239</v>
      </c>
      <c r="S8" s="8">
        <v>0.19973744414850603</v>
      </c>
      <c r="T8" s="8">
        <v>1.7082560871063492</v>
      </c>
      <c r="U8" s="8">
        <v>1.5707963267948966</v>
      </c>
      <c r="V8" s="8">
        <v>0.60390628952305614</v>
      </c>
      <c r="W8" s="8">
        <v>4.0781542217931468E-2</v>
      </c>
      <c r="X8" s="8">
        <v>3.9259978675304481</v>
      </c>
      <c r="Y8" s="8">
        <v>1.5707963267948966</v>
      </c>
      <c r="Z8" s="28">
        <v>8.5180462854188375E-5</v>
      </c>
      <c r="AA8" s="8">
        <f t="shared" si="0"/>
        <v>-0.14981079911453765</v>
      </c>
      <c r="AB8" s="8">
        <f t="shared" si="1"/>
        <v>3.9737444148506024E-2</v>
      </c>
      <c r="AC8" s="8">
        <f t="shared" si="2"/>
        <v>0.13725608710634929</v>
      </c>
      <c r="AD8" s="8">
        <f t="shared" si="3"/>
        <v>0</v>
      </c>
      <c r="AE8" s="8">
        <f t="shared" si="4"/>
        <v>-0.19609371047694391</v>
      </c>
      <c r="AF8" s="8">
        <f t="shared" si="5"/>
        <v>-1.9218457782068529E-2</v>
      </c>
      <c r="AG8" s="8">
        <f t="shared" si="6"/>
        <v>-1.0021324695519418E-3</v>
      </c>
      <c r="AH8" s="8">
        <f t="shared" si="7"/>
        <v>0</v>
      </c>
      <c r="AI8" s="23">
        <f t="shared" si="9"/>
        <v>0.17295225479574078</v>
      </c>
      <c r="AJ8" s="23">
        <f t="shared" si="8"/>
        <v>2.9477950965287276E-2</v>
      </c>
      <c r="AK8" s="23">
        <f t="shared" si="8"/>
        <v>6.9129109787950616E-2</v>
      </c>
      <c r="AL8" s="22">
        <f t="shared" si="10"/>
        <v>0.8</v>
      </c>
      <c r="AM8" s="31"/>
      <c r="AN8" t="s">
        <v>39</v>
      </c>
    </row>
    <row r="9" spans="1:47" x14ac:dyDescent="0.25">
      <c r="A9" s="10">
        <f>'Proximal Validation (double)'!A9</f>
        <v>0.1</v>
      </c>
      <c r="B9" s="11">
        <f>'Proximal Validation (double)'!B9</f>
        <v>0.18</v>
      </c>
      <c r="C9" s="10">
        <f>'Proximal Validation (double)'!C9</f>
        <v>1.571</v>
      </c>
      <c r="D9" s="10">
        <f>'Proximal Validation (double)'!D9</f>
        <v>1.5707963267948966</v>
      </c>
      <c r="E9" s="11">
        <f>'Proximal Validation (double)'!E9</f>
        <v>0.1</v>
      </c>
      <c r="F9" s="11">
        <f>'Proximal Validation (double)'!F9</f>
        <v>0.02</v>
      </c>
      <c r="G9" s="10">
        <f>'Proximal Validation (double)'!G9</f>
        <v>3.1419999999999999</v>
      </c>
      <c r="H9" s="10">
        <f>'Proximal Validation (double)'!H9</f>
        <v>1.5707963267948966</v>
      </c>
      <c r="I9" s="10">
        <f>'Proximal Validation (double)'!I9</f>
        <v>1.2</v>
      </c>
      <c r="J9" s="10">
        <f>'Proximal Validation (double)'!J9</f>
        <v>0</v>
      </c>
      <c r="K9" s="10">
        <f>'Proximal Validation (double)'!K9</f>
        <v>0</v>
      </c>
      <c r="L9" s="8">
        <f>'Proximal Validation (double)'!L9</f>
        <v>2.53012054599822E-4</v>
      </c>
      <c r="M9" s="8">
        <f>'Proximal Validation (double)'!M9</f>
        <v>-6.1941463500261298E-3</v>
      </c>
      <c r="N9" s="8">
        <f>'Proximal Validation (double)'!N9</f>
        <v>-1.2296888045966599E-2</v>
      </c>
      <c r="O9" s="8">
        <f>'Proximal Validation (double)'!O9</f>
        <v>1.5694042667746499E-2</v>
      </c>
      <c r="P9" s="8">
        <f>'Proximal Validation (double)'!P9</f>
        <v>-0.108663953840733</v>
      </c>
      <c r="Q9" s="8">
        <f>'Proximal Validation (double)'!Q9</f>
        <v>1.80782899260521E-2</v>
      </c>
      <c r="R9" s="8">
        <v>0.32346654073032632</v>
      </c>
      <c r="S9" s="8">
        <v>0.11918126254243892</v>
      </c>
      <c r="T9" s="8">
        <v>7.8697616297443616E-6</v>
      </c>
      <c r="U9" s="8">
        <v>1.5707963267948966</v>
      </c>
      <c r="V9" s="8">
        <v>0.43230648777852637</v>
      </c>
      <c r="W9" s="8">
        <v>0.10013197399632499</v>
      </c>
      <c r="X9" s="8">
        <v>3.0995695028056227</v>
      </c>
      <c r="Y9" s="8">
        <v>1.5707963267948966</v>
      </c>
      <c r="Z9" s="28">
        <v>2.3036382382373677E-4</v>
      </c>
      <c r="AA9" s="8">
        <f t="shared" si="0"/>
        <v>0.22346654073032632</v>
      </c>
      <c r="AB9" s="8">
        <f t="shared" si="1"/>
        <v>-6.081873745756107E-2</v>
      </c>
      <c r="AC9" s="8">
        <f t="shared" si="2"/>
        <v>-1.5709921302383703</v>
      </c>
      <c r="AD9" s="8">
        <f t="shared" si="3"/>
        <v>0</v>
      </c>
      <c r="AE9" s="8">
        <f t="shared" si="4"/>
        <v>0.33230648777852634</v>
      </c>
      <c r="AF9" s="8">
        <f t="shared" si="5"/>
        <v>8.013197399632499E-2</v>
      </c>
      <c r="AG9" s="8">
        <f t="shared" si="6"/>
        <v>-4.2430497194377192E-2</v>
      </c>
      <c r="AH9" s="8">
        <f t="shared" si="7"/>
        <v>0</v>
      </c>
      <c r="AI9" s="22">
        <f t="shared" si="9"/>
        <v>0.27788651425442634</v>
      </c>
      <c r="AJ9" s="22">
        <f t="shared" si="8"/>
        <v>7.0475355726943023E-2</v>
      </c>
      <c r="AK9" s="22">
        <f t="shared" si="8"/>
        <v>0.80671131371637372</v>
      </c>
      <c r="AL9" s="22">
        <f t="shared" si="10"/>
        <v>0.1</v>
      </c>
      <c r="AM9" s="31"/>
      <c r="AN9" s="30">
        <f>AVERAGE(AI3,AI4,AI5,AI6,AI8,AI11,AI12,AI14,AI15,AI17,AI18,AI20,AI23,AI24,AI25,AI26,AI29,AI30,AI32,AI35,AI36,AI37,AI38,AI40,AI41)</f>
        <v>0.20962990788481964</v>
      </c>
      <c r="AO9" s="30">
        <f>AVERAGE(AJ3,AJ4,AJ5,AJ6,AJ8,AJ11,AJ12,AJ14,AJ15,AJ17,AJ18,AJ20,AJ23,AJ24,AJ25,AJ26,AJ29,AJ30,AJ32,AJ35,AJ36,AJ37,AJ38,AJ40,AJ41)</f>
        <v>2.9998472274842244E-2</v>
      </c>
      <c r="AP9" s="30">
        <f>AVERAGE(AK3,AK4,AK5,AK6,AK8,AK11,AK12,AK14,AK15,AK17,AK18,AK20,AK23,AK24,AK25,AK26,AK29,AK30,AK32,AK35,AK36,AK37,AK38,AK40,AK41)</f>
        <v>0.5614664099551141</v>
      </c>
    </row>
    <row r="10" spans="1:47" x14ac:dyDescent="0.25">
      <c r="A10" s="10">
        <f>'Proximal Validation (double)'!A10</f>
        <v>0.9</v>
      </c>
      <c r="B10" s="11">
        <f>'Proximal Validation (double)'!B10</f>
        <v>0.18</v>
      </c>
      <c r="C10" s="10">
        <f>'Proximal Validation (double)'!C10</f>
        <v>1.571</v>
      </c>
      <c r="D10" s="10">
        <f>'Proximal Validation (double)'!D10</f>
        <v>1.5707963267948966</v>
      </c>
      <c r="E10" s="11">
        <f>'Proximal Validation (double)'!E10</f>
        <v>0.1</v>
      </c>
      <c r="F10" s="11">
        <f>'Proximal Validation (double)'!F10</f>
        <v>0.08</v>
      </c>
      <c r="G10" s="10">
        <f>'Proximal Validation (double)'!G10</f>
        <v>4.7119999999999997</v>
      </c>
      <c r="H10" s="10">
        <f>'Proximal Validation (double)'!H10</f>
        <v>1.5707963267948966</v>
      </c>
      <c r="I10" s="10">
        <f>'Proximal Validation (double)'!I10</f>
        <v>0</v>
      </c>
      <c r="J10" s="10">
        <f>'Proximal Validation (double)'!J10</f>
        <v>0</v>
      </c>
      <c r="K10" s="10">
        <f>'Proximal Validation (double)'!K10</f>
        <v>0</v>
      </c>
      <c r="L10" s="8">
        <f>'Proximal Validation (double)'!L10</f>
        <v>-8.9414953254163298E-4</v>
      </c>
      <c r="M10" s="8">
        <f>'Proximal Validation (double)'!M10</f>
        <v>-0.180821523070335</v>
      </c>
      <c r="N10" s="8">
        <f>'Proximal Validation (double)'!N10</f>
        <v>8.0074910074472393E-3</v>
      </c>
      <c r="O10" s="8">
        <f>'Proximal Validation (double)'!O10</f>
        <v>-0.405538409948349</v>
      </c>
      <c r="P10" s="8">
        <f>'Proximal Validation (double)'!P10</f>
        <v>5.81999458372593E-2</v>
      </c>
      <c r="Q10" s="8">
        <f>'Proximal Validation (double)'!Q10</f>
        <v>0.51686221361160301</v>
      </c>
      <c r="R10" s="8">
        <v>0.87468633370586801</v>
      </c>
      <c r="S10" s="8">
        <v>0.16002164333834881</v>
      </c>
      <c r="T10" s="8">
        <v>1.5576105036677608</v>
      </c>
      <c r="U10" s="8">
        <v>1.5707963267948966</v>
      </c>
      <c r="V10" s="8">
        <v>0.24885794383907572</v>
      </c>
      <c r="W10" s="8">
        <v>2.0000218127299893E-2</v>
      </c>
      <c r="X10" s="8">
        <v>4.9081119605682542</v>
      </c>
      <c r="Y10" s="8">
        <v>1.5707963267948966</v>
      </c>
      <c r="Z10" s="28">
        <v>7.8553307541575697E-6</v>
      </c>
      <c r="AA10" s="8">
        <f t="shared" si="0"/>
        <v>-2.5313666294132009E-2</v>
      </c>
      <c r="AB10" s="8">
        <f t="shared" si="1"/>
        <v>-1.9978356661651181E-2</v>
      </c>
      <c r="AC10" s="8">
        <f t="shared" si="2"/>
        <v>-1.3389496332239181E-2</v>
      </c>
      <c r="AD10" s="8">
        <f t="shared" si="3"/>
        <v>0</v>
      </c>
      <c r="AE10" s="8">
        <f t="shared" si="4"/>
        <v>0.14885794383907572</v>
      </c>
      <c r="AF10" s="8">
        <f t="shared" si="5"/>
        <v>-5.9999781872700109E-2</v>
      </c>
      <c r="AG10" s="8">
        <f t="shared" si="6"/>
        <v>0.19611196056825442</v>
      </c>
      <c r="AH10" s="8">
        <f t="shared" si="7"/>
        <v>0</v>
      </c>
      <c r="AI10" s="22">
        <f t="shared" si="9"/>
        <v>8.7085805066603864E-2</v>
      </c>
      <c r="AJ10" s="22">
        <f t="shared" si="8"/>
        <v>3.9989069267175645E-2</v>
      </c>
      <c r="AK10" s="22">
        <f t="shared" si="8"/>
        <v>0.1047507284502468</v>
      </c>
      <c r="AL10" s="22">
        <f t="shared" si="10"/>
        <v>0.1</v>
      </c>
      <c r="AM10" s="31"/>
      <c r="AN10" t="s">
        <v>40</v>
      </c>
    </row>
    <row r="11" spans="1:47" x14ac:dyDescent="0.25">
      <c r="A11" s="10">
        <f>'Proximal Validation (double)'!A11</f>
        <v>0.3</v>
      </c>
      <c r="B11" s="11">
        <f>'Proximal Validation (double)'!B11</f>
        <v>0.18</v>
      </c>
      <c r="C11" s="10">
        <f>'Proximal Validation (double)'!C11</f>
        <v>1.571</v>
      </c>
      <c r="D11" s="10">
        <f>'Proximal Validation (double)'!D11</f>
        <v>1.5707963267948966</v>
      </c>
      <c r="E11" s="11">
        <f>'Proximal Validation (double)'!E11</f>
        <v>0.9</v>
      </c>
      <c r="F11" s="11">
        <f>'Proximal Validation (double)'!F11</f>
        <v>0.08</v>
      </c>
      <c r="G11" s="10">
        <f>'Proximal Validation (double)'!G11</f>
        <v>4.7119999999999997</v>
      </c>
      <c r="H11" s="10">
        <f>'Proximal Validation (double)'!H11</f>
        <v>1.5707963267948966</v>
      </c>
      <c r="I11" s="10">
        <f>'Proximal Validation (double)'!I11</f>
        <v>1</v>
      </c>
      <c r="J11" s="10">
        <f>'Proximal Validation (double)'!J11</f>
        <v>0</v>
      </c>
      <c r="K11" s="10">
        <f>'Proximal Validation (double)'!K11</f>
        <v>0</v>
      </c>
      <c r="L11" s="8">
        <f>'Proximal Validation (double)'!L11</f>
        <v>2.41806032136083E-4</v>
      </c>
      <c r="M11" s="8">
        <f>'Proximal Validation (double)'!M11</f>
        <v>7.3132611811161E-2</v>
      </c>
      <c r="N11" s="8">
        <f>'Proximal Validation (double)'!N11</f>
        <v>-4.2187301442027101E-3</v>
      </c>
      <c r="O11" s="8">
        <f>'Proximal Validation (double)'!O11</f>
        <v>4.2406577616930001E-2</v>
      </c>
      <c r="P11" s="8">
        <f>'Proximal Validation (double)'!P11</f>
        <v>-2.1499879658222198E-2</v>
      </c>
      <c r="Q11" s="8">
        <f>'Proximal Validation (double)'!Q11</f>
        <v>-0.58056563138961803</v>
      </c>
      <c r="R11" s="8">
        <v>0.77011557122710017</v>
      </c>
      <c r="S11" s="8">
        <v>2.1206796494815543E-2</v>
      </c>
      <c r="T11" s="8">
        <v>4.1494884521031619</v>
      </c>
      <c r="U11" s="8">
        <v>1.5707963267948966</v>
      </c>
      <c r="V11" s="8">
        <v>0.39537903065113189</v>
      </c>
      <c r="W11" s="8">
        <v>2.0001241260632983E-2</v>
      </c>
      <c r="X11" s="8">
        <v>0.17828393348501234</v>
      </c>
      <c r="Y11" s="8">
        <v>1.5707963267948966</v>
      </c>
      <c r="Z11" s="28">
        <v>1.9206174722627464E-3</v>
      </c>
      <c r="AA11" s="8">
        <f t="shared" si="0"/>
        <v>0.47011557122710018</v>
      </c>
      <c r="AB11" s="8">
        <f t="shared" si="1"/>
        <v>-0.15879320350518444</v>
      </c>
      <c r="AC11" s="8">
        <f t="shared" si="2"/>
        <v>2.5784884521031621</v>
      </c>
      <c r="AD11" s="8">
        <f t="shared" si="3"/>
        <v>0</v>
      </c>
      <c r="AE11" s="8">
        <f t="shared" si="4"/>
        <v>-0.50462096934886813</v>
      </c>
      <c r="AF11" s="8">
        <f t="shared" si="5"/>
        <v>-5.9998758739367018E-2</v>
      </c>
      <c r="AG11" s="8">
        <f t="shared" si="6"/>
        <v>-4.5337160665149874</v>
      </c>
      <c r="AH11" s="8">
        <f t="shared" si="7"/>
        <v>0</v>
      </c>
      <c r="AI11" s="22">
        <f t="shared" si="9"/>
        <v>0.48736827028798413</v>
      </c>
      <c r="AJ11" s="22">
        <f t="shared" si="8"/>
        <v>0.10939598112227573</v>
      </c>
      <c r="AK11" s="22">
        <f t="shared" si="8"/>
        <v>3.5561022593090748</v>
      </c>
      <c r="AL11" s="22">
        <f t="shared" si="10"/>
        <v>0.3</v>
      </c>
      <c r="AM11" s="31"/>
      <c r="AN11" s="30">
        <f>AVERAGE(AI4,AI8,AI11,AI12,AI14,AI15,AI17,AI18,AI20,AI25,AI26,AI30,AI32,AI35,AI36,AI37,AI40,AI41)</f>
        <v>0.19908790605710924</v>
      </c>
      <c r="AO11" s="30">
        <f>AVERAGE(AJ4,AJ8,AJ11,AJ12,AJ14,AJ15,AJ17,AJ18,AJ20,AJ25,AJ26,AJ30,AJ32,AJ35,AJ36,AJ37,AJ40,AJ41)</f>
        <v>2.8651958490094102E-2</v>
      </c>
      <c r="AP11" s="30">
        <f>AVERAGE(AK4,AK8,AK11,AK12,AK14,AK15,AK17,AK18,AK20,AK25,AK26,AK30,AK32,AK35,AK36,AK37,AK40,AK41)</f>
        <v>0.45044866287067781</v>
      </c>
    </row>
    <row r="12" spans="1:47" x14ac:dyDescent="0.25">
      <c r="A12" s="10">
        <f>'Proximal Validation (double)'!A12</f>
        <v>0.9</v>
      </c>
      <c r="B12" s="11">
        <f>'Proximal Validation (double)'!B12</f>
        <v>0.2</v>
      </c>
      <c r="C12" s="10">
        <f>'Proximal Validation (double)'!C12</f>
        <v>1.571</v>
      </c>
      <c r="D12" s="10">
        <f>'Proximal Validation (double)'!D12</f>
        <v>1.5707963267948966</v>
      </c>
      <c r="E12" s="11">
        <f>'Proximal Validation (double)'!E12</f>
        <v>1</v>
      </c>
      <c r="F12" s="11">
        <f>'Proximal Validation (double)'!F12</f>
        <v>0.02</v>
      </c>
      <c r="G12" s="10">
        <f>'Proximal Validation (double)'!G12</f>
        <v>3.1419999999999999</v>
      </c>
      <c r="H12" s="10">
        <f>'Proximal Validation (double)'!H12</f>
        <v>1.5707963267948966</v>
      </c>
      <c r="I12" s="10">
        <f>'Proximal Validation (double)'!I12</f>
        <v>0.4</v>
      </c>
      <c r="J12" s="10">
        <f>'Proximal Validation (double)'!J12</f>
        <v>0</v>
      </c>
      <c r="K12" s="10">
        <f>'Proximal Validation (double)'!K12</f>
        <v>0</v>
      </c>
      <c r="L12" s="8">
        <f>'Proximal Validation (double)'!L12</f>
        <v>-1.58930197358131E-4</v>
      </c>
      <c r="M12" s="8">
        <f>'Proximal Validation (double)'!M12</f>
        <v>-0.14518360793590501</v>
      </c>
      <c r="N12" s="8">
        <f>'Proximal Validation (double)'!N12</f>
        <v>-0.108183734118938</v>
      </c>
      <c r="O12" s="8">
        <f>'Proximal Validation (double)'!O12</f>
        <v>-0.55842369794845603</v>
      </c>
      <c r="P12" s="8">
        <f>'Proximal Validation (double)'!P12</f>
        <v>-0.97605288028716997</v>
      </c>
      <c r="Q12" s="8">
        <f>'Proximal Validation (double)'!Q12</f>
        <v>0.27430844306945801</v>
      </c>
      <c r="R12" s="8">
        <v>0.85420592321026434</v>
      </c>
      <c r="S12" s="8">
        <v>0.19581669350261977</v>
      </c>
      <c r="T12" s="8">
        <v>1.6301671035095886</v>
      </c>
      <c r="U12" s="8">
        <v>1.5707963267948966</v>
      </c>
      <c r="V12" s="8">
        <v>0.99982158910051033</v>
      </c>
      <c r="W12" s="8">
        <v>2.1487383236442687E-2</v>
      </c>
      <c r="X12" s="8">
        <v>3.4963870759961138</v>
      </c>
      <c r="Y12" s="8">
        <v>1.5707963267948966</v>
      </c>
      <c r="Z12" s="28">
        <v>9.6995279332365964E-4</v>
      </c>
      <c r="AA12" s="8">
        <f t="shared" si="0"/>
        <v>-4.5794076789735683E-2</v>
      </c>
      <c r="AB12" s="8">
        <f t="shared" si="1"/>
        <v>-4.1833064973802458E-3</v>
      </c>
      <c r="AC12" s="8">
        <f t="shared" si="2"/>
        <v>5.9167103509588648E-2</v>
      </c>
      <c r="AD12" s="8">
        <f t="shared" si="3"/>
        <v>0</v>
      </c>
      <c r="AE12" s="8">
        <f t="shared" si="4"/>
        <v>-1.7841089948966715E-4</v>
      </c>
      <c r="AF12" s="8">
        <f t="shared" si="5"/>
        <v>1.4873832364426867E-3</v>
      </c>
      <c r="AG12" s="8">
        <f t="shared" si="6"/>
        <v>0.35438707599611385</v>
      </c>
      <c r="AH12" s="8">
        <f t="shared" si="7"/>
        <v>0</v>
      </c>
      <c r="AI12" s="22">
        <f t="shared" si="9"/>
        <v>2.2986243844612675E-2</v>
      </c>
      <c r="AJ12" s="22">
        <f t="shared" si="8"/>
        <v>2.8353448669114663E-3</v>
      </c>
      <c r="AK12" s="22">
        <f t="shared" si="8"/>
        <v>0.20677708975285125</v>
      </c>
      <c r="AL12" s="22">
        <f t="shared" si="10"/>
        <v>0.9</v>
      </c>
      <c r="AM12" s="31"/>
      <c r="AN12" t="s">
        <v>42</v>
      </c>
    </row>
    <row r="13" spans="1:47" x14ac:dyDescent="0.25">
      <c r="A13" s="10">
        <f>'Proximal Validation (double)'!A13</f>
        <v>0.1</v>
      </c>
      <c r="B13" s="11">
        <f>'Proximal Validation (double)'!B13</f>
        <v>0.2</v>
      </c>
      <c r="C13" s="10">
        <f>'Proximal Validation (double)'!C13</f>
        <v>1.571</v>
      </c>
      <c r="D13" s="10">
        <f>'Proximal Validation (double)'!D13</f>
        <v>1.5707963267948966</v>
      </c>
      <c r="E13" s="11">
        <f>'Proximal Validation (double)'!E13</f>
        <v>0.3</v>
      </c>
      <c r="F13" s="11">
        <f>'Proximal Validation (double)'!F13</f>
        <v>0.08</v>
      </c>
      <c r="G13" s="10">
        <f>'Proximal Validation (double)'!G13</f>
        <v>3.1419999999999999</v>
      </c>
      <c r="H13" s="10">
        <f>'Proximal Validation (double)'!H13</f>
        <v>1.5707963267948966</v>
      </c>
      <c r="I13" s="10">
        <f>'Proximal Validation (double)'!I13</f>
        <v>0.2</v>
      </c>
      <c r="J13" s="10">
        <f>'Proximal Validation (double)'!J13</f>
        <v>0</v>
      </c>
      <c r="K13" s="10">
        <f>'Proximal Validation (double)'!K13</f>
        <v>0</v>
      </c>
      <c r="L13" s="8">
        <f>'Proximal Validation (double)'!L13</f>
        <v>-1.4157709665596499E-4</v>
      </c>
      <c r="M13" s="8">
        <f>'Proximal Validation (double)'!M13</f>
        <v>4.5513403601944403E-3</v>
      </c>
      <c r="N13" s="8">
        <f>'Proximal Validation (double)'!N13</f>
        <v>-4.92897629737854E-2</v>
      </c>
      <c r="O13" s="8">
        <f>'Proximal Validation (double)'!O13</f>
        <v>2.6178073137998598E-2</v>
      </c>
      <c r="P13" s="8">
        <f>'Proximal Validation (double)'!P13</f>
        <v>-0.27640634775161699</v>
      </c>
      <c r="Q13" s="8">
        <f>'Proximal Validation (double)'!Q13</f>
        <v>-3.6308467388153097E-2</v>
      </c>
      <c r="R13" s="8">
        <v>0.25286652758612149</v>
      </c>
      <c r="S13" s="8">
        <v>0.14110366771957786</v>
      </c>
      <c r="T13" s="8">
        <v>0.16521301163093735</v>
      </c>
      <c r="U13" s="8">
        <v>1.5707963267948966</v>
      </c>
      <c r="V13" s="8">
        <v>0.53277153923400089</v>
      </c>
      <c r="W13" s="8">
        <v>8.7478027614435933E-2</v>
      </c>
      <c r="X13" s="8">
        <v>3.288401008659374</v>
      </c>
      <c r="Y13" s="8">
        <v>1.5707963267948966</v>
      </c>
      <c r="Z13" s="28">
        <v>9.4798207180357913E-4</v>
      </c>
      <c r="AA13" s="8">
        <f t="shared" si="0"/>
        <v>0.15286652758612149</v>
      </c>
      <c r="AB13" s="8">
        <f t="shared" si="1"/>
        <v>-5.8896332280422153E-2</v>
      </c>
      <c r="AC13" s="8">
        <f t="shared" si="2"/>
        <v>-1.4057869883690626</v>
      </c>
      <c r="AD13" s="8">
        <f t="shared" si="3"/>
        <v>0</v>
      </c>
      <c r="AE13" s="8">
        <f t="shared" si="4"/>
        <v>0.2327715392340009</v>
      </c>
      <c r="AF13" s="8">
        <f t="shared" si="5"/>
        <v>7.4780276144359309E-3</v>
      </c>
      <c r="AG13" s="8">
        <f t="shared" si="6"/>
        <v>0.14640100865937411</v>
      </c>
      <c r="AH13" s="8">
        <f t="shared" si="7"/>
        <v>0</v>
      </c>
      <c r="AI13" s="22">
        <f t="shared" si="9"/>
        <v>0.19281903341006118</v>
      </c>
      <c r="AJ13" s="22">
        <f t="shared" si="8"/>
        <v>3.3187179947429042E-2</v>
      </c>
      <c r="AK13" s="22">
        <f t="shared" si="8"/>
        <v>0.77609399851421834</v>
      </c>
      <c r="AL13" s="22">
        <f t="shared" si="10"/>
        <v>0.1</v>
      </c>
      <c r="AM13" s="31"/>
      <c r="AN13" s="30">
        <f>AVERAGE(AI8,AI11,AI12,AI14,AI15,AI17,AI18,AI20,AI26,AI30,AI32,AI35,AI37,AI40,AI41)</f>
        <v>0.17939104080002732</v>
      </c>
      <c r="AO13" s="30">
        <f t="shared" ref="AO13:AP13" si="12">AVERAGE(AJ8,AJ11,AJ12,AJ14,AJ15,AJ17,AJ18,AJ20,AJ26,AJ30,AJ32,AJ35,AJ37,AJ40,AJ41)</f>
        <v>2.9082749580413299E-2</v>
      </c>
      <c r="AP13" s="30">
        <f t="shared" si="12"/>
        <v>0.46185746069729394</v>
      </c>
    </row>
    <row r="14" spans="1:47" x14ac:dyDescent="0.25">
      <c r="A14" s="10">
        <f>'Proximal Validation (double)'!A14</f>
        <v>0.9</v>
      </c>
      <c r="B14" s="11">
        <f>'Proximal Validation (double)'!B14</f>
        <v>0.2</v>
      </c>
      <c r="C14" s="10">
        <f>'Proximal Validation (double)'!C14</f>
        <v>1.571</v>
      </c>
      <c r="D14" s="10">
        <f>'Proximal Validation (double)'!D14</f>
        <v>1.5707963267948966</v>
      </c>
      <c r="E14" s="11">
        <f>'Proximal Validation (double)'!E14</f>
        <v>0.3</v>
      </c>
      <c r="F14" s="11">
        <f>'Proximal Validation (double)'!F14</f>
        <v>0.02</v>
      </c>
      <c r="G14" s="10">
        <f>'Proximal Validation (double)'!G14</f>
        <v>4.7119999999999997</v>
      </c>
      <c r="H14" s="10">
        <f>'Proximal Validation (double)'!H14</f>
        <v>1.5707963267948966</v>
      </c>
      <c r="I14" s="10">
        <f>'Proximal Validation (double)'!I14</f>
        <v>1.4</v>
      </c>
      <c r="J14" s="10">
        <f>'Proximal Validation (double)'!J14</f>
        <v>0</v>
      </c>
      <c r="K14" s="10">
        <f>'Proximal Validation (double)'!K14</f>
        <v>0</v>
      </c>
      <c r="L14" s="8">
        <f>'Proximal Validation (double)'!L14</f>
        <v>9.2607205733656901E-3</v>
      </c>
      <c r="M14" s="8">
        <f>'Proximal Validation (double)'!M14</f>
        <v>-0.11755938827991499</v>
      </c>
      <c r="N14" s="8">
        <f>'Proximal Validation (double)'!N14</f>
        <v>-8.4324358031153696E-3</v>
      </c>
      <c r="O14" s="8">
        <f>'Proximal Validation (double)'!O14</f>
        <v>-0.58649873733520497</v>
      </c>
      <c r="P14" s="8">
        <f>'Proximal Validation (double)'!P14</f>
        <v>-5.0031639635562897E-2</v>
      </c>
      <c r="Q14" s="8">
        <f>'Proximal Validation (double)'!Q14</f>
        <v>4.2876139283180202E-2</v>
      </c>
      <c r="R14" s="8">
        <v>0.94895011173278154</v>
      </c>
      <c r="S14" s="8">
        <v>0.19193086557192807</v>
      </c>
      <c r="T14" s="8">
        <v>1.5942901915822998</v>
      </c>
      <c r="U14" s="8">
        <v>1.5707963267948966</v>
      </c>
      <c r="V14" s="8">
        <v>0.6041937440912849</v>
      </c>
      <c r="W14" s="8">
        <v>2.9416330288415334E-2</v>
      </c>
      <c r="X14" s="8">
        <v>4.69507739562028</v>
      </c>
      <c r="Y14" s="8">
        <v>1.5707963267948966</v>
      </c>
      <c r="Z14" s="28">
        <v>1.5049131441901649E-3</v>
      </c>
      <c r="AA14" s="8">
        <f t="shared" si="0"/>
        <v>4.8950111732781521E-2</v>
      </c>
      <c r="AB14" s="8">
        <f t="shared" si="1"/>
        <v>-8.0691344280719446E-3</v>
      </c>
      <c r="AC14" s="8">
        <f t="shared" si="2"/>
        <v>2.3290191582299835E-2</v>
      </c>
      <c r="AD14" s="8">
        <f t="shared" si="3"/>
        <v>0</v>
      </c>
      <c r="AE14" s="8">
        <f t="shared" si="4"/>
        <v>0.30419374409128491</v>
      </c>
      <c r="AF14" s="8">
        <f t="shared" si="5"/>
        <v>9.4163302884153338E-3</v>
      </c>
      <c r="AG14" s="8">
        <f t="shared" si="6"/>
        <v>-1.6922604379719708E-2</v>
      </c>
      <c r="AH14" s="8">
        <f t="shared" si="7"/>
        <v>0</v>
      </c>
      <c r="AI14" s="22">
        <f t="shared" si="9"/>
        <v>0.17657192791203322</v>
      </c>
      <c r="AJ14" s="22">
        <f t="shared" si="8"/>
        <v>8.7427323582436392E-3</v>
      </c>
      <c r="AK14" s="22">
        <f t="shared" si="8"/>
        <v>2.0106397981009771E-2</v>
      </c>
      <c r="AL14" s="22">
        <f t="shared" si="10"/>
        <v>0.3</v>
      </c>
      <c r="AM14" s="31"/>
    </row>
    <row r="15" spans="1:47" x14ac:dyDescent="0.25">
      <c r="A15" s="10">
        <f>'Proximal Validation (double)'!A15</f>
        <v>0.9</v>
      </c>
      <c r="B15" s="11">
        <f>'Proximal Validation (double)'!B15</f>
        <v>0.1</v>
      </c>
      <c r="C15" s="10">
        <f>'Proximal Validation (double)'!C15</f>
        <v>2.3559999999999999</v>
      </c>
      <c r="D15" s="10">
        <f>'Proximal Validation (double)'!D15</f>
        <v>1.5707963267948966</v>
      </c>
      <c r="E15" s="11">
        <f>'Proximal Validation (double)'!E15</f>
        <v>0.9</v>
      </c>
      <c r="F15" s="11">
        <f>'Proximal Validation (double)'!F15</f>
        <v>0.02</v>
      </c>
      <c r="G15" s="10">
        <f>'Proximal Validation (double)'!G15</f>
        <v>4.7119999999999997</v>
      </c>
      <c r="H15" s="10">
        <f>'Proximal Validation (double)'!H15</f>
        <v>1.5707963267948966</v>
      </c>
      <c r="I15" s="10">
        <f>'Proximal Validation (double)'!I15</f>
        <v>0.4</v>
      </c>
      <c r="J15" s="10">
        <f>'Proximal Validation (double)'!J15</f>
        <v>0</v>
      </c>
      <c r="K15" s="10">
        <f>'Proximal Validation (double)'!K15</f>
        <v>0</v>
      </c>
      <c r="L15" s="8">
        <f>'Proximal Validation (double)'!L15</f>
        <v>-9.1172568500042005E-4</v>
      </c>
      <c r="M15" s="8">
        <f>'Proximal Validation (double)'!M15</f>
        <v>-3.9313092827796901E-2</v>
      </c>
      <c r="N15" s="8">
        <f>'Proximal Validation (double)'!N15</f>
        <v>-0.130889192223549</v>
      </c>
      <c r="O15" s="8">
        <f>'Proximal Validation (double)'!O15</f>
        <v>-0.256822139024735</v>
      </c>
      <c r="P15" s="8">
        <f>'Proximal Validation (double)'!P15</f>
        <v>-0.62632656097412098</v>
      </c>
      <c r="Q15" s="8">
        <f>'Proximal Validation (double)'!Q15</f>
        <v>-0.18459481000900299</v>
      </c>
      <c r="R15" s="8">
        <v>0.63221594853267493</v>
      </c>
      <c r="S15" s="8">
        <v>0.18015920564799062</v>
      </c>
      <c r="T15" s="8">
        <v>2.3388021251381406</v>
      </c>
      <c r="U15" s="8">
        <v>1.5707963267948966</v>
      </c>
      <c r="V15" s="8">
        <v>0.63654976334439139</v>
      </c>
      <c r="W15" s="8">
        <v>2.9117786121584194E-2</v>
      </c>
      <c r="X15" s="8">
        <v>4.339043089141617</v>
      </c>
      <c r="Y15" s="8">
        <v>1.5707963267948966</v>
      </c>
      <c r="Z15" s="28">
        <v>1.61910792154505E-4</v>
      </c>
      <c r="AA15" s="8">
        <f t="shared" si="0"/>
        <v>-0.26778405146732509</v>
      </c>
      <c r="AB15" s="8">
        <f t="shared" si="1"/>
        <v>8.0159205647990617E-2</v>
      </c>
      <c r="AC15" s="8">
        <f t="shared" si="2"/>
        <v>-1.7197874861859308E-2</v>
      </c>
      <c r="AD15" s="8">
        <f t="shared" si="3"/>
        <v>0</v>
      </c>
      <c r="AE15" s="8">
        <f t="shared" si="4"/>
        <v>-0.26345023665560863</v>
      </c>
      <c r="AF15" s="8">
        <f t="shared" si="5"/>
        <v>9.1177861215841934E-3</v>
      </c>
      <c r="AG15" s="8">
        <f t="shared" si="6"/>
        <v>-0.37295691085838278</v>
      </c>
      <c r="AH15" s="8">
        <f t="shared" si="7"/>
        <v>0</v>
      </c>
      <c r="AI15" s="22">
        <f t="shared" si="9"/>
        <v>0.26561714406146686</v>
      </c>
      <c r="AJ15" s="22">
        <f t="shared" si="8"/>
        <v>4.4638495884787403E-2</v>
      </c>
      <c r="AK15" s="22">
        <f t="shared" si="8"/>
        <v>0.19507739286012105</v>
      </c>
      <c r="AL15" s="22">
        <f t="shared" si="10"/>
        <v>0.9</v>
      </c>
      <c r="AM15" s="31"/>
    </row>
    <row r="16" spans="1:47" x14ac:dyDescent="0.25">
      <c r="A16" s="10">
        <f>'Proximal Validation (double)'!A16</f>
        <v>0.4</v>
      </c>
      <c r="B16" s="11">
        <f>'Proximal Validation (double)'!B16</f>
        <v>0.12</v>
      </c>
      <c r="C16" s="10">
        <f>'Proximal Validation (double)'!C16</f>
        <v>2.3559999999999999</v>
      </c>
      <c r="D16" s="10">
        <f>'Proximal Validation (double)'!D16</f>
        <v>1.5707963267948966</v>
      </c>
      <c r="E16" s="11">
        <f>'Proximal Validation (double)'!E16</f>
        <v>0.1</v>
      </c>
      <c r="F16" s="11">
        <f>'Proximal Validation (double)'!F16</f>
        <v>0.06</v>
      </c>
      <c r="G16" s="10">
        <f>'Proximal Validation (double)'!G16</f>
        <v>3.1419999999999999</v>
      </c>
      <c r="H16" s="10">
        <f>'Proximal Validation (double)'!H16</f>
        <v>1.5707963267948966</v>
      </c>
      <c r="I16" s="10">
        <f>'Proximal Validation (double)'!I16</f>
        <v>0.4</v>
      </c>
      <c r="J16" s="10">
        <f>'Proximal Validation (double)'!J16</f>
        <v>0</v>
      </c>
      <c r="K16" s="10">
        <f>'Proximal Validation (double)'!K16</f>
        <v>0</v>
      </c>
      <c r="L16" s="8">
        <f>'Proximal Validation (double)'!L16</f>
        <v>-3.60760372132063E-3</v>
      </c>
      <c r="M16" s="8">
        <f>'Proximal Validation (double)'!M16</f>
        <v>-5.4309170693159103E-2</v>
      </c>
      <c r="N16" s="8">
        <f>'Proximal Validation (double)'!N16</f>
        <v>-7.0400118827819796E-2</v>
      </c>
      <c r="O16" s="8">
        <f>'Proximal Validation (double)'!O16</f>
        <v>-5.4136319085955602E-3</v>
      </c>
      <c r="P16" s="8">
        <f>'Proximal Validation (double)'!P16</f>
        <v>-0.32776689529418901</v>
      </c>
      <c r="Q16" s="8">
        <f>'Proximal Validation (double)'!Q16</f>
        <v>0.24705727398395499</v>
      </c>
      <c r="R16" s="8">
        <v>0.49979549057579603</v>
      </c>
      <c r="S16" s="8">
        <v>7.2360424603163082E-2</v>
      </c>
      <c r="T16" s="8">
        <v>2.6206928288678069</v>
      </c>
      <c r="U16" s="8">
        <v>1.5707963267948966</v>
      </c>
      <c r="V16" s="8">
        <v>0.10398350901042612</v>
      </c>
      <c r="W16" s="8">
        <v>5.7391600351681976E-2</v>
      </c>
      <c r="X16" s="8">
        <v>6.2825949413440485</v>
      </c>
      <c r="Y16" s="8">
        <v>1.5707963267948966</v>
      </c>
      <c r="Z16" s="28">
        <v>6.7608223763208821E-4</v>
      </c>
      <c r="AA16" s="8">
        <f t="shared" si="0"/>
        <v>9.9795490575796009E-2</v>
      </c>
      <c r="AB16" s="8">
        <f t="shared" si="1"/>
        <v>-4.7639575396836914E-2</v>
      </c>
      <c r="AC16" s="8">
        <f t="shared" si="2"/>
        <v>0.26469282886780698</v>
      </c>
      <c r="AD16" s="8">
        <f t="shared" si="3"/>
        <v>0</v>
      </c>
      <c r="AE16" s="8">
        <f t="shared" si="4"/>
        <v>3.9835090104261145E-3</v>
      </c>
      <c r="AF16" s="8">
        <f t="shared" si="5"/>
        <v>-2.6083996483180216E-3</v>
      </c>
      <c r="AG16" s="8">
        <f t="shared" si="6"/>
        <v>3.1405949413440486</v>
      </c>
      <c r="AH16" s="8">
        <f t="shared" si="7"/>
        <v>0</v>
      </c>
      <c r="AI16" s="22">
        <f t="shared" si="9"/>
        <v>5.1889499793111062E-2</v>
      </c>
      <c r="AJ16" s="22">
        <f t="shared" si="8"/>
        <v>2.5123987522577468E-2</v>
      </c>
      <c r="AK16" s="22">
        <f t="shared" si="8"/>
        <v>1.7026438851059278</v>
      </c>
      <c r="AL16" s="22">
        <f t="shared" si="10"/>
        <v>0.1</v>
      </c>
      <c r="AM16" s="31"/>
    </row>
    <row r="17" spans="1:39" x14ac:dyDescent="0.25">
      <c r="A17" s="10">
        <f>'Proximal Validation (double)'!A17</f>
        <v>1</v>
      </c>
      <c r="B17" s="11">
        <f>'Proximal Validation (double)'!B17</f>
        <v>0.14000000000000001</v>
      </c>
      <c r="C17" s="10">
        <f>'Proximal Validation (double)'!C17</f>
        <v>2.3559999999999999</v>
      </c>
      <c r="D17" s="10">
        <f>'Proximal Validation (double)'!D17</f>
        <v>1.5707963267948966</v>
      </c>
      <c r="E17" s="11">
        <f>'Proximal Validation (double)'!E17</f>
        <v>0.4</v>
      </c>
      <c r="F17" s="11">
        <f>'Proximal Validation (double)'!F17</f>
        <v>0.04</v>
      </c>
      <c r="G17" s="10">
        <f>'Proximal Validation (double)'!G17</f>
        <v>3.927</v>
      </c>
      <c r="H17" s="10">
        <f>'Proximal Validation (double)'!H17</f>
        <v>1.5707963267948966</v>
      </c>
      <c r="I17" s="10">
        <f>'Proximal Validation (double)'!I17</f>
        <v>0.6</v>
      </c>
      <c r="J17" s="10">
        <f>'Proximal Validation (double)'!J17</f>
        <v>0</v>
      </c>
      <c r="K17" s="10">
        <f>'Proximal Validation (double)'!K17</f>
        <v>0</v>
      </c>
      <c r="L17" s="8">
        <f>'Proximal Validation (double)'!L17</f>
        <v>1.51338707655668E-3</v>
      </c>
      <c r="M17" s="8">
        <f>'Proximal Validation (double)'!M17</f>
        <v>-0.13520552217960399</v>
      </c>
      <c r="N17" s="8">
        <f>'Proximal Validation (double)'!N17</f>
        <v>-0.2040024548769</v>
      </c>
      <c r="O17" s="8">
        <f>'Proximal Validation (double)'!O17</f>
        <v>-0.46525964140892001</v>
      </c>
      <c r="P17" s="8">
        <f>'Proximal Validation (double)'!P17</f>
        <v>-0.93685162067413297</v>
      </c>
      <c r="Q17" s="8">
        <f>'Proximal Validation (double)'!Q17</f>
        <v>0.42077422142028797</v>
      </c>
      <c r="R17" s="8">
        <v>0.95187651583008426</v>
      </c>
      <c r="S17" s="8">
        <v>0.15066597124598152</v>
      </c>
      <c r="T17" s="8">
        <v>2.4241415121165182</v>
      </c>
      <c r="U17" s="8">
        <v>1.5707963267948966</v>
      </c>
      <c r="V17" s="8">
        <v>0.32906562819509599</v>
      </c>
      <c r="W17" s="8">
        <v>2.0000212167279097E-2</v>
      </c>
      <c r="X17" s="8">
        <v>3.5356750549881157</v>
      </c>
      <c r="Y17" s="8">
        <v>1.5707963267948966</v>
      </c>
      <c r="Z17" s="28">
        <v>1.2830068999079429E-4</v>
      </c>
      <c r="AA17" s="8">
        <f t="shared" si="0"/>
        <v>-4.8123484169915742E-2</v>
      </c>
      <c r="AB17" s="8">
        <f t="shared" si="1"/>
        <v>1.0665971245981509E-2</v>
      </c>
      <c r="AC17" s="8">
        <f t="shared" si="2"/>
        <v>6.814151211651831E-2</v>
      </c>
      <c r="AD17" s="8">
        <f t="shared" si="3"/>
        <v>0</v>
      </c>
      <c r="AE17" s="8">
        <f t="shared" si="4"/>
        <v>-7.0934371804904028E-2</v>
      </c>
      <c r="AF17" s="8">
        <f t="shared" si="5"/>
        <v>-1.9999787832720904E-2</v>
      </c>
      <c r="AG17" s="8">
        <f t="shared" si="6"/>
        <v>-0.39132494501188431</v>
      </c>
      <c r="AH17" s="8">
        <f t="shared" si="7"/>
        <v>0</v>
      </c>
      <c r="AI17" s="22">
        <f t="shared" si="9"/>
        <v>5.9528927987409885E-2</v>
      </c>
      <c r="AJ17" s="22">
        <f t="shared" si="8"/>
        <v>1.5332879539351207E-2</v>
      </c>
      <c r="AK17" s="22">
        <f t="shared" si="8"/>
        <v>0.22973322856420131</v>
      </c>
      <c r="AL17" s="22">
        <f t="shared" si="10"/>
        <v>0.4</v>
      </c>
      <c r="AM17" s="31"/>
    </row>
    <row r="18" spans="1:39" x14ac:dyDescent="0.25">
      <c r="A18" s="10">
        <f>'Proximal Validation (double)'!A18</f>
        <v>0.4</v>
      </c>
      <c r="B18" s="11">
        <f>'Proximal Validation (double)'!B18</f>
        <v>0.18</v>
      </c>
      <c r="C18" s="10">
        <f>'Proximal Validation (double)'!C18</f>
        <v>2.3559999999999999</v>
      </c>
      <c r="D18" s="10">
        <f>'Proximal Validation (double)'!D18</f>
        <v>1.5707963267948966</v>
      </c>
      <c r="E18" s="11">
        <f>'Proximal Validation (double)'!E18</f>
        <v>0.7</v>
      </c>
      <c r="F18" s="11">
        <f>'Proximal Validation (double)'!F18</f>
        <v>0.04</v>
      </c>
      <c r="G18" s="10">
        <f>'Proximal Validation (double)'!G18</f>
        <v>3.1419999999999999</v>
      </c>
      <c r="H18" s="10">
        <f>'Proximal Validation (double)'!H18</f>
        <v>1.5707963267948966</v>
      </c>
      <c r="I18" s="10">
        <f>'Proximal Validation (double)'!I18</f>
        <v>0</v>
      </c>
      <c r="J18" s="10">
        <f>'Proximal Validation (double)'!J18</f>
        <v>0</v>
      </c>
      <c r="K18" s="10">
        <f>'Proximal Validation (double)'!K18</f>
        <v>0</v>
      </c>
      <c r="L18" s="8">
        <f>'Proximal Validation (double)'!L18</f>
        <v>1.25857396051288E-3</v>
      </c>
      <c r="M18" s="8">
        <f>'Proximal Validation (double)'!M18</f>
        <v>-6.1508439481258399E-2</v>
      </c>
      <c r="N18" s="8">
        <f>'Proximal Validation (double)'!N18</f>
        <v>-0.139540165662766</v>
      </c>
      <c r="O18" s="8">
        <f>'Proximal Validation (double)'!O18</f>
        <v>-9.9908888339996296E-2</v>
      </c>
      <c r="P18" s="8">
        <f>'Proximal Validation (double)'!P18</f>
        <v>-0.836775302886963</v>
      </c>
      <c r="Q18" s="8">
        <f>'Proximal Validation (double)'!Q18</f>
        <v>0.23870468139648399</v>
      </c>
      <c r="R18" s="8">
        <v>0.96413093360686142</v>
      </c>
      <c r="S18" s="8">
        <v>7.3033514180716796E-2</v>
      </c>
      <c r="T18" s="8">
        <v>2.4495466079674331</v>
      </c>
      <c r="U18" s="8">
        <v>1.5707963267948966</v>
      </c>
      <c r="V18" s="8">
        <v>0.38543392552570144</v>
      </c>
      <c r="W18" s="8">
        <v>2.5633395695558163E-2</v>
      </c>
      <c r="X18" s="8">
        <v>4.449597614459889</v>
      </c>
      <c r="Y18" s="8">
        <v>1.5707963267948966</v>
      </c>
      <c r="Z18" s="28">
        <v>8.8079781241871726E-5</v>
      </c>
      <c r="AA18" s="8">
        <f t="shared" si="0"/>
        <v>0.5641309336068614</v>
      </c>
      <c r="AB18" s="8">
        <f t="shared" si="1"/>
        <v>-0.1069664858192832</v>
      </c>
      <c r="AC18" s="8">
        <f t="shared" si="2"/>
        <v>9.3546607967433193E-2</v>
      </c>
      <c r="AD18" s="8">
        <f t="shared" si="3"/>
        <v>0</v>
      </c>
      <c r="AE18" s="8">
        <f t="shared" si="4"/>
        <v>-0.31456607447429852</v>
      </c>
      <c r="AF18" s="8">
        <f t="shared" si="5"/>
        <v>-1.4366604304441838E-2</v>
      </c>
      <c r="AG18" s="8">
        <f t="shared" si="6"/>
        <v>1.3075976144598891</v>
      </c>
      <c r="AH18" s="8">
        <f t="shared" si="7"/>
        <v>0</v>
      </c>
      <c r="AI18" s="22">
        <f t="shared" si="9"/>
        <v>0.43934850404057996</v>
      </c>
      <c r="AJ18" s="22">
        <f t="shared" si="8"/>
        <v>6.0666545061862517E-2</v>
      </c>
      <c r="AK18" s="22">
        <f t="shared" si="8"/>
        <v>0.70057211121366114</v>
      </c>
      <c r="AL18" s="22">
        <f t="shared" si="10"/>
        <v>0.4</v>
      </c>
      <c r="AM18" s="31"/>
    </row>
    <row r="19" spans="1:39" x14ac:dyDescent="0.25">
      <c r="A19" s="10">
        <f>'Proximal Validation (double)'!A19</f>
        <v>0.1</v>
      </c>
      <c r="B19" s="11">
        <f>'Proximal Validation (double)'!B19</f>
        <v>0.18</v>
      </c>
      <c r="C19" s="10">
        <f>'Proximal Validation (double)'!C19</f>
        <v>2.3559999999999999</v>
      </c>
      <c r="D19" s="10">
        <f>'Proximal Validation (double)'!D19</f>
        <v>1.5707963267948966</v>
      </c>
      <c r="E19" s="11">
        <f>'Proximal Validation (double)'!E19</f>
        <v>0.2</v>
      </c>
      <c r="F19" s="11">
        <f>'Proximal Validation (double)'!F19</f>
        <v>0.06</v>
      </c>
      <c r="G19" s="10">
        <f>'Proximal Validation (double)'!G19</f>
        <v>4.7119999999999997</v>
      </c>
      <c r="H19" s="10">
        <f>'Proximal Validation (double)'!H19</f>
        <v>1.5707963267948966</v>
      </c>
      <c r="I19" s="10">
        <f>'Proximal Validation (double)'!I19</f>
        <v>0.4</v>
      </c>
      <c r="J19" s="10">
        <f>'Proximal Validation (double)'!J19</f>
        <v>0</v>
      </c>
      <c r="K19" s="10">
        <f>'Proximal Validation (double)'!K19</f>
        <v>0</v>
      </c>
      <c r="L19" s="8">
        <f>'Proximal Validation (double)'!L19</f>
        <v>-7.4886210495606097E-4</v>
      </c>
      <c r="M19" s="8">
        <f>'Proximal Validation (double)'!M19</f>
        <v>2.0453782752156299E-2</v>
      </c>
      <c r="N19" s="8">
        <f>'Proximal Validation (double)'!N19</f>
        <v>-9.3716401606798207E-3</v>
      </c>
      <c r="O19" s="8">
        <f>'Proximal Validation (double)'!O19</f>
        <v>1.6650179401040101E-2</v>
      </c>
      <c r="P19" s="8">
        <f>'Proximal Validation (double)'!P19</f>
        <v>-2.5679610669612898E-2</v>
      </c>
      <c r="Q19" s="8">
        <f>'Proximal Validation (double)'!Q19</f>
        <v>-0.15806177258491499</v>
      </c>
      <c r="R19" s="8">
        <v>0.51439997246087588</v>
      </c>
      <c r="S19" s="8">
        <v>0.12664907754254895</v>
      </c>
      <c r="T19" s="8">
        <v>1.7915008459404245</v>
      </c>
      <c r="U19" s="8">
        <v>1.5707963267948966</v>
      </c>
      <c r="V19" s="8">
        <v>0.66590288106363249</v>
      </c>
      <c r="W19" s="8">
        <v>0.10215892038955006</v>
      </c>
      <c r="X19" s="8">
        <v>4.8431691949956646</v>
      </c>
      <c r="Y19" s="8">
        <v>1.5707963267948966</v>
      </c>
      <c r="Z19" s="28">
        <v>2.7635101500175487E-4</v>
      </c>
      <c r="AA19" s="8">
        <f t="shared" si="0"/>
        <v>0.4143999724608759</v>
      </c>
      <c r="AB19" s="8">
        <f t="shared" si="1"/>
        <v>-5.3350922457451044E-2</v>
      </c>
      <c r="AC19" s="8">
        <f t="shared" si="2"/>
        <v>-0.5644991540595754</v>
      </c>
      <c r="AD19" s="8">
        <f t="shared" si="3"/>
        <v>0</v>
      </c>
      <c r="AE19" s="8">
        <f t="shared" si="4"/>
        <v>0.46590288106363248</v>
      </c>
      <c r="AF19" s="8">
        <f t="shared" si="5"/>
        <v>4.2158920389550061E-2</v>
      </c>
      <c r="AG19" s="8">
        <f t="shared" si="6"/>
        <v>0.13116919499566482</v>
      </c>
      <c r="AH19" s="8">
        <f t="shared" si="7"/>
        <v>0</v>
      </c>
      <c r="AI19" s="22">
        <f t="shared" si="9"/>
        <v>0.44015142676225416</v>
      </c>
      <c r="AJ19" s="22">
        <f t="shared" si="9"/>
        <v>4.7754921423500553E-2</v>
      </c>
      <c r="AK19" s="22">
        <f t="shared" si="9"/>
        <v>0.34783417452762011</v>
      </c>
      <c r="AL19" s="22">
        <f t="shared" si="10"/>
        <v>0.1</v>
      </c>
      <c r="AM19" s="31"/>
    </row>
    <row r="20" spans="1:39" x14ac:dyDescent="0.25">
      <c r="A20" s="10">
        <f>'Proximal Validation (double)'!A20</f>
        <v>0.9</v>
      </c>
      <c r="B20" s="11">
        <f>'Proximal Validation (double)'!B20</f>
        <v>0.2</v>
      </c>
      <c r="C20" s="10">
        <f>'Proximal Validation (double)'!C20</f>
        <v>2.3559999999999999</v>
      </c>
      <c r="D20" s="10">
        <f>'Proximal Validation (double)'!D20</f>
        <v>1.5707963267948966</v>
      </c>
      <c r="E20" s="11">
        <f>'Proximal Validation (double)'!E20</f>
        <v>0.3</v>
      </c>
      <c r="F20" s="11">
        <f>'Proximal Validation (double)'!F20</f>
        <v>0.06</v>
      </c>
      <c r="G20" s="10">
        <f>'Proximal Validation (double)'!G20</f>
        <v>3.1419999999999999</v>
      </c>
      <c r="H20" s="10">
        <f>'Proximal Validation (double)'!H20</f>
        <v>1.5707963267948966</v>
      </c>
      <c r="I20" s="10">
        <f>'Proximal Validation (double)'!I20</f>
        <v>1.2</v>
      </c>
      <c r="J20" s="10">
        <f>'Proximal Validation (double)'!J20</f>
        <v>0</v>
      </c>
      <c r="K20" s="10">
        <f>'Proximal Validation (double)'!K20</f>
        <v>0</v>
      </c>
      <c r="L20" s="8">
        <f>'Proximal Validation (double)'!L20</f>
        <v>3.2496866770088699E-3</v>
      </c>
      <c r="M20" s="8">
        <f>'Proximal Validation (double)'!M20</f>
        <v>-0.114310443401337</v>
      </c>
      <c r="N20" s="8">
        <f>'Proximal Validation (double)'!N20</f>
        <v>-0.158231571316719</v>
      </c>
      <c r="O20" s="8">
        <f>'Proximal Validation (double)'!O20</f>
        <v>-0.49384498596191401</v>
      </c>
      <c r="P20" s="8">
        <f>'Proximal Validation (double)'!P20</f>
        <v>-0.55208766460418701</v>
      </c>
      <c r="Q20" s="8">
        <f>'Proximal Validation (double)'!Q20</f>
        <v>0.26307040452957198</v>
      </c>
      <c r="R20" s="8">
        <v>0.8205033847936809</v>
      </c>
      <c r="S20" s="8">
        <v>0.19116463834658448</v>
      </c>
      <c r="T20" s="8">
        <v>2.4039775799590464</v>
      </c>
      <c r="U20" s="8">
        <v>1.5707963267948966</v>
      </c>
      <c r="V20" s="8">
        <v>0.1750292325688986</v>
      </c>
      <c r="W20" s="8">
        <v>4.5763709239377295E-2</v>
      </c>
      <c r="X20" s="8">
        <v>4.3213097595814487</v>
      </c>
      <c r="Y20" s="8">
        <v>1.5707963267948966</v>
      </c>
      <c r="Z20" s="28">
        <v>5.9261602344648423E-5</v>
      </c>
      <c r="AA20" s="8">
        <f t="shared" si="0"/>
        <v>-7.9496615206319121E-2</v>
      </c>
      <c r="AB20" s="8">
        <f t="shared" si="1"/>
        <v>-8.8353616534155299E-3</v>
      </c>
      <c r="AC20" s="8">
        <f t="shared" si="2"/>
        <v>4.7977579959046501E-2</v>
      </c>
      <c r="AD20" s="8">
        <f t="shared" si="3"/>
        <v>0</v>
      </c>
      <c r="AE20" s="8">
        <f t="shared" si="4"/>
        <v>-0.12497076743110139</v>
      </c>
      <c r="AF20" s="8">
        <f t="shared" si="5"/>
        <v>-1.4236290760622702E-2</v>
      </c>
      <c r="AG20" s="8">
        <f t="shared" si="6"/>
        <v>1.1793097595814488</v>
      </c>
      <c r="AH20" s="8">
        <f t="shared" si="7"/>
        <v>0</v>
      </c>
      <c r="AI20" s="22">
        <f t="shared" si="9"/>
        <v>0.10223369131871025</v>
      </c>
      <c r="AJ20" s="22">
        <f t="shared" si="9"/>
        <v>1.1535826207019116E-2</v>
      </c>
      <c r="AK20" s="22">
        <f t="shared" si="9"/>
        <v>0.61364366977024765</v>
      </c>
      <c r="AL20" s="22">
        <f t="shared" si="10"/>
        <v>0.3</v>
      </c>
      <c r="AM20" s="31"/>
    </row>
    <row r="21" spans="1:39" x14ac:dyDescent="0.25">
      <c r="A21" s="10">
        <f>'Proximal Validation (double)'!A21</f>
        <v>0.1</v>
      </c>
      <c r="B21" s="11">
        <f>'Proximal Validation (double)'!B21</f>
        <v>0.1</v>
      </c>
      <c r="C21" s="10">
        <f>'Proximal Validation (double)'!C21</f>
        <v>3.1419999999999999</v>
      </c>
      <c r="D21" s="10">
        <f>'Proximal Validation (double)'!D21</f>
        <v>1.5707963267948966</v>
      </c>
      <c r="E21" s="11">
        <f>'Proximal Validation (double)'!E21</f>
        <v>0.3</v>
      </c>
      <c r="F21" s="11">
        <f>'Proximal Validation (double)'!F21</f>
        <v>0.08</v>
      </c>
      <c r="G21" s="10">
        <f>'Proximal Validation (double)'!G21</f>
        <v>3.927</v>
      </c>
      <c r="H21" s="10">
        <f>'Proximal Validation (double)'!H21</f>
        <v>1.5707963267948966</v>
      </c>
      <c r="I21" s="10">
        <f>'Proximal Validation (double)'!I21</f>
        <v>1.2</v>
      </c>
      <c r="J21" s="10">
        <f>'Proximal Validation (double)'!J21</f>
        <v>0</v>
      </c>
      <c r="K21" s="10">
        <f>'Proximal Validation (double)'!K21</f>
        <v>0</v>
      </c>
      <c r="L21" s="8">
        <f>'Proximal Validation (double)'!L21</f>
        <v>4.3617305345833302E-4</v>
      </c>
      <c r="M21" s="8">
        <f>'Proximal Validation (double)'!M21</f>
        <v>3.7674464285373702E-2</v>
      </c>
      <c r="N21" s="8">
        <f>'Proximal Validation (double)'!N21</f>
        <v>-4.6963214874267599E-2</v>
      </c>
      <c r="O21" s="8">
        <f>'Proximal Validation (double)'!O21</f>
        <v>1.26499449834228E-2</v>
      </c>
      <c r="P21" s="8">
        <f>'Proximal Validation (double)'!P21</f>
        <v>-0.26442891359329201</v>
      </c>
      <c r="Q21" s="8">
        <f>'Proximal Validation (double)'!Q21</f>
        <v>-0.20531408488750499</v>
      </c>
      <c r="R21" s="8">
        <v>0.22103877152602497</v>
      </c>
      <c r="S21" s="8">
        <v>0.13320010893941653</v>
      </c>
      <c r="T21" s="8">
        <v>0.64679327215708393</v>
      </c>
      <c r="U21" s="8">
        <v>1.5707963267948966</v>
      </c>
      <c r="V21" s="8">
        <v>0.55652121585461678</v>
      </c>
      <c r="W21" s="8">
        <v>9.2139069238786384E-2</v>
      </c>
      <c r="X21" s="8">
        <v>3.7965950649417617</v>
      </c>
      <c r="Y21" s="8">
        <v>1.5707963267948966</v>
      </c>
      <c r="Z21" s="28">
        <v>2.5491070937270761E-4</v>
      </c>
      <c r="AA21" s="8">
        <f t="shared" si="0"/>
        <v>0.12103877152602496</v>
      </c>
      <c r="AB21" s="8">
        <f t="shared" si="1"/>
        <v>3.3200108939416523E-2</v>
      </c>
      <c r="AC21" s="8">
        <f t="shared" si="2"/>
        <v>-2.4952067278429162</v>
      </c>
      <c r="AD21" s="8">
        <f t="shared" si="3"/>
        <v>0</v>
      </c>
      <c r="AE21" s="8">
        <f t="shared" si="4"/>
        <v>0.25652121585461679</v>
      </c>
      <c r="AF21" s="8">
        <f t="shared" si="5"/>
        <v>1.2139069238786382E-2</v>
      </c>
      <c r="AG21" s="8">
        <f t="shared" si="6"/>
        <v>-0.13040493505823836</v>
      </c>
      <c r="AH21" s="8">
        <f t="shared" si="7"/>
        <v>0</v>
      </c>
      <c r="AI21" s="22">
        <f t="shared" si="9"/>
        <v>0.18877999369032089</v>
      </c>
      <c r="AJ21" s="22">
        <f t="shared" si="9"/>
        <v>2.2669589089101452E-2</v>
      </c>
      <c r="AK21" s="22">
        <f t="shared" si="9"/>
        <v>1.3128058314505773</v>
      </c>
      <c r="AL21" s="22">
        <f t="shared" si="10"/>
        <v>0.1</v>
      </c>
      <c r="AM21" s="31"/>
    </row>
    <row r="22" spans="1:39" x14ac:dyDescent="0.25">
      <c r="A22" s="10">
        <f>'Proximal Validation (double)'!A22</f>
        <v>0.1</v>
      </c>
      <c r="B22" s="11">
        <f>'Proximal Validation (double)'!B22</f>
        <v>0.2</v>
      </c>
      <c r="C22" s="10">
        <f>'Proximal Validation (double)'!C22</f>
        <v>3.1419999999999999</v>
      </c>
      <c r="D22" s="10">
        <f>'Proximal Validation (double)'!D22</f>
        <v>1.5707963267948966</v>
      </c>
      <c r="E22" s="11">
        <f>'Proximal Validation (double)'!E22</f>
        <v>0.8</v>
      </c>
      <c r="F22" s="11">
        <f>'Proximal Validation (double)'!F22</f>
        <v>0.02</v>
      </c>
      <c r="G22" s="10">
        <f>'Proximal Validation (double)'!G22</f>
        <v>3.927</v>
      </c>
      <c r="H22" s="10">
        <f>'Proximal Validation (double)'!H22</f>
        <v>1.5707963267948966</v>
      </c>
      <c r="I22" s="10">
        <f>'Proximal Validation (double)'!I22</f>
        <v>1.2</v>
      </c>
      <c r="J22" s="10">
        <f>'Proximal Validation (double)'!J22</f>
        <v>0</v>
      </c>
      <c r="K22" s="10">
        <f>'Proximal Validation (double)'!K22</f>
        <v>0</v>
      </c>
      <c r="L22" s="8">
        <f>'Proximal Validation (double)'!L22</f>
        <v>1.0640500113368E-3</v>
      </c>
      <c r="M22" s="8">
        <f>'Proximal Validation (double)'!M22</f>
        <v>6.2404803931713097E-2</v>
      </c>
      <c r="N22" s="8">
        <f>'Proximal Validation (double)'!N22</f>
        <v>-7.4282236397266402E-2</v>
      </c>
      <c r="O22" s="8">
        <f>'Proximal Validation (double)'!O22</f>
        <v>1.72678660601377E-2</v>
      </c>
      <c r="P22" s="8">
        <f>'Proximal Validation (double)'!P22</f>
        <v>-0.60528373718261697</v>
      </c>
      <c r="Q22" s="8">
        <f>'Proximal Validation (double)'!Q22</f>
        <v>-0.54190033674240101</v>
      </c>
      <c r="R22" s="8">
        <v>0.16991676135814546</v>
      </c>
      <c r="S22" s="8">
        <v>5.081883397416221E-2</v>
      </c>
      <c r="T22" s="8">
        <v>1.4964865615068412</v>
      </c>
      <c r="U22" s="8">
        <v>1.5707963267948966</v>
      </c>
      <c r="V22" s="8">
        <v>0.94314727373220841</v>
      </c>
      <c r="W22" s="8">
        <v>2.5205779134496765E-2</v>
      </c>
      <c r="X22" s="8">
        <v>3.9971529062605073</v>
      </c>
      <c r="Y22" s="8">
        <v>1.5707963267948966</v>
      </c>
      <c r="Z22" s="28">
        <v>2.9164014666989803E-4</v>
      </c>
      <c r="AA22" s="8">
        <f t="shared" si="0"/>
        <v>6.9916761358145452E-2</v>
      </c>
      <c r="AB22" s="8">
        <f t="shared" si="1"/>
        <v>-0.14918116602583781</v>
      </c>
      <c r="AC22" s="8">
        <f t="shared" si="2"/>
        <v>-1.6455134384931587</v>
      </c>
      <c r="AD22" s="8">
        <f t="shared" si="3"/>
        <v>0</v>
      </c>
      <c r="AE22" s="8">
        <f t="shared" si="4"/>
        <v>0.14314727373220837</v>
      </c>
      <c r="AF22" s="8">
        <f t="shared" si="5"/>
        <v>5.2057791344967651E-3</v>
      </c>
      <c r="AG22" s="8">
        <f t="shared" si="6"/>
        <v>7.0152906260507297E-2</v>
      </c>
      <c r="AH22" s="8">
        <f t="shared" si="7"/>
        <v>0</v>
      </c>
      <c r="AI22" s="22">
        <f t="shared" si="9"/>
        <v>0.10653201754517691</v>
      </c>
      <c r="AJ22" s="22">
        <f t="shared" si="9"/>
        <v>7.7193472580167288E-2</v>
      </c>
      <c r="AK22" s="22">
        <f t="shared" si="9"/>
        <v>0.85783317237683299</v>
      </c>
      <c r="AL22" s="22">
        <f t="shared" si="10"/>
        <v>0.1</v>
      </c>
      <c r="AM22" s="31"/>
    </row>
    <row r="23" spans="1:39" x14ac:dyDescent="0.25">
      <c r="A23" s="10">
        <f>'Proximal Validation (double)'!A23</f>
        <v>0.9</v>
      </c>
      <c r="B23" s="11">
        <f>'Proximal Validation (double)'!B23</f>
        <v>0.1</v>
      </c>
      <c r="C23" s="10">
        <f>'Proximal Validation (double)'!C23</f>
        <v>3.927</v>
      </c>
      <c r="D23" s="10">
        <f>'Proximal Validation (double)'!D23</f>
        <v>1.5707963267948966</v>
      </c>
      <c r="E23" s="11">
        <f>'Proximal Validation (double)'!E23</f>
        <v>0.2</v>
      </c>
      <c r="F23" s="11">
        <f>'Proximal Validation (double)'!F23</f>
        <v>0.02</v>
      </c>
      <c r="G23" s="10">
        <f>'Proximal Validation (double)'!G23</f>
        <v>3.1419999999999999</v>
      </c>
      <c r="H23" s="10">
        <f>'Proximal Validation (double)'!H23</f>
        <v>1.5707963267948966</v>
      </c>
      <c r="I23" s="10">
        <f>'Proximal Validation (double)'!I23</f>
        <v>1.4</v>
      </c>
      <c r="J23" s="10">
        <f>'Proximal Validation (double)'!J23</f>
        <v>0</v>
      </c>
      <c r="K23" s="10">
        <f>'Proximal Validation (double)'!K23</f>
        <v>0</v>
      </c>
      <c r="L23" s="8">
        <f>'Proximal Validation (double)'!L23</f>
        <v>-2.0453361794352501E-3</v>
      </c>
      <c r="M23" s="8">
        <f>'Proximal Validation (double)'!M23</f>
        <v>0.14060573279857599</v>
      </c>
      <c r="N23" s="8">
        <f>'Proximal Validation (double)'!N23</f>
        <v>-0.14573009312152899</v>
      </c>
      <c r="O23" s="8">
        <f>'Proximal Validation (double)'!O23</f>
        <v>-0.146071821451187</v>
      </c>
      <c r="P23" s="8">
        <f>'Proximal Validation (double)'!P23</f>
        <v>-0.82719779014587402</v>
      </c>
      <c r="Q23" s="8">
        <f>'Proximal Validation (double)'!Q23</f>
        <v>-0.70544010400772095</v>
      </c>
      <c r="R23" s="8">
        <v>0.89327261267373825</v>
      </c>
      <c r="S23" s="8">
        <v>9.0695103134408359E-2</v>
      </c>
      <c r="T23" s="8">
        <v>4.199420736372061</v>
      </c>
      <c r="U23" s="8">
        <v>1.5707963267948966</v>
      </c>
      <c r="V23" s="8">
        <v>0.40104103813908182</v>
      </c>
      <c r="W23" s="8">
        <v>5.8711014247917498E-2</v>
      </c>
      <c r="X23" s="8">
        <v>2.9820318639251617</v>
      </c>
      <c r="Y23" s="8">
        <v>1.5707963267948966</v>
      </c>
      <c r="Z23" s="28">
        <v>1.9171095793166646E-4</v>
      </c>
      <c r="AA23" s="8">
        <f t="shared" si="0"/>
        <v>-6.7273873262617689E-3</v>
      </c>
      <c r="AB23" s="8">
        <f t="shared" si="1"/>
        <v>-9.304896865591647E-3</v>
      </c>
      <c r="AC23" s="8">
        <f t="shared" si="2"/>
        <v>0.27242073637206099</v>
      </c>
      <c r="AD23" s="8">
        <f t="shared" si="3"/>
        <v>0</v>
      </c>
      <c r="AE23" s="8">
        <f t="shared" si="4"/>
        <v>0.20104103813908181</v>
      </c>
      <c r="AF23" s="8">
        <f t="shared" si="5"/>
        <v>3.8711014247917494E-2</v>
      </c>
      <c r="AG23" s="8">
        <f t="shared" si="6"/>
        <v>-0.15996813607483817</v>
      </c>
      <c r="AH23" s="8">
        <f t="shared" si="7"/>
        <v>0</v>
      </c>
      <c r="AI23" s="22">
        <f t="shared" si="9"/>
        <v>0.10388421273267179</v>
      </c>
      <c r="AJ23" s="22">
        <f t="shared" si="9"/>
        <v>2.400795555675457E-2</v>
      </c>
      <c r="AK23" s="22">
        <f t="shared" si="9"/>
        <v>0.21619443622344958</v>
      </c>
      <c r="AL23" s="22">
        <f t="shared" si="10"/>
        <v>0.2</v>
      </c>
      <c r="AM23" s="31"/>
    </row>
    <row r="24" spans="1:39" x14ac:dyDescent="0.25">
      <c r="A24" s="10">
        <f>'Proximal Validation (double)'!A24</f>
        <v>0.2</v>
      </c>
      <c r="B24" s="11">
        <f>'Proximal Validation (double)'!B24</f>
        <v>0.12</v>
      </c>
      <c r="C24" s="10">
        <f>'Proximal Validation (double)'!C24</f>
        <v>3.927</v>
      </c>
      <c r="D24" s="10">
        <f>'Proximal Validation (double)'!D24</f>
        <v>1.5707963267948966</v>
      </c>
      <c r="E24" s="11">
        <f>'Proximal Validation (double)'!E24</f>
        <v>0.2</v>
      </c>
      <c r="F24" s="11">
        <f>'Proximal Validation (double)'!F24</f>
        <v>0.02</v>
      </c>
      <c r="G24" s="10">
        <f>'Proximal Validation (double)'!G24</f>
        <v>4.7119999999999997</v>
      </c>
      <c r="H24" s="10">
        <f>'Proximal Validation (double)'!H24</f>
        <v>1.5707963267948966</v>
      </c>
      <c r="I24" s="10">
        <f>'Proximal Validation (double)'!I24</f>
        <v>1.2</v>
      </c>
      <c r="J24" s="10">
        <f>'Proximal Validation (double)'!J24</f>
        <v>0</v>
      </c>
      <c r="K24" s="10">
        <f>'Proximal Validation (double)'!K24</f>
        <v>0</v>
      </c>
      <c r="L24" s="8">
        <f>'Proximal Validation (double)'!L24</f>
        <v>-9.4009120948612701E-4</v>
      </c>
      <c r="M24" s="8">
        <f>'Proximal Validation (double)'!M24</f>
        <v>4.6884305775165599E-2</v>
      </c>
      <c r="N24" s="8">
        <f>'Proximal Validation (double)'!N24</f>
        <v>-2.4323541671037702E-2</v>
      </c>
      <c r="O24" s="8">
        <f>'Proximal Validation (double)'!O24</f>
        <v>5.6157279759645497E-3</v>
      </c>
      <c r="P24" s="8">
        <f>'Proximal Validation (double)'!P24</f>
        <v>-0.11253473162651099</v>
      </c>
      <c r="Q24" s="8">
        <f>'Proximal Validation (double)'!Q24</f>
        <v>-0.29774409532547003</v>
      </c>
      <c r="R24" s="8">
        <v>0.40472239640762636</v>
      </c>
      <c r="S24" s="8">
        <v>0.12779610219581741</v>
      </c>
      <c r="T24" s="8">
        <v>1.7226835733848174</v>
      </c>
      <c r="U24" s="8">
        <v>1.5707963267948966</v>
      </c>
      <c r="V24" s="8">
        <v>0.69999222738888012</v>
      </c>
      <c r="W24" s="8">
        <v>9.6652762696543354E-2</v>
      </c>
      <c r="X24" s="8">
        <v>4.6389509887591176</v>
      </c>
      <c r="Y24" s="8">
        <v>1.5707963267948966</v>
      </c>
      <c r="Z24" s="28">
        <v>5.970415860616715E-5</v>
      </c>
      <c r="AA24" s="8">
        <f t="shared" si="0"/>
        <v>0.20472239640762635</v>
      </c>
      <c r="AB24" s="8">
        <f t="shared" si="1"/>
        <v>7.796102195817417E-3</v>
      </c>
      <c r="AC24" s="8">
        <f t="shared" si="2"/>
        <v>-2.2043164266151827</v>
      </c>
      <c r="AD24" s="8">
        <f t="shared" si="3"/>
        <v>0</v>
      </c>
      <c r="AE24" s="8">
        <f t="shared" si="4"/>
        <v>0.49999222738888011</v>
      </c>
      <c r="AF24" s="8">
        <f t="shared" si="5"/>
        <v>7.665276269654335E-2</v>
      </c>
      <c r="AG24" s="8">
        <f t="shared" si="6"/>
        <v>-7.3049011240882145E-2</v>
      </c>
      <c r="AH24" s="8">
        <f t="shared" si="7"/>
        <v>0</v>
      </c>
      <c r="AI24" s="22">
        <f t="shared" si="9"/>
        <v>0.35235731189825326</v>
      </c>
      <c r="AJ24" s="22">
        <f t="shared" si="9"/>
        <v>4.2224432446180384E-2</v>
      </c>
      <c r="AK24" s="22">
        <f t="shared" si="9"/>
        <v>1.1386827189280324</v>
      </c>
      <c r="AL24" s="22">
        <f t="shared" si="10"/>
        <v>0.2</v>
      </c>
      <c r="AM24" s="31"/>
    </row>
    <row r="25" spans="1:39" x14ac:dyDescent="0.25">
      <c r="A25" s="10">
        <f>'Proximal Validation (double)'!A25</f>
        <v>0.6</v>
      </c>
      <c r="B25" s="11">
        <f>'Proximal Validation (double)'!B25</f>
        <v>0.12</v>
      </c>
      <c r="C25" s="10">
        <f>'Proximal Validation (double)'!C25</f>
        <v>3.927</v>
      </c>
      <c r="D25" s="10">
        <f>'Proximal Validation (double)'!D25</f>
        <v>1.5707963267948966</v>
      </c>
      <c r="E25" s="11">
        <f>'Proximal Validation (double)'!E25</f>
        <v>0.5</v>
      </c>
      <c r="F25" s="11">
        <f>'Proximal Validation (double)'!F25</f>
        <v>0.08</v>
      </c>
      <c r="G25" s="10">
        <f>'Proximal Validation (double)'!G25</f>
        <v>4.7119999999999997</v>
      </c>
      <c r="H25" s="10">
        <f>'Proximal Validation (double)'!H25</f>
        <v>1.5707963267948966</v>
      </c>
      <c r="I25" s="10">
        <f>'Proximal Validation (double)'!I25</f>
        <v>0.2</v>
      </c>
      <c r="J25" s="10">
        <f>'Proximal Validation (double)'!J25</f>
        <v>0</v>
      </c>
      <c r="K25" s="10">
        <f>'Proximal Validation (double)'!K25</f>
        <v>0</v>
      </c>
      <c r="L25" s="8">
        <f>'Proximal Validation (double)'!L25</f>
        <v>3.5136193037033097E-4</v>
      </c>
      <c r="M25" s="8">
        <f>'Proximal Validation (double)'!M25</f>
        <v>0.18612760305404699</v>
      </c>
      <c r="N25" s="8">
        <f>'Proximal Validation (double)'!N25</f>
        <v>-8.7223671376705197E-2</v>
      </c>
      <c r="O25" s="8">
        <f>'Proximal Validation (double)'!O25</f>
        <v>-0.228773519396782</v>
      </c>
      <c r="P25" s="8">
        <f>'Proximal Validation (double)'!P25</f>
        <v>-0.39178490638732899</v>
      </c>
      <c r="Q25" s="8">
        <f>'Proximal Validation (double)'!Q25</f>
        <v>-0.93568027019500699</v>
      </c>
      <c r="R25" s="8">
        <v>0.1312203665413971</v>
      </c>
      <c r="S25" s="8">
        <v>0.15829390552850103</v>
      </c>
      <c r="T25" s="8">
        <v>3.2429475456483545</v>
      </c>
      <c r="U25" s="8">
        <v>1.5707963267948966</v>
      </c>
      <c r="V25" s="8">
        <v>0.98531849940610916</v>
      </c>
      <c r="W25" s="8">
        <v>9.3217225210183996E-2</v>
      </c>
      <c r="X25" s="8">
        <v>4.4306842863253904</v>
      </c>
      <c r="Y25" s="8">
        <v>1.5707963267948966</v>
      </c>
      <c r="Z25" s="28">
        <v>1.8738897908821599E-4</v>
      </c>
      <c r="AA25" s="8">
        <f t="shared" si="0"/>
        <v>-0.46877963345860285</v>
      </c>
      <c r="AB25" s="8">
        <f t="shared" si="1"/>
        <v>3.8293905528501038E-2</v>
      </c>
      <c r="AC25" s="8">
        <f t="shared" si="2"/>
        <v>-0.68405245435164552</v>
      </c>
      <c r="AD25" s="8">
        <f t="shared" si="3"/>
        <v>0</v>
      </c>
      <c r="AE25" s="8">
        <f t="shared" si="4"/>
        <v>0.48531849940610916</v>
      </c>
      <c r="AF25" s="8">
        <f t="shared" si="5"/>
        <v>1.3217225210183994E-2</v>
      </c>
      <c r="AG25" s="8">
        <f t="shared" si="6"/>
        <v>-0.28131571367460939</v>
      </c>
      <c r="AH25" s="8">
        <f t="shared" si="7"/>
        <v>0</v>
      </c>
      <c r="AI25" s="22">
        <f t="shared" si="9"/>
        <v>0.47704906643235601</v>
      </c>
      <c r="AJ25" s="22">
        <f t="shared" si="9"/>
        <v>2.5755565369342516E-2</v>
      </c>
      <c r="AK25" s="22">
        <f t="shared" si="9"/>
        <v>0.48268408401312746</v>
      </c>
      <c r="AL25" s="22">
        <f t="shared" si="10"/>
        <v>0.5</v>
      </c>
      <c r="AM25" s="31"/>
    </row>
    <row r="26" spans="1:39" x14ac:dyDescent="0.25">
      <c r="A26" s="10">
        <f>'Proximal Validation (double)'!A26</f>
        <v>0.7</v>
      </c>
      <c r="B26" s="11">
        <f>'Proximal Validation (double)'!B26</f>
        <v>0.16</v>
      </c>
      <c r="C26" s="10">
        <f>'Proximal Validation (double)'!C26</f>
        <v>3.927</v>
      </c>
      <c r="D26" s="10">
        <f>'Proximal Validation (double)'!D26</f>
        <v>1.5707963267948966</v>
      </c>
      <c r="E26" s="11">
        <f>'Proximal Validation (double)'!E26</f>
        <v>1</v>
      </c>
      <c r="F26" s="11">
        <f>'Proximal Validation (double)'!F26</f>
        <v>0.04</v>
      </c>
      <c r="G26" s="10">
        <f>'Proximal Validation (double)'!G26</f>
        <v>3.927</v>
      </c>
      <c r="H26" s="10">
        <f>'Proximal Validation (double)'!H26</f>
        <v>1.5707963267948966</v>
      </c>
      <c r="I26" s="10">
        <f>'Proximal Validation (double)'!I26</f>
        <v>1.2</v>
      </c>
      <c r="J26" s="10">
        <f>'Proximal Validation (double)'!J26</f>
        <v>0</v>
      </c>
      <c r="K26" s="10">
        <f>'Proximal Validation (double)'!K26</f>
        <v>0</v>
      </c>
      <c r="L26" s="8">
        <f>'Proximal Validation (double)'!L26</f>
        <v>-2.9902514070272398E-3</v>
      </c>
      <c r="M26" s="8">
        <f>'Proximal Validation (double)'!M26</f>
        <v>0.20048326253891</v>
      </c>
      <c r="N26" s="8">
        <f>'Proximal Validation (double)'!N26</f>
        <v>-0.21412828564643899</v>
      </c>
      <c r="O26" s="8">
        <f>'Proximal Validation (double)'!O26</f>
        <v>-0.35741558670997597</v>
      </c>
      <c r="P26" s="8">
        <f>'Proximal Validation (double)'!P26</f>
        <v>-1.1967084407806401</v>
      </c>
      <c r="Q26" s="8">
        <f>'Proximal Validation (double)'!Q26</f>
        <v>-1.0432312488555899</v>
      </c>
      <c r="R26" s="8">
        <v>0.94643020256718657</v>
      </c>
      <c r="S26" s="8">
        <v>9.4223379315314784E-2</v>
      </c>
      <c r="T26" s="8">
        <v>4.1978260547794095</v>
      </c>
      <c r="U26" s="8">
        <v>1.5707963267948966</v>
      </c>
      <c r="V26" s="8">
        <v>0.79929206509351469</v>
      </c>
      <c r="W26" s="8">
        <v>6.8498071929370699E-2</v>
      </c>
      <c r="X26" s="8">
        <v>3.459852997499858</v>
      </c>
      <c r="Y26" s="8">
        <v>1.5707963267948966</v>
      </c>
      <c r="Z26" s="28">
        <v>2.8292554245556094E-4</v>
      </c>
      <c r="AA26" s="8">
        <f t="shared" si="0"/>
        <v>0.24643020256718662</v>
      </c>
      <c r="AB26" s="8">
        <f t="shared" si="1"/>
        <v>-6.5776620684685219E-2</v>
      </c>
      <c r="AC26" s="8">
        <f t="shared" si="2"/>
        <v>0.27082605477940946</v>
      </c>
      <c r="AD26" s="8">
        <f t="shared" si="3"/>
        <v>0</v>
      </c>
      <c r="AE26" s="8">
        <f t="shared" si="4"/>
        <v>-0.20070793490648531</v>
      </c>
      <c r="AF26" s="8">
        <f t="shared" si="5"/>
        <v>2.8498071929370698E-2</v>
      </c>
      <c r="AG26" s="8">
        <f t="shared" si="6"/>
        <v>-0.46714700250014207</v>
      </c>
      <c r="AH26" s="8">
        <f t="shared" si="7"/>
        <v>0</v>
      </c>
      <c r="AI26" s="22">
        <f t="shared" si="9"/>
        <v>0.22356906873683596</v>
      </c>
      <c r="AJ26" s="22">
        <f t="shared" si="9"/>
        <v>4.7137346307027955E-2</v>
      </c>
      <c r="AK26" s="22">
        <f t="shared" si="9"/>
        <v>0.36898652863977577</v>
      </c>
      <c r="AL26" s="22">
        <f t="shared" si="10"/>
        <v>0.7</v>
      </c>
      <c r="AM26" s="31"/>
    </row>
    <row r="27" spans="1:39" x14ac:dyDescent="0.25">
      <c r="A27" s="10">
        <f>'Proximal Validation (double)'!A27</f>
        <v>0.1</v>
      </c>
      <c r="B27" s="11">
        <f>'Proximal Validation (double)'!B27</f>
        <v>0.18</v>
      </c>
      <c r="C27" s="10">
        <f>'Proximal Validation (double)'!C27</f>
        <v>3.927</v>
      </c>
      <c r="D27" s="10">
        <f>'Proximal Validation (double)'!D27</f>
        <v>1.5707963267948966</v>
      </c>
      <c r="E27" s="11">
        <f>'Proximal Validation (double)'!E27</f>
        <v>0.9</v>
      </c>
      <c r="F27" s="11">
        <f>'Proximal Validation (double)'!F27</f>
        <v>0.08</v>
      </c>
      <c r="G27" s="10">
        <f>'Proximal Validation (double)'!G27</f>
        <v>3.1419999999999999</v>
      </c>
      <c r="H27" s="10">
        <f>'Proximal Validation (double)'!H27</f>
        <v>1.5707963267948966</v>
      </c>
      <c r="I27" s="10">
        <f>'Proximal Validation (double)'!I27</f>
        <v>0.6</v>
      </c>
      <c r="J27" s="10">
        <f>'Proximal Validation (double)'!J27</f>
        <v>0</v>
      </c>
      <c r="K27" s="10">
        <f>'Proximal Validation (double)'!K27</f>
        <v>0</v>
      </c>
      <c r="L27" s="8">
        <f>'Proximal Validation (double)'!L27</f>
        <v>-2.0198281854391098E-3</v>
      </c>
      <c r="M27" s="8">
        <f>'Proximal Validation (double)'!M27</f>
        <v>2.0925674587488199E-2</v>
      </c>
      <c r="N27" s="8">
        <f>'Proximal Validation (double)'!N27</f>
        <v>-0.17995955049991599</v>
      </c>
      <c r="O27" s="8">
        <f>'Proximal Validation (double)'!O27</f>
        <v>-0.152651637792587</v>
      </c>
      <c r="P27" s="8">
        <f>'Proximal Validation (double)'!P27</f>
        <v>-0.97161656618118297</v>
      </c>
      <c r="Q27" s="8">
        <f>'Proximal Validation (double)'!Q27</f>
        <v>-4.6399652957916301E-2</v>
      </c>
      <c r="R27" s="8">
        <v>0.1180520156338441</v>
      </c>
      <c r="S27" s="8">
        <v>0.18611912295425281</v>
      </c>
      <c r="T27" s="8">
        <v>4.3550848919806464</v>
      </c>
      <c r="U27" s="8">
        <v>1.5707963267948966</v>
      </c>
      <c r="V27" s="8">
        <v>0.94512617087705464</v>
      </c>
      <c r="W27" s="8">
        <v>8.2006078627237064E-2</v>
      </c>
      <c r="X27" s="8">
        <v>3.0763617989806136</v>
      </c>
      <c r="Y27" s="8">
        <v>1.5707963267948966</v>
      </c>
      <c r="Z27" s="28">
        <v>6.8316845905121355E-5</v>
      </c>
      <c r="AA27" s="8">
        <f t="shared" si="0"/>
        <v>1.8052015633844093E-2</v>
      </c>
      <c r="AB27" s="8">
        <f t="shared" si="1"/>
        <v>6.1191229542528203E-3</v>
      </c>
      <c r="AC27" s="8">
        <f t="shared" si="2"/>
        <v>0.42808489198064636</v>
      </c>
      <c r="AD27" s="8">
        <f t="shared" si="3"/>
        <v>0</v>
      </c>
      <c r="AE27" s="8">
        <f t="shared" si="4"/>
        <v>4.5126170877054617E-2</v>
      </c>
      <c r="AF27" s="8">
        <f t="shared" si="5"/>
        <v>2.0060786272370623E-3</v>
      </c>
      <c r="AG27" s="8">
        <f t="shared" si="6"/>
        <v>-6.5638201019386333E-2</v>
      </c>
      <c r="AH27" s="8">
        <f t="shared" si="7"/>
        <v>0</v>
      </c>
      <c r="AI27" s="22">
        <f t="shared" si="9"/>
        <v>3.1589093255449355E-2</v>
      </c>
      <c r="AJ27" s="22">
        <f t="shared" si="9"/>
        <v>4.0626007907449413E-3</v>
      </c>
      <c r="AK27" s="22">
        <f t="shared" si="9"/>
        <v>0.24686154650001635</v>
      </c>
      <c r="AL27" s="22">
        <f t="shared" si="10"/>
        <v>0.1</v>
      </c>
      <c r="AM27" s="31"/>
    </row>
    <row r="28" spans="1:39" x14ac:dyDescent="0.25">
      <c r="A28" s="10">
        <f>'Proximal Validation (double)'!A28</f>
        <v>1</v>
      </c>
      <c r="B28" s="11">
        <f>'Proximal Validation (double)'!B28</f>
        <v>0.18</v>
      </c>
      <c r="C28" s="10">
        <f>'Proximal Validation (double)'!C28</f>
        <v>3.927</v>
      </c>
      <c r="D28" s="10">
        <f>'Proximal Validation (double)'!D28</f>
        <v>1.5707963267948966</v>
      </c>
      <c r="E28" s="11">
        <f>'Proximal Validation (double)'!E28</f>
        <v>0.1</v>
      </c>
      <c r="F28" s="11">
        <f>'Proximal Validation (double)'!F28</f>
        <v>0.08</v>
      </c>
      <c r="G28" s="10">
        <f>'Proximal Validation (double)'!G28</f>
        <v>4.7119999999999997</v>
      </c>
      <c r="H28" s="10">
        <f>'Proximal Validation (double)'!H28</f>
        <v>1.5707963267948966</v>
      </c>
      <c r="I28" s="10">
        <f>'Proximal Validation (double)'!I28</f>
        <v>1.4</v>
      </c>
      <c r="J28" s="10">
        <f>'Proximal Validation (double)'!J28</f>
        <v>0</v>
      </c>
      <c r="K28" s="10">
        <f>'Proximal Validation (double)'!K28</f>
        <v>0</v>
      </c>
      <c r="L28" s="8">
        <f>'Proximal Validation (double)'!L28</f>
        <v>-3.2074763439595699E-3</v>
      </c>
      <c r="M28" s="8">
        <f>'Proximal Validation (double)'!M28</f>
        <v>0.20627745985984799</v>
      </c>
      <c r="N28" s="8">
        <f>'Proximal Validation (double)'!N28</f>
        <v>-0.18315301835537001</v>
      </c>
      <c r="O28" s="8">
        <f>'Proximal Validation (double)'!O28</f>
        <v>-0.56037515401840199</v>
      </c>
      <c r="P28" s="8">
        <f>'Proximal Validation (double)'!P28</f>
        <v>-0.63611704111099199</v>
      </c>
      <c r="Q28" s="8">
        <f>'Proximal Validation (double)'!Q28</f>
        <v>-0.73725110292434703</v>
      </c>
      <c r="R28" s="8">
        <v>0.96636543792885998</v>
      </c>
      <c r="S28" s="8">
        <v>0.15747445901918902</v>
      </c>
      <c r="T28" s="8">
        <v>3.9012070567852311</v>
      </c>
      <c r="U28" s="8">
        <v>1.5707963267948966</v>
      </c>
      <c r="V28" s="8">
        <v>0.19059259393396913</v>
      </c>
      <c r="W28" s="8">
        <v>0.11412015003620984</v>
      </c>
      <c r="X28" s="8">
        <v>4.5247177280227282</v>
      </c>
      <c r="Y28" s="8">
        <v>1.5707963267948966</v>
      </c>
      <c r="Z28" s="28">
        <v>4.9248358445529768E-4</v>
      </c>
      <c r="AA28" s="8">
        <f t="shared" si="0"/>
        <v>-3.3634562071140017E-2</v>
      </c>
      <c r="AB28" s="8">
        <f t="shared" si="1"/>
        <v>-2.2525540980810971E-2</v>
      </c>
      <c r="AC28" s="8">
        <f t="shared" si="2"/>
        <v>-2.5792943214768993E-2</v>
      </c>
      <c r="AD28" s="8">
        <f t="shared" si="3"/>
        <v>0</v>
      </c>
      <c r="AE28" s="8">
        <f t="shared" si="4"/>
        <v>9.0592593933969123E-2</v>
      </c>
      <c r="AF28" s="8">
        <f t="shared" si="5"/>
        <v>3.4120150036209843E-2</v>
      </c>
      <c r="AG28" s="8">
        <f t="shared" si="6"/>
        <v>-0.18728227197727154</v>
      </c>
      <c r="AH28" s="8">
        <f t="shared" si="7"/>
        <v>0</v>
      </c>
      <c r="AI28" s="22">
        <f t="shared" si="9"/>
        <v>6.211357800255457E-2</v>
      </c>
      <c r="AJ28" s="22">
        <f t="shared" si="9"/>
        <v>2.8322845508510407E-2</v>
      </c>
      <c r="AK28" s="22">
        <f t="shared" si="9"/>
        <v>0.10653760759602027</v>
      </c>
      <c r="AL28" s="22">
        <f t="shared" si="10"/>
        <v>0.1</v>
      </c>
      <c r="AM28" s="31"/>
    </row>
    <row r="29" spans="1:39" x14ac:dyDescent="0.25">
      <c r="A29" s="10">
        <f>'Proximal Validation (double)'!A29</f>
        <v>0.7</v>
      </c>
      <c r="B29" s="11">
        <f>'Proximal Validation (double)'!B29</f>
        <v>0.2</v>
      </c>
      <c r="C29" s="10">
        <f>'Proximal Validation (double)'!C29</f>
        <v>3.927</v>
      </c>
      <c r="D29" s="10">
        <f>'Proximal Validation (double)'!D29</f>
        <v>1.5707963267948966</v>
      </c>
      <c r="E29" s="11">
        <f>'Proximal Validation (double)'!E29</f>
        <v>0.2</v>
      </c>
      <c r="F29" s="11">
        <f>'Proximal Validation (double)'!F29</f>
        <v>0.02</v>
      </c>
      <c r="G29" s="10">
        <f>'Proximal Validation (double)'!G29</f>
        <v>3.927</v>
      </c>
      <c r="H29" s="10">
        <f>'Proximal Validation (double)'!H29</f>
        <v>1.5707963267948966</v>
      </c>
      <c r="I29" s="10">
        <f>'Proximal Validation (double)'!I29</f>
        <v>0.4</v>
      </c>
      <c r="J29" s="10">
        <f>'Proximal Validation (double)'!J29</f>
        <v>0</v>
      </c>
      <c r="K29" s="10">
        <f>'Proximal Validation (double)'!K29</f>
        <v>0</v>
      </c>
      <c r="L29" s="8">
        <f>'Proximal Validation (double)'!L29</f>
        <v>-7.4698124080896399E-4</v>
      </c>
      <c r="M29" s="8">
        <f>'Proximal Validation (double)'!M29</f>
        <v>0.110706090927124</v>
      </c>
      <c r="N29" s="8">
        <f>'Proximal Validation (double)'!N29</f>
        <v>-0.128691270947456</v>
      </c>
      <c r="O29" s="8">
        <f>'Proximal Validation (double)'!O29</f>
        <v>-0.39982143044471702</v>
      </c>
      <c r="P29" s="8">
        <f>'Proximal Validation (double)'!P29</f>
        <v>-0.49842935800552401</v>
      </c>
      <c r="Q29" s="8">
        <f>'Proximal Validation (double)'!Q29</f>
        <v>-0.30814808607101402</v>
      </c>
      <c r="R29" s="8">
        <v>0.82088569466106076</v>
      </c>
      <c r="S29" s="8">
        <v>0.18958926508893734</v>
      </c>
      <c r="T29" s="8">
        <v>4.236844892118854</v>
      </c>
      <c r="U29" s="8">
        <v>1.5707963267948966</v>
      </c>
      <c r="V29" s="8">
        <v>0.38620710515098944</v>
      </c>
      <c r="W29" s="8">
        <v>0.12738496597316637</v>
      </c>
      <c r="X29" s="8">
        <v>2.1293661668648332</v>
      </c>
      <c r="Y29" s="8">
        <v>1.5707963267948966</v>
      </c>
      <c r="Z29" s="28">
        <v>2.3921382635316876E-4</v>
      </c>
      <c r="AA29" s="8">
        <f t="shared" si="0"/>
        <v>0.12088569466106081</v>
      </c>
      <c r="AB29" s="8">
        <f t="shared" si="1"/>
        <v>-1.0410734911062675E-2</v>
      </c>
      <c r="AC29" s="8">
        <f t="shared" si="2"/>
        <v>0.30984489211885391</v>
      </c>
      <c r="AD29" s="8">
        <f t="shared" si="3"/>
        <v>0</v>
      </c>
      <c r="AE29" s="8">
        <f t="shared" si="4"/>
        <v>0.18620710515098943</v>
      </c>
      <c r="AF29" s="8">
        <f t="shared" si="5"/>
        <v>0.10738496597316637</v>
      </c>
      <c r="AG29" s="8">
        <f t="shared" si="6"/>
        <v>-1.7976338331351669</v>
      </c>
      <c r="AH29" s="8">
        <f t="shared" si="7"/>
        <v>0</v>
      </c>
      <c r="AI29" s="22">
        <f t="shared" si="9"/>
        <v>0.15354639990602512</v>
      </c>
      <c r="AJ29" s="22">
        <f t="shared" si="9"/>
        <v>5.889785044211452E-2</v>
      </c>
      <c r="AK29" s="22">
        <f t="shared" si="9"/>
        <v>1.0537393626270104</v>
      </c>
      <c r="AL29" s="22">
        <f t="shared" si="10"/>
        <v>0.2</v>
      </c>
      <c r="AM29" s="31"/>
    </row>
    <row r="30" spans="1:39" x14ac:dyDescent="0.25">
      <c r="A30" s="10">
        <f>'Proximal Validation (double)'!A30</f>
        <v>1</v>
      </c>
      <c r="B30" s="11">
        <f>'Proximal Validation (double)'!B30</f>
        <v>0.2</v>
      </c>
      <c r="C30" s="10">
        <f>'Proximal Validation (double)'!C30</f>
        <v>3.927</v>
      </c>
      <c r="D30" s="10">
        <f>'Proximal Validation (double)'!D30</f>
        <v>1.5707963267948966</v>
      </c>
      <c r="E30" s="11">
        <f>'Proximal Validation (double)'!E30</f>
        <v>1</v>
      </c>
      <c r="F30" s="11">
        <f>'Proximal Validation (double)'!F30</f>
        <v>0.06</v>
      </c>
      <c r="G30" s="10">
        <f>'Proximal Validation (double)'!G30</f>
        <v>3.927</v>
      </c>
      <c r="H30" s="10">
        <f>'Proximal Validation (double)'!H30</f>
        <v>1.5707963267948966</v>
      </c>
      <c r="I30" s="10">
        <f>'Proximal Validation (double)'!I30</f>
        <v>0.2</v>
      </c>
      <c r="J30" s="10">
        <f>'Proximal Validation (double)'!J30</f>
        <v>0</v>
      </c>
      <c r="K30" s="10">
        <f>'Proximal Validation (double)'!K30</f>
        <v>0</v>
      </c>
      <c r="L30" s="8">
        <f>'Proximal Validation (double)'!L30</f>
        <v>-3.93409747630358E-3</v>
      </c>
      <c r="M30" s="8">
        <f>'Proximal Validation (double)'!M30</f>
        <v>0.26014894247055098</v>
      </c>
      <c r="N30" s="8">
        <f>'Proximal Validation (double)'!N30</f>
        <v>-0.247706294059753</v>
      </c>
      <c r="O30" s="8">
        <f>'Proximal Validation (double)'!O30</f>
        <v>-0.95730906724929798</v>
      </c>
      <c r="P30" s="8">
        <f>'Proximal Validation (double)'!P30</f>
        <v>-1.0179207324981701</v>
      </c>
      <c r="Q30" s="8">
        <f>'Proximal Validation (double)'!Q30</f>
        <v>-0.96642386913299605</v>
      </c>
      <c r="R30" s="8">
        <v>0.74026519120134227</v>
      </c>
      <c r="S30" s="8">
        <v>0.17100884828087609</v>
      </c>
      <c r="T30" s="8">
        <v>4.1318125794209077</v>
      </c>
      <c r="U30" s="8">
        <v>1.5707963267948966</v>
      </c>
      <c r="V30" s="8">
        <v>0.99385910068747663</v>
      </c>
      <c r="W30" s="8">
        <v>8.926133113238828E-2</v>
      </c>
      <c r="X30" s="8">
        <v>3.761638331458625</v>
      </c>
      <c r="Y30" s="8">
        <v>1.5707963267948966</v>
      </c>
      <c r="Z30" s="28">
        <v>8.5402582716256968E-4</v>
      </c>
      <c r="AA30" s="8">
        <f t="shared" si="0"/>
        <v>-0.25973480879865773</v>
      </c>
      <c r="AB30" s="8">
        <f t="shared" si="1"/>
        <v>-2.899115171912392E-2</v>
      </c>
      <c r="AC30" s="8">
        <f t="shared" si="2"/>
        <v>0.20481257942090769</v>
      </c>
      <c r="AD30" s="8">
        <f t="shared" si="3"/>
        <v>0</v>
      </c>
      <c r="AE30" s="8">
        <f t="shared" si="4"/>
        <v>-6.1408993125233735E-3</v>
      </c>
      <c r="AF30" s="8">
        <f t="shared" si="5"/>
        <v>2.9261331132388282E-2</v>
      </c>
      <c r="AG30" s="8">
        <f t="shared" si="6"/>
        <v>-0.16536166854137502</v>
      </c>
      <c r="AH30" s="8">
        <f t="shared" si="7"/>
        <v>0</v>
      </c>
      <c r="AI30" s="22">
        <f t="shared" si="9"/>
        <v>0.13293785405559055</v>
      </c>
      <c r="AJ30" s="22">
        <f t="shared" si="9"/>
        <v>2.9126241425756101E-2</v>
      </c>
      <c r="AK30" s="22">
        <f t="shared" si="9"/>
        <v>0.18508712398114135</v>
      </c>
      <c r="AL30" s="22">
        <f t="shared" si="10"/>
        <v>1</v>
      </c>
      <c r="AM30" s="31"/>
    </row>
    <row r="31" spans="1:39" x14ac:dyDescent="0.25">
      <c r="A31" s="10">
        <f>'Proximal Validation (double)'!A31</f>
        <v>0.1</v>
      </c>
      <c r="B31" s="11">
        <f>'Proximal Validation (double)'!B31</f>
        <v>0.1</v>
      </c>
      <c r="C31" s="10">
        <f>'Proximal Validation (double)'!C31</f>
        <v>4.7119999999999997</v>
      </c>
      <c r="D31" s="10">
        <f>'Proximal Validation (double)'!D31</f>
        <v>1.5707963267948966</v>
      </c>
      <c r="E31" s="11">
        <f>'Proximal Validation (double)'!E31</f>
        <v>0.2</v>
      </c>
      <c r="F31" s="11">
        <f>'Proximal Validation (double)'!F31</f>
        <v>0.02</v>
      </c>
      <c r="G31" s="10">
        <f>'Proximal Validation (double)'!G31</f>
        <v>3.1419999999999999</v>
      </c>
      <c r="H31" s="10">
        <f>'Proximal Validation (double)'!H31</f>
        <v>1.5707963267948966</v>
      </c>
      <c r="I31" s="10">
        <f>'Proximal Validation (double)'!I31</f>
        <v>0</v>
      </c>
      <c r="J31" s="10">
        <f>'Proximal Validation (double)'!J31</f>
        <v>0</v>
      </c>
      <c r="K31" s="10">
        <f>'Proximal Validation (double)'!K31</f>
        <v>0</v>
      </c>
      <c r="L31" s="8">
        <f>'Proximal Validation (double)'!L31</f>
        <v>-2.4949701037257899E-4</v>
      </c>
      <c r="M31" s="8">
        <f>'Proximal Validation (double)'!M31</f>
        <v>1.1188399977982001E-2</v>
      </c>
      <c r="N31" s="8">
        <f>'Proximal Validation (double)'!N31</f>
        <v>-2.3344287648797001E-2</v>
      </c>
      <c r="O31" s="8">
        <f>'Proximal Validation (double)'!O31</f>
        <v>-4.5918696559965602E-3</v>
      </c>
      <c r="P31" s="8">
        <f>'Proximal Validation (double)'!P31</f>
        <v>-0.20488628745078999</v>
      </c>
      <c r="Q31" s="8">
        <f>'Proximal Validation (double)'!Q31</f>
        <v>-6.8177700042724595E-2</v>
      </c>
      <c r="R31" s="8">
        <v>0.56040860600914422</v>
      </c>
      <c r="S31" s="8">
        <v>0.17075135287341314</v>
      </c>
      <c r="T31" s="8">
        <v>0.16779471346293667</v>
      </c>
      <c r="U31" s="8">
        <v>1.5707963267948966</v>
      </c>
      <c r="V31" s="8">
        <v>0.77407820909897995</v>
      </c>
      <c r="W31" s="8">
        <v>0.13165119830039176</v>
      </c>
      <c r="X31" s="8">
        <v>3.3521979705792253</v>
      </c>
      <c r="Y31" s="8">
        <v>1.5707963267948966</v>
      </c>
      <c r="Z31" s="28">
        <v>3.009875225354936E-6</v>
      </c>
      <c r="AA31" s="8">
        <f t="shared" si="0"/>
        <v>0.46040860600914424</v>
      </c>
      <c r="AB31" s="8">
        <f t="shared" si="1"/>
        <v>7.0751352873413137E-2</v>
      </c>
      <c r="AC31" s="8">
        <f t="shared" si="2"/>
        <v>-4.5442052865370632</v>
      </c>
      <c r="AD31" s="8">
        <f t="shared" si="3"/>
        <v>0</v>
      </c>
      <c r="AE31" s="8">
        <f t="shared" si="4"/>
        <v>0.57407820909898</v>
      </c>
      <c r="AF31" s="8">
        <f t="shared" si="5"/>
        <v>0.11165119830039176</v>
      </c>
      <c r="AG31" s="8">
        <f t="shared" si="6"/>
        <v>0.2101979705792254</v>
      </c>
      <c r="AH31" s="8">
        <f t="shared" si="7"/>
        <v>0</v>
      </c>
      <c r="AI31" s="22">
        <f t="shared" si="9"/>
        <v>0.51724340755406217</v>
      </c>
      <c r="AJ31" s="22">
        <f t="shared" si="9"/>
        <v>9.1201275586902442E-2</v>
      </c>
      <c r="AK31" s="22">
        <f t="shared" si="9"/>
        <v>2.3772016285581445</v>
      </c>
      <c r="AL31" s="22">
        <f t="shared" si="10"/>
        <v>0.1</v>
      </c>
      <c r="AM31" s="31"/>
    </row>
    <row r="32" spans="1:39" x14ac:dyDescent="0.25">
      <c r="A32" s="10">
        <f>'Proximal Validation (double)'!A32</f>
        <v>0.3</v>
      </c>
      <c r="B32" s="11">
        <f>'Proximal Validation (double)'!B32</f>
        <v>0.1</v>
      </c>
      <c r="C32" s="10">
        <f>'Proximal Validation (double)'!C32</f>
        <v>4.7119999999999997</v>
      </c>
      <c r="D32" s="10">
        <f>'Proximal Validation (double)'!D32</f>
        <v>1.5707963267948966</v>
      </c>
      <c r="E32" s="11">
        <f>'Proximal Validation (double)'!E32</f>
        <v>0.8</v>
      </c>
      <c r="F32" s="11">
        <f>'Proximal Validation (double)'!F32</f>
        <v>0.04</v>
      </c>
      <c r="G32" s="10">
        <f>'Proximal Validation (double)'!G32</f>
        <v>3.927</v>
      </c>
      <c r="H32" s="10">
        <f>'Proximal Validation (double)'!H32</f>
        <v>1.5707963267948966</v>
      </c>
      <c r="I32" s="10">
        <f>'Proximal Validation (double)'!I32</f>
        <v>0.4</v>
      </c>
      <c r="J32" s="10">
        <f>'Proximal Validation (double)'!J32</f>
        <v>0</v>
      </c>
      <c r="K32" s="10">
        <f>'Proximal Validation (double)'!K32</f>
        <v>0</v>
      </c>
      <c r="L32" s="8">
        <f>'Proximal Validation (double)'!L32</f>
        <v>-1.44378747791052E-4</v>
      </c>
      <c r="M32" s="8">
        <f>'Proximal Validation (double)'!M32</f>
        <v>0.122855387628078</v>
      </c>
      <c r="N32" s="8">
        <f>'Proximal Validation (double)'!N32</f>
        <v>-6.9621779024600997E-2</v>
      </c>
      <c r="O32" s="8">
        <f>'Proximal Validation (double)'!O32</f>
        <v>-7.5552083551883698E-2</v>
      </c>
      <c r="P32" s="8">
        <f>'Proximal Validation (double)'!P32</f>
        <v>-0.53028601408004805</v>
      </c>
      <c r="Q32" s="8">
        <f>'Proximal Validation (double)'!Q32</f>
        <v>-0.79531830549240101</v>
      </c>
      <c r="R32" s="8">
        <v>0.28359370595899541</v>
      </c>
      <c r="S32" s="8">
        <v>0.10950987896254398</v>
      </c>
      <c r="T32" s="8">
        <v>4.7610949716749067</v>
      </c>
      <c r="U32" s="8">
        <v>1.5707963267948966</v>
      </c>
      <c r="V32" s="8">
        <v>0.7495343837156061</v>
      </c>
      <c r="W32" s="8">
        <v>4.5343843929134785E-2</v>
      </c>
      <c r="X32" s="8">
        <v>3.8986305419233918</v>
      </c>
      <c r="Y32" s="8">
        <v>1.5707963267948966</v>
      </c>
      <c r="Z32" s="28">
        <v>1.1491936198528037E-5</v>
      </c>
      <c r="AA32" s="8">
        <f t="shared" si="0"/>
        <v>-1.6406294041004577E-2</v>
      </c>
      <c r="AB32" s="8">
        <f t="shared" si="1"/>
        <v>9.5098789625439745E-3</v>
      </c>
      <c r="AC32" s="8">
        <f t="shared" si="2"/>
        <v>4.9094971674906951E-2</v>
      </c>
      <c r="AD32" s="8">
        <f t="shared" si="3"/>
        <v>0</v>
      </c>
      <c r="AE32" s="8">
        <f t="shared" si="4"/>
        <v>-5.0465616284393944E-2</v>
      </c>
      <c r="AF32" s="8">
        <f t="shared" si="5"/>
        <v>5.3438439291347839E-3</v>
      </c>
      <c r="AG32" s="8">
        <f t="shared" si="6"/>
        <v>-2.8369458076608289E-2</v>
      </c>
      <c r="AH32" s="8">
        <f t="shared" si="7"/>
        <v>0</v>
      </c>
      <c r="AI32" s="22">
        <f t="shared" si="9"/>
        <v>3.343595516269926E-2</v>
      </c>
      <c r="AJ32" s="22">
        <f t="shared" si="9"/>
        <v>7.4268614458393792E-3</v>
      </c>
      <c r="AK32" s="22">
        <f t="shared" si="9"/>
        <v>3.873221487575762E-2</v>
      </c>
      <c r="AL32" s="22">
        <f t="shared" si="10"/>
        <v>0.3</v>
      </c>
      <c r="AM32" s="31"/>
    </row>
    <row r="33" spans="1:39" x14ac:dyDescent="0.25">
      <c r="A33" s="10">
        <f>'Proximal Validation (double)'!A33</f>
        <v>1</v>
      </c>
      <c r="B33" s="11">
        <f>'Proximal Validation (double)'!B33</f>
        <v>0.1</v>
      </c>
      <c r="C33" s="10">
        <f>'Proximal Validation (double)'!C33</f>
        <v>4.7119999999999997</v>
      </c>
      <c r="D33" s="10">
        <f>'Proximal Validation (double)'!D33</f>
        <v>1.5707963267948966</v>
      </c>
      <c r="E33" s="11">
        <f>'Proximal Validation (double)'!E33</f>
        <v>0.1</v>
      </c>
      <c r="F33" s="11">
        <f>'Proximal Validation (double)'!F33</f>
        <v>0.04</v>
      </c>
      <c r="G33" s="10">
        <f>'Proximal Validation (double)'!G33</f>
        <v>4.7119999999999997</v>
      </c>
      <c r="H33" s="10">
        <f>'Proximal Validation (double)'!H33</f>
        <v>1.5707963267948966</v>
      </c>
      <c r="I33" s="10">
        <f>'Proximal Validation (double)'!I33</f>
        <v>0</v>
      </c>
      <c r="J33" s="10">
        <f>'Proximal Validation (double)'!J33</f>
        <v>0</v>
      </c>
      <c r="K33" s="10">
        <f>'Proximal Validation (double)'!K33</f>
        <v>0</v>
      </c>
      <c r="L33" s="8">
        <f>'Proximal Validation (double)'!L33</f>
        <v>2.13603163138032E-3</v>
      </c>
      <c r="M33" s="8">
        <f>'Proximal Validation (double)'!M33</f>
        <v>0.22294643521308899</v>
      </c>
      <c r="N33" s="8">
        <f>'Proximal Validation (double)'!N33</f>
        <v>-3.3264472149312501E-3</v>
      </c>
      <c r="O33" s="8">
        <f>'Proximal Validation (double)'!O33</f>
        <v>-0.25940474867820701</v>
      </c>
      <c r="P33" s="8">
        <f>'Proximal Validation (double)'!P33</f>
        <v>-2.7135983109474199E-2</v>
      </c>
      <c r="Q33" s="8">
        <f>'Proximal Validation (double)'!Q33</f>
        <v>-1.17376625537872</v>
      </c>
      <c r="R33" s="8">
        <v>0.8084319843315434</v>
      </c>
      <c r="S33" s="8">
        <v>9.0266338018957532E-2</v>
      </c>
      <c r="T33" s="8">
        <v>5.1644748569637375</v>
      </c>
      <c r="U33" s="8">
        <v>1.5707963267948966</v>
      </c>
      <c r="V33" s="8">
        <v>0.60956465335928001</v>
      </c>
      <c r="W33" s="8">
        <v>8.5938588470246588E-2</v>
      </c>
      <c r="X33" s="8">
        <v>4.0385775439702689</v>
      </c>
      <c r="Y33" s="8">
        <v>1.5707963267948966</v>
      </c>
      <c r="Z33" s="28">
        <v>1.3543287338538311E-4</v>
      </c>
      <c r="AA33" s="8">
        <f t="shared" si="0"/>
        <v>-0.1915680156684566</v>
      </c>
      <c r="AB33" s="8">
        <f t="shared" si="1"/>
        <v>-9.733661981042474E-3</v>
      </c>
      <c r="AC33" s="8">
        <f t="shared" si="2"/>
        <v>0.45247485696373779</v>
      </c>
      <c r="AD33" s="8">
        <f t="shared" si="3"/>
        <v>0</v>
      </c>
      <c r="AE33" s="8">
        <f t="shared" si="4"/>
        <v>0.50956465335928003</v>
      </c>
      <c r="AF33" s="8">
        <f t="shared" si="5"/>
        <v>4.5938588470246587E-2</v>
      </c>
      <c r="AG33" s="8">
        <f t="shared" si="6"/>
        <v>-0.67342245602973083</v>
      </c>
      <c r="AH33" s="8">
        <f t="shared" si="7"/>
        <v>0</v>
      </c>
      <c r="AI33" s="22">
        <f t="shared" si="9"/>
        <v>0.35056633451386832</v>
      </c>
      <c r="AJ33" s="22">
        <f t="shared" si="9"/>
        <v>2.7836125225644531E-2</v>
      </c>
      <c r="AK33" s="22">
        <f t="shared" si="9"/>
        <v>0.56294865649673431</v>
      </c>
      <c r="AL33" s="22">
        <f t="shared" si="10"/>
        <v>0.1</v>
      </c>
      <c r="AM33" s="31"/>
    </row>
    <row r="34" spans="1:39" x14ac:dyDescent="0.25">
      <c r="A34" s="10">
        <f>'Proximal Validation (double)'!A34</f>
        <v>0.1</v>
      </c>
      <c r="B34" s="11">
        <f>'Proximal Validation (double)'!B34</f>
        <v>0.1</v>
      </c>
      <c r="C34" s="10">
        <f>'Proximal Validation (double)'!C34</f>
        <v>4.7119999999999997</v>
      </c>
      <c r="D34" s="10">
        <f>'Proximal Validation (double)'!D34</f>
        <v>1.5707963267948966</v>
      </c>
      <c r="E34" s="11">
        <f>'Proximal Validation (double)'!E34</f>
        <v>1</v>
      </c>
      <c r="F34" s="11">
        <f>'Proximal Validation (double)'!F34</f>
        <v>0.08</v>
      </c>
      <c r="G34" s="10">
        <f>'Proximal Validation (double)'!G34</f>
        <v>4.7119999999999997</v>
      </c>
      <c r="H34" s="10">
        <f>'Proximal Validation (double)'!H34</f>
        <v>1.5707963267948966</v>
      </c>
      <c r="I34" s="10">
        <f>'Proximal Validation (double)'!I34</f>
        <v>1.4</v>
      </c>
      <c r="J34" s="10">
        <f>'Proximal Validation (double)'!J34</f>
        <v>0</v>
      </c>
      <c r="K34" s="10">
        <f>'Proximal Validation (double)'!K34</f>
        <v>0</v>
      </c>
      <c r="L34" s="8">
        <f>'Proximal Validation (double)'!L34</f>
        <v>-2.9623867012560398E-3</v>
      </c>
      <c r="M34" s="8">
        <f>'Proximal Validation (double)'!M34</f>
        <v>0.167345225811005</v>
      </c>
      <c r="N34" s="8">
        <f>'Proximal Validation (double)'!N34</f>
        <v>-2.4530226364731799E-2</v>
      </c>
      <c r="O34" s="8">
        <f>'Proximal Validation (double)'!O34</f>
        <v>-0.11945986747741701</v>
      </c>
      <c r="P34" s="8">
        <f>'Proximal Validation (double)'!P34</f>
        <v>-0.14860638976097101</v>
      </c>
      <c r="Q34" s="8">
        <f>'Proximal Validation (double)'!Q34</f>
        <v>-0.949754118919373</v>
      </c>
      <c r="R34" s="8">
        <v>0.10228116328178095</v>
      </c>
      <c r="S34" s="8">
        <v>9.2790831578187238E-2</v>
      </c>
      <c r="T34" s="8">
        <v>6.5466725567772888E-2</v>
      </c>
      <c r="U34" s="8">
        <v>1.5707963267948966</v>
      </c>
      <c r="V34" s="8">
        <v>0.99637213959987714</v>
      </c>
      <c r="W34" s="8">
        <v>8.2274110672823059E-2</v>
      </c>
      <c r="X34" s="8">
        <v>4.4582734096985748</v>
      </c>
      <c r="Y34" s="8">
        <v>1.5707963267948966</v>
      </c>
      <c r="Z34" s="28">
        <v>1.4297418931389621E-5</v>
      </c>
      <c r="AA34" s="8">
        <f t="shared" si="0"/>
        <v>2.2811632817809485E-3</v>
      </c>
      <c r="AB34" s="8">
        <f t="shared" si="1"/>
        <v>-7.2091684218127672E-3</v>
      </c>
      <c r="AC34" s="8">
        <f t="shared" si="2"/>
        <v>-4.646533274432227</v>
      </c>
      <c r="AD34" s="8">
        <f t="shared" si="3"/>
        <v>0</v>
      </c>
      <c r="AE34" s="8">
        <f t="shared" si="4"/>
        <v>-3.627860400122862E-3</v>
      </c>
      <c r="AF34" s="8">
        <f t="shared" si="5"/>
        <v>2.274110672823057E-3</v>
      </c>
      <c r="AG34" s="8">
        <f t="shared" si="6"/>
        <v>-0.25372659030142497</v>
      </c>
      <c r="AH34" s="8">
        <f t="shared" si="7"/>
        <v>0</v>
      </c>
      <c r="AI34" s="22">
        <f t="shared" si="9"/>
        <v>2.9545118409519053E-3</v>
      </c>
      <c r="AJ34" s="22">
        <f t="shared" si="9"/>
        <v>4.7416395473179121E-3</v>
      </c>
      <c r="AK34" s="22">
        <f t="shared" si="9"/>
        <v>2.450129932366826</v>
      </c>
      <c r="AL34" s="22">
        <f t="shared" si="10"/>
        <v>0.1</v>
      </c>
      <c r="AM34" s="31"/>
    </row>
    <row r="35" spans="1:39" x14ac:dyDescent="0.25">
      <c r="A35" s="10">
        <f>'Proximal Validation (double)'!A35</f>
        <v>0.9</v>
      </c>
      <c r="B35" s="11">
        <f>'Proximal Validation (double)'!B35</f>
        <v>0.12</v>
      </c>
      <c r="C35" s="10">
        <f>'Proximal Validation (double)'!C35</f>
        <v>4.7119999999999997</v>
      </c>
      <c r="D35" s="10">
        <f>'Proximal Validation (double)'!D35</f>
        <v>1.5707963267948966</v>
      </c>
      <c r="E35" s="11">
        <f>'Proximal Validation (double)'!E35</f>
        <v>0.9</v>
      </c>
      <c r="F35" s="11">
        <f>'Proximal Validation (double)'!F35</f>
        <v>0.02</v>
      </c>
      <c r="G35" s="10">
        <f>'Proximal Validation (double)'!G35</f>
        <v>3.1419999999999999</v>
      </c>
      <c r="H35" s="10">
        <f>'Proximal Validation (double)'!H35</f>
        <v>1.5707963267948966</v>
      </c>
      <c r="I35" s="10">
        <f>'Proximal Validation (double)'!I35</f>
        <v>0</v>
      </c>
      <c r="J35" s="10">
        <f>'Proximal Validation (double)'!J35</f>
        <v>0</v>
      </c>
      <c r="K35" s="10">
        <f>'Proximal Validation (double)'!K35</f>
        <v>0</v>
      </c>
      <c r="L35" s="8">
        <f>'Proximal Validation (double)'!L35</f>
        <v>-7.8027322888374296E-4</v>
      </c>
      <c r="M35" s="8">
        <f>'Proximal Validation (double)'!M35</f>
        <v>0.20929773151874501</v>
      </c>
      <c r="N35" s="8">
        <f>'Proximal Validation (double)'!N35</f>
        <v>-9.5626659691333799E-2</v>
      </c>
      <c r="O35" s="8">
        <f>'Proximal Validation (double)'!O35</f>
        <v>-0.33798754215240501</v>
      </c>
      <c r="P35" s="8">
        <f>'Proximal Validation (double)'!P35</f>
        <v>-0.8543701171875</v>
      </c>
      <c r="Q35" s="8">
        <f>'Proximal Validation (double)'!Q35</f>
        <v>-0.97470813989639304</v>
      </c>
      <c r="R35" s="8">
        <v>0.78927880198832046</v>
      </c>
      <c r="S35" s="8">
        <v>0.14691501282030409</v>
      </c>
      <c r="T35" s="8">
        <v>4.6946445285848926</v>
      </c>
      <c r="U35" s="8">
        <v>1.5707963267948966</v>
      </c>
      <c r="V35" s="8">
        <v>0.87998905710815356</v>
      </c>
      <c r="W35" s="8">
        <v>2.0000000270333877E-2</v>
      </c>
      <c r="X35" s="8">
        <v>3.4291089528944503</v>
      </c>
      <c r="Y35" s="8">
        <v>1.5707963267948966</v>
      </c>
      <c r="Z35" s="28">
        <v>7.2325827227707083E-6</v>
      </c>
      <c r="AA35" s="8">
        <f t="shared" si="0"/>
        <v>-0.11072119801167957</v>
      </c>
      <c r="AB35" s="8">
        <f t="shared" si="1"/>
        <v>2.6915012820304091E-2</v>
      </c>
      <c r="AC35" s="8">
        <f t="shared" si="2"/>
        <v>-1.7355471415107182E-2</v>
      </c>
      <c r="AD35" s="8">
        <f t="shared" si="3"/>
        <v>0</v>
      </c>
      <c r="AE35" s="8">
        <f t="shared" si="4"/>
        <v>-2.0010942891846462E-2</v>
      </c>
      <c r="AF35" s="8">
        <f t="shared" si="5"/>
        <v>2.7033387681174581E-10</v>
      </c>
      <c r="AG35" s="8">
        <f t="shared" si="6"/>
        <v>0.28710895289445038</v>
      </c>
      <c r="AH35" s="8">
        <f t="shared" si="7"/>
        <v>0</v>
      </c>
      <c r="AI35" s="22">
        <f t="shared" si="9"/>
        <v>6.5366070451763014E-2</v>
      </c>
      <c r="AJ35" s="22">
        <f t="shared" si="9"/>
        <v>1.3457506545318984E-2</v>
      </c>
      <c r="AK35" s="22">
        <f t="shared" si="9"/>
        <v>0.15223221215477878</v>
      </c>
      <c r="AL35" s="22">
        <f t="shared" si="10"/>
        <v>0.9</v>
      </c>
      <c r="AM35" s="31"/>
    </row>
    <row r="36" spans="1:39" x14ac:dyDescent="0.25">
      <c r="A36" s="10">
        <f>'Proximal Validation (double)'!A36</f>
        <v>1</v>
      </c>
      <c r="B36" s="11">
        <f>'Proximal Validation (double)'!B36</f>
        <v>0.12</v>
      </c>
      <c r="C36" s="10">
        <f>'Proximal Validation (double)'!C36</f>
        <v>4.7119999999999997</v>
      </c>
      <c r="D36" s="10">
        <f>'Proximal Validation (double)'!D36</f>
        <v>1.5707963267948966</v>
      </c>
      <c r="E36" s="11">
        <f>'Proximal Validation (double)'!E36</f>
        <v>0.8</v>
      </c>
      <c r="F36" s="11">
        <f>'Proximal Validation (double)'!F36</f>
        <v>0.08</v>
      </c>
      <c r="G36" s="10">
        <f>'Proximal Validation (double)'!G36</f>
        <v>3.1419999999999999</v>
      </c>
      <c r="H36" s="10">
        <f>'Proximal Validation (double)'!H36</f>
        <v>1.5707963267948966</v>
      </c>
      <c r="I36" s="10">
        <f>'Proximal Validation (double)'!I36</f>
        <v>1.2</v>
      </c>
      <c r="J36" s="10">
        <f>'Proximal Validation (double)'!J36</f>
        <v>0</v>
      </c>
      <c r="K36" s="10">
        <f>'Proximal Validation (double)'!K36</f>
        <v>0</v>
      </c>
      <c r="L36" s="8">
        <f>'Proximal Validation (double)'!L36</f>
        <v>-5.3540230728685899E-3</v>
      </c>
      <c r="M36" s="8">
        <f>'Proximal Validation (double)'!M36</f>
        <v>0.23577138781547499</v>
      </c>
      <c r="N36" s="8">
        <f>'Proximal Validation (double)'!N36</f>
        <v>-0.12704449892044101</v>
      </c>
      <c r="O36" s="8">
        <f>'Proximal Validation (double)'!O36</f>
        <v>-0.53383183479309104</v>
      </c>
      <c r="P36" s="8">
        <f>'Proximal Validation (double)'!P36</f>
        <v>-0.71507501602172896</v>
      </c>
      <c r="Q36" s="8">
        <f>'Proximal Validation (double)'!Q36</f>
        <v>-1.0263080596923799</v>
      </c>
      <c r="R36" s="8">
        <v>0.66147628726344143</v>
      </c>
      <c r="S36" s="8">
        <v>0.17957820720761805</v>
      </c>
      <c r="T36" s="8">
        <v>4.4950146195541807</v>
      </c>
      <c r="U36" s="8">
        <v>1.5707963267948966</v>
      </c>
      <c r="V36" s="8">
        <v>0.78211702552458129</v>
      </c>
      <c r="W36" s="8">
        <v>6.5122336300144898E-2</v>
      </c>
      <c r="X36" s="8">
        <v>3.8237686809363152</v>
      </c>
      <c r="Y36" s="8">
        <v>1.5707963267948966</v>
      </c>
      <c r="Z36" s="28">
        <v>8.3957531529884278E-6</v>
      </c>
      <c r="AA36" s="8">
        <f t="shared" si="0"/>
        <v>-0.33852371273655857</v>
      </c>
      <c r="AB36" s="8">
        <f t="shared" si="1"/>
        <v>5.9578207207618056E-2</v>
      </c>
      <c r="AC36" s="8">
        <f t="shared" si="2"/>
        <v>-0.21698538044581905</v>
      </c>
      <c r="AD36" s="8">
        <f t="shared" si="3"/>
        <v>0</v>
      </c>
      <c r="AE36" s="8">
        <f t="shared" si="4"/>
        <v>-1.7882974475418756E-2</v>
      </c>
      <c r="AF36" s="8">
        <f t="shared" si="5"/>
        <v>-1.4877663699855104E-2</v>
      </c>
      <c r="AG36" s="8">
        <f t="shared" si="6"/>
        <v>0.68176868093631526</v>
      </c>
      <c r="AH36" s="8">
        <f t="shared" si="7"/>
        <v>0</v>
      </c>
      <c r="AI36" s="22">
        <f t="shared" si="9"/>
        <v>0.17820334360598866</v>
      </c>
      <c r="AJ36" s="22">
        <f t="shared" si="9"/>
        <v>3.722793545373658E-2</v>
      </c>
      <c r="AK36" s="22">
        <f t="shared" si="9"/>
        <v>0.44937703069106716</v>
      </c>
      <c r="AL36" s="22">
        <f t="shared" si="10"/>
        <v>0.8</v>
      </c>
      <c r="AM36" s="31"/>
    </row>
    <row r="37" spans="1:39" x14ac:dyDescent="0.25">
      <c r="A37" s="10">
        <f>'Proximal Validation (double)'!A37</f>
        <v>0.3</v>
      </c>
      <c r="B37" s="11">
        <f>'Proximal Validation (double)'!B37</f>
        <v>0.18</v>
      </c>
      <c r="C37" s="10">
        <f>'Proximal Validation (double)'!C37</f>
        <v>4.7119999999999997</v>
      </c>
      <c r="D37" s="10">
        <f>'Proximal Validation (double)'!D37</f>
        <v>1.5707963267948966</v>
      </c>
      <c r="E37" s="11">
        <f>'Proximal Validation (double)'!E37</f>
        <v>0.3</v>
      </c>
      <c r="F37" s="11">
        <f>'Proximal Validation (double)'!F37</f>
        <v>0.06</v>
      </c>
      <c r="G37" s="10">
        <f>'Proximal Validation (double)'!G37</f>
        <v>3.1419999999999999</v>
      </c>
      <c r="H37" s="10">
        <f>'Proximal Validation (double)'!H37</f>
        <v>1.5707963267948966</v>
      </c>
      <c r="I37" s="10">
        <f>'Proximal Validation (double)'!I37</f>
        <v>1.4</v>
      </c>
      <c r="J37" s="10">
        <f>'Proximal Validation (double)'!J37</f>
        <v>0</v>
      </c>
      <c r="K37" s="10">
        <f>'Proximal Validation (double)'!K37</f>
        <v>0</v>
      </c>
      <c r="L37" s="8">
        <f>'Proximal Validation (double)'!L37</f>
        <v>-1.7680961173027799E-3</v>
      </c>
      <c r="M37" s="8">
        <f>'Proximal Validation (double)'!M37</f>
        <v>6.0080211609602002E-2</v>
      </c>
      <c r="N37" s="8">
        <f>'Proximal Validation (double)'!N37</f>
        <v>-4.9739588052034399E-2</v>
      </c>
      <c r="O37" s="8">
        <f>'Proximal Validation (double)'!O37</f>
        <v>-3.2015025615692097E-2</v>
      </c>
      <c r="P37" s="8">
        <f>'Proximal Validation (double)'!P37</f>
        <v>-0.322286486625671</v>
      </c>
      <c r="Q37" s="8">
        <f>'Proximal Validation (double)'!Q37</f>
        <v>-0.222265124320984</v>
      </c>
      <c r="R37" s="8">
        <v>0.36582448860867611</v>
      </c>
      <c r="S37" s="8">
        <v>0.18256423495244259</v>
      </c>
      <c r="T37" s="8">
        <v>5.6029386303625888</v>
      </c>
      <c r="U37" s="8">
        <v>1.5707963267948966</v>
      </c>
      <c r="V37" s="8">
        <v>0.60574200198861816</v>
      </c>
      <c r="W37" s="8">
        <v>0.12105936033525691</v>
      </c>
      <c r="X37" s="8">
        <v>3.131959087097421</v>
      </c>
      <c r="Y37" s="8">
        <v>1.5707963267948966</v>
      </c>
      <c r="Z37" s="28">
        <v>2.5269669503468954E-6</v>
      </c>
      <c r="AA37" s="8">
        <f t="shared" si="0"/>
        <v>6.5824488608676124E-2</v>
      </c>
      <c r="AB37" s="8">
        <f t="shared" si="1"/>
        <v>2.5642349524425956E-3</v>
      </c>
      <c r="AC37" s="8">
        <f t="shared" si="2"/>
        <v>0.89093863036258902</v>
      </c>
      <c r="AD37" s="8">
        <f t="shared" si="3"/>
        <v>0</v>
      </c>
      <c r="AE37" s="8">
        <f t="shared" si="4"/>
        <v>0.30574200198861817</v>
      </c>
      <c r="AF37" s="8">
        <f t="shared" si="5"/>
        <v>6.1059360335256913E-2</v>
      </c>
      <c r="AG37" s="8">
        <f t="shared" si="6"/>
        <v>-1.0040912902578913E-2</v>
      </c>
      <c r="AH37" s="8">
        <f t="shared" si="7"/>
        <v>0</v>
      </c>
      <c r="AI37" s="22">
        <f t="shared" si="9"/>
        <v>0.18578324529864715</v>
      </c>
      <c r="AJ37" s="22">
        <f t="shared" si="9"/>
        <v>3.1811797643849754E-2</v>
      </c>
      <c r="AK37" s="22">
        <f t="shared" si="9"/>
        <v>0.45048977163258397</v>
      </c>
      <c r="AL37" s="22">
        <f t="shared" si="10"/>
        <v>0.3</v>
      </c>
      <c r="AM37" s="31"/>
    </row>
    <row r="38" spans="1:39" x14ac:dyDescent="0.25">
      <c r="A38" s="10">
        <f>'Proximal Validation (double)'!A38</f>
        <v>0.9</v>
      </c>
      <c r="B38" s="11">
        <f>'Proximal Validation (double)'!B38</f>
        <v>0.18</v>
      </c>
      <c r="C38" s="10">
        <f>'Proximal Validation (double)'!C38</f>
        <v>4.7119999999999997</v>
      </c>
      <c r="D38" s="10">
        <f>'Proximal Validation (double)'!D38</f>
        <v>1.5707963267948966</v>
      </c>
      <c r="E38" s="11">
        <f>'Proximal Validation (double)'!E38</f>
        <v>0.2</v>
      </c>
      <c r="F38" s="11">
        <f>'Proximal Validation (double)'!F38</f>
        <v>0.08</v>
      </c>
      <c r="G38" s="10">
        <f>'Proximal Validation (double)'!G38</f>
        <v>3.1419999999999999</v>
      </c>
      <c r="H38" s="10">
        <f>'Proximal Validation (double)'!H38</f>
        <v>1.5707963267948966</v>
      </c>
      <c r="I38" s="10">
        <f>'Proximal Validation (double)'!I38</f>
        <v>0.2</v>
      </c>
      <c r="J38" s="10">
        <f>'Proximal Validation (double)'!J38</f>
        <v>0</v>
      </c>
      <c r="K38" s="10">
        <f>'Proximal Validation (double)'!K38</f>
        <v>0</v>
      </c>
      <c r="L38" s="8">
        <f>'Proximal Validation (double)'!L38</f>
        <v>-7.3416158556938198E-5</v>
      </c>
      <c r="M38" s="8">
        <f>'Proximal Validation (double)'!M38</f>
        <v>0.209005877375603</v>
      </c>
      <c r="N38" s="8">
        <f>'Proximal Validation (double)'!N38</f>
        <v>-3.9002325385808903E-2</v>
      </c>
      <c r="O38" s="8">
        <f>'Proximal Validation (double)'!O38</f>
        <v>-0.50677508115768399</v>
      </c>
      <c r="P38" s="8">
        <f>'Proximal Validation (double)'!P38</f>
        <v>-0.22871214151382399</v>
      </c>
      <c r="Q38" s="8">
        <f>'Proximal Validation (double)'!Q38</f>
        <v>-0.63768112659454301</v>
      </c>
      <c r="R38" s="8">
        <v>0.98209898426075026</v>
      </c>
      <c r="S38" s="8">
        <v>0.16426135597957317</v>
      </c>
      <c r="T38" s="8">
        <v>4.6511234462859896</v>
      </c>
      <c r="U38" s="8">
        <v>1.5707963267948966</v>
      </c>
      <c r="V38" s="8">
        <v>0.25419713223046536</v>
      </c>
      <c r="W38" s="8">
        <v>4.7785858689620132E-2</v>
      </c>
      <c r="X38" s="8">
        <v>2.362926226914829</v>
      </c>
      <c r="Y38" s="8">
        <v>1.5707963267948966</v>
      </c>
      <c r="Z38" s="28">
        <v>2.1181080631482715E-5</v>
      </c>
      <c r="AA38" s="8">
        <f t="shared" si="0"/>
        <v>8.2098984260750241E-2</v>
      </c>
      <c r="AB38" s="8">
        <f t="shared" si="1"/>
        <v>-1.5738644020426823E-2</v>
      </c>
      <c r="AC38" s="8">
        <f t="shared" si="2"/>
        <v>-6.0876553714010129E-2</v>
      </c>
      <c r="AD38" s="8">
        <f t="shared" si="3"/>
        <v>0</v>
      </c>
      <c r="AE38" s="8">
        <f t="shared" si="4"/>
        <v>5.419713223046535E-2</v>
      </c>
      <c r="AF38" s="8">
        <f t="shared" si="5"/>
        <v>-3.2214141310379869E-2</v>
      </c>
      <c r="AG38" s="8">
        <f t="shared" si="6"/>
        <v>-0.7790737730851709</v>
      </c>
      <c r="AH38" s="8">
        <f t="shared" si="7"/>
        <v>0</v>
      </c>
      <c r="AI38" s="22">
        <f t="shared" si="9"/>
        <v>6.8148058245607795E-2</v>
      </c>
      <c r="AJ38" s="22">
        <f t="shared" si="9"/>
        <v>2.3976392665403346E-2</v>
      </c>
      <c r="AK38" s="22">
        <f t="shared" si="9"/>
        <v>0.41997516339959051</v>
      </c>
      <c r="AL38" s="22">
        <f t="shared" si="10"/>
        <v>0.2</v>
      </c>
      <c r="AM38" s="31"/>
    </row>
    <row r="39" spans="1:39" x14ac:dyDescent="0.25">
      <c r="A39" s="10">
        <f>'Proximal Validation (double)'!A39</f>
        <v>0.1</v>
      </c>
      <c r="B39" s="11">
        <f>'Proximal Validation (double)'!B39</f>
        <v>0.18</v>
      </c>
      <c r="C39" s="10">
        <f>'Proximal Validation (double)'!C39</f>
        <v>4.7119999999999997</v>
      </c>
      <c r="D39" s="10">
        <f>'Proximal Validation (double)'!D39</f>
        <v>1.5707963267948966</v>
      </c>
      <c r="E39" s="11">
        <f>'Proximal Validation (double)'!E39</f>
        <v>1</v>
      </c>
      <c r="F39" s="11">
        <f>'Proximal Validation (double)'!F39</f>
        <v>0.02</v>
      </c>
      <c r="G39" s="10">
        <f>'Proximal Validation (double)'!G39</f>
        <v>4.7119999999999997</v>
      </c>
      <c r="H39" s="10">
        <f>'Proximal Validation (double)'!H39</f>
        <v>1.5707963267948966</v>
      </c>
      <c r="I39" s="10">
        <f>'Proximal Validation (double)'!I39</f>
        <v>0</v>
      </c>
      <c r="J39" s="10">
        <f>'Proximal Validation (double)'!J39</f>
        <v>0</v>
      </c>
      <c r="K39" s="10">
        <f>'Proximal Validation (double)'!K39</f>
        <v>0</v>
      </c>
      <c r="L39" s="8">
        <f>'Proximal Validation (double)'!L39</f>
        <v>1.8433155491948101E-4</v>
      </c>
      <c r="M39" s="8">
        <f>'Proximal Validation (double)'!M39</f>
        <v>0.11752788722515101</v>
      </c>
      <c r="N39" s="8">
        <f>'Proximal Validation (double)'!N39</f>
        <v>1.77300837822258E-3</v>
      </c>
      <c r="O39" s="8">
        <f>'Proximal Validation (double)'!O39</f>
        <v>-3.8502156734466601E-2</v>
      </c>
      <c r="P39" s="8">
        <f>'Proximal Validation (double)'!P39</f>
        <v>7.6181143522262599E-3</v>
      </c>
      <c r="Q39" s="8">
        <f>'Proximal Validation (double)'!Q39</f>
        <v>-0.99801015853881803</v>
      </c>
      <c r="R39" s="8">
        <v>0.3011398082866123</v>
      </c>
      <c r="S39" s="8">
        <v>4.2592371209285926E-2</v>
      </c>
      <c r="T39" s="8">
        <v>5.414586912836727</v>
      </c>
      <c r="U39" s="8">
        <v>1.5707963267948966</v>
      </c>
      <c r="V39" s="8">
        <v>0.79019873927433038</v>
      </c>
      <c r="W39" s="8">
        <v>3.6423226502853616E-2</v>
      </c>
      <c r="X39" s="8">
        <v>4.4736206063772883</v>
      </c>
      <c r="Y39" s="8">
        <v>1.5707963267948966</v>
      </c>
      <c r="Z39" s="28">
        <v>1.2380835853345606E-4</v>
      </c>
      <c r="AA39" s="8">
        <f t="shared" si="0"/>
        <v>0.20113980828661229</v>
      </c>
      <c r="AB39" s="8">
        <f t="shared" si="1"/>
        <v>-0.13740762879071405</v>
      </c>
      <c r="AC39" s="8">
        <f t="shared" si="2"/>
        <v>0.70258691283672725</v>
      </c>
      <c r="AD39" s="8">
        <f t="shared" si="3"/>
        <v>0</v>
      </c>
      <c r="AE39" s="8">
        <f t="shared" si="4"/>
        <v>-0.20980126072566962</v>
      </c>
      <c r="AF39" s="8">
        <f t="shared" si="5"/>
        <v>1.6423226502853615E-2</v>
      </c>
      <c r="AG39" s="8">
        <f t="shared" si="6"/>
        <v>-0.23837939362271143</v>
      </c>
      <c r="AH39" s="8">
        <f t="shared" si="7"/>
        <v>0</v>
      </c>
      <c r="AI39" s="22">
        <f t="shared" si="9"/>
        <v>0.20547053450614094</v>
      </c>
      <c r="AJ39" s="22">
        <f t="shared" si="9"/>
        <v>7.6915427646783829E-2</v>
      </c>
      <c r="AK39" s="22">
        <f t="shared" si="9"/>
        <v>0.47048315322971934</v>
      </c>
      <c r="AL39" s="22">
        <f t="shared" si="10"/>
        <v>0.1</v>
      </c>
      <c r="AM39" s="31"/>
    </row>
    <row r="40" spans="1:39" x14ac:dyDescent="0.25">
      <c r="A40" s="10">
        <f>'Proximal Validation (double)'!A40</f>
        <v>0.8</v>
      </c>
      <c r="B40" s="11">
        <f>'Proximal Validation (double)'!B40</f>
        <v>0.18</v>
      </c>
      <c r="C40" s="10">
        <f>'Proximal Validation (double)'!C40</f>
        <v>4.7119999999999997</v>
      </c>
      <c r="D40" s="10">
        <f>'Proximal Validation (double)'!D40</f>
        <v>1.5707963267948966</v>
      </c>
      <c r="E40" s="11">
        <f>'Proximal Validation (double)'!E40</f>
        <v>0.6</v>
      </c>
      <c r="F40" s="11">
        <f>'Proximal Validation (double)'!F40</f>
        <v>0.06</v>
      </c>
      <c r="G40" s="10">
        <f>'Proximal Validation (double)'!G40</f>
        <v>4.7119999999999997</v>
      </c>
      <c r="H40" s="10">
        <f>'Proximal Validation (double)'!H40</f>
        <v>1.5707963267948966</v>
      </c>
      <c r="I40" s="10">
        <f>'Proximal Validation (double)'!I40</f>
        <v>1</v>
      </c>
      <c r="J40" s="10">
        <f>'Proximal Validation (double)'!J40</f>
        <v>0</v>
      </c>
      <c r="K40" s="10">
        <f>'Proximal Validation (double)'!K40</f>
        <v>0</v>
      </c>
      <c r="L40" s="8">
        <f>'Proximal Validation (double)'!L40</f>
        <v>-5.2668377757072397E-3</v>
      </c>
      <c r="M40" s="8">
        <f>'Proximal Validation (double)'!M40</f>
        <v>0.27689665555954002</v>
      </c>
      <c r="N40" s="8">
        <f>'Proximal Validation (double)'!N40</f>
        <v>-1.6046434640884399E-2</v>
      </c>
      <c r="O40" s="8">
        <f>'Proximal Validation (double)'!O40</f>
        <v>-0.47105222940444902</v>
      </c>
      <c r="P40" s="8">
        <f>'Proximal Validation (double)'!P40</f>
        <v>-0.10896006226539599</v>
      </c>
      <c r="Q40" s="8">
        <f>'Proximal Validation (double)'!Q40</f>
        <v>-1.1885303258895901</v>
      </c>
      <c r="R40" s="8">
        <v>0.4839816900333751</v>
      </c>
      <c r="S40" s="8">
        <v>0.17666059483430274</v>
      </c>
      <c r="T40" s="8">
        <v>4.7413794854631117</v>
      </c>
      <c r="U40" s="8">
        <v>1.5707963267948966</v>
      </c>
      <c r="V40" s="8">
        <v>0.80809641877490279</v>
      </c>
      <c r="W40" s="8">
        <v>7.9154903256885012E-2</v>
      </c>
      <c r="X40" s="8">
        <v>4.5634499497670618</v>
      </c>
      <c r="Y40" s="8">
        <v>1.5707963267948966</v>
      </c>
      <c r="Z40" s="28">
        <v>5.5185796009601766E-4</v>
      </c>
      <c r="AA40" s="8">
        <f t="shared" si="0"/>
        <v>-0.31601830996662494</v>
      </c>
      <c r="AB40" s="8">
        <f t="shared" si="1"/>
        <v>-3.3394051656972512E-3</v>
      </c>
      <c r="AC40" s="8">
        <f t="shared" si="2"/>
        <v>2.9379485463111976E-2</v>
      </c>
      <c r="AD40" s="8">
        <f t="shared" si="3"/>
        <v>0</v>
      </c>
      <c r="AE40" s="8">
        <f t="shared" si="4"/>
        <v>0.20809641877490281</v>
      </c>
      <c r="AF40" s="8">
        <f t="shared" si="5"/>
        <v>1.9154903256885014E-2</v>
      </c>
      <c r="AG40" s="8">
        <f t="shared" si="6"/>
        <v>-0.14855005023293799</v>
      </c>
      <c r="AH40" s="8">
        <f t="shared" si="7"/>
        <v>0</v>
      </c>
      <c r="AI40" s="22">
        <f t="shared" si="9"/>
        <v>0.26205736437076388</v>
      </c>
      <c r="AJ40" s="22">
        <f t="shared" si="9"/>
        <v>1.1247154211291133E-2</v>
      </c>
      <c r="AK40" s="22">
        <f t="shared" si="9"/>
        <v>8.8964767848024984E-2</v>
      </c>
      <c r="AL40" s="22">
        <f t="shared" si="10"/>
        <v>0.6</v>
      </c>
      <c r="AM40" s="31"/>
    </row>
    <row r="41" spans="1:39" x14ac:dyDescent="0.25">
      <c r="A41" s="10">
        <f>'Proximal Validation (double)'!A41</f>
        <v>1</v>
      </c>
      <c r="B41" s="11">
        <f>'Proximal Validation (double)'!B41</f>
        <v>0.2</v>
      </c>
      <c r="C41" s="10">
        <f>'Proximal Validation (double)'!C41</f>
        <v>4.7119999999999997</v>
      </c>
      <c r="D41" s="10">
        <f>'Proximal Validation (double)'!D41</f>
        <v>1.5707963267948966</v>
      </c>
      <c r="E41" s="11">
        <f>'Proximal Validation (double)'!E41</f>
        <v>0.8</v>
      </c>
      <c r="F41" s="11">
        <f>'Proximal Validation (double)'!F41</f>
        <v>0.02</v>
      </c>
      <c r="G41" s="10">
        <f>'Proximal Validation (double)'!G41</f>
        <v>3.1419999999999999</v>
      </c>
      <c r="H41" s="10">
        <f>'Proximal Validation (double)'!H41</f>
        <v>1.5707963267948966</v>
      </c>
      <c r="I41" s="10">
        <f>'Proximal Validation (double)'!I41</f>
        <v>1.4</v>
      </c>
      <c r="J41" s="10">
        <f>'Proximal Validation (double)'!J41</f>
        <v>0</v>
      </c>
      <c r="K41" s="10">
        <f>'Proximal Validation (double)'!K41</f>
        <v>0</v>
      </c>
      <c r="L41" s="8">
        <f>'Proximal Validation (double)'!L41</f>
        <v>-1.2570786289870701E-2</v>
      </c>
      <c r="M41" s="8">
        <f>'Proximal Validation (double)'!M41</f>
        <v>0.239984765648842</v>
      </c>
      <c r="N41" s="8">
        <f>'Proximal Validation (double)'!N41</f>
        <v>-9.4180338084697696E-2</v>
      </c>
      <c r="O41" s="8">
        <f>'Proximal Validation (double)'!O41</f>
        <v>-0.68777251243591297</v>
      </c>
      <c r="P41" s="8">
        <f>'Proximal Validation (double)'!P41</f>
        <v>-0.81574249267578103</v>
      </c>
      <c r="Q41" s="8">
        <f>'Proximal Validation (double)'!Q41</f>
        <v>-0.66350710391998302</v>
      </c>
      <c r="R41" s="8">
        <v>0.96188983517955307</v>
      </c>
      <c r="S41" s="8">
        <v>0.19999834544835707</v>
      </c>
      <c r="T41" s="8">
        <v>4.8131944682229122</v>
      </c>
      <c r="U41" s="8">
        <v>1.5707963267948966</v>
      </c>
      <c r="V41" s="8">
        <v>0.88410801453069909</v>
      </c>
      <c r="W41" s="8">
        <v>4.6815505691112869E-2</v>
      </c>
      <c r="X41" s="8">
        <v>3.1452615959535462</v>
      </c>
      <c r="Y41" s="8">
        <v>1.5707963267948966</v>
      </c>
      <c r="Z41" s="28">
        <v>2.6586356638821772E-5</v>
      </c>
      <c r="AA41" s="8">
        <f t="shared" si="0"/>
        <v>-3.8110164820446935E-2</v>
      </c>
      <c r="AB41" s="8">
        <f t="shared" si="1"/>
        <v>-1.6545516429433693E-6</v>
      </c>
      <c r="AC41" s="8">
        <f t="shared" si="2"/>
        <v>0.10119446822291245</v>
      </c>
      <c r="AD41" s="8">
        <f t="shared" si="3"/>
        <v>0</v>
      </c>
      <c r="AE41" s="8">
        <f t="shared" si="4"/>
        <v>8.4108014530699049E-2</v>
      </c>
      <c r="AF41" s="8">
        <f t="shared" si="5"/>
        <v>2.6815505691112868E-2</v>
      </c>
      <c r="AG41" s="8">
        <f t="shared" si="6"/>
        <v>3.261595953546248E-3</v>
      </c>
      <c r="AH41" s="8">
        <f t="shared" si="7"/>
        <v>0</v>
      </c>
      <c r="AI41" s="22">
        <f t="shared" si="9"/>
        <v>6.1109089675572992E-2</v>
      </c>
      <c r="AJ41" s="22">
        <f t="shared" si="9"/>
        <v>1.3408580121377906E-2</v>
      </c>
      <c r="AK41" s="22">
        <f t="shared" si="9"/>
        <v>5.2228032088229348E-2</v>
      </c>
      <c r="AL41" s="22">
        <f t="shared" si="10"/>
        <v>0.8</v>
      </c>
      <c r="AM41" s="31"/>
    </row>
    <row r="42" spans="1:39" x14ac:dyDescent="0.25">
      <c r="A42" s="10">
        <f>'Proximal Validation (double)'!A42</f>
        <v>0.2</v>
      </c>
      <c r="B42" s="13">
        <f>'Proximal Validation (double)'!B42</f>
        <v>0.2</v>
      </c>
      <c r="C42" s="14">
        <f>'Proximal Validation (double)'!C42</f>
        <v>4.7119999999999997</v>
      </c>
      <c r="D42" s="14">
        <f>'Proximal Validation (double)'!D42</f>
        <v>1.5707963267948966</v>
      </c>
      <c r="E42" s="13">
        <f>'Proximal Validation (double)'!E42</f>
        <v>0.1</v>
      </c>
      <c r="F42" s="13">
        <f>'Proximal Validation (double)'!F42</f>
        <v>0.08</v>
      </c>
      <c r="G42" s="14">
        <f>'Proximal Validation (double)'!G42</f>
        <v>3.927</v>
      </c>
      <c r="H42" s="14">
        <f>'Proximal Validation (double)'!H42</f>
        <v>1.5707963267948966</v>
      </c>
      <c r="I42" s="14">
        <f>'Proximal Validation (double)'!I42</f>
        <v>0</v>
      </c>
      <c r="J42" s="14">
        <f>'Proximal Validation (double)'!J42</f>
        <v>0</v>
      </c>
      <c r="K42" s="14">
        <f>'Proximal Validation (double)'!K42</f>
        <v>0</v>
      </c>
      <c r="L42" s="15">
        <f>'Proximal Validation (double)'!L42</f>
        <v>2.25764350034297E-4</v>
      </c>
      <c r="M42" s="15">
        <f>'Proximal Validation (double)'!M42</f>
        <v>5.42946308851242E-2</v>
      </c>
      <c r="N42" s="15">
        <f>'Proximal Validation (double)'!N42</f>
        <v>-1.43192345276475E-2</v>
      </c>
      <c r="O42" s="15">
        <f>'Proximal Validation (double)'!O42</f>
        <v>-3.8537099957466098E-2</v>
      </c>
      <c r="P42" s="15">
        <f>'Proximal Validation (double)'!P42</f>
        <v>-8.5683420300483704E-2</v>
      </c>
      <c r="Q42" s="15">
        <f>'Proximal Validation (double)'!Q42</f>
        <v>-0.207838654518127</v>
      </c>
      <c r="R42" s="15">
        <v>0.66375696523409089</v>
      </c>
      <c r="S42" s="15">
        <v>0.10305129040654638</v>
      </c>
      <c r="T42" s="15">
        <v>4.6446017005947038</v>
      </c>
      <c r="U42" s="15">
        <v>1.5707963267948966</v>
      </c>
      <c r="V42" s="15">
        <v>0.45374075104432027</v>
      </c>
      <c r="W42" s="15">
        <v>6.5374901711565958E-2</v>
      </c>
      <c r="X42" s="15">
        <v>1.6615156882531208</v>
      </c>
      <c r="Y42" s="15">
        <v>1.5707963267948966</v>
      </c>
      <c r="Z42" s="29">
        <v>1.2728067508459567E-5</v>
      </c>
      <c r="AA42" s="15">
        <f t="shared" si="0"/>
        <v>0.46375696523409088</v>
      </c>
      <c r="AB42" s="15">
        <f t="shared" si="1"/>
        <v>-9.6948709593453627E-2</v>
      </c>
      <c r="AC42" s="15">
        <f t="shared" si="2"/>
        <v>-6.7398299405295958E-2</v>
      </c>
      <c r="AD42" s="15">
        <f t="shared" si="3"/>
        <v>0</v>
      </c>
      <c r="AE42" s="15">
        <f t="shared" si="4"/>
        <v>0.35374075104432023</v>
      </c>
      <c r="AF42" s="15">
        <f t="shared" si="5"/>
        <v>-1.4625098288434044E-2</v>
      </c>
      <c r="AG42" s="15">
        <f t="shared" si="6"/>
        <v>-2.2654843117468793</v>
      </c>
      <c r="AH42" s="15">
        <f t="shared" si="7"/>
        <v>0</v>
      </c>
      <c r="AI42" s="22">
        <f t="shared" si="9"/>
        <v>0.40874885813920558</v>
      </c>
      <c r="AJ42" s="22">
        <f t="shared" si="9"/>
        <v>5.5786903940943836E-2</v>
      </c>
      <c r="AK42" s="22">
        <f t="shared" si="9"/>
        <v>1.1664413055760876</v>
      </c>
      <c r="AL42" s="22">
        <f t="shared" si="10"/>
        <v>0.1</v>
      </c>
      <c r="AM42" s="31"/>
    </row>
    <row r="43" spans="1:39" ht="15.75" x14ac:dyDescent="0.25">
      <c r="A43" s="12"/>
      <c r="B43" s="16"/>
      <c r="C43" s="17"/>
      <c r="D43" s="17"/>
      <c r="E43" s="16"/>
      <c r="F43" s="16"/>
      <c r="G43" s="17"/>
      <c r="H43" s="17"/>
      <c r="I43" s="17"/>
      <c r="J43" s="17"/>
      <c r="K43" s="17"/>
      <c r="L43" s="18"/>
      <c r="M43" s="18"/>
      <c r="N43" s="18"/>
      <c r="O43" s="18"/>
      <c r="P43" s="18"/>
      <c r="Q43" s="18"/>
      <c r="R43" s="17"/>
      <c r="S43" s="17"/>
      <c r="T43" s="17"/>
      <c r="U43" s="17"/>
      <c r="V43" s="17"/>
      <c r="W43" s="17"/>
      <c r="X43" s="19"/>
      <c r="Y43" s="19"/>
      <c r="Z43" s="19"/>
    </row>
    <row r="44" spans="1:39" ht="15.75" x14ac:dyDescent="0.25">
      <c r="A44" s="12"/>
      <c r="B44" s="16"/>
      <c r="C44" s="17"/>
      <c r="D44" s="17"/>
      <c r="E44" s="16"/>
      <c r="F44" s="16"/>
      <c r="G44" s="17"/>
      <c r="H44" s="17"/>
      <c r="I44" s="17"/>
      <c r="J44" s="17"/>
      <c r="K44" s="17"/>
      <c r="L44" s="18"/>
      <c r="M44" s="18"/>
      <c r="N44" s="18"/>
      <c r="O44" s="18"/>
      <c r="P44" s="18"/>
      <c r="Q44" s="18"/>
      <c r="R44" s="17"/>
      <c r="S44" s="17"/>
      <c r="T44" s="17"/>
      <c r="U44" s="17"/>
      <c r="V44" s="17"/>
      <c r="W44" s="17"/>
      <c r="X44" s="19"/>
      <c r="Y44" s="19"/>
      <c r="Z44" s="19"/>
    </row>
    <row r="45" spans="1:39" ht="15.75" x14ac:dyDescent="0.25">
      <c r="A45" s="12"/>
      <c r="B45" s="16"/>
      <c r="C45" s="17"/>
      <c r="D45" s="17"/>
      <c r="E45" s="16"/>
      <c r="F45" s="16"/>
      <c r="G45" s="17"/>
      <c r="H45" s="17"/>
      <c r="I45" s="17"/>
      <c r="J45" s="17"/>
      <c r="K45" s="17"/>
      <c r="L45" s="18"/>
      <c r="M45" s="18"/>
      <c r="N45" s="18"/>
      <c r="O45" s="18"/>
      <c r="P45" s="18"/>
      <c r="Q45" s="18"/>
      <c r="R45" s="17"/>
      <c r="S45" s="17"/>
      <c r="T45" s="17"/>
      <c r="U45" s="17"/>
      <c r="V45" s="17"/>
      <c r="W45" s="17"/>
      <c r="X45" s="19"/>
      <c r="Y45" s="19"/>
      <c r="Z45" s="19"/>
    </row>
    <row r="46" spans="1:39" ht="15.75" x14ac:dyDescent="0.25">
      <c r="A46" s="12"/>
      <c r="B46" s="16"/>
      <c r="C46" s="17"/>
      <c r="D46" s="17"/>
      <c r="E46" s="16"/>
      <c r="F46" s="16"/>
      <c r="G46" s="17"/>
      <c r="H46" s="17"/>
      <c r="I46" s="17"/>
      <c r="J46" s="17"/>
      <c r="K46" s="17"/>
      <c r="L46" s="18"/>
      <c r="M46" s="18"/>
      <c r="N46" s="18"/>
      <c r="O46" s="18"/>
      <c r="P46" s="18"/>
      <c r="Q46" s="18"/>
      <c r="R46" s="17"/>
      <c r="S46" s="17"/>
      <c r="T46" s="17"/>
      <c r="U46" s="17"/>
      <c r="V46" s="17"/>
      <c r="W46" s="17"/>
      <c r="X46" s="19"/>
      <c r="Y46" s="19"/>
      <c r="Z46" s="19"/>
    </row>
    <row r="47" spans="1:39" ht="15.75" x14ac:dyDescent="0.25">
      <c r="A47" s="12"/>
      <c r="B47" s="16"/>
      <c r="C47" s="17"/>
      <c r="D47" s="17"/>
      <c r="E47" s="16"/>
      <c r="F47" s="16"/>
      <c r="G47" s="17"/>
      <c r="H47" s="17"/>
      <c r="I47" s="17"/>
      <c r="J47" s="17"/>
      <c r="K47" s="17"/>
      <c r="L47" s="18"/>
      <c r="M47" s="18"/>
      <c r="N47" s="18"/>
      <c r="O47" s="18"/>
      <c r="P47" s="18"/>
      <c r="Q47" s="18"/>
      <c r="R47" s="17"/>
      <c r="S47" s="17"/>
      <c r="T47" s="17"/>
      <c r="U47" s="17"/>
      <c r="V47" s="17"/>
      <c r="W47" s="17"/>
      <c r="X47" s="19"/>
      <c r="Y47" s="19"/>
      <c r="Z47" s="19"/>
    </row>
    <row r="48" spans="1:39" ht="15.75" x14ac:dyDescent="0.25">
      <c r="A48" s="12"/>
      <c r="B48" s="16"/>
      <c r="C48" s="17"/>
      <c r="D48" s="17"/>
      <c r="E48" s="16"/>
      <c r="F48" s="16"/>
      <c r="G48" s="17"/>
      <c r="H48" s="17"/>
      <c r="I48" s="17"/>
      <c r="J48" s="17"/>
      <c r="K48" s="17"/>
      <c r="L48" s="18"/>
      <c r="M48" s="18"/>
      <c r="N48" s="18"/>
      <c r="O48" s="18"/>
      <c r="P48" s="18"/>
      <c r="Q48" s="18"/>
      <c r="R48" s="17"/>
      <c r="S48" s="17"/>
      <c r="T48" s="17"/>
      <c r="U48" s="17"/>
      <c r="V48" s="17"/>
      <c r="W48" s="17"/>
      <c r="X48" s="19"/>
      <c r="Y48" s="19"/>
      <c r="Z48" s="19"/>
    </row>
    <row r="49" spans="1:26" ht="15.75" x14ac:dyDescent="0.25">
      <c r="A49" s="12"/>
      <c r="B49" s="16"/>
      <c r="C49" s="17"/>
      <c r="D49" s="17"/>
      <c r="E49" s="16"/>
      <c r="F49" s="16"/>
      <c r="G49" s="17"/>
      <c r="H49" s="17"/>
      <c r="I49" s="17"/>
      <c r="J49" s="17"/>
      <c r="K49" s="17"/>
      <c r="L49" s="18"/>
      <c r="M49" s="18"/>
      <c r="N49" s="18"/>
      <c r="O49" s="18"/>
      <c r="P49" s="18"/>
      <c r="Q49" s="18"/>
      <c r="R49" s="17"/>
      <c r="S49" s="17"/>
      <c r="T49" s="17"/>
      <c r="U49" s="17"/>
      <c r="V49" s="17"/>
      <c r="W49" s="17"/>
      <c r="X49" s="19"/>
      <c r="Y49" s="19"/>
      <c r="Z49" s="19"/>
    </row>
    <row r="50" spans="1:26" ht="15.75" x14ac:dyDescent="0.25">
      <c r="A50" s="12"/>
      <c r="B50" s="16"/>
      <c r="C50" s="17"/>
      <c r="D50" s="17"/>
      <c r="E50" s="16"/>
      <c r="F50" s="16"/>
      <c r="G50" s="17"/>
      <c r="H50" s="17"/>
      <c r="I50" s="17"/>
      <c r="J50" s="17"/>
      <c r="K50" s="17"/>
      <c r="L50" s="18"/>
      <c r="M50" s="18"/>
      <c r="N50" s="18"/>
      <c r="O50" s="18"/>
      <c r="P50" s="18"/>
      <c r="Q50" s="18"/>
      <c r="R50" s="17"/>
      <c r="S50" s="17"/>
      <c r="T50" s="17"/>
      <c r="U50" s="17"/>
      <c r="V50" s="17"/>
      <c r="W50" s="17"/>
      <c r="X50" s="19"/>
      <c r="Y50" s="19"/>
      <c r="Z50" s="19"/>
    </row>
    <row r="51" spans="1:26" ht="15.75" x14ac:dyDescent="0.25">
      <c r="A51" s="12"/>
      <c r="B51" s="16"/>
      <c r="C51" s="17"/>
      <c r="D51" s="17"/>
      <c r="E51" s="16"/>
      <c r="F51" s="16"/>
      <c r="G51" s="17"/>
      <c r="H51" s="17"/>
      <c r="I51" s="17"/>
      <c r="J51" s="17"/>
      <c r="K51" s="17"/>
      <c r="L51" s="18"/>
      <c r="M51" s="18"/>
      <c r="N51" s="18"/>
      <c r="O51" s="18"/>
      <c r="P51" s="18"/>
      <c r="Q51" s="18"/>
      <c r="R51" s="17"/>
      <c r="S51" s="17"/>
      <c r="T51" s="17"/>
      <c r="U51" s="17"/>
      <c r="V51" s="17"/>
      <c r="W51" s="17"/>
      <c r="X51" s="19"/>
      <c r="Y51" s="19"/>
      <c r="Z51" s="19"/>
    </row>
    <row r="52" spans="1:26" ht="15.75" x14ac:dyDescent="0.25">
      <c r="A52" s="12"/>
      <c r="B52" s="16"/>
      <c r="C52" s="17"/>
      <c r="D52" s="17"/>
      <c r="E52" s="16"/>
      <c r="F52" s="16"/>
      <c r="G52" s="17"/>
      <c r="H52" s="17"/>
      <c r="I52" s="17"/>
      <c r="J52" s="17"/>
      <c r="K52" s="17"/>
      <c r="L52" s="18"/>
      <c r="M52" s="18"/>
      <c r="N52" s="18"/>
      <c r="O52" s="18"/>
      <c r="P52" s="18"/>
      <c r="Q52" s="18"/>
      <c r="R52" s="17"/>
      <c r="S52" s="17"/>
      <c r="T52" s="17"/>
      <c r="U52" s="17"/>
      <c r="V52" s="17"/>
      <c r="W52" s="17"/>
      <c r="X52" s="19"/>
      <c r="Y52" s="19"/>
      <c r="Z52" s="19"/>
    </row>
  </sheetData>
  <mergeCells count="6">
    <mergeCell ref="AN5:AU5"/>
    <mergeCell ref="A1:K1"/>
    <mergeCell ref="L1:Q1"/>
    <mergeCell ref="AA1:AH1"/>
    <mergeCell ref="AI1:AU1"/>
    <mergeCell ref="AN2:AU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8D6981-73D2-4F8C-88D7-D5FA77AC2EB0}">
  <dimension ref="A1:M44"/>
  <sheetViews>
    <sheetView workbookViewId="0">
      <selection activeCell="K52" sqref="K52"/>
    </sheetView>
  </sheetViews>
  <sheetFormatPr defaultRowHeight="15" x14ac:dyDescent="0.25"/>
  <sheetData>
    <row r="1" spans="1:13" ht="15.75" x14ac:dyDescent="0.25">
      <c r="A1" s="48" t="s">
        <v>21</v>
      </c>
      <c r="B1" s="49"/>
      <c r="C1" s="49"/>
      <c r="D1" s="49"/>
      <c r="E1" s="49"/>
      <c r="F1" s="50"/>
      <c r="H1" s="48" t="s">
        <v>22</v>
      </c>
      <c r="I1" s="49"/>
      <c r="J1" s="49"/>
      <c r="K1" s="49"/>
      <c r="L1" s="49"/>
      <c r="M1" s="50"/>
    </row>
    <row r="2" spans="1:13" ht="15.75" x14ac:dyDescent="0.25">
      <c r="A2" s="3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H2" s="3" t="s">
        <v>18</v>
      </c>
      <c r="I2" s="3" t="s">
        <v>19</v>
      </c>
      <c r="J2" s="3" t="s">
        <v>20</v>
      </c>
      <c r="K2" s="3" t="s">
        <v>15</v>
      </c>
      <c r="L2" s="3" t="s">
        <v>16</v>
      </c>
      <c r="M2" s="3" t="s">
        <v>17</v>
      </c>
    </row>
    <row r="3" spans="1:13" x14ac:dyDescent="0.25">
      <c r="A3">
        <v>2.9205024242401099E-2</v>
      </c>
      <c r="B3">
        <v>0.97202777862548795</v>
      </c>
      <c r="C3">
        <v>1.8870793282985701E-2</v>
      </c>
      <c r="D3">
        <v>-0.13048847019672399</v>
      </c>
      <c r="E3">
        <v>1.1448631994426301E-2</v>
      </c>
      <c r="F3" s="4">
        <v>-8.4695406258106205E-5</v>
      </c>
      <c r="H3">
        <f>$F3</f>
        <v>-8.4695406258106205E-5</v>
      </c>
      <c r="I3">
        <f>-1*$E3</f>
        <v>-1.1448631994426301E-2</v>
      </c>
      <c r="J3">
        <f>$D3</f>
        <v>-0.13048847019672399</v>
      </c>
      <c r="K3">
        <f>$C3</f>
        <v>1.8870793282985701E-2</v>
      </c>
      <c r="L3">
        <f>-1*$B3</f>
        <v>-0.97202777862548795</v>
      </c>
      <c r="M3">
        <f>$A3</f>
        <v>2.9205024242401099E-2</v>
      </c>
    </row>
    <row r="4" spans="1:13" x14ac:dyDescent="0.25">
      <c r="A4">
        <v>0.92483174800872803</v>
      </c>
      <c r="B4">
        <v>0.81002575159072898</v>
      </c>
      <c r="C4">
        <v>-0.458716601133347</v>
      </c>
      <c r="D4">
        <v>-0.148506805300713</v>
      </c>
      <c r="E4">
        <v>0.187399536371231</v>
      </c>
      <c r="F4">
        <v>-1.30488071590662E-3</v>
      </c>
      <c r="H4">
        <f t="shared" ref="H4:H44" si="0">$F4</f>
        <v>-1.30488071590662E-3</v>
      </c>
      <c r="I4">
        <f t="shared" ref="I4:I44" si="1">-1*$E4</f>
        <v>-0.187399536371231</v>
      </c>
      <c r="J4">
        <f t="shared" ref="J4:J44" si="2">$D4</f>
        <v>-0.148506805300713</v>
      </c>
      <c r="K4">
        <f t="shared" ref="K4:K44" si="3">$C4</f>
        <v>-0.458716601133347</v>
      </c>
      <c r="L4">
        <f t="shared" ref="L4:L44" si="4">-1*$B4</f>
        <v>-0.81002575159072898</v>
      </c>
      <c r="M4">
        <f t="shared" ref="M4:M44" si="5">$A4</f>
        <v>0.92483174800872803</v>
      </c>
    </row>
    <row r="5" spans="1:13" x14ac:dyDescent="0.25">
      <c r="A5">
        <v>0.403866738080978</v>
      </c>
      <c r="B5">
        <v>0.142551720142365</v>
      </c>
      <c r="C5">
        <v>-5.9044521301984801E-2</v>
      </c>
      <c r="D5">
        <v>-1.5381614677607999E-2</v>
      </c>
      <c r="E5">
        <v>9.0249709784984603E-2</v>
      </c>
      <c r="F5">
        <v>-8.8173459516838206E-5</v>
      </c>
      <c r="H5">
        <f t="shared" si="0"/>
        <v>-8.8173459516838206E-5</v>
      </c>
      <c r="I5">
        <f t="shared" si="1"/>
        <v>-9.0249709784984603E-2</v>
      </c>
      <c r="J5">
        <f t="shared" si="2"/>
        <v>-1.5381614677607999E-2</v>
      </c>
      <c r="K5">
        <f t="shared" si="3"/>
        <v>-5.9044521301984801E-2</v>
      </c>
      <c r="L5">
        <f t="shared" si="4"/>
        <v>-0.142551720142365</v>
      </c>
      <c r="M5">
        <f t="shared" si="5"/>
        <v>0.403866738080978</v>
      </c>
    </row>
    <row r="6" spans="1:13" x14ac:dyDescent="0.25">
      <c r="A6">
        <v>0.75826400518417403</v>
      </c>
      <c r="B6">
        <v>-6.2979459762573199E-3</v>
      </c>
      <c r="C6">
        <v>-0.22939644753933</v>
      </c>
      <c r="D6">
        <v>1.12637248821557E-3</v>
      </c>
      <c r="E6">
        <v>0.155094370245934</v>
      </c>
      <c r="F6">
        <v>4.0645110420882702E-3</v>
      </c>
      <c r="H6">
        <f t="shared" si="0"/>
        <v>4.0645110420882702E-3</v>
      </c>
      <c r="I6">
        <f t="shared" si="1"/>
        <v>-0.155094370245934</v>
      </c>
      <c r="J6">
        <f t="shared" si="2"/>
        <v>1.12637248821557E-3</v>
      </c>
      <c r="K6">
        <f t="shared" si="3"/>
        <v>-0.22939644753933</v>
      </c>
      <c r="L6">
        <f t="shared" si="4"/>
        <v>6.2979459762573199E-3</v>
      </c>
      <c r="M6">
        <f t="shared" si="5"/>
        <v>0.75826400518417403</v>
      </c>
    </row>
    <row r="7" spans="1:13" x14ac:dyDescent="0.25">
      <c r="A7">
        <v>-0.43824502825737</v>
      </c>
      <c r="B7">
        <v>0.69266724586486805</v>
      </c>
      <c r="C7">
        <v>2.31804009526968E-2</v>
      </c>
      <c r="D7">
        <v>-0.106843449175358</v>
      </c>
      <c r="E7">
        <v>-5.5788416415452999E-2</v>
      </c>
      <c r="F7">
        <v>-3.3720862120389898E-5</v>
      </c>
      <c r="H7">
        <f t="shared" si="0"/>
        <v>-3.3720862120389898E-5</v>
      </c>
      <c r="I7">
        <f t="shared" si="1"/>
        <v>5.5788416415452999E-2</v>
      </c>
      <c r="J7">
        <f t="shared" si="2"/>
        <v>-0.106843449175358</v>
      </c>
      <c r="K7">
        <f t="shared" si="3"/>
        <v>2.31804009526968E-2</v>
      </c>
      <c r="L7">
        <f t="shared" si="4"/>
        <v>-0.69266724586486805</v>
      </c>
      <c r="M7">
        <f t="shared" si="5"/>
        <v>-0.43824502825737</v>
      </c>
    </row>
    <row r="8" spans="1:13" x14ac:dyDescent="0.25">
      <c r="A8">
        <v>0.108889028429985</v>
      </c>
      <c r="B8">
        <v>0.50920194387435902</v>
      </c>
      <c r="C8">
        <v>-0.29881915450096103</v>
      </c>
      <c r="D8">
        <v>-7.6963931322097806E-2</v>
      </c>
      <c r="E8">
        <v>0.106360949575901</v>
      </c>
      <c r="F8">
        <v>8.2578761503100395E-3</v>
      </c>
      <c r="H8">
        <f t="shared" si="0"/>
        <v>8.2578761503100395E-3</v>
      </c>
      <c r="I8">
        <f t="shared" si="1"/>
        <v>-0.106360949575901</v>
      </c>
      <c r="J8">
        <f t="shared" si="2"/>
        <v>-7.6963931322097806E-2</v>
      </c>
      <c r="K8">
        <f t="shared" si="3"/>
        <v>-0.29881915450096103</v>
      </c>
      <c r="L8">
        <f t="shared" si="4"/>
        <v>-0.50920194387435902</v>
      </c>
      <c r="M8">
        <f t="shared" si="5"/>
        <v>0.108889028429985</v>
      </c>
    </row>
    <row r="9" spans="1:13" x14ac:dyDescent="0.25">
      <c r="A9">
        <v>1.80782899260521E-2</v>
      </c>
      <c r="B9">
        <v>0.108663953840733</v>
      </c>
      <c r="C9">
        <v>1.5694042667746499E-2</v>
      </c>
      <c r="D9">
        <v>-1.2296888045966599E-2</v>
      </c>
      <c r="E9">
        <v>6.1941463500261298E-3</v>
      </c>
      <c r="F9">
        <v>2.53012054599822E-4</v>
      </c>
      <c r="H9">
        <f t="shared" si="0"/>
        <v>2.53012054599822E-4</v>
      </c>
      <c r="I9">
        <f t="shared" si="1"/>
        <v>-6.1941463500261298E-3</v>
      </c>
      <c r="J9">
        <f t="shared" si="2"/>
        <v>-1.2296888045966599E-2</v>
      </c>
      <c r="K9">
        <f t="shared" si="3"/>
        <v>1.5694042667746499E-2</v>
      </c>
      <c r="L9">
        <f t="shared" si="4"/>
        <v>-0.108663953840733</v>
      </c>
      <c r="M9">
        <f t="shared" si="5"/>
        <v>1.80782899260521E-2</v>
      </c>
    </row>
    <row r="10" spans="1:13" x14ac:dyDescent="0.25">
      <c r="A10">
        <v>0.51686221361160301</v>
      </c>
      <c r="B10">
        <v>-5.81999458372593E-2</v>
      </c>
      <c r="C10">
        <v>-0.405538409948349</v>
      </c>
      <c r="D10">
        <v>8.0074910074472393E-3</v>
      </c>
      <c r="E10">
        <v>0.180821523070335</v>
      </c>
      <c r="F10">
        <v>-8.9414953254163298E-4</v>
      </c>
      <c r="H10">
        <f t="shared" si="0"/>
        <v>-8.9414953254163298E-4</v>
      </c>
      <c r="I10">
        <f t="shared" si="1"/>
        <v>-0.180821523070335</v>
      </c>
      <c r="J10">
        <f t="shared" si="2"/>
        <v>8.0074910074472393E-3</v>
      </c>
      <c r="K10">
        <f t="shared" si="3"/>
        <v>-0.405538409948349</v>
      </c>
      <c r="L10">
        <f t="shared" si="4"/>
        <v>5.81999458372593E-2</v>
      </c>
      <c r="M10">
        <f t="shared" si="5"/>
        <v>0.51686221361160301</v>
      </c>
    </row>
    <row r="11" spans="1:13" x14ac:dyDescent="0.25">
      <c r="A11">
        <v>-0.58056563138961803</v>
      </c>
      <c r="B11">
        <v>2.1499879658222198E-2</v>
      </c>
      <c r="C11">
        <v>4.2406577616930001E-2</v>
      </c>
      <c r="D11">
        <v>-4.2187301442027101E-3</v>
      </c>
      <c r="E11">
        <v>-7.3132611811161E-2</v>
      </c>
      <c r="F11">
        <v>2.41806032136083E-4</v>
      </c>
      <c r="H11">
        <f t="shared" si="0"/>
        <v>2.41806032136083E-4</v>
      </c>
      <c r="I11">
        <f t="shared" si="1"/>
        <v>7.3132611811161E-2</v>
      </c>
      <c r="J11">
        <f t="shared" si="2"/>
        <v>-4.2187301442027101E-3</v>
      </c>
      <c r="K11">
        <f t="shared" si="3"/>
        <v>4.2406577616930001E-2</v>
      </c>
      <c r="L11">
        <f t="shared" si="4"/>
        <v>-2.1499879658222198E-2</v>
      </c>
      <c r="M11">
        <f t="shared" si="5"/>
        <v>-0.58056563138961803</v>
      </c>
    </row>
    <row r="12" spans="1:13" x14ac:dyDescent="0.25">
      <c r="A12">
        <v>0.27430844306945801</v>
      </c>
      <c r="B12">
        <v>0.97605288028716997</v>
      </c>
      <c r="C12">
        <v>-0.55842369794845603</v>
      </c>
      <c r="D12">
        <v>-0.108183734118938</v>
      </c>
      <c r="E12">
        <v>0.14518360793590501</v>
      </c>
      <c r="F12">
        <v>-1.58930197358131E-4</v>
      </c>
      <c r="H12">
        <f t="shared" si="0"/>
        <v>-1.58930197358131E-4</v>
      </c>
      <c r="I12">
        <f t="shared" si="1"/>
        <v>-0.14518360793590501</v>
      </c>
      <c r="J12">
        <f t="shared" si="2"/>
        <v>-0.108183734118938</v>
      </c>
      <c r="K12">
        <f t="shared" si="3"/>
        <v>-0.55842369794845603</v>
      </c>
      <c r="L12">
        <f t="shared" si="4"/>
        <v>-0.97605288028716997</v>
      </c>
      <c r="M12">
        <f t="shared" si="5"/>
        <v>0.27430844306945801</v>
      </c>
    </row>
    <row r="13" spans="1:13" x14ac:dyDescent="0.25">
      <c r="A13">
        <v>-3.6308467388153097E-2</v>
      </c>
      <c r="B13">
        <v>0.27640634775161699</v>
      </c>
      <c r="C13">
        <v>2.6178073137998598E-2</v>
      </c>
      <c r="D13">
        <v>-4.92897629737854E-2</v>
      </c>
      <c r="E13">
        <v>-4.5513403601944403E-3</v>
      </c>
      <c r="F13">
        <v>-1.4157709665596499E-4</v>
      </c>
      <c r="H13">
        <f t="shared" si="0"/>
        <v>-1.4157709665596499E-4</v>
      </c>
      <c r="I13">
        <f t="shared" si="1"/>
        <v>4.5513403601944403E-3</v>
      </c>
      <c r="J13">
        <f t="shared" si="2"/>
        <v>-4.92897629737854E-2</v>
      </c>
      <c r="K13">
        <f t="shared" si="3"/>
        <v>2.6178073137998598E-2</v>
      </c>
      <c r="L13">
        <f t="shared" si="4"/>
        <v>-0.27640634775161699</v>
      </c>
      <c r="M13">
        <f t="shared" si="5"/>
        <v>-3.6308467388153097E-2</v>
      </c>
    </row>
    <row r="14" spans="1:13" x14ac:dyDescent="0.25">
      <c r="A14">
        <v>4.2876139283180202E-2</v>
      </c>
      <c r="B14">
        <v>5.0031639635562897E-2</v>
      </c>
      <c r="C14">
        <v>-0.58649873733520497</v>
      </c>
      <c r="D14">
        <v>-8.4324358031153696E-3</v>
      </c>
      <c r="E14">
        <v>0.11755938827991499</v>
      </c>
      <c r="F14">
        <v>9.2607205733656901E-3</v>
      </c>
      <c r="H14">
        <f t="shared" si="0"/>
        <v>9.2607205733656901E-3</v>
      </c>
      <c r="I14">
        <f t="shared" si="1"/>
        <v>-0.11755938827991499</v>
      </c>
      <c r="J14">
        <f t="shared" si="2"/>
        <v>-8.4324358031153696E-3</v>
      </c>
      <c r="K14">
        <f t="shared" si="3"/>
        <v>-0.58649873733520497</v>
      </c>
      <c r="L14">
        <f t="shared" si="4"/>
        <v>-5.0031639635562897E-2</v>
      </c>
      <c r="M14">
        <f t="shared" si="5"/>
        <v>4.2876139283180202E-2</v>
      </c>
    </row>
    <row r="15" spans="1:13" x14ac:dyDescent="0.25">
      <c r="A15">
        <v>-0.18459481000900299</v>
      </c>
      <c r="B15">
        <v>0.62632656097412098</v>
      </c>
      <c r="C15">
        <v>-0.256822139024735</v>
      </c>
      <c r="D15">
        <v>-0.130889192223549</v>
      </c>
      <c r="E15">
        <v>3.9313092827796901E-2</v>
      </c>
      <c r="F15">
        <v>-9.1172568500042005E-4</v>
      </c>
      <c r="H15">
        <f t="shared" si="0"/>
        <v>-9.1172568500042005E-4</v>
      </c>
      <c r="I15">
        <f t="shared" si="1"/>
        <v>-3.9313092827796901E-2</v>
      </c>
      <c r="J15">
        <f t="shared" si="2"/>
        <v>-0.130889192223549</v>
      </c>
      <c r="K15">
        <f t="shared" si="3"/>
        <v>-0.256822139024735</v>
      </c>
      <c r="L15">
        <f t="shared" si="4"/>
        <v>-0.62632656097412098</v>
      </c>
      <c r="M15">
        <f t="shared" si="5"/>
        <v>-0.18459481000900299</v>
      </c>
    </row>
    <row r="16" spans="1:13" x14ac:dyDescent="0.25">
      <c r="A16">
        <v>0.24705727398395499</v>
      </c>
      <c r="B16">
        <v>0.32776689529418901</v>
      </c>
      <c r="C16">
        <v>-5.4136319085955602E-3</v>
      </c>
      <c r="D16">
        <v>-7.0400118827819796E-2</v>
      </c>
      <c r="E16">
        <v>5.4309170693159103E-2</v>
      </c>
      <c r="F16">
        <v>-3.60760372132063E-3</v>
      </c>
      <c r="H16">
        <f t="shared" si="0"/>
        <v>-3.60760372132063E-3</v>
      </c>
      <c r="I16">
        <f t="shared" si="1"/>
        <v>-5.4309170693159103E-2</v>
      </c>
      <c r="J16">
        <f t="shared" si="2"/>
        <v>-7.0400118827819796E-2</v>
      </c>
      <c r="K16">
        <f t="shared" si="3"/>
        <v>-5.4136319085955602E-3</v>
      </c>
      <c r="L16">
        <f t="shared" si="4"/>
        <v>-0.32776689529418901</v>
      </c>
      <c r="M16">
        <f t="shared" si="5"/>
        <v>0.24705727398395499</v>
      </c>
    </row>
    <row r="17" spans="1:13" x14ac:dyDescent="0.25">
      <c r="A17">
        <v>0.42077422142028797</v>
      </c>
      <c r="B17">
        <v>0.93685162067413297</v>
      </c>
      <c r="C17">
        <v>-0.46525964140892001</v>
      </c>
      <c r="D17">
        <v>-0.2040024548769</v>
      </c>
      <c r="E17">
        <v>0.13520552217960399</v>
      </c>
      <c r="F17">
        <v>1.51338707655668E-3</v>
      </c>
      <c r="H17">
        <f t="shared" si="0"/>
        <v>1.51338707655668E-3</v>
      </c>
      <c r="I17">
        <f t="shared" si="1"/>
        <v>-0.13520552217960399</v>
      </c>
      <c r="J17">
        <f t="shared" si="2"/>
        <v>-0.2040024548769</v>
      </c>
      <c r="K17">
        <f t="shared" si="3"/>
        <v>-0.46525964140892001</v>
      </c>
      <c r="L17">
        <f t="shared" si="4"/>
        <v>-0.93685162067413297</v>
      </c>
      <c r="M17">
        <f t="shared" si="5"/>
        <v>0.42077422142028797</v>
      </c>
    </row>
    <row r="18" spans="1:13" x14ac:dyDescent="0.25">
      <c r="A18">
        <v>0.23870468139648399</v>
      </c>
      <c r="B18">
        <v>0.836775302886963</v>
      </c>
      <c r="C18">
        <v>-9.9908888339996296E-2</v>
      </c>
      <c r="D18">
        <v>-0.139540165662766</v>
      </c>
      <c r="E18">
        <v>6.1508439481258399E-2</v>
      </c>
      <c r="F18">
        <v>1.25857396051288E-3</v>
      </c>
      <c r="H18">
        <f t="shared" si="0"/>
        <v>1.25857396051288E-3</v>
      </c>
      <c r="I18">
        <f t="shared" si="1"/>
        <v>-6.1508439481258399E-2</v>
      </c>
      <c r="J18">
        <f t="shared" si="2"/>
        <v>-0.139540165662766</v>
      </c>
      <c r="K18">
        <f t="shared" si="3"/>
        <v>-9.9908888339996296E-2</v>
      </c>
      <c r="L18">
        <f t="shared" si="4"/>
        <v>-0.836775302886963</v>
      </c>
      <c r="M18">
        <f t="shared" si="5"/>
        <v>0.23870468139648399</v>
      </c>
    </row>
    <row r="19" spans="1:13" x14ac:dyDescent="0.25">
      <c r="A19">
        <v>-0.15806177258491499</v>
      </c>
      <c r="B19">
        <v>2.5679610669612898E-2</v>
      </c>
      <c r="C19">
        <v>1.6650179401040101E-2</v>
      </c>
      <c r="D19">
        <v>-9.3716401606798207E-3</v>
      </c>
      <c r="E19">
        <v>-2.0453782752156299E-2</v>
      </c>
      <c r="F19">
        <v>-7.4886210495606097E-4</v>
      </c>
      <c r="H19">
        <f t="shared" si="0"/>
        <v>-7.4886210495606097E-4</v>
      </c>
      <c r="I19">
        <f t="shared" si="1"/>
        <v>2.0453782752156299E-2</v>
      </c>
      <c r="J19">
        <f t="shared" si="2"/>
        <v>-9.3716401606798207E-3</v>
      </c>
      <c r="K19">
        <f t="shared" si="3"/>
        <v>1.6650179401040101E-2</v>
      </c>
      <c r="L19">
        <f t="shared" si="4"/>
        <v>-2.5679610669612898E-2</v>
      </c>
      <c r="M19">
        <f t="shared" si="5"/>
        <v>-0.15806177258491499</v>
      </c>
    </row>
    <row r="20" spans="1:13" x14ac:dyDescent="0.25">
      <c r="A20">
        <v>0.26307040452957198</v>
      </c>
      <c r="B20">
        <v>0.55208766460418701</v>
      </c>
      <c r="C20">
        <v>-0.49384498596191401</v>
      </c>
      <c r="D20">
        <v>-0.158231571316719</v>
      </c>
      <c r="E20">
        <v>0.114310443401337</v>
      </c>
      <c r="F20">
        <v>3.2496866770088699E-3</v>
      </c>
      <c r="H20">
        <f t="shared" si="0"/>
        <v>3.2496866770088699E-3</v>
      </c>
      <c r="I20">
        <f t="shared" si="1"/>
        <v>-0.114310443401337</v>
      </c>
      <c r="J20">
        <f t="shared" si="2"/>
        <v>-0.158231571316719</v>
      </c>
      <c r="K20">
        <f t="shared" si="3"/>
        <v>-0.49384498596191401</v>
      </c>
      <c r="L20">
        <f t="shared" si="4"/>
        <v>-0.55208766460418701</v>
      </c>
      <c r="M20">
        <f t="shared" si="5"/>
        <v>0.26307040452957198</v>
      </c>
    </row>
    <row r="21" spans="1:13" x14ac:dyDescent="0.25">
      <c r="A21">
        <v>-0.20531408488750499</v>
      </c>
      <c r="B21">
        <v>0.26442891359329201</v>
      </c>
      <c r="C21">
        <v>1.26499449834228E-2</v>
      </c>
      <c r="D21">
        <v>-4.6963214874267599E-2</v>
      </c>
      <c r="E21">
        <v>-3.7674464285373702E-2</v>
      </c>
      <c r="F21">
        <v>4.3617305345833302E-4</v>
      </c>
      <c r="H21">
        <f t="shared" si="0"/>
        <v>4.3617305345833302E-4</v>
      </c>
      <c r="I21">
        <f t="shared" si="1"/>
        <v>3.7674464285373702E-2</v>
      </c>
      <c r="J21">
        <f t="shared" si="2"/>
        <v>-4.6963214874267599E-2</v>
      </c>
      <c r="K21">
        <f t="shared" si="3"/>
        <v>1.26499449834228E-2</v>
      </c>
      <c r="L21">
        <f t="shared" si="4"/>
        <v>-0.26442891359329201</v>
      </c>
      <c r="M21">
        <f t="shared" si="5"/>
        <v>-0.20531408488750499</v>
      </c>
    </row>
    <row r="22" spans="1:13" x14ac:dyDescent="0.25">
      <c r="A22">
        <v>-0.54190033674240101</v>
      </c>
      <c r="B22">
        <v>0.60528373718261697</v>
      </c>
      <c r="C22">
        <v>1.72678660601377E-2</v>
      </c>
      <c r="D22">
        <v>-7.4282236397266402E-2</v>
      </c>
      <c r="E22">
        <v>-6.2404803931713097E-2</v>
      </c>
      <c r="F22">
        <v>1.0640500113368E-3</v>
      </c>
      <c r="H22">
        <f t="shared" si="0"/>
        <v>1.0640500113368E-3</v>
      </c>
      <c r="I22">
        <f t="shared" si="1"/>
        <v>6.2404803931713097E-2</v>
      </c>
      <c r="J22">
        <f t="shared" si="2"/>
        <v>-7.4282236397266402E-2</v>
      </c>
      <c r="K22">
        <f t="shared" si="3"/>
        <v>1.72678660601377E-2</v>
      </c>
      <c r="L22">
        <f t="shared" si="4"/>
        <v>-0.60528373718261697</v>
      </c>
      <c r="M22">
        <f t="shared" si="5"/>
        <v>-0.54190033674240101</v>
      </c>
    </row>
    <row r="23" spans="1:13" x14ac:dyDescent="0.25">
      <c r="A23">
        <v>-0.70544010400772095</v>
      </c>
      <c r="B23">
        <v>0.82719779014587402</v>
      </c>
      <c r="C23">
        <v>-0.146071821451187</v>
      </c>
      <c r="D23">
        <v>-0.14573009312152899</v>
      </c>
      <c r="E23">
        <v>-0.14060573279857599</v>
      </c>
      <c r="F23">
        <v>-2.0453361794352501E-3</v>
      </c>
      <c r="H23">
        <f t="shared" si="0"/>
        <v>-2.0453361794352501E-3</v>
      </c>
      <c r="I23">
        <f t="shared" si="1"/>
        <v>0.14060573279857599</v>
      </c>
      <c r="J23">
        <f t="shared" si="2"/>
        <v>-0.14573009312152899</v>
      </c>
      <c r="K23">
        <f t="shared" si="3"/>
        <v>-0.146071821451187</v>
      </c>
      <c r="L23">
        <f t="shared" si="4"/>
        <v>-0.82719779014587402</v>
      </c>
      <c r="M23">
        <f t="shared" si="5"/>
        <v>-0.70544010400772095</v>
      </c>
    </row>
    <row r="24" spans="1:13" x14ac:dyDescent="0.25">
      <c r="A24">
        <v>-0.29774409532547003</v>
      </c>
      <c r="B24">
        <v>0.11253473162651099</v>
      </c>
      <c r="C24">
        <v>5.6157279759645497E-3</v>
      </c>
      <c r="D24">
        <v>-2.4323541671037702E-2</v>
      </c>
      <c r="E24">
        <v>-4.6884305775165599E-2</v>
      </c>
      <c r="F24">
        <v>-9.4009120948612701E-4</v>
      </c>
      <c r="H24">
        <f t="shared" si="0"/>
        <v>-9.4009120948612701E-4</v>
      </c>
      <c r="I24">
        <f t="shared" si="1"/>
        <v>4.6884305775165599E-2</v>
      </c>
      <c r="J24">
        <f t="shared" si="2"/>
        <v>-2.4323541671037702E-2</v>
      </c>
      <c r="K24">
        <f t="shared" si="3"/>
        <v>5.6157279759645497E-3</v>
      </c>
      <c r="L24">
        <f t="shared" si="4"/>
        <v>-0.11253473162651099</v>
      </c>
      <c r="M24">
        <f t="shared" si="5"/>
        <v>-0.29774409532547003</v>
      </c>
    </row>
    <row r="25" spans="1:13" x14ac:dyDescent="0.25">
      <c r="A25">
        <v>-0.93568027019500699</v>
      </c>
      <c r="B25">
        <v>0.39178490638732899</v>
      </c>
      <c r="C25">
        <v>-0.228773519396782</v>
      </c>
      <c r="D25">
        <v>-8.7223671376705197E-2</v>
      </c>
      <c r="E25">
        <v>-0.18612760305404699</v>
      </c>
      <c r="F25">
        <v>3.5136193037033097E-4</v>
      </c>
      <c r="H25">
        <f t="shared" si="0"/>
        <v>3.5136193037033097E-4</v>
      </c>
      <c r="I25">
        <f t="shared" si="1"/>
        <v>0.18612760305404699</v>
      </c>
      <c r="J25">
        <f t="shared" si="2"/>
        <v>-8.7223671376705197E-2</v>
      </c>
      <c r="K25">
        <f t="shared" si="3"/>
        <v>-0.228773519396782</v>
      </c>
      <c r="L25">
        <f t="shared" si="4"/>
        <v>-0.39178490638732899</v>
      </c>
      <c r="M25">
        <f t="shared" si="5"/>
        <v>-0.93568027019500699</v>
      </c>
    </row>
    <row r="26" spans="1:13" x14ac:dyDescent="0.25">
      <c r="A26">
        <v>-1.0432312488555899</v>
      </c>
      <c r="B26">
        <v>1.1967084407806401</v>
      </c>
      <c r="C26">
        <v>-0.35741558670997597</v>
      </c>
      <c r="D26">
        <v>-0.21412828564643899</v>
      </c>
      <c r="E26">
        <v>-0.20048326253891</v>
      </c>
      <c r="F26">
        <v>-2.9902514070272398E-3</v>
      </c>
      <c r="H26">
        <f t="shared" si="0"/>
        <v>-2.9902514070272398E-3</v>
      </c>
      <c r="I26">
        <f t="shared" si="1"/>
        <v>0.20048326253891</v>
      </c>
      <c r="J26">
        <f t="shared" si="2"/>
        <v>-0.21412828564643899</v>
      </c>
      <c r="K26">
        <f t="shared" si="3"/>
        <v>-0.35741558670997597</v>
      </c>
      <c r="L26">
        <f t="shared" si="4"/>
        <v>-1.1967084407806401</v>
      </c>
      <c r="M26">
        <f t="shared" si="5"/>
        <v>-1.0432312488555899</v>
      </c>
    </row>
    <row r="27" spans="1:13" x14ac:dyDescent="0.25">
      <c r="A27">
        <v>-4.6399652957916301E-2</v>
      </c>
      <c r="B27">
        <v>0.97161656618118297</v>
      </c>
      <c r="C27">
        <v>-0.152651637792587</v>
      </c>
      <c r="D27">
        <v>-0.17995955049991599</v>
      </c>
      <c r="E27">
        <v>-2.0925674587488199E-2</v>
      </c>
      <c r="F27">
        <v>-2.0198281854391098E-3</v>
      </c>
      <c r="H27">
        <f t="shared" si="0"/>
        <v>-2.0198281854391098E-3</v>
      </c>
      <c r="I27">
        <f t="shared" si="1"/>
        <v>2.0925674587488199E-2</v>
      </c>
      <c r="J27">
        <f t="shared" si="2"/>
        <v>-0.17995955049991599</v>
      </c>
      <c r="K27">
        <f t="shared" si="3"/>
        <v>-0.152651637792587</v>
      </c>
      <c r="L27">
        <f t="shared" si="4"/>
        <v>-0.97161656618118297</v>
      </c>
      <c r="M27">
        <f t="shared" si="5"/>
        <v>-4.6399652957916301E-2</v>
      </c>
    </row>
    <row r="28" spans="1:13" x14ac:dyDescent="0.25">
      <c r="A28">
        <v>-0.73725110292434703</v>
      </c>
      <c r="B28">
        <v>0.63611704111099199</v>
      </c>
      <c r="C28">
        <v>-0.56037515401840199</v>
      </c>
      <c r="D28">
        <v>-0.18315301835537001</v>
      </c>
      <c r="E28">
        <v>-0.20627745985984799</v>
      </c>
      <c r="F28">
        <v>-3.2074763439595699E-3</v>
      </c>
      <c r="H28">
        <f t="shared" si="0"/>
        <v>-3.2074763439595699E-3</v>
      </c>
      <c r="I28">
        <f t="shared" si="1"/>
        <v>0.20627745985984799</v>
      </c>
      <c r="J28">
        <f t="shared" si="2"/>
        <v>-0.18315301835537001</v>
      </c>
      <c r="K28">
        <f t="shared" si="3"/>
        <v>-0.56037515401840199</v>
      </c>
      <c r="L28">
        <f t="shared" si="4"/>
        <v>-0.63611704111099199</v>
      </c>
      <c r="M28">
        <f t="shared" si="5"/>
        <v>-0.73725110292434703</v>
      </c>
    </row>
    <row r="29" spans="1:13" x14ac:dyDescent="0.25">
      <c r="A29">
        <v>-0.30814808607101402</v>
      </c>
      <c r="B29">
        <v>0.49842935800552401</v>
      </c>
      <c r="C29">
        <v>-0.39982143044471702</v>
      </c>
      <c r="D29">
        <v>-0.128691270947456</v>
      </c>
      <c r="E29">
        <v>-0.110706090927124</v>
      </c>
      <c r="F29">
        <v>-7.4698124080896399E-4</v>
      </c>
      <c r="H29">
        <f t="shared" si="0"/>
        <v>-7.4698124080896399E-4</v>
      </c>
      <c r="I29">
        <f t="shared" si="1"/>
        <v>0.110706090927124</v>
      </c>
      <c r="J29">
        <f t="shared" si="2"/>
        <v>-0.128691270947456</v>
      </c>
      <c r="K29">
        <f t="shared" si="3"/>
        <v>-0.39982143044471702</v>
      </c>
      <c r="L29">
        <f t="shared" si="4"/>
        <v>-0.49842935800552401</v>
      </c>
      <c r="M29">
        <f t="shared" si="5"/>
        <v>-0.30814808607101402</v>
      </c>
    </row>
    <row r="30" spans="1:13" x14ac:dyDescent="0.25">
      <c r="A30">
        <v>-6.8177700042724595E-2</v>
      </c>
      <c r="B30">
        <v>0.20488628745078999</v>
      </c>
      <c r="C30">
        <v>-4.5918696559965602E-3</v>
      </c>
      <c r="D30">
        <v>-2.3344287648797001E-2</v>
      </c>
      <c r="E30">
        <v>-1.1188399977982001E-2</v>
      </c>
      <c r="F30">
        <v>-2.4949701037257899E-4</v>
      </c>
      <c r="H30">
        <f t="shared" si="0"/>
        <v>-2.4949701037257899E-4</v>
      </c>
      <c r="I30">
        <f t="shared" si="1"/>
        <v>1.1188399977982001E-2</v>
      </c>
      <c r="J30">
        <f t="shared" si="2"/>
        <v>-2.3344287648797001E-2</v>
      </c>
      <c r="K30">
        <f t="shared" si="3"/>
        <v>-4.5918696559965602E-3</v>
      </c>
      <c r="L30">
        <f t="shared" si="4"/>
        <v>-0.20488628745078999</v>
      </c>
      <c r="M30">
        <f t="shared" si="5"/>
        <v>-6.8177700042724595E-2</v>
      </c>
    </row>
    <row r="31" spans="1:13" x14ac:dyDescent="0.25">
      <c r="A31">
        <v>-0.79531830549240101</v>
      </c>
      <c r="B31">
        <v>0.53028601408004805</v>
      </c>
      <c r="C31">
        <v>-7.5552083551883698E-2</v>
      </c>
      <c r="D31">
        <v>-6.9621779024600997E-2</v>
      </c>
      <c r="E31">
        <v>-0.122855387628078</v>
      </c>
      <c r="F31">
        <v>-1.44378747791052E-4</v>
      </c>
      <c r="H31">
        <f t="shared" si="0"/>
        <v>-1.44378747791052E-4</v>
      </c>
      <c r="I31">
        <f t="shared" si="1"/>
        <v>0.122855387628078</v>
      </c>
      <c r="J31">
        <f t="shared" si="2"/>
        <v>-6.9621779024600997E-2</v>
      </c>
      <c r="K31">
        <f t="shared" si="3"/>
        <v>-7.5552083551883698E-2</v>
      </c>
      <c r="L31">
        <f t="shared" si="4"/>
        <v>-0.53028601408004805</v>
      </c>
      <c r="M31">
        <f t="shared" si="5"/>
        <v>-0.79531830549240101</v>
      </c>
    </row>
    <row r="32" spans="1:13" x14ac:dyDescent="0.25">
      <c r="A32">
        <v>0.47454249858856201</v>
      </c>
      <c r="B32">
        <v>-9.5382109284400905E-3</v>
      </c>
      <c r="C32">
        <v>0.93826621770858798</v>
      </c>
      <c r="D32">
        <v>1.82380492333323E-3</v>
      </c>
      <c r="E32">
        <v>2.0575292408466301E-2</v>
      </c>
      <c r="F32">
        <v>-3.8294540718197801E-4</v>
      </c>
      <c r="H32">
        <f t="shared" si="0"/>
        <v>-3.8294540718197801E-4</v>
      </c>
      <c r="I32">
        <f t="shared" si="1"/>
        <v>-2.0575292408466301E-2</v>
      </c>
      <c r="J32">
        <f t="shared" si="2"/>
        <v>1.82380492333323E-3</v>
      </c>
      <c r="K32">
        <f t="shared" si="3"/>
        <v>0.93826621770858798</v>
      </c>
      <c r="L32">
        <f t="shared" si="4"/>
        <v>9.5382109284400905E-3</v>
      </c>
      <c r="M32">
        <f t="shared" si="5"/>
        <v>0.47454249858856201</v>
      </c>
    </row>
    <row r="33" spans="1:13" x14ac:dyDescent="0.25">
      <c r="A33">
        <v>-0.949754118919373</v>
      </c>
      <c r="B33">
        <v>0.14860638976097101</v>
      </c>
      <c r="C33">
        <v>-0.11945986747741701</v>
      </c>
      <c r="D33">
        <v>-2.4530226364731799E-2</v>
      </c>
      <c r="E33">
        <v>-0.167345225811005</v>
      </c>
      <c r="F33">
        <v>-2.9623867012560398E-3</v>
      </c>
      <c r="H33">
        <f t="shared" si="0"/>
        <v>-2.9623867012560398E-3</v>
      </c>
      <c r="I33">
        <f t="shared" si="1"/>
        <v>0.167345225811005</v>
      </c>
      <c r="J33">
        <f t="shared" si="2"/>
        <v>-2.4530226364731799E-2</v>
      </c>
      <c r="K33">
        <f t="shared" si="3"/>
        <v>-0.11945986747741701</v>
      </c>
      <c r="L33">
        <f t="shared" si="4"/>
        <v>-0.14860638976097101</v>
      </c>
      <c r="M33">
        <f t="shared" si="5"/>
        <v>-0.949754118919373</v>
      </c>
    </row>
    <row r="34" spans="1:13" x14ac:dyDescent="0.25">
      <c r="A34">
        <v>-0.97470813989639304</v>
      </c>
      <c r="B34">
        <v>0.8543701171875</v>
      </c>
      <c r="C34">
        <v>-0.33798754215240501</v>
      </c>
      <c r="D34">
        <v>-9.5626659691333799E-2</v>
      </c>
      <c r="E34">
        <v>-0.20929773151874501</v>
      </c>
      <c r="F34">
        <v>-7.8027322888374296E-4</v>
      </c>
      <c r="H34">
        <f t="shared" si="0"/>
        <v>-7.8027322888374296E-4</v>
      </c>
      <c r="I34">
        <f t="shared" si="1"/>
        <v>0.20929773151874501</v>
      </c>
      <c r="J34">
        <f t="shared" si="2"/>
        <v>-9.5626659691333799E-2</v>
      </c>
      <c r="K34">
        <f t="shared" si="3"/>
        <v>-0.33798754215240501</v>
      </c>
      <c r="L34">
        <f t="shared" si="4"/>
        <v>-0.8543701171875</v>
      </c>
      <c r="M34">
        <f t="shared" si="5"/>
        <v>-0.97470813989639304</v>
      </c>
    </row>
    <row r="35" spans="1:13" x14ac:dyDescent="0.25">
      <c r="A35">
        <v>-1.0263080596923799</v>
      </c>
      <c r="B35">
        <v>0.71507501602172896</v>
      </c>
      <c r="C35">
        <v>-0.53383183479309104</v>
      </c>
      <c r="D35">
        <v>-0.12704449892044101</v>
      </c>
      <c r="E35">
        <v>-0.23577138781547499</v>
      </c>
      <c r="F35">
        <v>-5.3540230728685899E-3</v>
      </c>
      <c r="H35">
        <f t="shared" si="0"/>
        <v>-5.3540230728685899E-3</v>
      </c>
      <c r="I35">
        <f t="shared" si="1"/>
        <v>0.23577138781547499</v>
      </c>
      <c r="J35">
        <f t="shared" si="2"/>
        <v>-0.12704449892044101</v>
      </c>
      <c r="K35">
        <f t="shared" si="3"/>
        <v>-0.53383183479309104</v>
      </c>
      <c r="L35">
        <f t="shared" si="4"/>
        <v>-0.71507501602172896</v>
      </c>
      <c r="M35">
        <f t="shared" si="5"/>
        <v>-1.0263080596923799</v>
      </c>
    </row>
    <row r="36" spans="1:13" x14ac:dyDescent="0.25">
      <c r="A36">
        <v>-0.222265124320984</v>
      </c>
      <c r="B36">
        <v>0.322286486625671</v>
      </c>
      <c r="C36">
        <v>-3.2015025615692097E-2</v>
      </c>
      <c r="D36">
        <v>-4.9739588052034399E-2</v>
      </c>
      <c r="E36">
        <v>-6.0080211609602002E-2</v>
      </c>
      <c r="F36">
        <v>-1.7680961173027799E-3</v>
      </c>
      <c r="H36">
        <f t="shared" si="0"/>
        <v>-1.7680961173027799E-3</v>
      </c>
      <c r="I36">
        <f t="shared" si="1"/>
        <v>6.0080211609602002E-2</v>
      </c>
      <c r="J36">
        <f t="shared" si="2"/>
        <v>-4.9739588052034399E-2</v>
      </c>
      <c r="K36">
        <f t="shared" si="3"/>
        <v>-3.2015025615692097E-2</v>
      </c>
      <c r="L36">
        <f t="shared" si="4"/>
        <v>-0.322286486625671</v>
      </c>
      <c r="M36">
        <f t="shared" si="5"/>
        <v>-0.222265124320984</v>
      </c>
    </row>
    <row r="37" spans="1:13" x14ac:dyDescent="0.25">
      <c r="A37">
        <v>-0.63768112659454301</v>
      </c>
      <c r="B37">
        <v>0.22871214151382399</v>
      </c>
      <c r="C37">
        <v>-0.50677508115768399</v>
      </c>
      <c r="D37">
        <v>-3.9002325385808903E-2</v>
      </c>
      <c r="E37">
        <v>-0.209005877375603</v>
      </c>
      <c r="F37">
        <v>-7.3416158556938198E-5</v>
      </c>
      <c r="H37">
        <f t="shared" si="0"/>
        <v>-7.3416158556938198E-5</v>
      </c>
      <c r="I37">
        <f t="shared" si="1"/>
        <v>0.209005877375603</v>
      </c>
      <c r="J37">
        <f t="shared" si="2"/>
        <v>-3.9002325385808903E-2</v>
      </c>
      <c r="K37">
        <f t="shared" si="3"/>
        <v>-0.50677508115768399</v>
      </c>
      <c r="L37">
        <f t="shared" si="4"/>
        <v>-0.22871214151382399</v>
      </c>
      <c r="M37">
        <f t="shared" si="5"/>
        <v>-0.63768112659454301</v>
      </c>
    </row>
    <row r="38" spans="1:13" x14ac:dyDescent="0.25">
      <c r="A38">
        <v>-0.99801015853881803</v>
      </c>
      <c r="B38">
        <v>-7.6181143522262599E-3</v>
      </c>
      <c r="C38">
        <v>-3.8502156734466601E-2</v>
      </c>
      <c r="D38">
        <v>1.77300837822258E-3</v>
      </c>
      <c r="E38">
        <v>-0.11752788722515101</v>
      </c>
      <c r="F38">
        <v>1.8433155491948101E-4</v>
      </c>
      <c r="H38">
        <f t="shared" si="0"/>
        <v>1.8433155491948101E-4</v>
      </c>
      <c r="I38">
        <f t="shared" si="1"/>
        <v>0.11752788722515101</v>
      </c>
      <c r="J38">
        <f t="shared" si="2"/>
        <v>1.77300837822258E-3</v>
      </c>
      <c r="K38">
        <f t="shared" si="3"/>
        <v>-3.8502156734466601E-2</v>
      </c>
      <c r="L38">
        <f t="shared" si="4"/>
        <v>7.6181143522262599E-3</v>
      </c>
      <c r="M38">
        <f t="shared" si="5"/>
        <v>-0.99801015853881803</v>
      </c>
    </row>
    <row r="39" spans="1:13" x14ac:dyDescent="0.25">
      <c r="A39">
        <v>-1.1885303258895901</v>
      </c>
      <c r="B39">
        <v>0.10896006226539599</v>
      </c>
      <c r="C39">
        <v>-0.47105222940444902</v>
      </c>
      <c r="D39">
        <v>-1.6046434640884399E-2</v>
      </c>
      <c r="E39">
        <v>-0.27689665555954002</v>
      </c>
      <c r="F39">
        <v>-5.2668377757072397E-3</v>
      </c>
      <c r="H39">
        <f t="shared" si="0"/>
        <v>-5.2668377757072397E-3</v>
      </c>
      <c r="I39">
        <f t="shared" si="1"/>
        <v>0.27689665555954002</v>
      </c>
      <c r="J39">
        <f t="shared" si="2"/>
        <v>-1.6046434640884399E-2</v>
      </c>
      <c r="K39">
        <f t="shared" si="3"/>
        <v>-0.47105222940444902</v>
      </c>
      <c r="L39">
        <f t="shared" si="4"/>
        <v>-0.10896006226539599</v>
      </c>
      <c r="M39">
        <f t="shared" si="5"/>
        <v>-1.1885303258895901</v>
      </c>
    </row>
    <row r="40" spans="1:13" x14ac:dyDescent="0.25">
      <c r="A40">
        <v>-0.66350710391998302</v>
      </c>
      <c r="B40">
        <v>0.81574249267578103</v>
      </c>
      <c r="C40">
        <v>-0.68777251243591297</v>
      </c>
      <c r="D40">
        <v>-9.4180338084697696E-2</v>
      </c>
      <c r="E40">
        <v>-0.239984765648842</v>
      </c>
      <c r="F40">
        <v>-1.2570786289870701E-2</v>
      </c>
      <c r="H40">
        <f t="shared" si="0"/>
        <v>-1.2570786289870701E-2</v>
      </c>
      <c r="I40">
        <f t="shared" si="1"/>
        <v>0.239984765648842</v>
      </c>
      <c r="J40">
        <f t="shared" si="2"/>
        <v>-9.4180338084697696E-2</v>
      </c>
      <c r="K40">
        <f t="shared" si="3"/>
        <v>-0.68777251243591297</v>
      </c>
      <c r="L40">
        <f t="shared" si="4"/>
        <v>-0.81574249267578103</v>
      </c>
      <c r="M40">
        <f t="shared" si="5"/>
        <v>-0.66350710391998302</v>
      </c>
    </row>
    <row r="41" spans="1:13" x14ac:dyDescent="0.25">
      <c r="A41">
        <v>-0.207838654518127</v>
      </c>
      <c r="B41">
        <v>8.5683420300483704E-2</v>
      </c>
      <c r="C41">
        <v>-3.8537099957466098E-2</v>
      </c>
      <c r="D41">
        <v>-1.43192345276475E-2</v>
      </c>
      <c r="E41">
        <v>-5.42946308851242E-2</v>
      </c>
      <c r="F41">
        <v>2.25764350034297E-4</v>
      </c>
      <c r="H41">
        <f t="shared" si="0"/>
        <v>2.25764350034297E-4</v>
      </c>
      <c r="I41">
        <f t="shared" si="1"/>
        <v>5.42946308851242E-2</v>
      </c>
      <c r="J41">
        <f t="shared" si="2"/>
        <v>-1.43192345276475E-2</v>
      </c>
      <c r="K41">
        <f t="shared" si="3"/>
        <v>-3.8537099957466098E-2</v>
      </c>
      <c r="L41">
        <f t="shared" si="4"/>
        <v>-8.5683420300483704E-2</v>
      </c>
      <c r="M41">
        <f t="shared" si="5"/>
        <v>-0.207838654518127</v>
      </c>
    </row>
    <row r="42" spans="1:13" x14ac:dyDescent="0.25">
      <c r="A42">
        <v>-1.17376625537872</v>
      </c>
      <c r="B42">
        <v>2.7135983109474199E-2</v>
      </c>
      <c r="C42">
        <v>-0.25940474867820701</v>
      </c>
      <c r="D42">
        <v>-3.3264472149312501E-3</v>
      </c>
      <c r="E42">
        <v>-0.22294643521308899</v>
      </c>
      <c r="F42">
        <v>2.13603163138032E-3</v>
      </c>
      <c r="H42">
        <f t="shared" si="0"/>
        <v>2.13603163138032E-3</v>
      </c>
      <c r="I42">
        <f t="shared" si="1"/>
        <v>0.22294643521308899</v>
      </c>
      <c r="J42">
        <f t="shared" si="2"/>
        <v>-3.3264472149312501E-3</v>
      </c>
      <c r="K42">
        <f t="shared" si="3"/>
        <v>-0.25940474867820701</v>
      </c>
      <c r="L42">
        <f t="shared" si="4"/>
        <v>-2.7135983109474199E-2</v>
      </c>
      <c r="M42">
        <f t="shared" si="5"/>
        <v>-1.17376625537872</v>
      </c>
    </row>
    <row r="43" spans="1:13" x14ac:dyDescent="0.25">
      <c r="A43">
        <v>-1.0569527745246899E-2</v>
      </c>
      <c r="B43">
        <v>0.140231847763062</v>
      </c>
      <c r="C43">
        <v>-6.7896731197834001E-2</v>
      </c>
      <c r="D43">
        <v>-1.5967145562171901E-2</v>
      </c>
      <c r="E43">
        <v>2.5537339970469501E-3</v>
      </c>
      <c r="F43">
        <v>4.9941525794565704E-3</v>
      </c>
      <c r="H43">
        <f t="shared" si="0"/>
        <v>4.9941525794565704E-3</v>
      </c>
      <c r="I43">
        <f t="shared" si="1"/>
        <v>-2.5537339970469501E-3</v>
      </c>
      <c r="J43">
        <f t="shared" si="2"/>
        <v>-1.5967145562171901E-2</v>
      </c>
      <c r="K43">
        <f t="shared" si="3"/>
        <v>-6.7896731197834001E-2</v>
      </c>
      <c r="L43">
        <f t="shared" si="4"/>
        <v>-0.140231847763062</v>
      </c>
      <c r="M43">
        <f t="shared" si="5"/>
        <v>-1.0569527745246899E-2</v>
      </c>
    </row>
    <row r="44" spans="1:13" x14ac:dyDescent="0.25">
      <c r="A44">
        <v>-0.96642386913299605</v>
      </c>
      <c r="B44">
        <v>1.0179207324981701</v>
      </c>
      <c r="C44">
        <v>-0.95730906724929798</v>
      </c>
      <c r="D44">
        <v>-0.247706294059753</v>
      </c>
      <c r="E44">
        <v>-0.26014894247055098</v>
      </c>
      <c r="F44">
        <v>-3.93409747630358E-3</v>
      </c>
      <c r="H44">
        <f t="shared" si="0"/>
        <v>-3.93409747630358E-3</v>
      </c>
      <c r="I44">
        <f t="shared" si="1"/>
        <v>0.26014894247055098</v>
      </c>
      <c r="J44">
        <f t="shared" si="2"/>
        <v>-0.247706294059753</v>
      </c>
      <c r="K44">
        <f t="shared" si="3"/>
        <v>-0.95730906724929798</v>
      </c>
      <c r="L44">
        <f t="shared" si="4"/>
        <v>-1.0179207324981701</v>
      </c>
      <c r="M44">
        <f t="shared" si="5"/>
        <v>-0.96642386913299605</v>
      </c>
    </row>
  </sheetData>
  <mergeCells count="2">
    <mergeCell ref="A1:F1"/>
    <mergeCell ref="H1:M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2b20bf0-79f3-4559-a8ab-bcb74dcd8cd8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2580AD17ADB64691A1BA4C2E042DA4" ma:contentTypeVersion="18" ma:contentTypeDescription="Create a new document." ma:contentTypeScope="" ma:versionID="6532fc6a52f3455fe895a4f720bca71c">
  <xsd:schema xmlns:xsd="http://www.w3.org/2001/XMLSchema" xmlns:xs="http://www.w3.org/2001/XMLSchema" xmlns:p="http://schemas.microsoft.com/office/2006/metadata/properties" xmlns:ns3="c2b20bf0-79f3-4559-a8ab-bcb74dcd8cd8" xmlns:ns4="08a9f8ec-165a-4165-a8e9-ed45c2de7bcb" targetNamespace="http://schemas.microsoft.com/office/2006/metadata/properties" ma:root="true" ma:fieldsID="d9a2f75daf18a7097de825f86ff3fec6" ns3:_="" ns4:_="">
    <xsd:import namespace="c2b20bf0-79f3-4559-a8ab-bcb74dcd8cd8"/>
    <xsd:import namespace="08a9f8ec-165a-4165-a8e9-ed45c2de7bc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OCR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KeyPoints" minOccurs="0"/>
                <xsd:element ref="ns3:MediaServiceKeyPoint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2b20bf0-79f3-4559-a8ab-bcb74dcd8cd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25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8a9f8ec-165a-4165-a8e9-ed45c2de7bcb" elementFormDefault="qualified">
    <xsd:import namespace="http://schemas.microsoft.com/office/2006/documentManagement/types"/>
    <xsd:import namespace="http://schemas.microsoft.com/office/infopath/2007/PartnerControls"/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5" nillable="true" ma:displayName="Sharing Hint Hash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E208467-E14A-4CB9-9FC8-72DFB8E94FF2}">
  <ds:schemaRefs>
    <ds:schemaRef ds:uri="c2b20bf0-79f3-4559-a8ab-bcb74dcd8cd8"/>
    <ds:schemaRef ds:uri="http://purl.org/dc/dcmitype/"/>
    <ds:schemaRef ds:uri="http://purl.org/dc/terms/"/>
    <ds:schemaRef ds:uri="http://schemas.microsoft.com/office/2006/documentManagement/types"/>
    <ds:schemaRef ds:uri="08a9f8ec-165a-4165-a8e9-ed45c2de7bcb"/>
    <ds:schemaRef ds:uri="http://schemas.microsoft.com/office/infopath/2007/PartnerControls"/>
    <ds:schemaRef ds:uri="http://www.w3.org/XML/1998/namespace"/>
    <ds:schemaRef ds:uri="http://schemas.openxmlformats.org/package/2006/metadata/core-properties"/>
    <ds:schemaRef ds:uri="http://schemas.microsoft.com/office/2006/metadata/properties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2D595912-0053-4104-933F-CDA3B3DBC546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5923CC5-95C4-4597-AADE-A0DCE38786F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2b20bf0-79f3-4559-a8ab-bcb74dcd8cd8"/>
    <ds:schemaRef ds:uri="08a9f8ec-165a-4165-a8e9-ed45c2de7bc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Proximal Validation (double)</vt:lpstr>
      <vt:lpstr>Distal Vali (double, simulated)</vt:lpstr>
      <vt:lpstr>Distal Vali (double, tight)</vt:lpstr>
      <vt:lpstr>Distal Vali (double, sim, 2to1)</vt:lpstr>
      <vt:lpstr>Distal Vali (double, loose)</vt:lpstr>
      <vt:lpstr>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Jones</dc:creator>
  <cp:lastModifiedBy>Noah Jones</cp:lastModifiedBy>
  <cp:lastPrinted>2025-10-04T05:05:52Z</cp:lastPrinted>
  <dcterms:created xsi:type="dcterms:W3CDTF">2025-08-20T18:12:27Z</dcterms:created>
  <dcterms:modified xsi:type="dcterms:W3CDTF">2025-10-08T04:56:43Z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0x010100E12580AD17ADB64691A1BA4C2E042DA4</vt:lpwstr>
  </property>
</Properties>
</file>