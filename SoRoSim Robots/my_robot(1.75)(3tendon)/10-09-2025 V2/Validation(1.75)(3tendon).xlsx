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75)(3tendon)/10-09-2025 V2/"/>
    </mc:Choice>
  </mc:AlternateContent>
  <xr:revisionPtr revIDLastSave="2051" documentId="8_{DFFD6B0C-681F-42C8-B2E4-5D4B90AAE966}" xr6:coauthVersionLast="47" xr6:coauthVersionMax="47" xr10:uidLastSave="{E8CF75C3-4B8C-4B9A-9E67-CE79D3F29DDA}"/>
  <bookViews>
    <workbookView xWindow="-110" yWindow="-110" windowWidth="19420" windowHeight="10300" firstSheet="2" activeTab="3" xr2:uid="{3D16C37F-3C74-4527-A308-796C339DFE9F}"/>
  </bookViews>
  <sheets>
    <sheet name="Proximal Validation (single)" sheetId="8" r:id="rId1"/>
    <sheet name="Distal Validation (single)" sheetId="9" r:id="rId2"/>
    <sheet name="Distal Vali (0.2 prop noise)" sheetId="12" r:id="rId3"/>
    <sheet name="Distal Vali (add noise)" sheetId="14" r:id="rId4"/>
    <sheet name="Sheet1" sheetId="13" r:id="rId5"/>
    <sheet name="Convers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4" l="1"/>
  <c r="L17" i="14"/>
  <c r="K17" i="14"/>
  <c r="J17" i="14"/>
  <c r="I17" i="14"/>
  <c r="H17" i="14"/>
  <c r="G17" i="14"/>
  <c r="F17" i="14"/>
  <c r="E17" i="14"/>
  <c r="D17" i="14"/>
  <c r="V17" i="14" s="1"/>
  <c r="C17" i="14"/>
  <c r="U17" i="14" s="1"/>
  <c r="B17" i="14"/>
  <c r="T17" i="14" s="1"/>
  <c r="A17" i="14"/>
  <c r="S17" i="14" s="1"/>
  <c r="S16" i="14"/>
  <c r="M16" i="14"/>
  <c r="L16" i="14"/>
  <c r="K16" i="14"/>
  <c r="J16" i="14"/>
  <c r="I16" i="14"/>
  <c r="H16" i="14"/>
  <c r="G16" i="14"/>
  <c r="F16" i="14"/>
  <c r="E16" i="14"/>
  <c r="D16" i="14"/>
  <c r="V16" i="14" s="1"/>
  <c r="C16" i="14"/>
  <c r="U16" i="14" s="1"/>
  <c r="B16" i="14"/>
  <c r="T16" i="14" s="1"/>
  <c r="A16" i="14"/>
  <c r="M15" i="14"/>
  <c r="L15" i="14"/>
  <c r="K15" i="14"/>
  <c r="J15" i="14"/>
  <c r="I15" i="14"/>
  <c r="H15" i="14"/>
  <c r="G15" i="14"/>
  <c r="F15" i="14"/>
  <c r="E15" i="14"/>
  <c r="D15" i="14"/>
  <c r="V15" i="14" s="1"/>
  <c r="C15" i="14"/>
  <c r="U15" i="14" s="1"/>
  <c r="B15" i="14"/>
  <c r="T15" i="14" s="1"/>
  <c r="A15" i="14"/>
  <c r="S15" i="14" s="1"/>
  <c r="M14" i="14"/>
  <c r="L14" i="14"/>
  <c r="K14" i="14"/>
  <c r="J14" i="14"/>
  <c r="I14" i="14"/>
  <c r="H14" i="14"/>
  <c r="G14" i="14"/>
  <c r="F14" i="14"/>
  <c r="E14" i="14"/>
  <c r="D14" i="14"/>
  <c r="V14" i="14" s="1"/>
  <c r="C14" i="14"/>
  <c r="U14" i="14" s="1"/>
  <c r="B14" i="14"/>
  <c r="T14" i="14" s="1"/>
  <c r="A14" i="14"/>
  <c r="S14" i="14" s="1"/>
  <c r="M13" i="14"/>
  <c r="L13" i="14"/>
  <c r="K13" i="14"/>
  <c r="J13" i="14"/>
  <c r="I13" i="14"/>
  <c r="H13" i="14"/>
  <c r="G13" i="14"/>
  <c r="F13" i="14"/>
  <c r="E13" i="14"/>
  <c r="D13" i="14"/>
  <c r="V13" i="14" s="1"/>
  <c r="C13" i="14"/>
  <c r="U13" i="14" s="1"/>
  <c r="B13" i="14"/>
  <c r="T13" i="14" s="1"/>
  <c r="A13" i="14"/>
  <c r="S13" i="14" s="1"/>
  <c r="U12" i="14"/>
  <c r="M12" i="14"/>
  <c r="L12" i="14"/>
  <c r="K12" i="14"/>
  <c r="J12" i="14"/>
  <c r="I12" i="14"/>
  <c r="H12" i="14"/>
  <c r="G12" i="14"/>
  <c r="F12" i="14"/>
  <c r="E12" i="14"/>
  <c r="D12" i="14"/>
  <c r="V12" i="14" s="1"/>
  <c r="C12" i="14"/>
  <c r="B12" i="14"/>
  <c r="T12" i="14" s="1"/>
  <c r="A12" i="14"/>
  <c r="S12" i="14" s="1"/>
  <c r="U11" i="14"/>
  <c r="S11" i="14"/>
  <c r="M11" i="14"/>
  <c r="L11" i="14"/>
  <c r="K11" i="14"/>
  <c r="J11" i="14"/>
  <c r="I11" i="14"/>
  <c r="H11" i="14"/>
  <c r="G11" i="14"/>
  <c r="F11" i="14"/>
  <c r="E11" i="14"/>
  <c r="D11" i="14"/>
  <c r="V11" i="14" s="1"/>
  <c r="C11" i="14"/>
  <c r="B11" i="14"/>
  <c r="T11" i="14" s="1"/>
  <c r="A11" i="14"/>
  <c r="S10" i="14"/>
  <c r="M10" i="14"/>
  <c r="L10" i="14"/>
  <c r="K10" i="14"/>
  <c r="J10" i="14"/>
  <c r="I10" i="14"/>
  <c r="H10" i="14"/>
  <c r="G10" i="14"/>
  <c r="F10" i="14"/>
  <c r="E10" i="14"/>
  <c r="D10" i="14"/>
  <c r="V10" i="14" s="1"/>
  <c r="C10" i="14"/>
  <c r="U10" i="14" s="1"/>
  <c r="B10" i="14"/>
  <c r="T10" i="14" s="1"/>
  <c r="A10" i="14"/>
  <c r="S9" i="14"/>
  <c r="M9" i="14"/>
  <c r="L9" i="14"/>
  <c r="K9" i="14"/>
  <c r="J9" i="14"/>
  <c r="I9" i="14"/>
  <c r="H9" i="14"/>
  <c r="G9" i="14"/>
  <c r="F9" i="14"/>
  <c r="E9" i="14"/>
  <c r="D9" i="14"/>
  <c r="V9" i="14" s="1"/>
  <c r="C9" i="14"/>
  <c r="U9" i="14" s="1"/>
  <c r="B9" i="14"/>
  <c r="T9" i="14" s="1"/>
  <c r="A9" i="14"/>
  <c r="V8" i="14"/>
  <c r="M8" i="14"/>
  <c r="L8" i="14"/>
  <c r="K8" i="14"/>
  <c r="J8" i="14"/>
  <c r="I8" i="14"/>
  <c r="H8" i="14"/>
  <c r="G8" i="14"/>
  <c r="F8" i="14"/>
  <c r="E8" i="14"/>
  <c r="D8" i="14"/>
  <c r="C8" i="14"/>
  <c r="U8" i="14" s="1"/>
  <c r="B8" i="14"/>
  <c r="T8" i="14" s="1"/>
  <c r="A8" i="14"/>
  <c r="S8" i="14" s="1"/>
  <c r="V7" i="14"/>
  <c r="M7" i="14"/>
  <c r="L7" i="14"/>
  <c r="K7" i="14"/>
  <c r="J7" i="14"/>
  <c r="I7" i="14"/>
  <c r="H7" i="14"/>
  <c r="G7" i="14"/>
  <c r="F7" i="14"/>
  <c r="E7" i="14"/>
  <c r="D7" i="14"/>
  <c r="C7" i="14"/>
  <c r="U7" i="14" s="1"/>
  <c r="B7" i="14"/>
  <c r="T7" i="14" s="1"/>
  <c r="A7" i="14"/>
  <c r="S7" i="14" s="1"/>
  <c r="V6" i="14"/>
  <c r="T6" i="14"/>
  <c r="M6" i="14"/>
  <c r="L6" i="14"/>
  <c r="K6" i="14"/>
  <c r="J6" i="14"/>
  <c r="I6" i="14"/>
  <c r="H6" i="14"/>
  <c r="G6" i="14"/>
  <c r="F6" i="14"/>
  <c r="E6" i="14"/>
  <c r="D6" i="14"/>
  <c r="C6" i="14"/>
  <c r="U6" i="14" s="1"/>
  <c r="B6" i="14"/>
  <c r="A6" i="14"/>
  <c r="S6" i="14" s="1"/>
  <c r="T5" i="14"/>
  <c r="M5" i="14"/>
  <c r="L5" i="14"/>
  <c r="K5" i="14"/>
  <c r="J5" i="14"/>
  <c r="I5" i="14"/>
  <c r="H5" i="14"/>
  <c r="G5" i="14"/>
  <c r="F5" i="14"/>
  <c r="E5" i="14"/>
  <c r="D5" i="14"/>
  <c r="V5" i="14" s="1"/>
  <c r="C5" i="14"/>
  <c r="U5" i="14" s="1"/>
  <c r="B5" i="14"/>
  <c r="A5" i="14"/>
  <c r="S5" i="14" s="1"/>
  <c r="V4" i="14"/>
  <c r="T4" i="14"/>
  <c r="M4" i="14"/>
  <c r="L4" i="14"/>
  <c r="K4" i="14"/>
  <c r="J4" i="14"/>
  <c r="I4" i="14"/>
  <c r="H4" i="14"/>
  <c r="G4" i="14"/>
  <c r="F4" i="14"/>
  <c r="E4" i="14"/>
  <c r="D4" i="14"/>
  <c r="C4" i="14"/>
  <c r="U4" i="14" s="1"/>
  <c r="B4" i="14"/>
  <c r="A4" i="14"/>
  <c r="S4" i="14" s="1"/>
  <c r="S3" i="14"/>
  <c r="M3" i="14"/>
  <c r="L3" i="14"/>
  <c r="K3" i="14"/>
  <c r="J3" i="14"/>
  <c r="I3" i="14"/>
  <c r="H3" i="14"/>
  <c r="G3" i="14"/>
  <c r="F3" i="14"/>
  <c r="E3" i="14"/>
  <c r="D3" i="14"/>
  <c r="V3" i="14" s="1"/>
  <c r="C3" i="14"/>
  <c r="U3" i="14" s="1"/>
  <c r="B3" i="14"/>
  <c r="T3" i="14" s="1"/>
  <c r="A3" i="14"/>
  <c r="X3" i="14" l="1"/>
  <c r="Y3" i="14"/>
  <c r="Y4" i="14" s="1"/>
  <c r="W3" i="14"/>
  <c r="Z3" i="14"/>
  <c r="Z4" i="14" s="1"/>
  <c r="S17" i="12" l="1"/>
  <c r="M17" i="12"/>
  <c r="L17" i="12"/>
  <c r="K17" i="12"/>
  <c r="J17" i="12"/>
  <c r="I17" i="12"/>
  <c r="H17" i="12"/>
  <c r="G17" i="12"/>
  <c r="F17" i="12"/>
  <c r="E17" i="12"/>
  <c r="D17" i="12"/>
  <c r="V17" i="12" s="1"/>
  <c r="C17" i="12"/>
  <c r="U17" i="12" s="1"/>
  <c r="B17" i="12"/>
  <c r="T17" i="12" s="1"/>
  <c r="A17" i="12"/>
  <c r="M16" i="12"/>
  <c r="L16" i="12"/>
  <c r="K16" i="12"/>
  <c r="J16" i="12"/>
  <c r="I16" i="12"/>
  <c r="H16" i="12"/>
  <c r="G16" i="12"/>
  <c r="F16" i="12"/>
  <c r="E16" i="12"/>
  <c r="D16" i="12"/>
  <c r="V16" i="12" s="1"/>
  <c r="C16" i="12"/>
  <c r="U16" i="12" s="1"/>
  <c r="B16" i="12"/>
  <c r="T16" i="12" s="1"/>
  <c r="A16" i="12"/>
  <c r="S16" i="12" s="1"/>
  <c r="M15" i="12"/>
  <c r="L15" i="12"/>
  <c r="K15" i="12"/>
  <c r="J15" i="12"/>
  <c r="I15" i="12"/>
  <c r="H15" i="12"/>
  <c r="G15" i="12"/>
  <c r="F15" i="12"/>
  <c r="E15" i="12"/>
  <c r="D15" i="12"/>
  <c r="V15" i="12" s="1"/>
  <c r="C15" i="12"/>
  <c r="U15" i="12" s="1"/>
  <c r="B15" i="12"/>
  <c r="T15" i="12" s="1"/>
  <c r="A15" i="12"/>
  <c r="S15" i="12" s="1"/>
  <c r="M14" i="12"/>
  <c r="L14" i="12"/>
  <c r="K14" i="12"/>
  <c r="J14" i="12"/>
  <c r="I14" i="12"/>
  <c r="H14" i="12"/>
  <c r="G14" i="12"/>
  <c r="F14" i="12"/>
  <c r="E14" i="12"/>
  <c r="D14" i="12"/>
  <c r="V14" i="12" s="1"/>
  <c r="C14" i="12"/>
  <c r="U14" i="12" s="1"/>
  <c r="B14" i="12"/>
  <c r="T14" i="12" s="1"/>
  <c r="A14" i="12"/>
  <c r="S14" i="12" s="1"/>
  <c r="M13" i="12"/>
  <c r="L13" i="12"/>
  <c r="K13" i="12"/>
  <c r="J13" i="12"/>
  <c r="I13" i="12"/>
  <c r="H13" i="12"/>
  <c r="G13" i="12"/>
  <c r="F13" i="12"/>
  <c r="E13" i="12"/>
  <c r="D13" i="12"/>
  <c r="V13" i="12" s="1"/>
  <c r="C13" i="12"/>
  <c r="U13" i="12" s="1"/>
  <c r="B13" i="12"/>
  <c r="T13" i="12" s="1"/>
  <c r="A13" i="12"/>
  <c r="S13" i="12" s="1"/>
  <c r="V12" i="12"/>
  <c r="M12" i="12"/>
  <c r="L12" i="12"/>
  <c r="K12" i="12"/>
  <c r="J12" i="12"/>
  <c r="I12" i="12"/>
  <c r="H12" i="12"/>
  <c r="G12" i="12"/>
  <c r="F12" i="12"/>
  <c r="E12" i="12"/>
  <c r="D12" i="12"/>
  <c r="C12" i="12"/>
  <c r="U12" i="12" s="1"/>
  <c r="B12" i="12"/>
  <c r="T12" i="12" s="1"/>
  <c r="A12" i="12"/>
  <c r="S12" i="12" s="1"/>
  <c r="U11" i="12"/>
  <c r="M11" i="12"/>
  <c r="L11" i="12"/>
  <c r="K11" i="12"/>
  <c r="J11" i="12"/>
  <c r="I11" i="12"/>
  <c r="H11" i="12"/>
  <c r="G11" i="12"/>
  <c r="F11" i="12"/>
  <c r="E11" i="12"/>
  <c r="D11" i="12"/>
  <c r="V11" i="12" s="1"/>
  <c r="C11" i="12"/>
  <c r="B11" i="12"/>
  <c r="T11" i="12" s="1"/>
  <c r="A11" i="12"/>
  <c r="S11" i="12" s="1"/>
  <c r="M10" i="12"/>
  <c r="L10" i="12"/>
  <c r="K10" i="12"/>
  <c r="J10" i="12"/>
  <c r="I10" i="12"/>
  <c r="H10" i="12"/>
  <c r="G10" i="12"/>
  <c r="F10" i="12"/>
  <c r="E10" i="12"/>
  <c r="D10" i="12"/>
  <c r="V10" i="12" s="1"/>
  <c r="C10" i="12"/>
  <c r="U10" i="12" s="1"/>
  <c r="B10" i="12"/>
  <c r="T10" i="12" s="1"/>
  <c r="A10" i="12"/>
  <c r="S10" i="12" s="1"/>
  <c r="M9" i="12"/>
  <c r="L9" i="12"/>
  <c r="K9" i="12"/>
  <c r="J9" i="12"/>
  <c r="I9" i="12"/>
  <c r="H9" i="12"/>
  <c r="G9" i="12"/>
  <c r="F9" i="12"/>
  <c r="E9" i="12"/>
  <c r="D9" i="12"/>
  <c r="V9" i="12" s="1"/>
  <c r="C9" i="12"/>
  <c r="U9" i="12" s="1"/>
  <c r="B9" i="12"/>
  <c r="T9" i="12" s="1"/>
  <c r="A9" i="12"/>
  <c r="S9" i="12" s="1"/>
  <c r="M8" i="12"/>
  <c r="L8" i="12"/>
  <c r="K8" i="12"/>
  <c r="J8" i="12"/>
  <c r="I8" i="12"/>
  <c r="H8" i="12"/>
  <c r="G8" i="12"/>
  <c r="F8" i="12"/>
  <c r="E8" i="12"/>
  <c r="D8" i="12"/>
  <c r="V8" i="12" s="1"/>
  <c r="C8" i="12"/>
  <c r="U8" i="12" s="1"/>
  <c r="B8" i="12"/>
  <c r="T8" i="12" s="1"/>
  <c r="A8" i="12"/>
  <c r="S8" i="12" s="1"/>
  <c r="M7" i="12"/>
  <c r="L7" i="12"/>
  <c r="K7" i="12"/>
  <c r="J7" i="12"/>
  <c r="I7" i="12"/>
  <c r="H7" i="12"/>
  <c r="G7" i="12"/>
  <c r="F7" i="12"/>
  <c r="E7" i="12"/>
  <c r="D7" i="12"/>
  <c r="V7" i="12" s="1"/>
  <c r="C7" i="12"/>
  <c r="U7" i="12" s="1"/>
  <c r="B7" i="12"/>
  <c r="T7" i="12" s="1"/>
  <c r="A7" i="12"/>
  <c r="S7" i="12" s="1"/>
  <c r="V6" i="12"/>
  <c r="M6" i="12"/>
  <c r="L6" i="12"/>
  <c r="K6" i="12"/>
  <c r="J6" i="12"/>
  <c r="I6" i="12"/>
  <c r="H6" i="12"/>
  <c r="G6" i="12"/>
  <c r="F6" i="12"/>
  <c r="E6" i="12"/>
  <c r="D6" i="12"/>
  <c r="C6" i="12"/>
  <c r="U6" i="12" s="1"/>
  <c r="B6" i="12"/>
  <c r="T6" i="12" s="1"/>
  <c r="A6" i="12"/>
  <c r="S6" i="12" s="1"/>
  <c r="U5" i="12"/>
  <c r="M5" i="12"/>
  <c r="L5" i="12"/>
  <c r="K5" i="12"/>
  <c r="J5" i="12"/>
  <c r="I5" i="12"/>
  <c r="H5" i="12"/>
  <c r="G5" i="12"/>
  <c r="F5" i="12"/>
  <c r="E5" i="12"/>
  <c r="D5" i="12"/>
  <c r="V5" i="12" s="1"/>
  <c r="C5" i="12"/>
  <c r="B5" i="12"/>
  <c r="T5" i="12" s="1"/>
  <c r="A5" i="12"/>
  <c r="S5" i="12" s="1"/>
  <c r="M4" i="12"/>
  <c r="L4" i="12"/>
  <c r="K4" i="12"/>
  <c r="J4" i="12"/>
  <c r="I4" i="12"/>
  <c r="H4" i="12"/>
  <c r="G4" i="12"/>
  <c r="F4" i="12"/>
  <c r="E4" i="12"/>
  <c r="D4" i="12"/>
  <c r="V4" i="12" s="1"/>
  <c r="C4" i="12"/>
  <c r="U4" i="12" s="1"/>
  <c r="B4" i="12"/>
  <c r="T4" i="12" s="1"/>
  <c r="A4" i="12"/>
  <c r="S4" i="12" s="1"/>
  <c r="M3" i="12"/>
  <c r="L3" i="12"/>
  <c r="K3" i="12"/>
  <c r="J3" i="12"/>
  <c r="I3" i="12"/>
  <c r="H3" i="12"/>
  <c r="G3" i="12"/>
  <c r="F3" i="12"/>
  <c r="E3" i="12"/>
  <c r="D3" i="12"/>
  <c r="V3" i="12" s="1"/>
  <c r="C3" i="12"/>
  <c r="U3" i="12" s="1"/>
  <c r="B3" i="12"/>
  <c r="T3" i="12" s="1"/>
  <c r="A3" i="12"/>
  <c r="S3" i="12" s="1"/>
  <c r="X3" i="12" l="1"/>
  <c r="W3" i="12"/>
  <c r="Y3" i="12"/>
  <c r="Y4" i="12" s="1"/>
  <c r="Z3" i="12"/>
  <c r="Z4" i="12" s="1"/>
  <c r="A3" i="9"/>
  <c r="S3" i="9" s="1"/>
  <c r="B3" i="9"/>
  <c r="T3" i="9" s="1"/>
  <c r="C3" i="9"/>
  <c r="U3" i="9" s="1"/>
  <c r="D3" i="9"/>
  <c r="V3" i="9" s="1"/>
  <c r="E3" i="9"/>
  <c r="F3" i="9"/>
  <c r="G3" i="9"/>
  <c r="H3" i="9"/>
  <c r="I3" i="9"/>
  <c r="J3" i="9"/>
  <c r="K3" i="9"/>
  <c r="L3" i="9"/>
  <c r="M3" i="9"/>
  <c r="A4" i="9"/>
  <c r="S4" i="9" s="1"/>
  <c r="B4" i="9"/>
  <c r="T4" i="9" s="1"/>
  <c r="C4" i="9"/>
  <c r="U4" i="9" s="1"/>
  <c r="D4" i="9"/>
  <c r="V4" i="9" s="1"/>
  <c r="E4" i="9"/>
  <c r="F4" i="9"/>
  <c r="G4" i="9"/>
  <c r="H4" i="9"/>
  <c r="I4" i="9"/>
  <c r="J4" i="9"/>
  <c r="K4" i="9"/>
  <c r="L4" i="9"/>
  <c r="M4" i="9"/>
  <c r="A5" i="9"/>
  <c r="S5" i="9" s="1"/>
  <c r="B5" i="9"/>
  <c r="T5" i="9" s="1"/>
  <c r="C5" i="9"/>
  <c r="U5" i="9" s="1"/>
  <c r="D5" i="9"/>
  <c r="V5" i="9" s="1"/>
  <c r="E5" i="9"/>
  <c r="F5" i="9"/>
  <c r="G5" i="9"/>
  <c r="H5" i="9"/>
  <c r="I5" i="9"/>
  <c r="J5" i="9"/>
  <c r="K5" i="9"/>
  <c r="L5" i="9"/>
  <c r="M5" i="9"/>
  <c r="A6" i="9"/>
  <c r="S6" i="9" s="1"/>
  <c r="B6" i="9"/>
  <c r="T6" i="9" s="1"/>
  <c r="C6" i="9"/>
  <c r="U6" i="9" s="1"/>
  <c r="D6" i="9"/>
  <c r="V6" i="9" s="1"/>
  <c r="E6" i="9"/>
  <c r="F6" i="9"/>
  <c r="G6" i="9"/>
  <c r="H6" i="9"/>
  <c r="I6" i="9"/>
  <c r="J6" i="9"/>
  <c r="K6" i="9"/>
  <c r="L6" i="9"/>
  <c r="M6" i="9"/>
  <c r="A7" i="9"/>
  <c r="S7" i="9" s="1"/>
  <c r="B7" i="9"/>
  <c r="T7" i="9" s="1"/>
  <c r="C7" i="9"/>
  <c r="U7" i="9" s="1"/>
  <c r="D7" i="9"/>
  <c r="V7" i="9" s="1"/>
  <c r="E7" i="9"/>
  <c r="F7" i="9"/>
  <c r="G7" i="9"/>
  <c r="H7" i="9"/>
  <c r="I7" i="9"/>
  <c r="J7" i="9"/>
  <c r="K7" i="9"/>
  <c r="L7" i="9"/>
  <c r="M7" i="9"/>
  <c r="A8" i="9"/>
  <c r="S8" i="9" s="1"/>
  <c r="B8" i="9"/>
  <c r="T8" i="9" s="1"/>
  <c r="C8" i="9"/>
  <c r="U8" i="9" s="1"/>
  <c r="D8" i="9"/>
  <c r="V8" i="9" s="1"/>
  <c r="E8" i="9"/>
  <c r="F8" i="9"/>
  <c r="G8" i="9"/>
  <c r="H8" i="9"/>
  <c r="I8" i="9"/>
  <c r="J8" i="9"/>
  <c r="K8" i="9"/>
  <c r="L8" i="9"/>
  <c r="M8" i="9"/>
  <c r="A9" i="9"/>
  <c r="S9" i="9" s="1"/>
  <c r="B9" i="9"/>
  <c r="T9" i="9" s="1"/>
  <c r="C9" i="9"/>
  <c r="U9" i="9" s="1"/>
  <c r="D9" i="9"/>
  <c r="V9" i="9" s="1"/>
  <c r="E9" i="9"/>
  <c r="F9" i="9"/>
  <c r="G9" i="9"/>
  <c r="H9" i="9"/>
  <c r="I9" i="9"/>
  <c r="J9" i="9"/>
  <c r="K9" i="9"/>
  <c r="L9" i="9"/>
  <c r="M9" i="9"/>
  <c r="A10" i="9"/>
  <c r="S10" i="9" s="1"/>
  <c r="B10" i="9"/>
  <c r="T10" i="9" s="1"/>
  <c r="C10" i="9"/>
  <c r="U10" i="9" s="1"/>
  <c r="D10" i="9"/>
  <c r="V10" i="9" s="1"/>
  <c r="E10" i="9"/>
  <c r="F10" i="9"/>
  <c r="G10" i="9"/>
  <c r="H10" i="9"/>
  <c r="I10" i="9"/>
  <c r="J10" i="9"/>
  <c r="K10" i="9"/>
  <c r="L10" i="9"/>
  <c r="M10" i="9"/>
  <c r="A11" i="9"/>
  <c r="S11" i="9" s="1"/>
  <c r="B11" i="9"/>
  <c r="T11" i="9" s="1"/>
  <c r="C11" i="9"/>
  <c r="U11" i="9" s="1"/>
  <c r="D11" i="9"/>
  <c r="V11" i="9" s="1"/>
  <c r="E11" i="9"/>
  <c r="F11" i="9"/>
  <c r="G11" i="9"/>
  <c r="H11" i="9"/>
  <c r="I11" i="9"/>
  <c r="J11" i="9"/>
  <c r="K11" i="9"/>
  <c r="L11" i="9"/>
  <c r="M11" i="9"/>
  <c r="A12" i="9"/>
  <c r="S12" i="9" s="1"/>
  <c r="B12" i="9"/>
  <c r="T12" i="9" s="1"/>
  <c r="C12" i="9"/>
  <c r="U12" i="9" s="1"/>
  <c r="D12" i="9"/>
  <c r="V12" i="9" s="1"/>
  <c r="E12" i="9"/>
  <c r="F12" i="9"/>
  <c r="G12" i="9"/>
  <c r="H12" i="9"/>
  <c r="I12" i="9"/>
  <c r="J12" i="9"/>
  <c r="K12" i="9"/>
  <c r="L12" i="9"/>
  <c r="M12" i="9"/>
  <c r="A13" i="9"/>
  <c r="S13" i="9" s="1"/>
  <c r="B13" i="9"/>
  <c r="T13" i="9" s="1"/>
  <c r="C13" i="9"/>
  <c r="U13" i="9" s="1"/>
  <c r="D13" i="9"/>
  <c r="V13" i="9" s="1"/>
  <c r="E13" i="9"/>
  <c r="F13" i="9"/>
  <c r="G13" i="9"/>
  <c r="H13" i="9"/>
  <c r="I13" i="9"/>
  <c r="J13" i="9"/>
  <c r="K13" i="9"/>
  <c r="L13" i="9"/>
  <c r="M13" i="9"/>
  <c r="A14" i="9"/>
  <c r="S14" i="9" s="1"/>
  <c r="B14" i="9"/>
  <c r="T14" i="9" s="1"/>
  <c r="C14" i="9"/>
  <c r="U14" i="9" s="1"/>
  <c r="D14" i="9"/>
  <c r="V14" i="9" s="1"/>
  <c r="E14" i="9"/>
  <c r="F14" i="9"/>
  <c r="G14" i="9"/>
  <c r="H14" i="9"/>
  <c r="I14" i="9"/>
  <c r="J14" i="9"/>
  <c r="K14" i="9"/>
  <c r="L14" i="9"/>
  <c r="M14" i="9"/>
  <c r="A15" i="9"/>
  <c r="S15" i="9" s="1"/>
  <c r="B15" i="9"/>
  <c r="T15" i="9" s="1"/>
  <c r="C15" i="9"/>
  <c r="U15" i="9" s="1"/>
  <c r="D15" i="9"/>
  <c r="V15" i="9" s="1"/>
  <c r="E15" i="9"/>
  <c r="F15" i="9"/>
  <c r="G15" i="9"/>
  <c r="H15" i="9"/>
  <c r="I15" i="9"/>
  <c r="J15" i="9"/>
  <c r="K15" i="9"/>
  <c r="L15" i="9"/>
  <c r="M15" i="9"/>
  <c r="A16" i="9"/>
  <c r="S16" i="9" s="1"/>
  <c r="B16" i="9"/>
  <c r="T16" i="9" s="1"/>
  <c r="C16" i="9"/>
  <c r="U16" i="9" s="1"/>
  <c r="D16" i="9"/>
  <c r="V16" i="9" s="1"/>
  <c r="E16" i="9"/>
  <c r="F16" i="9"/>
  <c r="G16" i="9"/>
  <c r="H16" i="9"/>
  <c r="I16" i="9"/>
  <c r="J16" i="9"/>
  <c r="K16" i="9"/>
  <c r="L16" i="9"/>
  <c r="M16" i="9"/>
  <c r="A17" i="9"/>
  <c r="S17" i="9" s="1"/>
  <c r="B17" i="9"/>
  <c r="T17" i="9" s="1"/>
  <c r="C17" i="9"/>
  <c r="U17" i="9" s="1"/>
  <c r="D17" i="9"/>
  <c r="V17" i="9" s="1"/>
  <c r="E17" i="9"/>
  <c r="F17" i="9"/>
  <c r="G17" i="9"/>
  <c r="H17" i="9"/>
  <c r="I17" i="9"/>
  <c r="J17" i="9"/>
  <c r="K17" i="9"/>
  <c r="L17" i="9"/>
  <c r="M17" i="9"/>
  <c r="Y3" i="9" l="1"/>
  <c r="Y4" i="9" s="1"/>
  <c r="Z3" i="9"/>
  <c r="Z4" i="9" s="1"/>
  <c r="X3" i="9"/>
  <c r="W3" i="9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7" i="4"/>
  <c r="I27" i="4"/>
  <c r="J27" i="4"/>
  <c r="K27" i="4"/>
  <c r="L27" i="4"/>
  <c r="M27" i="4"/>
  <c r="H28" i="4"/>
  <c r="I28" i="4"/>
  <c r="J28" i="4"/>
  <c r="K28" i="4"/>
  <c r="L28" i="4"/>
  <c r="M28" i="4"/>
  <c r="H22" i="4"/>
  <c r="I22" i="4"/>
  <c r="J22" i="4"/>
  <c r="K22" i="4"/>
  <c r="L22" i="4"/>
  <c r="M22" i="4"/>
  <c r="H23" i="4"/>
  <c r="I23" i="4"/>
  <c r="J23" i="4"/>
  <c r="K23" i="4"/>
  <c r="L23" i="4"/>
  <c r="M23" i="4"/>
  <c r="W17" i="8"/>
  <c r="X16" i="8"/>
  <c r="W16" i="8"/>
  <c r="V16" i="8"/>
  <c r="U16" i="8"/>
  <c r="T16" i="8"/>
  <c r="W15" i="8"/>
  <c r="V15" i="8"/>
  <c r="Y17" i="8"/>
  <c r="X17" i="8"/>
  <c r="V17" i="8"/>
  <c r="U17" i="8"/>
  <c r="T17" i="8"/>
  <c r="Y16" i="8"/>
  <c r="Y15" i="8"/>
  <c r="X15" i="8"/>
  <c r="U15" i="8"/>
  <c r="T15" i="8"/>
  <c r="Y14" i="8"/>
  <c r="X14" i="8"/>
  <c r="W14" i="8"/>
  <c r="V14" i="8"/>
  <c r="U14" i="8"/>
  <c r="T14" i="8"/>
  <c r="Y13" i="8"/>
  <c r="X13" i="8"/>
  <c r="W13" i="8"/>
  <c r="V13" i="8"/>
  <c r="U13" i="8"/>
  <c r="T13" i="8"/>
  <c r="Y12" i="8"/>
  <c r="X12" i="8"/>
  <c r="W12" i="8"/>
  <c r="V12" i="8"/>
  <c r="U12" i="8"/>
  <c r="T12" i="8"/>
  <c r="Y11" i="8"/>
  <c r="X11" i="8"/>
  <c r="W11" i="8"/>
  <c r="V11" i="8"/>
  <c r="U11" i="8"/>
  <c r="T11" i="8"/>
  <c r="Y10" i="8"/>
  <c r="X10" i="8"/>
  <c r="W10" i="8"/>
  <c r="V10" i="8"/>
  <c r="U10" i="8"/>
  <c r="T10" i="8"/>
  <c r="Y9" i="8"/>
  <c r="X9" i="8"/>
  <c r="W9" i="8"/>
  <c r="V9" i="8"/>
  <c r="U9" i="8"/>
  <c r="T9" i="8"/>
  <c r="Y8" i="8"/>
  <c r="X8" i="8"/>
  <c r="W8" i="8"/>
  <c r="V8" i="8"/>
  <c r="U8" i="8"/>
  <c r="T8" i="8"/>
  <c r="Y7" i="8"/>
  <c r="X7" i="8"/>
  <c r="W7" i="8"/>
  <c r="V7" i="8"/>
  <c r="U7" i="8"/>
  <c r="T7" i="8"/>
  <c r="Y6" i="8"/>
  <c r="X6" i="8"/>
  <c r="W6" i="8"/>
  <c r="V6" i="8"/>
  <c r="U6" i="8"/>
  <c r="T6" i="8"/>
  <c r="Y5" i="8"/>
  <c r="X5" i="8"/>
  <c r="W5" i="8"/>
  <c r="V5" i="8"/>
  <c r="U5" i="8"/>
  <c r="T5" i="8"/>
  <c r="Y4" i="8"/>
  <c r="X4" i="8"/>
  <c r="W4" i="8"/>
  <c r="V4" i="8"/>
  <c r="U4" i="8"/>
  <c r="T4" i="8"/>
  <c r="Y3" i="8"/>
  <c r="X3" i="8"/>
  <c r="W3" i="8"/>
  <c r="V3" i="8"/>
  <c r="U3" i="8"/>
  <c r="T3" i="8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</calcChain>
</file>

<file path=xl/sharedStrings.xml><?xml version="1.0" encoding="utf-8"?>
<sst xmlns="http://schemas.openxmlformats.org/spreadsheetml/2006/main" count="136" uniqueCount="33">
  <si>
    <t>Fx (N)</t>
  </si>
  <si>
    <t>Fy (N)</t>
  </si>
  <si>
    <t>Fz (N)</t>
  </si>
  <si>
    <t>Tx (Nm)</t>
  </si>
  <si>
    <t>Ty (Nm)</t>
  </si>
  <si>
    <t>Tz(Nm)</t>
  </si>
  <si>
    <t>6-Axis FT Sensor</t>
  </si>
  <si>
    <t>F (N)</t>
  </si>
  <si>
    <t>s (m)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</si>
  <si>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</si>
  <si>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</si>
  <si>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</si>
  <si>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</si>
  <si>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</si>
  <si>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</si>
  <si>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</si>
  <si>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</si>
  <si>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</si>
  <si>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</si>
  <si>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</si>
  <si>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</si>
  <si>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</si>
  <si>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</si>
  <si>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</si>
  <si>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</si>
  <si>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roll (rad)</t>
  </si>
  <si>
    <t>pitch (deg)</t>
  </si>
  <si>
    <t>f_final</t>
  </si>
  <si>
    <t>Force Error</t>
  </si>
  <si>
    <t>Position Error</t>
  </si>
  <si>
    <t>Mean Average Error</t>
  </si>
  <si>
    <t>Roll Error</t>
  </si>
  <si>
    <t>Pitch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</si>
</sst>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30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1" fillId="6" borderId="1" xfId="0" applyFont="1" applyFill="1" applyBorder="1" applyAlignment="1">
      <alignment wrapText="1"/>
    </xf>
    <xf numFmtId="11" fontId="0" fillId="0" borderId="0" xfId="0" applyNumberFormat="1"/>
    <xf numFmtId="0" fontId="1" fillId="4" borderId="1" xfId="0" applyFont="1" applyFill="1" applyBorder="1" applyAlignment="1">
      <alignment horizontal="center"/>
    </xf>
    <xf numFmtId="166" fontId="2" fillId="8" borderId="1" xfId="0" applyNumberFormat="1" applyFont="1" applyFill="1" applyBorder="1"/>
    <xf numFmtId="165" fontId="2" fillId="8" borderId="1" xfId="0" applyNumberFormat="1" applyFont="1" applyFill="1" applyBorder="1"/>
    <xf numFmtId="164" fontId="2" fillId="8" borderId="1" xfId="0" applyNumberFormat="1" applyFont="1" applyFill="1" applyBorder="1"/>
    <xf numFmtId="11" fontId="2" fillId="8" borderId="1" xfId="0" applyNumberFormat="1" applyFont="1" applyFill="1" applyBorder="1"/>
    <xf numFmtId="164" fontId="3" fillId="9" borderId="1" xfId="1" applyNumberForma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166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4A24-01F9-43FA-AE7F-5A1710EEAA53}">
  <dimension ref="A1:Y17"/>
  <sheetViews>
    <sheetView workbookViewId="0">
      <selection activeCell="E19" sqref="E19"/>
    </sheetView>
  </sheetViews>
  <sheetFormatPr defaultRowHeight="14.5" x14ac:dyDescent="0.35"/>
  <cols>
    <col min="4" max="4" width="10.81640625" bestFit="1" customWidth="1"/>
  </cols>
  <sheetData>
    <row r="1" spans="1:25" ht="16" x14ac:dyDescent="0.4">
      <c r="A1" s="12" t="s">
        <v>13</v>
      </c>
      <c r="B1" s="12"/>
      <c r="C1" s="12"/>
      <c r="D1" s="12"/>
      <c r="E1" s="12"/>
      <c r="F1" s="12"/>
      <c r="G1" s="13"/>
      <c r="H1" s="14" t="s">
        <v>6</v>
      </c>
      <c r="I1" s="15"/>
      <c r="J1" s="15"/>
      <c r="K1" s="15"/>
      <c r="L1" s="15"/>
      <c r="M1" s="15"/>
      <c r="N1" s="16" t="s">
        <v>14</v>
      </c>
      <c r="O1" s="17"/>
      <c r="P1" s="17"/>
      <c r="Q1" s="17"/>
      <c r="R1" s="17"/>
      <c r="S1" s="17"/>
      <c r="T1" s="18" t="s">
        <v>16</v>
      </c>
      <c r="U1" s="19"/>
      <c r="V1" s="19"/>
      <c r="W1" s="19"/>
      <c r="X1" s="19"/>
      <c r="Y1" s="20"/>
    </row>
    <row r="2" spans="1:25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2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3" t="s">
        <v>3</v>
      </c>
      <c r="O2" s="1" t="s">
        <v>4</v>
      </c>
      <c r="P2" s="1" t="s">
        <v>5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0</v>
      </c>
      <c r="X2" s="1" t="s">
        <v>1</v>
      </c>
      <c r="Y2" s="1" t="s">
        <v>2</v>
      </c>
    </row>
    <row r="3" spans="1:25" x14ac:dyDescent="0.35">
      <c r="A3" s="11">
        <v>0.3</v>
      </c>
      <c r="B3" s="11">
        <v>0.08</v>
      </c>
      <c r="C3" s="11">
        <v>1.571</v>
      </c>
      <c r="D3" s="11">
        <v>0.78500000000000003</v>
      </c>
      <c r="E3" s="11">
        <v>1.4</v>
      </c>
      <c r="F3" s="11">
        <v>0</v>
      </c>
      <c r="G3" s="11">
        <v>0</v>
      </c>
      <c r="H3" s="9">
        <v>-1.5595351578667801E-4</v>
      </c>
      <c r="I3" s="9">
        <v>-3.4215424209833097E-2</v>
      </c>
      <c r="J3" s="9">
        <v>-1.4112447388470199E-7</v>
      </c>
      <c r="K3" s="9">
        <v>0.19788618385791801</v>
      </c>
      <c r="L3" s="9">
        <v>-3.1988471746444702E-3</v>
      </c>
      <c r="M3" s="9">
        <v>0.198836579918861</v>
      </c>
      <c r="N3" s="9">
        <v>3.4924465246255259E-4</v>
      </c>
      <c r="O3" s="9">
        <v>-3.7526672584308418E-2</v>
      </c>
      <c r="P3" s="9">
        <v>1.115835309997283E-3</v>
      </c>
      <c r="Q3" s="9">
        <v>0.19907962159473458</v>
      </c>
      <c r="R3" s="9">
        <v>8.5059070766819855E-3</v>
      </c>
      <c r="S3" s="9">
        <v>0.22426396273514179</v>
      </c>
      <c r="T3" s="7">
        <f t="shared" ref="T3:Y17" si="0">ABS(H3-N3)</f>
        <v>5.0519816824923063E-4</v>
      </c>
      <c r="U3" s="7">
        <f t="shared" si="0"/>
        <v>3.3112483744753216E-3</v>
      </c>
      <c r="V3" s="7">
        <f t="shared" si="0"/>
        <v>1.1159764344711677E-3</v>
      </c>
      <c r="W3" s="7">
        <f t="shared" si="0"/>
        <v>1.1934377368165716E-3</v>
      </c>
      <c r="X3" s="7">
        <f t="shared" si="0"/>
        <v>1.1704754251326456E-2</v>
      </c>
      <c r="Y3" s="7">
        <f t="shared" si="0"/>
        <v>2.5427382816280791E-2</v>
      </c>
    </row>
    <row r="4" spans="1:25" x14ac:dyDescent="0.35">
      <c r="A4" s="11">
        <v>0.4</v>
      </c>
      <c r="B4" s="11">
        <v>0.14000000000000001</v>
      </c>
      <c r="C4" s="11">
        <v>1.571</v>
      </c>
      <c r="D4" s="11">
        <v>0.78500000000000003</v>
      </c>
      <c r="E4" s="11">
        <v>0</v>
      </c>
      <c r="F4" s="11">
        <v>0</v>
      </c>
      <c r="G4" s="11">
        <v>0</v>
      </c>
      <c r="H4" s="9">
        <v>-2.4353998014703401E-4</v>
      </c>
      <c r="I4" s="9">
        <v>-5.8889582753181499E-2</v>
      </c>
      <c r="J4" s="9">
        <v>-5.9254060033708797E-5</v>
      </c>
      <c r="K4" s="9">
        <v>0.25050288438797003</v>
      </c>
      <c r="L4" s="9">
        <v>9.8302215337753296E-4</v>
      </c>
      <c r="M4" s="9">
        <v>0.25498384237289401</v>
      </c>
      <c r="N4" s="9">
        <v>-1.3400929765668843E-22</v>
      </c>
      <c r="O4" s="9">
        <v>-7.0452667049887535E-2</v>
      </c>
      <c r="P4" s="9">
        <v>-1.434932070454511E-5</v>
      </c>
      <c r="Q4" s="9">
        <v>0.23762857478771687</v>
      </c>
      <c r="R4" s="9">
        <v>-6.5534877214127956E-5</v>
      </c>
      <c r="S4" s="9">
        <v>0.32176484027287527</v>
      </c>
      <c r="T4" s="7">
        <f t="shared" si="0"/>
        <v>2.4353998014703401E-4</v>
      </c>
      <c r="U4" s="7">
        <f t="shared" si="0"/>
        <v>1.1563084296706036E-2</v>
      </c>
      <c r="V4" s="7">
        <f t="shared" si="0"/>
        <v>4.4904739329163689E-5</v>
      </c>
      <c r="W4" s="7">
        <f t="shared" si="0"/>
        <v>1.2874309600253153E-2</v>
      </c>
      <c r="X4" s="7">
        <f t="shared" si="0"/>
        <v>1.048557030591661E-3</v>
      </c>
      <c r="Y4" s="7">
        <f t="shared" si="0"/>
        <v>6.6780997899981265E-2</v>
      </c>
    </row>
    <row r="5" spans="1:25" x14ac:dyDescent="0.35">
      <c r="A5" s="11">
        <v>0.6</v>
      </c>
      <c r="B5" s="11">
        <v>0.16</v>
      </c>
      <c r="C5" s="11">
        <v>1.571</v>
      </c>
      <c r="D5" s="11">
        <v>0.78500000000000003</v>
      </c>
      <c r="E5" s="11">
        <v>1.4</v>
      </c>
      <c r="F5" s="11">
        <v>0</v>
      </c>
      <c r="G5" s="11">
        <v>0</v>
      </c>
      <c r="H5" s="9">
        <v>2.2863354533910799E-3</v>
      </c>
      <c r="I5" s="9">
        <v>-0.11987078934907899</v>
      </c>
      <c r="J5" s="9">
        <v>-6.9630080834031096E-3</v>
      </c>
      <c r="K5" s="9">
        <v>0.31022596359252902</v>
      </c>
      <c r="L5" s="9">
        <v>-2.3233078420162201E-2</v>
      </c>
      <c r="M5" s="9">
        <v>0.50102174282073997</v>
      </c>
      <c r="N5" s="9">
        <v>2.8995644485214104E-3</v>
      </c>
      <c r="O5" s="9">
        <v>-0.12420912281761715</v>
      </c>
      <c r="P5" s="9">
        <v>6.116822668218236E-3</v>
      </c>
      <c r="Q5" s="9">
        <v>0.2513797304551178</v>
      </c>
      <c r="R5" s="9">
        <v>3.2630825272737363E-2</v>
      </c>
      <c r="S5" s="9">
        <v>0.54382018813639377</v>
      </c>
      <c r="T5" s="7">
        <f t="shared" si="0"/>
        <v>6.1322899513033052E-4</v>
      </c>
      <c r="U5" s="7">
        <f t="shared" si="0"/>
        <v>4.3383334685381525E-3</v>
      </c>
      <c r="V5" s="7">
        <f t="shared" si="0"/>
        <v>1.3079830751621346E-2</v>
      </c>
      <c r="W5" s="7">
        <f t="shared" si="0"/>
        <v>5.8846233137411219E-2</v>
      </c>
      <c r="X5" s="7">
        <f t="shared" si="0"/>
        <v>5.5863903692899564E-2</v>
      </c>
      <c r="Y5" s="7">
        <f t="shared" si="0"/>
        <v>4.2798445315653799E-2</v>
      </c>
    </row>
    <row r="6" spans="1:25" x14ac:dyDescent="0.35">
      <c r="A6" s="11">
        <v>0.4</v>
      </c>
      <c r="B6" s="11">
        <v>0.06</v>
      </c>
      <c r="C6" s="11">
        <v>1.571</v>
      </c>
      <c r="D6" s="11">
        <v>1.571</v>
      </c>
      <c r="E6" s="11">
        <v>1.4</v>
      </c>
      <c r="F6" s="11">
        <v>0</v>
      </c>
      <c r="G6" s="11">
        <v>0</v>
      </c>
      <c r="H6" s="9">
        <v>6.5225898288190397E-4</v>
      </c>
      <c r="I6" s="9">
        <v>-6.1197262257337598E-2</v>
      </c>
      <c r="J6" s="9">
        <v>-8.9818926062434901E-4</v>
      </c>
      <c r="K6" s="9">
        <v>-1.97219010442495E-3</v>
      </c>
      <c r="L6" s="9">
        <v>-5.79428672790527E-3</v>
      </c>
      <c r="M6" s="9">
        <v>0.38675421476364102</v>
      </c>
      <c r="N6" s="9">
        <v>3.6837550975932562E-4</v>
      </c>
      <c r="O6" s="9">
        <v>-5.988103782086391E-2</v>
      </c>
      <c r="P6" s="9">
        <v>-3.1737753537445188E-5</v>
      </c>
      <c r="Q6" s="9">
        <v>-2.2144283066930594E-2</v>
      </c>
      <c r="R6" s="9">
        <v>-3.4790357405383316E-4</v>
      </c>
      <c r="S6" s="9">
        <v>0.39938546210257025</v>
      </c>
      <c r="T6" s="7">
        <f t="shared" si="0"/>
        <v>2.8388347312257835E-4</v>
      </c>
      <c r="U6" s="7">
        <f t="shared" si="0"/>
        <v>1.3162244364736883E-3</v>
      </c>
      <c r="V6" s="7">
        <f t="shared" si="0"/>
        <v>8.6645150708690379E-4</v>
      </c>
      <c r="W6" s="7">
        <f t="shared" si="0"/>
        <v>2.0172092962505644E-2</v>
      </c>
      <c r="X6" s="7">
        <f t="shared" si="0"/>
        <v>5.4463831538514368E-3</v>
      </c>
      <c r="Y6" s="7">
        <f t="shared" si="0"/>
        <v>1.263124733892923E-2</v>
      </c>
    </row>
    <row r="7" spans="1:25" x14ac:dyDescent="0.35">
      <c r="A7" s="11">
        <v>0.8</v>
      </c>
      <c r="B7" s="11">
        <v>0.08</v>
      </c>
      <c r="C7" s="11">
        <v>1.571</v>
      </c>
      <c r="D7" s="11">
        <v>1.571</v>
      </c>
      <c r="E7" s="11">
        <v>0</v>
      </c>
      <c r="F7" s="11">
        <v>0</v>
      </c>
      <c r="G7" s="11">
        <v>0</v>
      </c>
      <c r="H7" s="9">
        <v>-4.06092498451471E-4</v>
      </c>
      <c r="I7" s="9">
        <v>-0.15244589745998399</v>
      </c>
      <c r="J7" s="9">
        <v>-1.21209200005978E-3</v>
      </c>
      <c r="K7" s="9">
        <v>-0.117412149906158</v>
      </c>
      <c r="L7" s="9">
        <v>-2.6462823152542101E-3</v>
      </c>
      <c r="M7" s="9">
        <v>0.85134243965148904</v>
      </c>
      <c r="N7" s="9">
        <v>-7.4859179121132896E-23</v>
      </c>
      <c r="O7" s="9">
        <v>-0.13520895292910617</v>
      </c>
      <c r="P7" s="9">
        <v>-2.7538441182527E-5</v>
      </c>
      <c r="Q7" s="9">
        <v>-0.10639342551301444</v>
      </c>
      <c r="R7" s="9">
        <v>-1.6149093871242442E-4</v>
      </c>
      <c r="S7" s="9">
        <v>0.79289240034034925</v>
      </c>
      <c r="T7" s="7">
        <f t="shared" si="0"/>
        <v>4.06092498451471E-4</v>
      </c>
      <c r="U7" s="7">
        <f t="shared" si="0"/>
        <v>1.7236944530877818E-2</v>
      </c>
      <c r="V7" s="7">
        <f t="shared" si="0"/>
        <v>1.1845535588772529E-3</v>
      </c>
      <c r="W7" s="7">
        <f t="shared" si="0"/>
        <v>1.1018724393143567E-2</v>
      </c>
      <c r="X7" s="7">
        <f t="shared" si="0"/>
        <v>2.4847913765417857E-3</v>
      </c>
      <c r="Y7" s="7">
        <f t="shared" si="0"/>
        <v>5.845003931113979E-2</v>
      </c>
    </row>
    <row r="8" spans="1:25" x14ac:dyDescent="0.35">
      <c r="A8" s="11">
        <v>0.7</v>
      </c>
      <c r="B8" s="11">
        <v>0.16</v>
      </c>
      <c r="C8" s="11">
        <v>1.571</v>
      </c>
      <c r="D8" s="11">
        <v>1.571</v>
      </c>
      <c r="E8" s="11">
        <v>1.4</v>
      </c>
      <c r="F8" s="11">
        <v>0</v>
      </c>
      <c r="G8" s="11">
        <v>0</v>
      </c>
      <c r="H8" s="9">
        <v>5.05214463919401E-3</v>
      </c>
      <c r="I8" s="9">
        <v>-0.157537400722504</v>
      </c>
      <c r="J8" s="9">
        <v>-6.2086973339319203E-3</v>
      </c>
      <c r="K8" s="9">
        <v>-0.29486876726150502</v>
      </c>
      <c r="L8" s="9">
        <v>-2.80796959996223E-2</v>
      </c>
      <c r="M8" s="9">
        <v>0.56537818908691395</v>
      </c>
      <c r="N8" s="9">
        <v>4.5372870182058276E-3</v>
      </c>
      <c r="O8" s="9">
        <v>-0.16375524985506504</v>
      </c>
      <c r="P8" s="9">
        <v>-2.7558665008166539E-4</v>
      </c>
      <c r="Q8" s="9">
        <v>-0.34463213031672718</v>
      </c>
      <c r="R8" s="9">
        <v>-1.0574195085337565E-2</v>
      </c>
      <c r="S8" s="9">
        <v>0.60919044688440049</v>
      </c>
      <c r="T8" s="7">
        <f t="shared" si="0"/>
        <v>5.1485762098818239E-4</v>
      </c>
      <c r="U8" s="7">
        <f t="shared" si="0"/>
        <v>6.217849132561043E-3</v>
      </c>
      <c r="V8" s="7">
        <f t="shared" si="0"/>
        <v>5.9331106838502552E-3</v>
      </c>
      <c r="W8" s="7">
        <f t="shared" si="0"/>
        <v>4.9763363055222165E-2</v>
      </c>
      <c r="X8" s="7">
        <f t="shared" si="0"/>
        <v>1.7505500914284735E-2</v>
      </c>
      <c r="Y8" s="7">
        <f t="shared" si="0"/>
        <v>4.3812257797486542E-2</v>
      </c>
    </row>
    <row r="9" spans="1:25" x14ac:dyDescent="0.35">
      <c r="A9" s="11">
        <v>0.7</v>
      </c>
      <c r="B9" s="11">
        <v>0.2</v>
      </c>
      <c r="C9" s="11">
        <v>1.571</v>
      </c>
      <c r="D9" s="11">
        <v>1.571</v>
      </c>
      <c r="E9" s="11">
        <v>0</v>
      </c>
      <c r="F9" s="11">
        <v>0</v>
      </c>
      <c r="G9" s="11">
        <v>0</v>
      </c>
      <c r="H9" s="9">
        <v>3.71134956367314E-5</v>
      </c>
      <c r="I9" s="9">
        <v>-0.19372102618217499</v>
      </c>
      <c r="J9" s="9">
        <v>-2.1289892029017201E-3</v>
      </c>
      <c r="K9" s="9">
        <v>-0.41201990842819203</v>
      </c>
      <c r="L9" s="9">
        <v>-1.1864490807056401E-3</v>
      </c>
      <c r="M9" s="9">
        <v>0.55889892578125</v>
      </c>
      <c r="N9" s="9">
        <v>8.8926488231872075E-22</v>
      </c>
      <c r="O9" s="9">
        <v>-0.17938622303026075</v>
      </c>
      <c r="P9" s="9">
        <v>-3.6536167501161742E-5</v>
      </c>
      <c r="Q9" s="9">
        <v>-0.45541348240595858</v>
      </c>
      <c r="R9" s="9">
        <v>-1.0827266706085697E-4</v>
      </c>
      <c r="S9" s="9">
        <v>0.53159994957989243</v>
      </c>
      <c r="T9" s="7">
        <f t="shared" si="0"/>
        <v>3.71134956367314E-5</v>
      </c>
      <c r="U9" s="7">
        <f t="shared" si="0"/>
        <v>1.4334803151914238E-2</v>
      </c>
      <c r="V9" s="7">
        <f t="shared" si="0"/>
        <v>2.0924530354005585E-3</v>
      </c>
      <c r="W9" s="7">
        <f t="shared" si="0"/>
        <v>4.3393573977766553E-2</v>
      </c>
      <c r="X9" s="7">
        <f t="shared" si="0"/>
        <v>1.0781764136447831E-3</v>
      </c>
      <c r="Y9" s="7">
        <f t="shared" si="0"/>
        <v>2.7298976201357572E-2</v>
      </c>
    </row>
    <row r="10" spans="1:25" x14ac:dyDescent="0.35">
      <c r="A10" s="11">
        <v>0.7</v>
      </c>
      <c r="B10" s="11">
        <v>0.06</v>
      </c>
      <c r="C10" s="11">
        <v>3.665</v>
      </c>
      <c r="D10" s="11">
        <v>0.78500000000000003</v>
      </c>
      <c r="E10" s="11">
        <v>0</v>
      </c>
      <c r="F10" s="11">
        <v>0</v>
      </c>
      <c r="G10" s="11">
        <v>0</v>
      </c>
      <c r="H10" s="9">
        <v>-8.9350854977965398E-4</v>
      </c>
      <c r="I10" s="9">
        <v>4.2732272297143901E-2</v>
      </c>
      <c r="J10" s="9">
        <v>-7.74873793125153E-2</v>
      </c>
      <c r="K10" s="9">
        <v>0.62493914365768399</v>
      </c>
      <c r="L10" s="9">
        <v>-0.52349442243576105</v>
      </c>
      <c r="M10" s="9">
        <v>-0.28826642036437999</v>
      </c>
      <c r="N10" s="9">
        <v>3.864553146033156E-20</v>
      </c>
      <c r="O10" s="9">
        <v>3.8316920453082923E-2</v>
      </c>
      <c r="P10" s="9">
        <v>-6.6396202653878938E-2</v>
      </c>
      <c r="Q10" s="9">
        <v>0.47143568494461663</v>
      </c>
      <c r="R10" s="9">
        <v>-0.44816891695986794</v>
      </c>
      <c r="S10" s="9">
        <v>-0.2586360673397991</v>
      </c>
      <c r="T10" s="7">
        <f t="shared" si="0"/>
        <v>8.9350854977965398E-4</v>
      </c>
      <c r="U10" s="7">
        <f t="shared" si="0"/>
        <v>4.4153518440609787E-3</v>
      </c>
      <c r="V10" s="7">
        <f t="shared" si="0"/>
        <v>1.1091176658636362E-2</v>
      </c>
      <c r="W10" s="7">
        <f t="shared" si="0"/>
        <v>0.15350345871306736</v>
      </c>
      <c r="X10" s="7">
        <f t="shared" si="0"/>
        <v>7.5325505475893118E-2</v>
      </c>
      <c r="Y10" s="7">
        <f t="shared" si="0"/>
        <v>2.9630353024580891E-2</v>
      </c>
    </row>
    <row r="11" spans="1:25" x14ac:dyDescent="0.35">
      <c r="A11" s="11">
        <v>0.6</v>
      </c>
      <c r="B11" s="11">
        <v>0.1</v>
      </c>
      <c r="C11" s="11">
        <v>3.665</v>
      </c>
      <c r="D11" s="11">
        <v>0.78500000000000003</v>
      </c>
      <c r="E11" s="11">
        <v>0</v>
      </c>
      <c r="F11" s="11">
        <v>0</v>
      </c>
      <c r="G11" s="11">
        <v>0</v>
      </c>
      <c r="H11" s="9">
        <v>-8.9688366279006004E-4</v>
      </c>
      <c r="I11" s="9">
        <v>4.1764143854379703E-2</v>
      </c>
      <c r="J11" s="9">
        <v>-7.7566295862197904E-2</v>
      </c>
      <c r="K11" s="9">
        <v>0.45929118990898099</v>
      </c>
      <c r="L11" s="9">
        <v>-0.41274711489677401</v>
      </c>
      <c r="M11" s="9">
        <v>-0.223745286464691</v>
      </c>
      <c r="N11" s="9">
        <v>1.8716693142162497E-19</v>
      </c>
      <c r="O11" s="9">
        <v>4.3103276520715016E-2</v>
      </c>
      <c r="P11" s="9">
        <v>-7.4690080754788613E-2</v>
      </c>
      <c r="Q11" s="9">
        <v>0.37355148471268146</v>
      </c>
      <c r="R11" s="9">
        <v>-0.40667025930538769</v>
      </c>
      <c r="S11" s="9">
        <v>-0.23468739707403749</v>
      </c>
      <c r="T11" s="7">
        <f t="shared" si="0"/>
        <v>8.9688366279006026E-4</v>
      </c>
      <c r="U11" s="7">
        <f t="shared" si="0"/>
        <v>1.3391326663353131E-3</v>
      </c>
      <c r="V11" s="7">
        <f t="shared" si="0"/>
        <v>2.8762151074092912E-3</v>
      </c>
      <c r="W11" s="7">
        <f t="shared" si="0"/>
        <v>8.5739705196299532E-2</v>
      </c>
      <c r="X11" s="7">
        <f t="shared" si="0"/>
        <v>6.0768555913863209E-3</v>
      </c>
      <c r="Y11" s="7">
        <f t="shared" si="0"/>
        <v>1.0942110609346495E-2</v>
      </c>
    </row>
    <row r="12" spans="1:25" x14ac:dyDescent="0.35">
      <c r="A12" s="11">
        <v>0.8</v>
      </c>
      <c r="B12" s="11">
        <v>0.18</v>
      </c>
      <c r="C12" s="11">
        <v>3.665</v>
      </c>
      <c r="D12" s="11">
        <v>0.78500000000000003</v>
      </c>
      <c r="E12" s="11">
        <v>1.4</v>
      </c>
      <c r="F12" s="11">
        <v>0</v>
      </c>
      <c r="G12" s="11">
        <v>0</v>
      </c>
      <c r="H12" s="9">
        <v>-5.51847275346518E-4</v>
      </c>
      <c r="I12" s="9">
        <v>6.6554106771945995E-2</v>
      </c>
      <c r="J12" s="9">
        <v>-0.119616024196148</v>
      </c>
      <c r="K12" s="9">
        <v>0.49095398187637301</v>
      </c>
      <c r="L12" s="9">
        <v>-0.47584062814712502</v>
      </c>
      <c r="M12" s="9">
        <v>-0.25870200991630599</v>
      </c>
      <c r="N12" s="9">
        <v>1.2036386268751209E-6</v>
      </c>
      <c r="O12" s="9">
        <v>8.9399932062302373E-2</v>
      </c>
      <c r="P12" s="9">
        <v>-0.15491874950194645</v>
      </c>
      <c r="Q12" s="9">
        <v>0.30071097328110813</v>
      </c>
      <c r="R12" s="9">
        <v>-0.64208764273527763</v>
      </c>
      <c r="S12" s="9">
        <v>-0.37053120336410833</v>
      </c>
      <c r="T12" s="7">
        <f t="shared" si="0"/>
        <v>5.5305091397339309E-4</v>
      </c>
      <c r="U12" s="7">
        <f t="shared" si="0"/>
        <v>2.2845825290356378E-2</v>
      </c>
      <c r="V12" s="7">
        <f t="shared" si="0"/>
        <v>3.5302725305798449E-2</v>
      </c>
      <c r="W12" s="7">
        <f t="shared" si="0"/>
        <v>0.19024300859526488</v>
      </c>
      <c r="X12" s="7">
        <f t="shared" si="0"/>
        <v>0.16624701458815261</v>
      </c>
      <c r="Y12" s="7">
        <f t="shared" si="0"/>
        <v>0.11182919344780234</v>
      </c>
    </row>
    <row r="13" spans="1:25" x14ac:dyDescent="0.35">
      <c r="A13" s="11">
        <v>0.4</v>
      </c>
      <c r="B13" s="11">
        <v>0.2</v>
      </c>
      <c r="C13" s="11">
        <v>3.665</v>
      </c>
      <c r="D13" s="11">
        <v>0.78500000000000003</v>
      </c>
      <c r="E13" s="11">
        <v>1.4</v>
      </c>
      <c r="F13" s="11">
        <v>0</v>
      </c>
      <c r="G13" s="11">
        <v>0</v>
      </c>
      <c r="H13" s="9">
        <v>-3.2309396192431499E-4</v>
      </c>
      <c r="I13" s="9">
        <v>3.5572569817304597E-2</v>
      </c>
      <c r="J13" s="9">
        <v>-6.1782382428646102E-2</v>
      </c>
      <c r="K13" s="9">
        <v>0.27096122503280601</v>
      </c>
      <c r="L13" s="9">
        <v>-0.21531303226947801</v>
      </c>
      <c r="M13" s="9">
        <v>-0.122712507843971</v>
      </c>
      <c r="N13" s="9">
        <v>6.9928762043557378E-7</v>
      </c>
      <c r="O13" s="9">
        <v>4.3721470402725268E-2</v>
      </c>
      <c r="P13" s="9">
        <v>-7.5764110263705053E-2</v>
      </c>
      <c r="Q13" s="9">
        <v>0.22876242578388267</v>
      </c>
      <c r="R13" s="9">
        <v>-0.28420140330096477</v>
      </c>
      <c r="S13" s="9">
        <v>-0.16400302585977991</v>
      </c>
      <c r="T13" s="7">
        <f t="shared" si="0"/>
        <v>3.2379324954475054E-4</v>
      </c>
      <c r="U13" s="7">
        <f t="shared" si="0"/>
        <v>8.1489005854206709E-3</v>
      </c>
      <c r="V13" s="7">
        <f t="shared" si="0"/>
        <v>1.3981727835058952E-2</v>
      </c>
      <c r="W13" s="7">
        <f t="shared" si="0"/>
        <v>4.2198799248923335E-2</v>
      </c>
      <c r="X13" s="7">
        <f t="shared" si="0"/>
        <v>6.8888371031486761E-2</v>
      </c>
      <c r="Y13" s="7">
        <f t="shared" si="0"/>
        <v>4.1290518015808908E-2</v>
      </c>
    </row>
    <row r="14" spans="1:25" x14ac:dyDescent="0.35">
      <c r="A14" s="11">
        <v>0.4</v>
      </c>
      <c r="B14" s="11">
        <v>0.1</v>
      </c>
      <c r="C14" s="11">
        <v>3.665</v>
      </c>
      <c r="D14" s="11">
        <v>1.571</v>
      </c>
      <c r="E14" s="11">
        <v>1.4</v>
      </c>
      <c r="F14" s="11">
        <v>0</v>
      </c>
      <c r="G14" s="11">
        <v>0</v>
      </c>
      <c r="H14" s="9">
        <v>-7.1692815981805303E-4</v>
      </c>
      <c r="I14" s="9">
        <v>3.56008112430573E-2</v>
      </c>
      <c r="J14" s="9">
        <v>-6.2020469456911101E-2</v>
      </c>
      <c r="K14" s="9">
        <v>-6.5964758396148699E-3</v>
      </c>
      <c r="L14" s="9">
        <v>-0.30639430880546598</v>
      </c>
      <c r="M14" s="9">
        <v>-0.17468151450157199</v>
      </c>
      <c r="N14" s="9">
        <v>2.4125491465279591E-7</v>
      </c>
      <c r="O14" s="9">
        <v>3.7964213610361938E-2</v>
      </c>
      <c r="P14" s="9">
        <v>-6.5785037238237767E-2</v>
      </c>
      <c r="Q14" s="9">
        <v>-1.8593307285752963E-2</v>
      </c>
      <c r="R14" s="9">
        <v>-0.34607329475309656</v>
      </c>
      <c r="S14" s="9">
        <v>-0.19971722330958672</v>
      </c>
      <c r="T14" s="7">
        <f t="shared" si="0"/>
        <v>7.1716941473270578E-4</v>
      </c>
      <c r="U14" s="7">
        <f t="shared" si="0"/>
        <v>2.3634023673046387E-3</v>
      </c>
      <c r="V14" s="7">
        <f t="shared" si="0"/>
        <v>3.7645677813266665E-3</v>
      </c>
      <c r="W14" s="7">
        <f t="shared" si="0"/>
        <v>1.1996831446138093E-2</v>
      </c>
      <c r="X14" s="7">
        <f t="shared" si="0"/>
        <v>3.9678985947630585E-2</v>
      </c>
      <c r="Y14" s="7">
        <f t="shared" si="0"/>
        <v>2.5035708808014728E-2</v>
      </c>
    </row>
    <row r="15" spans="1:25" x14ac:dyDescent="0.35">
      <c r="A15" s="11">
        <v>0.7</v>
      </c>
      <c r="B15" s="11">
        <v>0.1</v>
      </c>
      <c r="C15" s="11">
        <v>3.665</v>
      </c>
      <c r="D15" s="11">
        <v>1.571</v>
      </c>
      <c r="E15" s="11">
        <v>1.4</v>
      </c>
      <c r="F15" s="11">
        <v>0</v>
      </c>
      <c r="G15" s="11">
        <v>0</v>
      </c>
      <c r="H15" s="9">
        <v>-1.24058220535517E-3</v>
      </c>
      <c r="I15" s="9">
        <v>6.9012217223644298E-2</v>
      </c>
      <c r="J15" s="9">
        <v>-0.119697146117687</v>
      </c>
      <c r="K15" s="9">
        <v>-5.5351331830024698E-2</v>
      </c>
      <c r="L15" s="9">
        <v>-0.59383064508438099</v>
      </c>
      <c r="M15" s="9">
        <v>-0.33820247650146501</v>
      </c>
      <c r="N15" s="9">
        <v>4.2218866866541043E-7</v>
      </c>
      <c r="O15" s="9">
        <v>6.6185720157004357E-2</v>
      </c>
      <c r="P15" s="9">
        <v>-0.11468772637819548</v>
      </c>
      <c r="Q15" s="9">
        <v>-8.7528050226981916E-2</v>
      </c>
      <c r="R15" s="9">
        <v>-0.60152587898190224</v>
      </c>
      <c r="S15" s="9">
        <v>-0.34713793449513974</v>
      </c>
      <c r="T15" s="7">
        <f t="shared" si="0"/>
        <v>1.2410043940238355E-3</v>
      </c>
      <c r="U15" s="7">
        <f t="shared" si="0"/>
        <v>2.8264970666399408E-3</v>
      </c>
      <c r="V15" s="7">
        <f t="shared" si="0"/>
        <v>5.0094197394915246E-3</v>
      </c>
      <c r="W15" s="7">
        <f t="shared" si="0"/>
        <v>3.2176718396957217E-2</v>
      </c>
      <c r="X15" s="7">
        <f t="shared" si="0"/>
        <v>7.6952338975212475E-3</v>
      </c>
      <c r="Y15" s="7">
        <f t="shared" si="0"/>
        <v>8.9354579936747336E-3</v>
      </c>
    </row>
    <row r="16" spans="1:25" x14ac:dyDescent="0.35">
      <c r="A16" s="11">
        <v>0.4</v>
      </c>
      <c r="B16" s="11">
        <v>0.16</v>
      </c>
      <c r="C16" s="11">
        <v>3.665</v>
      </c>
      <c r="D16" s="11">
        <v>1.571</v>
      </c>
      <c r="E16" s="11">
        <v>0</v>
      </c>
      <c r="F16" s="11">
        <v>0</v>
      </c>
      <c r="G16" s="11">
        <v>0</v>
      </c>
      <c r="H16" s="9">
        <v>-7.1821291930973497E-4</v>
      </c>
      <c r="I16" s="9">
        <v>4.6037148684263202E-2</v>
      </c>
      <c r="J16" s="9">
        <v>-7.8464329242706299E-2</v>
      </c>
      <c r="K16" s="9">
        <v>-7.8753150999546107E-2</v>
      </c>
      <c r="L16" s="9">
        <v>-0.286407381296158</v>
      </c>
      <c r="M16" s="9">
        <v>-0.16520524024963401</v>
      </c>
      <c r="N16" s="9">
        <v>1.8257453636514674E-20</v>
      </c>
      <c r="O16" s="9">
        <v>4.9147830878093678E-2</v>
      </c>
      <c r="P16" s="9">
        <v>-8.5164185962599212E-2</v>
      </c>
      <c r="Q16" s="9">
        <v>-0.10654335382778821</v>
      </c>
      <c r="R16" s="9">
        <v>-0.33393255529013621</v>
      </c>
      <c r="S16" s="9">
        <v>-0.19271082752199162</v>
      </c>
      <c r="T16" s="7">
        <f t="shared" si="0"/>
        <v>7.1821291930973497E-4</v>
      </c>
      <c r="U16" s="7">
        <f t="shared" si="0"/>
        <v>3.110682193830476E-3</v>
      </c>
      <c r="V16" s="7">
        <f t="shared" si="0"/>
        <v>6.6998567198929132E-3</v>
      </c>
      <c r="W16" s="7">
        <f t="shared" si="0"/>
        <v>2.77902028282421E-2</v>
      </c>
      <c r="X16" s="7">
        <f t="shared" si="0"/>
        <v>4.7525173993978209E-2</v>
      </c>
      <c r="Y16" s="7">
        <f t="shared" si="0"/>
        <v>2.7505587272357607E-2</v>
      </c>
    </row>
    <row r="17" spans="1:25" x14ac:dyDescent="0.35">
      <c r="A17" s="11">
        <v>0.3</v>
      </c>
      <c r="B17" s="11">
        <v>0.18</v>
      </c>
      <c r="C17" s="11">
        <v>3.665</v>
      </c>
      <c r="D17" s="11">
        <v>1.571</v>
      </c>
      <c r="E17" s="11">
        <v>0</v>
      </c>
      <c r="F17" s="11">
        <v>0</v>
      </c>
      <c r="G17" s="11">
        <v>0</v>
      </c>
      <c r="H17" s="9">
        <v>-6.2177400104701497E-4</v>
      </c>
      <c r="I17" s="9">
        <v>3.2626789063215297E-2</v>
      </c>
      <c r="J17" s="9">
        <v>-5.72014674544334E-2</v>
      </c>
      <c r="K17" s="9">
        <v>-2.7179472148418399E-2</v>
      </c>
      <c r="L17" s="9">
        <v>-0.194883912801743</v>
      </c>
      <c r="M17" s="9">
        <v>-0.10984055697917899</v>
      </c>
      <c r="N17" s="9">
        <v>-1.5151261271874677E-18</v>
      </c>
      <c r="O17" s="9">
        <v>3.9953475653567001E-2</v>
      </c>
      <c r="P17" s="9">
        <v>-6.9232052963891302E-2</v>
      </c>
      <c r="Q17" s="9">
        <v>-7.6389789745158143E-2</v>
      </c>
      <c r="R17" s="9">
        <v>-0.25127153597897645</v>
      </c>
      <c r="S17" s="9">
        <v>-0.14500756174898422</v>
      </c>
      <c r="T17" s="7">
        <f t="shared" si="0"/>
        <v>6.2177400104701346E-4</v>
      </c>
      <c r="U17" s="7">
        <f t="shared" si="0"/>
        <v>7.3266865903517039E-3</v>
      </c>
      <c r="V17" s="7">
        <f t="shared" si="0"/>
        <v>1.2030585509457903E-2</v>
      </c>
      <c r="W17" s="7">
        <f t="shared" si="0"/>
        <v>4.9210317596739744E-2</v>
      </c>
      <c r="X17" s="7">
        <f t="shared" si="0"/>
        <v>5.6387623177233448E-2</v>
      </c>
      <c r="Y17" s="7">
        <f t="shared" si="0"/>
        <v>3.5167004769805221E-2</v>
      </c>
    </row>
  </sheetData>
  <mergeCells count="4">
    <mergeCell ref="A1:G1"/>
    <mergeCell ref="H1:M1"/>
    <mergeCell ref="N1:S1"/>
    <mergeCell ref="T1:Y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F75F-00D5-499A-8B94-C01DFDD9DEC2}">
  <dimension ref="A1:Z17"/>
  <sheetViews>
    <sheetView topLeftCell="L1" workbookViewId="0">
      <selection activeCell="J18" sqref="J18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2" t="s">
        <v>13</v>
      </c>
      <c r="B1" s="22"/>
      <c r="C1" s="22"/>
      <c r="D1" s="22"/>
      <c r="E1" s="22"/>
      <c r="F1" s="22"/>
      <c r="G1" s="22"/>
      <c r="H1" s="23" t="s">
        <v>6</v>
      </c>
      <c r="I1" s="23"/>
      <c r="J1" s="23"/>
      <c r="K1" s="23"/>
      <c r="L1" s="23"/>
      <c r="M1" s="23"/>
      <c r="N1" s="25" t="s">
        <v>9</v>
      </c>
      <c r="O1" s="25"/>
      <c r="P1" s="25"/>
      <c r="Q1" s="25"/>
      <c r="R1" s="25"/>
      <c r="S1" s="24" t="s">
        <v>15</v>
      </c>
      <c r="T1" s="24"/>
      <c r="U1" s="24"/>
      <c r="V1" s="6"/>
      <c r="W1" s="21" t="s">
        <v>30</v>
      </c>
      <c r="X1" s="21"/>
      <c r="Y1" s="21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-1.5595351578667801E-4</v>
      </c>
      <c r="I3" s="9">
        <f>'Proximal Validation (single)'!I3</f>
        <v>-3.4215424209833097E-2</v>
      </c>
      <c r="J3" s="9">
        <f>'Proximal Validation (single)'!J3</f>
        <v>-1.4112447388470199E-7</v>
      </c>
      <c r="K3" s="9">
        <f>'Proximal Validation (single)'!K3</f>
        <v>0.19788618385791801</v>
      </c>
      <c r="L3" s="9">
        <f>'Proximal Validation (single)'!L3</f>
        <v>-3.1988471746444702E-3</v>
      </c>
      <c r="M3" s="9">
        <f>'Proximal Validation (single)'!M3</f>
        <v>0.198836579918861</v>
      </c>
      <c r="N3" s="9">
        <v>0.28055118651852562</v>
      </c>
      <c r="O3" s="9">
        <v>8.4875748583369381E-2</v>
      </c>
      <c r="P3" s="9">
        <v>1.6328522227571671</v>
      </c>
      <c r="Q3" s="9">
        <v>0.72890269934621688</v>
      </c>
      <c r="R3" s="10">
        <v>1.0626078367867778E-6</v>
      </c>
      <c r="S3" s="8">
        <f>ABS(N3-A3)</f>
        <v>1.944881348147437E-2</v>
      </c>
      <c r="T3" s="8">
        <f t="shared" ref="T3:V3" si="0">ABS(O3-B3)</f>
        <v>4.8757485833693798E-3</v>
      </c>
      <c r="U3" s="8">
        <f t="shared" si="0"/>
        <v>6.1852222757167175E-2</v>
      </c>
      <c r="V3" s="8">
        <f t="shared" si="0"/>
        <v>5.6097300653783155E-2</v>
      </c>
      <c r="W3" s="9">
        <f>AVERAGE(S3:S17)</f>
        <v>4.8488639804697635E-2</v>
      </c>
      <c r="X3" s="9">
        <f t="shared" ref="X3:Z3" si="1">AVERAGE(T3:T17)</f>
        <v>1.1015563230021282E-2</v>
      </c>
      <c r="Y3" s="9">
        <f>AVERAGE(U3:U17)</f>
        <v>2.4026798296190914E-2</v>
      </c>
      <c r="Z3" s="9">
        <f t="shared" si="1"/>
        <v>9.6009574982339016E-2</v>
      </c>
    </row>
    <row r="4" spans="1:26" x14ac:dyDescent="0.3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-2.4353998014703401E-4</v>
      </c>
      <c r="I4" s="9">
        <f>'Proximal Validation (single)'!I4</f>
        <v>-5.8889582753181499E-2</v>
      </c>
      <c r="J4" s="9">
        <f>'Proximal Validation (single)'!J4</f>
        <v>-5.9254060033708797E-5</v>
      </c>
      <c r="K4" s="9">
        <f>'Proximal Validation (single)'!K4</f>
        <v>0.25050288438797003</v>
      </c>
      <c r="L4" s="9">
        <f>'Proximal Validation (single)'!L4</f>
        <v>9.8302215337753296E-4</v>
      </c>
      <c r="M4" s="9">
        <f>'Proximal Validation (single)'!M4</f>
        <v>0.25498384237289401</v>
      </c>
      <c r="N4" s="9">
        <v>0.3574485128840646</v>
      </c>
      <c r="O4" s="9">
        <v>0.15641593854294233</v>
      </c>
      <c r="P4" s="9">
        <v>1.567187282273599</v>
      </c>
      <c r="Q4" s="9">
        <v>0.65043614743977485</v>
      </c>
      <c r="R4" s="10">
        <v>1.3712067226468491E-7</v>
      </c>
      <c r="S4" s="8">
        <f t="shared" ref="S4:S17" si="2">ABS(N4-A4)</f>
        <v>4.2551487115935427E-2</v>
      </c>
      <c r="T4" s="8">
        <f t="shared" ref="T4:T17" si="3">ABS(O4-B4)</f>
        <v>1.6415938542942321E-2</v>
      </c>
      <c r="U4" s="8">
        <f t="shared" ref="U4:U17" si="4">ABS(P4-C4)</f>
        <v>3.8127177264009049E-3</v>
      </c>
      <c r="V4" s="8">
        <f t="shared" ref="V4:V17" si="5">ABS(Q4-D4)</f>
        <v>0.13456385256022518</v>
      </c>
      <c r="Y4">
        <f>DEGREES(Y3)</f>
        <v>1.3766341375838567</v>
      </c>
      <c r="Z4">
        <f>DEGREES(Z3)</f>
        <v>5.5009434393328407</v>
      </c>
    </row>
    <row r="5" spans="1:26" x14ac:dyDescent="0.3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2.2863354533910799E-3</v>
      </c>
      <c r="I5" s="9">
        <f>'Proximal Validation (single)'!I5</f>
        <v>-0.11987078934907899</v>
      </c>
      <c r="J5" s="9">
        <f>'Proximal Validation (single)'!J5</f>
        <v>-6.9630080834031096E-3</v>
      </c>
      <c r="K5" s="9">
        <f>'Proximal Validation (single)'!K5</f>
        <v>0.31022596359252902</v>
      </c>
      <c r="L5" s="9">
        <f>'Proximal Validation (single)'!L5</f>
        <v>-2.3233078420162201E-2</v>
      </c>
      <c r="M5" s="9">
        <f>'Proximal Validation (single)'!M5</f>
        <v>0.50102174282073997</v>
      </c>
      <c r="N5" s="9">
        <v>0.58977669997253779</v>
      </c>
      <c r="O5" s="9">
        <v>0.18410970099299045</v>
      </c>
      <c r="P5" s="9">
        <v>1.7144404369858413</v>
      </c>
      <c r="Q5" s="9">
        <v>0.63000993530533678</v>
      </c>
      <c r="R5" s="10">
        <v>1.9654298296663066E-6</v>
      </c>
      <c r="S5" s="8">
        <f t="shared" si="2"/>
        <v>1.022330002746219E-2</v>
      </c>
      <c r="T5" s="8">
        <f t="shared" si="3"/>
        <v>2.4109700992990452E-2</v>
      </c>
      <c r="U5" s="8">
        <f t="shared" si="4"/>
        <v>0.1434404369858413</v>
      </c>
      <c r="V5" s="8">
        <f t="shared" si="5"/>
        <v>0.15499006469466325</v>
      </c>
    </row>
    <row r="6" spans="1:26" x14ac:dyDescent="0.3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6.5225898288190397E-4</v>
      </c>
      <c r="I6" s="9">
        <f>'Proximal Validation (single)'!I6</f>
        <v>-6.1197262257337598E-2</v>
      </c>
      <c r="J6" s="9">
        <f>'Proximal Validation (single)'!J6</f>
        <v>-8.9818926062434901E-4</v>
      </c>
      <c r="K6" s="9">
        <f>'Proximal Validation (single)'!K6</f>
        <v>-1.97219010442495E-3</v>
      </c>
      <c r="L6" s="9">
        <f>'Proximal Validation (single)'!L6</f>
        <v>-5.79428672790527E-3</v>
      </c>
      <c r="M6" s="9">
        <f>'Proximal Validation (single)'!M6</f>
        <v>0.38675421476364102</v>
      </c>
      <c r="N6" s="9">
        <v>0.3868027480963756</v>
      </c>
      <c r="O6" s="9">
        <v>6.8412598716534212E-2</v>
      </c>
      <c r="P6" s="9">
        <v>1.5870359342672908</v>
      </c>
      <c r="Q6" s="9">
        <v>1.5093066506879524</v>
      </c>
      <c r="R6" s="10">
        <v>3.4747942952666224E-8</v>
      </c>
      <c r="S6" s="8">
        <f t="shared" si="2"/>
        <v>1.3197251903624418E-2</v>
      </c>
      <c r="T6" s="8">
        <f t="shared" si="3"/>
        <v>8.4125987165342142E-3</v>
      </c>
      <c r="U6" s="8">
        <f t="shared" si="4"/>
        <v>1.6035934267290886E-2</v>
      </c>
      <c r="V6" s="8">
        <f t="shared" si="5"/>
        <v>6.1693349312047507E-2</v>
      </c>
    </row>
    <row r="7" spans="1:26" x14ac:dyDescent="0.3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-4.06092498451471E-4</v>
      </c>
      <c r="I7" s="9">
        <f>'Proximal Validation (single)'!I7</f>
        <v>-0.15244589745998399</v>
      </c>
      <c r="J7" s="9">
        <f>'Proximal Validation (single)'!J7</f>
        <v>-1.21209200005978E-3</v>
      </c>
      <c r="K7" s="9">
        <f>'Proximal Validation (single)'!K7</f>
        <v>-0.117412149906158</v>
      </c>
      <c r="L7" s="9">
        <f>'Proximal Validation (single)'!L7</f>
        <v>-2.6462823152542101E-3</v>
      </c>
      <c r="M7" s="9">
        <f>'Proximal Validation (single)'!M7</f>
        <v>0.85134243965148904</v>
      </c>
      <c r="N7" s="9">
        <v>0.85940664760897434</v>
      </c>
      <c r="O7" s="9">
        <v>8.8386432456098146E-2</v>
      </c>
      <c r="P7" s="9">
        <v>1.5740551321987364</v>
      </c>
      <c r="Q7" s="9">
        <v>1.5324402945857218</v>
      </c>
      <c r="R7" s="10">
        <v>6.9296369737623202E-7</v>
      </c>
      <c r="S7" s="8">
        <f t="shared" si="2"/>
        <v>5.9406647608974295E-2</v>
      </c>
      <c r="T7" s="8">
        <f t="shared" si="3"/>
        <v>8.3864324560981446E-3</v>
      </c>
      <c r="U7" s="8">
        <f t="shared" si="4"/>
        <v>3.0551321987364322E-3</v>
      </c>
      <c r="V7" s="8">
        <f t="shared" si="5"/>
        <v>3.8559705414278111E-2</v>
      </c>
    </row>
    <row r="8" spans="1:26" x14ac:dyDescent="0.3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5.05214463919401E-3</v>
      </c>
      <c r="I8" s="9">
        <f>'Proximal Validation (single)'!I8</f>
        <v>-0.157537400722504</v>
      </c>
      <c r="J8" s="9">
        <f>'Proximal Validation (single)'!J8</f>
        <v>-6.2086973339319203E-3</v>
      </c>
      <c r="K8" s="9">
        <f>'Proximal Validation (single)'!K8</f>
        <v>-0.29486876726150502</v>
      </c>
      <c r="L8" s="9">
        <f>'Proximal Validation (single)'!L8</f>
        <v>-2.80796959996223E-2</v>
      </c>
      <c r="M8" s="9">
        <f>'Proximal Validation (single)'!M8</f>
        <v>0.56537818908691395</v>
      </c>
      <c r="N8" s="9">
        <v>0.63827496761084812</v>
      </c>
      <c r="O8" s="9">
        <v>0.17068497865453902</v>
      </c>
      <c r="P8" s="9">
        <v>1.6070043900824871</v>
      </c>
      <c r="Q8" s="9">
        <v>1.5159745879650985</v>
      </c>
      <c r="R8" s="10">
        <v>8.0174127841021775E-7</v>
      </c>
      <c r="S8" s="8">
        <f t="shared" si="2"/>
        <v>6.1725032389151835E-2</v>
      </c>
      <c r="T8" s="8">
        <f t="shared" si="3"/>
        <v>1.0684978654539018E-2</v>
      </c>
      <c r="U8" s="8">
        <f t="shared" si="4"/>
        <v>3.6004390082487125E-2</v>
      </c>
      <c r="V8" s="8">
        <f t="shared" si="5"/>
        <v>5.5025412034901411E-2</v>
      </c>
    </row>
    <row r="9" spans="1:26" x14ac:dyDescent="0.3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3.71134956367314E-5</v>
      </c>
      <c r="I9" s="9">
        <f>'Proximal Validation (single)'!I9</f>
        <v>-0.19372102618217499</v>
      </c>
      <c r="J9" s="9">
        <f>'Proximal Validation (single)'!J9</f>
        <v>-2.1289892029017201E-3</v>
      </c>
      <c r="K9" s="9">
        <f>'Proximal Validation (single)'!K9</f>
        <v>-0.41201990842819203</v>
      </c>
      <c r="L9" s="9">
        <f>'Proximal Validation (single)'!L9</f>
        <v>-1.1864490807056401E-3</v>
      </c>
      <c r="M9" s="9">
        <f>'Proximal Validation (single)'!M9</f>
        <v>0.55889892578125</v>
      </c>
      <c r="N9" s="9">
        <v>0.69709307531504816</v>
      </c>
      <c r="O9" s="9">
        <v>0.2</v>
      </c>
      <c r="P9" s="9">
        <v>1.573821515931517</v>
      </c>
      <c r="Q9" s="9">
        <v>1.4951910216088047</v>
      </c>
      <c r="R9" s="10">
        <v>1.1399899057797495E-4</v>
      </c>
      <c r="S9" s="8">
        <f t="shared" si="2"/>
        <v>2.9069246849517949E-3</v>
      </c>
      <c r="T9" s="8">
        <f t="shared" si="3"/>
        <v>0</v>
      </c>
      <c r="U9" s="8">
        <f t="shared" si="4"/>
        <v>2.8215159315170268E-3</v>
      </c>
      <c r="V9" s="8">
        <f t="shared" si="5"/>
        <v>7.580897839119527E-2</v>
      </c>
    </row>
    <row r="10" spans="1:26" x14ac:dyDescent="0.3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-8.9350854977965398E-4</v>
      </c>
      <c r="I10" s="9">
        <f>'Proximal Validation (single)'!I10</f>
        <v>4.2732272297143901E-2</v>
      </c>
      <c r="J10" s="9">
        <f>'Proximal Validation (single)'!J10</f>
        <v>-7.74873793125153E-2</v>
      </c>
      <c r="K10" s="9">
        <f>'Proximal Validation (single)'!K10</f>
        <v>0.62493914365768399</v>
      </c>
      <c r="L10" s="9">
        <f>'Proximal Validation (single)'!L10</f>
        <v>-0.52349442243576105</v>
      </c>
      <c r="M10" s="9">
        <f>'Proximal Validation (single)'!M10</f>
        <v>-0.28826642036437999</v>
      </c>
      <c r="N10" s="9">
        <v>0.86469282101075984</v>
      </c>
      <c r="O10" s="9">
        <v>6.0503370555241472E-2</v>
      </c>
      <c r="P10" s="9">
        <v>3.6449543757367557</v>
      </c>
      <c r="Q10" s="9">
        <v>0.70865228389788626</v>
      </c>
      <c r="R10" s="10">
        <v>8.0135961586390087E-7</v>
      </c>
      <c r="S10" s="8">
        <f t="shared" si="2"/>
        <v>0.16469282101075988</v>
      </c>
      <c r="T10" s="8">
        <f t="shared" si="3"/>
        <v>5.0337055524147384E-4</v>
      </c>
      <c r="U10" s="8">
        <f t="shared" si="4"/>
        <v>2.0045624263244299E-2</v>
      </c>
      <c r="V10" s="8">
        <f t="shared" si="5"/>
        <v>7.6347716102113772E-2</v>
      </c>
    </row>
    <row r="11" spans="1:26" x14ac:dyDescent="0.3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-8.9688366279006004E-4</v>
      </c>
      <c r="I11" s="9">
        <f>'Proximal Validation (single)'!I11</f>
        <v>4.1764143854379703E-2</v>
      </c>
      <c r="J11" s="9">
        <f>'Proximal Validation (single)'!J11</f>
        <v>-7.7566295862197904E-2</v>
      </c>
      <c r="K11" s="9">
        <f>'Proximal Validation (single)'!K11</f>
        <v>0.45929118990898099</v>
      </c>
      <c r="L11" s="9">
        <f>'Proximal Validation (single)'!L11</f>
        <v>-0.41274711489677401</v>
      </c>
      <c r="M11" s="9">
        <f>'Proximal Validation (single)'!M11</f>
        <v>-0.223745286464691</v>
      </c>
      <c r="N11" s="9">
        <v>0.65678838086217695</v>
      </c>
      <c r="O11" s="9">
        <v>0.10680021979597572</v>
      </c>
      <c r="P11" s="9">
        <v>3.6382448942684209</v>
      </c>
      <c r="Q11" s="9">
        <v>0.67026340181408561</v>
      </c>
      <c r="R11" s="10">
        <v>8.644570352571062E-7</v>
      </c>
      <c r="S11" s="8">
        <f t="shared" si="2"/>
        <v>5.6788380862176968E-2</v>
      </c>
      <c r="T11" s="8">
        <f t="shared" si="3"/>
        <v>6.8002197959757121E-3</v>
      </c>
      <c r="U11" s="8">
        <f t="shared" si="4"/>
        <v>2.6755105731579132E-2</v>
      </c>
      <c r="V11" s="8">
        <f t="shared" si="5"/>
        <v>0.11473659818591442</v>
      </c>
    </row>
    <row r="12" spans="1:26" x14ac:dyDescent="0.3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-5.51847275346518E-4</v>
      </c>
      <c r="I12" s="9">
        <f>'Proximal Validation (single)'!I12</f>
        <v>6.6554106771945995E-2</v>
      </c>
      <c r="J12" s="9">
        <f>'Proximal Validation (single)'!J12</f>
        <v>-0.119616024196148</v>
      </c>
      <c r="K12" s="9">
        <f>'Proximal Validation (single)'!K12</f>
        <v>0.49095398187637301</v>
      </c>
      <c r="L12" s="9">
        <f>'Proximal Validation (single)'!L12</f>
        <v>-0.47584062814712502</v>
      </c>
      <c r="M12" s="9">
        <f>'Proximal Validation (single)'!M12</f>
        <v>-0.25870200991630599</v>
      </c>
      <c r="N12" s="9">
        <v>0.73168297035630525</v>
      </c>
      <c r="O12" s="9">
        <v>0.2</v>
      </c>
      <c r="P12" s="9">
        <v>3.6434809899798251</v>
      </c>
      <c r="Q12" s="9">
        <v>0.54520489897621083</v>
      </c>
      <c r="R12" s="10">
        <v>2.2333612238117996E-5</v>
      </c>
      <c r="S12" s="8">
        <f t="shared" si="2"/>
        <v>6.8317029643694793E-2</v>
      </c>
      <c r="T12" s="8">
        <f t="shared" si="3"/>
        <v>2.0000000000000018E-2</v>
      </c>
      <c r="U12" s="8">
        <f t="shared" si="4"/>
        <v>2.1519010020174978E-2</v>
      </c>
      <c r="V12" s="8">
        <f t="shared" si="5"/>
        <v>0.2397951010237892</v>
      </c>
    </row>
    <row r="13" spans="1:26" x14ac:dyDescent="0.3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-3.2309396192431499E-4</v>
      </c>
      <c r="I13" s="9">
        <f>'Proximal Validation (single)'!I13</f>
        <v>3.5572569817304597E-2</v>
      </c>
      <c r="J13" s="9">
        <f>'Proximal Validation (single)'!J13</f>
        <v>-6.1782382428646102E-2</v>
      </c>
      <c r="K13" s="9">
        <f>'Proximal Validation (single)'!K13</f>
        <v>0.27096122503280601</v>
      </c>
      <c r="L13" s="9">
        <f>'Proximal Validation (single)'!L13</f>
        <v>-0.21531303226947801</v>
      </c>
      <c r="M13" s="9">
        <f>'Proximal Validation (single)'!M13</f>
        <v>-0.122712507843971</v>
      </c>
      <c r="N13" s="9">
        <v>0.36797288682754165</v>
      </c>
      <c r="O13" s="9">
        <v>0.2</v>
      </c>
      <c r="P13" s="9">
        <v>3.660603377240859</v>
      </c>
      <c r="Q13" s="9">
        <v>0.63571464197117988</v>
      </c>
      <c r="R13" s="10">
        <v>2.4420755865426456E-5</v>
      </c>
      <c r="S13" s="8">
        <f t="shared" si="2"/>
        <v>3.2027113172458377E-2</v>
      </c>
      <c r="T13" s="8">
        <f t="shared" si="3"/>
        <v>0</v>
      </c>
      <c r="U13" s="8">
        <f t="shared" si="4"/>
        <v>4.396622759140989E-3</v>
      </c>
      <c r="V13" s="8">
        <f t="shared" si="5"/>
        <v>0.14928535802882015</v>
      </c>
    </row>
    <row r="14" spans="1:26" x14ac:dyDescent="0.3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-7.1692815981805303E-4</v>
      </c>
      <c r="I14" s="9">
        <f>'Proximal Validation (single)'!I14</f>
        <v>3.56008112430573E-2</v>
      </c>
      <c r="J14" s="9">
        <f>'Proximal Validation (single)'!J14</f>
        <v>-6.2020469456911101E-2</v>
      </c>
      <c r="K14" s="9">
        <f>'Proximal Validation (single)'!K14</f>
        <v>-6.5964758396148699E-3</v>
      </c>
      <c r="L14" s="9">
        <f>'Proximal Validation (single)'!L14</f>
        <v>-0.30639430880546598</v>
      </c>
      <c r="M14" s="9">
        <f>'Proximal Validation (single)'!M14</f>
        <v>-0.17468151450157199</v>
      </c>
      <c r="N14" s="9">
        <v>0.35275373163033857</v>
      </c>
      <c r="O14" s="9">
        <v>0.11275990575808778</v>
      </c>
      <c r="P14" s="9">
        <v>3.6598845384345662</v>
      </c>
      <c r="Q14" s="9">
        <v>1.5375106687730409</v>
      </c>
      <c r="R14" s="10">
        <v>5.6655765292129192E-7</v>
      </c>
      <c r="S14" s="8">
        <f t="shared" si="2"/>
        <v>4.7246268369661448E-2</v>
      </c>
      <c r="T14" s="8">
        <f t="shared" si="3"/>
        <v>1.2759905758087775E-2</v>
      </c>
      <c r="U14" s="8">
        <f t="shared" si="4"/>
        <v>5.1154615654338542E-3</v>
      </c>
      <c r="V14" s="8">
        <f t="shared" si="5"/>
        <v>3.3489331226959074E-2</v>
      </c>
    </row>
    <row r="15" spans="1:26" x14ac:dyDescent="0.3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-1.24058220535517E-3</v>
      </c>
      <c r="I15" s="9">
        <f>'Proximal Validation (single)'!I15</f>
        <v>6.9012217223644298E-2</v>
      </c>
      <c r="J15" s="9">
        <f>'Proximal Validation (single)'!J15</f>
        <v>-0.119697146117687</v>
      </c>
      <c r="K15" s="9">
        <f>'Proximal Validation (single)'!K15</f>
        <v>-5.5351331830024698E-2</v>
      </c>
      <c r="L15" s="9">
        <f>'Proximal Validation (single)'!L15</f>
        <v>-0.59383064508438099</v>
      </c>
      <c r="M15" s="9">
        <f>'Proximal Validation (single)'!M15</f>
        <v>-0.33820247650146501</v>
      </c>
      <c r="N15" s="9">
        <v>0.68562412450097743</v>
      </c>
      <c r="O15" s="9">
        <v>0.11198196548298743</v>
      </c>
      <c r="P15" s="9">
        <v>3.6595324535099754</v>
      </c>
      <c r="Q15" s="9">
        <v>1.4909781628140411</v>
      </c>
      <c r="R15" s="10">
        <v>2.0903459241015125E-6</v>
      </c>
      <c r="S15" s="8">
        <f t="shared" si="2"/>
        <v>1.4375875499022528E-2</v>
      </c>
      <c r="T15" s="8">
        <f t="shared" si="3"/>
        <v>1.1981965482987425E-2</v>
      </c>
      <c r="U15" s="8">
        <f t="shared" si="4"/>
        <v>5.4675464900246773E-3</v>
      </c>
      <c r="V15" s="8">
        <f t="shared" si="5"/>
        <v>8.0021837185958899E-2</v>
      </c>
    </row>
    <row r="16" spans="1:26" x14ac:dyDescent="0.3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-7.1821291930973497E-4</v>
      </c>
      <c r="I16" s="9">
        <f>'Proximal Validation (single)'!I16</f>
        <v>4.6037148684263202E-2</v>
      </c>
      <c r="J16" s="9">
        <f>'Proximal Validation (single)'!J16</f>
        <v>-7.8464329242706299E-2</v>
      </c>
      <c r="K16" s="9">
        <f>'Proximal Validation (single)'!K16</f>
        <v>-7.8753150999546107E-2</v>
      </c>
      <c r="L16" s="9">
        <f>'Proximal Validation (single)'!L16</f>
        <v>-0.286407381296158</v>
      </c>
      <c r="M16" s="9">
        <f>'Proximal Validation (single)'!M16</f>
        <v>-0.16520524024963401</v>
      </c>
      <c r="N16" s="9">
        <v>0.33988825278149076</v>
      </c>
      <c r="O16" s="9">
        <v>0.18030258891155329</v>
      </c>
      <c r="P16" s="9">
        <v>3.665313887653225</v>
      </c>
      <c r="Q16" s="9">
        <v>1.5119992896231549</v>
      </c>
      <c r="R16" s="10">
        <v>9.3741933612999135E-7</v>
      </c>
      <c r="S16" s="8">
        <f t="shared" si="2"/>
        <v>6.0111747218509259E-2</v>
      </c>
      <c r="T16" s="8">
        <f t="shared" si="3"/>
        <v>2.0302588911553288E-2</v>
      </c>
      <c r="U16" s="8">
        <f t="shared" si="4"/>
        <v>3.1388765322493128E-4</v>
      </c>
      <c r="V16" s="8">
        <f t="shared" si="5"/>
        <v>5.9000710376845067E-2</v>
      </c>
    </row>
    <row r="17" spans="1:22" x14ac:dyDescent="0.3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-6.2177400104701497E-4</v>
      </c>
      <c r="I17" s="9">
        <f>'Proximal Validation (single)'!I17</f>
        <v>3.2626789063215297E-2</v>
      </c>
      <c r="J17" s="9">
        <f>'Proximal Validation (single)'!J17</f>
        <v>-5.72014674544334E-2</v>
      </c>
      <c r="K17" s="9">
        <f>'Proximal Validation (single)'!K17</f>
        <v>-2.7179472148418399E-2</v>
      </c>
      <c r="L17" s="9">
        <f>'Proximal Validation (single)'!L17</f>
        <v>-0.194883912801743</v>
      </c>
      <c r="M17" s="9">
        <f>'Proximal Validation (single)'!M17</f>
        <v>-0.10984055697917899</v>
      </c>
      <c r="N17" s="9">
        <v>0.22568909591739308</v>
      </c>
      <c r="O17" s="9">
        <v>0.2</v>
      </c>
      <c r="P17" s="9">
        <v>3.6552336339894</v>
      </c>
      <c r="Q17" s="9">
        <v>1.4602716904564093</v>
      </c>
      <c r="R17" s="10">
        <v>2.0101246167230002E-6</v>
      </c>
      <c r="S17" s="8">
        <f t="shared" si="2"/>
        <v>7.4310904082606904E-2</v>
      </c>
      <c r="T17" s="8">
        <f t="shared" si="3"/>
        <v>2.0000000000000018E-2</v>
      </c>
      <c r="U17" s="8">
        <f t="shared" si="4"/>
        <v>9.7663660105999917E-3</v>
      </c>
      <c r="V17" s="8">
        <f t="shared" si="5"/>
        <v>0.1107283095435907</v>
      </c>
    </row>
  </sheetData>
  <mergeCells count="5">
    <mergeCell ref="W1:Y1"/>
    <mergeCell ref="A1:G1"/>
    <mergeCell ref="H1:M1"/>
    <mergeCell ref="S1:U1"/>
    <mergeCell ref="N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F774-9DF3-4E6E-BB0A-FE0B8E71539C}">
  <dimension ref="A1:Z17"/>
  <sheetViews>
    <sheetView topLeftCell="L1" workbookViewId="0">
      <selection activeCell="T19" sqref="T19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2" t="s">
        <v>13</v>
      </c>
      <c r="B1" s="22"/>
      <c r="C1" s="22"/>
      <c r="D1" s="22"/>
      <c r="E1" s="22"/>
      <c r="F1" s="22"/>
      <c r="G1" s="22"/>
      <c r="H1" s="23" t="s">
        <v>6</v>
      </c>
      <c r="I1" s="23"/>
      <c r="J1" s="23"/>
      <c r="K1" s="23"/>
      <c r="L1" s="23"/>
      <c r="M1" s="23"/>
      <c r="N1" s="25" t="s">
        <v>9</v>
      </c>
      <c r="O1" s="25"/>
      <c r="P1" s="25"/>
      <c r="Q1" s="25"/>
      <c r="R1" s="25"/>
      <c r="S1" s="24" t="s">
        <v>15</v>
      </c>
      <c r="T1" s="24"/>
      <c r="U1" s="24"/>
      <c r="V1" s="6"/>
      <c r="W1" s="21" t="s">
        <v>30</v>
      </c>
      <c r="X1" s="21"/>
      <c r="Y1" s="21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-1.5595351578667801E-4</v>
      </c>
      <c r="I3" s="9">
        <f>'Proximal Validation (single)'!I3</f>
        <v>-3.4215424209833097E-2</v>
      </c>
      <c r="J3" s="9">
        <f>'Proximal Validation (single)'!J3</f>
        <v>-1.4112447388470199E-7</v>
      </c>
      <c r="K3" s="9">
        <f>'Proximal Validation (single)'!K3</f>
        <v>0.19788618385791801</v>
      </c>
      <c r="L3" s="9">
        <f>'Proximal Validation (single)'!L3</f>
        <v>-3.1988471746444702E-3</v>
      </c>
      <c r="M3" s="9">
        <f>'Proximal Validation (single)'!M3</f>
        <v>0.198836579918861</v>
      </c>
      <c r="N3" s="9">
        <v>0.25546830737307386</v>
      </c>
      <c r="O3" s="9">
        <v>7.8868414103961892E-2</v>
      </c>
      <c r="P3" s="9">
        <v>1.6181648005651359</v>
      </c>
      <c r="Q3" s="9">
        <v>0.88264411592348146</v>
      </c>
      <c r="R3" s="10">
        <v>7.8113581943027076E-7</v>
      </c>
      <c r="S3" s="8">
        <f>ABS(N3-A3)</f>
        <v>4.4531692626926134E-2</v>
      </c>
      <c r="T3" s="8">
        <f t="shared" ref="T3:V17" si="0">ABS(O3-B3)</f>
        <v>1.1315858960381092E-3</v>
      </c>
      <c r="U3" s="8">
        <f t="shared" si="0"/>
        <v>4.7164800565135945E-2</v>
      </c>
      <c r="V3" s="8">
        <f t="shared" si="0"/>
        <v>9.7644115923481434E-2</v>
      </c>
      <c r="W3" s="9">
        <f>AVERAGE(S3:S17)</f>
        <v>5.2476209197665491E-2</v>
      </c>
      <c r="X3" s="9">
        <f t="shared" ref="X3:Z3" si="1">AVERAGE(T3:T17)</f>
        <v>3.5238875729212249E-2</v>
      </c>
      <c r="Y3" s="9">
        <f>AVERAGE(U3:U17)</f>
        <v>1.9772421376657513E-2</v>
      </c>
      <c r="Z3" s="9">
        <f t="shared" si="1"/>
        <v>8.1219273691134311E-2</v>
      </c>
    </row>
    <row r="4" spans="1:26" x14ac:dyDescent="0.3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-2.4353998014703401E-4</v>
      </c>
      <c r="I4" s="9">
        <f>'Proximal Validation (single)'!I4</f>
        <v>-5.8889582753181499E-2</v>
      </c>
      <c r="J4" s="9">
        <f>'Proximal Validation (single)'!J4</f>
        <v>-5.9254060033708797E-5</v>
      </c>
      <c r="K4" s="9">
        <f>'Proximal Validation (single)'!K4</f>
        <v>0.25050288438797003</v>
      </c>
      <c r="L4" s="9">
        <f>'Proximal Validation (single)'!L4</f>
        <v>9.8302215337753296E-4</v>
      </c>
      <c r="M4" s="9">
        <f>'Proximal Validation (single)'!M4</f>
        <v>0.25498384237289401</v>
      </c>
      <c r="N4" s="9">
        <v>0.32609333192246198</v>
      </c>
      <c r="O4" s="9">
        <v>0.14396765138446288</v>
      </c>
      <c r="P4" s="9">
        <v>1.5671820177231277</v>
      </c>
      <c r="Q4" s="9">
        <v>0.81117679681815691</v>
      </c>
      <c r="R4" s="10">
        <v>8.7486293246918095E-8</v>
      </c>
      <c r="S4" s="8">
        <f t="shared" ref="S4:S17" si="2">ABS(N4-A4)</f>
        <v>7.390666807753804E-2</v>
      </c>
      <c r="T4" s="8">
        <f t="shared" si="0"/>
        <v>3.9676513844628669E-3</v>
      </c>
      <c r="U4" s="8">
        <f t="shared" si="0"/>
        <v>3.8179822768722449E-3</v>
      </c>
      <c r="V4" s="8">
        <f t="shared" si="0"/>
        <v>2.6176796818156878E-2</v>
      </c>
      <c r="Y4">
        <f>DEGREES(Y3)</f>
        <v>1.1328762956367244</v>
      </c>
      <c r="Z4">
        <f>DEGREES(Z3)</f>
        <v>4.6535215976199193</v>
      </c>
    </row>
    <row r="5" spans="1:26" x14ac:dyDescent="0.3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2.2863354533910799E-3</v>
      </c>
      <c r="I5" s="9">
        <f>'Proximal Validation (single)'!I5</f>
        <v>-0.11987078934907899</v>
      </c>
      <c r="J5" s="9">
        <f>'Proximal Validation (single)'!J5</f>
        <v>-6.9630080834031096E-3</v>
      </c>
      <c r="K5" s="9">
        <f>'Proximal Validation (single)'!K5</f>
        <v>0.31022596359252902</v>
      </c>
      <c r="L5" s="9">
        <f>'Proximal Validation (single)'!L5</f>
        <v>-2.3233078420162201E-2</v>
      </c>
      <c r="M5" s="9">
        <f>'Proximal Validation (single)'!M5</f>
        <v>0.50102174282073997</v>
      </c>
      <c r="N5" s="9">
        <v>0.57078976457573982</v>
      </c>
      <c r="O5" s="9">
        <v>0.16313417724829826</v>
      </c>
      <c r="P5" s="9">
        <v>1.6797349194716533</v>
      </c>
      <c r="Q5" s="9">
        <v>0.79738512393807259</v>
      </c>
      <c r="R5" s="10">
        <v>9.2837655331362166E-6</v>
      </c>
      <c r="S5" s="8">
        <f t="shared" si="2"/>
        <v>2.9210235424260156E-2</v>
      </c>
      <c r="T5" s="8">
        <f t="shared" si="0"/>
        <v>3.1341772482982588E-3</v>
      </c>
      <c r="U5" s="8">
        <f t="shared" si="0"/>
        <v>0.10873491947165337</v>
      </c>
      <c r="V5" s="8">
        <f t="shared" si="0"/>
        <v>1.2385123938072562E-2</v>
      </c>
    </row>
    <row r="6" spans="1:26" x14ac:dyDescent="0.3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6.5225898288190397E-4</v>
      </c>
      <c r="I6" s="9">
        <f>'Proximal Validation (single)'!I6</f>
        <v>-6.1197262257337598E-2</v>
      </c>
      <c r="J6" s="9">
        <f>'Proximal Validation (single)'!J6</f>
        <v>-8.9818926062434901E-4</v>
      </c>
      <c r="K6" s="9">
        <f>'Proximal Validation (single)'!K6</f>
        <v>-1.97219010442495E-3</v>
      </c>
      <c r="L6" s="9">
        <f>'Proximal Validation (single)'!L6</f>
        <v>-5.79428672790527E-3</v>
      </c>
      <c r="M6" s="9">
        <f>'Proximal Validation (single)'!M6</f>
        <v>0.38675421476364102</v>
      </c>
      <c r="N6" s="9">
        <v>0.40034285871753178</v>
      </c>
      <c r="O6" s="9">
        <v>6.3789557915673353E-2</v>
      </c>
      <c r="P6" s="9">
        <v>1.586671848800391</v>
      </c>
      <c r="Q6" s="9">
        <v>1.5139212151584278</v>
      </c>
      <c r="R6" s="10">
        <v>1.2081842601851074E-7</v>
      </c>
      <c r="S6" s="8">
        <f t="shared" si="2"/>
        <v>3.4285871753175767E-4</v>
      </c>
      <c r="T6" s="8">
        <f t="shared" si="0"/>
        <v>3.7895579156733555E-3</v>
      </c>
      <c r="U6" s="8">
        <f t="shared" si="0"/>
        <v>1.5671848800391075E-2</v>
      </c>
      <c r="V6" s="8">
        <f t="shared" si="0"/>
        <v>5.7078784841572139E-2</v>
      </c>
    </row>
    <row r="7" spans="1:26" x14ac:dyDescent="0.3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-4.06092498451471E-4</v>
      </c>
      <c r="I7" s="9">
        <f>'Proximal Validation (single)'!I7</f>
        <v>-0.15244589745998399</v>
      </c>
      <c r="J7" s="9">
        <f>'Proximal Validation (single)'!J7</f>
        <v>-1.21209200005978E-3</v>
      </c>
      <c r="K7" s="9">
        <f>'Proximal Validation (single)'!K7</f>
        <v>-0.117412149906158</v>
      </c>
      <c r="L7" s="9">
        <f>'Proximal Validation (single)'!L7</f>
        <v>-2.6462823152542101E-3</v>
      </c>
      <c r="M7" s="9">
        <f>'Proximal Validation (single)'!M7</f>
        <v>0.85134243965148904</v>
      </c>
      <c r="N7" s="9">
        <v>0.88572261201942548</v>
      </c>
      <c r="O7" s="9">
        <v>8.3569789489519986E-2</v>
      </c>
      <c r="P7" s="9">
        <v>1.5739509948092629</v>
      </c>
      <c r="Q7" s="9">
        <v>1.5112353760358364</v>
      </c>
      <c r="R7" s="10">
        <v>1.3970315553094521E-7</v>
      </c>
      <c r="S7" s="8">
        <f t="shared" si="2"/>
        <v>8.5722612019425437E-2</v>
      </c>
      <c r="T7" s="8">
        <f t="shared" si="0"/>
        <v>3.5697894895199839E-3</v>
      </c>
      <c r="U7" s="8">
        <f t="shared" si="0"/>
        <v>2.9509948092629745E-3</v>
      </c>
      <c r="V7" s="8">
        <f t="shared" si="0"/>
        <v>5.9764623964163599E-2</v>
      </c>
    </row>
    <row r="8" spans="1:26" x14ac:dyDescent="0.3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5.05214463919401E-3</v>
      </c>
      <c r="I8" s="9">
        <f>'Proximal Validation (single)'!I8</f>
        <v>-0.157537400722504</v>
      </c>
      <c r="J8" s="9">
        <f>'Proximal Validation (single)'!J8</f>
        <v>-6.2086973339319203E-3</v>
      </c>
      <c r="K8" s="9">
        <f>'Proximal Validation (single)'!K8</f>
        <v>-0.29486876726150502</v>
      </c>
      <c r="L8" s="9">
        <f>'Proximal Validation (single)'!L8</f>
        <v>-2.80796959996223E-2</v>
      </c>
      <c r="M8" s="9">
        <f>'Proximal Validation (single)'!M8</f>
        <v>0.56537818908691395</v>
      </c>
      <c r="N8" s="9">
        <v>0.62779646510893539</v>
      </c>
      <c r="O8" s="9">
        <v>0.17006510238176295</v>
      </c>
      <c r="P8" s="9">
        <v>1.616076604121921</v>
      </c>
      <c r="Q8" s="9">
        <v>1.4155644303124766</v>
      </c>
      <c r="R8" s="10">
        <v>6.9471785774708248E-6</v>
      </c>
      <c r="S8" s="8">
        <f t="shared" si="2"/>
        <v>7.2203534891064569E-2</v>
      </c>
      <c r="T8" s="8">
        <f t="shared" si="0"/>
        <v>1.0065102381762947E-2</v>
      </c>
      <c r="U8" s="8">
        <f t="shared" si="0"/>
        <v>4.5076604121921049E-2</v>
      </c>
      <c r="V8" s="8">
        <f t="shared" si="0"/>
        <v>0.15543556968752337</v>
      </c>
    </row>
    <row r="9" spans="1:26" x14ac:dyDescent="0.3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3.71134956367314E-5</v>
      </c>
      <c r="I9" s="9">
        <f>'Proximal Validation (single)'!I9</f>
        <v>-0.19372102618217499</v>
      </c>
      <c r="J9" s="9">
        <f>'Proximal Validation (single)'!J9</f>
        <v>-2.1289892029017201E-3</v>
      </c>
      <c r="K9" s="9">
        <f>'Proximal Validation (single)'!K9</f>
        <v>-0.41201990842819203</v>
      </c>
      <c r="L9" s="9">
        <f>'Proximal Validation (single)'!L9</f>
        <v>-1.1864490807056401E-3</v>
      </c>
      <c r="M9" s="9">
        <f>'Proximal Validation (single)'!M9</f>
        <v>0.55889892578125</v>
      </c>
      <c r="N9" s="9">
        <v>0.66248085357426356</v>
      </c>
      <c r="O9" s="9">
        <v>0.2</v>
      </c>
      <c r="P9" s="9">
        <v>1.5733653769085645</v>
      </c>
      <c r="Q9" s="9">
        <v>1.394077841401874</v>
      </c>
      <c r="R9" s="10">
        <v>2.1300105319310258E-4</v>
      </c>
      <c r="S9" s="8">
        <f t="shared" si="2"/>
        <v>3.7519146425736394E-2</v>
      </c>
      <c r="T9" s="8">
        <f t="shared" si="0"/>
        <v>0</v>
      </c>
      <c r="U9" s="8">
        <f t="shared" si="0"/>
        <v>2.3653769085645315E-3</v>
      </c>
      <c r="V9" s="8">
        <f t="shared" si="0"/>
        <v>0.17692215859812599</v>
      </c>
    </row>
    <row r="10" spans="1:26" x14ac:dyDescent="0.3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-8.9350854977965398E-4</v>
      </c>
      <c r="I10" s="9">
        <f>'Proximal Validation (single)'!I10</f>
        <v>4.2732272297143901E-2</v>
      </c>
      <c r="J10" s="9">
        <f>'Proximal Validation (single)'!J10</f>
        <v>-7.74873793125153E-2</v>
      </c>
      <c r="K10" s="9">
        <f>'Proximal Validation (single)'!K10</f>
        <v>0.62493914365768399</v>
      </c>
      <c r="L10" s="9">
        <f>'Proximal Validation (single)'!L10</f>
        <v>-0.52349442243576105</v>
      </c>
      <c r="M10" s="9">
        <f>'Proximal Validation (single)'!M10</f>
        <v>-0.28826642036437999</v>
      </c>
      <c r="N10" s="9">
        <v>0.78011865781311185</v>
      </c>
      <c r="O10" s="9">
        <v>1.3891682172543376E-2</v>
      </c>
      <c r="P10" s="9">
        <v>3.6489646853526301</v>
      </c>
      <c r="Q10" s="9">
        <v>0.90957978820062912</v>
      </c>
      <c r="R10" s="10">
        <v>1.9591918862133664E-4</v>
      </c>
      <c r="S10" s="8">
        <f t="shared" si="2"/>
        <v>8.0118657813111893E-2</v>
      </c>
      <c r="T10" s="8">
        <f t="shared" si="0"/>
        <v>4.610831782745662E-2</v>
      </c>
      <c r="U10" s="8">
        <f t="shared" si="0"/>
        <v>1.6035314647369958E-2</v>
      </c>
      <c r="V10" s="8">
        <f t="shared" si="0"/>
        <v>0.12457978820062909</v>
      </c>
    </row>
    <row r="11" spans="1:26" x14ac:dyDescent="0.3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-8.9688366279006004E-4</v>
      </c>
      <c r="I11" s="9">
        <f>'Proximal Validation (single)'!I11</f>
        <v>4.1764143854379703E-2</v>
      </c>
      <c r="J11" s="9">
        <f>'Proximal Validation (single)'!J11</f>
        <v>-7.7566295862197904E-2</v>
      </c>
      <c r="K11" s="9">
        <f>'Proximal Validation (single)'!K11</f>
        <v>0.45929118990898099</v>
      </c>
      <c r="L11" s="9">
        <f>'Proximal Validation (single)'!L11</f>
        <v>-0.41274711489677401</v>
      </c>
      <c r="M11" s="9">
        <f>'Proximal Validation (single)'!M11</f>
        <v>-0.223745286464691</v>
      </c>
      <c r="N11" s="9">
        <v>0.59833706306402712</v>
      </c>
      <c r="O11" s="9">
        <v>4.0348393230003624E-2</v>
      </c>
      <c r="P11" s="9">
        <v>3.6436113556561596</v>
      </c>
      <c r="Q11" s="9">
        <v>0.92307624314530279</v>
      </c>
      <c r="R11" s="10">
        <v>1.8216529345171185E-4</v>
      </c>
      <c r="S11" s="8">
        <f t="shared" si="2"/>
        <v>1.6629369359728585E-3</v>
      </c>
      <c r="T11" s="8">
        <f t="shared" si="0"/>
        <v>5.9651606769996382E-2</v>
      </c>
      <c r="U11" s="8">
        <f t="shared" si="0"/>
        <v>2.1388644343840468E-2</v>
      </c>
      <c r="V11" s="8">
        <f t="shared" si="0"/>
        <v>0.13807624314530276</v>
      </c>
    </row>
    <row r="12" spans="1:26" x14ac:dyDescent="0.3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-5.51847275346518E-4</v>
      </c>
      <c r="I12" s="9">
        <f>'Proximal Validation (single)'!I12</f>
        <v>6.6554106771945995E-2</v>
      </c>
      <c r="J12" s="9">
        <f>'Proximal Validation (single)'!J12</f>
        <v>-0.119616024196148</v>
      </c>
      <c r="K12" s="9">
        <f>'Proximal Validation (single)'!K12</f>
        <v>0.49095398187637301</v>
      </c>
      <c r="L12" s="9">
        <f>'Proximal Validation (single)'!L12</f>
        <v>-0.47584062814712502</v>
      </c>
      <c r="M12" s="9">
        <f>'Proximal Validation (single)'!M12</f>
        <v>-0.25870200991630599</v>
      </c>
      <c r="N12" s="9">
        <v>0.67321896357163991</v>
      </c>
      <c r="O12" s="9">
        <v>8.8417225267400562E-2</v>
      </c>
      <c r="P12" s="9">
        <v>3.6487541484407475</v>
      </c>
      <c r="Q12" s="9">
        <v>0.92163844742106038</v>
      </c>
      <c r="R12" s="10">
        <v>5.0169105666314072E-4</v>
      </c>
      <c r="S12" s="8">
        <f t="shared" si="2"/>
        <v>0.12678103642836014</v>
      </c>
      <c r="T12" s="8">
        <f t="shared" si="0"/>
        <v>9.1582774732599431E-2</v>
      </c>
      <c r="U12" s="8">
        <f t="shared" si="0"/>
        <v>1.6245851559252511E-2</v>
      </c>
      <c r="V12" s="8">
        <f t="shared" si="0"/>
        <v>0.13663844742106035</v>
      </c>
    </row>
    <row r="13" spans="1:26" x14ac:dyDescent="0.3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-3.2309396192431499E-4</v>
      </c>
      <c r="I13" s="9">
        <f>'Proximal Validation (single)'!I13</f>
        <v>3.5572569817304597E-2</v>
      </c>
      <c r="J13" s="9">
        <f>'Proximal Validation (single)'!J13</f>
        <v>-6.1782382428646102E-2</v>
      </c>
      <c r="K13" s="9">
        <f>'Proximal Validation (single)'!K13</f>
        <v>0.27096122503280601</v>
      </c>
      <c r="L13" s="9">
        <f>'Proximal Validation (single)'!L13</f>
        <v>-0.21531303226947801</v>
      </c>
      <c r="M13" s="9">
        <f>'Proximal Validation (single)'!M13</f>
        <v>-0.122712507843971</v>
      </c>
      <c r="N13" s="9">
        <v>0.3291159927351901</v>
      </c>
      <c r="O13" s="9">
        <v>0.11345412731669735</v>
      </c>
      <c r="P13" s="9">
        <v>3.6698591378096403</v>
      </c>
      <c r="Q13" s="9">
        <v>0.87160758209516287</v>
      </c>
      <c r="R13" s="10">
        <v>1.3345208213857653E-4</v>
      </c>
      <c r="S13" s="8">
        <f t="shared" si="2"/>
        <v>7.0884007264809923E-2</v>
      </c>
      <c r="T13" s="8">
        <f t="shared" si="0"/>
        <v>8.654587268330266E-2</v>
      </c>
      <c r="U13" s="8">
        <f t="shared" si="0"/>
        <v>4.8591378096403126E-3</v>
      </c>
      <c r="V13" s="8">
        <f t="shared" si="0"/>
        <v>8.6607582095162838E-2</v>
      </c>
    </row>
    <row r="14" spans="1:26" x14ac:dyDescent="0.3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-7.1692815981805303E-4</v>
      </c>
      <c r="I14" s="9">
        <f>'Proximal Validation (single)'!I14</f>
        <v>3.56008112430573E-2</v>
      </c>
      <c r="J14" s="9">
        <f>'Proximal Validation (single)'!J14</f>
        <v>-6.2020469456911101E-2</v>
      </c>
      <c r="K14" s="9">
        <f>'Proximal Validation (single)'!K14</f>
        <v>-6.5964758396148699E-3</v>
      </c>
      <c r="L14" s="9">
        <f>'Proximal Validation (single)'!L14</f>
        <v>-0.30639430880546598</v>
      </c>
      <c r="M14" s="9">
        <f>'Proximal Validation (single)'!M14</f>
        <v>-0.17468151450157199</v>
      </c>
      <c r="N14" s="9">
        <v>0.36396812880457791</v>
      </c>
      <c r="O14" s="9">
        <v>5.1899400330226157E-2</v>
      </c>
      <c r="P14" s="9">
        <v>3.6659592917673365</v>
      </c>
      <c r="Q14" s="9">
        <v>1.5894261036591588</v>
      </c>
      <c r="R14" s="10">
        <v>1.3488739619692586E-4</v>
      </c>
      <c r="S14" s="8">
        <f t="shared" si="2"/>
        <v>3.6031871195422116E-2</v>
      </c>
      <c r="T14" s="8">
        <f t="shared" si="0"/>
        <v>4.8100599669773848E-2</v>
      </c>
      <c r="U14" s="8">
        <f t="shared" si="0"/>
        <v>9.5929176733644539E-4</v>
      </c>
      <c r="V14" s="8">
        <f t="shared" si="0"/>
        <v>1.8426103659158866E-2</v>
      </c>
    </row>
    <row r="15" spans="1:26" x14ac:dyDescent="0.3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-1.24058220535517E-3</v>
      </c>
      <c r="I15" s="9">
        <f>'Proximal Validation (single)'!I15</f>
        <v>6.9012217223644298E-2</v>
      </c>
      <c r="J15" s="9">
        <f>'Proximal Validation (single)'!J15</f>
        <v>-0.119697146117687</v>
      </c>
      <c r="K15" s="9">
        <f>'Proximal Validation (single)'!K15</f>
        <v>-5.5351331830024698E-2</v>
      </c>
      <c r="L15" s="9">
        <f>'Proximal Validation (single)'!L15</f>
        <v>-0.59383064508438099</v>
      </c>
      <c r="M15" s="9">
        <f>'Proximal Validation (single)'!M15</f>
        <v>-0.33820247650146501</v>
      </c>
      <c r="N15" s="9">
        <v>0.70644217184042479</v>
      </c>
      <c r="O15" s="9">
        <v>5.1514762286886832E-2</v>
      </c>
      <c r="P15" s="9">
        <v>3.6655388603770862</v>
      </c>
      <c r="Q15" s="9">
        <v>1.6118385621667133</v>
      </c>
      <c r="R15" s="10">
        <v>5.1611100815983748E-4</v>
      </c>
      <c r="S15" s="8">
        <f t="shared" si="2"/>
        <v>6.4421718404248374E-3</v>
      </c>
      <c r="T15" s="8">
        <f t="shared" si="0"/>
        <v>4.8485237713113173E-2</v>
      </c>
      <c r="U15" s="8">
        <f t="shared" si="0"/>
        <v>5.3886037708616996E-4</v>
      </c>
      <c r="V15" s="8">
        <f t="shared" si="0"/>
        <v>4.0838562166713333E-2</v>
      </c>
    </row>
    <row r="16" spans="1:26" x14ac:dyDescent="0.3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-7.1821291930973497E-4</v>
      </c>
      <c r="I16" s="9">
        <f>'Proximal Validation (single)'!I16</f>
        <v>4.6037148684263202E-2</v>
      </c>
      <c r="J16" s="9">
        <f>'Proximal Validation (single)'!J16</f>
        <v>-7.8464329242706299E-2</v>
      </c>
      <c r="K16" s="9">
        <f>'Proximal Validation (single)'!K16</f>
        <v>-7.8753150999546107E-2</v>
      </c>
      <c r="L16" s="9">
        <f>'Proximal Validation (single)'!L16</f>
        <v>-0.286407381296158</v>
      </c>
      <c r="M16" s="9">
        <f>'Proximal Validation (single)'!M16</f>
        <v>-0.16520524024963401</v>
      </c>
      <c r="N16" s="9">
        <v>0.34645629427592745</v>
      </c>
      <c r="O16" s="9">
        <v>0.10226963684187816</v>
      </c>
      <c r="P16" s="9">
        <v>3.6749292127814588</v>
      </c>
      <c r="Q16" s="9">
        <v>1.6505159308144088</v>
      </c>
      <c r="R16" s="10">
        <v>2.2799264723760262E-4</v>
      </c>
      <c r="S16" s="8">
        <f t="shared" si="2"/>
        <v>5.3543705724072577E-2</v>
      </c>
      <c r="T16" s="8">
        <f t="shared" si="0"/>
        <v>5.7730363158121842E-2</v>
      </c>
      <c r="U16" s="8">
        <f t="shared" si="0"/>
        <v>9.9292127814587516E-3</v>
      </c>
      <c r="V16" s="8">
        <f t="shared" si="0"/>
        <v>7.9515930814408886E-2</v>
      </c>
    </row>
    <row r="17" spans="1:22" x14ac:dyDescent="0.3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-6.2177400104701497E-4</v>
      </c>
      <c r="I17" s="9">
        <f>'Proximal Validation (single)'!I17</f>
        <v>3.2626789063215297E-2</v>
      </c>
      <c r="J17" s="9">
        <f>'Proximal Validation (single)'!J17</f>
        <v>-5.72014674544334E-2</v>
      </c>
      <c r="K17" s="9">
        <f>'Proximal Validation (single)'!K17</f>
        <v>-2.7179472148418399E-2</v>
      </c>
      <c r="L17" s="9">
        <f>'Proximal Validation (single)'!L17</f>
        <v>-0.194883912801743</v>
      </c>
      <c r="M17" s="9">
        <f>'Proximal Validation (single)'!M17</f>
        <v>-0.10984055697917899</v>
      </c>
      <c r="N17" s="9">
        <v>0.23175799741967446</v>
      </c>
      <c r="O17" s="9">
        <v>0.11527950093193579</v>
      </c>
      <c r="P17" s="9">
        <v>3.6658474804100769</v>
      </c>
      <c r="Q17" s="9">
        <v>1.5791992740934826</v>
      </c>
      <c r="R17" s="10">
        <v>1.1344985095968117E-4</v>
      </c>
      <c r="S17" s="8">
        <f t="shared" si="2"/>
        <v>6.8242002580325534E-2</v>
      </c>
      <c r="T17" s="8">
        <f t="shared" si="0"/>
        <v>6.4720499068064208E-2</v>
      </c>
      <c r="U17" s="8">
        <f t="shared" si="0"/>
        <v>8.4748041007687291E-4</v>
      </c>
      <c r="V17" s="8">
        <f t="shared" si="0"/>
        <v>8.1992740934826447E-3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FA6D-FE6F-4AF3-8379-A44BC5ECB9FF}">
  <dimension ref="A1:Z17"/>
  <sheetViews>
    <sheetView tabSelected="1" topLeftCell="L1" workbookViewId="0">
      <selection activeCell="X9" sqref="X9"/>
    </sheetView>
  </sheetViews>
  <sheetFormatPr defaultRowHeight="14.5" x14ac:dyDescent="0.35"/>
  <cols>
    <col min="1" max="2" width="6.1796875" bestFit="1" customWidth="1"/>
    <col min="3" max="3" width="8.81640625" bestFit="1" customWidth="1"/>
    <col min="4" max="4" width="10.81640625" bestFit="1" customWidth="1"/>
    <col min="5" max="7" width="8.453125" bestFit="1" customWidth="1"/>
    <col min="8" max="9" width="8.1796875" bestFit="1" customWidth="1"/>
    <col min="10" max="13" width="8" bestFit="1" customWidth="1"/>
    <col min="14" max="15" width="7.26953125" bestFit="1" customWidth="1"/>
    <col min="16" max="16" width="8.81640625" bestFit="1" customWidth="1"/>
    <col min="17" max="17" width="10.81640625" bestFit="1" customWidth="1"/>
    <col min="18" max="18" width="15" customWidth="1"/>
    <col min="19" max="19" width="11.1796875" bestFit="1" customWidth="1"/>
    <col min="20" max="20" width="13.453125" bestFit="1" customWidth="1"/>
    <col min="21" max="21" width="11.7265625" bestFit="1" customWidth="1"/>
    <col min="22" max="22" width="11.7265625" customWidth="1"/>
    <col min="23" max="23" width="11.1796875" bestFit="1" customWidth="1"/>
    <col min="24" max="24" width="13.54296875" bestFit="1" customWidth="1"/>
    <col min="25" max="25" width="11.7265625" bestFit="1" customWidth="1"/>
    <col min="26" max="26" width="12.54296875" customWidth="1"/>
  </cols>
  <sheetData>
    <row r="1" spans="1:26" ht="16" x14ac:dyDescent="0.4">
      <c r="A1" s="22" t="s">
        <v>13</v>
      </c>
      <c r="B1" s="22"/>
      <c r="C1" s="22"/>
      <c r="D1" s="22"/>
      <c r="E1" s="22"/>
      <c r="F1" s="22"/>
      <c r="G1" s="22"/>
      <c r="H1" s="23" t="s">
        <v>6</v>
      </c>
      <c r="I1" s="23"/>
      <c r="J1" s="23"/>
      <c r="K1" s="23"/>
      <c r="L1" s="23"/>
      <c r="M1" s="23"/>
      <c r="N1" s="25" t="s">
        <v>9</v>
      </c>
      <c r="O1" s="25"/>
      <c r="P1" s="25"/>
      <c r="Q1" s="25"/>
      <c r="R1" s="25"/>
      <c r="S1" s="24" t="s">
        <v>15</v>
      </c>
      <c r="T1" s="24"/>
      <c r="U1" s="24"/>
      <c r="V1" s="6"/>
      <c r="W1" s="21" t="s">
        <v>30</v>
      </c>
      <c r="X1" s="21"/>
      <c r="Y1" s="21"/>
    </row>
    <row r="2" spans="1:26" ht="16" x14ac:dyDescent="0.4">
      <c r="A2" s="1" t="s">
        <v>7</v>
      </c>
      <c r="B2" s="1" t="s">
        <v>8</v>
      </c>
      <c r="C2" s="1" t="s">
        <v>25</v>
      </c>
      <c r="D2" s="1" t="s">
        <v>26</v>
      </c>
      <c r="E2" s="1" t="s">
        <v>10</v>
      </c>
      <c r="F2" s="1" t="s">
        <v>11</v>
      </c>
      <c r="G2" s="1" t="s">
        <v>12</v>
      </c>
      <c r="H2" s="1" t="s">
        <v>3</v>
      </c>
      <c r="I2" s="1" t="s">
        <v>4</v>
      </c>
      <c r="J2" s="1" t="s">
        <v>5</v>
      </c>
      <c r="K2" s="1" t="s">
        <v>0</v>
      </c>
      <c r="L2" s="1" t="s">
        <v>1</v>
      </c>
      <c r="M2" s="1" t="s">
        <v>2</v>
      </c>
      <c r="N2" s="1" t="s">
        <v>7</v>
      </c>
      <c r="O2" s="1" t="s">
        <v>8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4" t="s">
        <v>31</v>
      </c>
      <c r="V2" s="4" t="s">
        <v>32</v>
      </c>
      <c r="W2" s="1" t="s">
        <v>28</v>
      </c>
      <c r="X2" s="1" t="s">
        <v>29</v>
      </c>
      <c r="Y2" s="4" t="s">
        <v>31</v>
      </c>
      <c r="Z2" s="4" t="s">
        <v>32</v>
      </c>
    </row>
    <row r="3" spans="1:26" x14ac:dyDescent="0.35">
      <c r="A3" s="9">
        <f>'Proximal Validation (single)'!A3</f>
        <v>0.3</v>
      </c>
      <c r="B3" s="9">
        <f>'Proximal Validation (single)'!B3</f>
        <v>0.08</v>
      </c>
      <c r="C3" s="9">
        <f>'Proximal Validation (single)'!C3</f>
        <v>1.571</v>
      </c>
      <c r="D3" s="9">
        <f>'Proximal Validation (single)'!D3</f>
        <v>0.78500000000000003</v>
      </c>
      <c r="E3" s="9">
        <f>'Proximal Validation (single)'!E3</f>
        <v>1.4</v>
      </c>
      <c r="F3" s="9">
        <f>'Proximal Validation (single)'!F3</f>
        <v>0</v>
      </c>
      <c r="G3" s="9">
        <f>'Proximal Validation (single)'!G3</f>
        <v>0</v>
      </c>
      <c r="H3" s="9">
        <f>'Proximal Validation (single)'!H3</f>
        <v>-1.5595351578667801E-4</v>
      </c>
      <c r="I3" s="9">
        <f>'Proximal Validation (single)'!I3</f>
        <v>-3.4215424209833097E-2</v>
      </c>
      <c r="J3" s="9">
        <f>'Proximal Validation (single)'!J3</f>
        <v>-1.4112447388470199E-7</v>
      </c>
      <c r="K3" s="9">
        <f>'Proximal Validation (single)'!K3</f>
        <v>0.19788618385791801</v>
      </c>
      <c r="L3" s="9">
        <f>'Proximal Validation (single)'!L3</f>
        <v>-3.1988471746444702E-3</v>
      </c>
      <c r="M3" s="9">
        <f>'Proximal Validation (single)'!M3</f>
        <v>0.198836579918861</v>
      </c>
      <c r="N3" s="9">
        <v>0.23105392938065236</v>
      </c>
      <c r="O3" s="9">
        <v>6.3315371064735601E-2</v>
      </c>
      <c r="P3" s="9">
        <v>1.5408993982454715</v>
      </c>
      <c r="Q3" s="9">
        <v>1.1740794994170503</v>
      </c>
      <c r="R3" s="10">
        <v>5.1399354462416556E-4</v>
      </c>
      <c r="S3" s="8">
        <f>ABS(N3-A3)</f>
        <v>6.8946070619347627E-2</v>
      </c>
      <c r="T3" s="8">
        <f t="shared" ref="T3:V17" si="0">ABS(O3-B3)</f>
        <v>1.6684628935264401E-2</v>
      </c>
      <c r="U3" s="8">
        <f t="shared" si="0"/>
        <v>3.0100601754528444E-2</v>
      </c>
      <c r="V3" s="8">
        <f t="shared" si="0"/>
        <v>0.38907949941705022</v>
      </c>
      <c r="W3" s="9">
        <f>AVERAGE(S3:S17)</f>
        <v>6.366645912806794E-2</v>
      </c>
      <c r="X3" s="9">
        <f t="shared" ref="X3:Z3" si="1">AVERAGE(T3:T17)</f>
        <v>2.363298510729496E-2</v>
      </c>
      <c r="Y3" s="9">
        <f>AVERAGE(U3:U17)</f>
        <v>3.3476689797409004E-2</v>
      </c>
      <c r="Z3" s="9">
        <f t="shared" si="1"/>
        <v>0.16094337924390839</v>
      </c>
    </row>
    <row r="4" spans="1:26" x14ac:dyDescent="0.35">
      <c r="A4" s="9">
        <f>'Proximal Validation (single)'!A4</f>
        <v>0.4</v>
      </c>
      <c r="B4" s="9">
        <f>'Proximal Validation (single)'!B4</f>
        <v>0.14000000000000001</v>
      </c>
      <c r="C4" s="9">
        <f>'Proximal Validation (single)'!C4</f>
        <v>1.571</v>
      </c>
      <c r="D4" s="9">
        <f>'Proximal Validation (single)'!D4</f>
        <v>0.78500000000000003</v>
      </c>
      <c r="E4" s="9">
        <f>'Proximal Validation (single)'!E4</f>
        <v>0</v>
      </c>
      <c r="F4" s="9">
        <f>'Proximal Validation (single)'!F4</f>
        <v>0</v>
      </c>
      <c r="G4" s="9">
        <f>'Proximal Validation (single)'!G4</f>
        <v>0</v>
      </c>
      <c r="H4" s="9">
        <f>'Proximal Validation (single)'!H4</f>
        <v>-2.4353998014703401E-4</v>
      </c>
      <c r="I4" s="9">
        <f>'Proximal Validation (single)'!I4</f>
        <v>-5.8889582753181499E-2</v>
      </c>
      <c r="J4" s="9">
        <f>'Proximal Validation (single)'!J4</f>
        <v>-5.9254060033708797E-5</v>
      </c>
      <c r="K4" s="9">
        <f>'Proximal Validation (single)'!K4</f>
        <v>0.25050288438797003</v>
      </c>
      <c r="L4" s="9">
        <f>'Proximal Validation (single)'!L4</f>
        <v>9.8302215337753296E-4</v>
      </c>
      <c r="M4" s="9">
        <f>'Proximal Validation (single)'!M4</f>
        <v>0.25498384237289401</v>
      </c>
      <c r="N4" s="9">
        <v>0.30354623382092344</v>
      </c>
      <c r="O4" s="9">
        <v>0.12647640102435134</v>
      </c>
      <c r="P4" s="9">
        <v>1.5270848513602746</v>
      </c>
      <c r="Q4" s="9">
        <v>1.008157100822312</v>
      </c>
      <c r="R4" s="10">
        <v>5.7403401798239949E-4</v>
      </c>
      <c r="S4" s="8">
        <f t="shared" ref="S4:S17" si="2">ABS(N4-A4)</f>
        <v>9.6453766179076583E-2</v>
      </c>
      <c r="T4" s="8">
        <f t="shared" si="0"/>
        <v>1.3523598975648671E-2</v>
      </c>
      <c r="U4" s="8">
        <f t="shared" si="0"/>
        <v>4.3915148639725343E-2</v>
      </c>
      <c r="V4" s="8">
        <f t="shared" si="0"/>
        <v>0.22315710082231199</v>
      </c>
      <c r="Y4">
        <f>DEGREES(Y3)</f>
        <v>1.9180730374601989</v>
      </c>
      <c r="Z4">
        <f>DEGREES(Z3)</f>
        <v>9.2213763712493648</v>
      </c>
    </row>
    <row r="5" spans="1:26" x14ac:dyDescent="0.35">
      <c r="A5" s="9">
        <f>'Proximal Validation (single)'!A5</f>
        <v>0.6</v>
      </c>
      <c r="B5" s="9">
        <f>'Proximal Validation (single)'!B5</f>
        <v>0.16</v>
      </c>
      <c r="C5" s="9">
        <f>'Proximal Validation (single)'!C5</f>
        <v>1.571</v>
      </c>
      <c r="D5" s="9">
        <f>'Proximal Validation (single)'!D5</f>
        <v>0.78500000000000003</v>
      </c>
      <c r="E5" s="9">
        <f>'Proximal Validation (single)'!E5</f>
        <v>1.4</v>
      </c>
      <c r="F5" s="9">
        <f>'Proximal Validation (single)'!F5</f>
        <v>0</v>
      </c>
      <c r="G5" s="9">
        <f>'Proximal Validation (single)'!G5</f>
        <v>0</v>
      </c>
      <c r="H5" s="9">
        <f>'Proximal Validation (single)'!H5</f>
        <v>2.2863354533910799E-3</v>
      </c>
      <c r="I5" s="9">
        <f>'Proximal Validation (single)'!I5</f>
        <v>-0.11987078934907899</v>
      </c>
      <c r="J5" s="9">
        <f>'Proximal Validation (single)'!J5</f>
        <v>-6.9630080834031096E-3</v>
      </c>
      <c r="K5" s="9">
        <f>'Proximal Validation (single)'!K5</f>
        <v>0.31022596359252902</v>
      </c>
      <c r="L5" s="9">
        <f>'Proximal Validation (single)'!L5</f>
        <v>-2.3233078420162201E-2</v>
      </c>
      <c r="M5" s="9">
        <f>'Proximal Validation (single)'!M5</f>
        <v>0.50102174282073997</v>
      </c>
      <c r="N5" s="9">
        <v>0.55319463501294608</v>
      </c>
      <c r="O5" s="9">
        <v>0.15886634238059388</v>
      </c>
      <c r="P5" s="9">
        <v>1.6479884706601358</v>
      </c>
      <c r="Q5" s="9">
        <v>0.87602659492882007</v>
      </c>
      <c r="R5" s="10">
        <v>6.0067033260650308E-4</v>
      </c>
      <c r="S5" s="8">
        <f t="shared" si="2"/>
        <v>4.6805364987053899E-2</v>
      </c>
      <c r="T5" s="8">
        <f t="shared" si="0"/>
        <v>1.1336576194061199E-3</v>
      </c>
      <c r="U5" s="8">
        <f t="shared" si="0"/>
        <v>7.698847066013581E-2</v>
      </c>
      <c r="V5" s="8">
        <f t="shared" si="0"/>
        <v>9.1026594928820037E-2</v>
      </c>
    </row>
    <row r="6" spans="1:26" x14ac:dyDescent="0.35">
      <c r="A6" s="9">
        <f>'Proximal Validation (single)'!A6</f>
        <v>0.4</v>
      </c>
      <c r="B6" s="9">
        <f>'Proximal Validation (single)'!B6</f>
        <v>0.06</v>
      </c>
      <c r="C6" s="9">
        <f>'Proximal Validation (single)'!C6</f>
        <v>1.571</v>
      </c>
      <c r="D6" s="9">
        <f>'Proximal Validation (single)'!D6</f>
        <v>1.571</v>
      </c>
      <c r="E6" s="9">
        <f>'Proximal Validation (single)'!E6</f>
        <v>1.4</v>
      </c>
      <c r="F6" s="9">
        <f>'Proximal Validation (single)'!F6</f>
        <v>0</v>
      </c>
      <c r="G6" s="9">
        <f>'Proximal Validation (single)'!G6</f>
        <v>0</v>
      </c>
      <c r="H6" s="9">
        <f>'Proximal Validation (single)'!H6</f>
        <v>6.5225898288190397E-4</v>
      </c>
      <c r="I6" s="9">
        <f>'Proximal Validation (single)'!I6</f>
        <v>-6.1197262257337598E-2</v>
      </c>
      <c r="J6" s="9">
        <f>'Proximal Validation (single)'!J6</f>
        <v>-8.9818926062434901E-4</v>
      </c>
      <c r="K6" s="9">
        <f>'Proximal Validation (single)'!K6</f>
        <v>-1.97219010442495E-3</v>
      </c>
      <c r="L6" s="9">
        <f>'Proximal Validation (single)'!L6</f>
        <v>-5.79428672790527E-3</v>
      </c>
      <c r="M6" s="9">
        <f>'Proximal Validation (single)'!M6</f>
        <v>0.38675421476364102</v>
      </c>
      <c r="N6" s="9">
        <v>0.42174994714766129</v>
      </c>
      <c r="O6" s="9">
        <v>5.8386275600091159E-2</v>
      </c>
      <c r="P6" s="9">
        <v>1.546823577038891</v>
      </c>
      <c r="Q6" s="9">
        <v>1.8042458180028351</v>
      </c>
      <c r="R6" s="10">
        <v>5.2720557749483352E-4</v>
      </c>
      <c r="S6" s="8">
        <f t="shared" si="2"/>
        <v>2.1749947147661264E-2</v>
      </c>
      <c r="T6" s="8">
        <f t="shared" si="0"/>
        <v>1.6137243999088391E-3</v>
      </c>
      <c r="U6" s="8">
        <f t="shared" si="0"/>
        <v>2.4176422961109001E-2</v>
      </c>
      <c r="V6" s="8">
        <f t="shared" si="0"/>
        <v>0.23324581800283517</v>
      </c>
    </row>
    <row r="7" spans="1:26" x14ac:dyDescent="0.35">
      <c r="A7" s="9">
        <f>'Proximal Validation (single)'!A7</f>
        <v>0.8</v>
      </c>
      <c r="B7" s="9">
        <f>'Proximal Validation (single)'!B7</f>
        <v>0.08</v>
      </c>
      <c r="C7" s="9">
        <f>'Proximal Validation (single)'!C7</f>
        <v>1.571</v>
      </c>
      <c r="D7" s="9">
        <f>'Proximal Validation (single)'!D7</f>
        <v>1.571</v>
      </c>
      <c r="E7" s="9">
        <f>'Proximal Validation (single)'!E7</f>
        <v>0</v>
      </c>
      <c r="F7" s="9">
        <f>'Proximal Validation (single)'!F7</f>
        <v>0</v>
      </c>
      <c r="G7" s="9">
        <f>'Proximal Validation (single)'!G7</f>
        <v>0</v>
      </c>
      <c r="H7" s="9">
        <f>'Proximal Validation (single)'!H7</f>
        <v>-4.06092498451471E-4</v>
      </c>
      <c r="I7" s="9">
        <f>'Proximal Validation (single)'!I7</f>
        <v>-0.15244589745998399</v>
      </c>
      <c r="J7" s="9">
        <f>'Proximal Validation (single)'!J7</f>
        <v>-1.21209200005978E-3</v>
      </c>
      <c r="K7" s="9">
        <f>'Proximal Validation (single)'!K7</f>
        <v>-0.117412149906158</v>
      </c>
      <c r="L7" s="9">
        <f>'Proximal Validation (single)'!L7</f>
        <v>-2.6462823152542101E-3</v>
      </c>
      <c r="M7" s="9">
        <f>'Proximal Validation (single)'!M7</f>
        <v>0.85134243965148904</v>
      </c>
      <c r="N7" s="9">
        <v>0.90018007462909155</v>
      </c>
      <c r="O7" s="9">
        <v>8.3124801847529198E-2</v>
      </c>
      <c r="P7" s="9">
        <v>1.5603917255226749</v>
      </c>
      <c r="Q7" s="9">
        <v>1.6744126666225396</v>
      </c>
      <c r="R7" s="10">
        <v>5.7935679095468819E-4</v>
      </c>
      <c r="S7" s="8">
        <f t="shared" si="2"/>
        <v>0.10018007462909151</v>
      </c>
      <c r="T7" s="8">
        <f t="shared" si="0"/>
        <v>3.1248018475291961E-3</v>
      </c>
      <c r="U7" s="8">
        <f t="shared" si="0"/>
        <v>1.0608274477325041E-2</v>
      </c>
      <c r="V7" s="8">
        <f t="shared" si="0"/>
        <v>0.10341266662253967</v>
      </c>
    </row>
    <row r="8" spans="1:26" x14ac:dyDescent="0.35">
      <c r="A8" s="9">
        <f>'Proximal Validation (single)'!A8</f>
        <v>0.7</v>
      </c>
      <c r="B8" s="9">
        <f>'Proximal Validation (single)'!B8</f>
        <v>0.16</v>
      </c>
      <c r="C8" s="9">
        <f>'Proximal Validation (single)'!C8</f>
        <v>1.571</v>
      </c>
      <c r="D8" s="9">
        <f>'Proximal Validation (single)'!D8</f>
        <v>1.571</v>
      </c>
      <c r="E8" s="9">
        <f>'Proximal Validation (single)'!E8</f>
        <v>1.4</v>
      </c>
      <c r="F8" s="9">
        <f>'Proximal Validation (single)'!F8</f>
        <v>0</v>
      </c>
      <c r="G8" s="9">
        <f>'Proximal Validation (single)'!G8</f>
        <v>0</v>
      </c>
      <c r="H8" s="9">
        <f>'Proximal Validation (single)'!H8</f>
        <v>5.05214463919401E-3</v>
      </c>
      <c r="I8" s="9">
        <f>'Proximal Validation (single)'!I8</f>
        <v>-0.157537400722504</v>
      </c>
      <c r="J8" s="9">
        <f>'Proximal Validation (single)'!J8</f>
        <v>-6.2086973339319203E-3</v>
      </c>
      <c r="K8" s="9">
        <f>'Proximal Validation (single)'!K8</f>
        <v>-0.29486876726150502</v>
      </c>
      <c r="L8" s="9">
        <f>'Proximal Validation (single)'!L8</f>
        <v>-2.80796959996223E-2</v>
      </c>
      <c r="M8" s="9">
        <f>'Proximal Validation (single)'!M8</f>
        <v>0.56537818908691395</v>
      </c>
      <c r="N8" s="9">
        <v>0.71448281487836196</v>
      </c>
      <c r="O8" s="9">
        <v>0.15370117008511555</v>
      </c>
      <c r="P8" s="9">
        <v>1.5741849850195675</v>
      </c>
      <c r="Q8" s="9">
        <v>1.7107256519224883</v>
      </c>
      <c r="R8" s="10">
        <v>6.4018377241843E-4</v>
      </c>
      <c r="S8" s="8">
        <f t="shared" si="2"/>
        <v>1.4482814878362005E-2</v>
      </c>
      <c r="T8" s="8">
        <f t="shared" si="0"/>
        <v>6.2988299148844518E-3</v>
      </c>
      <c r="U8" s="8">
        <f t="shared" si="0"/>
        <v>3.1849850195675433E-3</v>
      </c>
      <c r="V8" s="8">
        <f t="shared" si="0"/>
        <v>0.13972565192248831</v>
      </c>
    </row>
    <row r="9" spans="1:26" x14ac:dyDescent="0.35">
      <c r="A9" s="9">
        <f>'Proximal Validation (single)'!A9</f>
        <v>0.7</v>
      </c>
      <c r="B9" s="9">
        <f>'Proximal Validation (single)'!B9</f>
        <v>0.2</v>
      </c>
      <c r="C9" s="9">
        <f>'Proximal Validation (single)'!C9</f>
        <v>1.571</v>
      </c>
      <c r="D9" s="9">
        <f>'Proximal Validation (single)'!D9</f>
        <v>1.571</v>
      </c>
      <c r="E9" s="9">
        <f>'Proximal Validation (single)'!E9</f>
        <v>0</v>
      </c>
      <c r="F9" s="9">
        <f>'Proximal Validation (single)'!F9</f>
        <v>0</v>
      </c>
      <c r="G9" s="9">
        <f>'Proximal Validation (single)'!G9</f>
        <v>0</v>
      </c>
      <c r="H9" s="9">
        <f>'Proximal Validation (single)'!H9</f>
        <v>3.71134956367314E-5</v>
      </c>
      <c r="I9" s="9">
        <f>'Proximal Validation (single)'!I9</f>
        <v>-0.19372102618217499</v>
      </c>
      <c r="J9" s="9">
        <f>'Proximal Validation (single)'!J9</f>
        <v>-2.1289892029017201E-3</v>
      </c>
      <c r="K9" s="9">
        <f>'Proximal Validation (single)'!K9</f>
        <v>-0.41201990842819203</v>
      </c>
      <c r="L9" s="9">
        <f>'Proximal Validation (single)'!L9</f>
        <v>-1.1864490807056401E-3</v>
      </c>
      <c r="M9" s="9">
        <f>'Proximal Validation (single)'!M9</f>
        <v>0.55889892578125</v>
      </c>
      <c r="N9" s="9">
        <v>0.78293114450246792</v>
      </c>
      <c r="O9" s="9">
        <v>0.18958412823281595</v>
      </c>
      <c r="P9" s="9">
        <v>1.5594292973769728</v>
      </c>
      <c r="Q9" s="9">
        <v>1.5755792279152727</v>
      </c>
      <c r="R9" s="10">
        <v>6.8362144708908009E-4</v>
      </c>
      <c r="S9" s="8">
        <f t="shared" si="2"/>
        <v>8.2931144502467968E-2</v>
      </c>
      <c r="T9" s="8">
        <f t="shared" si="0"/>
        <v>1.0415871767184059E-2</v>
      </c>
      <c r="U9" s="8">
        <f t="shared" si="0"/>
        <v>1.1570702623027174E-2</v>
      </c>
      <c r="V9" s="8">
        <f t="shared" si="0"/>
        <v>4.5792279152727655E-3</v>
      </c>
    </row>
    <row r="10" spans="1:26" x14ac:dyDescent="0.35">
      <c r="A10" s="9">
        <f>'Proximal Validation (single)'!A10</f>
        <v>0.7</v>
      </c>
      <c r="B10" s="9">
        <f>'Proximal Validation (single)'!B10</f>
        <v>0.06</v>
      </c>
      <c r="C10" s="9">
        <f>'Proximal Validation (single)'!C10</f>
        <v>3.665</v>
      </c>
      <c r="D10" s="9">
        <f>'Proximal Validation (single)'!D10</f>
        <v>0.78500000000000003</v>
      </c>
      <c r="E10" s="9">
        <f>'Proximal Validation (single)'!E10</f>
        <v>0</v>
      </c>
      <c r="F10" s="9">
        <f>'Proximal Validation (single)'!F10</f>
        <v>0</v>
      </c>
      <c r="G10" s="9">
        <f>'Proximal Validation (single)'!G10</f>
        <v>0</v>
      </c>
      <c r="H10" s="9">
        <f>'Proximal Validation (single)'!H10</f>
        <v>-8.9350854977965398E-4</v>
      </c>
      <c r="I10" s="9">
        <f>'Proximal Validation (single)'!I10</f>
        <v>4.2732272297143901E-2</v>
      </c>
      <c r="J10" s="9">
        <f>'Proximal Validation (single)'!J10</f>
        <v>-7.74873793125153E-2</v>
      </c>
      <c r="K10" s="9">
        <f>'Proximal Validation (single)'!K10</f>
        <v>0.62493914365768399</v>
      </c>
      <c r="L10" s="9">
        <f>'Proximal Validation (single)'!L10</f>
        <v>-0.52349442243576105</v>
      </c>
      <c r="M10" s="9">
        <f>'Proximal Validation (single)'!M10</f>
        <v>-0.28826642036437999</v>
      </c>
      <c r="N10" s="9">
        <v>0.76728977148308719</v>
      </c>
      <c r="O10" s="9">
        <v>0.10118577138133467</v>
      </c>
      <c r="P10" s="9">
        <v>3.6290071907384194</v>
      </c>
      <c r="Q10" s="9">
        <v>0.7100076987975219</v>
      </c>
      <c r="R10" s="10">
        <v>1.6757707583499497E-4</v>
      </c>
      <c r="S10" s="8">
        <f t="shared" si="2"/>
        <v>6.7289771483087235E-2</v>
      </c>
      <c r="T10" s="8">
        <f t="shared" si="0"/>
        <v>4.1185771381334668E-2</v>
      </c>
      <c r="U10" s="8">
        <f t="shared" si="0"/>
        <v>3.5992809261580661E-2</v>
      </c>
      <c r="V10" s="8">
        <f t="shared" si="0"/>
        <v>7.4992301202478129E-2</v>
      </c>
    </row>
    <row r="11" spans="1:26" x14ac:dyDescent="0.35">
      <c r="A11" s="9">
        <f>'Proximal Validation (single)'!A11</f>
        <v>0.6</v>
      </c>
      <c r="B11" s="9">
        <f>'Proximal Validation (single)'!B11</f>
        <v>0.1</v>
      </c>
      <c r="C11" s="9">
        <f>'Proximal Validation (single)'!C11</f>
        <v>3.665</v>
      </c>
      <c r="D11" s="9">
        <f>'Proximal Validation (single)'!D11</f>
        <v>0.78500000000000003</v>
      </c>
      <c r="E11" s="9">
        <f>'Proximal Validation (single)'!E11</f>
        <v>0</v>
      </c>
      <c r="F11" s="9">
        <f>'Proximal Validation (single)'!F11</f>
        <v>0</v>
      </c>
      <c r="G11" s="9">
        <f>'Proximal Validation (single)'!G11</f>
        <v>0</v>
      </c>
      <c r="H11" s="9">
        <f>'Proximal Validation (single)'!H11</f>
        <v>-8.9688366279006004E-4</v>
      </c>
      <c r="I11" s="9">
        <f>'Proximal Validation (single)'!I11</f>
        <v>4.1764143854379703E-2</v>
      </c>
      <c r="J11" s="9">
        <f>'Proximal Validation (single)'!J11</f>
        <v>-7.7566295862197904E-2</v>
      </c>
      <c r="K11" s="9">
        <f>'Proximal Validation (single)'!K11</f>
        <v>0.45929118990898099</v>
      </c>
      <c r="L11" s="9">
        <f>'Proximal Validation (single)'!L11</f>
        <v>-0.41274711489677401</v>
      </c>
      <c r="M11" s="9">
        <f>'Proximal Validation (single)'!M11</f>
        <v>-0.223745286464691</v>
      </c>
      <c r="N11" s="9">
        <v>0.56310084049764919</v>
      </c>
      <c r="O11" s="9">
        <v>0.17142791803564372</v>
      </c>
      <c r="P11" s="9">
        <v>3.616903655823891</v>
      </c>
      <c r="Q11" s="9">
        <v>0.64182346693340264</v>
      </c>
      <c r="R11" s="10">
        <v>1.6346024191416563E-4</v>
      </c>
      <c r="S11" s="8">
        <f t="shared" si="2"/>
        <v>3.6899159502350787E-2</v>
      </c>
      <c r="T11" s="8">
        <f t="shared" si="0"/>
        <v>7.1427918035643717E-2</v>
      </c>
      <c r="U11" s="8">
        <f t="shared" si="0"/>
        <v>4.8096344176109085E-2</v>
      </c>
      <c r="V11" s="8">
        <f t="shared" si="0"/>
        <v>0.14317653306659739</v>
      </c>
    </row>
    <row r="12" spans="1:26" x14ac:dyDescent="0.35">
      <c r="A12" s="9">
        <f>'Proximal Validation (single)'!A12</f>
        <v>0.8</v>
      </c>
      <c r="B12" s="9">
        <f>'Proximal Validation (single)'!B12</f>
        <v>0.18</v>
      </c>
      <c r="C12" s="9">
        <f>'Proximal Validation (single)'!C12</f>
        <v>3.665</v>
      </c>
      <c r="D12" s="9">
        <f>'Proximal Validation (single)'!D12</f>
        <v>0.78500000000000003</v>
      </c>
      <c r="E12" s="9">
        <f>'Proximal Validation (single)'!E12</f>
        <v>1.4</v>
      </c>
      <c r="F12" s="9">
        <f>'Proximal Validation (single)'!F12</f>
        <v>0</v>
      </c>
      <c r="G12" s="9">
        <f>'Proximal Validation (single)'!G12</f>
        <v>0</v>
      </c>
      <c r="H12" s="9">
        <f>'Proximal Validation (single)'!H12</f>
        <v>-5.51847275346518E-4</v>
      </c>
      <c r="I12" s="9">
        <f>'Proximal Validation (single)'!I12</f>
        <v>6.6554106771945995E-2</v>
      </c>
      <c r="J12" s="9">
        <f>'Proximal Validation (single)'!J12</f>
        <v>-0.119616024196148</v>
      </c>
      <c r="K12" s="9">
        <f>'Proximal Validation (single)'!K12</f>
        <v>0.49095398187637301</v>
      </c>
      <c r="L12" s="9">
        <f>'Proximal Validation (single)'!L12</f>
        <v>-0.47584062814712502</v>
      </c>
      <c r="M12" s="9">
        <f>'Proximal Validation (single)'!M12</f>
        <v>-0.25870200991630599</v>
      </c>
      <c r="N12" s="9">
        <v>0.64365955382631657</v>
      </c>
      <c r="O12" s="9">
        <v>0.2</v>
      </c>
      <c r="P12" s="9">
        <v>3.6268573343472257</v>
      </c>
      <c r="Q12" s="9">
        <v>0.65319231400842237</v>
      </c>
      <c r="R12" s="10">
        <v>6.3125350598853918E-4</v>
      </c>
      <c r="S12" s="8">
        <f t="shared" si="2"/>
        <v>0.15634044617368348</v>
      </c>
      <c r="T12" s="8">
        <f t="shared" si="0"/>
        <v>2.0000000000000018E-2</v>
      </c>
      <c r="U12" s="8">
        <f t="shared" si="0"/>
        <v>3.8142665652774355E-2</v>
      </c>
      <c r="V12" s="8">
        <f t="shared" si="0"/>
        <v>0.13180768599157766</v>
      </c>
    </row>
    <row r="13" spans="1:26" x14ac:dyDescent="0.35">
      <c r="A13" s="9">
        <f>'Proximal Validation (single)'!A13</f>
        <v>0.4</v>
      </c>
      <c r="B13" s="9">
        <f>'Proximal Validation (single)'!B13</f>
        <v>0.2</v>
      </c>
      <c r="C13" s="9">
        <f>'Proximal Validation (single)'!C13</f>
        <v>3.665</v>
      </c>
      <c r="D13" s="9">
        <f>'Proximal Validation (single)'!D13</f>
        <v>0.78500000000000003</v>
      </c>
      <c r="E13" s="9">
        <f>'Proximal Validation (single)'!E13</f>
        <v>1.4</v>
      </c>
      <c r="F13" s="9">
        <f>'Proximal Validation (single)'!F13</f>
        <v>0</v>
      </c>
      <c r="G13" s="9">
        <f>'Proximal Validation (single)'!G13</f>
        <v>0</v>
      </c>
      <c r="H13" s="9">
        <f>'Proximal Validation (single)'!H13</f>
        <v>-3.2309396192431499E-4</v>
      </c>
      <c r="I13" s="9">
        <f>'Proximal Validation (single)'!I13</f>
        <v>3.5572569817304597E-2</v>
      </c>
      <c r="J13" s="9">
        <f>'Proximal Validation (single)'!J13</f>
        <v>-6.1782382428646102E-2</v>
      </c>
      <c r="K13" s="9">
        <f>'Proximal Validation (single)'!K13</f>
        <v>0.27096122503280601</v>
      </c>
      <c r="L13" s="9">
        <f>'Proximal Validation (single)'!L13</f>
        <v>-0.21531303226947801</v>
      </c>
      <c r="M13" s="9">
        <f>'Proximal Validation (single)'!M13</f>
        <v>-0.122712507843971</v>
      </c>
      <c r="N13" s="9">
        <v>0.27804919690398439</v>
      </c>
      <c r="O13" s="9">
        <v>0.2</v>
      </c>
      <c r="P13" s="9">
        <v>3.6240274935161647</v>
      </c>
      <c r="Q13" s="9">
        <v>0.88413850903099622</v>
      </c>
      <c r="R13" s="10">
        <v>7.5096690558036205E-4</v>
      </c>
      <c r="S13" s="8">
        <f t="shared" si="2"/>
        <v>0.12195080309601564</v>
      </c>
      <c r="T13" s="8">
        <f t="shared" si="0"/>
        <v>0</v>
      </c>
      <c r="U13" s="8">
        <f t="shared" si="0"/>
        <v>4.0972506483835325E-2</v>
      </c>
      <c r="V13" s="8">
        <f t="shared" si="0"/>
        <v>9.9138509030996191E-2</v>
      </c>
    </row>
    <row r="14" spans="1:26" x14ac:dyDescent="0.35">
      <c r="A14" s="9">
        <f>'Proximal Validation (single)'!A14</f>
        <v>0.4</v>
      </c>
      <c r="B14" s="9">
        <f>'Proximal Validation (single)'!B14</f>
        <v>0.1</v>
      </c>
      <c r="C14" s="9">
        <f>'Proximal Validation (single)'!C14</f>
        <v>3.665</v>
      </c>
      <c r="D14" s="9">
        <f>'Proximal Validation (single)'!D14</f>
        <v>1.571</v>
      </c>
      <c r="E14" s="9">
        <f>'Proximal Validation (single)'!E14</f>
        <v>1.4</v>
      </c>
      <c r="F14" s="9">
        <f>'Proximal Validation (single)'!F14</f>
        <v>0</v>
      </c>
      <c r="G14" s="9">
        <f>'Proximal Validation (single)'!G14</f>
        <v>0</v>
      </c>
      <c r="H14" s="9">
        <f>'Proximal Validation (single)'!H14</f>
        <v>-7.1692815981805303E-4</v>
      </c>
      <c r="I14" s="9">
        <f>'Proximal Validation (single)'!I14</f>
        <v>3.56008112430573E-2</v>
      </c>
      <c r="J14" s="9">
        <f>'Proximal Validation (single)'!J14</f>
        <v>-6.2020469456911101E-2</v>
      </c>
      <c r="K14" s="9">
        <f>'Proximal Validation (single)'!K14</f>
        <v>-6.5964758396148699E-3</v>
      </c>
      <c r="L14" s="9">
        <f>'Proximal Validation (single)'!L14</f>
        <v>-0.30639430880546598</v>
      </c>
      <c r="M14" s="9">
        <f>'Proximal Validation (single)'!M14</f>
        <v>-0.17468151450157199</v>
      </c>
      <c r="N14" s="9">
        <v>0.35327471561838264</v>
      </c>
      <c r="O14" s="9">
        <v>0.16941225557212655</v>
      </c>
      <c r="P14" s="9">
        <v>3.6311749950517691</v>
      </c>
      <c r="Q14" s="9">
        <v>1.7682158233044356</v>
      </c>
      <c r="R14" s="10">
        <v>1.5738096474029786E-4</v>
      </c>
      <c r="S14" s="8">
        <f t="shared" si="2"/>
        <v>4.6725284381617382E-2</v>
      </c>
      <c r="T14" s="8">
        <f t="shared" si="0"/>
        <v>6.9412255572126547E-2</v>
      </c>
      <c r="U14" s="8">
        <f t="shared" si="0"/>
        <v>3.382500494823093E-2</v>
      </c>
      <c r="V14" s="8">
        <f t="shared" si="0"/>
        <v>0.19721582330443566</v>
      </c>
    </row>
    <row r="15" spans="1:26" x14ac:dyDescent="0.35">
      <c r="A15" s="9">
        <f>'Proximal Validation (single)'!A15</f>
        <v>0.7</v>
      </c>
      <c r="B15" s="9">
        <f>'Proximal Validation (single)'!B15</f>
        <v>0.1</v>
      </c>
      <c r="C15" s="9">
        <f>'Proximal Validation (single)'!C15</f>
        <v>3.665</v>
      </c>
      <c r="D15" s="9">
        <f>'Proximal Validation (single)'!D15</f>
        <v>1.571</v>
      </c>
      <c r="E15" s="9">
        <f>'Proximal Validation (single)'!E15</f>
        <v>1.4</v>
      </c>
      <c r="F15" s="9">
        <f>'Proximal Validation (single)'!F15</f>
        <v>0</v>
      </c>
      <c r="G15" s="9">
        <f>'Proximal Validation (single)'!G15</f>
        <v>0</v>
      </c>
      <c r="H15" s="9">
        <f>'Proximal Validation (single)'!H15</f>
        <v>-1.24058220535517E-3</v>
      </c>
      <c r="I15" s="9">
        <f>'Proximal Validation (single)'!I15</f>
        <v>6.9012217223644298E-2</v>
      </c>
      <c r="J15" s="9">
        <f>'Proximal Validation (single)'!J15</f>
        <v>-0.119697146117687</v>
      </c>
      <c r="K15" s="9">
        <f>'Proximal Validation (single)'!K15</f>
        <v>-5.5351331830024698E-2</v>
      </c>
      <c r="L15" s="9">
        <f>'Proximal Validation (single)'!L15</f>
        <v>-0.59383064508438099</v>
      </c>
      <c r="M15" s="9">
        <f>'Proximal Validation (single)'!M15</f>
        <v>-0.33820247650146501</v>
      </c>
      <c r="N15" s="9">
        <v>0.68360963686820286</v>
      </c>
      <c r="O15" s="9">
        <v>0.13967371816049376</v>
      </c>
      <c r="P15" s="9">
        <v>3.6456463693358034</v>
      </c>
      <c r="Q15" s="9">
        <v>1.5578424581286345</v>
      </c>
      <c r="R15" s="10">
        <v>1.6558110999764192E-4</v>
      </c>
      <c r="S15" s="8">
        <f t="shared" si="2"/>
        <v>1.6390363131797092E-2</v>
      </c>
      <c r="T15" s="8">
        <f t="shared" si="0"/>
        <v>3.9673718160493754E-2</v>
      </c>
      <c r="U15" s="8">
        <f t="shared" si="0"/>
        <v>1.9353630664196597E-2</v>
      </c>
      <c r="V15" s="8">
        <f t="shared" si="0"/>
        <v>1.3157541871365419E-2</v>
      </c>
    </row>
    <row r="16" spans="1:26" x14ac:dyDescent="0.35">
      <c r="A16" s="9">
        <f>'Proximal Validation (single)'!A16</f>
        <v>0.4</v>
      </c>
      <c r="B16" s="9">
        <f>'Proximal Validation (single)'!B16</f>
        <v>0.16</v>
      </c>
      <c r="C16" s="9">
        <f>'Proximal Validation (single)'!C16</f>
        <v>3.665</v>
      </c>
      <c r="D16" s="9">
        <f>'Proximal Validation (single)'!D16</f>
        <v>1.571</v>
      </c>
      <c r="E16" s="9">
        <f>'Proximal Validation (single)'!E16</f>
        <v>0</v>
      </c>
      <c r="F16" s="9">
        <f>'Proximal Validation (single)'!F16</f>
        <v>0</v>
      </c>
      <c r="G16" s="9">
        <f>'Proximal Validation (single)'!G16</f>
        <v>0</v>
      </c>
      <c r="H16" s="9">
        <f>'Proximal Validation (single)'!H16</f>
        <v>-7.1821291930973497E-4</v>
      </c>
      <c r="I16" s="9">
        <f>'Proximal Validation (single)'!I16</f>
        <v>4.6037148684263202E-2</v>
      </c>
      <c r="J16" s="9">
        <f>'Proximal Validation (single)'!J16</f>
        <v>-7.8464329242706299E-2</v>
      </c>
      <c r="K16" s="9">
        <f>'Proximal Validation (single)'!K16</f>
        <v>-7.8753150999546107E-2</v>
      </c>
      <c r="L16" s="9">
        <f>'Proximal Validation (single)'!L16</f>
        <v>-0.286407381296158</v>
      </c>
      <c r="M16" s="9">
        <f>'Proximal Validation (single)'!M16</f>
        <v>-0.16520524024963401</v>
      </c>
      <c r="N16" s="9">
        <v>0.3687448760989343</v>
      </c>
      <c r="O16" s="9">
        <v>0.2</v>
      </c>
      <c r="P16" s="9">
        <v>3.6353507071935867</v>
      </c>
      <c r="Q16" s="9">
        <v>1.7685383613390888</v>
      </c>
      <c r="R16" s="10">
        <v>2.6494774957646402E-4</v>
      </c>
      <c r="S16" s="8">
        <f t="shared" si="2"/>
        <v>3.1255123901065718E-2</v>
      </c>
      <c r="T16" s="8">
        <f t="shared" si="0"/>
        <v>4.0000000000000008E-2</v>
      </c>
      <c r="U16" s="8">
        <f t="shared" si="0"/>
        <v>2.9649292806413374E-2</v>
      </c>
      <c r="V16" s="8">
        <f t="shared" si="0"/>
        <v>0.19753836133908886</v>
      </c>
    </row>
    <row r="17" spans="1:22" x14ac:dyDescent="0.35">
      <c r="A17" s="9">
        <f>'Proximal Validation (single)'!A17</f>
        <v>0.3</v>
      </c>
      <c r="B17" s="9">
        <f>'Proximal Validation (single)'!B17</f>
        <v>0.18</v>
      </c>
      <c r="C17" s="9">
        <f>'Proximal Validation (single)'!C17</f>
        <v>3.665</v>
      </c>
      <c r="D17" s="9">
        <f>'Proximal Validation (single)'!D17</f>
        <v>1.571</v>
      </c>
      <c r="E17" s="9">
        <f>'Proximal Validation (single)'!E17</f>
        <v>0</v>
      </c>
      <c r="F17" s="9">
        <f>'Proximal Validation (single)'!F17</f>
        <v>0</v>
      </c>
      <c r="G17" s="9">
        <f>'Proximal Validation (single)'!G17</f>
        <v>0</v>
      </c>
      <c r="H17" s="9">
        <f>'Proximal Validation (single)'!H17</f>
        <v>-6.2177400104701497E-4</v>
      </c>
      <c r="I17" s="9">
        <f>'Proximal Validation (single)'!I17</f>
        <v>3.2626789063215297E-2</v>
      </c>
      <c r="J17" s="9">
        <f>'Proximal Validation (single)'!J17</f>
        <v>-5.72014674544334E-2</v>
      </c>
      <c r="K17" s="9">
        <f>'Proximal Validation (single)'!K17</f>
        <v>-2.7179472148418399E-2</v>
      </c>
      <c r="L17" s="9">
        <f>'Proximal Validation (single)'!L17</f>
        <v>-0.194883912801743</v>
      </c>
      <c r="M17" s="9">
        <f>'Proximal Validation (single)'!M17</f>
        <v>-0.10984055697917899</v>
      </c>
      <c r="N17" s="9">
        <v>0.25340324769165912</v>
      </c>
      <c r="O17" s="9">
        <v>0.2</v>
      </c>
      <c r="P17" s="9">
        <v>3.6094265131674237</v>
      </c>
      <c r="Q17" s="9">
        <v>1.9438973732207685</v>
      </c>
      <c r="R17" s="10">
        <v>5.2603374884629907E-4</v>
      </c>
      <c r="S17" s="8">
        <f t="shared" si="2"/>
        <v>4.6596752308340872E-2</v>
      </c>
      <c r="T17" s="8">
        <f t="shared" si="0"/>
        <v>2.0000000000000018E-2</v>
      </c>
      <c r="U17" s="8">
        <f t="shared" si="0"/>
        <v>5.5573486832576346E-2</v>
      </c>
      <c r="V17" s="8">
        <f t="shared" si="0"/>
        <v>0.37289737322076855</v>
      </c>
    </row>
  </sheetData>
  <mergeCells count="5">
    <mergeCell ref="A1:G1"/>
    <mergeCell ref="H1:M1"/>
    <mergeCell ref="N1:R1"/>
    <mergeCell ref="S1:U1"/>
    <mergeCell ref="W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3293-DA71-4012-9049-749D5DDC24A3}">
  <dimension ref="A1:I15"/>
  <sheetViews>
    <sheetView workbookViewId="0">
      <selection sqref="A1:I15"/>
    </sheetView>
  </sheetViews>
  <sheetFormatPr defaultRowHeight="14.5" x14ac:dyDescent="0.35"/>
  <cols>
    <col min="1" max="6" width="11" bestFit="1" customWidth="1"/>
    <col min="7" max="9" width="10.36328125" bestFit="1" customWidth="1"/>
  </cols>
  <sheetData>
    <row r="1" spans="1:9" x14ac:dyDescent="0.35">
      <c r="A1" s="29">
        <v>-1.5595351578667801E-4</v>
      </c>
      <c r="B1" s="29">
        <v>-3.4215424209833097E-2</v>
      </c>
      <c r="C1" s="29">
        <v>-1.4112447388470199E-7</v>
      </c>
      <c r="D1" s="29">
        <v>0.19788618385791801</v>
      </c>
      <c r="E1" s="29">
        <v>-3.1988471746444702E-3</v>
      </c>
      <c r="F1" s="29">
        <v>0.198836579918861</v>
      </c>
      <c r="G1" s="29">
        <v>1.4</v>
      </c>
      <c r="H1" s="29">
        <v>0</v>
      </c>
      <c r="I1" s="29">
        <v>0</v>
      </c>
    </row>
    <row r="2" spans="1:9" x14ac:dyDescent="0.35">
      <c r="A2" s="29">
        <v>-2.4353998014703401E-4</v>
      </c>
      <c r="B2" s="29">
        <v>-5.8889582753181499E-2</v>
      </c>
      <c r="C2" s="29">
        <v>-5.9254060033708797E-5</v>
      </c>
      <c r="D2" s="29">
        <v>0.25050288438797003</v>
      </c>
      <c r="E2" s="29">
        <v>9.8302215337753296E-4</v>
      </c>
      <c r="F2" s="29">
        <v>0.25498384237289401</v>
      </c>
      <c r="G2" s="29">
        <v>0</v>
      </c>
      <c r="H2" s="29">
        <v>0</v>
      </c>
      <c r="I2" s="29">
        <v>0</v>
      </c>
    </row>
    <row r="3" spans="1:9" x14ac:dyDescent="0.35">
      <c r="A3" s="29">
        <v>2.2863354533910799E-3</v>
      </c>
      <c r="B3" s="29">
        <v>-0.11987078934907899</v>
      </c>
      <c r="C3" s="29">
        <v>-6.9630080834031096E-3</v>
      </c>
      <c r="D3" s="29">
        <v>0.31022596359252902</v>
      </c>
      <c r="E3" s="29">
        <v>-2.3233078420162201E-2</v>
      </c>
      <c r="F3" s="29">
        <v>0.50102174282073997</v>
      </c>
      <c r="G3" s="29">
        <v>1.4</v>
      </c>
      <c r="H3" s="29">
        <v>0</v>
      </c>
      <c r="I3" s="29">
        <v>0</v>
      </c>
    </row>
    <row r="4" spans="1:9" x14ac:dyDescent="0.35">
      <c r="A4" s="29">
        <v>6.5225898288190397E-4</v>
      </c>
      <c r="B4" s="29">
        <v>-6.1197262257337598E-2</v>
      </c>
      <c r="C4" s="29">
        <v>-8.9818926062434901E-4</v>
      </c>
      <c r="D4" s="29">
        <v>-1.97219010442495E-3</v>
      </c>
      <c r="E4" s="29">
        <v>-5.79428672790527E-3</v>
      </c>
      <c r="F4" s="29">
        <v>0.38675421476364102</v>
      </c>
      <c r="G4" s="29">
        <v>1.4</v>
      </c>
      <c r="H4" s="29">
        <v>0</v>
      </c>
      <c r="I4" s="29">
        <v>0</v>
      </c>
    </row>
    <row r="5" spans="1:9" x14ac:dyDescent="0.35">
      <c r="A5" s="29">
        <v>-4.06092498451471E-4</v>
      </c>
      <c r="B5" s="29">
        <v>-0.15244589745998399</v>
      </c>
      <c r="C5" s="29">
        <v>-1.21209200005978E-3</v>
      </c>
      <c r="D5" s="29">
        <v>-0.117412149906158</v>
      </c>
      <c r="E5" s="29">
        <v>-2.6462823152542101E-3</v>
      </c>
      <c r="F5" s="29">
        <v>0.85134243965148904</v>
      </c>
      <c r="G5" s="29">
        <v>0</v>
      </c>
      <c r="H5" s="29">
        <v>0</v>
      </c>
      <c r="I5" s="29">
        <v>0</v>
      </c>
    </row>
    <row r="6" spans="1:9" x14ac:dyDescent="0.35">
      <c r="A6" s="29">
        <v>5.05214463919401E-3</v>
      </c>
      <c r="B6" s="29">
        <v>-0.157537400722504</v>
      </c>
      <c r="C6" s="29">
        <v>-6.2086973339319203E-3</v>
      </c>
      <c r="D6" s="29">
        <v>-0.29486876726150502</v>
      </c>
      <c r="E6" s="29">
        <v>-2.80796959996223E-2</v>
      </c>
      <c r="F6" s="29">
        <v>0.56537818908691395</v>
      </c>
      <c r="G6" s="29">
        <v>1.4</v>
      </c>
      <c r="H6" s="29">
        <v>0</v>
      </c>
      <c r="I6" s="29">
        <v>0</v>
      </c>
    </row>
    <row r="7" spans="1:9" x14ac:dyDescent="0.35">
      <c r="A7" s="29">
        <v>3.71134956367314E-5</v>
      </c>
      <c r="B7" s="29">
        <v>-0.19372102618217499</v>
      </c>
      <c r="C7" s="29">
        <v>-2.1289892029017201E-3</v>
      </c>
      <c r="D7" s="29">
        <v>-0.41201990842819203</v>
      </c>
      <c r="E7" s="29">
        <v>-1.1864490807056401E-3</v>
      </c>
      <c r="F7" s="29">
        <v>0.55889892578125</v>
      </c>
      <c r="G7" s="29">
        <v>0</v>
      </c>
      <c r="H7" s="29">
        <v>0</v>
      </c>
      <c r="I7" s="29">
        <v>0</v>
      </c>
    </row>
    <row r="8" spans="1:9" x14ac:dyDescent="0.35">
      <c r="A8" s="29">
        <v>-8.9350854977965398E-4</v>
      </c>
      <c r="B8" s="29">
        <v>4.2732272297143901E-2</v>
      </c>
      <c r="C8" s="29">
        <v>-7.74873793125153E-2</v>
      </c>
      <c r="D8" s="29">
        <v>0.62493914365768399</v>
      </c>
      <c r="E8" s="29">
        <v>-0.52349442243576105</v>
      </c>
      <c r="F8" s="29">
        <v>-0.28826642036437999</v>
      </c>
      <c r="G8" s="29">
        <v>0</v>
      </c>
      <c r="H8" s="29">
        <v>0</v>
      </c>
      <c r="I8" s="29">
        <v>0</v>
      </c>
    </row>
    <row r="9" spans="1:9" x14ac:dyDescent="0.35">
      <c r="A9" s="29">
        <v>-8.9688366279006004E-4</v>
      </c>
      <c r="B9" s="29">
        <v>4.1764143854379703E-2</v>
      </c>
      <c r="C9" s="29">
        <v>-7.7566295862197904E-2</v>
      </c>
      <c r="D9" s="29">
        <v>0.45929118990898099</v>
      </c>
      <c r="E9" s="29">
        <v>-0.41274711489677401</v>
      </c>
      <c r="F9" s="29">
        <v>-0.223745286464691</v>
      </c>
      <c r="G9" s="29">
        <v>0</v>
      </c>
      <c r="H9" s="29">
        <v>0</v>
      </c>
      <c r="I9" s="29">
        <v>0</v>
      </c>
    </row>
    <row r="10" spans="1:9" x14ac:dyDescent="0.35">
      <c r="A10" s="29">
        <v>-5.51847275346518E-4</v>
      </c>
      <c r="B10" s="29">
        <v>6.6554106771945995E-2</v>
      </c>
      <c r="C10" s="29">
        <v>-0.119616024196148</v>
      </c>
      <c r="D10" s="29">
        <v>0.49095398187637301</v>
      </c>
      <c r="E10" s="29">
        <v>-0.47584062814712502</v>
      </c>
      <c r="F10" s="29">
        <v>-0.25870200991630599</v>
      </c>
      <c r="G10" s="29">
        <v>1.4</v>
      </c>
      <c r="H10" s="29">
        <v>0</v>
      </c>
      <c r="I10" s="29">
        <v>0</v>
      </c>
    </row>
    <row r="11" spans="1:9" x14ac:dyDescent="0.35">
      <c r="A11" s="29">
        <v>-3.2309396192431499E-4</v>
      </c>
      <c r="B11" s="29">
        <v>3.5572569817304597E-2</v>
      </c>
      <c r="C11" s="29">
        <v>-6.1782382428646102E-2</v>
      </c>
      <c r="D11" s="29">
        <v>0.27096122503280601</v>
      </c>
      <c r="E11" s="29">
        <v>-0.21531303226947801</v>
      </c>
      <c r="F11" s="29">
        <v>-0.122712507843971</v>
      </c>
      <c r="G11" s="29">
        <v>1.4</v>
      </c>
      <c r="H11" s="29">
        <v>0</v>
      </c>
      <c r="I11" s="29">
        <v>0</v>
      </c>
    </row>
    <row r="12" spans="1:9" x14ac:dyDescent="0.35">
      <c r="A12" s="29">
        <v>-7.1692815981805303E-4</v>
      </c>
      <c r="B12" s="29">
        <v>3.56008112430573E-2</v>
      </c>
      <c r="C12" s="29">
        <v>-6.2020469456911101E-2</v>
      </c>
      <c r="D12" s="29">
        <v>-6.5964758396148699E-3</v>
      </c>
      <c r="E12" s="29">
        <v>-0.30639430880546598</v>
      </c>
      <c r="F12" s="29">
        <v>-0.17468151450157199</v>
      </c>
      <c r="G12" s="29">
        <v>1.4</v>
      </c>
      <c r="H12" s="29">
        <v>0</v>
      </c>
      <c r="I12" s="29">
        <v>0</v>
      </c>
    </row>
    <row r="13" spans="1:9" x14ac:dyDescent="0.35">
      <c r="A13" s="29">
        <v>-1.24058220535517E-3</v>
      </c>
      <c r="B13" s="29">
        <v>6.9012217223644298E-2</v>
      </c>
      <c r="C13" s="29">
        <v>-0.119697146117687</v>
      </c>
      <c r="D13" s="29">
        <v>-5.5351331830024698E-2</v>
      </c>
      <c r="E13" s="29">
        <v>-0.59383064508438099</v>
      </c>
      <c r="F13" s="29">
        <v>-0.33820247650146501</v>
      </c>
      <c r="G13" s="29">
        <v>1.4</v>
      </c>
      <c r="H13" s="29">
        <v>0</v>
      </c>
      <c r="I13" s="29">
        <v>0</v>
      </c>
    </row>
    <row r="14" spans="1:9" x14ac:dyDescent="0.35">
      <c r="A14" s="29">
        <v>-7.1821291930973497E-4</v>
      </c>
      <c r="B14" s="29">
        <v>4.6037148684263202E-2</v>
      </c>
      <c r="C14" s="29">
        <v>-7.8464329242706299E-2</v>
      </c>
      <c r="D14" s="29">
        <v>-7.8753150999546107E-2</v>
      </c>
      <c r="E14" s="29">
        <v>-0.286407381296158</v>
      </c>
      <c r="F14" s="29">
        <v>-0.16520524024963401</v>
      </c>
      <c r="G14" s="29">
        <v>0</v>
      </c>
      <c r="H14" s="29">
        <v>0</v>
      </c>
      <c r="I14" s="29">
        <v>0</v>
      </c>
    </row>
    <row r="15" spans="1:9" x14ac:dyDescent="0.35">
      <c r="A15" s="29">
        <v>-6.2177400104701497E-4</v>
      </c>
      <c r="B15" s="29">
        <v>3.2626789063215297E-2</v>
      </c>
      <c r="C15" s="29">
        <v>-5.72014674544334E-2</v>
      </c>
      <c r="D15" s="29">
        <v>-2.7179472148418399E-2</v>
      </c>
      <c r="E15" s="29">
        <v>-0.194883912801743</v>
      </c>
      <c r="F15" s="29">
        <v>-0.10984055697917899</v>
      </c>
      <c r="G15" s="29">
        <v>0</v>
      </c>
      <c r="H15" s="29">
        <v>0</v>
      </c>
      <c r="I15" s="2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8"/>
  <sheetViews>
    <sheetView workbookViewId="0">
      <selection activeCell="H13" sqref="H13:M17"/>
    </sheetView>
  </sheetViews>
  <sheetFormatPr defaultRowHeight="14.5" x14ac:dyDescent="0.35"/>
  <sheetData>
    <row r="1" spans="1:13" ht="16" x14ac:dyDescent="0.4">
      <c r="A1" s="26" t="s">
        <v>23</v>
      </c>
      <c r="B1" s="27"/>
      <c r="C1" s="27"/>
      <c r="D1" s="27"/>
      <c r="E1" s="27"/>
      <c r="F1" s="28"/>
      <c r="H1" s="26" t="s">
        <v>24</v>
      </c>
      <c r="I1" s="27"/>
      <c r="J1" s="27"/>
      <c r="K1" s="27"/>
      <c r="L1" s="27"/>
      <c r="M1" s="28"/>
    </row>
    <row r="2" spans="1:13" ht="16" x14ac:dyDescent="0.4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H2" s="3" t="s">
        <v>20</v>
      </c>
      <c r="I2" s="3" t="s">
        <v>21</v>
      </c>
      <c r="J2" s="3" t="s">
        <v>22</v>
      </c>
      <c r="K2" s="3" t="s">
        <v>17</v>
      </c>
      <c r="L2" s="3" t="s">
        <v>18</v>
      </c>
      <c r="M2" s="3" t="s">
        <v>19</v>
      </c>
    </row>
    <row r="3" spans="1:13" x14ac:dyDescent="0.35">
      <c r="A3">
        <v>0.198836579918861</v>
      </c>
      <c r="B3">
        <v>3.1988471746444702E-3</v>
      </c>
      <c r="C3">
        <v>0.19788618385791801</v>
      </c>
      <c r="D3">
        <v>-1.4112447388470199E-7</v>
      </c>
      <c r="E3">
        <v>3.4215424209833097E-2</v>
      </c>
      <c r="F3" s="5">
        <v>-1.5595351578667801E-4</v>
      </c>
      <c r="H3">
        <f>$F3</f>
        <v>-1.5595351578667801E-4</v>
      </c>
      <c r="I3">
        <f>-1*$E3</f>
        <v>-3.4215424209833097E-2</v>
      </c>
      <c r="J3">
        <f>$D3</f>
        <v>-1.4112447388470199E-7</v>
      </c>
      <c r="K3">
        <f>$C3</f>
        <v>0.19788618385791801</v>
      </c>
      <c r="L3">
        <f>-1*$B3</f>
        <v>-3.1988471746444702E-3</v>
      </c>
      <c r="M3">
        <f>$A3</f>
        <v>0.198836579918861</v>
      </c>
    </row>
    <row r="4" spans="1:13" x14ac:dyDescent="0.35">
      <c r="A4">
        <v>0.25498384237289401</v>
      </c>
      <c r="B4">
        <v>-9.8302215337753296E-4</v>
      </c>
      <c r="C4">
        <v>0.25050288438797003</v>
      </c>
      <c r="D4">
        <v>-5.9254060033708797E-5</v>
      </c>
      <c r="E4">
        <v>5.8889582753181499E-2</v>
      </c>
      <c r="F4">
        <v>-2.4353998014703401E-4</v>
      </c>
      <c r="H4">
        <f t="shared" ref="H4:H28" si="0">$F4</f>
        <v>-2.4353998014703401E-4</v>
      </c>
      <c r="I4">
        <f t="shared" ref="I4:I28" si="1">-1*$E4</f>
        <v>-5.8889582753181499E-2</v>
      </c>
      <c r="J4">
        <f t="shared" ref="J4:J28" si="2">$D4</f>
        <v>-5.9254060033708797E-5</v>
      </c>
      <c r="K4">
        <f t="shared" ref="K4:K28" si="3">$C4</f>
        <v>0.25050288438797003</v>
      </c>
      <c r="L4">
        <f t="shared" ref="L4:L28" si="4">-1*$B4</f>
        <v>9.8302215337753296E-4</v>
      </c>
      <c r="M4">
        <f t="shared" ref="M4:M28" si="5">$A4</f>
        <v>0.25498384237289401</v>
      </c>
    </row>
    <row r="5" spans="1:13" x14ac:dyDescent="0.35">
      <c r="A5">
        <v>0.50102174282073997</v>
      </c>
      <c r="B5">
        <v>2.3233078420162201E-2</v>
      </c>
      <c r="C5">
        <v>0.31022596359252902</v>
      </c>
      <c r="D5">
        <v>-6.9630080834031096E-3</v>
      </c>
      <c r="E5">
        <v>0.11987078934907899</v>
      </c>
      <c r="F5">
        <v>2.2863354533910799E-3</v>
      </c>
      <c r="H5">
        <f t="shared" si="0"/>
        <v>2.2863354533910799E-3</v>
      </c>
      <c r="I5">
        <f t="shared" si="1"/>
        <v>-0.11987078934907899</v>
      </c>
      <c r="J5">
        <f t="shared" si="2"/>
        <v>-6.9630080834031096E-3</v>
      </c>
      <c r="K5">
        <f t="shared" si="3"/>
        <v>0.31022596359252902</v>
      </c>
      <c r="L5">
        <f t="shared" si="4"/>
        <v>-2.3233078420162201E-2</v>
      </c>
      <c r="M5">
        <f t="shared" si="5"/>
        <v>0.50102174282073997</v>
      </c>
    </row>
    <row r="6" spans="1:13" x14ac:dyDescent="0.35">
      <c r="A6">
        <v>0.38675421476364102</v>
      </c>
      <c r="B6">
        <v>5.79428672790527E-3</v>
      </c>
      <c r="C6">
        <v>-1.97219010442495E-3</v>
      </c>
      <c r="D6">
        <v>-8.9818926062434901E-4</v>
      </c>
      <c r="E6">
        <v>6.1197262257337598E-2</v>
      </c>
      <c r="F6">
        <v>6.5225898288190397E-4</v>
      </c>
      <c r="H6">
        <f t="shared" si="0"/>
        <v>6.5225898288190397E-4</v>
      </c>
      <c r="I6">
        <f t="shared" si="1"/>
        <v>-6.1197262257337598E-2</v>
      </c>
      <c r="J6">
        <f t="shared" si="2"/>
        <v>-8.9818926062434901E-4</v>
      </c>
      <c r="K6">
        <f t="shared" si="3"/>
        <v>-1.97219010442495E-3</v>
      </c>
      <c r="L6">
        <f t="shared" si="4"/>
        <v>-5.79428672790527E-3</v>
      </c>
      <c r="M6">
        <f t="shared" si="5"/>
        <v>0.38675421476364102</v>
      </c>
    </row>
    <row r="7" spans="1:13" x14ac:dyDescent="0.35">
      <c r="A7">
        <v>0.85134243965148904</v>
      </c>
      <c r="B7">
        <v>2.6462823152542101E-3</v>
      </c>
      <c r="C7">
        <v>-0.117412149906158</v>
      </c>
      <c r="D7">
        <v>-1.21209200005978E-3</v>
      </c>
      <c r="E7">
        <v>0.15244589745998399</v>
      </c>
      <c r="F7">
        <v>-4.06092498451471E-4</v>
      </c>
      <c r="H7">
        <f t="shared" si="0"/>
        <v>-4.06092498451471E-4</v>
      </c>
      <c r="I7">
        <f t="shared" si="1"/>
        <v>-0.15244589745998399</v>
      </c>
      <c r="J7">
        <f t="shared" si="2"/>
        <v>-1.21209200005978E-3</v>
      </c>
      <c r="K7">
        <f t="shared" si="3"/>
        <v>-0.117412149906158</v>
      </c>
      <c r="L7">
        <f t="shared" si="4"/>
        <v>-2.6462823152542101E-3</v>
      </c>
      <c r="M7">
        <f t="shared" si="5"/>
        <v>0.85134243965148904</v>
      </c>
    </row>
    <row r="8" spans="1:13" x14ac:dyDescent="0.35">
      <c r="A8">
        <v>0.56537818908691395</v>
      </c>
      <c r="B8">
        <v>2.80796959996223E-2</v>
      </c>
      <c r="C8">
        <v>-0.29486876726150502</v>
      </c>
      <c r="D8">
        <v>-6.2086973339319203E-3</v>
      </c>
      <c r="E8">
        <v>0.157537400722504</v>
      </c>
      <c r="F8">
        <v>5.05214463919401E-3</v>
      </c>
      <c r="H8">
        <f t="shared" si="0"/>
        <v>5.05214463919401E-3</v>
      </c>
      <c r="I8">
        <f t="shared" si="1"/>
        <v>-0.157537400722504</v>
      </c>
      <c r="J8">
        <f t="shared" si="2"/>
        <v>-6.2086973339319203E-3</v>
      </c>
      <c r="K8">
        <f t="shared" si="3"/>
        <v>-0.29486876726150502</v>
      </c>
      <c r="L8">
        <f t="shared" si="4"/>
        <v>-2.80796959996223E-2</v>
      </c>
      <c r="M8">
        <f t="shared" si="5"/>
        <v>0.56537818908691395</v>
      </c>
    </row>
    <row r="9" spans="1:13" x14ac:dyDescent="0.35">
      <c r="A9">
        <v>0.55889892578125</v>
      </c>
      <c r="B9">
        <v>1.1864490807056401E-3</v>
      </c>
      <c r="C9">
        <v>-0.41201990842819203</v>
      </c>
      <c r="D9">
        <v>-2.1289892029017201E-3</v>
      </c>
      <c r="E9">
        <v>0.19372102618217499</v>
      </c>
      <c r="F9">
        <v>3.71134956367314E-5</v>
      </c>
      <c r="H9">
        <f t="shared" si="0"/>
        <v>3.71134956367314E-5</v>
      </c>
      <c r="I9">
        <f t="shared" si="1"/>
        <v>-0.19372102618217499</v>
      </c>
      <c r="J9">
        <f t="shared" si="2"/>
        <v>-2.1289892029017201E-3</v>
      </c>
      <c r="K9">
        <f t="shared" si="3"/>
        <v>-0.41201990842819203</v>
      </c>
      <c r="L9">
        <f t="shared" si="4"/>
        <v>-1.1864490807056401E-3</v>
      </c>
      <c r="M9">
        <f t="shared" si="5"/>
        <v>0.55889892578125</v>
      </c>
    </row>
    <row r="10" spans="1:13" x14ac:dyDescent="0.35">
      <c r="A10">
        <v>-0.28826642036437999</v>
      </c>
      <c r="B10">
        <v>0.52349442243576105</v>
      </c>
      <c r="C10">
        <v>0.62493914365768399</v>
      </c>
      <c r="D10">
        <v>-7.74873793125153E-2</v>
      </c>
      <c r="E10">
        <v>-4.2732272297143901E-2</v>
      </c>
      <c r="F10">
        <v>-8.9350854977965398E-4</v>
      </c>
      <c r="H10">
        <f t="shared" si="0"/>
        <v>-8.9350854977965398E-4</v>
      </c>
      <c r="I10">
        <f t="shared" si="1"/>
        <v>4.2732272297143901E-2</v>
      </c>
      <c r="J10">
        <f t="shared" si="2"/>
        <v>-7.74873793125153E-2</v>
      </c>
      <c r="K10">
        <f t="shared" si="3"/>
        <v>0.62493914365768399</v>
      </c>
      <c r="L10">
        <f t="shared" si="4"/>
        <v>-0.52349442243576105</v>
      </c>
      <c r="M10">
        <f t="shared" si="5"/>
        <v>-0.28826642036437999</v>
      </c>
    </row>
    <row r="11" spans="1:13" x14ac:dyDescent="0.35">
      <c r="A11">
        <v>-0.223745286464691</v>
      </c>
      <c r="B11">
        <v>0.41274711489677401</v>
      </c>
      <c r="C11">
        <v>0.45929118990898099</v>
      </c>
      <c r="D11">
        <v>-7.7566295862197904E-2</v>
      </c>
      <c r="E11">
        <v>-4.1764143854379703E-2</v>
      </c>
      <c r="F11">
        <v>-8.9688366279006004E-4</v>
      </c>
      <c r="H11">
        <f t="shared" si="0"/>
        <v>-8.9688366279006004E-4</v>
      </c>
      <c r="I11">
        <f t="shared" si="1"/>
        <v>4.1764143854379703E-2</v>
      </c>
      <c r="J11">
        <f t="shared" si="2"/>
        <v>-7.7566295862197904E-2</v>
      </c>
      <c r="K11">
        <f t="shared" si="3"/>
        <v>0.45929118990898099</v>
      </c>
      <c r="L11">
        <f t="shared" si="4"/>
        <v>-0.41274711489677401</v>
      </c>
      <c r="M11">
        <f t="shared" si="5"/>
        <v>-0.223745286464691</v>
      </c>
    </row>
    <row r="12" spans="1:13" x14ac:dyDescent="0.35">
      <c r="A12">
        <v>-0.25870200991630599</v>
      </c>
      <c r="B12">
        <v>0.47584062814712502</v>
      </c>
      <c r="C12">
        <v>0.49095398187637301</v>
      </c>
      <c r="D12">
        <v>-0.119616024196148</v>
      </c>
      <c r="E12">
        <v>-6.6554106771945995E-2</v>
      </c>
      <c r="F12">
        <v>-5.51847275346518E-4</v>
      </c>
      <c r="H12">
        <f t="shared" si="0"/>
        <v>-5.51847275346518E-4</v>
      </c>
      <c r="I12">
        <f t="shared" si="1"/>
        <v>6.6554106771945995E-2</v>
      </c>
      <c r="J12">
        <f t="shared" si="2"/>
        <v>-0.119616024196148</v>
      </c>
      <c r="K12">
        <f t="shared" si="3"/>
        <v>0.49095398187637301</v>
      </c>
      <c r="L12">
        <f t="shared" si="4"/>
        <v>-0.47584062814712502</v>
      </c>
      <c r="M12">
        <f t="shared" si="5"/>
        <v>-0.25870200991630599</v>
      </c>
    </row>
    <row r="13" spans="1:13" x14ac:dyDescent="0.35">
      <c r="A13">
        <v>-0.122712507843971</v>
      </c>
      <c r="B13">
        <v>0.21531303226947801</v>
      </c>
      <c r="C13">
        <v>0.27096122503280601</v>
      </c>
      <c r="D13">
        <v>-6.1782382428646102E-2</v>
      </c>
      <c r="E13">
        <v>-3.5572569817304597E-2</v>
      </c>
      <c r="F13">
        <v>-3.2309396192431499E-4</v>
      </c>
      <c r="H13">
        <f t="shared" si="0"/>
        <v>-3.2309396192431499E-4</v>
      </c>
      <c r="I13">
        <f t="shared" si="1"/>
        <v>3.5572569817304597E-2</v>
      </c>
      <c r="J13">
        <f t="shared" si="2"/>
        <v>-6.1782382428646102E-2</v>
      </c>
      <c r="K13">
        <f t="shared" si="3"/>
        <v>0.27096122503280601</v>
      </c>
      <c r="L13">
        <f t="shared" si="4"/>
        <v>-0.21531303226947801</v>
      </c>
      <c r="M13">
        <f t="shared" si="5"/>
        <v>-0.122712507843971</v>
      </c>
    </row>
    <row r="14" spans="1:13" x14ac:dyDescent="0.35">
      <c r="A14">
        <v>-0.17468151450157199</v>
      </c>
      <c r="B14">
        <v>0.30639430880546598</v>
      </c>
      <c r="C14">
        <v>-6.5964758396148699E-3</v>
      </c>
      <c r="D14">
        <v>-6.2020469456911101E-2</v>
      </c>
      <c r="E14">
        <v>-3.56008112430573E-2</v>
      </c>
      <c r="F14">
        <v>-7.1692815981805303E-4</v>
      </c>
      <c r="H14">
        <f t="shared" si="0"/>
        <v>-7.1692815981805303E-4</v>
      </c>
      <c r="I14">
        <f t="shared" si="1"/>
        <v>3.56008112430573E-2</v>
      </c>
      <c r="J14">
        <f t="shared" si="2"/>
        <v>-6.2020469456911101E-2</v>
      </c>
      <c r="K14">
        <f t="shared" si="3"/>
        <v>-6.5964758396148699E-3</v>
      </c>
      <c r="L14">
        <f t="shared" si="4"/>
        <v>-0.30639430880546598</v>
      </c>
      <c r="M14">
        <f t="shared" si="5"/>
        <v>-0.17468151450157199</v>
      </c>
    </row>
    <row r="15" spans="1:13" x14ac:dyDescent="0.35">
      <c r="A15">
        <v>-0.33820247650146501</v>
      </c>
      <c r="B15">
        <v>0.59383064508438099</v>
      </c>
      <c r="C15">
        <v>-5.5351331830024698E-2</v>
      </c>
      <c r="D15">
        <v>-0.119697146117687</v>
      </c>
      <c r="E15">
        <v>-6.9012217223644298E-2</v>
      </c>
      <c r="F15">
        <v>-1.24058220535517E-3</v>
      </c>
      <c r="H15">
        <f t="shared" si="0"/>
        <v>-1.24058220535517E-3</v>
      </c>
      <c r="I15">
        <f t="shared" si="1"/>
        <v>6.9012217223644298E-2</v>
      </c>
      <c r="J15">
        <f t="shared" si="2"/>
        <v>-0.119697146117687</v>
      </c>
      <c r="K15">
        <f t="shared" si="3"/>
        <v>-5.5351331830024698E-2</v>
      </c>
      <c r="L15">
        <f t="shared" si="4"/>
        <v>-0.59383064508438099</v>
      </c>
      <c r="M15">
        <f t="shared" si="5"/>
        <v>-0.33820247650146501</v>
      </c>
    </row>
    <row r="16" spans="1:13" x14ac:dyDescent="0.35">
      <c r="A16">
        <v>-0.16520524024963401</v>
      </c>
      <c r="B16">
        <v>0.286407381296158</v>
      </c>
      <c r="C16">
        <v>-7.8753150999546107E-2</v>
      </c>
      <c r="D16">
        <v>-7.8464329242706299E-2</v>
      </c>
      <c r="E16">
        <v>-4.6037148684263202E-2</v>
      </c>
      <c r="F16">
        <v>-7.1821291930973497E-4</v>
      </c>
      <c r="H16">
        <f t="shared" si="0"/>
        <v>-7.1821291930973497E-4</v>
      </c>
      <c r="I16">
        <f t="shared" si="1"/>
        <v>4.6037148684263202E-2</v>
      </c>
      <c r="J16">
        <f t="shared" si="2"/>
        <v>-7.8464329242706299E-2</v>
      </c>
      <c r="K16">
        <f t="shared" si="3"/>
        <v>-7.8753150999546107E-2</v>
      </c>
      <c r="L16">
        <f t="shared" si="4"/>
        <v>-0.286407381296158</v>
      </c>
      <c r="M16">
        <f t="shared" si="5"/>
        <v>-0.16520524024963401</v>
      </c>
    </row>
    <row r="17" spans="1:13" x14ac:dyDescent="0.35">
      <c r="A17">
        <v>-0.10984055697917899</v>
      </c>
      <c r="B17">
        <v>0.194883912801743</v>
      </c>
      <c r="C17">
        <v>-2.7179472148418399E-2</v>
      </c>
      <c r="D17">
        <v>-5.72014674544334E-2</v>
      </c>
      <c r="E17">
        <v>-3.2626789063215297E-2</v>
      </c>
      <c r="F17">
        <v>-6.2177400104701497E-4</v>
      </c>
      <c r="H17">
        <f t="shared" si="0"/>
        <v>-6.2177400104701497E-4</v>
      </c>
      <c r="I17">
        <f t="shared" si="1"/>
        <v>3.2626789063215297E-2</v>
      </c>
      <c r="J17">
        <f t="shared" si="2"/>
        <v>-5.72014674544334E-2</v>
      </c>
      <c r="K17">
        <f t="shared" si="3"/>
        <v>-2.7179472148418399E-2</v>
      </c>
      <c r="L17">
        <f t="shared" si="4"/>
        <v>-0.194883912801743</v>
      </c>
      <c r="M17">
        <f t="shared" si="5"/>
        <v>-0.10984055697917899</v>
      </c>
    </row>
    <row r="18" spans="1:13" x14ac:dyDescent="0.3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1:13" x14ac:dyDescent="0.3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1:13" x14ac:dyDescent="0.3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1:13" x14ac:dyDescent="0.3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1:13" x14ac:dyDescent="0.3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1:13" x14ac:dyDescent="0.3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1:13" x14ac:dyDescent="0.3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1:13" x14ac:dyDescent="0.3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1:13" x14ac:dyDescent="0.3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  <row r="27" spans="1:13" x14ac:dyDescent="0.35">
      <c r="H27">
        <f t="shared" si="0"/>
        <v>0</v>
      </c>
      <c r="I27">
        <f t="shared" si="1"/>
        <v>0</v>
      </c>
      <c r="J27">
        <f t="shared" si="2"/>
        <v>0</v>
      </c>
      <c r="K27">
        <f t="shared" si="3"/>
        <v>0</v>
      </c>
      <c r="L27">
        <f t="shared" si="4"/>
        <v>0</v>
      </c>
      <c r="M27">
        <f t="shared" si="5"/>
        <v>0</v>
      </c>
    </row>
    <row r="28" spans="1:13" x14ac:dyDescent="0.35">
      <c r="H28">
        <f t="shared" si="0"/>
        <v>0</v>
      </c>
      <c r="I28">
        <f t="shared" si="1"/>
        <v>0</v>
      </c>
      <c r="J28">
        <f t="shared" si="2"/>
        <v>0</v>
      </c>
      <c r="K28">
        <f t="shared" si="3"/>
        <v>0</v>
      </c>
      <c r="L28">
        <f t="shared" si="4"/>
        <v>0</v>
      </c>
      <c r="M28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208467-E14A-4CB9-9FC8-72DFB8E94FF2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c2b20bf0-79f3-4559-a8ab-bcb74dcd8cd8"/>
    <ds:schemaRef ds:uri="http://schemas.microsoft.com/office/infopath/2007/PartnerControls"/>
    <ds:schemaRef ds:uri="08a9f8ec-165a-4165-a8e9-ed45c2de7bc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(single)</vt:lpstr>
      <vt:lpstr>Distal Validation (single)</vt:lpstr>
      <vt:lpstr>Distal Vali (0.2 prop noise)</vt:lpstr>
      <vt:lpstr>Distal Vali (add noise)</vt:lpstr>
      <vt:lpstr>Sheet1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2025-09-25T19:44:46Z</cp:lastPrinted>
  <dcterms:created xsi:type="dcterms:W3CDTF">2025-08-20T18:12:27Z</dcterms:created>
  <dcterms:modified xsi:type="dcterms:W3CDTF">2025-10-10T21:03:28Z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