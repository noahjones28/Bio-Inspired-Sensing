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jpropertycom-my.sharepoint.com/personal/noah_familiajones_org/Documents/Work and Projects/Github/Whisker_Inspired_Sensing_CR/SoRoSim Robots/my_robot(1.75)(3tendon)/10-09-2025/"/>
    </mc:Choice>
  </mc:AlternateContent>
  <xr:revisionPtr revIDLastSave="1924" documentId="8_{DFFD6B0C-681F-42C8-B2E4-5D4B90AAE966}" xr6:coauthVersionLast="47" xr6:coauthVersionMax="47" xr10:uidLastSave="{3982547E-1568-466F-AFB5-6529E785BA1B}"/>
  <bookViews>
    <workbookView xWindow="-110" yWindow="-110" windowWidth="19420" windowHeight="10300" firstSheet="2" activeTab="3" xr2:uid="{3D16C37F-3C74-4527-A308-796C339DFE9F}"/>
  </bookViews>
  <sheets>
    <sheet name="Proximal Validation (prelim)" sheetId="1" r:id="rId1"/>
    <sheet name="Distal Validation (prelim)" sheetId="3" r:id="rId2"/>
    <sheet name="Proximal Validation (single)" sheetId="8" r:id="rId3"/>
    <sheet name="Distal Validation (single)" sheetId="9" r:id="rId4"/>
    <sheet name="Sheet1" sheetId="10" r:id="rId5"/>
    <sheet name="Conversion" sheetId="4" r:id="rId6"/>
  </sheets>
  <definedNames>
    <definedName name="_xlnm._FilterDatabase" localSheetId="1" hidden="1">'Distal Validation (prelim)'!$A$3:$V$23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" i="9" l="1"/>
  <c r="Y3" i="9"/>
  <c r="Z3" i="9"/>
  <c r="W3" i="9"/>
  <c r="S4" i="9"/>
  <c r="T4" i="9"/>
  <c r="U4" i="9"/>
  <c r="V4" i="9"/>
  <c r="S5" i="9"/>
  <c r="T5" i="9"/>
  <c r="U5" i="9"/>
  <c r="V5" i="9"/>
  <c r="S6" i="9"/>
  <c r="T6" i="9"/>
  <c r="U6" i="9"/>
  <c r="V6" i="9"/>
  <c r="S7" i="9"/>
  <c r="T7" i="9"/>
  <c r="U7" i="9"/>
  <c r="V7" i="9"/>
  <c r="S8" i="9"/>
  <c r="T8" i="9"/>
  <c r="U8" i="9"/>
  <c r="V8" i="9"/>
  <c r="S9" i="9"/>
  <c r="T9" i="9"/>
  <c r="U9" i="9"/>
  <c r="V9" i="9"/>
  <c r="S10" i="9"/>
  <c r="T10" i="9"/>
  <c r="U10" i="9"/>
  <c r="V10" i="9"/>
  <c r="S11" i="9"/>
  <c r="T11" i="9"/>
  <c r="U11" i="9"/>
  <c r="V11" i="9"/>
  <c r="S12" i="9"/>
  <c r="T12" i="9"/>
  <c r="U12" i="9"/>
  <c r="V12" i="9"/>
  <c r="S13" i="9"/>
  <c r="T13" i="9"/>
  <c r="U13" i="9"/>
  <c r="V13" i="9"/>
  <c r="S14" i="9"/>
  <c r="T14" i="9"/>
  <c r="U14" i="9"/>
  <c r="V14" i="9"/>
  <c r="S15" i="9"/>
  <c r="T15" i="9"/>
  <c r="U15" i="9"/>
  <c r="V15" i="9"/>
  <c r="S16" i="9"/>
  <c r="T16" i="9"/>
  <c r="U16" i="9"/>
  <c r="V16" i="9"/>
  <c r="S17" i="9"/>
  <c r="T17" i="9"/>
  <c r="U17" i="9"/>
  <c r="V17" i="9"/>
  <c r="T3" i="9"/>
  <c r="U3" i="9"/>
  <c r="V3" i="9"/>
  <c r="S3" i="9"/>
  <c r="A3" i="9"/>
  <c r="B3" i="9"/>
  <c r="C3" i="9"/>
  <c r="D3" i="9"/>
  <c r="E3" i="9"/>
  <c r="F3" i="9"/>
  <c r="G3" i="9"/>
  <c r="H3" i="9"/>
  <c r="I3" i="9"/>
  <c r="J3" i="9"/>
  <c r="K3" i="9"/>
  <c r="L3" i="9"/>
  <c r="M3" i="9"/>
  <c r="A4" i="9"/>
  <c r="B4" i="9"/>
  <c r="C4" i="9"/>
  <c r="D4" i="9"/>
  <c r="E4" i="9"/>
  <c r="F4" i="9"/>
  <c r="G4" i="9"/>
  <c r="H4" i="9"/>
  <c r="I4" i="9"/>
  <c r="J4" i="9"/>
  <c r="K4" i="9"/>
  <c r="L4" i="9"/>
  <c r="M4" i="9"/>
  <c r="A5" i="9"/>
  <c r="B5" i="9"/>
  <c r="C5" i="9"/>
  <c r="D5" i="9"/>
  <c r="E5" i="9"/>
  <c r="F5" i="9"/>
  <c r="G5" i="9"/>
  <c r="H5" i="9"/>
  <c r="I5" i="9"/>
  <c r="J5" i="9"/>
  <c r="K5" i="9"/>
  <c r="L5" i="9"/>
  <c r="M5" i="9"/>
  <c r="A6" i="9"/>
  <c r="B6" i="9"/>
  <c r="C6" i="9"/>
  <c r="D6" i="9"/>
  <c r="E6" i="9"/>
  <c r="F6" i="9"/>
  <c r="G6" i="9"/>
  <c r="H6" i="9"/>
  <c r="I6" i="9"/>
  <c r="J6" i="9"/>
  <c r="K6" i="9"/>
  <c r="L6" i="9"/>
  <c r="M6" i="9"/>
  <c r="A7" i="9"/>
  <c r="B7" i="9"/>
  <c r="C7" i="9"/>
  <c r="D7" i="9"/>
  <c r="E7" i="9"/>
  <c r="F7" i="9"/>
  <c r="G7" i="9"/>
  <c r="H7" i="9"/>
  <c r="I7" i="9"/>
  <c r="J7" i="9"/>
  <c r="K7" i="9"/>
  <c r="L7" i="9"/>
  <c r="M7" i="9"/>
  <c r="A8" i="9"/>
  <c r="B8" i="9"/>
  <c r="C8" i="9"/>
  <c r="D8" i="9"/>
  <c r="E8" i="9"/>
  <c r="F8" i="9"/>
  <c r="G8" i="9"/>
  <c r="H8" i="9"/>
  <c r="I8" i="9"/>
  <c r="J8" i="9"/>
  <c r="K8" i="9"/>
  <c r="L8" i="9"/>
  <c r="M8" i="9"/>
  <c r="A9" i="9"/>
  <c r="B9" i="9"/>
  <c r="C9" i="9"/>
  <c r="D9" i="9"/>
  <c r="E9" i="9"/>
  <c r="F9" i="9"/>
  <c r="G9" i="9"/>
  <c r="H9" i="9"/>
  <c r="I9" i="9"/>
  <c r="J9" i="9"/>
  <c r="K9" i="9"/>
  <c r="L9" i="9"/>
  <c r="M9" i="9"/>
  <c r="A10" i="9"/>
  <c r="B10" i="9"/>
  <c r="C10" i="9"/>
  <c r="D10" i="9"/>
  <c r="E10" i="9"/>
  <c r="F10" i="9"/>
  <c r="G10" i="9"/>
  <c r="H10" i="9"/>
  <c r="I10" i="9"/>
  <c r="J10" i="9"/>
  <c r="K10" i="9"/>
  <c r="L10" i="9"/>
  <c r="M10" i="9"/>
  <c r="A11" i="9"/>
  <c r="B11" i="9"/>
  <c r="C11" i="9"/>
  <c r="D11" i="9"/>
  <c r="E11" i="9"/>
  <c r="F11" i="9"/>
  <c r="G11" i="9"/>
  <c r="H11" i="9"/>
  <c r="I11" i="9"/>
  <c r="J11" i="9"/>
  <c r="K11" i="9"/>
  <c r="L11" i="9"/>
  <c r="M11" i="9"/>
  <c r="A12" i="9"/>
  <c r="B12" i="9"/>
  <c r="C12" i="9"/>
  <c r="D12" i="9"/>
  <c r="E12" i="9"/>
  <c r="F12" i="9"/>
  <c r="G12" i="9"/>
  <c r="H12" i="9"/>
  <c r="I12" i="9"/>
  <c r="J12" i="9"/>
  <c r="K12" i="9"/>
  <c r="L12" i="9"/>
  <c r="M12" i="9"/>
  <c r="A13" i="9"/>
  <c r="B13" i="9"/>
  <c r="C13" i="9"/>
  <c r="D13" i="9"/>
  <c r="E13" i="9"/>
  <c r="F13" i="9"/>
  <c r="G13" i="9"/>
  <c r="H13" i="9"/>
  <c r="I13" i="9"/>
  <c r="J13" i="9"/>
  <c r="K13" i="9"/>
  <c r="L13" i="9"/>
  <c r="M13" i="9"/>
  <c r="A14" i="9"/>
  <c r="B14" i="9"/>
  <c r="C14" i="9"/>
  <c r="D14" i="9"/>
  <c r="E14" i="9"/>
  <c r="F14" i="9"/>
  <c r="G14" i="9"/>
  <c r="H14" i="9"/>
  <c r="I14" i="9"/>
  <c r="J14" i="9"/>
  <c r="K14" i="9"/>
  <c r="L14" i="9"/>
  <c r="M14" i="9"/>
  <c r="A15" i="9"/>
  <c r="B15" i="9"/>
  <c r="C15" i="9"/>
  <c r="D15" i="9"/>
  <c r="E15" i="9"/>
  <c r="F15" i="9"/>
  <c r="G15" i="9"/>
  <c r="H15" i="9"/>
  <c r="I15" i="9"/>
  <c r="J15" i="9"/>
  <c r="K15" i="9"/>
  <c r="L15" i="9"/>
  <c r="M15" i="9"/>
  <c r="A16" i="9"/>
  <c r="B16" i="9"/>
  <c r="C16" i="9"/>
  <c r="D16" i="9"/>
  <c r="E16" i="9"/>
  <c r="F16" i="9"/>
  <c r="G16" i="9"/>
  <c r="H16" i="9"/>
  <c r="I16" i="9"/>
  <c r="J16" i="9"/>
  <c r="K16" i="9"/>
  <c r="L16" i="9"/>
  <c r="M16" i="9"/>
  <c r="A17" i="9"/>
  <c r="B17" i="9"/>
  <c r="C17" i="9"/>
  <c r="D17" i="9"/>
  <c r="E17" i="9"/>
  <c r="F17" i="9"/>
  <c r="G17" i="9"/>
  <c r="H17" i="9"/>
  <c r="I17" i="9"/>
  <c r="J17" i="9"/>
  <c r="K17" i="9"/>
  <c r="L17" i="9"/>
  <c r="M17" i="9"/>
  <c r="H24" i="4" l="1"/>
  <c r="I24" i="4"/>
  <c r="J24" i="4"/>
  <c r="K24" i="4"/>
  <c r="L24" i="4"/>
  <c r="M24" i="4"/>
  <c r="H25" i="4"/>
  <c r="I25" i="4"/>
  <c r="J25" i="4"/>
  <c r="K25" i="4"/>
  <c r="L25" i="4"/>
  <c r="M25" i="4"/>
  <c r="H26" i="4"/>
  <c r="I26" i="4"/>
  <c r="J26" i="4"/>
  <c r="K26" i="4"/>
  <c r="L26" i="4"/>
  <c r="M26" i="4"/>
  <c r="H27" i="4"/>
  <c r="I27" i="4"/>
  <c r="J27" i="4"/>
  <c r="K27" i="4"/>
  <c r="L27" i="4"/>
  <c r="M27" i="4"/>
  <c r="H28" i="4"/>
  <c r="I28" i="4"/>
  <c r="J28" i="4"/>
  <c r="K28" i="4"/>
  <c r="L28" i="4"/>
  <c r="M28" i="4"/>
  <c r="H22" i="4"/>
  <c r="I22" i="4"/>
  <c r="J22" i="4"/>
  <c r="K22" i="4"/>
  <c r="L22" i="4"/>
  <c r="M22" i="4"/>
  <c r="H23" i="4"/>
  <c r="I23" i="4"/>
  <c r="J23" i="4"/>
  <c r="K23" i="4"/>
  <c r="L23" i="4"/>
  <c r="M23" i="4"/>
  <c r="W17" i="8"/>
  <c r="X16" i="8"/>
  <c r="W16" i="8"/>
  <c r="V16" i="8"/>
  <c r="U16" i="8"/>
  <c r="T16" i="8"/>
  <c r="W15" i="8"/>
  <c r="V15" i="8"/>
  <c r="Y17" i="8"/>
  <c r="X17" i="8"/>
  <c r="V17" i="8"/>
  <c r="U17" i="8"/>
  <c r="T17" i="8"/>
  <c r="Y16" i="8"/>
  <c r="Y15" i="8"/>
  <c r="X15" i="8"/>
  <c r="U15" i="8"/>
  <c r="T15" i="8"/>
  <c r="Y14" i="8"/>
  <c r="X14" i="8"/>
  <c r="W14" i="8"/>
  <c r="V14" i="8"/>
  <c r="U14" i="8"/>
  <c r="T14" i="8"/>
  <c r="Y13" i="8"/>
  <c r="X13" i="8"/>
  <c r="W13" i="8"/>
  <c r="V13" i="8"/>
  <c r="U13" i="8"/>
  <c r="T13" i="8"/>
  <c r="Y12" i="8"/>
  <c r="X12" i="8"/>
  <c r="W12" i="8"/>
  <c r="V12" i="8"/>
  <c r="U12" i="8"/>
  <c r="T12" i="8"/>
  <c r="Y11" i="8"/>
  <c r="X11" i="8"/>
  <c r="W11" i="8"/>
  <c r="V11" i="8"/>
  <c r="U11" i="8"/>
  <c r="T11" i="8"/>
  <c r="Y10" i="8"/>
  <c r="X10" i="8"/>
  <c r="W10" i="8"/>
  <c r="V10" i="8"/>
  <c r="U10" i="8"/>
  <c r="T10" i="8"/>
  <c r="Y9" i="8"/>
  <c r="X9" i="8"/>
  <c r="W9" i="8"/>
  <c r="V9" i="8"/>
  <c r="U9" i="8"/>
  <c r="T9" i="8"/>
  <c r="Y8" i="8"/>
  <c r="X8" i="8"/>
  <c r="W8" i="8"/>
  <c r="V8" i="8"/>
  <c r="U8" i="8"/>
  <c r="T8" i="8"/>
  <c r="Y7" i="8"/>
  <c r="X7" i="8"/>
  <c r="W7" i="8"/>
  <c r="V7" i="8"/>
  <c r="U7" i="8"/>
  <c r="T7" i="8"/>
  <c r="Y6" i="8"/>
  <c r="X6" i="8"/>
  <c r="W6" i="8"/>
  <c r="V6" i="8"/>
  <c r="U6" i="8"/>
  <c r="T6" i="8"/>
  <c r="Y5" i="8"/>
  <c r="X5" i="8"/>
  <c r="W5" i="8"/>
  <c r="V5" i="8"/>
  <c r="U5" i="8"/>
  <c r="T5" i="8"/>
  <c r="Y4" i="8"/>
  <c r="X4" i="8"/>
  <c r="W4" i="8"/>
  <c r="V4" i="8"/>
  <c r="U4" i="8"/>
  <c r="T4" i="8"/>
  <c r="Y3" i="8"/>
  <c r="X3" i="8"/>
  <c r="W3" i="8"/>
  <c r="V3" i="8"/>
  <c r="U3" i="8"/>
  <c r="T3" i="8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4" i="3"/>
  <c r="AA5" i="3"/>
  <c r="AB5" i="3"/>
  <c r="AC5" i="3"/>
  <c r="AA6" i="3"/>
  <c r="AB6" i="3"/>
  <c r="AC6" i="3"/>
  <c r="Z7" i="3"/>
  <c r="AA7" i="3"/>
  <c r="AB7" i="3"/>
  <c r="AC7" i="3"/>
  <c r="AA8" i="3"/>
  <c r="AB8" i="3"/>
  <c r="AC8" i="3"/>
  <c r="AA9" i="3"/>
  <c r="AB9" i="3"/>
  <c r="AC9" i="3"/>
  <c r="AA10" i="3"/>
  <c r="AB10" i="3"/>
  <c r="AC10" i="3"/>
  <c r="AA11" i="3"/>
  <c r="AB11" i="3"/>
  <c r="AC11" i="3"/>
  <c r="AA12" i="3"/>
  <c r="AB12" i="3"/>
  <c r="AC12" i="3"/>
  <c r="Z13" i="3"/>
  <c r="AA13" i="3"/>
  <c r="AB13" i="3"/>
  <c r="AC13" i="3"/>
  <c r="X14" i="3"/>
  <c r="Y14" i="3"/>
  <c r="AA14" i="3"/>
  <c r="AB14" i="3"/>
  <c r="AC14" i="3"/>
  <c r="AA15" i="3"/>
  <c r="AB15" i="3"/>
  <c r="AC15" i="3"/>
  <c r="AA16" i="3"/>
  <c r="AB16" i="3"/>
  <c r="AC16" i="3"/>
  <c r="Z17" i="3"/>
  <c r="AA17" i="3"/>
  <c r="AB17" i="3"/>
  <c r="AC17" i="3"/>
  <c r="AA18" i="3"/>
  <c r="AB18" i="3"/>
  <c r="AC18" i="3"/>
  <c r="AC4" i="3"/>
  <c r="AB4" i="3"/>
  <c r="AA4" i="3"/>
  <c r="M8" i="3"/>
  <c r="L8" i="3"/>
  <c r="K8" i="3"/>
  <c r="AA7" i="1"/>
  <c r="Z7" i="1"/>
  <c r="Y7" i="1"/>
  <c r="X7" i="1"/>
  <c r="W7" i="1"/>
  <c r="V7" i="1"/>
  <c r="K6" i="3"/>
  <c r="J6" i="3"/>
  <c r="O5" i="3"/>
  <c r="Z5" i="1"/>
  <c r="Y5" i="1"/>
  <c r="X5" i="1"/>
  <c r="W5" i="1"/>
  <c r="V5" i="1"/>
  <c r="X4" i="1"/>
  <c r="W4" i="1"/>
  <c r="J4" i="3"/>
  <c r="H4" i="1"/>
  <c r="H5" i="1"/>
  <c r="H6" i="1"/>
  <c r="H7" i="1"/>
  <c r="H8" i="1"/>
  <c r="H9" i="1"/>
  <c r="H10" i="1"/>
  <c r="H11" i="1"/>
  <c r="H12" i="1"/>
  <c r="H13" i="1"/>
  <c r="H14" i="1"/>
  <c r="H15" i="1"/>
  <c r="H15" i="3" s="1"/>
  <c r="H16" i="1"/>
  <c r="H17" i="1"/>
  <c r="H18" i="1"/>
  <c r="I4" i="1"/>
  <c r="I5" i="1"/>
  <c r="I6" i="1"/>
  <c r="I7" i="1"/>
  <c r="I8" i="1"/>
  <c r="I9" i="1"/>
  <c r="I9" i="3" s="1"/>
  <c r="I10" i="1"/>
  <c r="I10" i="3" s="1"/>
  <c r="I11" i="1"/>
  <c r="I11" i="3" s="1"/>
  <c r="I12" i="1"/>
  <c r="I12" i="3" s="1"/>
  <c r="I13" i="1"/>
  <c r="I14" i="1"/>
  <c r="I15" i="1"/>
  <c r="I16" i="1"/>
  <c r="I17" i="1"/>
  <c r="I18" i="1"/>
  <c r="H4" i="4"/>
  <c r="I4" i="4"/>
  <c r="J4" i="4"/>
  <c r="K4" i="4"/>
  <c r="L4" i="4"/>
  <c r="M4" i="4"/>
  <c r="H5" i="4"/>
  <c r="I5" i="4"/>
  <c r="J5" i="4"/>
  <c r="K5" i="4"/>
  <c r="L5" i="4"/>
  <c r="M5" i="4"/>
  <c r="H6" i="4"/>
  <c r="I6" i="4"/>
  <c r="J6" i="4"/>
  <c r="K6" i="4"/>
  <c r="L6" i="4"/>
  <c r="M6" i="4"/>
  <c r="H7" i="4"/>
  <c r="I7" i="4"/>
  <c r="J7" i="4"/>
  <c r="K7" i="4"/>
  <c r="L7" i="4"/>
  <c r="M7" i="4"/>
  <c r="H8" i="4"/>
  <c r="I8" i="4"/>
  <c r="J8" i="4"/>
  <c r="K8" i="4"/>
  <c r="L8" i="4"/>
  <c r="M8" i="4"/>
  <c r="H9" i="4"/>
  <c r="I9" i="4"/>
  <c r="J9" i="4"/>
  <c r="K9" i="4"/>
  <c r="L9" i="4"/>
  <c r="M9" i="4"/>
  <c r="H10" i="4"/>
  <c r="I10" i="4"/>
  <c r="J10" i="4"/>
  <c r="K10" i="4"/>
  <c r="L10" i="4"/>
  <c r="M10" i="4"/>
  <c r="H11" i="4"/>
  <c r="I11" i="4"/>
  <c r="J11" i="4"/>
  <c r="K11" i="4"/>
  <c r="L11" i="4"/>
  <c r="M11" i="4"/>
  <c r="H12" i="4"/>
  <c r="I12" i="4"/>
  <c r="J12" i="4"/>
  <c r="K12" i="4"/>
  <c r="L12" i="4"/>
  <c r="M12" i="4"/>
  <c r="H13" i="4"/>
  <c r="I13" i="4"/>
  <c r="J13" i="4"/>
  <c r="K13" i="4"/>
  <c r="L13" i="4"/>
  <c r="M13" i="4"/>
  <c r="H14" i="4"/>
  <c r="I14" i="4"/>
  <c r="J14" i="4"/>
  <c r="K14" i="4"/>
  <c r="L14" i="4"/>
  <c r="M14" i="4"/>
  <c r="H15" i="4"/>
  <c r="I15" i="4"/>
  <c r="J15" i="4"/>
  <c r="K15" i="4"/>
  <c r="L15" i="4"/>
  <c r="M15" i="4"/>
  <c r="H16" i="4"/>
  <c r="I16" i="4"/>
  <c r="J16" i="4"/>
  <c r="K16" i="4"/>
  <c r="L16" i="4"/>
  <c r="M16" i="4"/>
  <c r="H17" i="4"/>
  <c r="I17" i="4"/>
  <c r="J17" i="4"/>
  <c r="K17" i="4"/>
  <c r="L17" i="4"/>
  <c r="M17" i="4"/>
  <c r="H18" i="4"/>
  <c r="I18" i="4"/>
  <c r="J18" i="4"/>
  <c r="K18" i="4"/>
  <c r="L18" i="4"/>
  <c r="M18" i="4"/>
  <c r="H19" i="4"/>
  <c r="I19" i="4"/>
  <c r="J19" i="4"/>
  <c r="K19" i="4"/>
  <c r="L19" i="4"/>
  <c r="M19" i="4"/>
  <c r="H20" i="4"/>
  <c r="I20" i="4"/>
  <c r="J20" i="4"/>
  <c r="K20" i="4"/>
  <c r="L20" i="4"/>
  <c r="M20" i="4"/>
  <c r="H21" i="4"/>
  <c r="I21" i="4"/>
  <c r="J21" i="4"/>
  <c r="K21" i="4"/>
  <c r="L21" i="4"/>
  <c r="M21" i="4"/>
  <c r="M3" i="4"/>
  <c r="L3" i="4"/>
  <c r="K3" i="4"/>
  <c r="J3" i="4"/>
  <c r="I3" i="4"/>
  <c r="H3" i="4"/>
  <c r="M12" i="3"/>
  <c r="N7" i="3"/>
  <c r="F4" i="3"/>
  <c r="G4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D6" i="3"/>
  <c r="D9" i="3"/>
  <c r="C13" i="3"/>
  <c r="C14" i="3"/>
  <c r="D14" i="3"/>
  <c r="H18" i="3"/>
  <c r="D18" i="3"/>
  <c r="D5" i="3"/>
  <c r="D13" i="3"/>
  <c r="H17" i="3"/>
  <c r="H16" i="3"/>
  <c r="C16" i="3"/>
  <c r="C8" i="3"/>
  <c r="H10" i="3"/>
  <c r="H11" i="3"/>
  <c r="M5" i="3"/>
  <c r="N5" i="3"/>
  <c r="L6" i="3"/>
  <c r="M6" i="3"/>
  <c r="N6" i="3"/>
  <c r="O6" i="3"/>
  <c r="M7" i="3"/>
  <c r="O7" i="3"/>
  <c r="J8" i="3"/>
  <c r="N8" i="3"/>
  <c r="O8" i="3"/>
  <c r="J9" i="3"/>
  <c r="K9" i="3"/>
  <c r="L9" i="3"/>
  <c r="M9" i="3"/>
  <c r="N9" i="3"/>
  <c r="O9" i="3"/>
  <c r="J10" i="3"/>
  <c r="K10" i="3"/>
  <c r="L10" i="3"/>
  <c r="M10" i="3"/>
  <c r="N10" i="3"/>
  <c r="O10" i="3"/>
  <c r="J11" i="3"/>
  <c r="K11" i="3"/>
  <c r="L11" i="3"/>
  <c r="M11" i="3"/>
  <c r="N11" i="3"/>
  <c r="O11" i="3"/>
  <c r="J12" i="3"/>
  <c r="K12" i="3"/>
  <c r="L12" i="3"/>
  <c r="N12" i="3"/>
  <c r="O12" i="3"/>
  <c r="J13" i="3"/>
  <c r="K13" i="3"/>
  <c r="L13" i="3"/>
  <c r="M13" i="3"/>
  <c r="N13" i="3"/>
  <c r="O13" i="3"/>
  <c r="J14" i="3"/>
  <c r="K14" i="3"/>
  <c r="L14" i="3"/>
  <c r="M14" i="3"/>
  <c r="N14" i="3"/>
  <c r="O14" i="3"/>
  <c r="J15" i="3"/>
  <c r="K15" i="3"/>
  <c r="L15" i="3"/>
  <c r="M15" i="3"/>
  <c r="N15" i="3"/>
  <c r="O15" i="3"/>
  <c r="J16" i="3"/>
  <c r="K16" i="3"/>
  <c r="L16" i="3"/>
  <c r="M16" i="3"/>
  <c r="N16" i="3"/>
  <c r="O16" i="3"/>
  <c r="J17" i="3"/>
  <c r="K17" i="3"/>
  <c r="L17" i="3"/>
  <c r="M17" i="3"/>
  <c r="N17" i="3"/>
  <c r="O17" i="3"/>
  <c r="J18" i="3"/>
  <c r="K18" i="3"/>
  <c r="L18" i="3"/>
  <c r="M18" i="3"/>
  <c r="N18" i="3"/>
  <c r="O18" i="3"/>
  <c r="K4" i="3"/>
  <c r="L4" i="3"/>
  <c r="M4" i="3"/>
  <c r="N4" i="3"/>
  <c r="O4" i="3"/>
  <c r="A5" i="3"/>
  <c r="B5" i="3"/>
  <c r="U5" i="3" s="1"/>
  <c r="E5" i="3"/>
  <c r="A6" i="3"/>
  <c r="B6" i="3"/>
  <c r="U6" i="3" s="1"/>
  <c r="E6" i="3"/>
  <c r="A7" i="3"/>
  <c r="B7" i="3"/>
  <c r="U7" i="3" s="1"/>
  <c r="C7" i="3"/>
  <c r="E7" i="3"/>
  <c r="A8" i="3"/>
  <c r="B8" i="3"/>
  <c r="U8" i="3" s="1"/>
  <c r="E8" i="3"/>
  <c r="A9" i="3"/>
  <c r="B9" i="3"/>
  <c r="U9" i="3" s="1"/>
  <c r="E9" i="3"/>
  <c r="A10" i="3"/>
  <c r="B10" i="3"/>
  <c r="U10" i="3" s="1"/>
  <c r="C10" i="3"/>
  <c r="E10" i="3"/>
  <c r="A11" i="3"/>
  <c r="B11" i="3"/>
  <c r="U11" i="3" s="1"/>
  <c r="C11" i="3"/>
  <c r="E11" i="3"/>
  <c r="A12" i="3"/>
  <c r="B12" i="3"/>
  <c r="U12" i="3" s="1"/>
  <c r="C12" i="3"/>
  <c r="E12" i="3"/>
  <c r="A13" i="3"/>
  <c r="B13" i="3"/>
  <c r="U13" i="3" s="1"/>
  <c r="E13" i="3"/>
  <c r="A14" i="3"/>
  <c r="B14" i="3"/>
  <c r="U14" i="3" s="1"/>
  <c r="E14" i="3"/>
  <c r="A15" i="3"/>
  <c r="B15" i="3"/>
  <c r="U15" i="3" s="1"/>
  <c r="D15" i="3"/>
  <c r="E15" i="3"/>
  <c r="A16" i="3"/>
  <c r="B16" i="3"/>
  <c r="U16" i="3" s="1"/>
  <c r="E16" i="3"/>
  <c r="A17" i="3"/>
  <c r="B17" i="3"/>
  <c r="U17" i="3" s="1"/>
  <c r="C17" i="3"/>
  <c r="E17" i="3"/>
  <c r="A18" i="3"/>
  <c r="B18" i="3"/>
  <c r="U18" i="3" s="1"/>
  <c r="E18" i="3"/>
  <c r="A4" i="3"/>
  <c r="B4" i="3"/>
  <c r="U4" i="3" s="1"/>
  <c r="E4" i="3"/>
  <c r="AA5" i="1"/>
  <c r="V6" i="1"/>
  <c r="W6" i="1"/>
  <c r="X6" i="1"/>
  <c r="Y6" i="1"/>
  <c r="Z6" i="1"/>
  <c r="AA6" i="1"/>
  <c r="V8" i="1"/>
  <c r="W8" i="1"/>
  <c r="X8" i="1"/>
  <c r="Y8" i="1"/>
  <c r="Z8" i="1"/>
  <c r="AA8" i="1"/>
  <c r="V9" i="1"/>
  <c r="W9" i="1"/>
  <c r="X9" i="1"/>
  <c r="Y9" i="1"/>
  <c r="Z9" i="1"/>
  <c r="AA9" i="1"/>
  <c r="V10" i="1"/>
  <c r="W10" i="1"/>
  <c r="X10" i="1"/>
  <c r="Y10" i="1"/>
  <c r="Z10" i="1"/>
  <c r="AA10" i="1"/>
  <c r="V11" i="1"/>
  <c r="W11" i="1"/>
  <c r="X11" i="1"/>
  <c r="Y11" i="1"/>
  <c r="Z11" i="1"/>
  <c r="AA11" i="1"/>
  <c r="V12" i="1"/>
  <c r="W12" i="1"/>
  <c r="X12" i="1"/>
  <c r="Z12" i="1"/>
  <c r="AA12" i="1"/>
  <c r="V13" i="1"/>
  <c r="W13" i="1"/>
  <c r="X13" i="1"/>
  <c r="Y13" i="1"/>
  <c r="Z13" i="1"/>
  <c r="AA13" i="1"/>
  <c r="V14" i="1"/>
  <c r="W14" i="1"/>
  <c r="X14" i="1"/>
  <c r="Y14" i="1"/>
  <c r="Z14" i="1"/>
  <c r="AA14" i="1"/>
  <c r="V15" i="1"/>
  <c r="W15" i="1"/>
  <c r="X15" i="1"/>
  <c r="Y15" i="1"/>
  <c r="Z15" i="1"/>
  <c r="AA15" i="1"/>
  <c r="V16" i="1"/>
  <c r="W16" i="1"/>
  <c r="X16" i="1"/>
  <c r="Y16" i="1"/>
  <c r="Z16" i="1"/>
  <c r="AA16" i="1"/>
  <c r="V17" i="1"/>
  <c r="W17" i="1"/>
  <c r="X17" i="1"/>
  <c r="Y17" i="1"/>
  <c r="Z17" i="1"/>
  <c r="AA17" i="1"/>
  <c r="V18" i="1"/>
  <c r="W18" i="1"/>
  <c r="X18" i="1"/>
  <c r="Y18" i="1"/>
  <c r="Z18" i="1"/>
  <c r="AA18" i="1"/>
  <c r="AA4" i="1"/>
  <c r="Y4" i="1"/>
  <c r="Z4" i="1"/>
  <c r="Z16" i="3" l="1"/>
  <c r="Z14" i="3"/>
  <c r="Z12" i="3"/>
  <c r="Z10" i="3"/>
  <c r="Z8" i="3"/>
  <c r="X12" i="3"/>
  <c r="Y12" i="3"/>
  <c r="Z11" i="3"/>
  <c r="Y13" i="3"/>
  <c r="Y11" i="3"/>
  <c r="X13" i="3"/>
  <c r="T25" i="3" a="1"/>
  <c r="T25" i="3" s="1"/>
  <c r="U25" i="3" a="1"/>
  <c r="U25" i="3" s="1"/>
  <c r="T27" i="3"/>
  <c r="T29" i="3"/>
  <c r="U27" i="3"/>
  <c r="U29" i="3"/>
  <c r="L5" i="3"/>
  <c r="K7" i="3"/>
  <c r="L7" i="3"/>
  <c r="K5" i="3"/>
  <c r="J7" i="3"/>
  <c r="J5" i="3"/>
  <c r="V4" i="1"/>
  <c r="Y12" i="1"/>
  <c r="H6" i="3"/>
  <c r="H12" i="3"/>
  <c r="D11" i="3"/>
  <c r="X11" i="3" s="1"/>
  <c r="D10" i="3"/>
  <c r="Y10" i="3" s="1"/>
  <c r="H4" i="3"/>
  <c r="D16" i="3"/>
  <c r="I17" i="3"/>
  <c r="I16" i="3"/>
  <c r="D17" i="3"/>
  <c r="Y17" i="3" s="1"/>
  <c r="I18" i="3"/>
  <c r="C18" i="3"/>
  <c r="I15" i="3"/>
  <c r="C15" i="3"/>
  <c r="H14" i="3"/>
  <c r="I14" i="3"/>
  <c r="H13" i="3"/>
  <c r="I13" i="3"/>
  <c r="I8" i="3"/>
  <c r="C9" i="3"/>
  <c r="H9" i="3"/>
  <c r="I7" i="3"/>
  <c r="H8" i="3"/>
  <c r="H7" i="3"/>
  <c r="D12" i="3"/>
  <c r="D8" i="3"/>
  <c r="H5" i="3"/>
  <c r="D7" i="3"/>
  <c r="Y7" i="3" s="1"/>
  <c r="I6" i="3"/>
  <c r="C6" i="3"/>
  <c r="C5" i="3"/>
  <c r="I5" i="3"/>
  <c r="I4" i="3"/>
  <c r="D4" i="3"/>
  <c r="C4" i="3"/>
  <c r="Y6" i="3" l="1"/>
  <c r="X6" i="3"/>
  <c r="Z6" i="3"/>
  <c r="Y8" i="3"/>
  <c r="X8" i="3"/>
  <c r="X10" i="3"/>
  <c r="Y18" i="3"/>
  <c r="Z18" i="3"/>
  <c r="X18" i="3"/>
  <c r="X15" i="3"/>
  <c r="Y15" i="3"/>
  <c r="Z15" i="3"/>
  <c r="X9" i="3"/>
  <c r="Y9" i="3"/>
  <c r="Z9" i="3"/>
  <c r="X17" i="3"/>
  <c r="Z4" i="3"/>
  <c r="Y4" i="3"/>
  <c r="X4" i="3"/>
  <c r="X7" i="3"/>
  <c r="X5" i="3"/>
  <c r="Y5" i="3"/>
  <c r="Z5" i="3"/>
  <c r="X16" i="3"/>
  <c r="Y16" i="3"/>
  <c r="V29" i="3" l="1"/>
  <c r="V27" i="3"/>
  <c r="V25" i="3" a="1"/>
  <c r="V25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<sst xmlns="http://schemas.openxmlformats.org/spreadsheetml/2006/main" count="145" uniqueCount="49">
  <si>
    <t>Fx (N)</t>
  </si>
  <si>
    <t>Fy (N)</t>
  </si>
  <si>
    <t>Fz (N)</t>
  </si>
  <si>
    <t>Tx (Nm)</t>
  </si>
  <si>
    <t>Ty (Nm)</t>
  </si>
  <si>
    <t>Tz(Nm)</t>
  </si>
  <si>
    <t>6-Axis FT Sensor</t>
  </si>
  <si>
    <t>F (N)</t>
  </si>
  <si>
    <t>s (m)</t>
  </si>
  <si>
    <t>el (rad)</t>
  </si>
  <si>
    <t>az (rad)</t>
  </si>
  <si>
    <t>SoRoSim get_distal_value</t>
  </si>
  <si>
    <t>`</t>
  </si>
  <si>
    <t>az (deg)</t>
  </si>
  <si>
    <t>tau1 (N)</t>
  </si>
  <si>
    <t>tau2 (N)</t>
  </si>
  <si>
    <t>tau3 (N)</t>
  </si>
  <si>
    <t>Ground Truth</t>
  </si>
  <si>
    <t>SoRoSim get_proximal_value</t>
  </si>
  <si>
    <t>α_roll (deg)</t>
  </si>
  <si>
    <t>β_pitch (deg)</t>
  </si>
  <si>
    <t>Gimbal</t>
  </si>
  <si>
    <t>Distal Errors</t>
  </si>
  <si>
    <t>Proximal Errors</t>
  </si>
  <si>
    <t>Fx</t>
  </si>
  <si>
    <t>Fy</t>
  </si>
  <si>
    <t>Fz</t>
  </si>
  <si>
    <t>Tx</t>
  </si>
  <si>
    <t>Ty</t>
  </si>
  <si>
    <t>Tz</t>
  </si>
  <si>
    <t>Raw Data</t>
  </si>
  <si>
    <t>Converted</t>
  </si>
  <si>
    <t>Mean Error</t>
  </si>
  <si>
    <t>ABS Mean Error</t>
  </si>
  <si>
    <t>STDEV</t>
  </si>
  <si>
    <t>Ground-truth unit vector</t>
  </si>
  <si>
    <t>x</t>
  </si>
  <si>
    <t>y</t>
  </si>
  <si>
    <t>z</t>
  </si>
  <si>
    <t>Predicted unit vector</t>
  </si>
  <si>
    <t>Combiend
Angular (deg)</t>
  </si>
  <si>
    <t>roll (rad)</t>
  </si>
  <si>
    <t>pitch (deg)</t>
  </si>
  <si>
    <t>f_final</t>
  </si>
  <si>
    <t>Force Error</t>
  </si>
  <si>
    <t>Position Error</t>
  </si>
  <si>
    <t>Mean Average Error</t>
  </si>
  <si>
    <t>Roll Error</t>
  </si>
  <si>
    <t>Pitch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</si>
</sst>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0000"/>
  </numFmts>
  <fonts count="9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B1BDF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10" borderId="0" applyNumberFormat="0" applyBorder="0" applyAlignment="0" applyProtection="0"/>
    <xf numFmtId="0" fontId="7" fillId="11" borderId="0" applyNumberFormat="0" applyBorder="0" applyAlignment="0" applyProtection="0"/>
  </cellStyleXfs>
  <cellXfs count="50">
    <xf numFmtId="0" fontId="0" fillId="0" borderId="0" xfId="0"/>
    <xf numFmtId="164" fontId="2" fillId="0" borderId="1" xfId="0" applyNumberFormat="1" applyFont="1" applyBorder="1"/>
    <xf numFmtId="0" fontId="3" fillId="8" borderId="0" xfId="0" applyFont="1" applyFill="1" applyAlignment="1">
      <alignment horizontal="center"/>
    </xf>
    <xf numFmtId="0" fontId="2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0" fontId="4" fillId="6" borderId="1" xfId="0" applyFont="1" applyFill="1" applyBorder="1"/>
    <xf numFmtId="0" fontId="4" fillId="6" borderId="9" xfId="0" applyFont="1" applyFill="1" applyBorder="1"/>
    <xf numFmtId="0" fontId="4" fillId="6" borderId="6" xfId="0" applyFont="1" applyFill="1" applyBorder="1"/>
    <xf numFmtId="165" fontId="2" fillId="0" borderId="0" xfId="0" applyNumberFormat="1" applyFont="1"/>
    <xf numFmtId="165" fontId="2" fillId="0" borderId="1" xfId="0" applyNumberFormat="1" applyFont="1" applyBorder="1"/>
    <xf numFmtId="0" fontId="2" fillId="0" borderId="1" xfId="0" applyFont="1" applyBorder="1"/>
    <xf numFmtId="0" fontId="4" fillId="6" borderId="1" xfId="0" applyFont="1" applyFill="1" applyBorder="1" applyAlignment="1">
      <alignment wrapText="1"/>
    </xf>
    <xf numFmtId="165" fontId="6" fillId="10" borderId="1" xfId="1" applyNumberFormat="1" applyBorder="1"/>
    <xf numFmtId="164" fontId="6" fillId="10" borderId="1" xfId="1" applyNumberFormat="1" applyBorder="1"/>
    <xf numFmtId="11" fontId="0" fillId="0" borderId="0" xfId="0" applyNumberFormat="1"/>
    <xf numFmtId="0" fontId="4" fillId="4" borderId="1" xfId="0" applyFont="1" applyFill="1" applyBorder="1" applyAlignment="1">
      <alignment horizontal="center"/>
    </xf>
    <xf numFmtId="166" fontId="8" fillId="12" borderId="1" xfId="0" applyNumberFormat="1" applyFont="1" applyFill="1" applyBorder="1"/>
    <xf numFmtId="166" fontId="7" fillId="11" borderId="1" xfId="2" applyNumberFormat="1" applyBorder="1"/>
    <xf numFmtId="165" fontId="8" fillId="12" borderId="1" xfId="0" applyNumberFormat="1" applyFont="1" applyFill="1" applyBorder="1"/>
    <xf numFmtId="164" fontId="8" fillId="12" borderId="1" xfId="0" applyNumberFormat="1" applyFont="1" applyFill="1" applyBorder="1"/>
    <xf numFmtId="11" fontId="8" fillId="12" borderId="1" xfId="0" applyNumberFormat="1" applyFont="1" applyFill="1" applyBorder="1"/>
    <xf numFmtId="0" fontId="3" fillId="8" borderId="0" xfId="0" applyFont="1" applyFill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0" fontId="4" fillId="9" borderId="11" xfId="0" applyFont="1" applyFill="1" applyBorder="1" applyAlignment="1">
      <alignment horizontal="center"/>
    </xf>
    <xf numFmtId="0" fontId="4" fillId="9" borderId="8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7" borderId="3" xfId="0" applyFont="1" applyFill="1" applyBorder="1" applyAlignment="1">
      <alignment horizontal="center"/>
    </xf>
    <xf numFmtId="0" fontId="4" fillId="7" borderId="4" xfId="0" applyFont="1" applyFill="1" applyBorder="1" applyAlignment="1">
      <alignment horizontal="center"/>
    </xf>
    <xf numFmtId="0" fontId="4" fillId="7" borderId="5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4" borderId="13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6" borderId="12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</cellXfs>
  <cellStyles count="3">
    <cellStyle name="Bad" xfId="1" builtinId="27"/>
    <cellStyle name="Good" xfId="2" builtinId="26"/>
    <cellStyle name="Normal" xfId="0" builtinId="0"/>
  </cellStyles>
  <dxfs count="0"/>
  <tableStyles count="0" defaultTableStyle="TableStyleMedium2" defaultPivotStyle="PivotStyleLight16"/>
  <colors>
    <mruColors>
      <color rgb="FFB1BD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'Distal Validation (prelim)'!$A$4:$A$23</c:f>
              <c:numCache>
                <c:formatCode>0.000</c:formatCode>
                <c:ptCount val="20"/>
                <c:pt idx="0">
                  <c:v>0.71299999999999997</c:v>
                </c:pt>
                <c:pt idx="1">
                  <c:v>0.42</c:v>
                </c:pt>
                <c:pt idx="2">
                  <c:v>0.85199999999999998</c:v>
                </c:pt>
                <c:pt idx="3">
                  <c:v>0.61099999999999999</c:v>
                </c:pt>
                <c:pt idx="4">
                  <c:v>0.65800000000000003</c:v>
                </c:pt>
                <c:pt idx="5">
                  <c:v>0.36299999999999999</c:v>
                </c:pt>
                <c:pt idx="6">
                  <c:v>0.216</c:v>
                </c:pt>
                <c:pt idx="7">
                  <c:v>0.16600000000000001</c:v>
                </c:pt>
                <c:pt idx="8">
                  <c:v>0.184</c:v>
                </c:pt>
                <c:pt idx="9">
                  <c:v>0.96099999999999997</c:v>
                </c:pt>
                <c:pt idx="10">
                  <c:v>0.51</c:v>
                </c:pt>
                <c:pt idx="11">
                  <c:v>0.309</c:v>
                </c:pt>
                <c:pt idx="12">
                  <c:v>0.89700000000000002</c:v>
                </c:pt>
                <c:pt idx="13">
                  <c:v>0.20399999999999999</c:v>
                </c:pt>
                <c:pt idx="14">
                  <c:v>0.42899999999999999</c:v>
                </c:pt>
              </c:numCache>
            </c:numRef>
          </c:xVal>
          <c:yVal>
            <c:numRef>
              <c:f>'Distal Validation (prelim)'!$P$4:$P$23</c:f>
              <c:numCache>
                <c:formatCode>0.0000</c:formatCode>
                <c:ptCount val="20"/>
                <c:pt idx="0">
                  <c:v>0.69714399999999999</c:v>
                </c:pt>
                <c:pt idx="1">
                  <c:v>0.32856099999999999</c:v>
                </c:pt>
                <c:pt idx="2">
                  <c:v>0.73812500000000003</c:v>
                </c:pt>
                <c:pt idx="3">
                  <c:v>0.68630599999999997</c:v>
                </c:pt>
                <c:pt idx="4">
                  <c:v>0.62629599999999996</c:v>
                </c:pt>
                <c:pt idx="5">
                  <c:v>0.26</c:v>
                </c:pt>
                <c:pt idx="6">
                  <c:v>0.20170299999999999</c:v>
                </c:pt>
                <c:pt idx="7">
                  <c:v>0.13594500000000001</c:v>
                </c:pt>
                <c:pt idx="8">
                  <c:v>0.10292800000000001</c:v>
                </c:pt>
                <c:pt idx="9">
                  <c:v>0.95029399999999997</c:v>
                </c:pt>
                <c:pt idx="10">
                  <c:v>0.45205899999999999</c:v>
                </c:pt>
                <c:pt idx="11">
                  <c:v>0.20016600000000001</c:v>
                </c:pt>
                <c:pt idx="12">
                  <c:v>0.631247</c:v>
                </c:pt>
                <c:pt idx="13">
                  <c:v>0.143626</c:v>
                </c:pt>
                <c:pt idx="14">
                  <c:v>0.24848700000000001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85-4531-A8B9-35064E6692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7046527"/>
        <c:axId val="337045087"/>
      </c:scatterChart>
      <c:valAx>
        <c:axId val="337046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045087"/>
        <c:crosses val="autoZero"/>
        <c:crossBetween val="midCat"/>
      </c:valAx>
      <c:valAx>
        <c:axId val="33704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046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'Distal Validation (prelim)'!$B$4:$B$23</c:f>
              <c:numCache>
                <c:formatCode>0.000</c:formatCode>
                <c:ptCount val="20"/>
                <c:pt idx="0">
                  <c:v>0.04</c:v>
                </c:pt>
                <c:pt idx="1">
                  <c:v>0.1</c:v>
                </c:pt>
                <c:pt idx="2">
                  <c:v>0.06</c:v>
                </c:pt>
                <c:pt idx="3">
                  <c:v>0.1</c:v>
                </c:pt>
                <c:pt idx="4">
                  <c:v>0.04</c:v>
                </c:pt>
                <c:pt idx="5">
                  <c:v>0.18</c:v>
                </c:pt>
                <c:pt idx="6">
                  <c:v>0.04</c:v>
                </c:pt>
                <c:pt idx="7">
                  <c:v>0.1</c:v>
                </c:pt>
                <c:pt idx="8">
                  <c:v>0.12</c:v>
                </c:pt>
                <c:pt idx="9">
                  <c:v>0.14000000000000001</c:v>
                </c:pt>
                <c:pt idx="10">
                  <c:v>0.06</c:v>
                </c:pt>
                <c:pt idx="11">
                  <c:v>0.12</c:v>
                </c:pt>
                <c:pt idx="12">
                  <c:v>0.2</c:v>
                </c:pt>
                <c:pt idx="13">
                  <c:v>0.2</c:v>
                </c:pt>
                <c:pt idx="14">
                  <c:v>0.18</c:v>
                </c:pt>
              </c:numCache>
            </c:numRef>
          </c:xVal>
          <c:yVal>
            <c:numRef>
              <c:f>'Distal Validation (prelim)'!$Q$4:$Q$23</c:f>
              <c:numCache>
                <c:formatCode>0.0000</c:formatCode>
                <c:ptCount val="20"/>
                <c:pt idx="0">
                  <c:v>4.2011E-2</c:v>
                </c:pt>
                <c:pt idx="1">
                  <c:v>0.10237499999999999</c:v>
                </c:pt>
                <c:pt idx="2">
                  <c:v>7.2557999999999997E-2</c:v>
                </c:pt>
                <c:pt idx="3">
                  <c:v>0.11468299999999999</c:v>
                </c:pt>
                <c:pt idx="4">
                  <c:v>3.5715999999999998E-2</c:v>
                </c:pt>
                <c:pt idx="5">
                  <c:v>0.180788</c:v>
                </c:pt>
                <c:pt idx="6">
                  <c:v>3.6476000000000001E-2</c:v>
                </c:pt>
                <c:pt idx="7">
                  <c:v>0.103683</c:v>
                </c:pt>
                <c:pt idx="8">
                  <c:v>0.118312</c:v>
                </c:pt>
                <c:pt idx="9">
                  <c:v>0.13730200000000001</c:v>
                </c:pt>
                <c:pt idx="10">
                  <c:v>6.4912999999999998E-2</c:v>
                </c:pt>
                <c:pt idx="11">
                  <c:v>0.13009599999999999</c:v>
                </c:pt>
                <c:pt idx="12">
                  <c:v>0.17327400000000001</c:v>
                </c:pt>
                <c:pt idx="13">
                  <c:v>0.2</c:v>
                </c:pt>
                <c:pt idx="14">
                  <c:v>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3C-4AA0-B225-3FB21A4C3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7046527"/>
        <c:axId val="337045087"/>
      </c:scatterChart>
      <c:valAx>
        <c:axId val="337046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045087"/>
        <c:crosses val="autoZero"/>
        <c:crossBetween val="midCat"/>
      </c:valAx>
      <c:valAx>
        <c:axId val="33704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046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581025</xdr:colOff>
      <xdr:row>2</xdr:row>
      <xdr:rowOff>23812</xdr:rowOff>
    </xdr:from>
    <xdr:to>
      <xdr:col>38</xdr:col>
      <xdr:colOff>352425</xdr:colOff>
      <xdr:row>15</xdr:row>
      <xdr:rowOff>166687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15B41C-3F92-A807-6853-72C628D773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523875</xdr:colOff>
      <xdr:row>16</xdr:row>
      <xdr:rowOff>171450</xdr:rowOff>
    </xdr:from>
    <xdr:to>
      <xdr:col>38</xdr:col>
      <xdr:colOff>295275</xdr:colOff>
      <xdr:row>30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3A4A0D-212D-40B1-9B31-588F184274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416C8-6FFA-4564-9592-20AD22887E1B}">
  <dimension ref="A1:AJ26"/>
  <sheetViews>
    <sheetView workbookViewId="0">
      <selection activeCell="A2" sqref="A2:AA23"/>
    </sheetView>
  </sheetViews>
  <sheetFormatPr defaultColWidth="8" defaultRowHeight="16" x14ac:dyDescent="0.4"/>
  <cols>
    <col min="1" max="7" width="9.26953125" style="3" customWidth="1"/>
    <col min="8" max="8" width="11.26953125" style="3" bestFit="1" customWidth="1"/>
    <col min="9" max="9" width="12.54296875" style="3" bestFit="1" customWidth="1"/>
    <col min="10" max="27" width="9.26953125" style="3" customWidth="1"/>
    <col min="28" max="16384" width="8" style="3"/>
  </cols>
  <sheetData>
    <row r="1" spans="1:36" ht="16.5" thickBot="1" x14ac:dyDescent="0.4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"/>
      <c r="W1" s="2"/>
      <c r="X1" s="2"/>
      <c r="Y1" s="2"/>
      <c r="Z1" s="2"/>
      <c r="AA1" s="2"/>
    </row>
    <row r="2" spans="1:36" x14ac:dyDescent="0.4">
      <c r="A2" s="27" t="s">
        <v>17</v>
      </c>
      <c r="B2" s="27"/>
      <c r="C2" s="27"/>
      <c r="D2" s="27"/>
      <c r="E2" s="27"/>
      <c r="F2" s="27"/>
      <c r="G2" s="28"/>
      <c r="H2" s="32" t="s">
        <v>21</v>
      </c>
      <c r="I2" s="33"/>
      <c r="J2" s="23" t="s">
        <v>6</v>
      </c>
      <c r="K2" s="24"/>
      <c r="L2" s="24"/>
      <c r="M2" s="24"/>
      <c r="N2" s="24"/>
      <c r="O2" s="24"/>
      <c r="P2" s="25" t="s">
        <v>18</v>
      </c>
      <c r="Q2" s="26"/>
      <c r="R2" s="26"/>
      <c r="S2" s="26"/>
      <c r="T2" s="26"/>
      <c r="U2" s="26"/>
      <c r="V2" s="29" t="s">
        <v>23</v>
      </c>
      <c r="W2" s="30"/>
      <c r="X2" s="30"/>
      <c r="Y2" s="30"/>
      <c r="Z2" s="30"/>
      <c r="AA2" s="31"/>
      <c r="AB2" s="4"/>
      <c r="AC2" s="4"/>
      <c r="AD2" s="4"/>
      <c r="AE2" s="4"/>
      <c r="AF2" s="4"/>
      <c r="AG2" s="4"/>
      <c r="AH2" s="4"/>
      <c r="AI2" s="5"/>
      <c r="AJ2" s="5"/>
    </row>
    <row r="3" spans="1:36" x14ac:dyDescent="0.4">
      <c r="A3" s="6" t="s">
        <v>7</v>
      </c>
      <c r="B3" s="6" t="s">
        <v>8</v>
      </c>
      <c r="C3" s="6" t="s">
        <v>9</v>
      </c>
      <c r="D3" s="6" t="s">
        <v>13</v>
      </c>
      <c r="E3" s="6" t="s">
        <v>14</v>
      </c>
      <c r="F3" s="6" t="s">
        <v>15</v>
      </c>
      <c r="G3" s="6" t="s">
        <v>16</v>
      </c>
      <c r="H3" s="6" t="s">
        <v>19</v>
      </c>
      <c r="I3" s="6" t="s">
        <v>20</v>
      </c>
      <c r="J3" s="7" t="s">
        <v>3</v>
      </c>
      <c r="K3" s="6" t="s">
        <v>4</v>
      </c>
      <c r="L3" s="6" t="s">
        <v>5</v>
      </c>
      <c r="M3" s="6" t="s">
        <v>0</v>
      </c>
      <c r="N3" s="6" t="s">
        <v>1</v>
      </c>
      <c r="O3" s="6" t="s">
        <v>2</v>
      </c>
      <c r="P3" s="8" t="s">
        <v>3</v>
      </c>
      <c r="Q3" s="6" t="s">
        <v>4</v>
      </c>
      <c r="R3" s="6" t="s">
        <v>5</v>
      </c>
      <c r="S3" s="6" t="s">
        <v>0</v>
      </c>
      <c r="T3" s="6" t="s">
        <v>1</v>
      </c>
      <c r="U3" s="6" t="s">
        <v>2</v>
      </c>
      <c r="V3" s="6" t="s">
        <v>3</v>
      </c>
      <c r="W3" s="6" t="s">
        <v>4</v>
      </c>
      <c r="X3" s="6" t="s">
        <v>5</v>
      </c>
      <c r="Y3" s="6" t="s">
        <v>0</v>
      </c>
      <c r="Z3" s="6" t="s">
        <v>1</v>
      </c>
      <c r="AA3" s="6" t="s">
        <v>2</v>
      </c>
      <c r="AB3" s="4"/>
      <c r="AC3" s="4"/>
      <c r="AD3" s="4"/>
      <c r="AE3" s="4"/>
      <c r="AF3" s="4"/>
      <c r="AG3" s="4"/>
      <c r="AH3" s="4"/>
      <c r="AI3" s="4"/>
      <c r="AJ3" s="4"/>
    </row>
    <row r="4" spans="1:36" x14ac:dyDescent="0.4">
      <c r="A4" s="1">
        <v>0.71299999999999997</v>
      </c>
      <c r="B4" s="1">
        <v>0.04</v>
      </c>
      <c r="C4" s="1">
        <v>1.571</v>
      </c>
      <c r="D4" s="1">
        <v>-3.1419999999999999</v>
      </c>
      <c r="E4" s="1">
        <v>1.19</v>
      </c>
      <c r="F4" s="1">
        <v>0.377</v>
      </c>
      <c r="G4" s="1">
        <v>0.33800000000000002</v>
      </c>
      <c r="H4" s="1">
        <f>DEGREES(ATAN2(COS($C4) * SIN($D4), -SIN($C4)))+90</f>
        <v>-4.7535757374816967E-6</v>
      </c>
      <c r="I4" s="1">
        <f>DEGREES(ACOS(COS($C4) * COS($D4)))</f>
        <v>89.988330385915845</v>
      </c>
      <c r="J4" s="1">
        <v>-5.5012269876897303E-4</v>
      </c>
      <c r="K4" s="1">
        <v>-9.1992929577827495E-2</v>
      </c>
      <c r="L4" s="1">
        <v>8.3513604477047899E-4</v>
      </c>
      <c r="M4" s="1">
        <v>-1.1971754953265201E-2</v>
      </c>
      <c r="N4" s="1">
        <v>7.0847868919372602E-3</v>
      </c>
      <c r="O4" s="1">
        <v>0.69741022586822499</v>
      </c>
      <c r="P4" s="1">
        <v>1.0900000000000001E-4</v>
      </c>
      <c r="Q4" s="1">
        <v>-9.2649999999999996E-2</v>
      </c>
      <c r="R4" s="1">
        <v>-3.5999999999999998E-6</v>
      </c>
      <c r="S4" s="1">
        <v>-1.6209999999999999E-2</v>
      </c>
      <c r="T4" s="1">
        <v>-4.6999999999999997E-5</v>
      </c>
      <c r="U4" s="1">
        <v>0.71281099999999997</v>
      </c>
      <c r="V4" s="10">
        <f t="shared" ref="V4:V18" si="0">ABS(J4-P4)</f>
        <v>6.5912269876897307E-4</v>
      </c>
      <c r="W4" s="10">
        <f t="shared" ref="W4:W18" si="1">ABS(K4-Q4)</f>
        <v>6.57070422172501E-4</v>
      </c>
      <c r="X4" s="10">
        <f t="shared" ref="X4:X18" si="2">ABS(L4-R4)</f>
        <v>8.3873604477047896E-4</v>
      </c>
      <c r="Y4" s="10">
        <f t="shared" ref="Y4:Y18" si="3">ABS(M4-S4)</f>
        <v>4.2382450467347982E-3</v>
      </c>
      <c r="Z4" s="10">
        <f t="shared" ref="Z4:Z18" si="4">ABS(N4-T4)</f>
        <v>7.1317868919372604E-3</v>
      </c>
      <c r="AA4" s="10">
        <f t="shared" ref="AA4:AA18" si="5">ABS(O4-U4)</f>
        <v>1.5400774131774986E-2</v>
      </c>
    </row>
    <row r="5" spans="1:36" x14ac:dyDescent="0.4">
      <c r="A5" s="1">
        <v>0.42</v>
      </c>
      <c r="B5" s="1">
        <v>0.1</v>
      </c>
      <c r="C5" s="1">
        <v>1.571</v>
      </c>
      <c r="D5" s="1">
        <v>-3.1419999999999999</v>
      </c>
      <c r="E5" s="1">
        <v>0.45500000000000002</v>
      </c>
      <c r="F5" s="1">
        <v>0.61899999999999999</v>
      </c>
      <c r="G5" s="1">
        <v>0.95</v>
      </c>
      <c r="H5" s="1">
        <f t="shared" ref="H5:H18" si="6">DEGREES(ATAN2(COS($C5) * SIN($D5), -SIN($C5)))+90</f>
        <v>-4.7535757374816967E-6</v>
      </c>
      <c r="I5" s="1">
        <f t="shared" ref="I5:I18" si="7">DEGREES(ACOS(COS($C5) * COS($D5)))</f>
        <v>89.988330385915845</v>
      </c>
      <c r="J5" s="1">
        <v>1.51168322190642E-4</v>
      </c>
      <c r="K5" s="1">
        <v>-6.4147308468818706E-2</v>
      </c>
      <c r="L5" s="1">
        <v>3.7789688212797002E-4</v>
      </c>
      <c r="M5" s="1">
        <v>-1.6753859817981699E-2</v>
      </c>
      <c r="N5" s="1">
        <v>1.62634998559952E-4</v>
      </c>
      <c r="O5" s="1">
        <v>0.32800155878067</v>
      </c>
      <c r="P5" s="1">
        <v>-9.8999999999999994E-5</v>
      </c>
      <c r="Q5" s="1">
        <v>-7.9680000000000001E-2</v>
      </c>
      <c r="R5" s="1">
        <v>1.3799999999999999E-6</v>
      </c>
      <c r="S5" s="1">
        <v>-2.886E-2</v>
      </c>
      <c r="T5" s="1">
        <v>4.3300000000000002E-5</v>
      </c>
      <c r="U5" s="1">
        <v>0.41900700000000002</v>
      </c>
      <c r="V5" s="10">
        <f t="shared" si="0"/>
        <v>2.50168322190642E-4</v>
      </c>
      <c r="W5" s="10">
        <f t="shared" si="1"/>
        <v>1.5532691531181295E-2</v>
      </c>
      <c r="X5" s="10">
        <f t="shared" si="2"/>
        <v>3.7651688212797003E-4</v>
      </c>
      <c r="Y5" s="10">
        <f t="shared" si="3"/>
        <v>1.2106140182018301E-2</v>
      </c>
      <c r="Z5" s="10">
        <f t="shared" si="4"/>
        <v>1.19334998559952E-4</v>
      </c>
      <c r="AA5" s="10">
        <f t="shared" si="5"/>
        <v>9.1005441219330019E-2</v>
      </c>
    </row>
    <row r="6" spans="1:36" x14ac:dyDescent="0.4">
      <c r="A6" s="1">
        <v>0.85199999999999998</v>
      </c>
      <c r="B6" s="1">
        <v>0.06</v>
      </c>
      <c r="C6" s="1">
        <v>0.78500000000000003</v>
      </c>
      <c r="D6" s="1">
        <v>-3.1419999999999999</v>
      </c>
      <c r="E6" s="1">
        <v>0.308</v>
      </c>
      <c r="F6" s="1">
        <v>0.69399999999999995</v>
      </c>
      <c r="G6" s="1">
        <v>1.2999999999999999E-2</v>
      </c>
      <c r="H6" s="1">
        <f t="shared" si="6"/>
        <v>2.3357821223058295E-2</v>
      </c>
      <c r="I6" s="1">
        <f t="shared" si="7"/>
        <v>135.02280832486795</v>
      </c>
      <c r="J6" s="1">
        <v>6.2456959858536699E-4</v>
      </c>
      <c r="K6" s="1">
        <v>-8.14679190516472E-2</v>
      </c>
      <c r="L6" s="1">
        <v>-9.6467416733503298E-4</v>
      </c>
      <c r="M6" s="1">
        <v>-0.55178427696228005</v>
      </c>
      <c r="N6" s="1">
        <v>-2.5920420885086099E-3</v>
      </c>
      <c r="O6" s="1">
        <v>0.49018782377242998</v>
      </c>
      <c r="P6" s="1">
        <v>-1E-4</v>
      </c>
      <c r="Q6" s="1">
        <v>-8.7120000000000003E-2</v>
      </c>
      <c r="R6" s="1">
        <v>5.1099999999999995E-4</v>
      </c>
      <c r="S6" s="1">
        <v>-0.62927</v>
      </c>
      <c r="T6" s="1">
        <v>4.0569999999999998E-3</v>
      </c>
      <c r="U6" s="1">
        <v>0.57435899999999995</v>
      </c>
      <c r="V6" s="10">
        <f t="shared" si="0"/>
        <v>7.2456959858536703E-4</v>
      </c>
      <c r="W6" s="10">
        <f t="shared" si="1"/>
        <v>5.6520809483528028E-3</v>
      </c>
      <c r="X6" s="10">
        <f t="shared" si="2"/>
        <v>1.4756741673350329E-3</v>
      </c>
      <c r="Y6" s="10">
        <f t="shared" si="3"/>
        <v>7.7485723037719945E-2</v>
      </c>
      <c r="Z6" s="10">
        <f t="shared" si="4"/>
        <v>6.6490420885086093E-3</v>
      </c>
      <c r="AA6" s="10">
        <f t="shared" si="5"/>
        <v>8.4171176227569977E-2</v>
      </c>
    </row>
    <row r="7" spans="1:36" x14ac:dyDescent="0.4">
      <c r="A7" s="1">
        <v>0.61099999999999999</v>
      </c>
      <c r="B7" s="1">
        <v>0.1</v>
      </c>
      <c r="C7" s="1">
        <v>0.78500000000000003</v>
      </c>
      <c r="D7" s="1">
        <v>-3.1419999999999999</v>
      </c>
      <c r="E7" s="1">
        <v>1.008</v>
      </c>
      <c r="F7" s="1">
        <v>4.5999999999999999E-2</v>
      </c>
      <c r="G7" s="1">
        <v>1.286</v>
      </c>
      <c r="H7" s="1">
        <f t="shared" si="6"/>
        <v>2.3357821223058295E-2</v>
      </c>
      <c r="I7" s="1">
        <f t="shared" si="7"/>
        <v>135.02280832486795</v>
      </c>
      <c r="J7" s="1">
        <v>1.44871312659234E-3</v>
      </c>
      <c r="K7" s="1">
        <v>-9.2176184058189406E-2</v>
      </c>
      <c r="L7" s="1">
        <v>-7.6768390135839603E-4</v>
      </c>
      <c r="M7" s="1">
        <v>-0.53396070003509499</v>
      </c>
      <c r="N7" s="1">
        <v>-9.1972947120666504E-3</v>
      </c>
      <c r="O7" s="1">
        <v>0.43053609132766701</v>
      </c>
      <c r="P7" s="1">
        <v>5.9000000000000003E-4</v>
      </c>
      <c r="Q7" s="1">
        <v>-7.9000000000000001E-2</v>
      </c>
      <c r="R7" s="1">
        <v>-2.0799999999999998E-3</v>
      </c>
      <c r="S7" s="1">
        <v>-0.45588000000000001</v>
      </c>
      <c r="T7" s="1">
        <v>-1.3950000000000001E-2</v>
      </c>
      <c r="U7" s="1">
        <v>0.406559</v>
      </c>
      <c r="V7" s="10">
        <f t="shared" si="0"/>
        <v>8.5871312659234001E-4</v>
      </c>
      <c r="W7" s="10">
        <f t="shared" si="1"/>
        <v>1.3176184058189405E-2</v>
      </c>
      <c r="X7" s="10">
        <f t="shared" si="2"/>
        <v>1.3123160986416038E-3</v>
      </c>
      <c r="Y7" s="10">
        <f t="shared" si="3"/>
        <v>7.8080700035094985E-2</v>
      </c>
      <c r="Z7" s="10">
        <f t="shared" si="4"/>
        <v>4.7527052879333502E-3</v>
      </c>
      <c r="AA7" s="10">
        <f t="shared" si="5"/>
        <v>2.3977091327667011E-2</v>
      </c>
    </row>
    <row r="8" spans="1:36" x14ac:dyDescent="0.4">
      <c r="A8" s="1">
        <v>0.65800000000000003</v>
      </c>
      <c r="B8" s="1">
        <v>0.04</v>
      </c>
      <c r="C8" s="1">
        <v>-0.78500000000000003</v>
      </c>
      <c r="D8" s="1">
        <v>0</v>
      </c>
      <c r="E8" s="1">
        <v>0.39700000000000002</v>
      </c>
      <c r="F8" s="1">
        <v>0.309</v>
      </c>
      <c r="G8" s="1">
        <v>6.5000000000000002E-2</v>
      </c>
      <c r="H8" s="1">
        <f t="shared" si="6"/>
        <v>180</v>
      </c>
      <c r="I8" s="1">
        <f t="shared" si="7"/>
        <v>44.977186917769622</v>
      </c>
      <c r="J8" s="1">
        <v>1.33992568589747E-3</v>
      </c>
      <c r="K8" s="1">
        <v>6.0653578490018803E-2</v>
      </c>
      <c r="L8" s="1">
        <v>1.84963247738779E-3</v>
      </c>
      <c r="M8" s="1">
        <v>0.39459440112114003</v>
      </c>
      <c r="N8" s="1">
        <v>4.6048462390899702E-3</v>
      </c>
      <c r="O8" s="1">
        <v>-0.48639550805091902</v>
      </c>
      <c r="P8" s="1">
        <v>-7.7000000000000008E-6</v>
      </c>
      <c r="Q8" s="1">
        <v>6.0845000000000003E-2</v>
      </c>
      <c r="R8" s="1">
        <v>4.5599999999999997E-5</v>
      </c>
      <c r="S8" s="1">
        <v>0.46150200000000002</v>
      </c>
      <c r="T8" s="1">
        <v>4.0000000000000002E-4</v>
      </c>
      <c r="U8" s="1">
        <v>-0.46901999999999999</v>
      </c>
      <c r="V8" s="10">
        <f t="shared" si="0"/>
        <v>1.34762568589747E-3</v>
      </c>
      <c r="W8" s="10">
        <f t="shared" si="1"/>
        <v>1.9142150998120028E-4</v>
      </c>
      <c r="X8" s="10">
        <f t="shared" si="2"/>
        <v>1.80403247738779E-3</v>
      </c>
      <c r="Y8" s="10">
        <f t="shared" si="3"/>
        <v>6.6907598878859997E-2</v>
      </c>
      <c r="Z8" s="10">
        <f t="shared" si="4"/>
        <v>4.20484623908997E-3</v>
      </c>
      <c r="AA8" s="10">
        <f t="shared" si="5"/>
        <v>1.7375508050919031E-2</v>
      </c>
    </row>
    <row r="9" spans="1:36" x14ac:dyDescent="0.4">
      <c r="A9" s="1">
        <v>0.36299999999999999</v>
      </c>
      <c r="B9" s="1">
        <v>0.18</v>
      </c>
      <c r="C9" s="1">
        <v>-0.78500000000000003</v>
      </c>
      <c r="D9" s="1">
        <v>0</v>
      </c>
      <c r="E9" s="1">
        <v>0.75600000000000001</v>
      </c>
      <c r="F9" s="1">
        <v>1.339</v>
      </c>
      <c r="G9" s="1">
        <v>0.39400000000000002</v>
      </c>
      <c r="H9" s="1">
        <f t="shared" si="6"/>
        <v>180</v>
      </c>
      <c r="I9" s="1">
        <f t="shared" si="7"/>
        <v>44.977186917769622</v>
      </c>
      <c r="J9" s="1">
        <v>9.1653369599953305E-4</v>
      </c>
      <c r="K9" s="1">
        <v>4.3244335800409303E-2</v>
      </c>
      <c r="L9" s="1">
        <v>3.8156479131430401E-3</v>
      </c>
      <c r="M9" s="1">
        <v>0.19862668216228499</v>
      </c>
      <c r="N9" s="1">
        <v>9.9807931110262905E-3</v>
      </c>
      <c r="O9" s="1">
        <v>-0.167230039834976</v>
      </c>
      <c r="P9" s="1">
        <v>1.1299999999999999E-3</v>
      </c>
      <c r="Q9" s="1">
        <v>7.5068999999999997E-2</v>
      </c>
      <c r="R9" s="1">
        <v>-4.5799999999999999E-3</v>
      </c>
      <c r="S9" s="1">
        <v>0.209427</v>
      </c>
      <c r="T9" s="1">
        <v>-2.112E-2</v>
      </c>
      <c r="U9" s="1">
        <v>-0.29570000000000002</v>
      </c>
      <c r="V9" s="10">
        <f t="shared" si="0"/>
        <v>2.1346630400046688E-4</v>
      </c>
      <c r="W9" s="10">
        <f t="shared" si="1"/>
        <v>3.1824664199590694E-2</v>
      </c>
      <c r="X9" s="10">
        <f t="shared" si="2"/>
        <v>8.3956479131430395E-3</v>
      </c>
      <c r="Y9" s="10">
        <f t="shared" si="3"/>
        <v>1.0800317837715012E-2</v>
      </c>
      <c r="Z9" s="10">
        <f t="shared" si="4"/>
        <v>3.110079311102629E-2</v>
      </c>
      <c r="AA9" s="10">
        <f t="shared" si="5"/>
        <v>0.12846996016502402</v>
      </c>
    </row>
    <row r="10" spans="1:36" x14ac:dyDescent="0.4">
      <c r="A10" s="1">
        <v>0.216</v>
      </c>
      <c r="B10" s="1">
        <v>0.04</v>
      </c>
      <c r="C10" s="1">
        <v>-1.0469999999999999</v>
      </c>
      <c r="D10" s="1">
        <v>0</v>
      </c>
      <c r="E10" s="1">
        <v>1.1060000000000001</v>
      </c>
      <c r="F10" s="1">
        <v>0.21299999999999999</v>
      </c>
      <c r="G10" s="1">
        <v>0.41899999999999998</v>
      </c>
      <c r="H10" s="1">
        <f t="shared" si="6"/>
        <v>180</v>
      </c>
      <c r="I10" s="1">
        <f t="shared" si="7"/>
        <v>59.988681150197188</v>
      </c>
      <c r="J10" s="1">
        <v>4.51221945695579E-4</v>
      </c>
      <c r="K10" s="1">
        <v>2.2093700245022801E-2</v>
      </c>
      <c r="L10" s="1">
        <v>4.1068563587032302E-4</v>
      </c>
      <c r="M10" s="1">
        <v>0.101665928959846</v>
      </c>
      <c r="N10" s="1">
        <v>-2.31991522014141E-3</v>
      </c>
      <c r="O10" s="1">
        <v>-0.17379917204379999</v>
      </c>
      <c r="P10" s="1">
        <v>-3.1000000000000001E-5</v>
      </c>
      <c r="Q10" s="1">
        <v>2.4329E-2</v>
      </c>
      <c r="R10" s="1">
        <v>1.07E-4</v>
      </c>
      <c r="S10" s="1">
        <v>0.107658</v>
      </c>
      <c r="T10" s="1">
        <v>9.41E-4</v>
      </c>
      <c r="U10" s="1">
        <v>-0.18726000000000001</v>
      </c>
      <c r="V10" s="10">
        <f t="shared" si="0"/>
        <v>4.8222194569557899E-4</v>
      </c>
      <c r="W10" s="10">
        <f t="shared" si="1"/>
        <v>2.2352997549771984E-3</v>
      </c>
      <c r="X10" s="10">
        <f t="shared" si="2"/>
        <v>3.0368563587032302E-4</v>
      </c>
      <c r="Y10" s="10">
        <f t="shared" si="3"/>
        <v>5.9920710401540067E-3</v>
      </c>
      <c r="Z10" s="10">
        <f t="shared" si="4"/>
        <v>3.26091522014141E-3</v>
      </c>
      <c r="AA10" s="10">
        <f t="shared" si="5"/>
        <v>1.3460827956200017E-2</v>
      </c>
    </row>
    <row r="11" spans="1:36" x14ac:dyDescent="0.4">
      <c r="A11" s="1">
        <v>0.16600000000000001</v>
      </c>
      <c r="B11" s="1">
        <v>0.1</v>
      </c>
      <c r="C11" s="1">
        <v>-1.0469999999999999</v>
      </c>
      <c r="D11" s="1">
        <v>0</v>
      </c>
      <c r="E11" s="1">
        <v>0.96199999999999997</v>
      </c>
      <c r="F11" s="1">
        <v>0.95899999999999996</v>
      </c>
      <c r="G11" s="1">
        <v>0.77900000000000003</v>
      </c>
      <c r="H11" s="1">
        <f t="shared" si="6"/>
        <v>180</v>
      </c>
      <c r="I11" s="1">
        <f t="shared" si="7"/>
        <v>59.988681150197188</v>
      </c>
      <c r="J11" s="1">
        <v>3.32413648720831E-4</v>
      </c>
      <c r="K11" s="1">
        <v>2.2209085524082201E-2</v>
      </c>
      <c r="L11" s="1">
        <v>2.3622061416972399E-4</v>
      </c>
      <c r="M11" s="1">
        <v>7.42084756493568E-2</v>
      </c>
      <c r="N11" s="1">
        <v>-2.9545556753873799E-3</v>
      </c>
      <c r="O11" s="1">
        <v>-0.114348046481609</v>
      </c>
      <c r="P11" s="1">
        <v>-6.1999999999999999E-7</v>
      </c>
      <c r="Q11" s="1">
        <v>2.7531E-2</v>
      </c>
      <c r="R11" s="1">
        <v>1.31E-6</v>
      </c>
      <c r="S11" s="1">
        <v>7.9839999999999994E-2</v>
      </c>
      <c r="T11" s="1">
        <v>8.6600000000000001E-6</v>
      </c>
      <c r="U11" s="1">
        <v>-0.14554</v>
      </c>
      <c r="V11" s="10">
        <f t="shared" si="0"/>
        <v>3.3303364872083101E-4</v>
      </c>
      <c r="W11" s="10">
        <f t="shared" si="1"/>
        <v>5.3219144759177987E-3</v>
      </c>
      <c r="X11" s="10">
        <f t="shared" si="2"/>
        <v>2.3491061416972399E-4</v>
      </c>
      <c r="Y11" s="10">
        <f t="shared" si="3"/>
        <v>5.6315243506431939E-3</v>
      </c>
      <c r="Z11" s="10">
        <f t="shared" si="4"/>
        <v>2.9632156753873801E-3</v>
      </c>
      <c r="AA11" s="10">
        <f t="shared" si="5"/>
        <v>3.1191953518391005E-2</v>
      </c>
    </row>
    <row r="12" spans="1:36" x14ac:dyDescent="0.4">
      <c r="A12" s="1">
        <v>0.184</v>
      </c>
      <c r="B12" s="1">
        <v>0.12</v>
      </c>
      <c r="C12" s="1">
        <v>-1.0469999999999999</v>
      </c>
      <c r="D12" s="1">
        <v>0</v>
      </c>
      <c r="E12" s="1">
        <v>0.27600000000000002</v>
      </c>
      <c r="F12" s="1">
        <v>0.89400000000000002</v>
      </c>
      <c r="G12" s="1">
        <v>0.747</v>
      </c>
      <c r="H12" s="1">
        <f t="shared" si="6"/>
        <v>180</v>
      </c>
      <c r="I12" s="1">
        <f t="shared" si="7"/>
        <v>59.988681150197188</v>
      </c>
      <c r="J12" s="1">
        <v>4.1037553455680598E-4</v>
      </c>
      <c r="K12" s="1">
        <v>1.80904343724251E-2</v>
      </c>
      <c r="L12" s="1">
        <v>3.2764772186055801E-4</v>
      </c>
      <c r="M12" s="1">
        <v>5.53087517619133E-2</v>
      </c>
      <c r="N12" s="1">
        <v>-1.7109047621488601E-4</v>
      </c>
      <c r="O12" s="1">
        <v>-8.7187305092811598E-2</v>
      </c>
      <c r="P12" s="1">
        <v>2.2499999999999999E-4</v>
      </c>
      <c r="Q12" s="1">
        <v>3.4216999999999997E-2</v>
      </c>
      <c r="R12" s="1">
        <v>-4.4999999999999999E-4</v>
      </c>
      <c r="S12" s="1">
        <v>8.2173999999999997E-2</v>
      </c>
      <c r="T12" s="1">
        <v>-2.7000000000000001E-3</v>
      </c>
      <c r="U12" s="1">
        <v>-0.16461000000000001</v>
      </c>
      <c r="V12" s="10">
        <f t="shared" si="0"/>
        <v>1.8537553455680599E-4</v>
      </c>
      <c r="W12" s="10">
        <f t="shared" si="1"/>
        <v>1.6126565627574897E-2</v>
      </c>
      <c r="X12" s="10">
        <f t="shared" si="2"/>
        <v>7.77647721860558E-4</v>
      </c>
      <c r="Y12" s="10">
        <f t="shared" si="3"/>
        <v>2.6865248238086697E-2</v>
      </c>
      <c r="Z12" s="10">
        <f t="shared" si="4"/>
        <v>2.528909523785114E-3</v>
      </c>
      <c r="AA12" s="10">
        <f t="shared" si="5"/>
        <v>7.7422694907188408E-2</v>
      </c>
    </row>
    <row r="13" spans="1:36" x14ac:dyDescent="0.4">
      <c r="A13" s="1">
        <v>0.96099999999999997</v>
      </c>
      <c r="B13" s="1">
        <v>0.14000000000000001</v>
      </c>
      <c r="C13" s="1">
        <v>-1.0469999999999999</v>
      </c>
      <c r="D13" s="1">
        <v>0</v>
      </c>
      <c r="E13" s="1">
        <v>0.61</v>
      </c>
      <c r="F13" s="1">
        <v>0.64800000000000002</v>
      </c>
      <c r="G13" s="1">
        <v>1.244</v>
      </c>
      <c r="H13" s="1">
        <f t="shared" si="6"/>
        <v>180</v>
      </c>
      <c r="I13" s="1">
        <f t="shared" si="7"/>
        <v>59.988681150197188</v>
      </c>
      <c r="J13" s="1">
        <v>1.6050215344876101E-3</v>
      </c>
      <c r="K13" s="1">
        <v>0.20343686640262601</v>
      </c>
      <c r="L13" s="1">
        <v>-9.4352685846388297E-4</v>
      </c>
      <c r="M13" s="1">
        <v>0.16312500834464999</v>
      </c>
      <c r="N13" s="1">
        <v>-1.1226713657379201E-2</v>
      </c>
      <c r="O13" s="1">
        <v>-0.93589824438095104</v>
      </c>
      <c r="P13" s="1">
        <v>1.12E-4</v>
      </c>
      <c r="Q13" s="1">
        <v>0.21312900000000001</v>
      </c>
      <c r="R13" s="1">
        <v>-2.1000000000000001E-4</v>
      </c>
      <c r="S13" s="1">
        <v>4.9297000000000001E-2</v>
      </c>
      <c r="T13" s="1">
        <v>-9.7000000000000005E-4</v>
      </c>
      <c r="U13" s="1">
        <v>-0.95955999999999997</v>
      </c>
      <c r="V13" s="10">
        <f t="shared" si="0"/>
        <v>1.4930215344876102E-3</v>
      </c>
      <c r="W13" s="10">
        <f t="shared" si="1"/>
        <v>9.692133597374003E-3</v>
      </c>
      <c r="X13" s="10">
        <f t="shared" si="2"/>
        <v>7.3352685846388296E-4</v>
      </c>
      <c r="Y13" s="10">
        <f t="shared" si="3"/>
        <v>0.11382800834464998</v>
      </c>
      <c r="Z13" s="10">
        <f t="shared" si="4"/>
        <v>1.02567136573792E-2</v>
      </c>
      <c r="AA13" s="10">
        <f t="shared" si="5"/>
        <v>2.366175561904893E-2</v>
      </c>
    </row>
    <row r="14" spans="1:36" x14ac:dyDescent="0.4">
      <c r="A14" s="1">
        <v>0.51</v>
      </c>
      <c r="B14" s="1">
        <v>0.06</v>
      </c>
      <c r="C14" s="1">
        <v>-1.571</v>
      </c>
      <c r="D14" s="1">
        <v>-3.1419999999999999</v>
      </c>
      <c r="E14" s="1">
        <v>0.77</v>
      </c>
      <c r="F14" s="1">
        <v>0.72299999999999998</v>
      </c>
      <c r="G14" s="1">
        <v>0.80800000000000005</v>
      </c>
      <c r="H14" s="1">
        <f t="shared" si="6"/>
        <v>180.00000475357575</v>
      </c>
      <c r="I14" s="1">
        <f t="shared" si="7"/>
        <v>89.988330385915845</v>
      </c>
      <c r="J14" s="1">
        <v>1.13705324474722E-3</v>
      </c>
      <c r="K14" s="1">
        <v>6.9547608494758606E-2</v>
      </c>
      <c r="L14" s="1">
        <v>-1.9496295135468201E-4</v>
      </c>
      <c r="M14" s="1">
        <v>5.8881053701043103E-3</v>
      </c>
      <c r="N14" s="1">
        <v>-4.1733607649803196E-3</v>
      </c>
      <c r="O14" s="1">
        <v>-0.45174664258956898</v>
      </c>
      <c r="P14" s="1">
        <v>-1.1E-5</v>
      </c>
      <c r="Q14" s="1">
        <v>7.646E-2</v>
      </c>
      <c r="R14" s="1">
        <v>-2.6E-7</v>
      </c>
      <c r="S14" s="1">
        <v>-1.6199999999999999E-2</v>
      </c>
      <c r="T14" s="1">
        <v>-3.9999999999999998E-6</v>
      </c>
      <c r="U14" s="1">
        <v>-0.50973999999999997</v>
      </c>
      <c r="V14" s="10">
        <f t="shared" si="0"/>
        <v>1.1480532447472199E-3</v>
      </c>
      <c r="W14" s="10">
        <f t="shared" si="1"/>
        <v>6.9123915052413942E-3</v>
      </c>
      <c r="X14" s="10">
        <f t="shared" si="2"/>
        <v>1.9470295135468201E-4</v>
      </c>
      <c r="Y14" s="10">
        <f t="shared" si="3"/>
        <v>2.2088105370104309E-2</v>
      </c>
      <c r="Z14" s="10">
        <f t="shared" si="4"/>
        <v>4.16936076498032E-3</v>
      </c>
      <c r="AA14" s="10">
        <f t="shared" si="5"/>
        <v>5.799335741043099E-2</v>
      </c>
    </row>
    <row r="15" spans="1:36" x14ac:dyDescent="0.4">
      <c r="A15" s="1">
        <v>0.309</v>
      </c>
      <c r="B15" s="1">
        <v>0.12</v>
      </c>
      <c r="C15" s="1">
        <v>-1.571</v>
      </c>
      <c r="D15" s="1">
        <v>0</v>
      </c>
      <c r="E15" s="1">
        <v>7.4999999999999997E-2</v>
      </c>
      <c r="F15" s="1">
        <v>0.871</v>
      </c>
      <c r="G15" s="1">
        <v>0.308</v>
      </c>
      <c r="H15" s="1">
        <f t="shared" si="6"/>
        <v>180</v>
      </c>
      <c r="I15" s="1">
        <f t="shared" si="7"/>
        <v>90.011669615052327</v>
      </c>
      <c r="J15" s="1">
        <v>1.1122038122266501E-3</v>
      </c>
      <c r="K15" s="1">
        <v>4.4223316013812998E-2</v>
      </c>
      <c r="L15" s="1">
        <v>3.0775432242080602E-4</v>
      </c>
      <c r="M15" s="1">
        <v>-7.6349931769073001E-3</v>
      </c>
      <c r="N15" s="1">
        <v>1.9808746874332402E-3</v>
      </c>
      <c r="O15" s="1">
        <v>-0.20005062222480799</v>
      </c>
      <c r="P15" s="14">
        <v>5.5800000000000001E-4</v>
      </c>
      <c r="Q15" s="14">
        <v>6.4725000000000005E-2</v>
      </c>
      <c r="R15" s="14">
        <v>1.26E-5</v>
      </c>
      <c r="S15" s="14">
        <v>-2.776E-2</v>
      </c>
      <c r="T15" s="14">
        <v>2.99E-4</v>
      </c>
      <c r="U15" s="14">
        <v>-0.30775000000000002</v>
      </c>
      <c r="V15" s="10">
        <f t="shared" si="0"/>
        <v>5.5420381222665005E-4</v>
      </c>
      <c r="W15" s="10">
        <f t="shared" si="1"/>
        <v>2.0501683986187007E-2</v>
      </c>
      <c r="X15" s="10">
        <f t="shared" si="2"/>
        <v>2.9515432242080604E-4</v>
      </c>
      <c r="Y15" s="10">
        <f t="shared" si="3"/>
        <v>2.0125006823092699E-2</v>
      </c>
      <c r="Z15" s="10">
        <f t="shared" si="4"/>
        <v>1.6818746874332402E-3</v>
      </c>
      <c r="AA15" s="10">
        <f t="shared" si="5"/>
        <v>0.10769937777519203</v>
      </c>
    </row>
    <row r="16" spans="1:36" x14ac:dyDescent="0.4">
      <c r="A16" s="1">
        <v>0.89700000000000002</v>
      </c>
      <c r="B16" s="1">
        <v>0.2</v>
      </c>
      <c r="C16" s="1">
        <v>-1.571</v>
      </c>
      <c r="D16" s="1">
        <v>-3.1419999999999999</v>
      </c>
      <c r="E16" s="1">
        <v>1.266</v>
      </c>
      <c r="F16" s="1">
        <v>0.65300000000000002</v>
      </c>
      <c r="G16" s="1">
        <v>0.55800000000000005</v>
      </c>
      <c r="H16" s="1">
        <f t="shared" si="6"/>
        <v>180.00000475357575</v>
      </c>
      <c r="I16" s="1">
        <f t="shared" si="7"/>
        <v>89.988330385915845</v>
      </c>
      <c r="J16" s="1">
        <v>-4.1023571975529203E-3</v>
      </c>
      <c r="K16" s="1">
        <v>0.17719669640064201</v>
      </c>
      <c r="L16" s="1">
        <v>-6.9909039884805697E-3</v>
      </c>
      <c r="M16" s="1">
        <v>-0.30781817436218301</v>
      </c>
      <c r="N16" s="1">
        <v>-3.4374743700027501E-2</v>
      </c>
      <c r="O16" s="1">
        <v>-0.54552924633026101</v>
      </c>
      <c r="P16" s="1">
        <v>-4.6299999999999996E-3</v>
      </c>
      <c r="Q16" s="1">
        <v>0.18691099999999999</v>
      </c>
      <c r="R16" s="1">
        <v>-1.5100000000000001E-3</v>
      </c>
      <c r="S16" s="1">
        <v>-0.75729999999999997</v>
      </c>
      <c r="T16" s="1">
        <v>-2.264E-2</v>
      </c>
      <c r="U16" s="1">
        <v>-0.48016999999999999</v>
      </c>
      <c r="V16" s="10">
        <f t="shared" si="0"/>
        <v>5.2764280244707931E-4</v>
      </c>
      <c r="W16" s="10">
        <f t="shared" si="1"/>
        <v>9.7143035993579874E-3</v>
      </c>
      <c r="X16" s="10">
        <f t="shared" si="2"/>
        <v>5.4809039884805696E-3</v>
      </c>
      <c r="Y16" s="10">
        <f t="shared" si="3"/>
        <v>0.44948182563781697</v>
      </c>
      <c r="Z16" s="10">
        <f t="shared" si="4"/>
        <v>1.17347437000275E-2</v>
      </c>
      <c r="AA16" s="10">
        <f t="shared" si="5"/>
        <v>6.5359246330261023E-2</v>
      </c>
    </row>
    <row r="17" spans="1:35" x14ac:dyDescent="0.4">
      <c r="A17" s="1">
        <v>0.20399999999999999</v>
      </c>
      <c r="B17" s="1">
        <v>0.2</v>
      </c>
      <c r="C17" s="1">
        <v>-1.571</v>
      </c>
      <c r="D17" s="1">
        <v>0</v>
      </c>
      <c r="E17" s="1">
        <v>0.78500000000000003</v>
      </c>
      <c r="F17" s="1">
        <v>1.3149999999999999</v>
      </c>
      <c r="G17" s="1">
        <v>0.40100000000000002</v>
      </c>
      <c r="H17" s="1">
        <f t="shared" si="6"/>
        <v>180</v>
      </c>
      <c r="I17" s="1">
        <f t="shared" si="7"/>
        <v>90.011669615052327</v>
      </c>
      <c r="J17" s="1">
        <v>7.0603069616481705E-4</v>
      </c>
      <c r="K17" s="1">
        <v>4.2444258928298999E-2</v>
      </c>
      <c r="L17" s="1">
        <v>2.9280404560267899E-3</v>
      </c>
      <c r="M17" s="1">
        <v>2.2136436309665398E-3</v>
      </c>
      <c r="N17" s="1">
        <v>5.8320853859186199E-3</v>
      </c>
      <c r="O17" s="1">
        <v>-0.14324781298637401</v>
      </c>
      <c r="P17" s="1">
        <v>9.5699999999999995E-4</v>
      </c>
      <c r="Q17" s="1">
        <v>5.7190999999999999E-2</v>
      </c>
      <c r="R17" s="1">
        <v>-8.7999999999999998E-5</v>
      </c>
      <c r="S17" s="1">
        <v>-2.87E-2</v>
      </c>
      <c r="T17" s="1">
        <v>1.6799999999999999E-4</v>
      </c>
      <c r="U17" s="1">
        <v>-0.20196</v>
      </c>
      <c r="V17" s="10">
        <f t="shared" si="0"/>
        <v>2.509693038351829E-4</v>
      </c>
      <c r="W17" s="10">
        <f t="shared" si="1"/>
        <v>1.4746741071701E-2</v>
      </c>
      <c r="X17" s="10">
        <f t="shared" si="2"/>
        <v>3.0160404560267899E-3</v>
      </c>
      <c r="Y17" s="10">
        <f t="shared" si="3"/>
        <v>3.091364363096654E-2</v>
      </c>
      <c r="Z17" s="10">
        <f t="shared" si="4"/>
        <v>5.6640853859186201E-3</v>
      </c>
      <c r="AA17" s="10">
        <f t="shared" si="5"/>
        <v>5.8712187013625988E-2</v>
      </c>
    </row>
    <row r="18" spans="1:35" x14ac:dyDescent="0.4">
      <c r="A18" s="1">
        <v>0.42899999999999999</v>
      </c>
      <c r="B18" s="1">
        <v>0.18</v>
      </c>
      <c r="C18" s="1">
        <v>-1.0469999999999999</v>
      </c>
      <c r="D18" s="1">
        <v>-3.1419999999999999</v>
      </c>
      <c r="E18" s="1">
        <v>1.105</v>
      </c>
      <c r="F18" s="1">
        <v>1.337</v>
      </c>
      <c r="G18" s="1">
        <v>0.40699999999999997</v>
      </c>
      <c r="H18" s="1">
        <f t="shared" si="6"/>
        <v>179.98651894154622</v>
      </c>
      <c r="I18" s="1">
        <f t="shared" si="7"/>
        <v>120.01131610407238</v>
      </c>
      <c r="J18" s="1">
        <v>8.6086941882967895E-4</v>
      </c>
      <c r="K18" s="1">
        <v>6.4414083957672105E-2</v>
      </c>
      <c r="L18" s="1">
        <v>1.1422571260482101E-3</v>
      </c>
      <c r="M18" s="1">
        <v>-0.119277931749821</v>
      </c>
      <c r="N18" s="1">
        <v>-8.5563957691192605E-4</v>
      </c>
      <c r="O18" s="1">
        <v>-0.21797420084476499</v>
      </c>
      <c r="P18" s="1">
        <v>5.8500000000000002E-4</v>
      </c>
      <c r="Q18" s="1">
        <v>8.9930999999999997E-2</v>
      </c>
      <c r="R18" s="1">
        <v>1.2459999999999999E-3</v>
      </c>
      <c r="S18" s="1">
        <v>-0.30026000000000003</v>
      </c>
      <c r="T18" s="1">
        <v>6.1609999999999998E-3</v>
      </c>
      <c r="U18" s="1">
        <v>-0.30629000000000001</v>
      </c>
      <c r="V18" s="10">
        <f t="shared" si="0"/>
        <v>2.7586941882967893E-4</v>
      </c>
      <c r="W18" s="10">
        <f t="shared" si="1"/>
        <v>2.5516916042327892E-2</v>
      </c>
      <c r="X18" s="10">
        <f t="shared" si="2"/>
        <v>1.0374287395178983E-4</v>
      </c>
      <c r="Y18" s="10">
        <f t="shared" si="3"/>
        <v>0.18098206825017904</v>
      </c>
      <c r="Z18" s="10">
        <f t="shared" si="4"/>
        <v>7.0166395769119261E-3</v>
      </c>
      <c r="AA18" s="10">
        <f t="shared" si="5"/>
        <v>8.831579915523502E-2</v>
      </c>
    </row>
    <row r="19" spans="1:35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0"/>
      <c r="W19" s="10"/>
      <c r="X19" s="10"/>
      <c r="Y19" s="10"/>
      <c r="Z19" s="10"/>
      <c r="AA19" s="10"/>
      <c r="AI19" s="3" t="s">
        <v>12</v>
      </c>
    </row>
    <row r="20" spans="1:35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0"/>
      <c r="W20" s="10"/>
      <c r="X20" s="10"/>
      <c r="Y20" s="10"/>
      <c r="Z20" s="10"/>
      <c r="AA20" s="10"/>
    </row>
    <row r="21" spans="1:35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0"/>
      <c r="W21" s="10"/>
      <c r="X21" s="10"/>
      <c r="Y21" s="10"/>
      <c r="Z21" s="10"/>
      <c r="AA21" s="10"/>
    </row>
    <row r="22" spans="1:35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0"/>
      <c r="W22" s="10"/>
      <c r="X22" s="10"/>
      <c r="Y22" s="10"/>
      <c r="Z22" s="10"/>
      <c r="AA22" s="10"/>
    </row>
    <row r="23" spans="1:35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0"/>
      <c r="W23" s="10"/>
      <c r="X23" s="10"/>
      <c r="Y23" s="10"/>
      <c r="Z23" s="10"/>
      <c r="AA23" s="10"/>
    </row>
    <row r="26" spans="1:35" x14ac:dyDescent="0.4">
      <c r="P26" s="3">
        <v>1.7147952457889899E-3</v>
      </c>
      <c r="Q26" s="3">
        <v>6.6436305642128005E-2</v>
      </c>
      <c r="R26" s="3">
        <v>4.7061666846275304E-3</v>
      </c>
      <c r="S26" s="3">
        <v>-2.7332892641425102E-2</v>
      </c>
      <c r="T26" s="3">
        <v>1.42727103084326E-2</v>
      </c>
      <c r="U26" s="3">
        <v>-0.30307316780090299</v>
      </c>
    </row>
  </sheetData>
  <mergeCells count="6">
    <mergeCell ref="A1:U1"/>
    <mergeCell ref="J2:O2"/>
    <mergeCell ref="P2:U2"/>
    <mergeCell ref="A2:G2"/>
    <mergeCell ref="V2:AA2"/>
    <mergeCell ref="H2:I2"/>
  </mergeCells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93EB2-5DD9-4DA0-BCDE-0457543667A5}">
  <dimension ref="A1:AD29"/>
  <sheetViews>
    <sheetView workbookViewId="0">
      <selection activeCell="J2" sqref="J2:O2"/>
    </sheetView>
  </sheetViews>
  <sheetFormatPr defaultColWidth="9" defaultRowHeight="16" x14ac:dyDescent="0.4"/>
  <cols>
    <col min="1" max="1" width="9" style="3"/>
    <col min="2" max="2" width="14.453125" style="3" bestFit="1" customWidth="1"/>
    <col min="3" max="3" width="12.453125" style="3" bestFit="1" customWidth="1"/>
    <col min="4" max="7" width="9" style="3"/>
    <col min="8" max="8" width="11.26953125" style="3" bestFit="1" customWidth="1"/>
    <col min="9" max="9" width="12.54296875" style="3" bestFit="1" customWidth="1"/>
    <col min="10" max="21" width="9" style="3"/>
    <col min="22" max="22" width="13.7265625" style="3" bestFit="1" customWidth="1"/>
    <col min="23" max="16384" width="9" style="3"/>
  </cols>
  <sheetData>
    <row r="1" spans="1:30" ht="16.5" thickBot="1" x14ac:dyDescent="0.4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</row>
    <row r="2" spans="1:30" x14ac:dyDescent="0.4">
      <c r="A2" s="27" t="s">
        <v>17</v>
      </c>
      <c r="B2" s="27"/>
      <c r="C2" s="27"/>
      <c r="D2" s="27"/>
      <c r="E2" s="27"/>
      <c r="F2" s="27"/>
      <c r="G2" s="28"/>
      <c r="H2" s="32" t="s">
        <v>21</v>
      </c>
      <c r="I2" s="33"/>
      <c r="J2" s="23" t="s">
        <v>6</v>
      </c>
      <c r="K2" s="24"/>
      <c r="L2" s="24"/>
      <c r="M2" s="24"/>
      <c r="N2" s="24"/>
      <c r="O2" s="37"/>
      <c r="P2" s="38" t="s">
        <v>11</v>
      </c>
      <c r="Q2" s="39"/>
      <c r="R2" s="39"/>
      <c r="S2" s="40"/>
      <c r="T2" s="41" t="s">
        <v>22</v>
      </c>
      <c r="U2" s="42"/>
      <c r="V2" s="43"/>
      <c r="W2" s="4"/>
      <c r="X2" s="35" t="s">
        <v>35</v>
      </c>
      <c r="Y2" s="35"/>
      <c r="Z2" s="35"/>
      <c r="AA2" s="36" t="s">
        <v>39</v>
      </c>
      <c r="AB2" s="36"/>
      <c r="AC2" s="36"/>
      <c r="AD2" s="5"/>
    </row>
    <row r="3" spans="1:30" ht="32" x14ac:dyDescent="0.4">
      <c r="A3" s="6" t="s">
        <v>7</v>
      </c>
      <c r="B3" s="6" t="s">
        <v>8</v>
      </c>
      <c r="C3" s="6" t="s">
        <v>9</v>
      </c>
      <c r="D3" s="6" t="s">
        <v>10</v>
      </c>
      <c r="E3" s="6" t="s">
        <v>14</v>
      </c>
      <c r="F3" s="6" t="s">
        <v>15</v>
      </c>
      <c r="G3" s="6" t="s">
        <v>16</v>
      </c>
      <c r="H3" s="6" t="s">
        <v>19</v>
      </c>
      <c r="I3" s="6" t="s">
        <v>20</v>
      </c>
      <c r="J3" s="7" t="s">
        <v>3</v>
      </c>
      <c r="K3" s="6" t="s">
        <v>4</v>
      </c>
      <c r="L3" s="6" t="s">
        <v>5</v>
      </c>
      <c r="M3" s="6" t="s">
        <v>0</v>
      </c>
      <c r="N3" s="6" t="s">
        <v>1</v>
      </c>
      <c r="O3" s="6" t="s">
        <v>2</v>
      </c>
      <c r="P3" s="8" t="s">
        <v>7</v>
      </c>
      <c r="Q3" s="6" t="s">
        <v>8</v>
      </c>
      <c r="R3" s="6" t="s">
        <v>9</v>
      </c>
      <c r="S3" s="6" t="s">
        <v>10</v>
      </c>
      <c r="T3" s="8" t="s">
        <v>7</v>
      </c>
      <c r="U3" s="6" t="s">
        <v>8</v>
      </c>
      <c r="V3" s="12" t="s">
        <v>40</v>
      </c>
      <c r="W3" s="4"/>
      <c r="X3" s="6" t="s">
        <v>36</v>
      </c>
      <c r="Y3" s="6" t="s">
        <v>37</v>
      </c>
      <c r="Z3" s="6" t="s">
        <v>38</v>
      </c>
      <c r="AA3" s="6" t="s">
        <v>36</v>
      </c>
      <c r="AB3" s="6" t="s">
        <v>37</v>
      </c>
      <c r="AC3" s="6" t="s">
        <v>38</v>
      </c>
      <c r="AD3" s="4"/>
    </row>
    <row r="4" spans="1:30" x14ac:dyDescent="0.4">
      <c r="A4" s="1">
        <f>'Proximal Validation (prelim)'!A4</f>
        <v>0.71299999999999997</v>
      </c>
      <c r="B4" s="1">
        <f>'Proximal Validation (prelim)'!B4</f>
        <v>0.04</v>
      </c>
      <c r="C4" s="1">
        <f>'Proximal Validation (prelim)'!C4</f>
        <v>1.571</v>
      </c>
      <c r="D4" s="1">
        <f>'Proximal Validation (prelim)'!D4</f>
        <v>-3.1419999999999999</v>
      </c>
      <c r="E4" s="1">
        <f>'Proximal Validation (prelim)'!E4</f>
        <v>1.19</v>
      </c>
      <c r="F4" s="1">
        <f>'Proximal Validation (prelim)'!F4</f>
        <v>0.377</v>
      </c>
      <c r="G4" s="1">
        <f>'Proximal Validation (prelim)'!G4</f>
        <v>0.33800000000000002</v>
      </c>
      <c r="H4" s="1">
        <f>'Proximal Validation (prelim)'!H4</f>
        <v>-4.7535757374816967E-6</v>
      </c>
      <c r="I4" s="1">
        <f>'Proximal Validation (prelim)'!I4</f>
        <v>89.988330385915845</v>
      </c>
      <c r="J4" s="10">
        <f>'Proximal Validation (prelim)'!J4</f>
        <v>-5.5012269876897303E-4</v>
      </c>
      <c r="K4" s="10">
        <f>'Proximal Validation (prelim)'!K4</f>
        <v>-9.1992929577827495E-2</v>
      </c>
      <c r="L4" s="10">
        <f>'Proximal Validation (prelim)'!L4</f>
        <v>8.3513604477047899E-4</v>
      </c>
      <c r="M4" s="10">
        <f>'Proximal Validation (prelim)'!M4</f>
        <v>-1.1971754953265201E-2</v>
      </c>
      <c r="N4" s="10">
        <f>'Proximal Validation (prelim)'!N4</f>
        <v>7.0847868919372602E-3</v>
      </c>
      <c r="O4" s="10">
        <f>'Proximal Validation (prelim)'!O4</f>
        <v>0.69741022586822499</v>
      </c>
      <c r="P4" s="10">
        <v>0.69714399999999999</v>
      </c>
      <c r="Q4" s="10">
        <v>4.2011E-2</v>
      </c>
      <c r="R4" s="10">
        <v>1.5581579999999999</v>
      </c>
      <c r="S4" s="10">
        <v>0.92186699999999999</v>
      </c>
      <c r="T4" s="10">
        <f t="shared" ref="T4:T18" si="0">P4-A4</f>
        <v>-1.5855999999999981E-2</v>
      </c>
      <c r="U4" s="10">
        <f t="shared" ref="U4:U18" si="1">Q4-B4</f>
        <v>2.0109999999999989E-3</v>
      </c>
      <c r="V4" s="10">
        <f>DEGREES(ACOS( MAX(-1, MIN(1, AA4*X4 + AB4*Y4 + AC4*Z4)) ))</f>
        <v>0.71713453882099676</v>
      </c>
      <c r="X4" s="11">
        <f t="shared" ref="X4:X18" si="2">COS(C4)*COS(D4)</f>
        <v>2.0367318679731896E-4</v>
      </c>
      <c r="Y4" s="11">
        <f t="shared" ref="Y4:Y18" si="3">COS(C4)*SIN(D4)</f>
        <v>-8.2965546086094279E-8</v>
      </c>
      <c r="Z4" s="11">
        <f t="shared" ref="Z4:Z18" si="4">SIN(C4)</f>
        <v>0.99999997925861284</v>
      </c>
      <c r="AA4" s="11">
        <f t="shared" ref="AA4:AA18" si="5">COS(R4)*COS(S4)</f>
        <v>7.6375636384934534E-3</v>
      </c>
      <c r="AB4" s="11">
        <f t="shared" ref="AB4:AB18" si="6">COS(R4)*SIN(S4)</f>
        <v>1.0069082468284441E-2</v>
      </c>
      <c r="AC4" s="11">
        <f t="shared" ref="AC4:AC18" si="7">SIN(R4)</f>
        <v>0.99992013741094088</v>
      </c>
    </row>
    <row r="5" spans="1:30" x14ac:dyDescent="0.4">
      <c r="A5" s="1">
        <f>'Proximal Validation (prelim)'!A5</f>
        <v>0.42</v>
      </c>
      <c r="B5" s="1">
        <f>'Proximal Validation (prelim)'!B5</f>
        <v>0.1</v>
      </c>
      <c r="C5" s="1">
        <f>'Proximal Validation (prelim)'!C5</f>
        <v>1.571</v>
      </c>
      <c r="D5" s="1">
        <f>'Proximal Validation (prelim)'!D5</f>
        <v>-3.1419999999999999</v>
      </c>
      <c r="E5" s="1">
        <f>'Proximal Validation (prelim)'!E5</f>
        <v>0.45500000000000002</v>
      </c>
      <c r="F5" s="1">
        <f>'Proximal Validation (prelim)'!F5</f>
        <v>0.61899999999999999</v>
      </c>
      <c r="G5" s="1">
        <f>'Proximal Validation (prelim)'!G5</f>
        <v>0.95</v>
      </c>
      <c r="H5" s="1">
        <f>'Proximal Validation (prelim)'!H5</f>
        <v>-4.7535757374816967E-6</v>
      </c>
      <c r="I5" s="1">
        <f>'Proximal Validation (prelim)'!I5</f>
        <v>89.988330385915845</v>
      </c>
      <c r="J5" s="10">
        <f>'Proximal Validation (prelim)'!J5</f>
        <v>1.51168322190642E-4</v>
      </c>
      <c r="K5" s="10">
        <f>'Proximal Validation (prelim)'!K5</f>
        <v>-6.4147308468818706E-2</v>
      </c>
      <c r="L5" s="10">
        <f>'Proximal Validation (prelim)'!L5</f>
        <v>3.7789688212797002E-4</v>
      </c>
      <c r="M5" s="10">
        <f>'Proximal Validation (prelim)'!M5</f>
        <v>-1.6753859817981699E-2</v>
      </c>
      <c r="N5" s="10">
        <f>'Proximal Validation (prelim)'!N5</f>
        <v>1.62634998559952E-4</v>
      </c>
      <c r="O5" s="10">
        <f>'Proximal Validation (prelim)'!O5</f>
        <v>0.32800155878067</v>
      </c>
      <c r="P5" s="10">
        <v>0.32856099999999999</v>
      </c>
      <c r="Q5" s="10">
        <v>0.10237499999999999</v>
      </c>
      <c r="R5" s="10">
        <v>1.5707960000000001</v>
      </c>
      <c r="S5" s="10">
        <v>-2.1379899999999998</v>
      </c>
      <c r="T5" s="13">
        <f t="shared" si="0"/>
        <v>-9.1438999999999993E-2</v>
      </c>
      <c r="U5" s="10">
        <f t="shared" si="1"/>
        <v>2.3749999999999882E-3</v>
      </c>
      <c r="V5" s="10">
        <f t="shared" ref="V5:V18" si="8">DEGREES(ACOS( MAX(-1, MIN(1, AA5*X5 + AB5*Y5 + AC5*Z5)) ))</f>
        <v>1.1679679077224748E-2</v>
      </c>
      <c r="X5" s="11">
        <f t="shared" si="2"/>
        <v>2.0367318679731896E-4</v>
      </c>
      <c r="Y5" s="11">
        <f t="shared" si="3"/>
        <v>-8.2965546086094279E-8</v>
      </c>
      <c r="Z5" s="11">
        <f t="shared" si="4"/>
        <v>0.99999997925861284</v>
      </c>
      <c r="AA5" s="11">
        <f t="shared" si="5"/>
        <v>-1.7557620441076673E-7</v>
      </c>
      <c r="AB5" s="11">
        <f t="shared" si="6"/>
        <v>-2.756227509624298E-7</v>
      </c>
      <c r="AC5" s="11">
        <f t="shared" si="7"/>
        <v>0.9999999999999466</v>
      </c>
    </row>
    <row r="6" spans="1:30" x14ac:dyDescent="0.4">
      <c r="A6" s="1">
        <f>'Proximal Validation (prelim)'!A6</f>
        <v>0.85199999999999998</v>
      </c>
      <c r="B6" s="1">
        <f>'Proximal Validation (prelim)'!B6</f>
        <v>0.06</v>
      </c>
      <c r="C6" s="1">
        <f>'Proximal Validation (prelim)'!C6</f>
        <v>0.78500000000000003</v>
      </c>
      <c r="D6" s="1">
        <f>'Proximal Validation (prelim)'!D6</f>
        <v>-3.1419999999999999</v>
      </c>
      <c r="E6" s="1">
        <f>'Proximal Validation (prelim)'!E6</f>
        <v>0.308</v>
      </c>
      <c r="F6" s="1">
        <f>'Proximal Validation (prelim)'!F6</f>
        <v>0.69399999999999995</v>
      </c>
      <c r="G6" s="1">
        <f>'Proximal Validation (prelim)'!G6</f>
        <v>1.2999999999999999E-2</v>
      </c>
      <c r="H6" s="1">
        <f>'Proximal Validation (prelim)'!H6</f>
        <v>2.3357821223058295E-2</v>
      </c>
      <c r="I6" s="1">
        <f>'Proximal Validation (prelim)'!I6</f>
        <v>135.02280832486795</v>
      </c>
      <c r="J6" s="10">
        <f>'Proximal Validation (prelim)'!J6</f>
        <v>6.2456959858536699E-4</v>
      </c>
      <c r="K6" s="10">
        <f>'Proximal Validation (prelim)'!K6</f>
        <v>-8.14679190516472E-2</v>
      </c>
      <c r="L6" s="10">
        <f>'Proximal Validation (prelim)'!L6</f>
        <v>-9.6467416733503298E-4</v>
      </c>
      <c r="M6" s="10">
        <f>'Proximal Validation (prelim)'!M6</f>
        <v>-0.55178427696228005</v>
      </c>
      <c r="N6" s="10">
        <f>'Proximal Validation (prelim)'!N6</f>
        <v>-2.5920420885086099E-3</v>
      </c>
      <c r="O6" s="10">
        <f>'Proximal Validation (prelim)'!O6</f>
        <v>0.49018782377242998</v>
      </c>
      <c r="P6" s="10">
        <v>0.73812500000000003</v>
      </c>
      <c r="Q6" s="10">
        <v>7.2557999999999997E-2</v>
      </c>
      <c r="R6" s="10">
        <v>0.78626499999999999</v>
      </c>
      <c r="S6" s="10">
        <v>-3.1267499999999999</v>
      </c>
      <c r="T6" s="10">
        <f t="shared" si="0"/>
        <v>-0.11387499999999995</v>
      </c>
      <c r="U6" s="10">
        <f t="shared" si="1"/>
        <v>1.2558E-2</v>
      </c>
      <c r="V6" s="10">
        <f t="shared" si="8"/>
        <v>0.62193186598537464</v>
      </c>
      <c r="X6" s="11">
        <f t="shared" si="2"/>
        <v>-0.70738821047834455</v>
      </c>
      <c r="Y6" s="11">
        <f t="shared" si="3"/>
        <v>2.8815206409866709E-4</v>
      </c>
      <c r="Z6" s="11">
        <f t="shared" si="4"/>
        <v>0.70682518110536596</v>
      </c>
      <c r="AA6" s="11">
        <f t="shared" si="5"/>
        <v>-0.70641574918132954</v>
      </c>
      <c r="AB6" s="11">
        <f t="shared" si="6"/>
        <v>-1.0485854293274954E-2</v>
      </c>
      <c r="AC6" s="11">
        <f t="shared" si="7"/>
        <v>0.707719461487616</v>
      </c>
    </row>
    <row r="7" spans="1:30" x14ac:dyDescent="0.4">
      <c r="A7" s="1">
        <f>'Proximal Validation (prelim)'!A7</f>
        <v>0.61099999999999999</v>
      </c>
      <c r="B7" s="1">
        <f>'Proximal Validation (prelim)'!B7</f>
        <v>0.1</v>
      </c>
      <c r="C7" s="1">
        <f>'Proximal Validation (prelim)'!C7</f>
        <v>0.78500000000000003</v>
      </c>
      <c r="D7" s="1">
        <f>'Proximal Validation (prelim)'!D7</f>
        <v>-3.1419999999999999</v>
      </c>
      <c r="E7" s="1">
        <f>'Proximal Validation (prelim)'!E7</f>
        <v>1.008</v>
      </c>
      <c r="F7" s="1">
        <f>'Proximal Validation (prelim)'!F7</f>
        <v>4.5999999999999999E-2</v>
      </c>
      <c r="G7" s="1">
        <f>'Proximal Validation (prelim)'!G7</f>
        <v>1.286</v>
      </c>
      <c r="H7" s="1">
        <f>'Proximal Validation (prelim)'!H7</f>
        <v>2.3357821223058295E-2</v>
      </c>
      <c r="I7" s="1">
        <f>'Proximal Validation (prelim)'!I7</f>
        <v>135.02280832486795</v>
      </c>
      <c r="J7" s="10">
        <f>'Proximal Validation (prelim)'!J7</f>
        <v>1.44871312659234E-3</v>
      </c>
      <c r="K7" s="10">
        <f>'Proximal Validation (prelim)'!K7</f>
        <v>-9.2176184058189406E-2</v>
      </c>
      <c r="L7" s="10">
        <f>'Proximal Validation (prelim)'!L7</f>
        <v>-7.6768390135839603E-4</v>
      </c>
      <c r="M7" s="10">
        <f>'Proximal Validation (prelim)'!M7</f>
        <v>-0.53396070003509499</v>
      </c>
      <c r="N7" s="10">
        <f>'Proximal Validation (prelim)'!N7</f>
        <v>-9.1972947120666504E-3</v>
      </c>
      <c r="O7" s="10">
        <f>'Proximal Validation (prelim)'!O7</f>
        <v>0.43053609132766701</v>
      </c>
      <c r="P7" s="10">
        <v>0.68630599999999997</v>
      </c>
      <c r="Q7" s="10">
        <v>0.11468299999999999</v>
      </c>
      <c r="R7" s="10">
        <v>0.77568999999999999</v>
      </c>
      <c r="S7" s="10">
        <v>3.1152790000000001</v>
      </c>
      <c r="T7" s="10">
        <f t="shared" si="0"/>
        <v>7.5305999999999984E-2</v>
      </c>
      <c r="U7" s="10">
        <f t="shared" si="1"/>
        <v>1.4682999999999988E-2</v>
      </c>
      <c r="V7" s="10">
        <f t="shared" si="8"/>
        <v>1.1820394991224989</v>
      </c>
      <c r="X7" s="11">
        <f t="shared" si="2"/>
        <v>-0.70738821047834455</v>
      </c>
      <c r="Y7" s="11">
        <f t="shared" si="3"/>
        <v>2.8815206409866709E-4</v>
      </c>
      <c r="Z7" s="11">
        <f t="shared" si="4"/>
        <v>0.70682518110536596</v>
      </c>
      <c r="AA7" s="11">
        <f t="shared" si="5"/>
        <v>-0.71369090585330675</v>
      </c>
      <c r="AB7" s="11">
        <f t="shared" si="6"/>
        <v>1.8784150901354858E-2</v>
      </c>
      <c r="AC7" s="11">
        <f t="shared" si="7"/>
        <v>0.70020885925358134</v>
      </c>
    </row>
    <row r="8" spans="1:30" x14ac:dyDescent="0.4">
      <c r="A8" s="1">
        <f>'Proximal Validation (prelim)'!A8</f>
        <v>0.65800000000000003</v>
      </c>
      <c r="B8" s="1">
        <f>'Proximal Validation (prelim)'!B8</f>
        <v>0.04</v>
      </c>
      <c r="C8" s="1">
        <f>'Proximal Validation (prelim)'!C8</f>
        <v>-0.78500000000000003</v>
      </c>
      <c r="D8" s="1">
        <f>'Proximal Validation (prelim)'!D8</f>
        <v>0</v>
      </c>
      <c r="E8" s="1">
        <f>'Proximal Validation (prelim)'!E8</f>
        <v>0.39700000000000002</v>
      </c>
      <c r="F8" s="1">
        <f>'Proximal Validation (prelim)'!F8</f>
        <v>0.309</v>
      </c>
      <c r="G8" s="1">
        <f>'Proximal Validation (prelim)'!G8</f>
        <v>6.5000000000000002E-2</v>
      </c>
      <c r="H8" s="1">
        <f>'Proximal Validation (prelim)'!H8</f>
        <v>180</v>
      </c>
      <c r="I8" s="1">
        <f>'Proximal Validation (prelim)'!I8</f>
        <v>44.977186917769622</v>
      </c>
      <c r="J8" s="10">
        <f>'Proximal Validation (prelim)'!J8</f>
        <v>1.33992568589747E-3</v>
      </c>
      <c r="K8" s="10">
        <f>'Proximal Validation (prelim)'!K8</f>
        <v>6.0653578490018803E-2</v>
      </c>
      <c r="L8" s="10">
        <f>'Proximal Validation (prelim)'!L8</f>
        <v>1.84963247738779E-3</v>
      </c>
      <c r="M8" s="10">
        <f>'Proximal Validation (prelim)'!M8</f>
        <v>0.39459440112114003</v>
      </c>
      <c r="N8" s="10">
        <f>'Proximal Validation (prelim)'!N8</f>
        <v>4.6048462390899702E-3</v>
      </c>
      <c r="O8" s="10">
        <f>'Proximal Validation (prelim)'!O8</f>
        <v>-0.48639550805091902</v>
      </c>
      <c r="P8" s="10">
        <v>0.62629599999999996</v>
      </c>
      <c r="Q8" s="10">
        <v>3.5715999999999998E-2</v>
      </c>
      <c r="R8" s="10">
        <v>-0.88149</v>
      </c>
      <c r="S8" s="10">
        <v>1.2137999999999999E-2</v>
      </c>
      <c r="T8" s="10">
        <f t="shared" si="0"/>
        <v>-3.1704000000000065E-2</v>
      </c>
      <c r="U8" s="10">
        <f t="shared" si="1"/>
        <v>-4.2840000000000031E-3</v>
      </c>
      <c r="V8" s="10">
        <f t="shared" si="8"/>
        <v>5.5481450045460097</v>
      </c>
      <c r="X8" s="11">
        <f t="shared" si="2"/>
        <v>0.70738826916719977</v>
      </c>
      <c r="Y8" s="11">
        <f t="shared" si="3"/>
        <v>0</v>
      </c>
      <c r="Z8" s="11">
        <f t="shared" si="4"/>
        <v>-0.70682518110536596</v>
      </c>
      <c r="AA8" s="11">
        <f t="shared" si="5"/>
        <v>0.63595518557766473</v>
      </c>
      <c r="AB8" s="11">
        <f t="shared" si="6"/>
        <v>7.7196031586629589E-3</v>
      </c>
      <c r="AC8" s="11">
        <f t="shared" si="7"/>
        <v>-0.77168737819401367</v>
      </c>
    </row>
    <row r="9" spans="1:30" x14ac:dyDescent="0.4">
      <c r="A9" s="1">
        <f>'Proximal Validation (prelim)'!A9</f>
        <v>0.36299999999999999</v>
      </c>
      <c r="B9" s="1">
        <f>'Proximal Validation (prelim)'!B9</f>
        <v>0.18</v>
      </c>
      <c r="C9" s="1">
        <f>'Proximal Validation (prelim)'!C9</f>
        <v>-0.78500000000000003</v>
      </c>
      <c r="D9" s="1">
        <f>'Proximal Validation (prelim)'!D9</f>
        <v>0</v>
      </c>
      <c r="E9" s="1">
        <f>'Proximal Validation (prelim)'!E9</f>
        <v>0.75600000000000001</v>
      </c>
      <c r="F9" s="1">
        <f>'Proximal Validation (prelim)'!F9</f>
        <v>1.339</v>
      </c>
      <c r="G9" s="1">
        <f>'Proximal Validation (prelim)'!G9</f>
        <v>0.39400000000000002</v>
      </c>
      <c r="H9" s="1">
        <f>'Proximal Validation (prelim)'!H9</f>
        <v>180</v>
      </c>
      <c r="I9" s="1">
        <f>'Proximal Validation (prelim)'!I9</f>
        <v>44.977186917769622</v>
      </c>
      <c r="J9" s="10">
        <f>'Proximal Validation (prelim)'!J9</f>
        <v>9.1653369599953305E-4</v>
      </c>
      <c r="K9" s="10">
        <f>'Proximal Validation (prelim)'!K9</f>
        <v>4.3244335800409303E-2</v>
      </c>
      <c r="L9" s="10">
        <f>'Proximal Validation (prelim)'!L9</f>
        <v>3.8156479131430401E-3</v>
      </c>
      <c r="M9" s="10">
        <f>'Proximal Validation (prelim)'!M9</f>
        <v>0.19862668216228499</v>
      </c>
      <c r="N9" s="10">
        <f>'Proximal Validation (prelim)'!N9</f>
        <v>9.9807931110262905E-3</v>
      </c>
      <c r="O9" s="10">
        <f>'Proximal Validation (prelim)'!O9</f>
        <v>-0.167230039834976</v>
      </c>
      <c r="P9" s="10">
        <v>0.26</v>
      </c>
      <c r="Q9" s="10">
        <v>0.180788</v>
      </c>
      <c r="R9" s="10">
        <v>-0.63807999999999998</v>
      </c>
      <c r="S9" s="10">
        <v>0.10852199999999999</v>
      </c>
      <c r="T9" s="10">
        <f t="shared" si="0"/>
        <v>-0.10299999999999998</v>
      </c>
      <c r="U9" s="10">
        <f t="shared" si="1"/>
        <v>7.8800000000001091E-4</v>
      </c>
      <c r="V9" s="10">
        <f t="shared" si="8"/>
        <v>9.6383926188758053</v>
      </c>
      <c r="X9" s="11">
        <f t="shared" si="2"/>
        <v>0.70738826916719977</v>
      </c>
      <c r="Y9" s="11">
        <f t="shared" si="3"/>
        <v>0</v>
      </c>
      <c r="Z9" s="11">
        <f t="shared" si="4"/>
        <v>-0.70682518110536596</v>
      </c>
      <c r="AA9" s="11">
        <f t="shared" si="5"/>
        <v>0.7985156403515361</v>
      </c>
      <c r="AB9" s="11">
        <f t="shared" si="6"/>
        <v>8.6998309843219379E-2</v>
      </c>
      <c r="AC9" s="11">
        <f t="shared" si="7"/>
        <v>-0.59565431770314525</v>
      </c>
    </row>
    <row r="10" spans="1:30" x14ac:dyDescent="0.4">
      <c r="A10" s="1">
        <f>'Proximal Validation (prelim)'!A10</f>
        <v>0.216</v>
      </c>
      <c r="B10" s="1">
        <f>'Proximal Validation (prelim)'!B10</f>
        <v>0.04</v>
      </c>
      <c r="C10" s="1">
        <f>'Proximal Validation (prelim)'!C10</f>
        <v>-1.0469999999999999</v>
      </c>
      <c r="D10" s="1">
        <f>'Proximal Validation (prelim)'!D10</f>
        <v>0</v>
      </c>
      <c r="E10" s="1">
        <f>'Proximal Validation (prelim)'!E10</f>
        <v>1.1060000000000001</v>
      </c>
      <c r="F10" s="1">
        <f>'Proximal Validation (prelim)'!F10</f>
        <v>0.21299999999999999</v>
      </c>
      <c r="G10" s="1">
        <f>'Proximal Validation (prelim)'!G10</f>
        <v>0.41899999999999998</v>
      </c>
      <c r="H10" s="1">
        <f>'Proximal Validation (prelim)'!H10</f>
        <v>180</v>
      </c>
      <c r="I10" s="1">
        <f>'Proximal Validation (prelim)'!I10</f>
        <v>59.988681150197188</v>
      </c>
      <c r="J10" s="10">
        <f>'Proximal Validation (prelim)'!J10</f>
        <v>4.51221945695579E-4</v>
      </c>
      <c r="K10" s="10">
        <f>'Proximal Validation (prelim)'!K10</f>
        <v>2.2093700245022801E-2</v>
      </c>
      <c r="L10" s="10">
        <f>'Proximal Validation (prelim)'!L10</f>
        <v>4.1068563587032302E-4</v>
      </c>
      <c r="M10" s="10">
        <f>'Proximal Validation (prelim)'!M10</f>
        <v>0.101665928959846</v>
      </c>
      <c r="N10" s="10">
        <f>'Proximal Validation (prelim)'!N10</f>
        <v>-2.31991522014141E-3</v>
      </c>
      <c r="O10" s="10">
        <f>'Proximal Validation (prelim)'!O10</f>
        <v>-0.17379917204379999</v>
      </c>
      <c r="P10" s="10">
        <v>0.20170299999999999</v>
      </c>
      <c r="Q10" s="10">
        <v>3.6476000000000001E-2</v>
      </c>
      <c r="R10" s="10">
        <v>-1.0392999999999999</v>
      </c>
      <c r="S10" s="10">
        <v>-2.6950000000000002E-2</v>
      </c>
      <c r="T10" s="10">
        <f t="shared" si="0"/>
        <v>-1.4297000000000004E-2</v>
      </c>
      <c r="U10" s="10">
        <f t="shared" si="1"/>
        <v>-3.5239999999999994E-3</v>
      </c>
      <c r="V10" s="10">
        <f t="shared" si="8"/>
        <v>0.89388793804857092</v>
      </c>
      <c r="X10" s="11">
        <f t="shared" si="2"/>
        <v>0.50017107459707011</v>
      </c>
      <c r="Y10" s="11">
        <f t="shared" si="3"/>
        <v>0</v>
      </c>
      <c r="Z10" s="11">
        <f t="shared" si="4"/>
        <v>-0.86592661128782278</v>
      </c>
      <c r="AA10" s="11">
        <f t="shared" si="5"/>
        <v>0.50663977355585588</v>
      </c>
      <c r="AB10" s="11">
        <f t="shared" si="6"/>
        <v>-1.3657248488679491E-2</v>
      </c>
      <c r="AC10" s="11">
        <f t="shared" si="7"/>
        <v>-0.86204966180318732</v>
      </c>
    </row>
    <row r="11" spans="1:30" x14ac:dyDescent="0.4">
      <c r="A11" s="1">
        <f>'Proximal Validation (prelim)'!A11</f>
        <v>0.16600000000000001</v>
      </c>
      <c r="B11" s="1">
        <f>'Proximal Validation (prelim)'!B11</f>
        <v>0.1</v>
      </c>
      <c r="C11" s="1">
        <f>'Proximal Validation (prelim)'!C11</f>
        <v>-1.0469999999999999</v>
      </c>
      <c r="D11" s="1">
        <f>'Proximal Validation (prelim)'!D11</f>
        <v>0</v>
      </c>
      <c r="E11" s="1">
        <f>'Proximal Validation (prelim)'!E11</f>
        <v>0.96199999999999997</v>
      </c>
      <c r="F11" s="1">
        <f>'Proximal Validation (prelim)'!F11</f>
        <v>0.95899999999999996</v>
      </c>
      <c r="G11" s="1">
        <f>'Proximal Validation (prelim)'!G11</f>
        <v>0.77900000000000003</v>
      </c>
      <c r="H11" s="1">
        <f>'Proximal Validation (prelim)'!H11</f>
        <v>180</v>
      </c>
      <c r="I11" s="1">
        <f>'Proximal Validation (prelim)'!I11</f>
        <v>59.988681150197188</v>
      </c>
      <c r="J11" s="10">
        <f>'Proximal Validation (prelim)'!J11</f>
        <v>3.32413648720831E-4</v>
      </c>
      <c r="K11" s="10">
        <f>'Proximal Validation (prelim)'!K11</f>
        <v>2.2209085524082201E-2</v>
      </c>
      <c r="L11" s="10">
        <f>'Proximal Validation (prelim)'!L11</f>
        <v>2.3622061416972399E-4</v>
      </c>
      <c r="M11" s="10">
        <f>'Proximal Validation (prelim)'!M11</f>
        <v>7.42084756493568E-2</v>
      </c>
      <c r="N11" s="10">
        <f>'Proximal Validation (prelim)'!N11</f>
        <v>-2.9545556753873799E-3</v>
      </c>
      <c r="O11" s="10">
        <f>'Proximal Validation (prelim)'!O11</f>
        <v>-0.114348046481609</v>
      </c>
      <c r="P11" s="10">
        <v>0.13594500000000001</v>
      </c>
      <c r="Q11" s="10">
        <v>0.103683</v>
      </c>
      <c r="R11" s="10">
        <v>-0.97736000000000001</v>
      </c>
      <c r="S11" s="10">
        <v>-3.7539999999999997E-2</v>
      </c>
      <c r="T11" s="10">
        <f t="shared" si="0"/>
        <v>-3.0054999999999998E-2</v>
      </c>
      <c r="U11" s="10">
        <f t="shared" si="1"/>
        <v>3.6829999999999918E-3</v>
      </c>
      <c r="V11" s="10">
        <f t="shared" si="8"/>
        <v>4.1491742029520085</v>
      </c>
      <c r="X11" s="11">
        <f t="shared" si="2"/>
        <v>0.50017107459707011</v>
      </c>
      <c r="Y11" s="11">
        <f t="shared" si="3"/>
        <v>0</v>
      </c>
      <c r="Z11" s="11">
        <f t="shared" si="4"/>
        <v>-0.86592661128782278</v>
      </c>
      <c r="AA11" s="11">
        <f t="shared" si="5"/>
        <v>0.55881912644958132</v>
      </c>
      <c r="AB11" s="11">
        <f t="shared" si="6"/>
        <v>-2.0987930024626927E-2</v>
      </c>
      <c r="AC11" s="11">
        <f t="shared" si="7"/>
        <v>-0.82902393856112999</v>
      </c>
    </row>
    <row r="12" spans="1:30" x14ac:dyDescent="0.4">
      <c r="A12" s="1">
        <f>'Proximal Validation (prelim)'!A12</f>
        <v>0.184</v>
      </c>
      <c r="B12" s="1">
        <f>'Proximal Validation (prelim)'!B12</f>
        <v>0.12</v>
      </c>
      <c r="C12" s="1">
        <f>'Proximal Validation (prelim)'!C12</f>
        <v>-1.0469999999999999</v>
      </c>
      <c r="D12" s="1">
        <f>'Proximal Validation (prelim)'!D12</f>
        <v>0</v>
      </c>
      <c r="E12" s="1">
        <f>'Proximal Validation (prelim)'!E12</f>
        <v>0.27600000000000002</v>
      </c>
      <c r="F12" s="1">
        <f>'Proximal Validation (prelim)'!F12</f>
        <v>0.89400000000000002</v>
      </c>
      <c r="G12" s="1">
        <f>'Proximal Validation (prelim)'!G12</f>
        <v>0.747</v>
      </c>
      <c r="H12" s="1">
        <f>'Proximal Validation (prelim)'!H12</f>
        <v>180</v>
      </c>
      <c r="I12" s="1">
        <f>'Proximal Validation (prelim)'!I12</f>
        <v>59.988681150197188</v>
      </c>
      <c r="J12" s="10">
        <f>'Proximal Validation (prelim)'!J12</f>
        <v>4.1037553455680598E-4</v>
      </c>
      <c r="K12" s="10">
        <f>'Proximal Validation (prelim)'!K12</f>
        <v>1.80904343724251E-2</v>
      </c>
      <c r="L12" s="10">
        <f>'Proximal Validation (prelim)'!L12</f>
        <v>3.2764772186055801E-4</v>
      </c>
      <c r="M12" s="10">
        <f>'Proximal Validation (prelim)'!M12</f>
        <v>5.53087517619133E-2</v>
      </c>
      <c r="N12" s="10">
        <f>'Proximal Validation (prelim)'!N12</f>
        <v>-1.7109047621488601E-4</v>
      </c>
      <c r="O12" s="10">
        <f>'Proximal Validation (prelim)'!O12</f>
        <v>-8.7187305092811598E-2</v>
      </c>
      <c r="P12" s="10">
        <v>0.10292800000000001</v>
      </c>
      <c r="Q12" s="10">
        <v>0.118312</v>
      </c>
      <c r="R12" s="10">
        <v>-0.97177000000000002</v>
      </c>
      <c r="S12" s="10">
        <v>2.8124E-2</v>
      </c>
      <c r="T12" s="10">
        <f t="shared" si="0"/>
        <v>-8.1071999999999991E-2</v>
      </c>
      <c r="U12" s="10">
        <f t="shared" si="1"/>
        <v>-1.6879999999999951E-3</v>
      </c>
      <c r="V12" s="10">
        <f t="shared" si="8"/>
        <v>4.3945586088311295</v>
      </c>
      <c r="X12" s="11">
        <f t="shared" si="2"/>
        <v>0.50017107459707011</v>
      </c>
      <c r="Y12" s="11">
        <f t="shared" si="3"/>
        <v>0</v>
      </c>
      <c r="Z12" s="11">
        <f t="shared" si="4"/>
        <v>-0.86592661128782278</v>
      </c>
      <c r="AA12" s="11">
        <f t="shared" si="5"/>
        <v>0.56361562668119314</v>
      </c>
      <c r="AB12" s="11">
        <f t="shared" si="6"/>
        <v>1.5855306406315512E-2</v>
      </c>
      <c r="AC12" s="11">
        <f t="shared" si="7"/>
        <v>-0.82588500084426275</v>
      </c>
    </row>
    <row r="13" spans="1:30" x14ac:dyDescent="0.4">
      <c r="A13" s="1">
        <f>'Proximal Validation (prelim)'!A13</f>
        <v>0.96099999999999997</v>
      </c>
      <c r="B13" s="1">
        <f>'Proximal Validation (prelim)'!B13</f>
        <v>0.14000000000000001</v>
      </c>
      <c r="C13" s="1">
        <f>'Proximal Validation (prelim)'!C13</f>
        <v>-1.0469999999999999</v>
      </c>
      <c r="D13" s="1">
        <f>'Proximal Validation (prelim)'!D13</f>
        <v>0</v>
      </c>
      <c r="E13" s="1">
        <f>'Proximal Validation (prelim)'!E13</f>
        <v>0.61</v>
      </c>
      <c r="F13" s="1">
        <f>'Proximal Validation (prelim)'!F13</f>
        <v>0.64800000000000002</v>
      </c>
      <c r="G13" s="1">
        <f>'Proximal Validation (prelim)'!G13</f>
        <v>1.244</v>
      </c>
      <c r="H13" s="1">
        <f>'Proximal Validation (prelim)'!H13</f>
        <v>180</v>
      </c>
      <c r="I13" s="1">
        <f>'Proximal Validation (prelim)'!I13</f>
        <v>59.988681150197188</v>
      </c>
      <c r="J13" s="10">
        <f>'Proximal Validation (prelim)'!J13</f>
        <v>1.6050215344876101E-3</v>
      </c>
      <c r="K13" s="10">
        <f>'Proximal Validation (prelim)'!K13</f>
        <v>0.20343686640262601</v>
      </c>
      <c r="L13" s="10">
        <f>'Proximal Validation (prelim)'!L13</f>
        <v>-9.4352685846388297E-4</v>
      </c>
      <c r="M13" s="10">
        <f>'Proximal Validation (prelim)'!M13</f>
        <v>0.16312500834464999</v>
      </c>
      <c r="N13" s="10">
        <f>'Proximal Validation (prelim)'!N13</f>
        <v>-1.1226713657379201E-2</v>
      </c>
      <c r="O13" s="10">
        <f>'Proximal Validation (prelim)'!O13</f>
        <v>-0.93589824438095104</v>
      </c>
      <c r="P13" s="10">
        <v>0.95029399999999997</v>
      </c>
      <c r="Q13" s="10">
        <v>0.13730200000000001</v>
      </c>
      <c r="R13" s="10">
        <v>-0.97116999999999998</v>
      </c>
      <c r="S13" s="10">
        <v>-1.532E-2</v>
      </c>
      <c r="T13" s="10">
        <f t="shared" si="0"/>
        <v>-1.0705999999999993E-2</v>
      </c>
      <c r="U13" s="10">
        <f t="shared" si="1"/>
        <v>-2.6980000000000059E-3</v>
      </c>
      <c r="V13" s="10">
        <f t="shared" si="8"/>
        <v>4.3697186733460329</v>
      </c>
      <c r="X13" s="11">
        <f t="shared" si="2"/>
        <v>0.50017107459707011</v>
      </c>
      <c r="Y13" s="11">
        <f t="shared" si="3"/>
        <v>0</v>
      </c>
      <c r="Z13" s="11">
        <f t="shared" si="4"/>
        <v>-0.86592661128782278</v>
      </c>
      <c r="AA13" s="11">
        <f t="shared" si="5"/>
        <v>0.56426780419657141</v>
      </c>
      <c r="AB13" s="11">
        <f t="shared" si="6"/>
        <v>-8.6452591252296138E-3</v>
      </c>
      <c r="AC13" s="11">
        <f t="shared" si="7"/>
        <v>-0.82554654904604707</v>
      </c>
    </row>
    <row r="14" spans="1:30" x14ac:dyDescent="0.4">
      <c r="A14" s="1">
        <f>'Proximal Validation (prelim)'!A14</f>
        <v>0.51</v>
      </c>
      <c r="B14" s="1">
        <f>'Proximal Validation (prelim)'!B14</f>
        <v>0.06</v>
      </c>
      <c r="C14" s="1">
        <f>'Proximal Validation (prelim)'!C14</f>
        <v>-1.571</v>
      </c>
      <c r="D14" s="1">
        <f>'Proximal Validation (prelim)'!D14</f>
        <v>-3.1419999999999999</v>
      </c>
      <c r="E14" s="1">
        <f>'Proximal Validation (prelim)'!E14</f>
        <v>0.77</v>
      </c>
      <c r="F14" s="1">
        <f>'Proximal Validation (prelim)'!F14</f>
        <v>0.72299999999999998</v>
      </c>
      <c r="G14" s="1">
        <f>'Proximal Validation (prelim)'!G14</f>
        <v>0.80800000000000005</v>
      </c>
      <c r="H14" s="1">
        <f>'Proximal Validation (prelim)'!H14</f>
        <v>180.00000475357575</v>
      </c>
      <c r="I14" s="1">
        <f>'Proximal Validation (prelim)'!I14</f>
        <v>89.988330385915845</v>
      </c>
      <c r="J14" s="10">
        <f>'Proximal Validation (prelim)'!J14</f>
        <v>1.13705324474722E-3</v>
      </c>
      <c r="K14" s="10">
        <f>'Proximal Validation (prelim)'!K14</f>
        <v>6.9547608494758606E-2</v>
      </c>
      <c r="L14" s="10">
        <f>'Proximal Validation (prelim)'!L14</f>
        <v>-1.9496295135468201E-4</v>
      </c>
      <c r="M14" s="10">
        <f>'Proximal Validation (prelim)'!M14</f>
        <v>5.8881053701043103E-3</v>
      </c>
      <c r="N14" s="10">
        <f>'Proximal Validation (prelim)'!N14</f>
        <v>-4.1733607649803196E-3</v>
      </c>
      <c r="O14" s="10">
        <f>'Proximal Validation (prelim)'!O14</f>
        <v>-0.45174664258956898</v>
      </c>
      <c r="P14" s="10">
        <v>0.45205899999999999</v>
      </c>
      <c r="Q14" s="10">
        <v>6.4912999999999998E-2</v>
      </c>
      <c r="R14" s="10">
        <v>-1.52278</v>
      </c>
      <c r="S14" s="10">
        <v>-0.18149000000000001</v>
      </c>
      <c r="T14" s="10">
        <f t="shared" si="0"/>
        <v>-5.794100000000002E-2</v>
      </c>
      <c r="U14" s="10">
        <f t="shared" si="1"/>
        <v>4.9130000000000007E-3</v>
      </c>
      <c r="V14" s="10">
        <f t="shared" si="8"/>
        <v>2.7396548699970205</v>
      </c>
      <c r="X14" s="11">
        <f t="shared" si="2"/>
        <v>2.0367318679731896E-4</v>
      </c>
      <c r="Y14" s="11">
        <f t="shared" si="3"/>
        <v>-8.2965546086094279E-8</v>
      </c>
      <c r="Z14" s="11">
        <f t="shared" si="4"/>
        <v>-0.99999997925861284</v>
      </c>
      <c r="AA14" s="11">
        <f t="shared" si="5"/>
        <v>4.7209553599124279E-2</v>
      </c>
      <c r="AB14" s="11">
        <f t="shared" si="6"/>
        <v>-8.6633914684527465E-3</v>
      </c>
      <c r="AC14" s="11">
        <f t="shared" si="7"/>
        <v>-0.99884743764863093</v>
      </c>
    </row>
    <row r="15" spans="1:30" x14ac:dyDescent="0.4">
      <c r="A15" s="1">
        <f>'Proximal Validation (prelim)'!A15</f>
        <v>0.309</v>
      </c>
      <c r="B15" s="1">
        <f>'Proximal Validation (prelim)'!B15</f>
        <v>0.12</v>
      </c>
      <c r="C15" s="1">
        <f>'Proximal Validation (prelim)'!C15</f>
        <v>-1.571</v>
      </c>
      <c r="D15" s="1">
        <f>'Proximal Validation (prelim)'!D15</f>
        <v>0</v>
      </c>
      <c r="E15" s="1">
        <f>'Proximal Validation (prelim)'!E15</f>
        <v>7.4999999999999997E-2</v>
      </c>
      <c r="F15" s="1">
        <f>'Proximal Validation (prelim)'!F15</f>
        <v>0.871</v>
      </c>
      <c r="G15" s="1">
        <f>'Proximal Validation (prelim)'!G15</f>
        <v>0.308</v>
      </c>
      <c r="H15" s="1">
        <f>'Proximal Validation (prelim)'!H15</f>
        <v>180</v>
      </c>
      <c r="I15" s="1">
        <f>'Proximal Validation (prelim)'!I15</f>
        <v>90.011669615052327</v>
      </c>
      <c r="J15" s="10">
        <f>'Proximal Validation (prelim)'!J15</f>
        <v>1.1122038122266501E-3</v>
      </c>
      <c r="K15" s="10">
        <f>'Proximal Validation (prelim)'!K15</f>
        <v>4.4223316013812998E-2</v>
      </c>
      <c r="L15" s="10">
        <f>'Proximal Validation (prelim)'!L15</f>
        <v>3.0775432242080602E-4</v>
      </c>
      <c r="M15" s="10">
        <f>'Proximal Validation (prelim)'!M15</f>
        <v>-7.6349931769073001E-3</v>
      </c>
      <c r="N15" s="10">
        <f>'Proximal Validation (prelim)'!N15</f>
        <v>1.9808746874332402E-3</v>
      </c>
      <c r="O15" s="10">
        <f>'Proximal Validation (prelim)'!O15</f>
        <v>-0.20005062222480799</v>
      </c>
      <c r="P15" s="10">
        <v>0.20016600000000001</v>
      </c>
      <c r="Q15" s="10">
        <v>0.13009599999999999</v>
      </c>
      <c r="R15" s="10">
        <v>-1.5410999999999999</v>
      </c>
      <c r="S15" s="10">
        <v>0.34453899999999998</v>
      </c>
      <c r="T15" s="13">
        <f t="shared" si="0"/>
        <v>-0.10883399999999999</v>
      </c>
      <c r="U15" s="10">
        <f t="shared" si="1"/>
        <v>1.0095999999999994E-2</v>
      </c>
      <c r="V15" s="10">
        <f t="shared" si="8"/>
        <v>1.7124625336871118</v>
      </c>
      <c r="X15" s="11">
        <f t="shared" si="2"/>
        <v>-2.0367320369517786E-4</v>
      </c>
      <c r="Y15" s="11">
        <f t="shared" si="3"/>
        <v>0</v>
      </c>
      <c r="Z15" s="11">
        <f t="shared" si="4"/>
        <v>-0.99999997925861284</v>
      </c>
      <c r="AA15" s="11">
        <f t="shared" si="5"/>
        <v>2.794700308916041E-2</v>
      </c>
      <c r="AB15" s="11">
        <f t="shared" si="6"/>
        <v>1.0028840475574723E-2</v>
      </c>
      <c r="AC15" s="11">
        <f t="shared" si="7"/>
        <v>-0.99955909649057262</v>
      </c>
    </row>
    <row r="16" spans="1:30" x14ac:dyDescent="0.4">
      <c r="A16" s="1">
        <f>'Proximal Validation (prelim)'!A16</f>
        <v>0.89700000000000002</v>
      </c>
      <c r="B16" s="1">
        <f>'Proximal Validation (prelim)'!B16</f>
        <v>0.2</v>
      </c>
      <c r="C16" s="1">
        <f>'Proximal Validation (prelim)'!C16</f>
        <v>-1.571</v>
      </c>
      <c r="D16" s="1">
        <f>'Proximal Validation (prelim)'!D16</f>
        <v>-3.1419999999999999</v>
      </c>
      <c r="E16" s="1">
        <f>'Proximal Validation (prelim)'!E16</f>
        <v>1.266</v>
      </c>
      <c r="F16" s="1">
        <f>'Proximal Validation (prelim)'!F16</f>
        <v>0.65300000000000002</v>
      </c>
      <c r="G16" s="1">
        <f>'Proximal Validation (prelim)'!G16</f>
        <v>0.55800000000000005</v>
      </c>
      <c r="H16" s="1">
        <f>'Proximal Validation (prelim)'!H16</f>
        <v>180.00000475357575</v>
      </c>
      <c r="I16" s="1">
        <f>'Proximal Validation (prelim)'!I16</f>
        <v>89.988330385915845</v>
      </c>
      <c r="J16" s="10">
        <f>'Proximal Validation (prelim)'!J16</f>
        <v>-4.1023571975529203E-3</v>
      </c>
      <c r="K16" s="10">
        <f>'Proximal Validation (prelim)'!K16</f>
        <v>0.17719669640064201</v>
      </c>
      <c r="L16" s="10">
        <f>'Proximal Validation (prelim)'!L16</f>
        <v>-6.9909039884805697E-3</v>
      </c>
      <c r="M16" s="10">
        <f>'Proximal Validation (prelim)'!M16</f>
        <v>-0.30781817436218301</v>
      </c>
      <c r="N16" s="10">
        <f>'Proximal Validation (prelim)'!N16</f>
        <v>-3.4374743700027501E-2</v>
      </c>
      <c r="O16" s="10">
        <f>'Proximal Validation (prelim)'!O16</f>
        <v>-0.54552924633026101</v>
      </c>
      <c r="P16" s="10">
        <v>0.631247</v>
      </c>
      <c r="Q16" s="10">
        <v>0.17327400000000001</v>
      </c>
      <c r="R16" s="10">
        <v>-1.5708</v>
      </c>
      <c r="S16" s="10">
        <v>3.1415929999999999</v>
      </c>
      <c r="T16" s="10">
        <f t="shared" si="0"/>
        <v>-0.26575300000000002</v>
      </c>
      <c r="U16" s="10">
        <f t="shared" si="1"/>
        <v>-2.6726E-2</v>
      </c>
      <c r="V16" s="10">
        <f t="shared" si="8"/>
        <v>1.1459155918696087E-2</v>
      </c>
      <c r="X16" s="11">
        <f t="shared" si="2"/>
        <v>2.0367318679731896E-4</v>
      </c>
      <c r="Y16" s="11">
        <f t="shared" si="3"/>
        <v>-8.2965546086094279E-8</v>
      </c>
      <c r="Z16" s="11">
        <f t="shared" si="4"/>
        <v>-0.99999997925861284</v>
      </c>
      <c r="AA16" s="11">
        <f t="shared" si="5"/>
        <v>3.6732051033463283E-6</v>
      </c>
      <c r="AB16" s="11">
        <f t="shared" si="6"/>
        <v>1.272435738805504E-12</v>
      </c>
      <c r="AC16" s="11">
        <f t="shared" si="7"/>
        <v>-0.99999999999325373</v>
      </c>
    </row>
    <row r="17" spans="1:29" x14ac:dyDescent="0.4">
      <c r="A17" s="1">
        <f>'Proximal Validation (prelim)'!A17</f>
        <v>0.20399999999999999</v>
      </c>
      <c r="B17" s="1">
        <f>'Proximal Validation (prelim)'!B17</f>
        <v>0.2</v>
      </c>
      <c r="C17" s="1">
        <f>'Proximal Validation (prelim)'!C17</f>
        <v>-1.571</v>
      </c>
      <c r="D17" s="1">
        <f>'Proximal Validation (prelim)'!D17</f>
        <v>0</v>
      </c>
      <c r="E17" s="1">
        <f>'Proximal Validation (prelim)'!E17</f>
        <v>0.78500000000000003</v>
      </c>
      <c r="F17" s="1">
        <f>'Proximal Validation (prelim)'!F17</f>
        <v>1.3149999999999999</v>
      </c>
      <c r="G17" s="1">
        <f>'Proximal Validation (prelim)'!G17</f>
        <v>0.40100000000000002</v>
      </c>
      <c r="H17" s="1">
        <f>'Proximal Validation (prelim)'!H17</f>
        <v>180</v>
      </c>
      <c r="I17" s="1">
        <f>'Proximal Validation (prelim)'!I17</f>
        <v>90.011669615052327</v>
      </c>
      <c r="J17" s="10">
        <f>'Proximal Validation (prelim)'!J17</f>
        <v>7.0603069616481705E-4</v>
      </c>
      <c r="K17" s="10">
        <f>'Proximal Validation (prelim)'!K17</f>
        <v>4.2444258928298999E-2</v>
      </c>
      <c r="L17" s="10">
        <f>'Proximal Validation (prelim)'!L17</f>
        <v>2.9280404560267899E-3</v>
      </c>
      <c r="M17" s="10">
        <f>'Proximal Validation (prelim)'!M17</f>
        <v>2.2136436309665398E-3</v>
      </c>
      <c r="N17" s="10">
        <f>'Proximal Validation (prelim)'!N17</f>
        <v>5.8320853859186199E-3</v>
      </c>
      <c r="O17" s="10">
        <f>'Proximal Validation (prelim)'!O17</f>
        <v>-0.14324781298637401</v>
      </c>
      <c r="P17" s="10">
        <v>0.143626</v>
      </c>
      <c r="Q17" s="10">
        <v>0.2</v>
      </c>
      <c r="R17" s="10">
        <v>-1.48105</v>
      </c>
      <c r="S17" s="10">
        <v>0.60115399999999997</v>
      </c>
      <c r="T17" s="10">
        <f t="shared" si="0"/>
        <v>-6.0373999999999983E-2</v>
      </c>
      <c r="U17" s="10">
        <f t="shared" si="1"/>
        <v>0</v>
      </c>
      <c r="V17" s="10">
        <f t="shared" si="8"/>
        <v>5.151713707472001</v>
      </c>
      <c r="X17" s="11">
        <f t="shared" si="2"/>
        <v>-2.0367320369517786E-4</v>
      </c>
      <c r="Y17" s="11">
        <f t="shared" si="3"/>
        <v>0</v>
      </c>
      <c r="Z17" s="11">
        <f t="shared" si="4"/>
        <v>-0.99999997925861284</v>
      </c>
      <c r="AA17" s="11">
        <f t="shared" si="5"/>
        <v>7.3912997866435806E-2</v>
      </c>
      <c r="AB17" s="11">
        <f t="shared" si="6"/>
        <v>5.0691919070186775E-2</v>
      </c>
      <c r="AC17" s="11">
        <f t="shared" si="7"/>
        <v>-0.99597550074656849</v>
      </c>
    </row>
    <row r="18" spans="1:29" x14ac:dyDescent="0.4">
      <c r="A18" s="1">
        <f>'Proximal Validation (prelim)'!A18</f>
        <v>0.42899999999999999</v>
      </c>
      <c r="B18" s="1">
        <f>'Proximal Validation (prelim)'!B18</f>
        <v>0.18</v>
      </c>
      <c r="C18" s="1">
        <f>'Proximal Validation (prelim)'!C18</f>
        <v>-1.0469999999999999</v>
      </c>
      <c r="D18" s="1">
        <f>'Proximal Validation (prelim)'!D18</f>
        <v>-3.1419999999999999</v>
      </c>
      <c r="E18" s="1">
        <f>'Proximal Validation (prelim)'!E18</f>
        <v>1.105</v>
      </c>
      <c r="F18" s="1">
        <f>'Proximal Validation (prelim)'!F18</f>
        <v>1.337</v>
      </c>
      <c r="G18" s="1">
        <f>'Proximal Validation (prelim)'!G18</f>
        <v>0.40699999999999997</v>
      </c>
      <c r="H18" s="1">
        <f>'Proximal Validation (prelim)'!H18</f>
        <v>179.98651894154622</v>
      </c>
      <c r="I18" s="1">
        <f>'Proximal Validation (prelim)'!I18</f>
        <v>120.01131610407238</v>
      </c>
      <c r="J18" s="10">
        <f>'Proximal Validation (prelim)'!J18</f>
        <v>8.6086941882967895E-4</v>
      </c>
      <c r="K18" s="10">
        <f>'Proximal Validation (prelim)'!K18</f>
        <v>6.4414083957672105E-2</v>
      </c>
      <c r="L18" s="10">
        <f>'Proximal Validation (prelim)'!L18</f>
        <v>1.1422571260482101E-3</v>
      </c>
      <c r="M18" s="10">
        <f>'Proximal Validation (prelim)'!M18</f>
        <v>-0.119277931749821</v>
      </c>
      <c r="N18" s="10">
        <f>'Proximal Validation (prelim)'!N18</f>
        <v>-8.5563957691192605E-4</v>
      </c>
      <c r="O18" s="10">
        <f>'Proximal Validation (prelim)'!O18</f>
        <v>-0.21797420084476499</v>
      </c>
      <c r="P18" s="10">
        <v>0.24848700000000001</v>
      </c>
      <c r="Q18" s="10">
        <v>0.2</v>
      </c>
      <c r="R18" s="10">
        <v>-1.22007</v>
      </c>
      <c r="S18" s="10">
        <v>-3.0945399999999998</v>
      </c>
      <c r="T18" s="10">
        <f t="shared" si="0"/>
        <v>-0.18051299999999998</v>
      </c>
      <c r="U18" s="10">
        <f t="shared" si="1"/>
        <v>2.0000000000000018E-2</v>
      </c>
      <c r="V18" s="10">
        <f t="shared" si="8"/>
        <v>9.9803565441606281</v>
      </c>
      <c r="X18" s="11">
        <f t="shared" si="2"/>
        <v>-0.50017103310010291</v>
      </c>
      <c r="Y18" s="11">
        <f t="shared" si="3"/>
        <v>2.0374288609177995E-4</v>
      </c>
      <c r="Z18" s="11">
        <f t="shared" si="4"/>
        <v>-0.86592661128782278</v>
      </c>
      <c r="AA18" s="11">
        <f t="shared" si="5"/>
        <v>-0.34319974382475577</v>
      </c>
      <c r="AB18" s="11">
        <f t="shared" si="6"/>
        <v>-1.6160386526739741E-2</v>
      </c>
      <c r="AC18" s="11">
        <f t="shared" si="7"/>
        <v>-0.93912340922049664</v>
      </c>
    </row>
    <row r="19" spans="1:29" x14ac:dyDescent="0.4">
      <c r="A19" s="1"/>
      <c r="B19" s="1"/>
      <c r="C19" s="1"/>
      <c r="D19" s="1"/>
      <c r="E19" s="1"/>
      <c r="F19" s="1"/>
      <c r="G19" s="1"/>
      <c r="H19" s="1"/>
      <c r="I19" s="1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</row>
    <row r="20" spans="1:29" x14ac:dyDescent="0.4">
      <c r="A20" s="1"/>
      <c r="B20" s="1"/>
      <c r="C20" s="1"/>
      <c r="D20" s="1"/>
      <c r="E20" s="1"/>
      <c r="F20" s="1"/>
      <c r="G20" s="1"/>
      <c r="H20" s="1"/>
      <c r="I20" s="1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</row>
    <row r="21" spans="1:29" x14ac:dyDescent="0.4">
      <c r="A21" s="1"/>
      <c r="B21" s="1"/>
      <c r="C21" s="1"/>
      <c r="D21" s="1"/>
      <c r="E21" s="1"/>
      <c r="F21" s="1"/>
      <c r="G21" s="1"/>
      <c r="H21" s="1"/>
      <c r="I21" s="1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</row>
    <row r="22" spans="1:29" x14ac:dyDescent="0.4">
      <c r="A22" s="1"/>
      <c r="B22" s="1"/>
      <c r="C22" s="1"/>
      <c r="D22" s="1"/>
      <c r="E22" s="1"/>
      <c r="F22" s="1"/>
      <c r="G22" s="1"/>
      <c r="H22" s="1"/>
      <c r="I22" s="1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</row>
    <row r="23" spans="1:29" x14ac:dyDescent="0.4">
      <c r="A23" s="1"/>
      <c r="B23" s="1"/>
      <c r="C23" s="1"/>
      <c r="D23" s="1"/>
      <c r="E23" s="1"/>
      <c r="F23" s="1"/>
      <c r="G23" s="1"/>
      <c r="H23" s="1"/>
      <c r="I23" s="1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</row>
    <row r="24" spans="1:29" x14ac:dyDescent="0.4">
      <c r="T24" s="34" t="s">
        <v>33</v>
      </c>
      <c r="U24" s="34"/>
      <c r="V24" s="34"/>
    </row>
    <row r="25" spans="1:29" x14ac:dyDescent="0.4">
      <c r="T25" s="3" cm="1">
        <f t="array" ref="T25">AVERAGE(ABS(T4:T18))</f>
        <v>8.2714999999999997E-2</v>
      </c>
      <c r="U25" s="3" cm="1">
        <f t="array" ref="U25">AVERAGE(ABS(U4:U18))</f>
        <v>7.335133333333332E-3</v>
      </c>
      <c r="V25" s="3" cm="1">
        <f t="array" ref="V25">AVERAGE(ABS(V4:V18))</f>
        <v>3.4081539627227402</v>
      </c>
    </row>
    <row r="26" spans="1:29" x14ac:dyDescent="0.4">
      <c r="T26" s="34" t="s">
        <v>32</v>
      </c>
      <c r="U26" s="34"/>
      <c r="V26" s="34"/>
    </row>
    <row r="27" spans="1:29" x14ac:dyDescent="0.4">
      <c r="T27" s="9">
        <f>AVERAGE(T4:T18)</f>
        <v>-7.2674199999999994E-2</v>
      </c>
      <c r="U27" s="9">
        <f t="shared" ref="U27:V27" si="9">AVERAGE(U4:U18)</f>
        <v>2.1457999999999989E-3</v>
      </c>
      <c r="V27" s="9">
        <f t="shared" si="9"/>
        <v>3.4081539627227402</v>
      </c>
    </row>
    <row r="28" spans="1:29" x14ac:dyDescent="0.4">
      <c r="T28" s="34" t="s">
        <v>34</v>
      </c>
      <c r="U28" s="34"/>
      <c r="V28" s="34"/>
    </row>
    <row r="29" spans="1:29" x14ac:dyDescent="0.4">
      <c r="T29" s="3">
        <f>_xlfn.STDEV.S(T4:T18)</f>
        <v>7.9952521667728343E-2</v>
      </c>
      <c r="U29" s="3">
        <f t="shared" ref="U29:V29" si="10">_xlfn.STDEV.S(U4:U18)</f>
        <v>1.0721616377340553E-2</v>
      </c>
      <c r="V29" s="3">
        <f t="shared" si="10"/>
        <v>3.2155155833112685</v>
      </c>
    </row>
  </sheetData>
  <mergeCells count="11">
    <mergeCell ref="T26:V26"/>
    <mergeCell ref="T28:V28"/>
    <mergeCell ref="X2:Z2"/>
    <mergeCell ref="AA2:AC2"/>
    <mergeCell ref="A1:V1"/>
    <mergeCell ref="T24:V24"/>
    <mergeCell ref="J2:O2"/>
    <mergeCell ref="P2:S2"/>
    <mergeCell ref="T2:V2"/>
    <mergeCell ref="H2:I2"/>
    <mergeCell ref="A2:G2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B4A24-01F9-43FA-AE7F-5A1710EEAA53}">
  <dimension ref="A1:Y17"/>
  <sheetViews>
    <sheetView workbookViewId="0">
      <selection activeCell="Q23" sqref="Q23"/>
    </sheetView>
  </sheetViews>
  <sheetFormatPr defaultRowHeight="14.5" x14ac:dyDescent="0.35"/>
  <cols>
    <col min="4" max="4" width="10.81640625" bestFit="1" customWidth="1"/>
  </cols>
  <sheetData>
    <row r="1" spans="1:25" ht="16" x14ac:dyDescent="0.4">
      <c r="A1" s="27" t="s">
        <v>17</v>
      </c>
      <c r="B1" s="27"/>
      <c r="C1" s="27"/>
      <c r="D1" s="27"/>
      <c r="E1" s="27"/>
      <c r="F1" s="27"/>
      <c r="G1" s="28"/>
      <c r="H1" s="23" t="s">
        <v>6</v>
      </c>
      <c r="I1" s="24"/>
      <c r="J1" s="24"/>
      <c r="K1" s="24"/>
      <c r="L1" s="24"/>
      <c r="M1" s="24"/>
      <c r="N1" s="25" t="s">
        <v>18</v>
      </c>
      <c r="O1" s="26"/>
      <c r="P1" s="26"/>
      <c r="Q1" s="26"/>
      <c r="R1" s="26"/>
      <c r="S1" s="26"/>
      <c r="T1" s="29" t="s">
        <v>23</v>
      </c>
      <c r="U1" s="30"/>
      <c r="V1" s="30"/>
      <c r="W1" s="30"/>
      <c r="X1" s="30"/>
      <c r="Y1" s="31"/>
    </row>
    <row r="2" spans="1:25" ht="16" x14ac:dyDescent="0.4">
      <c r="A2" s="6" t="s">
        <v>7</v>
      </c>
      <c r="B2" s="6" t="s">
        <v>8</v>
      </c>
      <c r="C2" s="6" t="s">
        <v>41</v>
      </c>
      <c r="D2" s="6" t="s">
        <v>42</v>
      </c>
      <c r="E2" s="6" t="s">
        <v>14</v>
      </c>
      <c r="F2" s="6" t="s">
        <v>15</v>
      </c>
      <c r="G2" s="6" t="s">
        <v>16</v>
      </c>
      <c r="H2" s="7" t="s">
        <v>3</v>
      </c>
      <c r="I2" s="6" t="s">
        <v>4</v>
      </c>
      <c r="J2" s="6" t="s">
        <v>5</v>
      </c>
      <c r="K2" s="6" t="s">
        <v>0</v>
      </c>
      <c r="L2" s="6" t="s">
        <v>1</v>
      </c>
      <c r="M2" s="6" t="s">
        <v>2</v>
      </c>
      <c r="N2" s="8" t="s">
        <v>3</v>
      </c>
      <c r="O2" s="6" t="s">
        <v>4</v>
      </c>
      <c r="P2" s="6" t="s">
        <v>5</v>
      </c>
      <c r="Q2" s="6" t="s">
        <v>0</v>
      </c>
      <c r="R2" s="6" t="s">
        <v>1</v>
      </c>
      <c r="S2" s="6" t="s">
        <v>2</v>
      </c>
      <c r="T2" s="6" t="s">
        <v>3</v>
      </c>
      <c r="U2" s="6" t="s">
        <v>4</v>
      </c>
      <c r="V2" s="6" t="s">
        <v>5</v>
      </c>
      <c r="W2" s="6" t="s">
        <v>0</v>
      </c>
      <c r="X2" s="6" t="s">
        <v>1</v>
      </c>
      <c r="Y2" s="6" t="s">
        <v>2</v>
      </c>
    </row>
    <row r="3" spans="1:25" x14ac:dyDescent="0.35">
      <c r="A3" s="18">
        <v>0.7</v>
      </c>
      <c r="B3" s="18">
        <v>0.14000000000000001</v>
      </c>
      <c r="C3" s="18">
        <v>1.571</v>
      </c>
      <c r="D3" s="18">
        <v>0.78500000000000003</v>
      </c>
      <c r="E3" s="18">
        <v>1.4</v>
      </c>
      <c r="F3" s="18">
        <v>0</v>
      </c>
      <c r="G3" s="18">
        <v>0</v>
      </c>
      <c r="H3" s="20">
        <v>6.98671909049153E-4</v>
      </c>
      <c r="I3" s="20">
        <v>-0.12202821671962701</v>
      </c>
      <c r="J3" s="20">
        <v>-3.2366467639803899E-3</v>
      </c>
      <c r="K3" s="20">
        <v>0.37189677357673601</v>
      </c>
      <c r="L3" s="20">
        <v>-5.3712725639343296E-3</v>
      </c>
      <c r="M3" s="20">
        <v>0.55187070369720503</v>
      </c>
      <c r="N3" s="20">
        <v>2.5787867677616715E-3</v>
      </c>
      <c r="O3" s="20">
        <v>-0.13208672274347444</v>
      </c>
      <c r="P3" s="20">
        <v>5.8244073154007812E-3</v>
      </c>
      <c r="Q3" s="20">
        <v>0.3187407179240575</v>
      </c>
      <c r="R3" s="20">
        <v>3.364049287741272E-2</v>
      </c>
      <c r="S3" s="20">
        <v>0.62230890891075519</v>
      </c>
      <c r="T3" s="17">
        <f t="shared" ref="T3:Y17" si="0">ABS(H3-N3)</f>
        <v>1.8801148587125186E-3</v>
      </c>
      <c r="U3" s="17">
        <f t="shared" si="0"/>
        <v>1.0058506023847433E-2</v>
      </c>
      <c r="V3" s="17">
        <f t="shared" si="0"/>
        <v>9.0610540793811707E-3</v>
      </c>
      <c r="W3" s="17">
        <f t="shared" si="0"/>
        <v>5.3156055652678502E-2</v>
      </c>
      <c r="X3" s="17">
        <f t="shared" si="0"/>
        <v>3.9011765441347046E-2</v>
      </c>
      <c r="Y3" s="17">
        <f t="shared" si="0"/>
        <v>7.0438205213550154E-2</v>
      </c>
    </row>
    <row r="4" spans="1:25" x14ac:dyDescent="0.35">
      <c r="A4" s="18">
        <v>0.3</v>
      </c>
      <c r="B4" s="18">
        <v>0.06</v>
      </c>
      <c r="C4" s="18">
        <v>1.571</v>
      </c>
      <c r="D4" s="18">
        <v>1.571</v>
      </c>
      <c r="E4" s="18">
        <v>0</v>
      </c>
      <c r="F4" s="18">
        <v>0</v>
      </c>
      <c r="G4" s="18">
        <v>0</v>
      </c>
      <c r="H4" s="20">
        <v>-3.4992315340787199E-4</v>
      </c>
      <c r="I4" s="20">
        <v>-4.4687353074550601E-2</v>
      </c>
      <c r="J4" s="20">
        <v>4.3301115510985303E-5</v>
      </c>
      <c r="K4" s="20">
        <v>-1.78173277527094E-3</v>
      </c>
      <c r="L4" s="20">
        <v>3.9914771914482099E-3</v>
      </c>
      <c r="M4" s="20">
        <v>0.286231309175491</v>
      </c>
      <c r="N4" s="20">
        <v>1.494499847778209E-23</v>
      </c>
      <c r="O4" s="20">
        <v>-4.4950326032990831E-2</v>
      </c>
      <c r="P4" s="20">
        <v>-9.1551771001730594E-6</v>
      </c>
      <c r="Q4" s="20">
        <v>-8.5121069368068528E-3</v>
      </c>
      <c r="R4" s="20">
        <v>-6.1077351384218026E-5</v>
      </c>
      <c r="S4" s="20">
        <v>0.29987916431460937</v>
      </c>
      <c r="T4" s="17">
        <f t="shared" si="0"/>
        <v>3.4992315340787199E-4</v>
      </c>
      <c r="U4" s="17">
        <f t="shared" si="0"/>
        <v>2.6297295844023016E-4</v>
      </c>
      <c r="V4" s="17">
        <f t="shared" si="0"/>
        <v>5.245629261115836E-5</v>
      </c>
      <c r="W4" s="17">
        <f t="shared" si="0"/>
        <v>6.730374161535913E-3</v>
      </c>
      <c r="X4" s="17">
        <f t="shared" si="0"/>
        <v>4.0525545428324282E-3</v>
      </c>
      <c r="Y4" s="17">
        <f t="shared" si="0"/>
        <v>1.364785513911837E-2</v>
      </c>
    </row>
    <row r="5" spans="1:25" x14ac:dyDescent="0.35">
      <c r="A5" s="18">
        <v>0.4</v>
      </c>
      <c r="B5" s="18">
        <v>0.08</v>
      </c>
      <c r="C5" s="18">
        <v>2.3559999999999999</v>
      </c>
      <c r="D5" s="18">
        <v>0.52400000000000002</v>
      </c>
      <c r="E5" s="18">
        <v>1.4</v>
      </c>
      <c r="F5" s="18">
        <v>0</v>
      </c>
      <c r="G5" s="18">
        <v>0</v>
      </c>
      <c r="H5" s="20">
        <v>-1.44779565744102E-4</v>
      </c>
      <c r="I5" s="20">
        <v>-2.2709889337420502E-2</v>
      </c>
      <c r="J5" s="20">
        <v>-2.47002802789211E-2</v>
      </c>
      <c r="K5" s="20">
        <v>0.37153226137161299</v>
      </c>
      <c r="L5" s="20">
        <v>-0.145699113607407</v>
      </c>
      <c r="M5" s="20">
        <v>0.141014218330383</v>
      </c>
      <c r="N5" s="20">
        <v>3.6914386131118719E-4</v>
      </c>
      <c r="O5" s="20">
        <v>-2.6089227057806145E-2</v>
      </c>
      <c r="P5" s="20">
        <v>-2.3130061105590891E-2</v>
      </c>
      <c r="Q5" s="20">
        <v>0.3416243160199931</v>
      </c>
      <c r="R5" s="20">
        <v>-0.13532486427896148</v>
      </c>
      <c r="S5" s="20">
        <v>0.15804753852551109</v>
      </c>
      <c r="T5" s="17">
        <f t="shared" si="0"/>
        <v>5.1392342705528925E-4</v>
      </c>
      <c r="U5" s="17">
        <f t="shared" si="0"/>
        <v>3.3793377203856431E-3</v>
      </c>
      <c r="V5" s="17">
        <f t="shared" si="0"/>
        <v>1.570219173330209E-3</v>
      </c>
      <c r="W5" s="17">
        <f t="shared" si="0"/>
        <v>2.9907945351619891E-2</v>
      </c>
      <c r="X5" s="17">
        <f t="shared" si="0"/>
        <v>1.0374249328445523E-2</v>
      </c>
      <c r="Y5" s="17">
        <f t="shared" si="0"/>
        <v>1.7033320195128099E-2</v>
      </c>
    </row>
    <row r="6" spans="1:25" x14ac:dyDescent="0.35">
      <c r="A6" s="18">
        <v>0.4</v>
      </c>
      <c r="B6" s="18">
        <v>0.2</v>
      </c>
      <c r="C6" s="18">
        <v>2.3559999999999999</v>
      </c>
      <c r="D6" s="18">
        <v>0.78500000000000003</v>
      </c>
      <c r="E6" s="18">
        <v>0</v>
      </c>
      <c r="F6" s="18">
        <v>0</v>
      </c>
      <c r="G6" s="18">
        <v>0</v>
      </c>
      <c r="H6" s="20">
        <v>9.3833426944911494E-5</v>
      </c>
      <c r="I6" s="20">
        <v>-5.1531359553337097E-2</v>
      </c>
      <c r="J6" s="20">
        <v>-5.3816821426153197E-2</v>
      </c>
      <c r="K6" s="20">
        <v>0.240476429462433</v>
      </c>
      <c r="L6" s="20">
        <v>-0.18773703277111101</v>
      </c>
      <c r="M6" s="20">
        <v>0.19507205486297599</v>
      </c>
      <c r="N6" s="20">
        <v>-2.4396936287641076E-19</v>
      </c>
      <c r="O6" s="20">
        <v>-6.567817720742225E-2</v>
      </c>
      <c r="P6" s="20">
        <v>-6.5652634652240791E-2</v>
      </c>
      <c r="Q6" s="20">
        <v>0.18519494211795448</v>
      </c>
      <c r="R6" s="20">
        <v>-0.25065308201113884</v>
      </c>
      <c r="S6" s="20">
        <v>0.25075060011094691</v>
      </c>
      <c r="T6" s="17">
        <f t="shared" si="0"/>
        <v>9.3833426944911737E-5</v>
      </c>
      <c r="U6" s="17">
        <f t="shared" si="0"/>
        <v>1.4146817654085153E-2</v>
      </c>
      <c r="V6" s="17">
        <f t="shared" si="0"/>
        <v>1.1835813226087594E-2</v>
      </c>
      <c r="W6" s="17">
        <f t="shared" si="0"/>
        <v>5.5281487344478519E-2</v>
      </c>
      <c r="X6" s="17">
        <f t="shared" si="0"/>
        <v>6.2916049240027833E-2</v>
      </c>
      <c r="Y6" s="17">
        <f t="shared" si="0"/>
        <v>5.5678545247970918E-2</v>
      </c>
    </row>
    <row r="7" spans="1:25" x14ac:dyDescent="0.35">
      <c r="A7" s="18">
        <v>0.8</v>
      </c>
      <c r="B7" s="18">
        <v>0.1</v>
      </c>
      <c r="C7" s="18">
        <v>2.3559999999999999</v>
      </c>
      <c r="D7" s="18">
        <v>1.0469999999999999</v>
      </c>
      <c r="E7" s="18">
        <v>0</v>
      </c>
      <c r="F7" s="18">
        <v>0</v>
      </c>
      <c r="G7" s="18">
        <v>0</v>
      </c>
      <c r="H7" s="20">
        <v>-4.4502015225589302E-4</v>
      </c>
      <c r="I7" s="20">
        <v>-0.103923052549362</v>
      </c>
      <c r="J7" s="20">
        <v>-0.113764069974422</v>
      </c>
      <c r="K7" s="20">
        <v>0.34864503145217901</v>
      </c>
      <c r="L7" s="20">
        <v>-0.591894090175629</v>
      </c>
      <c r="M7" s="20">
        <v>0.56364732980728105</v>
      </c>
      <c r="N7" s="20">
        <v>-6.5201141213235506E-19</v>
      </c>
      <c r="O7" s="20">
        <v>-9.8625227823604028E-2</v>
      </c>
      <c r="P7" s="20">
        <v>-9.8586872003892254E-2</v>
      </c>
      <c r="Q7" s="20">
        <v>0.26552499603872382</v>
      </c>
      <c r="R7" s="20">
        <v>-0.53351334716791143</v>
      </c>
      <c r="S7" s="20">
        <v>0.53372091376721464</v>
      </c>
      <c r="T7" s="17">
        <f t="shared" si="0"/>
        <v>4.4502015225589237E-4</v>
      </c>
      <c r="U7" s="17">
        <f t="shared" si="0"/>
        <v>5.2978247257579741E-3</v>
      </c>
      <c r="V7" s="17">
        <f t="shared" si="0"/>
        <v>1.5177197970529743E-2</v>
      </c>
      <c r="W7" s="17">
        <f t="shared" si="0"/>
        <v>8.3120035413455196E-2</v>
      </c>
      <c r="X7" s="17">
        <f t="shared" si="0"/>
        <v>5.8380743007717562E-2</v>
      </c>
      <c r="Y7" s="17">
        <f t="shared" si="0"/>
        <v>2.9926416040066406E-2</v>
      </c>
    </row>
    <row r="8" spans="1:25" x14ac:dyDescent="0.35">
      <c r="A8" s="18">
        <v>0.7</v>
      </c>
      <c r="B8" s="18">
        <v>0.18</v>
      </c>
      <c r="C8" s="18">
        <v>2.3559999999999999</v>
      </c>
      <c r="D8" s="18">
        <v>1.0469999999999999</v>
      </c>
      <c r="E8" s="18">
        <v>1.4</v>
      </c>
      <c r="F8" s="18">
        <v>0</v>
      </c>
      <c r="G8" s="18">
        <v>0</v>
      </c>
      <c r="H8" s="20">
        <v>1.9051980000000001E-3</v>
      </c>
      <c r="I8" s="20">
        <v>-0.11076053199999999</v>
      </c>
      <c r="J8" s="20">
        <v>-0.130388632</v>
      </c>
      <c r="K8" s="20">
        <v>0.142369151</v>
      </c>
      <c r="L8" s="20">
        <v>-0.47970119100000003</v>
      </c>
      <c r="M8" s="20">
        <v>0.43018263600000001</v>
      </c>
      <c r="N8" s="20">
        <v>5.8744905899660044E-3</v>
      </c>
      <c r="O8" s="20">
        <v>-0.13189048818659782</v>
      </c>
      <c r="P8" s="20">
        <v>-0.12217232152508256</v>
      </c>
      <c r="Q8" s="20">
        <v>6.1072751798252802E-3</v>
      </c>
      <c r="R8" s="20">
        <v>-0.47554113392638969</v>
      </c>
      <c r="S8" s="20">
        <v>0.51363627061923778</v>
      </c>
      <c r="T8" s="17">
        <f t="shared" si="0"/>
        <v>3.9692925899660041E-3</v>
      </c>
      <c r="U8" s="17">
        <f t="shared" si="0"/>
        <v>2.1129956186597826E-2</v>
      </c>
      <c r="V8" s="17">
        <f t="shared" si="0"/>
        <v>8.2163104749174432E-3</v>
      </c>
      <c r="W8" s="17">
        <f t="shared" si="0"/>
        <v>0.13626187582017471</v>
      </c>
      <c r="X8" s="17">
        <f t="shared" si="0"/>
        <v>4.1600570736103348E-3</v>
      </c>
      <c r="Y8" s="17">
        <f t="shared" si="0"/>
        <v>8.3453634619237771E-2</v>
      </c>
    </row>
    <row r="9" spans="1:25" x14ac:dyDescent="0.35">
      <c r="A9" s="18">
        <v>0.7</v>
      </c>
      <c r="B9" s="18">
        <v>0.08</v>
      </c>
      <c r="C9" s="18">
        <v>3.1419999999999999</v>
      </c>
      <c r="D9" s="18">
        <v>1.571</v>
      </c>
      <c r="E9" s="18">
        <v>0</v>
      </c>
      <c r="F9" s="18">
        <v>0</v>
      </c>
      <c r="G9" s="18">
        <v>0</v>
      </c>
      <c r="H9" s="20">
        <v>-1.2491350062191499E-3</v>
      </c>
      <c r="I9" s="20">
        <v>1.1835042387247101E-3</v>
      </c>
      <c r="J9" s="20">
        <v>-0.12853877246379899</v>
      </c>
      <c r="K9" s="20">
        <v>-4.8892773687839501E-2</v>
      </c>
      <c r="L9" s="20">
        <v>-0.72314238548278797</v>
      </c>
      <c r="M9" s="20">
        <v>5.8930516242981E-3</v>
      </c>
      <c r="N9" s="20">
        <v>4.5801664250703241E-22</v>
      </c>
      <c r="O9" s="20">
        <v>4.8254721953885884E-5</v>
      </c>
      <c r="P9" s="20">
        <v>-0.11846113793028826</v>
      </c>
      <c r="Q9" s="20">
        <v>-8.1543560569204657E-2</v>
      </c>
      <c r="R9" s="20">
        <v>-0.69523331610830008</v>
      </c>
      <c r="S9" s="20">
        <v>-2.8320081123673247E-4</v>
      </c>
      <c r="T9" s="17">
        <f t="shared" si="0"/>
        <v>1.2491350062191499E-3</v>
      </c>
      <c r="U9" s="17">
        <f t="shared" si="0"/>
        <v>1.1352495167708241E-3</v>
      </c>
      <c r="V9" s="17">
        <f t="shared" si="0"/>
        <v>1.0077634533510738E-2</v>
      </c>
      <c r="W9" s="17">
        <f t="shared" si="0"/>
        <v>3.2650786881365156E-2</v>
      </c>
      <c r="X9" s="17">
        <f t="shared" si="0"/>
        <v>2.7909069374487894E-2</v>
      </c>
      <c r="Y9" s="17">
        <f t="shared" si="0"/>
        <v>6.1762524355348323E-3</v>
      </c>
    </row>
    <row r="10" spans="1:25" x14ac:dyDescent="0.35">
      <c r="A10" s="18">
        <v>0.4</v>
      </c>
      <c r="B10" s="18">
        <v>0.16</v>
      </c>
      <c r="C10" s="18">
        <v>3.1419999999999999</v>
      </c>
      <c r="D10" s="18">
        <v>1.571</v>
      </c>
      <c r="E10" s="18">
        <v>1.4</v>
      </c>
      <c r="F10" s="18">
        <v>0</v>
      </c>
      <c r="G10" s="18">
        <v>0</v>
      </c>
      <c r="H10" s="20">
        <v>1.3951195869594799E-3</v>
      </c>
      <c r="I10" s="20">
        <v>3.4124546218663502E-3</v>
      </c>
      <c r="J10" s="20">
        <v>-0.112820729613304</v>
      </c>
      <c r="K10" s="20">
        <v>-4.2202740907669102E-2</v>
      </c>
      <c r="L10" s="20">
        <v>-0.417444437742233</v>
      </c>
      <c r="M10" s="20">
        <v>-3.7499666213989301E-3</v>
      </c>
      <c r="N10" s="20">
        <v>1.5142151696091893E-3</v>
      </c>
      <c r="O10" s="20">
        <v>-1.0686885237119154E-5</v>
      </c>
      <c r="P10" s="20">
        <v>-9.9246016845769641E-2</v>
      </c>
      <c r="Q10" s="20">
        <v>-7.4825408482952618E-2</v>
      </c>
      <c r="R10" s="20">
        <v>-0.39293692809662911</v>
      </c>
      <c r="S10" s="20">
        <v>-1.0993128840352433E-3</v>
      </c>
      <c r="T10" s="17">
        <f t="shared" si="0"/>
        <v>1.1909558264970935E-4</v>
      </c>
      <c r="U10" s="17">
        <f t="shared" si="0"/>
        <v>3.4231415071034692E-3</v>
      </c>
      <c r="V10" s="17">
        <f t="shared" si="0"/>
        <v>1.3574712767534358E-2</v>
      </c>
      <c r="W10" s="17">
        <f t="shared" si="0"/>
        <v>3.2622667575283516E-2</v>
      </c>
      <c r="X10" s="17">
        <f t="shared" si="0"/>
        <v>2.4507509645603887E-2</v>
      </c>
      <c r="Y10" s="17">
        <f t="shared" si="0"/>
        <v>2.6506537373636868E-3</v>
      </c>
    </row>
    <row r="11" spans="1:25" x14ac:dyDescent="0.35">
      <c r="A11" s="18">
        <v>0.7</v>
      </c>
      <c r="B11" s="18">
        <v>0.18</v>
      </c>
      <c r="C11" s="18">
        <v>3.927</v>
      </c>
      <c r="D11" s="18">
        <v>0.52400000000000002</v>
      </c>
      <c r="E11" s="18">
        <v>0</v>
      </c>
      <c r="F11" s="18">
        <v>0</v>
      </c>
      <c r="G11" s="18">
        <v>0</v>
      </c>
      <c r="H11" s="20">
        <v>-9.7516691312193898E-5</v>
      </c>
      <c r="I11" s="20">
        <v>6.3756838440895094E-2</v>
      </c>
      <c r="J11" s="20">
        <v>-6.7828088998794597E-2</v>
      </c>
      <c r="K11" s="20">
        <v>0.525340616703033</v>
      </c>
      <c r="L11" s="20">
        <v>-0.27887076139450101</v>
      </c>
      <c r="M11" s="20">
        <v>-0.25877004861831698</v>
      </c>
      <c r="N11" s="20">
        <v>1.2569158172864712E-19</v>
      </c>
      <c r="O11" s="20">
        <v>8.5924146746999081E-2</v>
      </c>
      <c r="P11" s="20">
        <v>-8.5922568676418731E-2</v>
      </c>
      <c r="Q11" s="20">
        <v>0.46134049280848066</v>
      </c>
      <c r="R11" s="20">
        <v>-0.37226314059225146</v>
      </c>
      <c r="S11" s="20">
        <v>-0.3722699776493763</v>
      </c>
      <c r="T11" s="17">
        <f t="shared" si="0"/>
        <v>9.751669131219402E-5</v>
      </c>
      <c r="U11" s="17">
        <f t="shared" si="0"/>
        <v>2.2167308306103986E-2</v>
      </c>
      <c r="V11" s="17">
        <f t="shared" si="0"/>
        <v>1.8094479677624134E-2</v>
      </c>
      <c r="W11" s="17">
        <f t="shared" si="0"/>
        <v>6.4000123894552341E-2</v>
      </c>
      <c r="X11" s="17">
        <f t="shared" si="0"/>
        <v>9.3392379197750452E-2</v>
      </c>
      <c r="Y11" s="17">
        <f t="shared" si="0"/>
        <v>0.11349992903105932</v>
      </c>
    </row>
    <row r="12" spans="1:25" x14ac:dyDescent="0.35">
      <c r="A12" s="18">
        <v>0.3</v>
      </c>
      <c r="B12" s="18">
        <v>0.1</v>
      </c>
      <c r="C12" s="18">
        <v>3.927</v>
      </c>
      <c r="D12" s="18">
        <v>0.78500000000000003</v>
      </c>
      <c r="E12" s="18">
        <v>1.4</v>
      </c>
      <c r="F12" s="18">
        <v>0</v>
      </c>
      <c r="G12" s="18">
        <v>0</v>
      </c>
      <c r="H12" s="20">
        <v>-4.7630793415010003E-4</v>
      </c>
      <c r="I12" s="20">
        <v>2.59361006319523E-2</v>
      </c>
      <c r="J12" s="20">
        <v>-2.8502099215984299E-2</v>
      </c>
      <c r="K12" s="20">
        <v>0.25695684552192699</v>
      </c>
      <c r="L12" s="20">
        <v>-0.14679136872291601</v>
      </c>
      <c r="M12" s="20">
        <v>-0.135155409574509</v>
      </c>
      <c r="N12" s="20">
        <v>-1.6372468824710359E-4</v>
      </c>
      <c r="O12" s="20">
        <v>2.8646764310937781E-2</v>
      </c>
      <c r="P12" s="20">
        <v>-2.7986501267242232E-2</v>
      </c>
      <c r="Q12" s="20">
        <v>0.21254363126696107</v>
      </c>
      <c r="R12" s="20">
        <v>-0.14733237355599527</v>
      </c>
      <c r="S12" s="20">
        <v>-0.15204563814068989</v>
      </c>
      <c r="T12" s="17">
        <f t="shared" si="0"/>
        <v>3.1258324590299644E-4</v>
      </c>
      <c r="U12" s="17">
        <f t="shared" si="0"/>
        <v>2.710663678985481E-3</v>
      </c>
      <c r="V12" s="17">
        <f t="shared" si="0"/>
        <v>5.1559794874206713E-4</v>
      </c>
      <c r="W12" s="17">
        <f t="shared" si="0"/>
        <v>4.4413214254965916E-2</v>
      </c>
      <c r="X12" s="17">
        <f t="shared" si="0"/>
        <v>5.4100483307925606E-4</v>
      </c>
      <c r="Y12" s="17">
        <f t="shared" si="0"/>
        <v>1.6890228566180887E-2</v>
      </c>
    </row>
    <row r="13" spans="1:25" x14ac:dyDescent="0.35">
      <c r="A13" s="18">
        <v>0.6</v>
      </c>
      <c r="B13" s="18">
        <v>0.06</v>
      </c>
      <c r="C13" s="18">
        <v>3.927</v>
      </c>
      <c r="D13" s="18">
        <v>1.0469999999999999</v>
      </c>
      <c r="E13" s="18">
        <v>1.4</v>
      </c>
      <c r="F13" s="18">
        <v>0</v>
      </c>
      <c r="G13" s="18">
        <v>0</v>
      </c>
      <c r="H13" s="20">
        <v>-9.3124201521277395E-4</v>
      </c>
      <c r="I13" s="20">
        <v>6.09082244336605E-2</v>
      </c>
      <c r="J13" s="20">
        <v>-6.5952822566032396E-2</v>
      </c>
      <c r="K13" s="20">
        <v>0.391236692667007</v>
      </c>
      <c r="L13" s="20">
        <v>-0.43392634391784701</v>
      </c>
      <c r="M13" s="20">
        <v>-0.39902776479721103</v>
      </c>
      <c r="N13" s="20">
        <v>-1.4374965089788497E-4</v>
      </c>
      <c r="O13" s="20">
        <v>5.5564588604863886E-2</v>
      </c>
      <c r="P13" s="20">
        <v>-5.5089972135175372E-2</v>
      </c>
      <c r="Q13" s="20">
        <v>0.29245613753683569</v>
      </c>
      <c r="R13" s="20">
        <v>-0.36848237100366715</v>
      </c>
      <c r="S13" s="20">
        <v>-0.37240942780979464</v>
      </c>
      <c r="T13" s="17">
        <f t="shared" si="0"/>
        <v>7.8749236431488901E-4</v>
      </c>
      <c r="U13" s="17">
        <f t="shared" si="0"/>
        <v>5.343635828796614E-3</v>
      </c>
      <c r="V13" s="17">
        <f t="shared" si="0"/>
        <v>1.0862850430857024E-2</v>
      </c>
      <c r="W13" s="17">
        <f t="shared" si="0"/>
        <v>9.878055513017131E-2</v>
      </c>
      <c r="X13" s="17">
        <f t="shared" si="0"/>
        <v>6.544397291417986E-2</v>
      </c>
      <c r="Y13" s="17">
        <f t="shared" si="0"/>
        <v>2.6618336987416391E-2</v>
      </c>
    </row>
    <row r="14" spans="1:25" x14ac:dyDescent="0.35">
      <c r="A14" s="18">
        <v>0.4</v>
      </c>
      <c r="B14" s="18">
        <v>0.16</v>
      </c>
      <c r="C14" s="18">
        <v>3.927</v>
      </c>
      <c r="D14" s="18">
        <v>1.0469999999999999</v>
      </c>
      <c r="E14" s="18">
        <v>0</v>
      </c>
      <c r="F14" s="18">
        <v>0</v>
      </c>
      <c r="G14" s="18">
        <v>0</v>
      </c>
      <c r="H14" s="20">
        <v>-2.4879071861505498E-4</v>
      </c>
      <c r="I14" s="20">
        <v>5.3856808692216901E-2</v>
      </c>
      <c r="J14" s="20">
        <v>-5.7678617537021602E-2</v>
      </c>
      <c r="K14" s="20">
        <v>0.14910565316677099</v>
      </c>
      <c r="L14" s="20">
        <v>-0.22375991940498399</v>
      </c>
      <c r="M14" s="20">
        <v>-0.20584329962730399</v>
      </c>
      <c r="N14" s="20">
        <v>-1.2518597096840219E-18</v>
      </c>
      <c r="O14" s="20">
        <v>6.5237777603792207E-2</v>
      </c>
      <c r="P14" s="20">
        <v>-6.5236579456106641E-2</v>
      </c>
      <c r="Q14" s="20">
        <v>0.11248241702851622</v>
      </c>
      <c r="R14" s="20">
        <v>-0.27142671653627698</v>
      </c>
      <c r="S14" s="20">
        <v>-0.27143170161205693</v>
      </c>
      <c r="T14" s="17">
        <f t="shared" si="0"/>
        <v>2.4879071861505373E-4</v>
      </c>
      <c r="U14" s="17">
        <f t="shared" si="0"/>
        <v>1.1380968911575307E-2</v>
      </c>
      <c r="V14" s="17">
        <f t="shared" si="0"/>
        <v>7.5579619190850392E-3</v>
      </c>
      <c r="W14" s="17">
        <f t="shared" si="0"/>
        <v>3.6623236138254772E-2</v>
      </c>
      <c r="X14" s="17">
        <f t="shared" si="0"/>
        <v>4.7666797131292987E-2</v>
      </c>
      <c r="Y14" s="17">
        <f t="shared" si="0"/>
        <v>6.5588401984752936E-2</v>
      </c>
    </row>
    <row r="15" spans="1:25" x14ac:dyDescent="0.35">
      <c r="A15" s="18">
        <v>0.8</v>
      </c>
      <c r="B15" s="18">
        <v>0.06</v>
      </c>
      <c r="C15" s="18">
        <v>4.7119999999999997</v>
      </c>
      <c r="D15" s="18">
        <v>0.78500000000000003</v>
      </c>
      <c r="E15" s="18">
        <v>0</v>
      </c>
      <c r="F15" s="18">
        <v>0</v>
      </c>
      <c r="G15" s="18">
        <v>0</v>
      </c>
      <c r="H15" s="20">
        <v>-8.1355357542633999E-4</v>
      </c>
      <c r="I15" s="20">
        <v>0.109302945435047</v>
      </c>
      <c r="J15" s="20">
        <v>-9.5806457102298704E-4</v>
      </c>
      <c r="K15" s="20">
        <v>0.61643946170806896</v>
      </c>
      <c r="L15" s="20">
        <v>-9.5924139022827096E-3</v>
      </c>
      <c r="M15" s="20">
        <v>-0.74946981668472301</v>
      </c>
      <c r="N15" s="20">
        <v>1.7486654921155865E-22</v>
      </c>
      <c r="O15" s="20">
        <v>8.8012694436971989E-2</v>
      </c>
      <c r="P15" s="20">
        <v>-3.4235213466368205E-5</v>
      </c>
      <c r="Q15" s="20">
        <v>0.53476932149840273</v>
      </c>
      <c r="R15" s="20">
        <v>-2.3144204426495354E-4</v>
      </c>
      <c r="S15" s="20">
        <v>-0.59499666744506552</v>
      </c>
      <c r="T15" s="17">
        <f t="shared" si="0"/>
        <v>8.1355357542633999E-4</v>
      </c>
      <c r="U15" s="17">
        <f t="shared" si="0"/>
        <v>2.1290250998075008E-2</v>
      </c>
      <c r="V15" s="17">
        <f t="shared" si="0"/>
        <v>9.2382935755661879E-4</v>
      </c>
      <c r="W15" s="17">
        <f t="shared" si="0"/>
        <v>8.1670140209666231E-2</v>
      </c>
      <c r="X15" s="17">
        <f t="shared" si="0"/>
        <v>9.3609718580177567E-3</v>
      </c>
      <c r="Y15" s="17">
        <f t="shared" si="0"/>
        <v>0.15447314923965749</v>
      </c>
    </row>
    <row r="16" spans="1:25" x14ac:dyDescent="0.35">
      <c r="A16" s="18">
        <v>0.5</v>
      </c>
      <c r="B16" s="18">
        <v>0.1</v>
      </c>
      <c r="C16" s="18">
        <v>4.7119999999999997</v>
      </c>
      <c r="D16" s="18">
        <v>1.0469999999999999</v>
      </c>
      <c r="E16" s="18">
        <v>0</v>
      </c>
      <c r="F16" s="18">
        <v>0</v>
      </c>
      <c r="G16" s="18">
        <v>0</v>
      </c>
      <c r="H16" s="20">
        <v>-7.3147960938513301E-4</v>
      </c>
      <c r="I16" s="20">
        <v>8.4560625255107894E-2</v>
      </c>
      <c r="J16" s="20">
        <v>-6.7205965751782103E-4</v>
      </c>
      <c r="K16" s="20">
        <v>0.244871556758881</v>
      </c>
      <c r="L16" s="20">
        <v>-5.1593184471130397E-3</v>
      </c>
      <c r="M16" s="20">
        <v>-0.443679749965668</v>
      </c>
      <c r="N16" s="20">
        <v>2.556733407603453E-22</v>
      </c>
      <c r="O16" s="20">
        <v>8.5505849026659878E-2</v>
      </c>
      <c r="P16" s="20">
        <v>-3.3260099725126272E-5</v>
      </c>
      <c r="Q16" s="20">
        <v>0.19866354979713277</v>
      </c>
      <c r="R16" s="20">
        <v>-1.78479054238076E-4</v>
      </c>
      <c r="S16" s="20">
        <v>-0.4588381632113106</v>
      </c>
      <c r="T16" s="17">
        <f t="shared" si="0"/>
        <v>7.3147960938513301E-4</v>
      </c>
      <c r="U16" s="17">
        <f t="shared" si="0"/>
        <v>9.45223771551984E-4</v>
      </c>
      <c r="V16" s="17">
        <f t="shared" si="0"/>
        <v>6.3879955779269474E-4</v>
      </c>
      <c r="W16" s="17">
        <f t="shared" si="0"/>
        <v>4.6208006961748233E-2</v>
      </c>
      <c r="X16" s="17">
        <f t="shared" si="0"/>
        <v>4.9808393928749634E-3</v>
      </c>
      <c r="Y16" s="17">
        <f t="shared" si="0"/>
        <v>1.5158413245642599E-2</v>
      </c>
    </row>
    <row r="17" spans="1:25" x14ac:dyDescent="0.35">
      <c r="A17" s="18">
        <v>0.8</v>
      </c>
      <c r="B17" s="18">
        <v>0.2</v>
      </c>
      <c r="C17" s="18">
        <v>4.7119999999999997</v>
      </c>
      <c r="D17" s="18">
        <v>1.571</v>
      </c>
      <c r="E17" s="18">
        <v>1.4</v>
      </c>
      <c r="F17" s="18">
        <v>0</v>
      </c>
      <c r="G17" s="18">
        <v>0</v>
      </c>
      <c r="H17" s="20">
        <v>-1.0631438344717E-2</v>
      </c>
      <c r="I17" s="20">
        <v>0.203466981649399</v>
      </c>
      <c r="J17" s="20">
        <v>-9.3788113445043599E-3</v>
      </c>
      <c r="K17" s="20">
        <v>-0.43627014756202698</v>
      </c>
      <c r="L17" s="20">
        <v>-5.16471415758133E-2</v>
      </c>
      <c r="M17" s="20">
        <v>-0.57094836235046398</v>
      </c>
      <c r="N17" s="20">
        <v>-7.8606351910923498E-3</v>
      </c>
      <c r="O17" s="20">
        <v>0.20211787167080705</v>
      </c>
      <c r="P17" s="20">
        <v>1.2172509209495667E-4</v>
      </c>
      <c r="Q17" s="20">
        <v>-0.5447156053886808</v>
      </c>
      <c r="R17" s="20">
        <v>-2.0832083642786547E-2</v>
      </c>
      <c r="S17" s="20">
        <v>-0.58553459361846427</v>
      </c>
      <c r="T17" s="17">
        <f t="shared" si="0"/>
        <v>2.77080315362465E-3</v>
      </c>
      <c r="U17" s="17">
        <f t="shared" si="0"/>
        <v>1.3491099785919447E-3</v>
      </c>
      <c r="V17" s="17">
        <f t="shared" si="0"/>
        <v>9.5005364365993161E-3</v>
      </c>
      <c r="W17" s="17">
        <f t="shared" si="0"/>
        <v>0.10844545782665382</v>
      </c>
      <c r="X17" s="17">
        <f t="shared" si="0"/>
        <v>3.0815057933026753E-2</v>
      </c>
      <c r="Y17" s="17">
        <f t="shared" si="0"/>
        <v>1.4586231268000294E-2</v>
      </c>
    </row>
  </sheetData>
  <mergeCells count="4">
    <mergeCell ref="A1:G1"/>
    <mergeCell ref="H1:M1"/>
    <mergeCell ref="N1:S1"/>
    <mergeCell ref="T1:Y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6F75F-00D5-499A-8B94-C01DFDD9DEC2}">
  <dimension ref="A1:Z17"/>
  <sheetViews>
    <sheetView tabSelected="1" workbookViewId="0">
      <selection activeCell="H3" sqref="H3:M17"/>
    </sheetView>
  </sheetViews>
  <sheetFormatPr defaultRowHeight="14.5" x14ac:dyDescent="0.35"/>
  <cols>
    <col min="1" max="2" width="6.1796875" bestFit="1" customWidth="1"/>
    <col min="3" max="3" width="8.81640625" bestFit="1" customWidth="1"/>
    <col min="4" max="4" width="10.81640625" bestFit="1" customWidth="1"/>
    <col min="5" max="7" width="8.453125" bestFit="1" customWidth="1"/>
    <col min="8" max="9" width="8.1796875" bestFit="1" customWidth="1"/>
    <col min="10" max="13" width="8" bestFit="1" customWidth="1"/>
    <col min="14" max="15" width="7.26953125" bestFit="1" customWidth="1"/>
    <col min="16" max="16" width="8.81640625" bestFit="1" customWidth="1"/>
    <col min="17" max="17" width="10.81640625" bestFit="1" customWidth="1"/>
    <col min="18" max="18" width="15" customWidth="1"/>
    <col min="19" max="19" width="11.1796875" bestFit="1" customWidth="1"/>
    <col min="20" max="20" width="13.453125" bestFit="1" customWidth="1"/>
    <col min="21" max="21" width="11.7265625" bestFit="1" customWidth="1"/>
    <col min="22" max="22" width="11.7265625" customWidth="1"/>
    <col min="23" max="23" width="11.1796875" bestFit="1" customWidth="1"/>
    <col min="24" max="24" width="13.54296875" bestFit="1" customWidth="1"/>
    <col min="25" max="25" width="11.7265625" bestFit="1" customWidth="1"/>
    <col min="26" max="26" width="12.54296875" customWidth="1"/>
  </cols>
  <sheetData>
    <row r="1" spans="1:26" ht="16" x14ac:dyDescent="0.4">
      <c r="A1" s="35" t="s">
        <v>17</v>
      </c>
      <c r="B1" s="35"/>
      <c r="C1" s="35"/>
      <c r="D1" s="35"/>
      <c r="E1" s="35"/>
      <c r="F1" s="35"/>
      <c r="G1" s="35"/>
      <c r="H1" s="45" t="s">
        <v>6</v>
      </c>
      <c r="I1" s="45"/>
      <c r="J1" s="45"/>
      <c r="K1" s="45"/>
      <c r="L1" s="45"/>
      <c r="M1" s="45"/>
      <c r="N1" s="36" t="s">
        <v>11</v>
      </c>
      <c r="O1" s="36"/>
      <c r="P1" s="36"/>
      <c r="Q1" s="36"/>
      <c r="R1" s="36"/>
      <c r="S1" s="46" t="s">
        <v>22</v>
      </c>
      <c r="T1" s="46"/>
      <c r="U1" s="46"/>
      <c r="V1" s="16"/>
      <c r="W1" s="44" t="s">
        <v>46</v>
      </c>
      <c r="X1" s="44"/>
      <c r="Y1" s="44"/>
    </row>
    <row r="2" spans="1:26" ht="16" x14ac:dyDescent="0.4">
      <c r="A2" s="6" t="s">
        <v>7</v>
      </c>
      <c r="B2" s="6" t="s">
        <v>8</v>
      </c>
      <c r="C2" s="6" t="s">
        <v>41</v>
      </c>
      <c r="D2" s="6" t="s">
        <v>42</v>
      </c>
      <c r="E2" s="6" t="s">
        <v>14</v>
      </c>
      <c r="F2" s="6" t="s">
        <v>15</v>
      </c>
      <c r="G2" s="6" t="s">
        <v>16</v>
      </c>
      <c r="H2" s="6" t="s">
        <v>3</v>
      </c>
      <c r="I2" s="6" t="s">
        <v>4</v>
      </c>
      <c r="J2" s="6" t="s">
        <v>5</v>
      </c>
      <c r="K2" s="6" t="s">
        <v>0</v>
      </c>
      <c r="L2" s="6" t="s">
        <v>1</v>
      </c>
      <c r="M2" s="6" t="s">
        <v>2</v>
      </c>
      <c r="N2" s="6" t="s">
        <v>7</v>
      </c>
      <c r="O2" s="6" t="s">
        <v>8</v>
      </c>
      <c r="P2" s="6" t="s">
        <v>41</v>
      </c>
      <c r="Q2" s="6" t="s">
        <v>42</v>
      </c>
      <c r="R2" s="6" t="s">
        <v>43</v>
      </c>
      <c r="S2" s="6" t="s">
        <v>44</v>
      </c>
      <c r="T2" s="6" t="s">
        <v>45</v>
      </c>
      <c r="U2" s="12" t="s">
        <v>47</v>
      </c>
      <c r="V2" s="12" t="s">
        <v>48</v>
      </c>
      <c r="W2" s="6" t="s">
        <v>44</v>
      </c>
      <c r="X2" s="6" t="s">
        <v>45</v>
      </c>
      <c r="Y2" s="12" t="s">
        <v>47</v>
      </c>
      <c r="Z2" s="12" t="s">
        <v>48</v>
      </c>
    </row>
    <row r="3" spans="1:26" x14ac:dyDescent="0.35">
      <c r="A3" s="20">
        <f>'Proximal Validation (single)'!A3</f>
        <v>0.7</v>
      </c>
      <c r="B3" s="20">
        <f>'Proximal Validation (single)'!B3</f>
        <v>0.14000000000000001</v>
      </c>
      <c r="C3" s="20">
        <f>'Proximal Validation (single)'!C3</f>
        <v>1.571</v>
      </c>
      <c r="D3" s="20">
        <f>'Proximal Validation (single)'!D3</f>
        <v>0.78500000000000003</v>
      </c>
      <c r="E3" s="20">
        <f>'Proximal Validation (single)'!E3</f>
        <v>1.4</v>
      </c>
      <c r="F3" s="20">
        <f>'Proximal Validation (single)'!F3</f>
        <v>0</v>
      </c>
      <c r="G3" s="20">
        <f>'Proximal Validation (single)'!G3</f>
        <v>0</v>
      </c>
      <c r="H3" s="20">
        <f>'Proximal Validation (single)'!H3</f>
        <v>6.98671909049153E-4</v>
      </c>
      <c r="I3" s="20">
        <f>'Proximal Validation (single)'!I3</f>
        <v>-0.12202821671962701</v>
      </c>
      <c r="J3" s="20">
        <f>'Proximal Validation (single)'!J3</f>
        <v>-3.2366467639803899E-3</v>
      </c>
      <c r="K3" s="20">
        <f>'Proximal Validation (single)'!K3</f>
        <v>0.37189677357673601</v>
      </c>
      <c r="L3" s="20">
        <f>'Proximal Validation (single)'!L3</f>
        <v>-5.3712725639343296E-3</v>
      </c>
      <c r="M3" s="20">
        <f>'Proximal Validation (single)'!M3</f>
        <v>0.55187070369720503</v>
      </c>
      <c r="N3" s="20">
        <v>0.66553370381714982</v>
      </c>
      <c r="O3" s="20">
        <v>0.15738057594998922</v>
      </c>
      <c r="P3" s="20">
        <v>1.6619899035034424</v>
      </c>
      <c r="Q3" s="20">
        <v>0.65217751542001379</v>
      </c>
      <c r="R3" s="21">
        <v>4.6050657949341354E-6</v>
      </c>
      <c r="S3" s="19">
        <f>ABS(N3-A3)</f>
        <v>3.4466296182850131E-2</v>
      </c>
      <c r="T3" s="19">
        <f t="shared" ref="T3:V3" si="0">ABS(O3-B3)</f>
        <v>1.7380575949989208E-2</v>
      </c>
      <c r="U3" s="19">
        <f t="shared" si="0"/>
        <v>9.0989903503442493E-2</v>
      </c>
      <c r="V3" s="19">
        <f t="shared" si="0"/>
        <v>0.13282248457998624</v>
      </c>
      <c r="W3" s="20">
        <f>AVERAGE(S3:S17)</f>
        <v>5.1930369997743545E-2</v>
      </c>
      <c r="X3" s="20">
        <f t="shared" ref="X3:Z3" si="1">AVERAGE(T3:T17)</f>
        <v>9.4847545630054302E-3</v>
      </c>
      <c r="Y3" s="20">
        <f t="shared" si="1"/>
        <v>4.3917932975898182E-2</v>
      </c>
      <c r="Z3" s="20">
        <f t="shared" si="1"/>
        <v>0.10730696018085939</v>
      </c>
    </row>
    <row r="4" spans="1:26" x14ac:dyDescent="0.35">
      <c r="A4" s="20">
        <f>'Proximal Validation (single)'!A4</f>
        <v>0.3</v>
      </c>
      <c r="B4" s="20">
        <f>'Proximal Validation (single)'!B4</f>
        <v>0.06</v>
      </c>
      <c r="C4" s="20">
        <f>'Proximal Validation (single)'!C4</f>
        <v>1.571</v>
      </c>
      <c r="D4" s="20">
        <f>'Proximal Validation (single)'!D4</f>
        <v>1.571</v>
      </c>
      <c r="E4" s="20">
        <f>'Proximal Validation (single)'!E4</f>
        <v>0</v>
      </c>
      <c r="F4" s="20">
        <f>'Proximal Validation (single)'!F4</f>
        <v>0</v>
      </c>
      <c r="G4" s="20">
        <f>'Proximal Validation (single)'!G4</f>
        <v>0</v>
      </c>
      <c r="H4" s="20">
        <f>'Proximal Validation (single)'!H4</f>
        <v>-3.4992315340787199E-4</v>
      </c>
      <c r="I4" s="20">
        <f>'Proximal Validation (single)'!I4</f>
        <v>-4.4687353074550601E-2</v>
      </c>
      <c r="J4" s="20">
        <f>'Proximal Validation (single)'!J4</f>
        <v>4.3301115510985303E-5</v>
      </c>
      <c r="K4" s="20">
        <f>'Proximal Validation (single)'!K4</f>
        <v>-1.78173277527094E-3</v>
      </c>
      <c r="L4" s="20">
        <f>'Proximal Validation (single)'!L4</f>
        <v>3.9914771914482099E-3</v>
      </c>
      <c r="M4" s="20">
        <f>'Proximal Validation (single)'!M4</f>
        <v>0.286231309175491</v>
      </c>
      <c r="N4" s="20">
        <v>0.28626471211728882</v>
      </c>
      <c r="O4" s="20">
        <v>6.6212471584538996E-2</v>
      </c>
      <c r="P4" s="20">
        <v>1.5571609397364092</v>
      </c>
      <c r="Q4" s="20">
        <v>1.544395658080858</v>
      </c>
      <c r="R4" s="21">
        <v>4.5062338519249659E-7</v>
      </c>
      <c r="S4" s="19">
        <f t="shared" ref="S4:S17" si="2">ABS(N4-A4)</f>
        <v>1.3735287882711167E-2</v>
      </c>
      <c r="T4" s="19">
        <f t="shared" ref="T4:T17" si="3">ABS(O4-B4)</f>
        <v>6.2124715845389977E-3</v>
      </c>
      <c r="U4" s="19">
        <f t="shared" ref="U4:U17" si="4">ABS(P4-C4)</f>
        <v>1.3839060263590719E-2</v>
      </c>
      <c r="V4" s="19">
        <f t="shared" ref="V4:V17" si="5">ABS(Q4-D4)</f>
        <v>2.6604341919141961E-2</v>
      </c>
    </row>
    <row r="5" spans="1:26" x14ac:dyDescent="0.35">
      <c r="A5" s="20">
        <f>'Proximal Validation (single)'!A5</f>
        <v>0.4</v>
      </c>
      <c r="B5" s="20">
        <f>'Proximal Validation (single)'!B5</f>
        <v>0.08</v>
      </c>
      <c r="C5" s="20">
        <f>'Proximal Validation (single)'!C5</f>
        <v>2.3559999999999999</v>
      </c>
      <c r="D5" s="20">
        <f>'Proximal Validation (single)'!D5</f>
        <v>0.52400000000000002</v>
      </c>
      <c r="E5" s="20">
        <f>'Proximal Validation (single)'!E5</f>
        <v>1.4</v>
      </c>
      <c r="F5" s="20">
        <f>'Proximal Validation (single)'!F5</f>
        <v>0</v>
      </c>
      <c r="G5" s="20">
        <f>'Proximal Validation (single)'!G5</f>
        <v>0</v>
      </c>
      <c r="H5" s="20">
        <f>'Proximal Validation (single)'!H5</f>
        <v>-1.44779565744102E-4</v>
      </c>
      <c r="I5" s="20">
        <f>'Proximal Validation (single)'!I5</f>
        <v>-2.2709889337420502E-2</v>
      </c>
      <c r="J5" s="20">
        <f>'Proximal Validation (single)'!J5</f>
        <v>-2.47002802789211E-2</v>
      </c>
      <c r="K5" s="20">
        <f>'Proximal Validation (single)'!K5</f>
        <v>0.37153226137161299</v>
      </c>
      <c r="L5" s="20">
        <f>'Proximal Validation (single)'!L5</f>
        <v>-0.145699113607407</v>
      </c>
      <c r="M5" s="20">
        <f>'Proximal Validation (single)'!M5</f>
        <v>0.141014218330383</v>
      </c>
      <c r="N5" s="20">
        <v>0.42326187638852797</v>
      </c>
      <c r="O5" s="20">
        <v>7.7542999433408796E-2</v>
      </c>
      <c r="P5" s="20">
        <v>2.4533605830267806</v>
      </c>
      <c r="Q5" s="20">
        <v>0.48311203702393002</v>
      </c>
      <c r="R5" s="21">
        <v>2.9113464117223297E-7</v>
      </c>
      <c r="S5" s="19">
        <f t="shared" si="2"/>
        <v>2.3261876388527947E-2</v>
      </c>
      <c r="T5" s="19">
        <f t="shared" si="3"/>
        <v>2.4570005665912054E-3</v>
      </c>
      <c r="U5" s="19">
        <f t="shared" si="4"/>
        <v>9.7360583026780745E-2</v>
      </c>
      <c r="V5" s="19">
        <f t="shared" si="5"/>
        <v>4.0887962976070003E-2</v>
      </c>
    </row>
    <row r="6" spans="1:26" x14ac:dyDescent="0.35">
      <c r="A6" s="20">
        <f>'Proximal Validation (single)'!A6</f>
        <v>0.4</v>
      </c>
      <c r="B6" s="20">
        <f>'Proximal Validation (single)'!B6</f>
        <v>0.2</v>
      </c>
      <c r="C6" s="20">
        <f>'Proximal Validation (single)'!C6</f>
        <v>2.3559999999999999</v>
      </c>
      <c r="D6" s="20">
        <f>'Proximal Validation (single)'!D6</f>
        <v>0.78500000000000003</v>
      </c>
      <c r="E6" s="20">
        <f>'Proximal Validation (single)'!E6</f>
        <v>0</v>
      </c>
      <c r="F6" s="20">
        <f>'Proximal Validation (single)'!F6</f>
        <v>0</v>
      </c>
      <c r="G6" s="20">
        <f>'Proximal Validation (single)'!G6</f>
        <v>0</v>
      </c>
      <c r="H6" s="20">
        <f>'Proximal Validation (single)'!H6</f>
        <v>9.3833426944911494E-5</v>
      </c>
      <c r="I6" s="20">
        <f>'Proximal Validation (single)'!I6</f>
        <v>-5.1531359553337097E-2</v>
      </c>
      <c r="J6" s="20">
        <f>'Proximal Validation (single)'!J6</f>
        <v>-5.3816821426153197E-2</v>
      </c>
      <c r="K6" s="20">
        <f>'Proximal Validation (single)'!K6</f>
        <v>0.240476429462433</v>
      </c>
      <c r="L6" s="20">
        <f>'Proximal Validation (single)'!L6</f>
        <v>-0.18773703277111101</v>
      </c>
      <c r="M6" s="20">
        <f>'Proximal Validation (single)'!M6</f>
        <v>0.19507205486297599</v>
      </c>
      <c r="N6" s="20">
        <v>0.36284935404269114</v>
      </c>
      <c r="O6" s="20">
        <v>0.2</v>
      </c>
      <c r="P6" s="20">
        <v>2.3397474951297816</v>
      </c>
      <c r="Q6" s="20">
        <v>0.61916408640005771</v>
      </c>
      <c r="R6" s="21">
        <v>2.7615904228789523E-5</v>
      </c>
      <c r="S6" s="19">
        <f t="shared" si="2"/>
        <v>3.7150645957308881E-2</v>
      </c>
      <c r="T6" s="19">
        <f t="shared" si="3"/>
        <v>0</v>
      </c>
      <c r="U6" s="19">
        <f t="shared" si="4"/>
        <v>1.6252504870218232E-2</v>
      </c>
      <c r="V6" s="19">
        <f t="shared" si="5"/>
        <v>0.16583591359994232</v>
      </c>
    </row>
    <row r="7" spans="1:26" x14ac:dyDescent="0.35">
      <c r="A7" s="20">
        <f>'Proximal Validation (single)'!A7</f>
        <v>0.8</v>
      </c>
      <c r="B7" s="20">
        <f>'Proximal Validation (single)'!B7</f>
        <v>0.1</v>
      </c>
      <c r="C7" s="20">
        <f>'Proximal Validation (single)'!C7</f>
        <v>2.3559999999999999</v>
      </c>
      <c r="D7" s="20">
        <f>'Proximal Validation (single)'!D7</f>
        <v>1.0469999999999999</v>
      </c>
      <c r="E7" s="20">
        <f>'Proximal Validation (single)'!E7</f>
        <v>0</v>
      </c>
      <c r="F7" s="20">
        <f>'Proximal Validation (single)'!F7</f>
        <v>0</v>
      </c>
      <c r="G7" s="20">
        <f>'Proximal Validation (single)'!G7</f>
        <v>0</v>
      </c>
      <c r="H7" s="20">
        <f>'Proximal Validation (single)'!H7</f>
        <v>-4.4502015225589302E-4</v>
      </c>
      <c r="I7" s="20">
        <f>'Proximal Validation (single)'!I7</f>
        <v>-0.103923052549362</v>
      </c>
      <c r="J7" s="20">
        <f>'Proximal Validation (single)'!J7</f>
        <v>-0.113764069974422</v>
      </c>
      <c r="K7" s="20">
        <f>'Proximal Validation (single)'!K7</f>
        <v>0.34864503145217901</v>
      </c>
      <c r="L7" s="20">
        <f>'Proximal Validation (single)'!L7</f>
        <v>-0.591894090175629</v>
      </c>
      <c r="M7" s="20">
        <f>'Proximal Validation (single)'!M7</f>
        <v>0.56364732980728105</v>
      </c>
      <c r="N7" s="20">
        <v>0.88859017790124883</v>
      </c>
      <c r="O7" s="20">
        <v>0.10647146489245243</v>
      </c>
      <c r="P7" s="20">
        <v>2.381345743621313</v>
      </c>
      <c r="Q7" s="20">
        <v>0.94641192898971005</v>
      </c>
      <c r="R7" s="21">
        <v>1.0055766771265992E-5</v>
      </c>
      <c r="S7" s="19">
        <f t="shared" si="2"/>
        <v>8.859017790124879E-2</v>
      </c>
      <c r="T7" s="19">
        <f t="shared" si="3"/>
        <v>6.4714648924524276E-3</v>
      </c>
      <c r="U7" s="19">
        <f t="shared" si="4"/>
        <v>2.5345743621313144E-2</v>
      </c>
      <c r="V7" s="19">
        <f t="shared" si="5"/>
        <v>0.10058807101028988</v>
      </c>
    </row>
    <row r="8" spans="1:26" x14ac:dyDescent="0.35">
      <c r="A8" s="20">
        <f>'Proximal Validation (single)'!A8</f>
        <v>0.7</v>
      </c>
      <c r="B8" s="20">
        <f>'Proximal Validation (single)'!B8</f>
        <v>0.18</v>
      </c>
      <c r="C8" s="20">
        <f>'Proximal Validation (single)'!C8</f>
        <v>2.3559999999999999</v>
      </c>
      <c r="D8" s="20">
        <f>'Proximal Validation (single)'!D8</f>
        <v>1.0469999999999999</v>
      </c>
      <c r="E8" s="20">
        <f>'Proximal Validation (single)'!E8</f>
        <v>1.4</v>
      </c>
      <c r="F8" s="20">
        <f>'Proximal Validation (single)'!F8</f>
        <v>0</v>
      </c>
      <c r="G8" s="20">
        <f>'Proximal Validation (single)'!G8</f>
        <v>0</v>
      </c>
      <c r="H8" s="20">
        <f>'Proximal Validation (single)'!H8</f>
        <v>1.9051980000000001E-3</v>
      </c>
      <c r="I8" s="20">
        <f>'Proximal Validation (single)'!I8</f>
        <v>-0.11076053199999999</v>
      </c>
      <c r="J8" s="20">
        <f>'Proximal Validation (single)'!J8</f>
        <v>-0.130388632</v>
      </c>
      <c r="K8" s="20">
        <f>'Proximal Validation (single)'!K8</f>
        <v>0.142369151</v>
      </c>
      <c r="L8" s="20">
        <f>'Proximal Validation (single)'!L8</f>
        <v>-0.47970119100000003</v>
      </c>
      <c r="M8" s="20">
        <f>'Proximal Validation (single)'!M8</f>
        <v>0.43018263600000001</v>
      </c>
      <c r="N8" s="20">
        <v>0.66071419584820568</v>
      </c>
      <c r="O8" s="20">
        <v>0.2</v>
      </c>
      <c r="P8" s="20">
        <v>2.4780464974154248</v>
      </c>
      <c r="Q8" s="20">
        <v>0.85288013948389818</v>
      </c>
      <c r="R8" s="21">
        <v>4.0466123998574682E-5</v>
      </c>
      <c r="S8" s="19">
        <f t="shared" si="2"/>
        <v>3.9285804151794279E-2</v>
      </c>
      <c r="T8" s="19">
        <f t="shared" si="3"/>
        <v>2.0000000000000018E-2</v>
      </c>
      <c r="U8" s="19">
        <f t="shared" si="4"/>
        <v>0.12204649741542495</v>
      </c>
      <c r="V8" s="19">
        <f t="shared" si="5"/>
        <v>0.19411986051610175</v>
      </c>
    </row>
    <row r="9" spans="1:26" x14ac:dyDescent="0.35">
      <c r="A9" s="20">
        <f>'Proximal Validation (single)'!A9</f>
        <v>0.7</v>
      </c>
      <c r="B9" s="20">
        <f>'Proximal Validation (single)'!B9</f>
        <v>0.08</v>
      </c>
      <c r="C9" s="20">
        <f>'Proximal Validation (single)'!C9</f>
        <v>3.1419999999999999</v>
      </c>
      <c r="D9" s="20">
        <f>'Proximal Validation (single)'!D9</f>
        <v>1.571</v>
      </c>
      <c r="E9" s="20">
        <f>'Proximal Validation (single)'!E9</f>
        <v>0</v>
      </c>
      <c r="F9" s="20">
        <f>'Proximal Validation (single)'!F9</f>
        <v>0</v>
      </c>
      <c r="G9" s="20">
        <f>'Proximal Validation (single)'!G9</f>
        <v>0</v>
      </c>
      <c r="H9" s="20">
        <f>'Proximal Validation (single)'!H9</f>
        <v>-1.2491350062191499E-3</v>
      </c>
      <c r="I9" s="20">
        <f>'Proximal Validation (single)'!I9</f>
        <v>1.1835042387247101E-3</v>
      </c>
      <c r="J9" s="20">
        <f>'Proximal Validation (single)'!J9</f>
        <v>-0.12853877246379899</v>
      </c>
      <c r="K9" s="20">
        <f>'Proximal Validation (single)'!K9</f>
        <v>-4.8892773687839501E-2</v>
      </c>
      <c r="L9" s="20">
        <f>'Proximal Validation (single)'!L9</f>
        <v>-0.72314238548278797</v>
      </c>
      <c r="M9" s="20">
        <f>'Proximal Validation (single)'!M9</f>
        <v>5.8930516242981E-3</v>
      </c>
      <c r="N9" s="20">
        <v>0.72481831057967783</v>
      </c>
      <c r="O9" s="20">
        <v>8.7670496689563268E-2</v>
      </c>
      <c r="P9" s="20">
        <v>3.1339750940689584</v>
      </c>
      <c r="Q9" s="20">
        <v>1.493000585486729</v>
      </c>
      <c r="R9" s="21">
        <v>6.3849567508938255E-6</v>
      </c>
      <c r="S9" s="19">
        <f t="shared" si="2"/>
        <v>2.4818310579677871E-2</v>
      </c>
      <c r="T9" s="19">
        <f t="shared" si="3"/>
        <v>7.6704966895632665E-3</v>
      </c>
      <c r="U9" s="19">
        <f t="shared" si="4"/>
        <v>8.0249059310415483E-3</v>
      </c>
      <c r="V9" s="19">
        <f t="shared" si="5"/>
        <v>7.799941451327097E-2</v>
      </c>
    </row>
    <row r="10" spans="1:26" x14ac:dyDescent="0.35">
      <c r="A10" s="20">
        <f>'Proximal Validation (single)'!A10</f>
        <v>0.4</v>
      </c>
      <c r="B10" s="20">
        <f>'Proximal Validation (single)'!B10</f>
        <v>0.16</v>
      </c>
      <c r="C10" s="20">
        <f>'Proximal Validation (single)'!C10</f>
        <v>3.1419999999999999</v>
      </c>
      <c r="D10" s="20">
        <f>'Proximal Validation (single)'!D10</f>
        <v>1.571</v>
      </c>
      <c r="E10" s="20">
        <f>'Proximal Validation (single)'!E10</f>
        <v>1.4</v>
      </c>
      <c r="F10" s="20">
        <f>'Proximal Validation (single)'!F10</f>
        <v>0</v>
      </c>
      <c r="G10" s="20">
        <f>'Proximal Validation (single)'!G10</f>
        <v>0</v>
      </c>
      <c r="H10" s="20">
        <f>'Proximal Validation (single)'!H10</f>
        <v>1.3951195869594799E-3</v>
      </c>
      <c r="I10" s="20">
        <f>'Proximal Validation (single)'!I10</f>
        <v>3.4124546218663502E-3</v>
      </c>
      <c r="J10" s="20">
        <f>'Proximal Validation (single)'!J10</f>
        <v>-0.112820729613304</v>
      </c>
      <c r="K10" s="20">
        <f>'Proximal Validation (single)'!K10</f>
        <v>-4.2202740907669102E-2</v>
      </c>
      <c r="L10" s="20">
        <f>'Proximal Validation (single)'!L10</f>
        <v>-0.417444437742233</v>
      </c>
      <c r="M10" s="20">
        <f>'Proximal Validation (single)'!M10</f>
        <v>-3.7499666213989301E-3</v>
      </c>
      <c r="N10" s="20">
        <v>0.41959701845866498</v>
      </c>
      <c r="O10" s="20">
        <v>0.18011359072516081</v>
      </c>
      <c r="P10" s="20">
        <v>3.1568856741697093</v>
      </c>
      <c r="Q10" s="20">
        <v>1.4071034843347032</v>
      </c>
      <c r="R10" s="21">
        <v>6.6092918515787231E-6</v>
      </c>
      <c r="S10" s="19">
        <f t="shared" si="2"/>
        <v>1.9597018458664961E-2</v>
      </c>
      <c r="T10" s="19">
        <f t="shared" si="3"/>
        <v>2.0113590725160807E-2</v>
      </c>
      <c r="U10" s="19">
        <f t="shared" si="4"/>
        <v>1.4885674169709429E-2</v>
      </c>
      <c r="V10" s="19">
        <f t="shared" si="5"/>
        <v>0.16389651566529673</v>
      </c>
    </row>
    <row r="11" spans="1:26" x14ac:dyDescent="0.35">
      <c r="A11" s="20">
        <f>'Proximal Validation (single)'!A11</f>
        <v>0.7</v>
      </c>
      <c r="B11" s="20">
        <f>'Proximal Validation (single)'!B11</f>
        <v>0.18</v>
      </c>
      <c r="C11" s="20">
        <f>'Proximal Validation (single)'!C11</f>
        <v>3.927</v>
      </c>
      <c r="D11" s="20">
        <f>'Proximal Validation (single)'!D11</f>
        <v>0.52400000000000002</v>
      </c>
      <c r="E11" s="20">
        <f>'Proximal Validation (single)'!E11</f>
        <v>0</v>
      </c>
      <c r="F11" s="20">
        <f>'Proximal Validation (single)'!F11</f>
        <v>0</v>
      </c>
      <c r="G11" s="20">
        <f>'Proximal Validation (single)'!G11</f>
        <v>0</v>
      </c>
      <c r="H11" s="20">
        <f>'Proximal Validation (single)'!H11</f>
        <v>-9.7516691312193898E-5</v>
      </c>
      <c r="I11" s="20">
        <f>'Proximal Validation (single)'!I11</f>
        <v>6.3756838440895094E-2</v>
      </c>
      <c r="J11" s="20">
        <f>'Proximal Validation (single)'!J11</f>
        <v>-6.7828088998794597E-2</v>
      </c>
      <c r="K11" s="20">
        <f>'Proximal Validation (single)'!K11</f>
        <v>0.525340616703033</v>
      </c>
      <c r="L11" s="20">
        <f>'Proximal Validation (single)'!L11</f>
        <v>-0.27887076139450101</v>
      </c>
      <c r="M11" s="20">
        <f>'Proximal Validation (single)'!M11</f>
        <v>-0.25877004861831698</v>
      </c>
      <c r="N11" s="20">
        <v>0.64900396283548345</v>
      </c>
      <c r="O11" s="20">
        <v>0.2</v>
      </c>
      <c r="P11" s="20">
        <v>3.889972408616047</v>
      </c>
      <c r="Q11" s="20">
        <v>0.36446009848349892</v>
      </c>
      <c r="R11" s="21">
        <v>1.1527251465622725E-5</v>
      </c>
      <c r="S11" s="19">
        <f t="shared" si="2"/>
        <v>5.0996037164516506E-2</v>
      </c>
      <c r="T11" s="19">
        <f t="shared" si="3"/>
        <v>2.0000000000000018E-2</v>
      </c>
      <c r="U11" s="19">
        <f t="shared" si="4"/>
        <v>3.7027591383953062E-2</v>
      </c>
      <c r="V11" s="19">
        <f t="shared" si="5"/>
        <v>0.1595399015165011</v>
      </c>
    </row>
    <row r="12" spans="1:26" x14ac:dyDescent="0.35">
      <c r="A12" s="20">
        <f>'Proximal Validation (single)'!A12</f>
        <v>0.3</v>
      </c>
      <c r="B12" s="20">
        <f>'Proximal Validation (single)'!B12</f>
        <v>0.1</v>
      </c>
      <c r="C12" s="20">
        <f>'Proximal Validation (single)'!C12</f>
        <v>3.927</v>
      </c>
      <c r="D12" s="20">
        <f>'Proximal Validation (single)'!D12</f>
        <v>0.78500000000000003</v>
      </c>
      <c r="E12" s="20">
        <f>'Proximal Validation (single)'!E12</f>
        <v>1.4</v>
      </c>
      <c r="F12" s="20">
        <f>'Proximal Validation (single)'!F12</f>
        <v>0</v>
      </c>
      <c r="G12" s="20">
        <f>'Proximal Validation (single)'!G12</f>
        <v>0</v>
      </c>
      <c r="H12" s="20">
        <f>'Proximal Validation (single)'!H12</f>
        <v>-4.7630793415010003E-4</v>
      </c>
      <c r="I12" s="20">
        <f>'Proximal Validation (single)'!I12</f>
        <v>2.59361006319523E-2</v>
      </c>
      <c r="J12" s="20">
        <f>'Proximal Validation (single)'!J12</f>
        <v>-2.8502099215984299E-2</v>
      </c>
      <c r="K12" s="20">
        <f>'Proximal Validation (single)'!K12</f>
        <v>0.25695684552192699</v>
      </c>
      <c r="L12" s="20">
        <f>'Proximal Validation (single)'!L12</f>
        <v>-0.14679136872291601</v>
      </c>
      <c r="M12" s="20">
        <f>'Proximal Validation (single)'!M12</f>
        <v>-0.135155409574509</v>
      </c>
      <c r="N12" s="20">
        <v>0.32533342939907461</v>
      </c>
      <c r="O12" s="20">
        <v>0.10415395306424298</v>
      </c>
      <c r="P12" s="20">
        <v>3.8691866009876006</v>
      </c>
      <c r="Q12" s="20">
        <v>0.66372259924361143</v>
      </c>
      <c r="R12" s="21">
        <v>1.2180167569624732E-7</v>
      </c>
      <c r="S12" s="19">
        <f t="shared" si="2"/>
        <v>2.5333429399074625E-2</v>
      </c>
      <c r="T12" s="19">
        <f t="shared" si="3"/>
        <v>4.1539530642429739E-3</v>
      </c>
      <c r="U12" s="19">
        <f t="shared" si="4"/>
        <v>5.7813399012399458E-2</v>
      </c>
      <c r="V12" s="19">
        <f t="shared" si="5"/>
        <v>0.1212774007563886</v>
      </c>
    </row>
    <row r="13" spans="1:26" x14ac:dyDescent="0.35">
      <c r="A13" s="20">
        <f>'Proximal Validation (single)'!A13</f>
        <v>0.6</v>
      </c>
      <c r="B13" s="20">
        <f>'Proximal Validation (single)'!B13</f>
        <v>0.06</v>
      </c>
      <c r="C13" s="20">
        <f>'Proximal Validation (single)'!C13</f>
        <v>3.927</v>
      </c>
      <c r="D13" s="20">
        <f>'Proximal Validation (single)'!D13</f>
        <v>1.0469999999999999</v>
      </c>
      <c r="E13" s="20">
        <f>'Proximal Validation (single)'!E13</f>
        <v>1.4</v>
      </c>
      <c r="F13" s="20">
        <f>'Proximal Validation (single)'!F13</f>
        <v>0</v>
      </c>
      <c r="G13" s="20">
        <f>'Proximal Validation (single)'!G13</f>
        <v>0</v>
      </c>
      <c r="H13" s="20">
        <f>'Proximal Validation (single)'!H13</f>
        <v>-9.3124201521277395E-4</v>
      </c>
      <c r="I13" s="20">
        <f>'Proximal Validation (single)'!I13</f>
        <v>6.09082244336605E-2</v>
      </c>
      <c r="J13" s="20">
        <f>'Proximal Validation (single)'!J13</f>
        <v>-6.5952822566032396E-2</v>
      </c>
      <c r="K13" s="20">
        <f>'Proximal Validation (single)'!K13</f>
        <v>0.391236692667007</v>
      </c>
      <c r="L13" s="20">
        <f>'Proximal Validation (single)'!L13</f>
        <v>-0.43392634391784701</v>
      </c>
      <c r="M13" s="20">
        <f>'Proximal Validation (single)'!M13</f>
        <v>-0.39902776479721103</v>
      </c>
      <c r="N13" s="20">
        <v>0.70740000000000003</v>
      </c>
      <c r="O13" s="20">
        <v>6.3500000000000001E-2</v>
      </c>
      <c r="P13" s="20">
        <v>3.8795999999999999</v>
      </c>
      <c r="Q13" s="20">
        <v>0.96079999999999999</v>
      </c>
      <c r="R13" s="21">
        <v>8.3501330000000002E-7</v>
      </c>
      <c r="S13" s="19">
        <f t="shared" si="2"/>
        <v>0.10740000000000005</v>
      </c>
      <c r="T13" s="19">
        <f t="shared" si="3"/>
        <v>3.5000000000000031E-3</v>
      </c>
      <c r="U13" s="19">
        <f t="shared" si="4"/>
        <v>4.7400000000000109E-2</v>
      </c>
      <c r="V13" s="19">
        <f t="shared" si="5"/>
        <v>8.6199999999999943E-2</v>
      </c>
    </row>
    <row r="14" spans="1:26" x14ac:dyDescent="0.35">
      <c r="A14" s="20">
        <f>'Proximal Validation (single)'!A14</f>
        <v>0.4</v>
      </c>
      <c r="B14" s="20">
        <f>'Proximal Validation (single)'!B14</f>
        <v>0.16</v>
      </c>
      <c r="C14" s="20">
        <f>'Proximal Validation (single)'!C14</f>
        <v>3.927</v>
      </c>
      <c r="D14" s="20">
        <f>'Proximal Validation (single)'!D14</f>
        <v>1.0469999999999999</v>
      </c>
      <c r="E14" s="20">
        <f>'Proximal Validation (single)'!E14</f>
        <v>0</v>
      </c>
      <c r="F14" s="20">
        <f>'Proximal Validation (single)'!F14</f>
        <v>0</v>
      </c>
      <c r="G14" s="20">
        <f>'Proximal Validation (single)'!G14</f>
        <v>0</v>
      </c>
      <c r="H14" s="20">
        <f>'Proximal Validation (single)'!H14</f>
        <v>-2.4879071861505498E-4</v>
      </c>
      <c r="I14" s="20">
        <f>'Proximal Validation (single)'!I14</f>
        <v>5.3856808692216901E-2</v>
      </c>
      <c r="J14" s="20">
        <f>'Proximal Validation (single)'!J14</f>
        <v>-5.7678617537021602E-2</v>
      </c>
      <c r="K14" s="20">
        <f>'Proximal Validation (single)'!K14</f>
        <v>0.14910565316677099</v>
      </c>
      <c r="L14" s="20">
        <f>'Proximal Validation (single)'!L14</f>
        <v>-0.22375991940498399</v>
      </c>
      <c r="M14" s="20">
        <f>'Proximal Validation (single)'!M14</f>
        <v>-0.20584329962730399</v>
      </c>
      <c r="N14" s="20">
        <v>0.33863321445461042</v>
      </c>
      <c r="O14" s="20">
        <v>0.18659092812231431</v>
      </c>
      <c r="P14" s="20">
        <v>3.8857787896733096</v>
      </c>
      <c r="Q14" s="20">
        <v>0.86719610277952164</v>
      </c>
      <c r="R14" s="21">
        <v>3.8387727145335275E-7</v>
      </c>
      <c r="S14" s="19">
        <f t="shared" si="2"/>
        <v>6.1366785545389602E-2</v>
      </c>
      <c r="T14" s="19">
        <f t="shared" si="3"/>
        <v>2.6590928122314311E-2</v>
      </c>
      <c r="U14" s="19">
        <f t="shared" si="4"/>
        <v>4.1221210326690461E-2</v>
      </c>
      <c r="V14" s="19">
        <f t="shared" si="5"/>
        <v>0.17980389722047829</v>
      </c>
    </row>
    <row r="15" spans="1:26" x14ac:dyDescent="0.35">
      <c r="A15" s="20">
        <f>'Proximal Validation (single)'!A15</f>
        <v>0.8</v>
      </c>
      <c r="B15" s="20">
        <f>'Proximal Validation (single)'!B15</f>
        <v>0.06</v>
      </c>
      <c r="C15" s="20">
        <f>'Proximal Validation (single)'!C15</f>
        <v>4.7119999999999997</v>
      </c>
      <c r="D15" s="20">
        <f>'Proximal Validation (single)'!D15</f>
        <v>0.78500000000000003</v>
      </c>
      <c r="E15" s="20">
        <f>'Proximal Validation (single)'!E15</f>
        <v>0</v>
      </c>
      <c r="F15" s="20">
        <f>'Proximal Validation (single)'!F15</f>
        <v>0</v>
      </c>
      <c r="G15" s="20">
        <f>'Proximal Validation (single)'!G15</f>
        <v>0</v>
      </c>
      <c r="H15" s="20">
        <f>'Proximal Validation (single)'!H15</f>
        <v>-8.1355357542633999E-4</v>
      </c>
      <c r="I15" s="20">
        <f>'Proximal Validation (single)'!I15</f>
        <v>0.109302945435047</v>
      </c>
      <c r="J15" s="20">
        <f>'Proximal Validation (single)'!J15</f>
        <v>-9.5806457102298704E-4</v>
      </c>
      <c r="K15" s="20">
        <f>'Proximal Validation (single)'!K15</f>
        <v>0.61643946170806896</v>
      </c>
      <c r="L15" s="20">
        <f>'Proximal Validation (single)'!L15</f>
        <v>-9.5924139022827096E-3</v>
      </c>
      <c r="M15" s="20">
        <f>'Proximal Validation (single)'!M15</f>
        <v>-0.74946981668472301</v>
      </c>
      <c r="N15" s="20">
        <v>0.97046185508299676</v>
      </c>
      <c r="O15" s="20">
        <v>5.7996012672311505E-2</v>
      </c>
      <c r="P15" s="20">
        <v>4.6996747360299542</v>
      </c>
      <c r="Q15" s="20">
        <v>0.819476655689795</v>
      </c>
      <c r="R15" s="21">
        <v>8.5218025262179853E-7</v>
      </c>
      <c r="S15" s="19">
        <f t="shared" si="2"/>
        <v>0.17046185508299672</v>
      </c>
      <c r="T15" s="19">
        <f t="shared" si="3"/>
        <v>2.0039873276884931E-3</v>
      </c>
      <c r="U15" s="19">
        <f t="shared" si="4"/>
        <v>1.2325263970045519E-2</v>
      </c>
      <c r="V15" s="19">
        <f t="shared" si="5"/>
        <v>3.4476655689794966E-2</v>
      </c>
    </row>
    <row r="16" spans="1:26" x14ac:dyDescent="0.35">
      <c r="A16" s="20">
        <f>'Proximal Validation (single)'!A16</f>
        <v>0.5</v>
      </c>
      <c r="B16" s="20">
        <f>'Proximal Validation (single)'!B16</f>
        <v>0.1</v>
      </c>
      <c r="C16" s="20">
        <f>'Proximal Validation (single)'!C16</f>
        <v>4.7119999999999997</v>
      </c>
      <c r="D16" s="20">
        <f>'Proximal Validation (single)'!D16</f>
        <v>1.0469999999999999</v>
      </c>
      <c r="E16" s="20">
        <f>'Proximal Validation (single)'!E16</f>
        <v>0</v>
      </c>
      <c r="F16" s="20">
        <f>'Proximal Validation (single)'!F16</f>
        <v>0</v>
      </c>
      <c r="G16" s="20">
        <f>'Proximal Validation (single)'!G16</f>
        <v>0</v>
      </c>
      <c r="H16" s="20">
        <f>'Proximal Validation (single)'!H16</f>
        <v>-7.3147960938513301E-4</v>
      </c>
      <c r="I16" s="20">
        <f>'Proximal Validation (single)'!I16</f>
        <v>8.4560625255107894E-2</v>
      </c>
      <c r="J16" s="20">
        <f>'Proximal Validation (single)'!J16</f>
        <v>-6.7205965751782103E-4</v>
      </c>
      <c r="K16" s="20">
        <f>'Proximal Validation (single)'!K16</f>
        <v>0.244871556758881</v>
      </c>
      <c r="L16" s="20">
        <f>'Proximal Validation (single)'!L16</f>
        <v>-5.1593184471130397E-3</v>
      </c>
      <c r="M16" s="20">
        <f>'Proximal Validation (single)'!M16</f>
        <v>-0.443679749965668</v>
      </c>
      <c r="N16" s="20">
        <v>0.50679452122129187</v>
      </c>
      <c r="O16" s="20">
        <v>0.10571684952253972</v>
      </c>
      <c r="P16" s="20">
        <v>4.7008900249719519</v>
      </c>
      <c r="Q16" s="20">
        <v>0.94371344856950157</v>
      </c>
      <c r="R16" s="21">
        <v>6.2853213225997197E-7</v>
      </c>
      <c r="S16" s="19">
        <f t="shared" si="2"/>
        <v>6.7945212212918715E-3</v>
      </c>
      <c r="T16" s="19">
        <f t="shared" si="3"/>
        <v>5.7168495225397159E-3</v>
      </c>
      <c r="U16" s="19">
        <f t="shared" si="4"/>
        <v>1.1109975028047891E-2</v>
      </c>
      <c r="V16" s="19">
        <f t="shared" si="5"/>
        <v>0.10328655143049836</v>
      </c>
    </row>
    <row r="17" spans="1:22" x14ac:dyDescent="0.35">
      <c r="A17" s="20">
        <f>'Proximal Validation (single)'!A17</f>
        <v>0.8</v>
      </c>
      <c r="B17" s="20">
        <f>'Proximal Validation (single)'!B17</f>
        <v>0.2</v>
      </c>
      <c r="C17" s="20">
        <f>'Proximal Validation (single)'!C17</f>
        <v>4.7119999999999997</v>
      </c>
      <c r="D17" s="20">
        <f>'Proximal Validation (single)'!D17</f>
        <v>1.571</v>
      </c>
      <c r="E17" s="20">
        <f>'Proximal Validation (single)'!E17</f>
        <v>1.4</v>
      </c>
      <c r="F17" s="20">
        <f>'Proximal Validation (single)'!F17</f>
        <v>0</v>
      </c>
      <c r="G17" s="20">
        <f>'Proximal Validation (single)'!G17</f>
        <v>0</v>
      </c>
      <c r="H17" s="20">
        <f>'Proximal Validation (single)'!H17</f>
        <v>-1.0631438344717E-2</v>
      </c>
      <c r="I17" s="20">
        <f>'Proximal Validation (single)'!I17</f>
        <v>0.203466981649399</v>
      </c>
      <c r="J17" s="20">
        <f>'Proximal Validation (single)'!J17</f>
        <v>-9.3788113445043599E-3</v>
      </c>
      <c r="K17" s="20">
        <f>'Proximal Validation (single)'!K17</f>
        <v>-0.43627014756202698</v>
      </c>
      <c r="L17" s="20">
        <f>'Proximal Validation (single)'!L17</f>
        <v>-5.16471415758133E-2</v>
      </c>
      <c r="M17" s="20">
        <f>'Proximal Validation (single)'!M17</f>
        <v>-0.57094836235046398</v>
      </c>
      <c r="N17" s="20">
        <v>0.72430249594990037</v>
      </c>
      <c r="O17" s="20">
        <v>0.2</v>
      </c>
      <c r="P17" s="20">
        <v>4.6488733178841848</v>
      </c>
      <c r="Q17" s="20">
        <v>1.54873456868087</v>
      </c>
      <c r="R17" s="21">
        <v>2.4335240627389838E-4</v>
      </c>
      <c r="S17" s="19">
        <f t="shared" si="2"/>
        <v>7.5697504050099673E-2</v>
      </c>
      <c r="T17" s="19">
        <f t="shared" si="3"/>
        <v>0</v>
      </c>
      <c r="U17" s="19">
        <f t="shared" si="4"/>
        <v>6.3126682115814958E-2</v>
      </c>
      <c r="V17" s="19">
        <f t="shared" si="5"/>
        <v>2.2265431319129947E-2</v>
      </c>
    </row>
  </sheetData>
  <mergeCells count="5">
    <mergeCell ref="W1:Y1"/>
    <mergeCell ref="A1:G1"/>
    <mergeCell ref="H1:M1"/>
    <mergeCell ref="S1:U1"/>
    <mergeCell ref="N1:R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A79DC-61FE-4A17-87F9-B836F0BDEDD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D6981-73D2-4F8C-88D7-D5FA77AC2EB0}">
  <dimension ref="A1:M28"/>
  <sheetViews>
    <sheetView workbookViewId="0">
      <selection activeCell="R16" sqref="R16"/>
    </sheetView>
  </sheetViews>
  <sheetFormatPr defaultRowHeight="14.5" x14ac:dyDescent="0.35"/>
  <sheetData>
    <row r="1" spans="1:13" ht="16" x14ac:dyDescent="0.4">
      <c r="A1" s="47" t="s">
        <v>30</v>
      </c>
      <c r="B1" s="48"/>
      <c r="C1" s="48"/>
      <c r="D1" s="48"/>
      <c r="E1" s="48"/>
      <c r="F1" s="49"/>
      <c r="H1" s="47" t="s">
        <v>31</v>
      </c>
      <c r="I1" s="48"/>
      <c r="J1" s="48"/>
      <c r="K1" s="48"/>
      <c r="L1" s="48"/>
      <c r="M1" s="49"/>
    </row>
    <row r="2" spans="1:13" ht="16" x14ac:dyDescent="0.4">
      <c r="A2" s="8" t="s">
        <v>24</v>
      </c>
      <c r="B2" s="8" t="s">
        <v>25</v>
      </c>
      <c r="C2" s="8" t="s">
        <v>26</v>
      </c>
      <c r="D2" s="8" t="s">
        <v>27</v>
      </c>
      <c r="E2" s="8" t="s">
        <v>28</v>
      </c>
      <c r="F2" s="8" t="s">
        <v>29</v>
      </c>
      <c r="H2" s="8" t="s">
        <v>27</v>
      </c>
      <c r="I2" s="8" t="s">
        <v>28</v>
      </c>
      <c r="J2" s="8" t="s">
        <v>29</v>
      </c>
      <c r="K2" s="8" t="s">
        <v>24</v>
      </c>
      <c r="L2" s="8" t="s">
        <v>25</v>
      </c>
      <c r="M2" s="8" t="s">
        <v>26</v>
      </c>
    </row>
    <row r="3" spans="1:13" x14ac:dyDescent="0.35">
      <c r="F3" s="15"/>
      <c r="H3">
        <f>$F3</f>
        <v>0</v>
      </c>
      <c r="I3">
        <f>-1*$E3</f>
        <v>0</v>
      </c>
      <c r="J3">
        <f>$D3</f>
        <v>0</v>
      </c>
      <c r="K3">
        <f>$C3</f>
        <v>0</v>
      </c>
      <c r="L3">
        <f>-1*$B3</f>
        <v>0</v>
      </c>
      <c r="M3">
        <f>$A3</f>
        <v>0</v>
      </c>
    </row>
    <row r="4" spans="1:13" x14ac:dyDescent="0.35">
      <c r="H4">
        <f t="shared" ref="H4:H28" si="0">$F4</f>
        <v>0</v>
      </c>
      <c r="I4">
        <f t="shared" ref="I4:I28" si="1">-1*$E4</f>
        <v>0</v>
      </c>
      <c r="J4">
        <f t="shared" ref="J4:J28" si="2">$D4</f>
        <v>0</v>
      </c>
      <c r="K4">
        <f t="shared" ref="K4:K28" si="3">$C4</f>
        <v>0</v>
      </c>
      <c r="L4">
        <f t="shared" ref="L4:L28" si="4">-1*$B4</f>
        <v>0</v>
      </c>
      <c r="M4">
        <f t="shared" ref="M4:M28" si="5">$A4</f>
        <v>0</v>
      </c>
    </row>
    <row r="5" spans="1:13" x14ac:dyDescent="0.35">
      <c r="H5">
        <f t="shared" si="0"/>
        <v>0</v>
      </c>
      <c r="I5">
        <f t="shared" si="1"/>
        <v>0</v>
      </c>
      <c r="J5">
        <f t="shared" si="2"/>
        <v>0</v>
      </c>
      <c r="K5">
        <f t="shared" si="3"/>
        <v>0</v>
      </c>
      <c r="L5">
        <f t="shared" si="4"/>
        <v>0</v>
      </c>
      <c r="M5">
        <f t="shared" si="5"/>
        <v>0</v>
      </c>
    </row>
    <row r="6" spans="1:13" x14ac:dyDescent="0.35">
      <c r="H6">
        <f t="shared" si="0"/>
        <v>0</v>
      </c>
      <c r="I6">
        <f t="shared" si="1"/>
        <v>0</v>
      </c>
      <c r="J6">
        <f t="shared" si="2"/>
        <v>0</v>
      </c>
      <c r="K6">
        <f t="shared" si="3"/>
        <v>0</v>
      </c>
      <c r="L6">
        <f t="shared" si="4"/>
        <v>0</v>
      </c>
      <c r="M6">
        <f t="shared" si="5"/>
        <v>0</v>
      </c>
    </row>
    <row r="7" spans="1:13" x14ac:dyDescent="0.35">
      <c r="H7">
        <f t="shared" si="0"/>
        <v>0</v>
      </c>
      <c r="I7">
        <f t="shared" si="1"/>
        <v>0</v>
      </c>
      <c r="J7">
        <f t="shared" si="2"/>
        <v>0</v>
      </c>
      <c r="K7">
        <f t="shared" si="3"/>
        <v>0</v>
      </c>
      <c r="L7">
        <f t="shared" si="4"/>
        <v>0</v>
      </c>
      <c r="M7">
        <f t="shared" si="5"/>
        <v>0</v>
      </c>
    </row>
    <row r="8" spans="1:13" x14ac:dyDescent="0.35">
      <c r="H8">
        <f t="shared" si="0"/>
        <v>0</v>
      </c>
      <c r="I8">
        <f t="shared" si="1"/>
        <v>0</v>
      </c>
      <c r="J8">
        <f t="shared" si="2"/>
        <v>0</v>
      </c>
      <c r="K8">
        <f t="shared" si="3"/>
        <v>0</v>
      </c>
      <c r="L8">
        <f t="shared" si="4"/>
        <v>0</v>
      </c>
      <c r="M8">
        <f t="shared" si="5"/>
        <v>0</v>
      </c>
    </row>
    <row r="9" spans="1:13" x14ac:dyDescent="0.35">
      <c r="H9">
        <f t="shared" si="0"/>
        <v>0</v>
      </c>
      <c r="I9">
        <f t="shared" si="1"/>
        <v>0</v>
      </c>
      <c r="J9">
        <f t="shared" si="2"/>
        <v>0</v>
      </c>
      <c r="K9">
        <f t="shared" si="3"/>
        <v>0</v>
      </c>
      <c r="L9">
        <f t="shared" si="4"/>
        <v>0</v>
      </c>
      <c r="M9">
        <f t="shared" si="5"/>
        <v>0</v>
      </c>
    </row>
    <row r="10" spans="1:13" x14ac:dyDescent="0.35">
      <c r="H10">
        <f t="shared" si="0"/>
        <v>0</v>
      </c>
      <c r="I10">
        <f t="shared" si="1"/>
        <v>0</v>
      </c>
      <c r="J10">
        <f t="shared" si="2"/>
        <v>0</v>
      </c>
      <c r="K10">
        <f t="shared" si="3"/>
        <v>0</v>
      </c>
      <c r="L10">
        <f t="shared" si="4"/>
        <v>0</v>
      </c>
      <c r="M10">
        <f t="shared" si="5"/>
        <v>0</v>
      </c>
    </row>
    <row r="11" spans="1:13" x14ac:dyDescent="0.35">
      <c r="H11">
        <f t="shared" si="0"/>
        <v>0</v>
      </c>
      <c r="I11">
        <f t="shared" si="1"/>
        <v>0</v>
      </c>
      <c r="J11">
        <f t="shared" si="2"/>
        <v>0</v>
      </c>
      <c r="K11">
        <f t="shared" si="3"/>
        <v>0</v>
      </c>
      <c r="L11">
        <f t="shared" si="4"/>
        <v>0</v>
      </c>
      <c r="M11">
        <f t="shared" si="5"/>
        <v>0</v>
      </c>
    </row>
    <row r="12" spans="1:13" x14ac:dyDescent="0.35">
      <c r="H12">
        <f t="shared" si="0"/>
        <v>0</v>
      </c>
      <c r="I12">
        <f t="shared" si="1"/>
        <v>0</v>
      </c>
      <c r="J12">
        <f t="shared" si="2"/>
        <v>0</v>
      </c>
      <c r="K12">
        <f t="shared" si="3"/>
        <v>0</v>
      </c>
      <c r="L12">
        <f t="shared" si="4"/>
        <v>0</v>
      </c>
      <c r="M12">
        <f t="shared" si="5"/>
        <v>0</v>
      </c>
    </row>
    <row r="13" spans="1:13" x14ac:dyDescent="0.35">
      <c r="H13">
        <f t="shared" si="0"/>
        <v>0</v>
      </c>
      <c r="I13">
        <f t="shared" si="1"/>
        <v>0</v>
      </c>
      <c r="J13">
        <f t="shared" si="2"/>
        <v>0</v>
      </c>
      <c r="K13">
        <f t="shared" si="3"/>
        <v>0</v>
      </c>
      <c r="L13">
        <f t="shared" si="4"/>
        <v>0</v>
      </c>
      <c r="M13">
        <f t="shared" si="5"/>
        <v>0</v>
      </c>
    </row>
    <row r="14" spans="1:13" x14ac:dyDescent="0.35">
      <c r="H14">
        <f t="shared" si="0"/>
        <v>0</v>
      </c>
      <c r="I14">
        <f t="shared" si="1"/>
        <v>0</v>
      </c>
      <c r="J14">
        <f t="shared" si="2"/>
        <v>0</v>
      </c>
      <c r="K14">
        <f t="shared" si="3"/>
        <v>0</v>
      </c>
      <c r="L14">
        <f t="shared" si="4"/>
        <v>0</v>
      </c>
      <c r="M14">
        <f t="shared" si="5"/>
        <v>0</v>
      </c>
    </row>
    <row r="15" spans="1:13" x14ac:dyDescent="0.35">
      <c r="H15">
        <f t="shared" si="0"/>
        <v>0</v>
      </c>
      <c r="I15">
        <f t="shared" si="1"/>
        <v>0</v>
      </c>
      <c r="J15">
        <f t="shared" si="2"/>
        <v>0</v>
      </c>
      <c r="K15">
        <f t="shared" si="3"/>
        <v>0</v>
      </c>
      <c r="L15">
        <f t="shared" si="4"/>
        <v>0</v>
      </c>
      <c r="M15">
        <f t="shared" si="5"/>
        <v>0</v>
      </c>
    </row>
    <row r="16" spans="1:13" x14ac:dyDescent="0.35">
      <c r="H16">
        <f t="shared" si="0"/>
        <v>0</v>
      </c>
      <c r="I16">
        <f t="shared" si="1"/>
        <v>0</v>
      </c>
      <c r="J16">
        <f t="shared" si="2"/>
        <v>0</v>
      </c>
      <c r="K16">
        <f t="shared" si="3"/>
        <v>0</v>
      </c>
      <c r="L16">
        <f t="shared" si="4"/>
        <v>0</v>
      </c>
      <c r="M16">
        <f t="shared" si="5"/>
        <v>0</v>
      </c>
    </row>
    <row r="17" spans="8:13" x14ac:dyDescent="0.35">
      <c r="H17">
        <f t="shared" si="0"/>
        <v>0</v>
      </c>
      <c r="I17">
        <f t="shared" si="1"/>
        <v>0</v>
      </c>
      <c r="J17">
        <f t="shared" si="2"/>
        <v>0</v>
      </c>
      <c r="K17">
        <f t="shared" si="3"/>
        <v>0</v>
      </c>
      <c r="L17">
        <f t="shared" si="4"/>
        <v>0</v>
      </c>
      <c r="M17">
        <f t="shared" si="5"/>
        <v>0</v>
      </c>
    </row>
    <row r="18" spans="8:13" x14ac:dyDescent="0.35">
      <c r="H18">
        <f t="shared" si="0"/>
        <v>0</v>
      </c>
      <c r="I18">
        <f t="shared" si="1"/>
        <v>0</v>
      </c>
      <c r="J18">
        <f t="shared" si="2"/>
        <v>0</v>
      </c>
      <c r="K18">
        <f t="shared" si="3"/>
        <v>0</v>
      </c>
      <c r="L18">
        <f t="shared" si="4"/>
        <v>0</v>
      </c>
      <c r="M18">
        <f t="shared" si="5"/>
        <v>0</v>
      </c>
    </row>
    <row r="19" spans="8:13" x14ac:dyDescent="0.35">
      <c r="H19">
        <f t="shared" si="0"/>
        <v>0</v>
      </c>
      <c r="I19">
        <f t="shared" si="1"/>
        <v>0</v>
      </c>
      <c r="J19">
        <f t="shared" si="2"/>
        <v>0</v>
      </c>
      <c r="K19">
        <f t="shared" si="3"/>
        <v>0</v>
      </c>
      <c r="L19">
        <f t="shared" si="4"/>
        <v>0</v>
      </c>
      <c r="M19">
        <f t="shared" si="5"/>
        <v>0</v>
      </c>
    </row>
    <row r="20" spans="8:13" x14ac:dyDescent="0.35">
      <c r="H20">
        <f t="shared" si="0"/>
        <v>0</v>
      </c>
      <c r="I20">
        <f t="shared" si="1"/>
        <v>0</v>
      </c>
      <c r="J20">
        <f t="shared" si="2"/>
        <v>0</v>
      </c>
      <c r="K20">
        <f t="shared" si="3"/>
        <v>0</v>
      </c>
      <c r="L20">
        <f t="shared" si="4"/>
        <v>0</v>
      </c>
      <c r="M20">
        <f t="shared" si="5"/>
        <v>0</v>
      </c>
    </row>
    <row r="21" spans="8:13" x14ac:dyDescent="0.35">
      <c r="H21">
        <f t="shared" si="0"/>
        <v>0</v>
      </c>
      <c r="I21">
        <f t="shared" si="1"/>
        <v>0</v>
      </c>
      <c r="J21">
        <f t="shared" si="2"/>
        <v>0</v>
      </c>
      <c r="K21">
        <f t="shared" si="3"/>
        <v>0</v>
      </c>
      <c r="L21">
        <f t="shared" si="4"/>
        <v>0</v>
      </c>
      <c r="M21">
        <f t="shared" si="5"/>
        <v>0</v>
      </c>
    </row>
    <row r="22" spans="8:13" x14ac:dyDescent="0.35">
      <c r="H22">
        <f t="shared" si="0"/>
        <v>0</v>
      </c>
      <c r="I22">
        <f t="shared" si="1"/>
        <v>0</v>
      </c>
      <c r="J22">
        <f t="shared" si="2"/>
        <v>0</v>
      </c>
      <c r="K22">
        <f t="shared" si="3"/>
        <v>0</v>
      </c>
      <c r="L22">
        <f t="shared" si="4"/>
        <v>0</v>
      </c>
      <c r="M22">
        <f t="shared" si="5"/>
        <v>0</v>
      </c>
    </row>
    <row r="23" spans="8:13" x14ac:dyDescent="0.35">
      <c r="H23">
        <f t="shared" si="0"/>
        <v>0</v>
      </c>
      <c r="I23">
        <f t="shared" si="1"/>
        <v>0</v>
      </c>
      <c r="J23">
        <f t="shared" si="2"/>
        <v>0</v>
      </c>
      <c r="K23">
        <f t="shared" si="3"/>
        <v>0</v>
      </c>
      <c r="L23">
        <f t="shared" si="4"/>
        <v>0</v>
      </c>
      <c r="M23">
        <f t="shared" si="5"/>
        <v>0</v>
      </c>
    </row>
    <row r="24" spans="8:13" x14ac:dyDescent="0.35">
      <c r="H24">
        <f t="shared" si="0"/>
        <v>0</v>
      </c>
      <c r="I24">
        <f t="shared" si="1"/>
        <v>0</v>
      </c>
      <c r="J24">
        <f t="shared" si="2"/>
        <v>0</v>
      </c>
      <c r="K24">
        <f t="shared" si="3"/>
        <v>0</v>
      </c>
      <c r="L24">
        <f t="shared" si="4"/>
        <v>0</v>
      </c>
      <c r="M24">
        <f t="shared" si="5"/>
        <v>0</v>
      </c>
    </row>
    <row r="25" spans="8:13" x14ac:dyDescent="0.35">
      <c r="H25">
        <f t="shared" si="0"/>
        <v>0</v>
      </c>
      <c r="I25">
        <f t="shared" si="1"/>
        <v>0</v>
      </c>
      <c r="J25">
        <f t="shared" si="2"/>
        <v>0</v>
      </c>
      <c r="K25">
        <f t="shared" si="3"/>
        <v>0</v>
      </c>
      <c r="L25">
        <f t="shared" si="4"/>
        <v>0</v>
      </c>
      <c r="M25">
        <f t="shared" si="5"/>
        <v>0</v>
      </c>
    </row>
    <row r="26" spans="8:13" x14ac:dyDescent="0.35">
      <c r="H26">
        <f t="shared" si="0"/>
        <v>0</v>
      </c>
      <c r="I26">
        <f t="shared" si="1"/>
        <v>0</v>
      </c>
      <c r="J26">
        <f t="shared" si="2"/>
        <v>0</v>
      </c>
      <c r="K26">
        <f t="shared" si="3"/>
        <v>0</v>
      </c>
      <c r="L26">
        <f t="shared" si="4"/>
        <v>0</v>
      </c>
      <c r="M26">
        <f t="shared" si="5"/>
        <v>0</v>
      </c>
    </row>
    <row r="27" spans="8:13" x14ac:dyDescent="0.35">
      <c r="H27">
        <f t="shared" si="0"/>
        <v>0</v>
      </c>
      <c r="I27">
        <f t="shared" si="1"/>
        <v>0</v>
      </c>
      <c r="J27">
        <f t="shared" si="2"/>
        <v>0</v>
      </c>
      <c r="K27">
        <f t="shared" si="3"/>
        <v>0</v>
      </c>
      <c r="L27">
        <f t="shared" si="4"/>
        <v>0</v>
      </c>
      <c r="M27">
        <f t="shared" si="5"/>
        <v>0</v>
      </c>
    </row>
    <row r="28" spans="8:13" x14ac:dyDescent="0.35">
      <c r="H28">
        <f t="shared" si="0"/>
        <v>0</v>
      </c>
      <c r="I28">
        <f t="shared" si="1"/>
        <v>0</v>
      </c>
      <c r="J28">
        <f t="shared" si="2"/>
        <v>0</v>
      </c>
      <c r="K28">
        <f t="shared" si="3"/>
        <v>0</v>
      </c>
      <c r="L28">
        <f t="shared" si="4"/>
        <v>0</v>
      </c>
      <c r="M28">
        <f t="shared" si="5"/>
        <v>0</v>
      </c>
    </row>
  </sheetData>
  <mergeCells count="2">
    <mergeCell ref="A1:F1"/>
    <mergeCell ref="H1:M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2b20bf0-79f3-4559-a8ab-bcb74dcd8cd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2580AD17ADB64691A1BA4C2E042DA4" ma:contentTypeVersion="18" ma:contentTypeDescription="Create a new document." ma:contentTypeScope="" ma:versionID="6532fc6a52f3455fe895a4f720bca71c">
  <xsd:schema xmlns:xsd="http://www.w3.org/2001/XMLSchema" xmlns:xs="http://www.w3.org/2001/XMLSchema" xmlns:p="http://schemas.microsoft.com/office/2006/metadata/properties" xmlns:ns3="c2b20bf0-79f3-4559-a8ab-bcb74dcd8cd8" xmlns:ns4="08a9f8ec-165a-4165-a8e9-ed45c2de7bcb" targetNamespace="http://schemas.microsoft.com/office/2006/metadata/properties" ma:root="true" ma:fieldsID="d9a2f75daf18a7097de825f86ff3fec6" ns3:_="" ns4:_="">
    <xsd:import namespace="c2b20bf0-79f3-4559-a8ab-bcb74dcd8cd8"/>
    <xsd:import namespace="08a9f8ec-165a-4165-a8e9-ed45c2de7bc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b20bf0-79f3-4559-a8ab-bcb74dcd8c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5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a9f8ec-165a-4165-a8e9-ed45c2de7bcb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E208467-E14A-4CB9-9FC8-72DFB8E94FF2}">
  <ds:schemaRefs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dcmitype/"/>
    <ds:schemaRef ds:uri="c2b20bf0-79f3-4559-a8ab-bcb74dcd8cd8"/>
    <ds:schemaRef ds:uri="http://schemas.microsoft.com/office/infopath/2007/PartnerControls"/>
    <ds:schemaRef ds:uri="08a9f8ec-165a-4165-a8e9-ed45c2de7bcb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2D595912-0053-4104-933F-CDA3B3DBC54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5923CC5-95C4-4597-AADE-A0DCE38786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2b20bf0-79f3-4559-a8ab-bcb74dcd8cd8"/>
    <ds:schemaRef ds:uri="08a9f8ec-165a-4165-a8e9-ed45c2de7b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Proximal Validation (prelim)</vt:lpstr>
      <vt:lpstr>Distal Validation (prelim)</vt:lpstr>
      <vt:lpstr>Proximal Validation (single)</vt:lpstr>
      <vt:lpstr>Distal Validation (single)</vt:lpstr>
      <vt:lpstr>Sheet1</vt:lpstr>
      <vt:lpstr>Conversion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Jones</dc:creator>
  <cp:lastModifiedBy>Noah Jones</cp:lastModifiedBy>
  <cp:lastPrinted>2025-09-25T19:44:46Z</cp:lastPrinted>
  <dcterms:created xsi:type="dcterms:W3CDTF">2025-08-20T18:12:27Z</dcterms:created>
  <dcterms:modified xsi:type="dcterms:W3CDTF">2025-10-10T19:10:40Z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0x010100E12580AD17ADB64691A1BA4C2E042DA4</vt:lpwstr>
  </property>
</Properties>
</file>