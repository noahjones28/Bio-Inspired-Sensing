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75)(3tendon)/10-08-2025/"/>
    </mc:Choice>
  </mc:AlternateContent>
  <xr:revisionPtr revIDLastSave="2640" documentId="8_{DFFD6B0C-681F-42C8-B2E4-5D4B90AAE966}" xr6:coauthVersionLast="47" xr6:coauthVersionMax="47" xr10:uidLastSave="{50D3B6BC-6D1A-499C-BA98-C67266A93F19}"/>
  <bookViews>
    <workbookView xWindow="-120" yWindow="-120" windowWidth="29040" windowHeight="15720" activeTab="1" xr2:uid="{3D16C37F-3C74-4527-A308-796C339DFE9F}"/>
  </bookViews>
  <sheets>
    <sheet name="Proximal Validation (double)" sheetId="12" r:id="rId1"/>
    <sheet name="Distal Validati (double)" sheetId="19" r:id="rId2"/>
    <sheet name="Sheet1" sheetId="26" r:id="rId3"/>
    <sheet name="Conver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7" i="12" l="1"/>
  <c r="AB17" i="12"/>
  <c r="AA17" i="12"/>
  <c r="Z17" i="12"/>
  <c r="Y17" i="12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B4" i="12"/>
  <c r="AA4" i="12"/>
  <c r="Z4" i="12"/>
  <c r="Y4" i="12"/>
  <c r="X4" i="12"/>
  <c r="AC3" i="12"/>
  <c r="AB3" i="12"/>
  <c r="AA3" i="12"/>
  <c r="Z3" i="12"/>
  <c r="Y3" i="12"/>
  <c r="X3" i="12"/>
  <c r="H18" i="4" l="1"/>
  <c r="I18" i="4"/>
  <c r="J18" i="4"/>
  <c r="K18" i="4"/>
  <c r="L18" i="4"/>
  <c r="M18" i="4"/>
  <c r="H4" i="12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H17" i="19" l="1"/>
  <c r="AG17" i="19"/>
  <c r="AF17" i="19"/>
  <c r="AE17" i="19"/>
  <c r="AD17" i="19"/>
  <c r="AC17" i="19"/>
  <c r="AB17" i="19"/>
  <c r="AA17" i="19"/>
  <c r="AH16" i="19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2" i="19"/>
  <c r="AG12" i="19"/>
  <c r="AF12" i="19"/>
  <c r="AE12" i="19"/>
  <c r="AD12" i="19"/>
  <c r="AC12" i="19"/>
  <c r="AB12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M4" i="19" l="1" a="1"/>
  <c r="AM4" i="19" s="1"/>
  <c r="AS4" i="19" a="1"/>
  <c r="AS4" i="19" s="1"/>
  <c r="AP4" i="19" a="1"/>
  <c r="AP4" i="19" s="1"/>
  <c r="AQ4" i="19" a="1"/>
  <c r="AQ4" i="19" s="1"/>
  <c r="AR4" i="19" a="1"/>
  <c r="AR4" i="19" s="1"/>
  <c r="AN4" i="19" a="1"/>
  <c r="AN4" i="19" s="1"/>
  <c r="AO4" i="19" a="1"/>
  <c r="AO4" i="19" s="1"/>
  <c r="AA4" i="19"/>
  <c r="AA11" i="19"/>
  <c r="AI11" i="19" s="1"/>
  <c r="AA9" i="19"/>
  <c r="AI9" i="19" s="1"/>
  <c r="AA16" i="19"/>
  <c r="AI16" i="19" s="1"/>
  <c r="AA5" i="19"/>
  <c r="AI5" i="19" s="1"/>
  <c r="AA12" i="19"/>
  <c r="AI12" i="19" s="1"/>
  <c r="AA6" i="19"/>
  <c r="AI6" i="19" s="1"/>
  <c r="AA7" i="19"/>
  <c r="AI7" i="19" s="1"/>
  <c r="AA14" i="19"/>
  <c r="AI14" i="19" s="1"/>
  <c r="AA3" i="19"/>
  <c r="AI3" i="19" s="1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I17" i="19"/>
  <c r="AK12" i="19"/>
  <c r="AJ7" i="19"/>
  <c r="AK15" i="19"/>
  <c r="AJ5" i="19"/>
  <c r="AK7" i="19"/>
  <c r="AK5" i="19"/>
  <c r="AK9" i="19"/>
  <c r="AJ16" i="19"/>
  <c r="AK13" i="19"/>
  <c r="AK14" i="19"/>
  <c r="AK6" i="19"/>
  <c r="AK17" i="19"/>
  <c r="AJ11" i="19"/>
  <c r="AJ15" i="19"/>
  <c r="AJ4" i="19"/>
  <c r="AK8" i="19"/>
  <c r="AK4" i="19"/>
  <c r="AJ14" i="19"/>
  <c r="AK11" i="19"/>
  <c r="AJ13" i="19"/>
  <c r="AJ9" i="19"/>
  <c r="AJ17" i="19"/>
  <c r="AJ6" i="19"/>
  <c r="AJ8" i="19"/>
  <c r="AJ12" i="19"/>
  <c r="AK3" i="19"/>
  <c r="AI4" i="19" l="1"/>
  <c r="AL4" i="19" a="1"/>
  <c r="AL4" i="19" s="1"/>
  <c r="AM7" i="19"/>
  <c r="AN7" i="19"/>
  <c r="AL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tc={C96BAFC3-33B7-45B5-930E-AAACDEA85BC7}</author>
  </authors>
  <commentList>
    <comment ref="K3" authorId="0" shapeId="0" xr:uid="{C96BAFC3-33B7-45B5-930E-AAACDEA85BC7}">
      <text>
        <t>[Threaded comment]
Your version of Excel allows you to read this threaded comment; however, any edits to it will get removed if the file is opened in a newer version of Excel. Learn more: https://go.microsoft.com/fwlink/?linkid=870924
Comment:
    Bad string rubbing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<sst xmlns="http://schemas.openxmlformats.org/spreadsheetml/2006/main" count="102" uniqueCount="38">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</sst>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9" borderId="0" applyNumberFormat="0" applyBorder="0" applyAlignment="0" applyProtection="0"/>
  </cellStyleXfs>
  <cellXfs count="35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0" fillId="0" borderId="0" xfId="0" applyNumberForma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49EEF8AB-B295-45B8-83DF-414EEA0D2F95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5-10-08T02:34:31.01" personId="{49EEF8AB-B295-45B8-83DF-414EEA0D2F95}" id="{C96BAFC3-33B7-45B5-930E-AAACDEA85BC7}">
    <text>Bad string rubbing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18"/>
  <sheetViews>
    <sheetView workbookViewId="0">
      <selection activeCell="I4" sqref="I4:K1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 t="s">
        <v>6</v>
      </c>
      <c r="M1" s="21"/>
      <c r="N1" s="21"/>
      <c r="O1" s="21"/>
      <c r="P1" s="21"/>
      <c r="Q1" s="21"/>
      <c r="R1" s="22" t="s">
        <v>12</v>
      </c>
      <c r="S1" s="23"/>
      <c r="T1" s="23"/>
      <c r="U1" s="23"/>
      <c r="V1" s="23"/>
      <c r="W1" s="23"/>
      <c r="X1" s="24" t="s">
        <v>14</v>
      </c>
      <c r="Y1" s="25"/>
      <c r="Z1" s="25"/>
      <c r="AA1" s="25"/>
      <c r="AB1" s="25"/>
      <c r="AC1" s="26"/>
    </row>
    <row r="2" spans="1:29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x14ac:dyDescent="0.25">
      <c r="A3" s="6">
        <v>0.3</v>
      </c>
      <c r="B3" s="6">
        <v>0.2</v>
      </c>
      <c r="C3" s="6">
        <v>1.57</v>
      </c>
      <c r="D3" s="6">
        <f>PI()/2</f>
        <v>1.5707963267948966</v>
      </c>
      <c r="E3" s="6">
        <v>0.3</v>
      </c>
      <c r="F3" s="6">
        <v>0.08</v>
      </c>
      <c r="G3" s="6">
        <v>3.1419999999999999</v>
      </c>
      <c r="H3" s="6">
        <f>PI()/2</f>
        <v>1.5707963267948966</v>
      </c>
      <c r="I3" s="6">
        <v>0</v>
      </c>
      <c r="J3" s="6">
        <v>0</v>
      </c>
      <c r="K3" s="6">
        <v>0</v>
      </c>
      <c r="X3" s="5">
        <f>L3-R3</f>
        <v>0</v>
      </c>
      <c r="Y3" s="5">
        <f t="shared" ref="Y3:AC3" si="0">M3-S3</f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</row>
    <row r="4" spans="1:29" s="5" customFormat="1" x14ac:dyDescent="0.25">
      <c r="A4" s="6">
        <v>0.4</v>
      </c>
      <c r="B4" s="6">
        <v>0.1</v>
      </c>
      <c r="C4" s="6">
        <v>1.57</v>
      </c>
      <c r="D4" s="6">
        <f t="shared" ref="D4:D17" si="1">PI()/2</f>
        <v>1.5707963267948966</v>
      </c>
      <c r="E4" s="6">
        <v>0.5</v>
      </c>
      <c r="F4" s="6">
        <v>0.06</v>
      </c>
      <c r="G4" s="6">
        <v>4.7119999999999997</v>
      </c>
      <c r="H4" s="6">
        <f t="shared" ref="H4:H17" si="2">PI()/2</f>
        <v>1.5707963267948966</v>
      </c>
      <c r="I4" s="6">
        <v>0.8</v>
      </c>
      <c r="J4" s="6">
        <v>0</v>
      </c>
      <c r="K4" s="6">
        <v>0</v>
      </c>
      <c r="L4" s="5">
        <v>-6.9790857378393401E-4</v>
      </c>
      <c r="M4" s="5">
        <v>-7.3205647058784996E-3</v>
      </c>
      <c r="N4" s="5">
        <v>-3.4127428079955302E-4</v>
      </c>
      <c r="O4" s="5">
        <v>-5.5667467415332801E-2</v>
      </c>
      <c r="P4" s="5">
        <v>-1.0312870144844101E-3</v>
      </c>
      <c r="Q4" s="5">
        <v>-7.8237302601337405E-2</v>
      </c>
      <c r="R4" s="5">
        <v>2.8569799581245557E-4</v>
      </c>
      <c r="S4" s="5">
        <v>-1.0087775576834955E-3</v>
      </c>
      <c r="T4" s="5">
        <v>2.174307973358988E-5</v>
      </c>
      <c r="U4" s="5">
        <v>-4.2225168733916784E-3</v>
      </c>
      <c r="V4" s="5">
        <v>-1.5537278931954367E-5</v>
      </c>
      <c r="W4" s="5">
        <v>-0.10037540855181519</v>
      </c>
      <c r="X4" s="5">
        <f t="shared" ref="X4:X17" si="3">L4-R4</f>
        <v>-9.8360656959638952E-4</v>
      </c>
      <c r="Y4" s="5">
        <f t="shared" ref="Y4:Y17" si="4">M4-S4</f>
        <v>-6.3117871481950041E-3</v>
      </c>
      <c r="Z4" s="5">
        <f t="shared" ref="Z4:Z17" si="5">N4-T4</f>
        <v>-3.6301736053314287E-4</v>
      </c>
      <c r="AA4" s="5">
        <f t="shared" ref="AA4:AA17" si="6">O4-U4</f>
        <v>-5.144495054194112E-2</v>
      </c>
      <c r="AB4" s="5">
        <f t="shared" ref="AB4:AB17" si="7">P4-V4</f>
        <v>-1.0157497355524558E-3</v>
      </c>
      <c r="AC4" s="5">
        <f t="shared" ref="AC4:AC17" si="8">Q4-W4</f>
        <v>2.2138105950477785E-2</v>
      </c>
    </row>
    <row r="5" spans="1:29" s="5" customFormat="1" x14ac:dyDescent="0.25">
      <c r="A5" s="6">
        <v>0.7</v>
      </c>
      <c r="B5" s="6">
        <v>0.16</v>
      </c>
      <c r="C5" s="6">
        <v>1.57</v>
      </c>
      <c r="D5" s="6">
        <f t="shared" si="1"/>
        <v>1.5707963267948966</v>
      </c>
      <c r="E5" s="6">
        <v>0.7</v>
      </c>
      <c r="F5" s="6">
        <v>0.02</v>
      </c>
      <c r="G5" s="6">
        <v>4.7119999999999997</v>
      </c>
      <c r="H5" s="6">
        <f t="shared" si="2"/>
        <v>1.5707963267948966</v>
      </c>
      <c r="I5" s="6">
        <v>0</v>
      </c>
      <c r="J5" s="6">
        <v>0</v>
      </c>
      <c r="K5" s="6">
        <v>0</v>
      </c>
      <c r="L5" s="5">
        <v>-1.0536191985011101E-3</v>
      </c>
      <c r="M5" s="5">
        <v>-7.8555814921855899E-2</v>
      </c>
      <c r="N5" s="5">
        <v>-8.4829382831230803E-4</v>
      </c>
      <c r="O5" s="5">
        <v>-0.290728449821472</v>
      </c>
      <c r="P5" s="5">
        <v>-5.1247030496597299E-3</v>
      </c>
      <c r="Q5" s="5">
        <v>-0.149505704641342</v>
      </c>
      <c r="R5" s="5">
        <v>-5.9414687019557065E-14</v>
      </c>
      <c r="S5" s="5">
        <v>-9.1673922945979869E-2</v>
      </c>
      <c r="T5" s="5">
        <v>1.0413138209451165E-4</v>
      </c>
      <c r="U5" s="5">
        <v>-0.21863284700567198</v>
      </c>
      <c r="V5" s="5">
        <v>2.4029001118472675E-4</v>
      </c>
      <c r="W5" s="5">
        <v>-5.5548671066361563E-2</v>
      </c>
      <c r="X5" s="5">
        <f t="shared" si="3"/>
        <v>-1.0536191984416954E-3</v>
      </c>
      <c r="Y5" s="5">
        <f t="shared" si="4"/>
        <v>1.311810802412397E-2</v>
      </c>
      <c r="Z5" s="5">
        <f t="shared" si="5"/>
        <v>-9.524252104068197E-4</v>
      </c>
      <c r="AA5" s="5">
        <f t="shared" si="6"/>
        <v>-7.209560281580002E-2</v>
      </c>
      <c r="AB5" s="5">
        <f t="shared" si="7"/>
        <v>-5.3649930608444564E-3</v>
      </c>
      <c r="AC5" s="5">
        <f t="shared" si="8"/>
        <v>-9.3957033574980434E-2</v>
      </c>
    </row>
    <row r="6" spans="1:29" s="5" customFormat="1" x14ac:dyDescent="0.25">
      <c r="A6" s="6">
        <v>0.7</v>
      </c>
      <c r="B6" s="6">
        <v>0.18</v>
      </c>
      <c r="C6" s="6">
        <v>2.3559999999999999</v>
      </c>
      <c r="D6" s="6">
        <f t="shared" si="1"/>
        <v>1.5707963267948966</v>
      </c>
      <c r="E6" s="6">
        <v>0.8</v>
      </c>
      <c r="F6" s="6">
        <v>0.06</v>
      </c>
      <c r="G6" s="6">
        <v>3.1419999999999999</v>
      </c>
      <c r="H6" s="6">
        <f t="shared" si="2"/>
        <v>1.5707963267948966</v>
      </c>
      <c r="I6" s="6">
        <v>0.8</v>
      </c>
      <c r="J6" s="6">
        <v>0</v>
      </c>
      <c r="K6" s="6">
        <v>0</v>
      </c>
      <c r="L6" s="5">
        <v>5.7581164874136396E-3</v>
      </c>
      <c r="M6" s="5">
        <v>-0.10363680869340899</v>
      </c>
      <c r="N6" s="5">
        <v>-0.23897853493690499</v>
      </c>
      <c r="O6" s="5">
        <v>-0.52015882730483998</v>
      </c>
      <c r="P6" s="5">
        <v>-1.09926557540894</v>
      </c>
      <c r="Q6" s="5">
        <v>0.267356157302856</v>
      </c>
      <c r="R6" s="5">
        <v>3.4925322799582684E-3</v>
      </c>
      <c r="S6" s="5">
        <v>-0.123478612680415</v>
      </c>
      <c r="T6" s="5">
        <v>-0.24049207022235591</v>
      </c>
      <c r="U6" s="5">
        <v>-0.57507160944026781</v>
      </c>
      <c r="V6" s="5">
        <v>-1.1870392186587875</v>
      </c>
      <c r="W6" s="5">
        <v>0.4030052867277048</v>
      </c>
      <c r="X6" s="5">
        <f t="shared" si="3"/>
        <v>2.2655842074553712E-3</v>
      </c>
      <c r="Y6" s="5">
        <f t="shared" si="4"/>
        <v>1.984180398700601E-2</v>
      </c>
      <c r="Z6" s="5">
        <f t="shared" si="5"/>
        <v>1.5135352854509232E-3</v>
      </c>
      <c r="AA6" s="5">
        <f t="shared" si="6"/>
        <v>5.4912782135427829E-2</v>
      </c>
      <c r="AB6" s="5">
        <f t="shared" si="7"/>
        <v>8.7773643249847488E-2</v>
      </c>
      <c r="AC6" s="5">
        <f t="shared" si="8"/>
        <v>-0.1356491294248488</v>
      </c>
    </row>
    <row r="7" spans="1:29" s="5" customFormat="1" x14ac:dyDescent="0.25">
      <c r="A7" s="6">
        <v>0.6</v>
      </c>
      <c r="B7" s="6">
        <v>0.12</v>
      </c>
      <c r="C7" s="6">
        <v>2.3559999999999999</v>
      </c>
      <c r="D7" s="6">
        <f t="shared" si="1"/>
        <v>1.5707963267948966</v>
      </c>
      <c r="E7" s="6">
        <v>0.3</v>
      </c>
      <c r="F7" s="6">
        <v>0.04</v>
      </c>
      <c r="G7" s="6">
        <v>3.927</v>
      </c>
      <c r="H7" s="6">
        <f t="shared" si="2"/>
        <v>1.5707963267948966</v>
      </c>
      <c r="I7" s="6">
        <v>0.4</v>
      </c>
      <c r="J7" s="6">
        <v>0</v>
      </c>
      <c r="K7" s="6">
        <v>0</v>
      </c>
      <c r="L7" s="5">
        <v>-2.44866497814655E-3</v>
      </c>
      <c r="M7" s="5">
        <v>-6.6844537854194599E-2</v>
      </c>
      <c r="N7" s="5">
        <v>-0.113934345543385</v>
      </c>
      <c r="O7" s="5">
        <v>-0.13137710094451899</v>
      </c>
      <c r="P7" s="5">
        <v>-0.59289419651031505</v>
      </c>
      <c r="Q7" s="5">
        <v>0.26247158646583602</v>
      </c>
      <c r="R7" s="5">
        <v>6.1658665523164837E-4</v>
      </c>
      <c r="S7" s="5">
        <v>-6.071996499160652E-2</v>
      </c>
      <c r="T7" s="5">
        <v>-0.11561776916290079</v>
      </c>
      <c r="U7" s="5">
        <v>-0.11970483789245874</v>
      </c>
      <c r="V7" s="5">
        <v>-0.62771751481344185</v>
      </c>
      <c r="W7" s="5">
        <v>0.20413645002016334</v>
      </c>
      <c r="X7" s="5">
        <f t="shared" si="3"/>
        <v>-3.0652516333781986E-3</v>
      </c>
      <c r="Y7" s="5">
        <f t="shared" si="4"/>
        <v>-6.1245728625880791E-3</v>
      </c>
      <c r="Z7" s="5">
        <f t="shared" si="5"/>
        <v>1.6834236195157892E-3</v>
      </c>
      <c r="AA7" s="5">
        <f t="shared" si="6"/>
        <v>-1.1672263052060247E-2</v>
      </c>
      <c r="AB7" s="5">
        <f t="shared" si="7"/>
        <v>3.4823318303126793E-2</v>
      </c>
      <c r="AC7" s="5">
        <f t="shared" si="8"/>
        <v>5.8335136445672675E-2</v>
      </c>
    </row>
    <row r="8" spans="1:29" s="5" customFormat="1" x14ac:dyDescent="0.25">
      <c r="A8" s="6">
        <v>0.8</v>
      </c>
      <c r="B8" s="6">
        <v>0.12</v>
      </c>
      <c r="C8" s="6">
        <v>2.3559999999999999</v>
      </c>
      <c r="D8" s="6">
        <f t="shared" si="1"/>
        <v>1.5707963267948966</v>
      </c>
      <c r="E8" s="6">
        <v>0.5</v>
      </c>
      <c r="F8" s="6">
        <v>0.06</v>
      </c>
      <c r="G8" s="6">
        <v>3.927</v>
      </c>
      <c r="H8" s="6">
        <f t="shared" si="2"/>
        <v>1.5707963267948966</v>
      </c>
      <c r="I8" s="6">
        <v>0.4</v>
      </c>
      <c r="J8" s="6">
        <v>0</v>
      </c>
      <c r="K8" s="6">
        <v>0</v>
      </c>
      <c r="L8" s="5">
        <v>-2.50665238127112E-3</v>
      </c>
      <c r="M8" s="5">
        <v>-7.5730748474597903E-2</v>
      </c>
      <c r="N8" s="5">
        <v>-0.180317267775536</v>
      </c>
      <c r="O8" s="5">
        <v>-0.29059055447578402</v>
      </c>
      <c r="P8" s="5">
        <v>-0.92200559377670299</v>
      </c>
      <c r="Q8" s="5">
        <v>0.27903902530670199</v>
      </c>
      <c r="R8" s="5">
        <v>7.9878182123114931E-4</v>
      </c>
      <c r="S8" s="5">
        <v>-6.3983583712797748E-2</v>
      </c>
      <c r="T8" s="5">
        <v>-0.16900056067378727</v>
      </c>
      <c r="U8" s="5">
        <v>-0.22623756585888674</v>
      </c>
      <c r="V8" s="5">
        <v>-0.89475974891427545</v>
      </c>
      <c r="W8" s="5">
        <v>0.19533585286758007</v>
      </c>
      <c r="X8" s="5">
        <f t="shared" si="3"/>
        <v>-3.3054342025022692E-3</v>
      </c>
      <c r="Y8" s="5">
        <f t="shared" si="4"/>
        <v>-1.1747164761800155E-2</v>
      </c>
      <c r="Z8" s="5">
        <f t="shared" si="5"/>
        <v>-1.131670710174873E-2</v>
      </c>
      <c r="AA8" s="5">
        <f t="shared" si="6"/>
        <v>-6.4352988616897283E-2</v>
      </c>
      <c r="AB8" s="5">
        <f t="shared" si="7"/>
        <v>-2.7245844862427537E-2</v>
      </c>
      <c r="AC8" s="5">
        <f t="shared" si="8"/>
        <v>8.3703172439121926E-2</v>
      </c>
    </row>
    <row r="9" spans="1:29" s="5" customFormat="1" x14ac:dyDescent="0.25">
      <c r="A9" s="6">
        <v>0.3</v>
      </c>
      <c r="B9" s="6">
        <v>0.18</v>
      </c>
      <c r="C9" s="6">
        <v>3.1419999999999999</v>
      </c>
      <c r="D9" s="6">
        <f t="shared" si="1"/>
        <v>1.5707963267948966</v>
      </c>
      <c r="E9" s="6">
        <v>0.4</v>
      </c>
      <c r="F9" s="6">
        <v>0.04</v>
      </c>
      <c r="G9" s="6">
        <v>3.927</v>
      </c>
      <c r="H9" s="6">
        <f t="shared" si="2"/>
        <v>1.5707963267948966</v>
      </c>
      <c r="I9" s="6">
        <v>1.2</v>
      </c>
      <c r="J9" s="6">
        <v>0</v>
      </c>
      <c r="K9" s="6">
        <v>0</v>
      </c>
      <c r="L9" s="5">
        <v>8.5229938849806796E-4</v>
      </c>
      <c r="M9" s="5">
        <v>3.4337110817432397E-2</v>
      </c>
      <c r="N9" s="5">
        <v>-9.4974353909492507E-2</v>
      </c>
      <c r="O9" s="5">
        <v>-1.8785402178764302E-2</v>
      </c>
      <c r="P9" s="5">
        <v>-0.50129872560501099</v>
      </c>
      <c r="Q9" s="5">
        <v>-0.25437980890273998</v>
      </c>
      <c r="R9" s="5">
        <v>1.0626163233057066E-3</v>
      </c>
      <c r="S9" s="5">
        <v>3.6640843426631001E-2</v>
      </c>
      <c r="T9" s="5">
        <v>-0.11726999182555792</v>
      </c>
      <c r="U9" s="5">
        <v>-7.4921234111361965E-2</v>
      </c>
      <c r="V9" s="5">
        <v>-0.57752927681126565</v>
      </c>
      <c r="W9" s="5">
        <v>-0.28300033478536807</v>
      </c>
      <c r="X9" s="5">
        <f t="shared" si="3"/>
        <v>-2.1031693480763863E-4</v>
      </c>
      <c r="Y9" s="5">
        <f t="shared" si="4"/>
        <v>-2.3037326091986041E-3</v>
      </c>
      <c r="Z9" s="5">
        <f t="shared" si="5"/>
        <v>2.2295637916065411E-2</v>
      </c>
      <c r="AA9" s="5">
        <f t="shared" si="6"/>
        <v>5.6135831932597663E-2</v>
      </c>
      <c r="AB9" s="5">
        <f t="shared" si="7"/>
        <v>7.623055120625466E-2</v>
      </c>
      <c r="AC9" s="5">
        <f t="shared" si="8"/>
        <v>2.8620525882628089E-2</v>
      </c>
    </row>
    <row r="10" spans="1:29" s="5" customFormat="1" x14ac:dyDescent="0.25">
      <c r="A10" s="6">
        <v>0.5</v>
      </c>
      <c r="B10" s="6">
        <v>0.2</v>
      </c>
      <c r="C10" s="6">
        <v>3.1419999999999999</v>
      </c>
      <c r="D10" s="6">
        <f t="shared" si="1"/>
        <v>1.5707963267948966</v>
      </c>
      <c r="E10" s="6">
        <v>0.7</v>
      </c>
      <c r="F10" s="6">
        <v>0.04</v>
      </c>
      <c r="G10" s="6">
        <v>3.927</v>
      </c>
      <c r="H10" s="6">
        <f t="shared" si="2"/>
        <v>1.5707963267948966</v>
      </c>
      <c r="I10" s="6">
        <v>0.4</v>
      </c>
      <c r="J10" s="6">
        <v>0</v>
      </c>
      <c r="K10" s="6">
        <v>0</v>
      </c>
      <c r="L10" s="5">
        <v>6.1825290322303804E-4</v>
      </c>
      <c r="M10" s="5">
        <v>5.5208317935466801E-2</v>
      </c>
      <c r="N10" s="5">
        <v>-0.180955275893211</v>
      </c>
      <c r="O10" s="5">
        <v>-0.24768663942813901</v>
      </c>
      <c r="P10" s="5">
        <v>-0.86978924274444602</v>
      </c>
      <c r="Q10" s="5">
        <v>-0.40951335430145303</v>
      </c>
      <c r="R10" s="5">
        <v>7.0644551815632545E-4</v>
      </c>
      <c r="S10" s="5">
        <v>6.3818821429318578E-2</v>
      </c>
      <c r="T10" s="5">
        <v>-0.20101919342143321</v>
      </c>
      <c r="U10" s="5">
        <v>-0.31092896632637745</v>
      </c>
      <c r="V10" s="5">
        <v>-0.93737974469360641</v>
      </c>
      <c r="W10" s="5">
        <v>-0.49187066419064579</v>
      </c>
      <c r="X10" s="5">
        <f t="shared" si="3"/>
        <v>-8.8192614933287408E-5</v>
      </c>
      <c r="Y10" s="5">
        <f t="shared" si="4"/>
        <v>-8.6105034938517774E-3</v>
      </c>
      <c r="Z10" s="5">
        <f t="shared" si="5"/>
        <v>2.0063917528222203E-2</v>
      </c>
      <c r="AA10" s="5">
        <f t="shared" si="6"/>
        <v>6.3242326898238443E-2</v>
      </c>
      <c r="AB10" s="5">
        <f t="shared" si="7"/>
        <v>6.7590501949160386E-2</v>
      </c>
      <c r="AC10" s="5">
        <f t="shared" si="8"/>
        <v>8.2357309889192765E-2</v>
      </c>
    </row>
    <row r="11" spans="1:29" s="5" customFormat="1" x14ac:dyDescent="0.25">
      <c r="A11" s="6">
        <v>0.4</v>
      </c>
      <c r="B11" s="6">
        <v>0.14000000000000001</v>
      </c>
      <c r="C11" s="6">
        <v>3.927</v>
      </c>
      <c r="D11" s="6">
        <f t="shared" si="1"/>
        <v>1.5707963267948966</v>
      </c>
      <c r="E11" s="6">
        <v>0.5</v>
      </c>
      <c r="F11" s="6">
        <v>0.02</v>
      </c>
      <c r="G11" s="6">
        <v>3.1419999999999999</v>
      </c>
      <c r="H11" s="6">
        <f t="shared" si="2"/>
        <v>1.5707963267948966</v>
      </c>
      <c r="I11" s="6">
        <v>0.8</v>
      </c>
      <c r="J11" s="6">
        <v>0</v>
      </c>
      <c r="K11" s="6">
        <v>0</v>
      </c>
      <c r="L11" s="5">
        <v>-9.1634737327694904E-4</v>
      </c>
      <c r="M11" s="5">
        <v>5.3316056728363002E-2</v>
      </c>
      <c r="N11" s="5">
        <v>-0.111444413661957</v>
      </c>
      <c r="O11" s="5">
        <v>-5.3304430097341503E-2</v>
      </c>
      <c r="P11" s="5">
        <v>-0.72502011060714699</v>
      </c>
      <c r="Q11" s="5">
        <v>-0.226083904504776</v>
      </c>
      <c r="R11" s="5">
        <v>-2.8985342779909087E-4</v>
      </c>
      <c r="S11" s="5">
        <v>6.4758142715551498E-2</v>
      </c>
      <c r="T11" s="5">
        <v>-0.11939817589106227</v>
      </c>
      <c r="U11" s="5">
        <v>-7.4125360923362485E-2</v>
      </c>
      <c r="V11" s="5">
        <v>-0.77956146249065095</v>
      </c>
      <c r="W11" s="5">
        <v>-0.27977940458055278</v>
      </c>
      <c r="X11" s="5">
        <f t="shared" si="3"/>
        <v>-6.2649394547785822E-4</v>
      </c>
      <c r="Y11" s="5">
        <f t="shared" si="4"/>
        <v>-1.1442085987188495E-2</v>
      </c>
      <c r="Z11" s="5">
        <f t="shared" si="5"/>
        <v>7.9537622291052795E-3</v>
      </c>
      <c r="AA11" s="5">
        <f t="shared" si="6"/>
        <v>2.0820930826020982E-2</v>
      </c>
      <c r="AB11" s="5">
        <f t="shared" si="7"/>
        <v>5.4541351883503952E-2</v>
      </c>
      <c r="AC11" s="5">
        <f t="shared" si="8"/>
        <v>5.3695500075776781E-2</v>
      </c>
    </row>
    <row r="12" spans="1:29" s="5" customFormat="1" x14ac:dyDescent="0.25">
      <c r="A12" s="6">
        <v>0.7</v>
      </c>
      <c r="B12" s="6">
        <v>0.12</v>
      </c>
      <c r="C12" s="6">
        <v>3.927</v>
      </c>
      <c r="D12" s="6">
        <f t="shared" si="1"/>
        <v>1.5707963267948966</v>
      </c>
      <c r="E12" s="6">
        <v>0.7</v>
      </c>
      <c r="F12" s="6">
        <v>0.08</v>
      </c>
      <c r="G12" s="6">
        <v>3.927</v>
      </c>
      <c r="H12" s="6">
        <f t="shared" si="2"/>
        <v>1.5707963267948966</v>
      </c>
      <c r="I12" s="6">
        <v>1.2</v>
      </c>
      <c r="J12" s="6">
        <v>0</v>
      </c>
      <c r="K12" s="6">
        <v>0</v>
      </c>
      <c r="L12" s="5">
        <v>-1.71207822859287E-3</v>
      </c>
      <c r="M12" s="5">
        <v>0.15619830787181899</v>
      </c>
      <c r="N12" s="5">
        <v>-0.19836303591728199</v>
      </c>
      <c r="O12" s="5">
        <v>-0.20334188640117601</v>
      </c>
      <c r="P12" s="5">
        <v>-1.0199680328369101</v>
      </c>
      <c r="Q12" s="5">
        <v>-0.78116875886917103</v>
      </c>
      <c r="R12" s="5">
        <v>-8.4782218105974481E-4</v>
      </c>
      <c r="S12" s="5">
        <v>0.18377196343231053</v>
      </c>
      <c r="T12" s="5">
        <v>-0.18381760519246831</v>
      </c>
      <c r="U12" s="5">
        <v>-0.39139552852684162</v>
      </c>
      <c r="V12" s="5">
        <v>-0.95145893898802714</v>
      </c>
      <c r="W12" s="5">
        <v>-0.94941477381920614</v>
      </c>
      <c r="X12" s="5">
        <f t="shared" si="3"/>
        <v>-8.6425604753312521E-4</v>
      </c>
      <c r="Y12" s="5">
        <f t="shared" si="4"/>
        <v>-2.7573655560491545E-2</v>
      </c>
      <c r="Z12" s="5">
        <f t="shared" si="5"/>
        <v>-1.4545430724813679E-2</v>
      </c>
      <c r="AA12" s="5">
        <f t="shared" si="6"/>
        <v>0.18805364212566561</v>
      </c>
      <c r="AB12" s="5">
        <f t="shared" si="7"/>
        <v>-6.8509093848882929E-2</v>
      </c>
      <c r="AC12" s="5">
        <f t="shared" si="8"/>
        <v>0.16824601495003511</v>
      </c>
    </row>
    <row r="13" spans="1:29" s="5" customFormat="1" x14ac:dyDescent="0.25">
      <c r="A13" s="6">
        <v>0.3</v>
      </c>
      <c r="B13" s="6">
        <v>0.1</v>
      </c>
      <c r="C13" s="6">
        <v>3.927</v>
      </c>
      <c r="D13" s="6">
        <f t="shared" si="1"/>
        <v>1.5707963267948966</v>
      </c>
      <c r="E13" s="6">
        <v>0.8</v>
      </c>
      <c r="F13" s="6">
        <v>0.04</v>
      </c>
      <c r="G13" s="6">
        <v>4.7119999999999997</v>
      </c>
      <c r="H13" s="6">
        <f t="shared" si="2"/>
        <v>1.5707963267948966</v>
      </c>
      <c r="I13" s="6">
        <v>0</v>
      </c>
      <c r="J13" s="6">
        <v>0</v>
      </c>
      <c r="K13" s="6">
        <v>0</v>
      </c>
      <c r="L13" s="5">
        <v>5.1190471276640903E-4</v>
      </c>
      <c r="M13" s="5">
        <v>0.124454088509083</v>
      </c>
      <c r="N13" s="5">
        <v>-3.3203858882188797E-2</v>
      </c>
      <c r="O13" s="5">
        <v>-2.2600363940000499E-2</v>
      </c>
      <c r="P13" s="5">
        <v>-0.17098769545555101</v>
      </c>
      <c r="Q13" s="5">
        <v>-0.86582863330841098</v>
      </c>
      <c r="R13" s="5">
        <v>1.0787150049282486E-11</v>
      </c>
      <c r="S13" s="5">
        <v>0.14384393736154832</v>
      </c>
      <c r="T13" s="5">
        <v>-4.0206544512535025E-2</v>
      </c>
      <c r="U13" s="5">
        <v>-7.6307825329846909E-2</v>
      </c>
      <c r="V13" s="5">
        <v>-0.21112632906116785</v>
      </c>
      <c r="W13" s="5">
        <v>-1.0094616214450041</v>
      </c>
      <c r="X13" s="5">
        <f t="shared" si="3"/>
        <v>5.1190470197925899E-4</v>
      </c>
      <c r="Y13" s="5">
        <f t="shared" si="4"/>
        <v>-1.9389848852465322E-2</v>
      </c>
      <c r="Z13" s="5">
        <f t="shared" si="5"/>
        <v>7.0026856303462282E-3</v>
      </c>
      <c r="AA13" s="5">
        <f t="shared" si="6"/>
        <v>5.370746138984641E-2</v>
      </c>
      <c r="AB13" s="5">
        <f t="shared" si="7"/>
        <v>4.0138633605616841E-2</v>
      </c>
      <c r="AC13" s="5">
        <f t="shared" si="8"/>
        <v>0.14363298813659309</v>
      </c>
    </row>
    <row r="14" spans="1:29" s="5" customFormat="1" x14ac:dyDescent="0.25">
      <c r="A14" s="6">
        <v>0.6</v>
      </c>
      <c r="B14" s="6">
        <v>0.18</v>
      </c>
      <c r="C14" s="6">
        <v>3.927</v>
      </c>
      <c r="D14" s="6">
        <f t="shared" si="1"/>
        <v>1.5707963267948966</v>
      </c>
      <c r="E14" s="6">
        <v>0.4</v>
      </c>
      <c r="F14" s="6">
        <v>0.08</v>
      </c>
      <c r="G14" s="6">
        <v>4.7119999999999997</v>
      </c>
      <c r="H14" s="6">
        <f t="shared" si="2"/>
        <v>1.5707963267948966</v>
      </c>
      <c r="I14" s="6">
        <v>0</v>
      </c>
      <c r="J14" s="6">
        <v>0</v>
      </c>
      <c r="K14" s="6">
        <v>0</v>
      </c>
      <c r="L14" s="5">
        <v>-5.7422183454036702E-4</v>
      </c>
      <c r="M14" s="5">
        <v>0.162286356091499</v>
      </c>
      <c r="N14" s="5">
        <v>-0.11205181479454</v>
      </c>
      <c r="O14" s="5">
        <v>-0.35012972354888899</v>
      </c>
      <c r="P14" s="5">
        <v>-0.37300896644592302</v>
      </c>
      <c r="Q14" s="5">
        <v>-0.69461756944656405</v>
      </c>
      <c r="R14" s="5">
        <v>1.5387707760534714E-10</v>
      </c>
      <c r="S14" s="5">
        <v>0.17397564880746486</v>
      </c>
      <c r="T14" s="5">
        <v>-0.1078427643815609</v>
      </c>
      <c r="U14" s="5">
        <v>-0.39573746720649883</v>
      </c>
      <c r="V14" s="5">
        <v>-0.36765930738156366</v>
      </c>
      <c r="W14" s="5">
        <v>-0.7511408470152755</v>
      </c>
      <c r="X14" s="5">
        <f t="shared" si="3"/>
        <v>-5.7422198841744466E-4</v>
      </c>
      <c r="Y14" s="5">
        <f t="shared" si="4"/>
        <v>-1.168929271596586E-2</v>
      </c>
      <c r="Z14" s="5">
        <f t="shared" si="5"/>
        <v>-4.2090504129791012E-3</v>
      </c>
      <c r="AA14" s="5">
        <f t="shared" si="6"/>
        <v>4.5607743657609834E-2</v>
      </c>
      <c r="AB14" s="5">
        <f t="shared" si="7"/>
        <v>-5.3496590643593578E-3</v>
      </c>
      <c r="AC14" s="5">
        <f t="shared" si="8"/>
        <v>5.652327756871145E-2</v>
      </c>
    </row>
    <row r="15" spans="1:29" s="5" customFormat="1" x14ac:dyDescent="0.25">
      <c r="A15" s="6">
        <v>0.7</v>
      </c>
      <c r="B15" s="6">
        <v>0.1</v>
      </c>
      <c r="C15" s="6">
        <v>4.7119999999999997</v>
      </c>
      <c r="D15" s="6">
        <f t="shared" si="1"/>
        <v>1.5707963267948966</v>
      </c>
      <c r="E15" s="6">
        <v>0.4</v>
      </c>
      <c r="F15" s="6">
        <v>0.04</v>
      </c>
      <c r="G15" s="6">
        <v>3.1419999999999999</v>
      </c>
      <c r="H15" s="6">
        <f t="shared" si="2"/>
        <v>1.5707963267948966</v>
      </c>
      <c r="I15" s="6">
        <v>0</v>
      </c>
      <c r="J15" s="6">
        <v>0</v>
      </c>
      <c r="K15" s="6">
        <v>0</v>
      </c>
      <c r="L15" s="5">
        <v>-9.4429776072502104E-4</v>
      </c>
      <c r="M15" s="5">
        <v>0.148655906319618</v>
      </c>
      <c r="N15" s="5">
        <v>-5.2504345774650601E-2</v>
      </c>
      <c r="O15" s="5">
        <v>-0.16293309628963501</v>
      </c>
      <c r="P15" s="5">
        <v>-0.390052020549774</v>
      </c>
      <c r="Q15" s="5">
        <v>-0.75469374656677202</v>
      </c>
      <c r="R15" s="5">
        <v>-4.5486019282991644E-11</v>
      </c>
      <c r="S15" s="5">
        <v>0.13196654361161703</v>
      </c>
      <c r="T15" s="5">
        <v>-5.1824804277582792E-2</v>
      </c>
      <c r="U15" s="5">
        <v>-0.11998880209204343</v>
      </c>
      <c r="V15" s="5">
        <v>-0.39893904343380365</v>
      </c>
      <c r="W15" s="5">
        <v>-0.69054710095123839</v>
      </c>
      <c r="X15" s="5">
        <f t="shared" si="3"/>
        <v>-9.4429771523900179E-4</v>
      </c>
      <c r="Y15" s="5">
        <f t="shared" si="4"/>
        <v>1.6689362708000977E-2</v>
      </c>
      <c r="Z15" s="5">
        <f t="shared" si="5"/>
        <v>-6.7954149706780931E-4</v>
      </c>
      <c r="AA15" s="5">
        <f t="shared" si="6"/>
        <v>-4.2944294197591576E-2</v>
      </c>
      <c r="AB15" s="5">
        <f t="shared" si="7"/>
        <v>8.8870228840296495E-3</v>
      </c>
      <c r="AC15" s="5">
        <f t="shared" si="8"/>
        <v>-6.4146645615533626E-2</v>
      </c>
    </row>
    <row r="16" spans="1:29" s="5" customFormat="1" x14ac:dyDescent="0.25">
      <c r="A16" s="6">
        <v>0.4</v>
      </c>
      <c r="B16" s="6">
        <v>0.16</v>
      </c>
      <c r="C16" s="6">
        <v>4.7119999999999997</v>
      </c>
      <c r="D16" s="6">
        <f t="shared" si="1"/>
        <v>1.5707963267948966</v>
      </c>
      <c r="E16" s="6">
        <v>0.7</v>
      </c>
      <c r="F16" s="6">
        <v>0.06</v>
      </c>
      <c r="G16" s="6">
        <v>3.927</v>
      </c>
      <c r="H16" s="6">
        <f t="shared" si="2"/>
        <v>1.5707963267948966</v>
      </c>
      <c r="I16" s="6">
        <v>0.4</v>
      </c>
      <c r="J16" s="6">
        <v>0</v>
      </c>
      <c r="K16" s="6">
        <v>0</v>
      </c>
      <c r="L16" s="5">
        <v>-1.7503094859421301E-3</v>
      </c>
      <c r="M16" s="5">
        <v>0.14816157519817399</v>
      </c>
      <c r="N16" s="5">
        <v>-7.7811896800994901E-2</v>
      </c>
      <c r="O16" s="5">
        <v>-0.17471010982990301</v>
      </c>
      <c r="P16" s="5">
        <v>-0.50772678852081299</v>
      </c>
      <c r="Q16" s="5">
        <v>-0.73054701089858998</v>
      </c>
      <c r="R16" s="5">
        <v>-7.1444563477976843E-4</v>
      </c>
      <c r="S16" s="5">
        <v>0.1716169784161371</v>
      </c>
      <c r="T16" s="5">
        <v>-7.3630253714741634E-2</v>
      </c>
      <c r="U16" s="5">
        <v>-0.21281912021145202</v>
      </c>
      <c r="V16" s="5">
        <v>-0.49034334329148421</v>
      </c>
      <c r="W16" s="5">
        <v>-0.87120122255876464</v>
      </c>
      <c r="X16" s="5">
        <f t="shared" si="3"/>
        <v>-1.0358638511623617E-3</v>
      </c>
      <c r="Y16" s="5">
        <f t="shared" si="4"/>
        <v>-2.3455403217963106E-2</v>
      </c>
      <c r="Z16" s="5">
        <f t="shared" si="5"/>
        <v>-4.1816430862532672E-3</v>
      </c>
      <c r="AA16" s="5">
        <f t="shared" si="6"/>
        <v>3.8109010381549013E-2</v>
      </c>
      <c r="AB16" s="5">
        <f t="shared" si="7"/>
        <v>-1.7383445229328776E-2</v>
      </c>
      <c r="AC16" s="5">
        <f t="shared" si="8"/>
        <v>0.14065421166017467</v>
      </c>
    </row>
    <row r="17" spans="1:29" s="5" customFormat="1" x14ac:dyDescent="0.25">
      <c r="A17" s="6">
        <v>0.8</v>
      </c>
      <c r="B17" s="6">
        <v>0.2</v>
      </c>
      <c r="C17" s="6">
        <v>4.7119999999999997</v>
      </c>
      <c r="D17" s="6">
        <f t="shared" si="1"/>
        <v>1.5707963267948966</v>
      </c>
      <c r="E17" s="6">
        <v>0.3</v>
      </c>
      <c r="F17" s="6">
        <v>0.02</v>
      </c>
      <c r="G17" s="6">
        <v>4.7119999999999997</v>
      </c>
      <c r="H17" s="6">
        <f t="shared" si="2"/>
        <v>1.5707963267948966</v>
      </c>
      <c r="I17" s="6">
        <v>0.8</v>
      </c>
      <c r="J17" s="6">
        <v>0</v>
      </c>
      <c r="K17" s="6">
        <v>0</v>
      </c>
      <c r="L17" s="5">
        <v>-7.3545798659324603E-3</v>
      </c>
      <c r="M17" s="5">
        <v>0.22923256456852001</v>
      </c>
      <c r="N17" s="5">
        <v>-1.53919383883476E-2</v>
      </c>
      <c r="O17" s="5">
        <v>-0.71000015735626198</v>
      </c>
      <c r="P17" s="5">
        <v>-0.104077406227589</v>
      </c>
      <c r="Q17" s="5">
        <v>-0.75926923751831099</v>
      </c>
      <c r="R17" s="5">
        <v>-4.0164759904701862E-3</v>
      </c>
      <c r="S17" s="5">
        <v>0.2386714368792803</v>
      </c>
      <c r="T17" s="5">
        <v>-2.7393135265633316E-5</v>
      </c>
      <c r="U17" s="5">
        <v>-0.55061019794199051</v>
      </c>
      <c r="V17" s="5">
        <v>-1.0171678347743655E-2</v>
      </c>
      <c r="W17" s="5">
        <v>-0.91220761134274464</v>
      </c>
      <c r="X17" s="5">
        <f t="shared" si="3"/>
        <v>-3.3381038754622741E-3</v>
      </c>
      <c r="Y17" s="5">
        <f t="shared" si="4"/>
        <v>-9.4388723107602934E-3</v>
      </c>
      <c r="Z17" s="5">
        <f t="shared" si="5"/>
        <v>-1.5364545253081967E-2</v>
      </c>
      <c r="AA17" s="5">
        <f t="shared" si="6"/>
        <v>-0.15938995941427148</v>
      </c>
      <c r="AB17" s="5">
        <f t="shared" si="7"/>
        <v>-9.3905727879845344E-2</v>
      </c>
      <c r="AC17" s="5">
        <f t="shared" si="8"/>
        <v>0.15293837382443365</v>
      </c>
    </row>
    <row r="18" spans="1:29" x14ac:dyDescent="0.25">
      <c r="X18" s="17"/>
      <c r="Y18" s="17"/>
      <c r="Z18" s="17"/>
      <c r="AA18" s="17"/>
      <c r="AB18" s="17"/>
      <c r="AC18" s="1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tabSelected="1" topLeftCell="P1" workbookViewId="0">
      <pane ySplit="2" topLeftCell="A3" activePane="bottomLeft" state="frozen"/>
      <selection activeCell="K1" sqref="K1"/>
      <selection pane="bottomLeft" activeCell="AL7" sqref="AL7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18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0" t="s">
        <v>6</v>
      </c>
      <c r="M1" s="21"/>
      <c r="N1" s="21"/>
      <c r="O1" s="21"/>
      <c r="P1" s="21"/>
      <c r="Q1" s="21"/>
      <c r="R1" s="30" t="s">
        <v>7</v>
      </c>
      <c r="S1" s="31"/>
      <c r="T1" s="31"/>
      <c r="U1" s="31"/>
      <c r="V1" s="31"/>
      <c r="W1" s="31"/>
      <c r="X1" s="31"/>
      <c r="Y1" s="31"/>
      <c r="Z1" s="31"/>
      <c r="AA1" s="28" t="s">
        <v>13</v>
      </c>
      <c r="AB1" s="28"/>
      <c r="AC1" s="28"/>
      <c r="AD1" s="28"/>
      <c r="AE1" s="28"/>
      <c r="AF1" s="28"/>
      <c r="AG1" s="28"/>
      <c r="AH1" s="28"/>
      <c r="AI1" s="29" t="s">
        <v>36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27" t="s">
        <v>31</v>
      </c>
      <c r="AM2" s="27"/>
      <c r="AN2" s="27"/>
      <c r="AO2" s="27"/>
      <c r="AP2" s="27"/>
      <c r="AQ2" s="27"/>
      <c r="AR2" s="27"/>
      <c r="AS2" s="27"/>
    </row>
    <row r="3" spans="1:45" ht="15.75" x14ac:dyDescent="0.25">
      <c r="A3" s="5">
        <f>'Proximal Validation (double)'!A3</f>
        <v>0.3</v>
      </c>
      <c r="B3" s="5">
        <f>'Proximal Validation (double)'!B3</f>
        <v>0.2</v>
      </c>
      <c r="C3" s="5">
        <f>'Proximal Validation (double)'!C3</f>
        <v>1.57</v>
      </c>
      <c r="D3" s="5">
        <f>'Proximal Validation (double)'!D3</f>
        <v>1.5707963267948966</v>
      </c>
      <c r="E3" s="5">
        <f>'Proximal Validation (double)'!E3</f>
        <v>0.3</v>
      </c>
      <c r="F3" s="5">
        <f>'Proximal Validation (double)'!F3</f>
        <v>0.08</v>
      </c>
      <c r="G3" s="5">
        <f>'Proximal Validation (double)'!G3</f>
        <v>3.1419999999999999</v>
      </c>
      <c r="H3" s="5">
        <f>'Proximal Validation (double)'!H3</f>
        <v>1.5707963267948966</v>
      </c>
      <c r="I3" s="5">
        <f>'Proximal Validation (double)'!I3</f>
        <v>0</v>
      </c>
      <c r="J3" s="5">
        <f>'Proximal Validation (double)'!J3</f>
        <v>0</v>
      </c>
      <c r="K3" s="5">
        <f>'Proximal Validation (double)'!K3</f>
        <v>0</v>
      </c>
      <c r="L3" s="5">
        <f>'Proximal Validation (double)'!L3</f>
        <v>0</v>
      </c>
      <c r="M3" s="5">
        <f>'Proximal Validation (double)'!M3</f>
        <v>0</v>
      </c>
      <c r="N3" s="5">
        <f>'Proximal Validation (double)'!N3</f>
        <v>0</v>
      </c>
      <c r="O3" s="5">
        <f>'Proximal Validation (double)'!O3</f>
        <v>0</v>
      </c>
      <c r="P3" s="5">
        <f>'Proximal Validation (double)'!P3</f>
        <v>0</v>
      </c>
      <c r="Q3" s="5">
        <f>'Proximal Validation (double)'!Q3</f>
        <v>0</v>
      </c>
      <c r="R3" s="5"/>
      <c r="S3" s="5"/>
      <c r="T3" s="5"/>
      <c r="U3" s="5"/>
      <c r="V3" s="5"/>
      <c r="W3" s="5"/>
      <c r="X3" s="5"/>
      <c r="Y3" s="5"/>
      <c r="Z3" s="12"/>
      <c r="AA3" s="5">
        <f t="shared" ref="AA3:AA17" si="0">R3-A3</f>
        <v>-0.3</v>
      </c>
      <c r="AB3" s="5">
        <f t="shared" ref="AB3:AB17" si="1">S3-B3</f>
        <v>-0.2</v>
      </c>
      <c r="AC3" s="5">
        <f t="shared" ref="AC3:AC17" si="2">T3-C3</f>
        <v>-1.57</v>
      </c>
      <c r="AD3" s="5">
        <f t="shared" ref="AD3:AD17" si="3">U3-D3</f>
        <v>-1.5707963267948966</v>
      </c>
      <c r="AE3" s="5">
        <f t="shared" ref="AE3:AE17" si="4">V3-E3</f>
        <v>-0.3</v>
      </c>
      <c r="AF3" s="5">
        <f t="shared" ref="AF3:AF17" si="5">W3-F3</f>
        <v>-0.08</v>
      </c>
      <c r="AG3" s="5">
        <f t="shared" ref="AG3:AG17" si="6">X3-G3</f>
        <v>-3.1419999999999999</v>
      </c>
      <c r="AH3" s="5">
        <f t="shared" ref="AH3:AH17" si="7">Y3-H3</f>
        <v>-1.5707963267948966</v>
      </c>
      <c r="AI3" s="9">
        <f>AVERAGE(ABS(AA3),ABS(AE3))</f>
        <v>0.3</v>
      </c>
      <c r="AJ3" s="9">
        <f t="shared" ref="AJ3:AK17" si="8">AVERAGE(ABS(AB3),ABS(AF3))</f>
        <v>0.14000000000000001</v>
      </c>
      <c r="AK3" s="9">
        <f t="shared" si="8"/>
        <v>2.3559999999999999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4">
        <f>'Proximal Validation (double)'!A4</f>
        <v>0.4</v>
      </c>
      <c r="B4" s="14">
        <f>'Proximal Validation (double)'!B4</f>
        <v>0.1</v>
      </c>
      <c r="C4" s="14">
        <f>'Proximal Validation (double)'!C4</f>
        <v>1.57</v>
      </c>
      <c r="D4" s="14">
        <f>'Proximal Validation (double)'!D4</f>
        <v>1.5707963267948966</v>
      </c>
      <c r="E4" s="14">
        <f>'Proximal Validation (double)'!E4</f>
        <v>0.5</v>
      </c>
      <c r="F4" s="14">
        <f>'Proximal Validation (double)'!F4</f>
        <v>0.06</v>
      </c>
      <c r="G4" s="14">
        <f>'Proximal Validation (double)'!G4</f>
        <v>4.7119999999999997</v>
      </c>
      <c r="H4" s="14">
        <f>'Proximal Validation (double)'!H4</f>
        <v>1.5707963267948966</v>
      </c>
      <c r="I4" s="14">
        <f>'Proximal Validation (double)'!I4</f>
        <v>0.8</v>
      </c>
      <c r="J4" s="14">
        <f>'Proximal Validation (double)'!J4</f>
        <v>0</v>
      </c>
      <c r="K4" s="14">
        <f>'Proximal Validation (double)'!K4</f>
        <v>0</v>
      </c>
      <c r="L4" s="14">
        <f>'Proximal Validation (double)'!L4</f>
        <v>-6.9790857378393401E-4</v>
      </c>
      <c r="M4" s="14">
        <f>'Proximal Validation (double)'!M4</f>
        <v>-7.3205647058784996E-3</v>
      </c>
      <c r="N4" s="14">
        <f>'Proximal Validation (double)'!N4</f>
        <v>-3.4127428079955302E-4</v>
      </c>
      <c r="O4" s="14">
        <f>'Proximal Validation (double)'!O4</f>
        <v>-5.5667467415332801E-2</v>
      </c>
      <c r="P4" s="14">
        <f>'Proximal Validation (double)'!P4</f>
        <v>-1.0312870144844101E-3</v>
      </c>
      <c r="Q4" s="14">
        <f>'Proximal Validation (double)'!Q4</f>
        <v>-7.8237302601337405E-2</v>
      </c>
      <c r="R4" s="14">
        <v>0.91769900621440481</v>
      </c>
      <c r="S4" s="14">
        <v>0.17853079162406063</v>
      </c>
      <c r="T4" s="14">
        <v>1.4176842661171316</v>
      </c>
      <c r="U4" s="14">
        <v>1.5707963267948966</v>
      </c>
      <c r="V4" s="14">
        <v>0.9804413733792321</v>
      </c>
      <c r="W4" s="14">
        <v>0.12828108654357054</v>
      </c>
      <c r="X4" s="14">
        <v>4.5722680280603871</v>
      </c>
      <c r="Y4" s="14">
        <v>1.5707963267948966</v>
      </c>
      <c r="Z4" s="15">
        <v>6.8109515394693717E-4</v>
      </c>
      <c r="AA4" s="14">
        <f t="shared" si="0"/>
        <v>0.51769900621440479</v>
      </c>
      <c r="AB4" s="14">
        <f t="shared" si="1"/>
        <v>7.8530791624060625E-2</v>
      </c>
      <c r="AC4" s="14">
        <f t="shared" si="2"/>
        <v>-0.15231573388286845</v>
      </c>
      <c r="AD4" s="14">
        <f t="shared" si="3"/>
        <v>0</v>
      </c>
      <c r="AE4" s="14">
        <f t="shared" si="4"/>
        <v>0.4804413733792321</v>
      </c>
      <c r="AF4" s="14">
        <f t="shared" si="5"/>
        <v>6.8281086543570541E-2</v>
      </c>
      <c r="AG4" s="14">
        <f t="shared" si="6"/>
        <v>-0.13973197193961262</v>
      </c>
      <c r="AH4" s="14">
        <f t="shared" si="7"/>
        <v>0</v>
      </c>
      <c r="AI4" s="16">
        <f t="shared" ref="AI4:AI17" si="9">AVERAGE(ABS(AA4),ABS(AE4))</f>
        <v>0.49907018979681844</v>
      </c>
      <c r="AJ4" s="16">
        <f t="shared" si="8"/>
        <v>7.3405939083815583E-2</v>
      </c>
      <c r="AK4" s="16">
        <f t="shared" si="8"/>
        <v>0.14602385291124054</v>
      </c>
      <c r="AL4" s="8" cm="1">
        <f t="array" ref="AL4">AVERAGE(ABS(AA4:AA17))</f>
        <v>0.1664985248994392</v>
      </c>
      <c r="AM4" s="8" cm="1">
        <f t="array" ref="AM4">AVERAGE(ABS(AB4:AB17))</f>
        <v>3.1037754751010931E-2</v>
      </c>
      <c r="AN4" s="8" cm="1">
        <f t="array" ref="AN4">AVERAGE(ABS(AC4:AC17))</f>
        <v>0.20311423087628802</v>
      </c>
      <c r="AO4" s="8" cm="1">
        <f t="array" ref="AO4">AVERAGE(ABS(AD4:AD17))</f>
        <v>0</v>
      </c>
      <c r="AP4" s="8" cm="1">
        <f t="array" ref="AP4">AVERAGE(ABS(AE4:AE17))</f>
        <v>0.18647831936679043</v>
      </c>
      <c r="AQ4" s="8" cm="1">
        <f t="array" ref="AQ4">AVERAGE(ABS(AF4:AF17))</f>
        <v>2.2645019217069445E-2</v>
      </c>
      <c r="AR4" s="8" cm="1">
        <f t="array" ref="AR4">AVERAGE(ABS(AG4:AG17))</f>
        <v>0.30167533738944358</v>
      </c>
      <c r="AS4" s="8" cm="1">
        <f t="array" ref="AS4">AVERAGE(ABS(AH4:AH17))</f>
        <v>0</v>
      </c>
    </row>
    <row r="5" spans="1:45" x14ac:dyDescent="0.25">
      <c r="A5" s="5">
        <f>'Proximal Validation (double)'!A5</f>
        <v>0.7</v>
      </c>
      <c r="B5" s="5">
        <f>'Proximal Validation (double)'!B5</f>
        <v>0.16</v>
      </c>
      <c r="C5" s="5">
        <f>'Proximal Validation (double)'!C5</f>
        <v>1.57</v>
      </c>
      <c r="D5" s="5">
        <f>'Proximal Validation (double)'!D5</f>
        <v>1.5707963267948966</v>
      </c>
      <c r="E5" s="5">
        <f>'Proximal Validation (double)'!E5</f>
        <v>0.7</v>
      </c>
      <c r="F5" s="5">
        <f>'Proximal Validation (double)'!F5</f>
        <v>0.02</v>
      </c>
      <c r="G5" s="5">
        <f>'Proximal Validation (double)'!G5</f>
        <v>4.7119999999999997</v>
      </c>
      <c r="H5" s="5">
        <f>'Proximal Validation (double)'!H5</f>
        <v>1.5707963267948966</v>
      </c>
      <c r="I5" s="5">
        <f>'Proximal Validation (double)'!I5</f>
        <v>0</v>
      </c>
      <c r="J5" s="5">
        <f>'Proximal Validation (double)'!J5</f>
        <v>0</v>
      </c>
      <c r="K5" s="5">
        <f>'Proximal Validation (double)'!K5</f>
        <v>0</v>
      </c>
      <c r="L5" s="5">
        <f>'Proximal Validation (double)'!L5</f>
        <v>-1.0536191985011101E-3</v>
      </c>
      <c r="M5" s="5">
        <f>'Proximal Validation (double)'!M5</f>
        <v>-7.8555814921855899E-2</v>
      </c>
      <c r="N5" s="5">
        <f>'Proximal Validation (double)'!N5</f>
        <v>-8.4829382831230803E-4</v>
      </c>
      <c r="O5" s="5">
        <f>'Proximal Validation (double)'!O5</f>
        <v>-0.290728449821472</v>
      </c>
      <c r="P5" s="5">
        <f>'Proximal Validation (double)'!P5</f>
        <v>-5.1247030496597299E-3</v>
      </c>
      <c r="Q5" s="5">
        <f>'Proximal Validation (double)'!Q5</f>
        <v>-0.149505704641342</v>
      </c>
      <c r="R5" s="5">
        <v>0.83076664305477499</v>
      </c>
      <c r="S5" s="5">
        <v>0.17985230619101206</v>
      </c>
      <c r="T5" s="5">
        <v>1.5726594085705448</v>
      </c>
      <c r="U5" s="5">
        <v>1.5707963267948966</v>
      </c>
      <c r="V5" s="5">
        <v>0.8587967651964451</v>
      </c>
      <c r="W5" s="5">
        <v>3.9609906806935005E-2</v>
      </c>
      <c r="X5" s="5">
        <v>4.7078886066339152</v>
      </c>
      <c r="Y5" s="5">
        <v>1.5707963267948966</v>
      </c>
      <c r="Z5" s="12">
        <v>3.6182480099213396E-4</v>
      </c>
      <c r="AA5" s="5">
        <f t="shared" si="0"/>
        <v>0.13076664305477503</v>
      </c>
      <c r="AB5" s="5">
        <f t="shared" si="1"/>
        <v>1.9852306191012054E-2</v>
      </c>
      <c r="AC5" s="5">
        <f t="shared" si="2"/>
        <v>2.6594085705446968E-3</v>
      </c>
      <c r="AD5" s="5">
        <f t="shared" si="3"/>
        <v>0</v>
      </c>
      <c r="AE5" s="5">
        <f t="shared" si="4"/>
        <v>0.15879676519644514</v>
      </c>
      <c r="AF5" s="5">
        <f t="shared" si="5"/>
        <v>1.9609906806935005E-2</v>
      </c>
      <c r="AG5" s="5">
        <f t="shared" si="6"/>
        <v>-4.1113933660845703E-3</v>
      </c>
      <c r="AH5" s="5">
        <f t="shared" si="7"/>
        <v>0</v>
      </c>
      <c r="AI5" s="9">
        <f t="shared" si="9"/>
        <v>0.14478170412561009</v>
      </c>
      <c r="AJ5" s="9">
        <f t="shared" si="8"/>
        <v>1.9731106498973527E-2</v>
      </c>
      <c r="AK5" s="9">
        <f t="shared" si="8"/>
        <v>3.3854009683146336E-3</v>
      </c>
      <c r="AL5" s="27" t="s">
        <v>32</v>
      </c>
      <c r="AM5" s="27"/>
      <c r="AN5" s="27"/>
      <c r="AO5" s="27"/>
      <c r="AP5" s="27"/>
      <c r="AQ5" s="27"/>
      <c r="AR5" s="27"/>
      <c r="AS5" s="27"/>
    </row>
    <row r="6" spans="1:45" x14ac:dyDescent="0.25">
      <c r="A6" s="5">
        <f>'Proximal Validation (double)'!A6</f>
        <v>0.7</v>
      </c>
      <c r="B6" s="5">
        <f>'Proximal Validation (double)'!B6</f>
        <v>0.18</v>
      </c>
      <c r="C6" s="5">
        <f>'Proximal Validation (double)'!C6</f>
        <v>2.3559999999999999</v>
      </c>
      <c r="D6" s="5">
        <f>'Proximal Validation (double)'!D6</f>
        <v>1.5707963267948966</v>
      </c>
      <c r="E6" s="5">
        <f>'Proximal Validation (double)'!E6</f>
        <v>0.8</v>
      </c>
      <c r="F6" s="5">
        <f>'Proximal Validation (double)'!F6</f>
        <v>0.06</v>
      </c>
      <c r="G6" s="5">
        <f>'Proximal Validation (double)'!G6</f>
        <v>3.1419999999999999</v>
      </c>
      <c r="H6" s="5">
        <f>'Proximal Validation (double)'!H6</f>
        <v>1.5707963267948966</v>
      </c>
      <c r="I6" s="5">
        <f>'Proximal Validation (double)'!I6</f>
        <v>0.8</v>
      </c>
      <c r="J6" s="5">
        <f>'Proximal Validation (double)'!J6</f>
        <v>0</v>
      </c>
      <c r="K6" s="5">
        <f>'Proximal Validation (double)'!K6</f>
        <v>0</v>
      </c>
      <c r="L6" s="5">
        <f>'Proximal Validation (double)'!L6</f>
        <v>5.7581164874136396E-3</v>
      </c>
      <c r="M6" s="5">
        <f>'Proximal Validation (double)'!M6</f>
        <v>-0.10363680869340899</v>
      </c>
      <c r="N6" s="5">
        <f>'Proximal Validation (double)'!N6</f>
        <v>-0.23897853493690499</v>
      </c>
      <c r="O6" s="5">
        <f>'Proximal Validation (double)'!O6</f>
        <v>-0.52015882730483998</v>
      </c>
      <c r="P6" s="5">
        <f>'Proximal Validation (double)'!P6</f>
        <v>-1.09926557540894</v>
      </c>
      <c r="Q6" s="5">
        <f>'Proximal Validation (double)'!Q6</f>
        <v>0.267356157302856</v>
      </c>
      <c r="R6" s="5">
        <v>0.59788495278569409</v>
      </c>
      <c r="S6" s="5">
        <v>0.1908218574732736</v>
      </c>
      <c r="T6" s="5">
        <v>2.3394062387650232</v>
      </c>
      <c r="U6" s="5">
        <v>1.5707963267948966</v>
      </c>
      <c r="V6" s="5">
        <v>0.79042600933754803</v>
      </c>
      <c r="W6" s="5">
        <v>7.2095503433235689E-2</v>
      </c>
      <c r="X6" s="5">
        <v>3.2486551581870651</v>
      </c>
      <c r="Y6" s="5">
        <v>1.5707963267948966</v>
      </c>
      <c r="Z6" s="12">
        <v>7.8165319459954036E-5</v>
      </c>
      <c r="AA6" s="5">
        <f t="shared" si="0"/>
        <v>-0.10211504721430587</v>
      </c>
      <c r="AB6" s="5">
        <f t="shared" si="1"/>
        <v>1.0821857473273605E-2</v>
      </c>
      <c r="AC6" s="5">
        <f t="shared" si="2"/>
        <v>-1.6593761234976689E-2</v>
      </c>
      <c r="AD6" s="5">
        <f t="shared" si="3"/>
        <v>0</v>
      </c>
      <c r="AE6" s="5">
        <f t="shared" si="4"/>
        <v>-9.5739906624520144E-3</v>
      </c>
      <c r="AF6" s="5">
        <f t="shared" si="5"/>
        <v>1.2095503433235691E-2</v>
      </c>
      <c r="AG6" s="5">
        <f t="shared" si="6"/>
        <v>0.10665515818706517</v>
      </c>
      <c r="AH6" s="5">
        <f t="shared" si="7"/>
        <v>0</v>
      </c>
      <c r="AI6" s="9">
        <f t="shared" si="9"/>
        <v>5.584451893837894E-2</v>
      </c>
      <c r="AJ6" s="9">
        <f t="shared" si="8"/>
        <v>1.1458680453254648E-2</v>
      </c>
      <c r="AK6" s="9">
        <f t="shared" si="8"/>
        <v>6.1624459711020929E-2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25">
      <c r="A7" s="5">
        <f>'Proximal Validation (double)'!A7</f>
        <v>0.6</v>
      </c>
      <c r="B7" s="5">
        <f>'Proximal Validation (double)'!B7</f>
        <v>0.12</v>
      </c>
      <c r="C7" s="5">
        <f>'Proximal Validation (double)'!C7</f>
        <v>2.3559999999999999</v>
      </c>
      <c r="D7" s="5">
        <f>'Proximal Validation (double)'!D7</f>
        <v>1.5707963267948966</v>
      </c>
      <c r="E7" s="5">
        <f>'Proximal Validation (double)'!E7</f>
        <v>0.3</v>
      </c>
      <c r="F7" s="5">
        <f>'Proximal Validation (double)'!F7</f>
        <v>0.04</v>
      </c>
      <c r="G7" s="5">
        <f>'Proximal Validation (double)'!G7</f>
        <v>3.927</v>
      </c>
      <c r="H7" s="5">
        <f>'Proximal Validation (double)'!H7</f>
        <v>1.5707963267948966</v>
      </c>
      <c r="I7" s="5">
        <f>'Proximal Validation (double)'!I7</f>
        <v>0.4</v>
      </c>
      <c r="J7" s="5">
        <f>'Proximal Validation (double)'!J7</f>
        <v>0</v>
      </c>
      <c r="K7" s="5">
        <f>'Proximal Validation (double)'!K7</f>
        <v>0</v>
      </c>
      <c r="L7" s="5">
        <f>'Proximal Validation (double)'!L7</f>
        <v>-2.44866497814655E-3</v>
      </c>
      <c r="M7" s="5">
        <f>'Proximal Validation (double)'!M7</f>
        <v>-6.6844537854194599E-2</v>
      </c>
      <c r="N7" s="5">
        <f>'Proximal Validation (double)'!N7</f>
        <v>-0.113934345543385</v>
      </c>
      <c r="O7" s="5">
        <f>'Proximal Validation (double)'!O7</f>
        <v>-0.13137710094451899</v>
      </c>
      <c r="P7" s="5">
        <f>'Proximal Validation (double)'!P7</f>
        <v>-0.59289419651031505</v>
      </c>
      <c r="Q7" s="5">
        <f>'Proximal Validation (double)'!Q7</f>
        <v>0.26247158646583602</v>
      </c>
      <c r="R7" s="5">
        <v>0.72885678233878548</v>
      </c>
      <c r="S7" s="5">
        <v>0.11551224314519049</v>
      </c>
      <c r="T7" s="5">
        <v>2.1672489151275505</v>
      </c>
      <c r="U7" s="5">
        <v>1.5707963267948966</v>
      </c>
      <c r="V7" s="5">
        <v>0.38370320169162336</v>
      </c>
      <c r="W7" s="5">
        <v>7.6739936513851179E-2</v>
      </c>
      <c r="X7" s="5">
        <v>4.183847779120037</v>
      </c>
      <c r="Y7" s="5">
        <v>1.5707963267948966</v>
      </c>
      <c r="Z7" s="12">
        <v>1.2165811897087715E-5</v>
      </c>
      <c r="AA7" s="5">
        <f t="shared" si="0"/>
        <v>0.1288567823387855</v>
      </c>
      <c r="AB7" s="5">
        <f t="shared" si="1"/>
        <v>-4.4877568548095104E-3</v>
      </c>
      <c r="AC7" s="5">
        <f t="shared" si="2"/>
        <v>-0.1887510848724494</v>
      </c>
      <c r="AD7" s="5">
        <f t="shared" si="3"/>
        <v>0</v>
      </c>
      <c r="AE7" s="5">
        <f t="shared" si="4"/>
        <v>8.3703201691623375E-2</v>
      </c>
      <c r="AF7" s="5">
        <f t="shared" si="5"/>
        <v>3.6739936513851178E-2</v>
      </c>
      <c r="AG7" s="5">
        <f t="shared" si="6"/>
        <v>0.25684777912003698</v>
      </c>
      <c r="AH7" s="5">
        <f t="shared" si="7"/>
        <v>0</v>
      </c>
      <c r="AI7" s="9">
        <f t="shared" si="9"/>
        <v>0.10627999201520444</v>
      </c>
      <c r="AJ7" s="9">
        <f t="shared" si="8"/>
        <v>2.0613846684330344E-2</v>
      </c>
      <c r="AK7" s="9">
        <f t="shared" si="8"/>
        <v>0.22279943199624319</v>
      </c>
      <c r="AL7" s="11">
        <f>AVERAGE(AL4,AP4)</f>
        <v>0.17648842213311483</v>
      </c>
      <c r="AM7" s="11">
        <f t="shared" ref="AM7:AN7" si="10">AVERAGE(AM4,AQ4)</f>
        <v>2.6841386984040188E-2</v>
      </c>
      <c r="AN7" s="11">
        <f t="shared" si="10"/>
        <v>0.25239478413286581</v>
      </c>
      <c r="AO7" s="8"/>
      <c r="AP7" s="8"/>
      <c r="AQ7" s="8"/>
      <c r="AR7" s="8"/>
      <c r="AS7" s="8"/>
    </row>
    <row r="8" spans="1:45" x14ac:dyDescent="0.25">
      <c r="A8" s="5">
        <f>'Proximal Validation (double)'!A8</f>
        <v>0.8</v>
      </c>
      <c r="B8" s="5">
        <f>'Proximal Validation (double)'!B8</f>
        <v>0.12</v>
      </c>
      <c r="C8" s="5">
        <f>'Proximal Validation (double)'!C8</f>
        <v>2.3559999999999999</v>
      </c>
      <c r="D8" s="5">
        <f>'Proximal Validation (double)'!D8</f>
        <v>1.5707963267948966</v>
      </c>
      <c r="E8" s="5">
        <f>'Proximal Validation (double)'!E8</f>
        <v>0.5</v>
      </c>
      <c r="F8" s="5">
        <f>'Proximal Validation (double)'!F8</f>
        <v>0.06</v>
      </c>
      <c r="G8" s="5">
        <f>'Proximal Validation (double)'!G8</f>
        <v>3.927</v>
      </c>
      <c r="H8" s="5">
        <f>'Proximal Validation (double)'!H8</f>
        <v>1.5707963267948966</v>
      </c>
      <c r="I8" s="5">
        <f>'Proximal Validation (double)'!I8</f>
        <v>0.4</v>
      </c>
      <c r="J8" s="5">
        <f>'Proximal Validation (double)'!J8</f>
        <v>0</v>
      </c>
      <c r="K8" s="5">
        <f>'Proximal Validation (double)'!K8</f>
        <v>0</v>
      </c>
      <c r="L8" s="5">
        <f>'Proximal Validation (double)'!L8</f>
        <v>-2.50665238127112E-3</v>
      </c>
      <c r="M8" s="5">
        <f>'Proximal Validation (double)'!M8</f>
        <v>-7.5730748474597903E-2</v>
      </c>
      <c r="N8" s="5">
        <f>'Proximal Validation (double)'!N8</f>
        <v>-0.180317267775536</v>
      </c>
      <c r="O8" s="5">
        <f>'Proximal Validation (double)'!O8</f>
        <v>-0.29059055447578402</v>
      </c>
      <c r="P8" s="5">
        <f>'Proximal Validation (double)'!P8</f>
        <v>-0.92200559377670299</v>
      </c>
      <c r="Q8" s="5">
        <f>'Proximal Validation (double)'!Q8</f>
        <v>0.27903902530670199</v>
      </c>
      <c r="R8" s="5">
        <v>0.49357477035013808</v>
      </c>
      <c r="S8" s="5">
        <v>0.14791760176166585</v>
      </c>
      <c r="T8" s="5">
        <v>1.9882234525768583</v>
      </c>
      <c r="U8" s="5">
        <v>1.5707963267948966</v>
      </c>
      <c r="V8" s="5">
        <v>0.77308109003305081</v>
      </c>
      <c r="W8" s="5">
        <v>9.4287211623711453E-2</v>
      </c>
      <c r="X8" s="5">
        <v>3.3340701160676427</v>
      </c>
      <c r="Y8" s="5">
        <v>1.5707963267948966</v>
      </c>
      <c r="Z8" s="12">
        <v>2.3788602761417933E-5</v>
      </c>
      <c r="AA8" s="5">
        <f t="shared" si="0"/>
        <v>-0.30642522964986196</v>
      </c>
      <c r="AB8" s="5">
        <f t="shared" si="1"/>
        <v>2.7917601761665856E-2</v>
      </c>
      <c r="AC8" s="5">
        <f t="shared" si="2"/>
        <v>-0.36777654742314159</v>
      </c>
      <c r="AD8" s="5">
        <f t="shared" si="3"/>
        <v>0</v>
      </c>
      <c r="AE8" s="5">
        <f t="shared" si="4"/>
        <v>0.27308109003305081</v>
      </c>
      <c r="AF8" s="5">
        <f t="shared" si="5"/>
        <v>3.4287211623711455E-2</v>
      </c>
      <c r="AG8" s="5">
        <f t="shared" si="6"/>
        <v>-0.59292988393235735</v>
      </c>
      <c r="AH8" s="5">
        <f t="shared" si="7"/>
        <v>0</v>
      </c>
      <c r="AI8" s="10">
        <f t="shared" si="9"/>
        <v>0.28975315984145639</v>
      </c>
      <c r="AJ8" s="10">
        <f t="shared" si="8"/>
        <v>3.1102406692688656E-2</v>
      </c>
      <c r="AK8" s="10">
        <f t="shared" si="8"/>
        <v>0.48035321567774947</v>
      </c>
    </row>
    <row r="9" spans="1:45" x14ac:dyDescent="0.25">
      <c r="A9" s="5">
        <f>'Proximal Validation (double)'!A9</f>
        <v>0.3</v>
      </c>
      <c r="B9" s="5">
        <f>'Proximal Validation (double)'!B9</f>
        <v>0.18</v>
      </c>
      <c r="C9" s="5">
        <f>'Proximal Validation (double)'!C9</f>
        <v>3.1419999999999999</v>
      </c>
      <c r="D9" s="5">
        <f>'Proximal Validation (double)'!D9</f>
        <v>1.5707963267948966</v>
      </c>
      <c r="E9" s="5">
        <f>'Proximal Validation (double)'!E9</f>
        <v>0.4</v>
      </c>
      <c r="F9" s="5">
        <f>'Proximal Validation (double)'!F9</f>
        <v>0.04</v>
      </c>
      <c r="G9" s="5">
        <f>'Proximal Validation (double)'!G9</f>
        <v>3.927</v>
      </c>
      <c r="H9" s="5">
        <f>'Proximal Validation (double)'!H9</f>
        <v>1.5707963267948966</v>
      </c>
      <c r="I9" s="5">
        <f>'Proximal Validation (double)'!I9</f>
        <v>1.2</v>
      </c>
      <c r="J9" s="5">
        <f>'Proximal Validation (double)'!J9</f>
        <v>0</v>
      </c>
      <c r="K9" s="5">
        <f>'Proximal Validation (double)'!K9</f>
        <v>0</v>
      </c>
      <c r="L9" s="5">
        <f>'Proximal Validation (double)'!L9</f>
        <v>8.5229938849806796E-4</v>
      </c>
      <c r="M9" s="5">
        <f>'Proximal Validation (double)'!M9</f>
        <v>3.4337110817432397E-2</v>
      </c>
      <c r="N9" s="5">
        <f>'Proximal Validation (double)'!N9</f>
        <v>-9.4974353909492507E-2</v>
      </c>
      <c r="O9" s="5">
        <f>'Proximal Validation (double)'!O9</f>
        <v>-1.8785402178764302E-2</v>
      </c>
      <c r="P9" s="5">
        <f>'Proximal Validation (double)'!P9</f>
        <v>-0.50129872560501099</v>
      </c>
      <c r="Q9" s="5">
        <f>'Proximal Validation (double)'!Q9</f>
        <v>-0.25437980890273998</v>
      </c>
      <c r="R9" s="5">
        <v>0.44985458764128544</v>
      </c>
      <c r="S9" s="5">
        <v>0.10326601285752915</v>
      </c>
      <c r="T9" s="5">
        <v>1.7037098009115768</v>
      </c>
      <c r="U9" s="5">
        <v>1.5707963267948966</v>
      </c>
      <c r="V9" s="5">
        <v>0.8287805345997904</v>
      </c>
      <c r="W9" s="5">
        <v>8.0234783546545077E-2</v>
      </c>
      <c r="X9" s="5">
        <v>4.1484098188144189</v>
      </c>
      <c r="Y9" s="5">
        <v>1.5707963267948966</v>
      </c>
      <c r="Z9" s="12">
        <v>9.6588790745672721E-5</v>
      </c>
      <c r="AA9" s="5">
        <f t="shared" si="0"/>
        <v>0.14985458764128545</v>
      </c>
      <c r="AB9" s="5">
        <f t="shared" si="1"/>
        <v>-7.6733987142470844E-2</v>
      </c>
      <c r="AC9" s="5">
        <f t="shared" si="2"/>
        <v>-1.4382901990884231</v>
      </c>
      <c r="AD9" s="5">
        <f t="shared" si="3"/>
        <v>0</v>
      </c>
      <c r="AE9" s="5">
        <f t="shared" si="4"/>
        <v>0.42878053459979037</v>
      </c>
      <c r="AF9" s="5">
        <f t="shared" si="5"/>
        <v>4.0234783546545076E-2</v>
      </c>
      <c r="AG9" s="5">
        <f t="shared" si="6"/>
        <v>0.2214098188144189</v>
      </c>
      <c r="AH9" s="5">
        <f t="shared" si="7"/>
        <v>0</v>
      </c>
      <c r="AI9" s="9">
        <f t="shared" si="9"/>
        <v>0.28931756112053791</v>
      </c>
      <c r="AJ9" s="9">
        <f t="shared" si="8"/>
        <v>5.8484385344507964E-2</v>
      </c>
      <c r="AK9" s="9">
        <f t="shared" si="8"/>
        <v>0.82985000895142103</v>
      </c>
      <c r="AL9" s="13"/>
      <c r="AM9" s="13"/>
      <c r="AN9" s="13"/>
    </row>
    <row r="10" spans="1:45" x14ac:dyDescent="0.25">
      <c r="A10" s="5">
        <f>'Proximal Validation (double)'!A10</f>
        <v>0.5</v>
      </c>
      <c r="B10" s="5">
        <f>'Proximal Validation (double)'!B10</f>
        <v>0.2</v>
      </c>
      <c r="C10" s="5">
        <f>'Proximal Validation (double)'!C10</f>
        <v>3.1419999999999999</v>
      </c>
      <c r="D10" s="5">
        <f>'Proximal Validation (double)'!D10</f>
        <v>1.5707963267948966</v>
      </c>
      <c r="E10" s="5">
        <f>'Proximal Validation (double)'!E10</f>
        <v>0.7</v>
      </c>
      <c r="F10" s="5">
        <f>'Proximal Validation (double)'!F10</f>
        <v>0.04</v>
      </c>
      <c r="G10" s="5">
        <f>'Proximal Validation (double)'!G10</f>
        <v>3.927</v>
      </c>
      <c r="H10" s="5">
        <f>'Proximal Validation (double)'!H10</f>
        <v>1.5707963267948966</v>
      </c>
      <c r="I10" s="5">
        <f>'Proximal Validation (double)'!I10</f>
        <v>0.4</v>
      </c>
      <c r="J10" s="5">
        <f>'Proximal Validation (double)'!J10</f>
        <v>0</v>
      </c>
      <c r="K10" s="5">
        <f>'Proximal Validation (double)'!K10</f>
        <v>0</v>
      </c>
      <c r="L10" s="5">
        <f>'Proximal Validation (double)'!L10</f>
        <v>6.1825290322303804E-4</v>
      </c>
      <c r="M10" s="5">
        <f>'Proximal Validation (double)'!M10</f>
        <v>5.5208317935466801E-2</v>
      </c>
      <c r="N10" s="5">
        <f>'Proximal Validation (double)'!N10</f>
        <v>-0.180955275893211</v>
      </c>
      <c r="O10" s="5">
        <f>'Proximal Validation (double)'!O10</f>
        <v>-0.24768663942813901</v>
      </c>
      <c r="P10" s="5">
        <f>'Proximal Validation (double)'!P10</f>
        <v>-0.86978924274444602</v>
      </c>
      <c r="Q10" s="5">
        <f>'Proximal Validation (double)'!Q10</f>
        <v>-0.40951335430145303</v>
      </c>
      <c r="R10" s="5">
        <v>0.45789498611911017</v>
      </c>
      <c r="S10" s="5">
        <v>0.17962208305349364</v>
      </c>
      <c r="T10" s="5">
        <v>3.1058634365913451</v>
      </c>
      <c r="U10" s="5">
        <v>1.5707963267948966</v>
      </c>
      <c r="V10" s="5">
        <v>0.62007907404151485</v>
      </c>
      <c r="W10" s="5">
        <v>5.0674534770362989E-2</v>
      </c>
      <c r="X10" s="5">
        <v>3.90439686334688</v>
      </c>
      <c r="Y10" s="5">
        <v>1.5707963267948966</v>
      </c>
      <c r="Z10" s="12">
        <v>2.1174781766532302E-6</v>
      </c>
      <c r="AA10" s="5">
        <f t="shared" si="0"/>
        <v>-4.210501388088983E-2</v>
      </c>
      <c r="AB10" s="5">
        <f t="shared" si="1"/>
        <v>-2.0377916946506369E-2</v>
      </c>
      <c r="AC10" s="5">
        <f t="shared" si="2"/>
        <v>-3.6136563408654787E-2</v>
      </c>
      <c r="AD10" s="5">
        <f t="shared" si="3"/>
        <v>0</v>
      </c>
      <c r="AE10" s="5">
        <f t="shared" si="4"/>
        <v>-7.9920925958485101E-2</v>
      </c>
      <c r="AF10" s="5">
        <f t="shared" si="5"/>
        <v>1.0674534770362988E-2</v>
      </c>
      <c r="AG10" s="5">
        <f t="shared" si="6"/>
        <v>-2.2603136653120082E-2</v>
      </c>
      <c r="AH10" s="5">
        <f t="shared" si="7"/>
        <v>0</v>
      </c>
      <c r="AI10" s="9">
        <f t="shared" si="9"/>
        <v>6.1012969919687465E-2</v>
      </c>
      <c r="AJ10" s="9">
        <f t="shared" si="8"/>
        <v>1.5526225858434679E-2</v>
      </c>
      <c r="AK10" s="9">
        <f t="shared" si="8"/>
        <v>2.9369850030887434E-2</v>
      </c>
    </row>
    <row r="11" spans="1:45" x14ac:dyDescent="0.25">
      <c r="A11" s="5">
        <f>'Proximal Validation (double)'!A11</f>
        <v>0.4</v>
      </c>
      <c r="B11" s="5">
        <f>'Proximal Validation (double)'!B11</f>
        <v>0.14000000000000001</v>
      </c>
      <c r="C11" s="5">
        <f>'Proximal Validation (double)'!C11</f>
        <v>3.927</v>
      </c>
      <c r="D11" s="5">
        <f>'Proximal Validation (double)'!D11</f>
        <v>1.5707963267948966</v>
      </c>
      <c r="E11" s="5">
        <f>'Proximal Validation (double)'!E11</f>
        <v>0.5</v>
      </c>
      <c r="F11" s="5">
        <f>'Proximal Validation (double)'!F11</f>
        <v>0.02</v>
      </c>
      <c r="G11" s="5">
        <f>'Proximal Validation (double)'!G11</f>
        <v>3.1419999999999999</v>
      </c>
      <c r="H11" s="5">
        <f>'Proximal Validation (double)'!H11</f>
        <v>1.5707963267948966</v>
      </c>
      <c r="I11" s="5">
        <f>'Proximal Validation (double)'!I11</f>
        <v>0.8</v>
      </c>
      <c r="J11" s="5">
        <f>'Proximal Validation (double)'!J11</f>
        <v>0</v>
      </c>
      <c r="K11" s="5">
        <f>'Proximal Validation (double)'!K11</f>
        <v>0</v>
      </c>
      <c r="L11" s="5">
        <f>'Proximal Validation (double)'!L11</f>
        <v>-9.1634737327694904E-4</v>
      </c>
      <c r="M11" s="5">
        <f>'Proximal Validation (double)'!M11</f>
        <v>5.3316056728363002E-2</v>
      </c>
      <c r="N11" s="5">
        <f>'Proximal Validation (double)'!N11</f>
        <v>-0.111444413661957</v>
      </c>
      <c r="O11" s="5">
        <f>'Proximal Validation (double)'!O11</f>
        <v>-5.3304430097341503E-2</v>
      </c>
      <c r="P11" s="5">
        <f>'Proximal Validation (double)'!P11</f>
        <v>-0.72502011060714699</v>
      </c>
      <c r="Q11" s="5">
        <f>'Proximal Validation (double)'!Q11</f>
        <v>-0.226083904504776</v>
      </c>
      <c r="R11" s="5">
        <v>0.62227681781468891</v>
      </c>
      <c r="S11" s="5">
        <v>8.5469307652505322E-2</v>
      </c>
      <c r="T11" s="5">
        <v>3.8971932721724576</v>
      </c>
      <c r="U11" s="5">
        <v>1.5707963267948966</v>
      </c>
      <c r="V11" s="5">
        <v>0.3385599505951199</v>
      </c>
      <c r="W11" s="5">
        <v>2.2997251505777527E-2</v>
      </c>
      <c r="X11" s="5">
        <v>2.5126884466279078</v>
      </c>
      <c r="Y11" s="5">
        <v>1.5707963267948966</v>
      </c>
      <c r="Z11" s="12">
        <v>3.9785473736176953E-6</v>
      </c>
      <c r="AA11" s="5">
        <f t="shared" si="0"/>
        <v>0.22227681781468889</v>
      </c>
      <c r="AB11" s="5">
        <f t="shared" si="1"/>
        <v>-5.4530692347494691E-2</v>
      </c>
      <c r="AC11" s="5">
        <f t="shared" si="2"/>
        <v>-2.9806727827542456E-2</v>
      </c>
      <c r="AD11" s="5">
        <f t="shared" si="3"/>
        <v>0</v>
      </c>
      <c r="AE11" s="5">
        <f t="shared" si="4"/>
        <v>-0.1614400494048801</v>
      </c>
      <c r="AF11" s="5">
        <f t="shared" si="5"/>
        <v>2.9972515057775269E-3</v>
      </c>
      <c r="AG11" s="5">
        <f t="shared" si="6"/>
        <v>-0.6293115533720921</v>
      </c>
      <c r="AH11" s="5">
        <f t="shared" si="7"/>
        <v>0</v>
      </c>
      <c r="AI11" s="9">
        <f t="shared" si="9"/>
        <v>0.1918584336097845</v>
      </c>
      <c r="AJ11" s="9">
        <f t="shared" si="8"/>
        <v>2.8763971926636107E-2</v>
      </c>
      <c r="AK11" s="9">
        <f t="shared" si="8"/>
        <v>0.32955914059981728</v>
      </c>
      <c r="AL11" s="13"/>
      <c r="AM11" s="13"/>
      <c r="AN11" s="13"/>
    </row>
    <row r="12" spans="1:45" x14ac:dyDescent="0.25">
      <c r="A12" s="5">
        <f>'Proximal Validation (double)'!A12</f>
        <v>0.7</v>
      </c>
      <c r="B12" s="5">
        <f>'Proximal Validation (double)'!B12</f>
        <v>0.12</v>
      </c>
      <c r="C12" s="5">
        <f>'Proximal Validation (double)'!C12</f>
        <v>3.927</v>
      </c>
      <c r="D12" s="5">
        <f>'Proximal Validation (double)'!D12</f>
        <v>1.5707963267948966</v>
      </c>
      <c r="E12" s="5">
        <f>'Proximal Validation (double)'!E12</f>
        <v>0.7</v>
      </c>
      <c r="F12" s="5">
        <f>'Proximal Validation (double)'!F12</f>
        <v>0.08</v>
      </c>
      <c r="G12" s="5">
        <f>'Proximal Validation (double)'!G12</f>
        <v>3.927</v>
      </c>
      <c r="H12" s="5">
        <f>'Proximal Validation (double)'!H12</f>
        <v>1.5707963267948966</v>
      </c>
      <c r="I12" s="5">
        <f>'Proximal Validation (double)'!I12</f>
        <v>1.2</v>
      </c>
      <c r="J12" s="5">
        <f>'Proximal Validation (double)'!J12</f>
        <v>0</v>
      </c>
      <c r="K12" s="5">
        <f>'Proximal Validation (double)'!K12</f>
        <v>0</v>
      </c>
      <c r="L12" s="5">
        <f>'Proximal Validation (double)'!L12</f>
        <v>-1.71207822859287E-3</v>
      </c>
      <c r="M12" s="5">
        <f>'Proximal Validation (double)'!M12</f>
        <v>0.15619830787181899</v>
      </c>
      <c r="N12" s="5">
        <f>'Proximal Validation (double)'!N12</f>
        <v>-0.19836303591728199</v>
      </c>
      <c r="O12" s="5">
        <f>'Proximal Validation (double)'!O12</f>
        <v>-0.20334188640117601</v>
      </c>
      <c r="P12" s="5">
        <f>'Proximal Validation (double)'!P12</f>
        <v>-1.0199680328369101</v>
      </c>
      <c r="Q12" s="5">
        <f>'Proximal Validation (double)'!Q12</f>
        <v>-0.78116875886917103</v>
      </c>
      <c r="R12" s="5">
        <v>0.77254854847570287</v>
      </c>
      <c r="S12" s="5">
        <v>8.5174862463390871E-2</v>
      </c>
      <c r="T12" s="5">
        <v>3.9200421015105178</v>
      </c>
      <c r="U12" s="5">
        <v>1.5707963267948966</v>
      </c>
      <c r="V12" s="5">
        <v>0.54619398767787752</v>
      </c>
      <c r="W12" s="5">
        <v>7.4951727876975696E-2</v>
      </c>
      <c r="X12" s="5">
        <v>3.619320728824682</v>
      </c>
      <c r="Y12" s="5">
        <v>1.5707963267948966</v>
      </c>
      <c r="Z12" s="12">
        <v>1.0434778289256108E-3</v>
      </c>
      <c r="AA12" s="5">
        <f t="shared" si="0"/>
        <v>7.2548548475702912E-2</v>
      </c>
      <c r="AB12" s="5">
        <f t="shared" si="1"/>
        <v>-3.4825137536609124E-2</v>
      </c>
      <c r="AC12" s="5">
        <f t="shared" si="2"/>
        <v>-6.9578984894822504E-3</v>
      </c>
      <c r="AD12" s="5">
        <f t="shared" si="3"/>
        <v>0</v>
      </c>
      <c r="AE12" s="5">
        <f t="shared" si="4"/>
        <v>-0.15380601232212243</v>
      </c>
      <c r="AF12" s="5">
        <f t="shared" si="5"/>
        <v>-5.0482721230243055E-3</v>
      </c>
      <c r="AG12" s="5">
        <f t="shared" si="6"/>
        <v>-0.30767927117531801</v>
      </c>
      <c r="AH12" s="5">
        <f t="shared" si="7"/>
        <v>0</v>
      </c>
      <c r="AI12" s="9">
        <f t="shared" si="9"/>
        <v>0.11317728039891267</v>
      </c>
      <c r="AJ12" s="9">
        <f t="shared" si="8"/>
        <v>1.9936704829816715E-2</v>
      </c>
      <c r="AK12" s="9">
        <f t="shared" si="8"/>
        <v>0.15731858483240013</v>
      </c>
    </row>
    <row r="13" spans="1:45" x14ac:dyDescent="0.25">
      <c r="A13" s="5">
        <f>'Proximal Validation (double)'!A13</f>
        <v>0.3</v>
      </c>
      <c r="B13" s="5">
        <f>'Proximal Validation (double)'!B13</f>
        <v>0.1</v>
      </c>
      <c r="C13" s="5">
        <f>'Proximal Validation (double)'!C13</f>
        <v>3.927</v>
      </c>
      <c r="D13" s="5">
        <f>'Proximal Validation (double)'!D13</f>
        <v>1.5707963267948966</v>
      </c>
      <c r="E13" s="5">
        <f>'Proximal Validation (double)'!E13</f>
        <v>0.8</v>
      </c>
      <c r="F13" s="5">
        <f>'Proximal Validation (double)'!F13</f>
        <v>0.04</v>
      </c>
      <c r="G13" s="5">
        <f>'Proximal Validation (double)'!G13</f>
        <v>4.7119999999999997</v>
      </c>
      <c r="H13" s="5">
        <f>'Proximal Validation (double)'!H13</f>
        <v>1.5707963267948966</v>
      </c>
      <c r="I13" s="5">
        <f>'Proximal Validation (double)'!I13</f>
        <v>0</v>
      </c>
      <c r="J13" s="5">
        <f>'Proximal Validation (double)'!J13</f>
        <v>0</v>
      </c>
      <c r="K13" s="5">
        <f>'Proximal Validation (double)'!K13</f>
        <v>0</v>
      </c>
      <c r="L13" s="5">
        <f>'Proximal Validation (double)'!L13</f>
        <v>5.1190471276640903E-4</v>
      </c>
      <c r="M13" s="5">
        <f>'Proximal Validation (double)'!M13</f>
        <v>0.124454088509083</v>
      </c>
      <c r="N13" s="5">
        <f>'Proximal Validation (double)'!N13</f>
        <v>-3.3203858882188797E-2</v>
      </c>
      <c r="O13" s="5">
        <f>'Proximal Validation (double)'!O13</f>
        <v>-2.2600363940000499E-2</v>
      </c>
      <c r="P13" s="5">
        <f>'Proximal Validation (double)'!P13</f>
        <v>-0.17098769545555101</v>
      </c>
      <c r="Q13" s="5">
        <f>'Proximal Validation (double)'!Q13</f>
        <v>-0.86582863330841098</v>
      </c>
      <c r="R13" s="5">
        <v>0.40137926181495343</v>
      </c>
      <c r="S13" s="5">
        <v>6.5448183983616529E-2</v>
      </c>
      <c r="T13" s="5">
        <v>4.1403952278522302</v>
      </c>
      <c r="U13" s="5">
        <v>1.5707963267948966</v>
      </c>
      <c r="V13" s="5">
        <v>0.53182778267413899</v>
      </c>
      <c r="W13" s="5">
        <v>2.2445405314451074E-2</v>
      </c>
      <c r="X13" s="5">
        <v>4.7982196156812202</v>
      </c>
      <c r="Y13" s="5">
        <v>1.5707963267948966</v>
      </c>
      <c r="Z13" s="12">
        <v>2.490756416012002E-4</v>
      </c>
      <c r="AA13" s="5">
        <f t="shared" si="0"/>
        <v>0.10137926181495344</v>
      </c>
      <c r="AB13" s="5">
        <f t="shared" si="1"/>
        <v>-3.4551816016383477E-2</v>
      </c>
      <c r="AC13" s="5">
        <f t="shared" si="2"/>
        <v>0.2133952278522302</v>
      </c>
      <c r="AD13" s="5">
        <f t="shared" si="3"/>
        <v>0</v>
      </c>
      <c r="AE13" s="5">
        <f t="shared" si="4"/>
        <v>-0.26817221732586105</v>
      </c>
      <c r="AF13" s="5">
        <f t="shared" si="5"/>
        <v>-1.7554594685548926E-2</v>
      </c>
      <c r="AG13" s="5">
        <f t="shared" si="6"/>
        <v>8.6219615681220496E-2</v>
      </c>
      <c r="AH13" s="5">
        <f t="shared" si="7"/>
        <v>0</v>
      </c>
      <c r="AI13" s="9">
        <f t="shared" si="9"/>
        <v>0.18477573957040724</v>
      </c>
      <c r="AJ13" s="9">
        <f t="shared" si="8"/>
        <v>2.6053205350966203E-2</v>
      </c>
      <c r="AK13" s="9">
        <f t="shared" si="8"/>
        <v>0.14980742176672535</v>
      </c>
      <c r="AL13" s="13"/>
      <c r="AM13" s="13"/>
      <c r="AN13" s="13"/>
    </row>
    <row r="14" spans="1:45" x14ac:dyDescent="0.25">
      <c r="A14" s="5">
        <f>'Proximal Validation (double)'!A14</f>
        <v>0.6</v>
      </c>
      <c r="B14" s="5">
        <f>'Proximal Validation (double)'!B14</f>
        <v>0.18</v>
      </c>
      <c r="C14" s="5">
        <f>'Proximal Validation (double)'!C14</f>
        <v>3.927</v>
      </c>
      <c r="D14" s="5">
        <f>'Proximal Validation (double)'!D14</f>
        <v>1.5707963267948966</v>
      </c>
      <c r="E14" s="5">
        <f>'Proximal Validation (double)'!E14</f>
        <v>0.4</v>
      </c>
      <c r="F14" s="5">
        <f>'Proximal Validation (double)'!F14</f>
        <v>0.08</v>
      </c>
      <c r="G14" s="5">
        <f>'Proximal Validation (double)'!G14</f>
        <v>4.7119999999999997</v>
      </c>
      <c r="H14" s="5">
        <f>'Proximal Validation (double)'!H14</f>
        <v>1.5707963267948966</v>
      </c>
      <c r="I14" s="5">
        <f>'Proximal Validation (double)'!I14</f>
        <v>0</v>
      </c>
      <c r="J14" s="5">
        <f>'Proximal Validation (double)'!J14</f>
        <v>0</v>
      </c>
      <c r="K14" s="5">
        <f>'Proximal Validation (double)'!K14</f>
        <v>0</v>
      </c>
      <c r="L14" s="5">
        <f>'Proximal Validation (double)'!L14</f>
        <v>-5.7422183454036702E-4</v>
      </c>
      <c r="M14" s="5">
        <f>'Proximal Validation (double)'!M14</f>
        <v>0.162286356091499</v>
      </c>
      <c r="N14" s="5">
        <f>'Proximal Validation (double)'!N14</f>
        <v>-0.11205181479454</v>
      </c>
      <c r="O14" s="5">
        <f>'Proximal Validation (double)'!O14</f>
        <v>-0.35012972354888899</v>
      </c>
      <c r="P14" s="5">
        <f>'Proximal Validation (double)'!P14</f>
        <v>-0.37300896644592302</v>
      </c>
      <c r="Q14" s="5">
        <f>'Proximal Validation (double)'!Q14</f>
        <v>-0.69461756944656405</v>
      </c>
      <c r="R14" s="5">
        <v>0.51346862718442554</v>
      </c>
      <c r="S14" s="5">
        <v>0.18065747973292703</v>
      </c>
      <c r="T14" s="5">
        <v>3.7221986675358996</v>
      </c>
      <c r="U14" s="5">
        <v>1.5707963267948966</v>
      </c>
      <c r="V14" s="5">
        <v>0.4709303569727647</v>
      </c>
      <c r="W14" s="5">
        <v>9.9553686985600034E-2</v>
      </c>
      <c r="X14" s="5">
        <v>4.7235791522800783</v>
      </c>
      <c r="Y14" s="5">
        <v>1.5707963267948966</v>
      </c>
      <c r="Z14" s="12">
        <v>2.1122710808497083E-5</v>
      </c>
      <c r="AA14" s="5">
        <f t="shared" si="0"/>
        <v>-8.6531372815574437E-2</v>
      </c>
      <c r="AB14" s="5">
        <f t="shared" si="1"/>
        <v>6.5747973292704098E-4</v>
      </c>
      <c r="AC14" s="5">
        <f t="shared" si="2"/>
        <v>-0.20480133246410048</v>
      </c>
      <c r="AD14" s="5">
        <f t="shared" si="3"/>
        <v>0</v>
      </c>
      <c r="AE14" s="5">
        <f t="shared" si="4"/>
        <v>7.0930356972764674E-2</v>
      </c>
      <c r="AF14" s="5">
        <f t="shared" si="5"/>
        <v>1.9553686985600033E-2</v>
      </c>
      <c r="AG14" s="5">
        <f t="shared" si="6"/>
        <v>1.1579152280078553E-2</v>
      </c>
      <c r="AH14" s="5">
        <f t="shared" si="7"/>
        <v>0</v>
      </c>
      <c r="AI14" s="9">
        <f t="shared" si="9"/>
        <v>7.8730864894169555E-2</v>
      </c>
      <c r="AJ14" s="9">
        <f t="shared" si="8"/>
        <v>1.0105583359263537E-2</v>
      </c>
      <c r="AK14" s="9">
        <f t="shared" si="8"/>
        <v>0.10819024237208952</v>
      </c>
    </row>
    <row r="15" spans="1:45" x14ac:dyDescent="0.25">
      <c r="A15" s="5">
        <f>'Proximal Validation (double)'!A15</f>
        <v>0.7</v>
      </c>
      <c r="B15" s="5">
        <f>'Proximal Validation (double)'!B15</f>
        <v>0.1</v>
      </c>
      <c r="C15" s="5">
        <f>'Proximal Validation (double)'!C15</f>
        <v>4.7119999999999997</v>
      </c>
      <c r="D15" s="5">
        <f>'Proximal Validation (double)'!D15</f>
        <v>1.5707963267948966</v>
      </c>
      <c r="E15" s="5">
        <f>'Proximal Validation (double)'!E15</f>
        <v>0.4</v>
      </c>
      <c r="F15" s="5">
        <f>'Proximal Validation (double)'!F15</f>
        <v>0.04</v>
      </c>
      <c r="G15" s="5">
        <f>'Proximal Validation (double)'!G15</f>
        <v>3.1419999999999999</v>
      </c>
      <c r="H15" s="5">
        <f>'Proximal Validation (double)'!H15</f>
        <v>1.5707963267948966</v>
      </c>
      <c r="I15" s="5">
        <f>'Proximal Validation (double)'!I15</f>
        <v>0</v>
      </c>
      <c r="J15" s="5">
        <f>'Proximal Validation (double)'!J15</f>
        <v>0</v>
      </c>
      <c r="K15" s="5">
        <f>'Proximal Validation (double)'!K15</f>
        <v>0</v>
      </c>
      <c r="L15" s="5">
        <f>'Proximal Validation (double)'!L15</f>
        <v>-9.4429776072502104E-4</v>
      </c>
      <c r="M15" s="5">
        <f>'Proximal Validation (double)'!M15</f>
        <v>0.148655906319618</v>
      </c>
      <c r="N15" s="5">
        <f>'Proximal Validation (double)'!N15</f>
        <v>-5.2504345774650601E-2</v>
      </c>
      <c r="O15" s="5">
        <f>'Proximal Validation (double)'!O15</f>
        <v>-0.16293309628963501</v>
      </c>
      <c r="P15" s="5">
        <f>'Proximal Validation (double)'!P15</f>
        <v>-0.390052020549774</v>
      </c>
      <c r="Q15" s="5">
        <f>'Proximal Validation (double)'!Q15</f>
        <v>-0.75469374656677202</v>
      </c>
      <c r="R15" s="5">
        <v>0.473030508151419</v>
      </c>
      <c r="S15" s="5">
        <v>0.1474850801389273</v>
      </c>
      <c r="T15" s="5">
        <v>4.6793593498600927</v>
      </c>
      <c r="U15" s="5">
        <v>1.5707963267948966</v>
      </c>
      <c r="V15" s="5">
        <v>0.48132634626134091</v>
      </c>
      <c r="W15" s="5">
        <v>4.0889270043543105E-2</v>
      </c>
      <c r="X15" s="5">
        <v>3.8133031541485476</v>
      </c>
      <c r="Y15" s="5">
        <v>1.5707963267948966</v>
      </c>
      <c r="Z15" s="12">
        <v>1.5900733822943438E-6</v>
      </c>
      <c r="AA15" s="5">
        <f t="shared" si="0"/>
        <v>-0.22696949184858095</v>
      </c>
      <c r="AB15" s="5">
        <f t="shared" si="1"/>
        <v>4.7485080138927299E-2</v>
      </c>
      <c r="AC15" s="5">
        <f t="shared" si="2"/>
        <v>-3.2640650139907024E-2</v>
      </c>
      <c r="AD15" s="5">
        <f t="shared" si="3"/>
        <v>0</v>
      </c>
      <c r="AE15" s="5">
        <f t="shared" si="4"/>
        <v>8.1326346261340887E-2</v>
      </c>
      <c r="AF15" s="5">
        <f t="shared" si="5"/>
        <v>8.8927004354310418E-4</v>
      </c>
      <c r="AG15" s="5">
        <f t="shared" si="6"/>
        <v>0.67130315414854769</v>
      </c>
      <c r="AH15" s="5">
        <f t="shared" si="7"/>
        <v>0</v>
      </c>
      <c r="AI15" s="9">
        <f t="shared" si="9"/>
        <v>0.15414791905496092</v>
      </c>
      <c r="AJ15" s="9">
        <f t="shared" si="8"/>
        <v>2.4187175091235202E-2</v>
      </c>
      <c r="AK15" s="9">
        <f t="shared" si="8"/>
        <v>0.35197190214422736</v>
      </c>
    </row>
    <row r="16" spans="1:45" x14ac:dyDescent="0.25">
      <c r="A16" s="5">
        <f>'Proximal Validation (double)'!A16</f>
        <v>0.4</v>
      </c>
      <c r="B16" s="5">
        <f>'Proximal Validation (double)'!B16</f>
        <v>0.16</v>
      </c>
      <c r="C16" s="5">
        <f>'Proximal Validation (double)'!C16</f>
        <v>4.7119999999999997</v>
      </c>
      <c r="D16" s="5">
        <f>'Proximal Validation (double)'!D16</f>
        <v>1.5707963267948966</v>
      </c>
      <c r="E16" s="5">
        <f>'Proximal Validation (double)'!E16</f>
        <v>0.7</v>
      </c>
      <c r="F16" s="5">
        <f>'Proximal Validation (double)'!F16</f>
        <v>0.06</v>
      </c>
      <c r="G16" s="5">
        <f>'Proximal Validation (double)'!G16</f>
        <v>3.927</v>
      </c>
      <c r="H16" s="5">
        <f>'Proximal Validation (double)'!H16</f>
        <v>1.5707963267948966</v>
      </c>
      <c r="I16" s="5">
        <f>'Proximal Validation (double)'!I16</f>
        <v>0.4</v>
      </c>
      <c r="J16" s="5">
        <f>'Proximal Validation (double)'!J16</f>
        <v>0</v>
      </c>
      <c r="K16" s="5">
        <f>'Proximal Validation (double)'!K16</f>
        <v>0</v>
      </c>
      <c r="L16" s="5">
        <f>'Proximal Validation (double)'!L16</f>
        <v>-1.7503094859421301E-3</v>
      </c>
      <c r="M16" s="5">
        <f>'Proximal Validation (double)'!M16</f>
        <v>0.14816157519817399</v>
      </c>
      <c r="N16" s="5">
        <f>'Proximal Validation (double)'!N16</f>
        <v>-7.7811896800994901E-2</v>
      </c>
      <c r="O16" s="5">
        <f>'Proximal Validation (double)'!O16</f>
        <v>-0.17471010982990301</v>
      </c>
      <c r="P16" s="5">
        <f>'Proximal Validation (double)'!P16</f>
        <v>-0.50772678852081299</v>
      </c>
      <c r="Q16" s="5">
        <f>'Proximal Validation (double)'!Q16</f>
        <v>-0.73054701089858998</v>
      </c>
      <c r="R16" s="5">
        <v>0.46315837039828223</v>
      </c>
      <c r="S16" s="5">
        <v>0.14949486467243053</v>
      </c>
      <c r="T16" s="5">
        <v>4.5692864891880891</v>
      </c>
      <c r="U16" s="5">
        <v>1.5707963267948966</v>
      </c>
      <c r="V16" s="5">
        <v>0.53257608061358697</v>
      </c>
      <c r="W16" s="5">
        <v>5.0631721257793721E-2</v>
      </c>
      <c r="X16" s="5">
        <v>3.7181464489204115</v>
      </c>
      <c r="Y16" s="5">
        <v>1.5707963267948966</v>
      </c>
      <c r="Z16" s="12">
        <v>1.4975662467410708E-6</v>
      </c>
      <c r="AA16" s="5">
        <f t="shared" si="0"/>
        <v>6.3158370398282204E-2</v>
      </c>
      <c r="AB16" s="5">
        <f t="shared" si="1"/>
        <v>-1.050513532756947E-2</v>
      </c>
      <c r="AC16" s="5">
        <f t="shared" si="2"/>
        <v>-0.14271351081191064</v>
      </c>
      <c r="AD16" s="5">
        <f t="shared" si="3"/>
        <v>0</v>
      </c>
      <c r="AE16" s="5">
        <f t="shared" si="4"/>
        <v>-0.16742391938641299</v>
      </c>
      <c r="AF16" s="5">
        <f t="shared" si="5"/>
        <v>-9.3682787422062763E-3</v>
      </c>
      <c r="AG16" s="5">
        <f t="shared" si="6"/>
        <v>-0.20885355107958858</v>
      </c>
      <c r="AH16" s="5">
        <f t="shared" si="7"/>
        <v>0</v>
      </c>
      <c r="AI16" s="9">
        <f t="shared" si="9"/>
        <v>0.1152911448923476</v>
      </c>
      <c r="AJ16" s="9">
        <f t="shared" si="8"/>
        <v>9.9367070348878733E-3</v>
      </c>
      <c r="AK16" s="9">
        <f t="shared" si="8"/>
        <v>0.17578353094574961</v>
      </c>
    </row>
    <row r="17" spans="1:37" x14ac:dyDescent="0.25">
      <c r="A17" s="5">
        <f>'Proximal Validation (double)'!A17</f>
        <v>0.8</v>
      </c>
      <c r="B17" s="5">
        <f>'Proximal Validation (double)'!B17</f>
        <v>0.2</v>
      </c>
      <c r="C17" s="5">
        <f>'Proximal Validation (double)'!C17</f>
        <v>4.7119999999999997</v>
      </c>
      <c r="D17" s="5">
        <f>'Proximal Validation (double)'!D17</f>
        <v>1.5707963267948966</v>
      </c>
      <c r="E17" s="5">
        <f>'Proximal Validation (double)'!E17</f>
        <v>0.3</v>
      </c>
      <c r="F17" s="5">
        <f>'Proximal Validation (double)'!F17</f>
        <v>0.02</v>
      </c>
      <c r="G17" s="5">
        <f>'Proximal Validation (double)'!G17</f>
        <v>4.7119999999999997</v>
      </c>
      <c r="H17" s="5">
        <f>'Proximal Validation (double)'!H17</f>
        <v>1.5707963267948966</v>
      </c>
      <c r="I17" s="5">
        <f>'Proximal Validation (double)'!I17</f>
        <v>0.8</v>
      </c>
      <c r="J17" s="5">
        <f>'Proximal Validation (double)'!J17</f>
        <v>0</v>
      </c>
      <c r="K17" s="5">
        <f>'Proximal Validation (double)'!K17</f>
        <v>0</v>
      </c>
      <c r="L17" s="5">
        <f>'Proximal Validation (double)'!L17</f>
        <v>-7.3545798659324603E-3</v>
      </c>
      <c r="M17" s="5">
        <f>'Proximal Validation (double)'!M17</f>
        <v>0.22923256456852001</v>
      </c>
      <c r="N17" s="5">
        <f>'Proximal Validation (double)'!N17</f>
        <v>-1.53919383883476E-2</v>
      </c>
      <c r="O17" s="5">
        <f>'Proximal Validation (double)'!O17</f>
        <v>-0.71000015735626198</v>
      </c>
      <c r="P17" s="5">
        <f>'Proximal Validation (double)'!P17</f>
        <v>-0.104077406227589</v>
      </c>
      <c r="Q17" s="5">
        <f>'Proximal Validation (double)'!Q17</f>
        <v>-0.75926923751831099</v>
      </c>
      <c r="R17" s="5">
        <v>0.98029317543005756</v>
      </c>
      <c r="S17" s="5">
        <v>0.18674899257955688</v>
      </c>
      <c r="T17" s="5">
        <v>4.7012394137981994</v>
      </c>
      <c r="U17" s="5">
        <v>1.5707963267948966</v>
      </c>
      <c r="V17" s="5">
        <v>0.10670031205939516</v>
      </c>
      <c r="W17" s="5">
        <v>5.9695951715060112E-2</v>
      </c>
      <c r="X17" s="5">
        <v>3.7477807162973309</v>
      </c>
      <c r="Y17" s="5">
        <v>1.5707963267948966</v>
      </c>
      <c r="Z17" s="12">
        <v>2.7417710172368293E-4</v>
      </c>
      <c r="AA17" s="5">
        <f t="shared" si="0"/>
        <v>0.18029317543005752</v>
      </c>
      <c r="AB17" s="5">
        <f t="shared" si="1"/>
        <v>-1.3251007420443134E-2</v>
      </c>
      <c r="AC17" s="5">
        <f t="shared" si="2"/>
        <v>-1.0760586201800315E-2</v>
      </c>
      <c r="AD17" s="5">
        <f t="shared" si="3"/>
        <v>0</v>
      </c>
      <c r="AE17" s="5">
        <f t="shared" si="4"/>
        <v>-0.19329968794060481</v>
      </c>
      <c r="AF17" s="5">
        <f t="shared" si="5"/>
        <v>3.9695951715060115E-2</v>
      </c>
      <c r="AG17" s="5">
        <f t="shared" si="6"/>
        <v>-0.96421928370266885</v>
      </c>
      <c r="AH17" s="5">
        <f t="shared" si="7"/>
        <v>0</v>
      </c>
      <c r="AI17" s="9">
        <f t="shared" si="9"/>
        <v>0.18679643168533117</v>
      </c>
      <c r="AJ17" s="9">
        <f t="shared" si="8"/>
        <v>2.6473479567751625E-2</v>
      </c>
      <c r="AK17" s="9">
        <f t="shared" si="8"/>
        <v>0.48748993495223458</v>
      </c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D7D9-740E-4BB1-A5C5-EC42A3C8479B}">
  <dimension ref="A1:I14"/>
  <sheetViews>
    <sheetView workbookViewId="0">
      <selection sqref="A1:I14"/>
    </sheetView>
  </sheetViews>
  <sheetFormatPr defaultRowHeight="15" x14ac:dyDescent="0.25"/>
  <sheetData>
    <row r="1" spans="1:9" x14ac:dyDescent="0.25">
      <c r="A1">
        <v>-6.9790857378393401E-4</v>
      </c>
      <c r="B1">
        <v>-7.3205647058784996E-3</v>
      </c>
      <c r="C1">
        <v>-3.4127428079955302E-4</v>
      </c>
      <c r="D1">
        <v>-5.5667467415332801E-2</v>
      </c>
      <c r="E1">
        <v>-1.0312870144844101E-3</v>
      </c>
      <c r="F1">
        <v>-7.8237302601337405E-2</v>
      </c>
      <c r="G1">
        <v>0.8</v>
      </c>
      <c r="H1">
        <v>0</v>
      </c>
      <c r="I1">
        <v>0</v>
      </c>
    </row>
    <row r="2" spans="1:9" x14ac:dyDescent="0.25">
      <c r="A2">
        <v>-1.0536191985011101E-3</v>
      </c>
      <c r="B2">
        <v>-7.8555814921855899E-2</v>
      </c>
      <c r="C2">
        <v>-8.4829382831230803E-4</v>
      </c>
      <c r="D2">
        <v>-0.290728449821472</v>
      </c>
      <c r="E2">
        <v>-5.1247030496597299E-3</v>
      </c>
      <c r="F2">
        <v>-0.149505704641342</v>
      </c>
      <c r="G2">
        <v>0</v>
      </c>
      <c r="H2">
        <v>0</v>
      </c>
      <c r="I2">
        <v>0</v>
      </c>
    </row>
    <row r="3" spans="1:9" x14ac:dyDescent="0.25">
      <c r="A3">
        <v>5.7581164874136396E-3</v>
      </c>
      <c r="B3">
        <v>-0.10363680869340899</v>
      </c>
      <c r="C3">
        <v>-0.23897853493690499</v>
      </c>
      <c r="D3">
        <v>-0.52015882730483998</v>
      </c>
      <c r="E3">
        <v>-1.09926557540894</v>
      </c>
      <c r="F3">
        <v>0.267356157302856</v>
      </c>
      <c r="G3">
        <v>0.8</v>
      </c>
      <c r="H3">
        <v>0</v>
      </c>
      <c r="I3">
        <v>0</v>
      </c>
    </row>
    <row r="4" spans="1:9" x14ac:dyDescent="0.25">
      <c r="A4">
        <v>-2.44866497814655E-3</v>
      </c>
      <c r="B4">
        <v>-6.6844537854194599E-2</v>
      </c>
      <c r="C4">
        <v>-0.113934345543385</v>
      </c>
      <c r="D4">
        <v>-0.13137710094451899</v>
      </c>
      <c r="E4">
        <v>-0.59289419651031505</v>
      </c>
      <c r="F4">
        <v>0.26247158646583602</v>
      </c>
      <c r="G4">
        <v>0.4</v>
      </c>
      <c r="H4">
        <v>0</v>
      </c>
      <c r="I4">
        <v>0</v>
      </c>
    </row>
    <row r="5" spans="1:9" x14ac:dyDescent="0.25">
      <c r="A5">
        <v>-2.50665238127112E-3</v>
      </c>
      <c r="B5">
        <v>-7.5730748474597903E-2</v>
      </c>
      <c r="C5">
        <v>-0.180317267775536</v>
      </c>
      <c r="D5">
        <v>-0.29059055447578402</v>
      </c>
      <c r="E5">
        <v>-0.92200559377670299</v>
      </c>
      <c r="F5">
        <v>0.27903902530670199</v>
      </c>
      <c r="G5">
        <v>0.4</v>
      </c>
      <c r="H5">
        <v>0</v>
      </c>
      <c r="I5">
        <v>0</v>
      </c>
    </row>
    <row r="6" spans="1:9" x14ac:dyDescent="0.25">
      <c r="A6">
        <v>8.5229938849806796E-4</v>
      </c>
      <c r="B6">
        <v>3.4337110817432397E-2</v>
      </c>
      <c r="C6">
        <v>-9.4974353909492507E-2</v>
      </c>
      <c r="D6">
        <v>-1.8785402178764302E-2</v>
      </c>
      <c r="E6">
        <v>-0.50129872560501099</v>
      </c>
      <c r="F6">
        <v>-0.25437980890273998</v>
      </c>
      <c r="G6">
        <v>1.2</v>
      </c>
      <c r="H6">
        <v>0</v>
      </c>
      <c r="I6">
        <v>0</v>
      </c>
    </row>
    <row r="7" spans="1:9" x14ac:dyDescent="0.25">
      <c r="A7">
        <v>6.1825290322303804E-4</v>
      </c>
      <c r="B7">
        <v>5.5208317935466801E-2</v>
      </c>
      <c r="C7">
        <v>-0.180955275893211</v>
      </c>
      <c r="D7">
        <v>-0.24768663942813901</v>
      </c>
      <c r="E7">
        <v>-0.86978924274444602</v>
      </c>
      <c r="F7">
        <v>-0.40951335430145303</v>
      </c>
      <c r="G7">
        <v>0.4</v>
      </c>
      <c r="H7">
        <v>0</v>
      </c>
      <c r="I7">
        <v>0</v>
      </c>
    </row>
    <row r="8" spans="1:9" x14ac:dyDescent="0.25">
      <c r="A8">
        <v>-9.1634737327694904E-4</v>
      </c>
      <c r="B8">
        <v>5.3316056728363002E-2</v>
      </c>
      <c r="C8">
        <v>-0.111444413661957</v>
      </c>
      <c r="D8">
        <v>-5.3304430097341503E-2</v>
      </c>
      <c r="E8">
        <v>-0.72502011060714699</v>
      </c>
      <c r="F8">
        <v>-0.226083904504776</v>
      </c>
      <c r="G8">
        <v>0.8</v>
      </c>
      <c r="H8">
        <v>0</v>
      </c>
      <c r="I8">
        <v>0</v>
      </c>
    </row>
    <row r="9" spans="1:9" x14ac:dyDescent="0.25">
      <c r="A9">
        <v>-1.71207822859287E-3</v>
      </c>
      <c r="B9">
        <v>0.15619830787181899</v>
      </c>
      <c r="C9">
        <v>-0.19836303591728199</v>
      </c>
      <c r="D9">
        <v>-0.20334188640117601</v>
      </c>
      <c r="E9">
        <v>-1.0199680328369101</v>
      </c>
      <c r="F9">
        <v>-0.78116875886917103</v>
      </c>
      <c r="G9">
        <v>1.2</v>
      </c>
      <c r="H9">
        <v>0</v>
      </c>
      <c r="I9">
        <v>0</v>
      </c>
    </row>
    <row r="10" spans="1:9" x14ac:dyDescent="0.25">
      <c r="A10">
        <v>5.1190471276640903E-4</v>
      </c>
      <c r="B10">
        <v>0.124454088509083</v>
      </c>
      <c r="C10">
        <v>-3.3203858882188797E-2</v>
      </c>
      <c r="D10">
        <v>-2.2600363940000499E-2</v>
      </c>
      <c r="E10">
        <v>-0.17098769545555101</v>
      </c>
      <c r="F10">
        <v>-0.86582863330841098</v>
      </c>
      <c r="G10">
        <v>0</v>
      </c>
      <c r="H10">
        <v>0</v>
      </c>
      <c r="I10">
        <v>0</v>
      </c>
    </row>
    <row r="11" spans="1:9" x14ac:dyDescent="0.25">
      <c r="A11">
        <v>-5.7422183454036702E-4</v>
      </c>
      <c r="B11">
        <v>0.162286356091499</v>
      </c>
      <c r="C11">
        <v>-0.11205181479454</v>
      </c>
      <c r="D11">
        <v>-0.35012972354888899</v>
      </c>
      <c r="E11">
        <v>-0.37300896644592302</v>
      </c>
      <c r="F11">
        <v>-0.69461756944656405</v>
      </c>
      <c r="G11">
        <v>0</v>
      </c>
      <c r="H11">
        <v>0</v>
      </c>
      <c r="I11">
        <v>0</v>
      </c>
    </row>
    <row r="12" spans="1:9" x14ac:dyDescent="0.25">
      <c r="A12">
        <v>-9.4429776072502104E-4</v>
      </c>
      <c r="B12">
        <v>0.148655906319618</v>
      </c>
      <c r="C12">
        <v>-5.2504345774650601E-2</v>
      </c>
      <c r="D12">
        <v>-0.16293309628963501</v>
      </c>
      <c r="E12">
        <v>-0.390052020549774</v>
      </c>
      <c r="F12">
        <v>-0.75469374656677202</v>
      </c>
      <c r="G12">
        <v>0</v>
      </c>
      <c r="H12">
        <v>0</v>
      </c>
      <c r="I12">
        <v>0</v>
      </c>
    </row>
    <row r="13" spans="1:9" x14ac:dyDescent="0.25">
      <c r="A13">
        <v>-1.7503094859421301E-3</v>
      </c>
      <c r="B13">
        <v>0.14816157519817399</v>
      </c>
      <c r="C13">
        <v>-7.7811896800994901E-2</v>
      </c>
      <c r="D13">
        <v>-0.17471010982990301</v>
      </c>
      <c r="E13">
        <v>-0.50772678852081299</v>
      </c>
      <c r="F13">
        <v>-0.73054701089858998</v>
      </c>
      <c r="G13">
        <v>0.4</v>
      </c>
      <c r="H13">
        <v>0</v>
      </c>
      <c r="I13">
        <v>0</v>
      </c>
    </row>
    <row r="14" spans="1:9" x14ac:dyDescent="0.25">
      <c r="A14">
        <v>-7.3545798659324603E-3</v>
      </c>
      <c r="B14">
        <v>0.22923256456852001</v>
      </c>
      <c r="C14">
        <v>-1.53919383883476E-2</v>
      </c>
      <c r="D14">
        <v>-0.71000015735626198</v>
      </c>
      <c r="E14">
        <v>-0.104077406227589</v>
      </c>
      <c r="F14">
        <v>-0.75926923751831099</v>
      </c>
      <c r="G14">
        <v>0.8</v>
      </c>
      <c r="H14">
        <v>0</v>
      </c>
      <c r="I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3" sqref="H13:M16"/>
    </sheetView>
  </sheetViews>
  <sheetFormatPr defaultRowHeight="15" x14ac:dyDescent="0.25"/>
  <sheetData>
    <row r="1" spans="1:13" ht="15.75" x14ac:dyDescent="0.25">
      <c r="A1" s="32" t="s">
        <v>21</v>
      </c>
      <c r="B1" s="33"/>
      <c r="C1" s="33"/>
      <c r="D1" s="33"/>
      <c r="E1" s="33"/>
      <c r="F1" s="34"/>
      <c r="H1" s="32" t="s">
        <v>22</v>
      </c>
      <c r="I1" s="33"/>
      <c r="J1" s="33"/>
      <c r="K1" s="33"/>
      <c r="L1" s="33"/>
      <c r="M1" s="34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-7.8237302601337405E-2</v>
      </c>
      <c r="B3">
        <v>1.0312870144844101E-3</v>
      </c>
      <c r="C3">
        <v>-5.5667467415332801E-2</v>
      </c>
      <c r="D3">
        <v>-3.4127428079955302E-4</v>
      </c>
      <c r="E3">
        <v>7.3205647058784996E-3</v>
      </c>
      <c r="F3" s="4">
        <v>-6.9790857378393401E-4</v>
      </c>
      <c r="H3">
        <f>$F3</f>
        <v>-6.9790857378393401E-4</v>
      </c>
      <c r="I3">
        <f>-1*$E3</f>
        <v>-7.3205647058784996E-3</v>
      </c>
      <c r="J3">
        <f>$D3</f>
        <v>-3.4127428079955302E-4</v>
      </c>
      <c r="K3">
        <f>$C3</f>
        <v>-5.5667467415332801E-2</v>
      </c>
      <c r="L3">
        <f>-1*$B3</f>
        <v>-1.0312870144844101E-3</v>
      </c>
      <c r="M3">
        <f>$A3</f>
        <v>-7.8237302601337405E-2</v>
      </c>
    </row>
    <row r="4" spans="1:13" x14ac:dyDescent="0.25">
      <c r="A4">
        <v>-0.149505704641342</v>
      </c>
      <c r="B4">
        <v>5.1247030496597299E-3</v>
      </c>
      <c r="C4">
        <v>-0.290728449821472</v>
      </c>
      <c r="D4">
        <v>-8.4829382831230803E-4</v>
      </c>
      <c r="E4">
        <v>7.8555814921855899E-2</v>
      </c>
      <c r="F4">
        <v>-1.0536191985011101E-3</v>
      </c>
      <c r="H4">
        <f t="shared" ref="H4:H18" si="0">$F4</f>
        <v>-1.0536191985011101E-3</v>
      </c>
      <c r="I4">
        <f t="shared" ref="I4:I18" si="1">-1*$E4</f>
        <v>-7.8555814921855899E-2</v>
      </c>
      <c r="J4">
        <f t="shared" ref="J4:J18" si="2">$D4</f>
        <v>-8.4829382831230803E-4</v>
      </c>
      <c r="K4">
        <f t="shared" ref="K4:K18" si="3">$C4</f>
        <v>-0.290728449821472</v>
      </c>
      <c r="L4">
        <f t="shared" ref="L4:L18" si="4">-1*$B4</f>
        <v>-5.1247030496597299E-3</v>
      </c>
      <c r="M4">
        <f t="shared" ref="M4:M18" si="5">$A4</f>
        <v>-0.149505704641342</v>
      </c>
    </row>
    <row r="5" spans="1:13" x14ac:dyDescent="0.25">
      <c r="A5">
        <v>0.267356157302856</v>
      </c>
      <c r="B5">
        <v>1.09926557540894</v>
      </c>
      <c r="C5">
        <v>-0.52015882730483998</v>
      </c>
      <c r="D5">
        <v>-0.23897853493690499</v>
      </c>
      <c r="E5">
        <v>0.10363680869340899</v>
      </c>
      <c r="F5">
        <v>5.7581164874136396E-3</v>
      </c>
      <c r="H5">
        <f t="shared" si="0"/>
        <v>5.7581164874136396E-3</v>
      </c>
      <c r="I5">
        <f t="shared" si="1"/>
        <v>-0.10363680869340899</v>
      </c>
      <c r="J5">
        <f t="shared" si="2"/>
        <v>-0.23897853493690499</v>
      </c>
      <c r="K5">
        <f t="shared" si="3"/>
        <v>-0.52015882730483998</v>
      </c>
      <c r="L5">
        <f t="shared" si="4"/>
        <v>-1.09926557540894</v>
      </c>
      <c r="M5">
        <f t="shared" si="5"/>
        <v>0.267356157302856</v>
      </c>
    </row>
    <row r="6" spans="1:13" x14ac:dyDescent="0.25">
      <c r="A6">
        <v>0.26247158646583602</v>
      </c>
      <c r="B6">
        <v>0.59289419651031505</v>
      </c>
      <c r="C6">
        <v>-0.13137710094451899</v>
      </c>
      <c r="D6">
        <v>-0.113934345543385</v>
      </c>
      <c r="E6">
        <v>6.6844537854194599E-2</v>
      </c>
      <c r="F6">
        <v>-2.44866497814655E-3</v>
      </c>
      <c r="H6">
        <f t="shared" si="0"/>
        <v>-2.44866497814655E-3</v>
      </c>
      <c r="I6">
        <f t="shared" si="1"/>
        <v>-6.6844537854194599E-2</v>
      </c>
      <c r="J6">
        <f t="shared" si="2"/>
        <v>-0.113934345543385</v>
      </c>
      <c r="K6">
        <f t="shared" si="3"/>
        <v>-0.13137710094451899</v>
      </c>
      <c r="L6">
        <f t="shared" si="4"/>
        <v>-0.59289419651031505</v>
      </c>
      <c r="M6">
        <f t="shared" si="5"/>
        <v>0.26247158646583602</v>
      </c>
    </row>
    <row r="7" spans="1:13" x14ac:dyDescent="0.25">
      <c r="A7">
        <v>0.27903902530670199</v>
      </c>
      <c r="B7">
        <v>0.92200559377670299</v>
      </c>
      <c r="C7">
        <v>-0.29059055447578402</v>
      </c>
      <c r="D7">
        <v>-0.180317267775536</v>
      </c>
      <c r="E7">
        <v>7.5730748474597903E-2</v>
      </c>
      <c r="F7">
        <v>-2.50665238127112E-3</v>
      </c>
      <c r="H7">
        <f t="shared" si="0"/>
        <v>-2.50665238127112E-3</v>
      </c>
      <c r="I7">
        <f t="shared" si="1"/>
        <v>-7.5730748474597903E-2</v>
      </c>
      <c r="J7">
        <f t="shared" si="2"/>
        <v>-0.180317267775536</v>
      </c>
      <c r="K7">
        <f t="shared" si="3"/>
        <v>-0.29059055447578402</v>
      </c>
      <c r="L7">
        <f t="shared" si="4"/>
        <v>-0.92200559377670299</v>
      </c>
      <c r="M7">
        <f t="shared" si="5"/>
        <v>0.27903902530670199</v>
      </c>
    </row>
    <row r="8" spans="1:13" x14ac:dyDescent="0.25">
      <c r="A8">
        <v>-0.25437980890273998</v>
      </c>
      <c r="B8">
        <v>0.50129872560501099</v>
      </c>
      <c r="C8">
        <v>-1.8785402178764302E-2</v>
      </c>
      <c r="D8">
        <v>-9.4974353909492507E-2</v>
      </c>
      <c r="E8">
        <v>-3.4337110817432397E-2</v>
      </c>
      <c r="F8">
        <v>8.5229938849806796E-4</v>
      </c>
      <c r="H8">
        <f t="shared" si="0"/>
        <v>8.5229938849806796E-4</v>
      </c>
      <c r="I8">
        <f t="shared" si="1"/>
        <v>3.4337110817432397E-2</v>
      </c>
      <c r="J8">
        <f t="shared" si="2"/>
        <v>-9.4974353909492507E-2</v>
      </c>
      <c r="K8">
        <f t="shared" si="3"/>
        <v>-1.8785402178764302E-2</v>
      </c>
      <c r="L8">
        <f t="shared" si="4"/>
        <v>-0.50129872560501099</v>
      </c>
      <c r="M8">
        <f t="shared" si="5"/>
        <v>-0.25437980890273998</v>
      </c>
    </row>
    <row r="9" spans="1:13" x14ac:dyDescent="0.25">
      <c r="A9">
        <v>-0.40951335430145303</v>
      </c>
      <c r="B9">
        <v>0.86978924274444602</v>
      </c>
      <c r="C9">
        <v>-0.24768663942813901</v>
      </c>
      <c r="D9">
        <v>-0.180955275893211</v>
      </c>
      <c r="E9">
        <v>-5.5208317935466801E-2</v>
      </c>
      <c r="F9">
        <v>6.1825290322303804E-4</v>
      </c>
      <c r="H9">
        <f t="shared" si="0"/>
        <v>6.1825290322303804E-4</v>
      </c>
      <c r="I9">
        <f t="shared" si="1"/>
        <v>5.5208317935466801E-2</v>
      </c>
      <c r="J9">
        <f t="shared" si="2"/>
        <v>-0.180955275893211</v>
      </c>
      <c r="K9">
        <f t="shared" si="3"/>
        <v>-0.24768663942813901</v>
      </c>
      <c r="L9">
        <f t="shared" si="4"/>
        <v>-0.86978924274444602</v>
      </c>
      <c r="M9">
        <f t="shared" si="5"/>
        <v>-0.40951335430145303</v>
      </c>
    </row>
    <row r="10" spans="1:13" x14ac:dyDescent="0.25">
      <c r="A10">
        <v>-0.226083904504776</v>
      </c>
      <c r="B10">
        <v>0.72502011060714699</v>
      </c>
      <c r="C10">
        <v>-5.3304430097341503E-2</v>
      </c>
      <c r="D10">
        <v>-0.111444413661957</v>
      </c>
      <c r="E10">
        <v>-5.3316056728363002E-2</v>
      </c>
      <c r="F10">
        <v>-9.1634737327694904E-4</v>
      </c>
      <c r="H10">
        <f t="shared" si="0"/>
        <v>-9.1634737327694904E-4</v>
      </c>
      <c r="I10">
        <f t="shared" si="1"/>
        <v>5.3316056728363002E-2</v>
      </c>
      <c r="J10">
        <f t="shared" si="2"/>
        <v>-0.111444413661957</v>
      </c>
      <c r="K10">
        <f t="shared" si="3"/>
        <v>-5.3304430097341503E-2</v>
      </c>
      <c r="L10">
        <f t="shared" si="4"/>
        <v>-0.72502011060714699</v>
      </c>
      <c r="M10">
        <f t="shared" si="5"/>
        <v>-0.226083904504776</v>
      </c>
    </row>
    <row r="11" spans="1:13" x14ac:dyDescent="0.25">
      <c r="A11">
        <v>-0.78116875886917103</v>
      </c>
      <c r="B11">
        <v>1.0199680328369101</v>
      </c>
      <c r="C11">
        <v>-0.20334188640117601</v>
      </c>
      <c r="D11">
        <v>-0.19836303591728199</v>
      </c>
      <c r="E11">
        <v>-0.15619830787181899</v>
      </c>
      <c r="F11">
        <v>-1.71207822859287E-3</v>
      </c>
      <c r="H11">
        <f t="shared" si="0"/>
        <v>-1.71207822859287E-3</v>
      </c>
      <c r="I11">
        <f t="shared" si="1"/>
        <v>0.15619830787181899</v>
      </c>
      <c r="J11">
        <f t="shared" si="2"/>
        <v>-0.19836303591728199</v>
      </c>
      <c r="K11">
        <f t="shared" si="3"/>
        <v>-0.20334188640117601</v>
      </c>
      <c r="L11">
        <f t="shared" si="4"/>
        <v>-1.0199680328369101</v>
      </c>
      <c r="M11">
        <f t="shared" si="5"/>
        <v>-0.78116875886917103</v>
      </c>
    </row>
    <row r="12" spans="1:13" x14ac:dyDescent="0.25">
      <c r="A12">
        <v>-0.86582863330841098</v>
      </c>
      <c r="B12">
        <v>0.17098769545555101</v>
      </c>
      <c r="C12">
        <v>-2.2600363940000499E-2</v>
      </c>
      <c r="D12">
        <v>-3.3203858882188797E-2</v>
      </c>
      <c r="E12">
        <v>-0.124454088509083</v>
      </c>
      <c r="F12">
        <v>5.1190471276640903E-4</v>
      </c>
      <c r="H12">
        <f t="shared" si="0"/>
        <v>5.1190471276640903E-4</v>
      </c>
      <c r="I12">
        <f t="shared" si="1"/>
        <v>0.124454088509083</v>
      </c>
      <c r="J12">
        <f t="shared" si="2"/>
        <v>-3.3203858882188797E-2</v>
      </c>
      <c r="K12">
        <f t="shared" si="3"/>
        <v>-2.2600363940000499E-2</v>
      </c>
      <c r="L12">
        <f t="shared" si="4"/>
        <v>-0.17098769545555101</v>
      </c>
      <c r="M12">
        <f t="shared" si="5"/>
        <v>-0.86582863330841098</v>
      </c>
    </row>
    <row r="13" spans="1:13" x14ac:dyDescent="0.25">
      <c r="A13">
        <v>-0.69461756944656405</v>
      </c>
      <c r="B13">
        <v>0.37300896644592302</v>
      </c>
      <c r="C13">
        <v>-0.35012972354888899</v>
      </c>
      <c r="D13">
        <v>-0.11205181479454</v>
      </c>
      <c r="E13">
        <v>-0.162286356091499</v>
      </c>
      <c r="F13">
        <v>-5.7422183454036702E-4</v>
      </c>
      <c r="H13">
        <f t="shared" si="0"/>
        <v>-5.7422183454036702E-4</v>
      </c>
      <c r="I13">
        <f t="shared" si="1"/>
        <v>0.162286356091499</v>
      </c>
      <c r="J13">
        <f t="shared" si="2"/>
        <v>-0.11205181479454</v>
      </c>
      <c r="K13">
        <f t="shared" si="3"/>
        <v>-0.35012972354888899</v>
      </c>
      <c r="L13">
        <f t="shared" si="4"/>
        <v>-0.37300896644592302</v>
      </c>
      <c r="M13">
        <f t="shared" si="5"/>
        <v>-0.69461756944656405</v>
      </c>
    </row>
    <row r="14" spans="1:13" x14ac:dyDescent="0.25">
      <c r="A14">
        <v>-0.75469374656677202</v>
      </c>
      <c r="B14">
        <v>0.390052020549774</v>
      </c>
      <c r="C14">
        <v>-0.16293309628963501</v>
      </c>
      <c r="D14">
        <v>-5.2504345774650601E-2</v>
      </c>
      <c r="E14">
        <v>-0.148655906319618</v>
      </c>
      <c r="F14">
        <v>-9.4429776072502104E-4</v>
      </c>
      <c r="H14">
        <f t="shared" si="0"/>
        <v>-9.4429776072502104E-4</v>
      </c>
      <c r="I14">
        <f t="shared" si="1"/>
        <v>0.148655906319618</v>
      </c>
      <c r="J14">
        <f t="shared" si="2"/>
        <v>-5.2504345774650601E-2</v>
      </c>
      <c r="K14">
        <f t="shared" si="3"/>
        <v>-0.16293309628963501</v>
      </c>
      <c r="L14">
        <f t="shared" si="4"/>
        <v>-0.390052020549774</v>
      </c>
      <c r="M14">
        <f t="shared" si="5"/>
        <v>-0.75469374656677202</v>
      </c>
    </row>
    <row r="15" spans="1:13" x14ac:dyDescent="0.25">
      <c r="A15">
        <v>-0.73054701089858998</v>
      </c>
      <c r="B15">
        <v>0.50772678852081299</v>
      </c>
      <c r="C15">
        <v>-0.17471010982990301</v>
      </c>
      <c r="D15">
        <v>-7.7811896800994901E-2</v>
      </c>
      <c r="E15">
        <v>-0.14816157519817399</v>
      </c>
      <c r="F15">
        <v>-1.7503094859421301E-3</v>
      </c>
      <c r="H15">
        <f t="shared" si="0"/>
        <v>-1.7503094859421301E-3</v>
      </c>
      <c r="I15">
        <f t="shared" si="1"/>
        <v>0.14816157519817399</v>
      </c>
      <c r="J15">
        <f t="shared" si="2"/>
        <v>-7.7811896800994901E-2</v>
      </c>
      <c r="K15">
        <f t="shared" si="3"/>
        <v>-0.17471010982990301</v>
      </c>
      <c r="L15">
        <f t="shared" si="4"/>
        <v>-0.50772678852081299</v>
      </c>
      <c r="M15">
        <f t="shared" si="5"/>
        <v>-0.73054701089858998</v>
      </c>
    </row>
    <row r="16" spans="1:13" x14ac:dyDescent="0.25">
      <c r="A16">
        <v>-0.75926923751831099</v>
      </c>
      <c r="B16">
        <v>0.104077406227589</v>
      </c>
      <c r="C16">
        <v>-0.71000015735626198</v>
      </c>
      <c r="D16">
        <v>-1.53919383883476E-2</v>
      </c>
      <c r="E16">
        <v>-0.22923256456852001</v>
      </c>
      <c r="F16">
        <v>-7.3545798659324603E-3</v>
      </c>
      <c r="H16">
        <f t="shared" si="0"/>
        <v>-7.3545798659324603E-3</v>
      </c>
      <c r="I16">
        <f t="shared" si="1"/>
        <v>0.22923256456852001</v>
      </c>
      <c r="J16">
        <f t="shared" si="2"/>
        <v>-1.53919383883476E-2</v>
      </c>
      <c r="K16">
        <f t="shared" si="3"/>
        <v>-0.71000015735626198</v>
      </c>
      <c r="L16">
        <f t="shared" si="4"/>
        <v>-0.104077406227589</v>
      </c>
      <c r="M16">
        <f t="shared" si="5"/>
        <v>-0.75926923751831099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 (double)</vt:lpstr>
      <vt:lpstr>Distal Validati (double)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2025-10-08T07:43:16Z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