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2.00to1.25)(3tendon)/10-08-2025/"/>
    </mc:Choice>
  </mc:AlternateContent>
  <xr:revisionPtr revIDLastSave="2617" documentId="8_{DFFD6B0C-681F-42C8-B2E4-5D4B90AAE966}" xr6:coauthVersionLast="47" xr6:coauthVersionMax="47" xr10:uidLastSave="{823B792D-E9DA-4C9A-B45E-037F8C64FF25}"/>
  <bookViews>
    <workbookView xWindow="-120" yWindow="-120" windowWidth="29040" windowHeight="15720" activeTab="1" xr2:uid="{3D16C37F-3C74-4527-A308-796C339DFE9F}"/>
  </bookViews>
  <sheets>
    <sheet name="Proximal Validation (double)" sheetId="12" r:id="rId1"/>
    <sheet name="Distal Validati (double)" sheetId="19" r:id="rId2"/>
    <sheet name="Sheet1" sheetId="26" r:id="rId3"/>
    <sheet name="Conver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" i="19" l="1" a="1"/>
  <c r="AL4" i="19" s="1"/>
  <c r="AA18" i="12"/>
  <c r="X18" i="12"/>
  <c r="AC17" i="12"/>
  <c r="AB17" i="12"/>
  <c r="AA17" i="12"/>
  <c r="Z17" i="12"/>
  <c r="Z18" i="12" s="1"/>
  <c r="Y17" i="12"/>
  <c r="Y18" i="12" s="1"/>
  <c r="X17" i="12"/>
  <c r="AC16" i="12"/>
  <c r="AB16" i="12"/>
  <c r="AA16" i="12"/>
  <c r="Z16" i="12"/>
  <c r="Y16" i="12"/>
  <c r="X16" i="12"/>
  <c r="AC15" i="12"/>
  <c r="AB15" i="12"/>
  <c r="AA15" i="12"/>
  <c r="Z15" i="12"/>
  <c r="Y15" i="12"/>
  <c r="X15" i="12"/>
  <c r="AC14" i="12"/>
  <c r="AB14" i="12"/>
  <c r="AA14" i="12"/>
  <c r="Z14" i="12"/>
  <c r="Y14" i="12"/>
  <c r="X14" i="12"/>
  <c r="AC13" i="12"/>
  <c r="AB13" i="12"/>
  <c r="AA13" i="12"/>
  <c r="Z13" i="12"/>
  <c r="Y13" i="12"/>
  <c r="X13" i="12"/>
  <c r="AC12" i="12"/>
  <c r="AB12" i="12"/>
  <c r="AA12" i="12"/>
  <c r="Z12" i="12"/>
  <c r="Y12" i="12"/>
  <c r="X12" i="12"/>
  <c r="AC11" i="12"/>
  <c r="AB11" i="12"/>
  <c r="AA11" i="12"/>
  <c r="Z11" i="12"/>
  <c r="Y11" i="12"/>
  <c r="X11" i="12"/>
  <c r="AC10" i="12"/>
  <c r="AB10" i="12"/>
  <c r="AA10" i="12"/>
  <c r="Z10" i="12"/>
  <c r="Y10" i="12"/>
  <c r="X10" i="12"/>
  <c r="AC9" i="12"/>
  <c r="AB9" i="12"/>
  <c r="AA9" i="12"/>
  <c r="Z9" i="12"/>
  <c r="Y9" i="12"/>
  <c r="X9" i="12"/>
  <c r="AC8" i="12"/>
  <c r="AB8" i="12"/>
  <c r="AA8" i="12"/>
  <c r="Z8" i="12"/>
  <c r="Y8" i="12"/>
  <c r="X8" i="12"/>
  <c r="AC7" i="12"/>
  <c r="AB7" i="12"/>
  <c r="AA7" i="12"/>
  <c r="Z7" i="12"/>
  <c r="Y7" i="12"/>
  <c r="X7" i="12"/>
  <c r="AC6" i="12"/>
  <c r="AB6" i="12"/>
  <c r="AA6" i="12"/>
  <c r="Z6" i="12"/>
  <c r="Y6" i="12"/>
  <c r="X6" i="12"/>
  <c r="AC5" i="12"/>
  <c r="AB5" i="12"/>
  <c r="AA5" i="12"/>
  <c r="Z5" i="12"/>
  <c r="Y5" i="12"/>
  <c r="X5" i="12"/>
  <c r="AC4" i="12"/>
  <c r="AC18" i="12" s="1"/>
  <c r="AB4" i="12"/>
  <c r="AB18" i="12" s="1"/>
  <c r="AA4" i="12"/>
  <c r="Z4" i="12"/>
  <c r="Y4" i="12"/>
  <c r="X4" i="12"/>
  <c r="AC3" i="12"/>
  <c r="AB3" i="12"/>
  <c r="AA3" i="12"/>
  <c r="Z3" i="12"/>
  <c r="Y3" i="12"/>
  <c r="X3" i="12"/>
  <c r="H18" i="4" l="1"/>
  <c r="I18" i="4"/>
  <c r="J18" i="4"/>
  <c r="K18" i="4"/>
  <c r="L18" i="4"/>
  <c r="M18" i="4"/>
  <c r="H4" i="12"/>
  <c r="H5" i="12"/>
  <c r="H6" i="12"/>
  <c r="H6" i="19" s="1"/>
  <c r="H7" i="12"/>
  <c r="H7" i="19" s="1"/>
  <c r="H8" i="12"/>
  <c r="H8" i="19" s="1"/>
  <c r="H9" i="12"/>
  <c r="H9" i="19" s="1"/>
  <c r="H10" i="12"/>
  <c r="H11" i="12"/>
  <c r="H12" i="12"/>
  <c r="H12" i="19" s="1"/>
  <c r="H13" i="12"/>
  <c r="H13" i="19" s="1"/>
  <c r="H14" i="12"/>
  <c r="H14" i="19" s="1"/>
  <c r="H15" i="12"/>
  <c r="H15" i="19" s="1"/>
  <c r="H16" i="12"/>
  <c r="H17" i="12"/>
  <c r="D4" i="12"/>
  <c r="D4" i="19" s="1"/>
  <c r="D5" i="12"/>
  <c r="D6" i="12"/>
  <c r="D6" i="19" s="1"/>
  <c r="D7" i="12"/>
  <c r="D7" i="19" s="1"/>
  <c r="D8" i="12"/>
  <c r="D8" i="19" s="1"/>
  <c r="D9" i="12"/>
  <c r="D9" i="19" s="1"/>
  <c r="D10" i="12"/>
  <c r="D10" i="19" s="1"/>
  <c r="D11" i="12"/>
  <c r="D12" i="12"/>
  <c r="D13" i="12"/>
  <c r="D13" i="19" s="1"/>
  <c r="D14" i="12"/>
  <c r="D14" i="19" s="1"/>
  <c r="D15" i="12"/>
  <c r="D15" i="19" s="1"/>
  <c r="D16" i="12"/>
  <c r="D16" i="19" s="1"/>
  <c r="D17" i="12"/>
  <c r="H3" i="12"/>
  <c r="H3" i="19" s="1"/>
  <c r="D3" i="12"/>
  <c r="D3" i="19" s="1"/>
  <c r="A3" i="19"/>
  <c r="B3" i="19"/>
  <c r="C3" i="19"/>
  <c r="E3" i="19"/>
  <c r="F3" i="19"/>
  <c r="G3" i="19"/>
  <c r="I3" i="19"/>
  <c r="J3" i="19"/>
  <c r="K3" i="19"/>
  <c r="L3" i="19"/>
  <c r="M3" i="19"/>
  <c r="N3" i="19"/>
  <c r="O3" i="19"/>
  <c r="A4" i="19"/>
  <c r="B4" i="19"/>
  <c r="C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E6" i="19"/>
  <c r="F6" i="19"/>
  <c r="G6" i="19"/>
  <c r="I6" i="19"/>
  <c r="J6" i="19"/>
  <c r="K6" i="19"/>
  <c r="L6" i="19"/>
  <c r="M6" i="19"/>
  <c r="N6" i="19"/>
  <c r="O6" i="19"/>
  <c r="A7" i="19"/>
  <c r="B7" i="19"/>
  <c r="C7" i="19"/>
  <c r="E7" i="19"/>
  <c r="F7" i="19"/>
  <c r="G7" i="19"/>
  <c r="I7" i="19"/>
  <c r="J7" i="19"/>
  <c r="K7" i="19"/>
  <c r="L7" i="19"/>
  <c r="M7" i="19"/>
  <c r="N7" i="19"/>
  <c r="O7" i="19"/>
  <c r="A8" i="19"/>
  <c r="B8" i="19"/>
  <c r="C8" i="19"/>
  <c r="E8" i="19"/>
  <c r="F8" i="19"/>
  <c r="G8" i="19"/>
  <c r="I8" i="19"/>
  <c r="J8" i="19"/>
  <c r="K8" i="19"/>
  <c r="L8" i="19"/>
  <c r="M8" i="19"/>
  <c r="N8" i="19"/>
  <c r="O8" i="19"/>
  <c r="A9" i="19"/>
  <c r="B9" i="19"/>
  <c r="C9" i="19"/>
  <c r="E9" i="19"/>
  <c r="F9" i="19"/>
  <c r="G9" i="19"/>
  <c r="I9" i="19"/>
  <c r="J9" i="19"/>
  <c r="K9" i="19"/>
  <c r="L9" i="19"/>
  <c r="M9" i="19"/>
  <c r="N9" i="19"/>
  <c r="O9" i="19"/>
  <c r="A10" i="19"/>
  <c r="B10" i="19"/>
  <c r="C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A12" i="19"/>
  <c r="B12" i="19"/>
  <c r="C12" i="19"/>
  <c r="D12" i="19"/>
  <c r="E12" i="19"/>
  <c r="F12" i="19"/>
  <c r="G12" i="19"/>
  <c r="I12" i="19"/>
  <c r="J12" i="19"/>
  <c r="K12" i="19"/>
  <c r="L12" i="19"/>
  <c r="M12" i="19"/>
  <c r="N12" i="19"/>
  <c r="O12" i="19"/>
  <c r="A13" i="19"/>
  <c r="B13" i="19"/>
  <c r="C13" i="19"/>
  <c r="E13" i="19"/>
  <c r="F13" i="19"/>
  <c r="G13" i="19"/>
  <c r="I13" i="19"/>
  <c r="J13" i="19"/>
  <c r="K13" i="19"/>
  <c r="L13" i="19"/>
  <c r="M13" i="19"/>
  <c r="N13" i="19"/>
  <c r="O13" i="19"/>
  <c r="A14" i="19"/>
  <c r="B14" i="19"/>
  <c r="C14" i="19"/>
  <c r="E14" i="19"/>
  <c r="F14" i="19"/>
  <c r="G14" i="19"/>
  <c r="I14" i="19"/>
  <c r="J14" i="19"/>
  <c r="K14" i="19"/>
  <c r="L14" i="19"/>
  <c r="M14" i="19"/>
  <c r="N14" i="19"/>
  <c r="O14" i="19"/>
  <c r="A15" i="19"/>
  <c r="B15" i="19"/>
  <c r="C15" i="19"/>
  <c r="E15" i="19"/>
  <c r="F15" i="19"/>
  <c r="G15" i="19"/>
  <c r="I15" i="19"/>
  <c r="J15" i="19"/>
  <c r="K15" i="19"/>
  <c r="L15" i="19"/>
  <c r="M15" i="19"/>
  <c r="N15" i="19"/>
  <c r="O15" i="19"/>
  <c r="A16" i="19"/>
  <c r="B16" i="19"/>
  <c r="C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3" i="19"/>
  <c r="Q3" i="19"/>
  <c r="P4" i="19"/>
  <c r="Q4" i="19"/>
  <c r="P5" i="19"/>
  <c r="Q5" i="19"/>
  <c r="P6" i="19"/>
  <c r="Q6" i="19"/>
  <c r="P7" i="19"/>
  <c r="Q7" i="19"/>
  <c r="P8" i="19"/>
  <c r="Q8" i="19"/>
  <c r="P9" i="19"/>
  <c r="Q9" i="19"/>
  <c r="P10" i="19"/>
  <c r="Q10" i="19"/>
  <c r="P11" i="19"/>
  <c r="Q11" i="19"/>
  <c r="P12" i="19"/>
  <c r="Q12" i="19"/>
  <c r="P13" i="19"/>
  <c r="Q13" i="19"/>
  <c r="P14" i="19"/>
  <c r="Q14" i="19"/>
  <c r="P15" i="19"/>
  <c r="Q15" i="19"/>
  <c r="P16" i="19"/>
  <c r="Q16" i="19"/>
  <c r="P17" i="19"/>
  <c r="Q17" i="19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H17" i="19" l="1"/>
  <c r="AG17" i="19"/>
  <c r="AF17" i="19"/>
  <c r="AE17" i="19"/>
  <c r="AD17" i="19"/>
  <c r="AC17" i="19"/>
  <c r="AB17" i="19"/>
  <c r="AA17" i="19"/>
  <c r="AH16" i="19"/>
  <c r="AG16" i="19"/>
  <c r="AF16" i="19"/>
  <c r="AE16" i="19"/>
  <c r="AD16" i="19"/>
  <c r="AC16" i="19"/>
  <c r="AB16" i="19"/>
  <c r="AH15" i="19"/>
  <c r="AG15" i="19"/>
  <c r="AF15" i="19"/>
  <c r="AE15" i="19"/>
  <c r="AD15" i="19"/>
  <c r="AC15" i="19"/>
  <c r="AB15" i="19"/>
  <c r="AH14" i="19"/>
  <c r="AG14" i="19"/>
  <c r="AF14" i="19"/>
  <c r="AE14" i="19"/>
  <c r="AD14" i="19"/>
  <c r="AC14" i="19"/>
  <c r="AB14" i="19"/>
  <c r="AH13" i="19"/>
  <c r="AG13" i="19"/>
  <c r="AF13" i="19"/>
  <c r="AE13" i="19"/>
  <c r="AD13" i="19"/>
  <c r="AC13" i="19"/>
  <c r="AB13" i="19"/>
  <c r="AH12" i="19"/>
  <c r="AG12" i="19"/>
  <c r="AF12" i="19"/>
  <c r="AE12" i="19"/>
  <c r="AD12" i="19"/>
  <c r="AC12" i="19"/>
  <c r="AB12" i="19"/>
  <c r="AH11" i="19"/>
  <c r="AG11" i="19"/>
  <c r="AF11" i="19"/>
  <c r="AE11" i="19"/>
  <c r="AD11" i="19"/>
  <c r="AC11" i="19"/>
  <c r="AB11" i="19"/>
  <c r="AH10" i="19"/>
  <c r="AG10" i="19"/>
  <c r="AF10" i="19"/>
  <c r="AE10" i="19"/>
  <c r="AD10" i="19"/>
  <c r="AC10" i="19"/>
  <c r="AB10" i="19"/>
  <c r="AH9" i="19"/>
  <c r="AG9" i="19"/>
  <c r="AF9" i="19"/>
  <c r="AE9" i="19"/>
  <c r="AD9" i="19"/>
  <c r="AC9" i="19"/>
  <c r="AB9" i="19"/>
  <c r="AH8" i="19"/>
  <c r="AG8" i="19"/>
  <c r="AF8" i="19"/>
  <c r="AE8" i="19"/>
  <c r="AD8" i="19"/>
  <c r="AC8" i="19"/>
  <c r="AB8" i="19"/>
  <c r="AH7" i="19"/>
  <c r="AG7" i="19"/>
  <c r="AF7" i="19"/>
  <c r="AE7" i="19"/>
  <c r="AD7" i="19"/>
  <c r="AC7" i="19"/>
  <c r="AB7" i="19"/>
  <c r="AH6" i="19"/>
  <c r="AG6" i="19"/>
  <c r="AF6" i="19"/>
  <c r="AE6" i="19"/>
  <c r="AD6" i="19"/>
  <c r="AC6" i="19"/>
  <c r="AB6" i="19"/>
  <c r="AH5" i="19"/>
  <c r="AG5" i="19"/>
  <c r="AF5" i="19"/>
  <c r="AE5" i="19"/>
  <c r="AD5" i="19"/>
  <c r="AC5" i="19"/>
  <c r="AB5" i="19"/>
  <c r="AH4" i="19"/>
  <c r="AG4" i="19"/>
  <c r="AF4" i="19"/>
  <c r="AE4" i="19"/>
  <c r="AD4" i="19"/>
  <c r="AC4" i="19"/>
  <c r="AB4" i="19"/>
  <c r="AH3" i="19"/>
  <c r="AG3" i="19"/>
  <c r="AF3" i="19"/>
  <c r="AE3" i="19"/>
  <c r="AD3" i="19"/>
  <c r="AC3" i="19"/>
  <c r="AB3" i="19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AO4" i="19" l="1" a="1"/>
  <c r="AO4" i="19" s="1"/>
  <c r="AR4" i="19" a="1"/>
  <c r="AR4" i="19" s="1"/>
  <c r="AQ4" i="19" a="1"/>
  <c r="AQ4" i="19" s="1"/>
  <c r="AS4" i="19" a="1"/>
  <c r="AS4" i="19" s="1"/>
  <c r="AP4" i="19" a="1"/>
  <c r="AP4" i="19" s="1"/>
  <c r="AM4" i="19" a="1"/>
  <c r="AM4" i="19" s="1"/>
  <c r="AN4" i="19" a="1"/>
  <c r="AN4" i="19" s="1"/>
  <c r="AA4" i="19"/>
  <c r="AA11" i="19"/>
  <c r="AI11" i="19" s="1"/>
  <c r="AA9" i="19"/>
  <c r="AI9" i="19" s="1"/>
  <c r="AA16" i="19"/>
  <c r="AI16" i="19" s="1"/>
  <c r="AA5" i="19"/>
  <c r="AI5" i="19" s="1"/>
  <c r="AA12" i="19"/>
  <c r="AI12" i="19" s="1"/>
  <c r="AA6" i="19"/>
  <c r="AI6" i="19" s="1"/>
  <c r="AA7" i="19"/>
  <c r="AI7" i="19" s="1"/>
  <c r="AA14" i="19"/>
  <c r="AI14" i="19" s="1"/>
  <c r="AA3" i="19"/>
  <c r="AI3" i="19" s="1"/>
  <c r="AA10" i="19"/>
  <c r="AI10" i="19" s="1"/>
  <c r="AA8" i="19"/>
  <c r="AI8" i="19" s="1"/>
  <c r="AA15" i="19"/>
  <c r="AI15" i="19" s="1"/>
  <c r="AA13" i="19"/>
  <c r="AI13" i="19" s="1"/>
  <c r="AJ10" i="19"/>
  <c r="AK16" i="19"/>
  <c r="AK10" i="19"/>
  <c r="AJ3" i="19"/>
  <c r="AI17" i="19"/>
  <c r="AK12" i="19"/>
  <c r="AJ7" i="19"/>
  <c r="AK15" i="19"/>
  <c r="AJ5" i="19"/>
  <c r="AK7" i="19"/>
  <c r="AK5" i="19"/>
  <c r="AK9" i="19"/>
  <c r="AJ16" i="19"/>
  <c r="AK13" i="19"/>
  <c r="AK14" i="19"/>
  <c r="AK6" i="19"/>
  <c r="AK17" i="19"/>
  <c r="AJ11" i="19"/>
  <c r="AJ15" i="19"/>
  <c r="AJ4" i="19"/>
  <c r="AK8" i="19"/>
  <c r="AK4" i="19"/>
  <c r="AJ14" i="19"/>
  <c r="AK11" i="19"/>
  <c r="AJ13" i="19"/>
  <c r="AJ9" i="19"/>
  <c r="AJ17" i="19"/>
  <c r="AJ6" i="19"/>
  <c r="AJ8" i="19"/>
  <c r="AJ12" i="19"/>
  <c r="AK3" i="19"/>
  <c r="AI4" i="19" l="1"/>
  <c r="AM7" i="19"/>
  <c r="AN7" i="19"/>
  <c r="AL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tc={C96BAFC3-33B7-45B5-930E-AAACDEA85BC7}</author>
  </authors>
  <commentList>
    <comment ref="K3" authorId="0" shapeId="0" xr:uid="{C96BAFC3-33B7-45B5-930E-AAACDEA85BC7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string rubbing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<sst xmlns="http://schemas.openxmlformats.org/spreadsheetml/2006/main" count="102" uniqueCount="38">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</sst>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9" borderId="0" applyNumberFormat="0" applyBorder="0" applyAlignment="0" applyProtection="0"/>
  </cellStyleXfs>
  <cellXfs count="35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4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ah Jones" id="{49EEF8AB-B295-45B8-83DF-414EEA0D2F95}" userId="S::Noah@familiajones.org::c7736cb5-d3f8-4f6c-bac8-cbab17b7e3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5-10-08T02:34:31.01" personId="{49EEF8AB-B295-45B8-83DF-414EEA0D2F95}" id="{C96BAFC3-33B7-45B5-930E-AAACDEA85BC7}">
    <text>Bad string rubbing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18"/>
  <sheetViews>
    <sheetView workbookViewId="0">
      <selection activeCell="P28" sqref="P28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140625" bestFit="1" customWidth="1"/>
    <col min="20" max="20" width="7.7109375" bestFit="1" customWidth="1"/>
    <col min="21" max="23" width="6.425781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5.75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20" t="s">
        <v>6</v>
      </c>
      <c r="M1" s="21"/>
      <c r="N1" s="21"/>
      <c r="O1" s="21"/>
      <c r="P1" s="21"/>
      <c r="Q1" s="21"/>
      <c r="R1" s="22" t="s">
        <v>12</v>
      </c>
      <c r="S1" s="23"/>
      <c r="T1" s="23"/>
      <c r="U1" s="23"/>
      <c r="V1" s="23"/>
      <c r="W1" s="23"/>
      <c r="X1" s="24" t="s">
        <v>14</v>
      </c>
      <c r="Y1" s="25"/>
      <c r="Z1" s="25"/>
      <c r="AA1" s="25"/>
      <c r="AB1" s="25"/>
      <c r="AC1" s="26"/>
    </row>
    <row r="2" spans="1:29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s="5" customFormat="1" x14ac:dyDescent="0.25">
      <c r="A3" s="6">
        <v>0.3</v>
      </c>
      <c r="B3" s="6">
        <v>0.2</v>
      </c>
      <c r="C3" s="6">
        <v>1.57</v>
      </c>
      <c r="D3" s="6">
        <f>PI()/2</f>
        <v>1.5707963267948966</v>
      </c>
      <c r="E3" s="6">
        <v>0.3</v>
      </c>
      <c r="F3" s="6">
        <v>0.08</v>
      </c>
      <c r="G3" s="6">
        <v>3.1419999999999999</v>
      </c>
      <c r="H3" s="6">
        <f>PI()/2</f>
        <v>1.5707963267948966</v>
      </c>
      <c r="I3" s="6">
        <v>0</v>
      </c>
      <c r="J3" s="6">
        <v>0</v>
      </c>
      <c r="K3" s="6">
        <v>0</v>
      </c>
      <c r="L3" s="5">
        <v>-4.30593034252524E-4</v>
      </c>
      <c r="M3" s="5">
        <v>-4.2151313275098801E-2</v>
      </c>
      <c r="N3" s="5">
        <v>-5.41769191622734E-2</v>
      </c>
      <c r="O3" s="5">
        <v>-1.0742351412773099E-2</v>
      </c>
      <c r="P3" s="5">
        <v>-0.322125554084778</v>
      </c>
      <c r="Q3" s="5">
        <v>0.112474009394646</v>
      </c>
      <c r="R3" s="5">
        <v>1.0281939107820917E-10</v>
      </c>
      <c r="S3" s="5">
        <v>-8.3694062567161914E-2</v>
      </c>
      <c r="T3" s="5">
        <v>-5.0534031696408598E-2</v>
      </c>
      <c r="U3" s="5">
        <v>-0.11054707733982631</v>
      </c>
      <c r="V3" s="5">
        <v>-0.29650189563400225</v>
      </c>
      <c r="W3" s="5">
        <v>0.28215784715169928</v>
      </c>
      <c r="X3" s="5">
        <f>L3-R3</f>
        <v>-4.3059313707191507E-4</v>
      </c>
      <c r="Y3" s="5">
        <f t="shared" ref="Y3:AC3" si="0">M3-S3</f>
        <v>4.1542749292063114E-2</v>
      </c>
      <c r="Z3" s="5">
        <f t="shared" si="0"/>
        <v>-3.6428874658648025E-3</v>
      </c>
      <c r="AA3" s="5">
        <f t="shared" si="0"/>
        <v>9.9804725927053209E-2</v>
      </c>
      <c r="AB3" s="5">
        <f t="shared" si="0"/>
        <v>-2.5623658450775744E-2</v>
      </c>
      <c r="AC3" s="5">
        <f t="shared" si="0"/>
        <v>-0.16968383775705329</v>
      </c>
    </row>
    <row r="4" spans="1:29" s="5" customFormat="1" x14ac:dyDescent="0.25">
      <c r="A4" s="6">
        <v>0.4</v>
      </c>
      <c r="B4" s="6">
        <v>0.1</v>
      </c>
      <c r="C4" s="6">
        <v>1.57</v>
      </c>
      <c r="D4" s="6">
        <f t="shared" ref="D4:D17" si="1">PI()/2</f>
        <v>1.5707963267948966</v>
      </c>
      <c r="E4" s="6">
        <v>0.5</v>
      </c>
      <c r="F4" s="6">
        <v>0.06</v>
      </c>
      <c r="G4" s="6">
        <v>4.7119999999999997</v>
      </c>
      <c r="H4" s="6">
        <f t="shared" ref="H4:H17" si="2">PI()/2</f>
        <v>1.5707963267948966</v>
      </c>
      <c r="I4" s="6">
        <v>0.8</v>
      </c>
      <c r="J4" s="6">
        <v>0</v>
      </c>
      <c r="K4" s="6">
        <v>0</v>
      </c>
      <c r="L4" s="5">
        <v>-7.01924553140998E-4</v>
      </c>
      <c r="M4" s="5">
        <v>-1.88952703028917E-2</v>
      </c>
      <c r="N4" s="5">
        <v>6.5155932679772399E-4</v>
      </c>
      <c r="O4" s="5">
        <v>-3.4051635302603201E-3</v>
      </c>
      <c r="P4" s="5">
        <v>7.4966698884963998E-3</v>
      </c>
      <c r="Q4" s="5">
        <v>-3.05809658020735E-2</v>
      </c>
      <c r="R4" s="5">
        <v>2.7143079312827505E-4</v>
      </c>
      <c r="S4" s="5">
        <v>-1.0008975701517034E-3</v>
      </c>
      <c r="T4" s="5">
        <v>1.7497561347935585E-5</v>
      </c>
      <c r="U4" s="5">
        <v>-6.0959065253706861E-3</v>
      </c>
      <c r="V4" s="5">
        <v>-3.5604484895255967E-5</v>
      </c>
      <c r="W4" s="5">
        <v>-0.10042697767243022</v>
      </c>
      <c r="X4" s="5">
        <f t="shared" ref="X4:X17" si="3">L4-R4</f>
        <v>-9.7335534626927299E-4</v>
      </c>
      <c r="Y4" s="5">
        <f t="shared" ref="Y4:Y17" si="4">M4-S4</f>
        <v>-1.7894372732739996E-2</v>
      </c>
      <c r="Z4" s="5">
        <f t="shared" ref="Z4:Z17" si="5">N4-T4</f>
        <v>6.3406176544978841E-4</v>
      </c>
      <c r="AA4" s="5">
        <f t="shared" ref="AA4:AA17" si="6">O4-U4</f>
        <v>2.6907429951103659E-3</v>
      </c>
      <c r="AB4" s="5">
        <f t="shared" ref="AB4:AB17" si="7">P4-V4</f>
        <v>7.5322743733916555E-3</v>
      </c>
      <c r="AC4" s="5">
        <f t="shared" ref="AC4:AC17" si="8">Q4-W4</f>
        <v>6.9846011870356717E-2</v>
      </c>
    </row>
    <row r="5" spans="1:29" s="5" customFormat="1" x14ac:dyDescent="0.25">
      <c r="A5" s="6">
        <v>0.7</v>
      </c>
      <c r="B5" s="6">
        <v>0.16</v>
      </c>
      <c r="C5" s="6">
        <v>1.57</v>
      </c>
      <c r="D5" s="6">
        <f t="shared" si="1"/>
        <v>1.5707963267948966</v>
      </c>
      <c r="E5" s="6">
        <v>0.7</v>
      </c>
      <c r="F5" s="6">
        <v>0.02</v>
      </c>
      <c r="G5" s="6">
        <v>4.7119999999999997</v>
      </c>
      <c r="H5" s="6">
        <f t="shared" si="2"/>
        <v>1.5707963267948966</v>
      </c>
      <c r="I5" s="6">
        <v>0</v>
      </c>
      <c r="J5" s="6">
        <v>0</v>
      </c>
      <c r="K5" s="6">
        <v>0</v>
      </c>
      <c r="L5" s="5">
        <v>-1.1449491139501301E-3</v>
      </c>
      <c r="M5" s="5">
        <v>-8.78715589642525E-2</v>
      </c>
      <c r="N5" s="5">
        <v>1.2581461342051599E-3</v>
      </c>
      <c r="O5" s="5">
        <v>-0.259054124355316</v>
      </c>
      <c r="P5" s="5">
        <v>1.61738991737366E-2</v>
      </c>
      <c r="Q5" s="5">
        <v>-0.101423710584641</v>
      </c>
      <c r="R5" s="5">
        <v>-2.4098100804197807E-14</v>
      </c>
      <c r="S5" s="5">
        <v>-8.9694540564512273E-2</v>
      </c>
      <c r="T5" s="5">
        <v>1.0257002116087634E-4</v>
      </c>
      <c r="U5" s="5">
        <v>-0.25642536291631457</v>
      </c>
      <c r="V5" s="5">
        <v>2.323876118317243E-4</v>
      </c>
      <c r="W5" s="5">
        <v>-6.5649631711378803E-2</v>
      </c>
      <c r="X5" s="5">
        <f t="shared" si="3"/>
        <v>-1.1449491139260319E-3</v>
      </c>
      <c r="Y5" s="5">
        <f t="shared" si="4"/>
        <v>1.8229816002597737E-3</v>
      </c>
      <c r="Z5" s="5">
        <f t="shared" si="5"/>
        <v>1.1555761130442835E-3</v>
      </c>
      <c r="AA5" s="5">
        <f t="shared" si="6"/>
        <v>-2.6287614390014258E-3</v>
      </c>
      <c r="AB5" s="5">
        <f t="shared" si="7"/>
        <v>1.5941511561904875E-2</v>
      </c>
      <c r="AC5" s="5">
        <f t="shared" si="8"/>
        <v>-3.5774078873262199E-2</v>
      </c>
    </row>
    <row r="6" spans="1:29" s="5" customFormat="1" x14ac:dyDescent="0.25">
      <c r="A6" s="6">
        <v>0.7</v>
      </c>
      <c r="B6" s="6">
        <v>0.18</v>
      </c>
      <c r="C6" s="6">
        <v>2.3559999999999999</v>
      </c>
      <c r="D6" s="6">
        <f t="shared" si="1"/>
        <v>1.5707963267948966</v>
      </c>
      <c r="E6" s="6">
        <v>0.8</v>
      </c>
      <c r="F6" s="6">
        <v>0.06</v>
      </c>
      <c r="G6" s="6">
        <v>3.1419999999999999</v>
      </c>
      <c r="H6" s="6">
        <f t="shared" si="2"/>
        <v>1.5707963267948966</v>
      </c>
      <c r="I6" s="6">
        <v>0.8</v>
      </c>
      <c r="J6" s="6">
        <v>0</v>
      </c>
      <c r="K6" s="6">
        <v>0</v>
      </c>
      <c r="L6" s="5">
        <v>6.4405519515275999E-3</v>
      </c>
      <c r="M6" s="5">
        <v>-9.6120387315750094E-2</v>
      </c>
      <c r="N6" s="5">
        <v>-0.213808938860893</v>
      </c>
      <c r="O6" s="5">
        <v>-0.53791087865829501</v>
      </c>
      <c r="P6" s="5">
        <v>-1.01066327095032</v>
      </c>
      <c r="Q6" s="5">
        <v>0.27253100275993303</v>
      </c>
      <c r="R6" s="5">
        <v>3.9396570255241046E-3</v>
      </c>
      <c r="S6" s="5">
        <v>-0.12033416485354129</v>
      </c>
      <c r="T6" s="5">
        <v>-0.23830752889744772</v>
      </c>
      <c r="U6" s="5">
        <v>-0.57020295950053468</v>
      </c>
      <c r="V6" s="5">
        <v>-1.1827594231839123</v>
      </c>
      <c r="W6" s="5">
        <v>0.38991688054120321</v>
      </c>
      <c r="X6" s="5">
        <f t="shared" si="3"/>
        <v>2.5008949260034953E-3</v>
      </c>
      <c r="Y6" s="5">
        <f t="shared" si="4"/>
        <v>2.4213777537791192E-2</v>
      </c>
      <c r="Z6" s="5">
        <f t="shared" si="5"/>
        <v>2.4498590036554718E-2</v>
      </c>
      <c r="AA6" s="5">
        <f t="shared" si="6"/>
        <v>3.2292080842239668E-2</v>
      </c>
      <c r="AB6" s="5">
        <f t="shared" si="7"/>
        <v>0.1720961522335922</v>
      </c>
      <c r="AC6" s="5">
        <f t="shared" si="8"/>
        <v>-0.11738587778127019</v>
      </c>
    </row>
    <row r="7" spans="1:29" s="5" customFormat="1" x14ac:dyDescent="0.25">
      <c r="A7" s="6">
        <v>0.6</v>
      </c>
      <c r="B7" s="6">
        <v>0.12</v>
      </c>
      <c r="C7" s="6">
        <v>2.3559999999999999</v>
      </c>
      <c r="D7" s="6">
        <f t="shared" si="1"/>
        <v>1.5707963267948966</v>
      </c>
      <c r="E7" s="6">
        <v>0.3</v>
      </c>
      <c r="F7" s="6">
        <v>0.04</v>
      </c>
      <c r="G7" s="6">
        <v>3.927</v>
      </c>
      <c r="H7" s="6">
        <f t="shared" si="2"/>
        <v>1.5707963267948966</v>
      </c>
      <c r="I7" s="6">
        <v>0.4</v>
      </c>
      <c r="J7" s="6">
        <v>0</v>
      </c>
      <c r="K7" s="6">
        <v>0</v>
      </c>
      <c r="L7" s="5">
        <v>-1.2948727235197999E-3</v>
      </c>
      <c r="M7" s="5">
        <v>-6.0354080051183701E-2</v>
      </c>
      <c r="N7" s="5">
        <v>-0.103492647409439</v>
      </c>
      <c r="O7" s="5">
        <v>-0.120804071426392</v>
      </c>
      <c r="P7" s="5">
        <v>-0.51357686519622803</v>
      </c>
      <c r="Q7" s="5">
        <v>0.20345818996429399</v>
      </c>
      <c r="R7" s="5">
        <v>5.7347538541286031E-4</v>
      </c>
      <c r="S7" s="5">
        <v>-6.0807952003365001E-2</v>
      </c>
      <c r="T7" s="5">
        <v>-0.11575850938637863</v>
      </c>
      <c r="U7" s="5">
        <v>-0.10933291373791443</v>
      </c>
      <c r="V7" s="5">
        <v>-0.62926015119135814</v>
      </c>
      <c r="W7" s="5">
        <v>0.20531021030935173</v>
      </c>
      <c r="X7" s="5">
        <f t="shared" si="3"/>
        <v>-1.8683481089326603E-3</v>
      </c>
      <c r="Y7" s="5">
        <f t="shared" si="4"/>
        <v>4.5387195218130061E-4</v>
      </c>
      <c r="Z7" s="5">
        <f t="shared" si="5"/>
        <v>1.2265861976939629E-2</v>
      </c>
      <c r="AA7" s="5">
        <f t="shared" si="6"/>
        <v>-1.1471157688477576E-2</v>
      </c>
      <c r="AB7" s="5">
        <f t="shared" si="7"/>
        <v>0.11568328599513011</v>
      </c>
      <c r="AC7" s="5">
        <f t="shared" si="8"/>
        <v>-1.8520203450577422E-3</v>
      </c>
    </row>
    <row r="8" spans="1:29" s="5" customFormat="1" x14ac:dyDescent="0.25">
      <c r="A8" s="6">
        <v>0.8</v>
      </c>
      <c r="B8" s="6">
        <v>0.12</v>
      </c>
      <c r="C8" s="6">
        <v>2.3559999999999999</v>
      </c>
      <c r="D8" s="6">
        <f t="shared" si="1"/>
        <v>1.5707963267948966</v>
      </c>
      <c r="E8" s="6">
        <v>0.5</v>
      </c>
      <c r="F8" s="6">
        <v>0.06</v>
      </c>
      <c r="G8" s="6">
        <v>3.927</v>
      </c>
      <c r="H8" s="6">
        <f t="shared" si="2"/>
        <v>1.5707963267948966</v>
      </c>
      <c r="I8" s="6">
        <v>0.4</v>
      </c>
      <c r="J8" s="6">
        <v>0</v>
      </c>
      <c r="K8" s="6">
        <v>0</v>
      </c>
      <c r="L8" s="5">
        <v>-1.53041677549481E-3</v>
      </c>
      <c r="M8" s="5">
        <v>-5.8196127414703397E-2</v>
      </c>
      <c r="N8" s="5">
        <v>-0.16341306269168901</v>
      </c>
      <c r="O8" s="5">
        <v>-0.25818380713462802</v>
      </c>
      <c r="P8" s="5">
        <v>-0.79976713657379195</v>
      </c>
      <c r="Q8" s="5">
        <v>0.14228719472885101</v>
      </c>
      <c r="R8" s="5">
        <v>7.4597715709253483E-4</v>
      </c>
      <c r="S8" s="5">
        <v>-6.4154236486015565E-2</v>
      </c>
      <c r="T8" s="5">
        <v>-0.16942635443603024</v>
      </c>
      <c r="U8" s="5">
        <v>-0.204827994523718</v>
      </c>
      <c r="V8" s="5">
        <v>-0.89941042260069459</v>
      </c>
      <c r="W8" s="5">
        <v>0.19771313755990649</v>
      </c>
      <c r="X8" s="5">
        <f t="shared" si="3"/>
        <v>-2.2763939325873448E-3</v>
      </c>
      <c r="Y8" s="5">
        <f t="shared" si="4"/>
        <v>5.9581090713121676E-3</v>
      </c>
      <c r="Z8" s="5">
        <f t="shared" si="5"/>
        <v>6.0132917443412315E-3</v>
      </c>
      <c r="AA8" s="5">
        <f t="shared" si="6"/>
        <v>-5.3355812610910019E-2</v>
      </c>
      <c r="AB8" s="5">
        <f t="shared" si="7"/>
        <v>9.9643286026902644E-2</v>
      </c>
      <c r="AC8" s="5">
        <f t="shared" si="8"/>
        <v>-5.542594283105548E-2</v>
      </c>
    </row>
    <row r="9" spans="1:29" s="5" customFormat="1" x14ac:dyDescent="0.25">
      <c r="A9" s="6">
        <v>0.3</v>
      </c>
      <c r="B9" s="6">
        <v>0.18</v>
      </c>
      <c r="C9" s="6">
        <v>3.1419999999999999</v>
      </c>
      <c r="D9" s="6">
        <f t="shared" si="1"/>
        <v>1.5707963267948966</v>
      </c>
      <c r="E9" s="6">
        <v>0.4</v>
      </c>
      <c r="F9" s="6">
        <v>0.04</v>
      </c>
      <c r="G9" s="6">
        <v>3.927</v>
      </c>
      <c r="H9" s="6">
        <f t="shared" si="2"/>
        <v>1.5707963267948966</v>
      </c>
      <c r="I9" s="6">
        <v>1.2</v>
      </c>
      <c r="J9" s="6">
        <v>0</v>
      </c>
      <c r="K9" s="6">
        <v>0</v>
      </c>
      <c r="L9" s="5">
        <v>1.2701484374702001E-3</v>
      </c>
      <c r="M9" s="5">
        <v>3.2061167061328902E-2</v>
      </c>
      <c r="N9" s="5">
        <v>-8.9157111942768097E-2</v>
      </c>
      <c r="O9" s="5">
        <v>-2.97270901501179E-3</v>
      </c>
      <c r="P9" s="5">
        <v>-0.42995858192443798</v>
      </c>
      <c r="Q9" s="5">
        <v>-0.22458755970001201</v>
      </c>
      <c r="R9" s="5">
        <v>1.2483167625924735E-3</v>
      </c>
      <c r="S9" s="5">
        <v>3.6612470469445761E-2</v>
      </c>
      <c r="T9" s="5">
        <v>-0.11731380512990136</v>
      </c>
      <c r="U9" s="5">
        <v>-6.6707794629312575E-2</v>
      </c>
      <c r="V9" s="5">
        <v>-0.57831503067445467</v>
      </c>
      <c r="W9" s="5">
        <v>-0.28306346222602796</v>
      </c>
      <c r="X9" s="5">
        <f t="shared" si="3"/>
        <v>2.1831674877726553E-5</v>
      </c>
      <c r="Y9" s="5">
        <f t="shared" si="4"/>
        <v>-4.5513034081168594E-3</v>
      </c>
      <c r="Z9" s="5">
        <f t="shared" si="5"/>
        <v>2.8156693187133264E-2</v>
      </c>
      <c r="AA9" s="5">
        <f t="shared" si="6"/>
        <v>6.3735085614300788E-2</v>
      </c>
      <c r="AB9" s="5">
        <f t="shared" si="7"/>
        <v>0.14835644875001669</v>
      </c>
      <c r="AC9" s="5">
        <f t="shared" si="8"/>
        <v>5.8475902526015949E-2</v>
      </c>
    </row>
    <row r="10" spans="1:29" s="5" customFormat="1" x14ac:dyDescent="0.25">
      <c r="A10" s="6">
        <v>0.5</v>
      </c>
      <c r="B10" s="6">
        <v>0.2</v>
      </c>
      <c r="C10" s="6">
        <v>3.1419999999999999</v>
      </c>
      <c r="D10" s="6">
        <f t="shared" si="1"/>
        <v>1.5707963267948966</v>
      </c>
      <c r="E10" s="6">
        <v>0.7</v>
      </c>
      <c r="F10" s="6">
        <v>0.04</v>
      </c>
      <c r="G10" s="6">
        <v>3.927</v>
      </c>
      <c r="H10" s="6">
        <f t="shared" si="2"/>
        <v>1.5707963267948966</v>
      </c>
      <c r="I10" s="6">
        <v>0.4</v>
      </c>
      <c r="J10" s="6">
        <v>0</v>
      </c>
      <c r="K10" s="6">
        <v>0</v>
      </c>
      <c r="L10" s="5">
        <v>-6.7927502095699299E-4</v>
      </c>
      <c r="M10" s="5">
        <v>5.69596737623215E-2</v>
      </c>
      <c r="N10" s="5">
        <v>-0.177663698792458</v>
      </c>
      <c r="O10" s="5">
        <v>-0.28621101379394498</v>
      </c>
      <c r="P10" s="5">
        <v>-0.79048734903335605</v>
      </c>
      <c r="Q10" s="5">
        <v>-0.42087453603744501</v>
      </c>
      <c r="R10" s="5">
        <v>8.8534208393938258E-4</v>
      </c>
      <c r="S10" s="5">
        <v>6.3961812733552698E-2</v>
      </c>
      <c r="T10" s="5">
        <v>-0.19770374474458235</v>
      </c>
      <c r="U10" s="5">
        <v>-0.32302862290569739</v>
      </c>
      <c r="V10" s="5">
        <v>-0.92171620493651496</v>
      </c>
      <c r="W10" s="5">
        <v>-0.49338601173561891</v>
      </c>
      <c r="X10" s="5">
        <f t="shared" si="3"/>
        <v>-1.5646171048963756E-3</v>
      </c>
      <c r="Y10" s="5">
        <f t="shared" si="4"/>
        <v>-7.0021389712311977E-3</v>
      </c>
      <c r="Z10" s="5">
        <f t="shared" si="5"/>
        <v>2.0040045952124358E-2</v>
      </c>
      <c r="AA10" s="5">
        <f t="shared" si="6"/>
        <v>3.6817609111752414E-2</v>
      </c>
      <c r="AB10" s="5">
        <f t="shared" si="7"/>
        <v>0.13122885590315891</v>
      </c>
      <c r="AC10" s="5">
        <f t="shared" si="8"/>
        <v>7.2511475698173899E-2</v>
      </c>
    </row>
    <row r="11" spans="1:29" s="5" customFormat="1" x14ac:dyDescent="0.25">
      <c r="A11" s="6">
        <v>0.4</v>
      </c>
      <c r="B11" s="6">
        <v>0.14000000000000001</v>
      </c>
      <c r="C11" s="6">
        <v>3.927</v>
      </c>
      <c r="D11" s="6">
        <f t="shared" si="1"/>
        <v>1.5707963267948966</v>
      </c>
      <c r="E11" s="6">
        <v>0.5</v>
      </c>
      <c r="F11" s="6">
        <v>0.02</v>
      </c>
      <c r="G11" s="6">
        <v>3.1419999999999999</v>
      </c>
      <c r="H11" s="6">
        <f t="shared" si="2"/>
        <v>1.5707963267948966</v>
      </c>
      <c r="I11" s="6">
        <v>0.8</v>
      </c>
      <c r="J11" s="6">
        <v>0</v>
      </c>
      <c r="K11" s="6">
        <v>0</v>
      </c>
      <c r="L11" s="5">
        <v>-1.88525998964906E-3</v>
      </c>
      <c r="M11" s="5">
        <v>6.2983147799968706E-2</v>
      </c>
      <c r="N11" s="5">
        <v>-0.11185147613287</v>
      </c>
      <c r="O11" s="5">
        <v>-3.2080601900815998E-2</v>
      </c>
      <c r="P11" s="5">
        <v>-0.69933581352233898</v>
      </c>
      <c r="Q11" s="5">
        <v>-0.26614278554916398</v>
      </c>
      <c r="R11" s="5">
        <v>-2.9250795532051666E-4</v>
      </c>
      <c r="S11" s="5">
        <v>6.481256907609298E-2</v>
      </c>
      <c r="T11" s="5">
        <v>-0.11946024289965695</v>
      </c>
      <c r="U11" s="5">
        <v>-6.4085329881064967E-2</v>
      </c>
      <c r="V11" s="5">
        <v>-0.78024602321156367</v>
      </c>
      <c r="W11" s="5">
        <v>-0.28040112190483341</v>
      </c>
      <c r="X11" s="5">
        <f t="shared" si="3"/>
        <v>-1.5927520343285433E-3</v>
      </c>
      <c r="Y11" s="5">
        <f t="shared" si="4"/>
        <v>-1.829421276124274E-3</v>
      </c>
      <c r="Z11" s="5">
        <f t="shared" si="5"/>
        <v>7.6087667667869563E-3</v>
      </c>
      <c r="AA11" s="5">
        <f t="shared" si="6"/>
        <v>3.2004727980248969E-2</v>
      </c>
      <c r="AB11" s="5">
        <f t="shared" si="7"/>
        <v>8.0910209689224688E-2</v>
      </c>
      <c r="AC11" s="5">
        <f t="shared" si="8"/>
        <v>1.4258336355669421E-2</v>
      </c>
    </row>
    <row r="12" spans="1:29" s="5" customFormat="1" x14ac:dyDescent="0.25">
      <c r="A12" s="6">
        <v>0.7</v>
      </c>
      <c r="B12" s="6">
        <v>0.12</v>
      </c>
      <c r="C12" s="6">
        <v>3.927</v>
      </c>
      <c r="D12" s="6">
        <f t="shared" si="1"/>
        <v>1.5707963267948966</v>
      </c>
      <c r="E12" s="6">
        <v>0.7</v>
      </c>
      <c r="F12" s="6">
        <v>0.08</v>
      </c>
      <c r="G12" s="6">
        <v>3.927</v>
      </c>
      <c r="H12" s="6">
        <f t="shared" si="2"/>
        <v>1.5707963267948966</v>
      </c>
      <c r="I12" s="6">
        <v>1.2</v>
      </c>
      <c r="J12" s="6">
        <v>0</v>
      </c>
      <c r="K12" s="6">
        <v>0</v>
      </c>
      <c r="L12" s="5">
        <v>-3.7175370380282402E-3</v>
      </c>
      <c r="M12" s="5">
        <v>0.17499575018882799</v>
      </c>
      <c r="N12" s="5">
        <v>-0.20276136696338701</v>
      </c>
      <c r="O12" s="5">
        <v>-0.35743337869644198</v>
      </c>
      <c r="P12" s="5">
        <v>-1.01576912403107</v>
      </c>
      <c r="Q12" s="5">
        <v>-0.85049569606780995</v>
      </c>
      <c r="R12" s="5">
        <v>-7.5764700439211272E-4</v>
      </c>
      <c r="S12" s="5">
        <v>0.18487120200142104</v>
      </c>
      <c r="T12" s="5">
        <v>-0.18490907610336799</v>
      </c>
      <c r="U12" s="5">
        <v>-0.33320516352269836</v>
      </c>
      <c r="V12" s="5">
        <v>-0.96223824533668212</v>
      </c>
      <c r="W12" s="5">
        <v>-0.96067060298607687</v>
      </c>
      <c r="X12" s="5">
        <f t="shared" si="3"/>
        <v>-2.9598900336361275E-3</v>
      </c>
      <c r="Y12" s="5">
        <f t="shared" si="4"/>
        <v>-9.8754518125930557E-3</v>
      </c>
      <c r="Z12" s="5">
        <f t="shared" si="5"/>
        <v>-1.7852290860019021E-2</v>
      </c>
      <c r="AA12" s="5">
        <f t="shared" si="6"/>
        <v>-2.4228215173743628E-2</v>
      </c>
      <c r="AB12" s="5">
        <f t="shared" si="7"/>
        <v>-5.3530878694387884E-2</v>
      </c>
      <c r="AC12" s="5">
        <f t="shared" si="8"/>
        <v>0.11017490691826692</v>
      </c>
    </row>
    <row r="13" spans="1:29" s="5" customFormat="1" x14ac:dyDescent="0.25">
      <c r="A13" s="6">
        <v>0.3</v>
      </c>
      <c r="B13" s="6">
        <v>0.1</v>
      </c>
      <c r="C13" s="6">
        <v>3.927</v>
      </c>
      <c r="D13" s="6">
        <f t="shared" si="1"/>
        <v>1.5707963267948966</v>
      </c>
      <c r="E13" s="6">
        <v>0.8</v>
      </c>
      <c r="F13" s="6">
        <v>0.04</v>
      </c>
      <c r="G13" s="6">
        <v>4.7119999999999997</v>
      </c>
      <c r="H13" s="6">
        <f t="shared" si="2"/>
        <v>1.5707963267948966</v>
      </c>
      <c r="I13" s="6">
        <v>0</v>
      </c>
      <c r="J13" s="6">
        <v>0</v>
      </c>
      <c r="K13" s="6">
        <v>0</v>
      </c>
      <c r="L13" s="5">
        <v>-2.49816104769707E-4</v>
      </c>
      <c r="M13" s="5">
        <v>0.14310579001903501</v>
      </c>
      <c r="N13" s="5">
        <v>-4.2481523007154499E-2</v>
      </c>
      <c r="O13" s="5">
        <v>-6.7212104797363295E-2</v>
      </c>
      <c r="P13" s="5">
        <v>-0.226115942001343</v>
      </c>
      <c r="Q13" s="5">
        <v>-0.98430818319320701</v>
      </c>
      <c r="R13" s="5">
        <v>5.2957684795331344E-12</v>
      </c>
      <c r="S13" s="5">
        <v>0.14394787802811487</v>
      </c>
      <c r="T13" s="5">
        <v>-4.0256907896458166E-2</v>
      </c>
      <c r="U13" s="5">
        <v>-5.9004686087917937E-2</v>
      </c>
      <c r="V13" s="5">
        <v>-0.21162266806586452</v>
      </c>
      <c r="W13" s="5">
        <v>-1.010513779441532</v>
      </c>
      <c r="X13" s="5">
        <f t="shared" si="3"/>
        <v>-2.4981611006547549E-4</v>
      </c>
      <c r="Y13" s="5">
        <f t="shared" si="4"/>
        <v>-8.4208800907986658E-4</v>
      </c>
      <c r="Z13" s="5">
        <f t="shared" si="5"/>
        <v>-2.2246151106963333E-3</v>
      </c>
      <c r="AA13" s="5">
        <f t="shared" si="6"/>
        <v>-8.2074187094453577E-3</v>
      </c>
      <c r="AB13" s="5">
        <f t="shared" si="7"/>
        <v>-1.4493273935478473E-2</v>
      </c>
      <c r="AC13" s="5">
        <f t="shared" si="8"/>
        <v>2.6205596248324969E-2</v>
      </c>
    </row>
    <row r="14" spans="1:29" s="5" customFormat="1" x14ac:dyDescent="0.25">
      <c r="A14" s="6">
        <v>0.6</v>
      </c>
      <c r="B14" s="6">
        <v>0.18</v>
      </c>
      <c r="C14" s="6">
        <v>3.927</v>
      </c>
      <c r="D14" s="6">
        <f t="shared" si="1"/>
        <v>1.5707963267948966</v>
      </c>
      <c r="E14" s="6">
        <v>0.4</v>
      </c>
      <c r="F14" s="6">
        <v>0.08</v>
      </c>
      <c r="G14" s="6">
        <v>4.7119999999999997</v>
      </c>
      <c r="H14" s="6">
        <f t="shared" si="2"/>
        <v>1.5707963267948966</v>
      </c>
      <c r="I14" s="6">
        <v>0</v>
      </c>
      <c r="J14" s="6">
        <v>0</v>
      </c>
      <c r="K14" s="6">
        <v>0</v>
      </c>
      <c r="L14" s="5">
        <v>-1.3586492277681799E-3</v>
      </c>
      <c r="M14" s="5">
        <v>0.158285066485405</v>
      </c>
      <c r="N14" s="5">
        <v>-0.101698912680149</v>
      </c>
      <c r="O14" s="5">
        <v>-0.36798006296157798</v>
      </c>
      <c r="P14" s="5">
        <v>-0.32599630951881398</v>
      </c>
      <c r="Q14" s="5">
        <v>-0.65422439575195301</v>
      </c>
      <c r="R14" s="5">
        <v>1.4893490169160949E-10</v>
      </c>
      <c r="S14" s="5">
        <v>0.17171109159173512</v>
      </c>
      <c r="T14" s="5">
        <v>-0.10553243882743443</v>
      </c>
      <c r="U14" s="5">
        <v>-0.41339098837646937</v>
      </c>
      <c r="V14" s="5">
        <v>-0.35721402761437482</v>
      </c>
      <c r="W14" s="5">
        <v>-0.74175584406110084</v>
      </c>
      <c r="X14" s="5">
        <f t="shared" si="3"/>
        <v>-1.3586493767030817E-3</v>
      </c>
      <c r="Y14" s="5">
        <f t="shared" si="4"/>
        <v>-1.3426025106330119E-2</v>
      </c>
      <c r="Z14" s="5">
        <f t="shared" si="5"/>
        <v>3.8335261472854376E-3</v>
      </c>
      <c r="AA14" s="5">
        <f t="shared" si="6"/>
        <v>4.541092541489139E-2</v>
      </c>
      <c r="AB14" s="5">
        <f t="shared" si="7"/>
        <v>3.1217718095560842E-2</v>
      </c>
      <c r="AC14" s="5">
        <f t="shared" si="8"/>
        <v>8.753144830914783E-2</v>
      </c>
    </row>
    <row r="15" spans="1:29" s="5" customFormat="1" x14ac:dyDescent="0.25">
      <c r="A15" s="6">
        <v>0.7</v>
      </c>
      <c r="B15" s="6">
        <v>0.1</v>
      </c>
      <c r="C15" s="6">
        <v>4.7119999999999997</v>
      </c>
      <c r="D15" s="6">
        <f t="shared" si="1"/>
        <v>1.5707963267948966</v>
      </c>
      <c r="E15" s="6">
        <v>0.4</v>
      </c>
      <c r="F15" s="6">
        <v>0.04</v>
      </c>
      <c r="G15" s="6">
        <v>3.1419999999999999</v>
      </c>
      <c r="H15" s="6">
        <f t="shared" si="2"/>
        <v>1.5707963267948966</v>
      </c>
      <c r="I15" s="6">
        <v>0</v>
      </c>
      <c r="J15" s="6">
        <v>0</v>
      </c>
      <c r="K15" s="6">
        <v>0</v>
      </c>
      <c r="L15" s="5">
        <v>-1.34865380823612E-3</v>
      </c>
      <c r="M15" s="5">
        <v>0.16177396476268799</v>
      </c>
      <c r="N15" s="5">
        <v>-5.5058915168047E-2</v>
      </c>
      <c r="O15" s="5">
        <v>-0.211184471845627</v>
      </c>
      <c r="P15" s="5">
        <v>-0.41715639829635598</v>
      </c>
      <c r="Q15" s="5">
        <v>-0.82157814502716098</v>
      </c>
      <c r="R15" s="5">
        <v>-2.5128640814287647E-11</v>
      </c>
      <c r="S15" s="5">
        <v>0.13219954237926096</v>
      </c>
      <c r="T15" s="5">
        <v>-5.186635100279291E-2</v>
      </c>
      <c r="U15" s="5">
        <v>-0.10358709806652004</v>
      </c>
      <c r="V15" s="5">
        <v>-0.39938246906987923</v>
      </c>
      <c r="W15" s="5">
        <v>-0.69294836668714577</v>
      </c>
      <c r="X15" s="5">
        <f t="shared" si="3"/>
        <v>-1.348653783107479E-3</v>
      </c>
      <c r="Y15" s="5">
        <f t="shared" si="4"/>
        <v>2.9574422383427029E-2</v>
      </c>
      <c r="Z15" s="5">
        <f t="shared" si="5"/>
        <v>-3.1925641652540901E-3</v>
      </c>
      <c r="AA15" s="5">
        <f t="shared" si="6"/>
        <v>-0.10759737377910696</v>
      </c>
      <c r="AB15" s="5">
        <f t="shared" si="7"/>
        <v>-1.7773929226476748E-2</v>
      </c>
      <c r="AC15" s="5">
        <f t="shared" si="8"/>
        <v>-0.12862977834001521</v>
      </c>
    </row>
    <row r="16" spans="1:29" s="5" customFormat="1" x14ac:dyDescent="0.25">
      <c r="A16" s="6">
        <v>0.4</v>
      </c>
      <c r="B16" s="6">
        <v>0.16</v>
      </c>
      <c r="C16" s="6">
        <v>4.7119999999999997</v>
      </c>
      <c r="D16" s="6">
        <f t="shared" si="1"/>
        <v>1.5707963267948966</v>
      </c>
      <c r="E16" s="6">
        <v>0.7</v>
      </c>
      <c r="F16" s="6">
        <v>0.06</v>
      </c>
      <c r="G16" s="6">
        <v>3.927</v>
      </c>
      <c r="H16" s="6">
        <f t="shared" si="2"/>
        <v>1.5707963267948966</v>
      </c>
      <c r="I16" s="6">
        <v>0.4</v>
      </c>
      <c r="J16" s="6">
        <v>0</v>
      </c>
      <c r="K16" s="6">
        <v>0</v>
      </c>
      <c r="L16" s="5">
        <v>-2.75324238464236E-3</v>
      </c>
      <c r="M16" s="5">
        <v>0.16406512260437001</v>
      </c>
      <c r="N16" s="5">
        <v>-7.10117071866989E-2</v>
      </c>
      <c r="O16" s="5">
        <v>-0.184263780713081</v>
      </c>
      <c r="P16" s="5">
        <v>-0.46651321649551403</v>
      </c>
      <c r="Q16" s="5">
        <v>-0.80446076393127397</v>
      </c>
      <c r="R16" s="5">
        <v>-7.4897767233183176E-4</v>
      </c>
      <c r="S16" s="5">
        <v>0.17178464071576047</v>
      </c>
      <c r="T16" s="5">
        <v>-7.3792292117331973E-2</v>
      </c>
      <c r="U16" s="5">
        <v>-0.19214875628180561</v>
      </c>
      <c r="V16" s="5">
        <v>-0.49187094004251253</v>
      </c>
      <c r="W16" s="5">
        <v>-0.87433061145902569</v>
      </c>
      <c r="X16" s="5">
        <f t="shared" si="3"/>
        <v>-2.0042647123105282E-3</v>
      </c>
      <c r="Y16" s="5">
        <f t="shared" si="4"/>
        <v>-7.719518111390461E-3</v>
      </c>
      <c r="Z16" s="5">
        <f t="shared" si="5"/>
        <v>2.7805849306330732E-3</v>
      </c>
      <c r="AA16" s="5">
        <f t="shared" si="6"/>
        <v>7.8849755687246115E-3</v>
      </c>
      <c r="AB16" s="5">
        <f t="shared" si="7"/>
        <v>2.5357723546998501E-2</v>
      </c>
      <c r="AC16" s="5">
        <f t="shared" si="8"/>
        <v>6.9869847527751716E-2</v>
      </c>
    </row>
    <row r="17" spans="1:29" s="5" customFormat="1" x14ac:dyDescent="0.25">
      <c r="A17" s="6">
        <v>0.8</v>
      </c>
      <c r="B17" s="6">
        <v>0.2</v>
      </c>
      <c r="C17" s="6">
        <v>4.7119999999999997</v>
      </c>
      <c r="D17" s="6">
        <f t="shared" si="1"/>
        <v>1.5707963267948966</v>
      </c>
      <c r="E17" s="6">
        <v>0.3</v>
      </c>
      <c r="F17" s="6">
        <v>0.02</v>
      </c>
      <c r="G17" s="6">
        <v>4.7119999999999997</v>
      </c>
      <c r="H17" s="6">
        <f t="shared" si="2"/>
        <v>1.5707963267948966</v>
      </c>
      <c r="I17" s="6">
        <v>0.8</v>
      </c>
      <c r="J17" s="6">
        <v>0</v>
      </c>
      <c r="K17" s="6">
        <v>0</v>
      </c>
      <c r="L17" s="5">
        <v>-1.16670653223991E-2</v>
      </c>
      <c r="M17" s="5">
        <v>0.23207890987396201</v>
      </c>
      <c r="N17" s="5">
        <v>-1.73678714782E-2</v>
      </c>
      <c r="O17" s="5">
        <v>-0.68982279300689697</v>
      </c>
      <c r="P17" s="5">
        <v>-0.124690353870392</v>
      </c>
      <c r="Q17" s="5">
        <v>-0.78086811304092396</v>
      </c>
      <c r="R17" s="5">
        <v>-4.913829698299654E-3</v>
      </c>
      <c r="S17" s="5">
        <v>0.2238401762685287</v>
      </c>
      <c r="T17" s="5">
        <v>-7.9064998715663133E-4</v>
      </c>
      <c r="U17" s="5">
        <v>-0.61727008310049725</v>
      </c>
      <c r="V17" s="5">
        <v>-1.7504905426364646E-2</v>
      </c>
      <c r="W17" s="5">
        <v>-0.83773898588998108</v>
      </c>
      <c r="X17" s="5">
        <f t="shared" si="3"/>
        <v>-6.7532356240994455E-3</v>
      </c>
      <c r="Y17" s="5">
        <f t="shared" si="4"/>
        <v>8.2387336054333127E-3</v>
      </c>
      <c r="Z17" s="5">
        <f t="shared" si="5"/>
        <v>-1.6577221491043369E-2</v>
      </c>
      <c r="AA17" s="5">
        <f t="shared" si="6"/>
        <v>-7.2552709906399726E-2</v>
      </c>
      <c r="AB17" s="5">
        <f t="shared" si="7"/>
        <v>-0.10718544844402736</v>
      </c>
      <c r="AC17" s="5">
        <f t="shared" si="8"/>
        <v>5.6870872849057119E-2</v>
      </c>
    </row>
    <row r="18" spans="1:29" x14ac:dyDescent="0.25">
      <c r="X18" s="17">
        <f>AVERAGE(X4:X17)</f>
        <v>-1.5408713342843674E-3</v>
      </c>
      <c r="Y18" s="17">
        <f t="shared" ref="Y18:AC18" si="9">AVERAGE(Y4:Y17)</f>
        <v>5.0868405162849621E-4</v>
      </c>
      <c r="Z18" s="17">
        <f t="shared" si="9"/>
        <v>4.7957362138057085E-3</v>
      </c>
      <c r="AA18" s="17">
        <f t="shared" si="9"/>
        <v>-4.228950127129749E-3</v>
      </c>
      <c r="AB18" s="17">
        <f t="shared" si="9"/>
        <v>4.5355995419679329E-2</v>
      </c>
      <c r="AC18" s="17">
        <f t="shared" si="9"/>
        <v>1.6191192866578837E-2</v>
      </c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S17"/>
  <sheetViews>
    <sheetView tabSelected="1" workbookViewId="0">
      <pane ySplit="2" topLeftCell="A3" activePane="bottomLeft" state="frozen"/>
      <selection activeCell="K1" sqref="K1"/>
      <selection pane="bottomLeft" activeCell="S16" sqref="S16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20" t="s">
        <v>6</v>
      </c>
      <c r="M1" s="21"/>
      <c r="N1" s="21"/>
      <c r="O1" s="21"/>
      <c r="P1" s="21"/>
      <c r="Q1" s="21"/>
      <c r="R1" s="30" t="s">
        <v>7</v>
      </c>
      <c r="S1" s="31"/>
      <c r="T1" s="31"/>
      <c r="U1" s="31"/>
      <c r="V1" s="31"/>
      <c r="W1" s="31"/>
      <c r="X1" s="31"/>
      <c r="Y1" s="31"/>
      <c r="Z1" s="31"/>
      <c r="AA1" s="28" t="s">
        <v>13</v>
      </c>
      <c r="AB1" s="28"/>
      <c r="AC1" s="28"/>
      <c r="AD1" s="28"/>
      <c r="AE1" s="28"/>
      <c r="AF1" s="28"/>
      <c r="AG1" s="28"/>
      <c r="AH1" s="28"/>
      <c r="AI1" s="29" t="s">
        <v>36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27" t="s">
        <v>31</v>
      </c>
      <c r="AM2" s="27"/>
      <c r="AN2" s="27"/>
      <c r="AO2" s="27"/>
      <c r="AP2" s="27"/>
      <c r="AQ2" s="27"/>
      <c r="AR2" s="27"/>
      <c r="AS2" s="27"/>
    </row>
    <row r="3" spans="1:45" ht="15.75" x14ac:dyDescent="0.25">
      <c r="A3" s="5">
        <f>'Proximal Validation (double)'!A3</f>
        <v>0.3</v>
      </c>
      <c r="B3" s="5">
        <f>'Proximal Validation (double)'!B3</f>
        <v>0.2</v>
      </c>
      <c r="C3" s="5">
        <f>'Proximal Validation (double)'!C3</f>
        <v>1.57</v>
      </c>
      <c r="D3" s="5">
        <f>'Proximal Validation (double)'!D3</f>
        <v>1.5707963267948966</v>
      </c>
      <c r="E3" s="5">
        <f>'Proximal Validation (double)'!E3</f>
        <v>0.3</v>
      </c>
      <c r="F3" s="5">
        <f>'Proximal Validation (double)'!F3</f>
        <v>0.08</v>
      </c>
      <c r="G3" s="5">
        <f>'Proximal Validation (double)'!G3</f>
        <v>3.1419999999999999</v>
      </c>
      <c r="H3" s="5">
        <f>'Proximal Validation (double)'!H3</f>
        <v>1.5707963267948966</v>
      </c>
      <c r="I3" s="5">
        <f>'Proximal Validation (double)'!I3</f>
        <v>0</v>
      </c>
      <c r="J3" s="5">
        <f>'Proximal Validation (double)'!J3</f>
        <v>0</v>
      </c>
      <c r="K3" s="5">
        <f>'Proximal Validation (double)'!K3</f>
        <v>0</v>
      </c>
      <c r="L3" s="5">
        <f>'Proximal Validation (double)'!L3</f>
        <v>-4.30593034252524E-4</v>
      </c>
      <c r="M3" s="5">
        <f>'Proximal Validation (double)'!M3</f>
        <v>-4.2151313275098801E-2</v>
      </c>
      <c r="N3" s="5">
        <f>'Proximal Validation (double)'!N3</f>
        <v>-5.41769191622734E-2</v>
      </c>
      <c r="O3" s="5">
        <f>'Proximal Validation (double)'!O3</f>
        <v>-1.0742351412773099E-2</v>
      </c>
      <c r="P3" s="5">
        <f>'Proximal Validation (double)'!P3</f>
        <v>-0.322125554084778</v>
      </c>
      <c r="Q3" s="5">
        <f>'Proximal Validation (double)'!Q3</f>
        <v>0.112474009394646</v>
      </c>
      <c r="R3" s="5">
        <v>0.79964560023349973</v>
      </c>
      <c r="S3" s="5">
        <v>5.3058940679793901E-2</v>
      </c>
      <c r="T3" s="5">
        <v>2.105950302079147</v>
      </c>
      <c r="U3" s="5">
        <v>1.5707963267948966</v>
      </c>
      <c r="V3" s="5">
        <v>0.58067524005593429</v>
      </c>
      <c r="W3" s="5">
        <v>2.0000001186223235E-2</v>
      </c>
      <c r="X3" s="5">
        <v>4.8595457584656749</v>
      </c>
      <c r="Y3" s="5">
        <v>1.5707963267948966</v>
      </c>
      <c r="Z3" s="12">
        <v>1.235273202035008E-4</v>
      </c>
      <c r="AA3" s="5">
        <f t="shared" ref="AA3:AA17" si="0">R3-A3</f>
        <v>0.49964560023349974</v>
      </c>
      <c r="AB3" s="5">
        <f t="shared" ref="AB3:AB17" si="1">S3-B3</f>
        <v>-0.14694105932020612</v>
      </c>
      <c r="AC3" s="5">
        <f t="shared" ref="AC3:AC17" si="2">T3-C3</f>
        <v>0.53595030207914696</v>
      </c>
      <c r="AD3" s="5">
        <f t="shared" ref="AD3:AD17" si="3">U3-D3</f>
        <v>0</v>
      </c>
      <c r="AE3" s="5">
        <f t="shared" ref="AE3:AE17" si="4">V3-E3</f>
        <v>0.28067524005593431</v>
      </c>
      <c r="AF3" s="5">
        <f t="shared" ref="AF3:AF17" si="5">W3-F3</f>
        <v>-5.9999998813776767E-2</v>
      </c>
      <c r="AG3" s="5">
        <f t="shared" ref="AG3:AG17" si="6">X3-G3</f>
        <v>1.717545758465675</v>
      </c>
      <c r="AH3" s="5">
        <f t="shared" ref="AH3:AH17" si="7">Y3-H3</f>
        <v>0</v>
      </c>
      <c r="AI3" s="9">
        <f>AVERAGE(ABS(AA3),ABS(AE3))</f>
        <v>0.39016042014471702</v>
      </c>
      <c r="AJ3" s="9">
        <f t="shared" ref="AJ3:AK17" si="8">AVERAGE(ABS(AB3),ABS(AF3))</f>
        <v>0.10347052906699145</v>
      </c>
      <c r="AK3" s="9">
        <f t="shared" si="8"/>
        <v>1.1267480302724109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14">
        <f>'Proximal Validation (double)'!A4</f>
        <v>0.4</v>
      </c>
      <c r="B4" s="14">
        <f>'Proximal Validation (double)'!B4</f>
        <v>0.1</v>
      </c>
      <c r="C4" s="14">
        <f>'Proximal Validation (double)'!C4</f>
        <v>1.57</v>
      </c>
      <c r="D4" s="14">
        <f>'Proximal Validation (double)'!D4</f>
        <v>1.5707963267948966</v>
      </c>
      <c r="E4" s="14">
        <f>'Proximal Validation (double)'!E4</f>
        <v>0.5</v>
      </c>
      <c r="F4" s="14">
        <f>'Proximal Validation (double)'!F4</f>
        <v>0.06</v>
      </c>
      <c r="G4" s="14">
        <f>'Proximal Validation (double)'!G4</f>
        <v>4.7119999999999997</v>
      </c>
      <c r="H4" s="14">
        <f>'Proximal Validation (double)'!H4</f>
        <v>1.5707963267948966</v>
      </c>
      <c r="I4" s="14">
        <f>'Proximal Validation (double)'!I4</f>
        <v>0.8</v>
      </c>
      <c r="J4" s="14">
        <f>'Proximal Validation (double)'!J4</f>
        <v>0</v>
      </c>
      <c r="K4" s="14">
        <f>'Proximal Validation (double)'!K4</f>
        <v>0</v>
      </c>
      <c r="L4" s="14">
        <f>'Proximal Validation (double)'!L4</f>
        <v>-7.01924553140998E-4</v>
      </c>
      <c r="M4" s="14">
        <f>'Proximal Validation (double)'!M4</f>
        <v>-1.88952703028917E-2</v>
      </c>
      <c r="N4" s="14">
        <f>'Proximal Validation (double)'!N4</f>
        <v>6.5155932679772399E-4</v>
      </c>
      <c r="O4" s="14">
        <f>'Proximal Validation (double)'!O4</f>
        <v>-3.4051635302603201E-3</v>
      </c>
      <c r="P4" s="14">
        <f>'Proximal Validation (double)'!P4</f>
        <v>7.4966698884963998E-3</v>
      </c>
      <c r="Q4" s="14">
        <f>'Proximal Validation (double)'!Q4</f>
        <v>-3.05809658020735E-2</v>
      </c>
      <c r="R4" s="14">
        <v>0.84334380262950415</v>
      </c>
      <c r="S4" s="14">
        <v>4.2128241680068498E-2</v>
      </c>
      <c r="T4" s="14">
        <v>1.6226687180787622</v>
      </c>
      <c r="U4" s="14">
        <v>1.5707963267948966</v>
      </c>
      <c r="V4" s="14">
        <v>0.87387020359936229</v>
      </c>
      <c r="W4" s="14">
        <v>2.0000021686112718E-2</v>
      </c>
      <c r="X4" s="14">
        <v>4.7711582142370732</v>
      </c>
      <c r="Y4" s="14">
        <v>1.5707963267948966</v>
      </c>
      <c r="Z4" s="15">
        <v>2.9750495653670798E-5</v>
      </c>
      <c r="AA4" s="14">
        <f t="shared" si="0"/>
        <v>0.44334380262950412</v>
      </c>
      <c r="AB4" s="14">
        <f t="shared" si="1"/>
        <v>-5.7871758319931507E-2</v>
      </c>
      <c r="AC4" s="14">
        <f t="shared" si="2"/>
        <v>5.2668718078762167E-2</v>
      </c>
      <c r="AD4" s="14">
        <f t="shared" si="3"/>
        <v>0</v>
      </c>
      <c r="AE4" s="14">
        <f t="shared" si="4"/>
        <v>0.37387020359936229</v>
      </c>
      <c r="AF4" s="14">
        <f t="shared" si="5"/>
        <v>-3.9999978313887283E-2</v>
      </c>
      <c r="AG4" s="14">
        <f t="shared" si="6"/>
        <v>5.9158214237073459E-2</v>
      </c>
      <c r="AH4" s="14">
        <f t="shared" si="7"/>
        <v>0</v>
      </c>
      <c r="AI4" s="16">
        <f t="shared" ref="AI4:AI17" si="9">AVERAGE(ABS(AA4),ABS(AE4))</f>
        <v>0.40860700311443321</v>
      </c>
      <c r="AJ4" s="16">
        <f t="shared" si="8"/>
        <v>4.8935868316909395E-2</v>
      </c>
      <c r="AK4" s="16">
        <f t="shared" si="8"/>
        <v>5.5913466157917813E-2</v>
      </c>
      <c r="AL4" s="8" cm="1">
        <f t="array" ref="AL4">AVERAGE(ABS(AA4:AA17))</f>
        <v>0.2217929121676879</v>
      </c>
      <c r="AM4" s="8" cm="1">
        <f t="array" ref="AM4">AVERAGE(ABS(AB4:AB17))</f>
        <v>3.8081391706894903E-2</v>
      </c>
      <c r="AN4" s="8" cm="1">
        <f t="array" ref="AN4">AVERAGE(ABS(AC4:AC17))</f>
        <v>0.18653800751233279</v>
      </c>
      <c r="AO4" s="8" cm="1">
        <f t="array" ref="AO4">AVERAGE(ABS(AD4:AD17))</f>
        <v>0</v>
      </c>
      <c r="AP4" s="8" cm="1">
        <f t="array" ref="AP4">AVERAGE(ABS(AE4:AE17))</f>
        <v>0.18378993192245316</v>
      </c>
      <c r="AQ4" s="8" cm="1">
        <f t="array" ref="AQ4">AVERAGE(ABS(AF4:AF17))</f>
        <v>2.9382081032715952E-2</v>
      </c>
      <c r="AR4" s="8" cm="1">
        <f t="array" ref="AR4">AVERAGE(ABS(AG4:AG17))</f>
        <v>0.70222409132022146</v>
      </c>
      <c r="AS4" s="8" cm="1">
        <f t="array" ref="AS4">AVERAGE(ABS(AH4:AH17))</f>
        <v>0</v>
      </c>
    </row>
    <row r="5" spans="1:45" x14ac:dyDescent="0.25">
      <c r="A5" s="5">
        <f>'Proximal Validation (double)'!A5</f>
        <v>0.7</v>
      </c>
      <c r="B5" s="5">
        <f>'Proximal Validation (double)'!B5</f>
        <v>0.16</v>
      </c>
      <c r="C5" s="5">
        <f>'Proximal Validation (double)'!C5</f>
        <v>1.57</v>
      </c>
      <c r="D5" s="5">
        <f>'Proximal Validation (double)'!D5</f>
        <v>1.5707963267948966</v>
      </c>
      <c r="E5" s="5">
        <f>'Proximal Validation (double)'!E5</f>
        <v>0.7</v>
      </c>
      <c r="F5" s="5">
        <f>'Proximal Validation (double)'!F5</f>
        <v>0.02</v>
      </c>
      <c r="G5" s="5">
        <f>'Proximal Validation (double)'!G5</f>
        <v>4.7119999999999997</v>
      </c>
      <c r="H5" s="5">
        <f>'Proximal Validation (double)'!H5</f>
        <v>1.5707963267948966</v>
      </c>
      <c r="I5" s="5">
        <f>'Proximal Validation (double)'!I5</f>
        <v>0</v>
      </c>
      <c r="J5" s="5">
        <f>'Proximal Validation (double)'!J5</f>
        <v>0</v>
      </c>
      <c r="K5" s="5">
        <f>'Proximal Validation (double)'!K5</f>
        <v>0</v>
      </c>
      <c r="L5" s="5">
        <f>'Proximal Validation (double)'!L5</f>
        <v>-1.1449491139501301E-3</v>
      </c>
      <c r="M5" s="5">
        <f>'Proximal Validation (double)'!M5</f>
        <v>-8.78715589642525E-2</v>
      </c>
      <c r="N5" s="5">
        <f>'Proximal Validation (double)'!N5</f>
        <v>1.2581461342051599E-3</v>
      </c>
      <c r="O5" s="5">
        <f>'Proximal Validation (double)'!O5</f>
        <v>-0.259054124355316</v>
      </c>
      <c r="P5" s="5">
        <f>'Proximal Validation (double)'!P5</f>
        <v>1.61738991737366E-2</v>
      </c>
      <c r="Q5" s="5">
        <f>'Proximal Validation (double)'!Q5</f>
        <v>-0.101423710584641</v>
      </c>
      <c r="R5" s="5">
        <v>0.73359897343064195</v>
      </c>
      <c r="S5" s="5">
        <v>0.15604988378254078</v>
      </c>
      <c r="T5" s="5">
        <v>1.5760159623132888</v>
      </c>
      <c r="U5" s="5">
        <v>1.5707963267948966</v>
      </c>
      <c r="V5" s="5">
        <v>0.76939525868909397</v>
      </c>
      <c r="W5" s="5">
        <v>2.0315189542474604E-2</v>
      </c>
      <c r="X5" s="5">
        <v>4.7379763948827796</v>
      </c>
      <c r="Y5" s="5">
        <v>1.5707963267948966</v>
      </c>
      <c r="Z5" s="12">
        <v>1.5206627919956749E-6</v>
      </c>
      <c r="AA5" s="5">
        <f t="shared" si="0"/>
        <v>3.3598973430641998E-2</v>
      </c>
      <c r="AB5" s="5">
        <f t="shared" si="1"/>
        <v>-3.9501162174592208E-3</v>
      </c>
      <c r="AC5" s="5">
        <f t="shared" si="2"/>
        <v>6.0159623132887141E-3</v>
      </c>
      <c r="AD5" s="5">
        <f t="shared" si="3"/>
        <v>0</v>
      </c>
      <c r="AE5" s="5">
        <f t="shared" si="4"/>
        <v>6.9395258689094019E-2</v>
      </c>
      <c r="AF5" s="5">
        <f t="shared" si="5"/>
        <v>3.1518954247460387E-4</v>
      </c>
      <c r="AG5" s="5">
        <f t="shared" si="6"/>
        <v>2.5976394882779807E-2</v>
      </c>
      <c r="AH5" s="5">
        <f t="shared" si="7"/>
        <v>0</v>
      </c>
      <c r="AI5" s="9">
        <f t="shared" si="9"/>
        <v>5.1497116059868009E-2</v>
      </c>
      <c r="AJ5" s="9">
        <f t="shared" si="8"/>
        <v>2.1326528799669123E-3</v>
      </c>
      <c r="AK5" s="9">
        <f t="shared" si="8"/>
        <v>1.5996178598034261E-2</v>
      </c>
      <c r="AL5" s="27" t="s">
        <v>32</v>
      </c>
      <c r="AM5" s="27"/>
      <c r="AN5" s="27"/>
      <c r="AO5" s="27"/>
      <c r="AP5" s="27"/>
      <c r="AQ5" s="27"/>
      <c r="AR5" s="27"/>
      <c r="AS5" s="27"/>
    </row>
    <row r="6" spans="1:45" x14ac:dyDescent="0.25">
      <c r="A6" s="5">
        <f>'Proximal Validation (double)'!A6</f>
        <v>0.7</v>
      </c>
      <c r="B6" s="5">
        <f>'Proximal Validation (double)'!B6</f>
        <v>0.18</v>
      </c>
      <c r="C6" s="5">
        <f>'Proximal Validation (double)'!C6</f>
        <v>2.3559999999999999</v>
      </c>
      <c r="D6" s="5">
        <f>'Proximal Validation (double)'!D6</f>
        <v>1.5707963267948966</v>
      </c>
      <c r="E6" s="5">
        <f>'Proximal Validation (double)'!E6</f>
        <v>0.8</v>
      </c>
      <c r="F6" s="5">
        <f>'Proximal Validation (double)'!F6</f>
        <v>0.06</v>
      </c>
      <c r="G6" s="5">
        <f>'Proximal Validation (double)'!G6</f>
        <v>3.1419999999999999</v>
      </c>
      <c r="H6" s="5">
        <f>'Proximal Validation (double)'!H6</f>
        <v>1.5707963267948966</v>
      </c>
      <c r="I6" s="5">
        <f>'Proximal Validation (double)'!I6</f>
        <v>0.8</v>
      </c>
      <c r="J6" s="5">
        <f>'Proximal Validation (double)'!J6</f>
        <v>0</v>
      </c>
      <c r="K6" s="5">
        <f>'Proximal Validation (double)'!K6</f>
        <v>0</v>
      </c>
      <c r="L6" s="5">
        <f>'Proximal Validation (double)'!L6</f>
        <v>6.4405519515275999E-3</v>
      </c>
      <c r="M6" s="5">
        <f>'Proximal Validation (double)'!M6</f>
        <v>-9.6120387315750094E-2</v>
      </c>
      <c r="N6" s="5">
        <f>'Proximal Validation (double)'!N6</f>
        <v>-0.213808938860893</v>
      </c>
      <c r="O6" s="5">
        <f>'Proximal Validation (double)'!O6</f>
        <v>-0.53791087865829501</v>
      </c>
      <c r="P6" s="5">
        <f>'Proximal Validation (double)'!P6</f>
        <v>-1.01066327095032</v>
      </c>
      <c r="Q6" s="5">
        <f>'Proximal Validation (double)'!Q6</f>
        <v>0.27253100275993303</v>
      </c>
      <c r="R6" s="5">
        <v>0.71808455596141008</v>
      </c>
      <c r="S6" s="5">
        <v>0.19794000361050273</v>
      </c>
      <c r="T6" s="5">
        <v>2.5637481146217147</v>
      </c>
      <c r="U6" s="5">
        <v>1.5707963267948966</v>
      </c>
      <c r="V6" s="5">
        <v>0.56483886435534625</v>
      </c>
      <c r="W6" s="5">
        <v>2.5647007841456855E-2</v>
      </c>
      <c r="X6" s="5">
        <v>3.1473893386119123</v>
      </c>
      <c r="Y6" s="5">
        <v>1.5707963267948966</v>
      </c>
      <c r="Z6" s="12">
        <v>3.713542809834808E-6</v>
      </c>
      <c r="AA6" s="5">
        <f t="shared" si="0"/>
        <v>1.808455596141012E-2</v>
      </c>
      <c r="AB6" s="5">
        <f t="shared" si="1"/>
        <v>1.7940003610502742E-2</v>
      </c>
      <c r="AC6" s="5">
        <f t="shared" si="2"/>
        <v>0.20774811462171483</v>
      </c>
      <c r="AD6" s="5">
        <f t="shared" si="3"/>
        <v>0</v>
      </c>
      <c r="AE6" s="5">
        <f t="shared" si="4"/>
        <v>-0.2351611356446538</v>
      </c>
      <c r="AF6" s="5">
        <f t="shared" si="5"/>
        <v>-3.4352992158543143E-2</v>
      </c>
      <c r="AG6" s="5">
        <f t="shared" si="6"/>
        <v>5.3893386119123754E-3</v>
      </c>
      <c r="AH6" s="5">
        <f t="shared" si="7"/>
        <v>0</v>
      </c>
      <c r="AI6" s="9">
        <f t="shared" si="9"/>
        <v>0.12662284580303196</v>
      </c>
      <c r="AJ6" s="9">
        <f t="shared" si="8"/>
        <v>2.6146497884522942E-2</v>
      </c>
      <c r="AK6" s="9">
        <f t="shared" si="8"/>
        <v>0.1065687266168136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25">
      <c r="A7" s="5">
        <f>'Proximal Validation (double)'!A7</f>
        <v>0.6</v>
      </c>
      <c r="B7" s="5">
        <f>'Proximal Validation (double)'!B7</f>
        <v>0.12</v>
      </c>
      <c r="C7" s="5">
        <f>'Proximal Validation (double)'!C7</f>
        <v>2.3559999999999999</v>
      </c>
      <c r="D7" s="5">
        <f>'Proximal Validation (double)'!D7</f>
        <v>1.5707963267948966</v>
      </c>
      <c r="E7" s="5">
        <f>'Proximal Validation (double)'!E7</f>
        <v>0.3</v>
      </c>
      <c r="F7" s="5">
        <f>'Proximal Validation (double)'!F7</f>
        <v>0.04</v>
      </c>
      <c r="G7" s="5">
        <f>'Proximal Validation (double)'!G7</f>
        <v>3.927</v>
      </c>
      <c r="H7" s="5">
        <f>'Proximal Validation (double)'!H7</f>
        <v>1.5707963267948966</v>
      </c>
      <c r="I7" s="5">
        <f>'Proximal Validation (double)'!I7</f>
        <v>0.4</v>
      </c>
      <c r="J7" s="5">
        <f>'Proximal Validation (double)'!J7</f>
        <v>0</v>
      </c>
      <c r="K7" s="5">
        <f>'Proximal Validation (double)'!K7</f>
        <v>0</v>
      </c>
      <c r="L7" s="5">
        <f>'Proximal Validation (double)'!L7</f>
        <v>-1.2948727235197999E-3</v>
      </c>
      <c r="M7" s="5">
        <f>'Proximal Validation (double)'!M7</f>
        <v>-6.0354080051183701E-2</v>
      </c>
      <c r="N7" s="5">
        <f>'Proximal Validation (double)'!N7</f>
        <v>-0.103492647409439</v>
      </c>
      <c r="O7" s="5">
        <f>'Proximal Validation (double)'!O7</f>
        <v>-0.120804071426392</v>
      </c>
      <c r="P7" s="5">
        <f>'Proximal Validation (double)'!P7</f>
        <v>-0.51357686519622803</v>
      </c>
      <c r="Q7" s="5">
        <f>'Proximal Validation (double)'!Q7</f>
        <v>0.20345818996429399</v>
      </c>
      <c r="R7" s="5">
        <v>0.23107788967051263</v>
      </c>
      <c r="S7" s="5">
        <v>0.19988905717099678</v>
      </c>
      <c r="T7" s="5">
        <v>1.2368049655145594</v>
      </c>
      <c r="U7" s="5">
        <v>1.5707963267948966</v>
      </c>
      <c r="V7" s="5">
        <v>0.59778291893374225</v>
      </c>
      <c r="W7" s="5">
        <v>0.12176972145266707</v>
      </c>
      <c r="X7" s="5">
        <v>3.1465650072096207</v>
      </c>
      <c r="Y7" s="5">
        <v>1.5707963267948966</v>
      </c>
      <c r="Z7" s="12">
        <v>4.7832563617822807E-6</v>
      </c>
      <c r="AA7" s="5">
        <f t="shared" si="0"/>
        <v>-0.36892211032948735</v>
      </c>
      <c r="AB7" s="5">
        <f t="shared" si="1"/>
        <v>7.9889057170996786E-2</v>
      </c>
      <c r="AC7" s="5">
        <f t="shared" si="2"/>
        <v>-1.1191950344854404</v>
      </c>
      <c r="AD7" s="5">
        <f t="shared" si="3"/>
        <v>0</v>
      </c>
      <c r="AE7" s="5">
        <f t="shared" si="4"/>
        <v>0.29778291893374226</v>
      </c>
      <c r="AF7" s="5">
        <f t="shared" si="5"/>
        <v>8.176972145266706E-2</v>
      </c>
      <c r="AG7" s="5">
        <f t="shared" si="6"/>
        <v>-0.78043499279037931</v>
      </c>
      <c r="AH7" s="5">
        <f t="shared" si="7"/>
        <v>0</v>
      </c>
      <c r="AI7" s="9">
        <f t="shared" si="9"/>
        <v>0.3333525146316148</v>
      </c>
      <c r="AJ7" s="9">
        <f t="shared" si="8"/>
        <v>8.0829389311831923E-2</v>
      </c>
      <c r="AK7" s="9">
        <f t="shared" si="8"/>
        <v>0.94981501363790988</v>
      </c>
      <c r="AL7" s="11">
        <f>AVERAGE(AL4,AP4)</f>
        <v>0.20279142204507053</v>
      </c>
      <c r="AM7" s="11">
        <f t="shared" ref="AM7:AN7" si="10">AVERAGE(AM4,AQ4)</f>
        <v>3.3731736369805428E-2</v>
      </c>
      <c r="AN7" s="11">
        <f t="shared" si="10"/>
        <v>0.4443810494162771</v>
      </c>
      <c r="AO7" s="8"/>
      <c r="AP7" s="8"/>
      <c r="AQ7" s="8"/>
      <c r="AR7" s="8"/>
      <c r="AS7" s="8"/>
    </row>
    <row r="8" spans="1:45" x14ac:dyDescent="0.25">
      <c r="A8" s="5">
        <f>'Proximal Validation (double)'!A8</f>
        <v>0.8</v>
      </c>
      <c r="B8" s="5">
        <f>'Proximal Validation (double)'!B8</f>
        <v>0.12</v>
      </c>
      <c r="C8" s="5">
        <f>'Proximal Validation (double)'!C8</f>
        <v>2.3559999999999999</v>
      </c>
      <c r="D8" s="5">
        <f>'Proximal Validation (double)'!D8</f>
        <v>1.5707963267948966</v>
      </c>
      <c r="E8" s="5">
        <f>'Proximal Validation (double)'!E8</f>
        <v>0.5</v>
      </c>
      <c r="F8" s="5">
        <f>'Proximal Validation (double)'!F8</f>
        <v>0.06</v>
      </c>
      <c r="G8" s="5">
        <f>'Proximal Validation (double)'!G8</f>
        <v>3.927</v>
      </c>
      <c r="H8" s="5">
        <f>'Proximal Validation (double)'!H8</f>
        <v>1.5707963267948966</v>
      </c>
      <c r="I8" s="5">
        <f>'Proximal Validation (double)'!I8</f>
        <v>0.4</v>
      </c>
      <c r="J8" s="5">
        <f>'Proximal Validation (double)'!J8</f>
        <v>0</v>
      </c>
      <c r="K8" s="5">
        <f>'Proximal Validation (double)'!K8</f>
        <v>0</v>
      </c>
      <c r="L8" s="5">
        <f>'Proximal Validation (double)'!L8</f>
        <v>-1.53041677549481E-3</v>
      </c>
      <c r="M8" s="5">
        <f>'Proximal Validation (double)'!M8</f>
        <v>-5.8196127414703397E-2</v>
      </c>
      <c r="N8" s="5">
        <f>'Proximal Validation (double)'!N8</f>
        <v>-0.16341306269168901</v>
      </c>
      <c r="O8" s="5">
        <f>'Proximal Validation (double)'!O8</f>
        <v>-0.25818380713462802</v>
      </c>
      <c r="P8" s="5">
        <f>'Proximal Validation (double)'!P8</f>
        <v>-0.79976713657379195</v>
      </c>
      <c r="Q8" s="5">
        <f>'Proximal Validation (double)'!Q8</f>
        <v>0.14228719472885101</v>
      </c>
      <c r="R8" s="5">
        <v>0.59476728724092365</v>
      </c>
      <c r="S8" s="5">
        <v>0.1691366531602953</v>
      </c>
      <c r="T8" s="5">
        <v>2.632314083560181</v>
      </c>
      <c r="U8" s="5">
        <v>1.5707963267948966</v>
      </c>
      <c r="V8" s="5">
        <v>0.34727586410577121</v>
      </c>
      <c r="W8" s="5">
        <v>2.0013010012491533E-2</v>
      </c>
      <c r="X8" s="5">
        <v>3.4946793920104242</v>
      </c>
      <c r="Y8" s="5">
        <v>1.5707963267948966</v>
      </c>
      <c r="Z8" s="12">
        <v>8.1502539417363336E-6</v>
      </c>
      <c r="AA8" s="5">
        <f t="shared" si="0"/>
        <v>-0.2052327127590764</v>
      </c>
      <c r="AB8" s="5">
        <f t="shared" si="1"/>
        <v>4.9136653160295307E-2</v>
      </c>
      <c r="AC8" s="5">
        <f t="shared" si="2"/>
        <v>0.27631408356018117</v>
      </c>
      <c r="AD8" s="5">
        <f t="shared" si="3"/>
        <v>0</v>
      </c>
      <c r="AE8" s="5">
        <f t="shared" si="4"/>
        <v>-0.15272413589422879</v>
      </c>
      <c r="AF8" s="5">
        <f t="shared" si="5"/>
        <v>-3.9986989987508464E-2</v>
      </c>
      <c r="AG8" s="5">
        <f t="shared" si="6"/>
        <v>-0.43232060798957583</v>
      </c>
      <c r="AH8" s="5">
        <f t="shared" si="7"/>
        <v>0</v>
      </c>
      <c r="AI8" s="10">
        <f t="shared" si="9"/>
        <v>0.17897842432665259</v>
      </c>
      <c r="AJ8" s="10">
        <f t="shared" si="8"/>
        <v>4.4561821573901886E-2</v>
      </c>
      <c r="AK8" s="10">
        <f t="shared" si="8"/>
        <v>0.3543173457748785</v>
      </c>
    </row>
    <row r="9" spans="1:45" x14ac:dyDescent="0.25">
      <c r="A9" s="5">
        <f>'Proximal Validation (double)'!A9</f>
        <v>0.3</v>
      </c>
      <c r="B9" s="5">
        <f>'Proximal Validation (double)'!B9</f>
        <v>0.18</v>
      </c>
      <c r="C9" s="5">
        <f>'Proximal Validation (double)'!C9</f>
        <v>3.1419999999999999</v>
      </c>
      <c r="D9" s="5">
        <f>'Proximal Validation (double)'!D9</f>
        <v>1.5707963267948966</v>
      </c>
      <c r="E9" s="5">
        <f>'Proximal Validation (double)'!E9</f>
        <v>0.4</v>
      </c>
      <c r="F9" s="5">
        <f>'Proximal Validation (double)'!F9</f>
        <v>0.04</v>
      </c>
      <c r="G9" s="5">
        <f>'Proximal Validation (double)'!G9</f>
        <v>3.927</v>
      </c>
      <c r="H9" s="5">
        <f>'Proximal Validation (double)'!H9</f>
        <v>1.5707963267948966</v>
      </c>
      <c r="I9" s="5">
        <f>'Proximal Validation (double)'!I9</f>
        <v>1.2</v>
      </c>
      <c r="J9" s="5">
        <f>'Proximal Validation (double)'!J9</f>
        <v>0</v>
      </c>
      <c r="K9" s="5">
        <f>'Proximal Validation (double)'!K9</f>
        <v>0</v>
      </c>
      <c r="L9" s="5">
        <f>'Proximal Validation (double)'!L9</f>
        <v>1.2701484374702001E-3</v>
      </c>
      <c r="M9" s="5">
        <f>'Proximal Validation (double)'!M9</f>
        <v>3.2061167061328902E-2</v>
      </c>
      <c r="N9" s="5">
        <f>'Proximal Validation (double)'!N9</f>
        <v>-8.9157111942768097E-2</v>
      </c>
      <c r="O9" s="5">
        <f>'Proximal Validation (double)'!O9</f>
        <v>-2.97270901501179E-3</v>
      </c>
      <c r="P9" s="5">
        <f>'Proximal Validation (double)'!P9</f>
        <v>-0.42995858192443798</v>
      </c>
      <c r="Q9" s="5">
        <f>'Proximal Validation (double)'!Q9</f>
        <v>-0.22458755970001201</v>
      </c>
      <c r="R9" s="5">
        <v>0.12281261759546223</v>
      </c>
      <c r="S9" s="5">
        <v>0.19999999847340635</v>
      </c>
      <c r="T9" s="5">
        <v>3.2097444231874626</v>
      </c>
      <c r="U9" s="5">
        <v>1.5707963267948966</v>
      </c>
      <c r="V9" s="5">
        <v>0.37706238955153282</v>
      </c>
      <c r="W9" s="5">
        <v>4.6797017652611288E-2</v>
      </c>
      <c r="X9" s="5">
        <v>3.7530257472073614</v>
      </c>
      <c r="Y9" s="5">
        <v>1.5707963267948966</v>
      </c>
      <c r="Z9" s="12">
        <v>2.2262014885231657E-4</v>
      </c>
      <c r="AA9" s="5">
        <f t="shared" si="0"/>
        <v>-0.17718738240453774</v>
      </c>
      <c r="AB9" s="5">
        <f t="shared" si="1"/>
        <v>1.9999998473406361E-2</v>
      </c>
      <c r="AC9" s="5">
        <f t="shared" si="2"/>
        <v>6.7744423187462655E-2</v>
      </c>
      <c r="AD9" s="5">
        <f t="shared" si="3"/>
        <v>0</v>
      </c>
      <c r="AE9" s="5">
        <f t="shared" si="4"/>
        <v>-2.2937610448467205E-2</v>
      </c>
      <c r="AF9" s="5">
        <f t="shared" si="5"/>
        <v>6.7970176526112869E-3</v>
      </c>
      <c r="AG9" s="5">
        <f t="shared" si="6"/>
        <v>-0.17397425279263867</v>
      </c>
      <c r="AH9" s="5">
        <f t="shared" si="7"/>
        <v>0</v>
      </c>
      <c r="AI9" s="9">
        <f t="shared" si="9"/>
        <v>0.10006249642650247</v>
      </c>
      <c r="AJ9" s="9">
        <f t="shared" si="8"/>
        <v>1.3398508063008824E-2</v>
      </c>
      <c r="AK9" s="9">
        <f t="shared" si="8"/>
        <v>0.12085933799005066</v>
      </c>
      <c r="AL9" s="13"/>
      <c r="AM9" s="13"/>
      <c r="AN9" s="13"/>
    </row>
    <row r="10" spans="1:45" x14ac:dyDescent="0.25">
      <c r="A10" s="5">
        <f>'Proximal Validation (double)'!A10</f>
        <v>0.5</v>
      </c>
      <c r="B10" s="5">
        <f>'Proximal Validation (double)'!B10</f>
        <v>0.2</v>
      </c>
      <c r="C10" s="5">
        <f>'Proximal Validation (double)'!C10</f>
        <v>3.1419999999999999</v>
      </c>
      <c r="D10" s="5">
        <f>'Proximal Validation (double)'!D10</f>
        <v>1.5707963267948966</v>
      </c>
      <c r="E10" s="5">
        <f>'Proximal Validation (double)'!E10</f>
        <v>0.7</v>
      </c>
      <c r="F10" s="5">
        <f>'Proximal Validation (double)'!F10</f>
        <v>0.04</v>
      </c>
      <c r="G10" s="5">
        <f>'Proximal Validation (double)'!G10</f>
        <v>3.927</v>
      </c>
      <c r="H10" s="5">
        <f>'Proximal Validation (double)'!H10</f>
        <v>1.5707963267948966</v>
      </c>
      <c r="I10" s="5">
        <f>'Proximal Validation (double)'!I10</f>
        <v>0.4</v>
      </c>
      <c r="J10" s="5">
        <f>'Proximal Validation (double)'!J10</f>
        <v>0</v>
      </c>
      <c r="K10" s="5">
        <f>'Proximal Validation (double)'!K10</f>
        <v>0</v>
      </c>
      <c r="L10" s="5">
        <f>'Proximal Validation (double)'!L10</f>
        <v>-6.7927502095699299E-4</v>
      </c>
      <c r="M10" s="5">
        <f>'Proximal Validation (double)'!M10</f>
        <v>5.69596737623215E-2</v>
      </c>
      <c r="N10" s="5">
        <f>'Proximal Validation (double)'!N10</f>
        <v>-0.177663698792458</v>
      </c>
      <c r="O10" s="5">
        <f>'Proximal Validation (double)'!O10</f>
        <v>-0.28621101379394498</v>
      </c>
      <c r="P10" s="5">
        <f>'Proximal Validation (double)'!P10</f>
        <v>-0.79048734903335605</v>
      </c>
      <c r="Q10" s="5">
        <f>'Proximal Validation (double)'!Q10</f>
        <v>-0.42087453603744501</v>
      </c>
      <c r="R10" s="5">
        <v>0.50053409155440021</v>
      </c>
      <c r="S10" s="5">
        <v>0.19458750349180745</v>
      </c>
      <c r="T10" s="5">
        <v>3.2004977409368789</v>
      </c>
      <c r="U10" s="5">
        <v>1.5707963267948966</v>
      </c>
      <c r="V10" s="5">
        <v>0.53218322061955514</v>
      </c>
      <c r="W10" s="5">
        <v>3.4852034160269954E-2</v>
      </c>
      <c r="X10" s="5">
        <v>3.9796046206361244</v>
      </c>
      <c r="Y10" s="5">
        <v>1.5707963267948966</v>
      </c>
      <c r="Z10" s="12">
        <v>2.1094863427438204E-6</v>
      </c>
      <c r="AA10" s="5">
        <f t="shared" si="0"/>
        <v>5.3409155440020673E-4</v>
      </c>
      <c r="AB10" s="5">
        <f t="shared" si="1"/>
        <v>-5.4124965081925602E-3</v>
      </c>
      <c r="AC10" s="5">
        <f t="shared" si="2"/>
        <v>5.8497740936878984E-2</v>
      </c>
      <c r="AD10" s="5">
        <f t="shared" si="3"/>
        <v>0</v>
      </c>
      <c r="AE10" s="5">
        <f t="shared" si="4"/>
        <v>-0.16781677938044481</v>
      </c>
      <c r="AF10" s="5">
        <f t="shared" si="5"/>
        <v>-5.1479658397300468E-3</v>
      </c>
      <c r="AG10" s="5">
        <f t="shared" si="6"/>
        <v>5.2604620636124366E-2</v>
      </c>
      <c r="AH10" s="5">
        <f t="shared" si="7"/>
        <v>0</v>
      </c>
      <c r="AI10" s="9">
        <f t="shared" si="9"/>
        <v>8.417543546742251E-2</v>
      </c>
      <c r="AJ10" s="9">
        <f t="shared" si="8"/>
        <v>5.2802311739613035E-3</v>
      </c>
      <c r="AK10" s="9">
        <f t="shared" si="8"/>
        <v>5.5551180786501675E-2</v>
      </c>
    </row>
    <row r="11" spans="1:45" x14ac:dyDescent="0.25">
      <c r="A11" s="5">
        <f>'Proximal Validation (double)'!A11</f>
        <v>0.4</v>
      </c>
      <c r="B11" s="5">
        <f>'Proximal Validation (double)'!B11</f>
        <v>0.14000000000000001</v>
      </c>
      <c r="C11" s="5">
        <f>'Proximal Validation (double)'!C11</f>
        <v>3.927</v>
      </c>
      <c r="D11" s="5">
        <f>'Proximal Validation (double)'!D11</f>
        <v>1.5707963267948966</v>
      </c>
      <c r="E11" s="5">
        <f>'Proximal Validation (double)'!E11</f>
        <v>0.5</v>
      </c>
      <c r="F11" s="5">
        <f>'Proximal Validation (double)'!F11</f>
        <v>0.02</v>
      </c>
      <c r="G11" s="5">
        <f>'Proximal Validation (double)'!G11</f>
        <v>3.1419999999999999</v>
      </c>
      <c r="H11" s="5">
        <f>'Proximal Validation (double)'!H11</f>
        <v>1.5707963267948966</v>
      </c>
      <c r="I11" s="5">
        <f>'Proximal Validation (double)'!I11</f>
        <v>0.8</v>
      </c>
      <c r="J11" s="5">
        <f>'Proximal Validation (double)'!J11</f>
        <v>0</v>
      </c>
      <c r="K11" s="5">
        <f>'Proximal Validation (double)'!K11</f>
        <v>0</v>
      </c>
      <c r="L11" s="5">
        <f>'Proximal Validation (double)'!L11</f>
        <v>-1.88525998964906E-3</v>
      </c>
      <c r="M11" s="5">
        <f>'Proximal Validation (double)'!M11</f>
        <v>6.2983147799968706E-2</v>
      </c>
      <c r="N11" s="5">
        <f>'Proximal Validation (double)'!N11</f>
        <v>-0.11185147613287</v>
      </c>
      <c r="O11" s="5">
        <f>'Proximal Validation (double)'!O11</f>
        <v>-3.2080601900815998E-2</v>
      </c>
      <c r="P11" s="5">
        <f>'Proximal Validation (double)'!P11</f>
        <v>-0.69933581352233898</v>
      </c>
      <c r="Q11" s="5">
        <f>'Proximal Validation (double)'!Q11</f>
        <v>-0.26614278554916398</v>
      </c>
      <c r="R11" s="5">
        <v>0.68240292571452432</v>
      </c>
      <c r="S11" s="5">
        <v>7.640063279645333E-2</v>
      </c>
      <c r="T11" s="5">
        <v>3.9492394984712211</v>
      </c>
      <c r="U11" s="5">
        <v>1.5707963267948966</v>
      </c>
      <c r="V11" s="5">
        <v>0.32149201197782379</v>
      </c>
      <c r="W11" s="5">
        <v>2.3682421876480505E-2</v>
      </c>
      <c r="X11" s="5">
        <v>2.3641188961156505</v>
      </c>
      <c r="Y11" s="5">
        <v>1.5707963267948966</v>
      </c>
      <c r="Z11" s="12">
        <v>1.3133618598456002E-4</v>
      </c>
      <c r="AA11" s="5">
        <f t="shared" si="0"/>
        <v>0.2824029257145243</v>
      </c>
      <c r="AB11" s="5">
        <f t="shared" si="1"/>
        <v>-6.3599367203546683E-2</v>
      </c>
      <c r="AC11" s="5">
        <f t="shared" si="2"/>
        <v>2.2239498471221086E-2</v>
      </c>
      <c r="AD11" s="5">
        <f t="shared" si="3"/>
        <v>0</v>
      </c>
      <c r="AE11" s="5">
        <f t="shared" si="4"/>
        <v>-0.17850798802217621</v>
      </c>
      <c r="AF11" s="5">
        <f t="shared" si="5"/>
        <v>3.6824218764805045E-3</v>
      </c>
      <c r="AG11" s="5">
        <f t="shared" si="6"/>
        <v>-0.77788110388434939</v>
      </c>
      <c r="AH11" s="5">
        <f t="shared" si="7"/>
        <v>0</v>
      </c>
      <c r="AI11" s="9">
        <f t="shared" si="9"/>
        <v>0.23045545686835026</v>
      </c>
      <c r="AJ11" s="9">
        <f t="shared" si="8"/>
        <v>3.3640894540013594E-2</v>
      </c>
      <c r="AK11" s="9">
        <f t="shared" si="8"/>
        <v>0.40006030117778524</v>
      </c>
      <c r="AL11" s="13"/>
      <c r="AM11" s="13"/>
      <c r="AN11" s="13"/>
    </row>
    <row r="12" spans="1:45" x14ac:dyDescent="0.25">
      <c r="A12" s="5">
        <f>'Proximal Validation (double)'!A12</f>
        <v>0.7</v>
      </c>
      <c r="B12" s="5">
        <f>'Proximal Validation (double)'!B12</f>
        <v>0.12</v>
      </c>
      <c r="C12" s="5">
        <f>'Proximal Validation (double)'!C12</f>
        <v>3.927</v>
      </c>
      <c r="D12" s="5">
        <f>'Proximal Validation (double)'!D12</f>
        <v>1.5707963267948966</v>
      </c>
      <c r="E12" s="5">
        <f>'Proximal Validation (double)'!E12</f>
        <v>0.7</v>
      </c>
      <c r="F12" s="5">
        <f>'Proximal Validation (double)'!F12</f>
        <v>0.08</v>
      </c>
      <c r="G12" s="5">
        <f>'Proximal Validation (double)'!G12</f>
        <v>3.927</v>
      </c>
      <c r="H12" s="5">
        <f>'Proximal Validation (double)'!H12</f>
        <v>1.5707963267948966</v>
      </c>
      <c r="I12" s="5">
        <f>'Proximal Validation (double)'!I12</f>
        <v>1.2</v>
      </c>
      <c r="J12" s="5">
        <f>'Proximal Validation (double)'!J12</f>
        <v>0</v>
      </c>
      <c r="K12" s="5">
        <f>'Proximal Validation (double)'!K12</f>
        <v>0</v>
      </c>
      <c r="L12" s="5">
        <f>'Proximal Validation (double)'!L12</f>
        <v>-3.7175370380282402E-3</v>
      </c>
      <c r="M12" s="5">
        <f>'Proximal Validation (double)'!M12</f>
        <v>0.17499575018882799</v>
      </c>
      <c r="N12" s="5">
        <f>'Proximal Validation (double)'!N12</f>
        <v>-0.20276136696338701</v>
      </c>
      <c r="O12" s="5">
        <f>'Proximal Validation (double)'!O12</f>
        <v>-0.35743337869644198</v>
      </c>
      <c r="P12" s="5">
        <f>'Proximal Validation (double)'!P12</f>
        <v>-1.01576912403107</v>
      </c>
      <c r="Q12" s="5">
        <f>'Proximal Validation (double)'!Q12</f>
        <v>-0.85049569606780995</v>
      </c>
      <c r="R12" s="5">
        <v>0.60708386291897221</v>
      </c>
      <c r="S12" s="5">
        <v>0.13750315316568468</v>
      </c>
      <c r="T12" s="5">
        <v>3.9379232854293447</v>
      </c>
      <c r="U12" s="5">
        <v>1.5707963267948966</v>
      </c>
      <c r="V12" s="5">
        <v>0.77113358577284863</v>
      </c>
      <c r="W12" s="5">
        <v>7.9383123564409214E-2</v>
      </c>
      <c r="X12" s="5">
        <v>3.7639751617892423</v>
      </c>
      <c r="Y12" s="5">
        <v>1.5707963267948966</v>
      </c>
      <c r="Z12" s="12">
        <v>4.1565535988806004E-5</v>
      </c>
      <c r="AA12" s="5">
        <f t="shared" si="0"/>
        <v>-9.291613708102775E-2</v>
      </c>
      <c r="AB12" s="5">
        <f t="shared" si="1"/>
        <v>1.7503153165684682E-2</v>
      </c>
      <c r="AC12" s="5">
        <f t="shared" si="2"/>
        <v>1.092328542934462E-2</v>
      </c>
      <c r="AD12" s="5">
        <f t="shared" si="3"/>
        <v>0</v>
      </c>
      <c r="AE12" s="5">
        <f t="shared" si="4"/>
        <v>7.1133585772848673E-2</v>
      </c>
      <c r="AF12" s="5">
        <f t="shared" si="5"/>
        <v>-6.1687643559078797E-4</v>
      </c>
      <c r="AG12" s="5">
        <f t="shared" si="6"/>
        <v>-0.16302483821075775</v>
      </c>
      <c r="AH12" s="5">
        <f t="shared" si="7"/>
        <v>0</v>
      </c>
      <c r="AI12" s="9">
        <f t="shared" si="9"/>
        <v>8.2024861426938211E-2</v>
      </c>
      <c r="AJ12" s="9">
        <f t="shared" si="8"/>
        <v>9.0600148006377348E-3</v>
      </c>
      <c r="AK12" s="9">
        <f t="shared" si="8"/>
        <v>8.6974061820051185E-2</v>
      </c>
    </row>
    <row r="13" spans="1:45" x14ac:dyDescent="0.25">
      <c r="A13" s="5">
        <f>'Proximal Validation (double)'!A13</f>
        <v>0.3</v>
      </c>
      <c r="B13" s="5">
        <f>'Proximal Validation (double)'!B13</f>
        <v>0.1</v>
      </c>
      <c r="C13" s="5">
        <f>'Proximal Validation (double)'!C13</f>
        <v>3.927</v>
      </c>
      <c r="D13" s="5">
        <f>'Proximal Validation (double)'!D13</f>
        <v>1.5707963267948966</v>
      </c>
      <c r="E13" s="5">
        <f>'Proximal Validation (double)'!E13</f>
        <v>0.8</v>
      </c>
      <c r="F13" s="5">
        <f>'Proximal Validation (double)'!F13</f>
        <v>0.04</v>
      </c>
      <c r="G13" s="5">
        <f>'Proximal Validation (double)'!G13</f>
        <v>4.7119999999999997</v>
      </c>
      <c r="H13" s="5">
        <f>'Proximal Validation (double)'!H13</f>
        <v>1.5707963267948966</v>
      </c>
      <c r="I13" s="5">
        <f>'Proximal Validation (double)'!I13</f>
        <v>0</v>
      </c>
      <c r="J13" s="5">
        <f>'Proximal Validation (double)'!J13</f>
        <v>0</v>
      </c>
      <c r="K13" s="5">
        <f>'Proximal Validation (double)'!K13</f>
        <v>0</v>
      </c>
      <c r="L13" s="5">
        <f>'Proximal Validation (double)'!L13</f>
        <v>-2.49816104769707E-4</v>
      </c>
      <c r="M13" s="5">
        <f>'Proximal Validation (double)'!M13</f>
        <v>0.14310579001903501</v>
      </c>
      <c r="N13" s="5">
        <f>'Proximal Validation (double)'!N13</f>
        <v>-4.2481523007154499E-2</v>
      </c>
      <c r="O13" s="5">
        <f>'Proximal Validation (double)'!O13</f>
        <v>-6.7212104797363295E-2</v>
      </c>
      <c r="P13" s="5">
        <f>'Proximal Validation (double)'!P13</f>
        <v>-0.226115942001343</v>
      </c>
      <c r="Q13" s="5">
        <f>'Proximal Validation (double)'!Q13</f>
        <v>-0.98430818319320701</v>
      </c>
      <c r="R13" s="5">
        <v>0.19085771656633346</v>
      </c>
      <c r="S13" s="5">
        <v>0.12671234026368119</v>
      </c>
      <c r="T13" s="5">
        <v>3.7875447723108517</v>
      </c>
      <c r="U13" s="5">
        <v>1.5707963267948966</v>
      </c>
      <c r="V13" s="5">
        <v>0.87434783156331686</v>
      </c>
      <c r="W13" s="5">
        <v>4.7542393759634878E-2</v>
      </c>
      <c r="X13" s="5">
        <v>4.6268768026842384</v>
      </c>
      <c r="Y13" s="5">
        <v>1.5707963267948966</v>
      </c>
      <c r="Z13" s="12">
        <v>2.6195280431913467E-6</v>
      </c>
      <c r="AA13" s="5">
        <f t="shared" si="0"/>
        <v>-0.10914228343366653</v>
      </c>
      <c r="AB13" s="5">
        <f t="shared" si="1"/>
        <v>2.6712340263681189E-2</v>
      </c>
      <c r="AC13" s="5">
        <f t="shared" si="2"/>
        <v>-0.13945522768914831</v>
      </c>
      <c r="AD13" s="5">
        <f t="shared" si="3"/>
        <v>0</v>
      </c>
      <c r="AE13" s="5">
        <f t="shared" si="4"/>
        <v>7.4347831563316813E-2</v>
      </c>
      <c r="AF13" s="5">
        <f t="shared" si="5"/>
        <v>7.5423937596348772E-3</v>
      </c>
      <c r="AG13" s="5">
        <f t="shared" si="6"/>
        <v>-8.5123197315761345E-2</v>
      </c>
      <c r="AH13" s="5">
        <f t="shared" si="7"/>
        <v>0</v>
      </c>
      <c r="AI13" s="9">
        <f t="shared" si="9"/>
        <v>9.1745057498491669E-2</v>
      </c>
      <c r="AJ13" s="9">
        <f t="shared" si="8"/>
        <v>1.7127367011658033E-2</v>
      </c>
      <c r="AK13" s="9">
        <f t="shared" si="8"/>
        <v>0.11228921250245483</v>
      </c>
      <c r="AL13" s="13"/>
      <c r="AM13" s="13"/>
      <c r="AN13" s="13"/>
    </row>
    <row r="14" spans="1:45" x14ac:dyDescent="0.25">
      <c r="A14" s="5">
        <f>'Proximal Validation (double)'!A14</f>
        <v>0.6</v>
      </c>
      <c r="B14" s="5">
        <f>'Proximal Validation (double)'!B14</f>
        <v>0.18</v>
      </c>
      <c r="C14" s="5">
        <f>'Proximal Validation (double)'!C14</f>
        <v>3.927</v>
      </c>
      <c r="D14" s="5">
        <f>'Proximal Validation (double)'!D14</f>
        <v>1.5707963267948966</v>
      </c>
      <c r="E14" s="5">
        <f>'Proximal Validation (double)'!E14</f>
        <v>0.4</v>
      </c>
      <c r="F14" s="5">
        <f>'Proximal Validation (double)'!F14</f>
        <v>0.08</v>
      </c>
      <c r="G14" s="5">
        <f>'Proximal Validation (double)'!G14</f>
        <v>4.7119999999999997</v>
      </c>
      <c r="H14" s="5">
        <f>'Proximal Validation (double)'!H14</f>
        <v>1.5707963267948966</v>
      </c>
      <c r="I14" s="5">
        <f>'Proximal Validation (double)'!I14</f>
        <v>0</v>
      </c>
      <c r="J14" s="5">
        <f>'Proximal Validation (double)'!J14</f>
        <v>0</v>
      </c>
      <c r="K14" s="5">
        <f>'Proximal Validation (double)'!K14</f>
        <v>0</v>
      </c>
      <c r="L14" s="5">
        <f>'Proximal Validation (double)'!L14</f>
        <v>-1.3586492277681799E-3</v>
      </c>
      <c r="M14" s="5">
        <f>'Proximal Validation (double)'!M14</f>
        <v>0.158285066485405</v>
      </c>
      <c r="N14" s="5">
        <f>'Proximal Validation (double)'!N14</f>
        <v>-0.101698912680149</v>
      </c>
      <c r="O14" s="5">
        <f>'Proximal Validation (double)'!O14</f>
        <v>-0.36798006296157798</v>
      </c>
      <c r="P14" s="5">
        <f>'Proximal Validation (double)'!P14</f>
        <v>-0.32599630951881398</v>
      </c>
      <c r="Q14" s="5">
        <f>'Proximal Validation (double)'!Q14</f>
        <v>-0.65422439575195301</v>
      </c>
      <c r="R14" s="5">
        <v>0.92724978797580537</v>
      </c>
      <c r="S14" s="5">
        <v>0.14224348481389706</v>
      </c>
      <c r="T14" s="5">
        <v>4.0351790581222238</v>
      </c>
      <c r="U14" s="5">
        <v>1.5707963267948966</v>
      </c>
      <c r="V14" s="5">
        <v>0.20404330008939983</v>
      </c>
      <c r="W14" s="5">
        <v>3.9508057304385565E-2</v>
      </c>
      <c r="X14" s="5">
        <v>1.4050467950720482E-2</v>
      </c>
      <c r="Y14" s="5">
        <v>1.5707963267948966</v>
      </c>
      <c r="Z14" s="12">
        <v>2.7712039125594086E-6</v>
      </c>
      <c r="AA14" s="5">
        <f t="shared" si="0"/>
        <v>0.3272497879758054</v>
      </c>
      <c r="AB14" s="5">
        <f t="shared" si="1"/>
        <v>-3.7756515186102929E-2</v>
      </c>
      <c r="AC14" s="5">
        <f t="shared" si="2"/>
        <v>0.10817905812222373</v>
      </c>
      <c r="AD14" s="5">
        <f t="shared" si="3"/>
        <v>0</v>
      </c>
      <c r="AE14" s="5">
        <f t="shared" si="4"/>
        <v>-0.19595669991060019</v>
      </c>
      <c r="AF14" s="5">
        <f t="shared" si="5"/>
        <v>-4.0491942695614437E-2</v>
      </c>
      <c r="AG14" s="5">
        <f t="shared" si="6"/>
        <v>-4.6979495320492797</v>
      </c>
      <c r="AH14" s="5">
        <f t="shared" si="7"/>
        <v>0</v>
      </c>
      <c r="AI14" s="9">
        <f t="shared" si="9"/>
        <v>0.26160324394320278</v>
      </c>
      <c r="AJ14" s="9">
        <f t="shared" si="8"/>
        <v>3.912422894085868E-2</v>
      </c>
      <c r="AK14" s="9">
        <f t="shared" si="8"/>
        <v>2.4030642950857519</v>
      </c>
    </row>
    <row r="15" spans="1:45" x14ac:dyDescent="0.25">
      <c r="A15" s="5">
        <f>'Proximal Validation (double)'!A15</f>
        <v>0.7</v>
      </c>
      <c r="B15" s="5">
        <f>'Proximal Validation (double)'!B15</f>
        <v>0.1</v>
      </c>
      <c r="C15" s="5">
        <f>'Proximal Validation (double)'!C15</f>
        <v>4.7119999999999997</v>
      </c>
      <c r="D15" s="5">
        <f>'Proximal Validation (double)'!D15</f>
        <v>1.5707963267948966</v>
      </c>
      <c r="E15" s="5">
        <f>'Proximal Validation (double)'!E15</f>
        <v>0.4</v>
      </c>
      <c r="F15" s="5">
        <f>'Proximal Validation (double)'!F15</f>
        <v>0.04</v>
      </c>
      <c r="G15" s="5">
        <f>'Proximal Validation (double)'!G15</f>
        <v>3.1419999999999999</v>
      </c>
      <c r="H15" s="5">
        <f>'Proximal Validation (double)'!H15</f>
        <v>1.5707963267948966</v>
      </c>
      <c r="I15" s="5">
        <f>'Proximal Validation (double)'!I15</f>
        <v>0</v>
      </c>
      <c r="J15" s="5">
        <f>'Proximal Validation (double)'!J15</f>
        <v>0</v>
      </c>
      <c r="K15" s="5">
        <f>'Proximal Validation (double)'!K15</f>
        <v>0</v>
      </c>
      <c r="L15" s="5">
        <f>'Proximal Validation (double)'!L15</f>
        <v>-1.34865380823612E-3</v>
      </c>
      <c r="M15" s="5">
        <f>'Proximal Validation (double)'!M15</f>
        <v>0.16177396476268799</v>
      </c>
      <c r="N15" s="5">
        <f>'Proximal Validation (double)'!N15</f>
        <v>-5.5058915168047E-2</v>
      </c>
      <c r="O15" s="5">
        <f>'Proximal Validation (double)'!O15</f>
        <v>-0.211184471845627</v>
      </c>
      <c r="P15" s="5">
        <f>'Proximal Validation (double)'!P15</f>
        <v>-0.41715639829635598</v>
      </c>
      <c r="Q15" s="5">
        <f>'Proximal Validation (double)'!Q15</f>
        <v>-0.82157814502716098</v>
      </c>
      <c r="R15" s="5">
        <v>0.43612903763242755</v>
      </c>
      <c r="S15" s="5">
        <v>0.18806646090563245</v>
      </c>
      <c r="T15" s="5">
        <v>4.5825621750163279</v>
      </c>
      <c r="U15" s="5">
        <v>1.5707963267948966</v>
      </c>
      <c r="V15" s="5">
        <v>0.56573840836685585</v>
      </c>
      <c r="W15" s="5">
        <v>2.0162019182155124E-2</v>
      </c>
      <c r="X15" s="5">
        <v>4.0076623093247559</v>
      </c>
      <c r="Y15" s="5">
        <v>1.5707963267948966</v>
      </c>
      <c r="Z15" s="12">
        <v>1.8934102732374367E-6</v>
      </c>
      <c r="AA15" s="5">
        <f t="shared" si="0"/>
        <v>-0.2638709623675724</v>
      </c>
      <c r="AB15" s="5">
        <f t="shared" si="1"/>
        <v>8.8066460905632443E-2</v>
      </c>
      <c r="AC15" s="5">
        <f t="shared" si="2"/>
        <v>-0.12943782498367185</v>
      </c>
      <c r="AD15" s="5">
        <f t="shared" si="3"/>
        <v>0</v>
      </c>
      <c r="AE15" s="5">
        <f t="shared" si="4"/>
        <v>0.16573840836685583</v>
      </c>
      <c r="AF15" s="5">
        <f t="shared" si="5"/>
        <v>-1.9837980817844877E-2</v>
      </c>
      <c r="AG15" s="5">
        <f t="shared" si="6"/>
        <v>0.86566230932475596</v>
      </c>
      <c r="AH15" s="5">
        <f t="shared" si="7"/>
        <v>0</v>
      </c>
      <c r="AI15" s="9">
        <f t="shared" si="9"/>
        <v>0.21480468536721412</v>
      </c>
      <c r="AJ15" s="9">
        <f t="shared" si="8"/>
        <v>5.3952220861738662E-2</v>
      </c>
      <c r="AK15" s="9">
        <f t="shared" si="8"/>
        <v>0.4975500671542139</v>
      </c>
    </row>
    <row r="16" spans="1:45" x14ac:dyDescent="0.25">
      <c r="A16" s="5">
        <f>'Proximal Validation (double)'!A16</f>
        <v>0.4</v>
      </c>
      <c r="B16" s="5">
        <f>'Proximal Validation (double)'!B16</f>
        <v>0.16</v>
      </c>
      <c r="C16" s="5">
        <f>'Proximal Validation (double)'!C16</f>
        <v>4.7119999999999997</v>
      </c>
      <c r="D16" s="5">
        <f>'Proximal Validation (double)'!D16</f>
        <v>1.5707963267948966</v>
      </c>
      <c r="E16" s="5">
        <f>'Proximal Validation (double)'!E16</f>
        <v>0.7</v>
      </c>
      <c r="F16" s="5">
        <f>'Proximal Validation (double)'!F16</f>
        <v>0.06</v>
      </c>
      <c r="G16" s="5">
        <f>'Proximal Validation (double)'!G16</f>
        <v>3.927</v>
      </c>
      <c r="H16" s="5">
        <f>'Proximal Validation (double)'!H16</f>
        <v>1.5707963267948966</v>
      </c>
      <c r="I16" s="5">
        <f>'Proximal Validation (double)'!I16</f>
        <v>0.4</v>
      </c>
      <c r="J16" s="5">
        <f>'Proximal Validation (double)'!J16</f>
        <v>0</v>
      </c>
      <c r="K16" s="5">
        <f>'Proximal Validation (double)'!K16</f>
        <v>0</v>
      </c>
      <c r="L16" s="5">
        <f>'Proximal Validation (double)'!L16</f>
        <v>-2.75324238464236E-3</v>
      </c>
      <c r="M16" s="5">
        <f>'Proximal Validation (double)'!M16</f>
        <v>0.16406512260437001</v>
      </c>
      <c r="N16" s="5">
        <f>'Proximal Validation (double)'!N16</f>
        <v>-7.10117071866989E-2</v>
      </c>
      <c r="O16" s="5">
        <f>'Proximal Validation (double)'!O16</f>
        <v>-0.184263780713081</v>
      </c>
      <c r="P16" s="5">
        <f>'Proximal Validation (double)'!P16</f>
        <v>-0.46651321649551403</v>
      </c>
      <c r="Q16" s="5">
        <f>'Proximal Validation (double)'!Q16</f>
        <v>-0.80446076393127397</v>
      </c>
      <c r="R16" s="5">
        <v>0.97677057606977313</v>
      </c>
      <c r="S16" s="5">
        <v>0.10314698321522409</v>
      </c>
      <c r="T16" s="5">
        <v>4.5947212922654428</v>
      </c>
      <c r="U16" s="5">
        <v>1.5707963267948966</v>
      </c>
      <c r="V16" s="5">
        <v>0.38475378690466172</v>
      </c>
      <c r="W16" s="5">
        <v>4.9491653748961736E-2</v>
      </c>
      <c r="X16" s="5">
        <v>2.7488569145328312</v>
      </c>
      <c r="Y16" s="5">
        <v>1.5707963267948966</v>
      </c>
      <c r="Z16" s="12">
        <v>5.5782767960934579E-6</v>
      </c>
      <c r="AA16" s="5">
        <f t="shared" si="0"/>
        <v>0.57677057606977311</v>
      </c>
      <c r="AB16" s="5">
        <f t="shared" si="1"/>
        <v>-5.6853016784775917E-2</v>
      </c>
      <c r="AC16" s="5">
        <f t="shared" si="2"/>
        <v>-0.11727870773455695</v>
      </c>
      <c r="AD16" s="5">
        <f t="shared" si="3"/>
        <v>0</v>
      </c>
      <c r="AE16" s="5">
        <f t="shared" si="4"/>
        <v>-0.31524621309533823</v>
      </c>
      <c r="AF16" s="5">
        <f t="shared" si="5"/>
        <v>-1.0508346251038261E-2</v>
      </c>
      <c r="AG16" s="5">
        <f t="shared" si="6"/>
        <v>-1.1781430854671688</v>
      </c>
      <c r="AH16" s="5">
        <f t="shared" si="7"/>
        <v>0</v>
      </c>
      <c r="AI16" s="9">
        <f t="shared" si="9"/>
        <v>0.4460083945825557</v>
      </c>
      <c r="AJ16" s="9">
        <f t="shared" si="8"/>
        <v>3.3680681517907089E-2</v>
      </c>
      <c r="AK16" s="9">
        <f t="shared" si="8"/>
        <v>0.6477108966008629</v>
      </c>
    </row>
    <row r="17" spans="1:37" x14ac:dyDescent="0.25">
      <c r="A17" s="5">
        <f>'Proximal Validation (double)'!A17</f>
        <v>0.8</v>
      </c>
      <c r="B17" s="5">
        <f>'Proximal Validation (double)'!B17</f>
        <v>0.2</v>
      </c>
      <c r="C17" s="5">
        <f>'Proximal Validation (double)'!C17</f>
        <v>4.7119999999999997</v>
      </c>
      <c r="D17" s="5">
        <f>'Proximal Validation (double)'!D17</f>
        <v>1.5707963267948966</v>
      </c>
      <c r="E17" s="5">
        <f>'Proximal Validation (double)'!E17</f>
        <v>0.3</v>
      </c>
      <c r="F17" s="5">
        <f>'Proximal Validation (double)'!F17</f>
        <v>0.02</v>
      </c>
      <c r="G17" s="5">
        <f>'Proximal Validation (double)'!G17</f>
        <v>4.7119999999999997</v>
      </c>
      <c r="H17" s="5">
        <f>'Proximal Validation (double)'!H17</f>
        <v>1.5707963267948966</v>
      </c>
      <c r="I17" s="5">
        <f>'Proximal Validation (double)'!I17</f>
        <v>0.8</v>
      </c>
      <c r="J17" s="5">
        <f>'Proximal Validation (double)'!J17</f>
        <v>0</v>
      </c>
      <c r="K17" s="5">
        <f>'Proximal Validation (double)'!K17</f>
        <v>0</v>
      </c>
      <c r="L17" s="5">
        <f>'Proximal Validation (double)'!L17</f>
        <v>-1.16670653223991E-2</v>
      </c>
      <c r="M17" s="5">
        <f>'Proximal Validation (double)'!M17</f>
        <v>0.23207890987396201</v>
      </c>
      <c r="N17" s="5">
        <f>'Proximal Validation (double)'!N17</f>
        <v>-1.73678714782E-2</v>
      </c>
      <c r="O17" s="5">
        <f>'Proximal Validation (double)'!O17</f>
        <v>-0.68982279300689697</v>
      </c>
      <c r="P17" s="5">
        <f>'Proximal Validation (double)'!P17</f>
        <v>-0.124690353870392</v>
      </c>
      <c r="Q17" s="5">
        <f>'Proximal Validation (double)'!Q17</f>
        <v>-0.78086811304092396</v>
      </c>
      <c r="R17" s="5">
        <v>0.59415553136379651</v>
      </c>
      <c r="S17" s="5">
        <v>0.19155145307367963</v>
      </c>
      <c r="T17" s="5">
        <v>5.0078344255587632</v>
      </c>
      <c r="U17" s="5">
        <v>1.5707963267948966</v>
      </c>
      <c r="V17" s="5">
        <v>0.55244027759321523</v>
      </c>
      <c r="W17" s="5">
        <v>0.14029931767439774</v>
      </c>
      <c r="X17" s="5">
        <v>4.1785052097094582</v>
      </c>
      <c r="Y17" s="5">
        <v>1.5707963267948966</v>
      </c>
      <c r="Z17" s="12">
        <v>5.3594381245624448E-5</v>
      </c>
      <c r="AA17" s="5">
        <f t="shared" si="0"/>
        <v>-0.20584446863620354</v>
      </c>
      <c r="AB17" s="5">
        <f t="shared" si="1"/>
        <v>-8.4485469263203827E-3</v>
      </c>
      <c r="AC17" s="5">
        <f t="shared" si="2"/>
        <v>0.29583442555876349</v>
      </c>
      <c r="AD17" s="5">
        <f t="shared" si="3"/>
        <v>0</v>
      </c>
      <c r="AE17" s="5">
        <f t="shared" si="4"/>
        <v>0.25244027759321525</v>
      </c>
      <c r="AF17" s="5">
        <f t="shared" si="5"/>
        <v>0.12029931767439773</v>
      </c>
      <c r="AG17" s="5">
        <f t="shared" si="6"/>
        <v>-0.53349479029054159</v>
      </c>
      <c r="AH17" s="5">
        <f t="shared" si="7"/>
        <v>0</v>
      </c>
      <c r="AI17" s="9">
        <f t="shared" si="9"/>
        <v>0.22914237311470939</v>
      </c>
      <c r="AJ17" s="9">
        <f t="shared" si="8"/>
        <v>6.4373932300359066E-2</v>
      </c>
      <c r="AK17" s="9">
        <f t="shared" si="8"/>
        <v>0.41466460792465254</v>
      </c>
    </row>
  </sheetData>
  <mergeCells count="7">
    <mergeCell ref="AL5:AS5"/>
    <mergeCell ref="A1:K1"/>
    <mergeCell ref="L1:Q1"/>
    <mergeCell ref="AA1:AH1"/>
    <mergeCell ref="AI1:AS1"/>
    <mergeCell ref="AL2:AS2"/>
    <mergeCell ref="R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D7D9-740E-4BB1-A5C5-EC42A3C8479B}">
  <dimension ref="A1:I15"/>
  <sheetViews>
    <sheetView workbookViewId="0">
      <selection sqref="A1:I15"/>
    </sheetView>
  </sheetViews>
  <sheetFormatPr defaultRowHeight="15" x14ac:dyDescent="0.25"/>
  <sheetData>
    <row r="1" spans="1:9" x14ac:dyDescent="0.25">
      <c r="A1">
        <v>-4.30593034252524E-4</v>
      </c>
      <c r="B1">
        <v>-4.2151313275098801E-2</v>
      </c>
      <c r="C1">
        <v>-5.41769191622734E-2</v>
      </c>
      <c r="D1">
        <v>-1.0742351412773099E-2</v>
      </c>
      <c r="E1">
        <v>-0.322125554084778</v>
      </c>
      <c r="F1">
        <v>0.112474009394646</v>
      </c>
      <c r="G1">
        <v>0</v>
      </c>
      <c r="H1">
        <v>0</v>
      </c>
      <c r="I1">
        <v>0</v>
      </c>
    </row>
    <row r="2" spans="1:9" x14ac:dyDescent="0.25">
      <c r="A2">
        <v>-7.01924553140998E-4</v>
      </c>
      <c r="B2">
        <v>-1.88952703028917E-2</v>
      </c>
      <c r="C2">
        <v>6.5155932679772399E-4</v>
      </c>
      <c r="D2">
        <v>-3.4051635302603201E-3</v>
      </c>
      <c r="E2">
        <v>7.4966698884963998E-3</v>
      </c>
      <c r="F2">
        <v>-3.05809658020735E-2</v>
      </c>
      <c r="G2">
        <v>0.8</v>
      </c>
      <c r="H2">
        <v>0</v>
      </c>
      <c r="I2">
        <v>0</v>
      </c>
    </row>
    <row r="3" spans="1:9" x14ac:dyDescent="0.25">
      <c r="A3">
        <v>-1.1449491139501301E-3</v>
      </c>
      <c r="B3">
        <v>-8.78715589642525E-2</v>
      </c>
      <c r="C3">
        <v>1.2581461342051599E-3</v>
      </c>
      <c r="D3">
        <v>-0.259054124355316</v>
      </c>
      <c r="E3">
        <v>1.61738991737366E-2</v>
      </c>
      <c r="F3">
        <v>-0.101423710584641</v>
      </c>
      <c r="G3">
        <v>0</v>
      </c>
      <c r="H3">
        <v>0</v>
      </c>
      <c r="I3">
        <v>0</v>
      </c>
    </row>
    <row r="4" spans="1:9" x14ac:dyDescent="0.25">
      <c r="A4">
        <v>6.4405519515275999E-3</v>
      </c>
      <c r="B4">
        <v>-9.6120387315750094E-2</v>
      </c>
      <c r="C4">
        <v>-0.213808938860893</v>
      </c>
      <c r="D4">
        <v>-0.53791087865829501</v>
      </c>
      <c r="E4">
        <v>-1.01066327095032</v>
      </c>
      <c r="F4">
        <v>0.27253100275993303</v>
      </c>
      <c r="G4">
        <v>0.8</v>
      </c>
      <c r="H4">
        <v>0</v>
      </c>
      <c r="I4">
        <v>0</v>
      </c>
    </row>
    <row r="5" spans="1:9" x14ac:dyDescent="0.25">
      <c r="A5">
        <v>-1.2948727235197999E-3</v>
      </c>
      <c r="B5">
        <v>-6.0354080051183701E-2</v>
      </c>
      <c r="C5">
        <v>-0.103492647409439</v>
      </c>
      <c r="D5">
        <v>-0.120804071426392</v>
      </c>
      <c r="E5">
        <v>-0.51357686519622803</v>
      </c>
      <c r="F5">
        <v>0.20345818996429399</v>
      </c>
      <c r="G5">
        <v>0.4</v>
      </c>
      <c r="H5">
        <v>0</v>
      </c>
      <c r="I5">
        <v>0</v>
      </c>
    </row>
    <row r="6" spans="1:9" x14ac:dyDescent="0.25">
      <c r="A6">
        <v>-1.53041677549481E-3</v>
      </c>
      <c r="B6">
        <v>-5.8196127414703397E-2</v>
      </c>
      <c r="C6">
        <v>-0.16341306269168901</v>
      </c>
      <c r="D6">
        <v>-0.25818380713462802</v>
      </c>
      <c r="E6">
        <v>-0.79976713657379195</v>
      </c>
      <c r="F6">
        <v>0.14228719472885101</v>
      </c>
      <c r="G6">
        <v>0.4</v>
      </c>
      <c r="H6">
        <v>0</v>
      </c>
      <c r="I6">
        <v>0</v>
      </c>
    </row>
    <row r="7" spans="1:9" x14ac:dyDescent="0.25">
      <c r="A7">
        <v>1.2701484374702001E-3</v>
      </c>
      <c r="B7">
        <v>3.2061167061328902E-2</v>
      </c>
      <c r="C7">
        <v>-8.9157111942768097E-2</v>
      </c>
      <c r="D7">
        <v>-2.97270901501179E-3</v>
      </c>
      <c r="E7">
        <v>-0.42995858192443798</v>
      </c>
      <c r="F7">
        <v>-0.22458755970001201</v>
      </c>
      <c r="G7">
        <v>1.2</v>
      </c>
      <c r="H7">
        <v>0</v>
      </c>
      <c r="I7">
        <v>0</v>
      </c>
    </row>
    <row r="8" spans="1:9" x14ac:dyDescent="0.25">
      <c r="A8">
        <v>-6.7927502095699299E-4</v>
      </c>
      <c r="B8">
        <v>5.69596737623215E-2</v>
      </c>
      <c r="C8">
        <v>-0.177663698792458</v>
      </c>
      <c r="D8">
        <v>-0.28621101379394498</v>
      </c>
      <c r="E8">
        <v>-0.79048734903335605</v>
      </c>
      <c r="F8">
        <v>-0.42087453603744501</v>
      </c>
      <c r="G8">
        <v>0.4</v>
      </c>
      <c r="H8">
        <v>0</v>
      </c>
      <c r="I8">
        <v>0</v>
      </c>
    </row>
    <row r="9" spans="1:9" x14ac:dyDescent="0.25">
      <c r="A9">
        <v>-1.88525998964906E-3</v>
      </c>
      <c r="B9">
        <v>6.2983147799968706E-2</v>
      </c>
      <c r="C9">
        <v>-0.11185147613287</v>
      </c>
      <c r="D9">
        <v>-3.2080601900815998E-2</v>
      </c>
      <c r="E9">
        <v>-0.69933581352233898</v>
      </c>
      <c r="F9">
        <v>-0.26614278554916398</v>
      </c>
      <c r="G9">
        <v>0.8</v>
      </c>
      <c r="H9">
        <v>0</v>
      </c>
      <c r="I9">
        <v>0</v>
      </c>
    </row>
    <row r="10" spans="1:9" x14ac:dyDescent="0.25">
      <c r="A10">
        <v>-3.7175370380282402E-3</v>
      </c>
      <c r="B10">
        <v>0.17499575018882799</v>
      </c>
      <c r="C10">
        <v>-0.20276136696338701</v>
      </c>
      <c r="D10">
        <v>-0.35743337869644198</v>
      </c>
      <c r="E10">
        <v>-1.01576912403107</v>
      </c>
      <c r="F10">
        <v>-0.85049569606780995</v>
      </c>
      <c r="G10">
        <v>1.2</v>
      </c>
      <c r="H10">
        <v>0</v>
      </c>
      <c r="I10">
        <v>0</v>
      </c>
    </row>
    <row r="11" spans="1:9" x14ac:dyDescent="0.25">
      <c r="A11">
        <v>-2.49816104769707E-4</v>
      </c>
      <c r="B11">
        <v>0.14310579001903501</v>
      </c>
      <c r="C11">
        <v>-4.2481523007154499E-2</v>
      </c>
      <c r="D11">
        <v>-6.7212104797363295E-2</v>
      </c>
      <c r="E11">
        <v>-0.226115942001343</v>
      </c>
      <c r="F11">
        <v>-0.98430818319320701</v>
      </c>
      <c r="G11">
        <v>0</v>
      </c>
      <c r="H11">
        <v>0</v>
      </c>
      <c r="I11">
        <v>0</v>
      </c>
    </row>
    <row r="12" spans="1:9" x14ac:dyDescent="0.25">
      <c r="A12">
        <v>-1.3586492277681799E-3</v>
      </c>
      <c r="B12">
        <v>0.158285066485405</v>
      </c>
      <c r="C12">
        <v>-0.101698912680149</v>
      </c>
      <c r="D12">
        <v>-0.36798006296157798</v>
      </c>
      <c r="E12">
        <v>-0.32599630951881398</v>
      </c>
      <c r="F12">
        <v>-0.65422439575195301</v>
      </c>
      <c r="G12">
        <v>0</v>
      </c>
      <c r="H12">
        <v>0</v>
      </c>
      <c r="I12">
        <v>0</v>
      </c>
    </row>
    <row r="13" spans="1:9" x14ac:dyDescent="0.25">
      <c r="A13">
        <v>-1.34865380823612E-3</v>
      </c>
      <c r="B13">
        <v>0.16177396476268799</v>
      </c>
      <c r="C13">
        <v>-5.5058915168047E-2</v>
      </c>
      <c r="D13">
        <v>-0.211184471845627</v>
      </c>
      <c r="E13">
        <v>-0.41715639829635598</v>
      </c>
      <c r="F13">
        <v>-0.82157814502716098</v>
      </c>
      <c r="G13">
        <v>0</v>
      </c>
      <c r="H13">
        <v>0</v>
      </c>
      <c r="I13">
        <v>0</v>
      </c>
    </row>
    <row r="14" spans="1:9" x14ac:dyDescent="0.25">
      <c r="A14">
        <v>-2.75324238464236E-3</v>
      </c>
      <c r="B14">
        <v>0.16406512260437001</v>
      </c>
      <c r="C14">
        <v>-7.10117071866989E-2</v>
      </c>
      <c r="D14">
        <v>-0.184263780713081</v>
      </c>
      <c r="E14">
        <v>-0.46651321649551403</v>
      </c>
      <c r="F14">
        <v>-0.80446076393127397</v>
      </c>
      <c r="G14">
        <v>0.4</v>
      </c>
      <c r="H14">
        <v>0</v>
      </c>
      <c r="I14">
        <v>0</v>
      </c>
    </row>
    <row r="15" spans="1:9" x14ac:dyDescent="0.25">
      <c r="A15">
        <v>-1.16670653223991E-2</v>
      </c>
      <c r="B15">
        <v>0.23207890987396201</v>
      </c>
      <c r="C15">
        <v>-1.73678714782E-2</v>
      </c>
      <c r="D15">
        <v>-0.68982279300689697</v>
      </c>
      <c r="E15">
        <v>-0.124690353870392</v>
      </c>
      <c r="F15">
        <v>-0.78086811304092396</v>
      </c>
      <c r="G15">
        <v>0.8</v>
      </c>
      <c r="H15">
        <v>0</v>
      </c>
      <c r="I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18"/>
  <sheetViews>
    <sheetView workbookViewId="0">
      <selection activeCell="H13" sqref="H13:M18"/>
    </sheetView>
  </sheetViews>
  <sheetFormatPr defaultRowHeight="15" x14ac:dyDescent="0.25"/>
  <sheetData>
    <row r="1" spans="1:13" ht="15.75" x14ac:dyDescent="0.25">
      <c r="A1" s="32" t="s">
        <v>21</v>
      </c>
      <c r="B1" s="33"/>
      <c r="C1" s="33"/>
      <c r="D1" s="33"/>
      <c r="E1" s="33"/>
      <c r="F1" s="34"/>
      <c r="H1" s="32" t="s">
        <v>22</v>
      </c>
      <c r="I1" s="33"/>
      <c r="J1" s="33"/>
      <c r="K1" s="33"/>
      <c r="L1" s="33"/>
      <c r="M1" s="34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0.112474009394646</v>
      </c>
      <c r="B3">
        <v>0.322125554084778</v>
      </c>
      <c r="C3">
        <v>-1.0742351412773099E-2</v>
      </c>
      <c r="D3">
        <v>-5.41769191622734E-2</v>
      </c>
      <c r="E3">
        <v>4.2151313275098801E-2</v>
      </c>
      <c r="F3" s="4">
        <v>-4.30593034252524E-4</v>
      </c>
      <c r="H3">
        <f>$F3</f>
        <v>-4.30593034252524E-4</v>
      </c>
      <c r="I3">
        <f>-1*$E3</f>
        <v>-4.2151313275098801E-2</v>
      </c>
      <c r="J3">
        <f>$D3</f>
        <v>-5.41769191622734E-2</v>
      </c>
      <c r="K3">
        <f>$C3</f>
        <v>-1.0742351412773099E-2</v>
      </c>
      <c r="L3">
        <f>-1*$B3</f>
        <v>-0.322125554084778</v>
      </c>
      <c r="M3">
        <f>$A3</f>
        <v>0.112474009394646</v>
      </c>
    </row>
    <row r="4" spans="1:13" x14ac:dyDescent="0.25">
      <c r="A4">
        <v>-3.05809658020735E-2</v>
      </c>
      <c r="B4">
        <v>-7.4966698884963998E-3</v>
      </c>
      <c r="C4">
        <v>-3.4051635302603201E-3</v>
      </c>
      <c r="D4">
        <v>6.5155932679772399E-4</v>
      </c>
      <c r="E4">
        <v>1.88952703028917E-2</v>
      </c>
      <c r="F4">
        <v>-7.01924553140998E-4</v>
      </c>
      <c r="H4">
        <f t="shared" ref="H4:H18" si="0">$F4</f>
        <v>-7.01924553140998E-4</v>
      </c>
      <c r="I4">
        <f t="shared" ref="I4:I18" si="1">-1*$E4</f>
        <v>-1.88952703028917E-2</v>
      </c>
      <c r="J4">
        <f t="shared" ref="J4:J18" si="2">$D4</f>
        <v>6.5155932679772399E-4</v>
      </c>
      <c r="K4">
        <f t="shared" ref="K4:K18" si="3">$C4</f>
        <v>-3.4051635302603201E-3</v>
      </c>
      <c r="L4">
        <f t="shared" ref="L4:L18" si="4">-1*$B4</f>
        <v>7.4966698884963998E-3</v>
      </c>
      <c r="M4">
        <f t="shared" ref="M4:M18" si="5">$A4</f>
        <v>-3.05809658020735E-2</v>
      </c>
    </row>
    <row r="5" spans="1:13" x14ac:dyDescent="0.25">
      <c r="A5">
        <v>-0.101423710584641</v>
      </c>
      <c r="B5">
        <v>-1.61738991737366E-2</v>
      </c>
      <c r="C5">
        <v>-0.259054124355316</v>
      </c>
      <c r="D5">
        <v>1.2581461342051599E-3</v>
      </c>
      <c r="E5">
        <v>8.78715589642525E-2</v>
      </c>
      <c r="F5">
        <v>-1.1449491139501301E-3</v>
      </c>
      <c r="H5">
        <f t="shared" si="0"/>
        <v>-1.1449491139501301E-3</v>
      </c>
      <c r="I5">
        <f t="shared" si="1"/>
        <v>-8.78715589642525E-2</v>
      </c>
      <c r="J5">
        <f t="shared" si="2"/>
        <v>1.2581461342051599E-3</v>
      </c>
      <c r="K5">
        <f t="shared" si="3"/>
        <v>-0.259054124355316</v>
      </c>
      <c r="L5">
        <f t="shared" si="4"/>
        <v>1.61738991737366E-2</v>
      </c>
      <c r="M5">
        <f t="shared" si="5"/>
        <v>-0.101423710584641</v>
      </c>
    </row>
    <row r="6" spans="1:13" x14ac:dyDescent="0.25">
      <c r="A6">
        <v>0.27253100275993303</v>
      </c>
      <c r="B6">
        <v>1.01066327095032</v>
      </c>
      <c r="C6">
        <v>-0.53791087865829501</v>
      </c>
      <c r="D6">
        <v>-0.213808938860893</v>
      </c>
      <c r="E6">
        <v>9.6120387315750094E-2</v>
      </c>
      <c r="F6">
        <v>6.4405519515275999E-3</v>
      </c>
      <c r="H6">
        <f t="shared" si="0"/>
        <v>6.4405519515275999E-3</v>
      </c>
      <c r="I6">
        <f t="shared" si="1"/>
        <v>-9.6120387315750094E-2</v>
      </c>
      <c r="J6">
        <f t="shared" si="2"/>
        <v>-0.213808938860893</v>
      </c>
      <c r="K6">
        <f t="shared" si="3"/>
        <v>-0.53791087865829501</v>
      </c>
      <c r="L6">
        <f t="shared" si="4"/>
        <v>-1.01066327095032</v>
      </c>
      <c r="M6">
        <f t="shared" si="5"/>
        <v>0.27253100275993303</v>
      </c>
    </row>
    <row r="7" spans="1:13" x14ac:dyDescent="0.25">
      <c r="A7">
        <v>0.20345818996429399</v>
      </c>
      <c r="B7">
        <v>0.51357686519622803</v>
      </c>
      <c r="C7">
        <v>-0.120804071426392</v>
      </c>
      <c r="D7">
        <v>-0.103492647409439</v>
      </c>
      <c r="E7">
        <v>6.0354080051183701E-2</v>
      </c>
      <c r="F7">
        <v>-1.2948727235197999E-3</v>
      </c>
      <c r="H7">
        <f t="shared" si="0"/>
        <v>-1.2948727235197999E-3</v>
      </c>
      <c r="I7">
        <f t="shared" si="1"/>
        <v>-6.0354080051183701E-2</v>
      </c>
      <c r="J7">
        <f t="shared" si="2"/>
        <v>-0.103492647409439</v>
      </c>
      <c r="K7">
        <f t="shared" si="3"/>
        <v>-0.120804071426392</v>
      </c>
      <c r="L7">
        <f t="shared" si="4"/>
        <v>-0.51357686519622803</v>
      </c>
      <c r="M7">
        <f t="shared" si="5"/>
        <v>0.20345818996429399</v>
      </c>
    </row>
    <row r="8" spans="1:13" x14ac:dyDescent="0.25">
      <c r="A8">
        <v>0.14228719472885101</v>
      </c>
      <c r="B8">
        <v>0.79976713657379195</v>
      </c>
      <c r="C8">
        <v>-0.25818380713462802</v>
      </c>
      <c r="D8">
        <v>-0.16341306269168901</v>
      </c>
      <c r="E8">
        <v>5.8196127414703397E-2</v>
      </c>
      <c r="F8">
        <v>-1.53041677549481E-3</v>
      </c>
      <c r="H8">
        <f t="shared" si="0"/>
        <v>-1.53041677549481E-3</v>
      </c>
      <c r="I8">
        <f t="shared" si="1"/>
        <v>-5.8196127414703397E-2</v>
      </c>
      <c r="J8">
        <f t="shared" si="2"/>
        <v>-0.16341306269168901</v>
      </c>
      <c r="K8">
        <f t="shared" si="3"/>
        <v>-0.25818380713462802</v>
      </c>
      <c r="L8">
        <f t="shared" si="4"/>
        <v>-0.79976713657379195</v>
      </c>
      <c r="M8">
        <f t="shared" si="5"/>
        <v>0.14228719472885101</v>
      </c>
    </row>
    <row r="9" spans="1:13" x14ac:dyDescent="0.25">
      <c r="A9">
        <v>-0.22458755970001201</v>
      </c>
      <c r="B9">
        <v>0.42995858192443798</v>
      </c>
      <c r="C9">
        <v>-2.97270901501179E-3</v>
      </c>
      <c r="D9">
        <v>-8.9157111942768097E-2</v>
      </c>
      <c r="E9">
        <v>-3.2061167061328902E-2</v>
      </c>
      <c r="F9">
        <v>1.2701484374702001E-3</v>
      </c>
      <c r="H9">
        <f t="shared" si="0"/>
        <v>1.2701484374702001E-3</v>
      </c>
      <c r="I9">
        <f t="shared" si="1"/>
        <v>3.2061167061328902E-2</v>
      </c>
      <c r="J9">
        <f t="shared" si="2"/>
        <v>-8.9157111942768097E-2</v>
      </c>
      <c r="K9">
        <f t="shared" si="3"/>
        <v>-2.97270901501179E-3</v>
      </c>
      <c r="L9">
        <f t="shared" si="4"/>
        <v>-0.42995858192443798</v>
      </c>
      <c r="M9">
        <f t="shared" si="5"/>
        <v>-0.22458755970001201</v>
      </c>
    </row>
    <row r="10" spans="1:13" x14ac:dyDescent="0.25">
      <c r="A10">
        <v>-0.42087453603744501</v>
      </c>
      <c r="B10">
        <v>0.79048734903335605</v>
      </c>
      <c r="C10">
        <v>-0.28621101379394498</v>
      </c>
      <c r="D10">
        <v>-0.177663698792458</v>
      </c>
      <c r="E10">
        <v>-5.69596737623215E-2</v>
      </c>
      <c r="F10">
        <v>-6.7927502095699299E-4</v>
      </c>
      <c r="H10">
        <f t="shared" si="0"/>
        <v>-6.7927502095699299E-4</v>
      </c>
      <c r="I10">
        <f t="shared" si="1"/>
        <v>5.69596737623215E-2</v>
      </c>
      <c r="J10">
        <f t="shared" si="2"/>
        <v>-0.177663698792458</v>
      </c>
      <c r="K10">
        <f t="shared" si="3"/>
        <v>-0.28621101379394498</v>
      </c>
      <c r="L10">
        <f t="shared" si="4"/>
        <v>-0.79048734903335605</v>
      </c>
      <c r="M10">
        <f t="shared" si="5"/>
        <v>-0.42087453603744501</v>
      </c>
    </row>
    <row r="11" spans="1:13" x14ac:dyDescent="0.25">
      <c r="A11">
        <v>-0.26614278554916398</v>
      </c>
      <c r="B11">
        <v>0.69933581352233898</v>
      </c>
      <c r="C11">
        <v>-3.2080601900815998E-2</v>
      </c>
      <c r="D11">
        <v>-0.11185147613287</v>
      </c>
      <c r="E11">
        <v>-6.2983147799968706E-2</v>
      </c>
      <c r="F11">
        <v>-1.88525998964906E-3</v>
      </c>
      <c r="H11">
        <f t="shared" si="0"/>
        <v>-1.88525998964906E-3</v>
      </c>
      <c r="I11">
        <f t="shared" si="1"/>
        <v>6.2983147799968706E-2</v>
      </c>
      <c r="J11">
        <f t="shared" si="2"/>
        <v>-0.11185147613287</v>
      </c>
      <c r="K11">
        <f t="shared" si="3"/>
        <v>-3.2080601900815998E-2</v>
      </c>
      <c r="L11">
        <f t="shared" si="4"/>
        <v>-0.69933581352233898</v>
      </c>
      <c r="M11">
        <f t="shared" si="5"/>
        <v>-0.26614278554916398</v>
      </c>
    </row>
    <row r="12" spans="1:13" x14ac:dyDescent="0.25">
      <c r="A12">
        <v>-0.85049569606780995</v>
      </c>
      <c r="B12">
        <v>1.01576912403107</v>
      </c>
      <c r="C12">
        <v>-0.35743337869644198</v>
      </c>
      <c r="D12">
        <v>-0.20276136696338701</v>
      </c>
      <c r="E12">
        <v>-0.17499575018882799</v>
      </c>
      <c r="F12">
        <v>-3.7175370380282402E-3</v>
      </c>
      <c r="H12">
        <f t="shared" si="0"/>
        <v>-3.7175370380282402E-3</v>
      </c>
      <c r="I12">
        <f t="shared" si="1"/>
        <v>0.17499575018882799</v>
      </c>
      <c r="J12">
        <f t="shared" si="2"/>
        <v>-0.20276136696338701</v>
      </c>
      <c r="K12">
        <f t="shared" si="3"/>
        <v>-0.35743337869644198</v>
      </c>
      <c r="L12">
        <f t="shared" si="4"/>
        <v>-1.01576912403107</v>
      </c>
      <c r="M12">
        <f t="shared" si="5"/>
        <v>-0.85049569606780995</v>
      </c>
    </row>
    <row r="13" spans="1:13" x14ac:dyDescent="0.25">
      <c r="A13">
        <v>-0.98430818319320701</v>
      </c>
      <c r="B13">
        <v>0.226115942001343</v>
      </c>
      <c r="C13">
        <v>-6.7212104797363295E-2</v>
      </c>
      <c r="D13">
        <v>-4.2481523007154499E-2</v>
      </c>
      <c r="E13">
        <v>-0.14310579001903501</v>
      </c>
      <c r="F13">
        <v>-2.49816104769707E-4</v>
      </c>
      <c r="H13">
        <f t="shared" si="0"/>
        <v>-2.49816104769707E-4</v>
      </c>
      <c r="I13">
        <f t="shared" si="1"/>
        <v>0.14310579001903501</v>
      </c>
      <c r="J13">
        <f t="shared" si="2"/>
        <v>-4.2481523007154499E-2</v>
      </c>
      <c r="K13">
        <f t="shared" si="3"/>
        <v>-6.7212104797363295E-2</v>
      </c>
      <c r="L13">
        <f t="shared" si="4"/>
        <v>-0.226115942001343</v>
      </c>
      <c r="M13">
        <f t="shared" si="5"/>
        <v>-0.98430818319320701</v>
      </c>
    </row>
    <row r="14" spans="1:13" x14ac:dyDescent="0.25">
      <c r="A14">
        <v>-0.62923872470855702</v>
      </c>
      <c r="B14">
        <v>0.324603050947189</v>
      </c>
      <c r="C14">
        <v>-0.36363893747329701</v>
      </c>
      <c r="D14">
        <v>-0.101532608270645</v>
      </c>
      <c r="E14">
        <v>-0.15416342020034801</v>
      </c>
      <c r="F14">
        <v>-1.39191001653671E-3</v>
      </c>
      <c r="H14">
        <f t="shared" si="0"/>
        <v>-1.39191001653671E-3</v>
      </c>
      <c r="I14">
        <f t="shared" si="1"/>
        <v>0.15416342020034801</v>
      </c>
      <c r="J14">
        <f t="shared" si="2"/>
        <v>-0.101532608270645</v>
      </c>
      <c r="K14">
        <f t="shared" si="3"/>
        <v>-0.36363893747329701</v>
      </c>
      <c r="L14">
        <f t="shared" si="4"/>
        <v>-0.324603050947189</v>
      </c>
      <c r="M14">
        <f t="shared" si="5"/>
        <v>-0.62923872470855702</v>
      </c>
    </row>
    <row r="15" spans="1:13" x14ac:dyDescent="0.25">
      <c r="A15">
        <v>-0.65422439575195301</v>
      </c>
      <c r="B15">
        <v>0.32599630951881398</v>
      </c>
      <c r="C15">
        <v>-0.36798006296157798</v>
      </c>
      <c r="D15">
        <v>-0.101698912680149</v>
      </c>
      <c r="E15">
        <v>-0.158285066485405</v>
      </c>
      <c r="F15">
        <v>-1.3586492277681799E-3</v>
      </c>
      <c r="H15">
        <f t="shared" si="0"/>
        <v>-1.3586492277681799E-3</v>
      </c>
      <c r="I15">
        <f t="shared" si="1"/>
        <v>0.158285066485405</v>
      </c>
      <c r="J15">
        <f t="shared" si="2"/>
        <v>-0.101698912680149</v>
      </c>
      <c r="K15">
        <f t="shared" si="3"/>
        <v>-0.36798006296157798</v>
      </c>
      <c r="L15">
        <f t="shared" si="4"/>
        <v>-0.32599630951881398</v>
      </c>
      <c r="M15">
        <f t="shared" si="5"/>
        <v>-0.65422439575195301</v>
      </c>
    </row>
    <row r="16" spans="1:13" x14ac:dyDescent="0.25">
      <c r="A16">
        <v>-0.82157814502716098</v>
      </c>
      <c r="B16">
        <v>0.41715639829635598</v>
      </c>
      <c r="C16">
        <v>-0.211184471845627</v>
      </c>
      <c r="D16">
        <v>-5.5058915168047E-2</v>
      </c>
      <c r="E16">
        <v>-0.16177396476268799</v>
      </c>
      <c r="F16">
        <v>-1.34865380823612E-3</v>
      </c>
      <c r="H16">
        <f t="shared" si="0"/>
        <v>-1.34865380823612E-3</v>
      </c>
      <c r="I16">
        <f t="shared" si="1"/>
        <v>0.16177396476268799</v>
      </c>
      <c r="J16">
        <f t="shared" si="2"/>
        <v>-5.5058915168047E-2</v>
      </c>
      <c r="K16">
        <f t="shared" si="3"/>
        <v>-0.211184471845627</v>
      </c>
      <c r="L16">
        <f t="shared" si="4"/>
        <v>-0.41715639829635598</v>
      </c>
      <c r="M16">
        <f t="shared" si="5"/>
        <v>-0.82157814502716098</v>
      </c>
    </row>
    <row r="17" spans="1:13" x14ac:dyDescent="0.25">
      <c r="A17">
        <v>-0.80446076393127397</v>
      </c>
      <c r="B17">
        <v>0.46651321649551403</v>
      </c>
      <c r="C17">
        <v>-0.184263780713081</v>
      </c>
      <c r="D17">
        <v>-7.10117071866989E-2</v>
      </c>
      <c r="E17">
        <v>-0.16406512260437001</v>
      </c>
      <c r="F17">
        <v>-2.75324238464236E-3</v>
      </c>
      <c r="H17">
        <f t="shared" si="0"/>
        <v>-2.75324238464236E-3</v>
      </c>
      <c r="I17">
        <f t="shared" si="1"/>
        <v>0.16406512260437001</v>
      </c>
      <c r="J17">
        <f t="shared" si="2"/>
        <v>-7.10117071866989E-2</v>
      </c>
      <c r="K17">
        <f t="shared" si="3"/>
        <v>-0.184263780713081</v>
      </c>
      <c r="L17">
        <f t="shared" si="4"/>
        <v>-0.46651321649551403</v>
      </c>
      <c r="M17">
        <f t="shared" si="5"/>
        <v>-0.80446076393127397</v>
      </c>
    </row>
    <row r="18" spans="1:13" x14ac:dyDescent="0.25">
      <c r="A18">
        <v>-0.78086811304092396</v>
      </c>
      <c r="B18">
        <v>0.124690353870392</v>
      </c>
      <c r="C18">
        <v>-0.68982279300689697</v>
      </c>
      <c r="D18">
        <v>-1.73678714782E-2</v>
      </c>
      <c r="E18">
        <v>-0.23207890987396201</v>
      </c>
      <c r="F18">
        <v>-1.16670653223991E-2</v>
      </c>
      <c r="H18">
        <f t="shared" si="0"/>
        <v>-1.16670653223991E-2</v>
      </c>
      <c r="I18">
        <f t="shared" si="1"/>
        <v>0.23207890987396201</v>
      </c>
      <c r="J18">
        <f t="shared" si="2"/>
        <v>-1.73678714782E-2</v>
      </c>
      <c r="K18">
        <f t="shared" si="3"/>
        <v>-0.68982279300689697</v>
      </c>
      <c r="L18">
        <f t="shared" si="4"/>
        <v>-0.124690353870392</v>
      </c>
      <c r="M18">
        <f t="shared" si="5"/>
        <v>-0.78086811304092396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 (double)</vt:lpstr>
      <vt:lpstr>Distal Validati (double)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2025-10-08T08:03:43Z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