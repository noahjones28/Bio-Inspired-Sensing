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SoRoSim Robots/my_robot(2.00to1.25)(3tendon)/10-09-2025/"/>
    </mc:Choice>
  </mc:AlternateContent>
  <xr:revisionPtr revIDLastSave="1987" documentId="8_{DFFD6B0C-681F-42C8-B2E4-5D4B90AAE966}" xr6:coauthVersionLast="47" xr6:coauthVersionMax="47" xr10:uidLastSave="{4281DC6E-EFA6-4C7D-A5B5-B12B975F6A1E}"/>
  <bookViews>
    <workbookView xWindow="-110" yWindow="-110" windowWidth="19420" windowHeight="10300" firstSheet="2" activeTab="3" xr2:uid="{3D16C37F-3C74-4527-A308-796C339DFE9F}"/>
  </bookViews>
  <sheets>
    <sheet name="Proximal Validation (single)" sheetId="8" r:id="rId1"/>
    <sheet name="Distal Validation (single)" sheetId="9" r:id="rId2"/>
    <sheet name="Distal Vali (0.2 prop noise)" sheetId="12" r:id="rId3"/>
    <sheet name="Distal Vali (add noise)" sheetId="14" r:id="rId4"/>
    <sheet name="Conversion" sheetId="4" r:id="rId5"/>
    <sheet name="Sheet1" sheetId="1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7" i="14" l="1"/>
  <c r="M17" i="14"/>
  <c r="L17" i="14"/>
  <c r="K17" i="14"/>
  <c r="J17" i="14"/>
  <c r="I17" i="14"/>
  <c r="H17" i="14"/>
  <c r="G17" i="14"/>
  <c r="F17" i="14"/>
  <c r="E17" i="14"/>
  <c r="D17" i="14"/>
  <c r="V17" i="14" s="1"/>
  <c r="C17" i="14"/>
  <c r="B17" i="14"/>
  <c r="T17" i="14" s="1"/>
  <c r="A17" i="14"/>
  <c r="S17" i="14" s="1"/>
  <c r="M16" i="14"/>
  <c r="L16" i="14"/>
  <c r="K16" i="14"/>
  <c r="J16" i="14"/>
  <c r="I16" i="14"/>
  <c r="H16" i="14"/>
  <c r="G16" i="14"/>
  <c r="F16" i="14"/>
  <c r="E16" i="14"/>
  <c r="D16" i="14"/>
  <c r="V16" i="14" s="1"/>
  <c r="C16" i="14"/>
  <c r="U16" i="14" s="1"/>
  <c r="B16" i="14"/>
  <c r="T16" i="14" s="1"/>
  <c r="A16" i="14"/>
  <c r="S16" i="14" s="1"/>
  <c r="S15" i="14"/>
  <c r="M15" i="14"/>
  <c r="L15" i="14"/>
  <c r="K15" i="14"/>
  <c r="J15" i="14"/>
  <c r="I15" i="14"/>
  <c r="H15" i="14"/>
  <c r="G15" i="14"/>
  <c r="F15" i="14"/>
  <c r="E15" i="14"/>
  <c r="D15" i="14"/>
  <c r="V15" i="14" s="1"/>
  <c r="C15" i="14"/>
  <c r="U15" i="14" s="1"/>
  <c r="B15" i="14"/>
  <c r="T15" i="14" s="1"/>
  <c r="A15" i="14"/>
  <c r="M14" i="14"/>
  <c r="L14" i="14"/>
  <c r="K14" i="14"/>
  <c r="J14" i="14"/>
  <c r="I14" i="14"/>
  <c r="H14" i="14"/>
  <c r="G14" i="14"/>
  <c r="F14" i="14"/>
  <c r="E14" i="14"/>
  <c r="D14" i="14"/>
  <c r="V14" i="14" s="1"/>
  <c r="C14" i="14"/>
  <c r="U14" i="14" s="1"/>
  <c r="B14" i="14"/>
  <c r="T14" i="14" s="1"/>
  <c r="A14" i="14"/>
  <c r="S14" i="14" s="1"/>
  <c r="M13" i="14"/>
  <c r="L13" i="14"/>
  <c r="K13" i="14"/>
  <c r="J13" i="14"/>
  <c r="I13" i="14"/>
  <c r="H13" i="14"/>
  <c r="G13" i="14"/>
  <c r="F13" i="14"/>
  <c r="E13" i="14"/>
  <c r="D13" i="14"/>
  <c r="V13" i="14" s="1"/>
  <c r="C13" i="14"/>
  <c r="U13" i="14" s="1"/>
  <c r="B13" i="14"/>
  <c r="T13" i="14" s="1"/>
  <c r="A13" i="14"/>
  <c r="S13" i="14" s="1"/>
  <c r="V12" i="14"/>
  <c r="M12" i="14"/>
  <c r="L12" i="14"/>
  <c r="K12" i="14"/>
  <c r="J12" i="14"/>
  <c r="I12" i="14"/>
  <c r="H12" i="14"/>
  <c r="G12" i="14"/>
  <c r="F12" i="14"/>
  <c r="E12" i="14"/>
  <c r="D12" i="14"/>
  <c r="C12" i="14"/>
  <c r="U12" i="14" s="1"/>
  <c r="B12" i="14"/>
  <c r="T12" i="14" s="1"/>
  <c r="A12" i="14"/>
  <c r="S12" i="14" s="1"/>
  <c r="M11" i="14"/>
  <c r="L11" i="14"/>
  <c r="K11" i="14"/>
  <c r="J11" i="14"/>
  <c r="I11" i="14"/>
  <c r="H11" i="14"/>
  <c r="G11" i="14"/>
  <c r="F11" i="14"/>
  <c r="E11" i="14"/>
  <c r="D11" i="14"/>
  <c r="V11" i="14" s="1"/>
  <c r="C11" i="14"/>
  <c r="U11" i="14" s="1"/>
  <c r="B11" i="14"/>
  <c r="T11" i="14" s="1"/>
  <c r="A11" i="14"/>
  <c r="S11" i="14" s="1"/>
  <c r="T10" i="14"/>
  <c r="M10" i="14"/>
  <c r="L10" i="14"/>
  <c r="K10" i="14"/>
  <c r="J10" i="14"/>
  <c r="I10" i="14"/>
  <c r="H10" i="14"/>
  <c r="G10" i="14"/>
  <c r="F10" i="14"/>
  <c r="E10" i="14"/>
  <c r="D10" i="14"/>
  <c r="V10" i="14" s="1"/>
  <c r="C10" i="14"/>
  <c r="U10" i="14" s="1"/>
  <c r="B10" i="14"/>
  <c r="A10" i="14"/>
  <c r="S10" i="14" s="1"/>
  <c r="M9" i="14"/>
  <c r="L9" i="14"/>
  <c r="K9" i="14"/>
  <c r="J9" i="14"/>
  <c r="I9" i="14"/>
  <c r="H9" i="14"/>
  <c r="G9" i="14"/>
  <c r="F9" i="14"/>
  <c r="E9" i="14"/>
  <c r="D9" i="14"/>
  <c r="V9" i="14" s="1"/>
  <c r="C9" i="14"/>
  <c r="U9" i="14" s="1"/>
  <c r="B9" i="14"/>
  <c r="T9" i="14" s="1"/>
  <c r="A9" i="14"/>
  <c r="S9" i="14" s="1"/>
  <c r="M8" i="14"/>
  <c r="L8" i="14"/>
  <c r="K8" i="14"/>
  <c r="J8" i="14"/>
  <c r="I8" i="14"/>
  <c r="H8" i="14"/>
  <c r="G8" i="14"/>
  <c r="F8" i="14"/>
  <c r="E8" i="14"/>
  <c r="D8" i="14"/>
  <c r="V8" i="14" s="1"/>
  <c r="C8" i="14"/>
  <c r="U8" i="14" s="1"/>
  <c r="B8" i="14"/>
  <c r="T8" i="14" s="1"/>
  <c r="A8" i="14"/>
  <c r="S8" i="14" s="1"/>
  <c r="M7" i="14"/>
  <c r="L7" i="14"/>
  <c r="K7" i="14"/>
  <c r="J7" i="14"/>
  <c r="I7" i="14"/>
  <c r="H7" i="14"/>
  <c r="G7" i="14"/>
  <c r="F7" i="14"/>
  <c r="E7" i="14"/>
  <c r="D7" i="14"/>
  <c r="V7" i="14" s="1"/>
  <c r="C7" i="14"/>
  <c r="U7" i="14" s="1"/>
  <c r="B7" i="14"/>
  <c r="T7" i="14" s="1"/>
  <c r="A7" i="14"/>
  <c r="S7" i="14" s="1"/>
  <c r="M6" i="14"/>
  <c r="L6" i="14"/>
  <c r="K6" i="14"/>
  <c r="J6" i="14"/>
  <c r="I6" i="14"/>
  <c r="H6" i="14"/>
  <c r="G6" i="14"/>
  <c r="F6" i="14"/>
  <c r="E6" i="14"/>
  <c r="D6" i="14"/>
  <c r="V6" i="14" s="1"/>
  <c r="C6" i="14"/>
  <c r="U6" i="14" s="1"/>
  <c r="B6" i="14"/>
  <c r="T6" i="14" s="1"/>
  <c r="A6" i="14"/>
  <c r="S6" i="14" s="1"/>
  <c r="U5" i="14"/>
  <c r="M5" i="14"/>
  <c r="L5" i="14"/>
  <c r="K5" i="14"/>
  <c r="J5" i="14"/>
  <c r="I5" i="14"/>
  <c r="H5" i="14"/>
  <c r="G5" i="14"/>
  <c r="F5" i="14"/>
  <c r="E5" i="14"/>
  <c r="D5" i="14"/>
  <c r="V5" i="14" s="1"/>
  <c r="C5" i="14"/>
  <c r="B5" i="14"/>
  <c r="T5" i="14" s="1"/>
  <c r="A5" i="14"/>
  <c r="S5" i="14" s="1"/>
  <c r="M4" i="14"/>
  <c r="L4" i="14"/>
  <c r="K4" i="14"/>
  <c r="J4" i="14"/>
  <c r="I4" i="14"/>
  <c r="H4" i="14"/>
  <c r="G4" i="14"/>
  <c r="F4" i="14"/>
  <c r="E4" i="14"/>
  <c r="D4" i="14"/>
  <c r="V4" i="14" s="1"/>
  <c r="C4" i="14"/>
  <c r="U4" i="14" s="1"/>
  <c r="B4" i="14"/>
  <c r="T4" i="14" s="1"/>
  <c r="A4" i="14"/>
  <c r="S4" i="14" s="1"/>
  <c r="M3" i="14"/>
  <c r="L3" i="14"/>
  <c r="K3" i="14"/>
  <c r="J3" i="14"/>
  <c r="I3" i="14"/>
  <c r="H3" i="14"/>
  <c r="G3" i="14"/>
  <c r="F3" i="14"/>
  <c r="E3" i="14"/>
  <c r="D3" i="14"/>
  <c r="V3" i="14" s="1"/>
  <c r="C3" i="14"/>
  <c r="U3" i="14" s="1"/>
  <c r="B3" i="14"/>
  <c r="T3" i="14" s="1"/>
  <c r="A3" i="14"/>
  <c r="S3" i="14" s="1"/>
  <c r="W3" i="14" l="1"/>
  <c r="X3" i="14"/>
  <c r="Y3" i="14"/>
  <c r="Y4" i="14" s="1"/>
  <c r="Z3" i="14"/>
  <c r="Z4" i="14" s="1"/>
  <c r="T17" i="12" l="1"/>
  <c r="S17" i="12"/>
  <c r="M17" i="12"/>
  <c r="L17" i="12"/>
  <c r="K17" i="12"/>
  <c r="J17" i="12"/>
  <c r="I17" i="12"/>
  <c r="H17" i="12"/>
  <c r="G17" i="12"/>
  <c r="F17" i="12"/>
  <c r="E17" i="12"/>
  <c r="D17" i="12"/>
  <c r="V17" i="12" s="1"/>
  <c r="C17" i="12"/>
  <c r="U17" i="12" s="1"/>
  <c r="B17" i="12"/>
  <c r="A17" i="12"/>
  <c r="S16" i="12"/>
  <c r="M16" i="12"/>
  <c r="L16" i="12"/>
  <c r="K16" i="12"/>
  <c r="J16" i="12"/>
  <c r="I16" i="12"/>
  <c r="H16" i="12"/>
  <c r="G16" i="12"/>
  <c r="F16" i="12"/>
  <c r="E16" i="12"/>
  <c r="D16" i="12"/>
  <c r="V16" i="12" s="1"/>
  <c r="C16" i="12"/>
  <c r="U16" i="12" s="1"/>
  <c r="B16" i="12"/>
  <c r="T16" i="12" s="1"/>
  <c r="A16" i="12"/>
  <c r="S15" i="12"/>
  <c r="M15" i="12"/>
  <c r="L15" i="12"/>
  <c r="K15" i="12"/>
  <c r="J15" i="12"/>
  <c r="I15" i="12"/>
  <c r="H15" i="12"/>
  <c r="G15" i="12"/>
  <c r="F15" i="12"/>
  <c r="E15" i="12"/>
  <c r="D15" i="12"/>
  <c r="V15" i="12" s="1"/>
  <c r="C15" i="12"/>
  <c r="U15" i="12" s="1"/>
  <c r="B15" i="12"/>
  <c r="T15" i="12" s="1"/>
  <c r="A15" i="12"/>
  <c r="M14" i="12"/>
  <c r="L14" i="12"/>
  <c r="K14" i="12"/>
  <c r="J14" i="12"/>
  <c r="I14" i="12"/>
  <c r="H14" i="12"/>
  <c r="G14" i="12"/>
  <c r="F14" i="12"/>
  <c r="E14" i="12"/>
  <c r="D14" i="12"/>
  <c r="V14" i="12" s="1"/>
  <c r="C14" i="12"/>
  <c r="U14" i="12" s="1"/>
  <c r="B14" i="12"/>
  <c r="T14" i="12" s="1"/>
  <c r="A14" i="12"/>
  <c r="S14" i="12" s="1"/>
  <c r="S13" i="12"/>
  <c r="M13" i="12"/>
  <c r="L13" i="12"/>
  <c r="K13" i="12"/>
  <c r="J13" i="12"/>
  <c r="I13" i="12"/>
  <c r="H13" i="12"/>
  <c r="G13" i="12"/>
  <c r="F13" i="12"/>
  <c r="E13" i="12"/>
  <c r="D13" i="12"/>
  <c r="V13" i="12" s="1"/>
  <c r="C13" i="12"/>
  <c r="U13" i="12" s="1"/>
  <c r="B13" i="12"/>
  <c r="T13" i="12" s="1"/>
  <c r="A13" i="12"/>
  <c r="V12" i="12"/>
  <c r="M12" i="12"/>
  <c r="L12" i="12"/>
  <c r="K12" i="12"/>
  <c r="J12" i="12"/>
  <c r="I12" i="12"/>
  <c r="H12" i="12"/>
  <c r="G12" i="12"/>
  <c r="F12" i="12"/>
  <c r="E12" i="12"/>
  <c r="D12" i="12"/>
  <c r="C12" i="12"/>
  <c r="U12" i="12" s="1"/>
  <c r="B12" i="12"/>
  <c r="T12" i="12" s="1"/>
  <c r="A12" i="12"/>
  <c r="S12" i="12" s="1"/>
  <c r="U11" i="12"/>
  <c r="M11" i="12"/>
  <c r="L11" i="12"/>
  <c r="K11" i="12"/>
  <c r="J11" i="12"/>
  <c r="I11" i="12"/>
  <c r="H11" i="12"/>
  <c r="G11" i="12"/>
  <c r="F11" i="12"/>
  <c r="E11" i="12"/>
  <c r="D11" i="12"/>
  <c r="V11" i="12" s="1"/>
  <c r="C11" i="12"/>
  <c r="B11" i="12"/>
  <c r="T11" i="12" s="1"/>
  <c r="A11" i="12"/>
  <c r="S11" i="12" s="1"/>
  <c r="V10" i="12"/>
  <c r="T10" i="12"/>
  <c r="M10" i="12"/>
  <c r="L10" i="12"/>
  <c r="K10" i="12"/>
  <c r="J10" i="12"/>
  <c r="I10" i="12"/>
  <c r="H10" i="12"/>
  <c r="G10" i="12"/>
  <c r="F10" i="12"/>
  <c r="E10" i="12"/>
  <c r="D10" i="12"/>
  <c r="C10" i="12"/>
  <c r="U10" i="12" s="1"/>
  <c r="B10" i="12"/>
  <c r="A10" i="12"/>
  <c r="S10" i="12" s="1"/>
  <c r="S9" i="12"/>
  <c r="M9" i="12"/>
  <c r="L9" i="12"/>
  <c r="K9" i="12"/>
  <c r="J9" i="12"/>
  <c r="I9" i="12"/>
  <c r="H9" i="12"/>
  <c r="G9" i="12"/>
  <c r="F9" i="12"/>
  <c r="E9" i="12"/>
  <c r="D9" i="12"/>
  <c r="V9" i="12" s="1"/>
  <c r="C9" i="12"/>
  <c r="U9" i="12" s="1"/>
  <c r="B9" i="12"/>
  <c r="T9" i="12" s="1"/>
  <c r="A9" i="12"/>
  <c r="T8" i="12"/>
  <c r="M8" i="12"/>
  <c r="L8" i="12"/>
  <c r="K8" i="12"/>
  <c r="J8" i="12"/>
  <c r="I8" i="12"/>
  <c r="H8" i="12"/>
  <c r="G8" i="12"/>
  <c r="F8" i="12"/>
  <c r="E8" i="12"/>
  <c r="D8" i="12"/>
  <c r="V8" i="12" s="1"/>
  <c r="C8" i="12"/>
  <c r="U8" i="12" s="1"/>
  <c r="B8" i="12"/>
  <c r="A8" i="12"/>
  <c r="S8" i="12" s="1"/>
  <c r="M7" i="12"/>
  <c r="L7" i="12"/>
  <c r="K7" i="12"/>
  <c r="J7" i="12"/>
  <c r="I7" i="12"/>
  <c r="H7" i="12"/>
  <c r="G7" i="12"/>
  <c r="F7" i="12"/>
  <c r="E7" i="12"/>
  <c r="D7" i="12"/>
  <c r="V7" i="12" s="1"/>
  <c r="C7" i="12"/>
  <c r="U7" i="12" s="1"/>
  <c r="B7" i="12"/>
  <c r="T7" i="12" s="1"/>
  <c r="A7" i="12"/>
  <c r="S7" i="12" s="1"/>
  <c r="V6" i="12"/>
  <c r="M6" i="12"/>
  <c r="L6" i="12"/>
  <c r="K6" i="12"/>
  <c r="J6" i="12"/>
  <c r="I6" i="12"/>
  <c r="H6" i="12"/>
  <c r="G6" i="12"/>
  <c r="F6" i="12"/>
  <c r="E6" i="12"/>
  <c r="D6" i="12"/>
  <c r="C6" i="12"/>
  <c r="U6" i="12" s="1"/>
  <c r="B6" i="12"/>
  <c r="T6" i="12" s="1"/>
  <c r="A6" i="12"/>
  <c r="S6" i="12" s="1"/>
  <c r="U5" i="12"/>
  <c r="M5" i="12"/>
  <c r="L5" i="12"/>
  <c r="K5" i="12"/>
  <c r="J5" i="12"/>
  <c r="I5" i="12"/>
  <c r="H5" i="12"/>
  <c r="G5" i="12"/>
  <c r="F5" i="12"/>
  <c r="E5" i="12"/>
  <c r="D5" i="12"/>
  <c r="V5" i="12" s="1"/>
  <c r="C5" i="12"/>
  <c r="B5" i="12"/>
  <c r="T5" i="12" s="1"/>
  <c r="A5" i="12"/>
  <c r="S5" i="12" s="1"/>
  <c r="V4" i="12"/>
  <c r="M4" i="12"/>
  <c r="L4" i="12"/>
  <c r="K4" i="12"/>
  <c r="J4" i="12"/>
  <c r="I4" i="12"/>
  <c r="H4" i="12"/>
  <c r="G4" i="12"/>
  <c r="F4" i="12"/>
  <c r="E4" i="12"/>
  <c r="D4" i="12"/>
  <c r="C4" i="12"/>
  <c r="U4" i="12" s="1"/>
  <c r="B4" i="12"/>
  <c r="T4" i="12" s="1"/>
  <c r="A4" i="12"/>
  <c r="S4" i="12" s="1"/>
  <c r="S3" i="12"/>
  <c r="M3" i="12"/>
  <c r="L3" i="12"/>
  <c r="K3" i="12"/>
  <c r="J3" i="12"/>
  <c r="I3" i="12"/>
  <c r="H3" i="12"/>
  <c r="G3" i="12"/>
  <c r="F3" i="12"/>
  <c r="E3" i="12"/>
  <c r="D3" i="12"/>
  <c r="V3" i="12" s="1"/>
  <c r="C3" i="12"/>
  <c r="U3" i="12" s="1"/>
  <c r="B3" i="12"/>
  <c r="T3" i="12" s="1"/>
  <c r="A3" i="12"/>
  <c r="Z4" i="9"/>
  <c r="Y4" i="9"/>
  <c r="Y3" i="9"/>
  <c r="X3" i="12" l="1"/>
  <c r="W3" i="12"/>
  <c r="Y3" i="12"/>
  <c r="Y4" i="12" s="1"/>
  <c r="Z3" i="12"/>
  <c r="Z4" i="12" s="1"/>
  <c r="A3" i="9"/>
  <c r="S3" i="9" s="1"/>
  <c r="B3" i="9"/>
  <c r="T3" i="9" s="1"/>
  <c r="C3" i="9"/>
  <c r="U3" i="9" s="1"/>
  <c r="D3" i="9"/>
  <c r="V3" i="9" s="1"/>
  <c r="E3" i="9"/>
  <c r="F3" i="9"/>
  <c r="G3" i="9"/>
  <c r="H3" i="9"/>
  <c r="I3" i="9"/>
  <c r="J3" i="9"/>
  <c r="K3" i="9"/>
  <c r="L3" i="9"/>
  <c r="M3" i="9"/>
  <c r="A4" i="9"/>
  <c r="S4" i="9" s="1"/>
  <c r="B4" i="9"/>
  <c r="T4" i="9" s="1"/>
  <c r="C4" i="9"/>
  <c r="U4" i="9" s="1"/>
  <c r="D4" i="9"/>
  <c r="V4" i="9" s="1"/>
  <c r="E4" i="9"/>
  <c r="F4" i="9"/>
  <c r="G4" i="9"/>
  <c r="H4" i="9"/>
  <c r="I4" i="9"/>
  <c r="J4" i="9"/>
  <c r="K4" i="9"/>
  <c r="L4" i="9"/>
  <c r="M4" i="9"/>
  <c r="A5" i="9"/>
  <c r="S5" i="9" s="1"/>
  <c r="B5" i="9"/>
  <c r="T5" i="9" s="1"/>
  <c r="C5" i="9"/>
  <c r="U5" i="9" s="1"/>
  <c r="D5" i="9"/>
  <c r="V5" i="9" s="1"/>
  <c r="E5" i="9"/>
  <c r="F5" i="9"/>
  <c r="G5" i="9"/>
  <c r="H5" i="9"/>
  <c r="I5" i="9"/>
  <c r="J5" i="9"/>
  <c r="K5" i="9"/>
  <c r="L5" i="9"/>
  <c r="M5" i="9"/>
  <c r="A6" i="9"/>
  <c r="S6" i="9" s="1"/>
  <c r="B6" i="9"/>
  <c r="T6" i="9" s="1"/>
  <c r="C6" i="9"/>
  <c r="U6" i="9" s="1"/>
  <c r="D6" i="9"/>
  <c r="V6" i="9" s="1"/>
  <c r="E6" i="9"/>
  <c r="F6" i="9"/>
  <c r="G6" i="9"/>
  <c r="H6" i="9"/>
  <c r="I6" i="9"/>
  <c r="J6" i="9"/>
  <c r="K6" i="9"/>
  <c r="L6" i="9"/>
  <c r="M6" i="9"/>
  <c r="A7" i="9"/>
  <c r="S7" i="9" s="1"/>
  <c r="B7" i="9"/>
  <c r="T7" i="9" s="1"/>
  <c r="C7" i="9"/>
  <c r="U7" i="9" s="1"/>
  <c r="D7" i="9"/>
  <c r="V7" i="9" s="1"/>
  <c r="E7" i="9"/>
  <c r="F7" i="9"/>
  <c r="G7" i="9"/>
  <c r="H7" i="9"/>
  <c r="I7" i="9"/>
  <c r="J7" i="9"/>
  <c r="K7" i="9"/>
  <c r="L7" i="9"/>
  <c r="M7" i="9"/>
  <c r="A8" i="9"/>
  <c r="S8" i="9" s="1"/>
  <c r="B8" i="9"/>
  <c r="T8" i="9" s="1"/>
  <c r="C8" i="9"/>
  <c r="U8" i="9" s="1"/>
  <c r="D8" i="9"/>
  <c r="V8" i="9" s="1"/>
  <c r="E8" i="9"/>
  <c r="F8" i="9"/>
  <c r="G8" i="9"/>
  <c r="H8" i="9"/>
  <c r="I8" i="9"/>
  <c r="J8" i="9"/>
  <c r="K8" i="9"/>
  <c r="L8" i="9"/>
  <c r="M8" i="9"/>
  <c r="A9" i="9"/>
  <c r="S9" i="9" s="1"/>
  <c r="B9" i="9"/>
  <c r="T9" i="9" s="1"/>
  <c r="C9" i="9"/>
  <c r="U9" i="9" s="1"/>
  <c r="D9" i="9"/>
  <c r="V9" i="9" s="1"/>
  <c r="E9" i="9"/>
  <c r="F9" i="9"/>
  <c r="G9" i="9"/>
  <c r="H9" i="9"/>
  <c r="I9" i="9"/>
  <c r="J9" i="9"/>
  <c r="K9" i="9"/>
  <c r="L9" i="9"/>
  <c r="M9" i="9"/>
  <c r="A10" i="9"/>
  <c r="S10" i="9" s="1"/>
  <c r="B10" i="9"/>
  <c r="T10" i="9" s="1"/>
  <c r="C10" i="9"/>
  <c r="U10" i="9" s="1"/>
  <c r="D10" i="9"/>
  <c r="V10" i="9" s="1"/>
  <c r="E10" i="9"/>
  <c r="F10" i="9"/>
  <c r="G10" i="9"/>
  <c r="H10" i="9"/>
  <c r="I10" i="9"/>
  <c r="J10" i="9"/>
  <c r="K10" i="9"/>
  <c r="L10" i="9"/>
  <c r="M10" i="9"/>
  <c r="A11" i="9"/>
  <c r="S11" i="9" s="1"/>
  <c r="B11" i="9"/>
  <c r="T11" i="9" s="1"/>
  <c r="C11" i="9"/>
  <c r="U11" i="9" s="1"/>
  <c r="D11" i="9"/>
  <c r="V11" i="9" s="1"/>
  <c r="E11" i="9"/>
  <c r="F11" i="9"/>
  <c r="G11" i="9"/>
  <c r="H11" i="9"/>
  <c r="I11" i="9"/>
  <c r="J11" i="9"/>
  <c r="K11" i="9"/>
  <c r="L11" i="9"/>
  <c r="M11" i="9"/>
  <c r="A12" i="9"/>
  <c r="S12" i="9" s="1"/>
  <c r="B12" i="9"/>
  <c r="T12" i="9" s="1"/>
  <c r="C12" i="9"/>
  <c r="U12" i="9" s="1"/>
  <c r="D12" i="9"/>
  <c r="V12" i="9" s="1"/>
  <c r="E12" i="9"/>
  <c r="F12" i="9"/>
  <c r="G12" i="9"/>
  <c r="H12" i="9"/>
  <c r="I12" i="9"/>
  <c r="J12" i="9"/>
  <c r="K12" i="9"/>
  <c r="L12" i="9"/>
  <c r="M12" i="9"/>
  <c r="A13" i="9"/>
  <c r="S13" i="9" s="1"/>
  <c r="B13" i="9"/>
  <c r="T13" i="9" s="1"/>
  <c r="C13" i="9"/>
  <c r="U13" i="9" s="1"/>
  <c r="D13" i="9"/>
  <c r="V13" i="9" s="1"/>
  <c r="E13" i="9"/>
  <c r="F13" i="9"/>
  <c r="G13" i="9"/>
  <c r="H13" i="9"/>
  <c r="I13" i="9"/>
  <c r="J13" i="9"/>
  <c r="K13" i="9"/>
  <c r="L13" i="9"/>
  <c r="M13" i="9"/>
  <c r="A14" i="9"/>
  <c r="S14" i="9" s="1"/>
  <c r="B14" i="9"/>
  <c r="T14" i="9" s="1"/>
  <c r="C14" i="9"/>
  <c r="U14" i="9" s="1"/>
  <c r="D14" i="9"/>
  <c r="V14" i="9" s="1"/>
  <c r="E14" i="9"/>
  <c r="F14" i="9"/>
  <c r="G14" i="9"/>
  <c r="H14" i="9"/>
  <c r="I14" i="9"/>
  <c r="J14" i="9"/>
  <c r="K14" i="9"/>
  <c r="L14" i="9"/>
  <c r="M14" i="9"/>
  <c r="A15" i="9"/>
  <c r="S15" i="9" s="1"/>
  <c r="B15" i="9"/>
  <c r="T15" i="9" s="1"/>
  <c r="C15" i="9"/>
  <c r="U15" i="9" s="1"/>
  <c r="D15" i="9"/>
  <c r="V15" i="9" s="1"/>
  <c r="E15" i="9"/>
  <c r="F15" i="9"/>
  <c r="G15" i="9"/>
  <c r="H15" i="9"/>
  <c r="I15" i="9"/>
  <c r="J15" i="9"/>
  <c r="K15" i="9"/>
  <c r="L15" i="9"/>
  <c r="M15" i="9"/>
  <c r="A16" i="9"/>
  <c r="S16" i="9" s="1"/>
  <c r="B16" i="9"/>
  <c r="T16" i="9" s="1"/>
  <c r="C16" i="9"/>
  <c r="U16" i="9" s="1"/>
  <c r="D16" i="9"/>
  <c r="V16" i="9" s="1"/>
  <c r="E16" i="9"/>
  <c r="F16" i="9"/>
  <c r="G16" i="9"/>
  <c r="H16" i="9"/>
  <c r="I16" i="9"/>
  <c r="J16" i="9"/>
  <c r="K16" i="9"/>
  <c r="L16" i="9"/>
  <c r="M16" i="9"/>
  <c r="A17" i="9"/>
  <c r="S17" i="9" s="1"/>
  <c r="B17" i="9"/>
  <c r="T17" i="9" s="1"/>
  <c r="C17" i="9"/>
  <c r="U17" i="9" s="1"/>
  <c r="D17" i="9"/>
  <c r="V17" i="9" s="1"/>
  <c r="E17" i="9"/>
  <c r="F17" i="9"/>
  <c r="G17" i="9"/>
  <c r="H17" i="9"/>
  <c r="I17" i="9"/>
  <c r="J17" i="9"/>
  <c r="K17" i="9"/>
  <c r="L17" i="9"/>
  <c r="M17" i="9"/>
  <c r="Z3" i="9" l="1"/>
  <c r="X3" i="9"/>
  <c r="W3" i="9"/>
  <c r="H24" i="4"/>
  <c r="I24" i="4"/>
  <c r="J24" i="4"/>
  <c r="K24" i="4"/>
  <c r="L24" i="4"/>
  <c r="M24" i="4"/>
  <c r="H25" i="4"/>
  <c r="I25" i="4"/>
  <c r="J25" i="4"/>
  <c r="K25" i="4"/>
  <c r="L25" i="4"/>
  <c r="M25" i="4"/>
  <c r="H26" i="4"/>
  <c r="I26" i="4"/>
  <c r="J26" i="4"/>
  <c r="K26" i="4"/>
  <c r="L26" i="4"/>
  <c r="M26" i="4"/>
  <c r="H27" i="4"/>
  <c r="I27" i="4"/>
  <c r="J27" i="4"/>
  <c r="K27" i="4"/>
  <c r="L27" i="4"/>
  <c r="M27" i="4"/>
  <c r="H28" i="4"/>
  <c r="I28" i="4"/>
  <c r="J28" i="4"/>
  <c r="K28" i="4"/>
  <c r="L28" i="4"/>
  <c r="M28" i="4"/>
  <c r="H22" i="4"/>
  <c r="I22" i="4"/>
  <c r="J22" i="4"/>
  <c r="K22" i="4"/>
  <c r="L22" i="4"/>
  <c r="M22" i="4"/>
  <c r="H23" i="4"/>
  <c r="I23" i="4"/>
  <c r="J23" i="4"/>
  <c r="K23" i="4"/>
  <c r="L23" i="4"/>
  <c r="M23" i="4"/>
  <c r="W17" i="8"/>
  <c r="X16" i="8"/>
  <c r="W16" i="8"/>
  <c r="V16" i="8"/>
  <c r="U16" i="8"/>
  <c r="T16" i="8"/>
  <c r="W15" i="8"/>
  <c r="V15" i="8"/>
  <c r="Y17" i="8"/>
  <c r="X17" i="8"/>
  <c r="V17" i="8"/>
  <c r="U17" i="8"/>
  <c r="T17" i="8"/>
  <c r="Y16" i="8"/>
  <c r="Y15" i="8"/>
  <c r="X15" i="8"/>
  <c r="U15" i="8"/>
  <c r="T15" i="8"/>
  <c r="Y14" i="8"/>
  <c r="X14" i="8"/>
  <c r="W14" i="8"/>
  <c r="V14" i="8"/>
  <c r="U14" i="8"/>
  <c r="T14" i="8"/>
  <c r="Y13" i="8"/>
  <c r="X13" i="8"/>
  <c r="W13" i="8"/>
  <c r="V13" i="8"/>
  <c r="U13" i="8"/>
  <c r="T13" i="8"/>
  <c r="Y12" i="8"/>
  <c r="X12" i="8"/>
  <c r="W12" i="8"/>
  <c r="V12" i="8"/>
  <c r="U12" i="8"/>
  <c r="T12" i="8"/>
  <c r="Y11" i="8"/>
  <c r="X11" i="8"/>
  <c r="W11" i="8"/>
  <c r="V11" i="8"/>
  <c r="U11" i="8"/>
  <c r="T11" i="8"/>
  <c r="Y10" i="8"/>
  <c r="X10" i="8"/>
  <c r="W10" i="8"/>
  <c r="V10" i="8"/>
  <c r="U10" i="8"/>
  <c r="T10" i="8"/>
  <c r="Y9" i="8"/>
  <c r="X9" i="8"/>
  <c r="W9" i="8"/>
  <c r="V9" i="8"/>
  <c r="U9" i="8"/>
  <c r="T9" i="8"/>
  <c r="Y8" i="8"/>
  <c r="X8" i="8"/>
  <c r="W8" i="8"/>
  <c r="V8" i="8"/>
  <c r="U8" i="8"/>
  <c r="T8" i="8"/>
  <c r="Y7" i="8"/>
  <c r="X7" i="8"/>
  <c r="W7" i="8"/>
  <c r="V7" i="8"/>
  <c r="U7" i="8"/>
  <c r="T7" i="8"/>
  <c r="Y6" i="8"/>
  <c r="X6" i="8"/>
  <c r="W6" i="8"/>
  <c r="V6" i="8"/>
  <c r="U6" i="8"/>
  <c r="T6" i="8"/>
  <c r="Y5" i="8"/>
  <c r="X5" i="8"/>
  <c r="W5" i="8"/>
  <c r="V5" i="8"/>
  <c r="U5" i="8"/>
  <c r="T5" i="8"/>
  <c r="Y4" i="8"/>
  <c r="X4" i="8"/>
  <c r="W4" i="8"/>
  <c r="V4" i="8"/>
  <c r="U4" i="8"/>
  <c r="T4" i="8"/>
  <c r="Y3" i="8"/>
  <c r="X3" i="8"/>
  <c r="W3" i="8"/>
  <c r="V3" i="8"/>
  <c r="U3" i="8"/>
  <c r="T3" i="8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H12" i="4"/>
  <c r="I12" i="4"/>
  <c r="J12" i="4"/>
  <c r="K12" i="4"/>
  <c r="L12" i="4"/>
  <c r="M12" i="4"/>
  <c r="H13" i="4"/>
  <c r="I13" i="4"/>
  <c r="J13" i="4"/>
  <c r="K13" i="4"/>
  <c r="L13" i="4"/>
  <c r="M13" i="4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H18" i="4"/>
  <c r="I18" i="4"/>
  <c r="J18" i="4"/>
  <c r="K18" i="4"/>
  <c r="L18" i="4"/>
  <c r="M18" i="4"/>
  <c r="H19" i="4"/>
  <c r="I19" i="4"/>
  <c r="J19" i="4"/>
  <c r="K19" i="4"/>
  <c r="L19" i="4"/>
  <c r="M19" i="4"/>
  <c r="H20" i="4"/>
  <c r="I20" i="4"/>
  <c r="J20" i="4"/>
  <c r="K20" i="4"/>
  <c r="L20" i="4"/>
  <c r="M20" i="4"/>
  <c r="H21" i="4"/>
  <c r="I21" i="4"/>
  <c r="J21" i="4"/>
  <c r="K21" i="4"/>
  <c r="L21" i="4"/>
  <c r="M21" i="4"/>
  <c r="M3" i="4"/>
  <c r="L3" i="4"/>
  <c r="K3" i="4"/>
  <c r="J3" i="4"/>
  <c r="I3" i="4"/>
  <c r="H3" i="4"/>
</calcChain>
</file>

<file path=xl/sharedStrings.xml><?xml version="1.0" encoding="utf-8"?>
<sst xmlns="http://schemas.openxmlformats.org/spreadsheetml/2006/main" count="136" uniqueCount="33">
  <si>
    <t>Fx (N)</t>
  </si>
  <si>
    <t>Fy (N)</t>
  </si>
  <si>
    <t>Fz (N)</t>
  </si>
  <si>
    <t>Tx (Nm)</t>
  </si>
  <si>
    <t>Ty (Nm)</t>
  </si>
  <si>
    <t>Tz(Nm)</t>
  </si>
  <si>
    <t>6-Axis FT Sensor</t>
  </si>
  <si>
    <t>F (N)</t>
  </si>
  <si>
    <t>s (m)</t>
  </si>
  <si>
    <t>SoRoSim get_distal_value</t>
  </si>
  <si>
    <t>tau1 (N)</t>
  </si>
  <si>
    <t>tau2 (N)</t>
  </si>
  <si>
    <t>tau3 (N)</t>
  </si>
  <si>
    <t>Ground Truth</t>
  </si>
  <si>
    <t>SoRoSim get_proximal_value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</si>
  <si>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</si>
  <si>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</si>
  <si>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</si>
  <si>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</si>
  <si>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</si>
  <si>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</si>
  <si>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</si>
  <si>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</si>
  <si>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</si>
  <si>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Converted</t>
  </si>
  <si>
    <t>roll (rad)</t>
  </si>
  <si>
    <t>pitch (deg)</t>
  </si>
  <si>
    <t>f_final</t>
  </si>
  <si>
    <t>Force Error</t>
  </si>
  <si>
    <t>Position Error</t>
  </si>
  <si>
    <t>Mean Average Error</t>
  </si>
  <si>
    <t>Roll Error</t>
  </si>
  <si>
    <t>Pitch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</si>
</sst>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4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9" borderId="0" applyNumberFormat="0" applyBorder="0" applyAlignment="0" applyProtection="0"/>
  </cellStyleXfs>
  <cellXfs count="29">
    <xf numFmtId="0" fontId="0" fillId="0" borderId="0" xfId="0"/>
    <xf numFmtId="0" fontId="1" fillId="6" borderId="1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0" fontId="1" fillId="6" borderId="1" xfId="0" applyFont="1" applyFill="1" applyBorder="1" applyAlignment="1">
      <alignment wrapText="1"/>
    </xf>
    <xf numFmtId="11" fontId="0" fillId="0" borderId="0" xfId="0" applyNumberFormat="1"/>
    <xf numFmtId="0" fontId="1" fillId="4" borderId="1" xfId="0" applyFont="1" applyFill="1" applyBorder="1" applyAlignment="1">
      <alignment horizontal="center"/>
    </xf>
    <xf numFmtId="166" fontId="2" fillId="8" borderId="1" xfId="0" applyNumberFormat="1" applyFont="1" applyFill="1" applyBorder="1"/>
    <xf numFmtId="165" fontId="2" fillId="8" borderId="1" xfId="0" applyNumberFormat="1" applyFont="1" applyFill="1" applyBorder="1"/>
    <xf numFmtId="164" fontId="2" fillId="8" borderId="1" xfId="0" applyNumberFormat="1" applyFont="1" applyFill="1" applyBorder="1"/>
    <xf numFmtId="11" fontId="2" fillId="8" borderId="1" xfId="0" applyNumberFormat="1" applyFont="1" applyFill="1" applyBorder="1"/>
    <xf numFmtId="164" fontId="3" fillId="9" borderId="1" xfId="1" applyNumberFormat="1" applyBorder="1"/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6" borderId="10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B1BD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B4A24-01F9-43FA-AE7F-5A1710EEAA53}">
  <dimension ref="A1:Y17"/>
  <sheetViews>
    <sheetView workbookViewId="0">
      <selection activeCell="I15" sqref="I15"/>
    </sheetView>
  </sheetViews>
  <sheetFormatPr defaultRowHeight="14.5" x14ac:dyDescent="0.35"/>
  <cols>
    <col min="4" max="4" width="10.81640625" bestFit="1" customWidth="1"/>
  </cols>
  <sheetData>
    <row r="1" spans="1:25" ht="16" x14ac:dyDescent="0.4">
      <c r="A1" s="12" t="s">
        <v>13</v>
      </c>
      <c r="B1" s="12"/>
      <c r="C1" s="12"/>
      <c r="D1" s="12"/>
      <c r="E1" s="12"/>
      <c r="F1" s="12"/>
      <c r="G1" s="13"/>
      <c r="H1" s="14" t="s">
        <v>6</v>
      </c>
      <c r="I1" s="15"/>
      <c r="J1" s="15"/>
      <c r="K1" s="15"/>
      <c r="L1" s="15"/>
      <c r="M1" s="15"/>
      <c r="N1" s="16" t="s">
        <v>14</v>
      </c>
      <c r="O1" s="17"/>
      <c r="P1" s="17"/>
      <c r="Q1" s="17"/>
      <c r="R1" s="17"/>
      <c r="S1" s="17"/>
      <c r="T1" s="18" t="s">
        <v>16</v>
      </c>
      <c r="U1" s="19"/>
      <c r="V1" s="19"/>
      <c r="W1" s="19"/>
      <c r="X1" s="19"/>
      <c r="Y1" s="20"/>
    </row>
    <row r="2" spans="1:25" ht="16" x14ac:dyDescent="0.4">
      <c r="A2" s="1" t="s">
        <v>7</v>
      </c>
      <c r="B2" s="1" t="s">
        <v>8</v>
      </c>
      <c r="C2" s="1" t="s">
        <v>25</v>
      </c>
      <c r="D2" s="1" t="s">
        <v>26</v>
      </c>
      <c r="E2" s="1" t="s">
        <v>10</v>
      </c>
      <c r="F2" s="1" t="s">
        <v>11</v>
      </c>
      <c r="G2" s="1" t="s">
        <v>12</v>
      </c>
      <c r="H2" s="2" t="s">
        <v>3</v>
      </c>
      <c r="I2" s="1" t="s">
        <v>4</v>
      </c>
      <c r="J2" s="1" t="s">
        <v>5</v>
      </c>
      <c r="K2" s="1" t="s">
        <v>0</v>
      </c>
      <c r="L2" s="1" t="s">
        <v>1</v>
      </c>
      <c r="M2" s="1" t="s">
        <v>2</v>
      </c>
      <c r="N2" s="3" t="s">
        <v>3</v>
      </c>
      <c r="O2" s="1" t="s">
        <v>4</v>
      </c>
      <c r="P2" s="1" t="s">
        <v>5</v>
      </c>
      <c r="Q2" s="1" t="s">
        <v>0</v>
      </c>
      <c r="R2" s="1" t="s">
        <v>1</v>
      </c>
      <c r="S2" s="1" t="s">
        <v>2</v>
      </c>
      <c r="T2" s="1" t="s">
        <v>3</v>
      </c>
      <c r="U2" s="1" t="s">
        <v>4</v>
      </c>
      <c r="V2" s="1" t="s">
        <v>5</v>
      </c>
      <c r="W2" s="1" t="s">
        <v>0</v>
      </c>
      <c r="X2" s="1" t="s">
        <v>1</v>
      </c>
      <c r="Y2" s="1" t="s">
        <v>2</v>
      </c>
    </row>
    <row r="3" spans="1:25" x14ac:dyDescent="0.35">
      <c r="A3" s="11">
        <v>0.3</v>
      </c>
      <c r="B3" s="11">
        <v>0.08</v>
      </c>
      <c r="C3" s="11">
        <v>1.571</v>
      </c>
      <c r="D3" s="11">
        <v>0.78500000000000003</v>
      </c>
      <c r="E3" s="11">
        <v>1.4</v>
      </c>
      <c r="F3" s="11">
        <v>0</v>
      </c>
      <c r="G3" s="11">
        <v>0</v>
      </c>
      <c r="H3" s="9">
        <v>2.6342464843764901E-4</v>
      </c>
      <c r="I3" s="9">
        <v>-3.2978262752294499E-2</v>
      </c>
      <c r="J3" s="9">
        <v>5.6162860710173802E-4</v>
      </c>
      <c r="K3" s="9">
        <v>0.185834720730782</v>
      </c>
      <c r="L3" s="9">
        <v>1.13257020711899E-3</v>
      </c>
      <c r="M3" s="9">
        <v>0.19288232922553999</v>
      </c>
      <c r="N3" s="9">
        <v>2.5576521975731686E-4</v>
      </c>
      <c r="O3" s="9">
        <v>-3.7226280631043634E-2</v>
      </c>
      <c r="P3" s="9">
        <v>9.4620553006424281E-4</v>
      </c>
      <c r="Q3" s="9">
        <v>0.20223599365571238</v>
      </c>
      <c r="R3" s="9">
        <v>7.0017163450382669E-3</v>
      </c>
      <c r="S3" s="9">
        <v>0.22147413665389248</v>
      </c>
      <c r="T3" s="7">
        <f t="shared" ref="T3:Y17" si="0">ABS(H3-N3)</f>
        <v>7.6594286803321468E-6</v>
      </c>
      <c r="U3" s="7">
        <f t="shared" si="0"/>
        <v>4.2480178787491357E-3</v>
      </c>
      <c r="V3" s="7">
        <f t="shared" si="0"/>
        <v>3.8457692296250479E-4</v>
      </c>
      <c r="W3" s="7">
        <f t="shared" si="0"/>
        <v>1.6401272924930377E-2</v>
      </c>
      <c r="X3" s="7">
        <f t="shared" si="0"/>
        <v>5.8691461379192771E-3</v>
      </c>
      <c r="Y3" s="7">
        <f t="shared" si="0"/>
        <v>2.8591807428352489E-2</v>
      </c>
    </row>
    <row r="4" spans="1:25" x14ac:dyDescent="0.35">
      <c r="A4" s="11">
        <v>0.4</v>
      </c>
      <c r="B4" s="11">
        <v>0.14000000000000001</v>
      </c>
      <c r="C4" s="11">
        <v>1.571</v>
      </c>
      <c r="D4" s="11">
        <v>0.78500000000000003</v>
      </c>
      <c r="E4" s="11">
        <v>0</v>
      </c>
      <c r="F4" s="11">
        <v>0</v>
      </c>
      <c r="G4" s="11">
        <v>0</v>
      </c>
      <c r="H4" s="9">
        <v>-4.3474312406033299E-4</v>
      </c>
      <c r="I4" s="9">
        <v>-6.2425632029771798E-2</v>
      </c>
      <c r="J4" s="9">
        <v>2.5845002382993698E-3</v>
      </c>
      <c r="K4" s="9">
        <v>0.25303724408149703</v>
      </c>
      <c r="L4" s="9">
        <v>1.07369087636471E-2</v>
      </c>
      <c r="M4" s="9">
        <v>0.27653545141220098</v>
      </c>
      <c r="N4" s="9">
        <v>-2.3506608086640328E-22</v>
      </c>
      <c r="O4" s="9">
        <v>-7.0209886426879364E-2</v>
      </c>
      <c r="P4" s="9">
        <v>-1.4299872796236309E-5</v>
      </c>
      <c r="Q4" s="9">
        <v>0.24315922859426675</v>
      </c>
      <c r="R4" s="9">
        <v>-6.4687768298251936E-5</v>
      </c>
      <c r="S4" s="9">
        <v>0.31760568294173408</v>
      </c>
      <c r="T4" s="7">
        <f t="shared" si="0"/>
        <v>4.3474312406033299E-4</v>
      </c>
      <c r="U4" s="7">
        <f t="shared" si="0"/>
        <v>7.7842543971075664E-3</v>
      </c>
      <c r="V4" s="7">
        <f t="shared" si="0"/>
        <v>2.5988001110956063E-3</v>
      </c>
      <c r="W4" s="7">
        <f t="shared" si="0"/>
        <v>9.8780154872302739E-3</v>
      </c>
      <c r="X4" s="7">
        <f t="shared" si="0"/>
        <v>1.0801596531945352E-2</v>
      </c>
      <c r="Y4" s="7">
        <f t="shared" si="0"/>
        <v>4.1070231529533097E-2</v>
      </c>
    </row>
    <row r="5" spans="1:25" x14ac:dyDescent="0.35">
      <c r="A5" s="11">
        <v>0.6</v>
      </c>
      <c r="B5" s="11">
        <v>0.16</v>
      </c>
      <c r="C5" s="11">
        <v>1.571</v>
      </c>
      <c r="D5" s="11">
        <v>0.78500000000000003</v>
      </c>
      <c r="E5" s="11">
        <v>1.4</v>
      </c>
      <c r="F5" s="11">
        <v>0</v>
      </c>
      <c r="G5" s="11">
        <v>0</v>
      </c>
      <c r="H5" s="9">
        <v>5.3234044462442398E-3</v>
      </c>
      <c r="I5" s="9">
        <v>-0.12275674194097499</v>
      </c>
      <c r="J5" s="9">
        <v>-8.3989212289452605E-3</v>
      </c>
      <c r="K5" s="9">
        <v>0.26806160807609603</v>
      </c>
      <c r="L5" s="9">
        <v>-2.4467468261718799E-2</v>
      </c>
      <c r="M5" s="9">
        <v>0.52633810043335005</v>
      </c>
      <c r="N5" s="9">
        <v>2.798541863675784E-3</v>
      </c>
      <c r="O5" s="9">
        <v>-0.12625979658283737</v>
      </c>
      <c r="P5" s="9">
        <v>8.3980934461643335E-3</v>
      </c>
      <c r="Q5" s="9">
        <v>0.24824729751458491</v>
      </c>
      <c r="R5" s="9">
        <v>4.1682679507313261E-2</v>
      </c>
      <c r="S5" s="9">
        <v>0.54462428818495112</v>
      </c>
      <c r="T5" s="7">
        <f t="shared" si="0"/>
        <v>2.5248625825684558E-3</v>
      </c>
      <c r="U5" s="7">
        <f t="shared" si="0"/>
        <v>3.5030546418623743E-3</v>
      </c>
      <c r="V5" s="7">
        <f t="shared" si="0"/>
        <v>1.6797014675109592E-2</v>
      </c>
      <c r="W5" s="7">
        <f t="shared" si="0"/>
        <v>1.9814310561511117E-2</v>
      </c>
      <c r="X5" s="7">
        <f t="shared" si="0"/>
        <v>6.6150147769032053E-2</v>
      </c>
      <c r="Y5" s="7">
        <f t="shared" si="0"/>
        <v>1.8286187751601068E-2</v>
      </c>
    </row>
    <row r="6" spans="1:25" x14ac:dyDescent="0.35">
      <c r="A6" s="11">
        <v>0.4</v>
      </c>
      <c r="B6" s="11">
        <v>0.06</v>
      </c>
      <c r="C6" s="11">
        <v>1.571</v>
      </c>
      <c r="D6" s="11">
        <v>1.571</v>
      </c>
      <c r="E6" s="11">
        <v>1.4</v>
      </c>
      <c r="F6" s="11">
        <v>0</v>
      </c>
      <c r="G6" s="11">
        <v>0</v>
      </c>
      <c r="H6" s="9">
        <v>6.7002582363784302E-4</v>
      </c>
      <c r="I6" s="9">
        <v>-6.6750191152095795E-2</v>
      </c>
      <c r="J6" s="9">
        <v>1.6002767952158999E-3</v>
      </c>
      <c r="K6" s="9">
        <v>-3.97013984620571E-2</v>
      </c>
      <c r="L6" s="9">
        <v>7.3561742901802098E-3</v>
      </c>
      <c r="M6" s="9">
        <v>0.423814177513123</v>
      </c>
      <c r="N6" s="9">
        <v>2.5448514051700226E-4</v>
      </c>
      <c r="O6" s="9">
        <v>-5.99150751607785E-2</v>
      </c>
      <c r="P6" s="9">
        <v>-2.2999104986082312E-5</v>
      </c>
      <c r="Q6" s="9">
        <v>-1.5544495760634738E-2</v>
      </c>
      <c r="R6" s="9">
        <v>-2.1944765443540455E-4</v>
      </c>
      <c r="S6" s="9">
        <v>0.39969696493597712</v>
      </c>
      <c r="T6" s="7">
        <f t="shared" si="0"/>
        <v>4.1554068312084076E-4</v>
      </c>
      <c r="U6" s="7">
        <f t="shared" si="0"/>
        <v>6.8351159913172949E-3</v>
      </c>
      <c r="V6" s="7">
        <f t="shared" si="0"/>
        <v>1.6232759002019822E-3</v>
      </c>
      <c r="W6" s="7">
        <f t="shared" si="0"/>
        <v>2.4156902701422362E-2</v>
      </c>
      <c r="X6" s="7">
        <f t="shared" si="0"/>
        <v>7.5756219446156143E-3</v>
      </c>
      <c r="Y6" s="7">
        <f t="shared" si="0"/>
        <v>2.4117212577145886E-2</v>
      </c>
    </row>
    <row r="7" spans="1:25" x14ac:dyDescent="0.35">
      <c r="A7" s="11">
        <v>0.8</v>
      </c>
      <c r="B7" s="11">
        <v>0.08</v>
      </c>
      <c r="C7" s="11">
        <v>1.571</v>
      </c>
      <c r="D7" s="11">
        <v>1.571</v>
      </c>
      <c r="E7" s="11">
        <v>0</v>
      </c>
      <c r="F7" s="11">
        <v>0</v>
      </c>
      <c r="G7" s="11">
        <v>0</v>
      </c>
      <c r="H7" s="9">
        <v>7.4092089198529699E-4</v>
      </c>
      <c r="I7" s="9">
        <v>-0.14775538444519001</v>
      </c>
      <c r="J7" s="9">
        <v>3.4220633096993E-3</v>
      </c>
      <c r="K7" s="9">
        <v>-0.161362335085869</v>
      </c>
      <c r="L7" s="9">
        <v>2.0262047648429898E-2</v>
      </c>
      <c r="M7" s="9">
        <v>0.82944488525390603</v>
      </c>
      <c r="N7" s="9">
        <v>-1.7162285161582179E-22</v>
      </c>
      <c r="O7" s="9">
        <v>-0.13554725440000123</v>
      </c>
      <c r="P7" s="9">
        <v>-2.7607344128348141E-5</v>
      </c>
      <c r="Q7" s="9">
        <v>-7.7940341268329036E-2</v>
      </c>
      <c r="R7" s="9">
        <v>-1.6216310695792429E-4</v>
      </c>
      <c r="S7" s="9">
        <v>0.79619262942971036</v>
      </c>
      <c r="T7" s="7">
        <f t="shared" si="0"/>
        <v>7.4092089198529699E-4</v>
      </c>
      <c r="U7" s="7">
        <f t="shared" si="0"/>
        <v>1.2208130045188781E-2</v>
      </c>
      <c r="V7" s="7">
        <f t="shared" si="0"/>
        <v>3.449670653827648E-3</v>
      </c>
      <c r="W7" s="7">
        <f t="shared" si="0"/>
        <v>8.3421993817539966E-2</v>
      </c>
      <c r="X7" s="7">
        <f t="shared" si="0"/>
        <v>2.0424210755387823E-2</v>
      </c>
      <c r="Y7" s="7">
        <f t="shared" si="0"/>
        <v>3.3252255824195665E-2</v>
      </c>
    </row>
    <row r="8" spans="1:25" x14ac:dyDescent="0.35">
      <c r="A8" s="11">
        <v>0.7</v>
      </c>
      <c r="B8" s="11">
        <v>0.16</v>
      </c>
      <c r="C8" s="11">
        <v>1.571</v>
      </c>
      <c r="D8" s="11">
        <v>1.571</v>
      </c>
      <c r="E8" s="11">
        <v>1.4</v>
      </c>
      <c r="F8" s="11">
        <v>0</v>
      </c>
      <c r="G8" s="11">
        <v>0</v>
      </c>
      <c r="H8" s="9">
        <v>6.6551081836223602E-3</v>
      </c>
      <c r="I8" s="9">
        <v>-0.148307904601097</v>
      </c>
      <c r="J8" s="9">
        <v>-1.0527462000027299E-3</v>
      </c>
      <c r="K8" s="9">
        <v>-0.444706320762634</v>
      </c>
      <c r="L8" s="9">
        <v>-2.19946205615997E-2</v>
      </c>
      <c r="M8" s="9">
        <v>0.489793181419373</v>
      </c>
      <c r="N8" s="9">
        <v>4.3386998056907803E-3</v>
      </c>
      <c r="O8" s="9">
        <v>-0.16297254682459356</v>
      </c>
      <c r="P8" s="9">
        <v>-7.6315491899809219E-4</v>
      </c>
      <c r="Q8" s="9">
        <v>-0.33942038642467326</v>
      </c>
      <c r="R8" s="9">
        <v>-1.1902290752192514E-2</v>
      </c>
      <c r="S8" s="9">
        <v>0.61206529022359268</v>
      </c>
      <c r="T8" s="7">
        <f t="shared" si="0"/>
        <v>2.31640837793158E-3</v>
      </c>
      <c r="U8" s="7">
        <f t="shared" si="0"/>
        <v>1.466464222349656E-2</v>
      </c>
      <c r="V8" s="7">
        <f t="shared" si="0"/>
        <v>2.895912810046377E-4</v>
      </c>
      <c r="W8" s="7">
        <f t="shared" si="0"/>
        <v>0.10528593433796074</v>
      </c>
      <c r="X8" s="7">
        <f t="shared" si="0"/>
        <v>1.0092329809407186E-2</v>
      </c>
      <c r="Y8" s="7">
        <f t="shared" si="0"/>
        <v>0.12227210880421968</v>
      </c>
    </row>
    <row r="9" spans="1:25" x14ac:dyDescent="0.35">
      <c r="A9" s="11">
        <v>0.7</v>
      </c>
      <c r="B9" s="11">
        <v>0.2</v>
      </c>
      <c r="C9" s="11">
        <v>1.571</v>
      </c>
      <c r="D9" s="11">
        <v>1.571</v>
      </c>
      <c r="E9" s="11">
        <v>0</v>
      </c>
      <c r="F9" s="11">
        <v>0</v>
      </c>
      <c r="G9" s="11">
        <v>0</v>
      </c>
      <c r="H9" s="9">
        <v>8.7637116666883198E-4</v>
      </c>
      <c r="I9" s="9">
        <v>-0.164488449692726</v>
      </c>
      <c r="J9" s="9">
        <v>3.7763002328574701E-3</v>
      </c>
      <c r="K9" s="9">
        <v>-0.58729076385498002</v>
      </c>
      <c r="L9" s="9">
        <v>7.8071318566799199E-3</v>
      </c>
      <c r="M9" s="9">
        <v>0.38755592703819303</v>
      </c>
      <c r="N9" s="9">
        <v>-5.5758536709740483E-23</v>
      </c>
      <c r="O9" s="9">
        <v>-0.17090379169933956</v>
      </c>
      <c r="P9" s="9">
        <v>-3.4808523501034842E-5</v>
      </c>
      <c r="Q9" s="9">
        <v>-0.49229759799085399</v>
      </c>
      <c r="R9" s="9">
        <v>-1.0135522206445177E-4</v>
      </c>
      <c r="S9" s="9">
        <v>0.49763649868195081</v>
      </c>
      <c r="T9" s="7">
        <f t="shared" si="0"/>
        <v>8.7637116666883198E-4</v>
      </c>
      <c r="U9" s="7">
        <f t="shared" si="0"/>
        <v>6.4153420066135614E-3</v>
      </c>
      <c r="V9" s="7">
        <f t="shared" si="0"/>
        <v>3.811108756358505E-3</v>
      </c>
      <c r="W9" s="7">
        <f t="shared" si="0"/>
        <v>9.4993165864126039E-2</v>
      </c>
      <c r="X9" s="7">
        <f t="shared" si="0"/>
        <v>7.9084870787443709E-3</v>
      </c>
      <c r="Y9" s="7">
        <f t="shared" si="0"/>
        <v>0.11008057164375779</v>
      </c>
    </row>
    <row r="10" spans="1:25" x14ac:dyDescent="0.35">
      <c r="A10" s="11">
        <v>0.7</v>
      </c>
      <c r="B10" s="11">
        <v>0.06</v>
      </c>
      <c r="C10" s="11">
        <v>3.665</v>
      </c>
      <c r="D10" s="11">
        <v>0.78500000000000003</v>
      </c>
      <c r="E10" s="11">
        <v>0</v>
      </c>
      <c r="F10" s="11">
        <v>0</v>
      </c>
      <c r="G10" s="11">
        <v>0</v>
      </c>
      <c r="H10" s="9">
        <v>-8.6323916912078901E-4</v>
      </c>
      <c r="I10" s="9">
        <v>4.2902048677205998E-2</v>
      </c>
      <c r="J10" s="9">
        <v>-8.0319754779338795E-2</v>
      </c>
      <c r="K10" s="9">
        <v>0.61245459318161</v>
      </c>
      <c r="L10" s="9">
        <v>-0.54026973247528098</v>
      </c>
      <c r="M10" s="9">
        <v>-0.28817486763000499</v>
      </c>
      <c r="N10" s="9">
        <v>2.7995589843435515E-20</v>
      </c>
      <c r="O10" s="9">
        <v>3.792534799908652E-2</v>
      </c>
      <c r="P10" s="9">
        <v>-6.5717679335673934E-2</v>
      </c>
      <c r="Q10" s="9">
        <v>0.47927588649329234</v>
      </c>
      <c r="R10" s="9">
        <v>-0.44188672500366905</v>
      </c>
      <c r="S10" s="9">
        <v>-0.25501064540548318</v>
      </c>
      <c r="T10" s="7">
        <f t="shared" si="0"/>
        <v>8.6323916912078901E-4</v>
      </c>
      <c r="U10" s="7">
        <f t="shared" si="0"/>
        <v>4.9767006781194778E-3</v>
      </c>
      <c r="V10" s="7">
        <f t="shared" si="0"/>
        <v>1.4602075443664861E-2</v>
      </c>
      <c r="W10" s="7">
        <f t="shared" si="0"/>
        <v>0.13317870668831766</v>
      </c>
      <c r="X10" s="7">
        <f t="shared" si="0"/>
        <v>9.8383007471611938E-2</v>
      </c>
      <c r="Y10" s="7">
        <f t="shared" si="0"/>
        <v>3.3164222224521811E-2</v>
      </c>
    </row>
    <row r="11" spans="1:25" x14ac:dyDescent="0.35">
      <c r="A11" s="11">
        <v>0.6</v>
      </c>
      <c r="B11" s="11">
        <v>0.1</v>
      </c>
      <c r="C11" s="11">
        <v>3.665</v>
      </c>
      <c r="D11" s="11">
        <v>0.78500000000000003</v>
      </c>
      <c r="E11" s="11">
        <v>0</v>
      </c>
      <c r="F11" s="11">
        <v>0</v>
      </c>
      <c r="G11" s="11">
        <v>0</v>
      </c>
      <c r="H11" s="9">
        <v>-8.0120982602238698E-4</v>
      </c>
      <c r="I11" s="9">
        <v>4.2666438966989503E-2</v>
      </c>
      <c r="J11" s="9">
        <v>-8.0293677747249603E-2</v>
      </c>
      <c r="K11" s="9">
        <v>0.443310797214508</v>
      </c>
      <c r="L11" s="9">
        <v>-0.42717015743255599</v>
      </c>
      <c r="M11" s="9">
        <v>-0.22529536485672</v>
      </c>
      <c r="N11" s="9">
        <v>1.5747450944938743E-19</v>
      </c>
      <c r="O11" s="9">
        <v>4.2595102522452237E-2</v>
      </c>
      <c r="P11" s="9">
        <v>-7.3809508324303205E-2</v>
      </c>
      <c r="Q11" s="9">
        <v>0.38527891178775336</v>
      </c>
      <c r="R11" s="9">
        <v>-0.39837766895696269</v>
      </c>
      <c r="S11" s="9">
        <v>-0.22990178416200094</v>
      </c>
      <c r="T11" s="7">
        <f t="shared" si="0"/>
        <v>8.0120982602238709E-4</v>
      </c>
      <c r="U11" s="7">
        <f t="shared" si="0"/>
        <v>7.1336444537266341E-5</v>
      </c>
      <c r="V11" s="7">
        <f t="shared" si="0"/>
        <v>6.4841694229463981E-3</v>
      </c>
      <c r="W11" s="7">
        <f t="shared" si="0"/>
        <v>5.8031885426754637E-2</v>
      </c>
      <c r="X11" s="7">
        <f t="shared" si="0"/>
        <v>2.8792488475593292E-2</v>
      </c>
      <c r="Y11" s="7">
        <f t="shared" si="0"/>
        <v>4.6064193052809399E-3</v>
      </c>
    </row>
    <row r="12" spans="1:25" x14ac:dyDescent="0.35">
      <c r="A12" s="11">
        <v>0.8</v>
      </c>
      <c r="B12" s="11">
        <v>0.18</v>
      </c>
      <c r="C12" s="11">
        <v>3.665</v>
      </c>
      <c r="D12" s="11">
        <v>0.78500000000000003</v>
      </c>
      <c r="E12" s="11">
        <v>1.4</v>
      </c>
      <c r="F12" s="11">
        <v>0</v>
      </c>
      <c r="G12" s="11">
        <v>0</v>
      </c>
      <c r="H12" s="9">
        <v>-5.5334065109491301E-5</v>
      </c>
      <c r="I12" s="9">
        <v>7.7956624329090105E-2</v>
      </c>
      <c r="J12" s="9">
        <v>-0.13737398386001601</v>
      </c>
      <c r="K12" s="9">
        <v>0.41918036341667197</v>
      </c>
      <c r="L12" s="9">
        <v>-0.55125319957733199</v>
      </c>
      <c r="M12" s="9">
        <v>-0.30630308389663702</v>
      </c>
      <c r="N12" s="9">
        <v>1.2806708318919579E-6</v>
      </c>
      <c r="O12" s="9">
        <v>8.9598764692502594E-2</v>
      </c>
      <c r="P12" s="9">
        <v>-0.15526663956471159</v>
      </c>
      <c r="Q12" s="9">
        <v>0.32090141234171987</v>
      </c>
      <c r="R12" s="9">
        <v>-0.63470132138424606</v>
      </c>
      <c r="S12" s="9">
        <v>-0.36626056034599003</v>
      </c>
      <c r="T12" s="7">
        <f t="shared" si="0"/>
        <v>5.6614735941383257E-5</v>
      </c>
      <c r="U12" s="7">
        <f t="shared" si="0"/>
        <v>1.164214036341249E-2</v>
      </c>
      <c r="V12" s="7">
        <f t="shared" si="0"/>
        <v>1.7892655704695587E-2</v>
      </c>
      <c r="W12" s="7">
        <f t="shared" si="0"/>
        <v>9.8278951074952103E-2</v>
      </c>
      <c r="X12" s="7">
        <f t="shared" si="0"/>
        <v>8.3448121806914077E-2</v>
      </c>
      <c r="Y12" s="7">
        <f t="shared" si="0"/>
        <v>5.9957476449353009E-2</v>
      </c>
    </row>
    <row r="13" spans="1:25" x14ac:dyDescent="0.35">
      <c r="A13" s="11">
        <v>0.4</v>
      </c>
      <c r="B13" s="11">
        <v>0.2</v>
      </c>
      <c r="C13" s="11">
        <v>3.665</v>
      </c>
      <c r="D13" s="11">
        <v>0.78500000000000003</v>
      </c>
      <c r="E13" s="11">
        <v>1.4</v>
      </c>
      <c r="F13" s="11">
        <v>0</v>
      </c>
      <c r="G13" s="11">
        <v>0</v>
      </c>
      <c r="H13" s="9">
        <v>-9.6024014055728899E-5</v>
      </c>
      <c r="I13" s="9">
        <v>3.4424368292093298E-2</v>
      </c>
      <c r="J13" s="9">
        <v>-6.16564750671387E-2</v>
      </c>
      <c r="K13" s="9">
        <v>0.267098218202591</v>
      </c>
      <c r="L13" s="9">
        <v>-0.21448078751564001</v>
      </c>
      <c r="M13" s="9">
        <v>-0.115060687065125</v>
      </c>
      <c r="N13" s="9">
        <v>7.959213047865645E-7</v>
      </c>
      <c r="O13" s="9">
        <v>4.2758901408250199E-2</v>
      </c>
      <c r="P13" s="9">
        <v>-7.409874477888824E-2</v>
      </c>
      <c r="Q13" s="9">
        <v>0.24266050564310035</v>
      </c>
      <c r="R13" s="9">
        <v>-0.27541643284696821</v>
      </c>
      <c r="S13" s="9">
        <v>-0.15892726955619746</v>
      </c>
      <c r="T13" s="7">
        <f t="shared" si="0"/>
        <v>9.6819935360515464E-5</v>
      </c>
      <c r="U13" s="7">
        <f t="shared" si="0"/>
        <v>8.3345331161569017E-3</v>
      </c>
      <c r="V13" s="7">
        <f t="shared" si="0"/>
        <v>1.244226971174954E-2</v>
      </c>
      <c r="W13" s="7">
        <f t="shared" si="0"/>
        <v>2.4437712559490649E-2</v>
      </c>
      <c r="X13" s="7">
        <f t="shared" si="0"/>
        <v>6.0935645331328198E-2</v>
      </c>
      <c r="Y13" s="7">
        <f t="shared" si="0"/>
        <v>4.3866582491072462E-2</v>
      </c>
    </row>
    <row r="14" spans="1:25" x14ac:dyDescent="0.35">
      <c r="A14" s="11">
        <v>0.4</v>
      </c>
      <c r="B14" s="11">
        <v>0.1</v>
      </c>
      <c r="C14" s="11">
        <v>3.665</v>
      </c>
      <c r="D14" s="11">
        <v>1.571</v>
      </c>
      <c r="E14" s="11">
        <v>1.4</v>
      </c>
      <c r="F14" s="11">
        <v>0</v>
      </c>
      <c r="G14" s="11">
        <v>0</v>
      </c>
      <c r="H14" s="9">
        <v>-3.7108035758137698E-4</v>
      </c>
      <c r="I14" s="9">
        <v>3.7644270807504703E-2</v>
      </c>
      <c r="J14" s="9">
        <v>-6.73996657133102E-2</v>
      </c>
      <c r="K14" s="9">
        <v>1.67829748243093E-2</v>
      </c>
      <c r="L14" s="9">
        <v>-0.33880779147148099</v>
      </c>
      <c r="M14" s="9">
        <v>-0.185297966003418</v>
      </c>
      <c r="N14" s="9">
        <v>1.8798558318620211E-7</v>
      </c>
      <c r="O14" s="9">
        <v>3.7977347545283001E-2</v>
      </c>
      <c r="P14" s="9">
        <v>-6.5807796261391785E-2</v>
      </c>
      <c r="Q14" s="9">
        <v>-1.166471548416486E-2</v>
      </c>
      <c r="R14" s="9">
        <v>-0.34629977752270086</v>
      </c>
      <c r="S14" s="9">
        <v>-0.19984788954804875</v>
      </c>
      <c r="T14" s="7">
        <f t="shared" si="0"/>
        <v>3.7126834316456318E-4</v>
      </c>
      <c r="U14" s="7">
        <f t="shared" si="0"/>
        <v>3.3307673777829838E-4</v>
      </c>
      <c r="V14" s="7">
        <f t="shared" si="0"/>
        <v>1.5918694519184151E-3</v>
      </c>
      <c r="W14" s="7">
        <f t="shared" si="0"/>
        <v>2.8447690308474161E-2</v>
      </c>
      <c r="X14" s="7">
        <f t="shared" si="0"/>
        <v>7.4919860512198677E-3</v>
      </c>
      <c r="Y14" s="7">
        <f t="shared" si="0"/>
        <v>1.454992354463075E-2</v>
      </c>
    </row>
    <row r="15" spans="1:25" x14ac:dyDescent="0.35">
      <c r="A15" s="11">
        <v>0.7</v>
      </c>
      <c r="B15" s="11">
        <v>0.1</v>
      </c>
      <c r="C15" s="11">
        <v>3.665</v>
      </c>
      <c r="D15" s="11">
        <v>1.571</v>
      </c>
      <c r="E15" s="11">
        <v>1.4</v>
      </c>
      <c r="F15" s="11">
        <v>0</v>
      </c>
      <c r="G15" s="11">
        <v>0</v>
      </c>
      <c r="H15" s="9">
        <v>-1.02429185062647E-3</v>
      </c>
      <c r="I15" s="9">
        <v>7.0613205432891804E-2</v>
      </c>
      <c r="J15" s="9">
        <v>-0.12678831815719599</v>
      </c>
      <c r="K15" s="9">
        <v>-2.9671346768736801E-2</v>
      </c>
      <c r="L15" s="9">
        <v>-0.63574087619781505</v>
      </c>
      <c r="M15" s="9">
        <v>-0.34651768207549999</v>
      </c>
      <c r="N15" s="9">
        <v>3.2897292876194896E-7</v>
      </c>
      <c r="O15" s="9">
        <v>6.6320553276634275E-2</v>
      </c>
      <c r="P15" s="9">
        <v>-0.11492137059425253</v>
      </c>
      <c r="Q15" s="9">
        <v>-6.3401257758749469E-2</v>
      </c>
      <c r="R15" s="9">
        <v>-0.60379161477146381</v>
      </c>
      <c r="S15" s="9">
        <v>-0.34844532923612304</v>
      </c>
      <c r="T15" s="7">
        <f t="shared" si="0"/>
        <v>1.024620823555232E-3</v>
      </c>
      <c r="U15" s="7">
        <f t="shared" si="0"/>
        <v>4.2926521562575287E-3</v>
      </c>
      <c r="V15" s="7">
        <f t="shared" si="0"/>
        <v>1.1866947562943458E-2</v>
      </c>
      <c r="W15" s="7">
        <f t="shared" si="0"/>
        <v>3.3729910990012671E-2</v>
      </c>
      <c r="X15" s="7">
        <f t="shared" si="0"/>
        <v>3.1949261426351239E-2</v>
      </c>
      <c r="Y15" s="7">
        <f t="shared" si="0"/>
        <v>1.9276471606230472E-3</v>
      </c>
    </row>
    <row r="16" spans="1:25" x14ac:dyDescent="0.35">
      <c r="A16" s="11">
        <v>0.4</v>
      </c>
      <c r="B16" s="11">
        <v>0.16</v>
      </c>
      <c r="C16" s="11">
        <v>3.665</v>
      </c>
      <c r="D16" s="11">
        <v>1.571</v>
      </c>
      <c r="E16" s="11">
        <v>0</v>
      </c>
      <c r="F16" s="11">
        <v>0</v>
      </c>
      <c r="G16" s="11">
        <v>0</v>
      </c>
      <c r="H16" s="9">
        <v>-6.0879066586494402E-4</v>
      </c>
      <c r="I16" s="9">
        <v>4.7145899385213901E-2</v>
      </c>
      <c r="J16" s="9">
        <v>-8.5028916597366305E-2</v>
      </c>
      <c r="K16" s="9">
        <v>-7.4065491557121305E-2</v>
      </c>
      <c r="L16" s="9">
        <v>-0.31546109914779702</v>
      </c>
      <c r="M16" s="9">
        <v>-0.17043319344520599</v>
      </c>
      <c r="N16" s="9">
        <v>4.3766437877754042E-19</v>
      </c>
      <c r="O16" s="9">
        <v>4.914143114416436E-2</v>
      </c>
      <c r="P16" s="9">
        <v>-8.5153096396269862E-2</v>
      </c>
      <c r="Q16" s="9">
        <v>-0.10230939152747075</v>
      </c>
      <c r="R16" s="9">
        <v>-0.33492351035309031</v>
      </c>
      <c r="S16" s="9">
        <v>-0.19328270279199361</v>
      </c>
      <c r="T16" s="7">
        <f t="shared" si="0"/>
        <v>6.0879066586494446E-4</v>
      </c>
      <c r="U16" s="7">
        <f t="shared" si="0"/>
        <v>1.9955317589504598E-3</v>
      </c>
      <c r="V16" s="7">
        <f t="shared" si="0"/>
        <v>1.2417979890355646E-4</v>
      </c>
      <c r="W16" s="7">
        <f t="shared" si="0"/>
        <v>2.8243899970349443E-2</v>
      </c>
      <c r="X16" s="7">
        <f t="shared" si="0"/>
        <v>1.9462411205293295E-2</v>
      </c>
      <c r="Y16" s="7">
        <f t="shared" si="0"/>
        <v>2.2849509346787616E-2</v>
      </c>
    </row>
    <row r="17" spans="1:25" x14ac:dyDescent="0.35">
      <c r="A17" s="11">
        <v>0.3</v>
      </c>
      <c r="B17" s="11">
        <v>0.18</v>
      </c>
      <c r="C17" s="11">
        <v>3.665</v>
      </c>
      <c r="D17" s="11">
        <v>1.571</v>
      </c>
      <c r="E17" s="11">
        <v>0</v>
      </c>
      <c r="F17" s="11">
        <v>0</v>
      </c>
      <c r="G17" s="11">
        <v>0</v>
      </c>
      <c r="H17" s="9">
        <v>3.8368394598364803E-5</v>
      </c>
      <c r="I17" s="9">
        <v>3.2897148281335803E-2</v>
      </c>
      <c r="J17" s="9">
        <v>-5.8571800589561497E-2</v>
      </c>
      <c r="K17" s="9">
        <v>-6.3505612313747406E-2</v>
      </c>
      <c r="L17" s="9">
        <v>-0.19738522171974199</v>
      </c>
      <c r="M17" s="9">
        <v>-0.108248926699162</v>
      </c>
      <c r="N17" s="9">
        <v>-8.8159604157983913E-19</v>
      </c>
      <c r="O17" s="9">
        <v>3.9820341351303912E-2</v>
      </c>
      <c r="P17" s="9">
        <v>-6.9001355611162649E-2</v>
      </c>
      <c r="Q17" s="9">
        <v>-7.939064487958726E-2</v>
      </c>
      <c r="R17" s="9">
        <v>-0.25057249669220577</v>
      </c>
      <c r="S17" s="9">
        <v>-0.14460414963090887</v>
      </c>
      <c r="T17" s="7">
        <f t="shared" si="0"/>
        <v>3.8368394598365684E-5</v>
      </c>
      <c r="U17" s="7">
        <f t="shared" si="0"/>
        <v>6.9231930699681088E-3</v>
      </c>
      <c r="V17" s="7">
        <f t="shared" si="0"/>
        <v>1.0429555021601151E-2</v>
      </c>
      <c r="W17" s="7">
        <f t="shared" si="0"/>
        <v>1.5885032565839854E-2</v>
      </c>
      <c r="X17" s="7">
        <f t="shared" si="0"/>
        <v>5.3187274972463783E-2</v>
      </c>
      <c r="Y17" s="7">
        <f t="shared" si="0"/>
        <v>3.6355222931746867E-2</v>
      </c>
    </row>
  </sheetData>
  <mergeCells count="4">
    <mergeCell ref="A1:G1"/>
    <mergeCell ref="H1:M1"/>
    <mergeCell ref="N1:S1"/>
    <mergeCell ref="T1:Y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6F75F-00D5-499A-8B94-C01DFDD9DEC2}">
  <dimension ref="A1:Z17"/>
  <sheetViews>
    <sheetView topLeftCell="L1" workbookViewId="0">
      <selection activeCell="I15" sqref="I15"/>
    </sheetView>
  </sheetViews>
  <sheetFormatPr defaultRowHeight="14.5" x14ac:dyDescent="0.35"/>
  <cols>
    <col min="1" max="2" width="6.1796875" bestFit="1" customWidth="1"/>
    <col min="3" max="3" width="8.81640625" bestFit="1" customWidth="1"/>
    <col min="4" max="4" width="10.81640625" bestFit="1" customWidth="1"/>
    <col min="5" max="7" width="8.453125" bestFit="1" customWidth="1"/>
    <col min="8" max="9" width="8.1796875" bestFit="1" customWidth="1"/>
    <col min="10" max="13" width="8" bestFit="1" customWidth="1"/>
    <col min="14" max="15" width="7.26953125" bestFit="1" customWidth="1"/>
    <col min="16" max="16" width="8.81640625" bestFit="1" customWidth="1"/>
    <col min="17" max="17" width="10.81640625" bestFit="1" customWidth="1"/>
    <col min="18" max="18" width="15" customWidth="1"/>
    <col min="19" max="19" width="11.1796875" bestFit="1" customWidth="1"/>
    <col min="20" max="20" width="13.453125" bestFit="1" customWidth="1"/>
    <col min="21" max="21" width="11.7265625" bestFit="1" customWidth="1"/>
    <col min="22" max="22" width="11.7265625" customWidth="1"/>
    <col min="23" max="23" width="11.1796875" bestFit="1" customWidth="1"/>
    <col min="24" max="24" width="13.54296875" bestFit="1" customWidth="1"/>
    <col min="25" max="25" width="11.7265625" bestFit="1" customWidth="1"/>
    <col min="26" max="26" width="12.54296875" customWidth="1"/>
  </cols>
  <sheetData>
    <row r="1" spans="1:26" ht="16" x14ac:dyDescent="0.4">
      <c r="A1" s="22" t="s">
        <v>13</v>
      </c>
      <c r="B1" s="22"/>
      <c r="C1" s="22"/>
      <c r="D1" s="22"/>
      <c r="E1" s="22"/>
      <c r="F1" s="22"/>
      <c r="G1" s="22"/>
      <c r="H1" s="23" t="s">
        <v>6</v>
      </c>
      <c r="I1" s="23"/>
      <c r="J1" s="23"/>
      <c r="K1" s="23"/>
      <c r="L1" s="23"/>
      <c r="M1" s="23"/>
      <c r="N1" s="25" t="s">
        <v>9</v>
      </c>
      <c r="O1" s="25"/>
      <c r="P1" s="25"/>
      <c r="Q1" s="25"/>
      <c r="R1" s="25"/>
      <c r="S1" s="24" t="s">
        <v>15</v>
      </c>
      <c r="T1" s="24"/>
      <c r="U1" s="24"/>
      <c r="V1" s="6"/>
      <c r="W1" s="21" t="s">
        <v>30</v>
      </c>
      <c r="X1" s="21"/>
      <c r="Y1" s="21"/>
    </row>
    <row r="2" spans="1:26" ht="16" x14ac:dyDescent="0.4">
      <c r="A2" s="1" t="s">
        <v>7</v>
      </c>
      <c r="B2" s="1" t="s">
        <v>8</v>
      </c>
      <c r="C2" s="1" t="s">
        <v>25</v>
      </c>
      <c r="D2" s="1" t="s">
        <v>26</v>
      </c>
      <c r="E2" s="1" t="s">
        <v>10</v>
      </c>
      <c r="F2" s="1" t="s">
        <v>11</v>
      </c>
      <c r="G2" s="1" t="s">
        <v>12</v>
      </c>
      <c r="H2" s="1" t="s">
        <v>3</v>
      </c>
      <c r="I2" s="1" t="s">
        <v>4</v>
      </c>
      <c r="J2" s="1" t="s">
        <v>5</v>
      </c>
      <c r="K2" s="1" t="s">
        <v>0</v>
      </c>
      <c r="L2" s="1" t="s">
        <v>1</v>
      </c>
      <c r="M2" s="1" t="s">
        <v>2</v>
      </c>
      <c r="N2" s="1" t="s">
        <v>7</v>
      </c>
      <c r="O2" s="1" t="s">
        <v>8</v>
      </c>
      <c r="P2" s="1" t="s">
        <v>25</v>
      </c>
      <c r="Q2" s="1" t="s">
        <v>26</v>
      </c>
      <c r="R2" s="1" t="s">
        <v>27</v>
      </c>
      <c r="S2" s="1" t="s">
        <v>28</v>
      </c>
      <c r="T2" s="1" t="s">
        <v>29</v>
      </c>
      <c r="U2" s="4" t="s">
        <v>31</v>
      </c>
      <c r="V2" s="4" t="s">
        <v>32</v>
      </c>
      <c r="W2" s="1" t="s">
        <v>28</v>
      </c>
      <c r="X2" s="1" t="s">
        <v>29</v>
      </c>
      <c r="Y2" s="4" t="s">
        <v>31</v>
      </c>
      <c r="Z2" s="4" t="s">
        <v>32</v>
      </c>
    </row>
    <row r="3" spans="1:26" x14ac:dyDescent="0.35">
      <c r="A3" s="9">
        <f>'Proximal Validation (single)'!A3</f>
        <v>0.3</v>
      </c>
      <c r="B3" s="9">
        <f>'Proximal Validation (single)'!B3</f>
        <v>0.08</v>
      </c>
      <c r="C3" s="9">
        <f>'Proximal Validation (single)'!C3</f>
        <v>1.571</v>
      </c>
      <c r="D3" s="9">
        <f>'Proximal Validation (single)'!D3</f>
        <v>0.78500000000000003</v>
      </c>
      <c r="E3" s="9">
        <f>'Proximal Validation (single)'!E3</f>
        <v>1.4</v>
      </c>
      <c r="F3" s="9">
        <f>'Proximal Validation (single)'!F3</f>
        <v>0</v>
      </c>
      <c r="G3" s="9">
        <f>'Proximal Validation (single)'!G3</f>
        <v>0</v>
      </c>
      <c r="H3" s="9">
        <f>'Proximal Validation (single)'!H3</f>
        <v>2.6342464843764901E-4</v>
      </c>
      <c r="I3" s="9">
        <f>'Proximal Validation (single)'!I3</f>
        <v>-3.2978262752294499E-2</v>
      </c>
      <c r="J3" s="9">
        <f>'Proximal Validation (single)'!J3</f>
        <v>5.6162860710173802E-4</v>
      </c>
      <c r="K3" s="9">
        <f>'Proximal Validation (single)'!K3</f>
        <v>0.185834720730782</v>
      </c>
      <c r="L3" s="9">
        <f>'Proximal Validation (single)'!L3</f>
        <v>1.13257020711899E-3</v>
      </c>
      <c r="M3" s="9">
        <f>'Proximal Validation (single)'!M3</f>
        <v>0.19288232922553999</v>
      </c>
      <c r="N3" s="9">
        <v>0.26784524078593064</v>
      </c>
      <c r="O3" s="9">
        <v>8.2926449379601891E-2</v>
      </c>
      <c r="P3" s="9">
        <v>1.6001678617441324</v>
      </c>
      <c r="Q3" s="9">
        <v>0.75936828410775348</v>
      </c>
      <c r="R3" s="10">
        <v>3.5206045653548973E-7</v>
      </c>
      <c r="S3" s="8">
        <f>ABS(N3-A3)</f>
        <v>3.2154759214069351E-2</v>
      </c>
      <c r="T3" s="8">
        <f t="shared" ref="T3:V3" si="0">ABS(O3-B3)</f>
        <v>2.9264493796018892E-3</v>
      </c>
      <c r="U3" s="8">
        <f t="shared" si="0"/>
        <v>2.9167861744132439E-2</v>
      </c>
      <c r="V3" s="8">
        <f t="shared" si="0"/>
        <v>2.5631715892246554E-2</v>
      </c>
      <c r="W3" s="9">
        <f>AVERAGE(S3:S17)</f>
        <v>4.1514744245250403E-2</v>
      </c>
      <c r="X3" s="9">
        <f t="shared" ref="X3:Z3" si="1">AVERAGE(T3:T17)</f>
        <v>8.4886614096594815E-3</v>
      </c>
      <c r="Y3" s="9">
        <f>AVERAGE(U3:U17)</f>
        <v>3.238573799320732E-2</v>
      </c>
      <c r="Z3" s="9">
        <f t="shared" si="1"/>
        <v>8.5712786606328514E-2</v>
      </c>
    </row>
    <row r="4" spans="1:26" x14ac:dyDescent="0.35">
      <c r="A4" s="9">
        <f>'Proximal Validation (single)'!A4</f>
        <v>0.4</v>
      </c>
      <c r="B4" s="9">
        <f>'Proximal Validation (single)'!B4</f>
        <v>0.14000000000000001</v>
      </c>
      <c r="C4" s="9">
        <f>'Proximal Validation (single)'!C4</f>
        <v>1.571</v>
      </c>
      <c r="D4" s="9">
        <f>'Proximal Validation (single)'!D4</f>
        <v>0.78500000000000003</v>
      </c>
      <c r="E4" s="9">
        <f>'Proximal Validation (single)'!E4</f>
        <v>0</v>
      </c>
      <c r="F4" s="9">
        <f>'Proximal Validation (single)'!F4</f>
        <v>0</v>
      </c>
      <c r="G4" s="9">
        <f>'Proximal Validation (single)'!G4</f>
        <v>0</v>
      </c>
      <c r="H4" s="9">
        <f>'Proximal Validation (single)'!H4</f>
        <v>-4.3474312406033299E-4</v>
      </c>
      <c r="I4" s="9">
        <f>'Proximal Validation (single)'!I4</f>
        <v>-6.2425632029771798E-2</v>
      </c>
      <c r="J4" s="9">
        <f>'Proximal Validation (single)'!J4</f>
        <v>2.5845002382993698E-3</v>
      </c>
      <c r="K4" s="9">
        <f>'Proximal Validation (single)'!K4</f>
        <v>0.25303724408149703</v>
      </c>
      <c r="L4" s="9">
        <f>'Proximal Validation (single)'!L4</f>
        <v>1.07369087636471E-2</v>
      </c>
      <c r="M4" s="9">
        <f>'Proximal Validation (single)'!M4</f>
        <v>0.27653545141220098</v>
      </c>
      <c r="N4" s="9">
        <v>0.37498688000716013</v>
      </c>
      <c r="O4" s="9">
        <v>0.14629244618973333</v>
      </c>
      <c r="P4" s="9">
        <v>1.5318646316292099</v>
      </c>
      <c r="Q4" s="9">
        <v>0.70267597469996101</v>
      </c>
      <c r="R4" s="10">
        <v>2.1354571308302574E-7</v>
      </c>
      <c r="S4" s="8">
        <f t="shared" ref="S4:S17" si="2">ABS(N4-A4)</f>
        <v>2.5013119992839894E-2</v>
      </c>
      <c r="T4" s="8">
        <f t="shared" ref="T4:T17" si="3">ABS(O4-B4)</f>
        <v>6.2924461897333195E-3</v>
      </c>
      <c r="U4" s="8">
        <f t="shared" ref="U4:U17" si="4">ABS(P4-C4)</f>
        <v>3.9135368370790014E-2</v>
      </c>
      <c r="V4" s="8">
        <f t="shared" ref="V4:V17" si="5">ABS(Q4-D4)</f>
        <v>8.2324025300039017E-2</v>
      </c>
      <c r="Y4">
        <f>DEGREES(Y3)</f>
        <v>1.8555661034272597</v>
      </c>
      <c r="Z4">
        <f>DEGREES(Z3)</f>
        <v>4.9109809228480739</v>
      </c>
    </row>
    <row r="5" spans="1:26" x14ac:dyDescent="0.35">
      <c r="A5" s="9">
        <f>'Proximal Validation (single)'!A5</f>
        <v>0.6</v>
      </c>
      <c r="B5" s="9">
        <f>'Proximal Validation (single)'!B5</f>
        <v>0.16</v>
      </c>
      <c r="C5" s="9">
        <f>'Proximal Validation (single)'!C5</f>
        <v>1.571</v>
      </c>
      <c r="D5" s="9">
        <f>'Proximal Validation (single)'!D5</f>
        <v>0.78500000000000003</v>
      </c>
      <c r="E5" s="9">
        <f>'Proximal Validation (single)'!E5</f>
        <v>1.4</v>
      </c>
      <c r="F5" s="9">
        <f>'Proximal Validation (single)'!F5</f>
        <v>0</v>
      </c>
      <c r="G5" s="9">
        <f>'Proximal Validation (single)'!G5</f>
        <v>0</v>
      </c>
      <c r="H5" s="9">
        <f>'Proximal Validation (single)'!H5</f>
        <v>5.3234044462442398E-3</v>
      </c>
      <c r="I5" s="9">
        <f>'Proximal Validation (single)'!I5</f>
        <v>-0.12275674194097499</v>
      </c>
      <c r="J5" s="9">
        <f>'Proximal Validation (single)'!J5</f>
        <v>-8.3989212289452605E-3</v>
      </c>
      <c r="K5" s="9">
        <f>'Proximal Validation (single)'!K5</f>
        <v>0.26806160807609603</v>
      </c>
      <c r="L5" s="9">
        <f>'Proximal Validation (single)'!L5</f>
        <v>-2.4467468261718799E-2</v>
      </c>
      <c r="M5" s="9">
        <f>'Proximal Validation (single)'!M5</f>
        <v>0.52633810043335005</v>
      </c>
      <c r="N5" s="9">
        <v>0.59113223162716211</v>
      </c>
      <c r="O5" s="9">
        <v>0.16485707594827678</v>
      </c>
      <c r="P5" s="9">
        <v>1.7130465061357463</v>
      </c>
      <c r="Q5" s="9">
        <v>0.74340021147073909</v>
      </c>
      <c r="R5" s="10">
        <v>6.3740060248515207E-6</v>
      </c>
      <c r="S5" s="8">
        <f t="shared" si="2"/>
        <v>8.8677683728378698E-3</v>
      </c>
      <c r="T5" s="8">
        <f t="shared" si="3"/>
        <v>4.8570759482767789E-3</v>
      </c>
      <c r="U5" s="8">
        <f t="shared" si="4"/>
        <v>0.14204650613574632</v>
      </c>
      <c r="V5" s="8">
        <f t="shared" si="5"/>
        <v>4.1599788529260939E-2</v>
      </c>
    </row>
    <row r="6" spans="1:26" x14ac:dyDescent="0.35">
      <c r="A6" s="9">
        <f>'Proximal Validation (single)'!A6</f>
        <v>0.4</v>
      </c>
      <c r="B6" s="9">
        <f>'Proximal Validation (single)'!B6</f>
        <v>0.06</v>
      </c>
      <c r="C6" s="9">
        <f>'Proximal Validation (single)'!C6</f>
        <v>1.571</v>
      </c>
      <c r="D6" s="9">
        <f>'Proximal Validation (single)'!D6</f>
        <v>1.571</v>
      </c>
      <c r="E6" s="9">
        <f>'Proximal Validation (single)'!E6</f>
        <v>1.4</v>
      </c>
      <c r="F6" s="9">
        <f>'Proximal Validation (single)'!F6</f>
        <v>0</v>
      </c>
      <c r="G6" s="9">
        <f>'Proximal Validation (single)'!G6</f>
        <v>0</v>
      </c>
      <c r="H6" s="9">
        <f>'Proximal Validation (single)'!H6</f>
        <v>6.7002582363784302E-4</v>
      </c>
      <c r="I6" s="9">
        <f>'Proximal Validation (single)'!I6</f>
        <v>-6.6750191152095795E-2</v>
      </c>
      <c r="J6" s="9">
        <f>'Proximal Validation (single)'!J6</f>
        <v>1.6002767952158999E-3</v>
      </c>
      <c r="K6" s="9">
        <f>'Proximal Validation (single)'!K6</f>
        <v>-3.97013984620571E-2</v>
      </c>
      <c r="L6" s="9">
        <f>'Proximal Validation (single)'!L6</f>
        <v>7.3561742901802098E-3</v>
      </c>
      <c r="M6" s="9">
        <f>'Proximal Validation (single)'!M6</f>
        <v>0.423814177513123</v>
      </c>
      <c r="N6" s="9">
        <v>0.42573317586781634</v>
      </c>
      <c r="O6" s="9">
        <v>6.7481727656812596E-2</v>
      </c>
      <c r="P6" s="9">
        <v>1.551658060490148</v>
      </c>
      <c r="Q6" s="9">
        <v>1.6132216598295499</v>
      </c>
      <c r="R6" s="10">
        <v>2.6866250907503745E-7</v>
      </c>
      <c r="S6" s="8">
        <f t="shared" si="2"/>
        <v>2.5733175867816316E-2</v>
      </c>
      <c r="T6" s="8">
        <f t="shared" si="3"/>
        <v>7.4817276568125979E-3</v>
      </c>
      <c r="U6" s="8">
        <f t="shared" si="4"/>
        <v>1.9341939509851969E-2</v>
      </c>
      <c r="V6" s="8">
        <f t="shared" si="5"/>
        <v>4.2221659829549951E-2</v>
      </c>
    </row>
    <row r="7" spans="1:26" x14ac:dyDescent="0.35">
      <c r="A7" s="9">
        <f>'Proximal Validation (single)'!A7</f>
        <v>0.8</v>
      </c>
      <c r="B7" s="9">
        <f>'Proximal Validation (single)'!B7</f>
        <v>0.08</v>
      </c>
      <c r="C7" s="9">
        <f>'Proximal Validation (single)'!C7</f>
        <v>1.571</v>
      </c>
      <c r="D7" s="9">
        <f>'Proximal Validation (single)'!D7</f>
        <v>1.571</v>
      </c>
      <c r="E7" s="9">
        <f>'Proximal Validation (single)'!E7</f>
        <v>0</v>
      </c>
      <c r="F7" s="9">
        <f>'Proximal Validation (single)'!F7</f>
        <v>0</v>
      </c>
      <c r="G7" s="9">
        <f>'Proximal Validation (single)'!G7</f>
        <v>0</v>
      </c>
      <c r="H7" s="9">
        <f>'Proximal Validation (single)'!H7</f>
        <v>7.4092089198529699E-4</v>
      </c>
      <c r="I7" s="9">
        <f>'Proximal Validation (single)'!I7</f>
        <v>-0.14775538444519001</v>
      </c>
      <c r="J7" s="9">
        <f>'Proximal Validation (single)'!J7</f>
        <v>3.4220633096993E-3</v>
      </c>
      <c r="K7" s="9">
        <f>'Proximal Validation (single)'!K7</f>
        <v>-0.161362335085869</v>
      </c>
      <c r="L7" s="9">
        <f>'Proximal Validation (single)'!L7</f>
        <v>2.0262047648429898E-2</v>
      </c>
      <c r="M7" s="9">
        <f>'Proximal Validation (single)'!M7</f>
        <v>0.82944488525390603</v>
      </c>
      <c r="N7" s="9">
        <v>0.84524021240523917</v>
      </c>
      <c r="O7" s="9">
        <v>8.7183959051142915E-2</v>
      </c>
      <c r="P7" s="9">
        <v>1.5464117192625275</v>
      </c>
      <c r="Q7" s="9">
        <v>1.6376698247167225</v>
      </c>
      <c r="R7" s="10">
        <v>5.8297182624313249E-7</v>
      </c>
      <c r="S7" s="8">
        <f t="shared" si="2"/>
        <v>4.5240212405239122E-2</v>
      </c>
      <c r="T7" s="8">
        <f t="shared" si="3"/>
        <v>7.183959051142913E-3</v>
      </c>
      <c r="U7" s="8">
        <f t="shared" si="4"/>
        <v>2.4588280737472434E-2</v>
      </c>
      <c r="V7" s="8">
        <f t="shared" si="5"/>
        <v>6.6669824716722559E-2</v>
      </c>
    </row>
    <row r="8" spans="1:26" x14ac:dyDescent="0.35">
      <c r="A8" s="9">
        <f>'Proximal Validation (single)'!A8</f>
        <v>0.7</v>
      </c>
      <c r="B8" s="9">
        <f>'Proximal Validation (single)'!B8</f>
        <v>0.16</v>
      </c>
      <c r="C8" s="9">
        <f>'Proximal Validation (single)'!C8</f>
        <v>1.571</v>
      </c>
      <c r="D8" s="9">
        <f>'Proximal Validation (single)'!D8</f>
        <v>1.571</v>
      </c>
      <c r="E8" s="9">
        <f>'Proximal Validation (single)'!E8</f>
        <v>1.4</v>
      </c>
      <c r="F8" s="9">
        <f>'Proximal Validation (single)'!F8</f>
        <v>0</v>
      </c>
      <c r="G8" s="9">
        <f>'Proximal Validation (single)'!G8</f>
        <v>0</v>
      </c>
      <c r="H8" s="9">
        <f>'Proximal Validation (single)'!H8</f>
        <v>6.6551081836223602E-3</v>
      </c>
      <c r="I8" s="9">
        <f>'Proximal Validation (single)'!I8</f>
        <v>-0.148307904601097</v>
      </c>
      <c r="J8" s="9">
        <f>'Proximal Validation (single)'!J8</f>
        <v>-1.0527462000027299E-3</v>
      </c>
      <c r="K8" s="9">
        <f>'Proximal Validation (single)'!K8</f>
        <v>-0.444706320762634</v>
      </c>
      <c r="L8" s="9">
        <f>'Proximal Validation (single)'!L8</f>
        <v>-2.19946205615997E-2</v>
      </c>
      <c r="M8" s="9">
        <f>'Proximal Validation (single)'!M8</f>
        <v>0.489793181419373</v>
      </c>
      <c r="N8" s="9">
        <v>0.66189889087346132</v>
      </c>
      <c r="O8" s="9">
        <v>0.17541313864579372</v>
      </c>
      <c r="P8" s="9">
        <v>1.5629917479948727</v>
      </c>
      <c r="Q8" s="9">
        <v>1.7129396559253787</v>
      </c>
      <c r="R8" s="10">
        <v>3.5747723781823878E-6</v>
      </c>
      <c r="S8" s="8">
        <f t="shared" si="2"/>
        <v>3.8101109126538635E-2</v>
      </c>
      <c r="T8" s="8">
        <f t="shared" si="3"/>
        <v>1.5413138645793717E-2</v>
      </c>
      <c r="U8" s="8">
        <f t="shared" si="4"/>
        <v>8.0082520051272255E-3</v>
      </c>
      <c r="V8" s="8">
        <f t="shared" si="5"/>
        <v>0.14193965592537872</v>
      </c>
    </row>
    <row r="9" spans="1:26" x14ac:dyDescent="0.35">
      <c r="A9" s="9">
        <f>'Proximal Validation (single)'!A9</f>
        <v>0.7</v>
      </c>
      <c r="B9" s="9">
        <f>'Proximal Validation (single)'!B9</f>
        <v>0.2</v>
      </c>
      <c r="C9" s="9">
        <f>'Proximal Validation (single)'!C9</f>
        <v>1.571</v>
      </c>
      <c r="D9" s="9">
        <f>'Proximal Validation (single)'!D9</f>
        <v>1.571</v>
      </c>
      <c r="E9" s="9">
        <f>'Proximal Validation (single)'!E9</f>
        <v>0</v>
      </c>
      <c r="F9" s="9">
        <f>'Proximal Validation (single)'!F9</f>
        <v>0</v>
      </c>
      <c r="G9" s="9">
        <f>'Proximal Validation (single)'!G9</f>
        <v>0</v>
      </c>
      <c r="H9" s="9">
        <f>'Proximal Validation (single)'!H9</f>
        <v>8.7637116666883198E-4</v>
      </c>
      <c r="I9" s="9">
        <f>'Proximal Validation (single)'!I9</f>
        <v>-0.164488449692726</v>
      </c>
      <c r="J9" s="9">
        <f>'Proximal Validation (single)'!J9</f>
        <v>3.7763002328574701E-3</v>
      </c>
      <c r="K9" s="9">
        <f>'Proximal Validation (single)'!K9</f>
        <v>-0.58729076385498002</v>
      </c>
      <c r="L9" s="9">
        <f>'Proximal Validation (single)'!L9</f>
        <v>7.8071318566799199E-3</v>
      </c>
      <c r="M9" s="9">
        <f>'Proximal Validation (single)'!M9</f>
        <v>0.38755592703819303</v>
      </c>
      <c r="N9" s="9">
        <v>0.70761299912227915</v>
      </c>
      <c r="O9" s="9">
        <v>0.2</v>
      </c>
      <c r="P9" s="9">
        <v>1.5502641522120113</v>
      </c>
      <c r="Q9" s="9">
        <v>1.8187205996858489</v>
      </c>
      <c r="R9" s="10">
        <v>2.6629119975960923E-4</v>
      </c>
      <c r="S9" s="8">
        <f t="shared" si="2"/>
        <v>7.612999122279196E-3</v>
      </c>
      <c r="T9" s="8">
        <f t="shared" si="3"/>
        <v>0</v>
      </c>
      <c r="U9" s="8">
        <f t="shared" si="4"/>
        <v>2.0735847787988648E-2</v>
      </c>
      <c r="V9" s="8">
        <f t="shared" si="5"/>
        <v>0.24772059968584892</v>
      </c>
    </row>
    <row r="10" spans="1:26" x14ac:dyDescent="0.35">
      <c r="A10" s="9">
        <f>'Proximal Validation (single)'!A10</f>
        <v>0.7</v>
      </c>
      <c r="B10" s="9">
        <f>'Proximal Validation (single)'!B10</f>
        <v>0.06</v>
      </c>
      <c r="C10" s="9">
        <f>'Proximal Validation (single)'!C10</f>
        <v>3.665</v>
      </c>
      <c r="D10" s="9">
        <f>'Proximal Validation (single)'!D10</f>
        <v>0.78500000000000003</v>
      </c>
      <c r="E10" s="9">
        <f>'Proximal Validation (single)'!E10</f>
        <v>0</v>
      </c>
      <c r="F10" s="9">
        <f>'Proximal Validation (single)'!F10</f>
        <v>0</v>
      </c>
      <c r="G10" s="9">
        <f>'Proximal Validation (single)'!G10</f>
        <v>0</v>
      </c>
      <c r="H10" s="9">
        <f>'Proximal Validation (single)'!H10</f>
        <v>-8.6323916912078901E-4</v>
      </c>
      <c r="I10" s="9">
        <f>'Proximal Validation (single)'!I10</f>
        <v>4.2902048677205998E-2</v>
      </c>
      <c r="J10" s="9">
        <f>'Proximal Validation (single)'!J10</f>
        <v>-8.0319754779338795E-2</v>
      </c>
      <c r="K10" s="9">
        <f>'Proximal Validation (single)'!K10</f>
        <v>0.61245459318161</v>
      </c>
      <c r="L10" s="9">
        <f>'Proximal Validation (single)'!L10</f>
        <v>-0.54026973247528098</v>
      </c>
      <c r="M10" s="9">
        <f>'Proximal Validation (single)'!M10</f>
        <v>-0.28817486763000499</v>
      </c>
      <c r="N10" s="9">
        <v>0.86604703683227435</v>
      </c>
      <c r="O10" s="9">
        <v>6.0317948252012685E-2</v>
      </c>
      <c r="P10" s="9">
        <v>3.6316072952203227</v>
      </c>
      <c r="Q10" s="9">
        <v>0.7471398857927255</v>
      </c>
      <c r="R10" s="10">
        <v>7.4794518388539281E-7</v>
      </c>
      <c r="S10" s="8">
        <f t="shared" si="2"/>
        <v>0.1660470368322744</v>
      </c>
      <c r="T10" s="8">
        <f t="shared" si="3"/>
        <v>3.1794825201268695E-4</v>
      </c>
      <c r="U10" s="8">
        <f t="shared" si="4"/>
        <v>3.3392704779677373E-2</v>
      </c>
      <c r="V10" s="8">
        <f t="shared" si="5"/>
        <v>3.7860114207274531E-2</v>
      </c>
    </row>
    <row r="11" spans="1:26" x14ac:dyDescent="0.35">
      <c r="A11" s="9">
        <f>'Proximal Validation (single)'!A11</f>
        <v>0.6</v>
      </c>
      <c r="B11" s="9">
        <f>'Proximal Validation (single)'!B11</f>
        <v>0.1</v>
      </c>
      <c r="C11" s="9">
        <f>'Proximal Validation (single)'!C11</f>
        <v>3.665</v>
      </c>
      <c r="D11" s="9">
        <f>'Proximal Validation (single)'!D11</f>
        <v>0.78500000000000003</v>
      </c>
      <c r="E11" s="9">
        <f>'Proximal Validation (single)'!E11</f>
        <v>0</v>
      </c>
      <c r="F11" s="9">
        <f>'Proximal Validation (single)'!F11</f>
        <v>0</v>
      </c>
      <c r="G11" s="9">
        <f>'Proximal Validation (single)'!G11</f>
        <v>0</v>
      </c>
      <c r="H11" s="9">
        <f>'Proximal Validation (single)'!H11</f>
        <v>-8.0120982602238698E-4</v>
      </c>
      <c r="I11" s="9">
        <f>'Proximal Validation (single)'!I11</f>
        <v>4.2666438966989503E-2</v>
      </c>
      <c r="J11" s="9">
        <f>'Proximal Validation (single)'!J11</f>
        <v>-8.0293677747249603E-2</v>
      </c>
      <c r="K11" s="9">
        <f>'Proximal Validation (single)'!K11</f>
        <v>0.443310797214508</v>
      </c>
      <c r="L11" s="9">
        <f>'Proximal Validation (single)'!L11</f>
        <v>-0.42717015743255599</v>
      </c>
      <c r="M11" s="9">
        <f>'Proximal Validation (single)'!M11</f>
        <v>-0.22529536485672</v>
      </c>
      <c r="N11" s="9">
        <v>0.6555589491973004</v>
      </c>
      <c r="O11" s="9">
        <v>0.10444160445292132</v>
      </c>
      <c r="P11" s="9">
        <v>3.6270359484548274</v>
      </c>
      <c r="Q11" s="9">
        <v>0.72703273708727578</v>
      </c>
      <c r="R11" s="10">
        <v>7.1856602974072036E-7</v>
      </c>
      <c r="S11" s="8">
        <f t="shared" si="2"/>
        <v>5.5558949197300422E-2</v>
      </c>
      <c r="T11" s="8">
        <f t="shared" si="3"/>
        <v>4.4416044529213133E-3</v>
      </c>
      <c r="U11" s="8">
        <f t="shared" si="4"/>
        <v>3.7964051545172683E-2</v>
      </c>
      <c r="V11" s="8">
        <f t="shared" si="5"/>
        <v>5.7967262912724249E-2</v>
      </c>
    </row>
    <row r="12" spans="1:26" x14ac:dyDescent="0.35">
      <c r="A12" s="9">
        <f>'Proximal Validation (single)'!A12</f>
        <v>0.8</v>
      </c>
      <c r="B12" s="9">
        <f>'Proximal Validation (single)'!B12</f>
        <v>0.18</v>
      </c>
      <c r="C12" s="9">
        <f>'Proximal Validation (single)'!C12</f>
        <v>3.665</v>
      </c>
      <c r="D12" s="9">
        <f>'Proximal Validation (single)'!D12</f>
        <v>0.78500000000000003</v>
      </c>
      <c r="E12" s="9">
        <f>'Proximal Validation (single)'!E12</f>
        <v>1.4</v>
      </c>
      <c r="F12" s="9">
        <f>'Proximal Validation (single)'!F12</f>
        <v>0</v>
      </c>
      <c r="G12" s="9">
        <f>'Proximal Validation (single)'!G12</f>
        <v>0</v>
      </c>
      <c r="H12" s="9">
        <f>'Proximal Validation (single)'!H12</f>
        <v>-5.5334065109491301E-5</v>
      </c>
      <c r="I12" s="9">
        <f>'Proximal Validation (single)'!I12</f>
        <v>7.7956624329090105E-2</v>
      </c>
      <c r="J12" s="9">
        <f>'Proximal Validation (single)'!J12</f>
        <v>-0.13737398386001601</v>
      </c>
      <c r="K12" s="9">
        <f>'Proximal Validation (single)'!K12</f>
        <v>0.41918036341667197</v>
      </c>
      <c r="L12" s="9">
        <f>'Proximal Validation (single)'!L12</f>
        <v>-0.55125319957733199</v>
      </c>
      <c r="M12" s="9">
        <f>'Proximal Validation (single)'!M12</f>
        <v>-0.30630308389663702</v>
      </c>
      <c r="N12" s="9">
        <v>0.75729704453251179</v>
      </c>
      <c r="O12" s="9">
        <v>0.2</v>
      </c>
      <c r="P12" s="9">
        <v>3.6521771777409815</v>
      </c>
      <c r="Q12" s="9">
        <v>0.63682675204684602</v>
      </c>
      <c r="R12" s="10">
        <v>1.8459139226447601E-6</v>
      </c>
      <c r="S12" s="8">
        <f t="shared" si="2"/>
        <v>4.2702955467488257E-2</v>
      </c>
      <c r="T12" s="8">
        <f t="shared" si="3"/>
        <v>2.0000000000000018E-2</v>
      </c>
      <c r="U12" s="8">
        <f t="shared" si="4"/>
        <v>1.282282225901854E-2</v>
      </c>
      <c r="V12" s="8">
        <f t="shared" si="5"/>
        <v>0.14817324795315401</v>
      </c>
    </row>
    <row r="13" spans="1:26" x14ac:dyDescent="0.35">
      <c r="A13" s="9">
        <f>'Proximal Validation (single)'!A13</f>
        <v>0.4</v>
      </c>
      <c r="B13" s="9">
        <f>'Proximal Validation (single)'!B13</f>
        <v>0.2</v>
      </c>
      <c r="C13" s="9">
        <f>'Proximal Validation (single)'!C13</f>
        <v>3.665</v>
      </c>
      <c r="D13" s="9">
        <f>'Proximal Validation (single)'!D13</f>
        <v>0.78500000000000003</v>
      </c>
      <c r="E13" s="9">
        <f>'Proximal Validation (single)'!E13</f>
        <v>1.4</v>
      </c>
      <c r="F13" s="9">
        <f>'Proximal Validation (single)'!F13</f>
        <v>0</v>
      </c>
      <c r="G13" s="9">
        <f>'Proximal Validation (single)'!G13</f>
        <v>0</v>
      </c>
      <c r="H13" s="9">
        <f>'Proximal Validation (single)'!H13</f>
        <v>-9.6024014055728899E-5</v>
      </c>
      <c r="I13" s="9">
        <f>'Proximal Validation (single)'!I13</f>
        <v>3.4424368292093298E-2</v>
      </c>
      <c r="J13" s="9">
        <f>'Proximal Validation (single)'!J13</f>
        <v>-6.16564750671387E-2</v>
      </c>
      <c r="K13" s="9">
        <f>'Proximal Validation (single)'!K13</f>
        <v>0.267098218202591</v>
      </c>
      <c r="L13" s="9">
        <f>'Proximal Validation (single)'!L13</f>
        <v>-0.21448078751564001</v>
      </c>
      <c r="M13" s="9">
        <f>'Proximal Validation (single)'!M13</f>
        <v>-0.115060687065125</v>
      </c>
      <c r="N13" s="9">
        <v>0.3620864643961616</v>
      </c>
      <c r="O13" s="9">
        <v>0.2</v>
      </c>
      <c r="P13" s="9">
        <v>3.6411086634736343</v>
      </c>
      <c r="Q13" s="9">
        <v>0.67613484177208494</v>
      </c>
      <c r="R13" s="10">
        <v>2.1474947686428438E-5</v>
      </c>
      <c r="S13" s="8">
        <f t="shared" si="2"/>
        <v>3.7913535603838422E-2</v>
      </c>
      <c r="T13" s="8">
        <f t="shared" si="3"/>
        <v>0</v>
      </c>
      <c r="U13" s="8">
        <f t="shared" si="4"/>
        <v>2.389133652636577E-2</v>
      </c>
      <c r="V13" s="8">
        <f t="shared" si="5"/>
        <v>0.10886515822791509</v>
      </c>
    </row>
    <row r="14" spans="1:26" x14ac:dyDescent="0.35">
      <c r="A14" s="9">
        <f>'Proximal Validation (single)'!A14</f>
        <v>0.4</v>
      </c>
      <c r="B14" s="9">
        <f>'Proximal Validation (single)'!B14</f>
        <v>0.1</v>
      </c>
      <c r="C14" s="9">
        <f>'Proximal Validation (single)'!C14</f>
        <v>3.665</v>
      </c>
      <c r="D14" s="9">
        <f>'Proximal Validation (single)'!D14</f>
        <v>1.571</v>
      </c>
      <c r="E14" s="9">
        <f>'Proximal Validation (single)'!E14</f>
        <v>1.4</v>
      </c>
      <c r="F14" s="9">
        <f>'Proximal Validation (single)'!F14</f>
        <v>0</v>
      </c>
      <c r="G14" s="9">
        <f>'Proximal Validation (single)'!G14</f>
        <v>0</v>
      </c>
      <c r="H14" s="9">
        <f>'Proximal Validation (single)'!H14</f>
        <v>-3.7108035758137698E-4</v>
      </c>
      <c r="I14" s="9">
        <f>'Proximal Validation (single)'!I14</f>
        <v>3.7644270807504703E-2</v>
      </c>
      <c r="J14" s="9">
        <f>'Proximal Validation (single)'!J14</f>
        <v>-6.73996657133102E-2</v>
      </c>
      <c r="K14" s="9">
        <f>'Proximal Validation (single)'!K14</f>
        <v>1.67829748243093E-2</v>
      </c>
      <c r="L14" s="9">
        <f>'Proximal Validation (single)'!L14</f>
        <v>-0.33880779147148099</v>
      </c>
      <c r="M14" s="9">
        <f>'Proximal Validation (single)'!M14</f>
        <v>-0.185297966003418</v>
      </c>
      <c r="N14" s="9">
        <v>0.3865349926385338</v>
      </c>
      <c r="O14" s="9">
        <v>0.11011820799678126</v>
      </c>
      <c r="P14" s="9">
        <v>3.6425184186420547</v>
      </c>
      <c r="Q14" s="9">
        <v>1.4898941026712609</v>
      </c>
      <c r="R14" s="10">
        <v>6.0897641096653023E-7</v>
      </c>
      <c r="S14" s="8">
        <f t="shared" si="2"/>
        <v>1.3465007361466219E-2</v>
      </c>
      <c r="T14" s="8">
        <f t="shared" si="3"/>
        <v>1.0118207996781259E-2</v>
      </c>
      <c r="U14" s="8">
        <f t="shared" si="4"/>
        <v>2.2481581357945313E-2</v>
      </c>
      <c r="V14" s="8">
        <f t="shared" si="5"/>
        <v>8.1105897328739074E-2</v>
      </c>
    </row>
    <row r="15" spans="1:26" x14ac:dyDescent="0.35">
      <c r="A15" s="9">
        <f>'Proximal Validation (single)'!A15</f>
        <v>0.7</v>
      </c>
      <c r="B15" s="9">
        <f>'Proximal Validation (single)'!B15</f>
        <v>0.1</v>
      </c>
      <c r="C15" s="9">
        <f>'Proximal Validation (single)'!C15</f>
        <v>3.665</v>
      </c>
      <c r="D15" s="9">
        <f>'Proximal Validation (single)'!D15</f>
        <v>1.571</v>
      </c>
      <c r="E15" s="9">
        <f>'Proximal Validation (single)'!E15</f>
        <v>1.4</v>
      </c>
      <c r="F15" s="9">
        <f>'Proximal Validation (single)'!F15</f>
        <v>0</v>
      </c>
      <c r="G15" s="9">
        <f>'Proximal Validation (single)'!G15</f>
        <v>0</v>
      </c>
      <c r="H15" s="9">
        <f>'Proximal Validation (single)'!H15</f>
        <v>-1.02429185062647E-3</v>
      </c>
      <c r="I15" s="9">
        <f>'Proximal Validation (single)'!I15</f>
        <v>7.0613205432891804E-2</v>
      </c>
      <c r="J15" s="9">
        <f>'Proximal Validation (single)'!J15</f>
        <v>-0.12678831815719599</v>
      </c>
      <c r="K15" s="9">
        <f>'Proximal Validation (single)'!K15</f>
        <v>-2.9671346768736801E-2</v>
      </c>
      <c r="L15" s="9">
        <f>'Proximal Validation (single)'!L15</f>
        <v>-0.63574087619781505</v>
      </c>
      <c r="M15" s="9">
        <f>'Proximal Validation (single)'!M15</f>
        <v>-0.34651768207549999</v>
      </c>
      <c r="N15" s="9">
        <v>0.72465465040700439</v>
      </c>
      <c r="O15" s="9">
        <v>0.11052279765518858</v>
      </c>
      <c r="P15" s="9">
        <v>3.6410775485765177</v>
      </c>
      <c r="Q15" s="9">
        <v>1.4863395714209531</v>
      </c>
      <c r="R15" s="10">
        <v>2.8418590225588398E-6</v>
      </c>
      <c r="S15" s="8">
        <f t="shared" si="2"/>
        <v>2.465465040700443E-2</v>
      </c>
      <c r="T15" s="8">
        <f t="shared" si="3"/>
        <v>1.052279765518857E-2</v>
      </c>
      <c r="U15" s="8">
        <f t="shared" si="4"/>
        <v>2.3922451423482372E-2</v>
      </c>
      <c r="V15" s="8">
        <f t="shared" si="5"/>
        <v>8.4660428579046876E-2</v>
      </c>
    </row>
    <row r="16" spans="1:26" x14ac:dyDescent="0.35">
      <c r="A16" s="9">
        <f>'Proximal Validation (single)'!A16</f>
        <v>0.4</v>
      </c>
      <c r="B16" s="9">
        <f>'Proximal Validation (single)'!B16</f>
        <v>0.16</v>
      </c>
      <c r="C16" s="9">
        <f>'Proximal Validation (single)'!C16</f>
        <v>3.665</v>
      </c>
      <c r="D16" s="9">
        <f>'Proximal Validation (single)'!D16</f>
        <v>1.571</v>
      </c>
      <c r="E16" s="9">
        <f>'Proximal Validation (single)'!E16</f>
        <v>0</v>
      </c>
      <c r="F16" s="9">
        <f>'Proximal Validation (single)'!F16</f>
        <v>0</v>
      </c>
      <c r="G16" s="9">
        <f>'Proximal Validation (single)'!G16</f>
        <v>0</v>
      </c>
      <c r="H16" s="9">
        <f>'Proximal Validation (single)'!H16</f>
        <v>-6.0879066586494402E-4</v>
      </c>
      <c r="I16" s="9">
        <f>'Proximal Validation (single)'!I16</f>
        <v>4.7145899385213901E-2</v>
      </c>
      <c r="J16" s="9">
        <f>'Proximal Validation (single)'!J16</f>
        <v>-8.5028916597366305E-2</v>
      </c>
      <c r="K16" s="9">
        <f>'Proximal Validation (single)'!K16</f>
        <v>-7.4065491557121305E-2</v>
      </c>
      <c r="L16" s="9">
        <f>'Proximal Validation (single)'!L16</f>
        <v>-0.31546109914779702</v>
      </c>
      <c r="M16" s="9">
        <f>'Proximal Validation (single)'!M16</f>
        <v>-0.17043319344520599</v>
      </c>
      <c r="N16" s="9">
        <v>0.36612738651115245</v>
      </c>
      <c r="O16" s="9">
        <v>0.17777456591662716</v>
      </c>
      <c r="P16" s="9">
        <v>3.6376809469849047</v>
      </c>
      <c r="Q16" s="9">
        <v>1.4590277269635634</v>
      </c>
      <c r="R16" s="10">
        <v>1.4221141461835702E-6</v>
      </c>
      <c r="S16" s="8">
        <f t="shared" si="2"/>
        <v>3.3872613488847569E-2</v>
      </c>
      <c r="T16" s="8">
        <f t="shared" si="3"/>
        <v>1.7774565916627155E-2</v>
      </c>
      <c r="U16" s="8">
        <f t="shared" si="4"/>
        <v>2.7319053015095296E-2</v>
      </c>
      <c r="V16" s="8">
        <f t="shared" si="5"/>
        <v>0.11197227303643653</v>
      </c>
    </row>
    <row r="17" spans="1:22" x14ac:dyDescent="0.35">
      <c r="A17" s="9">
        <f>'Proximal Validation (single)'!A17</f>
        <v>0.3</v>
      </c>
      <c r="B17" s="9">
        <f>'Proximal Validation (single)'!B17</f>
        <v>0.18</v>
      </c>
      <c r="C17" s="9">
        <f>'Proximal Validation (single)'!C17</f>
        <v>3.665</v>
      </c>
      <c r="D17" s="9">
        <f>'Proximal Validation (single)'!D17</f>
        <v>1.571</v>
      </c>
      <c r="E17" s="9">
        <f>'Proximal Validation (single)'!E17</f>
        <v>0</v>
      </c>
      <c r="F17" s="9">
        <f>'Proximal Validation (single)'!F17</f>
        <v>0</v>
      </c>
      <c r="G17" s="9">
        <f>'Proximal Validation (single)'!G17</f>
        <v>0</v>
      </c>
      <c r="H17" s="9">
        <f>'Proximal Validation (single)'!H17</f>
        <v>3.8368394598364803E-5</v>
      </c>
      <c r="I17" s="9">
        <f>'Proximal Validation (single)'!I17</f>
        <v>3.2897148281335803E-2</v>
      </c>
      <c r="J17" s="9">
        <f>'Proximal Validation (single)'!J17</f>
        <v>-5.8571800589561497E-2</v>
      </c>
      <c r="K17" s="9">
        <f>'Proximal Validation (single)'!K17</f>
        <v>-6.3505612313747406E-2</v>
      </c>
      <c r="L17" s="9">
        <f>'Proximal Validation (single)'!L17</f>
        <v>-0.19738522171974199</v>
      </c>
      <c r="M17" s="9">
        <f>'Proximal Validation (single)'!M17</f>
        <v>-0.108248926699162</v>
      </c>
      <c r="N17" s="9">
        <v>0.23421672878108399</v>
      </c>
      <c r="O17" s="9">
        <v>0.2</v>
      </c>
      <c r="P17" s="9">
        <v>3.6440319872997566</v>
      </c>
      <c r="Q17" s="9">
        <v>1.5779801469705905</v>
      </c>
      <c r="R17" s="10">
        <v>1.7244628850512382E-6</v>
      </c>
      <c r="S17" s="8">
        <f t="shared" si="2"/>
        <v>6.5783271218916001E-2</v>
      </c>
      <c r="T17" s="8">
        <f t="shared" si="3"/>
        <v>2.0000000000000018E-2</v>
      </c>
      <c r="U17" s="8">
        <f t="shared" si="4"/>
        <v>2.0968012700243399E-2</v>
      </c>
      <c r="V17" s="8">
        <f t="shared" si="5"/>
        <v>6.9801469705905728E-3</v>
      </c>
    </row>
  </sheetData>
  <mergeCells count="5">
    <mergeCell ref="W1:Y1"/>
    <mergeCell ref="A1:G1"/>
    <mergeCell ref="H1:M1"/>
    <mergeCell ref="S1:U1"/>
    <mergeCell ref="N1:R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7F774-9DF3-4E6E-BB0A-FE0B8E71539C}">
  <dimension ref="A1:Z17"/>
  <sheetViews>
    <sheetView topLeftCell="L1" workbookViewId="0">
      <selection activeCell="X10" sqref="X10"/>
    </sheetView>
  </sheetViews>
  <sheetFormatPr defaultRowHeight="14.5" x14ac:dyDescent="0.35"/>
  <cols>
    <col min="1" max="2" width="6.1796875" bestFit="1" customWidth="1"/>
    <col min="3" max="3" width="8.81640625" bestFit="1" customWidth="1"/>
    <col min="4" max="4" width="10.81640625" bestFit="1" customWidth="1"/>
    <col min="5" max="7" width="8.453125" bestFit="1" customWidth="1"/>
    <col min="8" max="9" width="8.1796875" bestFit="1" customWidth="1"/>
    <col min="10" max="13" width="8" bestFit="1" customWidth="1"/>
    <col min="14" max="15" width="7.26953125" bestFit="1" customWidth="1"/>
    <col min="16" max="16" width="8.81640625" bestFit="1" customWidth="1"/>
    <col min="17" max="17" width="10.81640625" bestFit="1" customWidth="1"/>
    <col min="18" max="18" width="15" customWidth="1"/>
    <col min="19" max="19" width="11.1796875" bestFit="1" customWidth="1"/>
    <col min="20" max="20" width="13.453125" bestFit="1" customWidth="1"/>
    <col min="21" max="21" width="11.7265625" bestFit="1" customWidth="1"/>
    <col min="22" max="22" width="11.7265625" customWidth="1"/>
    <col min="23" max="23" width="11.1796875" bestFit="1" customWidth="1"/>
    <col min="24" max="24" width="13.54296875" bestFit="1" customWidth="1"/>
    <col min="25" max="25" width="11.7265625" bestFit="1" customWidth="1"/>
    <col min="26" max="26" width="12.54296875" customWidth="1"/>
  </cols>
  <sheetData>
    <row r="1" spans="1:26" ht="16" x14ac:dyDescent="0.4">
      <c r="A1" s="22" t="s">
        <v>13</v>
      </c>
      <c r="B1" s="22"/>
      <c r="C1" s="22"/>
      <c r="D1" s="22"/>
      <c r="E1" s="22"/>
      <c r="F1" s="22"/>
      <c r="G1" s="22"/>
      <c r="H1" s="23" t="s">
        <v>6</v>
      </c>
      <c r="I1" s="23"/>
      <c r="J1" s="23"/>
      <c r="K1" s="23"/>
      <c r="L1" s="23"/>
      <c r="M1" s="23"/>
      <c r="N1" s="25" t="s">
        <v>9</v>
      </c>
      <c r="O1" s="25"/>
      <c r="P1" s="25"/>
      <c r="Q1" s="25"/>
      <c r="R1" s="25"/>
      <c r="S1" s="24" t="s">
        <v>15</v>
      </c>
      <c r="T1" s="24"/>
      <c r="U1" s="24"/>
      <c r="V1" s="6"/>
      <c r="W1" s="21" t="s">
        <v>30</v>
      </c>
      <c r="X1" s="21"/>
      <c r="Y1" s="21"/>
    </row>
    <row r="2" spans="1:26" ht="16" x14ac:dyDescent="0.4">
      <c r="A2" s="1" t="s">
        <v>7</v>
      </c>
      <c r="B2" s="1" t="s">
        <v>8</v>
      </c>
      <c r="C2" s="1" t="s">
        <v>25</v>
      </c>
      <c r="D2" s="1" t="s">
        <v>26</v>
      </c>
      <c r="E2" s="1" t="s">
        <v>10</v>
      </c>
      <c r="F2" s="1" t="s">
        <v>11</v>
      </c>
      <c r="G2" s="1" t="s">
        <v>12</v>
      </c>
      <c r="H2" s="1" t="s">
        <v>3</v>
      </c>
      <c r="I2" s="1" t="s">
        <v>4</v>
      </c>
      <c r="J2" s="1" t="s">
        <v>5</v>
      </c>
      <c r="K2" s="1" t="s">
        <v>0</v>
      </c>
      <c r="L2" s="1" t="s">
        <v>1</v>
      </c>
      <c r="M2" s="1" t="s">
        <v>2</v>
      </c>
      <c r="N2" s="1" t="s">
        <v>7</v>
      </c>
      <c r="O2" s="1" t="s">
        <v>8</v>
      </c>
      <c r="P2" s="1" t="s">
        <v>25</v>
      </c>
      <c r="Q2" s="1" t="s">
        <v>26</v>
      </c>
      <c r="R2" s="1" t="s">
        <v>27</v>
      </c>
      <c r="S2" s="1" t="s">
        <v>28</v>
      </c>
      <c r="T2" s="1" t="s">
        <v>29</v>
      </c>
      <c r="U2" s="4" t="s">
        <v>31</v>
      </c>
      <c r="V2" s="4" t="s">
        <v>32</v>
      </c>
      <c r="W2" s="1" t="s">
        <v>28</v>
      </c>
      <c r="X2" s="1" t="s">
        <v>29</v>
      </c>
      <c r="Y2" s="4" t="s">
        <v>31</v>
      </c>
      <c r="Z2" s="4" t="s">
        <v>32</v>
      </c>
    </row>
    <row r="3" spans="1:26" x14ac:dyDescent="0.35">
      <c r="A3" s="9">
        <f>'Proximal Validation (single)'!A3</f>
        <v>0.3</v>
      </c>
      <c r="B3" s="9">
        <f>'Proximal Validation (single)'!B3</f>
        <v>0.08</v>
      </c>
      <c r="C3" s="9">
        <f>'Proximal Validation (single)'!C3</f>
        <v>1.571</v>
      </c>
      <c r="D3" s="9">
        <f>'Proximal Validation (single)'!D3</f>
        <v>0.78500000000000003</v>
      </c>
      <c r="E3" s="9">
        <f>'Proximal Validation (single)'!E3</f>
        <v>1.4</v>
      </c>
      <c r="F3" s="9">
        <f>'Proximal Validation (single)'!F3</f>
        <v>0</v>
      </c>
      <c r="G3" s="9">
        <f>'Proximal Validation (single)'!G3</f>
        <v>0</v>
      </c>
      <c r="H3" s="9">
        <f>'Proximal Validation (single)'!H3</f>
        <v>2.6342464843764901E-4</v>
      </c>
      <c r="I3" s="9">
        <f>'Proximal Validation (single)'!I3</f>
        <v>-3.2978262752294499E-2</v>
      </c>
      <c r="J3" s="9">
        <f>'Proximal Validation (single)'!J3</f>
        <v>5.6162860710173802E-4</v>
      </c>
      <c r="K3" s="9">
        <f>'Proximal Validation (single)'!K3</f>
        <v>0.185834720730782</v>
      </c>
      <c r="L3" s="9">
        <f>'Proximal Validation (single)'!L3</f>
        <v>1.13257020711899E-3</v>
      </c>
      <c r="M3" s="9">
        <f>'Proximal Validation (single)'!M3</f>
        <v>0.19288232922553999</v>
      </c>
      <c r="N3" s="9">
        <v>0.24504740208502601</v>
      </c>
      <c r="O3" s="9">
        <v>7.7275782510532201E-2</v>
      </c>
      <c r="P3" s="9">
        <v>1.5885960085949349</v>
      </c>
      <c r="Q3" s="9">
        <v>0.91200086849673101</v>
      </c>
      <c r="R3" s="10">
        <v>9.8072138645546656E-8</v>
      </c>
      <c r="S3" s="8">
        <f>ABS(N3-A3)</f>
        <v>5.4952597914973977E-2</v>
      </c>
      <c r="T3" s="8">
        <f t="shared" ref="T3:V17" si="0">ABS(O3-B3)</f>
        <v>2.7242174894678006E-3</v>
      </c>
      <c r="U3" s="8">
        <f t="shared" si="0"/>
        <v>1.7596008594934931E-2</v>
      </c>
      <c r="V3" s="8">
        <f t="shared" si="0"/>
        <v>0.12700086849673098</v>
      </c>
      <c r="W3" s="9">
        <f>AVERAGE(S3:S17)</f>
        <v>5.2799358760934625E-2</v>
      </c>
      <c r="X3" s="9">
        <f t="shared" ref="X3:Z3" si="1">AVERAGE(T3:T17)</f>
        <v>3.7109417622652331E-2</v>
      </c>
      <c r="Y3" s="9">
        <f>AVERAGE(U3:U17)</f>
        <v>2.5826122106533751E-2</v>
      </c>
      <c r="Z3" s="9">
        <f t="shared" si="1"/>
        <v>0.10208435606763017</v>
      </c>
    </row>
    <row r="4" spans="1:26" x14ac:dyDescent="0.35">
      <c r="A4" s="9">
        <f>'Proximal Validation (single)'!A4</f>
        <v>0.4</v>
      </c>
      <c r="B4" s="9">
        <f>'Proximal Validation (single)'!B4</f>
        <v>0.14000000000000001</v>
      </c>
      <c r="C4" s="9">
        <f>'Proximal Validation (single)'!C4</f>
        <v>1.571</v>
      </c>
      <c r="D4" s="9">
        <f>'Proximal Validation (single)'!D4</f>
        <v>0.78500000000000003</v>
      </c>
      <c r="E4" s="9">
        <f>'Proximal Validation (single)'!E4</f>
        <v>0</v>
      </c>
      <c r="F4" s="9">
        <f>'Proximal Validation (single)'!F4</f>
        <v>0</v>
      </c>
      <c r="G4" s="9">
        <f>'Proximal Validation (single)'!G4</f>
        <v>0</v>
      </c>
      <c r="H4" s="9">
        <f>'Proximal Validation (single)'!H4</f>
        <v>-4.3474312406033299E-4</v>
      </c>
      <c r="I4" s="9">
        <f>'Proximal Validation (single)'!I4</f>
        <v>-6.2425632029771798E-2</v>
      </c>
      <c r="J4" s="9">
        <f>'Proximal Validation (single)'!J4</f>
        <v>2.5845002382993698E-3</v>
      </c>
      <c r="K4" s="9">
        <f>'Proximal Validation (single)'!K4</f>
        <v>0.25303724408149703</v>
      </c>
      <c r="L4" s="9">
        <f>'Proximal Validation (single)'!L4</f>
        <v>1.07369087636471E-2</v>
      </c>
      <c r="M4" s="9">
        <f>'Proximal Validation (single)'!M4</f>
        <v>0.27653545141220098</v>
      </c>
      <c r="N4" s="9">
        <v>0.34565730479478768</v>
      </c>
      <c r="O4" s="9">
        <v>0.1355779527649357</v>
      </c>
      <c r="P4" s="9">
        <v>1.5327313989207005</v>
      </c>
      <c r="Q4" s="9">
        <v>0.86389873279400697</v>
      </c>
      <c r="R4" s="10">
        <v>6.8609497671031312E-7</v>
      </c>
      <c r="S4" s="8">
        <f t="shared" ref="S4:S17" si="2">ABS(N4-A4)</f>
        <v>5.4342695205212344E-2</v>
      </c>
      <c r="T4" s="8">
        <f t="shared" si="0"/>
        <v>4.4220472350643136E-3</v>
      </c>
      <c r="U4" s="8">
        <f t="shared" si="0"/>
        <v>3.8268601079299414E-2</v>
      </c>
      <c r="V4" s="8">
        <f t="shared" si="0"/>
        <v>7.8898732794006943E-2</v>
      </c>
      <c r="Y4">
        <f>DEGREES(Y3)</f>
        <v>1.479727797893899</v>
      </c>
      <c r="Z4">
        <f>DEGREES(Z3)</f>
        <v>5.849002756985926</v>
      </c>
    </row>
    <row r="5" spans="1:26" x14ac:dyDescent="0.35">
      <c r="A5" s="9">
        <f>'Proximal Validation (single)'!A5</f>
        <v>0.6</v>
      </c>
      <c r="B5" s="9">
        <f>'Proximal Validation (single)'!B5</f>
        <v>0.16</v>
      </c>
      <c r="C5" s="9">
        <f>'Proximal Validation (single)'!C5</f>
        <v>1.571</v>
      </c>
      <c r="D5" s="9">
        <f>'Proximal Validation (single)'!D5</f>
        <v>0.78500000000000003</v>
      </c>
      <c r="E5" s="9">
        <f>'Proximal Validation (single)'!E5</f>
        <v>1.4</v>
      </c>
      <c r="F5" s="9">
        <f>'Proximal Validation (single)'!F5</f>
        <v>0</v>
      </c>
      <c r="G5" s="9">
        <f>'Proximal Validation (single)'!G5</f>
        <v>0</v>
      </c>
      <c r="H5" s="9">
        <f>'Proximal Validation (single)'!H5</f>
        <v>5.3234044462442398E-3</v>
      </c>
      <c r="I5" s="9">
        <f>'Proximal Validation (single)'!I5</f>
        <v>-0.12275674194097499</v>
      </c>
      <c r="J5" s="9">
        <f>'Proximal Validation (single)'!J5</f>
        <v>-8.3989212289452605E-3</v>
      </c>
      <c r="K5" s="9">
        <f>'Proximal Validation (single)'!K5</f>
        <v>0.26806160807609603</v>
      </c>
      <c r="L5" s="9">
        <f>'Proximal Validation (single)'!L5</f>
        <v>-2.4467468261718799E-2</v>
      </c>
      <c r="M5" s="9">
        <f>'Proximal Validation (single)'!M5</f>
        <v>0.52633810043335005</v>
      </c>
      <c r="N5" s="9">
        <v>0.58260936985982126</v>
      </c>
      <c r="O5" s="9">
        <v>0.14867087839664922</v>
      </c>
      <c r="P5" s="9">
        <v>1.6735150528462999</v>
      </c>
      <c r="Q5" s="9">
        <v>0.90959001517049765</v>
      </c>
      <c r="R5" s="10">
        <v>2.2743475928177483E-6</v>
      </c>
      <c r="S5" s="8">
        <f t="shared" si="2"/>
        <v>1.739063014017872E-2</v>
      </c>
      <c r="T5" s="8">
        <f t="shared" si="0"/>
        <v>1.1329121603350784E-2</v>
      </c>
      <c r="U5" s="8">
        <f t="shared" si="0"/>
        <v>0.10251505284629991</v>
      </c>
      <c r="V5" s="8">
        <f t="shared" si="0"/>
        <v>0.12459001517049761</v>
      </c>
    </row>
    <row r="6" spans="1:26" x14ac:dyDescent="0.35">
      <c r="A6" s="9">
        <f>'Proximal Validation (single)'!A6</f>
        <v>0.4</v>
      </c>
      <c r="B6" s="9">
        <f>'Proximal Validation (single)'!B6</f>
        <v>0.06</v>
      </c>
      <c r="C6" s="9">
        <f>'Proximal Validation (single)'!C6</f>
        <v>1.571</v>
      </c>
      <c r="D6" s="9">
        <f>'Proximal Validation (single)'!D6</f>
        <v>1.571</v>
      </c>
      <c r="E6" s="9">
        <f>'Proximal Validation (single)'!E6</f>
        <v>1.4</v>
      </c>
      <c r="F6" s="9">
        <f>'Proximal Validation (single)'!F6</f>
        <v>0</v>
      </c>
      <c r="G6" s="9">
        <f>'Proximal Validation (single)'!G6</f>
        <v>0</v>
      </c>
      <c r="H6" s="9">
        <f>'Proximal Validation (single)'!H6</f>
        <v>6.7002582363784302E-4</v>
      </c>
      <c r="I6" s="9">
        <f>'Proximal Validation (single)'!I6</f>
        <v>-6.6750191152095795E-2</v>
      </c>
      <c r="J6" s="9">
        <f>'Proximal Validation (single)'!J6</f>
        <v>1.6002767952158999E-3</v>
      </c>
      <c r="K6" s="9">
        <f>'Proximal Validation (single)'!K6</f>
        <v>-3.97013984620571E-2</v>
      </c>
      <c r="L6" s="9">
        <f>'Proximal Validation (single)'!L6</f>
        <v>7.3561742901802098E-3</v>
      </c>
      <c r="M6" s="9">
        <f>'Proximal Validation (single)'!M6</f>
        <v>0.423814177513123</v>
      </c>
      <c r="N6" s="9">
        <v>0.43977206766596794</v>
      </c>
      <c r="O6" s="9">
        <v>6.2954012505445217E-2</v>
      </c>
      <c r="P6" s="9">
        <v>1.5525836590126203</v>
      </c>
      <c r="Q6" s="9">
        <v>1.5943229048732539</v>
      </c>
      <c r="R6" s="10">
        <v>4.0141733003867427E-8</v>
      </c>
      <c r="S6" s="8">
        <f t="shared" si="2"/>
        <v>3.9772067665967914E-2</v>
      </c>
      <c r="T6" s="8">
        <f t="shared" si="0"/>
        <v>2.9540125054452193E-3</v>
      </c>
      <c r="U6" s="8">
        <f t="shared" si="0"/>
        <v>1.8416340987379654E-2</v>
      </c>
      <c r="V6" s="8">
        <f t="shared" si="0"/>
        <v>2.3322904873253947E-2</v>
      </c>
    </row>
    <row r="7" spans="1:26" x14ac:dyDescent="0.35">
      <c r="A7" s="9">
        <f>'Proximal Validation (single)'!A7</f>
        <v>0.8</v>
      </c>
      <c r="B7" s="9">
        <f>'Proximal Validation (single)'!B7</f>
        <v>0.08</v>
      </c>
      <c r="C7" s="9">
        <f>'Proximal Validation (single)'!C7</f>
        <v>1.571</v>
      </c>
      <c r="D7" s="9">
        <f>'Proximal Validation (single)'!D7</f>
        <v>1.571</v>
      </c>
      <c r="E7" s="9">
        <f>'Proximal Validation (single)'!E7</f>
        <v>0</v>
      </c>
      <c r="F7" s="9">
        <f>'Proximal Validation (single)'!F7</f>
        <v>0</v>
      </c>
      <c r="G7" s="9">
        <f>'Proximal Validation (single)'!G7</f>
        <v>0</v>
      </c>
      <c r="H7" s="9">
        <f>'Proximal Validation (single)'!H7</f>
        <v>7.4092089198529699E-4</v>
      </c>
      <c r="I7" s="9">
        <f>'Proximal Validation (single)'!I7</f>
        <v>-0.14775538444519001</v>
      </c>
      <c r="J7" s="9">
        <f>'Proximal Validation (single)'!J7</f>
        <v>3.4220633096993E-3</v>
      </c>
      <c r="K7" s="9">
        <f>'Proximal Validation (single)'!K7</f>
        <v>-0.161362335085869</v>
      </c>
      <c r="L7" s="9">
        <f>'Proximal Validation (single)'!L7</f>
        <v>2.0262047648429898E-2</v>
      </c>
      <c r="M7" s="9">
        <f>'Proximal Validation (single)'!M7</f>
        <v>0.82944488525390603</v>
      </c>
      <c r="N7" s="9">
        <v>0.86756768113535498</v>
      </c>
      <c r="O7" s="9">
        <v>8.2375239550059612E-2</v>
      </c>
      <c r="P7" s="9">
        <v>1.546757049905189</v>
      </c>
      <c r="Q7" s="9">
        <v>1.6005686329816045</v>
      </c>
      <c r="R7" s="10">
        <v>2.2863636619140079E-6</v>
      </c>
      <c r="S7" s="8">
        <f t="shared" si="2"/>
        <v>6.756768113535494E-2</v>
      </c>
      <c r="T7" s="8">
        <f t="shared" si="0"/>
        <v>2.3752395500596102E-3</v>
      </c>
      <c r="U7" s="8">
        <f t="shared" si="0"/>
        <v>2.4242950094810922E-2</v>
      </c>
      <c r="V7" s="8">
        <f t="shared" si="0"/>
        <v>2.9568632981604503E-2</v>
      </c>
    </row>
    <row r="8" spans="1:26" x14ac:dyDescent="0.35">
      <c r="A8" s="9">
        <f>'Proximal Validation (single)'!A8</f>
        <v>0.7</v>
      </c>
      <c r="B8" s="9">
        <f>'Proximal Validation (single)'!B8</f>
        <v>0.16</v>
      </c>
      <c r="C8" s="9">
        <f>'Proximal Validation (single)'!C8</f>
        <v>1.571</v>
      </c>
      <c r="D8" s="9">
        <f>'Proximal Validation (single)'!D8</f>
        <v>1.571</v>
      </c>
      <c r="E8" s="9">
        <f>'Proximal Validation (single)'!E8</f>
        <v>1.4</v>
      </c>
      <c r="F8" s="9">
        <f>'Proximal Validation (single)'!F8</f>
        <v>0</v>
      </c>
      <c r="G8" s="9">
        <f>'Proximal Validation (single)'!G8</f>
        <v>0</v>
      </c>
      <c r="H8" s="9">
        <f>'Proximal Validation (single)'!H8</f>
        <v>6.6551081836223602E-3</v>
      </c>
      <c r="I8" s="9">
        <f>'Proximal Validation (single)'!I8</f>
        <v>-0.148307904601097</v>
      </c>
      <c r="J8" s="9">
        <f>'Proximal Validation (single)'!J8</f>
        <v>-1.0527462000027299E-3</v>
      </c>
      <c r="K8" s="9">
        <f>'Proximal Validation (single)'!K8</f>
        <v>-0.444706320762634</v>
      </c>
      <c r="L8" s="9">
        <f>'Proximal Validation (single)'!L8</f>
        <v>-2.19946205615997E-2</v>
      </c>
      <c r="M8" s="9">
        <f>'Proximal Validation (single)'!M8</f>
        <v>0.489793181419373</v>
      </c>
      <c r="N8" s="9">
        <v>0.61084967694221104</v>
      </c>
      <c r="O8" s="9">
        <v>0.17837063238150705</v>
      </c>
      <c r="P8" s="9">
        <v>1.5850017257491844</v>
      </c>
      <c r="Q8" s="9">
        <v>1.5668304861069597</v>
      </c>
      <c r="R8" s="10">
        <v>7.3150947194322727E-6</v>
      </c>
      <c r="S8" s="8">
        <f t="shared" si="2"/>
        <v>8.9150323057788916E-2</v>
      </c>
      <c r="T8" s="8">
        <f t="shared" si="0"/>
        <v>1.8370632381507046E-2</v>
      </c>
      <c r="U8" s="8">
        <f t="shared" si="0"/>
        <v>1.4001725749184457E-2</v>
      </c>
      <c r="V8" s="8">
        <f t="shared" si="0"/>
        <v>4.1695138930402109E-3</v>
      </c>
    </row>
    <row r="9" spans="1:26" x14ac:dyDescent="0.35">
      <c r="A9" s="9">
        <f>'Proximal Validation (single)'!A9</f>
        <v>0.7</v>
      </c>
      <c r="B9" s="9">
        <f>'Proximal Validation (single)'!B9</f>
        <v>0.2</v>
      </c>
      <c r="C9" s="9">
        <f>'Proximal Validation (single)'!C9</f>
        <v>1.571</v>
      </c>
      <c r="D9" s="9">
        <f>'Proximal Validation (single)'!D9</f>
        <v>1.571</v>
      </c>
      <c r="E9" s="9">
        <f>'Proximal Validation (single)'!E9</f>
        <v>0</v>
      </c>
      <c r="F9" s="9">
        <f>'Proximal Validation (single)'!F9</f>
        <v>0</v>
      </c>
      <c r="G9" s="9">
        <f>'Proximal Validation (single)'!G9</f>
        <v>0</v>
      </c>
      <c r="H9" s="9">
        <f>'Proximal Validation (single)'!H9</f>
        <v>8.7637116666883198E-4</v>
      </c>
      <c r="I9" s="9">
        <f>'Proximal Validation (single)'!I9</f>
        <v>-0.164488449692726</v>
      </c>
      <c r="J9" s="9">
        <f>'Proximal Validation (single)'!J9</f>
        <v>3.7763002328574701E-3</v>
      </c>
      <c r="K9" s="9">
        <f>'Proximal Validation (single)'!K9</f>
        <v>-0.58729076385498002</v>
      </c>
      <c r="L9" s="9">
        <f>'Proximal Validation (single)'!L9</f>
        <v>7.8071318566799199E-3</v>
      </c>
      <c r="M9" s="9">
        <f>'Proximal Validation (single)'!M9</f>
        <v>0.38755592703819303</v>
      </c>
      <c r="N9" s="9">
        <v>0.60840835934457149</v>
      </c>
      <c r="O9" s="9">
        <v>0.2</v>
      </c>
      <c r="P9" s="9">
        <v>1.5514507810741749</v>
      </c>
      <c r="Q9" s="9">
        <v>1.7506262400245944</v>
      </c>
      <c r="R9" s="10">
        <v>6.2562187844172521E-4</v>
      </c>
      <c r="S9" s="8">
        <f t="shared" si="2"/>
        <v>9.1591640655428463E-2</v>
      </c>
      <c r="T9" s="8">
        <f t="shared" si="0"/>
        <v>0</v>
      </c>
      <c r="U9" s="8">
        <f t="shared" si="0"/>
        <v>1.9549218925825063E-2</v>
      </c>
      <c r="V9" s="8">
        <f t="shared" si="0"/>
        <v>0.17962624002459449</v>
      </c>
    </row>
    <row r="10" spans="1:26" x14ac:dyDescent="0.35">
      <c r="A10" s="9">
        <f>'Proximal Validation (single)'!A10</f>
        <v>0.7</v>
      </c>
      <c r="B10" s="9">
        <f>'Proximal Validation (single)'!B10</f>
        <v>0.06</v>
      </c>
      <c r="C10" s="9">
        <f>'Proximal Validation (single)'!C10</f>
        <v>3.665</v>
      </c>
      <c r="D10" s="9">
        <f>'Proximal Validation (single)'!D10</f>
        <v>0.78500000000000003</v>
      </c>
      <c r="E10" s="9">
        <f>'Proximal Validation (single)'!E10</f>
        <v>0</v>
      </c>
      <c r="F10" s="9">
        <f>'Proximal Validation (single)'!F10</f>
        <v>0</v>
      </c>
      <c r="G10" s="9">
        <f>'Proximal Validation (single)'!G10</f>
        <v>0</v>
      </c>
      <c r="H10" s="9">
        <f>'Proximal Validation (single)'!H10</f>
        <v>-8.6323916912078901E-4</v>
      </c>
      <c r="I10" s="9">
        <f>'Proximal Validation (single)'!I10</f>
        <v>4.2902048677205998E-2</v>
      </c>
      <c r="J10" s="9">
        <f>'Proximal Validation (single)'!J10</f>
        <v>-8.0319754779338795E-2</v>
      </c>
      <c r="K10" s="9">
        <f>'Proximal Validation (single)'!K10</f>
        <v>0.61245459318161</v>
      </c>
      <c r="L10" s="9">
        <f>'Proximal Validation (single)'!L10</f>
        <v>-0.54026973247528098</v>
      </c>
      <c r="M10" s="9">
        <f>'Proximal Validation (single)'!M10</f>
        <v>-0.28817486763000499</v>
      </c>
      <c r="N10" s="9">
        <v>0.78642387084970899</v>
      </c>
      <c r="O10" s="9">
        <v>1.3740633079946964E-2</v>
      </c>
      <c r="P10" s="9">
        <v>3.6355470514505059</v>
      </c>
      <c r="Q10" s="9">
        <v>0.93162572086260642</v>
      </c>
      <c r="R10" s="10">
        <v>2.0040264277590834E-4</v>
      </c>
      <c r="S10" s="8">
        <f t="shared" si="2"/>
        <v>8.6423870849709039E-2</v>
      </c>
      <c r="T10" s="8">
        <f t="shared" si="0"/>
        <v>4.625936692005303E-2</v>
      </c>
      <c r="U10" s="8">
        <f t="shared" si="0"/>
        <v>2.9452948549494096E-2</v>
      </c>
      <c r="V10" s="8">
        <f t="shared" si="0"/>
        <v>0.14662572086260639</v>
      </c>
    </row>
    <row r="11" spans="1:26" x14ac:dyDescent="0.35">
      <c r="A11" s="9">
        <f>'Proximal Validation (single)'!A11</f>
        <v>0.6</v>
      </c>
      <c r="B11" s="9">
        <f>'Proximal Validation (single)'!B11</f>
        <v>0.1</v>
      </c>
      <c r="C11" s="9">
        <f>'Proximal Validation (single)'!C11</f>
        <v>3.665</v>
      </c>
      <c r="D11" s="9">
        <f>'Proximal Validation (single)'!D11</f>
        <v>0.78500000000000003</v>
      </c>
      <c r="E11" s="9">
        <f>'Proximal Validation (single)'!E11</f>
        <v>0</v>
      </c>
      <c r="F11" s="9">
        <f>'Proximal Validation (single)'!F11</f>
        <v>0</v>
      </c>
      <c r="G11" s="9">
        <f>'Proximal Validation (single)'!G11</f>
        <v>0</v>
      </c>
      <c r="H11" s="9">
        <f>'Proximal Validation (single)'!H11</f>
        <v>-8.0120982602238698E-4</v>
      </c>
      <c r="I11" s="9">
        <f>'Proximal Validation (single)'!I11</f>
        <v>4.2666438966989503E-2</v>
      </c>
      <c r="J11" s="9">
        <f>'Proximal Validation (single)'!J11</f>
        <v>-8.0293677747249603E-2</v>
      </c>
      <c r="K11" s="9">
        <f>'Proximal Validation (single)'!K11</f>
        <v>0.443310797214508</v>
      </c>
      <c r="L11" s="9">
        <f>'Proximal Validation (single)'!L11</f>
        <v>-0.42717015743255599</v>
      </c>
      <c r="M11" s="9">
        <f>'Proximal Validation (single)'!M11</f>
        <v>-0.22529536485672</v>
      </c>
      <c r="N11" s="9">
        <v>0.60265161871706618</v>
      </c>
      <c r="O11" s="9">
        <v>4.0170224106255634E-2</v>
      </c>
      <c r="P11" s="9">
        <v>3.6322534102610673</v>
      </c>
      <c r="Q11" s="9">
        <v>0.95994291648098384</v>
      </c>
      <c r="R11" s="10">
        <v>2.0196310696216706E-4</v>
      </c>
      <c r="S11" s="8">
        <f t="shared" si="2"/>
        <v>2.6516187170662064E-3</v>
      </c>
      <c r="T11" s="8">
        <f t="shared" si="0"/>
        <v>5.9829775893744372E-2</v>
      </c>
      <c r="U11" s="8">
        <f t="shared" si="0"/>
        <v>3.2746589738932741E-2</v>
      </c>
      <c r="V11" s="8">
        <f t="shared" si="0"/>
        <v>0.17494291648098381</v>
      </c>
    </row>
    <row r="12" spans="1:26" x14ac:dyDescent="0.35">
      <c r="A12" s="9">
        <f>'Proximal Validation (single)'!A12</f>
        <v>0.8</v>
      </c>
      <c r="B12" s="9">
        <f>'Proximal Validation (single)'!B12</f>
        <v>0.18</v>
      </c>
      <c r="C12" s="9">
        <f>'Proximal Validation (single)'!C12</f>
        <v>3.665</v>
      </c>
      <c r="D12" s="9">
        <f>'Proximal Validation (single)'!D12</f>
        <v>0.78500000000000003</v>
      </c>
      <c r="E12" s="9">
        <f>'Proximal Validation (single)'!E12</f>
        <v>1.4</v>
      </c>
      <c r="F12" s="9">
        <f>'Proximal Validation (single)'!F12</f>
        <v>0</v>
      </c>
      <c r="G12" s="9">
        <f>'Proximal Validation (single)'!G12</f>
        <v>0</v>
      </c>
      <c r="H12" s="9">
        <f>'Proximal Validation (single)'!H12</f>
        <v>-5.5334065109491301E-5</v>
      </c>
      <c r="I12" s="9">
        <f>'Proximal Validation (single)'!I12</f>
        <v>7.7956624329090105E-2</v>
      </c>
      <c r="J12" s="9">
        <f>'Proximal Validation (single)'!J12</f>
        <v>-0.13737398386001601</v>
      </c>
      <c r="K12" s="9">
        <f>'Proximal Validation (single)'!K12</f>
        <v>0.41918036341667197</v>
      </c>
      <c r="L12" s="9">
        <f>'Proximal Validation (single)'!L12</f>
        <v>-0.55125319957733199</v>
      </c>
      <c r="M12" s="9">
        <f>'Proximal Validation (single)'!M12</f>
        <v>-0.30630308389663702</v>
      </c>
      <c r="N12" s="9">
        <v>0.72536661002451797</v>
      </c>
      <c r="O12" s="9">
        <v>8.6323039496506271E-2</v>
      </c>
      <c r="P12" s="9">
        <v>3.6574989426539486</v>
      </c>
      <c r="Q12" s="9">
        <v>1.0637681195562441</v>
      </c>
      <c r="R12" s="10">
        <v>6.7783135342438258E-4</v>
      </c>
      <c r="S12" s="8">
        <f t="shared" si="2"/>
        <v>7.4633389975482078E-2</v>
      </c>
      <c r="T12" s="8">
        <f t="shared" si="0"/>
        <v>9.3676960503493722E-2</v>
      </c>
      <c r="U12" s="8">
        <f t="shared" si="0"/>
        <v>7.5010573460514429E-3</v>
      </c>
      <c r="V12" s="8">
        <f t="shared" si="0"/>
        <v>0.27876811955624403</v>
      </c>
    </row>
    <row r="13" spans="1:26" x14ac:dyDescent="0.35">
      <c r="A13" s="9">
        <f>'Proximal Validation (single)'!A13</f>
        <v>0.4</v>
      </c>
      <c r="B13" s="9">
        <f>'Proximal Validation (single)'!B13</f>
        <v>0.2</v>
      </c>
      <c r="C13" s="9">
        <f>'Proximal Validation (single)'!C13</f>
        <v>3.665</v>
      </c>
      <c r="D13" s="9">
        <f>'Proximal Validation (single)'!D13</f>
        <v>0.78500000000000003</v>
      </c>
      <c r="E13" s="9">
        <f>'Proximal Validation (single)'!E13</f>
        <v>1.4</v>
      </c>
      <c r="F13" s="9">
        <f>'Proximal Validation (single)'!F13</f>
        <v>0</v>
      </c>
      <c r="G13" s="9">
        <f>'Proximal Validation (single)'!G13</f>
        <v>0</v>
      </c>
      <c r="H13" s="9">
        <f>'Proximal Validation (single)'!H13</f>
        <v>-9.6024014055728899E-5</v>
      </c>
      <c r="I13" s="9">
        <f>'Proximal Validation (single)'!I13</f>
        <v>3.4424368292093298E-2</v>
      </c>
      <c r="J13" s="9">
        <f>'Proximal Validation (single)'!J13</f>
        <v>-6.16564750671387E-2</v>
      </c>
      <c r="K13" s="9">
        <f>'Proximal Validation (single)'!K13</f>
        <v>0.267098218202591</v>
      </c>
      <c r="L13" s="9">
        <f>'Proximal Validation (single)'!L13</f>
        <v>-0.21448078751564001</v>
      </c>
      <c r="M13" s="9">
        <f>'Proximal Validation (single)'!M13</f>
        <v>-0.115060687065125</v>
      </c>
      <c r="N13" s="9">
        <v>0.32368931001065393</v>
      </c>
      <c r="O13" s="9">
        <v>0.11266706442832367</v>
      </c>
      <c r="P13" s="9">
        <v>3.6459217943233444</v>
      </c>
      <c r="Q13" s="9">
        <v>0.8845361130076389</v>
      </c>
      <c r="R13" s="10">
        <v>1.4083545408800932E-4</v>
      </c>
      <c r="S13" s="8">
        <f t="shared" si="2"/>
        <v>7.6310689989346092E-2</v>
      </c>
      <c r="T13" s="8">
        <f t="shared" si="0"/>
        <v>8.7332935571676346E-2</v>
      </c>
      <c r="U13" s="8">
        <f t="shared" si="0"/>
        <v>1.9078205676655635E-2</v>
      </c>
      <c r="V13" s="8">
        <f t="shared" si="0"/>
        <v>9.9536113007638871E-2</v>
      </c>
    </row>
    <row r="14" spans="1:26" x14ac:dyDescent="0.35">
      <c r="A14" s="9">
        <f>'Proximal Validation (single)'!A14</f>
        <v>0.4</v>
      </c>
      <c r="B14" s="9">
        <f>'Proximal Validation (single)'!B14</f>
        <v>0.1</v>
      </c>
      <c r="C14" s="9">
        <f>'Proximal Validation (single)'!C14</f>
        <v>3.665</v>
      </c>
      <c r="D14" s="9">
        <f>'Proximal Validation (single)'!D14</f>
        <v>1.571</v>
      </c>
      <c r="E14" s="9">
        <f>'Proximal Validation (single)'!E14</f>
        <v>1.4</v>
      </c>
      <c r="F14" s="9">
        <f>'Proximal Validation (single)'!F14</f>
        <v>0</v>
      </c>
      <c r="G14" s="9">
        <f>'Proximal Validation (single)'!G14</f>
        <v>0</v>
      </c>
      <c r="H14" s="9">
        <f>'Proximal Validation (single)'!H14</f>
        <v>-3.7108035758137698E-4</v>
      </c>
      <c r="I14" s="9">
        <f>'Proximal Validation (single)'!I14</f>
        <v>3.7644270807504703E-2</v>
      </c>
      <c r="J14" s="9">
        <f>'Proximal Validation (single)'!J14</f>
        <v>-6.73996657133102E-2</v>
      </c>
      <c r="K14" s="9">
        <f>'Proximal Validation (single)'!K14</f>
        <v>1.67829748243093E-2</v>
      </c>
      <c r="L14" s="9">
        <f>'Proximal Validation (single)'!L14</f>
        <v>-0.33880779147148099</v>
      </c>
      <c r="M14" s="9">
        <f>'Proximal Validation (single)'!M14</f>
        <v>-0.185297966003418</v>
      </c>
      <c r="N14" s="9">
        <v>0.39866490904146223</v>
      </c>
      <c r="O14" s="9">
        <v>4.9020881530599851E-2</v>
      </c>
      <c r="P14" s="9">
        <v>3.6481432226433044</v>
      </c>
      <c r="Q14" s="9">
        <v>1.5427970208007731</v>
      </c>
      <c r="R14" s="10">
        <v>1.6104946929566442E-4</v>
      </c>
      <c r="S14" s="8">
        <f t="shared" si="2"/>
        <v>1.3350909585377879E-3</v>
      </c>
      <c r="T14" s="8">
        <f t="shared" si="0"/>
        <v>5.0979118469400155E-2</v>
      </c>
      <c r="U14" s="8">
        <f t="shared" si="0"/>
        <v>1.6856777356695662E-2</v>
      </c>
      <c r="V14" s="8">
        <f t="shared" si="0"/>
        <v>2.8202979199226874E-2</v>
      </c>
    </row>
    <row r="15" spans="1:26" x14ac:dyDescent="0.35">
      <c r="A15" s="9">
        <f>'Proximal Validation (single)'!A15</f>
        <v>0.7</v>
      </c>
      <c r="B15" s="9">
        <f>'Proximal Validation (single)'!B15</f>
        <v>0.1</v>
      </c>
      <c r="C15" s="9">
        <f>'Proximal Validation (single)'!C15</f>
        <v>3.665</v>
      </c>
      <c r="D15" s="9">
        <f>'Proximal Validation (single)'!D15</f>
        <v>1.571</v>
      </c>
      <c r="E15" s="9">
        <f>'Proximal Validation (single)'!E15</f>
        <v>1.4</v>
      </c>
      <c r="F15" s="9">
        <f>'Proximal Validation (single)'!F15</f>
        <v>0</v>
      </c>
      <c r="G15" s="9">
        <f>'Proximal Validation (single)'!G15</f>
        <v>0</v>
      </c>
      <c r="H15" s="9">
        <f>'Proximal Validation (single)'!H15</f>
        <v>-1.02429185062647E-3</v>
      </c>
      <c r="I15" s="9">
        <f>'Proximal Validation (single)'!I15</f>
        <v>7.0613205432891804E-2</v>
      </c>
      <c r="J15" s="9">
        <f>'Proximal Validation (single)'!J15</f>
        <v>-0.12678831815719599</v>
      </c>
      <c r="K15" s="9">
        <f>'Proximal Validation (single)'!K15</f>
        <v>-2.9671346768736801E-2</v>
      </c>
      <c r="L15" s="9">
        <f>'Proximal Validation (single)'!L15</f>
        <v>-0.63574087619781505</v>
      </c>
      <c r="M15" s="9">
        <f>'Proximal Validation (single)'!M15</f>
        <v>-0.34651768207549999</v>
      </c>
      <c r="N15" s="9">
        <v>0.74742798273338096</v>
      </c>
      <c r="O15" s="9">
        <v>4.9289600658586979E-2</v>
      </c>
      <c r="P15" s="9">
        <v>3.6467145109350931</v>
      </c>
      <c r="Q15" s="9">
        <v>1.5907300908532844</v>
      </c>
      <c r="R15" s="10">
        <v>5.6873202205466502E-4</v>
      </c>
      <c r="S15" s="8">
        <f t="shared" si="2"/>
        <v>4.7427982733381002E-2</v>
      </c>
      <c r="T15" s="8">
        <f t="shared" si="0"/>
        <v>5.0710399341413026E-2</v>
      </c>
      <c r="U15" s="8">
        <f t="shared" si="0"/>
        <v>1.8285489064906901E-2</v>
      </c>
      <c r="V15" s="8">
        <f t="shared" si="0"/>
        <v>1.9730090853284477E-2</v>
      </c>
    </row>
    <row r="16" spans="1:26" x14ac:dyDescent="0.35">
      <c r="A16" s="9">
        <f>'Proximal Validation (single)'!A16</f>
        <v>0.4</v>
      </c>
      <c r="B16" s="9">
        <f>'Proximal Validation (single)'!B16</f>
        <v>0.16</v>
      </c>
      <c r="C16" s="9">
        <f>'Proximal Validation (single)'!C16</f>
        <v>3.665</v>
      </c>
      <c r="D16" s="9">
        <f>'Proximal Validation (single)'!D16</f>
        <v>1.571</v>
      </c>
      <c r="E16" s="9">
        <f>'Proximal Validation (single)'!E16</f>
        <v>0</v>
      </c>
      <c r="F16" s="9">
        <f>'Proximal Validation (single)'!F16</f>
        <v>0</v>
      </c>
      <c r="G16" s="9">
        <f>'Proximal Validation (single)'!G16</f>
        <v>0</v>
      </c>
      <c r="H16" s="9">
        <f>'Proximal Validation (single)'!H16</f>
        <v>-6.0879066586494402E-4</v>
      </c>
      <c r="I16" s="9">
        <f>'Proximal Validation (single)'!I16</f>
        <v>4.7145899385213901E-2</v>
      </c>
      <c r="J16" s="9">
        <f>'Proximal Validation (single)'!J16</f>
        <v>-8.5028916597366305E-2</v>
      </c>
      <c r="K16" s="9">
        <f>'Proximal Validation (single)'!K16</f>
        <v>-7.4065491557121305E-2</v>
      </c>
      <c r="L16" s="9">
        <f>'Proximal Validation (single)'!L16</f>
        <v>-0.31546109914779702</v>
      </c>
      <c r="M16" s="9">
        <f>'Proximal Validation (single)'!M16</f>
        <v>-0.17043319344520599</v>
      </c>
      <c r="N16" s="9">
        <v>0.37426267958076559</v>
      </c>
      <c r="O16" s="9">
        <v>9.7592333579262364E-2</v>
      </c>
      <c r="P16" s="9">
        <v>3.6465759570878129</v>
      </c>
      <c r="Q16" s="9">
        <v>1.6504719135950212</v>
      </c>
      <c r="R16" s="10">
        <v>2.5407515657104577E-4</v>
      </c>
      <c r="S16" s="8">
        <f t="shared" si="2"/>
        <v>2.5737320419234433E-2</v>
      </c>
      <c r="T16" s="8">
        <f t="shared" si="0"/>
        <v>6.240766642073764E-2</v>
      </c>
      <c r="U16" s="8">
        <f t="shared" si="0"/>
        <v>1.8424042912187133E-2</v>
      </c>
      <c r="V16" s="8">
        <f t="shared" si="0"/>
        <v>7.947191359502126E-2</v>
      </c>
    </row>
    <row r="17" spans="1:22" x14ac:dyDescent="0.35">
      <c r="A17" s="9">
        <f>'Proximal Validation (single)'!A17</f>
        <v>0.3</v>
      </c>
      <c r="B17" s="9">
        <f>'Proximal Validation (single)'!B17</f>
        <v>0.18</v>
      </c>
      <c r="C17" s="9">
        <f>'Proximal Validation (single)'!C17</f>
        <v>3.665</v>
      </c>
      <c r="D17" s="9">
        <f>'Proximal Validation (single)'!D17</f>
        <v>1.571</v>
      </c>
      <c r="E17" s="9">
        <f>'Proximal Validation (single)'!E17</f>
        <v>0</v>
      </c>
      <c r="F17" s="9">
        <f>'Proximal Validation (single)'!F17</f>
        <v>0</v>
      </c>
      <c r="G17" s="9">
        <f>'Proximal Validation (single)'!G17</f>
        <v>0</v>
      </c>
      <c r="H17" s="9">
        <f>'Proximal Validation (single)'!H17</f>
        <v>3.8368394598364803E-5</v>
      </c>
      <c r="I17" s="9">
        <f>'Proximal Validation (single)'!I17</f>
        <v>3.2897148281335803E-2</v>
      </c>
      <c r="J17" s="9">
        <f>'Proximal Validation (single)'!J17</f>
        <v>-5.8571800589561497E-2</v>
      </c>
      <c r="K17" s="9">
        <f>'Proximal Validation (single)'!K17</f>
        <v>-6.3505612313747406E-2</v>
      </c>
      <c r="L17" s="9">
        <f>'Proximal Validation (single)'!L17</f>
        <v>-0.19738522171974199</v>
      </c>
      <c r="M17" s="9">
        <f>'Proximal Validation (single)'!M17</f>
        <v>-0.108248926699162</v>
      </c>
      <c r="N17" s="9">
        <v>0.23729721800364259</v>
      </c>
      <c r="O17" s="9">
        <v>0.11673022954562813</v>
      </c>
      <c r="P17" s="9">
        <v>3.6545431773246517</v>
      </c>
      <c r="Q17" s="9">
        <v>1.7078105792257181</v>
      </c>
      <c r="R17" s="10">
        <v>1.2108671225991037E-4</v>
      </c>
      <c r="S17" s="8">
        <f t="shared" si="2"/>
        <v>6.2702781996357398E-2</v>
      </c>
      <c r="T17" s="8">
        <f t="shared" si="0"/>
        <v>6.3269770454371863E-2</v>
      </c>
      <c r="U17" s="8">
        <f t="shared" si="0"/>
        <v>1.045682267534831E-2</v>
      </c>
      <c r="V17" s="8">
        <f t="shared" si="0"/>
        <v>0.13681057922571815</v>
      </c>
    </row>
  </sheetData>
  <mergeCells count="5">
    <mergeCell ref="A1:G1"/>
    <mergeCell ref="H1:M1"/>
    <mergeCell ref="N1:R1"/>
    <mergeCell ref="S1:U1"/>
    <mergeCell ref="W1:Y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0B31-7E83-47D4-ACA7-98FCDDCC330D}">
  <dimension ref="A1:Z17"/>
  <sheetViews>
    <sheetView tabSelected="1" topLeftCell="L1" workbookViewId="0">
      <selection activeCell="X8" sqref="X8"/>
    </sheetView>
  </sheetViews>
  <sheetFormatPr defaultRowHeight="14.5" x14ac:dyDescent="0.35"/>
  <cols>
    <col min="1" max="2" width="6.1796875" bestFit="1" customWidth="1"/>
    <col min="3" max="3" width="8.81640625" bestFit="1" customWidth="1"/>
    <col min="4" max="4" width="10.81640625" bestFit="1" customWidth="1"/>
    <col min="5" max="7" width="8.453125" bestFit="1" customWidth="1"/>
    <col min="8" max="9" width="8.1796875" bestFit="1" customWidth="1"/>
    <col min="10" max="13" width="8" bestFit="1" customWidth="1"/>
    <col min="14" max="15" width="7.26953125" bestFit="1" customWidth="1"/>
    <col min="16" max="16" width="8.81640625" bestFit="1" customWidth="1"/>
    <col min="17" max="17" width="10.81640625" bestFit="1" customWidth="1"/>
    <col min="18" max="18" width="15" customWidth="1"/>
    <col min="19" max="19" width="11.1796875" bestFit="1" customWidth="1"/>
    <col min="20" max="20" width="13.453125" bestFit="1" customWidth="1"/>
    <col min="21" max="21" width="11.7265625" bestFit="1" customWidth="1"/>
    <col min="22" max="22" width="11.7265625" customWidth="1"/>
    <col min="23" max="23" width="11.1796875" bestFit="1" customWidth="1"/>
    <col min="24" max="24" width="13.54296875" bestFit="1" customWidth="1"/>
    <col min="25" max="25" width="11.7265625" bestFit="1" customWidth="1"/>
    <col min="26" max="26" width="12.54296875" customWidth="1"/>
  </cols>
  <sheetData>
    <row r="1" spans="1:26" ht="16" x14ac:dyDescent="0.4">
      <c r="A1" s="22" t="s">
        <v>13</v>
      </c>
      <c r="B1" s="22"/>
      <c r="C1" s="22"/>
      <c r="D1" s="22"/>
      <c r="E1" s="22"/>
      <c r="F1" s="22"/>
      <c r="G1" s="22"/>
      <c r="H1" s="23" t="s">
        <v>6</v>
      </c>
      <c r="I1" s="23"/>
      <c r="J1" s="23"/>
      <c r="K1" s="23"/>
      <c r="L1" s="23"/>
      <c r="M1" s="23"/>
      <c r="N1" s="25" t="s">
        <v>9</v>
      </c>
      <c r="O1" s="25"/>
      <c r="P1" s="25"/>
      <c r="Q1" s="25"/>
      <c r="R1" s="25"/>
      <c r="S1" s="24" t="s">
        <v>15</v>
      </c>
      <c r="T1" s="24"/>
      <c r="U1" s="24"/>
      <c r="V1" s="6"/>
      <c r="W1" s="21" t="s">
        <v>30</v>
      </c>
      <c r="X1" s="21"/>
      <c r="Y1" s="21"/>
    </row>
    <row r="2" spans="1:26" ht="16" x14ac:dyDescent="0.4">
      <c r="A2" s="1" t="s">
        <v>7</v>
      </c>
      <c r="B2" s="1" t="s">
        <v>8</v>
      </c>
      <c r="C2" s="1" t="s">
        <v>25</v>
      </c>
      <c r="D2" s="1" t="s">
        <v>26</v>
      </c>
      <c r="E2" s="1" t="s">
        <v>10</v>
      </c>
      <c r="F2" s="1" t="s">
        <v>11</v>
      </c>
      <c r="G2" s="1" t="s">
        <v>12</v>
      </c>
      <c r="H2" s="1" t="s">
        <v>3</v>
      </c>
      <c r="I2" s="1" t="s">
        <v>4</v>
      </c>
      <c r="J2" s="1" t="s">
        <v>5</v>
      </c>
      <c r="K2" s="1" t="s">
        <v>0</v>
      </c>
      <c r="L2" s="1" t="s">
        <v>1</v>
      </c>
      <c r="M2" s="1" t="s">
        <v>2</v>
      </c>
      <c r="N2" s="1" t="s">
        <v>7</v>
      </c>
      <c r="O2" s="1" t="s">
        <v>8</v>
      </c>
      <c r="P2" s="1" t="s">
        <v>25</v>
      </c>
      <c r="Q2" s="1" t="s">
        <v>26</v>
      </c>
      <c r="R2" s="1" t="s">
        <v>27</v>
      </c>
      <c r="S2" s="1" t="s">
        <v>28</v>
      </c>
      <c r="T2" s="1" t="s">
        <v>29</v>
      </c>
      <c r="U2" s="4" t="s">
        <v>31</v>
      </c>
      <c r="V2" s="4" t="s">
        <v>32</v>
      </c>
      <c r="W2" s="1" t="s">
        <v>28</v>
      </c>
      <c r="X2" s="1" t="s">
        <v>29</v>
      </c>
      <c r="Y2" s="4" t="s">
        <v>31</v>
      </c>
      <c r="Z2" s="4" t="s">
        <v>32</v>
      </c>
    </row>
    <row r="3" spans="1:26" x14ac:dyDescent="0.35">
      <c r="A3" s="9">
        <f>'Proximal Validation (single)'!A3</f>
        <v>0.3</v>
      </c>
      <c r="B3" s="9">
        <f>'Proximal Validation (single)'!B3</f>
        <v>0.08</v>
      </c>
      <c r="C3" s="9">
        <f>'Proximal Validation (single)'!C3</f>
        <v>1.571</v>
      </c>
      <c r="D3" s="9">
        <f>'Proximal Validation (single)'!D3</f>
        <v>0.78500000000000003</v>
      </c>
      <c r="E3" s="9">
        <f>'Proximal Validation (single)'!E3</f>
        <v>1.4</v>
      </c>
      <c r="F3" s="9">
        <f>'Proximal Validation (single)'!F3</f>
        <v>0</v>
      </c>
      <c r="G3" s="9">
        <f>'Proximal Validation (single)'!G3</f>
        <v>0</v>
      </c>
      <c r="H3" s="9">
        <f>'Proximal Validation (single)'!H3</f>
        <v>2.6342464843764901E-4</v>
      </c>
      <c r="I3" s="9">
        <f>'Proximal Validation (single)'!I3</f>
        <v>-3.2978262752294499E-2</v>
      </c>
      <c r="J3" s="9">
        <f>'Proximal Validation (single)'!J3</f>
        <v>5.6162860710173802E-4</v>
      </c>
      <c r="K3" s="9">
        <f>'Proximal Validation (single)'!K3</f>
        <v>0.185834720730782</v>
      </c>
      <c r="L3" s="9">
        <f>'Proximal Validation (single)'!L3</f>
        <v>1.13257020711899E-3</v>
      </c>
      <c r="M3" s="9">
        <f>'Proximal Validation (single)'!M3</f>
        <v>0.19288232922553999</v>
      </c>
      <c r="N3" s="9">
        <v>0.22176367606154754</v>
      </c>
      <c r="O3" s="9">
        <v>5.9342310880851477E-2</v>
      </c>
      <c r="P3" s="9">
        <v>1.513808342273647</v>
      </c>
      <c r="Q3" s="9">
        <v>1.2309282130873864</v>
      </c>
      <c r="R3" s="10">
        <v>5.0828320559270182E-4</v>
      </c>
      <c r="S3" s="8">
        <f>ABS(N3-A3)</f>
        <v>7.8236323938452451E-2</v>
      </c>
      <c r="T3" s="8">
        <f t="shared" ref="T3:V17" si="0">ABS(O3-B3)</f>
        <v>2.0657689119148524E-2</v>
      </c>
      <c r="U3" s="8">
        <f t="shared" si="0"/>
        <v>5.7191657726352929E-2</v>
      </c>
      <c r="V3" s="8">
        <f t="shared" si="0"/>
        <v>0.44592821308738639</v>
      </c>
      <c r="W3" s="9">
        <f>AVERAGE(S3:S17)</f>
        <v>6.2980744945213121E-2</v>
      </c>
      <c r="X3" s="9">
        <f t="shared" ref="X3:Z3" si="1">AVERAGE(T3:T17)</f>
        <v>2.3217298004290361E-2</v>
      </c>
      <c r="Y3" s="9">
        <f>AVERAGE(U3:U17)</f>
        <v>5.1852619629878451E-2</v>
      </c>
      <c r="Z3" s="9">
        <f t="shared" si="1"/>
        <v>0.1984507285588433</v>
      </c>
    </row>
    <row r="4" spans="1:26" x14ac:dyDescent="0.35">
      <c r="A4" s="9">
        <f>'Proximal Validation (single)'!A4</f>
        <v>0.4</v>
      </c>
      <c r="B4" s="9">
        <f>'Proximal Validation (single)'!B4</f>
        <v>0.14000000000000001</v>
      </c>
      <c r="C4" s="9">
        <f>'Proximal Validation (single)'!C4</f>
        <v>1.571</v>
      </c>
      <c r="D4" s="9">
        <f>'Proximal Validation (single)'!D4</f>
        <v>0.78500000000000003</v>
      </c>
      <c r="E4" s="9">
        <f>'Proximal Validation (single)'!E4</f>
        <v>0</v>
      </c>
      <c r="F4" s="9">
        <f>'Proximal Validation (single)'!F4</f>
        <v>0</v>
      </c>
      <c r="G4" s="9">
        <f>'Proximal Validation (single)'!G4</f>
        <v>0</v>
      </c>
      <c r="H4" s="9">
        <f>'Proximal Validation (single)'!H4</f>
        <v>-4.3474312406033299E-4</v>
      </c>
      <c r="I4" s="9">
        <f>'Proximal Validation (single)'!I4</f>
        <v>-6.2425632029771798E-2</v>
      </c>
      <c r="J4" s="9">
        <f>'Proximal Validation (single)'!J4</f>
        <v>2.5845002382993698E-3</v>
      </c>
      <c r="K4" s="9">
        <f>'Proximal Validation (single)'!K4</f>
        <v>0.25303724408149703</v>
      </c>
      <c r="L4" s="9">
        <f>'Proximal Validation (single)'!L4</f>
        <v>1.07369087636471E-2</v>
      </c>
      <c r="M4" s="9">
        <f>'Proximal Validation (single)'!M4</f>
        <v>0.27653545141220098</v>
      </c>
      <c r="N4" s="9">
        <v>0.32473144116695835</v>
      </c>
      <c r="O4" s="9">
        <v>0.11909644178987432</v>
      </c>
      <c r="P4" s="9">
        <v>1.4964085929957633</v>
      </c>
      <c r="Q4" s="9">
        <v>1.0529363037610366</v>
      </c>
      <c r="R4" s="10">
        <v>5.5022249700236207E-4</v>
      </c>
      <c r="S4" s="8">
        <f t="shared" ref="S4:S17" si="2">ABS(N4-A4)</f>
        <v>7.5268558833041677E-2</v>
      </c>
      <c r="T4" s="8">
        <f t="shared" si="0"/>
        <v>2.0903558210125697E-2</v>
      </c>
      <c r="U4" s="8">
        <f t="shared" si="0"/>
        <v>7.459140700423661E-2</v>
      </c>
      <c r="V4" s="8">
        <f t="shared" si="0"/>
        <v>0.26793630376103661</v>
      </c>
      <c r="Y4">
        <f>DEGREES(Y3)</f>
        <v>2.9709362614892401</v>
      </c>
      <c r="Z4">
        <f>DEGREES(Z3)</f>
        <v>11.370389187718034</v>
      </c>
    </row>
    <row r="5" spans="1:26" x14ac:dyDescent="0.35">
      <c r="A5" s="9">
        <f>'Proximal Validation (single)'!A5</f>
        <v>0.6</v>
      </c>
      <c r="B5" s="9">
        <f>'Proximal Validation (single)'!B5</f>
        <v>0.16</v>
      </c>
      <c r="C5" s="9">
        <f>'Proximal Validation (single)'!C5</f>
        <v>1.571</v>
      </c>
      <c r="D5" s="9">
        <f>'Proximal Validation (single)'!D5</f>
        <v>0.78500000000000003</v>
      </c>
      <c r="E5" s="9">
        <f>'Proximal Validation (single)'!E5</f>
        <v>1.4</v>
      </c>
      <c r="F5" s="9">
        <f>'Proximal Validation (single)'!F5</f>
        <v>0</v>
      </c>
      <c r="G5" s="9">
        <f>'Proximal Validation (single)'!G5</f>
        <v>0</v>
      </c>
      <c r="H5" s="9">
        <f>'Proximal Validation (single)'!H5</f>
        <v>5.3234044462442398E-3</v>
      </c>
      <c r="I5" s="9">
        <f>'Proximal Validation (single)'!I5</f>
        <v>-0.12275674194097499</v>
      </c>
      <c r="J5" s="9">
        <f>'Proximal Validation (single)'!J5</f>
        <v>-8.3989212289452605E-3</v>
      </c>
      <c r="K5" s="9">
        <f>'Proximal Validation (single)'!K5</f>
        <v>0.26806160807609603</v>
      </c>
      <c r="L5" s="9">
        <f>'Proximal Validation (single)'!L5</f>
        <v>-2.4467468261718799E-2</v>
      </c>
      <c r="M5" s="9">
        <f>'Proximal Validation (single)'!M5</f>
        <v>0.52633810043335005</v>
      </c>
      <c r="N5" s="9">
        <v>0.56432391300692308</v>
      </c>
      <c r="O5" s="9">
        <v>0.14565947353953146</v>
      </c>
      <c r="P5" s="9">
        <v>1.640723280152844</v>
      </c>
      <c r="Q5" s="9">
        <v>1.0056209109917909</v>
      </c>
      <c r="R5" s="10">
        <v>6.1233044375456718E-4</v>
      </c>
      <c r="S5" s="8">
        <f t="shared" si="2"/>
        <v>3.5676086993076894E-2</v>
      </c>
      <c r="T5" s="8">
        <f t="shared" si="0"/>
        <v>1.4340526460468545E-2</v>
      </c>
      <c r="U5" s="8">
        <f t="shared" si="0"/>
        <v>6.9723280152844014E-2</v>
      </c>
      <c r="V5" s="8">
        <f t="shared" si="0"/>
        <v>0.22062091099179082</v>
      </c>
    </row>
    <row r="6" spans="1:26" x14ac:dyDescent="0.35">
      <c r="A6" s="9">
        <f>'Proximal Validation (single)'!A6</f>
        <v>0.4</v>
      </c>
      <c r="B6" s="9">
        <f>'Proximal Validation (single)'!B6</f>
        <v>0.06</v>
      </c>
      <c r="C6" s="9">
        <f>'Proximal Validation (single)'!C6</f>
        <v>1.571</v>
      </c>
      <c r="D6" s="9">
        <f>'Proximal Validation (single)'!D6</f>
        <v>1.571</v>
      </c>
      <c r="E6" s="9">
        <f>'Proximal Validation (single)'!E6</f>
        <v>1.4</v>
      </c>
      <c r="F6" s="9">
        <f>'Proximal Validation (single)'!F6</f>
        <v>0</v>
      </c>
      <c r="G6" s="9">
        <f>'Proximal Validation (single)'!G6</f>
        <v>0</v>
      </c>
      <c r="H6" s="9">
        <f>'Proximal Validation (single)'!H6</f>
        <v>6.7002582363784302E-4</v>
      </c>
      <c r="I6" s="9">
        <f>'Proximal Validation (single)'!I6</f>
        <v>-6.6750191152095795E-2</v>
      </c>
      <c r="J6" s="9">
        <f>'Proximal Validation (single)'!J6</f>
        <v>1.6002767952158999E-3</v>
      </c>
      <c r="K6" s="9">
        <f>'Proximal Validation (single)'!K6</f>
        <v>-3.97013984620571E-2</v>
      </c>
      <c r="L6" s="9">
        <f>'Proximal Validation (single)'!L6</f>
        <v>7.3561742901802098E-3</v>
      </c>
      <c r="M6" s="9">
        <f>'Proximal Validation (single)'!M6</f>
        <v>0.423814177513123</v>
      </c>
      <c r="N6" s="9">
        <v>0.46913480662901258</v>
      </c>
      <c r="O6" s="9">
        <v>5.7488786909511924E-2</v>
      </c>
      <c r="P6" s="9">
        <v>1.5189214557901527</v>
      </c>
      <c r="Q6" s="9">
        <v>1.8734235241211525</v>
      </c>
      <c r="R6" s="10">
        <v>5.0230758024864645E-4</v>
      </c>
      <c r="S6" s="8">
        <f t="shared" si="2"/>
        <v>6.9134806629012557E-2</v>
      </c>
      <c r="T6" s="8">
        <f t="shared" si="0"/>
        <v>2.5112130904880736E-3</v>
      </c>
      <c r="U6" s="8">
        <f t="shared" si="0"/>
        <v>5.2078544209847255E-2</v>
      </c>
      <c r="V6" s="8">
        <f t="shared" si="0"/>
        <v>0.30242352412115259</v>
      </c>
    </row>
    <row r="7" spans="1:26" x14ac:dyDescent="0.35">
      <c r="A7" s="9">
        <f>'Proximal Validation (single)'!A7</f>
        <v>0.8</v>
      </c>
      <c r="B7" s="9">
        <f>'Proximal Validation (single)'!B7</f>
        <v>0.08</v>
      </c>
      <c r="C7" s="9">
        <f>'Proximal Validation (single)'!C7</f>
        <v>1.571</v>
      </c>
      <c r="D7" s="9">
        <f>'Proximal Validation (single)'!D7</f>
        <v>1.571</v>
      </c>
      <c r="E7" s="9">
        <f>'Proximal Validation (single)'!E7</f>
        <v>0</v>
      </c>
      <c r="F7" s="9">
        <f>'Proximal Validation (single)'!F7</f>
        <v>0</v>
      </c>
      <c r="G7" s="9">
        <f>'Proximal Validation (single)'!G7</f>
        <v>0</v>
      </c>
      <c r="H7" s="9">
        <f>'Proximal Validation (single)'!H7</f>
        <v>7.4092089198529699E-4</v>
      </c>
      <c r="I7" s="9">
        <f>'Proximal Validation (single)'!I7</f>
        <v>-0.14775538444519001</v>
      </c>
      <c r="J7" s="9">
        <f>'Proximal Validation (single)'!J7</f>
        <v>3.4220633096993E-3</v>
      </c>
      <c r="K7" s="9">
        <f>'Proximal Validation (single)'!K7</f>
        <v>-0.161362335085869</v>
      </c>
      <c r="L7" s="9">
        <f>'Proximal Validation (single)'!L7</f>
        <v>2.0262047648429898E-2</v>
      </c>
      <c r="M7" s="9">
        <f>'Proximal Validation (single)'!M7</f>
        <v>0.82944488525390603</v>
      </c>
      <c r="N7" s="9">
        <v>0.89244981573469562</v>
      </c>
      <c r="O7" s="9">
        <v>8.1642191216504886E-2</v>
      </c>
      <c r="P7" s="9">
        <v>1.5329171355725022</v>
      </c>
      <c r="Q7" s="9">
        <v>1.7778875069926667</v>
      </c>
      <c r="R7" s="10">
        <v>5.2889552060216667E-4</v>
      </c>
      <c r="S7" s="8">
        <f t="shared" si="2"/>
        <v>9.2449815734695573E-2</v>
      </c>
      <c r="T7" s="8">
        <f t="shared" si="0"/>
        <v>1.6421912165048846E-3</v>
      </c>
      <c r="U7" s="8">
        <f t="shared" si="0"/>
        <v>3.8082864427497753E-2</v>
      </c>
      <c r="V7" s="8">
        <f t="shared" si="0"/>
        <v>0.20688750699266678</v>
      </c>
    </row>
    <row r="8" spans="1:26" x14ac:dyDescent="0.35">
      <c r="A8" s="9">
        <f>'Proximal Validation (single)'!A8</f>
        <v>0.7</v>
      </c>
      <c r="B8" s="9">
        <f>'Proximal Validation (single)'!B8</f>
        <v>0.16</v>
      </c>
      <c r="C8" s="9">
        <f>'Proximal Validation (single)'!C8</f>
        <v>1.571</v>
      </c>
      <c r="D8" s="9">
        <f>'Proximal Validation (single)'!D8</f>
        <v>1.571</v>
      </c>
      <c r="E8" s="9">
        <f>'Proximal Validation (single)'!E8</f>
        <v>1.4</v>
      </c>
      <c r="F8" s="9">
        <f>'Proximal Validation (single)'!F8</f>
        <v>0</v>
      </c>
      <c r="G8" s="9">
        <f>'Proximal Validation (single)'!G8</f>
        <v>0</v>
      </c>
      <c r="H8" s="9">
        <f>'Proximal Validation (single)'!H8</f>
        <v>6.6551081836223602E-3</v>
      </c>
      <c r="I8" s="9">
        <f>'Proximal Validation (single)'!I8</f>
        <v>-0.148307904601097</v>
      </c>
      <c r="J8" s="9">
        <f>'Proximal Validation (single)'!J8</f>
        <v>-1.0527462000027299E-3</v>
      </c>
      <c r="K8" s="9">
        <f>'Proximal Validation (single)'!K8</f>
        <v>-0.444706320762634</v>
      </c>
      <c r="L8" s="9">
        <f>'Proximal Validation (single)'!L8</f>
        <v>-2.19946205615997E-2</v>
      </c>
      <c r="M8" s="9">
        <f>'Proximal Validation (single)'!M8</f>
        <v>0.489793181419373</v>
      </c>
      <c r="N8" s="9">
        <v>0.75780333298527358</v>
      </c>
      <c r="O8" s="9">
        <v>0.15872145562222162</v>
      </c>
      <c r="P8" s="9">
        <v>1.5293918377324254</v>
      </c>
      <c r="Q8" s="9">
        <v>1.9203804414133436</v>
      </c>
      <c r="R8" s="10">
        <v>5.1832878781188948E-4</v>
      </c>
      <c r="S8" s="8">
        <f t="shared" si="2"/>
        <v>5.7803332985273626E-2</v>
      </c>
      <c r="T8" s="8">
        <f t="shared" si="0"/>
        <v>1.2785443777783845E-3</v>
      </c>
      <c r="U8" s="8">
        <f t="shared" si="0"/>
        <v>4.1608162267574578E-2</v>
      </c>
      <c r="V8" s="8">
        <f t="shared" si="0"/>
        <v>0.34938044141334368</v>
      </c>
    </row>
    <row r="9" spans="1:26" x14ac:dyDescent="0.35">
      <c r="A9" s="9">
        <f>'Proximal Validation (single)'!A9</f>
        <v>0.7</v>
      </c>
      <c r="B9" s="9">
        <f>'Proximal Validation (single)'!B9</f>
        <v>0.2</v>
      </c>
      <c r="C9" s="9">
        <f>'Proximal Validation (single)'!C9</f>
        <v>1.571</v>
      </c>
      <c r="D9" s="9">
        <f>'Proximal Validation (single)'!D9</f>
        <v>1.571</v>
      </c>
      <c r="E9" s="9">
        <f>'Proximal Validation (single)'!E9</f>
        <v>0</v>
      </c>
      <c r="F9" s="9">
        <f>'Proximal Validation (single)'!F9</f>
        <v>0</v>
      </c>
      <c r="G9" s="9">
        <f>'Proximal Validation (single)'!G9</f>
        <v>0</v>
      </c>
      <c r="H9" s="9">
        <f>'Proximal Validation (single)'!H9</f>
        <v>8.7637116666883198E-4</v>
      </c>
      <c r="I9" s="9">
        <f>'Proximal Validation (single)'!I9</f>
        <v>-0.164488449692726</v>
      </c>
      <c r="J9" s="9">
        <f>'Proximal Validation (single)'!J9</f>
        <v>3.7763002328574701E-3</v>
      </c>
      <c r="K9" s="9">
        <f>'Proximal Validation (single)'!K9</f>
        <v>-0.58729076385498002</v>
      </c>
      <c r="L9" s="9">
        <f>'Proximal Validation (single)'!L9</f>
        <v>7.8071318566799199E-3</v>
      </c>
      <c r="M9" s="9">
        <f>'Proximal Validation (single)'!M9</f>
        <v>0.38755592703819303</v>
      </c>
      <c r="N9" s="9">
        <v>0.81335304547649512</v>
      </c>
      <c r="O9" s="9">
        <v>0.19568796412024611</v>
      </c>
      <c r="P9" s="9">
        <v>1.5342054081329517</v>
      </c>
      <c r="Q9" s="9">
        <v>1.7973528864566075</v>
      </c>
      <c r="R9" s="10">
        <v>5.8710004116084829E-4</v>
      </c>
      <c r="S9" s="8">
        <f t="shared" si="2"/>
        <v>0.11335304547649516</v>
      </c>
      <c r="T9" s="8">
        <f t="shared" si="0"/>
        <v>4.3120358797539005E-3</v>
      </c>
      <c r="U9" s="8">
        <f t="shared" si="0"/>
        <v>3.6794591867048254E-2</v>
      </c>
      <c r="V9" s="8">
        <f t="shared" si="0"/>
        <v>0.22635288645660756</v>
      </c>
    </row>
    <row r="10" spans="1:26" x14ac:dyDescent="0.35">
      <c r="A10" s="9">
        <f>'Proximal Validation (single)'!A10</f>
        <v>0.7</v>
      </c>
      <c r="B10" s="9">
        <f>'Proximal Validation (single)'!B10</f>
        <v>0.06</v>
      </c>
      <c r="C10" s="9">
        <f>'Proximal Validation (single)'!C10</f>
        <v>3.665</v>
      </c>
      <c r="D10" s="9">
        <f>'Proximal Validation (single)'!D10</f>
        <v>0.78500000000000003</v>
      </c>
      <c r="E10" s="9">
        <f>'Proximal Validation (single)'!E10</f>
        <v>0</v>
      </c>
      <c r="F10" s="9">
        <f>'Proximal Validation (single)'!F10</f>
        <v>0</v>
      </c>
      <c r="G10" s="9">
        <f>'Proximal Validation (single)'!G10</f>
        <v>0</v>
      </c>
      <c r="H10" s="9">
        <f>'Proximal Validation (single)'!H10</f>
        <v>-8.6323916912078901E-4</v>
      </c>
      <c r="I10" s="9">
        <f>'Proximal Validation (single)'!I10</f>
        <v>4.2902048677205998E-2</v>
      </c>
      <c r="J10" s="9">
        <f>'Proximal Validation (single)'!J10</f>
        <v>-8.0319754779338795E-2</v>
      </c>
      <c r="K10" s="9">
        <f>'Proximal Validation (single)'!K10</f>
        <v>0.61245459318161</v>
      </c>
      <c r="L10" s="9">
        <f>'Proximal Validation (single)'!L10</f>
        <v>-0.54026973247528098</v>
      </c>
      <c r="M10" s="9">
        <f>'Proximal Validation (single)'!M10</f>
        <v>-0.28817486763000499</v>
      </c>
      <c r="N10" s="9">
        <v>0.77039181014948266</v>
      </c>
      <c r="O10" s="9">
        <v>9.8122259243736243E-2</v>
      </c>
      <c r="P10" s="9">
        <v>3.6156391693223391</v>
      </c>
      <c r="Q10" s="9">
        <v>0.7662535604327283</v>
      </c>
      <c r="R10" s="10">
        <v>1.6319384535927404E-4</v>
      </c>
      <c r="S10" s="8">
        <f t="shared" si="2"/>
        <v>7.0391810149482703E-2</v>
      </c>
      <c r="T10" s="8">
        <f t="shared" si="0"/>
        <v>3.8122259243736245E-2</v>
      </c>
      <c r="U10" s="8">
        <f t="shared" si="0"/>
        <v>4.936083067766095E-2</v>
      </c>
      <c r="V10" s="8">
        <f t="shared" si="0"/>
        <v>1.8746439567271733E-2</v>
      </c>
    </row>
    <row r="11" spans="1:26" x14ac:dyDescent="0.35">
      <c r="A11" s="9">
        <f>'Proximal Validation (single)'!A11</f>
        <v>0.6</v>
      </c>
      <c r="B11" s="9">
        <f>'Proximal Validation (single)'!B11</f>
        <v>0.1</v>
      </c>
      <c r="C11" s="9">
        <f>'Proximal Validation (single)'!C11</f>
        <v>3.665</v>
      </c>
      <c r="D11" s="9">
        <f>'Proximal Validation (single)'!D11</f>
        <v>0.78500000000000003</v>
      </c>
      <c r="E11" s="9">
        <f>'Proximal Validation (single)'!E11</f>
        <v>0</v>
      </c>
      <c r="F11" s="9">
        <f>'Proximal Validation (single)'!F11</f>
        <v>0</v>
      </c>
      <c r="G11" s="9">
        <f>'Proximal Validation (single)'!G11</f>
        <v>0</v>
      </c>
      <c r="H11" s="9">
        <f>'Proximal Validation (single)'!H11</f>
        <v>-8.0120982602238698E-4</v>
      </c>
      <c r="I11" s="9">
        <f>'Proximal Validation (single)'!I11</f>
        <v>4.2666438966989503E-2</v>
      </c>
      <c r="J11" s="9">
        <f>'Proximal Validation (single)'!J11</f>
        <v>-8.0293677747249603E-2</v>
      </c>
      <c r="K11" s="9">
        <f>'Proximal Validation (single)'!K11</f>
        <v>0.443310797214508</v>
      </c>
      <c r="L11" s="9">
        <f>'Proximal Validation (single)'!L11</f>
        <v>-0.42717015743255599</v>
      </c>
      <c r="M11" s="9">
        <f>'Proximal Validation (single)'!M11</f>
        <v>-0.22529536485672</v>
      </c>
      <c r="N11" s="9">
        <v>0.56456072719100803</v>
      </c>
      <c r="O11" s="9">
        <v>0.16319523731678751</v>
      </c>
      <c r="P11" s="9">
        <v>3.6059563354533699</v>
      </c>
      <c r="Q11" s="9">
        <v>0.69432703009860464</v>
      </c>
      <c r="R11" s="10">
        <v>1.5151190184287691E-4</v>
      </c>
      <c r="S11" s="8">
        <f t="shared" si="2"/>
        <v>3.5439272808991951E-2</v>
      </c>
      <c r="T11" s="8">
        <f t="shared" si="0"/>
        <v>6.31952373167875E-2</v>
      </c>
      <c r="U11" s="8">
        <f t="shared" si="0"/>
        <v>5.9043664546630126E-2</v>
      </c>
      <c r="V11" s="8">
        <f t="shared" si="0"/>
        <v>9.0672969901395395E-2</v>
      </c>
    </row>
    <row r="12" spans="1:26" x14ac:dyDescent="0.35">
      <c r="A12" s="9">
        <f>'Proximal Validation (single)'!A12</f>
        <v>0.8</v>
      </c>
      <c r="B12" s="9">
        <f>'Proximal Validation (single)'!B12</f>
        <v>0.18</v>
      </c>
      <c r="C12" s="9">
        <f>'Proximal Validation (single)'!C12</f>
        <v>3.665</v>
      </c>
      <c r="D12" s="9">
        <f>'Proximal Validation (single)'!D12</f>
        <v>0.78500000000000003</v>
      </c>
      <c r="E12" s="9">
        <f>'Proximal Validation (single)'!E12</f>
        <v>1.4</v>
      </c>
      <c r="F12" s="9">
        <f>'Proximal Validation (single)'!F12</f>
        <v>0</v>
      </c>
      <c r="G12" s="9">
        <f>'Proximal Validation (single)'!G12</f>
        <v>0</v>
      </c>
      <c r="H12" s="9">
        <f>'Proximal Validation (single)'!H12</f>
        <v>-5.5334065109491301E-5</v>
      </c>
      <c r="I12" s="9">
        <f>'Proximal Validation (single)'!I12</f>
        <v>7.7956624329090105E-2</v>
      </c>
      <c r="J12" s="9">
        <f>'Proximal Validation (single)'!J12</f>
        <v>-0.13737398386001601</v>
      </c>
      <c r="K12" s="9">
        <f>'Proximal Validation (single)'!K12</f>
        <v>0.41918036341667197</v>
      </c>
      <c r="L12" s="9">
        <f>'Proximal Validation (single)'!L12</f>
        <v>-0.55125319957733199</v>
      </c>
      <c r="M12" s="9">
        <f>'Proximal Validation (single)'!M12</f>
        <v>-0.30630308389663702</v>
      </c>
      <c r="N12" s="9">
        <v>0.68268348855866978</v>
      </c>
      <c r="O12" s="9">
        <v>0.2</v>
      </c>
      <c r="P12" s="9">
        <v>3.6387187645288681</v>
      </c>
      <c r="Q12" s="9">
        <v>0.75055341535926012</v>
      </c>
      <c r="R12" s="10">
        <v>4.3757107107793996E-4</v>
      </c>
      <c r="S12" s="8">
        <f t="shared" si="2"/>
        <v>0.11731651144133026</v>
      </c>
      <c r="T12" s="8">
        <f t="shared" si="0"/>
        <v>2.0000000000000018E-2</v>
      </c>
      <c r="U12" s="8">
        <f t="shared" si="0"/>
        <v>2.6281235471131925E-2</v>
      </c>
      <c r="V12" s="8">
        <f t="shared" si="0"/>
        <v>3.4446584640739908E-2</v>
      </c>
    </row>
    <row r="13" spans="1:26" x14ac:dyDescent="0.35">
      <c r="A13" s="9">
        <f>'Proximal Validation (single)'!A13</f>
        <v>0.4</v>
      </c>
      <c r="B13" s="9">
        <f>'Proximal Validation (single)'!B13</f>
        <v>0.2</v>
      </c>
      <c r="C13" s="9">
        <f>'Proximal Validation (single)'!C13</f>
        <v>3.665</v>
      </c>
      <c r="D13" s="9">
        <f>'Proximal Validation (single)'!D13</f>
        <v>0.78500000000000003</v>
      </c>
      <c r="E13" s="9">
        <f>'Proximal Validation (single)'!E13</f>
        <v>1.4</v>
      </c>
      <c r="F13" s="9">
        <f>'Proximal Validation (single)'!F13</f>
        <v>0</v>
      </c>
      <c r="G13" s="9">
        <f>'Proximal Validation (single)'!G13</f>
        <v>0</v>
      </c>
      <c r="H13" s="9">
        <f>'Proximal Validation (single)'!H13</f>
        <v>-9.6024014055728899E-5</v>
      </c>
      <c r="I13" s="9">
        <f>'Proximal Validation (single)'!I13</f>
        <v>3.4424368292093298E-2</v>
      </c>
      <c r="J13" s="9">
        <f>'Proximal Validation (single)'!J13</f>
        <v>-6.16564750671387E-2</v>
      </c>
      <c r="K13" s="9">
        <f>'Proximal Validation (single)'!K13</f>
        <v>0.267098218202591</v>
      </c>
      <c r="L13" s="9">
        <f>'Proximal Validation (single)'!L13</f>
        <v>-0.21448078751564001</v>
      </c>
      <c r="M13" s="9">
        <f>'Proximal Validation (single)'!M13</f>
        <v>-0.115060687065125</v>
      </c>
      <c r="N13" s="9">
        <v>0.27251414345506614</v>
      </c>
      <c r="O13" s="9">
        <v>0.2</v>
      </c>
      <c r="P13" s="9">
        <v>3.6022784614867636</v>
      </c>
      <c r="Q13" s="9">
        <v>0.931534869561914</v>
      </c>
      <c r="R13" s="10">
        <v>7.375398737815166E-4</v>
      </c>
      <c r="S13" s="8">
        <f t="shared" si="2"/>
        <v>0.12748585654493388</v>
      </c>
      <c r="T13" s="8">
        <f t="shared" si="0"/>
        <v>0</v>
      </c>
      <c r="U13" s="8">
        <f t="shared" si="0"/>
        <v>6.2721538513236474E-2</v>
      </c>
      <c r="V13" s="8">
        <f t="shared" si="0"/>
        <v>0.14653486956191397</v>
      </c>
    </row>
    <row r="14" spans="1:26" x14ac:dyDescent="0.35">
      <c r="A14" s="9">
        <f>'Proximal Validation (single)'!A14</f>
        <v>0.4</v>
      </c>
      <c r="B14" s="9">
        <f>'Proximal Validation (single)'!B14</f>
        <v>0.1</v>
      </c>
      <c r="C14" s="9">
        <f>'Proximal Validation (single)'!C14</f>
        <v>3.665</v>
      </c>
      <c r="D14" s="9">
        <f>'Proximal Validation (single)'!D14</f>
        <v>1.571</v>
      </c>
      <c r="E14" s="9">
        <f>'Proximal Validation (single)'!E14</f>
        <v>1.4</v>
      </c>
      <c r="F14" s="9">
        <f>'Proximal Validation (single)'!F14</f>
        <v>0</v>
      </c>
      <c r="G14" s="9">
        <f>'Proximal Validation (single)'!G14</f>
        <v>0</v>
      </c>
      <c r="H14" s="9">
        <f>'Proximal Validation (single)'!H14</f>
        <v>-3.7108035758137698E-4</v>
      </c>
      <c r="I14" s="9">
        <f>'Proximal Validation (single)'!I14</f>
        <v>3.7644270807504703E-2</v>
      </c>
      <c r="J14" s="9">
        <f>'Proximal Validation (single)'!J14</f>
        <v>-6.73996657133102E-2</v>
      </c>
      <c r="K14" s="9">
        <f>'Proximal Validation (single)'!K14</f>
        <v>1.67829748243093E-2</v>
      </c>
      <c r="L14" s="9">
        <f>'Proximal Validation (single)'!L14</f>
        <v>-0.33880779147148099</v>
      </c>
      <c r="M14" s="9">
        <f>'Proximal Validation (single)'!M14</f>
        <v>-0.185297966003418</v>
      </c>
      <c r="N14" s="9">
        <v>0.37803624346276793</v>
      </c>
      <c r="O14" s="9">
        <v>0.16359079629866807</v>
      </c>
      <c r="P14" s="9">
        <v>3.6155154530653713</v>
      </c>
      <c r="Q14" s="9">
        <v>1.7067986736798213</v>
      </c>
      <c r="R14" s="10">
        <v>1.4150810867615636E-4</v>
      </c>
      <c r="S14" s="8">
        <f t="shared" si="2"/>
        <v>2.1963756537232093E-2</v>
      </c>
      <c r="T14" s="8">
        <f t="shared" si="0"/>
        <v>6.3590796298668067E-2</v>
      </c>
      <c r="U14" s="8">
        <f t="shared" si="0"/>
        <v>4.9484546934628781E-2</v>
      </c>
      <c r="V14" s="8">
        <f t="shared" si="0"/>
        <v>0.13579867367982135</v>
      </c>
    </row>
    <row r="15" spans="1:26" x14ac:dyDescent="0.35">
      <c r="A15" s="9">
        <f>'Proximal Validation (single)'!A15</f>
        <v>0.7</v>
      </c>
      <c r="B15" s="9">
        <f>'Proximal Validation (single)'!B15</f>
        <v>0.1</v>
      </c>
      <c r="C15" s="9">
        <f>'Proximal Validation (single)'!C15</f>
        <v>3.665</v>
      </c>
      <c r="D15" s="9">
        <f>'Proximal Validation (single)'!D15</f>
        <v>1.571</v>
      </c>
      <c r="E15" s="9">
        <f>'Proximal Validation (single)'!E15</f>
        <v>1.4</v>
      </c>
      <c r="F15" s="9">
        <f>'Proximal Validation (single)'!F15</f>
        <v>0</v>
      </c>
      <c r="G15" s="9">
        <f>'Proximal Validation (single)'!G15</f>
        <v>0</v>
      </c>
      <c r="H15" s="9">
        <f>'Proximal Validation (single)'!H15</f>
        <v>-1.02429185062647E-3</v>
      </c>
      <c r="I15" s="9">
        <f>'Proximal Validation (single)'!I15</f>
        <v>7.0613205432891804E-2</v>
      </c>
      <c r="J15" s="9">
        <f>'Proximal Validation (single)'!J15</f>
        <v>-0.12678831815719599</v>
      </c>
      <c r="K15" s="9">
        <f>'Proximal Validation (single)'!K15</f>
        <v>-2.9671346768736801E-2</v>
      </c>
      <c r="L15" s="9">
        <f>'Proximal Validation (single)'!L15</f>
        <v>-0.63574087619781505</v>
      </c>
      <c r="M15" s="9">
        <f>'Proximal Validation (single)'!M15</f>
        <v>-0.34651768207549999</v>
      </c>
      <c r="N15" s="9">
        <v>0.71745780640050827</v>
      </c>
      <c r="O15" s="9">
        <v>0.13770541885089554</v>
      </c>
      <c r="P15" s="9">
        <v>3.6275008130108692</v>
      </c>
      <c r="Q15" s="9">
        <v>1.552743408787387</v>
      </c>
      <c r="R15" s="10">
        <v>1.5097595739252295E-4</v>
      </c>
      <c r="S15" s="8">
        <f t="shared" si="2"/>
        <v>1.7457806400508313E-2</v>
      </c>
      <c r="T15" s="8">
        <f t="shared" si="0"/>
        <v>3.7705418850895539E-2</v>
      </c>
      <c r="U15" s="8">
        <f t="shared" si="0"/>
        <v>3.7499186989130795E-2</v>
      </c>
      <c r="V15" s="8">
        <f t="shared" si="0"/>
        <v>1.8256591212612916E-2</v>
      </c>
    </row>
    <row r="16" spans="1:26" x14ac:dyDescent="0.35">
      <c r="A16" s="9">
        <f>'Proximal Validation (single)'!A16</f>
        <v>0.4</v>
      </c>
      <c r="B16" s="9">
        <f>'Proximal Validation (single)'!B16</f>
        <v>0.16</v>
      </c>
      <c r="C16" s="9">
        <f>'Proximal Validation (single)'!C16</f>
        <v>3.665</v>
      </c>
      <c r="D16" s="9">
        <f>'Proximal Validation (single)'!D16</f>
        <v>1.571</v>
      </c>
      <c r="E16" s="9">
        <f>'Proximal Validation (single)'!E16</f>
        <v>0</v>
      </c>
      <c r="F16" s="9">
        <f>'Proximal Validation (single)'!F16</f>
        <v>0</v>
      </c>
      <c r="G16" s="9">
        <f>'Proximal Validation (single)'!G16</f>
        <v>0</v>
      </c>
      <c r="H16" s="9">
        <f>'Proximal Validation (single)'!H16</f>
        <v>-6.0879066586494402E-4</v>
      </c>
      <c r="I16" s="9">
        <f>'Proximal Validation (single)'!I16</f>
        <v>4.7145899385213901E-2</v>
      </c>
      <c r="J16" s="9">
        <f>'Proximal Validation (single)'!J16</f>
        <v>-8.5028916597366305E-2</v>
      </c>
      <c r="K16" s="9">
        <f>'Proximal Validation (single)'!K16</f>
        <v>-7.4065491557121305E-2</v>
      </c>
      <c r="L16" s="9">
        <f>'Proximal Validation (single)'!L16</f>
        <v>-0.31546109914779702</v>
      </c>
      <c r="M16" s="9">
        <f>'Proximal Validation (single)'!M16</f>
        <v>-0.17043319344520599</v>
      </c>
      <c r="N16" s="9">
        <v>0.3901983724056291</v>
      </c>
      <c r="O16" s="9">
        <v>0.2</v>
      </c>
      <c r="P16" s="9">
        <v>3.6089678133182845</v>
      </c>
      <c r="Q16" s="9">
        <v>1.6469615184258746</v>
      </c>
      <c r="R16" s="10">
        <v>2.3391561709442866E-4</v>
      </c>
      <c r="S16" s="8">
        <f t="shared" si="2"/>
        <v>9.8016275943709208E-3</v>
      </c>
      <c r="T16" s="8">
        <f t="shared" si="0"/>
        <v>4.0000000000000008E-2</v>
      </c>
      <c r="U16" s="8">
        <f t="shared" si="0"/>
        <v>5.6032186681715501E-2</v>
      </c>
      <c r="V16" s="8">
        <f t="shared" si="0"/>
        <v>7.5961518425874619E-2</v>
      </c>
    </row>
    <row r="17" spans="1:22" x14ac:dyDescent="0.35">
      <c r="A17" s="9">
        <f>'Proximal Validation (single)'!A17</f>
        <v>0.3</v>
      </c>
      <c r="B17" s="9">
        <f>'Proximal Validation (single)'!B17</f>
        <v>0.18</v>
      </c>
      <c r="C17" s="9">
        <f>'Proximal Validation (single)'!C17</f>
        <v>3.665</v>
      </c>
      <c r="D17" s="9">
        <f>'Proximal Validation (single)'!D17</f>
        <v>1.571</v>
      </c>
      <c r="E17" s="9">
        <f>'Proximal Validation (single)'!E17</f>
        <v>0</v>
      </c>
      <c r="F17" s="9">
        <f>'Proximal Validation (single)'!F17</f>
        <v>0</v>
      </c>
      <c r="G17" s="9">
        <f>'Proximal Validation (single)'!G17</f>
        <v>0</v>
      </c>
      <c r="H17" s="9">
        <f>'Proximal Validation (single)'!H17</f>
        <v>3.8368394598364803E-5</v>
      </c>
      <c r="I17" s="9">
        <f>'Proximal Validation (single)'!I17</f>
        <v>3.2897148281335803E-2</v>
      </c>
      <c r="J17" s="9">
        <f>'Proximal Validation (single)'!J17</f>
        <v>-5.8571800589561497E-2</v>
      </c>
      <c r="K17" s="9">
        <f>'Proximal Validation (single)'!K17</f>
        <v>-6.3505612313747406E-2</v>
      </c>
      <c r="L17" s="9">
        <f>'Proximal Validation (single)'!L17</f>
        <v>-0.19738522171974199</v>
      </c>
      <c r="M17" s="9">
        <f>'Proximal Validation (single)'!M17</f>
        <v>-0.108248926699162</v>
      </c>
      <c r="N17" s="9">
        <v>0.27706743788870136</v>
      </c>
      <c r="O17" s="9">
        <v>0.2</v>
      </c>
      <c r="P17" s="9">
        <v>3.5977044030213592</v>
      </c>
      <c r="Q17" s="9">
        <v>2.0078134945690356</v>
      </c>
      <c r="R17" s="10">
        <v>5.0781992633800897E-4</v>
      </c>
      <c r="S17" s="8">
        <f t="shared" si="2"/>
        <v>2.2932562111298627E-2</v>
      </c>
      <c r="T17" s="8">
        <f t="shared" si="0"/>
        <v>2.0000000000000018E-2</v>
      </c>
      <c r="U17" s="8">
        <f t="shared" si="0"/>
        <v>6.7295596978640848E-2</v>
      </c>
      <c r="V17" s="8">
        <f t="shared" si="0"/>
        <v>0.43681349456903562</v>
      </c>
    </row>
  </sheetData>
  <mergeCells count="5">
    <mergeCell ref="A1:G1"/>
    <mergeCell ref="H1:M1"/>
    <mergeCell ref="N1:R1"/>
    <mergeCell ref="S1:U1"/>
    <mergeCell ref="W1:Y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M28"/>
  <sheetViews>
    <sheetView workbookViewId="0">
      <selection activeCell="H13" sqref="H13:M17"/>
    </sheetView>
  </sheetViews>
  <sheetFormatPr defaultRowHeight="14.5" x14ac:dyDescent="0.35"/>
  <sheetData>
    <row r="1" spans="1:13" ht="16" x14ac:dyDescent="0.4">
      <c r="A1" s="26" t="s">
        <v>23</v>
      </c>
      <c r="B1" s="27"/>
      <c r="C1" s="27"/>
      <c r="D1" s="27"/>
      <c r="E1" s="27"/>
      <c r="F1" s="28"/>
      <c r="H1" s="26" t="s">
        <v>24</v>
      </c>
      <c r="I1" s="27"/>
      <c r="J1" s="27"/>
      <c r="K1" s="27"/>
      <c r="L1" s="27"/>
      <c r="M1" s="28"/>
    </row>
    <row r="2" spans="1:13" ht="16" x14ac:dyDescent="0.4">
      <c r="A2" s="3" t="s">
        <v>17</v>
      </c>
      <c r="B2" s="3" t="s">
        <v>18</v>
      </c>
      <c r="C2" s="3" t="s">
        <v>19</v>
      </c>
      <c r="D2" s="3" t="s">
        <v>20</v>
      </c>
      <c r="E2" s="3" t="s">
        <v>21</v>
      </c>
      <c r="F2" s="3" t="s">
        <v>22</v>
      </c>
      <c r="H2" s="3" t="s">
        <v>20</v>
      </c>
      <c r="I2" s="3" t="s">
        <v>21</v>
      </c>
      <c r="J2" s="3" t="s">
        <v>22</v>
      </c>
      <c r="K2" s="3" t="s">
        <v>17</v>
      </c>
      <c r="L2" s="3" t="s">
        <v>18</v>
      </c>
      <c r="M2" s="3" t="s">
        <v>19</v>
      </c>
    </row>
    <row r="3" spans="1:13" x14ac:dyDescent="0.35">
      <c r="A3">
        <v>0.19288232922553999</v>
      </c>
      <c r="B3">
        <v>-1.13257020711899E-3</v>
      </c>
      <c r="C3">
        <v>0.185834720730782</v>
      </c>
      <c r="D3">
        <v>5.6162860710173802E-4</v>
      </c>
      <c r="E3">
        <v>3.2978262752294499E-2</v>
      </c>
      <c r="F3" s="5">
        <v>2.6342464843764901E-4</v>
      </c>
      <c r="H3">
        <f>$F3</f>
        <v>2.6342464843764901E-4</v>
      </c>
      <c r="I3">
        <f>-1*$E3</f>
        <v>-3.2978262752294499E-2</v>
      </c>
      <c r="J3">
        <f>$D3</f>
        <v>5.6162860710173802E-4</v>
      </c>
      <c r="K3">
        <f>$C3</f>
        <v>0.185834720730782</v>
      </c>
      <c r="L3">
        <f>-1*$B3</f>
        <v>1.13257020711899E-3</v>
      </c>
      <c r="M3">
        <f>$A3</f>
        <v>0.19288232922553999</v>
      </c>
    </row>
    <row r="4" spans="1:13" x14ac:dyDescent="0.35">
      <c r="A4">
        <v>0.27653545141220098</v>
      </c>
      <c r="B4">
        <v>-1.07369087636471E-2</v>
      </c>
      <c r="C4">
        <v>0.25303724408149703</v>
      </c>
      <c r="D4">
        <v>2.5845002382993698E-3</v>
      </c>
      <c r="E4">
        <v>6.2425632029771798E-2</v>
      </c>
      <c r="F4">
        <v>-4.3474312406033299E-4</v>
      </c>
      <c r="H4">
        <f t="shared" ref="H4:H28" si="0">$F4</f>
        <v>-4.3474312406033299E-4</v>
      </c>
      <c r="I4">
        <f t="shared" ref="I4:I28" si="1">-1*$E4</f>
        <v>-6.2425632029771798E-2</v>
      </c>
      <c r="J4">
        <f t="shared" ref="J4:J28" si="2">$D4</f>
        <v>2.5845002382993698E-3</v>
      </c>
      <c r="K4">
        <f t="shared" ref="K4:K28" si="3">$C4</f>
        <v>0.25303724408149703</v>
      </c>
      <c r="L4">
        <f t="shared" ref="L4:L28" si="4">-1*$B4</f>
        <v>1.07369087636471E-2</v>
      </c>
      <c r="M4">
        <f t="shared" ref="M4:M28" si="5">$A4</f>
        <v>0.27653545141220098</v>
      </c>
    </row>
    <row r="5" spans="1:13" x14ac:dyDescent="0.35">
      <c r="A5">
        <v>0.52633810043335005</v>
      </c>
      <c r="B5">
        <v>2.4467468261718799E-2</v>
      </c>
      <c r="C5">
        <v>0.26806160807609603</v>
      </c>
      <c r="D5">
        <v>-8.3989212289452605E-3</v>
      </c>
      <c r="E5">
        <v>0.12275674194097499</v>
      </c>
      <c r="F5">
        <v>5.3234044462442398E-3</v>
      </c>
      <c r="H5">
        <f t="shared" si="0"/>
        <v>5.3234044462442398E-3</v>
      </c>
      <c r="I5">
        <f t="shared" si="1"/>
        <v>-0.12275674194097499</v>
      </c>
      <c r="J5">
        <f t="shared" si="2"/>
        <v>-8.3989212289452605E-3</v>
      </c>
      <c r="K5">
        <f t="shared" si="3"/>
        <v>0.26806160807609603</v>
      </c>
      <c r="L5">
        <f t="shared" si="4"/>
        <v>-2.4467468261718799E-2</v>
      </c>
      <c r="M5">
        <f t="shared" si="5"/>
        <v>0.52633810043335005</v>
      </c>
    </row>
    <row r="6" spans="1:13" x14ac:dyDescent="0.35">
      <c r="A6">
        <v>0.423814177513123</v>
      </c>
      <c r="B6">
        <v>-7.3561742901802098E-3</v>
      </c>
      <c r="C6">
        <v>-3.97013984620571E-2</v>
      </c>
      <c r="D6">
        <v>1.6002767952158999E-3</v>
      </c>
      <c r="E6">
        <v>6.6750191152095795E-2</v>
      </c>
      <c r="F6">
        <v>6.7002582363784302E-4</v>
      </c>
      <c r="H6">
        <f t="shared" si="0"/>
        <v>6.7002582363784302E-4</v>
      </c>
      <c r="I6">
        <f t="shared" si="1"/>
        <v>-6.6750191152095795E-2</v>
      </c>
      <c r="J6">
        <f t="shared" si="2"/>
        <v>1.6002767952158999E-3</v>
      </c>
      <c r="K6">
        <f t="shared" si="3"/>
        <v>-3.97013984620571E-2</v>
      </c>
      <c r="L6">
        <f t="shared" si="4"/>
        <v>7.3561742901802098E-3</v>
      </c>
      <c r="M6">
        <f t="shared" si="5"/>
        <v>0.423814177513123</v>
      </c>
    </row>
    <row r="7" spans="1:13" x14ac:dyDescent="0.35">
      <c r="A7">
        <v>0.82944488525390603</v>
      </c>
      <c r="B7">
        <v>-2.0262047648429898E-2</v>
      </c>
      <c r="C7">
        <v>-0.161362335085869</v>
      </c>
      <c r="D7">
        <v>3.4220633096993E-3</v>
      </c>
      <c r="E7">
        <v>0.14775538444519001</v>
      </c>
      <c r="F7">
        <v>7.4092089198529699E-4</v>
      </c>
      <c r="H7">
        <f t="shared" si="0"/>
        <v>7.4092089198529699E-4</v>
      </c>
      <c r="I7">
        <f t="shared" si="1"/>
        <v>-0.14775538444519001</v>
      </c>
      <c r="J7">
        <f t="shared" si="2"/>
        <v>3.4220633096993E-3</v>
      </c>
      <c r="K7">
        <f t="shared" si="3"/>
        <v>-0.161362335085869</v>
      </c>
      <c r="L7">
        <f t="shared" si="4"/>
        <v>2.0262047648429898E-2</v>
      </c>
      <c r="M7">
        <f t="shared" si="5"/>
        <v>0.82944488525390603</v>
      </c>
    </row>
    <row r="8" spans="1:13" x14ac:dyDescent="0.35">
      <c r="A8">
        <v>0.489793181419373</v>
      </c>
      <c r="B8">
        <v>2.19946205615997E-2</v>
      </c>
      <c r="C8">
        <v>-0.444706320762634</v>
      </c>
      <c r="D8">
        <v>-1.0527462000027299E-3</v>
      </c>
      <c r="E8">
        <v>0.148307904601097</v>
      </c>
      <c r="F8">
        <v>6.6551081836223602E-3</v>
      </c>
      <c r="H8">
        <f t="shared" si="0"/>
        <v>6.6551081836223602E-3</v>
      </c>
      <c r="I8">
        <f t="shared" si="1"/>
        <v>-0.148307904601097</v>
      </c>
      <c r="J8">
        <f t="shared" si="2"/>
        <v>-1.0527462000027299E-3</v>
      </c>
      <c r="K8">
        <f t="shared" si="3"/>
        <v>-0.444706320762634</v>
      </c>
      <c r="L8">
        <f t="shared" si="4"/>
        <v>-2.19946205615997E-2</v>
      </c>
      <c r="M8">
        <f t="shared" si="5"/>
        <v>0.489793181419373</v>
      </c>
    </row>
    <row r="9" spans="1:13" x14ac:dyDescent="0.35">
      <c r="A9">
        <v>0.38755592703819303</v>
      </c>
      <c r="B9">
        <v>-7.8071318566799199E-3</v>
      </c>
      <c r="C9">
        <v>-0.58729076385498002</v>
      </c>
      <c r="D9">
        <v>3.7763002328574701E-3</v>
      </c>
      <c r="E9">
        <v>0.164488449692726</v>
      </c>
      <c r="F9">
        <v>8.7637116666883198E-4</v>
      </c>
      <c r="H9">
        <f t="shared" si="0"/>
        <v>8.7637116666883198E-4</v>
      </c>
      <c r="I9">
        <f t="shared" si="1"/>
        <v>-0.164488449692726</v>
      </c>
      <c r="J9">
        <f t="shared" si="2"/>
        <v>3.7763002328574701E-3</v>
      </c>
      <c r="K9">
        <f t="shared" si="3"/>
        <v>-0.58729076385498002</v>
      </c>
      <c r="L9">
        <f t="shared" si="4"/>
        <v>7.8071318566799199E-3</v>
      </c>
      <c r="M9">
        <f t="shared" si="5"/>
        <v>0.38755592703819303</v>
      </c>
    </row>
    <row r="10" spans="1:13" x14ac:dyDescent="0.35">
      <c r="A10">
        <v>-0.28817486763000499</v>
      </c>
      <c r="B10">
        <v>0.54026973247528098</v>
      </c>
      <c r="C10">
        <v>0.61245459318161</v>
      </c>
      <c r="D10">
        <v>-8.0319754779338795E-2</v>
      </c>
      <c r="E10">
        <v>-4.2902048677205998E-2</v>
      </c>
      <c r="F10">
        <v>-8.6323916912078901E-4</v>
      </c>
      <c r="H10">
        <f t="shared" si="0"/>
        <v>-8.6323916912078901E-4</v>
      </c>
      <c r="I10">
        <f t="shared" si="1"/>
        <v>4.2902048677205998E-2</v>
      </c>
      <c r="J10">
        <f t="shared" si="2"/>
        <v>-8.0319754779338795E-2</v>
      </c>
      <c r="K10">
        <f t="shared" si="3"/>
        <v>0.61245459318161</v>
      </c>
      <c r="L10">
        <f t="shared" si="4"/>
        <v>-0.54026973247528098</v>
      </c>
      <c r="M10">
        <f t="shared" si="5"/>
        <v>-0.28817486763000499</v>
      </c>
    </row>
    <row r="11" spans="1:13" x14ac:dyDescent="0.35">
      <c r="A11">
        <v>-0.22529536485672</v>
      </c>
      <c r="B11">
        <v>0.42717015743255599</v>
      </c>
      <c r="C11">
        <v>0.443310797214508</v>
      </c>
      <c r="D11">
        <v>-8.0293677747249603E-2</v>
      </c>
      <c r="E11">
        <v>-4.2666438966989503E-2</v>
      </c>
      <c r="F11">
        <v>-8.0120982602238698E-4</v>
      </c>
      <c r="H11">
        <f t="shared" si="0"/>
        <v>-8.0120982602238698E-4</v>
      </c>
      <c r="I11">
        <f t="shared" si="1"/>
        <v>4.2666438966989503E-2</v>
      </c>
      <c r="J11">
        <f t="shared" si="2"/>
        <v>-8.0293677747249603E-2</v>
      </c>
      <c r="K11">
        <f t="shared" si="3"/>
        <v>0.443310797214508</v>
      </c>
      <c r="L11">
        <f t="shared" si="4"/>
        <v>-0.42717015743255599</v>
      </c>
      <c r="M11">
        <f t="shared" si="5"/>
        <v>-0.22529536485672</v>
      </c>
    </row>
    <row r="12" spans="1:13" x14ac:dyDescent="0.35">
      <c r="A12">
        <v>-0.30630308389663702</v>
      </c>
      <c r="B12">
        <v>0.55125319957733199</v>
      </c>
      <c r="C12">
        <v>0.41918036341667197</v>
      </c>
      <c r="D12">
        <v>-0.13737398386001601</v>
      </c>
      <c r="E12">
        <v>-7.7956624329090105E-2</v>
      </c>
      <c r="F12">
        <v>-5.5334065109491301E-5</v>
      </c>
      <c r="H12">
        <f t="shared" si="0"/>
        <v>-5.5334065109491301E-5</v>
      </c>
      <c r="I12">
        <f t="shared" si="1"/>
        <v>7.7956624329090105E-2</v>
      </c>
      <c r="J12">
        <f t="shared" si="2"/>
        <v>-0.13737398386001601</v>
      </c>
      <c r="K12">
        <f t="shared" si="3"/>
        <v>0.41918036341667197</v>
      </c>
      <c r="L12">
        <f t="shared" si="4"/>
        <v>-0.55125319957733199</v>
      </c>
      <c r="M12">
        <f t="shared" si="5"/>
        <v>-0.30630308389663702</v>
      </c>
    </row>
    <row r="13" spans="1:13" x14ac:dyDescent="0.35">
      <c r="A13">
        <v>-0.115060687065125</v>
      </c>
      <c r="B13">
        <v>0.21448078751564001</v>
      </c>
      <c r="C13">
        <v>0.267098218202591</v>
      </c>
      <c r="D13">
        <v>-6.16564750671387E-2</v>
      </c>
      <c r="E13">
        <v>-3.4424368292093298E-2</v>
      </c>
      <c r="F13">
        <v>-9.6024014055728899E-5</v>
      </c>
      <c r="H13">
        <f t="shared" si="0"/>
        <v>-9.6024014055728899E-5</v>
      </c>
      <c r="I13">
        <f t="shared" si="1"/>
        <v>3.4424368292093298E-2</v>
      </c>
      <c r="J13">
        <f t="shared" si="2"/>
        <v>-6.16564750671387E-2</v>
      </c>
      <c r="K13">
        <f t="shared" si="3"/>
        <v>0.267098218202591</v>
      </c>
      <c r="L13">
        <f t="shared" si="4"/>
        <v>-0.21448078751564001</v>
      </c>
      <c r="M13">
        <f t="shared" si="5"/>
        <v>-0.115060687065125</v>
      </c>
    </row>
    <row r="14" spans="1:13" x14ac:dyDescent="0.35">
      <c r="A14">
        <v>-0.185297966003418</v>
      </c>
      <c r="B14">
        <v>0.33880779147148099</v>
      </c>
      <c r="C14">
        <v>1.67829748243093E-2</v>
      </c>
      <c r="D14">
        <v>-6.73996657133102E-2</v>
      </c>
      <c r="E14">
        <v>-3.7644270807504703E-2</v>
      </c>
      <c r="F14">
        <v>-3.7108035758137698E-4</v>
      </c>
      <c r="H14">
        <f t="shared" si="0"/>
        <v>-3.7108035758137698E-4</v>
      </c>
      <c r="I14">
        <f t="shared" si="1"/>
        <v>3.7644270807504703E-2</v>
      </c>
      <c r="J14">
        <f t="shared" si="2"/>
        <v>-6.73996657133102E-2</v>
      </c>
      <c r="K14">
        <f t="shared" si="3"/>
        <v>1.67829748243093E-2</v>
      </c>
      <c r="L14">
        <f t="shared" si="4"/>
        <v>-0.33880779147148099</v>
      </c>
      <c r="M14">
        <f t="shared" si="5"/>
        <v>-0.185297966003418</v>
      </c>
    </row>
    <row r="15" spans="1:13" x14ac:dyDescent="0.35">
      <c r="A15">
        <v>-0.34651768207549999</v>
      </c>
      <c r="B15">
        <v>0.63574087619781505</v>
      </c>
      <c r="C15">
        <v>-2.9671346768736801E-2</v>
      </c>
      <c r="D15">
        <v>-0.12678831815719599</v>
      </c>
      <c r="E15">
        <v>-7.0613205432891804E-2</v>
      </c>
      <c r="F15">
        <v>-1.02429185062647E-3</v>
      </c>
      <c r="H15">
        <f t="shared" si="0"/>
        <v>-1.02429185062647E-3</v>
      </c>
      <c r="I15">
        <f t="shared" si="1"/>
        <v>7.0613205432891804E-2</v>
      </c>
      <c r="J15">
        <f t="shared" si="2"/>
        <v>-0.12678831815719599</v>
      </c>
      <c r="K15">
        <f t="shared" si="3"/>
        <v>-2.9671346768736801E-2</v>
      </c>
      <c r="L15">
        <f t="shared" si="4"/>
        <v>-0.63574087619781505</v>
      </c>
      <c r="M15">
        <f t="shared" si="5"/>
        <v>-0.34651768207549999</v>
      </c>
    </row>
    <row r="16" spans="1:13" x14ac:dyDescent="0.35">
      <c r="A16">
        <v>-0.17043319344520599</v>
      </c>
      <c r="B16">
        <v>0.31546109914779702</v>
      </c>
      <c r="C16">
        <v>-7.4065491557121305E-2</v>
      </c>
      <c r="D16">
        <v>-8.5028916597366305E-2</v>
      </c>
      <c r="E16">
        <v>-4.7145899385213901E-2</v>
      </c>
      <c r="F16">
        <v>-6.0879066586494402E-4</v>
      </c>
      <c r="H16">
        <f t="shared" si="0"/>
        <v>-6.0879066586494402E-4</v>
      </c>
      <c r="I16">
        <f t="shared" si="1"/>
        <v>4.7145899385213901E-2</v>
      </c>
      <c r="J16">
        <f t="shared" si="2"/>
        <v>-8.5028916597366305E-2</v>
      </c>
      <c r="K16">
        <f t="shared" si="3"/>
        <v>-7.4065491557121305E-2</v>
      </c>
      <c r="L16">
        <f t="shared" si="4"/>
        <v>-0.31546109914779702</v>
      </c>
      <c r="M16">
        <f t="shared" si="5"/>
        <v>-0.17043319344520599</v>
      </c>
    </row>
    <row r="17" spans="1:13" x14ac:dyDescent="0.35">
      <c r="A17">
        <v>-0.108248926699162</v>
      </c>
      <c r="B17">
        <v>0.19738522171974199</v>
      </c>
      <c r="C17">
        <v>-6.3505612313747406E-2</v>
      </c>
      <c r="D17">
        <v>-5.8571800589561497E-2</v>
      </c>
      <c r="E17">
        <v>-3.2897148281335803E-2</v>
      </c>
      <c r="F17">
        <v>3.8368394598364803E-5</v>
      </c>
      <c r="H17">
        <f t="shared" si="0"/>
        <v>3.8368394598364803E-5</v>
      </c>
      <c r="I17">
        <f t="shared" si="1"/>
        <v>3.2897148281335803E-2</v>
      </c>
      <c r="J17">
        <f t="shared" si="2"/>
        <v>-5.8571800589561497E-2</v>
      </c>
      <c r="K17">
        <f t="shared" si="3"/>
        <v>-6.3505612313747406E-2</v>
      </c>
      <c r="L17">
        <f t="shared" si="4"/>
        <v>-0.19738522171974199</v>
      </c>
      <c r="M17">
        <f t="shared" si="5"/>
        <v>-0.108248926699162</v>
      </c>
    </row>
    <row r="18" spans="1:13" x14ac:dyDescent="0.35">
      <c r="H18">
        <f t="shared" si="0"/>
        <v>0</v>
      </c>
      <c r="I18">
        <f t="shared" si="1"/>
        <v>0</v>
      </c>
      <c r="J18">
        <f t="shared" si="2"/>
        <v>0</v>
      </c>
      <c r="K18">
        <f t="shared" si="3"/>
        <v>0</v>
      </c>
      <c r="L18">
        <f t="shared" si="4"/>
        <v>0</v>
      </c>
      <c r="M18">
        <f t="shared" si="5"/>
        <v>0</v>
      </c>
    </row>
    <row r="19" spans="1:13" x14ac:dyDescent="0.35">
      <c r="H19">
        <f t="shared" si="0"/>
        <v>0</v>
      </c>
      <c r="I19">
        <f t="shared" si="1"/>
        <v>0</v>
      </c>
      <c r="J19">
        <f t="shared" si="2"/>
        <v>0</v>
      </c>
      <c r="K19">
        <f t="shared" si="3"/>
        <v>0</v>
      </c>
      <c r="L19">
        <f t="shared" si="4"/>
        <v>0</v>
      </c>
      <c r="M19">
        <f t="shared" si="5"/>
        <v>0</v>
      </c>
    </row>
    <row r="20" spans="1:13" x14ac:dyDescent="0.35">
      <c r="H20">
        <f t="shared" si="0"/>
        <v>0</v>
      </c>
      <c r="I20">
        <f t="shared" si="1"/>
        <v>0</v>
      </c>
      <c r="J20">
        <f t="shared" si="2"/>
        <v>0</v>
      </c>
      <c r="K20">
        <f t="shared" si="3"/>
        <v>0</v>
      </c>
      <c r="L20">
        <f t="shared" si="4"/>
        <v>0</v>
      </c>
      <c r="M20">
        <f t="shared" si="5"/>
        <v>0</v>
      </c>
    </row>
    <row r="21" spans="1:13" x14ac:dyDescent="0.35">
      <c r="H21">
        <f t="shared" si="0"/>
        <v>0</v>
      </c>
      <c r="I21">
        <f t="shared" si="1"/>
        <v>0</v>
      </c>
      <c r="J21">
        <f t="shared" si="2"/>
        <v>0</v>
      </c>
      <c r="K21">
        <f t="shared" si="3"/>
        <v>0</v>
      </c>
      <c r="L21">
        <f t="shared" si="4"/>
        <v>0</v>
      </c>
      <c r="M21">
        <f t="shared" si="5"/>
        <v>0</v>
      </c>
    </row>
    <row r="22" spans="1:13" x14ac:dyDescent="0.35">
      <c r="H22">
        <f t="shared" si="0"/>
        <v>0</v>
      </c>
      <c r="I22">
        <f t="shared" si="1"/>
        <v>0</v>
      </c>
      <c r="J22">
        <f t="shared" si="2"/>
        <v>0</v>
      </c>
      <c r="K22">
        <f t="shared" si="3"/>
        <v>0</v>
      </c>
      <c r="L22">
        <f t="shared" si="4"/>
        <v>0</v>
      </c>
      <c r="M22">
        <f t="shared" si="5"/>
        <v>0</v>
      </c>
    </row>
    <row r="23" spans="1:13" x14ac:dyDescent="0.35">
      <c r="H23">
        <f t="shared" si="0"/>
        <v>0</v>
      </c>
      <c r="I23">
        <f t="shared" si="1"/>
        <v>0</v>
      </c>
      <c r="J23">
        <f t="shared" si="2"/>
        <v>0</v>
      </c>
      <c r="K23">
        <f t="shared" si="3"/>
        <v>0</v>
      </c>
      <c r="L23">
        <f t="shared" si="4"/>
        <v>0</v>
      </c>
      <c r="M23">
        <f t="shared" si="5"/>
        <v>0</v>
      </c>
    </row>
    <row r="24" spans="1:13" x14ac:dyDescent="0.35">
      <c r="H24">
        <f t="shared" si="0"/>
        <v>0</v>
      </c>
      <c r="I24">
        <f t="shared" si="1"/>
        <v>0</v>
      </c>
      <c r="J24">
        <f t="shared" si="2"/>
        <v>0</v>
      </c>
      <c r="K24">
        <f t="shared" si="3"/>
        <v>0</v>
      </c>
      <c r="L24">
        <f t="shared" si="4"/>
        <v>0</v>
      </c>
      <c r="M24">
        <f t="shared" si="5"/>
        <v>0</v>
      </c>
    </row>
    <row r="25" spans="1:13" x14ac:dyDescent="0.35">
      <c r="H25">
        <f t="shared" si="0"/>
        <v>0</v>
      </c>
      <c r="I25">
        <f t="shared" si="1"/>
        <v>0</v>
      </c>
      <c r="J25">
        <f t="shared" si="2"/>
        <v>0</v>
      </c>
      <c r="K25">
        <f t="shared" si="3"/>
        <v>0</v>
      </c>
      <c r="L25">
        <f t="shared" si="4"/>
        <v>0</v>
      </c>
      <c r="M25">
        <f t="shared" si="5"/>
        <v>0</v>
      </c>
    </row>
    <row r="26" spans="1:13" x14ac:dyDescent="0.35">
      <c r="H26">
        <f t="shared" si="0"/>
        <v>0</v>
      </c>
      <c r="I26">
        <f t="shared" si="1"/>
        <v>0</v>
      </c>
      <c r="J26">
        <f t="shared" si="2"/>
        <v>0</v>
      </c>
      <c r="K26">
        <f t="shared" si="3"/>
        <v>0</v>
      </c>
      <c r="L26">
        <f t="shared" si="4"/>
        <v>0</v>
      </c>
      <c r="M26">
        <f t="shared" si="5"/>
        <v>0</v>
      </c>
    </row>
    <row r="27" spans="1:13" x14ac:dyDescent="0.35">
      <c r="H27">
        <f t="shared" si="0"/>
        <v>0</v>
      </c>
      <c r="I27">
        <f t="shared" si="1"/>
        <v>0</v>
      </c>
      <c r="J27">
        <f t="shared" si="2"/>
        <v>0</v>
      </c>
      <c r="K27">
        <f t="shared" si="3"/>
        <v>0</v>
      </c>
      <c r="L27">
        <f t="shared" si="4"/>
        <v>0</v>
      </c>
      <c r="M27">
        <f t="shared" si="5"/>
        <v>0</v>
      </c>
    </row>
    <row r="28" spans="1:13" x14ac:dyDescent="0.35">
      <c r="H28">
        <f t="shared" si="0"/>
        <v>0</v>
      </c>
      <c r="I28">
        <f t="shared" si="1"/>
        <v>0</v>
      </c>
      <c r="J28">
        <f t="shared" si="2"/>
        <v>0</v>
      </c>
      <c r="K28">
        <f t="shared" si="3"/>
        <v>0</v>
      </c>
      <c r="L28">
        <f t="shared" si="4"/>
        <v>0</v>
      </c>
      <c r="M28">
        <f t="shared" si="5"/>
        <v>0</v>
      </c>
    </row>
  </sheetData>
  <mergeCells count="2">
    <mergeCell ref="A1:F1"/>
    <mergeCell ref="H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D690C-8097-4FB5-A9E3-5EAFC6B1E284}">
  <dimension ref="A1:I15"/>
  <sheetViews>
    <sheetView workbookViewId="0">
      <selection sqref="A1:I15"/>
    </sheetView>
  </sheetViews>
  <sheetFormatPr defaultRowHeight="14.5" x14ac:dyDescent="0.35"/>
  <sheetData>
    <row r="1" spans="1:9" x14ac:dyDescent="0.35">
      <c r="A1">
        <v>2.6342464843764901E-4</v>
      </c>
      <c r="B1">
        <v>-3.2978262752294499E-2</v>
      </c>
      <c r="C1">
        <v>5.6162860710173802E-4</v>
      </c>
      <c r="D1">
        <v>0.185834720730782</v>
      </c>
      <c r="E1">
        <v>1.13257020711899E-3</v>
      </c>
      <c r="F1">
        <v>0.19288232922553999</v>
      </c>
      <c r="G1">
        <v>1.4</v>
      </c>
      <c r="H1">
        <v>0</v>
      </c>
      <c r="I1">
        <v>0</v>
      </c>
    </row>
    <row r="2" spans="1:9" x14ac:dyDescent="0.35">
      <c r="A2">
        <v>-4.3474312406033299E-4</v>
      </c>
      <c r="B2">
        <v>-6.2425632029771798E-2</v>
      </c>
      <c r="C2">
        <v>2.5845002382993698E-3</v>
      </c>
      <c r="D2">
        <v>0.25303724408149703</v>
      </c>
      <c r="E2">
        <v>1.07369087636471E-2</v>
      </c>
      <c r="F2">
        <v>0.27653545141220098</v>
      </c>
      <c r="G2">
        <v>0</v>
      </c>
      <c r="H2">
        <v>0</v>
      </c>
      <c r="I2">
        <v>0</v>
      </c>
    </row>
    <row r="3" spans="1:9" x14ac:dyDescent="0.35">
      <c r="A3">
        <v>5.3234044462442398E-3</v>
      </c>
      <c r="B3">
        <v>-0.12275674194097499</v>
      </c>
      <c r="C3">
        <v>-8.3989212289452605E-3</v>
      </c>
      <c r="D3">
        <v>0.26806160807609603</v>
      </c>
      <c r="E3">
        <v>-2.4467468261718799E-2</v>
      </c>
      <c r="F3">
        <v>0.52633810043335005</v>
      </c>
      <c r="G3">
        <v>1.4</v>
      </c>
      <c r="H3">
        <v>0</v>
      </c>
      <c r="I3">
        <v>0</v>
      </c>
    </row>
    <row r="4" spans="1:9" x14ac:dyDescent="0.35">
      <c r="A4">
        <v>6.7002582363784302E-4</v>
      </c>
      <c r="B4">
        <v>-6.6750191152095795E-2</v>
      </c>
      <c r="C4">
        <v>1.6002767952158999E-3</v>
      </c>
      <c r="D4">
        <v>-3.97013984620571E-2</v>
      </c>
      <c r="E4">
        <v>7.3561742901802098E-3</v>
      </c>
      <c r="F4">
        <v>0.423814177513123</v>
      </c>
      <c r="G4">
        <v>1.4</v>
      </c>
      <c r="H4">
        <v>0</v>
      </c>
      <c r="I4">
        <v>0</v>
      </c>
    </row>
    <row r="5" spans="1:9" x14ac:dyDescent="0.35">
      <c r="A5">
        <v>7.4092089198529699E-4</v>
      </c>
      <c r="B5">
        <v>-0.14775538444519001</v>
      </c>
      <c r="C5">
        <v>3.4220633096993E-3</v>
      </c>
      <c r="D5">
        <v>-0.161362335085869</v>
      </c>
      <c r="E5">
        <v>2.0262047648429898E-2</v>
      </c>
      <c r="F5">
        <v>0.82944488525390603</v>
      </c>
      <c r="G5">
        <v>0</v>
      </c>
      <c r="H5">
        <v>0</v>
      </c>
      <c r="I5">
        <v>0</v>
      </c>
    </row>
    <row r="6" spans="1:9" x14ac:dyDescent="0.35">
      <c r="A6">
        <v>6.6551081836223602E-3</v>
      </c>
      <c r="B6">
        <v>-0.148307904601097</v>
      </c>
      <c r="C6">
        <v>-1.0527462000027299E-3</v>
      </c>
      <c r="D6">
        <v>-0.444706320762634</v>
      </c>
      <c r="E6">
        <v>-2.19946205615997E-2</v>
      </c>
      <c r="F6">
        <v>0.489793181419373</v>
      </c>
      <c r="G6">
        <v>1.4</v>
      </c>
      <c r="H6">
        <v>0</v>
      </c>
      <c r="I6">
        <v>0</v>
      </c>
    </row>
    <row r="7" spans="1:9" x14ac:dyDescent="0.35">
      <c r="A7">
        <v>8.7637116666883198E-4</v>
      </c>
      <c r="B7">
        <v>-0.164488449692726</v>
      </c>
      <c r="C7">
        <v>3.7763002328574701E-3</v>
      </c>
      <c r="D7">
        <v>-0.58729076385498002</v>
      </c>
      <c r="E7">
        <v>7.8071318566799199E-3</v>
      </c>
      <c r="F7">
        <v>0.38755592703819303</v>
      </c>
      <c r="G7">
        <v>0</v>
      </c>
      <c r="H7">
        <v>0</v>
      </c>
      <c r="I7">
        <v>0</v>
      </c>
    </row>
    <row r="8" spans="1:9" x14ac:dyDescent="0.35">
      <c r="A8">
        <v>-8.6323916912078901E-4</v>
      </c>
      <c r="B8">
        <v>4.2902048677205998E-2</v>
      </c>
      <c r="C8">
        <v>-8.0319754779338795E-2</v>
      </c>
      <c r="D8">
        <v>0.61245459318161</v>
      </c>
      <c r="E8">
        <v>-0.54026973247528098</v>
      </c>
      <c r="F8">
        <v>-0.28817486763000499</v>
      </c>
      <c r="G8">
        <v>0</v>
      </c>
      <c r="H8">
        <v>0</v>
      </c>
      <c r="I8">
        <v>0</v>
      </c>
    </row>
    <row r="9" spans="1:9" x14ac:dyDescent="0.35">
      <c r="A9">
        <v>-8.0120982602238698E-4</v>
      </c>
      <c r="B9">
        <v>4.2666438966989503E-2</v>
      </c>
      <c r="C9">
        <v>-8.0293677747249603E-2</v>
      </c>
      <c r="D9">
        <v>0.443310797214508</v>
      </c>
      <c r="E9">
        <v>-0.42717015743255599</v>
      </c>
      <c r="F9">
        <v>-0.22529536485672</v>
      </c>
      <c r="G9">
        <v>0</v>
      </c>
      <c r="H9">
        <v>0</v>
      </c>
      <c r="I9">
        <v>0</v>
      </c>
    </row>
    <row r="10" spans="1:9" x14ac:dyDescent="0.35">
      <c r="A10">
        <v>-5.5334065109491301E-5</v>
      </c>
      <c r="B10">
        <v>7.7956624329090105E-2</v>
      </c>
      <c r="C10">
        <v>-0.13737398386001601</v>
      </c>
      <c r="D10">
        <v>0.41918036341667197</v>
      </c>
      <c r="E10">
        <v>-0.55125319957733199</v>
      </c>
      <c r="F10">
        <v>-0.30630308389663702</v>
      </c>
      <c r="G10">
        <v>1.4</v>
      </c>
      <c r="H10">
        <v>0</v>
      </c>
      <c r="I10">
        <v>0</v>
      </c>
    </row>
    <row r="11" spans="1:9" x14ac:dyDescent="0.35">
      <c r="A11">
        <v>-9.6024014055728899E-5</v>
      </c>
      <c r="B11">
        <v>3.4424368292093298E-2</v>
      </c>
      <c r="C11">
        <v>-6.16564750671387E-2</v>
      </c>
      <c r="D11">
        <v>0.267098218202591</v>
      </c>
      <c r="E11">
        <v>-0.21448078751564001</v>
      </c>
      <c r="F11">
        <v>-0.115060687065125</v>
      </c>
      <c r="G11">
        <v>1.4</v>
      </c>
      <c r="H11">
        <v>0</v>
      </c>
      <c r="I11">
        <v>0</v>
      </c>
    </row>
    <row r="12" spans="1:9" x14ac:dyDescent="0.35">
      <c r="A12">
        <v>-3.7108035758137698E-4</v>
      </c>
      <c r="B12">
        <v>3.7644270807504703E-2</v>
      </c>
      <c r="C12">
        <v>-6.73996657133102E-2</v>
      </c>
      <c r="D12">
        <v>1.67829748243093E-2</v>
      </c>
      <c r="E12">
        <v>-0.33880779147148099</v>
      </c>
      <c r="F12">
        <v>-0.185297966003418</v>
      </c>
      <c r="G12">
        <v>1.4</v>
      </c>
      <c r="H12">
        <v>0</v>
      </c>
      <c r="I12">
        <v>0</v>
      </c>
    </row>
    <row r="13" spans="1:9" x14ac:dyDescent="0.35">
      <c r="A13">
        <v>-1.02429185062647E-3</v>
      </c>
      <c r="B13">
        <v>7.0613205432891804E-2</v>
      </c>
      <c r="C13">
        <v>-0.12678831815719599</v>
      </c>
      <c r="D13">
        <v>-2.9671346768736801E-2</v>
      </c>
      <c r="E13">
        <v>-0.63574087619781505</v>
      </c>
      <c r="F13">
        <v>-0.34651768207549999</v>
      </c>
      <c r="G13">
        <v>1.4</v>
      </c>
      <c r="H13">
        <v>0</v>
      </c>
      <c r="I13">
        <v>0</v>
      </c>
    </row>
    <row r="14" spans="1:9" x14ac:dyDescent="0.35">
      <c r="A14">
        <v>-6.0879066586494402E-4</v>
      </c>
      <c r="B14">
        <v>4.7145899385213901E-2</v>
      </c>
      <c r="C14">
        <v>-8.5028916597366305E-2</v>
      </c>
      <c r="D14">
        <v>-7.4065491557121305E-2</v>
      </c>
      <c r="E14">
        <v>-0.31546109914779702</v>
      </c>
      <c r="F14">
        <v>-0.17043319344520599</v>
      </c>
      <c r="G14">
        <v>0</v>
      </c>
      <c r="H14">
        <v>0</v>
      </c>
      <c r="I14">
        <v>0</v>
      </c>
    </row>
    <row r="15" spans="1:9" x14ac:dyDescent="0.35">
      <c r="A15">
        <v>3.8368394598364803E-5</v>
      </c>
      <c r="B15">
        <v>3.2897148281335803E-2</v>
      </c>
      <c r="C15">
        <v>-5.8571800589561497E-2</v>
      </c>
      <c r="D15">
        <v>-6.3505612313747406E-2</v>
      </c>
      <c r="E15">
        <v>-0.19738522171974199</v>
      </c>
      <c r="F15">
        <v>-0.108248926699162</v>
      </c>
      <c r="G15">
        <v>0</v>
      </c>
      <c r="H15">
        <v>0</v>
      </c>
      <c r="I15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E208467-E14A-4CB9-9FC8-72DFB8E94FF2}">
  <ds:schemaRefs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dcmitype/"/>
    <ds:schemaRef ds:uri="c2b20bf0-79f3-4559-a8ab-bcb74dcd8cd8"/>
    <ds:schemaRef ds:uri="http://schemas.microsoft.com/office/infopath/2007/PartnerControls"/>
    <ds:schemaRef ds:uri="08a9f8ec-165a-4165-a8e9-ed45c2de7bcb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Proximal Validation (single)</vt:lpstr>
      <vt:lpstr>Distal Validation (single)</vt:lpstr>
      <vt:lpstr>Distal Vali (0.2 prop noise)</vt:lpstr>
      <vt:lpstr>Distal Vali (add noise)</vt:lpstr>
      <vt:lpstr>Conversion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2025-09-25T19:44:46Z</cp:lastPrinted>
  <dcterms:created xsi:type="dcterms:W3CDTF">2025-08-20T18:12:27Z</dcterms:created>
  <dcterms:modified xsi:type="dcterms:W3CDTF">2025-10-10T21:09:09Z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