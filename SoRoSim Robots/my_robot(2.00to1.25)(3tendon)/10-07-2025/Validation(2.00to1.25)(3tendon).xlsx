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0to1.25)(3tendon)/10-07-2025/"/>
    </mc:Choice>
  </mc:AlternateContent>
  <xr:revisionPtr revIDLastSave="2492" documentId="8_{DFFD6B0C-681F-42C8-B2E4-5D4B90AAE966}" xr6:coauthVersionLast="47" xr6:coauthVersionMax="47" xr10:uidLastSave="{8DB76E1B-C7ED-422B-8862-579A2817BC72}"/>
  <bookViews>
    <workbookView xWindow="-120" yWindow="-120" windowWidth="29040" windowHeight="15720" firstSheet="1" activeTab="3" xr2:uid="{3D16C37F-3C74-4527-A308-796C339DFE9F}"/>
  </bookViews>
  <sheets>
    <sheet name="Proximal Validation (double)" sheetId="12" r:id="rId1"/>
    <sheet name="Distal Vali (double, loose)" sheetId="19" r:id="rId2"/>
    <sheet name="Distal Vali (double 1.75 0.2F+)" sheetId="23" r:id="rId3"/>
    <sheet name="Distal Vali (double 2to1.25)" sheetId="24" r:id="rId4"/>
    <sheet name="Sheet1" sheetId="25" r:id="rId5"/>
    <sheet name="Convers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N3" i="23" a="1"/>
  <c r="AN3" i="23"/>
  <c r="AO3" i="23" a="1"/>
  <c r="AO3" i="23" s="1"/>
  <c r="AP3" i="23" a="1"/>
  <c r="AP3" i="23"/>
  <c r="AQ3" i="23" a="1"/>
  <c r="AQ3" i="23"/>
  <c r="AR3" i="23" a="1"/>
  <c r="AR3" i="23"/>
  <c r="AS3" i="23" a="1"/>
  <c r="AS3" i="23"/>
  <c r="AM3" i="23" a="1"/>
  <c r="AM3" i="23" s="1"/>
  <c r="AD17" i="24"/>
  <c r="AC17" i="24"/>
  <c r="K17" i="24"/>
  <c r="J17" i="24"/>
  <c r="I17" i="24"/>
  <c r="H17" i="24"/>
  <c r="AH17" i="24" s="1"/>
  <c r="G17" i="24"/>
  <c r="AG17" i="24" s="1"/>
  <c r="F17" i="24"/>
  <c r="AF17" i="24" s="1"/>
  <c r="E17" i="24"/>
  <c r="AL17" i="24" s="1"/>
  <c r="D17" i="24"/>
  <c r="C17" i="24"/>
  <c r="B17" i="24"/>
  <c r="AB17" i="24" s="1"/>
  <c r="A17" i="24"/>
  <c r="AA17" i="24" s="1"/>
  <c r="K7" i="24"/>
  <c r="J7" i="24"/>
  <c r="I7" i="24"/>
  <c r="H7" i="24"/>
  <c r="AH7" i="24" s="1"/>
  <c r="G7" i="24"/>
  <c r="AG7" i="24" s="1"/>
  <c r="F7" i="24"/>
  <c r="AF7" i="24" s="1"/>
  <c r="E7" i="24"/>
  <c r="AE7" i="24" s="1"/>
  <c r="D7" i="24"/>
  <c r="AD7" i="24" s="1"/>
  <c r="C7" i="24"/>
  <c r="AC7" i="24" s="1"/>
  <c r="B7" i="24"/>
  <c r="AB7" i="24" s="1"/>
  <c r="A7" i="24"/>
  <c r="AB10" i="24"/>
  <c r="AA10" i="24"/>
  <c r="K10" i="24"/>
  <c r="J10" i="24"/>
  <c r="I10" i="24"/>
  <c r="H10" i="24"/>
  <c r="AH10" i="24" s="1"/>
  <c r="G10" i="24"/>
  <c r="AG10" i="24" s="1"/>
  <c r="F10" i="24"/>
  <c r="AF10" i="24" s="1"/>
  <c r="E10" i="24"/>
  <c r="AE10" i="24" s="1"/>
  <c r="D10" i="24"/>
  <c r="AD10" i="24" s="1"/>
  <c r="C10" i="24"/>
  <c r="AC10" i="24" s="1"/>
  <c r="B10" i="24"/>
  <c r="A10" i="24"/>
  <c r="AL10" i="24" s="1"/>
  <c r="AG11" i="24"/>
  <c r="AF11" i="24"/>
  <c r="AE11" i="24"/>
  <c r="AD11" i="24"/>
  <c r="AC11" i="24"/>
  <c r="AK11" i="24" s="1"/>
  <c r="K11" i="24"/>
  <c r="J11" i="24"/>
  <c r="I11" i="24"/>
  <c r="H11" i="24"/>
  <c r="AH11" i="24" s="1"/>
  <c r="G11" i="24"/>
  <c r="F11" i="24"/>
  <c r="E11" i="24"/>
  <c r="D11" i="24"/>
  <c r="C11" i="24"/>
  <c r="B11" i="24"/>
  <c r="AB11" i="24" s="1"/>
  <c r="A11" i="24"/>
  <c r="AA11" i="24" s="1"/>
  <c r="AI11" i="24" s="1"/>
  <c r="AH16" i="24"/>
  <c r="K16" i="24"/>
  <c r="J16" i="24"/>
  <c r="I16" i="24"/>
  <c r="H16" i="24"/>
  <c r="G16" i="24"/>
  <c r="AG16" i="24" s="1"/>
  <c r="F16" i="24"/>
  <c r="AF16" i="24" s="1"/>
  <c r="E16" i="24"/>
  <c r="AE16" i="24" s="1"/>
  <c r="D16" i="24"/>
  <c r="AD16" i="24" s="1"/>
  <c r="C16" i="24"/>
  <c r="AC16" i="24" s="1"/>
  <c r="B16" i="24"/>
  <c r="AB16" i="24" s="1"/>
  <c r="A16" i="24"/>
  <c r="AA16" i="24" s="1"/>
  <c r="AE19" i="24"/>
  <c r="AD19" i="24"/>
  <c r="AA19" i="24"/>
  <c r="K19" i="24"/>
  <c r="J19" i="24"/>
  <c r="I19" i="24"/>
  <c r="H19" i="24"/>
  <c r="AH19" i="24" s="1"/>
  <c r="G19" i="24"/>
  <c r="AG19" i="24" s="1"/>
  <c r="F19" i="24"/>
  <c r="AF19" i="24" s="1"/>
  <c r="E19" i="24"/>
  <c r="D19" i="24"/>
  <c r="C19" i="24"/>
  <c r="AC19" i="24" s="1"/>
  <c r="B19" i="24"/>
  <c r="AB19" i="24" s="1"/>
  <c r="A19" i="24"/>
  <c r="K14" i="24"/>
  <c r="J14" i="24"/>
  <c r="I14" i="24"/>
  <c r="H14" i="24"/>
  <c r="AH14" i="24" s="1"/>
  <c r="G14" i="24"/>
  <c r="AG14" i="24" s="1"/>
  <c r="F14" i="24"/>
  <c r="AF14" i="24" s="1"/>
  <c r="E14" i="24"/>
  <c r="AE14" i="24" s="1"/>
  <c r="D14" i="24"/>
  <c r="AD14" i="24" s="1"/>
  <c r="C14" i="24"/>
  <c r="AC14" i="24" s="1"/>
  <c r="B14" i="24"/>
  <c r="AB14" i="24" s="1"/>
  <c r="A14" i="24"/>
  <c r="AC9" i="24"/>
  <c r="AB9" i="24"/>
  <c r="AA9" i="24"/>
  <c r="K9" i="24"/>
  <c r="J9" i="24"/>
  <c r="I9" i="24"/>
  <c r="H9" i="24"/>
  <c r="AH9" i="24" s="1"/>
  <c r="G9" i="24"/>
  <c r="AG9" i="24" s="1"/>
  <c r="F9" i="24"/>
  <c r="AF9" i="24" s="1"/>
  <c r="E9" i="24"/>
  <c r="AE9" i="24" s="1"/>
  <c r="D9" i="24"/>
  <c r="AD9" i="24" s="1"/>
  <c r="C9" i="24"/>
  <c r="B9" i="24"/>
  <c r="A9" i="24"/>
  <c r="AL9" i="24" s="1"/>
  <c r="AH4" i="24"/>
  <c r="AG4" i="24"/>
  <c r="AF4" i="24"/>
  <c r="AE4" i="24"/>
  <c r="AD4" i="24"/>
  <c r="K4" i="24"/>
  <c r="J4" i="24"/>
  <c r="I4" i="24"/>
  <c r="H4" i="24"/>
  <c r="G4" i="24"/>
  <c r="F4" i="24"/>
  <c r="E4" i="24"/>
  <c r="D4" i="24"/>
  <c r="C4" i="24"/>
  <c r="AC4" i="24" s="1"/>
  <c r="AK4" i="24" s="1"/>
  <c r="B4" i="24"/>
  <c r="AB4" i="24" s="1"/>
  <c r="AJ4" i="24" s="1"/>
  <c r="A4" i="24"/>
  <c r="AA4" i="24" s="1"/>
  <c r="AI4" i="24" s="1"/>
  <c r="AL15" i="24"/>
  <c r="K15" i="24"/>
  <c r="J15" i="24"/>
  <c r="I15" i="24"/>
  <c r="H15" i="24"/>
  <c r="AH15" i="24" s="1"/>
  <c r="G15" i="24"/>
  <c r="AG15" i="24" s="1"/>
  <c r="F15" i="24"/>
  <c r="AF15" i="24" s="1"/>
  <c r="E15" i="24"/>
  <c r="AE15" i="24" s="1"/>
  <c r="D15" i="24"/>
  <c r="AD15" i="24" s="1"/>
  <c r="C15" i="24"/>
  <c r="AC15" i="24" s="1"/>
  <c r="B15" i="24"/>
  <c r="AB15" i="24" s="1"/>
  <c r="A15" i="24"/>
  <c r="AA15" i="24" s="1"/>
  <c r="AD5" i="24"/>
  <c r="K5" i="24"/>
  <c r="J5" i="24"/>
  <c r="I5" i="24"/>
  <c r="H5" i="24"/>
  <c r="AH5" i="24" s="1"/>
  <c r="G5" i="24"/>
  <c r="AG5" i="24" s="1"/>
  <c r="F5" i="24"/>
  <c r="AF5" i="24" s="1"/>
  <c r="E5" i="24"/>
  <c r="AE5" i="24" s="1"/>
  <c r="D5" i="24"/>
  <c r="C5" i="24"/>
  <c r="AC5" i="24" s="1"/>
  <c r="B5" i="24"/>
  <c r="AB5" i="24" s="1"/>
  <c r="A5" i="24"/>
  <c r="AA5" i="24" s="1"/>
  <c r="K18" i="24"/>
  <c r="J18" i="24"/>
  <c r="I18" i="24"/>
  <c r="H18" i="24"/>
  <c r="AH18" i="24" s="1"/>
  <c r="G18" i="24"/>
  <c r="AG18" i="24" s="1"/>
  <c r="F18" i="24"/>
  <c r="AF18" i="24" s="1"/>
  <c r="E18" i="24"/>
  <c r="AE18" i="24" s="1"/>
  <c r="D18" i="24"/>
  <c r="AD18" i="24" s="1"/>
  <c r="C18" i="24"/>
  <c r="AC18" i="24" s="1"/>
  <c r="B18" i="24"/>
  <c r="AB18" i="24" s="1"/>
  <c r="A18" i="24"/>
  <c r="AA18" i="24" s="1"/>
  <c r="AD6" i="24"/>
  <c r="AC6" i="24"/>
  <c r="AB6" i="24"/>
  <c r="K6" i="24"/>
  <c r="J6" i="24"/>
  <c r="I6" i="24"/>
  <c r="H6" i="24"/>
  <c r="AH6" i="24" s="1"/>
  <c r="G6" i="24"/>
  <c r="AG6" i="24" s="1"/>
  <c r="F6" i="24"/>
  <c r="AF6" i="24" s="1"/>
  <c r="E6" i="24"/>
  <c r="D6" i="24"/>
  <c r="C6" i="24"/>
  <c r="B6" i="24"/>
  <c r="A6" i="24"/>
  <c r="AA6" i="24" s="1"/>
  <c r="AH12" i="24"/>
  <c r="AG12" i="24"/>
  <c r="AF12" i="24"/>
  <c r="AE12" i="24"/>
  <c r="K12" i="24"/>
  <c r="J12" i="24"/>
  <c r="I12" i="24"/>
  <c r="H12" i="24"/>
  <c r="G12" i="24"/>
  <c r="F12" i="24"/>
  <c r="E12" i="24"/>
  <c r="D12" i="24"/>
  <c r="AD12" i="24" s="1"/>
  <c r="C12" i="24"/>
  <c r="AC12" i="24" s="1"/>
  <c r="B12" i="24"/>
  <c r="AB12" i="24" s="1"/>
  <c r="A12" i="24"/>
  <c r="AL12" i="24" s="1"/>
  <c r="AL20" i="24"/>
  <c r="AA20" i="24"/>
  <c r="K20" i="24"/>
  <c r="J20" i="24"/>
  <c r="I20" i="24"/>
  <c r="H20" i="24"/>
  <c r="AH20" i="24" s="1"/>
  <c r="G20" i="24"/>
  <c r="AG20" i="24" s="1"/>
  <c r="F20" i="24"/>
  <c r="AF20" i="24" s="1"/>
  <c r="E20" i="24"/>
  <c r="AE20" i="24" s="1"/>
  <c r="D20" i="24"/>
  <c r="AD20" i="24" s="1"/>
  <c r="C20" i="24"/>
  <c r="AC20" i="24" s="1"/>
  <c r="B20" i="24"/>
  <c r="AB20" i="24" s="1"/>
  <c r="A20" i="24"/>
  <c r="AE3" i="24"/>
  <c r="AQ3" i="24" s="1" a="1"/>
  <c r="AQ3" i="24" s="1"/>
  <c r="AC3" i="24"/>
  <c r="AO3" i="24" s="1" a="1"/>
  <c r="AO3" i="24" s="1"/>
  <c r="K3" i="24"/>
  <c r="J3" i="24"/>
  <c r="I3" i="24"/>
  <c r="H3" i="24"/>
  <c r="AH3" i="24" s="1"/>
  <c r="AT3" i="24" s="1" a="1"/>
  <c r="AT3" i="24" s="1"/>
  <c r="G3" i="24"/>
  <c r="AG3" i="24" s="1"/>
  <c r="AS3" i="24" s="1" a="1"/>
  <c r="AS3" i="24" s="1"/>
  <c r="F3" i="24"/>
  <c r="AF3" i="24" s="1"/>
  <c r="AR3" i="24" s="1" a="1"/>
  <c r="AR3" i="24" s="1"/>
  <c r="E3" i="24"/>
  <c r="D3" i="24"/>
  <c r="AD3" i="24" s="1"/>
  <c r="AP3" i="24" s="1" a="1"/>
  <c r="AP3" i="24" s="1"/>
  <c r="C3" i="24"/>
  <c r="B3" i="24"/>
  <c r="AB3" i="24" s="1"/>
  <c r="AN3" i="24" s="1" a="1"/>
  <c r="AN3" i="24" s="1"/>
  <c r="A3" i="24"/>
  <c r="AA3" i="24" s="1"/>
  <c r="AM3" i="24" s="1" a="1"/>
  <c r="AM3" i="24" s="1"/>
  <c r="AC13" i="24"/>
  <c r="AB13" i="24"/>
  <c r="K13" i="24"/>
  <c r="J13" i="24"/>
  <c r="I13" i="24"/>
  <c r="H13" i="24"/>
  <c r="AH13" i="24" s="1"/>
  <c r="G13" i="24"/>
  <c r="AG13" i="24" s="1"/>
  <c r="F13" i="24"/>
  <c r="AF13" i="24" s="1"/>
  <c r="E13" i="24"/>
  <c r="AE13" i="24" s="1"/>
  <c r="D13" i="24"/>
  <c r="AD13" i="24" s="1"/>
  <c r="C13" i="24"/>
  <c r="B13" i="24"/>
  <c r="A13" i="24"/>
  <c r="AL13" i="24" s="1"/>
  <c r="AH8" i="24"/>
  <c r="K8" i="24"/>
  <c r="J8" i="24"/>
  <c r="I8" i="24"/>
  <c r="H8" i="24"/>
  <c r="G8" i="24"/>
  <c r="AG8" i="24" s="1"/>
  <c r="F8" i="24"/>
  <c r="AF8" i="24" s="1"/>
  <c r="E8" i="24"/>
  <c r="AE8" i="24" s="1"/>
  <c r="D8" i="24"/>
  <c r="AD8" i="24" s="1"/>
  <c r="C8" i="24"/>
  <c r="AC8" i="24" s="1"/>
  <c r="B8" i="24"/>
  <c r="AB8" i="24" s="1"/>
  <c r="A8" i="24"/>
  <c r="AA8" i="24" s="1"/>
  <c r="Q17" i="23"/>
  <c r="P17" i="23"/>
  <c r="O17" i="23"/>
  <c r="N17" i="23"/>
  <c r="M17" i="23"/>
  <c r="L17" i="23"/>
  <c r="K17" i="23"/>
  <c r="J17" i="23"/>
  <c r="I17" i="23"/>
  <c r="H17" i="23"/>
  <c r="AH17" i="23" s="1"/>
  <c r="G17" i="23"/>
  <c r="AG17" i="23" s="1"/>
  <c r="F17" i="23"/>
  <c r="AF17" i="23" s="1"/>
  <c r="E17" i="23"/>
  <c r="AE17" i="23" s="1"/>
  <c r="D17" i="23"/>
  <c r="AD17" i="23" s="1"/>
  <c r="C17" i="23"/>
  <c r="AC17" i="23" s="1"/>
  <c r="B17" i="23"/>
  <c r="AB17" i="23" s="1"/>
  <c r="A17" i="23"/>
  <c r="AA17" i="23" s="1"/>
  <c r="Q7" i="23"/>
  <c r="P7" i="23"/>
  <c r="O7" i="23"/>
  <c r="N7" i="23"/>
  <c r="M7" i="23"/>
  <c r="L7" i="23"/>
  <c r="K7" i="23"/>
  <c r="J7" i="23"/>
  <c r="I7" i="23"/>
  <c r="H7" i="23"/>
  <c r="AH7" i="23" s="1"/>
  <c r="G7" i="23"/>
  <c r="AG7" i="23" s="1"/>
  <c r="F7" i="23"/>
  <c r="AF7" i="23" s="1"/>
  <c r="E7" i="23"/>
  <c r="D7" i="23"/>
  <c r="AD7" i="23" s="1"/>
  <c r="C7" i="23"/>
  <c r="AC7" i="23" s="1"/>
  <c r="B7" i="23"/>
  <c r="AB7" i="23" s="1"/>
  <c r="A7" i="23"/>
  <c r="AA7" i="23" s="1"/>
  <c r="Q10" i="23"/>
  <c r="P10" i="23"/>
  <c r="O10" i="23"/>
  <c r="N10" i="23"/>
  <c r="M10" i="23"/>
  <c r="L10" i="23"/>
  <c r="K10" i="23"/>
  <c r="J10" i="23"/>
  <c r="I10" i="23"/>
  <c r="H10" i="23"/>
  <c r="AH10" i="23" s="1"/>
  <c r="G10" i="23"/>
  <c r="AG10" i="23" s="1"/>
  <c r="F10" i="23"/>
  <c r="AF10" i="23" s="1"/>
  <c r="E10" i="23"/>
  <c r="AE10" i="23" s="1"/>
  <c r="D10" i="23"/>
  <c r="AD10" i="23" s="1"/>
  <c r="C10" i="23"/>
  <c r="AC10" i="23" s="1"/>
  <c r="B10" i="23"/>
  <c r="AB10" i="23" s="1"/>
  <c r="A10" i="23"/>
  <c r="AA10" i="23" s="1"/>
  <c r="Q11" i="23"/>
  <c r="P11" i="23"/>
  <c r="O11" i="23"/>
  <c r="N11" i="23"/>
  <c r="M11" i="23"/>
  <c r="L11" i="23"/>
  <c r="K11" i="23"/>
  <c r="J11" i="23"/>
  <c r="I11" i="23"/>
  <c r="H11" i="23"/>
  <c r="AH11" i="23" s="1"/>
  <c r="G11" i="23"/>
  <c r="AG11" i="23" s="1"/>
  <c r="F11" i="23"/>
  <c r="AF11" i="23" s="1"/>
  <c r="E11" i="23"/>
  <c r="AE11" i="23" s="1"/>
  <c r="D11" i="23"/>
  <c r="AD11" i="23" s="1"/>
  <c r="C11" i="23"/>
  <c r="AC11" i="23" s="1"/>
  <c r="B11" i="23"/>
  <c r="AB11" i="23" s="1"/>
  <c r="A11" i="23"/>
  <c r="Q16" i="23"/>
  <c r="P16" i="23"/>
  <c r="O16" i="23"/>
  <c r="N16" i="23"/>
  <c r="M16" i="23"/>
  <c r="L16" i="23"/>
  <c r="K16" i="23"/>
  <c r="J16" i="23"/>
  <c r="I16" i="23"/>
  <c r="H16" i="23"/>
  <c r="AH16" i="23" s="1"/>
  <c r="G16" i="23"/>
  <c r="AG16" i="23" s="1"/>
  <c r="F16" i="23"/>
  <c r="AF16" i="23" s="1"/>
  <c r="E16" i="23"/>
  <c r="AE16" i="23" s="1"/>
  <c r="D16" i="23"/>
  <c r="AD16" i="23" s="1"/>
  <c r="C16" i="23"/>
  <c r="AC16" i="23" s="1"/>
  <c r="B16" i="23"/>
  <c r="AB16" i="23" s="1"/>
  <c r="A16" i="23"/>
  <c r="AA16" i="23" s="1"/>
  <c r="Q19" i="23"/>
  <c r="P19" i="23"/>
  <c r="O19" i="23"/>
  <c r="N19" i="23"/>
  <c r="M19" i="23"/>
  <c r="L19" i="23"/>
  <c r="K19" i="23"/>
  <c r="J19" i="23"/>
  <c r="I19" i="23"/>
  <c r="H19" i="23"/>
  <c r="AH19" i="23" s="1"/>
  <c r="G19" i="23"/>
  <c r="AG19" i="23" s="1"/>
  <c r="F19" i="23"/>
  <c r="AF19" i="23" s="1"/>
  <c r="E19" i="23"/>
  <c r="AE19" i="23" s="1"/>
  <c r="D19" i="23"/>
  <c r="AD19" i="23" s="1"/>
  <c r="C19" i="23"/>
  <c r="AC19" i="23" s="1"/>
  <c r="B19" i="23"/>
  <c r="AB19" i="23" s="1"/>
  <c r="A19" i="23"/>
  <c r="AA19" i="23" s="1"/>
  <c r="Q14" i="23"/>
  <c r="P14" i="23"/>
  <c r="O14" i="23"/>
  <c r="N14" i="23"/>
  <c r="M14" i="23"/>
  <c r="L14" i="23"/>
  <c r="K14" i="23"/>
  <c r="J14" i="23"/>
  <c r="I14" i="23"/>
  <c r="H14" i="23"/>
  <c r="AH14" i="23" s="1"/>
  <c r="G14" i="23"/>
  <c r="AG14" i="23" s="1"/>
  <c r="F14" i="23"/>
  <c r="AF14" i="23" s="1"/>
  <c r="E14" i="23"/>
  <c r="AE14" i="23" s="1"/>
  <c r="D14" i="23"/>
  <c r="AD14" i="23" s="1"/>
  <c r="C14" i="23"/>
  <c r="AC14" i="23" s="1"/>
  <c r="B14" i="23"/>
  <c r="AB14" i="23" s="1"/>
  <c r="A14" i="23"/>
  <c r="Q9" i="23"/>
  <c r="P9" i="23"/>
  <c r="O9" i="23"/>
  <c r="N9" i="23"/>
  <c r="M9" i="23"/>
  <c r="L9" i="23"/>
  <c r="K9" i="23"/>
  <c r="J9" i="23"/>
  <c r="I9" i="23"/>
  <c r="H9" i="23"/>
  <c r="AH9" i="23" s="1"/>
  <c r="G9" i="23"/>
  <c r="AG9" i="23" s="1"/>
  <c r="F9" i="23"/>
  <c r="AF9" i="23" s="1"/>
  <c r="E9" i="23"/>
  <c r="AE9" i="23" s="1"/>
  <c r="D9" i="23"/>
  <c r="AD9" i="23" s="1"/>
  <c r="C9" i="23"/>
  <c r="AC9" i="23" s="1"/>
  <c r="B9" i="23"/>
  <c r="AB9" i="23" s="1"/>
  <c r="A9" i="23"/>
  <c r="AA9" i="23" s="1"/>
  <c r="Q4" i="23"/>
  <c r="P4" i="23"/>
  <c r="O4" i="23"/>
  <c r="N4" i="23"/>
  <c r="M4" i="23"/>
  <c r="L4" i="23"/>
  <c r="K4" i="23"/>
  <c r="J4" i="23"/>
  <c r="I4" i="23"/>
  <c r="H4" i="23"/>
  <c r="AH4" i="23" s="1"/>
  <c r="G4" i="23"/>
  <c r="AG4" i="23" s="1"/>
  <c r="F4" i="23"/>
  <c r="AF4" i="23" s="1"/>
  <c r="E4" i="23"/>
  <c r="AE4" i="23" s="1"/>
  <c r="D4" i="23"/>
  <c r="AD4" i="23" s="1"/>
  <c r="C4" i="23"/>
  <c r="AC4" i="23" s="1"/>
  <c r="B4" i="23"/>
  <c r="AB4" i="23" s="1"/>
  <c r="A4" i="23"/>
  <c r="AA4" i="23" s="1"/>
  <c r="Q15" i="23"/>
  <c r="P15" i="23"/>
  <c r="O15" i="23"/>
  <c r="N15" i="23"/>
  <c r="M15" i="23"/>
  <c r="L15" i="23"/>
  <c r="K15" i="23"/>
  <c r="J15" i="23"/>
  <c r="I15" i="23"/>
  <c r="H15" i="23"/>
  <c r="AH15" i="23" s="1"/>
  <c r="G15" i="23"/>
  <c r="AG15" i="23" s="1"/>
  <c r="F15" i="23"/>
  <c r="AF15" i="23" s="1"/>
  <c r="E15" i="23"/>
  <c r="AE15" i="23" s="1"/>
  <c r="D15" i="23"/>
  <c r="AD15" i="23" s="1"/>
  <c r="C15" i="23"/>
  <c r="AC15" i="23" s="1"/>
  <c r="B15" i="23"/>
  <c r="AB15" i="23" s="1"/>
  <c r="A15" i="23"/>
  <c r="AA15" i="23" s="1"/>
  <c r="Q5" i="23"/>
  <c r="P5" i="23"/>
  <c r="O5" i="23"/>
  <c r="N5" i="23"/>
  <c r="M5" i="23"/>
  <c r="L5" i="23"/>
  <c r="K5" i="23"/>
  <c r="J5" i="23"/>
  <c r="I5" i="23"/>
  <c r="H5" i="23"/>
  <c r="AH5" i="23" s="1"/>
  <c r="G5" i="23"/>
  <c r="AG5" i="23" s="1"/>
  <c r="F5" i="23"/>
  <c r="AF5" i="23" s="1"/>
  <c r="E5" i="23"/>
  <c r="AE5" i="23" s="1"/>
  <c r="D5" i="23"/>
  <c r="AD5" i="23" s="1"/>
  <c r="C5" i="23"/>
  <c r="AC5" i="23" s="1"/>
  <c r="B5" i="23"/>
  <c r="AB5" i="23" s="1"/>
  <c r="A5" i="23"/>
  <c r="Q18" i="23"/>
  <c r="P18" i="23"/>
  <c r="O18" i="23"/>
  <c r="N18" i="23"/>
  <c r="M18" i="23"/>
  <c r="L18" i="23"/>
  <c r="K18" i="23"/>
  <c r="J18" i="23"/>
  <c r="I18" i="23"/>
  <c r="H18" i="23"/>
  <c r="AH18" i="23" s="1"/>
  <c r="G18" i="23"/>
  <c r="AG18" i="23" s="1"/>
  <c r="F18" i="23"/>
  <c r="AF18" i="23" s="1"/>
  <c r="E18" i="23"/>
  <c r="AE18" i="23" s="1"/>
  <c r="D18" i="23"/>
  <c r="AD18" i="23" s="1"/>
  <c r="C18" i="23"/>
  <c r="AC18" i="23" s="1"/>
  <c r="B18" i="23"/>
  <c r="AB18" i="23" s="1"/>
  <c r="A18" i="23"/>
  <c r="AA18" i="23" s="1"/>
  <c r="Q6" i="23"/>
  <c r="P6" i="23"/>
  <c r="O6" i="23"/>
  <c r="N6" i="23"/>
  <c r="M6" i="23"/>
  <c r="L6" i="23"/>
  <c r="K6" i="23"/>
  <c r="J6" i="23"/>
  <c r="I6" i="23"/>
  <c r="H6" i="23"/>
  <c r="AH6" i="23" s="1"/>
  <c r="G6" i="23"/>
  <c r="AG6" i="23" s="1"/>
  <c r="F6" i="23"/>
  <c r="AF6" i="23" s="1"/>
  <c r="E6" i="23"/>
  <c r="AE6" i="23" s="1"/>
  <c r="D6" i="23"/>
  <c r="AD6" i="23" s="1"/>
  <c r="C6" i="23"/>
  <c r="AC6" i="23" s="1"/>
  <c r="B6" i="23"/>
  <c r="AB6" i="23" s="1"/>
  <c r="A6" i="23"/>
  <c r="AA6" i="23" s="1"/>
  <c r="Q12" i="23"/>
  <c r="P12" i="23"/>
  <c r="O12" i="23"/>
  <c r="N12" i="23"/>
  <c r="M12" i="23"/>
  <c r="L12" i="23"/>
  <c r="K12" i="23"/>
  <c r="J12" i="23"/>
  <c r="I12" i="23"/>
  <c r="H12" i="23"/>
  <c r="AH12" i="23" s="1"/>
  <c r="G12" i="23"/>
  <c r="AG12" i="23" s="1"/>
  <c r="F12" i="23"/>
  <c r="AF12" i="23" s="1"/>
  <c r="E12" i="23"/>
  <c r="AE12" i="23" s="1"/>
  <c r="D12" i="23"/>
  <c r="AD12" i="23" s="1"/>
  <c r="C12" i="23"/>
  <c r="AC12" i="23" s="1"/>
  <c r="B12" i="23"/>
  <c r="AB12" i="23" s="1"/>
  <c r="A12" i="23"/>
  <c r="AA12" i="23" s="1"/>
  <c r="Q20" i="23"/>
  <c r="P20" i="23"/>
  <c r="O20" i="23"/>
  <c r="N20" i="23"/>
  <c r="M20" i="23"/>
  <c r="L20" i="23"/>
  <c r="K20" i="23"/>
  <c r="J20" i="23"/>
  <c r="I20" i="23"/>
  <c r="H20" i="23"/>
  <c r="AH20" i="23" s="1"/>
  <c r="G20" i="23"/>
  <c r="AG20" i="23" s="1"/>
  <c r="F20" i="23"/>
  <c r="AF20" i="23" s="1"/>
  <c r="E20" i="23"/>
  <c r="AE20" i="23" s="1"/>
  <c r="D20" i="23"/>
  <c r="AD20" i="23" s="1"/>
  <c r="C20" i="23"/>
  <c r="AC20" i="23" s="1"/>
  <c r="B20" i="23"/>
  <c r="AB20" i="23" s="1"/>
  <c r="A20" i="23"/>
  <c r="AA20" i="23" s="1"/>
  <c r="Q3" i="23"/>
  <c r="P3" i="23"/>
  <c r="O3" i="23"/>
  <c r="N3" i="23"/>
  <c r="M3" i="23"/>
  <c r="L3" i="23"/>
  <c r="K3" i="23"/>
  <c r="J3" i="23"/>
  <c r="I3" i="23"/>
  <c r="H3" i="23"/>
  <c r="AH3" i="23" s="1"/>
  <c r="G3" i="23"/>
  <c r="AG3" i="23" s="1"/>
  <c r="F3" i="23"/>
  <c r="AF3" i="23" s="1"/>
  <c r="E3" i="23"/>
  <c r="AE3" i="23" s="1"/>
  <c r="D3" i="23"/>
  <c r="AD3" i="23" s="1"/>
  <c r="C3" i="23"/>
  <c r="AC3" i="23" s="1"/>
  <c r="B3" i="23"/>
  <c r="AB3" i="23" s="1"/>
  <c r="A3" i="23"/>
  <c r="AA3" i="23" s="1"/>
  <c r="Q13" i="23"/>
  <c r="P13" i="23"/>
  <c r="O13" i="23"/>
  <c r="N13" i="23"/>
  <c r="M13" i="23"/>
  <c r="L13" i="23"/>
  <c r="K13" i="23"/>
  <c r="J13" i="23"/>
  <c r="I13" i="23"/>
  <c r="H13" i="23"/>
  <c r="AH13" i="23" s="1"/>
  <c r="G13" i="23"/>
  <c r="AG13" i="23" s="1"/>
  <c r="F13" i="23"/>
  <c r="AF13" i="23" s="1"/>
  <c r="E13" i="23"/>
  <c r="AE13" i="23" s="1"/>
  <c r="D13" i="23"/>
  <c r="AD13" i="23" s="1"/>
  <c r="C13" i="23"/>
  <c r="AC13" i="23" s="1"/>
  <c r="B13" i="23"/>
  <c r="AB13" i="23" s="1"/>
  <c r="A13" i="23"/>
  <c r="AA13" i="23" s="1"/>
  <c r="Q8" i="23"/>
  <c r="P8" i="23"/>
  <c r="O8" i="23"/>
  <c r="N8" i="23"/>
  <c r="M8" i="23"/>
  <c r="L8" i="23"/>
  <c r="K8" i="23"/>
  <c r="J8" i="23"/>
  <c r="I8" i="23"/>
  <c r="H8" i="23"/>
  <c r="AH8" i="23" s="1"/>
  <c r="G8" i="23"/>
  <c r="AG8" i="23" s="1"/>
  <c r="F8" i="23"/>
  <c r="AF8" i="23" s="1"/>
  <c r="E8" i="23"/>
  <c r="AE8" i="23" s="1"/>
  <c r="D8" i="23"/>
  <c r="AD8" i="23" s="1"/>
  <c r="C8" i="23"/>
  <c r="AC8" i="23" s="1"/>
  <c r="B8" i="23"/>
  <c r="AB8" i="23" s="1"/>
  <c r="A8" i="23"/>
  <c r="AA8" i="23" s="1"/>
  <c r="AN13" i="19"/>
  <c r="AP13" i="19"/>
  <c r="AO13" i="19"/>
  <c r="AJ5" i="24" l="1"/>
  <c r="AJ15" i="24"/>
  <c r="AK15" i="24"/>
  <c r="AK17" i="24"/>
  <c r="AK20" i="24"/>
  <c r="AA13" i="24"/>
  <c r="AK12" i="24"/>
  <c r="AJ11" i="24"/>
  <c r="AJ12" i="24"/>
  <c r="AJ20" i="24"/>
  <c r="AK3" i="24"/>
  <c r="AI3" i="24"/>
  <c r="AI18" i="24"/>
  <c r="AI15" i="24"/>
  <c r="AJ3" i="24"/>
  <c r="AL6" i="24"/>
  <c r="AI5" i="24"/>
  <c r="AL14" i="24"/>
  <c r="AK10" i="24"/>
  <c r="AL7" i="24"/>
  <c r="AK13" i="24"/>
  <c r="AK14" i="24"/>
  <c r="AL19" i="24"/>
  <c r="AK7" i="24"/>
  <c r="AK18" i="24"/>
  <c r="AJ14" i="24"/>
  <c r="AI19" i="24"/>
  <c r="AJ7" i="24"/>
  <c r="AK9" i="24"/>
  <c r="AJ10" i="24"/>
  <c r="AI13" i="24"/>
  <c r="AI8" i="24"/>
  <c r="AJ13" i="24"/>
  <c r="AJ19" i="24"/>
  <c r="AK19" i="24"/>
  <c r="AK8" i="24"/>
  <c r="AK5" i="24"/>
  <c r="AJ6" i="24"/>
  <c r="AJ8" i="24"/>
  <c r="AN4" i="24"/>
  <c r="AK6" i="24"/>
  <c r="AI10" i="24"/>
  <c r="AJ18" i="24"/>
  <c r="AI16" i="24"/>
  <c r="AJ16" i="24"/>
  <c r="AI20" i="24"/>
  <c r="AI9" i="24"/>
  <c r="AK16" i="24"/>
  <c r="AJ9" i="24"/>
  <c r="AJ17" i="24"/>
  <c r="AL8" i="24"/>
  <c r="AL16" i="24"/>
  <c r="AA14" i="24"/>
  <c r="AI14" i="24" s="1"/>
  <c r="AA12" i="24"/>
  <c r="AI12" i="24" s="1"/>
  <c r="AL4" i="24"/>
  <c r="AA7" i="24"/>
  <c r="AI7" i="24" s="1"/>
  <c r="AL3" i="24"/>
  <c r="AL11" i="24"/>
  <c r="AL18" i="24"/>
  <c r="AL5" i="24"/>
  <c r="AE6" i="24"/>
  <c r="AI6" i="24" s="1"/>
  <c r="AE17" i="24"/>
  <c r="AI17" i="24" s="1"/>
  <c r="AJ3" i="23"/>
  <c r="AK4" i="23"/>
  <c r="AL11" i="23"/>
  <c r="AJ11" i="23"/>
  <c r="AK12" i="23"/>
  <c r="AJ8" i="23"/>
  <c r="AK16" i="23"/>
  <c r="AK5" i="23"/>
  <c r="AK8" i="23"/>
  <c r="AJ4" i="23"/>
  <c r="AL7" i="23"/>
  <c r="AJ16" i="23"/>
  <c r="AJ5" i="23"/>
  <c r="AI6" i="23"/>
  <c r="AL13" i="23"/>
  <c r="AK6" i="23"/>
  <c r="AJ10" i="23"/>
  <c r="AJ13" i="23"/>
  <c r="AK20" i="23"/>
  <c r="AI15" i="23"/>
  <c r="AE7" i="23"/>
  <c r="AI7" i="23" s="1"/>
  <c r="AL8" i="23"/>
  <c r="AK3" i="23"/>
  <c r="AL5" i="23"/>
  <c r="AJ15" i="23"/>
  <c r="AL16" i="23"/>
  <c r="AK11" i="23"/>
  <c r="AI17" i="23"/>
  <c r="AJ6" i="23"/>
  <c r="AK15" i="23"/>
  <c r="AJ9" i="23"/>
  <c r="AK9" i="23"/>
  <c r="AK17" i="23"/>
  <c r="AI13" i="23"/>
  <c r="AJ14" i="23"/>
  <c r="AJ17" i="23"/>
  <c r="AI19" i="23"/>
  <c r="AA11" i="23"/>
  <c r="AI11" i="23" s="1"/>
  <c r="AI4" i="23"/>
  <c r="AK14" i="23"/>
  <c r="AK19" i="23"/>
  <c r="AI16" i="23"/>
  <c r="AL14" i="23"/>
  <c r="AJ12" i="23"/>
  <c r="AJ18" i="23"/>
  <c r="AI10" i="23"/>
  <c r="AK7" i="23"/>
  <c r="AJ20" i="23"/>
  <c r="AJ19" i="23"/>
  <c r="AI8" i="23"/>
  <c r="AK18" i="23"/>
  <c r="AI9" i="23"/>
  <c r="AK10" i="23"/>
  <c r="AI12" i="23"/>
  <c r="AK13" i="23"/>
  <c r="AN4" i="23"/>
  <c r="AO4" i="23"/>
  <c r="AT3" i="23" a="1"/>
  <c r="AT3" i="23" s="1"/>
  <c r="AJ7" i="23"/>
  <c r="AI3" i="23"/>
  <c r="AI20" i="23"/>
  <c r="AI18" i="23"/>
  <c r="AA5" i="23"/>
  <c r="AI5" i="23" s="1"/>
  <c r="AA14" i="23"/>
  <c r="AI14" i="23" s="1"/>
  <c r="AL20" i="23"/>
  <c r="AL12" i="23"/>
  <c r="AL9" i="23"/>
  <c r="AL17" i="23"/>
  <c r="AL3" i="23"/>
  <c r="AL18" i="23"/>
  <c r="AL6" i="23"/>
  <c r="AL15" i="23"/>
  <c r="AL19" i="23"/>
  <c r="AL10" i="23"/>
  <c r="AL4" i="23"/>
  <c r="Y44" i="12"/>
  <c r="Z44" i="12"/>
  <c r="AA44" i="12"/>
  <c r="AB44" i="12"/>
  <c r="AC44" i="12"/>
  <c r="X44" i="12"/>
  <c r="Q42" i="19"/>
  <c r="P42" i="19"/>
  <c r="O42" i="19"/>
  <c r="N42" i="19"/>
  <c r="M42" i="19"/>
  <c r="L42" i="19"/>
  <c r="K42" i="19"/>
  <c r="J42" i="19"/>
  <c r="I42" i="19"/>
  <c r="H42" i="19"/>
  <c r="AH42" i="19" s="1"/>
  <c r="G42" i="19"/>
  <c r="AG42" i="19" s="1"/>
  <c r="F42" i="19"/>
  <c r="AF42" i="19" s="1"/>
  <c r="E42" i="19"/>
  <c r="AE42" i="19" s="1"/>
  <c r="D42" i="19"/>
  <c r="AD42" i="19" s="1"/>
  <c r="C42" i="19"/>
  <c r="AC42" i="19" s="1"/>
  <c r="B42" i="19"/>
  <c r="AB42" i="19" s="1"/>
  <c r="A42" i="19"/>
  <c r="Q41" i="19"/>
  <c r="P41" i="19"/>
  <c r="O41" i="19"/>
  <c r="N41" i="19"/>
  <c r="M41" i="19"/>
  <c r="L41" i="19"/>
  <c r="K41" i="19"/>
  <c r="J41" i="19"/>
  <c r="I41" i="19"/>
  <c r="H41" i="19"/>
  <c r="AH41" i="19" s="1"/>
  <c r="G41" i="19"/>
  <c r="AG41" i="19" s="1"/>
  <c r="F41" i="19"/>
  <c r="AF41" i="19" s="1"/>
  <c r="E41" i="19"/>
  <c r="AE41" i="19" s="1"/>
  <c r="D41" i="19"/>
  <c r="AD41" i="19" s="1"/>
  <c r="C41" i="19"/>
  <c r="AC41" i="19" s="1"/>
  <c r="B41" i="19"/>
  <c r="AB41" i="19" s="1"/>
  <c r="A41" i="19"/>
  <c r="AC40" i="19"/>
  <c r="Q40" i="19"/>
  <c r="P40" i="19"/>
  <c r="O40" i="19"/>
  <c r="N40" i="19"/>
  <c r="M40" i="19"/>
  <c r="L40" i="19"/>
  <c r="K40" i="19"/>
  <c r="J40" i="19"/>
  <c r="I40" i="19"/>
  <c r="H40" i="19"/>
  <c r="AH40" i="19" s="1"/>
  <c r="G40" i="19"/>
  <c r="AG40" i="19" s="1"/>
  <c r="F40" i="19"/>
  <c r="AF40" i="19" s="1"/>
  <c r="E40" i="19"/>
  <c r="AE40" i="19" s="1"/>
  <c r="D40" i="19"/>
  <c r="AD40" i="19" s="1"/>
  <c r="C40" i="19"/>
  <c r="B40" i="19"/>
  <c r="AB40" i="19" s="1"/>
  <c r="A40" i="19"/>
  <c r="Q39" i="19"/>
  <c r="P39" i="19"/>
  <c r="O39" i="19"/>
  <c r="N39" i="19"/>
  <c r="M39" i="19"/>
  <c r="L39" i="19"/>
  <c r="K39" i="19"/>
  <c r="J39" i="19"/>
  <c r="I39" i="19"/>
  <c r="H39" i="19"/>
  <c r="AH39" i="19" s="1"/>
  <c r="G39" i="19"/>
  <c r="AG39" i="19" s="1"/>
  <c r="F39" i="19"/>
  <c r="AF39" i="19" s="1"/>
  <c r="E39" i="19"/>
  <c r="AE39" i="19" s="1"/>
  <c r="D39" i="19"/>
  <c r="AD39" i="19" s="1"/>
  <c r="C39" i="19"/>
  <c r="AC39" i="19" s="1"/>
  <c r="B39" i="19"/>
  <c r="AB39" i="19" s="1"/>
  <c r="A39" i="19"/>
  <c r="Q38" i="19"/>
  <c r="P38" i="19"/>
  <c r="O38" i="19"/>
  <c r="N38" i="19"/>
  <c r="M38" i="19"/>
  <c r="L38" i="19"/>
  <c r="K38" i="19"/>
  <c r="J38" i="19"/>
  <c r="I38" i="19"/>
  <c r="H38" i="19"/>
  <c r="AH38" i="19" s="1"/>
  <c r="G38" i="19"/>
  <c r="AG38" i="19" s="1"/>
  <c r="F38" i="19"/>
  <c r="AF38" i="19" s="1"/>
  <c r="E38" i="19"/>
  <c r="AE38" i="19" s="1"/>
  <c r="D38" i="19"/>
  <c r="AD38" i="19" s="1"/>
  <c r="C38" i="19"/>
  <c r="AC38" i="19" s="1"/>
  <c r="B38" i="19"/>
  <c r="AB38" i="19" s="1"/>
  <c r="A38" i="19"/>
  <c r="Q37" i="19"/>
  <c r="P37" i="19"/>
  <c r="O37" i="19"/>
  <c r="N37" i="19"/>
  <c r="M37" i="19"/>
  <c r="L37" i="19"/>
  <c r="K37" i="19"/>
  <c r="J37" i="19"/>
  <c r="I37" i="19"/>
  <c r="H37" i="19"/>
  <c r="AH37" i="19" s="1"/>
  <c r="G37" i="19"/>
  <c r="AG37" i="19" s="1"/>
  <c r="F37" i="19"/>
  <c r="AF37" i="19" s="1"/>
  <c r="E37" i="19"/>
  <c r="AE37" i="19" s="1"/>
  <c r="D37" i="19"/>
  <c r="AD37" i="19" s="1"/>
  <c r="C37" i="19"/>
  <c r="AC37" i="19" s="1"/>
  <c r="B37" i="19"/>
  <c r="AB37" i="19" s="1"/>
  <c r="A37" i="19"/>
  <c r="Q36" i="19"/>
  <c r="P36" i="19"/>
  <c r="O36" i="19"/>
  <c r="N36" i="19"/>
  <c r="M36" i="19"/>
  <c r="L36" i="19"/>
  <c r="K36" i="19"/>
  <c r="J36" i="19"/>
  <c r="I36" i="19"/>
  <c r="H36" i="19"/>
  <c r="AH36" i="19" s="1"/>
  <c r="G36" i="19"/>
  <c r="AG36" i="19" s="1"/>
  <c r="F36" i="19"/>
  <c r="AF36" i="19" s="1"/>
  <c r="E36" i="19"/>
  <c r="AE36" i="19" s="1"/>
  <c r="D36" i="19"/>
  <c r="AD36" i="19" s="1"/>
  <c r="C36" i="19"/>
  <c r="AC36" i="19" s="1"/>
  <c r="B36" i="19"/>
  <c r="AB36" i="19" s="1"/>
  <c r="A36" i="19"/>
  <c r="Q35" i="19"/>
  <c r="P35" i="19"/>
  <c r="O35" i="19"/>
  <c r="N35" i="19"/>
  <c r="M35" i="19"/>
  <c r="L35" i="19"/>
  <c r="K35" i="19"/>
  <c r="J35" i="19"/>
  <c r="I35" i="19"/>
  <c r="H35" i="19"/>
  <c r="AH35" i="19" s="1"/>
  <c r="G35" i="19"/>
  <c r="AG35" i="19" s="1"/>
  <c r="F35" i="19"/>
  <c r="AF35" i="19" s="1"/>
  <c r="E35" i="19"/>
  <c r="AE35" i="19" s="1"/>
  <c r="D35" i="19"/>
  <c r="AD35" i="19" s="1"/>
  <c r="C35" i="19"/>
  <c r="AC35" i="19" s="1"/>
  <c r="B35" i="19"/>
  <c r="AB35" i="19" s="1"/>
  <c r="A35" i="19"/>
  <c r="AH34" i="19"/>
  <c r="Q34" i="19"/>
  <c r="P34" i="19"/>
  <c r="O34" i="19"/>
  <c r="N34" i="19"/>
  <c r="M34" i="19"/>
  <c r="L34" i="19"/>
  <c r="K34" i="19"/>
  <c r="J34" i="19"/>
  <c r="I34" i="19"/>
  <c r="H34" i="19"/>
  <c r="G34" i="19"/>
  <c r="AG34" i="19" s="1"/>
  <c r="F34" i="19"/>
  <c r="AF34" i="19" s="1"/>
  <c r="E34" i="19"/>
  <c r="AE34" i="19" s="1"/>
  <c r="D34" i="19"/>
  <c r="AD34" i="19" s="1"/>
  <c r="C34" i="19"/>
  <c r="AC34" i="19" s="1"/>
  <c r="B34" i="19"/>
  <c r="AB34" i="19" s="1"/>
  <c r="A34" i="19"/>
  <c r="Q33" i="19"/>
  <c r="P33" i="19"/>
  <c r="O33" i="19"/>
  <c r="N33" i="19"/>
  <c r="M33" i="19"/>
  <c r="L33" i="19"/>
  <c r="K33" i="19"/>
  <c r="J33" i="19"/>
  <c r="I33" i="19"/>
  <c r="H33" i="19"/>
  <c r="AH33" i="19" s="1"/>
  <c r="G33" i="19"/>
  <c r="AG33" i="19" s="1"/>
  <c r="F33" i="19"/>
  <c r="AF33" i="19" s="1"/>
  <c r="E33" i="19"/>
  <c r="AE33" i="19" s="1"/>
  <c r="D33" i="19"/>
  <c r="AD33" i="19" s="1"/>
  <c r="C33" i="19"/>
  <c r="AC33" i="19" s="1"/>
  <c r="B33" i="19"/>
  <c r="AB33" i="19" s="1"/>
  <c r="A33" i="19"/>
  <c r="Q32" i="19"/>
  <c r="P32" i="19"/>
  <c r="O32" i="19"/>
  <c r="N32" i="19"/>
  <c r="M32" i="19"/>
  <c r="L32" i="19"/>
  <c r="K32" i="19"/>
  <c r="J32" i="19"/>
  <c r="I32" i="19"/>
  <c r="H32" i="19"/>
  <c r="AH32" i="19" s="1"/>
  <c r="G32" i="19"/>
  <c r="AG32" i="19" s="1"/>
  <c r="F32" i="19"/>
  <c r="AF32" i="19" s="1"/>
  <c r="E32" i="19"/>
  <c r="AE32" i="19" s="1"/>
  <c r="D32" i="19"/>
  <c r="AD32" i="19" s="1"/>
  <c r="C32" i="19"/>
  <c r="AC32" i="19" s="1"/>
  <c r="B32" i="19"/>
  <c r="AB32" i="19" s="1"/>
  <c r="A32" i="19"/>
  <c r="Q31" i="19"/>
  <c r="P31" i="19"/>
  <c r="O31" i="19"/>
  <c r="N31" i="19"/>
  <c r="M31" i="19"/>
  <c r="L31" i="19"/>
  <c r="K31" i="19"/>
  <c r="J31" i="19"/>
  <c r="I31" i="19"/>
  <c r="H31" i="19"/>
  <c r="AH31" i="19" s="1"/>
  <c r="G31" i="19"/>
  <c r="AG31" i="19" s="1"/>
  <c r="F31" i="19"/>
  <c r="AF31" i="19" s="1"/>
  <c r="E31" i="19"/>
  <c r="AE31" i="19" s="1"/>
  <c r="D31" i="19"/>
  <c r="AD31" i="19" s="1"/>
  <c r="C31" i="19"/>
  <c r="AC31" i="19" s="1"/>
  <c r="B31" i="19"/>
  <c r="AB31" i="19" s="1"/>
  <c r="A31" i="19"/>
  <c r="Q30" i="19"/>
  <c r="P30" i="19"/>
  <c r="O30" i="19"/>
  <c r="N30" i="19"/>
  <c r="M30" i="19"/>
  <c r="L30" i="19"/>
  <c r="K30" i="19"/>
  <c r="J30" i="19"/>
  <c r="I30" i="19"/>
  <c r="H30" i="19"/>
  <c r="AH30" i="19" s="1"/>
  <c r="G30" i="19"/>
  <c r="AG30" i="19" s="1"/>
  <c r="F30" i="19"/>
  <c r="AF30" i="19" s="1"/>
  <c r="E30" i="19"/>
  <c r="AE30" i="19" s="1"/>
  <c r="D30" i="19"/>
  <c r="AD30" i="19" s="1"/>
  <c r="C30" i="19"/>
  <c r="AC30" i="19" s="1"/>
  <c r="B30" i="19"/>
  <c r="AB30" i="19" s="1"/>
  <c r="A30" i="19"/>
  <c r="Q29" i="19"/>
  <c r="P29" i="19"/>
  <c r="O29" i="19"/>
  <c r="N29" i="19"/>
  <c r="M29" i="19"/>
  <c r="L29" i="19"/>
  <c r="K29" i="19"/>
  <c r="J29" i="19"/>
  <c r="I29" i="19"/>
  <c r="H29" i="19"/>
  <c r="AH29" i="19" s="1"/>
  <c r="G29" i="19"/>
  <c r="AG29" i="19" s="1"/>
  <c r="F29" i="19"/>
  <c r="AF29" i="19" s="1"/>
  <c r="E29" i="19"/>
  <c r="AE29" i="19" s="1"/>
  <c r="D29" i="19"/>
  <c r="AD29" i="19" s="1"/>
  <c r="C29" i="19"/>
  <c r="AC29" i="19" s="1"/>
  <c r="B29" i="19"/>
  <c r="AB29" i="19" s="1"/>
  <c r="A29" i="19"/>
  <c r="AE28" i="19"/>
  <c r="Q28" i="19"/>
  <c r="P28" i="19"/>
  <c r="O28" i="19"/>
  <c r="N28" i="19"/>
  <c r="M28" i="19"/>
  <c r="L28" i="19"/>
  <c r="K28" i="19"/>
  <c r="J28" i="19"/>
  <c r="I28" i="19"/>
  <c r="H28" i="19"/>
  <c r="AH28" i="19" s="1"/>
  <c r="G28" i="19"/>
  <c r="AG28" i="19" s="1"/>
  <c r="F28" i="19"/>
  <c r="AF28" i="19" s="1"/>
  <c r="E28" i="19"/>
  <c r="D28" i="19"/>
  <c r="AD28" i="19" s="1"/>
  <c r="C28" i="19"/>
  <c r="AC28" i="19" s="1"/>
  <c r="B28" i="19"/>
  <c r="AB28" i="19" s="1"/>
  <c r="A28" i="19"/>
  <c r="Q27" i="19"/>
  <c r="P27" i="19"/>
  <c r="O27" i="19"/>
  <c r="N27" i="19"/>
  <c r="M27" i="19"/>
  <c r="L27" i="19"/>
  <c r="K27" i="19"/>
  <c r="J27" i="19"/>
  <c r="I27" i="19"/>
  <c r="H27" i="19"/>
  <c r="AH27" i="19" s="1"/>
  <c r="G27" i="19"/>
  <c r="AG27" i="19" s="1"/>
  <c r="F27" i="19"/>
  <c r="AF27" i="19" s="1"/>
  <c r="E27" i="19"/>
  <c r="AE27" i="19" s="1"/>
  <c r="D27" i="19"/>
  <c r="AD27" i="19" s="1"/>
  <c r="C27" i="19"/>
  <c r="AC27" i="19" s="1"/>
  <c r="B27" i="19"/>
  <c r="AB27" i="19" s="1"/>
  <c r="A27" i="19"/>
  <c r="Q26" i="19"/>
  <c r="P26" i="19"/>
  <c r="O26" i="19"/>
  <c r="N26" i="19"/>
  <c r="M26" i="19"/>
  <c r="L26" i="19"/>
  <c r="K26" i="19"/>
  <c r="J26" i="19"/>
  <c r="I26" i="19"/>
  <c r="H26" i="19"/>
  <c r="AH26" i="19" s="1"/>
  <c r="G26" i="19"/>
  <c r="AG26" i="19" s="1"/>
  <c r="F26" i="19"/>
  <c r="AF26" i="19" s="1"/>
  <c r="E26" i="19"/>
  <c r="AE26" i="19" s="1"/>
  <c r="D26" i="19"/>
  <c r="AD26" i="19" s="1"/>
  <c r="C26" i="19"/>
  <c r="AC26" i="19" s="1"/>
  <c r="B26" i="19"/>
  <c r="AB26" i="19" s="1"/>
  <c r="A26" i="19"/>
  <c r="Q25" i="19"/>
  <c r="P25" i="19"/>
  <c r="O25" i="19"/>
  <c r="N25" i="19"/>
  <c r="M25" i="19"/>
  <c r="L25" i="19"/>
  <c r="K25" i="19"/>
  <c r="J25" i="19"/>
  <c r="I25" i="19"/>
  <c r="H25" i="19"/>
  <c r="AH25" i="19" s="1"/>
  <c r="G25" i="19"/>
  <c r="AG25" i="19" s="1"/>
  <c r="F25" i="19"/>
  <c r="AF25" i="19" s="1"/>
  <c r="E25" i="19"/>
  <c r="AE25" i="19" s="1"/>
  <c r="D25" i="19"/>
  <c r="AD25" i="19" s="1"/>
  <c r="C25" i="19"/>
  <c r="AC25" i="19" s="1"/>
  <c r="B25" i="19"/>
  <c r="AB25" i="19" s="1"/>
  <c r="A25" i="19"/>
  <c r="Q24" i="19"/>
  <c r="P24" i="19"/>
  <c r="O24" i="19"/>
  <c r="N24" i="19"/>
  <c r="M24" i="19"/>
  <c r="L24" i="19"/>
  <c r="K24" i="19"/>
  <c r="J24" i="19"/>
  <c r="I24" i="19"/>
  <c r="H24" i="19"/>
  <c r="AH24" i="19" s="1"/>
  <c r="G24" i="19"/>
  <c r="AG24" i="19" s="1"/>
  <c r="F24" i="19"/>
  <c r="AF24" i="19" s="1"/>
  <c r="E24" i="19"/>
  <c r="AE24" i="19" s="1"/>
  <c r="D24" i="19"/>
  <c r="AD24" i="19" s="1"/>
  <c r="C24" i="19"/>
  <c r="AC24" i="19" s="1"/>
  <c r="B24" i="19"/>
  <c r="AB24" i="19" s="1"/>
  <c r="A24" i="19"/>
  <c r="Q23" i="19"/>
  <c r="P23" i="19"/>
  <c r="O23" i="19"/>
  <c r="N23" i="19"/>
  <c r="M23" i="19"/>
  <c r="L23" i="19"/>
  <c r="K23" i="19"/>
  <c r="J23" i="19"/>
  <c r="I23" i="19"/>
  <c r="H23" i="19"/>
  <c r="AH23" i="19" s="1"/>
  <c r="G23" i="19"/>
  <c r="AG23" i="19" s="1"/>
  <c r="F23" i="19"/>
  <c r="AF23" i="19" s="1"/>
  <c r="E23" i="19"/>
  <c r="AE23" i="19" s="1"/>
  <c r="D23" i="19"/>
  <c r="AD23" i="19" s="1"/>
  <c r="C23" i="19"/>
  <c r="AC23" i="19" s="1"/>
  <c r="B23" i="19"/>
  <c r="AB23" i="19" s="1"/>
  <c r="A23" i="19"/>
  <c r="Q22" i="19"/>
  <c r="P22" i="19"/>
  <c r="O22" i="19"/>
  <c r="N22" i="19"/>
  <c r="M22" i="19"/>
  <c r="L22" i="19"/>
  <c r="K22" i="19"/>
  <c r="J22" i="19"/>
  <c r="I22" i="19"/>
  <c r="H22" i="19"/>
  <c r="AH22" i="19" s="1"/>
  <c r="G22" i="19"/>
  <c r="AG22" i="19" s="1"/>
  <c r="F22" i="19"/>
  <c r="AF22" i="19" s="1"/>
  <c r="E22" i="19"/>
  <c r="AE22" i="19" s="1"/>
  <c r="D22" i="19"/>
  <c r="AD22" i="19" s="1"/>
  <c r="C22" i="19"/>
  <c r="AC22" i="19" s="1"/>
  <c r="B22" i="19"/>
  <c r="AB22" i="19" s="1"/>
  <c r="A22" i="19"/>
  <c r="Q21" i="19"/>
  <c r="P21" i="19"/>
  <c r="O21" i="19"/>
  <c r="N21" i="19"/>
  <c r="M21" i="19"/>
  <c r="L21" i="19"/>
  <c r="K21" i="19"/>
  <c r="J21" i="19"/>
  <c r="I21" i="19"/>
  <c r="H21" i="19"/>
  <c r="AH21" i="19" s="1"/>
  <c r="G21" i="19"/>
  <c r="AG21" i="19" s="1"/>
  <c r="F21" i="19"/>
  <c r="AF21" i="19" s="1"/>
  <c r="E21" i="19"/>
  <c r="AE21" i="19" s="1"/>
  <c r="D21" i="19"/>
  <c r="AD21" i="19" s="1"/>
  <c r="C21" i="19"/>
  <c r="AC21" i="19" s="1"/>
  <c r="B21" i="19"/>
  <c r="AB21" i="19" s="1"/>
  <c r="A21" i="19"/>
  <c r="Q20" i="19"/>
  <c r="P20" i="19"/>
  <c r="O20" i="19"/>
  <c r="N20" i="19"/>
  <c r="M20" i="19"/>
  <c r="L20" i="19"/>
  <c r="K20" i="19"/>
  <c r="J20" i="19"/>
  <c r="I20" i="19"/>
  <c r="H20" i="19"/>
  <c r="AH20" i="19" s="1"/>
  <c r="G20" i="19"/>
  <c r="AG20" i="19" s="1"/>
  <c r="F20" i="19"/>
  <c r="AF20" i="19" s="1"/>
  <c r="E20" i="19"/>
  <c r="AE20" i="19" s="1"/>
  <c r="D20" i="19"/>
  <c r="AD20" i="19" s="1"/>
  <c r="C20" i="19"/>
  <c r="AC20" i="19" s="1"/>
  <c r="B20" i="19"/>
  <c r="AB20" i="19" s="1"/>
  <c r="A20" i="19"/>
  <c r="Q19" i="19"/>
  <c r="P19" i="19"/>
  <c r="O19" i="19"/>
  <c r="N19" i="19"/>
  <c r="M19" i="19"/>
  <c r="L19" i="19"/>
  <c r="K19" i="19"/>
  <c r="J19" i="19"/>
  <c r="I19" i="19"/>
  <c r="H19" i="19"/>
  <c r="AH19" i="19" s="1"/>
  <c r="G19" i="19"/>
  <c r="AG19" i="19" s="1"/>
  <c r="F19" i="19"/>
  <c r="AF19" i="19" s="1"/>
  <c r="E19" i="19"/>
  <c r="AE19" i="19" s="1"/>
  <c r="D19" i="19"/>
  <c r="AD19" i="19" s="1"/>
  <c r="C19" i="19"/>
  <c r="AC19" i="19" s="1"/>
  <c r="B19" i="19"/>
  <c r="AB19" i="19" s="1"/>
  <c r="A19" i="19"/>
  <c r="Q18" i="19"/>
  <c r="P18" i="19"/>
  <c r="O18" i="19"/>
  <c r="N18" i="19"/>
  <c r="M18" i="19"/>
  <c r="L18" i="19"/>
  <c r="K18" i="19"/>
  <c r="J18" i="19"/>
  <c r="I18" i="19"/>
  <c r="H18" i="19"/>
  <c r="AH18" i="19" s="1"/>
  <c r="G18" i="19"/>
  <c r="AG18" i="19" s="1"/>
  <c r="F18" i="19"/>
  <c r="AF18" i="19" s="1"/>
  <c r="E18" i="19"/>
  <c r="AE18" i="19" s="1"/>
  <c r="D18" i="19"/>
  <c r="AD18" i="19" s="1"/>
  <c r="C18" i="19"/>
  <c r="AC18" i="19" s="1"/>
  <c r="B18" i="19"/>
  <c r="AB18" i="19" s="1"/>
  <c r="A18" i="19"/>
  <c r="AA17" i="19"/>
  <c r="Q17" i="19"/>
  <c r="P17" i="19"/>
  <c r="O17" i="19"/>
  <c r="N17" i="19"/>
  <c r="M17" i="19"/>
  <c r="L17" i="19"/>
  <c r="K17" i="19"/>
  <c r="J17" i="19"/>
  <c r="I17" i="19"/>
  <c r="H17" i="19"/>
  <c r="AH17" i="19" s="1"/>
  <c r="G17" i="19"/>
  <c r="AG17" i="19" s="1"/>
  <c r="F17" i="19"/>
  <c r="AF17" i="19" s="1"/>
  <c r="E17" i="19"/>
  <c r="AE17" i="19" s="1"/>
  <c r="D17" i="19"/>
  <c r="AD17" i="19" s="1"/>
  <c r="C17" i="19"/>
  <c r="AC17" i="19" s="1"/>
  <c r="B17" i="19"/>
  <c r="AB17" i="19" s="1"/>
  <c r="A17" i="19"/>
  <c r="Q16" i="19"/>
  <c r="P16" i="19"/>
  <c r="O16" i="19"/>
  <c r="N16" i="19"/>
  <c r="M16" i="19"/>
  <c r="L16" i="19"/>
  <c r="K16" i="19"/>
  <c r="J16" i="19"/>
  <c r="I16" i="19"/>
  <c r="H16" i="19"/>
  <c r="AH16" i="19" s="1"/>
  <c r="G16" i="19"/>
  <c r="AG16" i="19" s="1"/>
  <c r="F16" i="19"/>
  <c r="AF16" i="19" s="1"/>
  <c r="E16" i="19"/>
  <c r="AE16" i="19" s="1"/>
  <c r="D16" i="19"/>
  <c r="AD16" i="19" s="1"/>
  <c r="C16" i="19"/>
  <c r="AC16" i="19" s="1"/>
  <c r="B16" i="19"/>
  <c r="AB16" i="19" s="1"/>
  <c r="A16" i="19"/>
  <c r="Q15" i="19"/>
  <c r="P15" i="19"/>
  <c r="O15" i="19"/>
  <c r="N15" i="19"/>
  <c r="M15" i="19"/>
  <c r="L15" i="19"/>
  <c r="K15" i="19"/>
  <c r="J15" i="19"/>
  <c r="I15" i="19"/>
  <c r="H15" i="19"/>
  <c r="AH15" i="19" s="1"/>
  <c r="G15" i="19"/>
  <c r="AG15" i="19" s="1"/>
  <c r="F15" i="19"/>
  <c r="AF15" i="19" s="1"/>
  <c r="E15" i="19"/>
  <c r="AE15" i="19" s="1"/>
  <c r="D15" i="19"/>
  <c r="AD15" i="19" s="1"/>
  <c r="C15" i="19"/>
  <c r="AC15" i="19" s="1"/>
  <c r="B15" i="19"/>
  <c r="AB15" i="19" s="1"/>
  <c r="A15" i="19"/>
  <c r="Q14" i="19"/>
  <c r="P14" i="19"/>
  <c r="O14" i="19"/>
  <c r="N14" i="19"/>
  <c r="M14" i="19"/>
  <c r="L14" i="19"/>
  <c r="K14" i="19"/>
  <c r="J14" i="19"/>
  <c r="I14" i="19"/>
  <c r="H14" i="19"/>
  <c r="AH14" i="19" s="1"/>
  <c r="G14" i="19"/>
  <c r="AG14" i="19" s="1"/>
  <c r="F14" i="19"/>
  <c r="AF14" i="19" s="1"/>
  <c r="E14" i="19"/>
  <c r="AE14" i="19" s="1"/>
  <c r="D14" i="19"/>
  <c r="AD14" i="19" s="1"/>
  <c r="C14" i="19"/>
  <c r="AC14" i="19" s="1"/>
  <c r="B14" i="19"/>
  <c r="AB14" i="19" s="1"/>
  <c r="A14" i="19"/>
  <c r="Q13" i="19"/>
  <c r="P13" i="19"/>
  <c r="O13" i="19"/>
  <c r="N13" i="19"/>
  <c r="M13" i="19"/>
  <c r="L13" i="19"/>
  <c r="K13" i="19"/>
  <c r="J13" i="19"/>
  <c r="I13" i="19"/>
  <c r="H13" i="19"/>
  <c r="AH13" i="19" s="1"/>
  <c r="G13" i="19"/>
  <c r="AG13" i="19" s="1"/>
  <c r="F13" i="19"/>
  <c r="AF13" i="19" s="1"/>
  <c r="E13" i="19"/>
  <c r="AE13" i="19" s="1"/>
  <c r="D13" i="19"/>
  <c r="AD13" i="19" s="1"/>
  <c r="C13" i="19"/>
  <c r="AC13" i="19" s="1"/>
  <c r="B13" i="19"/>
  <c r="AB13" i="19" s="1"/>
  <c r="A13" i="19"/>
  <c r="Q12" i="19"/>
  <c r="P12" i="19"/>
  <c r="O12" i="19"/>
  <c r="N12" i="19"/>
  <c r="M12" i="19"/>
  <c r="L12" i="19"/>
  <c r="K12" i="19"/>
  <c r="J12" i="19"/>
  <c r="I12" i="19"/>
  <c r="H12" i="19"/>
  <c r="AH12" i="19" s="1"/>
  <c r="G12" i="19"/>
  <c r="AG12" i="19" s="1"/>
  <c r="F12" i="19"/>
  <c r="AF12" i="19" s="1"/>
  <c r="E12" i="19"/>
  <c r="AE12" i="19" s="1"/>
  <c r="D12" i="19"/>
  <c r="AD12" i="19" s="1"/>
  <c r="C12" i="19"/>
  <c r="AC12" i="19" s="1"/>
  <c r="B12" i="19"/>
  <c r="AB12" i="19" s="1"/>
  <c r="A12" i="19"/>
  <c r="Q11" i="19"/>
  <c r="P11" i="19"/>
  <c r="O11" i="19"/>
  <c r="N11" i="19"/>
  <c r="M11" i="19"/>
  <c r="L11" i="19"/>
  <c r="K11" i="19"/>
  <c r="J11" i="19"/>
  <c r="I11" i="19"/>
  <c r="H11" i="19"/>
  <c r="AH11" i="19" s="1"/>
  <c r="G11" i="19"/>
  <c r="AG11" i="19" s="1"/>
  <c r="F11" i="19"/>
  <c r="AF11" i="19" s="1"/>
  <c r="E11" i="19"/>
  <c r="AE11" i="19" s="1"/>
  <c r="D11" i="19"/>
  <c r="AD11" i="19" s="1"/>
  <c r="C11" i="19"/>
  <c r="AC11" i="19" s="1"/>
  <c r="B11" i="19"/>
  <c r="AB11" i="19" s="1"/>
  <c r="A11" i="19"/>
  <c r="Q10" i="19"/>
  <c r="P10" i="19"/>
  <c r="O10" i="19"/>
  <c r="N10" i="19"/>
  <c r="M10" i="19"/>
  <c r="L10" i="19"/>
  <c r="K10" i="19"/>
  <c r="J10" i="19"/>
  <c r="I10" i="19"/>
  <c r="H10" i="19"/>
  <c r="AH10" i="19" s="1"/>
  <c r="G10" i="19"/>
  <c r="AG10" i="19" s="1"/>
  <c r="F10" i="19"/>
  <c r="AF10" i="19" s="1"/>
  <c r="E10" i="19"/>
  <c r="AE10" i="19" s="1"/>
  <c r="D10" i="19"/>
  <c r="AD10" i="19" s="1"/>
  <c r="C10" i="19"/>
  <c r="AC10" i="19" s="1"/>
  <c r="B10" i="19"/>
  <c r="AB10" i="19" s="1"/>
  <c r="A10" i="19"/>
  <c r="Q9" i="19"/>
  <c r="P9" i="19"/>
  <c r="O9" i="19"/>
  <c r="N9" i="19"/>
  <c r="M9" i="19"/>
  <c r="L9" i="19"/>
  <c r="K9" i="19"/>
  <c r="J9" i="19"/>
  <c r="I9" i="19"/>
  <c r="H9" i="19"/>
  <c r="AH9" i="19" s="1"/>
  <c r="G9" i="19"/>
  <c r="AG9" i="19" s="1"/>
  <c r="F9" i="19"/>
  <c r="AF9" i="19" s="1"/>
  <c r="E9" i="19"/>
  <c r="AE9" i="19" s="1"/>
  <c r="D9" i="19"/>
  <c r="AD9" i="19" s="1"/>
  <c r="C9" i="19"/>
  <c r="AC9" i="19" s="1"/>
  <c r="B9" i="19"/>
  <c r="AB9" i="19" s="1"/>
  <c r="A9" i="19"/>
  <c r="Q8" i="19"/>
  <c r="P8" i="19"/>
  <c r="O8" i="19"/>
  <c r="N8" i="19"/>
  <c r="M8" i="19"/>
  <c r="L8" i="19"/>
  <c r="K8" i="19"/>
  <c r="J8" i="19"/>
  <c r="I8" i="19"/>
  <c r="H8" i="19"/>
  <c r="AH8" i="19" s="1"/>
  <c r="G8" i="19"/>
  <c r="AG8" i="19" s="1"/>
  <c r="F8" i="19"/>
  <c r="AF8" i="19" s="1"/>
  <c r="E8" i="19"/>
  <c r="AE8" i="19" s="1"/>
  <c r="D8" i="19"/>
  <c r="AD8" i="19" s="1"/>
  <c r="C8" i="19"/>
  <c r="AC8" i="19" s="1"/>
  <c r="B8" i="19"/>
  <c r="AB8" i="19" s="1"/>
  <c r="A8" i="19"/>
  <c r="Q7" i="19"/>
  <c r="P7" i="19"/>
  <c r="O7" i="19"/>
  <c r="N7" i="19"/>
  <c r="M7" i="19"/>
  <c r="L7" i="19"/>
  <c r="K7" i="19"/>
  <c r="J7" i="19"/>
  <c r="I7" i="19"/>
  <c r="H7" i="19"/>
  <c r="AH7" i="19" s="1"/>
  <c r="G7" i="19"/>
  <c r="AG7" i="19" s="1"/>
  <c r="F7" i="19"/>
  <c r="AF7" i="19" s="1"/>
  <c r="E7" i="19"/>
  <c r="AE7" i="19" s="1"/>
  <c r="D7" i="19"/>
  <c r="AD7" i="19" s="1"/>
  <c r="C7" i="19"/>
  <c r="AC7" i="19" s="1"/>
  <c r="B7" i="19"/>
  <c r="AB7" i="19" s="1"/>
  <c r="A7" i="19"/>
  <c r="Q6" i="19"/>
  <c r="P6" i="19"/>
  <c r="O6" i="19"/>
  <c r="N6" i="19"/>
  <c r="M6" i="19"/>
  <c r="L6" i="19"/>
  <c r="K6" i="19"/>
  <c r="J6" i="19"/>
  <c r="I6" i="19"/>
  <c r="H6" i="19"/>
  <c r="AH6" i="19" s="1"/>
  <c r="G6" i="19"/>
  <c r="AG6" i="19" s="1"/>
  <c r="F6" i="19"/>
  <c r="AF6" i="19" s="1"/>
  <c r="E6" i="19"/>
  <c r="AE6" i="19" s="1"/>
  <c r="D6" i="19"/>
  <c r="AD6" i="19" s="1"/>
  <c r="C6" i="19"/>
  <c r="AC6" i="19" s="1"/>
  <c r="B6" i="19"/>
  <c r="AB6" i="19" s="1"/>
  <c r="A6" i="19"/>
  <c r="AB5" i="19"/>
  <c r="Q5" i="19"/>
  <c r="P5" i="19"/>
  <c r="O5" i="19"/>
  <c r="N5" i="19"/>
  <c r="M5" i="19"/>
  <c r="L5" i="19"/>
  <c r="K5" i="19"/>
  <c r="J5" i="19"/>
  <c r="I5" i="19"/>
  <c r="H5" i="19"/>
  <c r="AH5" i="19" s="1"/>
  <c r="G5" i="19"/>
  <c r="AG5" i="19" s="1"/>
  <c r="F5" i="19"/>
  <c r="AF5" i="19" s="1"/>
  <c r="E5" i="19"/>
  <c r="AE5" i="19" s="1"/>
  <c r="D5" i="19"/>
  <c r="AD5" i="19" s="1"/>
  <c r="C5" i="19"/>
  <c r="AC5" i="19" s="1"/>
  <c r="B5" i="19"/>
  <c r="A5" i="19"/>
  <c r="Q4" i="19"/>
  <c r="P4" i="19"/>
  <c r="O4" i="19"/>
  <c r="N4" i="19"/>
  <c r="M4" i="19"/>
  <c r="L4" i="19"/>
  <c r="K4" i="19"/>
  <c r="J4" i="19"/>
  <c r="I4" i="19"/>
  <c r="H4" i="19"/>
  <c r="AH4" i="19" s="1"/>
  <c r="G4" i="19"/>
  <c r="AG4" i="19" s="1"/>
  <c r="F4" i="19"/>
  <c r="AF4" i="19" s="1"/>
  <c r="E4" i="19"/>
  <c r="AE4" i="19" s="1"/>
  <c r="D4" i="19"/>
  <c r="AD4" i="19" s="1"/>
  <c r="C4" i="19"/>
  <c r="AC4" i="19" s="1"/>
  <c r="B4" i="19"/>
  <c r="AB4" i="19" s="1"/>
  <c r="A4" i="19"/>
  <c r="Q3" i="19"/>
  <c r="P3" i="19"/>
  <c r="O3" i="19"/>
  <c r="N3" i="19"/>
  <c r="M3" i="19"/>
  <c r="L3" i="19"/>
  <c r="K3" i="19"/>
  <c r="J3" i="19"/>
  <c r="I3" i="19"/>
  <c r="H3" i="19"/>
  <c r="AH3" i="19" s="1"/>
  <c r="G3" i="19"/>
  <c r="AG3" i="19" s="1"/>
  <c r="F3" i="19"/>
  <c r="AF3" i="19" s="1"/>
  <c r="E3" i="19"/>
  <c r="AE3" i="19" s="1"/>
  <c r="D3" i="19"/>
  <c r="AD3" i="19" s="1"/>
  <c r="C3" i="19"/>
  <c r="AC3" i="19" s="1"/>
  <c r="B3" i="19"/>
  <c r="AB3" i="19" s="1"/>
  <c r="A3" i="19"/>
  <c r="H44" i="4"/>
  <c r="I44" i="4"/>
  <c r="J44" i="4"/>
  <c r="K44" i="4"/>
  <c r="L44" i="4"/>
  <c r="M44" i="4"/>
  <c r="X4" i="12"/>
  <c r="Y4" i="12"/>
  <c r="Z4" i="12"/>
  <c r="AA4" i="12"/>
  <c r="AB4" i="12"/>
  <c r="AC4" i="12"/>
  <c r="X5" i="12"/>
  <c r="Y5" i="12"/>
  <c r="Z5" i="12"/>
  <c r="AA5" i="12"/>
  <c r="AB5" i="12"/>
  <c r="AC5" i="12"/>
  <c r="X6" i="12"/>
  <c r="Y6" i="12"/>
  <c r="Z6" i="12"/>
  <c r="AA6" i="12"/>
  <c r="AB6" i="12"/>
  <c r="AC6" i="12"/>
  <c r="X7" i="12"/>
  <c r="Y7" i="12"/>
  <c r="Z7" i="12"/>
  <c r="AA7" i="12"/>
  <c r="AB7" i="12"/>
  <c r="AC7" i="12"/>
  <c r="X8" i="12"/>
  <c r="Y8" i="12"/>
  <c r="Z8" i="12"/>
  <c r="AA8" i="12"/>
  <c r="AB8" i="12"/>
  <c r="AC8" i="12"/>
  <c r="X9" i="12"/>
  <c r="Y9" i="12"/>
  <c r="Z9" i="12"/>
  <c r="AA9" i="12"/>
  <c r="AB9" i="12"/>
  <c r="AC9" i="12"/>
  <c r="X10" i="12"/>
  <c r="Y10" i="12"/>
  <c r="Z10" i="12"/>
  <c r="AA10" i="12"/>
  <c r="AB10" i="12"/>
  <c r="AC10" i="12"/>
  <c r="X11" i="12"/>
  <c r="Y11" i="12"/>
  <c r="Z11" i="12"/>
  <c r="AA11" i="12"/>
  <c r="AB11" i="12"/>
  <c r="AC11" i="12"/>
  <c r="X12" i="12"/>
  <c r="Y12" i="12"/>
  <c r="Z12" i="12"/>
  <c r="AA12" i="12"/>
  <c r="AB12" i="12"/>
  <c r="AC12" i="12"/>
  <c r="X13" i="12"/>
  <c r="Y13" i="12"/>
  <c r="Z13" i="12"/>
  <c r="AA13" i="12"/>
  <c r="AB13" i="12"/>
  <c r="AC13" i="12"/>
  <c r="X14" i="12"/>
  <c r="Y14" i="12"/>
  <c r="Z14" i="12"/>
  <c r="AA14" i="12"/>
  <c r="AB14" i="12"/>
  <c r="AC14" i="12"/>
  <c r="X15" i="12"/>
  <c r="Y15" i="12"/>
  <c r="Z15" i="12"/>
  <c r="AA15" i="12"/>
  <c r="AB15" i="12"/>
  <c r="AC15" i="12"/>
  <c r="X16" i="12"/>
  <c r="Y16" i="12"/>
  <c r="Z16" i="12"/>
  <c r="AA16" i="12"/>
  <c r="AB16" i="12"/>
  <c r="AC16" i="12"/>
  <c r="X17" i="12"/>
  <c r="Y17" i="12"/>
  <c r="Z17" i="12"/>
  <c r="AA17" i="12"/>
  <c r="AB17" i="12"/>
  <c r="AC17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X33" i="12"/>
  <c r="Y33" i="12"/>
  <c r="Z33" i="12"/>
  <c r="AA33" i="12"/>
  <c r="AB33" i="12"/>
  <c r="AC33" i="12"/>
  <c r="X34" i="12"/>
  <c r="Y34" i="12"/>
  <c r="Z34" i="12"/>
  <c r="AA34" i="12"/>
  <c r="AB34" i="12"/>
  <c r="AC34" i="12"/>
  <c r="X35" i="12"/>
  <c r="Y35" i="12"/>
  <c r="Z35" i="12"/>
  <c r="AA35" i="12"/>
  <c r="AB35" i="12"/>
  <c r="AC35" i="12"/>
  <c r="X36" i="12"/>
  <c r="Y36" i="12"/>
  <c r="Z36" i="12"/>
  <c r="AA36" i="12"/>
  <c r="AB36" i="12"/>
  <c r="AC3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3" i="12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2" i="4"/>
  <c r="I22" i="4"/>
  <c r="J22" i="4"/>
  <c r="K22" i="4"/>
  <c r="L22" i="4"/>
  <c r="M22" i="4"/>
  <c r="H23" i="4"/>
  <c r="I23" i="4"/>
  <c r="J23" i="4"/>
  <c r="K23" i="4"/>
  <c r="L23" i="4"/>
  <c r="M23" i="4"/>
  <c r="AC3" i="12"/>
  <c r="AB3" i="12"/>
  <c r="AA3" i="12"/>
  <c r="Z3" i="12"/>
  <c r="Y3" i="12"/>
  <c r="X3" i="12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AO4" i="24" l="1"/>
  <c r="AA4" i="19"/>
  <c r="AL4" i="19"/>
  <c r="AA11" i="19"/>
  <c r="AL11" i="19"/>
  <c r="AA20" i="19"/>
  <c r="AI20" i="19" s="1"/>
  <c r="AL20" i="19"/>
  <c r="AA41" i="19"/>
  <c r="AI41" i="19" s="1"/>
  <c r="AL41" i="19"/>
  <c r="AA27" i="19"/>
  <c r="AI27" i="19" s="1"/>
  <c r="AL27" i="19"/>
  <c r="AA34" i="19"/>
  <c r="AI34" i="19" s="1"/>
  <c r="AL34" i="19"/>
  <c r="AA25" i="19"/>
  <c r="AL25" i="19"/>
  <c r="AA32" i="19"/>
  <c r="AL32" i="19"/>
  <c r="AA39" i="19"/>
  <c r="AL39" i="19"/>
  <c r="AA9" i="19"/>
  <c r="AI9" i="19" s="1"/>
  <c r="AL9" i="19"/>
  <c r="AA16" i="19"/>
  <c r="AL16" i="19"/>
  <c r="AA18" i="19"/>
  <c r="AI18" i="19" s="1"/>
  <c r="AL18" i="19"/>
  <c r="AA23" i="19"/>
  <c r="AL23" i="19"/>
  <c r="AA30" i="19"/>
  <c r="AL30" i="19"/>
  <c r="AA37" i="19"/>
  <c r="AI37" i="19" s="1"/>
  <c r="AL37" i="19"/>
  <c r="AA5" i="19"/>
  <c r="AN4" i="19" s="1" a="1"/>
  <c r="AN4" i="19" s="1"/>
  <c r="AN7" i="19" s="1"/>
  <c r="AL5" i="19"/>
  <c r="AA12" i="19"/>
  <c r="AI12" i="19" s="1"/>
  <c r="AL12" i="19"/>
  <c r="AA21" i="19"/>
  <c r="AI21" i="19" s="1"/>
  <c r="AL21" i="19"/>
  <c r="AA35" i="19"/>
  <c r="AL35" i="19"/>
  <c r="AA42" i="19"/>
  <c r="AL42" i="19"/>
  <c r="AA6" i="19"/>
  <c r="AL6" i="19"/>
  <c r="AA7" i="19"/>
  <c r="AL7" i="19"/>
  <c r="AA14" i="19"/>
  <c r="AI14" i="19" s="1"/>
  <c r="AL14" i="19"/>
  <c r="AA28" i="19"/>
  <c r="AI28" i="19" s="1"/>
  <c r="AL28" i="19"/>
  <c r="AA33" i="19"/>
  <c r="AL33" i="19"/>
  <c r="AA3" i="19"/>
  <c r="AL3" i="19"/>
  <c r="AA10" i="19"/>
  <c r="AL10" i="19"/>
  <c r="AA19" i="19"/>
  <c r="AI19" i="19" s="1"/>
  <c r="AL19" i="19"/>
  <c r="AA26" i="19"/>
  <c r="AI26" i="19" s="1"/>
  <c r="AL26" i="19"/>
  <c r="AA40" i="19"/>
  <c r="AI40" i="19" s="1"/>
  <c r="AL40" i="19"/>
  <c r="AL17" i="19"/>
  <c r="AA24" i="19"/>
  <c r="AL24" i="19"/>
  <c r="AA31" i="19"/>
  <c r="AI31" i="19" s="1"/>
  <c r="AL31" i="19"/>
  <c r="AA38" i="19"/>
  <c r="AL38" i="19"/>
  <c r="AA8" i="19"/>
  <c r="AL8" i="19"/>
  <c r="AA15" i="19"/>
  <c r="AI15" i="19" s="1"/>
  <c r="AL15" i="19"/>
  <c r="AA13" i="19"/>
  <c r="AI13" i="19" s="1"/>
  <c r="AL13" i="19"/>
  <c r="AA22" i="19"/>
  <c r="AL22" i="19"/>
  <c r="AA29" i="19"/>
  <c r="AL29" i="19"/>
  <c r="AA36" i="19"/>
  <c r="AL36" i="19"/>
  <c r="AJ10" i="19"/>
  <c r="AK16" i="19"/>
  <c r="AK34" i="19"/>
  <c r="AK10" i="19"/>
  <c r="AI42" i="19"/>
  <c r="AJ22" i="19"/>
  <c r="AJ3" i="19"/>
  <c r="AI32" i="19"/>
  <c r="AI17" i="19"/>
  <c r="AJ34" i="19"/>
  <c r="AK22" i="19"/>
  <c r="AK12" i="19"/>
  <c r="AI24" i="19"/>
  <c r="AK28" i="19"/>
  <c r="AI36" i="19"/>
  <c r="AK40" i="19"/>
  <c r="AK24" i="19"/>
  <c r="AJ7" i="19"/>
  <c r="AI8" i="19"/>
  <c r="AI10" i="19"/>
  <c r="AK15" i="19"/>
  <c r="AI22" i="19"/>
  <c r="AK27" i="19"/>
  <c r="AK39" i="19"/>
  <c r="AK19" i="19"/>
  <c r="AK31" i="19"/>
  <c r="AI39" i="19"/>
  <c r="AJ5" i="19"/>
  <c r="AK18" i="19"/>
  <c r="AK30" i="19"/>
  <c r="AK42" i="19"/>
  <c r="AK7" i="19"/>
  <c r="AI29" i="19"/>
  <c r="AK36" i="19"/>
  <c r="AI11" i="19"/>
  <c r="AI23" i="19"/>
  <c r="AI25" i="19"/>
  <c r="AI35" i="19"/>
  <c r="AK5" i="19"/>
  <c r="AI30" i="19"/>
  <c r="AT4" i="19" a="1"/>
  <c r="AT4" i="19" s="1"/>
  <c r="AK9" i="19"/>
  <c r="AI16" i="19"/>
  <c r="AK21" i="19"/>
  <c r="AK33" i="19"/>
  <c r="AI38" i="19"/>
  <c r="AJ16" i="19"/>
  <c r="AJ28" i="19"/>
  <c r="AJ40" i="19"/>
  <c r="AK13" i="19"/>
  <c r="AK25" i="19"/>
  <c r="AI33" i="19"/>
  <c r="AK37" i="19"/>
  <c r="AK14" i="19"/>
  <c r="AK26" i="19"/>
  <c r="AI3" i="19"/>
  <c r="AK6" i="19"/>
  <c r="AK17" i="19"/>
  <c r="AJ19" i="19"/>
  <c r="AK29" i="19"/>
  <c r="AJ31" i="19"/>
  <c r="AK41" i="19"/>
  <c r="AI7" i="19"/>
  <c r="AJ11" i="19"/>
  <c r="AJ15" i="19"/>
  <c r="AJ23" i="19"/>
  <c r="AJ27" i="19"/>
  <c r="AJ35" i="19"/>
  <c r="AJ39" i="19"/>
  <c r="AR4" i="19" a="1"/>
  <c r="AR4" i="19" s="1"/>
  <c r="AJ4" i="19"/>
  <c r="AK8" i="19"/>
  <c r="AK20" i="19"/>
  <c r="AK32" i="19"/>
  <c r="AJ42" i="19"/>
  <c r="AK4" i="19"/>
  <c r="AJ14" i="19"/>
  <c r="AJ18" i="19"/>
  <c r="AJ26" i="19"/>
  <c r="AJ30" i="19"/>
  <c r="AJ38" i="19"/>
  <c r="AI6" i="19"/>
  <c r="AQ4" i="19" a="1"/>
  <c r="AQ4" i="19" s="1"/>
  <c r="AI5" i="19"/>
  <c r="AK11" i="19"/>
  <c r="AJ13" i="19"/>
  <c r="AK23" i="19"/>
  <c r="AJ25" i="19"/>
  <c r="AK35" i="19"/>
  <c r="AJ37" i="19"/>
  <c r="AU4" i="19" a="1"/>
  <c r="AU4" i="19" s="1"/>
  <c r="AS4" i="19" a="1"/>
  <c r="AS4" i="19" s="1"/>
  <c r="AJ9" i="19"/>
  <c r="AJ17" i="19"/>
  <c r="AJ21" i="19"/>
  <c r="AJ29" i="19"/>
  <c r="AJ33" i="19"/>
  <c r="AJ41" i="19"/>
  <c r="AK38" i="19"/>
  <c r="AI4" i="19"/>
  <c r="AJ6" i="19"/>
  <c r="AJ8" i="19"/>
  <c r="AJ12" i="19"/>
  <c r="AJ20" i="19"/>
  <c r="AJ24" i="19"/>
  <c r="AJ32" i="19"/>
  <c r="AJ36" i="19"/>
  <c r="AP4" i="19" a="1"/>
  <c r="AP4" i="19" s="1"/>
  <c r="AP7" i="19" s="1"/>
  <c r="AO4" i="19" a="1"/>
  <c r="AO4" i="19" s="1"/>
  <c r="AO7" i="19" s="1"/>
  <c r="AK3" i="19"/>
  <c r="AM4" i="24" l="1"/>
  <c r="AM4" i="23"/>
  <c r="AN11" i="19"/>
  <c r="AO9" i="19"/>
  <c r="AP11" i="19"/>
  <c r="AN9" i="19"/>
  <c r="AP9" i="19"/>
  <c r="AO11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<sst xmlns="http://schemas.openxmlformats.org/spreadsheetml/2006/main" count="194" uniqueCount="42">
  <si>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</si>
  <si>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</si>
  <si>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</si>
  <si>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</si>
  <si>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</si>
  <si>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</si>
  <si>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</si>
  <si>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</si>
  <si>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</si>
  <si>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</si>
  <si>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</si>
  <si>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</si>
  <si>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</si>
  <si>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</si>
  <si>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</si>
  <si>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</si>
  <si>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</si>
  <si>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</si>
  <si>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</si>
  <si>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</si>
  <si>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</si>
  <si>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</si>
  <si>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</si>
  <si>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</si>
  <si>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</si>
  <si>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</si>
  <si>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</si>
  <si>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</si>
  <si>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</si>
  <si>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</si>
  <si>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</si>
  <si>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</si>
  <si>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</si>
  <si>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</si>
  <si>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</si>
  <si>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</si>
  <si>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</si>
  <si>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</si>
  <si>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min_f</t>
  </si>
  <si>
    <t>with 0.1 cuttof</t>
  </si>
  <si>
    <t>with 0.2 cuttof</t>
  </si>
  <si>
    <t>0.2 cutoof + no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</si>
</sst>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47">
    <xf numFmtId="0" fontId="0" fillId="0" borderId="0" xfId="0"/>
    <xf numFmtId="0" fontId="2" fillId="6" borderId="1" xfId="0" applyFont="1" applyFill="1" applyBorder="1"/>
    <xf numFmtId="0" fontId="2" fillId="6" borderId="8" xfId="0" applyFont="1" applyFill="1" applyBorder="1"/>
    <xf numFmtId="0" fontId="2" fillId="6" borderId="5" xfId="0" applyFont="1" applyFill="1" applyBorder="1"/>
    <xf numFmtId="11" fontId="0" fillId="0" borderId="0" xfId="0" applyNumberFormat="1"/>
    <xf numFmtId="0" fontId="0" fillId="6" borderId="0" xfId="0" applyFill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164" fontId="5" fillId="8" borderId="1" xfId="0" applyNumberFormat="1" applyFont="1" applyFill="1" applyBorder="1"/>
    <xf numFmtId="2" fontId="5" fillId="8" borderId="1" xfId="0" applyNumberFormat="1" applyFont="1" applyFill="1" applyBorder="1"/>
    <xf numFmtId="164" fontId="3" fillId="9" borderId="1" xfId="1" applyNumberFormat="1" applyBorder="1"/>
    <xf numFmtId="2" fontId="3" fillId="9" borderId="1" xfId="1" applyNumberFormat="1" applyBorder="1"/>
    <xf numFmtId="164" fontId="5" fillId="8" borderId="2" xfId="0" applyNumberFormat="1" applyFont="1" applyFill="1" applyBorder="1"/>
    <xf numFmtId="2" fontId="3" fillId="9" borderId="12" xfId="1" applyNumberFormat="1" applyBorder="1"/>
    <xf numFmtId="164" fontId="3" fillId="9" borderId="12" xfId="1" applyNumberFormat="1" applyBorder="1"/>
    <xf numFmtId="164" fontId="5" fillId="8" borderId="12" xfId="0" applyNumberFormat="1" applyFont="1" applyFill="1" applyBorder="1"/>
    <xf numFmtId="2" fontId="5" fillId="8" borderId="0" xfId="0" applyNumberFormat="1" applyFont="1" applyFill="1"/>
    <xf numFmtId="164" fontId="5" fillId="8" borderId="0" xfId="0" applyNumberFormat="1" applyFont="1" applyFill="1"/>
    <xf numFmtId="164" fontId="1" fillId="8" borderId="0" xfId="0" applyNumberFormat="1" applyFont="1" applyFill="1"/>
    <xf numFmtId="165" fontId="1" fillId="8" borderId="0" xfId="0" applyNumberFormat="1" applyFont="1" applyFill="1"/>
    <xf numFmtId="0" fontId="4" fillId="6" borderId="1" xfId="0" applyFont="1" applyFill="1" applyBorder="1"/>
    <xf numFmtId="0" fontId="0" fillId="0" borderId="1" xfId="0" applyBorder="1"/>
    <xf numFmtId="166" fontId="5" fillId="8" borderId="1" xfId="0" applyNumberFormat="1" applyFont="1" applyFill="1" applyBorder="1"/>
    <xf numFmtId="166" fontId="5" fillId="8" borderId="13" xfId="0" applyNumberFormat="1" applyFont="1" applyFill="1" applyBorder="1"/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6" xfId="0" applyFont="1" applyFill="1" applyBorder="1"/>
    <xf numFmtId="166" fontId="0" fillId="0" borderId="1" xfId="0" applyNumberFormat="1" applyBorder="1"/>
    <xf numFmtId="165" fontId="5" fillId="8" borderId="1" xfId="0" applyNumberFormat="1" applyFont="1" applyFill="1" applyBorder="1"/>
    <xf numFmtId="165" fontId="5" fillId="8" borderId="12" xfId="0" applyNumberFormat="1" applyFont="1" applyFill="1" applyBorder="1"/>
    <xf numFmtId="166" fontId="0" fillId="0" borderId="0" xfId="0" applyNumberFormat="1"/>
    <xf numFmtId="166" fontId="5" fillId="8" borderId="0" xfId="0" applyNumberFormat="1" applyFont="1" applyFill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52"/>
  <sheetViews>
    <sheetView topLeftCell="B1" workbookViewId="0">
      <selection activeCell="AG19" sqref="AG19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36" t="s">
        <v>12</v>
      </c>
      <c r="S1" s="37"/>
      <c r="T1" s="37"/>
      <c r="U1" s="37"/>
      <c r="V1" s="37"/>
      <c r="W1" s="37"/>
      <c r="X1" s="38" t="s">
        <v>14</v>
      </c>
      <c r="Y1" s="39"/>
      <c r="Z1" s="39"/>
      <c r="AA1" s="39"/>
      <c r="AB1" s="39"/>
      <c r="AC1" s="40"/>
    </row>
    <row r="2" spans="1:29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x14ac:dyDescent="0.25">
      <c r="A3" s="10">
        <v>0.2</v>
      </c>
      <c r="B3" s="10">
        <v>0.1</v>
      </c>
      <c r="C3" s="10">
        <v>1.571</v>
      </c>
      <c r="D3" s="10">
        <f>PI()/2</f>
        <v>1.5707963267948966</v>
      </c>
      <c r="E3" s="10">
        <v>1</v>
      </c>
      <c r="F3" s="10">
        <v>0.04</v>
      </c>
      <c r="G3" s="10">
        <v>3.1419999999999999</v>
      </c>
      <c r="H3" s="10">
        <f>PI()/2</f>
        <v>1.5707963267948966</v>
      </c>
      <c r="I3" s="10">
        <v>1.4</v>
      </c>
      <c r="J3" s="10">
        <v>0</v>
      </c>
      <c r="K3" s="10">
        <v>0</v>
      </c>
      <c r="L3" s="8">
        <v>-8.4695406258106205E-5</v>
      </c>
      <c r="M3" s="8">
        <v>-1.1448631994426301E-2</v>
      </c>
      <c r="N3" s="8">
        <v>-0.13048847019672399</v>
      </c>
      <c r="O3" s="8">
        <v>1.8870793282985701E-2</v>
      </c>
      <c r="P3" s="8">
        <v>-0.97202777862548795</v>
      </c>
      <c r="Q3" s="8">
        <v>2.9205024242401099E-2</v>
      </c>
      <c r="R3" s="8">
        <v>6.9999999999999999E-4</v>
      </c>
      <c r="S3" s="8">
        <v>-3.7900000000000003E-2</v>
      </c>
      <c r="T3" s="8">
        <v>-0.12970000000000001</v>
      </c>
      <c r="U3" s="8">
        <v>-3.3599999999999998E-2</v>
      </c>
      <c r="V3" s="8">
        <v>-0.99970000000000003</v>
      </c>
      <c r="W3" s="8">
        <v>0.1988</v>
      </c>
      <c r="X3" s="8">
        <f t="shared" ref="X3:AC3" si="0">ABS(L3-R3)</f>
        <v>7.8469540625810622E-4</v>
      </c>
      <c r="Y3" s="8">
        <f t="shared" si="0"/>
        <v>2.6451368005573704E-2</v>
      </c>
      <c r="Z3" s="8">
        <f t="shared" si="0"/>
        <v>7.8847019672398377E-4</v>
      </c>
      <c r="AA3" s="8">
        <f t="shared" si="0"/>
        <v>5.2470793282985699E-2</v>
      </c>
      <c r="AB3" s="8">
        <f t="shared" si="0"/>
        <v>2.7672221374512085E-2</v>
      </c>
      <c r="AC3" s="8">
        <f t="shared" si="0"/>
        <v>0.16959497575759891</v>
      </c>
    </row>
    <row r="4" spans="1:29" s="5" customFormat="1" x14ac:dyDescent="0.25">
      <c r="A4" s="10">
        <v>1</v>
      </c>
      <c r="B4" s="10">
        <v>0.1</v>
      </c>
      <c r="C4" s="10">
        <v>1.571</v>
      </c>
      <c r="D4" s="10">
        <f t="shared" ref="D4:D42" si="1">PI()/2</f>
        <v>1.5707963267948966</v>
      </c>
      <c r="E4" s="10">
        <v>1</v>
      </c>
      <c r="F4" s="10">
        <v>0.08</v>
      </c>
      <c r="G4" s="10">
        <v>3.1419999999999999</v>
      </c>
      <c r="H4" s="10">
        <f t="shared" ref="H4:H42" si="2">PI()/2</f>
        <v>1.5707963267948966</v>
      </c>
      <c r="I4" s="10">
        <v>0</v>
      </c>
      <c r="J4" s="10">
        <v>0</v>
      </c>
      <c r="K4" s="10">
        <v>0</v>
      </c>
      <c r="L4" s="8">
        <v>-1.30488071590662E-3</v>
      </c>
      <c r="M4" s="8">
        <v>-0.187399536371231</v>
      </c>
      <c r="N4" s="8">
        <v>-0.148506805300713</v>
      </c>
      <c r="O4" s="8">
        <v>-0.458716601133347</v>
      </c>
      <c r="P4" s="8">
        <v>-0.81002575159072898</v>
      </c>
      <c r="Q4" s="8">
        <v>0.92483174800872803</v>
      </c>
      <c r="R4" s="8">
        <v>0</v>
      </c>
      <c r="S4" s="8">
        <v>-0.18540000000000001</v>
      </c>
      <c r="T4" s="8">
        <v>-0.16669999999999999</v>
      </c>
      <c r="U4" s="8">
        <v>-0.37630000000000002</v>
      </c>
      <c r="V4" s="8">
        <v>-0.96960000000000002</v>
      </c>
      <c r="W4" s="8">
        <v>0.95799999999999996</v>
      </c>
      <c r="X4" s="8">
        <f t="shared" ref="X4:X42" si="3">ABS(L4-R4)</f>
        <v>1.30488071590662E-3</v>
      </c>
      <c r="Y4" s="8">
        <f t="shared" ref="Y4:Y42" si="4">ABS(M4-S4)</f>
        <v>1.9995363712309866E-3</v>
      </c>
      <c r="Z4" s="8">
        <f t="shared" ref="Z4:Z42" si="5">ABS(N4-T4)</f>
        <v>1.8193194699286985E-2</v>
      </c>
      <c r="AA4" s="8">
        <f t="shared" ref="AA4:AA42" si="6">ABS(O4-U4)</f>
        <v>8.2416601133346978E-2</v>
      </c>
      <c r="AB4" s="8">
        <f t="shared" ref="AB4:AB42" si="7">ABS(P4-V4)</f>
        <v>0.15957424840927104</v>
      </c>
      <c r="AC4" s="8">
        <f t="shared" ref="AC4:AC42" si="8">ABS(Q4-W4)</f>
        <v>3.3168251991271935E-2</v>
      </c>
    </row>
    <row r="5" spans="1:29" x14ac:dyDescent="0.25">
      <c r="A5" s="10">
        <v>0.5</v>
      </c>
      <c r="B5" s="10">
        <v>0.1</v>
      </c>
      <c r="C5" s="10">
        <v>1.571</v>
      </c>
      <c r="D5" s="10">
        <f t="shared" si="1"/>
        <v>1.5707963267948966</v>
      </c>
      <c r="E5" s="10">
        <v>0.2</v>
      </c>
      <c r="F5" s="10">
        <v>0.02</v>
      </c>
      <c r="G5" s="10">
        <v>3.927</v>
      </c>
      <c r="H5" s="10">
        <f t="shared" si="2"/>
        <v>1.5707963267948966</v>
      </c>
      <c r="I5" s="10">
        <v>0</v>
      </c>
      <c r="J5" s="10">
        <v>0</v>
      </c>
      <c r="K5" s="10">
        <v>0</v>
      </c>
      <c r="L5" s="8">
        <v>-8.8173459516838206E-5</v>
      </c>
      <c r="M5" s="8">
        <v>-9.0249709784984603E-2</v>
      </c>
      <c r="N5" s="8">
        <v>-1.5381614677607999E-2</v>
      </c>
      <c r="O5" s="8">
        <v>-5.9044521301984801E-2</v>
      </c>
      <c r="P5" s="8">
        <v>-0.142551720142365</v>
      </c>
      <c r="Q5" s="8">
        <v>0.403866738080978</v>
      </c>
      <c r="R5" s="8">
        <v>0</v>
      </c>
      <c r="S5" s="8">
        <v>-7.9200000000000007E-2</v>
      </c>
      <c r="T5" s="8">
        <v>-1.55E-2</v>
      </c>
      <c r="U5" s="8">
        <v>-5.21E-2</v>
      </c>
      <c r="V5" s="8">
        <v>-0.14149999999999999</v>
      </c>
      <c r="W5" s="8">
        <v>0.35539999999999999</v>
      </c>
      <c r="X5" s="8">
        <f t="shared" si="3"/>
        <v>8.8173459516838206E-5</v>
      </c>
      <c r="Y5" s="8">
        <f t="shared" si="4"/>
        <v>1.1049709784984596E-2</v>
      </c>
      <c r="Z5" s="8">
        <f t="shared" si="5"/>
        <v>1.1838532239200061E-4</v>
      </c>
      <c r="AA5" s="8">
        <f t="shared" si="6"/>
        <v>6.9445213019848004E-3</v>
      </c>
      <c r="AB5" s="8">
        <f t="shared" si="7"/>
        <v>1.0517201423650147E-3</v>
      </c>
      <c r="AC5" s="8">
        <f t="shared" si="8"/>
        <v>4.8466738080978011E-2</v>
      </c>
    </row>
    <row r="6" spans="1:29" x14ac:dyDescent="0.25">
      <c r="A6" s="10">
        <v>0.9</v>
      </c>
      <c r="B6" s="10">
        <v>0.1</v>
      </c>
      <c r="C6" s="10">
        <v>1.571</v>
      </c>
      <c r="D6" s="10">
        <f t="shared" si="1"/>
        <v>1.5707963267948966</v>
      </c>
      <c r="E6" s="10">
        <v>0.2</v>
      </c>
      <c r="F6" s="10">
        <v>0.08</v>
      </c>
      <c r="G6" s="10">
        <v>4.7119999999999997</v>
      </c>
      <c r="H6" s="10">
        <f t="shared" si="2"/>
        <v>1.5707963267948966</v>
      </c>
      <c r="I6" s="10">
        <v>1.2</v>
      </c>
      <c r="J6" s="10">
        <v>0</v>
      </c>
      <c r="K6" s="10">
        <v>0</v>
      </c>
      <c r="L6" s="8">
        <v>4.0645110420882702E-3</v>
      </c>
      <c r="M6" s="8">
        <v>-0.155094370245934</v>
      </c>
      <c r="N6" s="8">
        <v>1.12637248821557E-3</v>
      </c>
      <c r="O6" s="8">
        <v>-0.22939644753933</v>
      </c>
      <c r="P6" s="8">
        <v>6.2979459762573199E-3</v>
      </c>
      <c r="Q6" s="8">
        <v>0.75826400518417403</v>
      </c>
      <c r="R6" s="8">
        <v>1.5E-3</v>
      </c>
      <c r="S6" s="8">
        <v>-0.1353</v>
      </c>
      <c r="T6" s="8">
        <v>-2.0000000000000001E-4</v>
      </c>
      <c r="U6" s="8">
        <v>-0.14380000000000001</v>
      </c>
      <c r="V6" s="8">
        <v>-2.3999999999999998E-3</v>
      </c>
      <c r="W6" s="8">
        <v>0.68510000000000004</v>
      </c>
      <c r="X6" s="8">
        <f t="shared" si="3"/>
        <v>2.5645110420882702E-3</v>
      </c>
      <c r="Y6" s="8">
        <f t="shared" si="4"/>
        <v>1.9794370245934001E-2</v>
      </c>
      <c r="Z6" s="8">
        <f t="shared" si="5"/>
        <v>1.3263724882155701E-3</v>
      </c>
      <c r="AA6" s="8">
        <f t="shared" si="6"/>
        <v>8.559644753932999E-2</v>
      </c>
      <c r="AB6" s="8">
        <f t="shared" si="7"/>
        <v>8.6979459762573201E-3</v>
      </c>
      <c r="AC6" s="8">
        <f t="shared" si="8"/>
        <v>7.3164005184173986E-2</v>
      </c>
    </row>
    <row r="7" spans="1:29" x14ac:dyDescent="0.25">
      <c r="A7" s="10">
        <v>0.1</v>
      </c>
      <c r="B7" s="10">
        <v>0.12</v>
      </c>
      <c r="C7" s="10">
        <v>1.571</v>
      </c>
      <c r="D7" s="10">
        <f t="shared" si="1"/>
        <v>1.5707963267948966</v>
      </c>
      <c r="E7" s="10">
        <v>1</v>
      </c>
      <c r="F7" s="10">
        <v>0.06</v>
      </c>
      <c r="G7" s="10">
        <v>3.927</v>
      </c>
      <c r="H7" s="10">
        <f t="shared" si="2"/>
        <v>1.5707963267948966</v>
      </c>
      <c r="I7" s="10">
        <v>0</v>
      </c>
      <c r="J7" s="10">
        <v>0</v>
      </c>
      <c r="K7" s="10">
        <v>0</v>
      </c>
      <c r="L7" s="8">
        <v>-3.3720862120389898E-5</v>
      </c>
      <c r="M7" s="8">
        <v>5.5788416415452999E-2</v>
      </c>
      <c r="N7" s="8">
        <v>-0.106843449175358</v>
      </c>
      <c r="O7" s="8">
        <v>2.31804009526968E-2</v>
      </c>
      <c r="P7" s="8">
        <v>-0.69266724586486805</v>
      </c>
      <c r="Q7" s="8">
        <v>-0.43824502825737</v>
      </c>
      <c r="R7" s="8">
        <v>0</v>
      </c>
      <c r="S7" s="8">
        <v>8.4900000000000003E-2</v>
      </c>
      <c r="T7" s="8">
        <v>-0.10580000000000001</v>
      </c>
      <c r="U7" s="8">
        <v>-6.3E-2</v>
      </c>
      <c r="V7" s="8">
        <v>-0.70530000000000004</v>
      </c>
      <c r="W7" s="8">
        <v>-0.60589999999999999</v>
      </c>
      <c r="X7" s="8">
        <f t="shared" si="3"/>
        <v>3.3720862120389898E-5</v>
      </c>
      <c r="Y7" s="8">
        <f t="shared" si="4"/>
        <v>2.9111583584547004E-2</v>
      </c>
      <c r="Z7" s="8">
        <f t="shared" si="5"/>
        <v>1.0434491753579939E-3</v>
      </c>
      <c r="AA7" s="8">
        <f t="shared" si="6"/>
        <v>8.6180400952696801E-2</v>
      </c>
      <c r="AB7" s="8">
        <f t="shared" si="7"/>
        <v>1.2632754135131985E-2</v>
      </c>
      <c r="AC7" s="8">
        <f t="shared" si="8"/>
        <v>0.16765497174263</v>
      </c>
    </row>
    <row r="8" spans="1:29" x14ac:dyDescent="0.25">
      <c r="A8" s="10">
        <v>0.8</v>
      </c>
      <c r="B8" s="10">
        <v>0.16</v>
      </c>
      <c r="C8" s="10">
        <v>1.571</v>
      </c>
      <c r="D8" s="10">
        <f t="shared" si="1"/>
        <v>1.5707963267948966</v>
      </c>
      <c r="E8" s="10">
        <v>0.8</v>
      </c>
      <c r="F8" s="10">
        <v>0.06</v>
      </c>
      <c r="G8" s="10">
        <v>3.927</v>
      </c>
      <c r="H8" s="10">
        <f t="shared" si="2"/>
        <v>1.5707963267948966</v>
      </c>
      <c r="I8" s="10">
        <v>1.4</v>
      </c>
      <c r="J8" s="10">
        <v>0</v>
      </c>
      <c r="K8" s="10">
        <v>0</v>
      </c>
      <c r="L8" s="8">
        <v>8.2578761503100395E-3</v>
      </c>
      <c r="M8" s="8">
        <v>-0.106360949575901</v>
      </c>
      <c r="N8" s="8">
        <v>-7.6963931322097806E-2</v>
      </c>
      <c r="O8" s="8">
        <v>-0.29881915450096103</v>
      </c>
      <c r="P8" s="8">
        <v>-0.50920194387435902</v>
      </c>
      <c r="Q8" s="8">
        <v>0.108889028429985</v>
      </c>
      <c r="R8" s="8">
        <v>4.4000000000000003E-3</v>
      </c>
      <c r="S8" s="8">
        <v>-0.10639999999999999</v>
      </c>
      <c r="T8" s="8">
        <v>-8.3900000000000002E-2</v>
      </c>
      <c r="U8" s="8">
        <v>-0.22939999999999999</v>
      </c>
      <c r="V8" s="8">
        <v>-0.56430000000000002</v>
      </c>
      <c r="W8" s="8">
        <v>0.1658</v>
      </c>
      <c r="X8" s="8">
        <f t="shared" si="3"/>
        <v>3.8578761503100393E-3</v>
      </c>
      <c r="Y8" s="8">
        <f t="shared" si="4"/>
        <v>3.9050424098990844E-5</v>
      </c>
      <c r="Z8" s="8">
        <f t="shared" si="5"/>
        <v>6.9360686779021963E-3</v>
      </c>
      <c r="AA8" s="8">
        <f t="shared" si="6"/>
        <v>6.9419154500961033E-2</v>
      </c>
      <c r="AB8" s="8">
        <f t="shared" si="7"/>
        <v>5.5098056125641004E-2</v>
      </c>
      <c r="AC8" s="8">
        <f t="shared" si="8"/>
        <v>5.6910971570014998E-2</v>
      </c>
    </row>
    <row r="9" spans="1:29" x14ac:dyDescent="0.25">
      <c r="A9" s="10">
        <v>0.1</v>
      </c>
      <c r="B9" s="10">
        <v>0.18</v>
      </c>
      <c r="C9" s="10">
        <v>1.571</v>
      </c>
      <c r="D9" s="10">
        <f t="shared" si="1"/>
        <v>1.5707963267948966</v>
      </c>
      <c r="E9" s="10">
        <v>0.1</v>
      </c>
      <c r="F9" s="10">
        <v>0.02</v>
      </c>
      <c r="G9" s="10">
        <v>3.1419999999999999</v>
      </c>
      <c r="H9" s="10">
        <f t="shared" si="2"/>
        <v>1.5707963267948966</v>
      </c>
      <c r="I9" s="10">
        <v>1.2</v>
      </c>
      <c r="J9" s="10">
        <v>0</v>
      </c>
      <c r="K9" s="10">
        <v>0</v>
      </c>
      <c r="L9" s="8">
        <v>2.53012054599822E-4</v>
      </c>
      <c r="M9" s="8">
        <v>-6.1941463500261298E-3</v>
      </c>
      <c r="N9" s="8">
        <v>-1.2296888045966599E-2</v>
      </c>
      <c r="O9" s="8">
        <v>1.5694042667746499E-2</v>
      </c>
      <c r="P9" s="8">
        <v>-0.108663953840733</v>
      </c>
      <c r="Q9" s="8">
        <v>1.80782899260521E-2</v>
      </c>
      <c r="R9" s="8">
        <v>5.9999999999999995E-4</v>
      </c>
      <c r="S9" s="8">
        <v>-2.7E-2</v>
      </c>
      <c r="T9" s="8">
        <v>-1.0999999999999999E-2</v>
      </c>
      <c r="U9" s="8">
        <v>-1.0999999999999999E-2</v>
      </c>
      <c r="V9" s="8">
        <v>-0.1003</v>
      </c>
      <c r="W9" s="8">
        <v>9.9299999999999999E-2</v>
      </c>
      <c r="X9" s="8">
        <f t="shared" si="3"/>
        <v>3.4698794540017795E-4</v>
      </c>
      <c r="Y9" s="8">
        <f t="shared" si="4"/>
        <v>2.0805853649973869E-2</v>
      </c>
      <c r="Z9" s="8">
        <f t="shared" si="5"/>
        <v>1.2968880459665998E-3</v>
      </c>
      <c r="AA9" s="8">
        <f t="shared" si="6"/>
        <v>2.6694042667746498E-2</v>
      </c>
      <c r="AB9" s="8">
        <f t="shared" si="7"/>
        <v>8.3639538407330044E-3</v>
      </c>
      <c r="AC9" s="8">
        <f t="shared" si="8"/>
        <v>8.1221710073947906E-2</v>
      </c>
    </row>
    <row r="10" spans="1:29" x14ac:dyDescent="0.25">
      <c r="A10" s="10">
        <v>0.9</v>
      </c>
      <c r="B10" s="10">
        <v>0.18</v>
      </c>
      <c r="C10" s="10">
        <v>1.571</v>
      </c>
      <c r="D10" s="10">
        <f t="shared" si="1"/>
        <v>1.5707963267948966</v>
      </c>
      <c r="E10" s="10">
        <v>0.1</v>
      </c>
      <c r="F10" s="10">
        <v>0.08</v>
      </c>
      <c r="G10" s="10">
        <v>4.7119999999999997</v>
      </c>
      <c r="H10" s="10">
        <f t="shared" si="2"/>
        <v>1.5707963267948966</v>
      </c>
      <c r="I10" s="10">
        <v>0</v>
      </c>
      <c r="J10" s="10">
        <v>0</v>
      </c>
      <c r="K10" s="10">
        <v>0</v>
      </c>
      <c r="L10" s="8">
        <v>-8.9414953254163298E-4</v>
      </c>
      <c r="M10" s="8">
        <v>-0.180821523070335</v>
      </c>
      <c r="N10" s="8">
        <v>8.0074910074472393E-3</v>
      </c>
      <c r="O10" s="8">
        <v>-0.405538409948349</v>
      </c>
      <c r="P10" s="8">
        <v>5.81999458372593E-2</v>
      </c>
      <c r="Q10" s="8">
        <v>0.51686221361160301</v>
      </c>
      <c r="R10" s="8">
        <v>0</v>
      </c>
      <c r="S10" s="8">
        <v>-0.20330000000000001</v>
      </c>
      <c r="T10" s="8">
        <v>-1E-4</v>
      </c>
      <c r="U10" s="8">
        <v>-0.51039999999999996</v>
      </c>
      <c r="V10" s="8">
        <v>-2.0000000000000001E-4</v>
      </c>
      <c r="W10" s="8">
        <v>0.61929999999999996</v>
      </c>
      <c r="X10" s="8">
        <f t="shared" si="3"/>
        <v>8.9414953254163298E-4</v>
      </c>
      <c r="Y10" s="8">
        <f t="shared" si="4"/>
        <v>2.2478476929665009E-2</v>
      </c>
      <c r="Z10" s="8">
        <f t="shared" si="5"/>
        <v>8.1074910074472387E-3</v>
      </c>
      <c r="AA10" s="8">
        <f t="shared" si="6"/>
        <v>0.10486159005165097</v>
      </c>
      <c r="AB10" s="8">
        <f t="shared" si="7"/>
        <v>5.8399945837259298E-2</v>
      </c>
      <c r="AC10" s="8">
        <f t="shared" si="8"/>
        <v>0.10243778638839696</v>
      </c>
    </row>
    <row r="11" spans="1:29" x14ac:dyDescent="0.25">
      <c r="A11" s="10">
        <v>0.3</v>
      </c>
      <c r="B11" s="10">
        <v>0.18</v>
      </c>
      <c r="C11" s="10">
        <v>1.571</v>
      </c>
      <c r="D11" s="10">
        <f t="shared" si="1"/>
        <v>1.5707963267948966</v>
      </c>
      <c r="E11" s="10">
        <v>0.9</v>
      </c>
      <c r="F11" s="10">
        <v>0.08</v>
      </c>
      <c r="G11" s="10">
        <v>4.7119999999999997</v>
      </c>
      <c r="H11" s="10">
        <f t="shared" si="2"/>
        <v>1.5707963267948966</v>
      </c>
      <c r="I11" s="10">
        <v>1</v>
      </c>
      <c r="J11" s="10">
        <v>0</v>
      </c>
      <c r="K11" s="10">
        <v>0</v>
      </c>
      <c r="L11" s="8">
        <v>2.41806032136083E-4</v>
      </c>
      <c r="M11" s="8">
        <v>7.3132611811161E-2</v>
      </c>
      <c r="N11" s="8">
        <v>-4.2187301442027101E-3</v>
      </c>
      <c r="O11" s="8">
        <v>4.2406577616930001E-2</v>
      </c>
      <c r="P11" s="8">
        <v>-2.1499879658222198E-2</v>
      </c>
      <c r="Q11" s="8">
        <v>-0.58056563138961803</v>
      </c>
      <c r="R11" s="8">
        <v>5.9999999999999995E-4</v>
      </c>
      <c r="S11" s="8">
        <v>7.2099999999999997E-2</v>
      </c>
      <c r="T11" s="8">
        <v>-1E-4</v>
      </c>
      <c r="U11" s="8">
        <v>-3.0999999999999999E-3</v>
      </c>
      <c r="V11" s="8">
        <v>-8.9999999999999998E-4</v>
      </c>
      <c r="W11" s="8">
        <v>-0.6018</v>
      </c>
      <c r="X11" s="8">
        <f t="shared" si="3"/>
        <v>3.5819396786391697E-4</v>
      </c>
      <c r="Y11" s="8">
        <f t="shared" si="4"/>
        <v>1.0326118111610022E-3</v>
      </c>
      <c r="Z11" s="8">
        <f t="shared" si="5"/>
        <v>4.1187301442027098E-3</v>
      </c>
      <c r="AA11" s="8">
        <f t="shared" si="6"/>
        <v>4.550657761693E-2</v>
      </c>
      <c r="AB11" s="8">
        <f t="shared" si="7"/>
        <v>2.0599879658222197E-2</v>
      </c>
      <c r="AC11" s="8">
        <f t="shared" si="8"/>
        <v>2.1234368610381971E-2</v>
      </c>
    </row>
    <row r="12" spans="1:29" x14ac:dyDescent="0.25">
      <c r="A12" s="10">
        <v>0.9</v>
      </c>
      <c r="B12" s="10">
        <v>0.2</v>
      </c>
      <c r="C12" s="10">
        <v>1.571</v>
      </c>
      <c r="D12" s="10">
        <f t="shared" si="1"/>
        <v>1.5707963267948966</v>
      </c>
      <c r="E12" s="10">
        <v>1</v>
      </c>
      <c r="F12" s="10">
        <v>0.02</v>
      </c>
      <c r="G12" s="10">
        <v>3.1419999999999999</v>
      </c>
      <c r="H12" s="10">
        <f t="shared" si="2"/>
        <v>1.5707963267948966</v>
      </c>
      <c r="I12" s="10">
        <v>0.4</v>
      </c>
      <c r="J12" s="10">
        <v>0</v>
      </c>
      <c r="K12" s="10">
        <v>0</v>
      </c>
      <c r="L12" s="8">
        <v>-1.58930197358131E-4</v>
      </c>
      <c r="M12" s="8">
        <v>-0.14518360793590501</v>
      </c>
      <c r="N12" s="8">
        <v>-0.108183734118938</v>
      </c>
      <c r="O12" s="8">
        <v>-0.55842369794845603</v>
      </c>
      <c r="P12" s="8">
        <v>-0.97605288028716997</v>
      </c>
      <c r="Q12" s="8">
        <v>0.27430844306945801</v>
      </c>
      <c r="R12" s="8">
        <v>2.2000000000000001E-3</v>
      </c>
      <c r="S12" s="8">
        <v>-0.2213</v>
      </c>
      <c r="T12" s="8">
        <v>-0.1089</v>
      </c>
      <c r="U12" s="8">
        <v>-0.6623</v>
      </c>
      <c r="V12" s="8">
        <v>-1.0009999999999999</v>
      </c>
      <c r="W12" s="8">
        <v>0.61360000000000003</v>
      </c>
      <c r="X12" s="8">
        <f t="shared" si="3"/>
        <v>2.3589301973581311E-3</v>
      </c>
      <c r="Y12" s="8">
        <f t="shared" si="4"/>
        <v>7.6116392064094984E-2</v>
      </c>
      <c r="Z12" s="8">
        <f t="shared" si="5"/>
        <v>7.1626588106199485E-4</v>
      </c>
      <c r="AA12" s="8">
        <f t="shared" si="6"/>
        <v>0.10387630205154397</v>
      </c>
      <c r="AB12" s="8">
        <f t="shared" si="7"/>
        <v>2.4947119712829924E-2</v>
      </c>
      <c r="AC12" s="8">
        <f t="shared" si="8"/>
        <v>0.33929155693054203</v>
      </c>
    </row>
    <row r="13" spans="1:29" x14ac:dyDescent="0.25">
      <c r="A13" s="10">
        <v>0.1</v>
      </c>
      <c r="B13" s="10">
        <v>0.2</v>
      </c>
      <c r="C13" s="10">
        <v>1.571</v>
      </c>
      <c r="D13" s="10">
        <f t="shared" si="1"/>
        <v>1.5707963267948966</v>
      </c>
      <c r="E13" s="10">
        <v>0.3</v>
      </c>
      <c r="F13" s="10">
        <v>0.08</v>
      </c>
      <c r="G13" s="10">
        <v>3.1419999999999999</v>
      </c>
      <c r="H13" s="10">
        <f t="shared" si="2"/>
        <v>1.5707963267948966</v>
      </c>
      <c r="I13" s="10">
        <v>0.2</v>
      </c>
      <c r="J13" s="10">
        <v>0</v>
      </c>
      <c r="K13" s="10">
        <v>0</v>
      </c>
      <c r="L13" s="8">
        <v>-1.4157709665596499E-4</v>
      </c>
      <c r="M13" s="8">
        <v>4.5513403601944403E-3</v>
      </c>
      <c r="N13" s="8">
        <v>-4.92897629737854E-2</v>
      </c>
      <c r="O13" s="8">
        <v>2.6178073137998598E-2</v>
      </c>
      <c r="P13" s="8">
        <v>-0.27640634775161699</v>
      </c>
      <c r="Q13" s="8">
        <v>-3.6308467388153097E-2</v>
      </c>
      <c r="R13" s="8">
        <v>2.0000000000000001E-4</v>
      </c>
      <c r="S13" s="8">
        <v>-2.87E-2</v>
      </c>
      <c r="T13" s="8">
        <v>-5.0900000000000001E-2</v>
      </c>
      <c r="U13" s="8">
        <v>-2.1600000000000001E-2</v>
      </c>
      <c r="V13" s="8">
        <v>-0.29949999999999999</v>
      </c>
      <c r="W13" s="8">
        <v>9.9099999999999994E-2</v>
      </c>
      <c r="X13" s="8">
        <f t="shared" si="3"/>
        <v>3.41577096655965E-4</v>
      </c>
      <c r="Y13" s="8">
        <f t="shared" si="4"/>
        <v>3.3251340360194441E-2</v>
      </c>
      <c r="Z13" s="8">
        <f t="shared" si="5"/>
        <v>1.6102370262146004E-3</v>
      </c>
      <c r="AA13" s="8">
        <f t="shared" si="6"/>
        <v>4.7778073137998603E-2</v>
      </c>
      <c r="AB13" s="8">
        <f t="shared" si="7"/>
        <v>2.3093652248383001E-2</v>
      </c>
      <c r="AC13" s="8">
        <f t="shared" si="8"/>
        <v>0.1354084673881531</v>
      </c>
    </row>
    <row r="14" spans="1:29" x14ac:dyDescent="0.25">
      <c r="A14" s="10">
        <v>0.9</v>
      </c>
      <c r="B14" s="10">
        <v>0.2</v>
      </c>
      <c r="C14" s="10">
        <v>1.571</v>
      </c>
      <c r="D14" s="10">
        <f t="shared" si="1"/>
        <v>1.5707963267948966</v>
      </c>
      <c r="E14" s="10">
        <v>0.3</v>
      </c>
      <c r="F14" s="10">
        <v>0.02</v>
      </c>
      <c r="G14" s="10">
        <v>4.7119999999999997</v>
      </c>
      <c r="H14" s="10">
        <f t="shared" si="2"/>
        <v>1.5707963267948966</v>
      </c>
      <c r="I14" s="10">
        <v>1.4</v>
      </c>
      <c r="J14" s="10">
        <v>0</v>
      </c>
      <c r="K14" s="10">
        <v>0</v>
      </c>
      <c r="L14" s="8">
        <v>9.2607205733656901E-3</v>
      </c>
      <c r="M14" s="8">
        <v>-0.11755938827991499</v>
      </c>
      <c r="N14" s="8">
        <v>-8.4324358031153696E-3</v>
      </c>
      <c r="O14" s="8">
        <v>-0.58649873733520497</v>
      </c>
      <c r="P14" s="8">
        <v>-5.0031639635562897E-2</v>
      </c>
      <c r="Q14" s="8">
        <v>4.2876139283180202E-2</v>
      </c>
      <c r="R14" s="8">
        <v>7.7000000000000002E-3</v>
      </c>
      <c r="S14" s="8">
        <v>-0.1855</v>
      </c>
      <c r="T14" s="8">
        <v>-2.9999999999999997E-4</v>
      </c>
      <c r="U14" s="8">
        <v>-0.63229999999999997</v>
      </c>
      <c r="V14" s="8">
        <v>-2.47E-2</v>
      </c>
      <c r="W14" s="8">
        <v>0.29699999999999999</v>
      </c>
      <c r="X14" s="8">
        <f t="shared" si="3"/>
        <v>1.5607205733656898E-3</v>
      </c>
      <c r="Y14" s="8">
        <f t="shared" si="4"/>
        <v>6.7940611720085003E-2</v>
      </c>
      <c r="Z14" s="8">
        <f t="shared" si="5"/>
        <v>8.1324358031153697E-3</v>
      </c>
      <c r="AA14" s="8">
        <f t="shared" si="6"/>
        <v>4.5801262664795006E-2</v>
      </c>
      <c r="AB14" s="8">
        <f t="shared" si="7"/>
        <v>2.5331639635562897E-2</v>
      </c>
      <c r="AC14" s="8">
        <f t="shared" si="8"/>
        <v>0.2541238607168198</v>
      </c>
    </row>
    <row r="15" spans="1:29" x14ac:dyDescent="0.25">
      <c r="A15" s="10">
        <v>0.9</v>
      </c>
      <c r="B15" s="10">
        <v>0.1</v>
      </c>
      <c r="C15" s="10">
        <v>2.3559999999999999</v>
      </c>
      <c r="D15" s="10">
        <f t="shared" si="1"/>
        <v>1.5707963267948966</v>
      </c>
      <c r="E15" s="10">
        <v>0.9</v>
      </c>
      <c r="F15" s="10">
        <v>0.02</v>
      </c>
      <c r="G15" s="10">
        <v>4.7119999999999997</v>
      </c>
      <c r="H15" s="10">
        <f t="shared" si="2"/>
        <v>1.5707963267948966</v>
      </c>
      <c r="I15" s="10">
        <v>0.4</v>
      </c>
      <c r="J15" s="10">
        <v>0</v>
      </c>
      <c r="K15" s="10">
        <v>0</v>
      </c>
      <c r="L15" s="8">
        <v>-9.1172568500042005E-4</v>
      </c>
      <c r="M15" s="8">
        <v>-3.9313092827796901E-2</v>
      </c>
      <c r="N15" s="8">
        <v>-0.130889192223549</v>
      </c>
      <c r="O15" s="8">
        <v>-0.256822139024735</v>
      </c>
      <c r="P15" s="8">
        <v>-0.62632656097412098</v>
      </c>
      <c r="Q15" s="8">
        <v>-0.18459481000900299</v>
      </c>
      <c r="R15" s="8">
        <v>5.9999999999999995E-4</v>
      </c>
      <c r="S15" s="8">
        <v>-2.12E-2</v>
      </c>
      <c r="T15" s="8">
        <v>-0.1196</v>
      </c>
      <c r="U15" s="8">
        <v>-0.13669999999999999</v>
      </c>
      <c r="V15" s="8">
        <v>-0.625</v>
      </c>
      <c r="W15" s="8">
        <v>-0.2752</v>
      </c>
      <c r="X15" s="8">
        <f t="shared" si="3"/>
        <v>1.5117256850004199E-3</v>
      </c>
      <c r="Y15" s="8">
        <f t="shared" si="4"/>
        <v>1.8113092827796901E-2</v>
      </c>
      <c r="Z15" s="8">
        <f t="shared" si="5"/>
        <v>1.1289192223549002E-2</v>
      </c>
      <c r="AA15" s="8">
        <f t="shared" si="6"/>
        <v>0.12012213902473501</v>
      </c>
      <c r="AB15" s="8">
        <f t="shared" si="7"/>
        <v>1.3265609741209827E-3</v>
      </c>
      <c r="AC15" s="8">
        <f t="shared" si="8"/>
        <v>9.0605189990997009E-2</v>
      </c>
    </row>
    <row r="16" spans="1:29" x14ac:dyDescent="0.25">
      <c r="A16" s="10">
        <v>0.4</v>
      </c>
      <c r="B16" s="10">
        <v>0.12</v>
      </c>
      <c r="C16" s="10">
        <v>2.3559999999999999</v>
      </c>
      <c r="D16" s="10">
        <f t="shared" si="1"/>
        <v>1.5707963267948966</v>
      </c>
      <c r="E16" s="10">
        <v>0.1</v>
      </c>
      <c r="F16" s="10">
        <v>0.06</v>
      </c>
      <c r="G16" s="10">
        <v>3.1419999999999999</v>
      </c>
      <c r="H16" s="10">
        <f t="shared" si="2"/>
        <v>1.5707963267948966</v>
      </c>
      <c r="I16" s="10">
        <v>0.4</v>
      </c>
      <c r="J16" s="10">
        <v>0</v>
      </c>
      <c r="K16" s="10">
        <v>0</v>
      </c>
      <c r="L16" s="8">
        <v>-3.60760372132063E-3</v>
      </c>
      <c r="M16" s="8">
        <v>-5.4309170693159103E-2</v>
      </c>
      <c r="N16" s="8">
        <v>-7.0400118827819796E-2</v>
      </c>
      <c r="O16" s="8">
        <v>-5.4136319085955602E-3</v>
      </c>
      <c r="P16" s="8">
        <v>-0.32776689529418901</v>
      </c>
      <c r="Q16" s="8">
        <v>0.24705727398395499</v>
      </c>
      <c r="R16" s="8">
        <v>4.0000000000000002E-4</v>
      </c>
      <c r="S16" s="8">
        <v>-5.91E-2</v>
      </c>
      <c r="T16" s="8">
        <v>-7.4099999999999999E-2</v>
      </c>
      <c r="U16" s="8">
        <v>-6.1600000000000002E-2</v>
      </c>
      <c r="V16" s="8">
        <v>-0.38</v>
      </c>
      <c r="W16" s="8">
        <v>0.27989999999999998</v>
      </c>
      <c r="X16" s="8">
        <f t="shared" si="3"/>
        <v>4.0076037213206302E-3</v>
      </c>
      <c r="Y16" s="8">
        <f t="shared" si="4"/>
        <v>4.7908293068408964E-3</v>
      </c>
      <c r="Z16" s="8">
        <f t="shared" si="5"/>
        <v>3.6998811721802027E-3</v>
      </c>
      <c r="AA16" s="8">
        <f t="shared" si="6"/>
        <v>5.618636809140444E-2</v>
      </c>
      <c r="AB16" s="8">
        <f t="shared" si="7"/>
        <v>5.2233104705810995E-2</v>
      </c>
      <c r="AC16" s="8">
        <f t="shared" si="8"/>
        <v>3.2842726016044987E-2</v>
      </c>
    </row>
    <row r="17" spans="1:29" x14ac:dyDescent="0.25">
      <c r="A17" s="10">
        <v>1</v>
      </c>
      <c r="B17" s="10">
        <v>0.14000000000000001</v>
      </c>
      <c r="C17" s="10">
        <v>2.3559999999999999</v>
      </c>
      <c r="D17" s="10">
        <f t="shared" si="1"/>
        <v>1.5707963267948966</v>
      </c>
      <c r="E17" s="10">
        <v>0.4</v>
      </c>
      <c r="F17" s="10">
        <v>0.04</v>
      </c>
      <c r="G17" s="10">
        <v>3.927</v>
      </c>
      <c r="H17" s="10">
        <f t="shared" si="2"/>
        <v>1.5707963267948966</v>
      </c>
      <c r="I17" s="10">
        <v>0.6</v>
      </c>
      <c r="J17" s="10">
        <v>0</v>
      </c>
      <c r="K17" s="10">
        <v>0</v>
      </c>
      <c r="L17" s="8">
        <v>1.51338707655668E-3</v>
      </c>
      <c r="M17" s="8">
        <v>-0.13520552217960399</v>
      </c>
      <c r="N17" s="8">
        <v>-0.2040024548769</v>
      </c>
      <c r="O17" s="8">
        <v>-0.46525964140892001</v>
      </c>
      <c r="P17" s="8">
        <v>-0.93685162067413297</v>
      </c>
      <c r="Q17" s="8">
        <v>0.42077422142028797</v>
      </c>
      <c r="R17" s="8">
        <v>2.0999999999999999E-3</v>
      </c>
      <c r="S17" s="8">
        <v>-0.1181</v>
      </c>
      <c r="T17" s="8">
        <v>-0.1908</v>
      </c>
      <c r="U17" s="8">
        <v>-0.436</v>
      </c>
      <c r="V17" s="8">
        <v>-0.91920000000000002</v>
      </c>
      <c r="W17" s="8">
        <v>0.35489999999999999</v>
      </c>
      <c r="X17" s="8">
        <f t="shared" si="3"/>
        <v>5.8661292344331989E-4</v>
      </c>
      <c r="Y17" s="8">
        <f t="shared" si="4"/>
        <v>1.7105522179603996E-2</v>
      </c>
      <c r="Z17" s="8">
        <f t="shared" si="5"/>
        <v>1.3202454876899999E-2</v>
      </c>
      <c r="AA17" s="8">
        <f t="shared" si="6"/>
        <v>2.9259641408920012E-2</v>
      </c>
      <c r="AB17" s="8">
        <f t="shared" si="7"/>
        <v>1.7651620674132951E-2</v>
      </c>
      <c r="AC17" s="8">
        <f t="shared" si="8"/>
        <v>6.5874221420287982E-2</v>
      </c>
    </row>
    <row r="18" spans="1:29" x14ac:dyDescent="0.25">
      <c r="A18" s="10">
        <v>0.4</v>
      </c>
      <c r="B18" s="10">
        <v>0.18</v>
      </c>
      <c r="C18" s="10">
        <v>2.3559999999999999</v>
      </c>
      <c r="D18" s="10">
        <f t="shared" si="1"/>
        <v>1.5707963267948966</v>
      </c>
      <c r="E18" s="10">
        <v>0.7</v>
      </c>
      <c r="F18" s="10">
        <v>0.04</v>
      </c>
      <c r="G18" s="10">
        <v>3.1419999999999999</v>
      </c>
      <c r="H18" s="10">
        <f t="shared" si="2"/>
        <v>1.5707963267948966</v>
      </c>
      <c r="I18" s="10">
        <v>0</v>
      </c>
      <c r="J18" s="10">
        <v>0</v>
      </c>
      <c r="K18" s="10">
        <v>0</v>
      </c>
      <c r="L18" s="8">
        <v>1.25857396051288E-3</v>
      </c>
      <c r="M18" s="8">
        <v>-6.1508439481258399E-2</v>
      </c>
      <c r="N18" s="8">
        <v>-0.139540165662766</v>
      </c>
      <c r="O18" s="8">
        <v>-9.9908888339996296E-2</v>
      </c>
      <c r="P18" s="8">
        <v>-0.836775302886963</v>
      </c>
      <c r="Q18" s="8">
        <v>0.23870468139648399</v>
      </c>
      <c r="R18" s="8">
        <v>0</v>
      </c>
      <c r="S18" s="8">
        <v>-7.4499999999999997E-2</v>
      </c>
      <c r="T18" s="8">
        <v>-0.16500000000000001</v>
      </c>
      <c r="U18" s="8">
        <v>-0.2039</v>
      </c>
      <c r="V18" s="8">
        <v>-0.96240000000000003</v>
      </c>
      <c r="W18" s="8">
        <v>0.26619999999999999</v>
      </c>
      <c r="X18" s="8">
        <f t="shared" si="3"/>
        <v>1.25857396051288E-3</v>
      </c>
      <c r="Y18" s="8">
        <f t="shared" si="4"/>
        <v>1.2991560518741598E-2</v>
      </c>
      <c r="Z18" s="8">
        <f t="shared" si="5"/>
        <v>2.5459834337234005E-2</v>
      </c>
      <c r="AA18" s="8">
        <f t="shared" si="6"/>
        <v>0.1039911116600037</v>
      </c>
      <c r="AB18" s="8">
        <f t="shared" si="7"/>
        <v>0.12562469711303703</v>
      </c>
      <c r="AC18" s="8">
        <f t="shared" si="8"/>
        <v>2.7495318603516006E-2</v>
      </c>
    </row>
    <row r="19" spans="1:29" x14ac:dyDescent="0.25">
      <c r="A19" s="10">
        <v>0.1</v>
      </c>
      <c r="B19" s="10">
        <v>0.18</v>
      </c>
      <c r="C19" s="10">
        <v>2.3559999999999999</v>
      </c>
      <c r="D19" s="10">
        <f t="shared" si="1"/>
        <v>1.5707963267948966</v>
      </c>
      <c r="E19" s="10">
        <v>0.2</v>
      </c>
      <c r="F19" s="10">
        <v>0.06</v>
      </c>
      <c r="G19" s="10">
        <v>4.7119999999999997</v>
      </c>
      <c r="H19" s="10">
        <f t="shared" si="2"/>
        <v>1.5707963267948966</v>
      </c>
      <c r="I19" s="10">
        <v>0.4</v>
      </c>
      <c r="J19" s="10">
        <v>0</v>
      </c>
      <c r="K19" s="10">
        <v>0</v>
      </c>
      <c r="L19" s="8">
        <v>-7.4886210495606097E-4</v>
      </c>
      <c r="M19" s="8">
        <v>2.0453782752156299E-2</v>
      </c>
      <c r="N19" s="8">
        <v>-9.3716401606798207E-3</v>
      </c>
      <c r="O19" s="8">
        <v>1.6650179401040101E-2</v>
      </c>
      <c r="P19" s="8">
        <v>-2.5679610669612898E-2</v>
      </c>
      <c r="Q19" s="8">
        <v>-0.15806177258491499</v>
      </c>
      <c r="R19" s="8">
        <v>2.0000000000000001E-4</v>
      </c>
      <c r="S19" s="8">
        <v>1.0800000000000001E-2</v>
      </c>
      <c r="T19" s="8">
        <v>-1.9099999999999999E-2</v>
      </c>
      <c r="U19" s="8">
        <v>-2.2000000000000001E-3</v>
      </c>
      <c r="V19" s="8">
        <v>-7.0699999999999999E-2</v>
      </c>
      <c r="W19" s="8">
        <v>-0.12939999999999999</v>
      </c>
      <c r="X19" s="8">
        <f t="shared" si="3"/>
        <v>9.4886210495606096E-4</v>
      </c>
      <c r="Y19" s="8">
        <f t="shared" si="4"/>
        <v>9.6537827521562987E-3</v>
      </c>
      <c r="Z19" s="8">
        <f t="shared" si="5"/>
        <v>9.7283598393201783E-3</v>
      </c>
      <c r="AA19" s="8">
        <f t="shared" si="6"/>
        <v>1.8850179401040102E-2</v>
      </c>
      <c r="AB19" s="8">
        <f t="shared" si="7"/>
        <v>4.5020389330387101E-2</v>
      </c>
      <c r="AC19" s="8">
        <f t="shared" si="8"/>
        <v>2.8661772584915007E-2</v>
      </c>
    </row>
    <row r="20" spans="1:29" x14ac:dyDescent="0.25">
      <c r="A20" s="10">
        <v>0.9</v>
      </c>
      <c r="B20" s="10">
        <v>0.2</v>
      </c>
      <c r="C20" s="10">
        <v>2.3559999999999999</v>
      </c>
      <c r="D20" s="10">
        <f t="shared" si="1"/>
        <v>1.5707963267948966</v>
      </c>
      <c r="E20" s="10">
        <v>0.3</v>
      </c>
      <c r="F20" s="10">
        <v>0.06</v>
      </c>
      <c r="G20" s="10">
        <v>3.1419999999999999</v>
      </c>
      <c r="H20" s="10">
        <f t="shared" si="2"/>
        <v>1.5707963267948966</v>
      </c>
      <c r="I20" s="10">
        <v>1.2</v>
      </c>
      <c r="J20" s="10">
        <v>0</v>
      </c>
      <c r="K20" s="10">
        <v>0</v>
      </c>
      <c r="L20" s="8">
        <v>3.2496866770088699E-3</v>
      </c>
      <c r="M20" s="8">
        <v>-0.114310443401337</v>
      </c>
      <c r="N20" s="8">
        <v>-0.158231571316719</v>
      </c>
      <c r="O20" s="8">
        <v>-0.49384498596191401</v>
      </c>
      <c r="P20" s="8">
        <v>-0.55208766460418701</v>
      </c>
      <c r="Q20" s="8">
        <v>0.26307040452957198</v>
      </c>
      <c r="R20" s="8">
        <v>7.6E-3</v>
      </c>
      <c r="S20" s="8">
        <v>-0.15740000000000001</v>
      </c>
      <c r="T20" s="8">
        <v>-0.20069999999999999</v>
      </c>
      <c r="U20" s="8">
        <v>-0.73</v>
      </c>
      <c r="V20" s="8">
        <v>-0.73870000000000002</v>
      </c>
      <c r="W20" s="8">
        <v>0.42199999999999999</v>
      </c>
      <c r="X20" s="8">
        <f t="shared" si="3"/>
        <v>4.3503133229911301E-3</v>
      </c>
      <c r="Y20" s="8">
        <f t="shared" si="4"/>
        <v>4.3089556598663009E-2</v>
      </c>
      <c r="Z20" s="8">
        <f t="shared" si="5"/>
        <v>4.246842868328099E-2</v>
      </c>
      <c r="AA20" s="8">
        <f t="shared" si="6"/>
        <v>0.23615501403808598</v>
      </c>
      <c r="AB20" s="8">
        <f t="shared" si="7"/>
        <v>0.18661233539581301</v>
      </c>
      <c r="AC20" s="8">
        <f t="shared" si="8"/>
        <v>0.15892959547042801</v>
      </c>
    </row>
    <row r="21" spans="1:29" x14ac:dyDescent="0.25">
      <c r="A21" s="10">
        <v>0.1</v>
      </c>
      <c r="B21" s="10">
        <v>0.1</v>
      </c>
      <c r="C21" s="10">
        <v>3.1419999999999999</v>
      </c>
      <c r="D21" s="10">
        <f t="shared" si="1"/>
        <v>1.5707963267948966</v>
      </c>
      <c r="E21" s="10">
        <v>0.3</v>
      </c>
      <c r="F21" s="10">
        <v>0.08</v>
      </c>
      <c r="G21" s="10">
        <v>3.927</v>
      </c>
      <c r="H21" s="10">
        <f t="shared" si="2"/>
        <v>1.5707963267948966</v>
      </c>
      <c r="I21" s="10">
        <v>1.2</v>
      </c>
      <c r="J21" s="10">
        <v>0</v>
      </c>
      <c r="K21" s="10">
        <v>0</v>
      </c>
      <c r="L21" s="8">
        <v>4.3617305345833302E-4</v>
      </c>
      <c r="M21" s="8">
        <v>3.7674464285373702E-2</v>
      </c>
      <c r="N21" s="8">
        <v>-4.6963214874267599E-2</v>
      </c>
      <c r="O21" s="8">
        <v>1.26499449834228E-2</v>
      </c>
      <c r="P21" s="8">
        <v>-0.26442891359329201</v>
      </c>
      <c r="Q21" s="8">
        <v>-0.20531408488750499</v>
      </c>
      <c r="R21" s="8">
        <v>0</v>
      </c>
      <c r="S21" s="8">
        <v>3.61E-2</v>
      </c>
      <c r="T21" s="8">
        <v>-5.5E-2</v>
      </c>
      <c r="U21" s="8">
        <v>-9.1999999999999998E-3</v>
      </c>
      <c r="V21" s="8">
        <v>-0.312</v>
      </c>
      <c r="W21" s="8">
        <v>-0.21210000000000001</v>
      </c>
      <c r="X21" s="8">
        <f t="shared" si="3"/>
        <v>4.3617305345833302E-4</v>
      </c>
      <c r="Y21" s="8">
        <f t="shared" si="4"/>
        <v>1.5744642853737015E-3</v>
      </c>
      <c r="Z21" s="8">
        <f t="shared" si="5"/>
        <v>8.0367851257324013E-3</v>
      </c>
      <c r="AA21" s="8">
        <f t="shared" si="6"/>
        <v>2.1849944983422798E-2</v>
      </c>
      <c r="AB21" s="8">
        <f t="shared" si="7"/>
        <v>4.7571086406707985E-2</v>
      </c>
      <c r="AC21" s="8">
        <f t="shared" si="8"/>
        <v>6.7859151124950168E-3</v>
      </c>
    </row>
    <row r="22" spans="1:29" x14ac:dyDescent="0.25">
      <c r="A22" s="10">
        <v>0.1</v>
      </c>
      <c r="B22" s="10">
        <v>0.2</v>
      </c>
      <c r="C22" s="10">
        <v>3.1419999999999999</v>
      </c>
      <c r="D22" s="10">
        <f t="shared" si="1"/>
        <v>1.5707963267948966</v>
      </c>
      <c r="E22" s="10">
        <v>0.8</v>
      </c>
      <c r="F22" s="10">
        <v>0.02</v>
      </c>
      <c r="G22" s="10">
        <v>3.927</v>
      </c>
      <c r="H22" s="10">
        <f t="shared" si="2"/>
        <v>1.5707963267948966</v>
      </c>
      <c r="I22" s="10">
        <v>1.2</v>
      </c>
      <c r="J22" s="10">
        <v>0</v>
      </c>
      <c r="K22" s="10">
        <v>0</v>
      </c>
      <c r="L22" s="8">
        <v>1.0640500113368E-3</v>
      </c>
      <c r="M22" s="8">
        <v>6.2404803931713097E-2</v>
      </c>
      <c r="N22" s="8">
        <v>-7.4282236397266402E-2</v>
      </c>
      <c r="O22" s="8">
        <v>1.72678660601377E-2</v>
      </c>
      <c r="P22" s="8">
        <v>-0.60528373718261697</v>
      </c>
      <c r="Q22" s="8">
        <v>-0.54190033674240101</v>
      </c>
      <c r="R22" s="8">
        <v>4.0000000000000002E-4</v>
      </c>
      <c r="S22" s="8">
        <v>6.1899999999999997E-2</v>
      </c>
      <c r="T22" s="8">
        <v>-9.06E-2</v>
      </c>
      <c r="U22" s="8">
        <v>-9.7000000000000003E-3</v>
      </c>
      <c r="V22" s="8">
        <v>-0.66559999999999997</v>
      </c>
      <c r="W22" s="8">
        <v>-0.56569999999999998</v>
      </c>
      <c r="X22" s="8">
        <f t="shared" si="3"/>
        <v>6.640500113368E-4</v>
      </c>
      <c r="Y22" s="8">
        <f t="shared" si="4"/>
        <v>5.0480393171310062E-4</v>
      </c>
      <c r="Z22" s="8">
        <f t="shared" si="5"/>
        <v>1.6317763602733598E-2</v>
      </c>
      <c r="AA22" s="8">
        <f t="shared" si="6"/>
        <v>2.69678660601377E-2</v>
      </c>
      <c r="AB22" s="8">
        <f t="shared" si="7"/>
        <v>6.0316262817383004E-2</v>
      </c>
      <c r="AC22" s="8">
        <f t="shared" si="8"/>
        <v>2.3799663257598969E-2</v>
      </c>
    </row>
    <row r="23" spans="1:29" x14ac:dyDescent="0.25">
      <c r="A23" s="10">
        <v>0.9</v>
      </c>
      <c r="B23" s="10">
        <v>0.1</v>
      </c>
      <c r="C23" s="10">
        <v>3.927</v>
      </c>
      <c r="D23" s="10">
        <f t="shared" si="1"/>
        <v>1.5707963267948966</v>
      </c>
      <c r="E23" s="10">
        <v>0.2</v>
      </c>
      <c r="F23" s="10">
        <v>0.02</v>
      </c>
      <c r="G23" s="10">
        <v>3.1419999999999999</v>
      </c>
      <c r="H23" s="10">
        <f t="shared" si="2"/>
        <v>1.5707963267948966</v>
      </c>
      <c r="I23" s="10">
        <v>1.4</v>
      </c>
      <c r="J23" s="10">
        <v>0</v>
      </c>
      <c r="K23" s="10">
        <v>0</v>
      </c>
      <c r="L23" s="8">
        <v>-2.0453361794352501E-3</v>
      </c>
      <c r="M23" s="8">
        <v>0.14060573279857599</v>
      </c>
      <c r="N23" s="8">
        <v>-0.14573009312152899</v>
      </c>
      <c r="O23" s="8">
        <v>-0.146071821451187</v>
      </c>
      <c r="P23" s="8">
        <v>-0.82719779014587402</v>
      </c>
      <c r="Q23" s="8">
        <v>-0.70544010400772095</v>
      </c>
      <c r="R23" s="8">
        <v>-5.9999999999999995E-4</v>
      </c>
      <c r="S23" s="8">
        <v>0.12</v>
      </c>
      <c r="T23" s="8">
        <v>-0.1419</v>
      </c>
      <c r="U23" s="8">
        <v>-0.15340000000000001</v>
      </c>
      <c r="V23" s="8">
        <v>-0.82820000000000005</v>
      </c>
      <c r="W23" s="8">
        <v>-0.62770000000000004</v>
      </c>
      <c r="X23" s="8">
        <f t="shared" si="3"/>
        <v>1.4453361794352503E-3</v>
      </c>
      <c r="Y23" s="8">
        <f t="shared" si="4"/>
        <v>2.0605732798575999E-2</v>
      </c>
      <c r="Z23" s="8">
        <f t="shared" si="5"/>
        <v>3.830093121528988E-3</v>
      </c>
      <c r="AA23" s="8">
        <f t="shared" si="6"/>
        <v>7.3281785488130136E-3</v>
      </c>
      <c r="AB23" s="8">
        <f t="shared" si="7"/>
        <v>1.0022098541260238E-3</v>
      </c>
      <c r="AC23" s="8">
        <f t="shared" si="8"/>
        <v>7.7740104007720912E-2</v>
      </c>
    </row>
    <row r="24" spans="1:29" x14ac:dyDescent="0.25">
      <c r="A24" s="10">
        <v>0.2</v>
      </c>
      <c r="B24" s="10">
        <v>0.12</v>
      </c>
      <c r="C24" s="10">
        <v>3.927</v>
      </c>
      <c r="D24" s="10">
        <f t="shared" si="1"/>
        <v>1.5707963267948966</v>
      </c>
      <c r="E24" s="10">
        <v>0.2</v>
      </c>
      <c r="F24" s="10">
        <v>0.02</v>
      </c>
      <c r="G24" s="10">
        <v>4.7119999999999997</v>
      </c>
      <c r="H24" s="10">
        <f t="shared" si="2"/>
        <v>1.5707963267948966</v>
      </c>
      <c r="I24" s="10">
        <v>1.2</v>
      </c>
      <c r="J24" s="10">
        <v>0</v>
      </c>
      <c r="K24" s="10">
        <v>0</v>
      </c>
      <c r="L24" s="8">
        <v>-9.4009120948612701E-4</v>
      </c>
      <c r="M24" s="8">
        <v>4.6884305775165599E-2</v>
      </c>
      <c r="N24" s="8">
        <v>-2.4323541671037702E-2</v>
      </c>
      <c r="O24" s="8">
        <v>5.6157279759645497E-3</v>
      </c>
      <c r="P24" s="8">
        <v>-0.11253473162651099</v>
      </c>
      <c r="Q24" s="8">
        <v>-0.29774409532547003</v>
      </c>
      <c r="R24" s="8">
        <v>-2.0000000000000001E-4</v>
      </c>
      <c r="S24" s="8">
        <v>5.16E-2</v>
      </c>
      <c r="T24" s="8">
        <v>-2.9700000000000001E-2</v>
      </c>
      <c r="U24" s="8">
        <v>-5.5999999999999999E-3</v>
      </c>
      <c r="V24" s="8">
        <v>-0.14149999999999999</v>
      </c>
      <c r="W24" s="8">
        <v>-0.34139999999999998</v>
      </c>
      <c r="X24" s="8">
        <f t="shared" si="3"/>
        <v>7.4009120948612703E-4</v>
      </c>
      <c r="Y24" s="8">
        <f t="shared" si="4"/>
        <v>4.7156942248344005E-3</v>
      </c>
      <c r="Z24" s="8">
        <f t="shared" si="5"/>
        <v>5.376458328962299E-3</v>
      </c>
      <c r="AA24" s="8">
        <f t="shared" si="6"/>
        <v>1.121572797596455E-2</v>
      </c>
      <c r="AB24" s="8">
        <f t="shared" si="7"/>
        <v>2.8965268373488992E-2</v>
      </c>
      <c r="AC24" s="8">
        <f t="shared" si="8"/>
        <v>4.3655904674529955E-2</v>
      </c>
    </row>
    <row r="25" spans="1:29" x14ac:dyDescent="0.25">
      <c r="A25" s="10">
        <v>0.6</v>
      </c>
      <c r="B25" s="10">
        <v>0.12</v>
      </c>
      <c r="C25" s="10">
        <v>3.927</v>
      </c>
      <c r="D25" s="10">
        <f t="shared" si="1"/>
        <v>1.5707963267948966</v>
      </c>
      <c r="E25" s="10">
        <v>0.5</v>
      </c>
      <c r="F25" s="10">
        <v>0.08</v>
      </c>
      <c r="G25" s="10">
        <v>4.7119999999999997</v>
      </c>
      <c r="H25" s="10">
        <f t="shared" si="2"/>
        <v>1.5707963267948966</v>
      </c>
      <c r="I25" s="10">
        <v>0.2</v>
      </c>
      <c r="J25" s="10">
        <v>0</v>
      </c>
      <c r="K25" s="10">
        <v>0</v>
      </c>
      <c r="L25" s="8">
        <v>3.5136193037033097E-4</v>
      </c>
      <c r="M25" s="8">
        <v>0.18612760305404699</v>
      </c>
      <c r="N25" s="8">
        <v>-8.7223671376705197E-2</v>
      </c>
      <c r="O25" s="8">
        <v>-0.228773519396782</v>
      </c>
      <c r="P25" s="8">
        <v>-0.39178490638732899</v>
      </c>
      <c r="Q25" s="8">
        <v>-0.93568027019500699</v>
      </c>
      <c r="R25" s="8">
        <v>-2.0000000000000001E-4</v>
      </c>
      <c r="S25" s="8">
        <v>0.17119999999999999</v>
      </c>
      <c r="T25" s="8">
        <v>-8.7400000000000005E-2</v>
      </c>
      <c r="U25" s="8">
        <v>-0.24460000000000001</v>
      </c>
      <c r="V25" s="8">
        <v>-0.4093</v>
      </c>
      <c r="W25" s="8">
        <v>-0.89829999999999999</v>
      </c>
      <c r="X25" s="8">
        <f t="shared" si="3"/>
        <v>5.5136193037033101E-4</v>
      </c>
      <c r="Y25" s="8">
        <f t="shared" si="4"/>
        <v>1.4927603054047001E-2</v>
      </c>
      <c r="Z25" s="8">
        <f t="shared" si="5"/>
        <v>1.7632862329480803E-4</v>
      </c>
      <c r="AA25" s="8">
        <f t="shared" si="6"/>
        <v>1.5826480603218007E-2</v>
      </c>
      <c r="AB25" s="8">
        <f t="shared" si="7"/>
        <v>1.7515093612671007E-2</v>
      </c>
      <c r="AC25" s="8">
        <f t="shared" si="8"/>
        <v>3.7380270195007004E-2</v>
      </c>
    </row>
    <row r="26" spans="1:29" x14ac:dyDescent="0.25">
      <c r="A26" s="10">
        <v>0.7</v>
      </c>
      <c r="B26" s="10">
        <v>0.16</v>
      </c>
      <c r="C26" s="10">
        <v>3.927</v>
      </c>
      <c r="D26" s="10">
        <f t="shared" si="1"/>
        <v>1.5707963267948966</v>
      </c>
      <c r="E26" s="10">
        <v>1</v>
      </c>
      <c r="F26" s="10">
        <v>0.04</v>
      </c>
      <c r="G26" s="10">
        <v>3.927</v>
      </c>
      <c r="H26" s="10">
        <f t="shared" si="2"/>
        <v>1.5707963267948966</v>
      </c>
      <c r="I26" s="10">
        <v>1.2</v>
      </c>
      <c r="J26" s="10">
        <v>0</v>
      </c>
      <c r="K26" s="10">
        <v>0</v>
      </c>
      <c r="L26" s="8">
        <v>-2.9902514070272398E-3</v>
      </c>
      <c r="M26" s="8">
        <v>0.20048326253891</v>
      </c>
      <c r="N26" s="8">
        <v>-0.21412828564643899</v>
      </c>
      <c r="O26" s="8">
        <v>-0.35741558670997597</v>
      </c>
      <c r="P26" s="8">
        <v>-1.1967084407806401</v>
      </c>
      <c r="Q26" s="8">
        <v>-1.0432312488555899</v>
      </c>
      <c r="R26" s="8">
        <v>-1.1000000000000001E-3</v>
      </c>
      <c r="S26" s="8">
        <v>0.2099</v>
      </c>
      <c r="T26" s="8">
        <v>-0.2099</v>
      </c>
      <c r="U26" s="8">
        <v>-0.4637</v>
      </c>
      <c r="V26" s="8">
        <v>-1.1525000000000001</v>
      </c>
      <c r="W26" s="8">
        <v>-1.1497999999999999</v>
      </c>
      <c r="X26" s="8">
        <f t="shared" si="3"/>
        <v>1.8902514070272397E-3</v>
      </c>
      <c r="Y26" s="8">
        <f t="shared" si="4"/>
        <v>9.4167374610900079E-3</v>
      </c>
      <c r="Z26" s="8">
        <f t="shared" si="5"/>
        <v>4.228285646438984E-3</v>
      </c>
      <c r="AA26" s="8">
        <f t="shared" si="6"/>
        <v>0.10628441329002403</v>
      </c>
      <c r="AB26" s="8">
        <f t="shared" si="7"/>
        <v>4.4208440780640013E-2</v>
      </c>
      <c r="AC26" s="8">
        <f t="shared" si="8"/>
        <v>0.10656875114441</v>
      </c>
    </row>
    <row r="27" spans="1:29" x14ac:dyDescent="0.25">
      <c r="A27" s="10">
        <v>0.1</v>
      </c>
      <c r="B27" s="10">
        <v>0.18</v>
      </c>
      <c r="C27" s="10">
        <v>3.927</v>
      </c>
      <c r="D27" s="10">
        <f t="shared" si="1"/>
        <v>1.5707963267948966</v>
      </c>
      <c r="E27" s="10">
        <v>0.9</v>
      </c>
      <c r="F27" s="10">
        <v>0.08</v>
      </c>
      <c r="G27" s="10">
        <v>3.1419999999999999</v>
      </c>
      <c r="H27" s="10">
        <f t="shared" si="2"/>
        <v>1.5707963267948966</v>
      </c>
      <c r="I27" s="10">
        <v>0.6</v>
      </c>
      <c r="J27" s="10">
        <v>0</v>
      </c>
      <c r="K27" s="10">
        <v>0</v>
      </c>
      <c r="L27" s="8">
        <v>-2.0198281854391098E-3</v>
      </c>
      <c r="M27" s="8">
        <v>2.0925674587488199E-2</v>
      </c>
      <c r="N27" s="8">
        <v>-0.17995955049991599</v>
      </c>
      <c r="O27" s="8">
        <v>-0.152651637792587</v>
      </c>
      <c r="P27" s="8">
        <v>-0.97161656618118297</v>
      </c>
      <c r="Q27" s="8">
        <v>-4.6399652957916301E-2</v>
      </c>
      <c r="R27" s="8">
        <v>2.0000000000000001E-4</v>
      </c>
      <c r="S27" s="8">
        <v>1.9E-2</v>
      </c>
      <c r="T27" s="8">
        <v>-0.17080000000000001</v>
      </c>
      <c r="U27" s="8">
        <v>-0.15190000000000001</v>
      </c>
      <c r="V27" s="8">
        <v>-0.95889999999999997</v>
      </c>
      <c r="W27" s="8">
        <v>-6.93E-2</v>
      </c>
      <c r="X27" s="8">
        <f t="shared" si="3"/>
        <v>2.2198281854391099E-3</v>
      </c>
      <c r="Y27" s="8">
        <f t="shared" si="4"/>
        <v>1.9256745874881992E-3</v>
      </c>
      <c r="Z27" s="8">
        <f t="shared" si="5"/>
        <v>9.159550499915986E-3</v>
      </c>
      <c r="AA27" s="8">
        <f t="shared" si="6"/>
        <v>7.5163779258699548E-4</v>
      </c>
      <c r="AB27" s="8">
        <f t="shared" si="7"/>
        <v>1.2716566181182998E-2</v>
      </c>
      <c r="AC27" s="8">
        <f t="shared" si="8"/>
        <v>2.2900347042083699E-2</v>
      </c>
    </row>
    <row r="28" spans="1:29" x14ac:dyDescent="0.25">
      <c r="A28" s="10">
        <v>1</v>
      </c>
      <c r="B28" s="10">
        <v>0.18</v>
      </c>
      <c r="C28" s="10">
        <v>3.927</v>
      </c>
      <c r="D28" s="10">
        <f t="shared" si="1"/>
        <v>1.5707963267948966</v>
      </c>
      <c r="E28" s="10">
        <v>0.1</v>
      </c>
      <c r="F28" s="10">
        <v>0.08</v>
      </c>
      <c r="G28" s="10">
        <v>4.7119999999999997</v>
      </c>
      <c r="H28" s="10">
        <f t="shared" si="2"/>
        <v>1.5707963267948966</v>
      </c>
      <c r="I28" s="10">
        <v>1.4</v>
      </c>
      <c r="J28" s="10">
        <v>0</v>
      </c>
      <c r="K28" s="10">
        <v>0</v>
      </c>
      <c r="L28" s="8">
        <v>-3.2074763439595699E-3</v>
      </c>
      <c r="M28" s="8">
        <v>0.20627745985984799</v>
      </c>
      <c r="N28" s="8">
        <v>-0.18315301835537001</v>
      </c>
      <c r="O28" s="8">
        <v>-0.56037515401840199</v>
      </c>
      <c r="P28" s="8">
        <v>-0.63611704111099199</v>
      </c>
      <c r="Q28" s="8">
        <v>-0.73725110292434703</v>
      </c>
      <c r="R28" s="8">
        <v>-2.3E-3</v>
      </c>
      <c r="S28" s="8">
        <v>0.18809999999999999</v>
      </c>
      <c r="T28" s="8">
        <v>-0.17180000000000001</v>
      </c>
      <c r="U28" s="8">
        <v>-0.65800000000000003</v>
      </c>
      <c r="V28" s="8">
        <v>-0.5544</v>
      </c>
      <c r="W28" s="8">
        <v>-0.63919999999999999</v>
      </c>
      <c r="X28" s="8">
        <f t="shared" si="3"/>
        <v>9.0747634395956997E-4</v>
      </c>
      <c r="Y28" s="8">
        <f t="shared" si="4"/>
        <v>1.8177459859848005E-2</v>
      </c>
      <c r="Z28" s="8">
        <f t="shared" si="5"/>
        <v>1.1353018355370004E-2</v>
      </c>
      <c r="AA28" s="8">
        <f t="shared" si="6"/>
        <v>9.7624845981598041E-2</v>
      </c>
      <c r="AB28" s="8">
        <f t="shared" si="7"/>
        <v>8.1717041110991984E-2</v>
      </c>
      <c r="AC28" s="8">
        <f t="shared" si="8"/>
        <v>9.8051102924347044E-2</v>
      </c>
    </row>
    <row r="29" spans="1:29" x14ac:dyDescent="0.25">
      <c r="A29" s="10">
        <v>0.7</v>
      </c>
      <c r="B29" s="10">
        <v>0.2</v>
      </c>
      <c r="C29" s="10">
        <v>3.927</v>
      </c>
      <c r="D29" s="10">
        <f t="shared" si="1"/>
        <v>1.5707963267948966</v>
      </c>
      <c r="E29" s="10">
        <v>0.2</v>
      </c>
      <c r="F29" s="10">
        <v>0.02</v>
      </c>
      <c r="G29" s="10">
        <v>3.927</v>
      </c>
      <c r="H29" s="10">
        <f t="shared" si="2"/>
        <v>1.5707963267948966</v>
      </c>
      <c r="I29" s="10">
        <v>0.4</v>
      </c>
      <c r="J29" s="10">
        <v>0</v>
      </c>
      <c r="K29" s="10">
        <v>0</v>
      </c>
      <c r="L29" s="8">
        <v>-7.4698124080896399E-4</v>
      </c>
      <c r="M29" s="8">
        <v>0.110706090927124</v>
      </c>
      <c r="N29" s="8">
        <v>-0.128691270947456</v>
      </c>
      <c r="O29" s="8">
        <v>-0.39982143044471702</v>
      </c>
      <c r="P29" s="8">
        <v>-0.49842935800552401</v>
      </c>
      <c r="Q29" s="8">
        <v>-0.30814808607101402</v>
      </c>
      <c r="R29" s="8">
        <v>-5.0000000000000001E-4</v>
      </c>
      <c r="S29" s="8">
        <v>0.1464</v>
      </c>
      <c r="T29" s="8">
        <v>-0.1464</v>
      </c>
      <c r="U29" s="8">
        <v>-0.42180000000000001</v>
      </c>
      <c r="V29" s="8">
        <v>-0.54790000000000005</v>
      </c>
      <c r="W29" s="8">
        <v>-0.5464</v>
      </c>
      <c r="X29" s="8">
        <f t="shared" si="3"/>
        <v>2.4698124080896398E-4</v>
      </c>
      <c r="Y29" s="8">
        <f t="shared" si="4"/>
        <v>3.5693909072876007E-2</v>
      </c>
      <c r="Z29" s="8">
        <f t="shared" si="5"/>
        <v>1.7708729052544003E-2</v>
      </c>
      <c r="AA29" s="8">
        <f t="shared" si="6"/>
        <v>2.197856955528299E-2</v>
      </c>
      <c r="AB29" s="8">
        <f t="shared" si="7"/>
        <v>4.9470641994476039E-2</v>
      </c>
      <c r="AC29" s="8">
        <f t="shared" si="8"/>
        <v>0.23825191392898598</v>
      </c>
    </row>
    <row r="30" spans="1:29" x14ac:dyDescent="0.25">
      <c r="A30" s="10">
        <v>1</v>
      </c>
      <c r="B30" s="10">
        <v>0.2</v>
      </c>
      <c r="C30" s="10">
        <v>3.927</v>
      </c>
      <c r="D30" s="10">
        <f t="shared" si="1"/>
        <v>1.5707963267948966</v>
      </c>
      <c r="E30" s="10">
        <v>1</v>
      </c>
      <c r="F30" s="10">
        <v>0.06</v>
      </c>
      <c r="G30" s="10">
        <v>3.927</v>
      </c>
      <c r="H30" s="10">
        <f t="shared" si="2"/>
        <v>1.5707963267948966</v>
      </c>
      <c r="I30" s="10">
        <v>0.2</v>
      </c>
      <c r="J30" s="10">
        <v>0</v>
      </c>
      <c r="K30" s="10">
        <v>0</v>
      </c>
      <c r="L30" s="8">
        <v>-3.93409747630358E-3</v>
      </c>
      <c r="M30" s="8">
        <v>0.26014894247055098</v>
      </c>
      <c r="N30" s="8">
        <v>-0.247706294059753</v>
      </c>
      <c r="O30" s="8">
        <v>-0.95730906724929798</v>
      </c>
      <c r="P30" s="8">
        <v>-1.0179207324981701</v>
      </c>
      <c r="Q30" s="8">
        <v>-0.96642386913299605</v>
      </c>
      <c r="R30" s="8">
        <v>-4.0000000000000002E-4</v>
      </c>
      <c r="S30" s="8">
        <v>0.2606</v>
      </c>
      <c r="T30" s="8">
        <v>-0.2606</v>
      </c>
      <c r="U30" s="8">
        <v>-1.3205</v>
      </c>
      <c r="V30" s="8">
        <v>-1.0181</v>
      </c>
      <c r="W30" s="8">
        <v>-1.0159</v>
      </c>
      <c r="X30" s="8">
        <f t="shared" si="3"/>
        <v>3.5340974763035798E-3</v>
      </c>
      <c r="Y30" s="8">
        <f t="shared" si="4"/>
        <v>4.5105752944901711E-4</v>
      </c>
      <c r="Z30" s="8">
        <f t="shared" si="5"/>
        <v>1.2893705940246997E-2</v>
      </c>
      <c r="AA30" s="8">
        <f t="shared" si="6"/>
        <v>0.36319093275070202</v>
      </c>
      <c r="AB30" s="8">
        <f t="shared" si="7"/>
        <v>1.7926750182994944E-4</v>
      </c>
      <c r="AC30" s="8">
        <f t="shared" si="8"/>
        <v>4.9476130867003976E-2</v>
      </c>
    </row>
    <row r="31" spans="1:29" x14ac:dyDescent="0.25">
      <c r="A31" s="10">
        <v>0.1</v>
      </c>
      <c r="B31" s="10">
        <v>0.1</v>
      </c>
      <c r="C31" s="10">
        <v>4.7119999999999997</v>
      </c>
      <c r="D31" s="10">
        <f t="shared" si="1"/>
        <v>1.5707963267948966</v>
      </c>
      <c r="E31" s="10">
        <v>0.2</v>
      </c>
      <c r="F31" s="10">
        <v>0.02</v>
      </c>
      <c r="G31" s="10">
        <v>3.1419999999999999</v>
      </c>
      <c r="H31" s="10">
        <f t="shared" si="2"/>
        <v>1.5707963267948966</v>
      </c>
      <c r="I31" s="10">
        <v>0</v>
      </c>
      <c r="J31" s="10">
        <v>0</v>
      </c>
      <c r="K31" s="10">
        <v>0</v>
      </c>
      <c r="L31" s="8">
        <v>-2.4949701037257899E-4</v>
      </c>
      <c r="M31" s="8">
        <v>1.1188399977982001E-2</v>
      </c>
      <c r="N31" s="8">
        <v>-2.3344287648797001E-2</v>
      </c>
      <c r="O31" s="8">
        <v>-4.5918696559965602E-3</v>
      </c>
      <c r="P31" s="8">
        <v>-0.20488628745078999</v>
      </c>
      <c r="Q31" s="8">
        <v>-6.8177700042724595E-2</v>
      </c>
      <c r="R31" s="8">
        <v>0</v>
      </c>
      <c r="S31" s="8">
        <v>1.9E-2</v>
      </c>
      <c r="T31" s="8">
        <v>-2.1899999999999999E-2</v>
      </c>
      <c r="U31" s="8">
        <v>-2.5999999999999999E-3</v>
      </c>
      <c r="V31" s="8">
        <v>-0.2</v>
      </c>
      <c r="W31" s="8">
        <v>-0.10009999999999999</v>
      </c>
      <c r="X31" s="8">
        <f t="shared" si="3"/>
        <v>2.4949701037257899E-4</v>
      </c>
      <c r="Y31" s="8">
        <f t="shared" si="4"/>
        <v>7.8116000220179987E-3</v>
      </c>
      <c r="Z31" s="8">
        <f t="shared" si="5"/>
        <v>1.4442876487970012E-3</v>
      </c>
      <c r="AA31" s="8">
        <f t="shared" si="6"/>
        <v>1.9918696559965603E-3</v>
      </c>
      <c r="AB31" s="8">
        <f t="shared" si="7"/>
        <v>4.8862874507899778E-3</v>
      </c>
      <c r="AC31" s="8">
        <f t="shared" si="8"/>
        <v>3.1922299957275399E-2</v>
      </c>
    </row>
    <row r="32" spans="1:29" x14ac:dyDescent="0.25">
      <c r="A32" s="10">
        <v>0.3</v>
      </c>
      <c r="B32" s="10">
        <v>0.1</v>
      </c>
      <c r="C32" s="10">
        <v>4.7119999999999997</v>
      </c>
      <c r="D32" s="10">
        <f t="shared" si="1"/>
        <v>1.5707963267948966</v>
      </c>
      <c r="E32" s="10">
        <v>0.8</v>
      </c>
      <c r="F32" s="10">
        <v>0.04</v>
      </c>
      <c r="G32" s="10">
        <v>3.927</v>
      </c>
      <c r="H32" s="10">
        <f t="shared" si="2"/>
        <v>1.5707963267948966</v>
      </c>
      <c r="I32" s="10">
        <v>0.4</v>
      </c>
      <c r="J32" s="10">
        <v>0</v>
      </c>
      <c r="K32" s="10">
        <v>0</v>
      </c>
      <c r="L32" s="8">
        <v>-1.44378747791052E-4</v>
      </c>
      <c r="M32" s="8">
        <v>0.122855387628078</v>
      </c>
      <c r="N32" s="8">
        <v>-6.9621779024600997E-2</v>
      </c>
      <c r="O32" s="8">
        <v>-7.5552083551883698E-2</v>
      </c>
      <c r="P32" s="8">
        <v>-0.53028601408004805</v>
      </c>
      <c r="Q32" s="8">
        <v>-0.79531830549240101</v>
      </c>
      <c r="R32" s="8">
        <v>-2.0000000000000001E-4</v>
      </c>
      <c r="S32" s="8">
        <v>0.13020000000000001</v>
      </c>
      <c r="T32" s="8">
        <v>-7.3400000000000007E-2</v>
      </c>
      <c r="U32" s="8">
        <v>-6.9400000000000003E-2</v>
      </c>
      <c r="V32" s="8">
        <v>-0.56510000000000005</v>
      </c>
      <c r="W32" s="8">
        <v>-0.86329999999999996</v>
      </c>
      <c r="X32" s="8">
        <f t="shared" si="3"/>
        <v>5.5621252208948009E-5</v>
      </c>
      <c r="Y32" s="8">
        <f t="shared" si="4"/>
        <v>7.3446123719220074E-3</v>
      </c>
      <c r="Z32" s="8">
        <f t="shared" si="5"/>
        <v>3.7782209753990104E-3</v>
      </c>
      <c r="AA32" s="8">
        <f t="shared" si="6"/>
        <v>6.1520835518836942E-3</v>
      </c>
      <c r="AB32" s="8">
        <f t="shared" si="7"/>
        <v>3.4813985919951995E-2</v>
      </c>
      <c r="AC32" s="8">
        <f t="shared" si="8"/>
        <v>6.7981694507598944E-2</v>
      </c>
    </row>
    <row r="33" spans="1:29" x14ac:dyDescent="0.25">
      <c r="A33" s="10">
        <v>1</v>
      </c>
      <c r="B33" s="10">
        <v>0.1</v>
      </c>
      <c r="C33" s="10">
        <v>4.7119999999999997</v>
      </c>
      <c r="D33" s="10">
        <f t="shared" si="1"/>
        <v>1.5707963267948966</v>
      </c>
      <c r="E33" s="10">
        <v>0.1</v>
      </c>
      <c r="F33" s="10">
        <v>0.04</v>
      </c>
      <c r="G33" s="10">
        <v>4.7119999999999997</v>
      </c>
      <c r="H33" s="10">
        <f t="shared" si="2"/>
        <v>1.5707963267948966</v>
      </c>
      <c r="I33" s="10">
        <v>0</v>
      </c>
      <c r="J33" s="10">
        <v>0</v>
      </c>
      <c r="K33" s="10">
        <v>0</v>
      </c>
      <c r="L33" s="8">
        <v>2.13603163138032E-3</v>
      </c>
      <c r="M33" s="8">
        <v>0.22294643521308899</v>
      </c>
      <c r="N33" s="8">
        <v>-3.3264472149312501E-3</v>
      </c>
      <c r="O33" s="8">
        <v>-0.25940474867820701</v>
      </c>
      <c r="P33" s="8">
        <v>-2.7135983109474199E-2</v>
      </c>
      <c r="Q33" s="8">
        <v>-1.17376625537872</v>
      </c>
      <c r="R33" s="8">
        <v>0</v>
      </c>
      <c r="S33" s="8">
        <v>0.19980000000000001</v>
      </c>
      <c r="T33" s="8">
        <v>-1E-4</v>
      </c>
      <c r="U33" s="8">
        <v>-0.25019999999999998</v>
      </c>
      <c r="V33" s="8">
        <v>-4.0000000000000002E-4</v>
      </c>
      <c r="W33" s="8">
        <v>-1.0708</v>
      </c>
      <c r="X33" s="8">
        <f t="shared" si="3"/>
        <v>2.13603163138032E-3</v>
      </c>
      <c r="Y33" s="8">
        <f t="shared" si="4"/>
        <v>2.3146435213088984E-2</v>
      </c>
      <c r="Z33" s="8">
        <f t="shared" si="5"/>
        <v>3.2264472149312502E-3</v>
      </c>
      <c r="AA33" s="8">
        <f t="shared" si="6"/>
        <v>9.2047486782070309E-3</v>
      </c>
      <c r="AB33" s="8">
        <f t="shared" si="7"/>
        <v>2.6735983109474198E-2</v>
      </c>
      <c r="AC33" s="8">
        <f t="shared" si="8"/>
        <v>0.10296625537872006</v>
      </c>
    </row>
    <row r="34" spans="1:29" x14ac:dyDescent="0.25">
      <c r="A34" s="10">
        <v>0.1</v>
      </c>
      <c r="B34" s="10">
        <v>0.1</v>
      </c>
      <c r="C34" s="10">
        <v>4.7119999999999997</v>
      </c>
      <c r="D34" s="10">
        <f t="shared" si="1"/>
        <v>1.5707963267948966</v>
      </c>
      <c r="E34" s="10">
        <v>1</v>
      </c>
      <c r="F34" s="10">
        <v>0.08</v>
      </c>
      <c r="G34" s="10">
        <v>4.7119999999999997</v>
      </c>
      <c r="H34" s="10">
        <f t="shared" si="2"/>
        <v>1.5707963267948966</v>
      </c>
      <c r="I34" s="10">
        <v>1.4</v>
      </c>
      <c r="J34" s="10">
        <v>0</v>
      </c>
      <c r="K34" s="10">
        <v>0</v>
      </c>
      <c r="L34" s="8">
        <v>-2.9623867012560398E-3</v>
      </c>
      <c r="M34" s="8">
        <v>0.167345225811005</v>
      </c>
      <c r="N34" s="8">
        <v>-2.4530226364731799E-2</v>
      </c>
      <c r="O34" s="8">
        <v>-0.11945986747741701</v>
      </c>
      <c r="P34" s="8">
        <v>-0.14860638976097101</v>
      </c>
      <c r="Q34" s="8">
        <v>-0.949754118919373</v>
      </c>
      <c r="R34" s="8">
        <v>-1.6999999999999999E-3</v>
      </c>
      <c r="S34" s="8">
        <v>0.18759999999999999</v>
      </c>
      <c r="T34" s="8">
        <v>-1E-4</v>
      </c>
      <c r="U34" s="8">
        <v>-0.16339999999999999</v>
      </c>
      <c r="V34" s="8">
        <v>-2.3E-3</v>
      </c>
      <c r="W34" s="8">
        <v>-1.0878000000000001</v>
      </c>
      <c r="X34" s="8">
        <f t="shared" si="3"/>
        <v>1.2623867012560399E-3</v>
      </c>
      <c r="Y34" s="8">
        <f t="shared" si="4"/>
        <v>2.0254774188994989E-2</v>
      </c>
      <c r="Z34" s="8">
        <f t="shared" si="5"/>
        <v>2.44302263647318E-2</v>
      </c>
      <c r="AA34" s="8">
        <f t="shared" si="6"/>
        <v>4.3940132522582984E-2</v>
      </c>
      <c r="AB34" s="8">
        <f t="shared" si="7"/>
        <v>0.14630638976097102</v>
      </c>
      <c r="AC34" s="8">
        <f t="shared" si="8"/>
        <v>0.1380458810806271</v>
      </c>
    </row>
    <row r="35" spans="1:29" x14ac:dyDescent="0.25">
      <c r="A35" s="10">
        <v>0.9</v>
      </c>
      <c r="B35" s="10">
        <v>0.12</v>
      </c>
      <c r="C35" s="10">
        <v>4.7119999999999997</v>
      </c>
      <c r="D35" s="10">
        <f t="shared" si="1"/>
        <v>1.5707963267948966</v>
      </c>
      <c r="E35" s="10">
        <v>0.9</v>
      </c>
      <c r="F35" s="10">
        <v>0.02</v>
      </c>
      <c r="G35" s="10">
        <v>3.1419999999999999</v>
      </c>
      <c r="H35" s="10">
        <f t="shared" si="2"/>
        <v>1.5707963267948966</v>
      </c>
      <c r="I35" s="10">
        <v>0</v>
      </c>
      <c r="J35" s="10">
        <v>0</v>
      </c>
      <c r="K35" s="10">
        <v>0</v>
      </c>
      <c r="L35" s="8">
        <v>-7.8027322888374296E-4</v>
      </c>
      <c r="M35" s="8">
        <v>0.20929773151874501</v>
      </c>
      <c r="N35" s="8">
        <v>-9.5626659691333799E-2</v>
      </c>
      <c r="O35" s="8">
        <v>-0.33798754215240501</v>
      </c>
      <c r="P35" s="8">
        <v>-0.8543701171875</v>
      </c>
      <c r="Q35" s="8">
        <v>-0.97470813989639304</v>
      </c>
      <c r="R35" s="8">
        <v>0</v>
      </c>
      <c r="S35" s="8">
        <v>0.18429999999999999</v>
      </c>
      <c r="T35" s="8">
        <v>-9.8299999999999998E-2</v>
      </c>
      <c r="U35" s="8">
        <v>-0.27539999999999998</v>
      </c>
      <c r="V35" s="8">
        <v>-0.89829999999999999</v>
      </c>
      <c r="W35" s="8">
        <v>-0.8589</v>
      </c>
      <c r="X35" s="8">
        <f t="shared" si="3"/>
        <v>7.8027322888374296E-4</v>
      </c>
      <c r="Y35" s="8">
        <f t="shared" si="4"/>
        <v>2.4997731518745014E-2</v>
      </c>
      <c r="Z35" s="8">
        <f t="shared" si="5"/>
        <v>2.6733403086662E-3</v>
      </c>
      <c r="AA35" s="8">
        <f t="shared" si="6"/>
        <v>6.2587542152405029E-2</v>
      </c>
      <c r="AB35" s="8">
        <f t="shared" si="7"/>
        <v>4.3929882812499987E-2</v>
      </c>
      <c r="AC35" s="8">
        <f t="shared" si="8"/>
        <v>0.11580813989639305</v>
      </c>
    </row>
    <row r="36" spans="1:29" x14ac:dyDescent="0.25">
      <c r="A36" s="10">
        <v>1</v>
      </c>
      <c r="B36" s="10">
        <v>0.12</v>
      </c>
      <c r="C36" s="10">
        <v>4.7119999999999997</v>
      </c>
      <c r="D36" s="10">
        <f t="shared" si="1"/>
        <v>1.5707963267948966</v>
      </c>
      <c r="E36" s="10">
        <v>0.8</v>
      </c>
      <c r="F36" s="10">
        <v>0.08</v>
      </c>
      <c r="G36" s="10">
        <v>3.1419999999999999</v>
      </c>
      <c r="H36" s="10">
        <f t="shared" si="2"/>
        <v>1.5707963267948966</v>
      </c>
      <c r="I36" s="10">
        <v>1.2</v>
      </c>
      <c r="J36" s="10">
        <v>0</v>
      </c>
      <c r="K36" s="10">
        <v>0</v>
      </c>
      <c r="L36" s="8">
        <v>-5.3540230728685899E-3</v>
      </c>
      <c r="M36" s="8">
        <v>0.23577138781547499</v>
      </c>
      <c r="N36" s="8">
        <v>-0.12704449892044101</v>
      </c>
      <c r="O36" s="8">
        <v>-0.53383183479309104</v>
      </c>
      <c r="P36" s="8">
        <v>-0.71507501602172896</v>
      </c>
      <c r="Q36" s="8">
        <v>-1.0263080596923799</v>
      </c>
      <c r="R36" s="8">
        <v>-2.2000000000000001E-3</v>
      </c>
      <c r="S36" s="8">
        <v>0.2041</v>
      </c>
      <c r="T36" s="8">
        <v>-0.13339999999999999</v>
      </c>
      <c r="U36" s="8">
        <v>-0.37419999999999998</v>
      </c>
      <c r="V36" s="8">
        <v>-0.77939999999999998</v>
      </c>
      <c r="W36" s="8">
        <v>-0.94550000000000001</v>
      </c>
      <c r="X36" s="8">
        <f t="shared" si="3"/>
        <v>3.1540230728685898E-3</v>
      </c>
      <c r="Y36" s="8">
        <f t="shared" si="4"/>
        <v>3.1671387815474988E-2</v>
      </c>
      <c r="Z36" s="8">
        <f t="shared" si="5"/>
        <v>6.3555010795589839E-3</v>
      </c>
      <c r="AA36" s="8">
        <f t="shared" si="6"/>
        <v>0.15963183479309107</v>
      </c>
      <c r="AB36" s="8">
        <f t="shared" si="7"/>
        <v>6.4324983978271022E-2</v>
      </c>
      <c r="AC36" s="8">
        <f t="shared" si="8"/>
        <v>8.0808059692379919E-2</v>
      </c>
    </row>
    <row r="37" spans="1:29" x14ac:dyDescent="0.25">
      <c r="A37" s="10">
        <v>0.3</v>
      </c>
      <c r="B37" s="10">
        <v>0.18</v>
      </c>
      <c r="C37" s="10">
        <v>4.7119999999999997</v>
      </c>
      <c r="D37" s="10">
        <f t="shared" si="1"/>
        <v>1.5707963267948966</v>
      </c>
      <c r="E37" s="10">
        <v>0.3</v>
      </c>
      <c r="F37" s="10">
        <v>0.06</v>
      </c>
      <c r="G37" s="10">
        <v>3.1419999999999999</v>
      </c>
      <c r="H37" s="10">
        <f t="shared" si="2"/>
        <v>1.5707963267948966</v>
      </c>
      <c r="I37" s="10">
        <v>1.4</v>
      </c>
      <c r="J37" s="10">
        <v>0</v>
      </c>
      <c r="K37" s="10">
        <v>0</v>
      </c>
      <c r="L37" s="8">
        <v>-1.7680961173027799E-3</v>
      </c>
      <c r="M37" s="8">
        <v>6.0080211609602002E-2</v>
      </c>
      <c r="N37" s="8">
        <v>-4.9739588052034399E-2</v>
      </c>
      <c r="O37" s="8">
        <v>-3.2015025615692097E-2</v>
      </c>
      <c r="P37" s="8">
        <v>-0.322286486625671</v>
      </c>
      <c r="Q37" s="8">
        <v>-0.222265124320984</v>
      </c>
      <c r="R37" s="8">
        <v>-2.0999999999999999E-3</v>
      </c>
      <c r="S37" s="8">
        <v>8.0600000000000005E-2</v>
      </c>
      <c r="T37" s="8">
        <v>-4.48E-2</v>
      </c>
      <c r="U37" s="8">
        <v>-5.3499999999999999E-2</v>
      </c>
      <c r="V37" s="8">
        <v>-0.3004</v>
      </c>
      <c r="W37" s="8">
        <v>-0.2954</v>
      </c>
      <c r="X37" s="8">
        <f t="shared" si="3"/>
        <v>3.3190388269721993E-4</v>
      </c>
      <c r="Y37" s="8">
        <f t="shared" si="4"/>
        <v>2.0519788390398003E-2</v>
      </c>
      <c r="Z37" s="8">
        <f t="shared" si="5"/>
        <v>4.9395880520343993E-3</v>
      </c>
      <c r="AA37" s="8">
        <f t="shared" si="6"/>
        <v>2.1484974384307902E-2</v>
      </c>
      <c r="AB37" s="8">
        <f t="shared" si="7"/>
        <v>2.1886486625670998E-2</v>
      </c>
      <c r="AC37" s="8">
        <f t="shared" si="8"/>
        <v>7.3134875679015998E-2</v>
      </c>
    </row>
    <row r="38" spans="1:29" x14ac:dyDescent="0.25">
      <c r="A38" s="10">
        <v>0.9</v>
      </c>
      <c r="B38" s="10">
        <v>0.18</v>
      </c>
      <c r="C38" s="10">
        <v>4.7119999999999997</v>
      </c>
      <c r="D38" s="10">
        <f t="shared" si="1"/>
        <v>1.5707963267948966</v>
      </c>
      <c r="E38" s="10">
        <v>0.2</v>
      </c>
      <c r="F38" s="10">
        <v>0.08</v>
      </c>
      <c r="G38" s="10">
        <v>3.1419999999999999</v>
      </c>
      <c r="H38" s="10">
        <f t="shared" si="2"/>
        <v>1.5707963267948966</v>
      </c>
      <c r="I38" s="10">
        <v>0.2</v>
      </c>
      <c r="J38" s="10">
        <v>0</v>
      </c>
      <c r="K38" s="10">
        <v>0</v>
      </c>
      <c r="L38" s="8">
        <v>-7.3416158556938198E-5</v>
      </c>
      <c r="M38" s="8">
        <v>0.209005877375603</v>
      </c>
      <c r="N38" s="8">
        <v>-3.9002325385808903E-2</v>
      </c>
      <c r="O38" s="8">
        <v>-0.50677508115768399</v>
      </c>
      <c r="P38" s="8">
        <v>-0.22871214151382399</v>
      </c>
      <c r="Q38" s="8">
        <v>-0.63768112659454301</v>
      </c>
      <c r="R38" s="8">
        <v>-8.9999999999999998E-4</v>
      </c>
      <c r="S38" s="8">
        <v>0.21870000000000001</v>
      </c>
      <c r="T38" s="8">
        <v>-3.27E-2</v>
      </c>
      <c r="U38" s="8">
        <v>-0.56420000000000003</v>
      </c>
      <c r="V38" s="8">
        <v>-0.19</v>
      </c>
      <c r="W38" s="8">
        <v>-0.70420000000000005</v>
      </c>
      <c r="X38" s="8">
        <f t="shared" si="3"/>
        <v>8.265838414430618E-4</v>
      </c>
      <c r="Y38" s="8">
        <f t="shared" si="4"/>
        <v>9.6941226243970058E-3</v>
      </c>
      <c r="Z38" s="8">
        <f t="shared" si="5"/>
        <v>6.3023253858089032E-3</v>
      </c>
      <c r="AA38" s="8">
        <f t="shared" si="6"/>
        <v>5.7424918842316042E-2</v>
      </c>
      <c r="AB38" s="8">
        <f t="shared" si="7"/>
        <v>3.8712141513823989E-2</v>
      </c>
      <c r="AC38" s="8">
        <f t="shared" si="8"/>
        <v>6.6518873405457035E-2</v>
      </c>
    </row>
    <row r="39" spans="1:29" x14ac:dyDescent="0.25">
      <c r="A39" s="10">
        <v>0.1</v>
      </c>
      <c r="B39" s="10">
        <v>0.18</v>
      </c>
      <c r="C39" s="10">
        <v>4.7119999999999997</v>
      </c>
      <c r="D39" s="10">
        <f t="shared" si="1"/>
        <v>1.5707963267948966</v>
      </c>
      <c r="E39" s="10">
        <v>1</v>
      </c>
      <c r="F39" s="10">
        <v>0.02</v>
      </c>
      <c r="G39" s="10">
        <v>4.7119999999999997</v>
      </c>
      <c r="H39" s="10">
        <f t="shared" si="2"/>
        <v>1.5707963267948966</v>
      </c>
      <c r="I39" s="10">
        <v>0</v>
      </c>
      <c r="J39" s="10">
        <v>0</v>
      </c>
      <c r="K39" s="10">
        <v>0</v>
      </c>
      <c r="L39" s="8">
        <v>1.8433155491948101E-4</v>
      </c>
      <c r="M39" s="8">
        <v>0.11752788722515101</v>
      </c>
      <c r="N39" s="8">
        <v>1.77300837822258E-3</v>
      </c>
      <c r="O39" s="8">
        <v>-3.8502156734466601E-2</v>
      </c>
      <c r="P39" s="8">
        <v>7.6181143522262599E-3</v>
      </c>
      <c r="Q39" s="8">
        <v>-0.99801015853881803</v>
      </c>
      <c r="R39" s="8">
        <v>0</v>
      </c>
      <c r="S39" s="8">
        <v>0.13639999999999999</v>
      </c>
      <c r="T39" s="8">
        <v>-1E-4</v>
      </c>
      <c r="U39" s="8">
        <v>-3.1699999999999999E-2</v>
      </c>
      <c r="V39" s="8">
        <v>-4.0000000000000002E-4</v>
      </c>
      <c r="W39" s="8">
        <v>-1.0992999999999999</v>
      </c>
      <c r="X39" s="8">
        <f t="shared" si="3"/>
        <v>1.8433155491948101E-4</v>
      </c>
      <c r="Y39" s="8">
        <f t="shared" si="4"/>
        <v>1.8872112774848987E-2</v>
      </c>
      <c r="Z39" s="8">
        <f t="shared" si="5"/>
        <v>1.87300837822258E-3</v>
      </c>
      <c r="AA39" s="8">
        <f t="shared" si="6"/>
        <v>6.8021567344666023E-3</v>
      </c>
      <c r="AB39" s="8">
        <f t="shared" si="7"/>
        <v>8.0181143522262601E-3</v>
      </c>
      <c r="AC39" s="8">
        <f t="shared" si="8"/>
        <v>0.10128984146118192</v>
      </c>
    </row>
    <row r="40" spans="1:29" x14ac:dyDescent="0.25">
      <c r="A40" s="10">
        <v>0.8</v>
      </c>
      <c r="B40" s="10">
        <v>0.18</v>
      </c>
      <c r="C40" s="10">
        <v>4.7119999999999997</v>
      </c>
      <c r="D40" s="10">
        <f t="shared" si="1"/>
        <v>1.5707963267948966</v>
      </c>
      <c r="E40" s="10">
        <v>0.6</v>
      </c>
      <c r="F40" s="10">
        <v>0.06</v>
      </c>
      <c r="G40" s="10">
        <v>4.7119999999999997</v>
      </c>
      <c r="H40" s="10">
        <f t="shared" si="2"/>
        <v>1.5707963267948966</v>
      </c>
      <c r="I40" s="10">
        <v>1</v>
      </c>
      <c r="J40" s="10">
        <v>0</v>
      </c>
      <c r="K40" s="10">
        <v>0</v>
      </c>
      <c r="L40" s="8">
        <v>-5.2668377757072397E-3</v>
      </c>
      <c r="M40" s="8">
        <v>0.27689665555954002</v>
      </c>
      <c r="N40" s="8">
        <v>-1.6046434640884399E-2</v>
      </c>
      <c r="O40" s="8">
        <v>-0.47105222940444902</v>
      </c>
      <c r="P40" s="8">
        <v>-0.10896006226539599</v>
      </c>
      <c r="Q40" s="8">
        <v>-1.1885303258895901</v>
      </c>
      <c r="R40" s="8">
        <v>-4.4999999999999997E-3</v>
      </c>
      <c r="S40" s="8">
        <v>0.28349999999999997</v>
      </c>
      <c r="T40" s="8">
        <v>-1E-4</v>
      </c>
      <c r="U40" s="8">
        <v>-0.68269999999999997</v>
      </c>
      <c r="V40" s="8">
        <v>-1.1900000000000001E-2</v>
      </c>
      <c r="W40" s="8">
        <v>-1.2096</v>
      </c>
      <c r="X40" s="8">
        <f t="shared" si="3"/>
        <v>7.6683777570724001E-4</v>
      </c>
      <c r="Y40" s="8">
        <f t="shared" si="4"/>
        <v>6.6033444404599573E-3</v>
      </c>
      <c r="Z40" s="8">
        <f t="shared" si="5"/>
        <v>1.59464346408844E-2</v>
      </c>
      <c r="AA40" s="8">
        <f t="shared" si="6"/>
        <v>0.21164777059555095</v>
      </c>
      <c r="AB40" s="8">
        <f t="shared" si="7"/>
        <v>9.7060062265395985E-2</v>
      </c>
      <c r="AC40" s="8">
        <f t="shared" si="8"/>
        <v>2.1069674110409942E-2</v>
      </c>
    </row>
    <row r="41" spans="1:29" x14ac:dyDescent="0.25">
      <c r="A41" s="10">
        <v>1</v>
      </c>
      <c r="B41" s="10">
        <v>0.2</v>
      </c>
      <c r="C41" s="10">
        <v>4.7119999999999997</v>
      </c>
      <c r="D41" s="10">
        <f t="shared" si="1"/>
        <v>1.5707963267948966</v>
      </c>
      <c r="E41" s="10">
        <v>0.8</v>
      </c>
      <c r="F41" s="10">
        <v>0.02</v>
      </c>
      <c r="G41" s="10">
        <v>3.1419999999999999</v>
      </c>
      <c r="H41" s="10">
        <f t="shared" si="2"/>
        <v>1.5707963267948966</v>
      </c>
      <c r="I41" s="10">
        <v>1.4</v>
      </c>
      <c r="J41" s="10">
        <v>0</v>
      </c>
      <c r="K41" s="10">
        <v>0</v>
      </c>
      <c r="L41" s="8">
        <v>-1.2570786289870701E-2</v>
      </c>
      <c r="M41" s="8">
        <v>0.239984765648842</v>
      </c>
      <c r="N41" s="8">
        <v>-9.4180338084697696E-2</v>
      </c>
      <c r="O41" s="8">
        <v>-0.68777251243591297</v>
      </c>
      <c r="P41" s="8">
        <v>-0.81574249267578103</v>
      </c>
      <c r="Q41" s="8">
        <v>-0.66350710391998302</v>
      </c>
      <c r="R41" s="8">
        <v>-8.6999999999999994E-3</v>
      </c>
      <c r="S41" s="8">
        <v>0.24410000000000001</v>
      </c>
      <c r="T41" s="8">
        <v>-8.6900000000000005E-2</v>
      </c>
      <c r="U41" s="8">
        <v>-0.74209999999999998</v>
      </c>
      <c r="V41" s="8">
        <v>-0.82110000000000005</v>
      </c>
      <c r="W41" s="8">
        <v>-0.66659999999999997</v>
      </c>
      <c r="X41" s="8">
        <f t="shared" si="3"/>
        <v>3.8707862898707014E-3</v>
      </c>
      <c r="Y41" s="8">
        <f t="shared" si="4"/>
        <v>4.1152343511580147E-3</v>
      </c>
      <c r="Z41" s="8">
        <f t="shared" si="5"/>
        <v>7.2803380846976906E-3</v>
      </c>
      <c r="AA41" s="8">
        <f t="shared" si="6"/>
        <v>5.4327487564087007E-2</v>
      </c>
      <c r="AB41" s="8">
        <f t="shared" si="7"/>
        <v>5.3575073242190241E-3</v>
      </c>
      <c r="AC41" s="8">
        <f t="shared" si="8"/>
        <v>3.0928960800169492E-3</v>
      </c>
    </row>
    <row r="42" spans="1:29" x14ac:dyDescent="0.25">
      <c r="A42" s="10">
        <v>0.2</v>
      </c>
      <c r="B42" s="10">
        <v>0.2</v>
      </c>
      <c r="C42" s="10">
        <v>4.7119999999999997</v>
      </c>
      <c r="D42" s="10">
        <f t="shared" si="1"/>
        <v>1.5707963267948966</v>
      </c>
      <c r="E42" s="10">
        <v>0.1</v>
      </c>
      <c r="F42" s="10">
        <v>0.08</v>
      </c>
      <c r="G42" s="10">
        <v>3.927</v>
      </c>
      <c r="H42" s="10">
        <f t="shared" si="2"/>
        <v>1.5707963267948966</v>
      </c>
      <c r="I42" s="10">
        <v>0</v>
      </c>
      <c r="J42" s="10">
        <v>0</v>
      </c>
      <c r="K42" s="10">
        <v>0</v>
      </c>
      <c r="L42" s="8">
        <v>2.25764350034297E-4</v>
      </c>
      <c r="M42" s="8">
        <v>5.42946308851242E-2</v>
      </c>
      <c r="N42" s="8">
        <v>-1.43192345276475E-2</v>
      </c>
      <c r="O42" s="8">
        <v>-3.8537099957466098E-2</v>
      </c>
      <c r="P42" s="8">
        <v>-8.5683420300483704E-2</v>
      </c>
      <c r="Q42" s="8">
        <v>-0.207838654518127</v>
      </c>
      <c r="R42" s="8">
        <v>0</v>
      </c>
      <c r="S42" s="8">
        <v>6.9000000000000006E-2</v>
      </c>
      <c r="T42" s="8">
        <v>-1.2E-2</v>
      </c>
      <c r="U42" s="8">
        <v>-4.82E-2</v>
      </c>
      <c r="V42" s="8">
        <v>-7.0400000000000004E-2</v>
      </c>
      <c r="W42" s="8">
        <v>-0.26640000000000003</v>
      </c>
      <c r="X42" s="8">
        <f t="shared" si="3"/>
        <v>2.25764350034297E-4</v>
      </c>
      <c r="Y42" s="8">
        <f t="shared" si="4"/>
        <v>1.4705369114875806E-2</v>
      </c>
      <c r="Z42" s="8">
        <f t="shared" si="5"/>
        <v>2.3192345276475002E-3</v>
      </c>
      <c r="AA42" s="8">
        <f t="shared" si="6"/>
        <v>9.6629000425339021E-3</v>
      </c>
      <c r="AB42" s="8">
        <f t="shared" si="7"/>
        <v>1.5283420300483699E-2</v>
      </c>
      <c r="AC42" s="8">
        <f t="shared" si="8"/>
        <v>5.8561345481873028E-2</v>
      </c>
    </row>
    <row r="43" spans="1:29" ht="15.75" x14ac:dyDescent="0.25">
      <c r="A43" s="8"/>
      <c r="B43" s="9"/>
      <c r="C43" s="8"/>
      <c r="D43" s="8"/>
      <c r="E43" s="9"/>
      <c r="F43" s="9"/>
      <c r="G43" s="8"/>
      <c r="H43" s="8"/>
      <c r="I43" s="8"/>
      <c r="J43" s="8"/>
      <c r="K43" s="8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  <c r="W43" s="8"/>
      <c r="X43" s="7"/>
      <c r="Y43" s="7"/>
      <c r="Z43" s="7"/>
      <c r="AA43" s="7"/>
      <c r="AB43" s="7"/>
      <c r="AC43" s="7"/>
    </row>
    <row r="44" spans="1:29" ht="15.75" x14ac:dyDescent="0.25">
      <c r="A44" s="8"/>
      <c r="B44" s="9"/>
      <c r="C44" s="8"/>
      <c r="D44" s="8"/>
      <c r="E44" s="9"/>
      <c r="F44" s="9"/>
      <c r="G44" s="8"/>
      <c r="H44" s="8"/>
      <c r="I44" s="8"/>
      <c r="J44" s="8"/>
      <c r="K44" s="8"/>
      <c r="L44" s="6"/>
      <c r="M44" s="6"/>
      <c r="N44" s="6"/>
      <c r="O44" s="6"/>
      <c r="P44" s="6"/>
      <c r="Q44" s="6"/>
      <c r="R44" s="8"/>
      <c r="S44" s="8"/>
      <c r="T44" s="8"/>
      <c r="U44" s="8"/>
      <c r="V44" s="8"/>
      <c r="W44" s="8"/>
      <c r="X44" s="7">
        <f>AVERAGE(X3:X42)</f>
        <v>1.3409449074219437E-3</v>
      </c>
      <c r="Y44" s="7">
        <f t="shared" ref="Y44:AC44" si="9">AVERAGE(Y3:Y42)</f>
        <v>1.7838622469175589E-2</v>
      </c>
      <c r="Z44" s="7">
        <f t="shared" si="9"/>
        <v>8.1971452639624832E-3</v>
      </c>
      <c r="AA44" s="7">
        <f t="shared" si="9"/>
        <v>6.5999680939633459E-2</v>
      </c>
      <c r="AB44" s="7">
        <f t="shared" si="9"/>
        <v>4.2622724233418681E-2</v>
      </c>
      <c r="AC44" s="7">
        <f t="shared" si="9"/>
        <v>8.6322410710155756E-2</v>
      </c>
    </row>
    <row r="45" spans="1:29" ht="15.75" x14ac:dyDescent="0.25">
      <c r="A45" s="8"/>
      <c r="B45" s="9"/>
      <c r="C45" s="8"/>
      <c r="D45" s="8"/>
      <c r="E45" s="9"/>
      <c r="F45" s="9"/>
      <c r="G45" s="8"/>
      <c r="H45" s="8"/>
      <c r="I45" s="8"/>
      <c r="J45" s="8"/>
      <c r="K45" s="8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  <c r="W45" s="8"/>
      <c r="X45" s="7"/>
      <c r="Y45" s="7"/>
      <c r="Z45" s="7"/>
      <c r="AA45" s="7"/>
      <c r="AB45" s="7"/>
      <c r="AC45" s="7"/>
    </row>
    <row r="46" spans="1:29" ht="15.75" x14ac:dyDescent="0.25">
      <c r="A46" s="8"/>
      <c r="B46" s="9"/>
      <c r="C46" s="8"/>
      <c r="D46" s="8"/>
      <c r="E46" s="9"/>
      <c r="F46" s="9"/>
      <c r="G46" s="8"/>
      <c r="H46" s="8"/>
      <c r="I46" s="8"/>
      <c r="J46" s="8"/>
      <c r="K46" s="8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  <c r="W46" s="8"/>
      <c r="X46" s="7"/>
      <c r="Y46" s="7"/>
      <c r="Z46" s="7"/>
      <c r="AA46" s="7"/>
      <c r="AB46" s="7"/>
      <c r="AC46" s="7"/>
    </row>
    <row r="47" spans="1:29" ht="15.75" x14ac:dyDescent="0.25">
      <c r="A47" s="8"/>
      <c r="B47" s="9"/>
      <c r="C47" s="8"/>
      <c r="D47" s="8"/>
      <c r="E47" s="9"/>
      <c r="F47" s="9"/>
      <c r="G47" s="8"/>
      <c r="H47" s="8"/>
      <c r="I47" s="8"/>
      <c r="J47" s="8"/>
      <c r="K47" s="8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  <c r="W47" s="8"/>
      <c r="X47" s="7"/>
      <c r="Y47" s="7"/>
      <c r="Z47" s="7"/>
      <c r="AA47" s="7"/>
      <c r="AB47" s="7"/>
      <c r="AC47" s="7"/>
    </row>
    <row r="48" spans="1:29" ht="15.75" x14ac:dyDescent="0.25">
      <c r="A48" s="8"/>
      <c r="B48" s="9"/>
      <c r="C48" s="8"/>
      <c r="D48" s="8"/>
      <c r="E48" s="9"/>
      <c r="F48" s="9"/>
      <c r="G48" s="8"/>
      <c r="H48" s="8"/>
      <c r="I48" s="8"/>
      <c r="J48" s="8"/>
      <c r="K48" s="8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  <c r="W48" s="8"/>
      <c r="X48" s="7"/>
      <c r="Y48" s="7"/>
      <c r="Z48" s="7"/>
      <c r="AA48" s="7"/>
      <c r="AB48" s="7"/>
      <c r="AC48" s="7"/>
    </row>
    <row r="49" spans="1:29" ht="15.75" x14ac:dyDescent="0.25">
      <c r="A49" s="8"/>
      <c r="B49" s="9"/>
      <c r="C49" s="8"/>
      <c r="D49" s="8"/>
      <c r="E49" s="9"/>
      <c r="F49" s="9"/>
      <c r="G49" s="8"/>
      <c r="H49" s="8"/>
      <c r="I49" s="8"/>
      <c r="J49" s="8"/>
      <c r="K49" s="8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  <c r="W49" s="8"/>
      <c r="X49" s="7"/>
      <c r="Y49" s="7"/>
      <c r="Z49" s="7"/>
      <c r="AA49" s="7"/>
      <c r="AB49" s="7"/>
      <c r="AC49" s="7"/>
    </row>
    <row r="50" spans="1:29" ht="15.75" x14ac:dyDescent="0.25">
      <c r="A50" s="8"/>
      <c r="B50" s="9"/>
      <c r="C50" s="8"/>
      <c r="D50" s="8"/>
      <c r="E50" s="9"/>
      <c r="F50" s="9"/>
      <c r="G50" s="8"/>
      <c r="H50" s="8"/>
      <c r="I50" s="8"/>
      <c r="J50" s="8"/>
      <c r="K50" s="8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  <c r="W50" s="8"/>
      <c r="X50" s="7"/>
      <c r="Y50" s="7"/>
      <c r="Z50" s="7"/>
      <c r="AA50" s="7"/>
      <c r="AB50" s="7"/>
      <c r="AC50" s="7"/>
    </row>
    <row r="51" spans="1:29" ht="15.75" x14ac:dyDescent="0.25">
      <c r="A51" s="8"/>
      <c r="B51" s="9"/>
      <c r="C51" s="8"/>
      <c r="D51" s="8"/>
      <c r="E51" s="9"/>
      <c r="F51" s="9"/>
      <c r="G51" s="8"/>
      <c r="H51" s="8"/>
      <c r="I51" s="8"/>
      <c r="J51" s="8"/>
      <c r="K51" s="8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  <c r="W51" s="8"/>
      <c r="X51" s="7"/>
      <c r="Y51" s="7"/>
      <c r="Z51" s="7"/>
      <c r="AA51" s="7"/>
      <c r="AB51" s="7"/>
      <c r="AC51" s="7"/>
    </row>
    <row r="52" spans="1:29" ht="15.75" x14ac:dyDescent="0.25">
      <c r="A52" s="8"/>
      <c r="B52" s="9"/>
      <c r="C52" s="8"/>
      <c r="D52" s="8"/>
      <c r="E52" s="9"/>
      <c r="F52" s="9"/>
      <c r="G52" s="8"/>
      <c r="H52" s="8"/>
      <c r="I52" s="8"/>
      <c r="J52" s="8"/>
      <c r="K52" s="8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  <c r="W52" s="8"/>
      <c r="X52" s="7"/>
      <c r="Y52" s="7"/>
      <c r="Z52" s="7"/>
      <c r="AA52" s="7"/>
      <c r="AB52" s="7"/>
      <c r="AC52" s="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U52"/>
  <sheetViews>
    <sheetView topLeftCell="X1" workbookViewId="0">
      <pane ySplit="2" topLeftCell="A3" activePane="bottomLeft" state="frozen"/>
      <selection activeCell="K1" sqref="K1"/>
      <selection pane="bottomLeft" activeCell="AM19" sqref="AM19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bestFit="1" customWidth="1"/>
    <col min="27" max="27" width="11" bestFit="1" customWidth="1"/>
    <col min="28" max="28" width="13.85546875" bestFit="1" customWidth="1"/>
    <col min="29" max="29" width="11.140625" bestFit="1" customWidth="1"/>
    <col min="35" max="35" width="15.140625" customWidth="1"/>
    <col min="36" max="36" width="15.28515625" customWidth="1"/>
    <col min="37" max="39" width="16.28515625" customWidth="1"/>
    <col min="40" max="40" width="11" bestFit="1" customWidth="1"/>
    <col min="41" max="41" width="13.85546875" bestFit="1" customWidth="1"/>
    <col min="42" max="42" width="11.140625" bestFit="1" customWidth="1"/>
  </cols>
  <sheetData>
    <row r="1" spans="1:47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2" t="s">
        <v>13</v>
      </c>
      <c r="AB1" s="42"/>
      <c r="AC1" s="42"/>
      <c r="AD1" s="42"/>
      <c r="AE1" s="42"/>
      <c r="AF1" s="42"/>
      <c r="AG1" s="42"/>
      <c r="AH1" s="42"/>
      <c r="AI1" s="43" t="s">
        <v>36</v>
      </c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</row>
    <row r="2" spans="1:47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1" t="s">
        <v>31</v>
      </c>
      <c r="AO2" s="41"/>
      <c r="AP2" s="41"/>
      <c r="AQ2" s="41"/>
      <c r="AR2" s="41"/>
      <c r="AS2" s="41"/>
      <c r="AT2" s="41"/>
      <c r="AU2" s="41"/>
    </row>
    <row r="3" spans="1:47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-8.4695406258106205E-5</v>
      </c>
      <c r="M3" s="8">
        <f>'Proximal Validation (double)'!M3</f>
        <v>-1.1448631994426301E-2</v>
      </c>
      <c r="N3" s="8">
        <f>'Proximal Validation (double)'!N3</f>
        <v>-0.13048847019672399</v>
      </c>
      <c r="O3" s="8">
        <f>'Proximal Validation (double)'!O3</f>
        <v>1.8870793282985701E-2</v>
      </c>
      <c r="P3" s="8">
        <f>'Proximal Validation (double)'!P3</f>
        <v>-0.97202777862548795</v>
      </c>
      <c r="Q3" s="8">
        <f>'Proximal Validation (double)'!Q3</f>
        <v>2.9205024242401099E-2</v>
      </c>
      <c r="R3" s="8">
        <v>0.12365517953574107</v>
      </c>
      <c r="S3" s="8">
        <v>3.0723739545781212E-2</v>
      </c>
      <c r="T3" s="8">
        <v>2.1432406708350462</v>
      </c>
      <c r="U3" s="8">
        <v>1.5707963267948966</v>
      </c>
      <c r="V3" s="8">
        <v>0.90962688152965243</v>
      </c>
      <c r="W3" s="8">
        <v>2.6104835295467945E-2</v>
      </c>
      <c r="X3" s="8">
        <v>3.2230505299508798</v>
      </c>
      <c r="Y3" s="8">
        <v>1.5707963267948966</v>
      </c>
      <c r="Z3" s="28">
        <v>8.5362849074319938E-4</v>
      </c>
      <c r="AA3" s="8">
        <f t="shared" ref="AA3:AA42" si="0">R3-A3</f>
        <v>-7.6344820464258945E-2</v>
      </c>
      <c r="AB3" s="8">
        <f t="shared" ref="AB3:AB42" si="1">S3-B3</f>
        <v>-6.9276260454218794E-2</v>
      </c>
      <c r="AC3" s="8">
        <f t="shared" ref="AC3:AC42" si="2">T3-C3</f>
        <v>0.57224067083504626</v>
      </c>
      <c r="AD3" s="8">
        <f t="shared" ref="AD3:AD42" si="3">U3-D3</f>
        <v>0</v>
      </c>
      <c r="AE3" s="8">
        <f t="shared" ref="AE3:AE42" si="4">V3-E3</f>
        <v>-9.0373118470347569E-2</v>
      </c>
      <c r="AF3" s="8">
        <f t="shared" ref="AF3:AF42" si="5">W3-F3</f>
        <v>-1.3895164704532056E-2</v>
      </c>
      <c r="AG3" s="8">
        <f t="shared" ref="AG3:AG42" si="6">X3-G3</f>
        <v>8.1050529950879913E-2</v>
      </c>
      <c r="AH3" s="8">
        <f t="shared" ref="AH3:AH42" si="7">Y3-H3</f>
        <v>0</v>
      </c>
      <c r="AI3" s="22">
        <f>AVERAGE(ABS(AA3),ABS(AE3))</f>
        <v>8.3358969467303257E-2</v>
      </c>
      <c r="AJ3" s="22">
        <f t="shared" ref="AJ3:AK18" si="8">AVERAGE(ABS(AB3),ABS(AF3))</f>
        <v>4.1585712579375426E-2</v>
      </c>
      <c r="AK3" s="22">
        <f t="shared" si="8"/>
        <v>0.32664560039296309</v>
      </c>
      <c r="AL3" s="22">
        <f>MIN(A3,E3)</f>
        <v>0.2</v>
      </c>
      <c r="AM3" s="22"/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-1.30488071590662E-3</v>
      </c>
      <c r="M4" s="8">
        <f>'Proximal Validation (double)'!M4</f>
        <v>-0.187399536371231</v>
      </c>
      <c r="N4" s="8">
        <f>'Proximal Validation (double)'!N4</f>
        <v>-0.148506805300713</v>
      </c>
      <c r="O4" s="8">
        <f>'Proximal Validation (double)'!O4</f>
        <v>-0.458716601133347</v>
      </c>
      <c r="P4" s="8">
        <f>'Proximal Validation (double)'!P4</f>
        <v>-0.81002575159072898</v>
      </c>
      <c r="Q4" s="8">
        <f>'Proximal Validation (double)'!Q4</f>
        <v>0.92483174800872803</v>
      </c>
      <c r="R4" s="8">
        <v>0.79968704296625615</v>
      </c>
      <c r="S4" s="8">
        <v>0.12165839285416974</v>
      </c>
      <c r="T4" s="8">
        <v>1.774189296299566</v>
      </c>
      <c r="U4" s="8">
        <v>1.5707963267948966</v>
      </c>
      <c r="V4" s="8">
        <v>0.72538438305532082</v>
      </c>
      <c r="W4" s="8">
        <v>9.1362623730660897E-2</v>
      </c>
      <c r="X4" s="8">
        <v>2.8488834832823713</v>
      </c>
      <c r="Y4" s="8">
        <v>1.5707963267948966</v>
      </c>
      <c r="Z4" s="28">
        <v>1.2260444346690632E-4</v>
      </c>
      <c r="AA4" s="8">
        <f t="shared" si="0"/>
        <v>-0.20031295703374385</v>
      </c>
      <c r="AB4" s="8">
        <f t="shared" si="1"/>
        <v>2.1658392854169733E-2</v>
      </c>
      <c r="AC4" s="8">
        <f t="shared" si="2"/>
        <v>0.20318929629956606</v>
      </c>
      <c r="AD4" s="8">
        <f t="shared" si="3"/>
        <v>0</v>
      </c>
      <c r="AE4" s="8">
        <f t="shared" si="4"/>
        <v>-0.27461561694467918</v>
      </c>
      <c r="AF4" s="8">
        <f t="shared" si="5"/>
        <v>1.1362623730660895E-2</v>
      </c>
      <c r="AG4" s="8">
        <f t="shared" si="6"/>
        <v>-0.29311651671762862</v>
      </c>
      <c r="AH4" s="8">
        <f t="shared" si="7"/>
        <v>0</v>
      </c>
      <c r="AI4" s="22">
        <f t="shared" ref="AI4:AK42" si="9">AVERAGE(ABS(AA4),ABS(AE4))</f>
        <v>0.23746428698921151</v>
      </c>
      <c r="AJ4" s="22">
        <f t="shared" si="8"/>
        <v>1.6510508292415314E-2</v>
      </c>
      <c r="AK4" s="22">
        <f t="shared" si="8"/>
        <v>0.24815290650859734</v>
      </c>
      <c r="AL4" s="22">
        <f t="shared" ref="AL4:AL42" si="10">MIN(A4,E4)</f>
        <v>1</v>
      </c>
      <c r="AM4" s="22"/>
      <c r="AN4" s="21" cm="1">
        <f t="array" ref="AN4">AVERAGE(ABS(AA3:AA42))</f>
        <v>0.19393953177104953</v>
      </c>
      <c r="AO4" s="21" cm="1">
        <f t="array" ref="AO4">AVERAGE(ABS(AB3:AB42))</f>
        <v>4.1850897709294232E-2</v>
      </c>
      <c r="AP4" s="21" cm="1">
        <f t="array" ref="AP4">AVERAGE(ABS(AC3:AC42))</f>
        <v>0.76423485779332823</v>
      </c>
      <c r="AQ4" s="21" cm="1">
        <f t="array" ref="AQ4">AVERAGE(ABS(AD3:AD42))</f>
        <v>0</v>
      </c>
      <c r="AR4" s="21" cm="1">
        <f t="array" ref="AR4">AVERAGE(ABS(AE3:AE42))</f>
        <v>0.22106596105489157</v>
      </c>
      <c r="AS4" s="21" cm="1">
        <f t="array" ref="AS4">AVERAGE(ABS(AF3:AF42))</f>
        <v>2.8732106151103255E-2</v>
      </c>
      <c r="AT4" s="21" cm="1">
        <f t="array" ref="AT4">AVERAGE(ABS(AG3:AG42))</f>
        <v>0.62001344833102834</v>
      </c>
      <c r="AU4" s="21" cm="1">
        <f t="array" ref="AU4">AVERAGE(ABS(AH3:AH42))</f>
        <v>0</v>
      </c>
    </row>
    <row r="5" spans="1:47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-8.8173459516838206E-5</v>
      </c>
      <c r="M5" s="8">
        <f>'Proximal Validation (double)'!M5</f>
        <v>-9.0249709784984603E-2</v>
      </c>
      <c r="N5" s="8">
        <f>'Proximal Validation (double)'!N5</f>
        <v>-1.5381614677607999E-2</v>
      </c>
      <c r="O5" s="8">
        <f>'Proximal Validation (double)'!O5</f>
        <v>-5.9044521301984801E-2</v>
      </c>
      <c r="P5" s="8">
        <f>'Proximal Validation (double)'!P5</f>
        <v>-0.142551720142365</v>
      </c>
      <c r="Q5" s="8">
        <f>'Proximal Validation (double)'!Q5</f>
        <v>0.403866738080978</v>
      </c>
      <c r="R5" s="8">
        <v>0.73206812184850478</v>
      </c>
      <c r="S5" s="8">
        <v>8.2722674699006737E-2</v>
      </c>
      <c r="T5" s="8">
        <v>1.526198086375534</v>
      </c>
      <c r="U5" s="8">
        <v>1.5707963267948966</v>
      </c>
      <c r="V5" s="8">
        <v>0.36781315852047219</v>
      </c>
      <c r="W5" s="8">
        <v>2.8822358272140448E-2</v>
      </c>
      <c r="X5" s="8">
        <v>4.2157204575110176</v>
      </c>
      <c r="Y5" s="8">
        <v>1.5707963267948966</v>
      </c>
      <c r="Z5" s="28">
        <v>8.7591708360427934E-6</v>
      </c>
      <c r="AA5" s="8">
        <f t="shared" si="0"/>
        <v>0.23206812184850478</v>
      </c>
      <c r="AB5" s="8">
        <f t="shared" si="1"/>
        <v>-1.7277325300993268E-2</v>
      </c>
      <c r="AC5" s="8">
        <f t="shared" si="2"/>
        <v>-4.480191362446595E-2</v>
      </c>
      <c r="AD5" s="8">
        <f t="shared" si="3"/>
        <v>0</v>
      </c>
      <c r="AE5" s="8">
        <f t="shared" si="4"/>
        <v>0.16781315852047218</v>
      </c>
      <c r="AF5" s="8">
        <f t="shared" si="5"/>
        <v>8.822358272140448E-3</v>
      </c>
      <c r="AG5" s="8">
        <f t="shared" si="6"/>
        <v>0.2887204575110176</v>
      </c>
      <c r="AH5" s="8">
        <f t="shared" si="7"/>
        <v>0</v>
      </c>
      <c r="AI5" s="22">
        <f t="shared" si="9"/>
        <v>0.19994064018448848</v>
      </c>
      <c r="AJ5" s="22">
        <f t="shared" si="8"/>
        <v>1.3049841786566858E-2</v>
      </c>
      <c r="AK5" s="22">
        <f t="shared" si="8"/>
        <v>0.16676118556774178</v>
      </c>
      <c r="AL5" s="22">
        <f t="shared" si="10"/>
        <v>0.2</v>
      </c>
      <c r="AM5" s="22"/>
      <c r="AN5" s="41" t="s">
        <v>32</v>
      </c>
      <c r="AO5" s="41"/>
      <c r="AP5" s="41"/>
      <c r="AQ5" s="41"/>
      <c r="AR5" s="41"/>
      <c r="AS5" s="41"/>
      <c r="AT5" s="41"/>
      <c r="AU5" s="41"/>
    </row>
    <row r="6" spans="1:47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4.0645110420882702E-3</v>
      </c>
      <c r="M6" s="8">
        <f>'Proximal Validation (double)'!M6</f>
        <v>-0.155094370245934</v>
      </c>
      <c r="N6" s="8">
        <f>'Proximal Validation (double)'!N6</f>
        <v>1.12637248821557E-3</v>
      </c>
      <c r="O6" s="8">
        <f>'Proximal Validation (double)'!O6</f>
        <v>-0.22939644753933</v>
      </c>
      <c r="P6" s="8">
        <f>'Proximal Validation (double)'!P6</f>
        <v>6.2979459762573199E-3</v>
      </c>
      <c r="Q6" s="8">
        <f>'Proximal Validation (double)'!Q6</f>
        <v>0.75826400518417403</v>
      </c>
      <c r="R6" s="8">
        <v>0.16547610353053588</v>
      </c>
      <c r="S6" s="8">
        <v>0.1213503265334763</v>
      </c>
      <c r="T6" s="8">
        <v>3.4454386761218623</v>
      </c>
      <c r="U6" s="8">
        <v>1.5707963267948966</v>
      </c>
      <c r="V6" s="8">
        <v>0.8573356948468841</v>
      </c>
      <c r="W6" s="8">
        <v>0.1196184106124578</v>
      </c>
      <c r="X6" s="8">
        <v>1.3732669759881475</v>
      </c>
      <c r="Y6" s="8">
        <v>1.5707963267948966</v>
      </c>
      <c r="Z6" s="28">
        <v>5.255411687160461E-5</v>
      </c>
      <c r="AA6" s="8">
        <f t="shared" si="0"/>
        <v>-0.73452389646946414</v>
      </c>
      <c r="AB6" s="8">
        <f t="shared" si="1"/>
        <v>2.1350326533476294E-2</v>
      </c>
      <c r="AC6" s="8">
        <f t="shared" si="2"/>
        <v>1.8744386761218623</v>
      </c>
      <c r="AD6" s="8">
        <f t="shared" si="3"/>
        <v>0</v>
      </c>
      <c r="AE6" s="8">
        <f t="shared" si="4"/>
        <v>0.65733569484688403</v>
      </c>
      <c r="AF6" s="8">
        <f t="shared" si="5"/>
        <v>3.9618410612457799E-2</v>
      </c>
      <c r="AG6" s="8">
        <f t="shared" si="6"/>
        <v>-3.3387330240118525</v>
      </c>
      <c r="AH6" s="8">
        <f t="shared" si="7"/>
        <v>0</v>
      </c>
      <c r="AI6" s="22">
        <f t="shared" si="9"/>
        <v>0.69592979565817403</v>
      </c>
      <c r="AJ6" s="22">
        <f t="shared" si="8"/>
        <v>3.0484368572967047E-2</v>
      </c>
      <c r="AK6" s="22">
        <f t="shared" si="8"/>
        <v>2.6065858500668573</v>
      </c>
      <c r="AL6" s="22">
        <f t="shared" si="10"/>
        <v>0.2</v>
      </c>
      <c r="AM6" s="22"/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-3.3720862120389898E-5</v>
      </c>
      <c r="M7" s="8">
        <f>'Proximal Validation (double)'!M7</f>
        <v>5.5788416415452999E-2</v>
      </c>
      <c r="N7" s="8">
        <f>'Proximal Validation (double)'!N7</f>
        <v>-0.106843449175358</v>
      </c>
      <c r="O7" s="8">
        <f>'Proximal Validation (double)'!O7</f>
        <v>2.31804009526968E-2</v>
      </c>
      <c r="P7" s="8">
        <f>'Proximal Validation (double)'!P7</f>
        <v>-0.69266724586486805</v>
      </c>
      <c r="Q7" s="8">
        <f>'Proximal Validation (double)'!Q7</f>
        <v>-0.43824502825737</v>
      </c>
      <c r="R7" s="8">
        <v>0.18750368932980405</v>
      </c>
      <c r="S7" s="8">
        <v>4.4917344117036552E-2</v>
      </c>
      <c r="T7" s="8">
        <v>2.2814030111158203</v>
      </c>
      <c r="U7" s="8">
        <v>1.5707963267948966</v>
      </c>
      <c r="V7" s="8">
        <v>0.81644058720151547</v>
      </c>
      <c r="W7" s="8">
        <v>2.2206902816660684E-2</v>
      </c>
      <c r="X7" s="8">
        <v>3.9346548671720707</v>
      </c>
      <c r="Y7" s="8">
        <v>1.5707963267948966</v>
      </c>
      <c r="Z7" s="28">
        <v>1.7594221059338189E-3</v>
      </c>
      <c r="AA7" s="8">
        <f t="shared" si="0"/>
        <v>8.7503689329804041E-2</v>
      </c>
      <c r="AB7" s="8">
        <f t="shared" si="1"/>
        <v>-7.508265588296345E-2</v>
      </c>
      <c r="AC7" s="8">
        <f t="shared" si="2"/>
        <v>0.71040301111582038</v>
      </c>
      <c r="AD7" s="8">
        <f t="shared" si="3"/>
        <v>0</v>
      </c>
      <c r="AE7" s="8">
        <f t="shared" si="4"/>
        <v>-0.18355941279848453</v>
      </c>
      <c r="AF7" s="8">
        <f t="shared" si="5"/>
        <v>-3.7793097183339314E-2</v>
      </c>
      <c r="AG7" s="8">
        <f t="shared" si="6"/>
        <v>7.6548671720706452E-3</v>
      </c>
      <c r="AH7" s="8">
        <f t="shared" si="7"/>
        <v>0</v>
      </c>
      <c r="AI7" s="22">
        <f t="shared" si="9"/>
        <v>0.13553155106414427</v>
      </c>
      <c r="AJ7" s="22">
        <f t="shared" si="8"/>
        <v>5.6437876533151382E-2</v>
      </c>
      <c r="AK7" s="22">
        <f t="shared" si="8"/>
        <v>0.35902893914394551</v>
      </c>
      <c r="AL7" s="22">
        <f t="shared" si="10"/>
        <v>0.1</v>
      </c>
      <c r="AM7" s="22"/>
      <c r="AN7" s="27">
        <f>AVERAGE(AN4,AR4)</f>
        <v>0.20750274641297056</v>
      </c>
      <c r="AO7" s="27">
        <f t="shared" ref="AO7:AP7" si="11">AVERAGE(AO4,AS4)</f>
        <v>3.529150193019874E-2</v>
      </c>
      <c r="AP7" s="27">
        <f t="shared" si="11"/>
        <v>0.69212415306217823</v>
      </c>
      <c r="AQ7" s="21"/>
      <c r="AR7" s="21"/>
      <c r="AS7" s="21"/>
      <c r="AT7" s="21"/>
      <c r="AU7" s="21"/>
    </row>
    <row r="8" spans="1:47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8.2578761503100395E-3</v>
      </c>
      <c r="M8" s="8">
        <f>'Proximal Validation (double)'!M8</f>
        <v>-0.106360949575901</v>
      </c>
      <c r="N8" s="8">
        <f>'Proximal Validation (double)'!N8</f>
        <v>-7.6963931322097806E-2</v>
      </c>
      <c r="O8" s="8">
        <f>'Proximal Validation (double)'!O8</f>
        <v>-0.29881915450096103</v>
      </c>
      <c r="P8" s="8">
        <f>'Proximal Validation (double)'!P8</f>
        <v>-0.50920194387435902</v>
      </c>
      <c r="Q8" s="8">
        <f>'Proximal Validation (double)'!Q8</f>
        <v>0.108889028429985</v>
      </c>
      <c r="R8" s="8">
        <v>0.65018920088546239</v>
      </c>
      <c r="S8" s="8">
        <v>0.19973744414850603</v>
      </c>
      <c r="T8" s="8">
        <v>1.7082560871063492</v>
      </c>
      <c r="U8" s="8">
        <v>1.5707963267948966</v>
      </c>
      <c r="V8" s="8">
        <v>0.60390628952305614</v>
      </c>
      <c r="W8" s="8">
        <v>4.0781542217931468E-2</v>
      </c>
      <c r="X8" s="8">
        <v>3.9259978675304481</v>
      </c>
      <c r="Y8" s="8">
        <v>1.5707963267948966</v>
      </c>
      <c r="Z8" s="28">
        <v>8.5180462854188375E-5</v>
      </c>
      <c r="AA8" s="8">
        <f t="shared" si="0"/>
        <v>-0.14981079911453765</v>
      </c>
      <c r="AB8" s="8">
        <f t="shared" si="1"/>
        <v>3.9737444148506024E-2</v>
      </c>
      <c r="AC8" s="8">
        <f t="shared" si="2"/>
        <v>0.13725608710634929</v>
      </c>
      <c r="AD8" s="8">
        <f t="shared" si="3"/>
        <v>0</v>
      </c>
      <c r="AE8" s="8">
        <f t="shared" si="4"/>
        <v>-0.19609371047694391</v>
      </c>
      <c r="AF8" s="8">
        <f t="shared" si="5"/>
        <v>-1.9218457782068529E-2</v>
      </c>
      <c r="AG8" s="8">
        <f t="shared" si="6"/>
        <v>-1.0021324695519418E-3</v>
      </c>
      <c r="AH8" s="8">
        <f t="shared" si="7"/>
        <v>0</v>
      </c>
      <c r="AI8" s="23">
        <f t="shared" si="9"/>
        <v>0.17295225479574078</v>
      </c>
      <c r="AJ8" s="23">
        <f t="shared" si="8"/>
        <v>2.9477950965287276E-2</v>
      </c>
      <c r="AK8" s="23">
        <f t="shared" si="8"/>
        <v>6.9129109787950616E-2</v>
      </c>
      <c r="AL8" s="22">
        <f t="shared" si="10"/>
        <v>0.8</v>
      </c>
      <c r="AM8" s="31"/>
      <c r="AN8" t="s">
        <v>39</v>
      </c>
    </row>
    <row r="9" spans="1:47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2.53012054599822E-4</v>
      </c>
      <c r="M9" s="8">
        <f>'Proximal Validation (double)'!M9</f>
        <v>-6.1941463500261298E-3</v>
      </c>
      <c r="N9" s="8">
        <f>'Proximal Validation (double)'!N9</f>
        <v>-1.2296888045966599E-2</v>
      </c>
      <c r="O9" s="8">
        <f>'Proximal Validation (double)'!O9</f>
        <v>1.5694042667746499E-2</v>
      </c>
      <c r="P9" s="8">
        <f>'Proximal Validation (double)'!P9</f>
        <v>-0.108663953840733</v>
      </c>
      <c r="Q9" s="8">
        <f>'Proximal Validation (double)'!Q9</f>
        <v>1.80782899260521E-2</v>
      </c>
      <c r="R9" s="8">
        <v>0.32346654073032632</v>
      </c>
      <c r="S9" s="8">
        <v>0.11918126254243892</v>
      </c>
      <c r="T9" s="8">
        <v>7.8697616297443616E-6</v>
      </c>
      <c r="U9" s="8">
        <v>1.5707963267948966</v>
      </c>
      <c r="V9" s="8">
        <v>0.43230648777852637</v>
      </c>
      <c r="W9" s="8">
        <v>0.10013197399632499</v>
      </c>
      <c r="X9" s="8">
        <v>3.0995695028056227</v>
      </c>
      <c r="Y9" s="8">
        <v>1.5707963267948966</v>
      </c>
      <c r="Z9" s="28">
        <v>2.3036382382373677E-4</v>
      </c>
      <c r="AA9" s="8">
        <f t="shared" si="0"/>
        <v>0.22346654073032632</v>
      </c>
      <c r="AB9" s="8">
        <f t="shared" si="1"/>
        <v>-6.081873745756107E-2</v>
      </c>
      <c r="AC9" s="8">
        <f t="shared" si="2"/>
        <v>-1.5709921302383703</v>
      </c>
      <c r="AD9" s="8">
        <f t="shared" si="3"/>
        <v>0</v>
      </c>
      <c r="AE9" s="8">
        <f t="shared" si="4"/>
        <v>0.33230648777852634</v>
      </c>
      <c r="AF9" s="8">
        <f t="shared" si="5"/>
        <v>8.013197399632499E-2</v>
      </c>
      <c r="AG9" s="8">
        <f t="shared" si="6"/>
        <v>-4.2430497194377192E-2</v>
      </c>
      <c r="AH9" s="8">
        <f t="shared" si="7"/>
        <v>0</v>
      </c>
      <c r="AI9" s="22">
        <f t="shared" si="9"/>
        <v>0.27788651425442634</v>
      </c>
      <c r="AJ9" s="22">
        <f t="shared" si="8"/>
        <v>7.0475355726943023E-2</v>
      </c>
      <c r="AK9" s="22">
        <f t="shared" si="8"/>
        <v>0.80671131371637372</v>
      </c>
      <c r="AL9" s="22">
        <f t="shared" si="10"/>
        <v>0.1</v>
      </c>
      <c r="AM9" s="31"/>
      <c r="AN9" s="30">
        <f>AVERAGE(AI3,AI4,AI5,AI6,AI8,AI11,AI12,AI14,AI15,AI17,AI18,AI20,AI23,AI24,AI25,AI26,AI29,AI30,AI32,AI35,AI36,AI37,AI38,AI40,AI41)</f>
        <v>0.20962990788481964</v>
      </c>
      <c r="AO9" s="30">
        <f>AVERAGE(AJ3,AJ4,AJ5,AJ6,AJ8,AJ11,AJ12,AJ14,AJ15,AJ17,AJ18,AJ20,AJ23,AJ24,AJ25,AJ26,AJ29,AJ30,AJ32,AJ35,AJ36,AJ37,AJ38,AJ40,AJ41)</f>
        <v>2.9998472274842244E-2</v>
      </c>
      <c r="AP9" s="30">
        <f>AVERAGE(AK3,AK4,AK5,AK6,AK8,AK11,AK12,AK14,AK15,AK17,AK18,AK20,AK23,AK24,AK25,AK26,AK29,AK30,AK32,AK35,AK36,AK37,AK38,AK40,AK41)</f>
        <v>0.5614664099551141</v>
      </c>
    </row>
    <row r="10" spans="1:47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-8.9414953254163298E-4</v>
      </c>
      <c r="M10" s="8">
        <f>'Proximal Validation (double)'!M10</f>
        <v>-0.180821523070335</v>
      </c>
      <c r="N10" s="8">
        <f>'Proximal Validation (double)'!N10</f>
        <v>8.0074910074472393E-3</v>
      </c>
      <c r="O10" s="8">
        <f>'Proximal Validation (double)'!O10</f>
        <v>-0.405538409948349</v>
      </c>
      <c r="P10" s="8">
        <f>'Proximal Validation (double)'!P10</f>
        <v>5.81999458372593E-2</v>
      </c>
      <c r="Q10" s="8">
        <f>'Proximal Validation (double)'!Q10</f>
        <v>0.51686221361160301</v>
      </c>
      <c r="R10" s="8">
        <v>0.87468633370586801</v>
      </c>
      <c r="S10" s="8">
        <v>0.16002164333834881</v>
      </c>
      <c r="T10" s="8">
        <v>1.5576105036677608</v>
      </c>
      <c r="U10" s="8">
        <v>1.5707963267948966</v>
      </c>
      <c r="V10" s="8">
        <v>0.24885794383907572</v>
      </c>
      <c r="W10" s="8">
        <v>2.0000218127299893E-2</v>
      </c>
      <c r="X10" s="8">
        <v>4.9081119605682542</v>
      </c>
      <c r="Y10" s="8">
        <v>1.5707963267948966</v>
      </c>
      <c r="Z10" s="28">
        <v>7.8553307541575697E-6</v>
      </c>
      <c r="AA10" s="8">
        <f t="shared" si="0"/>
        <v>-2.5313666294132009E-2</v>
      </c>
      <c r="AB10" s="8">
        <f t="shared" si="1"/>
        <v>-1.9978356661651181E-2</v>
      </c>
      <c r="AC10" s="8">
        <f t="shared" si="2"/>
        <v>-1.3389496332239181E-2</v>
      </c>
      <c r="AD10" s="8">
        <f t="shared" si="3"/>
        <v>0</v>
      </c>
      <c r="AE10" s="8">
        <f t="shared" si="4"/>
        <v>0.14885794383907572</v>
      </c>
      <c r="AF10" s="8">
        <f t="shared" si="5"/>
        <v>-5.9999781872700109E-2</v>
      </c>
      <c r="AG10" s="8">
        <f t="shared" si="6"/>
        <v>0.19611196056825442</v>
      </c>
      <c r="AH10" s="8">
        <f t="shared" si="7"/>
        <v>0</v>
      </c>
      <c r="AI10" s="22">
        <f t="shared" si="9"/>
        <v>8.7085805066603864E-2</v>
      </c>
      <c r="AJ10" s="22">
        <f t="shared" si="8"/>
        <v>3.9989069267175645E-2</v>
      </c>
      <c r="AK10" s="22">
        <f t="shared" si="8"/>
        <v>0.1047507284502468</v>
      </c>
      <c r="AL10" s="22">
        <f t="shared" si="10"/>
        <v>0.1</v>
      </c>
      <c r="AM10" s="31"/>
      <c r="AN10" t="s">
        <v>40</v>
      </c>
    </row>
    <row r="11" spans="1:47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2.41806032136083E-4</v>
      </c>
      <c r="M11" s="8">
        <f>'Proximal Validation (double)'!M11</f>
        <v>7.3132611811161E-2</v>
      </c>
      <c r="N11" s="8">
        <f>'Proximal Validation (double)'!N11</f>
        <v>-4.2187301442027101E-3</v>
      </c>
      <c r="O11" s="8">
        <f>'Proximal Validation (double)'!O11</f>
        <v>4.2406577616930001E-2</v>
      </c>
      <c r="P11" s="8">
        <f>'Proximal Validation (double)'!P11</f>
        <v>-2.1499879658222198E-2</v>
      </c>
      <c r="Q11" s="8">
        <f>'Proximal Validation (double)'!Q11</f>
        <v>-0.58056563138961803</v>
      </c>
      <c r="R11" s="8">
        <v>0.77011557122710017</v>
      </c>
      <c r="S11" s="8">
        <v>2.1206796494815543E-2</v>
      </c>
      <c r="T11" s="8">
        <v>4.1494884521031619</v>
      </c>
      <c r="U11" s="8">
        <v>1.5707963267948966</v>
      </c>
      <c r="V11" s="8">
        <v>0.39537903065113189</v>
      </c>
      <c r="W11" s="8">
        <v>2.0001241260632983E-2</v>
      </c>
      <c r="X11" s="8">
        <v>0.17828393348501234</v>
      </c>
      <c r="Y11" s="8">
        <v>1.5707963267948966</v>
      </c>
      <c r="Z11" s="28">
        <v>1.9206174722627464E-3</v>
      </c>
      <c r="AA11" s="8">
        <f t="shared" si="0"/>
        <v>0.47011557122710018</v>
      </c>
      <c r="AB11" s="8">
        <f t="shared" si="1"/>
        <v>-0.15879320350518444</v>
      </c>
      <c r="AC11" s="8">
        <f t="shared" si="2"/>
        <v>2.5784884521031621</v>
      </c>
      <c r="AD11" s="8">
        <f t="shared" si="3"/>
        <v>0</v>
      </c>
      <c r="AE11" s="8">
        <f t="shared" si="4"/>
        <v>-0.50462096934886813</v>
      </c>
      <c r="AF11" s="8">
        <f t="shared" si="5"/>
        <v>-5.9998758739367018E-2</v>
      </c>
      <c r="AG11" s="8">
        <f t="shared" si="6"/>
        <v>-4.5337160665149874</v>
      </c>
      <c r="AH11" s="8">
        <f t="shared" si="7"/>
        <v>0</v>
      </c>
      <c r="AI11" s="22">
        <f t="shared" si="9"/>
        <v>0.48736827028798413</v>
      </c>
      <c r="AJ11" s="22">
        <f t="shared" si="8"/>
        <v>0.10939598112227573</v>
      </c>
      <c r="AK11" s="22">
        <f t="shared" si="8"/>
        <v>3.5561022593090748</v>
      </c>
      <c r="AL11" s="22">
        <f t="shared" si="10"/>
        <v>0.3</v>
      </c>
      <c r="AM11" s="31"/>
      <c r="AN11" s="30">
        <f>AVERAGE(AI4,AI8,AI11,AI12,AI14,AI15,AI17,AI18,AI20,AI25,AI26,AI30,AI32,AI35,AI36,AI37,AI40,AI41)</f>
        <v>0.19908790605710924</v>
      </c>
      <c r="AO11" s="30">
        <f>AVERAGE(AJ4,AJ8,AJ11,AJ12,AJ14,AJ15,AJ17,AJ18,AJ20,AJ25,AJ26,AJ30,AJ32,AJ35,AJ36,AJ37,AJ40,AJ41)</f>
        <v>2.8651958490094102E-2</v>
      </c>
      <c r="AP11" s="30">
        <f>AVERAGE(AK4,AK8,AK11,AK12,AK14,AK15,AK17,AK18,AK20,AK25,AK26,AK30,AK32,AK35,AK36,AK37,AK40,AK41)</f>
        <v>0.45044866287067781</v>
      </c>
    </row>
    <row r="12" spans="1:47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-1.58930197358131E-4</v>
      </c>
      <c r="M12" s="8">
        <f>'Proximal Validation (double)'!M12</f>
        <v>-0.14518360793590501</v>
      </c>
      <c r="N12" s="8">
        <f>'Proximal Validation (double)'!N12</f>
        <v>-0.108183734118938</v>
      </c>
      <c r="O12" s="8">
        <f>'Proximal Validation (double)'!O12</f>
        <v>-0.55842369794845603</v>
      </c>
      <c r="P12" s="8">
        <f>'Proximal Validation (double)'!P12</f>
        <v>-0.97605288028716997</v>
      </c>
      <c r="Q12" s="8">
        <f>'Proximal Validation (double)'!Q12</f>
        <v>0.27430844306945801</v>
      </c>
      <c r="R12" s="8">
        <v>0.85420592321026434</v>
      </c>
      <c r="S12" s="8">
        <v>0.19581669350261977</v>
      </c>
      <c r="T12" s="8">
        <v>1.6301671035095886</v>
      </c>
      <c r="U12" s="8">
        <v>1.5707963267948966</v>
      </c>
      <c r="V12" s="8">
        <v>0.99982158910051033</v>
      </c>
      <c r="W12" s="8">
        <v>2.1487383236442687E-2</v>
      </c>
      <c r="X12" s="8">
        <v>3.4963870759961138</v>
      </c>
      <c r="Y12" s="8">
        <v>1.5707963267948966</v>
      </c>
      <c r="Z12" s="28">
        <v>9.6995279332365964E-4</v>
      </c>
      <c r="AA12" s="8">
        <f t="shared" si="0"/>
        <v>-4.5794076789735683E-2</v>
      </c>
      <c r="AB12" s="8">
        <f t="shared" si="1"/>
        <v>-4.1833064973802458E-3</v>
      </c>
      <c r="AC12" s="8">
        <f t="shared" si="2"/>
        <v>5.9167103509588648E-2</v>
      </c>
      <c r="AD12" s="8">
        <f t="shared" si="3"/>
        <v>0</v>
      </c>
      <c r="AE12" s="8">
        <f t="shared" si="4"/>
        <v>-1.7841089948966715E-4</v>
      </c>
      <c r="AF12" s="8">
        <f t="shared" si="5"/>
        <v>1.4873832364426867E-3</v>
      </c>
      <c r="AG12" s="8">
        <f t="shared" si="6"/>
        <v>0.35438707599611385</v>
      </c>
      <c r="AH12" s="8">
        <f t="shared" si="7"/>
        <v>0</v>
      </c>
      <c r="AI12" s="22">
        <f t="shared" si="9"/>
        <v>2.2986243844612675E-2</v>
      </c>
      <c r="AJ12" s="22">
        <f t="shared" si="8"/>
        <v>2.8353448669114663E-3</v>
      </c>
      <c r="AK12" s="22">
        <f t="shared" si="8"/>
        <v>0.20677708975285125</v>
      </c>
      <c r="AL12" s="22">
        <f t="shared" si="10"/>
        <v>0.9</v>
      </c>
      <c r="AM12" s="31"/>
      <c r="AN12" t="s">
        <v>41</v>
      </c>
    </row>
    <row r="13" spans="1:47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-1.4157709665596499E-4</v>
      </c>
      <c r="M13" s="8">
        <f>'Proximal Validation (double)'!M13</f>
        <v>4.5513403601944403E-3</v>
      </c>
      <c r="N13" s="8">
        <f>'Proximal Validation (double)'!N13</f>
        <v>-4.92897629737854E-2</v>
      </c>
      <c r="O13" s="8">
        <f>'Proximal Validation (double)'!O13</f>
        <v>2.6178073137998598E-2</v>
      </c>
      <c r="P13" s="8">
        <f>'Proximal Validation (double)'!P13</f>
        <v>-0.27640634775161699</v>
      </c>
      <c r="Q13" s="8">
        <f>'Proximal Validation (double)'!Q13</f>
        <v>-3.6308467388153097E-2</v>
      </c>
      <c r="R13" s="8">
        <v>0.25286652758612149</v>
      </c>
      <c r="S13" s="8">
        <v>0.14110366771957786</v>
      </c>
      <c r="T13" s="8">
        <v>0.16521301163093735</v>
      </c>
      <c r="U13" s="8">
        <v>1.5707963267948966</v>
      </c>
      <c r="V13" s="8">
        <v>0.53277153923400089</v>
      </c>
      <c r="W13" s="8">
        <v>8.7478027614435933E-2</v>
      </c>
      <c r="X13" s="8">
        <v>3.288401008659374</v>
      </c>
      <c r="Y13" s="8">
        <v>1.5707963267948966</v>
      </c>
      <c r="Z13" s="28">
        <v>9.4798207180357913E-4</v>
      </c>
      <c r="AA13" s="8">
        <f t="shared" si="0"/>
        <v>0.15286652758612149</v>
      </c>
      <c r="AB13" s="8">
        <f t="shared" si="1"/>
        <v>-5.8896332280422153E-2</v>
      </c>
      <c r="AC13" s="8">
        <f t="shared" si="2"/>
        <v>-1.4057869883690626</v>
      </c>
      <c r="AD13" s="8">
        <f t="shared" si="3"/>
        <v>0</v>
      </c>
      <c r="AE13" s="8">
        <f t="shared" si="4"/>
        <v>0.2327715392340009</v>
      </c>
      <c r="AF13" s="8">
        <f t="shared" si="5"/>
        <v>7.4780276144359309E-3</v>
      </c>
      <c r="AG13" s="8">
        <f t="shared" si="6"/>
        <v>0.14640100865937411</v>
      </c>
      <c r="AH13" s="8">
        <f t="shared" si="7"/>
        <v>0</v>
      </c>
      <c r="AI13" s="22">
        <f t="shared" si="9"/>
        <v>0.19281903341006118</v>
      </c>
      <c r="AJ13" s="22">
        <f t="shared" si="8"/>
        <v>3.3187179947429042E-2</v>
      </c>
      <c r="AK13" s="22">
        <f t="shared" si="8"/>
        <v>0.77609399851421834</v>
      </c>
      <c r="AL13" s="22">
        <f t="shared" si="10"/>
        <v>0.1</v>
      </c>
      <c r="AM13" s="31"/>
      <c r="AN13" s="30">
        <f>AVERAGE(AI8,AI11,AI12,AI14,AI15,AI17,AI18,AI20,AI26,AI30,AI32,AI35,AI37,AI40,AI41)</f>
        <v>0.17939104080002732</v>
      </c>
      <c r="AO13" s="30">
        <f t="shared" ref="AO13:AP13" si="12">AVERAGE(AJ8,AJ11,AJ12,AJ14,AJ15,AJ17,AJ18,AJ20,AJ26,AJ30,AJ32,AJ35,AJ37,AJ40,AJ41)</f>
        <v>2.9082749580413299E-2</v>
      </c>
      <c r="AP13" s="30">
        <f t="shared" si="12"/>
        <v>0.46185746069729394</v>
      </c>
    </row>
    <row r="14" spans="1:47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9.2607205733656901E-3</v>
      </c>
      <c r="M14" s="8">
        <f>'Proximal Validation (double)'!M14</f>
        <v>-0.11755938827991499</v>
      </c>
      <c r="N14" s="8">
        <f>'Proximal Validation (double)'!N14</f>
        <v>-8.4324358031153696E-3</v>
      </c>
      <c r="O14" s="8">
        <f>'Proximal Validation (double)'!O14</f>
        <v>-0.58649873733520497</v>
      </c>
      <c r="P14" s="8">
        <f>'Proximal Validation (double)'!P14</f>
        <v>-5.0031639635562897E-2</v>
      </c>
      <c r="Q14" s="8">
        <f>'Proximal Validation (double)'!Q14</f>
        <v>4.2876139283180202E-2</v>
      </c>
      <c r="R14" s="8">
        <v>0.94895011173278154</v>
      </c>
      <c r="S14" s="8">
        <v>0.19193086557192807</v>
      </c>
      <c r="T14" s="8">
        <v>1.5942901915822998</v>
      </c>
      <c r="U14" s="8">
        <v>1.5707963267948966</v>
      </c>
      <c r="V14" s="8">
        <v>0.6041937440912849</v>
      </c>
      <c r="W14" s="8">
        <v>2.9416330288415334E-2</v>
      </c>
      <c r="X14" s="8">
        <v>4.69507739562028</v>
      </c>
      <c r="Y14" s="8">
        <v>1.5707963267948966</v>
      </c>
      <c r="Z14" s="28">
        <v>1.5049131441901649E-3</v>
      </c>
      <c r="AA14" s="8">
        <f t="shared" si="0"/>
        <v>4.8950111732781521E-2</v>
      </c>
      <c r="AB14" s="8">
        <f t="shared" si="1"/>
        <v>-8.0691344280719446E-3</v>
      </c>
      <c r="AC14" s="8">
        <f t="shared" si="2"/>
        <v>2.3290191582299835E-2</v>
      </c>
      <c r="AD14" s="8">
        <f t="shared" si="3"/>
        <v>0</v>
      </c>
      <c r="AE14" s="8">
        <f t="shared" si="4"/>
        <v>0.30419374409128491</v>
      </c>
      <c r="AF14" s="8">
        <f t="shared" si="5"/>
        <v>9.4163302884153338E-3</v>
      </c>
      <c r="AG14" s="8">
        <f t="shared" si="6"/>
        <v>-1.6922604379719708E-2</v>
      </c>
      <c r="AH14" s="8">
        <f t="shared" si="7"/>
        <v>0</v>
      </c>
      <c r="AI14" s="22">
        <f t="shared" si="9"/>
        <v>0.17657192791203322</v>
      </c>
      <c r="AJ14" s="22">
        <f t="shared" si="8"/>
        <v>8.7427323582436392E-3</v>
      </c>
      <c r="AK14" s="22">
        <f t="shared" si="8"/>
        <v>2.0106397981009771E-2</v>
      </c>
      <c r="AL14" s="22">
        <f t="shared" si="10"/>
        <v>0.3</v>
      </c>
      <c r="AM14" s="31"/>
    </row>
    <row r="15" spans="1:47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-9.1172568500042005E-4</v>
      </c>
      <c r="M15" s="8">
        <f>'Proximal Validation (double)'!M15</f>
        <v>-3.9313092827796901E-2</v>
      </c>
      <c r="N15" s="8">
        <f>'Proximal Validation (double)'!N15</f>
        <v>-0.130889192223549</v>
      </c>
      <c r="O15" s="8">
        <f>'Proximal Validation (double)'!O15</f>
        <v>-0.256822139024735</v>
      </c>
      <c r="P15" s="8">
        <f>'Proximal Validation (double)'!P15</f>
        <v>-0.62632656097412098</v>
      </c>
      <c r="Q15" s="8">
        <f>'Proximal Validation (double)'!Q15</f>
        <v>-0.18459481000900299</v>
      </c>
      <c r="R15" s="8">
        <v>0.63221594853267493</v>
      </c>
      <c r="S15" s="8">
        <v>0.18015920564799062</v>
      </c>
      <c r="T15" s="8">
        <v>2.3388021251381406</v>
      </c>
      <c r="U15" s="8">
        <v>1.5707963267948966</v>
      </c>
      <c r="V15" s="8">
        <v>0.63654976334439139</v>
      </c>
      <c r="W15" s="8">
        <v>2.9117786121584194E-2</v>
      </c>
      <c r="X15" s="8">
        <v>4.339043089141617</v>
      </c>
      <c r="Y15" s="8">
        <v>1.5707963267948966</v>
      </c>
      <c r="Z15" s="28">
        <v>1.61910792154505E-4</v>
      </c>
      <c r="AA15" s="8">
        <f t="shared" si="0"/>
        <v>-0.26778405146732509</v>
      </c>
      <c r="AB15" s="8">
        <f t="shared" si="1"/>
        <v>8.0159205647990617E-2</v>
      </c>
      <c r="AC15" s="8">
        <f t="shared" si="2"/>
        <v>-1.7197874861859308E-2</v>
      </c>
      <c r="AD15" s="8">
        <f t="shared" si="3"/>
        <v>0</v>
      </c>
      <c r="AE15" s="8">
        <f t="shared" si="4"/>
        <v>-0.26345023665560863</v>
      </c>
      <c r="AF15" s="8">
        <f t="shared" si="5"/>
        <v>9.1177861215841934E-3</v>
      </c>
      <c r="AG15" s="8">
        <f t="shared" si="6"/>
        <v>-0.37295691085838278</v>
      </c>
      <c r="AH15" s="8">
        <f t="shared" si="7"/>
        <v>0</v>
      </c>
      <c r="AI15" s="22">
        <f t="shared" si="9"/>
        <v>0.26561714406146686</v>
      </c>
      <c r="AJ15" s="22">
        <f t="shared" si="8"/>
        <v>4.4638495884787403E-2</v>
      </c>
      <c r="AK15" s="22">
        <f t="shared" si="8"/>
        <v>0.19507739286012105</v>
      </c>
      <c r="AL15" s="22">
        <f t="shared" si="10"/>
        <v>0.9</v>
      </c>
      <c r="AM15" s="31"/>
    </row>
    <row r="16" spans="1:47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-3.60760372132063E-3</v>
      </c>
      <c r="M16" s="8">
        <f>'Proximal Validation (double)'!M16</f>
        <v>-5.4309170693159103E-2</v>
      </c>
      <c r="N16" s="8">
        <f>'Proximal Validation (double)'!N16</f>
        <v>-7.0400118827819796E-2</v>
      </c>
      <c r="O16" s="8">
        <f>'Proximal Validation (double)'!O16</f>
        <v>-5.4136319085955602E-3</v>
      </c>
      <c r="P16" s="8">
        <f>'Proximal Validation (double)'!P16</f>
        <v>-0.32776689529418901</v>
      </c>
      <c r="Q16" s="8">
        <f>'Proximal Validation (double)'!Q16</f>
        <v>0.24705727398395499</v>
      </c>
      <c r="R16" s="8">
        <v>0.49979549057579603</v>
      </c>
      <c r="S16" s="8">
        <v>7.2360424603163082E-2</v>
      </c>
      <c r="T16" s="8">
        <v>2.6206928288678069</v>
      </c>
      <c r="U16" s="8">
        <v>1.5707963267948966</v>
      </c>
      <c r="V16" s="8">
        <v>0.10398350901042612</v>
      </c>
      <c r="W16" s="8">
        <v>5.7391600351681976E-2</v>
      </c>
      <c r="X16" s="8">
        <v>6.2825949413440485</v>
      </c>
      <c r="Y16" s="8">
        <v>1.5707963267948966</v>
      </c>
      <c r="Z16" s="28">
        <v>6.7608223763208821E-4</v>
      </c>
      <c r="AA16" s="8">
        <f t="shared" si="0"/>
        <v>9.9795490575796009E-2</v>
      </c>
      <c r="AB16" s="8">
        <f t="shared" si="1"/>
        <v>-4.7639575396836914E-2</v>
      </c>
      <c r="AC16" s="8">
        <f t="shared" si="2"/>
        <v>0.26469282886780698</v>
      </c>
      <c r="AD16" s="8">
        <f t="shared" si="3"/>
        <v>0</v>
      </c>
      <c r="AE16" s="8">
        <f t="shared" si="4"/>
        <v>3.9835090104261145E-3</v>
      </c>
      <c r="AF16" s="8">
        <f t="shared" si="5"/>
        <v>-2.6083996483180216E-3</v>
      </c>
      <c r="AG16" s="8">
        <f t="shared" si="6"/>
        <v>3.1405949413440486</v>
      </c>
      <c r="AH16" s="8">
        <f t="shared" si="7"/>
        <v>0</v>
      </c>
      <c r="AI16" s="22">
        <f t="shared" si="9"/>
        <v>5.1889499793111062E-2</v>
      </c>
      <c r="AJ16" s="22">
        <f t="shared" si="8"/>
        <v>2.5123987522577468E-2</v>
      </c>
      <c r="AK16" s="22">
        <f t="shared" si="8"/>
        <v>1.7026438851059278</v>
      </c>
      <c r="AL16" s="22">
        <f t="shared" si="10"/>
        <v>0.1</v>
      </c>
      <c r="AM16" s="31"/>
    </row>
    <row r="17" spans="1:39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1.51338707655668E-3</v>
      </c>
      <c r="M17" s="8">
        <f>'Proximal Validation (double)'!M17</f>
        <v>-0.13520552217960399</v>
      </c>
      <c r="N17" s="8">
        <f>'Proximal Validation (double)'!N17</f>
        <v>-0.2040024548769</v>
      </c>
      <c r="O17" s="8">
        <f>'Proximal Validation (double)'!O17</f>
        <v>-0.46525964140892001</v>
      </c>
      <c r="P17" s="8">
        <f>'Proximal Validation (double)'!P17</f>
        <v>-0.93685162067413297</v>
      </c>
      <c r="Q17" s="8">
        <f>'Proximal Validation (double)'!Q17</f>
        <v>0.42077422142028797</v>
      </c>
      <c r="R17" s="8">
        <v>0.95187651583008426</v>
      </c>
      <c r="S17" s="8">
        <v>0.15066597124598152</v>
      </c>
      <c r="T17" s="8">
        <v>2.4241415121165182</v>
      </c>
      <c r="U17" s="8">
        <v>1.5707963267948966</v>
      </c>
      <c r="V17" s="8">
        <v>0.32906562819509599</v>
      </c>
      <c r="W17" s="8">
        <v>2.0000212167279097E-2</v>
      </c>
      <c r="X17" s="8">
        <v>3.5356750549881157</v>
      </c>
      <c r="Y17" s="8">
        <v>1.5707963267948966</v>
      </c>
      <c r="Z17" s="28">
        <v>1.2830068999079429E-4</v>
      </c>
      <c r="AA17" s="8">
        <f t="shared" si="0"/>
        <v>-4.8123484169915742E-2</v>
      </c>
      <c r="AB17" s="8">
        <f t="shared" si="1"/>
        <v>1.0665971245981509E-2</v>
      </c>
      <c r="AC17" s="8">
        <f t="shared" si="2"/>
        <v>6.814151211651831E-2</v>
      </c>
      <c r="AD17" s="8">
        <f t="shared" si="3"/>
        <v>0</v>
      </c>
      <c r="AE17" s="8">
        <f t="shared" si="4"/>
        <v>-7.0934371804904028E-2</v>
      </c>
      <c r="AF17" s="8">
        <f t="shared" si="5"/>
        <v>-1.9999787832720904E-2</v>
      </c>
      <c r="AG17" s="8">
        <f t="shared" si="6"/>
        <v>-0.39132494501188431</v>
      </c>
      <c r="AH17" s="8">
        <f t="shared" si="7"/>
        <v>0</v>
      </c>
      <c r="AI17" s="22">
        <f t="shared" si="9"/>
        <v>5.9528927987409885E-2</v>
      </c>
      <c r="AJ17" s="22">
        <f t="shared" si="8"/>
        <v>1.5332879539351207E-2</v>
      </c>
      <c r="AK17" s="22">
        <f t="shared" si="8"/>
        <v>0.22973322856420131</v>
      </c>
      <c r="AL17" s="22">
        <f t="shared" si="10"/>
        <v>0.4</v>
      </c>
      <c r="AM17" s="31"/>
    </row>
    <row r="18" spans="1:39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1.25857396051288E-3</v>
      </c>
      <c r="M18" s="8">
        <f>'Proximal Validation (double)'!M18</f>
        <v>-6.1508439481258399E-2</v>
      </c>
      <c r="N18" s="8">
        <f>'Proximal Validation (double)'!N18</f>
        <v>-0.139540165662766</v>
      </c>
      <c r="O18" s="8">
        <f>'Proximal Validation (double)'!O18</f>
        <v>-9.9908888339996296E-2</v>
      </c>
      <c r="P18" s="8">
        <f>'Proximal Validation (double)'!P18</f>
        <v>-0.836775302886963</v>
      </c>
      <c r="Q18" s="8">
        <f>'Proximal Validation (double)'!Q18</f>
        <v>0.23870468139648399</v>
      </c>
      <c r="R18" s="8">
        <v>0.96413093360686142</v>
      </c>
      <c r="S18" s="8">
        <v>7.3033514180716796E-2</v>
      </c>
      <c r="T18" s="8">
        <v>2.4495466079674331</v>
      </c>
      <c r="U18" s="8">
        <v>1.5707963267948966</v>
      </c>
      <c r="V18" s="8">
        <v>0.38543392552570144</v>
      </c>
      <c r="W18" s="8">
        <v>2.5633395695558163E-2</v>
      </c>
      <c r="X18" s="8">
        <v>4.449597614459889</v>
      </c>
      <c r="Y18" s="8">
        <v>1.5707963267948966</v>
      </c>
      <c r="Z18" s="28">
        <v>8.8079781241871726E-5</v>
      </c>
      <c r="AA18" s="8">
        <f t="shared" si="0"/>
        <v>0.5641309336068614</v>
      </c>
      <c r="AB18" s="8">
        <f t="shared" si="1"/>
        <v>-0.1069664858192832</v>
      </c>
      <c r="AC18" s="8">
        <f t="shared" si="2"/>
        <v>9.3546607967433193E-2</v>
      </c>
      <c r="AD18" s="8">
        <f t="shared" si="3"/>
        <v>0</v>
      </c>
      <c r="AE18" s="8">
        <f t="shared" si="4"/>
        <v>-0.31456607447429852</v>
      </c>
      <c r="AF18" s="8">
        <f t="shared" si="5"/>
        <v>-1.4366604304441838E-2</v>
      </c>
      <c r="AG18" s="8">
        <f t="shared" si="6"/>
        <v>1.3075976144598891</v>
      </c>
      <c r="AH18" s="8">
        <f t="shared" si="7"/>
        <v>0</v>
      </c>
      <c r="AI18" s="22">
        <f t="shared" si="9"/>
        <v>0.43934850404057996</v>
      </c>
      <c r="AJ18" s="22">
        <f t="shared" si="8"/>
        <v>6.0666545061862517E-2</v>
      </c>
      <c r="AK18" s="22">
        <f t="shared" si="8"/>
        <v>0.70057211121366114</v>
      </c>
      <c r="AL18" s="22">
        <f t="shared" si="10"/>
        <v>0.4</v>
      </c>
      <c r="AM18" s="31"/>
    </row>
    <row r="19" spans="1:39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-7.4886210495606097E-4</v>
      </c>
      <c r="M19" s="8">
        <f>'Proximal Validation (double)'!M19</f>
        <v>2.0453782752156299E-2</v>
      </c>
      <c r="N19" s="8">
        <f>'Proximal Validation (double)'!N19</f>
        <v>-9.3716401606798207E-3</v>
      </c>
      <c r="O19" s="8">
        <f>'Proximal Validation (double)'!O19</f>
        <v>1.6650179401040101E-2</v>
      </c>
      <c r="P19" s="8">
        <f>'Proximal Validation (double)'!P19</f>
        <v>-2.5679610669612898E-2</v>
      </c>
      <c r="Q19" s="8">
        <f>'Proximal Validation (double)'!Q19</f>
        <v>-0.15806177258491499</v>
      </c>
      <c r="R19" s="8">
        <v>0.51439997246087588</v>
      </c>
      <c r="S19" s="8">
        <v>0.12664907754254895</v>
      </c>
      <c r="T19" s="8">
        <v>1.7915008459404245</v>
      </c>
      <c r="U19" s="8">
        <v>1.5707963267948966</v>
      </c>
      <c r="V19" s="8">
        <v>0.66590288106363249</v>
      </c>
      <c r="W19" s="8">
        <v>0.10215892038955006</v>
      </c>
      <c r="X19" s="8">
        <v>4.8431691949956646</v>
      </c>
      <c r="Y19" s="8">
        <v>1.5707963267948966</v>
      </c>
      <c r="Z19" s="28">
        <v>2.7635101500175487E-4</v>
      </c>
      <c r="AA19" s="8">
        <f t="shared" si="0"/>
        <v>0.4143999724608759</v>
      </c>
      <c r="AB19" s="8">
        <f t="shared" si="1"/>
        <v>-5.3350922457451044E-2</v>
      </c>
      <c r="AC19" s="8">
        <f t="shared" si="2"/>
        <v>-0.5644991540595754</v>
      </c>
      <c r="AD19" s="8">
        <f t="shared" si="3"/>
        <v>0</v>
      </c>
      <c r="AE19" s="8">
        <f t="shared" si="4"/>
        <v>0.46590288106363248</v>
      </c>
      <c r="AF19" s="8">
        <f t="shared" si="5"/>
        <v>4.2158920389550061E-2</v>
      </c>
      <c r="AG19" s="8">
        <f t="shared" si="6"/>
        <v>0.13116919499566482</v>
      </c>
      <c r="AH19" s="8">
        <f t="shared" si="7"/>
        <v>0</v>
      </c>
      <c r="AI19" s="22">
        <f t="shared" si="9"/>
        <v>0.44015142676225416</v>
      </c>
      <c r="AJ19" s="22">
        <f t="shared" si="9"/>
        <v>4.7754921423500553E-2</v>
      </c>
      <c r="AK19" s="22">
        <f t="shared" si="9"/>
        <v>0.34783417452762011</v>
      </c>
      <c r="AL19" s="22">
        <f t="shared" si="10"/>
        <v>0.1</v>
      </c>
      <c r="AM19" s="31"/>
    </row>
    <row r="20" spans="1:39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3.2496866770088699E-3</v>
      </c>
      <c r="M20" s="8">
        <f>'Proximal Validation (double)'!M20</f>
        <v>-0.114310443401337</v>
      </c>
      <c r="N20" s="8">
        <f>'Proximal Validation (double)'!N20</f>
        <v>-0.158231571316719</v>
      </c>
      <c r="O20" s="8">
        <f>'Proximal Validation (double)'!O20</f>
        <v>-0.49384498596191401</v>
      </c>
      <c r="P20" s="8">
        <f>'Proximal Validation (double)'!P20</f>
        <v>-0.55208766460418701</v>
      </c>
      <c r="Q20" s="8">
        <f>'Proximal Validation (double)'!Q20</f>
        <v>0.26307040452957198</v>
      </c>
      <c r="R20" s="8">
        <v>0.8205033847936809</v>
      </c>
      <c r="S20" s="8">
        <v>0.19116463834658448</v>
      </c>
      <c r="T20" s="8">
        <v>2.4039775799590464</v>
      </c>
      <c r="U20" s="8">
        <v>1.5707963267948966</v>
      </c>
      <c r="V20" s="8">
        <v>0.1750292325688986</v>
      </c>
      <c r="W20" s="8">
        <v>4.5763709239377295E-2</v>
      </c>
      <c r="X20" s="8">
        <v>4.3213097595814487</v>
      </c>
      <c r="Y20" s="8">
        <v>1.5707963267948966</v>
      </c>
      <c r="Z20" s="28">
        <v>5.9261602344648423E-5</v>
      </c>
      <c r="AA20" s="8">
        <f t="shared" si="0"/>
        <v>-7.9496615206319121E-2</v>
      </c>
      <c r="AB20" s="8">
        <f t="shared" si="1"/>
        <v>-8.8353616534155299E-3</v>
      </c>
      <c r="AC20" s="8">
        <f t="shared" si="2"/>
        <v>4.7977579959046501E-2</v>
      </c>
      <c r="AD20" s="8">
        <f t="shared" si="3"/>
        <v>0</v>
      </c>
      <c r="AE20" s="8">
        <f t="shared" si="4"/>
        <v>-0.12497076743110139</v>
      </c>
      <c r="AF20" s="8">
        <f t="shared" si="5"/>
        <v>-1.4236290760622702E-2</v>
      </c>
      <c r="AG20" s="8">
        <f t="shared" si="6"/>
        <v>1.1793097595814488</v>
      </c>
      <c r="AH20" s="8">
        <f t="shared" si="7"/>
        <v>0</v>
      </c>
      <c r="AI20" s="22">
        <f t="shared" si="9"/>
        <v>0.10223369131871025</v>
      </c>
      <c r="AJ20" s="22">
        <f t="shared" si="9"/>
        <v>1.1535826207019116E-2</v>
      </c>
      <c r="AK20" s="22">
        <f t="shared" si="9"/>
        <v>0.61364366977024765</v>
      </c>
      <c r="AL20" s="22">
        <f t="shared" si="10"/>
        <v>0.3</v>
      </c>
      <c r="AM20" s="31"/>
    </row>
    <row r="21" spans="1:39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4.3617305345833302E-4</v>
      </c>
      <c r="M21" s="8">
        <f>'Proximal Validation (double)'!M21</f>
        <v>3.7674464285373702E-2</v>
      </c>
      <c r="N21" s="8">
        <f>'Proximal Validation (double)'!N21</f>
        <v>-4.6963214874267599E-2</v>
      </c>
      <c r="O21" s="8">
        <f>'Proximal Validation (double)'!O21</f>
        <v>1.26499449834228E-2</v>
      </c>
      <c r="P21" s="8">
        <f>'Proximal Validation (double)'!P21</f>
        <v>-0.26442891359329201</v>
      </c>
      <c r="Q21" s="8">
        <f>'Proximal Validation (double)'!Q21</f>
        <v>-0.20531408488750499</v>
      </c>
      <c r="R21" s="8">
        <v>0.22103877152602497</v>
      </c>
      <c r="S21" s="8">
        <v>0.13320010893941653</v>
      </c>
      <c r="T21" s="8">
        <v>0.64679327215708393</v>
      </c>
      <c r="U21" s="8">
        <v>1.5707963267948966</v>
      </c>
      <c r="V21" s="8">
        <v>0.55652121585461678</v>
      </c>
      <c r="W21" s="8">
        <v>9.2139069238786384E-2</v>
      </c>
      <c r="X21" s="8">
        <v>3.7965950649417617</v>
      </c>
      <c r="Y21" s="8">
        <v>1.5707963267948966</v>
      </c>
      <c r="Z21" s="28">
        <v>2.5491070937270761E-4</v>
      </c>
      <c r="AA21" s="8">
        <f t="shared" si="0"/>
        <v>0.12103877152602496</v>
      </c>
      <c r="AB21" s="8">
        <f t="shared" si="1"/>
        <v>3.3200108939416523E-2</v>
      </c>
      <c r="AC21" s="8">
        <f t="shared" si="2"/>
        <v>-2.4952067278429162</v>
      </c>
      <c r="AD21" s="8">
        <f t="shared" si="3"/>
        <v>0</v>
      </c>
      <c r="AE21" s="8">
        <f t="shared" si="4"/>
        <v>0.25652121585461679</v>
      </c>
      <c r="AF21" s="8">
        <f t="shared" si="5"/>
        <v>1.2139069238786382E-2</v>
      </c>
      <c r="AG21" s="8">
        <f t="shared" si="6"/>
        <v>-0.13040493505823836</v>
      </c>
      <c r="AH21" s="8">
        <f t="shared" si="7"/>
        <v>0</v>
      </c>
      <c r="AI21" s="22">
        <f t="shared" si="9"/>
        <v>0.18877999369032089</v>
      </c>
      <c r="AJ21" s="22">
        <f t="shared" si="9"/>
        <v>2.2669589089101452E-2</v>
      </c>
      <c r="AK21" s="22">
        <f t="shared" si="9"/>
        <v>1.3128058314505773</v>
      </c>
      <c r="AL21" s="22">
        <f t="shared" si="10"/>
        <v>0.1</v>
      </c>
      <c r="AM21" s="31"/>
    </row>
    <row r="22" spans="1:39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1.0640500113368E-3</v>
      </c>
      <c r="M22" s="8">
        <f>'Proximal Validation (double)'!M22</f>
        <v>6.2404803931713097E-2</v>
      </c>
      <c r="N22" s="8">
        <f>'Proximal Validation (double)'!N22</f>
        <v>-7.4282236397266402E-2</v>
      </c>
      <c r="O22" s="8">
        <f>'Proximal Validation (double)'!O22</f>
        <v>1.72678660601377E-2</v>
      </c>
      <c r="P22" s="8">
        <f>'Proximal Validation (double)'!P22</f>
        <v>-0.60528373718261697</v>
      </c>
      <c r="Q22" s="8">
        <f>'Proximal Validation (double)'!Q22</f>
        <v>-0.54190033674240101</v>
      </c>
      <c r="R22" s="8">
        <v>0.16991676135814546</v>
      </c>
      <c r="S22" s="8">
        <v>5.081883397416221E-2</v>
      </c>
      <c r="T22" s="8">
        <v>1.4964865615068412</v>
      </c>
      <c r="U22" s="8">
        <v>1.5707963267948966</v>
      </c>
      <c r="V22" s="8">
        <v>0.94314727373220841</v>
      </c>
      <c r="W22" s="8">
        <v>2.5205779134496765E-2</v>
      </c>
      <c r="X22" s="8">
        <v>3.9971529062605073</v>
      </c>
      <c r="Y22" s="8">
        <v>1.5707963267948966</v>
      </c>
      <c r="Z22" s="28">
        <v>2.9164014666989803E-4</v>
      </c>
      <c r="AA22" s="8">
        <f t="shared" si="0"/>
        <v>6.9916761358145452E-2</v>
      </c>
      <c r="AB22" s="8">
        <f t="shared" si="1"/>
        <v>-0.14918116602583781</v>
      </c>
      <c r="AC22" s="8">
        <f t="shared" si="2"/>
        <v>-1.6455134384931587</v>
      </c>
      <c r="AD22" s="8">
        <f t="shared" si="3"/>
        <v>0</v>
      </c>
      <c r="AE22" s="8">
        <f t="shared" si="4"/>
        <v>0.14314727373220837</v>
      </c>
      <c r="AF22" s="8">
        <f t="shared" si="5"/>
        <v>5.2057791344967651E-3</v>
      </c>
      <c r="AG22" s="8">
        <f t="shared" si="6"/>
        <v>7.0152906260507297E-2</v>
      </c>
      <c r="AH22" s="8">
        <f t="shared" si="7"/>
        <v>0</v>
      </c>
      <c r="AI22" s="22">
        <f t="shared" si="9"/>
        <v>0.10653201754517691</v>
      </c>
      <c r="AJ22" s="22">
        <f t="shared" si="9"/>
        <v>7.7193472580167288E-2</v>
      </c>
      <c r="AK22" s="22">
        <f t="shared" si="9"/>
        <v>0.85783317237683299</v>
      </c>
      <c r="AL22" s="22">
        <f t="shared" si="10"/>
        <v>0.1</v>
      </c>
      <c r="AM22" s="31"/>
    </row>
    <row r="23" spans="1:39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-2.0453361794352501E-3</v>
      </c>
      <c r="M23" s="8">
        <f>'Proximal Validation (double)'!M23</f>
        <v>0.14060573279857599</v>
      </c>
      <c r="N23" s="8">
        <f>'Proximal Validation (double)'!N23</f>
        <v>-0.14573009312152899</v>
      </c>
      <c r="O23" s="8">
        <f>'Proximal Validation (double)'!O23</f>
        <v>-0.146071821451187</v>
      </c>
      <c r="P23" s="8">
        <f>'Proximal Validation (double)'!P23</f>
        <v>-0.82719779014587402</v>
      </c>
      <c r="Q23" s="8">
        <f>'Proximal Validation (double)'!Q23</f>
        <v>-0.70544010400772095</v>
      </c>
      <c r="R23" s="8">
        <v>0.89327261267373825</v>
      </c>
      <c r="S23" s="8">
        <v>9.0695103134408359E-2</v>
      </c>
      <c r="T23" s="8">
        <v>4.199420736372061</v>
      </c>
      <c r="U23" s="8">
        <v>1.5707963267948966</v>
      </c>
      <c r="V23" s="8">
        <v>0.40104103813908182</v>
      </c>
      <c r="W23" s="8">
        <v>5.8711014247917498E-2</v>
      </c>
      <c r="X23" s="8">
        <v>2.9820318639251617</v>
      </c>
      <c r="Y23" s="8">
        <v>1.5707963267948966</v>
      </c>
      <c r="Z23" s="28">
        <v>1.9171095793166646E-4</v>
      </c>
      <c r="AA23" s="8">
        <f t="shared" si="0"/>
        <v>-6.7273873262617689E-3</v>
      </c>
      <c r="AB23" s="8">
        <f t="shared" si="1"/>
        <v>-9.304896865591647E-3</v>
      </c>
      <c r="AC23" s="8">
        <f t="shared" si="2"/>
        <v>0.27242073637206099</v>
      </c>
      <c r="AD23" s="8">
        <f t="shared" si="3"/>
        <v>0</v>
      </c>
      <c r="AE23" s="8">
        <f t="shared" si="4"/>
        <v>0.20104103813908181</v>
      </c>
      <c r="AF23" s="8">
        <f t="shared" si="5"/>
        <v>3.8711014247917494E-2</v>
      </c>
      <c r="AG23" s="8">
        <f t="shared" si="6"/>
        <v>-0.15996813607483817</v>
      </c>
      <c r="AH23" s="8">
        <f t="shared" si="7"/>
        <v>0</v>
      </c>
      <c r="AI23" s="22">
        <f t="shared" si="9"/>
        <v>0.10388421273267179</v>
      </c>
      <c r="AJ23" s="22">
        <f t="shared" si="9"/>
        <v>2.400795555675457E-2</v>
      </c>
      <c r="AK23" s="22">
        <f t="shared" si="9"/>
        <v>0.21619443622344958</v>
      </c>
      <c r="AL23" s="22">
        <f t="shared" si="10"/>
        <v>0.2</v>
      </c>
      <c r="AM23" s="31"/>
    </row>
    <row r="24" spans="1:39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-9.4009120948612701E-4</v>
      </c>
      <c r="M24" s="8">
        <f>'Proximal Validation (double)'!M24</f>
        <v>4.6884305775165599E-2</v>
      </c>
      <c r="N24" s="8">
        <f>'Proximal Validation (double)'!N24</f>
        <v>-2.4323541671037702E-2</v>
      </c>
      <c r="O24" s="8">
        <f>'Proximal Validation (double)'!O24</f>
        <v>5.6157279759645497E-3</v>
      </c>
      <c r="P24" s="8">
        <f>'Proximal Validation (double)'!P24</f>
        <v>-0.11253473162651099</v>
      </c>
      <c r="Q24" s="8">
        <f>'Proximal Validation (double)'!Q24</f>
        <v>-0.29774409532547003</v>
      </c>
      <c r="R24" s="8">
        <v>0.40472239640762636</v>
      </c>
      <c r="S24" s="8">
        <v>0.12779610219581741</v>
      </c>
      <c r="T24" s="8">
        <v>1.7226835733848174</v>
      </c>
      <c r="U24" s="8">
        <v>1.5707963267948966</v>
      </c>
      <c r="V24" s="8">
        <v>0.69999222738888012</v>
      </c>
      <c r="W24" s="8">
        <v>9.6652762696543354E-2</v>
      </c>
      <c r="X24" s="8">
        <v>4.6389509887591176</v>
      </c>
      <c r="Y24" s="8">
        <v>1.5707963267948966</v>
      </c>
      <c r="Z24" s="28">
        <v>5.970415860616715E-5</v>
      </c>
      <c r="AA24" s="8">
        <f t="shared" si="0"/>
        <v>0.20472239640762635</v>
      </c>
      <c r="AB24" s="8">
        <f t="shared" si="1"/>
        <v>7.796102195817417E-3</v>
      </c>
      <c r="AC24" s="8">
        <f t="shared" si="2"/>
        <v>-2.2043164266151827</v>
      </c>
      <c r="AD24" s="8">
        <f t="shared" si="3"/>
        <v>0</v>
      </c>
      <c r="AE24" s="8">
        <f t="shared" si="4"/>
        <v>0.49999222738888011</v>
      </c>
      <c r="AF24" s="8">
        <f t="shared" si="5"/>
        <v>7.665276269654335E-2</v>
      </c>
      <c r="AG24" s="8">
        <f t="shared" si="6"/>
        <v>-7.3049011240882145E-2</v>
      </c>
      <c r="AH24" s="8">
        <f t="shared" si="7"/>
        <v>0</v>
      </c>
      <c r="AI24" s="22">
        <f t="shared" si="9"/>
        <v>0.35235731189825326</v>
      </c>
      <c r="AJ24" s="22">
        <f t="shared" si="9"/>
        <v>4.2224432446180384E-2</v>
      </c>
      <c r="AK24" s="22">
        <f t="shared" si="9"/>
        <v>1.1386827189280324</v>
      </c>
      <c r="AL24" s="22">
        <f t="shared" si="10"/>
        <v>0.2</v>
      </c>
      <c r="AM24" s="31"/>
    </row>
    <row r="25" spans="1:39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3.5136193037033097E-4</v>
      </c>
      <c r="M25" s="8">
        <f>'Proximal Validation (double)'!M25</f>
        <v>0.18612760305404699</v>
      </c>
      <c r="N25" s="8">
        <f>'Proximal Validation (double)'!N25</f>
        <v>-8.7223671376705197E-2</v>
      </c>
      <c r="O25" s="8">
        <f>'Proximal Validation (double)'!O25</f>
        <v>-0.228773519396782</v>
      </c>
      <c r="P25" s="8">
        <f>'Proximal Validation (double)'!P25</f>
        <v>-0.39178490638732899</v>
      </c>
      <c r="Q25" s="8">
        <f>'Proximal Validation (double)'!Q25</f>
        <v>-0.93568027019500699</v>
      </c>
      <c r="R25" s="8">
        <v>0.1312203665413971</v>
      </c>
      <c r="S25" s="8">
        <v>0.15829390552850103</v>
      </c>
      <c r="T25" s="8">
        <v>3.2429475456483545</v>
      </c>
      <c r="U25" s="8">
        <v>1.5707963267948966</v>
      </c>
      <c r="V25" s="8">
        <v>0.98531849940610916</v>
      </c>
      <c r="W25" s="8">
        <v>9.3217225210183996E-2</v>
      </c>
      <c r="X25" s="8">
        <v>4.4306842863253904</v>
      </c>
      <c r="Y25" s="8">
        <v>1.5707963267948966</v>
      </c>
      <c r="Z25" s="28">
        <v>1.8738897908821599E-4</v>
      </c>
      <c r="AA25" s="8">
        <f t="shared" si="0"/>
        <v>-0.46877963345860285</v>
      </c>
      <c r="AB25" s="8">
        <f t="shared" si="1"/>
        <v>3.8293905528501038E-2</v>
      </c>
      <c r="AC25" s="8">
        <f t="shared" si="2"/>
        <v>-0.68405245435164552</v>
      </c>
      <c r="AD25" s="8">
        <f t="shared" si="3"/>
        <v>0</v>
      </c>
      <c r="AE25" s="8">
        <f t="shared" si="4"/>
        <v>0.48531849940610916</v>
      </c>
      <c r="AF25" s="8">
        <f t="shared" si="5"/>
        <v>1.3217225210183994E-2</v>
      </c>
      <c r="AG25" s="8">
        <f t="shared" si="6"/>
        <v>-0.28131571367460939</v>
      </c>
      <c r="AH25" s="8">
        <f t="shared" si="7"/>
        <v>0</v>
      </c>
      <c r="AI25" s="22">
        <f t="shared" si="9"/>
        <v>0.47704906643235601</v>
      </c>
      <c r="AJ25" s="22">
        <f t="shared" si="9"/>
        <v>2.5755565369342516E-2</v>
      </c>
      <c r="AK25" s="22">
        <f t="shared" si="9"/>
        <v>0.48268408401312746</v>
      </c>
      <c r="AL25" s="22">
        <f t="shared" si="10"/>
        <v>0.5</v>
      </c>
      <c r="AM25" s="31"/>
    </row>
    <row r="26" spans="1:39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-2.9902514070272398E-3</v>
      </c>
      <c r="M26" s="8">
        <f>'Proximal Validation (double)'!M26</f>
        <v>0.20048326253891</v>
      </c>
      <c r="N26" s="8">
        <f>'Proximal Validation (double)'!N26</f>
        <v>-0.21412828564643899</v>
      </c>
      <c r="O26" s="8">
        <f>'Proximal Validation (double)'!O26</f>
        <v>-0.35741558670997597</v>
      </c>
      <c r="P26" s="8">
        <f>'Proximal Validation (double)'!P26</f>
        <v>-1.1967084407806401</v>
      </c>
      <c r="Q26" s="8">
        <f>'Proximal Validation (double)'!Q26</f>
        <v>-1.0432312488555899</v>
      </c>
      <c r="R26" s="8">
        <v>0.94643020256718657</v>
      </c>
      <c r="S26" s="8">
        <v>9.4223379315314784E-2</v>
      </c>
      <c r="T26" s="8">
        <v>4.1978260547794095</v>
      </c>
      <c r="U26" s="8">
        <v>1.5707963267948966</v>
      </c>
      <c r="V26" s="8">
        <v>0.79929206509351469</v>
      </c>
      <c r="W26" s="8">
        <v>6.8498071929370699E-2</v>
      </c>
      <c r="X26" s="8">
        <v>3.459852997499858</v>
      </c>
      <c r="Y26" s="8">
        <v>1.5707963267948966</v>
      </c>
      <c r="Z26" s="28">
        <v>2.8292554245556094E-4</v>
      </c>
      <c r="AA26" s="8">
        <f t="shared" si="0"/>
        <v>0.24643020256718662</v>
      </c>
      <c r="AB26" s="8">
        <f t="shared" si="1"/>
        <v>-6.5776620684685219E-2</v>
      </c>
      <c r="AC26" s="8">
        <f t="shared" si="2"/>
        <v>0.27082605477940946</v>
      </c>
      <c r="AD26" s="8">
        <f t="shared" si="3"/>
        <v>0</v>
      </c>
      <c r="AE26" s="8">
        <f t="shared" si="4"/>
        <v>-0.20070793490648531</v>
      </c>
      <c r="AF26" s="8">
        <f t="shared" si="5"/>
        <v>2.8498071929370698E-2</v>
      </c>
      <c r="AG26" s="8">
        <f t="shared" si="6"/>
        <v>-0.46714700250014207</v>
      </c>
      <c r="AH26" s="8">
        <f t="shared" si="7"/>
        <v>0</v>
      </c>
      <c r="AI26" s="22">
        <f t="shared" si="9"/>
        <v>0.22356906873683596</v>
      </c>
      <c r="AJ26" s="22">
        <f t="shared" si="9"/>
        <v>4.7137346307027955E-2</v>
      </c>
      <c r="AK26" s="22">
        <f t="shared" si="9"/>
        <v>0.36898652863977577</v>
      </c>
      <c r="AL26" s="22">
        <f t="shared" si="10"/>
        <v>0.7</v>
      </c>
      <c r="AM26" s="31"/>
    </row>
    <row r="27" spans="1:39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-2.0198281854391098E-3</v>
      </c>
      <c r="M27" s="8">
        <f>'Proximal Validation (double)'!M27</f>
        <v>2.0925674587488199E-2</v>
      </c>
      <c r="N27" s="8">
        <f>'Proximal Validation (double)'!N27</f>
        <v>-0.17995955049991599</v>
      </c>
      <c r="O27" s="8">
        <f>'Proximal Validation (double)'!O27</f>
        <v>-0.152651637792587</v>
      </c>
      <c r="P27" s="8">
        <f>'Proximal Validation (double)'!P27</f>
        <v>-0.97161656618118297</v>
      </c>
      <c r="Q27" s="8">
        <f>'Proximal Validation (double)'!Q27</f>
        <v>-4.6399652957916301E-2</v>
      </c>
      <c r="R27" s="8">
        <v>0.1180520156338441</v>
      </c>
      <c r="S27" s="8">
        <v>0.18611912295425281</v>
      </c>
      <c r="T27" s="8">
        <v>4.3550848919806464</v>
      </c>
      <c r="U27" s="8">
        <v>1.5707963267948966</v>
      </c>
      <c r="V27" s="8">
        <v>0.94512617087705464</v>
      </c>
      <c r="W27" s="8">
        <v>8.2006078627237064E-2</v>
      </c>
      <c r="X27" s="8">
        <v>3.0763617989806136</v>
      </c>
      <c r="Y27" s="8">
        <v>1.5707963267948966</v>
      </c>
      <c r="Z27" s="28">
        <v>6.8316845905121355E-5</v>
      </c>
      <c r="AA27" s="8">
        <f t="shared" si="0"/>
        <v>1.8052015633844093E-2</v>
      </c>
      <c r="AB27" s="8">
        <f t="shared" si="1"/>
        <v>6.1191229542528203E-3</v>
      </c>
      <c r="AC27" s="8">
        <f t="shared" si="2"/>
        <v>0.42808489198064636</v>
      </c>
      <c r="AD27" s="8">
        <f t="shared" si="3"/>
        <v>0</v>
      </c>
      <c r="AE27" s="8">
        <f t="shared" si="4"/>
        <v>4.5126170877054617E-2</v>
      </c>
      <c r="AF27" s="8">
        <f t="shared" si="5"/>
        <v>2.0060786272370623E-3</v>
      </c>
      <c r="AG27" s="8">
        <f t="shared" si="6"/>
        <v>-6.5638201019386333E-2</v>
      </c>
      <c r="AH27" s="8">
        <f t="shared" si="7"/>
        <v>0</v>
      </c>
      <c r="AI27" s="22">
        <f t="shared" si="9"/>
        <v>3.1589093255449355E-2</v>
      </c>
      <c r="AJ27" s="22">
        <f t="shared" si="9"/>
        <v>4.0626007907449413E-3</v>
      </c>
      <c r="AK27" s="22">
        <f t="shared" si="9"/>
        <v>0.24686154650001635</v>
      </c>
      <c r="AL27" s="22">
        <f t="shared" si="10"/>
        <v>0.1</v>
      </c>
      <c r="AM27" s="31"/>
    </row>
    <row r="28" spans="1:39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-3.2074763439595699E-3</v>
      </c>
      <c r="M28" s="8">
        <f>'Proximal Validation (double)'!M28</f>
        <v>0.20627745985984799</v>
      </c>
      <c r="N28" s="8">
        <f>'Proximal Validation (double)'!N28</f>
        <v>-0.18315301835537001</v>
      </c>
      <c r="O28" s="8">
        <f>'Proximal Validation (double)'!O28</f>
        <v>-0.56037515401840199</v>
      </c>
      <c r="P28" s="8">
        <f>'Proximal Validation (double)'!P28</f>
        <v>-0.63611704111099199</v>
      </c>
      <c r="Q28" s="8">
        <f>'Proximal Validation (double)'!Q28</f>
        <v>-0.73725110292434703</v>
      </c>
      <c r="R28" s="8">
        <v>0.96636543792885998</v>
      </c>
      <c r="S28" s="8">
        <v>0.15747445901918902</v>
      </c>
      <c r="T28" s="8">
        <v>3.9012070567852311</v>
      </c>
      <c r="U28" s="8">
        <v>1.5707963267948966</v>
      </c>
      <c r="V28" s="8">
        <v>0.19059259393396913</v>
      </c>
      <c r="W28" s="8">
        <v>0.11412015003620984</v>
      </c>
      <c r="X28" s="8">
        <v>4.5247177280227282</v>
      </c>
      <c r="Y28" s="8">
        <v>1.5707963267948966</v>
      </c>
      <c r="Z28" s="28">
        <v>4.9248358445529768E-4</v>
      </c>
      <c r="AA28" s="8">
        <f t="shared" si="0"/>
        <v>-3.3634562071140017E-2</v>
      </c>
      <c r="AB28" s="8">
        <f t="shared" si="1"/>
        <v>-2.2525540980810971E-2</v>
      </c>
      <c r="AC28" s="8">
        <f t="shared" si="2"/>
        <v>-2.5792943214768993E-2</v>
      </c>
      <c r="AD28" s="8">
        <f t="shared" si="3"/>
        <v>0</v>
      </c>
      <c r="AE28" s="8">
        <f t="shared" si="4"/>
        <v>9.0592593933969123E-2</v>
      </c>
      <c r="AF28" s="8">
        <f t="shared" si="5"/>
        <v>3.4120150036209843E-2</v>
      </c>
      <c r="AG28" s="8">
        <f t="shared" si="6"/>
        <v>-0.18728227197727154</v>
      </c>
      <c r="AH28" s="8">
        <f t="shared" si="7"/>
        <v>0</v>
      </c>
      <c r="AI28" s="22">
        <f t="shared" si="9"/>
        <v>6.211357800255457E-2</v>
      </c>
      <c r="AJ28" s="22">
        <f t="shared" si="9"/>
        <v>2.8322845508510407E-2</v>
      </c>
      <c r="AK28" s="22">
        <f t="shared" si="9"/>
        <v>0.10653760759602027</v>
      </c>
      <c r="AL28" s="22">
        <f t="shared" si="10"/>
        <v>0.1</v>
      </c>
      <c r="AM28" s="31"/>
    </row>
    <row r="29" spans="1:39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-7.4698124080896399E-4</v>
      </c>
      <c r="M29" s="8">
        <f>'Proximal Validation (double)'!M29</f>
        <v>0.110706090927124</v>
      </c>
      <c r="N29" s="8">
        <f>'Proximal Validation (double)'!N29</f>
        <v>-0.128691270947456</v>
      </c>
      <c r="O29" s="8">
        <f>'Proximal Validation (double)'!O29</f>
        <v>-0.39982143044471702</v>
      </c>
      <c r="P29" s="8">
        <f>'Proximal Validation (double)'!P29</f>
        <v>-0.49842935800552401</v>
      </c>
      <c r="Q29" s="8">
        <f>'Proximal Validation (double)'!Q29</f>
        <v>-0.30814808607101402</v>
      </c>
      <c r="R29" s="8">
        <v>0.82088569466106076</v>
      </c>
      <c r="S29" s="8">
        <v>0.18958926508893734</v>
      </c>
      <c r="T29" s="8">
        <v>4.236844892118854</v>
      </c>
      <c r="U29" s="8">
        <v>1.5707963267948966</v>
      </c>
      <c r="V29" s="8">
        <v>0.38620710515098944</v>
      </c>
      <c r="W29" s="8">
        <v>0.12738496597316637</v>
      </c>
      <c r="X29" s="8">
        <v>2.1293661668648332</v>
      </c>
      <c r="Y29" s="8">
        <v>1.5707963267948966</v>
      </c>
      <c r="Z29" s="28">
        <v>2.3921382635316876E-4</v>
      </c>
      <c r="AA29" s="8">
        <f t="shared" si="0"/>
        <v>0.12088569466106081</v>
      </c>
      <c r="AB29" s="8">
        <f t="shared" si="1"/>
        <v>-1.0410734911062675E-2</v>
      </c>
      <c r="AC29" s="8">
        <f t="shared" si="2"/>
        <v>0.30984489211885391</v>
      </c>
      <c r="AD29" s="8">
        <f t="shared" si="3"/>
        <v>0</v>
      </c>
      <c r="AE29" s="8">
        <f t="shared" si="4"/>
        <v>0.18620710515098943</v>
      </c>
      <c r="AF29" s="8">
        <f t="shared" si="5"/>
        <v>0.10738496597316637</v>
      </c>
      <c r="AG29" s="8">
        <f t="shared" si="6"/>
        <v>-1.7976338331351669</v>
      </c>
      <c r="AH29" s="8">
        <f t="shared" si="7"/>
        <v>0</v>
      </c>
      <c r="AI29" s="22">
        <f t="shared" si="9"/>
        <v>0.15354639990602512</v>
      </c>
      <c r="AJ29" s="22">
        <f t="shared" si="9"/>
        <v>5.889785044211452E-2</v>
      </c>
      <c r="AK29" s="22">
        <f t="shared" si="9"/>
        <v>1.0537393626270104</v>
      </c>
      <c r="AL29" s="22">
        <f t="shared" si="10"/>
        <v>0.2</v>
      </c>
      <c r="AM29" s="31"/>
    </row>
    <row r="30" spans="1:39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-3.93409747630358E-3</v>
      </c>
      <c r="M30" s="8">
        <f>'Proximal Validation (double)'!M30</f>
        <v>0.26014894247055098</v>
      </c>
      <c r="N30" s="8">
        <f>'Proximal Validation (double)'!N30</f>
        <v>-0.247706294059753</v>
      </c>
      <c r="O30" s="8">
        <f>'Proximal Validation (double)'!O30</f>
        <v>-0.95730906724929798</v>
      </c>
      <c r="P30" s="8">
        <f>'Proximal Validation (double)'!P30</f>
        <v>-1.0179207324981701</v>
      </c>
      <c r="Q30" s="8">
        <f>'Proximal Validation (double)'!Q30</f>
        <v>-0.96642386913299605</v>
      </c>
      <c r="R30" s="8">
        <v>0.74026519120134227</v>
      </c>
      <c r="S30" s="8">
        <v>0.17100884828087609</v>
      </c>
      <c r="T30" s="8">
        <v>4.1318125794209077</v>
      </c>
      <c r="U30" s="8">
        <v>1.5707963267948966</v>
      </c>
      <c r="V30" s="8">
        <v>0.99385910068747663</v>
      </c>
      <c r="W30" s="8">
        <v>8.926133113238828E-2</v>
      </c>
      <c r="X30" s="8">
        <v>3.761638331458625</v>
      </c>
      <c r="Y30" s="8">
        <v>1.5707963267948966</v>
      </c>
      <c r="Z30" s="28">
        <v>8.5402582716256968E-4</v>
      </c>
      <c r="AA30" s="8">
        <f t="shared" si="0"/>
        <v>-0.25973480879865773</v>
      </c>
      <c r="AB30" s="8">
        <f t="shared" si="1"/>
        <v>-2.899115171912392E-2</v>
      </c>
      <c r="AC30" s="8">
        <f t="shared" si="2"/>
        <v>0.20481257942090769</v>
      </c>
      <c r="AD30" s="8">
        <f t="shared" si="3"/>
        <v>0</v>
      </c>
      <c r="AE30" s="8">
        <f t="shared" si="4"/>
        <v>-6.1408993125233735E-3</v>
      </c>
      <c r="AF30" s="8">
        <f t="shared" si="5"/>
        <v>2.9261331132388282E-2</v>
      </c>
      <c r="AG30" s="8">
        <f t="shared" si="6"/>
        <v>-0.16536166854137502</v>
      </c>
      <c r="AH30" s="8">
        <f t="shared" si="7"/>
        <v>0</v>
      </c>
      <c r="AI30" s="22">
        <f t="shared" si="9"/>
        <v>0.13293785405559055</v>
      </c>
      <c r="AJ30" s="22">
        <f t="shared" si="9"/>
        <v>2.9126241425756101E-2</v>
      </c>
      <c r="AK30" s="22">
        <f t="shared" si="9"/>
        <v>0.18508712398114135</v>
      </c>
      <c r="AL30" s="22">
        <f t="shared" si="10"/>
        <v>1</v>
      </c>
      <c r="AM30" s="31"/>
    </row>
    <row r="31" spans="1:39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-2.4949701037257899E-4</v>
      </c>
      <c r="M31" s="8">
        <f>'Proximal Validation (double)'!M31</f>
        <v>1.1188399977982001E-2</v>
      </c>
      <c r="N31" s="8">
        <f>'Proximal Validation (double)'!N31</f>
        <v>-2.3344287648797001E-2</v>
      </c>
      <c r="O31" s="8">
        <f>'Proximal Validation (double)'!O31</f>
        <v>-4.5918696559965602E-3</v>
      </c>
      <c r="P31" s="8">
        <f>'Proximal Validation (double)'!P31</f>
        <v>-0.20488628745078999</v>
      </c>
      <c r="Q31" s="8">
        <f>'Proximal Validation (double)'!Q31</f>
        <v>-6.8177700042724595E-2</v>
      </c>
      <c r="R31" s="8">
        <v>0.56040860600914422</v>
      </c>
      <c r="S31" s="8">
        <v>0.17075135287341314</v>
      </c>
      <c r="T31" s="8">
        <v>0.16779471346293667</v>
      </c>
      <c r="U31" s="8">
        <v>1.5707963267948966</v>
      </c>
      <c r="V31" s="8">
        <v>0.77407820909897995</v>
      </c>
      <c r="W31" s="8">
        <v>0.13165119830039176</v>
      </c>
      <c r="X31" s="8">
        <v>3.3521979705792253</v>
      </c>
      <c r="Y31" s="8">
        <v>1.5707963267948966</v>
      </c>
      <c r="Z31" s="28">
        <v>3.009875225354936E-6</v>
      </c>
      <c r="AA31" s="8">
        <f t="shared" si="0"/>
        <v>0.46040860600914424</v>
      </c>
      <c r="AB31" s="8">
        <f t="shared" si="1"/>
        <v>7.0751352873413137E-2</v>
      </c>
      <c r="AC31" s="8">
        <f t="shared" si="2"/>
        <v>-4.5442052865370632</v>
      </c>
      <c r="AD31" s="8">
        <f t="shared" si="3"/>
        <v>0</v>
      </c>
      <c r="AE31" s="8">
        <f t="shared" si="4"/>
        <v>0.57407820909898</v>
      </c>
      <c r="AF31" s="8">
        <f t="shared" si="5"/>
        <v>0.11165119830039176</v>
      </c>
      <c r="AG31" s="8">
        <f t="shared" si="6"/>
        <v>0.2101979705792254</v>
      </c>
      <c r="AH31" s="8">
        <f t="shared" si="7"/>
        <v>0</v>
      </c>
      <c r="AI31" s="22">
        <f t="shared" si="9"/>
        <v>0.51724340755406217</v>
      </c>
      <c r="AJ31" s="22">
        <f t="shared" si="9"/>
        <v>9.1201275586902442E-2</v>
      </c>
      <c r="AK31" s="22">
        <f t="shared" si="9"/>
        <v>2.3772016285581445</v>
      </c>
      <c r="AL31" s="22">
        <f t="shared" si="10"/>
        <v>0.1</v>
      </c>
      <c r="AM31" s="31"/>
    </row>
    <row r="32" spans="1:39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-1.44378747791052E-4</v>
      </c>
      <c r="M32" s="8">
        <f>'Proximal Validation (double)'!M32</f>
        <v>0.122855387628078</v>
      </c>
      <c r="N32" s="8">
        <f>'Proximal Validation (double)'!N32</f>
        <v>-6.9621779024600997E-2</v>
      </c>
      <c r="O32" s="8">
        <f>'Proximal Validation (double)'!O32</f>
        <v>-7.5552083551883698E-2</v>
      </c>
      <c r="P32" s="8">
        <f>'Proximal Validation (double)'!P32</f>
        <v>-0.53028601408004805</v>
      </c>
      <c r="Q32" s="8">
        <f>'Proximal Validation (double)'!Q32</f>
        <v>-0.79531830549240101</v>
      </c>
      <c r="R32" s="8">
        <v>0.28359370595899541</v>
      </c>
      <c r="S32" s="8">
        <v>0.10950987896254398</v>
      </c>
      <c r="T32" s="8">
        <v>4.7610949716749067</v>
      </c>
      <c r="U32" s="8">
        <v>1.5707963267948966</v>
      </c>
      <c r="V32" s="8">
        <v>0.7495343837156061</v>
      </c>
      <c r="W32" s="8">
        <v>4.5343843929134785E-2</v>
      </c>
      <c r="X32" s="8">
        <v>3.8986305419233918</v>
      </c>
      <c r="Y32" s="8">
        <v>1.5707963267948966</v>
      </c>
      <c r="Z32" s="28">
        <v>1.1491936198528037E-5</v>
      </c>
      <c r="AA32" s="8">
        <f t="shared" si="0"/>
        <v>-1.6406294041004577E-2</v>
      </c>
      <c r="AB32" s="8">
        <f t="shared" si="1"/>
        <v>9.5098789625439745E-3</v>
      </c>
      <c r="AC32" s="8">
        <f t="shared" si="2"/>
        <v>4.9094971674906951E-2</v>
      </c>
      <c r="AD32" s="8">
        <f t="shared" si="3"/>
        <v>0</v>
      </c>
      <c r="AE32" s="8">
        <f t="shared" si="4"/>
        <v>-5.0465616284393944E-2</v>
      </c>
      <c r="AF32" s="8">
        <f t="shared" si="5"/>
        <v>5.3438439291347839E-3</v>
      </c>
      <c r="AG32" s="8">
        <f t="shared" si="6"/>
        <v>-2.8369458076608289E-2</v>
      </c>
      <c r="AH32" s="8">
        <f t="shared" si="7"/>
        <v>0</v>
      </c>
      <c r="AI32" s="22">
        <f t="shared" si="9"/>
        <v>3.343595516269926E-2</v>
      </c>
      <c r="AJ32" s="22">
        <f t="shared" si="9"/>
        <v>7.4268614458393792E-3</v>
      </c>
      <c r="AK32" s="22">
        <f t="shared" si="9"/>
        <v>3.873221487575762E-2</v>
      </c>
      <c r="AL32" s="22">
        <f t="shared" si="10"/>
        <v>0.3</v>
      </c>
      <c r="AM32" s="31"/>
    </row>
    <row r="33" spans="1:39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2.13603163138032E-3</v>
      </c>
      <c r="M33" s="8">
        <f>'Proximal Validation (double)'!M33</f>
        <v>0.22294643521308899</v>
      </c>
      <c r="N33" s="8">
        <f>'Proximal Validation (double)'!N33</f>
        <v>-3.3264472149312501E-3</v>
      </c>
      <c r="O33" s="8">
        <f>'Proximal Validation (double)'!O33</f>
        <v>-0.25940474867820701</v>
      </c>
      <c r="P33" s="8">
        <f>'Proximal Validation (double)'!P33</f>
        <v>-2.7135983109474199E-2</v>
      </c>
      <c r="Q33" s="8">
        <f>'Proximal Validation (double)'!Q33</f>
        <v>-1.17376625537872</v>
      </c>
      <c r="R33" s="8">
        <v>0.8084319843315434</v>
      </c>
      <c r="S33" s="8">
        <v>9.0266338018957532E-2</v>
      </c>
      <c r="T33" s="8">
        <v>5.1644748569637375</v>
      </c>
      <c r="U33" s="8">
        <v>1.5707963267948966</v>
      </c>
      <c r="V33" s="8">
        <v>0.60956465335928001</v>
      </c>
      <c r="W33" s="8">
        <v>8.5938588470246588E-2</v>
      </c>
      <c r="X33" s="8">
        <v>4.0385775439702689</v>
      </c>
      <c r="Y33" s="8">
        <v>1.5707963267948966</v>
      </c>
      <c r="Z33" s="28">
        <v>1.3543287338538311E-4</v>
      </c>
      <c r="AA33" s="8">
        <f t="shared" si="0"/>
        <v>-0.1915680156684566</v>
      </c>
      <c r="AB33" s="8">
        <f t="shared" si="1"/>
        <v>-9.733661981042474E-3</v>
      </c>
      <c r="AC33" s="8">
        <f t="shared" si="2"/>
        <v>0.45247485696373779</v>
      </c>
      <c r="AD33" s="8">
        <f t="shared" si="3"/>
        <v>0</v>
      </c>
      <c r="AE33" s="8">
        <f t="shared" si="4"/>
        <v>0.50956465335928003</v>
      </c>
      <c r="AF33" s="8">
        <f t="shared" si="5"/>
        <v>4.5938588470246587E-2</v>
      </c>
      <c r="AG33" s="8">
        <f t="shared" si="6"/>
        <v>-0.67342245602973083</v>
      </c>
      <c r="AH33" s="8">
        <f t="shared" si="7"/>
        <v>0</v>
      </c>
      <c r="AI33" s="22">
        <f t="shared" si="9"/>
        <v>0.35056633451386832</v>
      </c>
      <c r="AJ33" s="22">
        <f t="shared" si="9"/>
        <v>2.7836125225644531E-2</v>
      </c>
      <c r="AK33" s="22">
        <f t="shared" si="9"/>
        <v>0.56294865649673431</v>
      </c>
      <c r="AL33" s="22">
        <f t="shared" si="10"/>
        <v>0.1</v>
      </c>
      <c r="AM33" s="31"/>
    </row>
    <row r="34" spans="1:39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-2.9623867012560398E-3</v>
      </c>
      <c r="M34" s="8">
        <f>'Proximal Validation (double)'!M34</f>
        <v>0.167345225811005</v>
      </c>
      <c r="N34" s="8">
        <f>'Proximal Validation (double)'!N34</f>
        <v>-2.4530226364731799E-2</v>
      </c>
      <c r="O34" s="8">
        <f>'Proximal Validation (double)'!O34</f>
        <v>-0.11945986747741701</v>
      </c>
      <c r="P34" s="8">
        <f>'Proximal Validation (double)'!P34</f>
        <v>-0.14860638976097101</v>
      </c>
      <c r="Q34" s="8">
        <f>'Proximal Validation (double)'!Q34</f>
        <v>-0.949754118919373</v>
      </c>
      <c r="R34" s="8">
        <v>0.10228116328178095</v>
      </c>
      <c r="S34" s="8">
        <v>9.2790831578187238E-2</v>
      </c>
      <c r="T34" s="8">
        <v>6.5466725567772888E-2</v>
      </c>
      <c r="U34" s="8">
        <v>1.5707963267948966</v>
      </c>
      <c r="V34" s="8">
        <v>0.99637213959987714</v>
      </c>
      <c r="W34" s="8">
        <v>8.2274110672823059E-2</v>
      </c>
      <c r="X34" s="8">
        <v>4.4582734096985748</v>
      </c>
      <c r="Y34" s="8">
        <v>1.5707963267948966</v>
      </c>
      <c r="Z34" s="28">
        <v>1.4297418931389621E-5</v>
      </c>
      <c r="AA34" s="8">
        <f t="shared" si="0"/>
        <v>2.2811632817809485E-3</v>
      </c>
      <c r="AB34" s="8">
        <f t="shared" si="1"/>
        <v>-7.2091684218127672E-3</v>
      </c>
      <c r="AC34" s="8">
        <f t="shared" si="2"/>
        <v>-4.646533274432227</v>
      </c>
      <c r="AD34" s="8">
        <f t="shared" si="3"/>
        <v>0</v>
      </c>
      <c r="AE34" s="8">
        <f t="shared" si="4"/>
        <v>-3.627860400122862E-3</v>
      </c>
      <c r="AF34" s="8">
        <f t="shared" si="5"/>
        <v>2.274110672823057E-3</v>
      </c>
      <c r="AG34" s="8">
        <f t="shared" si="6"/>
        <v>-0.25372659030142497</v>
      </c>
      <c r="AH34" s="8">
        <f t="shared" si="7"/>
        <v>0</v>
      </c>
      <c r="AI34" s="22">
        <f t="shared" si="9"/>
        <v>2.9545118409519053E-3</v>
      </c>
      <c r="AJ34" s="22">
        <f t="shared" si="9"/>
        <v>4.7416395473179121E-3</v>
      </c>
      <c r="AK34" s="22">
        <f t="shared" si="9"/>
        <v>2.450129932366826</v>
      </c>
      <c r="AL34" s="22">
        <f t="shared" si="10"/>
        <v>0.1</v>
      </c>
      <c r="AM34" s="31"/>
    </row>
    <row r="35" spans="1:39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-7.8027322888374296E-4</v>
      </c>
      <c r="M35" s="8">
        <f>'Proximal Validation (double)'!M35</f>
        <v>0.20929773151874501</v>
      </c>
      <c r="N35" s="8">
        <f>'Proximal Validation (double)'!N35</f>
        <v>-9.5626659691333799E-2</v>
      </c>
      <c r="O35" s="8">
        <f>'Proximal Validation (double)'!O35</f>
        <v>-0.33798754215240501</v>
      </c>
      <c r="P35" s="8">
        <f>'Proximal Validation (double)'!P35</f>
        <v>-0.8543701171875</v>
      </c>
      <c r="Q35" s="8">
        <f>'Proximal Validation (double)'!Q35</f>
        <v>-0.97470813989639304</v>
      </c>
      <c r="R35" s="8">
        <v>0.78927880198832046</v>
      </c>
      <c r="S35" s="8">
        <v>0.14691501282030409</v>
      </c>
      <c r="T35" s="8">
        <v>4.6946445285848926</v>
      </c>
      <c r="U35" s="8">
        <v>1.5707963267948966</v>
      </c>
      <c r="V35" s="8">
        <v>0.87998905710815356</v>
      </c>
      <c r="W35" s="8">
        <v>2.0000000270333877E-2</v>
      </c>
      <c r="X35" s="8">
        <v>3.4291089528944503</v>
      </c>
      <c r="Y35" s="8">
        <v>1.5707963267948966</v>
      </c>
      <c r="Z35" s="28">
        <v>7.2325827227707083E-6</v>
      </c>
      <c r="AA35" s="8">
        <f t="shared" si="0"/>
        <v>-0.11072119801167957</v>
      </c>
      <c r="AB35" s="8">
        <f t="shared" si="1"/>
        <v>2.6915012820304091E-2</v>
      </c>
      <c r="AC35" s="8">
        <f t="shared" si="2"/>
        <v>-1.7355471415107182E-2</v>
      </c>
      <c r="AD35" s="8">
        <f t="shared" si="3"/>
        <v>0</v>
      </c>
      <c r="AE35" s="8">
        <f t="shared" si="4"/>
        <v>-2.0010942891846462E-2</v>
      </c>
      <c r="AF35" s="8">
        <f t="shared" si="5"/>
        <v>2.7033387681174581E-10</v>
      </c>
      <c r="AG35" s="8">
        <f t="shared" si="6"/>
        <v>0.28710895289445038</v>
      </c>
      <c r="AH35" s="8">
        <f t="shared" si="7"/>
        <v>0</v>
      </c>
      <c r="AI35" s="22">
        <f t="shared" si="9"/>
        <v>6.5366070451763014E-2</v>
      </c>
      <c r="AJ35" s="22">
        <f t="shared" si="9"/>
        <v>1.3457506545318984E-2</v>
      </c>
      <c r="AK35" s="22">
        <f t="shared" si="9"/>
        <v>0.15223221215477878</v>
      </c>
      <c r="AL35" s="22">
        <f t="shared" si="10"/>
        <v>0.9</v>
      </c>
      <c r="AM35" s="31"/>
    </row>
    <row r="36" spans="1:39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-5.3540230728685899E-3</v>
      </c>
      <c r="M36" s="8">
        <f>'Proximal Validation (double)'!M36</f>
        <v>0.23577138781547499</v>
      </c>
      <c r="N36" s="8">
        <f>'Proximal Validation (double)'!N36</f>
        <v>-0.12704449892044101</v>
      </c>
      <c r="O36" s="8">
        <f>'Proximal Validation (double)'!O36</f>
        <v>-0.53383183479309104</v>
      </c>
      <c r="P36" s="8">
        <f>'Proximal Validation (double)'!P36</f>
        <v>-0.71507501602172896</v>
      </c>
      <c r="Q36" s="8">
        <f>'Proximal Validation (double)'!Q36</f>
        <v>-1.0263080596923799</v>
      </c>
      <c r="R36" s="8">
        <v>0.66147628726344143</v>
      </c>
      <c r="S36" s="8">
        <v>0.17957820720761805</v>
      </c>
      <c r="T36" s="8">
        <v>4.4950146195541807</v>
      </c>
      <c r="U36" s="8">
        <v>1.5707963267948966</v>
      </c>
      <c r="V36" s="8">
        <v>0.78211702552458129</v>
      </c>
      <c r="W36" s="8">
        <v>6.5122336300144898E-2</v>
      </c>
      <c r="X36" s="8">
        <v>3.8237686809363152</v>
      </c>
      <c r="Y36" s="8">
        <v>1.5707963267948966</v>
      </c>
      <c r="Z36" s="28">
        <v>8.3957531529884278E-6</v>
      </c>
      <c r="AA36" s="8">
        <f t="shared" si="0"/>
        <v>-0.33852371273655857</v>
      </c>
      <c r="AB36" s="8">
        <f t="shared" si="1"/>
        <v>5.9578207207618056E-2</v>
      </c>
      <c r="AC36" s="8">
        <f t="shared" si="2"/>
        <v>-0.21698538044581905</v>
      </c>
      <c r="AD36" s="8">
        <f t="shared" si="3"/>
        <v>0</v>
      </c>
      <c r="AE36" s="8">
        <f t="shared" si="4"/>
        <v>-1.7882974475418756E-2</v>
      </c>
      <c r="AF36" s="8">
        <f t="shared" si="5"/>
        <v>-1.4877663699855104E-2</v>
      </c>
      <c r="AG36" s="8">
        <f t="shared" si="6"/>
        <v>0.68176868093631526</v>
      </c>
      <c r="AH36" s="8">
        <f t="shared" si="7"/>
        <v>0</v>
      </c>
      <c r="AI36" s="22">
        <f t="shared" si="9"/>
        <v>0.17820334360598866</v>
      </c>
      <c r="AJ36" s="22">
        <f t="shared" si="9"/>
        <v>3.722793545373658E-2</v>
      </c>
      <c r="AK36" s="22">
        <f t="shared" si="9"/>
        <v>0.44937703069106716</v>
      </c>
      <c r="AL36" s="22">
        <f t="shared" si="10"/>
        <v>0.8</v>
      </c>
      <c r="AM36" s="31"/>
    </row>
    <row r="37" spans="1:39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-1.7680961173027799E-3</v>
      </c>
      <c r="M37" s="8">
        <f>'Proximal Validation (double)'!M37</f>
        <v>6.0080211609602002E-2</v>
      </c>
      <c r="N37" s="8">
        <f>'Proximal Validation (double)'!N37</f>
        <v>-4.9739588052034399E-2</v>
      </c>
      <c r="O37" s="8">
        <f>'Proximal Validation (double)'!O37</f>
        <v>-3.2015025615692097E-2</v>
      </c>
      <c r="P37" s="8">
        <f>'Proximal Validation (double)'!P37</f>
        <v>-0.322286486625671</v>
      </c>
      <c r="Q37" s="8">
        <f>'Proximal Validation (double)'!Q37</f>
        <v>-0.222265124320984</v>
      </c>
      <c r="R37" s="8">
        <v>0.36582448860867611</v>
      </c>
      <c r="S37" s="8">
        <v>0.18256423495244259</v>
      </c>
      <c r="T37" s="8">
        <v>5.6029386303625888</v>
      </c>
      <c r="U37" s="8">
        <v>1.5707963267948966</v>
      </c>
      <c r="V37" s="8">
        <v>0.60574200198861816</v>
      </c>
      <c r="W37" s="8">
        <v>0.12105936033525691</v>
      </c>
      <c r="X37" s="8">
        <v>3.131959087097421</v>
      </c>
      <c r="Y37" s="8">
        <v>1.5707963267948966</v>
      </c>
      <c r="Z37" s="28">
        <v>2.5269669503468954E-6</v>
      </c>
      <c r="AA37" s="8">
        <f t="shared" si="0"/>
        <v>6.5824488608676124E-2</v>
      </c>
      <c r="AB37" s="8">
        <f t="shared" si="1"/>
        <v>2.5642349524425956E-3</v>
      </c>
      <c r="AC37" s="8">
        <f t="shared" si="2"/>
        <v>0.89093863036258902</v>
      </c>
      <c r="AD37" s="8">
        <f t="shared" si="3"/>
        <v>0</v>
      </c>
      <c r="AE37" s="8">
        <f t="shared" si="4"/>
        <v>0.30574200198861817</v>
      </c>
      <c r="AF37" s="8">
        <f t="shared" si="5"/>
        <v>6.1059360335256913E-2</v>
      </c>
      <c r="AG37" s="8">
        <f t="shared" si="6"/>
        <v>-1.0040912902578913E-2</v>
      </c>
      <c r="AH37" s="8">
        <f t="shared" si="7"/>
        <v>0</v>
      </c>
      <c r="AI37" s="22">
        <f t="shared" si="9"/>
        <v>0.18578324529864715</v>
      </c>
      <c r="AJ37" s="22">
        <f t="shared" si="9"/>
        <v>3.1811797643849754E-2</v>
      </c>
      <c r="AK37" s="22">
        <f t="shared" si="9"/>
        <v>0.45048977163258397</v>
      </c>
      <c r="AL37" s="22">
        <f t="shared" si="10"/>
        <v>0.3</v>
      </c>
      <c r="AM37" s="31"/>
    </row>
    <row r="38" spans="1:39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-7.3416158556938198E-5</v>
      </c>
      <c r="M38" s="8">
        <f>'Proximal Validation (double)'!M38</f>
        <v>0.209005877375603</v>
      </c>
      <c r="N38" s="8">
        <f>'Proximal Validation (double)'!N38</f>
        <v>-3.9002325385808903E-2</v>
      </c>
      <c r="O38" s="8">
        <f>'Proximal Validation (double)'!O38</f>
        <v>-0.50677508115768399</v>
      </c>
      <c r="P38" s="8">
        <f>'Proximal Validation (double)'!P38</f>
        <v>-0.22871214151382399</v>
      </c>
      <c r="Q38" s="8">
        <f>'Proximal Validation (double)'!Q38</f>
        <v>-0.63768112659454301</v>
      </c>
      <c r="R38" s="8">
        <v>0.98209898426075026</v>
      </c>
      <c r="S38" s="8">
        <v>0.16426135597957317</v>
      </c>
      <c r="T38" s="8">
        <v>4.6511234462859896</v>
      </c>
      <c r="U38" s="8">
        <v>1.5707963267948966</v>
      </c>
      <c r="V38" s="8">
        <v>0.25419713223046536</v>
      </c>
      <c r="W38" s="8">
        <v>4.7785858689620132E-2</v>
      </c>
      <c r="X38" s="8">
        <v>2.362926226914829</v>
      </c>
      <c r="Y38" s="8">
        <v>1.5707963267948966</v>
      </c>
      <c r="Z38" s="28">
        <v>2.1181080631482715E-5</v>
      </c>
      <c r="AA38" s="8">
        <f t="shared" si="0"/>
        <v>8.2098984260750241E-2</v>
      </c>
      <c r="AB38" s="8">
        <f t="shared" si="1"/>
        <v>-1.5738644020426823E-2</v>
      </c>
      <c r="AC38" s="8">
        <f t="shared" si="2"/>
        <v>-6.0876553714010129E-2</v>
      </c>
      <c r="AD38" s="8">
        <f t="shared" si="3"/>
        <v>0</v>
      </c>
      <c r="AE38" s="8">
        <f t="shared" si="4"/>
        <v>5.419713223046535E-2</v>
      </c>
      <c r="AF38" s="8">
        <f t="shared" si="5"/>
        <v>-3.2214141310379869E-2</v>
      </c>
      <c r="AG38" s="8">
        <f t="shared" si="6"/>
        <v>-0.7790737730851709</v>
      </c>
      <c r="AH38" s="8">
        <f t="shared" si="7"/>
        <v>0</v>
      </c>
      <c r="AI38" s="22">
        <f t="shared" si="9"/>
        <v>6.8148058245607795E-2</v>
      </c>
      <c r="AJ38" s="22">
        <f t="shared" si="9"/>
        <v>2.3976392665403346E-2</v>
      </c>
      <c r="AK38" s="22">
        <f t="shared" si="9"/>
        <v>0.41997516339959051</v>
      </c>
      <c r="AL38" s="22">
        <f t="shared" si="10"/>
        <v>0.2</v>
      </c>
      <c r="AM38" s="31"/>
    </row>
    <row r="39" spans="1:39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1.8433155491948101E-4</v>
      </c>
      <c r="M39" s="8">
        <f>'Proximal Validation (double)'!M39</f>
        <v>0.11752788722515101</v>
      </c>
      <c r="N39" s="8">
        <f>'Proximal Validation (double)'!N39</f>
        <v>1.77300837822258E-3</v>
      </c>
      <c r="O39" s="8">
        <f>'Proximal Validation (double)'!O39</f>
        <v>-3.8502156734466601E-2</v>
      </c>
      <c r="P39" s="8">
        <f>'Proximal Validation (double)'!P39</f>
        <v>7.6181143522262599E-3</v>
      </c>
      <c r="Q39" s="8">
        <f>'Proximal Validation (double)'!Q39</f>
        <v>-0.99801015853881803</v>
      </c>
      <c r="R39" s="8">
        <v>0.3011398082866123</v>
      </c>
      <c r="S39" s="8">
        <v>4.2592371209285926E-2</v>
      </c>
      <c r="T39" s="8">
        <v>5.414586912836727</v>
      </c>
      <c r="U39" s="8">
        <v>1.5707963267948966</v>
      </c>
      <c r="V39" s="8">
        <v>0.79019873927433038</v>
      </c>
      <c r="W39" s="8">
        <v>3.6423226502853616E-2</v>
      </c>
      <c r="X39" s="8">
        <v>4.4736206063772883</v>
      </c>
      <c r="Y39" s="8">
        <v>1.5707963267948966</v>
      </c>
      <c r="Z39" s="28">
        <v>1.2380835853345606E-4</v>
      </c>
      <c r="AA39" s="8">
        <f t="shared" si="0"/>
        <v>0.20113980828661229</v>
      </c>
      <c r="AB39" s="8">
        <f t="shared" si="1"/>
        <v>-0.13740762879071405</v>
      </c>
      <c r="AC39" s="8">
        <f t="shared" si="2"/>
        <v>0.70258691283672725</v>
      </c>
      <c r="AD39" s="8">
        <f t="shared" si="3"/>
        <v>0</v>
      </c>
      <c r="AE39" s="8">
        <f t="shared" si="4"/>
        <v>-0.20980126072566962</v>
      </c>
      <c r="AF39" s="8">
        <f t="shared" si="5"/>
        <v>1.6423226502853615E-2</v>
      </c>
      <c r="AG39" s="8">
        <f t="shared" si="6"/>
        <v>-0.23837939362271143</v>
      </c>
      <c r="AH39" s="8">
        <f t="shared" si="7"/>
        <v>0</v>
      </c>
      <c r="AI39" s="22">
        <f t="shared" si="9"/>
        <v>0.20547053450614094</v>
      </c>
      <c r="AJ39" s="22">
        <f t="shared" si="9"/>
        <v>7.6915427646783829E-2</v>
      </c>
      <c r="AK39" s="22">
        <f t="shared" si="9"/>
        <v>0.47048315322971934</v>
      </c>
      <c r="AL39" s="22">
        <f t="shared" si="10"/>
        <v>0.1</v>
      </c>
      <c r="AM39" s="31"/>
    </row>
    <row r="40" spans="1:39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-5.2668377757072397E-3</v>
      </c>
      <c r="M40" s="8">
        <f>'Proximal Validation (double)'!M40</f>
        <v>0.27689665555954002</v>
      </c>
      <c r="N40" s="8">
        <f>'Proximal Validation (double)'!N40</f>
        <v>-1.6046434640884399E-2</v>
      </c>
      <c r="O40" s="8">
        <f>'Proximal Validation (double)'!O40</f>
        <v>-0.47105222940444902</v>
      </c>
      <c r="P40" s="8">
        <f>'Proximal Validation (double)'!P40</f>
        <v>-0.10896006226539599</v>
      </c>
      <c r="Q40" s="8">
        <f>'Proximal Validation (double)'!Q40</f>
        <v>-1.1885303258895901</v>
      </c>
      <c r="R40" s="8">
        <v>0.4839816900333751</v>
      </c>
      <c r="S40" s="8">
        <v>0.17666059483430274</v>
      </c>
      <c r="T40" s="8">
        <v>4.7413794854631117</v>
      </c>
      <c r="U40" s="8">
        <v>1.5707963267948966</v>
      </c>
      <c r="V40" s="8">
        <v>0.80809641877490279</v>
      </c>
      <c r="W40" s="8">
        <v>7.9154903256885012E-2</v>
      </c>
      <c r="X40" s="8">
        <v>4.5634499497670618</v>
      </c>
      <c r="Y40" s="8">
        <v>1.5707963267948966</v>
      </c>
      <c r="Z40" s="28">
        <v>5.5185796009601766E-4</v>
      </c>
      <c r="AA40" s="8">
        <f t="shared" si="0"/>
        <v>-0.31601830996662494</v>
      </c>
      <c r="AB40" s="8">
        <f t="shared" si="1"/>
        <v>-3.3394051656972512E-3</v>
      </c>
      <c r="AC40" s="8">
        <f t="shared" si="2"/>
        <v>2.9379485463111976E-2</v>
      </c>
      <c r="AD40" s="8">
        <f t="shared" si="3"/>
        <v>0</v>
      </c>
      <c r="AE40" s="8">
        <f t="shared" si="4"/>
        <v>0.20809641877490281</v>
      </c>
      <c r="AF40" s="8">
        <f t="shared" si="5"/>
        <v>1.9154903256885014E-2</v>
      </c>
      <c r="AG40" s="8">
        <f t="shared" si="6"/>
        <v>-0.14855005023293799</v>
      </c>
      <c r="AH40" s="8">
        <f t="shared" si="7"/>
        <v>0</v>
      </c>
      <c r="AI40" s="22">
        <f t="shared" si="9"/>
        <v>0.26205736437076388</v>
      </c>
      <c r="AJ40" s="22">
        <f t="shared" si="9"/>
        <v>1.1247154211291133E-2</v>
      </c>
      <c r="AK40" s="22">
        <f t="shared" si="9"/>
        <v>8.8964767848024984E-2</v>
      </c>
      <c r="AL40" s="22">
        <f t="shared" si="10"/>
        <v>0.6</v>
      </c>
      <c r="AM40" s="31"/>
    </row>
    <row r="41" spans="1:39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-1.2570786289870701E-2</v>
      </c>
      <c r="M41" s="8">
        <f>'Proximal Validation (double)'!M41</f>
        <v>0.239984765648842</v>
      </c>
      <c r="N41" s="8">
        <f>'Proximal Validation (double)'!N41</f>
        <v>-9.4180338084697696E-2</v>
      </c>
      <c r="O41" s="8">
        <f>'Proximal Validation (double)'!O41</f>
        <v>-0.68777251243591297</v>
      </c>
      <c r="P41" s="8">
        <f>'Proximal Validation (double)'!P41</f>
        <v>-0.81574249267578103</v>
      </c>
      <c r="Q41" s="8">
        <f>'Proximal Validation (double)'!Q41</f>
        <v>-0.66350710391998302</v>
      </c>
      <c r="R41" s="8">
        <v>0.96188983517955307</v>
      </c>
      <c r="S41" s="8">
        <v>0.19999834544835707</v>
      </c>
      <c r="T41" s="8">
        <v>4.8131944682229122</v>
      </c>
      <c r="U41" s="8">
        <v>1.5707963267948966</v>
      </c>
      <c r="V41" s="8">
        <v>0.88410801453069909</v>
      </c>
      <c r="W41" s="8">
        <v>4.6815505691112869E-2</v>
      </c>
      <c r="X41" s="8">
        <v>3.1452615959535462</v>
      </c>
      <c r="Y41" s="8">
        <v>1.5707963267948966</v>
      </c>
      <c r="Z41" s="28">
        <v>2.6586356638821772E-5</v>
      </c>
      <c r="AA41" s="8">
        <f t="shared" si="0"/>
        <v>-3.8110164820446935E-2</v>
      </c>
      <c r="AB41" s="8">
        <f t="shared" si="1"/>
        <v>-1.6545516429433693E-6</v>
      </c>
      <c r="AC41" s="8">
        <f t="shared" si="2"/>
        <v>0.10119446822291245</v>
      </c>
      <c r="AD41" s="8">
        <f t="shared" si="3"/>
        <v>0</v>
      </c>
      <c r="AE41" s="8">
        <f t="shared" si="4"/>
        <v>8.4108014530699049E-2</v>
      </c>
      <c r="AF41" s="8">
        <f t="shared" si="5"/>
        <v>2.6815505691112868E-2</v>
      </c>
      <c r="AG41" s="8">
        <f t="shared" si="6"/>
        <v>3.261595953546248E-3</v>
      </c>
      <c r="AH41" s="8">
        <f t="shared" si="7"/>
        <v>0</v>
      </c>
      <c r="AI41" s="22">
        <f t="shared" si="9"/>
        <v>6.1109089675572992E-2</v>
      </c>
      <c r="AJ41" s="22">
        <f t="shared" si="9"/>
        <v>1.3408580121377906E-2</v>
      </c>
      <c r="AK41" s="22">
        <f t="shared" si="9"/>
        <v>5.2228032088229348E-2</v>
      </c>
      <c r="AL41" s="22">
        <f t="shared" si="10"/>
        <v>0.8</v>
      </c>
      <c r="AM41" s="31"/>
    </row>
    <row r="42" spans="1:39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2.25764350034297E-4</v>
      </c>
      <c r="M42" s="15">
        <f>'Proximal Validation (double)'!M42</f>
        <v>5.42946308851242E-2</v>
      </c>
      <c r="N42" s="15">
        <f>'Proximal Validation (double)'!N42</f>
        <v>-1.43192345276475E-2</v>
      </c>
      <c r="O42" s="15">
        <f>'Proximal Validation (double)'!O42</f>
        <v>-3.8537099957466098E-2</v>
      </c>
      <c r="P42" s="15">
        <f>'Proximal Validation (double)'!P42</f>
        <v>-8.5683420300483704E-2</v>
      </c>
      <c r="Q42" s="15">
        <f>'Proximal Validation (double)'!Q42</f>
        <v>-0.207838654518127</v>
      </c>
      <c r="R42" s="15">
        <v>0.66375696523409089</v>
      </c>
      <c r="S42" s="15">
        <v>0.10305129040654638</v>
      </c>
      <c r="T42" s="15">
        <v>4.6446017005947038</v>
      </c>
      <c r="U42" s="15">
        <v>1.5707963267948966</v>
      </c>
      <c r="V42" s="15">
        <v>0.45374075104432027</v>
      </c>
      <c r="W42" s="15">
        <v>6.5374901711565958E-2</v>
      </c>
      <c r="X42" s="15">
        <v>1.6615156882531208</v>
      </c>
      <c r="Y42" s="15">
        <v>1.5707963267948966</v>
      </c>
      <c r="Z42" s="29">
        <v>1.2728067508459567E-5</v>
      </c>
      <c r="AA42" s="15">
        <f t="shared" si="0"/>
        <v>0.46375696523409088</v>
      </c>
      <c r="AB42" s="15">
        <f t="shared" si="1"/>
        <v>-9.6948709593453627E-2</v>
      </c>
      <c r="AC42" s="15">
        <f t="shared" si="2"/>
        <v>-6.7398299405295958E-2</v>
      </c>
      <c r="AD42" s="15">
        <f t="shared" si="3"/>
        <v>0</v>
      </c>
      <c r="AE42" s="15">
        <f t="shared" si="4"/>
        <v>0.35374075104432023</v>
      </c>
      <c r="AF42" s="15">
        <f t="shared" si="5"/>
        <v>-1.4625098288434044E-2</v>
      </c>
      <c r="AG42" s="15">
        <f t="shared" si="6"/>
        <v>-2.2654843117468793</v>
      </c>
      <c r="AH42" s="15">
        <f t="shared" si="7"/>
        <v>0</v>
      </c>
      <c r="AI42" s="22">
        <f t="shared" si="9"/>
        <v>0.40874885813920558</v>
      </c>
      <c r="AJ42" s="22">
        <f t="shared" si="9"/>
        <v>5.5786903940943836E-2</v>
      </c>
      <c r="AK42" s="22">
        <f t="shared" si="9"/>
        <v>1.1664413055760876</v>
      </c>
      <c r="AL42" s="22">
        <f t="shared" si="10"/>
        <v>0.1</v>
      </c>
      <c r="AM42" s="31"/>
    </row>
    <row r="43" spans="1:39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  <c r="Z43" s="19"/>
    </row>
    <row r="44" spans="1:39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</sheetData>
  <mergeCells count="6">
    <mergeCell ref="AN5:AU5"/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348A-34F5-4FAF-9945-C5EC2711CEA7}">
  <dimension ref="A1:AT30"/>
  <sheetViews>
    <sheetView topLeftCell="U1" workbookViewId="0">
      <pane ySplit="2" topLeftCell="A3" activePane="bottomLeft" state="frozen"/>
      <selection activeCell="K1" sqref="K1"/>
      <selection pane="bottomLeft" activeCell="AN13" sqref="AN1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bestFit="1" customWidth="1"/>
    <col min="27" max="27" width="11" bestFit="1" customWidth="1"/>
    <col min="28" max="28" width="13.85546875" bestFit="1" customWidth="1"/>
    <col min="29" max="29" width="11.140625" bestFit="1" customWidth="1"/>
    <col min="35" max="35" width="15.140625" customWidth="1"/>
    <col min="36" max="36" width="15.28515625" customWidth="1"/>
    <col min="37" max="38" width="16.28515625" customWidth="1"/>
    <col min="39" max="39" width="11" bestFit="1" customWidth="1"/>
    <col min="40" max="40" width="13.85546875" bestFit="1" customWidth="1"/>
    <col min="41" max="41" width="11.140625" bestFit="1" customWidth="1"/>
  </cols>
  <sheetData>
    <row r="1" spans="1:46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2" t="s">
        <v>13</v>
      </c>
      <c r="AB1" s="42"/>
      <c r="AC1" s="42"/>
      <c r="AD1" s="42"/>
      <c r="AE1" s="42"/>
      <c r="AF1" s="42"/>
      <c r="AG1" s="42"/>
      <c r="AH1" s="42"/>
      <c r="AI1" s="43" t="s">
        <v>36</v>
      </c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</row>
    <row r="2" spans="1:46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41" t="s">
        <v>31</v>
      </c>
      <c r="AN2" s="41"/>
      <c r="AO2" s="41"/>
      <c r="AP2" s="41"/>
      <c r="AQ2" s="41"/>
      <c r="AR2" s="41"/>
      <c r="AS2" s="41"/>
      <c r="AT2" s="41"/>
    </row>
    <row r="3" spans="1:46" s="5" customFormat="1" x14ac:dyDescent="0.25">
      <c r="A3" s="10">
        <f>'Proximal Validation (double)'!A11</f>
        <v>0.3</v>
      </c>
      <c r="B3" s="11">
        <f>'Proximal Validation (double)'!B11</f>
        <v>0.18</v>
      </c>
      <c r="C3" s="10">
        <f>'Proximal Validation (double)'!C11</f>
        <v>1.571</v>
      </c>
      <c r="D3" s="10">
        <f>'Proximal Validation (double)'!D11</f>
        <v>1.5707963267948966</v>
      </c>
      <c r="E3" s="11">
        <f>'Proximal Validation (double)'!E11</f>
        <v>0.9</v>
      </c>
      <c r="F3" s="11">
        <f>'Proximal Validation (double)'!F11</f>
        <v>0.08</v>
      </c>
      <c r="G3" s="10">
        <f>'Proximal Validation (double)'!G11</f>
        <v>4.7119999999999997</v>
      </c>
      <c r="H3" s="10">
        <f>'Proximal Validation (double)'!H11</f>
        <v>1.5707963267948966</v>
      </c>
      <c r="I3" s="10">
        <f>'Proximal Validation (double)'!I11</f>
        <v>1</v>
      </c>
      <c r="J3" s="10">
        <f>'Proximal Validation (double)'!J11</f>
        <v>0</v>
      </c>
      <c r="K3" s="10">
        <f>'Proximal Validation (double)'!K11</f>
        <v>0</v>
      </c>
      <c r="L3" s="8">
        <f>'Proximal Validation (double)'!L11</f>
        <v>2.41806032136083E-4</v>
      </c>
      <c r="M3" s="8">
        <f>'Proximal Validation (double)'!M11</f>
        <v>7.3132611811161E-2</v>
      </c>
      <c r="N3" s="8">
        <f>'Proximal Validation (double)'!N11</f>
        <v>-4.2187301442027101E-3</v>
      </c>
      <c r="O3" s="8">
        <f>'Proximal Validation (double)'!O11</f>
        <v>4.2406577616930001E-2</v>
      </c>
      <c r="P3" s="8">
        <f>'Proximal Validation (double)'!P11</f>
        <v>-2.1499879658222198E-2</v>
      </c>
      <c r="Q3" s="8">
        <f>'Proximal Validation (double)'!Q11</f>
        <v>-0.58056563138961803</v>
      </c>
      <c r="R3" s="8">
        <v>0.77011557122710017</v>
      </c>
      <c r="S3" s="8">
        <v>2.1206796494815543E-2</v>
      </c>
      <c r="T3" s="8">
        <v>4.1494884521031619</v>
      </c>
      <c r="U3" s="8">
        <v>1.5707963267948966</v>
      </c>
      <c r="V3" s="8">
        <v>0.39537903065113189</v>
      </c>
      <c r="W3" s="8">
        <v>2.0001241260632983E-2</v>
      </c>
      <c r="X3" s="8">
        <v>0.17828393348501234</v>
      </c>
      <c r="Y3" s="8">
        <v>1.5707963267948966</v>
      </c>
      <c r="Z3" s="28">
        <v>1.9206174722627464E-3</v>
      </c>
      <c r="AA3" s="8">
        <f t="shared" ref="AA3:AA20" si="0">R3-A3</f>
        <v>0.47011557122710018</v>
      </c>
      <c r="AB3" s="8">
        <f t="shared" ref="AB3:AB20" si="1">S3-B3</f>
        <v>-0.15879320350518444</v>
      </c>
      <c r="AC3" s="8">
        <f t="shared" ref="AC3:AC20" si="2">T3-C3</f>
        <v>2.5784884521031621</v>
      </c>
      <c r="AD3" s="8">
        <f t="shared" ref="AD3:AD20" si="3">U3-D3</f>
        <v>0</v>
      </c>
      <c r="AE3" s="8">
        <f t="shared" ref="AE3:AE20" si="4">V3-E3</f>
        <v>-0.50462096934886813</v>
      </c>
      <c r="AF3" s="8">
        <f t="shared" ref="AF3:AF20" si="5">W3-F3</f>
        <v>-5.9998758739367018E-2</v>
      </c>
      <c r="AG3" s="8">
        <f t="shared" ref="AG3:AG20" si="6">X3-G3</f>
        <v>-4.5337160665149874</v>
      </c>
      <c r="AH3" s="8">
        <f t="shared" ref="AH3:AH20" si="7">Y3-H3</f>
        <v>0</v>
      </c>
      <c r="AI3" s="22">
        <f t="shared" ref="AI3:AI20" si="8">AVERAGE(ABS(AA3),ABS(AE3))</f>
        <v>0.48736827028798413</v>
      </c>
      <c r="AJ3" s="22">
        <f t="shared" ref="AJ3:AJ20" si="9">AVERAGE(ABS(AB3),ABS(AF3))</f>
        <v>0.10939598112227573</v>
      </c>
      <c r="AK3" s="22">
        <f t="shared" ref="AK3:AK20" si="10">AVERAGE(ABS(AC3),ABS(AG3))</f>
        <v>3.5561022593090748</v>
      </c>
      <c r="AL3" s="22">
        <f t="shared" ref="AL3:AL20" si="11">MIN(A3,E3)</f>
        <v>0.3</v>
      </c>
      <c r="AM3" s="21" cm="1">
        <f t="array" ref="AM3">AVERAGE(ABS(AA3:AA7))</f>
        <v>0.41736569994530293</v>
      </c>
      <c r="AN3" s="21" cm="1">
        <f t="array" ref="AN3">AVERAGE(ABS(AB3:AB7))</f>
        <v>7.7510441133331304E-2</v>
      </c>
      <c r="AO3" s="21" cm="1">
        <f t="array" ref="AO3">AVERAGE(ABS(AC3:AC7))</f>
        <v>0.68053297494944243</v>
      </c>
      <c r="AP3" s="21" cm="1">
        <f t="array" ref="AP3">AVERAGE(ABS(AD3:AD7))</f>
        <v>0</v>
      </c>
      <c r="AQ3" s="21" cm="1">
        <f t="array" ref="AQ3">AVERAGE(ABS(AE3:AE7))</f>
        <v>0.35521043973195743</v>
      </c>
      <c r="AR3" s="21" cm="1">
        <f t="array" ref="AR3">AVERAGE(ABS(AF3:AF7))</f>
        <v>2.3171055526492408E-2</v>
      </c>
      <c r="AS3" s="21" cm="1">
        <f t="array" ref="AS3">AVERAGE(ABS(AG3:AG7))</f>
        <v>1.3288272711481615</v>
      </c>
      <c r="AT3" s="21" cm="1">
        <f t="array" ref="AT3">AVERAGE(ABS(AH3:AH20))</f>
        <v>0</v>
      </c>
    </row>
    <row r="4" spans="1:46" x14ac:dyDescent="0.25">
      <c r="A4" s="10">
        <f>'Proximal Validation (double)'!A25</f>
        <v>0.6</v>
      </c>
      <c r="B4" s="11">
        <f>'Proximal Validation (double)'!B25</f>
        <v>0.12</v>
      </c>
      <c r="C4" s="10">
        <f>'Proximal Validation (double)'!C25</f>
        <v>3.927</v>
      </c>
      <c r="D4" s="10">
        <f>'Proximal Validation (double)'!D25</f>
        <v>1.5707963267948966</v>
      </c>
      <c r="E4" s="11">
        <f>'Proximal Validation (double)'!E25</f>
        <v>0.5</v>
      </c>
      <c r="F4" s="11">
        <f>'Proximal Validation (double)'!F25</f>
        <v>0.08</v>
      </c>
      <c r="G4" s="10">
        <f>'Proximal Validation (double)'!G25</f>
        <v>4.7119999999999997</v>
      </c>
      <c r="H4" s="10">
        <f>'Proximal Validation (double)'!H25</f>
        <v>1.5707963267948966</v>
      </c>
      <c r="I4" s="10">
        <f>'Proximal Validation (double)'!I25</f>
        <v>0.2</v>
      </c>
      <c r="J4" s="10">
        <f>'Proximal Validation (double)'!J25</f>
        <v>0</v>
      </c>
      <c r="K4" s="10">
        <f>'Proximal Validation (double)'!K25</f>
        <v>0</v>
      </c>
      <c r="L4" s="8">
        <f>'Proximal Validation (double)'!L25</f>
        <v>3.5136193037033097E-4</v>
      </c>
      <c r="M4" s="8">
        <f>'Proximal Validation (double)'!M25</f>
        <v>0.18612760305404699</v>
      </c>
      <c r="N4" s="8">
        <f>'Proximal Validation (double)'!N25</f>
        <v>-8.7223671376705197E-2</v>
      </c>
      <c r="O4" s="8">
        <f>'Proximal Validation (double)'!O25</f>
        <v>-0.228773519396782</v>
      </c>
      <c r="P4" s="8">
        <f>'Proximal Validation (double)'!P25</f>
        <v>-0.39178490638732899</v>
      </c>
      <c r="Q4" s="8">
        <f>'Proximal Validation (double)'!Q25</f>
        <v>-0.93568027019500699</v>
      </c>
      <c r="R4" s="8">
        <v>0.1312203665413971</v>
      </c>
      <c r="S4" s="8">
        <v>0.15829390552850103</v>
      </c>
      <c r="T4" s="8">
        <v>3.2429475456483545</v>
      </c>
      <c r="U4" s="8">
        <v>1.5707963267948966</v>
      </c>
      <c r="V4" s="8">
        <v>0.98531849940610916</v>
      </c>
      <c r="W4" s="8">
        <v>9.3217225210183996E-2</v>
      </c>
      <c r="X4" s="8">
        <v>4.4306842863253904</v>
      </c>
      <c r="Y4" s="8">
        <v>1.5707963267948966</v>
      </c>
      <c r="Z4" s="28">
        <v>1.8738897908821599E-4</v>
      </c>
      <c r="AA4" s="8">
        <f t="shared" si="0"/>
        <v>-0.46877963345860285</v>
      </c>
      <c r="AB4" s="8">
        <f t="shared" si="1"/>
        <v>3.8293905528501038E-2</v>
      </c>
      <c r="AC4" s="8">
        <f t="shared" si="2"/>
        <v>-0.68405245435164552</v>
      </c>
      <c r="AD4" s="8">
        <f t="shared" si="3"/>
        <v>0</v>
      </c>
      <c r="AE4" s="8">
        <f t="shared" si="4"/>
        <v>0.48531849940610916</v>
      </c>
      <c r="AF4" s="8">
        <f t="shared" si="5"/>
        <v>1.3217225210183994E-2</v>
      </c>
      <c r="AG4" s="8">
        <f t="shared" si="6"/>
        <v>-0.28131571367460939</v>
      </c>
      <c r="AH4" s="8">
        <f t="shared" si="7"/>
        <v>0</v>
      </c>
      <c r="AI4" s="23">
        <f t="shared" si="8"/>
        <v>0.47704906643235601</v>
      </c>
      <c r="AJ4" s="23">
        <f t="shared" si="9"/>
        <v>2.5755565369342516E-2</v>
      </c>
      <c r="AK4" s="23">
        <f t="shared" si="10"/>
        <v>0.48268408401312746</v>
      </c>
      <c r="AL4" s="22">
        <f t="shared" si="11"/>
        <v>0.5</v>
      </c>
      <c r="AM4">
        <f>AVERAGE(AM3,AQ3)</f>
        <v>0.38628806983863018</v>
      </c>
      <c r="AN4">
        <f t="shared" ref="AN4:AO4" si="12">AVERAGE(AN3,AR3)</f>
        <v>5.0340748329911852E-2</v>
      </c>
      <c r="AO4">
        <f t="shared" si="12"/>
        <v>1.0046801230488018</v>
      </c>
    </row>
    <row r="5" spans="1:46" x14ac:dyDescent="0.25">
      <c r="A5" s="10">
        <f>'Proximal Validation (double)'!A18</f>
        <v>0.4</v>
      </c>
      <c r="B5" s="11">
        <f>'Proximal Validation (double)'!B18</f>
        <v>0.18</v>
      </c>
      <c r="C5" s="10">
        <f>'Proximal Validation (double)'!C18</f>
        <v>2.3559999999999999</v>
      </c>
      <c r="D5" s="10">
        <f>'Proximal Validation (double)'!D18</f>
        <v>1.5707963267948966</v>
      </c>
      <c r="E5" s="11">
        <f>'Proximal Validation (double)'!E18</f>
        <v>0.7</v>
      </c>
      <c r="F5" s="11">
        <f>'Proximal Validation (double)'!F18</f>
        <v>0.04</v>
      </c>
      <c r="G5" s="10">
        <f>'Proximal Validation (double)'!G18</f>
        <v>3.1419999999999999</v>
      </c>
      <c r="H5" s="10">
        <f>'Proximal Validation (double)'!H18</f>
        <v>1.5707963267948966</v>
      </c>
      <c r="I5" s="10">
        <f>'Proximal Validation (double)'!I18</f>
        <v>0</v>
      </c>
      <c r="J5" s="10">
        <f>'Proximal Validation (double)'!J18</f>
        <v>0</v>
      </c>
      <c r="K5" s="10">
        <f>'Proximal Validation (double)'!K18</f>
        <v>0</v>
      </c>
      <c r="L5" s="8">
        <f>'Proximal Validation (double)'!L18</f>
        <v>1.25857396051288E-3</v>
      </c>
      <c r="M5" s="8">
        <f>'Proximal Validation (double)'!M18</f>
        <v>-6.1508439481258399E-2</v>
      </c>
      <c r="N5" s="8">
        <f>'Proximal Validation (double)'!N18</f>
        <v>-0.139540165662766</v>
      </c>
      <c r="O5" s="8">
        <f>'Proximal Validation (double)'!O18</f>
        <v>-9.9908888339996296E-2</v>
      </c>
      <c r="P5" s="8">
        <f>'Proximal Validation (double)'!P18</f>
        <v>-0.836775302886963</v>
      </c>
      <c r="Q5" s="8">
        <f>'Proximal Validation (double)'!Q18</f>
        <v>0.23870468139648399</v>
      </c>
      <c r="R5" s="8">
        <v>0.96413093360686142</v>
      </c>
      <c r="S5" s="8">
        <v>7.3033514180716796E-2</v>
      </c>
      <c r="T5" s="8">
        <v>2.4495466079674331</v>
      </c>
      <c r="U5" s="8">
        <v>1.5707963267948966</v>
      </c>
      <c r="V5" s="8">
        <v>0.38543392552570144</v>
      </c>
      <c r="W5" s="8">
        <v>2.5633395695558163E-2</v>
      </c>
      <c r="X5" s="8">
        <v>4.449597614459889</v>
      </c>
      <c r="Y5" s="8">
        <v>1.5707963267948966</v>
      </c>
      <c r="Z5" s="28">
        <v>8.8079781241871726E-5</v>
      </c>
      <c r="AA5" s="8">
        <f t="shared" si="0"/>
        <v>0.5641309336068614</v>
      </c>
      <c r="AB5" s="8">
        <f t="shared" si="1"/>
        <v>-0.1069664858192832</v>
      </c>
      <c r="AC5" s="8">
        <f t="shared" si="2"/>
        <v>9.3546607967433193E-2</v>
      </c>
      <c r="AD5" s="8">
        <f t="shared" si="3"/>
        <v>0</v>
      </c>
      <c r="AE5" s="8">
        <f t="shared" si="4"/>
        <v>-0.31456607447429852</v>
      </c>
      <c r="AF5" s="8">
        <f t="shared" si="5"/>
        <v>-1.4366604304441838E-2</v>
      </c>
      <c r="AG5" s="8">
        <f t="shared" si="6"/>
        <v>1.3075976144598891</v>
      </c>
      <c r="AH5" s="8">
        <f t="shared" si="7"/>
        <v>0</v>
      </c>
      <c r="AI5" s="22">
        <f t="shared" si="8"/>
        <v>0.43934850404057996</v>
      </c>
      <c r="AJ5" s="22">
        <f t="shared" si="9"/>
        <v>6.0666545061862517E-2</v>
      </c>
      <c r="AK5" s="22">
        <f t="shared" si="10"/>
        <v>0.70057211121366114</v>
      </c>
      <c r="AL5" s="22">
        <f t="shared" si="11"/>
        <v>0.4</v>
      </c>
      <c r="AM5" s="30"/>
      <c r="AN5" s="30"/>
      <c r="AO5" s="30"/>
    </row>
    <row r="6" spans="1:46" x14ac:dyDescent="0.25">
      <c r="A6" s="10">
        <f>'Proximal Validation (double)'!A15</f>
        <v>0.9</v>
      </c>
      <c r="B6" s="11">
        <f>'Proximal Validation (double)'!B15</f>
        <v>0.1</v>
      </c>
      <c r="C6" s="10">
        <f>'Proximal Validation (double)'!C15</f>
        <v>2.3559999999999999</v>
      </c>
      <c r="D6" s="10">
        <f>'Proximal Validation (double)'!D15</f>
        <v>1.5707963267948966</v>
      </c>
      <c r="E6" s="11">
        <f>'Proximal Validation (double)'!E15</f>
        <v>0.9</v>
      </c>
      <c r="F6" s="11">
        <f>'Proximal Validation (double)'!F15</f>
        <v>0.02</v>
      </c>
      <c r="G6" s="10">
        <f>'Proximal Validation (double)'!G15</f>
        <v>4.7119999999999997</v>
      </c>
      <c r="H6" s="10">
        <f>'Proximal Validation (double)'!H15</f>
        <v>1.5707963267948966</v>
      </c>
      <c r="I6" s="10">
        <f>'Proximal Validation (double)'!I15</f>
        <v>0.4</v>
      </c>
      <c r="J6" s="10">
        <f>'Proximal Validation (double)'!J15</f>
        <v>0</v>
      </c>
      <c r="K6" s="10">
        <f>'Proximal Validation (double)'!K15</f>
        <v>0</v>
      </c>
      <c r="L6" s="8">
        <f>'Proximal Validation (double)'!L15</f>
        <v>-9.1172568500042005E-4</v>
      </c>
      <c r="M6" s="8">
        <f>'Proximal Validation (double)'!M15</f>
        <v>-3.9313092827796901E-2</v>
      </c>
      <c r="N6" s="8">
        <f>'Proximal Validation (double)'!N15</f>
        <v>-0.130889192223549</v>
      </c>
      <c r="O6" s="8">
        <f>'Proximal Validation (double)'!O15</f>
        <v>-0.256822139024735</v>
      </c>
      <c r="P6" s="8">
        <f>'Proximal Validation (double)'!P15</f>
        <v>-0.62632656097412098</v>
      </c>
      <c r="Q6" s="8">
        <f>'Proximal Validation (double)'!Q15</f>
        <v>-0.18459481000900299</v>
      </c>
      <c r="R6" s="8">
        <v>0.63221594853267493</v>
      </c>
      <c r="S6" s="8">
        <v>0.18015920564799062</v>
      </c>
      <c r="T6" s="8">
        <v>2.3388021251381406</v>
      </c>
      <c r="U6" s="8">
        <v>1.5707963267948966</v>
      </c>
      <c r="V6" s="8">
        <v>0.63654976334439139</v>
      </c>
      <c r="W6" s="8">
        <v>2.9117786121584194E-2</v>
      </c>
      <c r="X6" s="8">
        <v>4.339043089141617</v>
      </c>
      <c r="Y6" s="8">
        <v>1.5707963267948966</v>
      </c>
      <c r="Z6" s="28">
        <v>1.61910792154505E-4</v>
      </c>
      <c r="AA6" s="8">
        <f t="shared" si="0"/>
        <v>-0.26778405146732509</v>
      </c>
      <c r="AB6" s="8">
        <f t="shared" si="1"/>
        <v>8.0159205647990617E-2</v>
      </c>
      <c r="AC6" s="8">
        <f t="shared" si="2"/>
        <v>-1.7197874861859308E-2</v>
      </c>
      <c r="AD6" s="8">
        <f t="shared" si="3"/>
        <v>0</v>
      </c>
      <c r="AE6" s="8">
        <f t="shared" si="4"/>
        <v>-0.26345023665560863</v>
      </c>
      <c r="AF6" s="8">
        <f t="shared" si="5"/>
        <v>9.1177861215841934E-3</v>
      </c>
      <c r="AG6" s="8">
        <f t="shared" si="6"/>
        <v>-0.37295691085838278</v>
      </c>
      <c r="AH6" s="8">
        <f t="shared" si="7"/>
        <v>0</v>
      </c>
      <c r="AI6" s="22">
        <f t="shared" si="8"/>
        <v>0.26561714406146686</v>
      </c>
      <c r="AJ6" s="22">
        <f t="shared" si="9"/>
        <v>4.4638495884787403E-2</v>
      </c>
      <c r="AK6" s="22">
        <f t="shared" si="10"/>
        <v>0.19507739286012105</v>
      </c>
      <c r="AL6" s="22">
        <f t="shared" si="11"/>
        <v>0.9</v>
      </c>
    </row>
    <row r="7" spans="1:46" x14ac:dyDescent="0.25">
      <c r="A7" s="10">
        <f>'Proximal Validation (double)'!A40</f>
        <v>0.8</v>
      </c>
      <c r="B7" s="11">
        <f>'Proximal Validation (double)'!B40</f>
        <v>0.18</v>
      </c>
      <c r="C7" s="10">
        <f>'Proximal Validation (double)'!C40</f>
        <v>4.7119999999999997</v>
      </c>
      <c r="D7" s="10">
        <f>'Proximal Validation (double)'!D40</f>
        <v>1.5707963267948966</v>
      </c>
      <c r="E7" s="11">
        <f>'Proximal Validation (double)'!E40</f>
        <v>0.6</v>
      </c>
      <c r="F7" s="11">
        <f>'Proximal Validation (double)'!F40</f>
        <v>0.06</v>
      </c>
      <c r="G7" s="10">
        <f>'Proximal Validation (double)'!G40</f>
        <v>4.7119999999999997</v>
      </c>
      <c r="H7" s="10">
        <f>'Proximal Validation (double)'!H40</f>
        <v>1.5707963267948966</v>
      </c>
      <c r="I7" s="10">
        <f>'Proximal Validation (double)'!I40</f>
        <v>1</v>
      </c>
      <c r="J7" s="10">
        <f>'Proximal Validation (double)'!J40</f>
        <v>0</v>
      </c>
      <c r="K7" s="10">
        <f>'Proximal Validation (double)'!K40</f>
        <v>0</v>
      </c>
      <c r="L7" s="8">
        <f>'Proximal Validation (double)'!L40</f>
        <v>-5.2668377757072397E-3</v>
      </c>
      <c r="M7" s="8">
        <f>'Proximal Validation (double)'!M40</f>
        <v>0.27689665555954002</v>
      </c>
      <c r="N7" s="8">
        <f>'Proximal Validation (double)'!N40</f>
        <v>-1.6046434640884399E-2</v>
      </c>
      <c r="O7" s="8">
        <f>'Proximal Validation (double)'!O40</f>
        <v>-0.47105222940444902</v>
      </c>
      <c r="P7" s="8">
        <f>'Proximal Validation (double)'!P40</f>
        <v>-0.10896006226539599</v>
      </c>
      <c r="Q7" s="8">
        <f>'Proximal Validation (double)'!Q40</f>
        <v>-1.1885303258895901</v>
      </c>
      <c r="R7" s="8">
        <v>0.4839816900333751</v>
      </c>
      <c r="S7" s="8">
        <v>0.17666059483430274</v>
      </c>
      <c r="T7" s="8">
        <v>4.7413794854631117</v>
      </c>
      <c r="U7" s="8">
        <v>1.5707963267948966</v>
      </c>
      <c r="V7" s="8">
        <v>0.80809641877490279</v>
      </c>
      <c r="W7" s="8">
        <v>7.9154903256885012E-2</v>
      </c>
      <c r="X7" s="8">
        <v>4.5634499497670618</v>
      </c>
      <c r="Y7" s="8">
        <v>1.5707963267948966</v>
      </c>
      <c r="Z7" s="28">
        <v>5.5185796009601766E-4</v>
      </c>
      <c r="AA7" s="8">
        <f t="shared" si="0"/>
        <v>-0.31601830996662494</v>
      </c>
      <c r="AB7" s="8">
        <f t="shared" si="1"/>
        <v>-3.3394051656972512E-3</v>
      </c>
      <c r="AC7" s="8">
        <f t="shared" si="2"/>
        <v>2.9379485463111976E-2</v>
      </c>
      <c r="AD7" s="8">
        <f t="shared" si="3"/>
        <v>0</v>
      </c>
      <c r="AE7" s="8">
        <f t="shared" si="4"/>
        <v>0.20809641877490281</v>
      </c>
      <c r="AF7" s="8">
        <f t="shared" si="5"/>
        <v>1.9154903256885014E-2</v>
      </c>
      <c r="AG7" s="8">
        <f t="shared" si="6"/>
        <v>-0.14855005023293799</v>
      </c>
      <c r="AH7" s="8">
        <f t="shared" si="7"/>
        <v>0</v>
      </c>
      <c r="AI7" s="22">
        <f t="shared" si="8"/>
        <v>0.26205736437076388</v>
      </c>
      <c r="AJ7" s="22">
        <f t="shared" si="9"/>
        <v>1.1247154211291133E-2</v>
      </c>
      <c r="AK7" s="22">
        <f t="shared" si="10"/>
        <v>8.8964767848024984E-2</v>
      </c>
      <c r="AL7" s="22">
        <f t="shared" si="11"/>
        <v>0.6</v>
      </c>
    </row>
    <row r="8" spans="1:46" x14ac:dyDescent="0.25">
      <c r="A8" s="10">
        <f>'Proximal Validation (double)'!A4</f>
        <v>1</v>
      </c>
      <c r="B8" s="11">
        <f>'Proximal Validation (double)'!B4</f>
        <v>0.1</v>
      </c>
      <c r="C8" s="10">
        <f>'Proximal Validation (double)'!C4</f>
        <v>1.571</v>
      </c>
      <c r="D8" s="10">
        <f>'Proximal Validation (double)'!D4</f>
        <v>1.5707963267948966</v>
      </c>
      <c r="E8" s="11">
        <f>'Proximal Validation (double)'!E4</f>
        <v>1</v>
      </c>
      <c r="F8" s="11">
        <f>'Proximal Validation (double)'!F4</f>
        <v>0.08</v>
      </c>
      <c r="G8" s="10">
        <f>'Proximal Validation (double)'!G4</f>
        <v>3.1419999999999999</v>
      </c>
      <c r="H8" s="10">
        <f>'Proximal Validation (double)'!H4</f>
        <v>1.5707963267948966</v>
      </c>
      <c r="I8" s="10">
        <f>'Proximal Validation (double)'!I4</f>
        <v>0</v>
      </c>
      <c r="J8" s="10">
        <f>'Proximal Validation (double)'!J4</f>
        <v>0</v>
      </c>
      <c r="K8" s="10">
        <f>'Proximal Validation (double)'!K4</f>
        <v>0</v>
      </c>
      <c r="L8" s="8">
        <f>'Proximal Validation (double)'!L4</f>
        <v>-1.30488071590662E-3</v>
      </c>
      <c r="M8" s="8">
        <f>'Proximal Validation (double)'!M4</f>
        <v>-0.187399536371231</v>
      </c>
      <c r="N8" s="8">
        <f>'Proximal Validation (double)'!N4</f>
        <v>-0.148506805300713</v>
      </c>
      <c r="O8" s="8">
        <f>'Proximal Validation (double)'!O4</f>
        <v>-0.458716601133347</v>
      </c>
      <c r="P8" s="8">
        <f>'Proximal Validation (double)'!P4</f>
        <v>-0.81002575159072898</v>
      </c>
      <c r="Q8" s="8">
        <f>'Proximal Validation (double)'!Q4</f>
        <v>0.92483174800872803</v>
      </c>
      <c r="R8" s="8">
        <v>0.79968704296625615</v>
      </c>
      <c r="S8" s="8">
        <v>0.12165839285416974</v>
      </c>
      <c r="T8" s="8">
        <v>1.774189296299566</v>
      </c>
      <c r="U8" s="8">
        <v>1.5707963267948966</v>
      </c>
      <c r="V8" s="8">
        <v>0.72538438305532082</v>
      </c>
      <c r="W8" s="8">
        <v>9.1362623730660897E-2</v>
      </c>
      <c r="X8" s="8">
        <v>2.8488834832823713</v>
      </c>
      <c r="Y8" s="8">
        <v>1.5707963267948966</v>
      </c>
      <c r="Z8" s="28">
        <v>1.2260444346690632E-4</v>
      </c>
      <c r="AA8" s="8">
        <f t="shared" si="0"/>
        <v>-0.20031295703374385</v>
      </c>
      <c r="AB8" s="8">
        <f t="shared" si="1"/>
        <v>2.1658392854169733E-2</v>
      </c>
      <c r="AC8" s="8">
        <f t="shared" si="2"/>
        <v>0.20318929629956606</v>
      </c>
      <c r="AD8" s="8">
        <f t="shared" si="3"/>
        <v>0</v>
      </c>
      <c r="AE8" s="8">
        <f t="shared" si="4"/>
        <v>-0.27461561694467918</v>
      </c>
      <c r="AF8" s="8">
        <f t="shared" si="5"/>
        <v>1.1362623730660895E-2</v>
      </c>
      <c r="AG8" s="8">
        <f t="shared" si="6"/>
        <v>-0.29311651671762862</v>
      </c>
      <c r="AH8" s="8">
        <f t="shared" si="7"/>
        <v>0</v>
      </c>
      <c r="AI8" s="22">
        <f t="shared" si="8"/>
        <v>0.23746428698921151</v>
      </c>
      <c r="AJ8" s="22">
        <f t="shared" si="9"/>
        <v>1.6510508292415314E-2</v>
      </c>
      <c r="AK8" s="22">
        <f t="shared" si="10"/>
        <v>0.24815290650859734</v>
      </c>
      <c r="AL8" s="22">
        <f t="shared" si="11"/>
        <v>1</v>
      </c>
    </row>
    <row r="9" spans="1:46" x14ac:dyDescent="0.25">
      <c r="A9" s="10">
        <f>'Proximal Validation (double)'!A26</f>
        <v>0.7</v>
      </c>
      <c r="B9" s="11">
        <f>'Proximal Validation (double)'!B26</f>
        <v>0.16</v>
      </c>
      <c r="C9" s="10">
        <f>'Proximal Validation (double)'!C26</f>
        <v>3.927</v>
      </c>
      <c r="D9" s="10">
        <f>'Proximal Validation (double)'!D26</f>
        <v>1.5707963267948966</v>
      </c>
      <c r="E9" s="11">
        <f>'Proximal Validation (double)'!E26</f>
        <v>1</v>
      </c>
      <c r="F9" s="11">
        <f>'Proximal Validation (double)'!F26</f>
        <v>0.04</v>
      </c>
      <c r="G9" s="10">
        <f>'Proximal Validation (double)'!G26</f>
        <v>3.927</v>
      </c>
      <c r="H9" s="10">
        <f>'Proximal Validation (double)'!H26</f>
        <v>1.5707963267948966</v>
      </c>
      <c r="I9" s="10">
        <f>'Proximal Validation (double)'!I26</f>
        <v>1.2</v>
      </c>
      <c r="J9" s="10">
        <f>'Proximal Validation (double)'!J26</f>
        <v>0</v>
      </c>
      <c r="K9" s="10">
        <f>'Proximal Validation (double)'!K26</f>
        <v>0</v>
      </c>
      <c r="L9" s="8">
        <f>'Proximal Validation (double)'!L26</f>
        <v>-2.9902514070272398E-3</v>
      </c>
      <c r="M9" s="8">
        <f>'Proximal Validation (double)'!M26</f>
        <v>0.20048326253891</v>
      </c>
      <c r="N9" s="8">
        <f>'Proximal Validation (double)'!N26</f>
        <v>-0.21412828564643899</v>
      </c>
      <c r="O9" s="8">
        <f>'Proximal Validation (double)'!O26</f>
        <v>-0.35741558670997597</v>
      </c>
      <c r="P9" s="8">
        <f>'Proximal Validation (double)'!P26</f>
        <v>-1.1967084407806401</v>
      </c>
      <c r="Q9" s="8">
        <f>'Proximal Validation (double)'!Q26</f>
        <v>-1.0432312488555899</v>
      </c>
      <c r="R9" s="8">
        <v>0.94643020256718657</v>
      </c>
      <c r="S9" s="8">
        <v>9.4223379315314784E-2</v>
      </c>
      <c r="T9" s="8">
        <v>4.1978260547794095</v>
      </c>
      <c r="U9" s="8">
        <v>1.5707963267948966</v>
      </c>
      <c r="V9" s="8">
        <v>0.79929206509351469</v>
      </c>
      <c r="W9" s="8">
        <v>6.8498071929370699E-2</v>
      </c>
      <c r="X9" s="8">
        <v>3.459852997499858</v>
      </c>
      <c r="Y9" s="8">
        <v>1.5707963267948966</v>
      </c>
      <c r="Z9" s="28">
        <v>2.8292554245556094E-4</v>
      </c>
      <c r="AA9" s="8">
        <f t="shared" si="0"/>
        <v>0.24643020256718662</v>
      </c>
      <c r="AB9" s="8">
        <f t="shared" si="1"/>
        <v>-6.5776620684685219E-2</v>
      </c>
      <c r="AC9" s="8">
        <f t="shared" si="2"/>
        <v>0.27082605477940946</v>
      </c>
      <c r="AD9" s="8">
        <f t="shared" si="3"/>
        <v>0</v>
      </c>
      <c r="AE9" s="8">
        <f t="shared" si="4"/>
        <v>-0.20070793490648531</v>
      </c>
      <c r="AF9" s="8">
        <f t="shared" si="5"/>
        <v>2.8498071929370698E-2</v>
      </c>
      <c r="AG9" s="8">
        <f t="shared" si="6"/>
        <v>-0.46714700250014207</v>
      </c>
      <c r="AH9" s="8">
        <f t="shared" si="7"/>
        <v>0</v>
      </c>
      <c r="AI9" s="22">
        <f t="shared" si="8"/>
        <v>0.22356906873683596</v>
      </c>
      <c r="AJ9" s="22">
        <f t="shared" si="9"/>
        <v>4.7137346307027955E-2</v>
      </c>
      <c r="AK9" s="22">
        <f t="shared" si="10"/>
        <v>0.36898652863977577</v>
      </c>
      <c r="AL9" s="22">
        <f t="shared" si="11"/>
        <v>0.7</v>
      </c>
    </row>
    <row r="10" spans="1:46" x14ac:dyDescent="0.25">
      <c r="A10" s="10">
        <f>'Proximal Validation (double)'!A37</f>
        <v>0.3</v>
      </c>
      <c r="B10" s="11">
        <f>'Proximal Validation (double)'!B37</f>
        <v>0.18</v>
      </c>
      <c r="C10" s="10">
        <f>'Proximal Validation (double)'!C37</f>
        <v>4.7119999999999997</v>
      </c>
      <c r="D10" s="10">
        <f>'Proximal Validation (double)'!D37</f>
        <v>1.5707963267948966</v>
      </c>
      <c r="E10" s="11">
        <f>'Proximal Validation (double)'!E37</f>
        <v>0.3</v>
      </c>
      <c r="F10" s="11">
        <f>'Proximal Validation (double)'!F37</f>
        <v>0.06</v>
      </c>
      <c r="G10" s="10">
        <f>'Proximal Validation (double)'!G37</f>
        <v>3.1419999999999999</v>
      </c>
      <c r="H10" s="10">
        <f>'Proximal Validation (double)'!H37</f>
        <v>1.5707963267948966</v>
      </c>
      <c r="I10" s="10">
        <f>'Proximal Validation (double)'!I37</f>
        <v>1.4</v>
      </c>
      <c r="J10" s="10">
        <f>'Proximal Validation (double)'!J37</f>
        <v>0</v>
      </c>
      <c r="K10" s="10">
        <f>'Proximal Validation (double)'!K37</f>
        <v>0</v>
      </c>
      <c r="L10" s="8">
        <f>'Proximal Validation (double)'!L37</f>
        <v>-1.7680961173027799E-3</v>
      </c>
      <c r="M10" s="8">
        <f>'Proximal Validation (double)'!M37</f>
        <v>6.0080211609602002E-2</v>
      </c>
      <c r="N10" s="8">
        <f>'Proximal Validation (double)'!N37</f>
        <v>-4.9739588052034399E-2</v>
      </c>
      <c r="O10" s="8">
        <f>'Proximal Validation (double)'!O37</f>
        <v>-3.2015025615692097E-2</v>
      </c>
      <c r="P10" s="8">
        <f>'Proximal Validation (double)'!P37</f>
        <v>-0.322286486625671</v>
      </c>
      <c r="Q10" s="8">
        <f>'Proximal Validation (double)'!Q37</f>
        <v>-0.222265124320984</v>
      </c>
      <c r="R10" s="8">
        <v>0.36582448860867611</v>
      </c>
      <c r="S10" s="8">
        <v>0.18256423495244259</v>
      </c>
      <c r="T10" s="8">
        <v>5.6029386303625888</v>
      </c>
      <c r="U10" s="8">
        <v>1.5707963267948966</v>
      </c>
      <c r="V10" s="8">
        <v>0.60574200198861816</v>
      </c>
      <c r="W10" s="8">
        <v>0.12105936033525691</v>
      </c>
      <c r="X10" s="8">
        <v>3.131959087097421</v>
      </c>
      <c r="Y10" s="8">
        <v>1.5707963267948966</v>
      </c>
      <c r="Z10" s="28">
        <v>2.5269669503468954E-6</v>
      </c>
      <c r="AA10" s="8">
        <f t="shared" si="0"/>
        <v>6.5824488608676124E-2</v>
      </c>
      <c r="AB10" s="8">
        <f t="shared" si="1"/>
        <v>2.5642349524425956E-3</v>
      </c>
      <c r="AC10" s="8">
        <f t="shared" si="2"/>
        <v>0.89093863036258902</v>
      </c>
      <c r="AD10" s="8">
        <f t="shared" si="3"/>
        <v>0</v>
      </c>
      <c r="AE10" s="8">
        <f t="shared" si="4"/>
        <v>0.30574200198861817</v>
      </c>
      <c r="AF10" s="8">
        <f t="shared" si="5"/>
        <v>6.1059360335256913E-2</v>
      </c>
      <c r="AG10" s="8">
        <f t="shared" si="6"/>
        <v>-1.0040912902578913E-2</v>
      </c>
      <c r="AH10" s="8">
        <f t="shared" si="7"/>
        <v>0</v>
      </c>
      <c r="AI10" s="22">
        <f t="shared" si="8"/>
        <v>0.18578324529864715</v>
      </c>
      <c r="AJ10" s="22">
        <f t="shared" si="9"/>
        <v>3.1811797643849754E-2</v>
      </c>
      <c r="AK10" s="22">
        <f t="shared" si="10"/>
        <v>0.45048977163258397</v>
      </c>
      <c r="AL10" s="22">
        <f t="shared" si="11"/>
        <v>0.3</v>
      </c>
    </row>
    <row r="11" spans="1:46" x14ac:dyDescent="0.25">
      <c r="A11" s="10">
        <f>'Proximal Validation (double)'!A36</f>
        <v>1</v>
      </c>
      <c r="B11" s="11">
        <f>'Proximal Validation (double)'!B36</f>
        <v>0.12</v>
      </c>
      <c r="C11" s="10">
        <f>'Proximal Validation (double)'!C36</f>
        <v>4.7119999999999997</v>
      </c>
      <c r="D11" s="10">
        <f>'Proximal Validation (double)'!D36</f>
        <v>1.5707963267948966</v>
      </c>
      <c r="E11" s="11">
        <f>'Proximal Validation (double)'!E36</f>
        <v>0.8</v>
      </c>
      <c r="F11" s="11">
        <f>'Proximal Validation (double)'!F36</f>
        <v>0.08</v>
      </c>
      <c r="G11" s="10">
        <f>'Proximal Validation (double)'!G36</f>
        <v>3.1419999999999999</v>
      </c>
      <c r="H11" s="10">
        <f>'Proximal Validation (double)'!H36</f>
        <v>1.5707963267948966</v>
      </c>
      <c r="I11" s="10">
        <f>'Proximal Validation (double)'!I36</f>
        <v>1.2</v>
      </c>
      <c r="J11" s="10">
        <f>'Proximal Validation (double)'!J36</f>
        <v>0</v>
      </c>
      <c r="K11" s="10">
        <f>'Proximal Validation (double)'!K36</f>
        <v>0</v>
      </c>
      <c r="L11" s="8">
        <f>'Proximal Validation (double)'!L36</f>
        <v>-5.3540230728685899E-3</v>
      </c>
      <c r="M11" s="8">
        <f>'Proximal Validation (double)'!M36</f>
        <v>0.23577138781547499</v>
      </c>
      <c r="N11" s="8">
        <f>'Proximal Validation (double)'!N36</f>
        <v>-0.12704449892044101</v>
      </c>
      <c r="O11" s="8">
        <f>'Proximal Validation (double)'!O36</f>
        <v>-0.53383183479309104</v>
      </c>
      <c r="P11" s="8">
        <f>'Proximal Validation (double)'!P36</f>
        <v>-0.71507501602172896</v>
      </c>
      <c r="Q11" s="8">
        <f>'Proximal Validation (double)'!Q36</f>
        <v>-1.0263080596923799</v>
      </c>
      <c r="R11" s="8">
        <v>0.66147628726344143</v>
      </c>
      <c r="S11" s="8">
        <v>0.17957820720761805</v>
      </c>
      <c r="T11" s="8">
        <v>4.4950146195541807</v>
      </c>
      <c r="U11" s="8">
        <v>1.5707963267948966</v>
      </c>
      <c r="V11" s="8">
        <v>0.78211702552458129</v>
      </c>
      <c r="W11" s="8">
        <v>6.5122336300144898E-2</v>
      </c>
      <c r="X11" s="8">
        <v>3.8237686809363152</v>
      </c>
      <c r="Y11" s="8">
        <v>1.5707963267948966</v>
      </c>
      <c r="Z11" s="28">
        <v>8.3957531529884278E-6</v>
      </c>
      <c r="AA11" s="8">
        <f t="shared" si="0"/>
        <v>-0.33852371273655857</v>
      </c>
      <c r="AB11" s="8">
        <f t="shared" si="1"/>
        <v>5.9578207207618056E-2</v>
      </c>
      <c r="AC11" s="8">
        <f t="shared" si="2"/>
        <v>-0.21698538044581905</v>
      </c>
      <c r="AD11" s="8">
        <f t="shared" si="3"/>
        <v>0</v>
      </c>
      <c r="AE11" s="8">
        <f t="shared" si="4"/>
        <v>-1.7882974475418756E-2</v>
      </c>
      <c r="AF11" s="8">
        <f t="shared" si="5"/>
        <v>-1.4877663699855104E-2</v>
      </c>
      <c r="AG11" s="8">
        <f t="shared" si="6"/>
        <v>0.68176868093631526</v>
      </c>
      <c r="AH11" s="8">
        <f t="shared" si="7"/>
        <v>0</v>
      </c>
      <c r="AI11" s="22">
        <f t="shared" si="8"/>
        <v>0.17820334360598866</v>
      </c>
      <c r="AJ11" s="22">
        <f t="shared" si="9"/>
        <v>3.722793545373658E-2</v>
      </c>
      <c r="AK11" s="22">
        <f t="shared" si="10"/>
        <v>0.44937703069106716</v>
      </c>
      <c r="AL11" s="22">
        <f t="shared" si="11"/>
        <v>0.8</v>
      </c>
    </row>
    <row r="12" spans="1:46" x14ac:dyDescent="0.25">
      <c r="A12" s="10">
        <f>'Proximal Validation (double)'!A14</f>
        <v>0.9</v>
      </c>
      <c r="B12" s="11">
        <f>'Proximal Validation (double)'!B14</f>
        <v>0.2</v>
      </c>
      <c r="C12" s="10">
        <f>'Proximal Validation (double)'!C14</f>
        <v>1.571</v>
      </c>
      <c r="D12" s="10">
        <f>'Proximal Validation (double)'!D14</f>
        <v>1.5707963267948966</v>
      </c>
      <c r="E12" s="11">
        <f>'Proximal Validation (double)'!E14</f>
        <v>0.3</v>
      </c>
      <c r="F12" s="11">
        <f>'Proximal Validation (double)'!F14</f>
        <v>0.02</v>
      </c>
      <c r="G12" s="10">
        <f>'Proximal Validation (double)'!G14</f>
        <v>4.7119999999999997</v>
      </c>
      <c r="H12" s="10">
        <f>'Proximal Validation (double)'!H14</f>
        <v>1.5707963267948966</v>
      </c>
      <c r="I12" s="10">
        <f>'Proximal Validation (double)'!I14</f>
        <v>1.4</v>
      </c>
      <c r="J12" s="10">
        <f>'Proximal Validation (double)'!J14</f>
        <v>0</v>
      </c>
      <c r="K12" s="10">
        <f>'Proximal Validation (double)'!K14</f>
        <v>0</v>
      </c>
      <c r="L12" s="8">
        <f>'Proximal Validation (double)'!L14</f>
        <v>9.2607205733656901E-3</v>
      </c>
      <c r="M12" s="8">
        <f>'Proximal Validation (double)'!M14</f>
        <v>-0.11755938827991499</v>
      </c>
      <c r="N12" s="8">
        <f>'Proximal Validation (double)'!N14</f>
        <v>-8.4324358031153696E-3</v>
      </c>
      <c r="O12" s="8">
        <f>'Proximal Validation (double)'!O14</f>
        <v>-0.58649873733520497</v>
      </c>
      <c r="P12" s="8">
        <f>'Proximal Validation (double)'!P14</f>
        <v>-5.0031639635562897E-2</v>
      </c>
      <c r="Q12" s="8">
        <f>'Proximal Validation (double)'!Q14</f>
        <v>4.2876139283180202E-2</v>
      </c>
      <c r="R12" s="8">
        <v>0.94895011173278154</v>
      </c>
      <c r="S12" s="8">
        <v>0.19193086557192807</v>
      </c>
      <c r="T12" s="8">
        <v>1.5942901915822998</v>
      </c>
      <c r="U12" s="8">
        <v>1.5707963267948966</v>
      </c>
      <c r="V12" s="8">
        <v>0.6041937440912849</v>
      </c>
      <c r="W12" s="8">
        <v>2.9416330288415334E-2</v>
      </c>
      <c r="X12" s="8">
        <v>4.69507739562028</v>
      </c>
      <c r="Y12" s="8">
        <v>1.5707963267948966</v>
      </c>
      <c r="Z12" s="28">
        <v>1.5049131441901649E-3</v>
      </c>
      <c r="AA12" s="8">
        <f t="shared" si="0"/>
        <v>4.8950111732781521E-2</v>
      </c>
      <c r="AB12" s="8">
        <f t="shared" si="1"/>
        <v>-8.0691344280719446E-3</v>
      </c>
      <c r="AC12" s="8">
        <f t="shared" si="2"/>
        <v>2.3290191582299835E-2</v>
      </c>
      <c r="AD12" s="8">
        <f t="shared" si="3"/>
        <v>0</v>
      </c>
      <c r="AE12" s="8">
        <f t="shared" si="4"/>
        <v>0.30419374409128491</v>
      </c>
      <c r="AF12" s="8">
        <f t="shared" si="5"/>
        <v>9.4163302884153338E-3</v>
      </c>
      <c r="AG12" s="8">
        <f t="shared" si="6"/>
        <v>-1.6922604379719708E-2</v>
      </c>
      <c r="AH12" s="8">
        <f t="shared" si="7"/>
        <v>0</v>
      </c>
      <c r="AI12" s="22">
        <f t="shared" si="8"/>
        <v>0.17657192791203322</v>
      </c>
      <c r="AJ12" s="22">
        <f t="shared" si="9"/>
        <v>8.7427323582436392E-3</v>
      </c>
      <c r="AK12" s="22">
        <f t="shared" si="10"/>
        <v>2.0106397981009771E-2</v>
      </c>
      <c r="AL12" s="22">
        <f t="shared" si="11"/>
        <v>0.3</v>
      </c>
    </row>
    <row r="13" spans="1:46" x14ac:dyDescent="0.25">
      <c r="A13" s="10">
        <f>'Proximal Validation (double)'!A8</f>
        <v>0.8</v>
      </c>
      <c r="B13" s="11">
        <f>'Proximal Validation (double)'!B8</f>
        <v>0.16</v>
      </c>
      <c r="C13" s="10">
        <f>'Proximal Validation (double)'!C8</f>
        <v>1.571</v>
      </c>
      <c r="D13" s="10">
        <f>'Proximal Validation (double)'!D8</f>
        <v>1.5707963267948966</v>
      </c>
      <c r="E13" s="11">
        <f>'Proximal Validation (double)'!E8</f>
        <v>0.8</v>
      </c>
      <c r="F13" s="11">
        <f>'Proximal Validation (double)'!F8</f>
        <v>0.06</v>
      </c>
      <c r="G13" s="10">
        <f>'Proximal Validation (double)'!G8</f>
        <v>3.927</v>
      </c>
      <c r="H13" s="10">
        <f>'Proximal Validation (double)'!H8</f>
        <v>1.5707963267948966</v>
      </c>
      <c r="I13" s="10">
        <f>'Proximal Validation (double)'!I8</f>
        <v>1.4</v>
      </c>
      <c r="J13" s="10">
        <f>'Proximal Validation (double)'!J8</f>
        <v>0</v>
      </c>
      <c r="K13" s="10">
        <f>'Proximal Validation (double)'!K8</f>
        <v>0</v>
      </c>
      <c r="L13" s="8">
        <f>'Proximal Validation (double)'!L8</f>
        <v>8.2578761503100395E-3</v>
      </c>
      <c r="M13" s="8">
        <f>'Proximal Validation (double)'!M8</f>
        <v>-0.106360949575901</v>
      </c>
      <c r="N13" s="8">
        <f>'Proximal Validation (double)'!N8</f>
        <v>-7.6963931322097806E-2</v>
      </c>
      <c r="O13" s="8">
        <f>'Proximal Validation (double)'!O8</f>
        <v>-0.29881915450096103</v>
      </c>
      <c r="P13" s="8">
        <f>'Proximal Validation (double)'!P8</f>
        <v>-0.50920194387435902</v>
      </c>
      <c r="Q13" s="8">
        <f>'Proximal Validation (double)'!Q8</f>
        <v>0.108889028429985</v>
      </c>
      <c r="R13" s="8">
        <v>0.65018920088546239</v>
      </c>
      <c r="S13" s="8">
        <v>0.19973744414850603</v>
      </c>
      <c r="T13" s="8">
        <v>1.7082560871063492</v>
      </c>
      <c r="U13" s="8">
        <v>1.5707963267948966</v>
      </c>
      <c r="V13" s="8">
        <v>0.60390628952305614</v>
      </c>
      <c r="W13" s="8">
        <v>4.0781542217931468E-2</v>
      </c>
      <c r="X13" s="8">
        <v>3.9259978675304481</v>
      </c>
      <c r="Y13" s="8">
        <v>1.5707963267948966</v>
      </c>
      <c r="Z13" s="28">
        <v>8.5180462854188375E-5</v>
      </c>
      <c r="AA13" s="8">
        <f t="shared" si="0"/>
        <v>-0.14981079911453765</v>
      </c>
      <c r="AB13" s="8">
        <f t="shared" si="1"/>
        <v>3.9737444148506024E-2</v>
      </c>
      <c r="AC13" s="8">
        <f t="shared" si="2"/>
        <v>0.13725608710634929</v>
      </c>
      <c r="AD13" s="8">
        <f t="shared" si="3"/>
        <v>0</v>
      </c>
      <c r="AE13" s="8">
        <f t="shared" si="4"/>
        <v>-0.19609371047694391</v>
      </c>
      <c r="AF13" s="8">
        <f t="shared" si="5"/>
        <v>-1.9218457782068529E-2</v>
      </c>
      <c r="AG13" s="8">
        <f t="shared" si="6"/>
        <v>-1.0021324695519418E-3</v>
      </c>
      <c r="AH13" s="8">
        <f t="shared" si="7"/>
        <v>0</v>
      </c>
      <c r="AI13" s="22">
        <f t="shared" si="8"/>
        <v>0.17295225479574078</v>
      </c>
      <c r="AJ13" s="22">
        <f t="shared" si="9"/>
        <v>2.9477950965287276E-2</v>
      </c>
      <c r="AK13" s="22">
        <f t="shared" si="10"/>
        <v>6.9129109787950616E-2</v>
      </c>
      <c r="AL13" s="22">
        <f t="shared" si="11"/>
        <v>0.8</v>
      </c>
    </row>
    <row r="14" spans="1:46" x14ac:dyDescent="0.25">
      <c r="A14" s="10">
        <f>'Proximal Validation (double)'!A30</f>
        <v>1</v>
      </c>
      <c r="B14" s="11">
        <f>'Proximal Validation (double)'!B30</f>
        <v>0.2</v>
      </c>
      <c r="C14" s="10">
        <f>'Proximal Validation (double)'!C30</f>
        <v>3.927</v>
      </c>
      <c r="D14" s="10">
        <f>'Proximal Validation (double)'!D30</f>
        <v>1.5707963267948966</v>
      </c>
      <c r="E14" s="11">
        <f>'Proximal Validation (double)'!E30</f>
        <v>1</v>
      </c>
      <c r="F14" s="11">
        <f>'Proximal Validation (double)'!F30</f>
        <v>0.06</v>
      </c>
      <c r="G14" s="10">
        <f>'Proximal Validation (double)'!G30</f>
        <v>3.927</v>
      </c>
      <c r="H14" s="10">
        <f>'Proximal Validation (double)'!H30</f>
        <v>1.5707963267948966</v>
      </c>
      <c r="I14" s="10">
        <f>'Proximal Validation (double)'!I30</f>
        <v>0.2</v>
      </c>
      <c r="J14" s="10">
        <f>'Proximal Validation (double)'!J30</f>
        <v>0</v>
      </c>
      <c r="K14" s="10">
        <f>'Proximal Validation (double)'!K30</f>
        <v>0</v>
      </c>
      <c r="L14" s="8">
        <f>'Proximal Validation (double)'!L30</f>
        <v>-3.93409747630358E-3</v>
      </c>
      <c r="M14" s="8">
        <f>'Proximal Validation (double)'!M30</f>
        <v>0.26014894247055098</v>
      </c>
      <c r="N14" s="8">
        <f>'Proximal Validation (double)'!N30</f>
        <v>-0.247706294059753</v>
      </c>
      <c r="O14" s="8">
        <f>'Proximal Validation (double)'!O30</f>
        <v>-0.95730906724929798</v>
      </c>
      <c r="P14" s="8">
        <f>'Proximal Validation (double)'!P30</f>
        <v>-1.0179207324981701</v>
      </c>
      <c r="Q14" s="8">
        <f>'Proximal Validation (double)'!Q30</f>
        <v>-0.96642386913299605</v>
      </c>
      <c r="R14" s="8">
        <v>0.74026519120134227</v>
      </c>
      <c r="S14" s="8">
        <v>0.17100884828087609</v>
      </c>
      <c r="T14" s="8">
        <v>4.1318125794209077</v>
      </c>
      <c r="U14" s="8">
        <v>1.5707963267948966</v>
      </c>
      <c r="V14" s="8">
        <v>0.99385910068747663</v>
      </c>
      <c r="W14" s="8">
        <v>8.926133113238828E-2</v>
      </c>
      <c r="X14" s="8">
        <v>3.761638331458625</v>
      </c>
      <c r="Y14" s="8">
        <v>1.5707963267948966</v>
      </c>
      <c r="Z14" s="28">
        <v>8.5402582716256968E-4</v>
      </c>
      <c r="AA14" s="8">
        <f t="shared" si="0"/>
        <v>-0.25973480879865773</v>
      </c>
      <c r="AB14" s="8">
        <f t="shared" si="1"/>
        <v>-2.899115171912392E-2</v>
      </c>
      <c r="AC14" s="8">
        <f t="shared" si="2"/>
        <v>0.20481257942090769</v>
      </c>
      <c r="AD14" s="8">
        <f t="shared" si="3"/>
        <v>0</v>
      </c>
      <c r="AE14" s="8">
        <f t="shared" si="4"/>
        <v>-6.1408993125233735E-3</v>
      </c>
      <c r="AF14" s="8">
        <f t="shared" si="5"/>
        <v>2.9261331132388282E-2</v>
      </c>
      <c r="AG14" s="8">
        <f t="shared" si="6"/>
        <v>-0.16536166854137502</v>
      </c>
      <c r="AH14" s="8">
        <f t="shared" si="7"/>
        <v>0</v>
      </c>
      <c r="AI14" s="22">
        <f t="shared" si="8"/>
        <v>0.13293785405559055</v>
      </c>
      <c r="AJ14" s="22">
        <f t="shared" si="9"/>
        <v>2.9126241425756101E-2</v>
      </c>
      <c r="AK14" s="22">
        <f t="shared" si="10"/>
        <v>0.18508712398114135</v>
      </c>
      <c r="AL14" s="22">
        <f t="shared" si="11"/>
        <v>1</v>
      </c>
    </row>
    <row r="15" spans="1:46" x14ac:dyDescent="0.25">
      <c r="A15" s="10">
        <f>'Proximal Validation (double)'!A20</f>
        <v>0.9</v>
      </c>
      <c r="B15" s="11">
        <f>'Proximal Validation (double)'!B20</f>
        <v>0.2</v>
      </c>
      <c r="C15" s="10">
        <f>'Proximal Validation (double)'!C20</f>
        <v>2.3559999999999999</v>
      </c>
      <c r="D15" s="10">
        <f>'Proximal Validation (double)'!D20</f>
        <v>1.5707963267948966</v>
      </c>
      <c r="E15" s="11">
        <f>'Proximal Validation (double)'!E20</f>
        <v>0.3</v>
      </c>
      <c r="F15" s="11">
        <f>'Proximal Validation (double)'!F20</f>
        <v>0.06</v>
      </c>
      <c r="G15" s="10">
        <f>'Proximal Validation (double)'!G20</f>
        <v>3.1419999999999999</v>
      </c>
      <c r="H15" s="10">
        <f>'Proximal Validation (double)'!H20</f>
        <v>1.5707963267948966</v>
      </c>
      <c r="I15" s="10">
        <f>'Proximal Validation (double)'!I20</f>
        <v>1.2</v>
      </c>
      <c r="J15" s="10">
        <f>'Proximal Validation (double)'!J20</f>
        <v>0</v>
      </c>
      <c r="K15" s="10">
        <f>'Proximal Validation (double)'!K20</f>
        <v>0</v>
      </c>
      <c r="L15" s="8">
        <f>'Proximal Validation (double)'!L20</f>
        <v>3.2496866770088699E-3</v>
      </c>
      <c r="M15" s="8">
        <f>'Proximal Validation (double)'!M20</f>
        <v>-0.114310443401337</v>
      </c>
      <c r="N15" s="8">
        <f>'Proximal Validation (double)'!N20</f>
        <v>-0.158231571316719</v>
      </c>
      <c r="O15" s="8">
        <f>'Proximal Validation (double)'!O20</f>
        <v>-0.49384498596191401</v>
      </c>
      <c r="P15" s="8">
        <f>'Proximal Validation (double)'!P20</f>
        <v>-0.55208766460418701</v>
      </c>
      <c r="Q15" s="8">
        <f>'Proximal Validation (double)'!Q20</f>
        <v>0.26307040452957198</v>
      </c>
      <c r="R15" s="8">
        <v>0.8205033847936809</v>
      </c>
      <c r="S15" s="8">
        <v>0.19116463834658448</v>
      </c>
      <c r="T15" s="8">
        <v>2.4039775799590464</v>
      </c>
      <c r="U15" s="8">
        <v>1.5707963267948966</v>
      </c>
      <c r="V15" s="8">
        <v>0.1750292325688986</v>
      </c>
      <c r="W15" s="8">
        <v>4.5763709239377295E-2</v>
      </c>
      <c r="X15" s="8">
        <v>4.3213097595814487</v>
      </c>
      <c r="Y15" s="8">
        <v>1.5707963267948966</v>
      </c>
      <c r="Z15" s="28">
        <v>5.9261602344648423E-5</v>
      </c>
      <c r="AA15" s="8">
        <f t="shared" si="0"/>
        <v>-7.9496615206319121E-2</v>
      </c>
      <c r="AB15" s="8">
        <f t="shared" si="1"/>
        <v>-8.8353616534155299E-3</v>
      </c>
      <c r="AC15" s="8">
        <f t="shared" si="2"/>
        <v>4.7977579959046501E-2</v>
      </c>
      <c r="AD15" s="8">
        <f t="shared" si="3"/>
        <v>0</v>
      </c>
      <c r="AE15" s="8">
        <f t="shared" si="4"/>
        <v>-0.12497076743110139</v>
      </c>
      <c r="AF15" s="8">
        <f t="shared" si="5"/>
        <v>-1.4236290760622702E-2</v>
      </c>
      <c r="AG15" s="8">
        <f t="shared" si="6"/>
        <v>1.1793097595814488</v>
      </c>
      <c r="AH15" s="8">
        <f t="shared" si="7"/>
        <v>0</v>
      </c>
      <c r="AI15" s="22">
        <f t="shared" si="8"/>
        <v>0.10223369131871025</v>
      </c>
      <c r="AJ15" s="22">
        <f t="shared" si="9"/>
        <v>1.1535826207019116E-2</v>
      </c>
      <c r="AK15" s="22">
        <f t="shared" si="10"/>
        <v>0.61364366977024765</v>
      </c>
      <c r="AL15" s="22">
        <f t="shared" si="11"/>
        <v>0.3</v>
      </c>
    </row>
    <row r="16" spans="1:46" x14ac:dyDescent="0.25">
      <c r="A16" s="10">
        <f>'Proximal Validation (double)'!A35</f>
        <v>0.9</v>
      </c>
      <c r="B16" s="11">
        <f>'Proximal Validation (double)'!B35</f>
        <v>0.12</v>
      </c>
      <c r="C16" s="10">
        <f>'Proximal Validation (double)'!C35</f>
        <v>4.7119999999999997</v>
      </c>
      <c r="D16" s="10">
        <f>'Proximal Validation (double)'!D35</f>
        <v>1.5707963267948966</v>
      </c>
      <c r="E16" s="11">
        <f>'Proximal Validation (double)'!E35</f>
        <v>0.9</v>
      </c>
      <c r="F16" s="11">
        <f>'Proximal Validation (double)'!F35</f>
        <v>0.02</v>
      </c>
      <c r="G16" s="10">
        <f>'Proximal Validation (double)'!G35</f>
        <v>3.1419999999999999</v>
      </c>
      <c r="H16" s="10">
        <f>'Proximal Validation (double)'!H35</f>
        <v>1.5707963267948966</v>
      </c>
      <c r="I16" s="10">
        <f>'Proximal Validation (double)'!I35</f>
        <v>0</v>
      </c>
      <c r="J16" s="10">
        <f>'Proximal Validation (double)'!J35</f>
        <v>0</v>
      </c>
      <c r="K16" s="10">
        <f>'Proximal Validation (double)'!K35</f>
        <v>0</v>
      </c>
      <c r="L16" s="8">
        <f>'Proximal Validation (double)'!L35</f>
        <v>-7.8027322888374296E-4</v>
      </c>
      <c r="M16" s="8">
        <f>'Proximal Validation (double)'!M35</f>
        <v>0.20929773151874501</v>
      </c>
      <c r="N16" s="8">
        <f>'Proximal Validation (double)'!N35</f>
        <v>-9.5626659691333799E-2</v>
      </c>
      <c r="O16" s="8">
        <f>'Proximal Validation (double)'!O35</f>
        <v>-0.33798754215240501</v>
      </c>
      <c r="P16" s="8">
        <f>'Proximal Validation (double)'!P35</f>
        <v>-0.8543701171875</v>
      </c>
      <c r="Q16" s="8">
        <f>'Proximal Validation (double)'!Q35</f>
        <v>-0.97470813989639304</v>
      </c>
      <c r="R16" s="8">
        <v>0.78927880198832046</v>
      </c>
      <c r="S16" s="8">
        <v>0.14691501282030409</v>
      </c>
      <c r="T16" s="8">
        <v>4.6946445285848926</v>
      </c>
      <c r="U16" s="8">
        <v>1.5707963267948966</v>
      </c>
      <c r="V16" s="8">
        <v>0.87998905710815356</v>
      </c>
      <c r="W16" s="8">
        <v>2.0000000270333877E-2</v>
      </c>
      <c r="X16" s="8">
        <v>3.4291089528944503</v>
      </c>
      <c r="Y16" s="8">
        <v>1.5707963267948966</v>
      </c>
      <c r="Z16" s="28">
        <v>7.2325827227707083E-6</v>
      </c>
      <c r="AA16" s="8">
        <f t="shared" si="0"/>
        <v>-0.11072119801167957</v>
      </c>
      <c r="AB16" s="8">
        <f t="shared" si="1"/>
        <v>2.6915012820304091E-2</v>
      </c>
      <c r="AC16" s="8">
        <f t="shared" si="2"/>
        <v>-1.7355471415107182E-2</v>
      </c>
      <c r="AD16" s="8">
        <f t="shared" si="3"/>
        <v>0</v>
      </c>
      <c r="AE16" s="8">
        <f t="shared" si="4"/>
        <v>-2.0010942891846462E-2</v>
      </c>
      <c r="AF16" s="8">
        <f t="shared" si="5"/>
        <v>2.7033387681174581E-10</v>
      </c>
      <c r="AG16" s="8">
        <f t="shared" si="6"/>
        <v>0.28710895289445038</v>
      </c>
      <c r="AH16" s="8">
        <f t="shared" si="7"/>
        <v>0</v>
      </c>
      <c r="AI16" s="22">
        <f t="shared" si="8"/>
        <v>6.5366070451763014E-2</v>
      </c>
      <c r="AJ16" s="22">
        <f t="shared" si="9"/>
        <v>1.3457506545318984E-2</v>
      </c>
      <c r="AK16" s="22">
        <f t="shared" si="10"/>
        <v>0.15223221215477878</v>
      </c>
      <c r="AL16" s="22">
        <f t="shared" si="11"/>
        <v>0.9</v>
      </c>
    </row>
    <row r="17" spans="1:38" x14ac:dyDescent="0.25">
      <c r="A17" s="10">
        <f>'Proximal Validation (double)'!A41</f>
        <v>1</v>
      </c>
      <c r="B17" s="11">
        <f>'Proximal Validation (double)'!B41</f>
        <v>0.2</v>
      </c>
      <c r="C17" s="10">
        <f>'Proximal Validation (double)'!C41</f>
        <v>4.7119999999999997</v>
      </c>
      <c r="D17" s="10">
        <f>'Proximal Validation (double)'!D41</f>
        <v>1.5707963267948966</v>
      </c>
      <c r="E17" s="11">
        <f>'Proximal Validation (double)'!E41</f>
        <v>0.8</v>
      </c>
      <c r="F17" s="11">
        <f>'Proximal Validation (double)'!F41</f>
        <v>0.02</v>
      </c>
      <c r="G17" s="10">
        <f>'Proximal Validation (double)'!G41</f>
        <v>3.1419999999999999</v>
      </c>
      <c r="H17" s="10">
        <f>'Proximal Validation (double)'!H41</f>
        <v>1.5707963267948966</v>
      </c>
      <c r="I17" s="10">
        <f>'Proximal Validation (double)'!I41</f>
        <v>1.4</v>
      </c>
      <c r="J17" s="10">
        <f>'Proximal Validation (double)'!J41</f>
        <v>0</v>
      </c>
      <c r="K17" s="10">
        <f>'Proximal Validation (double)'!K41</f>
        <v>0</v>
      </c>
      <c r="L17" s="8">
        <f>'Proximal Validation (double)'!L41</f>
        <v>-1.2570786289870701E-2</v>
      </c>
      <c r="M17" s="8">
        <f>'Proximal Validation (double)'!M41</f>
        <v>0.239984765648842</v>
      </c>
      <c r="N17" s="8">
        <f>'Proximal Validation (double)'!N41</f>
        <v>-9.4180338084697696E-2</v>
      </c>
      <c r="O17" s="8">
        <f>'Proximal Validation (double)'!O41</f>
        <v>-0.68777251243591297</v>
      </c>
      <c r="P17" s="8">
        <f>'Proximal Validation (double)'!P41</f>
        <v>-0.81574249267578103</v>
      </c>
      <c r="Q17" s="8">
        <f>'Proximal Validation (double)'!Q41</f>
        <v>-0.66350710391998302</v>
      </c>
      <c r="R17" s="8">
        <v>0.96188983517955307</v>
      </c>
      <c r="S17" s="8">
        <v>0.19999834544835707</v>
      </c>
      <c r="T17" s="8">
        <v>4.8131944682229122</v>
      </c>
      <c r="U17" s="8">
        <v>1.5707963267948966</v>
      </c>
      <c r="V17" s="8">
        <v>0.88410801453069909</v>
      </c>
      <c r="W17" s="8">
        <v>4.6815505691112869E-2</v>
      </c>
      <c r="X17" s="8">
        <v>3.1452615959535462</v>
      </c>
      <c r="Y17" s="8">
        <v>1.5707963267948966</v>
      </c>
      <c r="Z17" s="28">
        <v>2.6586356638821772E-5</v>
      </c>
      <c r="AA17" s="8">
        <f t="shared" si="0"/>
        <v>-3.8110164820446935E-2</v>
      </c>
      <c r="AB17" s="8">
        <f t="shared" si="1"/>
        <v>-1.6545516429433693E-6</v>
      </c>
      <c r="AC17" s="8">
        <f t="shared" si="2"/>
        <v>0.10119446822291245</v>
      </c>
      <c r="AD17" s="8">
        <f t="shared" si="3"/>
        <v>0</v>
      </c>
      <c r="AE17" s="8">
        <f t="shared" si="4"/>
        <v>8.4108014530699049E-2</v>
      </c>
      <c r="AF17" s="8">
        <f t="shared" si="5"/>
        <v>2.6815505691112868E-2</v>
      </c>
      <c r="AG17" s="8">
        <f t="shared" si="6"/>
        <v>3.261595953546248E-3</v>
      </c>
      <c r="AH17" s="8">
        <f t="shared" si="7"/>
        <v>0</v>
      </c>
      <c r="AI17" s="22">
        <f t="shared" si="8"/>
        <v>6.1109089675572992E-2</v>
      </c>
      <c r="AJ17" s="22">
        <f t="shared" si="9"/>
        <v>1.3408580121377906E-2</v>
      </c>
      <c r="AK17" s="22">
        <f t="shared" si="10"/>
        <v>5.2228032088229348E-2</v>
      </c>
      <c r="AL17" s="22">
        <f t="shared" si="11"/>
        <v>0.8</v>
      </c>
    </row>
    <row r="18" spans="1:38" x14ac:dyDescent="0.25">
      <c r="A18" s="10">
        <f>'Proximal Validation (double)'!A17</f>
        <v>1</v>
      </c>
      <c r="B18" s="11">
        <f>'Proximal Validation (double)'!B17</f>
        <v>0.14000000000000001</v>
      </c>
      <c r="C18" s="10">
        <f>'Proximal Validation (double)'!C17</f>
        <v>2.3559999999999999</v>
      </c>
      <c r="D18" s="10">
        <f>'Proximal Validation (double)'!D17</f>
        <v>1.5707963267948966</v>
      </c>
      <c r="E18" s="11">
        <f>'Proximal Validation (double)'!E17</f>
        <v>0.4</v>
      </c>
      <c r="F18" s="11">
        <f>'Proximal Validation (double)'!F17</f>
        <v>0.04</v>
      </c>
      <c r="G18" s="10">
        <f>'Proximal Validation (double)'!G17</f>
        <v>3.927</v>
      </c>
      <c r="H18" s="10">
        <f>'Proximal Validation (double)'!H17</f>
        <v>1.5707963267948966</v>
      </c>
      <c r="I18" s="10">
        <f>'Proximal Validation (double)'!I17</f>
        <v>0.6</v>
      </c>
      <c r="J18" s="10">
        <f>'Proximal Validation (double)'!J17</f>
        <v>0</v>
      </c>
      <c r="K18" s="10">
        <f>'Proximal Validation (double)'!K17</f>
        <v>0</v>
      </c>
      <c r="L18" s="8">
        <f>'Proximal Validation (double)'!L17</f>
        <v>1.51338707655668E-3</v>
      </c>
      <c r="M18" s="8">
        <f>'Proximal Validation (double)'!M17</f>
        <v>-0.13520552217960399</v>
      </c>
      <c r="N18" s="8">
        <f>'Proximal Validation (double)'!N17</f>
        <v>-0.2040024548769</v>
      </c>
      <c r="O18" s="8">
        <f>'Proximal Validation (double)'!O17</f>
        <v>-0.46525964140892001</v>
      </c>
      <c r="P18" s="8">
        <f>'Proximal Validation (double)'!P17</f>
        <v>-0.93685162067413297</v>
      </c>
      <c r="Q18" s="8">
        <f>'Proximal Validation (double)'!Q17</f>
        <v>0.42077422142028797</v>
      </c>
      <c r="R18" s="8">
        <v>0.95187651583008426</v>
      </c>
      <c r="S18" s="8">
        <v>0.15066597124598152</v>
      </c>
      <c r="T18" s="8">
        <v>2.4241415121165182</v>
      </c>
      <c r="U18" s="8">
        <v>1.5707963267948966</v>
      </c>
      <c r="V18" s="8">
        <v>0.32906562819509599</v>
      </c>
      <c r="W18" s="8">
        <v>2.0000212167279097E-2</v>
      </c>
      <c r="X18" s="8">
        <v>3.5356750549881157</v>
      </c>
      <c r="Y18" s="8">
        <v>1.5707963267948966</v>
      </c>
      <c r="Z18" s="28">
        <v>1.2830068999079429E-4</v>
      </c>
      <c r="AA18" s="8">
        <f t="shared" si="0"/>
        <v>-4.8123484169915742E-2</v>
      </c>
      <c r="AB18" s="8">
        <f t="shared" si="1"/>
        <v>1.0665971245981509E-2</v>
      </c>
      <c r="AC18" s="8">
        <f t="shared" si="2"/>
        <v>6.814151211651831E-2</v>
      </c>
      <c r="AD18" s="8">
        <f t="shared" si="3"/>
        <v>0</v>
      </c>
      <c r="AE18" s="8">
        <f t="shared" si="4"/>
        <v>-7.0934371804904028E-2</v>
      </c>
      <c r="AF18" s="8">
        <f t="shared" si="5"/>
        <v>-1.9999787832720904E-2</v>
      </c>
      <c r="AG18" s="8">
        <f t="shared" si="6"/>
        <v>-0.39132494501188431</v>
      </c>
      <c r="AH18" s="8">
        <f t="shared" si="7"/>
        <v>0</v>
      </c>
      <c r="AI18" s="22">
        <f t="shared" si="8"/>
        <v>5.9528927987409885E-2</v>
      </c>
      <c r="AJ18" s="22">
        <f t="shared" si="9"/>
        <v>1.5332879539351207E-2</v>
      </c>
      <c r="AK18" s="22">
        <f t="shared" si="10"/>
        <v>0.22973322856420131</v>
      </c>
      <c r="AL18" s="22">
        <f t="shared" si="11"/>
        <v>0.4</v>
      </c>
    </row>
    <row r="19" spans="1:38" x14ac:dyDescent="0.25">
      <c r="A19" s="10">
        <f>'Proximal Validation (double)'!A32</f>
        <v>0.3</v>
      </c>
      <c r="B19" s="11">
        <f>'Proximal Validation (double)'!B32</f>
        <v>0.1</v>
      </c>
      <c r="C19" s="10">
        <f>'Proximal Validation (double)'!C32</f>
        <v>4.7119999999999997</v>
      </c>
      <c r="D19" s="10">
        <f>'Proximal Validation (double)'!D32</f>
        <v>1.5707963267948966</v>
      </c>
      <c r="E19" s="11">
        <f>'Proximal Validation (double)'!E32</f>
        <v>0.8</v>
      </c>
      <c r="F19" s="11">
        <f>'Proximal Validation (double)'!F32</f>
        <v>0.04</v>
      </c>
      <c r="G19" s="10">
        <f>'Proximal Validation (double)'!G32</f>
        <v>3.927</v>
      </c>
      <c r="H19" s="10">
        <f>'Proximal Validation (double)'!H32</f>
        <v>1.5707963267948966</v>
      </c>
      <c r="I19" s="10">
        <f>'Proximal Validation (double)'!I32</f>
        <v>0.4</v>
      </c>
      <c r="J19" s="10">
        <f>'Proximal Validation (double)'!J32</f>
        <v>0</v>
      </c>
      <c r="K19" s="10">
        <f>'Proximal Validation (double)'!K32</f>
        <v>0</v>
      </c>
      <c r="L19" s="8">
        <f>'Proximal Validation (double)'!L32</f>
        <v>-1.44378747791052E-4</v>
      </c>
      <c r="M19" s="8">
        <f>'Proximal Validation (double)'!M32</f>
        <v>0.122855387628078</v>
      </c>
      <c r="N19" s="8">
        <f>'Proximal Validation (double)'!N32</f>
        <v>-6.9621779024600997E-2</v>
      </c>
      <c r="O19" s="8">
        <f>'Proximal Validation (double)'!O32</f>
        <v>-7.5552083551883698E-2</v>
      </c>
      <c r="P19" s="8">
        <f>'Proximal Validation (double)'!P32</f>
        <v>-0.53028601408004805</v>
      </c>
      <c r="Q19" s="8">
        <f>'Proximal Validation (double)'!Q32</f>
        <v>-0.79531830549240101</v>
      </c>
      <c r="R19" s="8">
        <v>0.28359370595899541</v>
      </c>
      <c r="S19" s="8">
        <v>0.10950987896254398</v>
      </c>
      <c r="T19" s="8">
        <v>4.7610949716749067</v>
      </c>
      <c r="U19" s="8">
        <v>1.5707963267948966</v>
      </c>
      <c r="V19" s="8">
        <v>0.7495343837156061</v>
      </c>
      <c r="W19" s="8">
        <v>4.5343843929134785E-2</v>
      </c>
      <c r="X19" s="8">
        <v>3.8986305419233918</v>
      </c>
      <c r="Y19" s="8">
        <v>1.5707963267948966</v>
      </c>
      <c r="Z19" s="28">
        <v>1.1491936198528037E-5</v>
      </c>
      <c r="AA19" s="8">
        <f t="shared" si="0"/>
        <v>-1.6406294041004577E-2</v>
      </c>
      <c r="AB19" s="8">
        <f t="shared" si="1"/>
        <v>9.5098789625439745E-3</v>
      </c>
      <c r="AC19" s="8">
        <f t="shared" si="2"/>
        <v>4.9094971674906951E-2</v>
      </c>
      <c r="AD19" s="8">
        <f t="shared" si="3"/>
        <v>0</v>
      </c>
      <c r="AE19" s="8">
        <f t="shared" si="4"/>
        <v>-5.0465616284393944E-2</v>
      </c>
      <c r="AF19" s="8">
        <f t="shared" si="5"/>
        <v>5.3438439291347839E-3</v>
      </c>
      <c r="AG19" s="8">
        <f t="shared" si="6"/>
        <v>-2.8369458076608289E-2</v>
      </c>
      <c r="AH19" s="8">
        <f t="shared" si="7"/>
        <v>0</v>
      </c>
      <c r="AI19" s="22">
        <f t="shared" si="8"/>
        <v>3.343595516269926E-2</v>
      </c>
      <c r="AJ19" s="22">
        <f t="shared" si="9"/>
        <v>7.4268614458393792E-3</v>
      </c>
      <c r="AK19" s="22">
        <f t="shared" si="10"/>
        <v>3.873221487575762E-2</v>
      </c>
      <c r="AL19" s="22">
        <f t="shared" si="11"/>
        <v>0.3</v>
      </c>
    </row>
    <row r="20" spans="1:38" x14ac:dyDescent="0.25">
      <c r="A20" s="10">
        <f>'Proximal Validation (double)'!A12</f>
        <v>0.9</v>
      </c>
      <c r="B20" s="11">
        <f>'Proximal Validation (double)'!B12</f>
        <v>0.2</v>
      </c>
      <c r="C20" s="10">
        <f>'Proximal Validation (double)'!C12</f>
        <v>1.571</v>
      </c>
      <c r="D20" s="10">
        <f>'Proximal Validation (double)'!D12</f>
        <v>1.5707963267948966</v>
      </c>
      <c r="E20" s="11">
        <f>'Proximal Validation (double)'!E12</f>
        <v>1</v>
      </c>
      <c r="F20" s="11">
        <f>'Proximal Validation (double)'!F12</f>
        <v>0.02</v>
      </c>
      <c r="G20" s="10">
        <f>'Proximal Validation (double)'!G12</f>
        <v>3.1419999999999999</v>
      </c>
      <c r="H20" s="10">
        <f>'Proximal Validation (double)'!H12</f>
        <v>1.5707963267948966</v>
      </c>
      <c r="I20" s="10">
        <f>'Proximal Validation (double)'!I12</f>
        <v>0.4</v>
      </c>
      <c r="J20" s="10">
        <f>'Proximal Validation (double)'!J12</f>
        <v>0</v>
      </c>
      <c r="K20" s="10">
        <f>'Proximal Validation (double)'!K12</f>
        <v>0</v>
      </c>
      <c r="L20" s="8">
        <f>'Proximal Validation (double)'!L12</f>
        <v>-1.58930197358131E-4</v>
      </c>
      <c r="M20" s="8">
        <f>'Proximal Validation (double)'!M12</f>
        <v>-0.14518360793590501</v>
      </c>
      <c r="N20" s="8">
        <f>'Proximal Validation (double)'!N12</f>
        <v>-0.108183734118938</v>
      </c>
      <c r="O20" s="8">
        <f>'Proximal Validation (double)'!O12</f>
        <v>-0.55842369794845603</v>
      </c>
      <c r="P20" s="8">
        <f>'Proximal Validation (double)'!P12</f>
        <v>-0.97605288028716997</v>
      </c>
      <c r="Q20" s="8">
        <f>'Proximal Validation (double)'!Q12</f>
        <v>0.27430844306945801</v>
      </c>
      <c r="R20" s="8">
        <v>0.85420592321026434</v>
      </c>
      <c r="S20" s="8">
        <v>0.19581669350261977</v>
      </c>
      <c r="T20" s="8">
        <v>1.6301671035095886</v>
      </c>
      <c r="U20" s="8">
        <v>1.5707963267948966</v>
      </c>
      <c r="V20" s="8">
        <v>0.99982158910051033</v>
      </c>
      <c r="W20" s="8">
        <v>2.1487383236442687E-2</v>
      </c>
      <c r="X20" s="8">
        <v>3.4963870759961138</v>
      </c>
      <c r="Y20" s="8">
        <v>1.5707963267948966</v>
      </c>
      <c r="Z20" s="28">
        <v>9.6995279332365964E-4</v>
      </c>
      <c r="AA20" s="8">
        <f t="shared" si="0"/>
        <v>-4.5794076789735683E-2</v>
      </c>
      <c r="AB20" s="8">
        <f t="shared" si="1"/>
        <v>-4.1833064973802458E-3</v>
      </c>
      <c r="AC20" s="8">
        <f t="shared" si="2"/>
        <v>5.9167103509588648E-2</v>
      </c>
      <c r="AD20" s="8">
        <f t="shared" si="3"/>
        <v>0</v>
      </c>
      <c r="AE20" s="8">
        <f t="shared" si="4"/>
        <v>-1.7841089948966715E-4</v>
      </c>
      <c r="AF20" s="8">
        <f t="shared" si="5"/>
        <v>1.4873832364426867E-3</v>
      </c>
      <c r="AG20" s="8">
        <f t="shared" si="6"/>
        <v>0.35438707599611385</v>
      </c>
      <c r="AH20" s="8">
        <f t="shared" si="7"/>
        <v>0</v>
      </c>
      <c r="AI20" s="22">
        <f t="shared" si="8"/>
        <v>2.2986243844612675E-2</v>
      </c>
      <c r="AJ20" s="22">
        <f t="shared" si="9"/>
        <v>2.8353448669114663E-3</v>
      </c>
      <c r="AK20" s="22">
        <f t="shared" si="10"/>
        <v>0.20677708975285125</v>
      </c>
      <c r="AL20" s="22">
        <f t="shared" si="11"/>
        <v>0.9</v>
      </c>
    </row>
    <row r="21" spans="1:38" ht="15.75" x14ac:dyDescent="0.25">
      <c r="A21" s="12"/>
      <c r="B21" s="16"/>
      <c r="C21" s="17"/>
      <c r="D21" s="17"/>
      <c r="E21" s="16"/>
      <c r="F21" s="16"/>
      <c r="G21" s="17"/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7"/>
      <c r="S21" s="17"/>
      <c r="T21" s="17"/>
      <c r="U21" s="17"/>
      <c r="V21" s="17"/>
      <c r="W21" s="17"/>
      <c r="X21" s="19"/>
      <c r="Y21" s="19"/>
      <c r="Z21" s="19"/>
    </row>
    <row r="22" spans="1:38" ht="15.75" x14ac:dyDescent="0.25">
      <c r="A22" s="12"/>
      <c r="B22" s="16"/>
      <c r="C22" s="17"/>
      <c r="D22" s="17"/>
      <c r="E22" s="16"/>
      <c r="F22" s="16"/>
      <c r="G22" s="17"/>
      <c r="H22" s="17"/>
      <c r="I22" s="17"/>
      <c r="J22" s="17"/>
      <c r="K22" s="17"/>
      <c r="L22" s="18"/>
      <c r="M22" s="18"/>
      <c r="N22" s="18"/>
      <c r="O22" s="18"/>
      <c r="P22" s="18"/>
      <c r="Q22" s="18"/>
      <c r="R22" s="17"/>
      <c r="S22" s="17"/>
      <c r="T22" s="17"/>
      <c r="U22" s="17"/>
      <c r="V22" s="17"/>
      <c r="W22" s="17"/>
      <c r="X22" s="19"/>
      <c r="Y22" s="19"/>
      <c r="Z22" s="19"/>
    </row>
    <row r="23" spans="1:38" ht="15.75" x14ac:dyDescent="0.25">
      <c r="A23" s="12"/>
      <c r="B23" s="16"/>
      <c r="C23" s="17"/>
      <c r="D23" s="17"/>
      <c r="E23" s="16"/>
      <c r="F23" s="16"/>
      <c r="G23" s="17"/>
      <c r="H23" s="17"/>
      <c r="I23" s="17"/>
      <c r="J23" s="17"/>
      <c r="K23" s="17"/>
      <c r="L23" s="18"/>
      <c r="M23" s="18"/>
      <c r="N23" s="18"/>
      <c r="O23" s="18"/>
      <c r="P23" s="18"/>
      <c r="Q23" s="18"/>
      <c r="R23" s="17"/>
      <c r="S23" s="17"/>
      <c r="T23" s="17"/>
      <c r="U23" s="17"/>
      <c r="V23" s="17"/>
      <c r="W23" s="17"/>
      <c r="X23" s="19"/>
      <c r="Y23" s="19"/>
      <c r="Z23" s="19"/>
    </row>
    <row r="24" spans="1:38" ht="15.75" x14ac:dyDescent="0.25">
      <c r="A24" s="12"/>
      <c r="B24" s="16"/>
      <c r="C24" s="17"/>
      <c r="D24" s="17"/>
      <c r="E24" s="16"/>
      <c r="F24" s="16"/>
      <c r="G24" s="17"/>
      <c r="H24" s="17"/>
      <c r="I24" s="17"/>
      <c r="J24" s="17"/>
      <c r="K24" s="17"/>
      <c r="L24" s="18"/>
      <c r="M24" s="18"/>
      <c r="N24" s="18"/>
      <c r="O24" s="18"/>
      <c r="P24" s="18"/>
      <c r="Q24" s="18"/>
      <c r="R24" s="17"/>
      <c r="S24" s="17"/>
      <c r="T24" s="17"/>
      <c r="U24" s="17"/>
      <c r="V24" s="17"/>
      <c r="W24" s="17"/>
      <c r="X24" s="19"/>
      <c r="Y24" s="19"/>
      <c r="Z24" s="19"/>
    </row>
    <row r="25" spans="1:38" ht="15.75" x14ac:dyDescent="0.25">
      <c r="A25" s="12"/>
      <c r="B25" s="16"/>
      <c r="C25" s="17"/>
      <c r="D25" s="17"/>
      <c r="E25" s="16"/>
      <c r="F25" s="16"/>
      <c r="G25" s="17"/>
      <c r="H25" s="17"/>
      <c r="I25" s="17"/>
      <c r="J25" s="17"/>
      <c r="K25" s="17"/>
      <c r="L25" s="18"/>
      <c r="M25" s="18"/>
      <c r="N25" s="18"/>
      <c r="O25" s="18"/>
      <c r="P25" s="18"/>
      <c r="Q25" s="18"/>
      <c r="R25" s="17"/>
      <c r="S25" s="17"/>
      <c r="T25" s="17"/>
      <c r="U25" s="17"/>
      <c r="V25" s="17"/>
      <c r="W25" s="17"/>
      <c r="X25" s="19"/>
      <c r="Y25" s="19"/>
      <c r="Z25" s="19"/>
    </row>
    <row r="26" spans="1:38" ht="15.75" x14ac:dyDescent="0.25">
      <c r="A26" s="12"/>
      <c r="B26" s="16"/>
      <c r="C26" s="17"/>
      <c r="D26" s="17"/>
      <c r="E26" s="16"/>
      <c r="F26" s="16"/>
      <c r="G26" s="17"/>
      <c r="H26" s="17"/>
      <c r="I26" s="17"/>
      <c r="J26" s="17"/>
      <c r="K26" s="17"/>
      <c r="L26" s="18"/>
      <c r="M26" s="18"/>
      <c r="N26" s="18"/>
      <c r="O26" s="18"/>
      <c r="P26" s="18"/>
      <c r="Q26" s="18"/>
      <c r="R26" s="17"/>
      <c r="S26" s="17"/>
      <c r="T26" s="17"/>
      <c r="U26" s="17"/>
      <c r="V26" s="17"/>
      <c r="W26" s="17"/>
      <c r="X26" s="19"/>
      <c r="Y26" s="19"/>
      <c r="Z26" s="19"/>
    </row>
    <row r="27" spans="1:38" ht="15.75" x14ac:dyDescent="0.25">
      <c r="A27" s="12"/>
      <c r="B27" s="16"/>
      <c r="C27" s="17"/>
      <c r="D27" s="17"/>
      <c r="E27" s="16"/>
      <c r="F27" s="16"/>
      <c r="G27" s="17"/>
      <c r="H27" s="17"/>
      <c r="I27" s="17"/>
      <c r="J27" s="17"/>
      <c r="K27" s="17"/>
      <c r="L27" s="18"/>
      <c r="M27" s="18"/>
      <c r="N27" s="18"/>
      <c r="O27" s="18"/>
      <c r="P27" s="18"/>
      <c r="Q27" s="18"/>
      <c r="R27" s="17"/>
      <c r="S27" s="17"/>
      <c r="T27" s="17"/>
      <c r="U27" s="17"/>
      <c r="V27" s="17"/>
      <c r="W27" s="17"/>
      <c r="X27" s="19"/>
      <c r="Y27" s="19"/>
      <c r="Z27" s="19"/>
    </row>
    <row r="28" spans="1:38" ht="15.75" x14ac:dyDescent="0.25">
      <c r="A28" s="12"/>
      <c r="B28" s="16"/>
      <c r="C28" s="17"/>
      <c r="D28" s="17"/>
      <c r="E28" s="16"/>
      <c r="F28" s="16"/>
      <c r="G28" s="17"/>
      <c r="H28" s="17"/>
      <c r="I28" s="17"/>
      <c r="J28" s="17"/>
      <c r="K28" s="17"/>
      <c r="L28" s="18"/>
      <c r="M28" s="18"/>
      <c r="N28" s="18"/>
      <c r="O28" s="18"/>
      <c r="P28" s="18"/>
      <c r="Q28" s="18"/>
      <c r="R28" s="17"/>
      <c r="S28" s="17"/>
      <c r="T28" s="17"/>
      <c r="U28" s="17"/>
      <c r="V28" s="17"/>
      <c r="W28" s="17"/>
      <c r="X28" s="19"/>
      <c r="Y28" s="19"/>
      <c r="Z28" s="19"/>
    </row>
    <row r="29" spans="1:38" ht="15.75" x14ac:dyDescent="0.25">
      <c r="A29" s="12"/>
      <c r="B29" s="16"/>
      <c r="C29" s="17"/>
      <c r="D29" s="17"/>
      <c r="E29" s="16"/>
      <c r="F29" s="16"/>
      <c r="G29" s="17"/>
      <c r="H29" s="17"/>
      <c r="I29" s="17"/>
      <c r="J29" s="17"/>
      <c r="K29" s="17"/>
      <c r="L29" s="18"/>
      <c r="M29" s="18"/>
      <c r="N29" s="18"/>
      <c r="O29" s="18"/>
      <c r="P29" s="18"/>
      <c r="Q29" s="18"/>
      <c r="R29" s="17"/>
      <c r="S29" s="17"/>
      <c r="T29" s="17"/>
      <c r="U29" s="17"/>
      <c r="V29" s="17"/>
      <c r="W29" s="17"/>
      <c r="X29" s="19"/>
      <c r="Y29" s="19"/>
      <c r="Z29" s="19"/>
    </row>
    <row r="30" spans="1:38" ht="15.75" x14ac:dyDescent="0.25">
      <c r="A30" s="12"/>
      <c r="B30" s="16"/>
      <c r="C30" s="17"/>
      <c r="D30" s="17"/>
      <c r="E30" s="16"/>
      <c r="F30" s="16"/>
      <c r="G30" s="17"/>
      <c r="H30" s="17"/>
      <c r="I30" s="17"/>
      <c r="J30" s="17"/>
      <c r="K30" s="17"/>
      <c r="L30" s="18"/>
      <c r="M30" s="18"/>
      <c r="N30" s="18"/>
      <c r="O30" s="18"/>
      <c r="P30" s="18"/>
      <c r="Q30" s="18"/>
      <c r="R30" s="17"/>
      <c r="S30" s="17"/>
      <c r="T30" s="17"/>
      <c r="U30" s="17"/>
      <c r="V30" s="17"/>
      <c r="W30" s="17"/>
      <c r="X30" s="19"/>
      <c r="Y30" s="19"/>
      <c r="Z30" s="19"/>
    </row>
  </sheetData>
  <sortState xmlns:xlrd2="http://schemas.microsoft.com/office/spreadsheetml/2017/richdata2" ref="A3:AL20">
    <sortCondition descending="1" ref="AI3:AI20"/>
  </sortState>
  <mergeCells count="5">
    <mergeCell ref="A1:K1"/>
    <mergeCell ref="L1:Q1"/>
    <mergeCell ref="AA1:AH1"/>
    <mergeCell ref="AI1:AT1"/>
    <mergeCell ref="AM2:AT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6F9D-8378-443F-B643-D65D02D9441B}">
  <dimension ref="A1:AT49"/>
  <sheetViews>
    <sheetView tabSelected="1" topLeftCell="K1" workbookViewId="0">
      <pane ySplit="2" topLeftCell="A3" activePane="bottomLeft" state="frozen"/>
      <selection activeCell="K1" sqref="K1"/>
      <selection pane="bottomLeft" activeCell="Z26" sqref="Z26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bestFit="1" customWidth="1"/>
    <col min="27" max="27" width="11" bestFit="1" customWidth="1"/>
    <col min="28" max="28" width="13.85546875" bestFit="1" customWidth="1"/>
    <col min="29" max="29" width="11.140625" bestFit="1" customWidth="1"/>
    <col min="35" max="35" width="15.140625" customWidth="1"/>
    <col min="36" max="36" width="15.28515625" customWidth="1"/>
    <col min="37" max="38" width="16.28515625" customWidth="1"/>
    <col min="39" max="39" width="11" bestFit="1" customWidth="1"/>
    <col min="40" max="40" width="13.85546875" bestFit="1" customWidth="1"/>
    <col min="41" max="41" width="11.140625" bestFit="1" customWidth="1"/>
  </cols>
  <sheetData>
    <row r="1" spans="1:46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2" t="s">
        <v>13</v>
      </c>
      <c r="AB1" s="42"/>
      <c r="AC1" s="42"/>
      <c r="AD1" s="42"/>
      <c r="AE1" s="42"/>
      <c r="AF1" s="42"/>
      <c r="AG1" s="42"/>
      <c r="AH1" s="42"/>
      <c r="AI1" s="43" t="s">
        <v>36</v>
      </c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</row>
    <row r="2" spans="1:46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41" t="s">
        <v>31</v>
      </c>
      <c r="AN2" s="41"/>
      <c r="AO2" s="41"/>
      <c r="AP2" s="41"/>
      <c r="AQ2" s="41"/>
      <c r="AR2" s="41"/>
      <c r="AS2" s="41"/>
      <c r="AT2" s="41"/>
    </row>
    <row r="3" spans="1:46" s="5" customFormat="1" x14ac:dyDescent="0.25">
      <c r="A3" s="10">
        <f>'Proximal Validation (double)'!A11</f>
        <v>0.3</v>
      </c>
      <c r="B3" s="10">
        <f>'Proximal Validation (double)'!B11</f>
        <v>0.18</v>
      </c>
      <c r="C3" s="10">
        <f>'Proximal Validation (double)'!C11</f>
        <v>1.571</v>
      </c>
      <c r="D3" s="10">
        <f>'Proximal Validation (double)'!D11</f>
        <v>1.5707963267948966</v>
      </c>
      <c r="E3" s="10">
        <f>'Proximal Validation (double)'!E11</f>
        <v>0.9</v>
      </c>
      <c r="F3" s="10">
        <f>'Proximal Validation (double)'!F11</f>
        <v>0.08</v>
      </c>
      <c r="G3" s="10">
        <f>'Proximal Validation (double)'!G11</f>
        <v>4.7119999999999997</v>
      </c>
      <c r="H3" s="10">
        <f>'Proximal Validation (double)'!H11</f>
        <v>1.5707963267948966</v>
      </c>
      <c r="I3" s="10">
        <f>'Proximal Validation (double)'!I11</f>
        <v>1</v>
      </c>
      <c r="J3" s="10">
        <f>'Proximal Validation (double)'!J11</f>
        <v>0</v>
      </c>
      <c r="K3" s="10">
        <f>'Proximal Validation (double)'!K11</f>
        <v>0</v>
      </c>
      <c r="L3" s="8">
        <v>3.0450387857854401E-3</v>
      </c>
      <c r="M3" s="8">
        <v>4.7261625528335599E-2</v>
      </c>
      <c r="N3" s="8">
        <v>-7.4511659331619696E-3</v>
      </c>
      <c r="O3" s="8">
        <v>0.12820805609226199</v>
      </c>
      <c r="P3" s="8">
        <v>-3.91638092696667E-2</v>
      </c>
      <c r="Q3" s="8">
        <v>-0.45776021480560303</v>
      </c>
      <c r="R3" s="8">
        <v>0.20167540302036713</v>
      </c>
      <c r="S3" s="8">
        <v>0.16928927559616591</v>
      </c>
      <c r="T3" s="8">
        <v>1.7030059418653252</v>
      </c>
      <c r="U3" s="8">
        <v>1.5707963267948966</v>
      </c>
      <c r="V3" s="8">
        <v>0.59808471795401508</v>
      </c>
      <c r="W3" s="8">
        <v>5.0158686810179987E-2</v>
      </c>
      <c r="X3" s="8">
        <v>4.7070139413609313</v>
      </c>
      <c r="Y3" s="8">
        <v>1.5707963267948966</v>
      </c>
      <c r="Z3" s="28">
        <v>1.6429074091449402E-2</v>
      </c>
      <c r="AA3" s="8">
        <f t="shared" ref="AA3:AA20" si="0">R3-A3</f>
        <v>-9.8324596979632861E-2</v>
      </c>
      <c r="AB3" s="8">
        <f t="shared" ref="AB3:AB20" si="1">S3-B3</f>
        <v>-1.0710724403834082E-2</v>
      </c>
      <c r="AC3" s="8">
        <f t="shared" ref="AC3:AC20" si="2">T3-C3</f>
        <v>0.13200594186532522</v>
      </c>
      <c r="AD3" s="8">
        <f t="shared" ref="AD3:AD20" si="3">U3-D3</f>
        <v>0</v>
      </c>
      <c r="AE3" s="8">
        <f t="shared" ref="AE3:AE20" si="4">V3-E3</f>
        <v>-0.30191528204598495</v>
      </c>
      <c r="AF3" s="8">
        <f t="shared" ref="AF3:AF20" si="5">W3-F3</f>
        <v>-2.9841313189820015E-2</v>
      </c>
      <c r="AG3" s="8">
        <f t="shared" ref="AG3:AG20" si="6">X3-G3</f>
        <v>-4.9860586390684247E-3</v>
      </c>
      <c r="AH3" s="8">
        <f t="shared" ref="AH3:AH20" si="7">Y3-H3</f>
        <v>0</v>
      </c>
      <c r="AI3" s="22">
        <f t="shared" ref="AI3:AI20" si="8">AVERAGE(ABS(AA3),ABS(AE3))</f>
        <v>0.2001199395128089</v>
      </c>
      <c r="AJ3" s="22">
        <f t="shared" ref="AJ3:AJ20" si="9">AVERAGE(ABS(AB3),ABS(AF3))</f>
        <v>2.0276018796827049E-2</v>
      </c>
      <c r="AK3" s="22">
        <f t="shared" ref="AK3:AK20" si="10">AVERAGE(ABS(AC3),ABS(AG3))</f>
        <v>6.849600025219682E-2</v>
      </c>
      <c r="AL3" s="22">
        <f t="shared" ref="AL3:AL20" si="11">MIN(A3,E3)</f>
        <v>0.3</v>
      </c>
      <c r="AM3" s="21" cm="1">
        <f t="array" ref="AM3">AVERAGE(ABS(AA3:AA7))</f>
        <v>0.23323854006419831</v>
      </c>
      <c r="AN3" s="21" cm="1">
        <f t="array" ref="AN3">AVERAGE(ABS(AB3:AB7))</f>
        <v>3.3548445296533072E-2</v>
      </c>
      <c r="AO3" s="21" cm="1">
        <f t="array" ref="AO3">AVERAGE(ABS(AC3:AC7))</f>
        <v>0.30584414712147467</v>
      </c>
      <c r="AP3" s="21" cm="1">
        <f t="array" ref="AP3">AVERAGE(ABS(AD3:AD7))</f>
        <v>0</v>
      </c>
      <c r="AQ3" s="21" cm="1">
        <f t="array" ref="AQ3">AVERAGE(ABS(AE3:AE7))</f>
        <v>0.28984686655644154</v>
      </c>
      <c r="AR3" s="21" cm="1">
        <f t="array" ref="AR3">AVERAGE(ABS(AF3:AF7))</f>
        <v>1.4961019108108087E-2</v>
      </c>
      <c r="AS3" s="21" cm="1">
        <f t="array" ref="AS3">AVERAGE(ABS(AG3:AG7))</f>
        <v>0.28217382390947388</v>
      </c>
      <c r="AT3" s="21" cm="1">
        <f t="array" ref="AT3">AVERAGE(ABS(AH3:AH7))</f>
        <v>0</v>
      </c>
    </row>
    <row r="4" spans="1:46" x14ac:dyDescent="0.25">
      <c r="A4" s="10">
        <f>'Proximal Validation (double)'!A25</f>
        <v>0.6</v>
      </c>
      <c r="B4" s="10">
        <f>'Proximal Validation (double)'!B25</f>
        <v>0.12</v>
      </c>
      <c r="C4" s="10">
        <f>'Proximal Validation (double)'!C25</f>
        <v>3.927</v>
      </c>
      <c r="D4" s="10">
        <f>'Proximal Validation (double)'!D25</f>
        <v>1.5707963267948966</v>
      </c>
      <c r="E4" s="10">
        <f>'Proximal Validation (double)'!E25</f>
        <v>0.5</v>
      </c>
      <c r="F4" s="10">
        <f>'Proximal Validation (double)'!F25</f>
        <v>0.08</v>
      </c>
      <c r="G4" s="10">
        <f>'Proximal Validation (double)'!G25</f>
        <v>4.7119999999999997</v>
      </c>
      <c r="H4" s="10">
        <f>'Proximal Validation (double)'!H25</f>
        <v>1.5707963267948966</v>
      </c>
      <c r="I4" s="10">
        <f>'Proximal Validation (double)'!I25</f>
        <v>0.2</v>
      </c>
      <c r="J4" s="10">
        <f>'Proximal Validation (double)'!J25</f>
        <v>0</v>
      </c>
      <c r="K4" s="10">
        <f>'Proximal Validation (double)'!K25</f>
        <v>0</v>
      </c>
      <c r="L4" s="8">
        <v>-4.1553983464837101E-4</v>
      </c>
      <c r="M4" s="8">
        <v>0.16884440183639499</v>
      </c>
      <c r="N4" s="8">
        <v>-8.7348476052284199E-2</v>
      </c>
      <c r="O4" s="8">
        <v>-0.11381688714027401</v>
      </c>
      <c r="P4" s="8">
        <v>-0.40894815325737</v>
      </c>
      <c r="Q4" s="8">
        <v>-0.88041388988494895</v>
      </c>
      <c r="R4" s="8">
        <v>0.12297765931821406</v>
      </c>
      <c r="S4" s="8">
        <v>0.13581732719815723</v>
      </c>
      <c r="T4" s="8">
        <v>2.8696466520274573</v>
      </c>
      <c r="U4" s="8">
        <v>1.5707963267948966</v>
      </c>
      <c r="V4" s="8">
        <v>0.96754699865050486</v>
      </c>
      <c r="W4" s="8">
        <v>8.4995814798232788E-2</v>
      </c>
      <c r="X4" s="8">
        <v>4.4023506612332621</v>
      </c>
      <c r="Y4" s="8">
        <v>1.5707963267948966</v>
      </c>
      <c r="Z4" s="28">
        <v>3.7036029382399798E-4</v>
      </c>
      <c r="AA4" s="8">
        <f t="shared" si="0"/>
        <v>-0.47702234068178595</v>
      </c>
      <c r="AB4" s="8">
        <f t="shared" si="1"/>
        <v>1.5817327198157233E-2</v>
      </c>
      <c r="AC4" s="8">
        <f t="shared" si="2"/>
        <v>-1.0573533479725428</v>
      </c>
      <c r="AD4" s="8">
        <f t="shared" si="3"/>
        <v>0</v>
      </c>
      <c r="AE4" s="8">
        <f t="shared" si="4"/>
        <v>0.46754699865050486</v>
      </c>
      <c r="AF4" s="8">
        <f t="shared" si="5"/>
        <v>4.9958147982327866E-3</v>
      </c>
      <c r="AG4" s="8">
        <f t="shared" si="6"/>
        <v>-0.30964933876673761</v>
      </c>
      <c r="AH4" s="8">
        <f t="shared" si="7"/>
        <v>0</v>
      </c>
      <c r="AI4" s="23">
        <f t="shared" si="8"/>
        <v>0.47228466966614541</v>
      </c>
      <c r="AJ4" s="23">
        <f t="shared" si="9"/>
        <v>1.040657099819501E-2</v>
      </c>
      <c r="AK4" s="23">
        <f t="shared" si="10"/>
        <v>0.68350134336964019</v>
      </c>
      <c r="AL4" s="22">
        <f t="shared" si="11"/>
        <v>0.5</v>
      </c>
      <c r="AM4">
        <f>AVERAGE(AM3,AQ3)</f>
        <v>0.26154270331031992</v>
      </c>
      <c r="AN4">
        <f t="shared" ref="AN4:AO4" si="12">AVERAGE(AN3,AR3)</f>
        <v>2.4254732202320578E-2</v>
      </c>
      <c r="AO4">
        <f t="shared" si="12"/>
        <v>0.29400898551547427</v>
      </c>
    </row>
    <row r="5" spans="1:46" x14ac:dyDescent="0.25">
      <c r="A5" s="10">
        <f>'Proximal Validation (double)'!A18</f>
        <v>0.4</v>
      </c>
      <c r="B5" s="10">
        <f>'Proximal Validation (double)'!B18</f>
        <v>0.18</v>
      </c>
      <c r="C5" s="10">
        <f>'Proximal Validation (double)'!C18</f>
        <v>2.3559999999999999</v>
      </c>
      <c r="D5" s="10">
        <f>'Proximal Validation (double)'!D18</f>
        <v>1.5707963267948966</v>
      </c>
      <c r="E5" s="10">
        <f>'Proximal Validation (double)'!E18</f>
        <v>0.7</v>
      </c>
      <c r="F5" s="10">
        <f>'Proximal Validation (double)'!F18</f>
        <v>0.04</v>
      </c>
      <c r="G5" s="10">
        <f>'Proximal Validation (double)'!G18</f>
        <v>3.1419999999999999</v>
      </c>
      <c r="H5" s="10">
        <f>'Proximal Validation (double)'!H18</f>
        <v>1.5707963267948966</v>
      </c>
      <c r="I5" s="10">
        <f>'Proximal Validation (double)'!I18</f>
        <v>0</v>
      </c>
      <c r="J5" s="10">
        <f>'Proximal Validation (double)'!J18</f>
        <v>0</v>
      </c>
      <c r="K5" s="10">
        <f>'Proximal Validation (double)'!K18</f>
        <v>0</v>
      </c>
      <c r="L5" s="8">
        <v>-2.2775358520448199E-3</v>
      </c>
      <c r="M5" s="8">
        <v>-3.8456991314888E-2</v>
      </c>
      <c r="N5" s="8">
        <v>-0.144901618361473</v>
      </c>
      <c r="O5" s="8">
        <v>-8.7306760251522106E-2</v>
      </c>
      <c r="P5" s="8">
        <v>-0.88654637336731001</v>
      </c>
      <c r="Q5" s="8">
        <v>0.144578456878662</v>
      </c>
      <c r="R5" s="8">
        <v>0.43867200857662553</v>
      </c>
      <c r="S5" s="8">
        <v>0.11987302190084929</v>
      </c>
      <c r="T5" s="8">
        <v>2.5402829541737777</v>
      </c>
      <c r="U5" s="8">
        <v>1.5707963267948966</v>
      </c>
      <c r="V5" s="8">
        <v>0.53876821705655786</v>
      </c>
      <c r="W5" s="8">
        <v>4.1650347570149016E-2</v>
      </c>
      <c r="X5" s="8">
        <v>3.3309711322527487</v>
      </c>
      <c r="Y5" s="8">
        <v>1.5707963267948966</v>
      </c>
      <c r="Z5" s="28">
        <v>5.1999387215841818E-6</v>
      </c>
      <c r="AA5" s="8">
        <f t="shared" si="0"/>
        <v>3.8672008576625505E-2</v>
      </c>
      <c r="AB5" s="8">
        <f t="shared" si="1"/>
        <v>-6.0126978099150699E-2</v>
      </c>
      <c r="AC5" s="8">
        <f t="shared" si="2"/>
        <v>0.18428295417377782</v>
      </c>
      <c r="AD5" s="8">
        <f t="shared" si="3"/>
        <v>0</v>
      </c>
      <c r="AE5" s="8">
        <f t="shared" si="4"/>
        <v>-0.16123178294344209</v>
      </c>
      <c r="AF5" s="8">
        <f t="shared" si="5"/>
        <v>1.6503475701490147E-3</v>
      </c>
      <c r="AG5" s="8">
        <f t="shared" si="6"/>
        <v>0.18897113225274875</v>
      </c>
      <c r="AH5" s="8">
        <f t="shared" si="7"/>
        <v>0</v>
      </c>
      <c r="AI5" s="22">
        <f t="shared" si="8"/>
        <v>9.9951895760033799E-2</v>
      </c>
      <c r="AJ5" s="22">
        <f t="shared" si="9"/>
        <v>3.0888662834649857E-2</v>
      </c>
      <c r="AK5" s="22">
        <f t="shared" si="10"/>
        <v>0.18662704321326329</v>
      </c>
      <c r="AL5" s="22">
        <f t="shared" si="11"/>
        <v>0.4</v>
      </c>
      <c r="AM5" s="30"/>
      <c r="AN5" s="30"/>
      <c r="AO5" s="30"/>
    </row>
    <row r="6" spans="1:46" x14ac:dyDescent="0.25">
      <c r="A6" s="10">
        <f>'Proximal Validation (double)'!A15</f>
        <v>0.9</v>
      </c>
      <c r="B6" s="10">
        <f>'Proximal Validation (double)'!B15</f>
        <v>0.1</v>
      </c>
      <c r="C6" s="10">
        <f>'Proximal Validation (double)'!C15</f>
        <v>2.3559999999999999</v>
      </c>
      <c r="D6" s="10">
        <f>'Proximal Validation (double)'!D15</f>
        <v>1.5707963267948966</v>
      </c>
      <c r="E6" s="10">
        <f>'Proximal Validation (double)'!E15</f>
        <v>0.9</v>
      </c>
      <c r="F6" s="10">
        <f>'Proximal Validation (double)'!F15</f>
        <v>0.02</v>
      </c>
      <c r="G6" s="10">
        <f>'Proximal Validation (double)'!G15</f>
        <v>4.7119999999999997</v>
      </c>
      <c r="H6" s="10">
        <f>'Proximal Validation (double)'!H15</f>
        <v>1.5707963267948966</v>
      </c>
      <c r="I6" s="10">
        <f>'Proximal Validation (double)'!I15</f>
        <v>0.4</v>
      </c>
      <c r="J6" s="10">
        <f>'Proximal Validation (double)'!J15</f>
        <v>0</v>
      </c>
      <c r="K6" s="10">
        <f>'Proximal Validation (double)'!K15</f>
        <v>0</v>
      </c>
      <c r="L6" s="8">
        <v>2.2633918561041399E-3</v>
      </c>
      <c r="M6" s="8">
        <v>-1.6371939331293099E-2</v>
      </c>
      <c r="N6" s="8">
        <v>-0.13421113789081601</v>
      </c>
      <c r="O6" s="8">
        <v>-0.17685751616954801</v>
      </c>
      <c r="P6" s="8">
        <v>-0.66026920080184903</v>
      </c>
      <c r="Q6" s="8">
        <v>-0.28820723295211798</v>
      </c>
      <c r="R6" s="8">
        <v>0.49480086525156458</v>
      </c>
      <c r="S6" s="8">
        <v>0.18057463136867308</v>
      </c>
      <c r="T6" s="8">
        <v>2.4238576596833252</v>
      </c>
      <c r="U6" s="8">
        <v>1.5707963267948966</v>
      </c>
      <c r="V6" s="8">
        <v>0.66806140859514607</v>
      </c>
      <c r="W6" s="8">
        <v>2.7094024231456112E-2</v>
      </c>
      <c r="X6" s="8">
        <v>4.2238212020908916</v>
      </c>
      <c r="Y6" s="8">
        <v>1.5707963267948966</v>
      </c>
      <c r="Z6" s="28">
        <v>1.3204845010985672E-6</v>
      </c>
      <c r="AA6" s="8">
        <f t="shared" si="0"/>
        <v>-0.40519913474843544</v>
      </c>
      <c r="AB6" s="8">
        <f t="shared" si="1"/>
        <v>8.0574631368673072E-2</v>
      </c>
      <c r="AC6" s="8">
        <f t="shared" si="2"/>
        <v>6.7857659683325355E-2</v>
      </c>
      <c r="AD6" s="8">
        <f t="shared" si="3"/>
        <v>0</v>
      </c>
      <c r="AE6" s="8">
        <f t="shared" si="4"/>
        <v>-0.23193859140485396</v>
      </c>
      <c r="AF6" s="8">
        <f t="shared" si="5"/>
        <v>7.0940242314561121E-3</v>
      </c>
      <c r="AG6" s="8">
        <f t="shared" si="6"/>
        <v>-0.48817879790910812</v>
      </c>
      <c r="AH6" s="8">
        <f t="shared" si="7"/>
        <v>0</v>
      </c>
      <c r="AI6" s="22">
        <f t="shared" si="8"/>
        <v>0.31856886307664467</v>
      </c>
      <c r="AJ6" s="22">
        <f t="shared" si="9"/>
        <v>4.383432780006459E-2</v>
      </c>
      <c r="AK6" s="22">
        <f t="shared" si="10"/>
        <v>0.27801822879621674</v>
      </c>
      <c r="AL6" s="22">
        <f t="shared" si="11"/>
        <v>0.9</v>
      </c>
    </row>
    <row r="7" spans="1:46" x14ac:dyDescent="0.25">
      <c r="A7" s="10">
        <f>'Proximal Validation (double)'!A40</f>
        <v>0.8</v>
      </c>
      <c r="B7" s="10">
        <f>'Proximal Validation (double)'!B40</f>
        <v>0.18</v>
      </c>
      <c r="C7" s="10">
        <f>'Proximal Validation (double)'!C40</f>
        <v>4.7119999999999997</v>
      </c>
      <c r="D7" s="10">
        <f>'Proximal Validation (double)'!D40</f>
        <v>1.5707963267948966</v>
      </c>
      <c r="E7" s="10">
        <f>'Proximal Validation (double)'!E40</f>
        <v>0.6</v>
      </c>
      <c r="F7" s="10">
        <f>'Proximal Validation (double)'!F40</f>
        <v>0.06</v>
      </c>
      <c r="G7" s="10">
        <f>'Proximal Validation (double)'!G40</f>
        <v>4.7119999999999997</v>
      </c>
      <c r="H7" s="10">
        <f>'Proximal Validation (double)'!H40</f>
        <v>1.5707963267948966</v>
      </c>
      <c r="I7" s="10">
        <f>'Proximal Validation (double)'!I40</f>
        <v>1</v>
      </c>
      <c r="J7" s="10">
        <f>'Proximal Validation (double)'!J40</f>
        <v>0</v>
      </c>
      <c r="K7" s="10">
        <f>'Proximal Validation (double)'!K40</f>
        <v>0</v>
      </c>
      <c r="L7" s="8">
        <v>-1.00263701751828E-2</v>
      </c>
      <c r="M7" s="8">
        <v>0.25889375805854797</v>
      </c>
      <c r="N7" s="8">
        <v>-3.55876125395298E-2</v>
      </c>
      <c r="O7" s="8">
        <v>-0.64230352640152</v>
      </c>
      <c r="P7" s="8">
        <v>-0.205741867423058</v>
      </c>
      <c r="Q7" s="8">
        <v>-1.0082914829254199</v>
      </c>
      <c r="R7" s="8">
        <v>0.94697461933451199</v>
      </c>
      <c r="S7" s="8">
        <v>0.1805125654128503</v>
      </c>
      <c r="T7" s="8">
        <v>4.6242791680875976</v>
      </c>
      <c r="U7" s="8">
        <v>1.5707963267948966</v>
      </c>
      <c r="V7" s="8">
        <v>0.31339832226257819</v>
      </c>
      <c r="W7" s="8">
        <v>2.8776404249117492E-2</v>
      </c>
      <c r="X7" s="8">
        <v>4.2929162080202934</v>
      </c>
      <c r="Y7" s="8">
        <v>1.5707963267948966</v>
      </c>
      <c r="Z7" s="28">
        <v>2.6581441821841684E-5</v>
      </c>
      <c r="AA7" s="8">
        <f t="shared" si="0"/>
        <v>0.14697461933451195</v>
      </c>
      <c r="AB7" s="8">
        <f t="shared" si="1"/>
        <v>5.125654128503021E-4</v>
      </c>
      <c r="AC7" s="8">
        <f t="shared" si="2"/>
        <v>-8.7720831912402097E-2</v>
      </c>
      <c r="AD7" s="8">
        <f t="shared" si="3"/>
        <v>0</v>
      </c>
      <c r="AE7" s="8">
        <f t="shared" si="4"/>
        <v>-0.28660167773742179</v>
      </c>
      <c r="AF7" s="8">
        <f t="shared" si="5"/>
        <v>-3.1223595750882505E-2</v>
      </c>
      <c r="AG7" s="8">
        <f t="shared" si="6"/>
        <v>-0.41908379197970635</v>
      </c>
      <c r="AH7" s="8">
        <f t="shared" si="7"/>
        <v>0</v>
      </c>
      <c r="AI7" s="22">
        <f t="shared" si="8"/>
        <v>0.21678814853596687</v>
      </c>
      <c r="AJ7" s="22">
        <f t="shared" si="9"/>
        <v>1.5868080581866402E-2</v>
      </c>
      <c r="AK7" s="22">
        <f t="shared" si="10"/>
        <v>0.25340231194605423</v>
      </c>
      <c r="AL7" s="22">
        <f t="shared" si="11"/>
        <v>0.6</v>
      </c>
    </row>
    <row r="8" spans="1:46" x14ac:dyDescent="0.25">
      <c r="A8" s="8">
        <f>'Proximal Validation (double)'!A4</f>
        <v>1</v>
      </c>
      <c r="B8" s="8">
        <f>'Proximal Validation (double)'!B4</f>
        <v>0.1</v>
      </c>
      <c r="C8" s="8">
        <f>'Proximal Validation (double)'!C4</f>
        <v>1.571</v>
      </c>
      <c r="D8" s="8">
        <f>'Proximal Validation (double)'!D4</f>
        <v>1.5707963267948966</v>
      </c>
      <c r="E8" s="8">
        <f>'Proximal Validation (double)'!E4</f>
        <v>1</v>
      </c>
      <c r="F8" s="8">
        <f>'Proximal Validation (double)'!F4</f>
        <v>0.08</v>
      </c>
      <c r="G8" s="8">
        <f>'Proximal Validation (double)'!G4</f>
        <v>3.1419999999999999</v>
      </c>
      <c r="H8" s="8">
        <f>'Proximal Validation (double)'!H4</f>
        <v>1.5707963267948966</v>
      </c>
      <c r="I8" s="8">
        <f>'Proximal Validation (double)'!I4</f>
        <v>0</v>
      </c>
      <c r="J8" s="8">
        <f>'Proximal Validation (double)'!J4</f>
        <v>0</v>
      </c>
      <c r="K8" s="8">
        <f>'Proximal Validation (double)'!K4</f>
        <v>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28"/>
      <c r="AA8" s="8">
        <f t="shared" si="0"/>
        <v>-1</v>
      </c>
      <c r="AB8" s="8">
        <f t="shared" si="1"/>
        <v>-0.1</v>
      </c>
      <c r="AC8" s="8">
        <f t="shared" si="2"/>
        <v>-1.571</v>
      </c>
      <c r="AD8" s="8">
        <f t="shared" si="3"/>
        <v>-1.5707963267948966</v>
      </c>
      <c r="AE8" s="8">
        <f t="shared" si="4"/>
        <v>-1</v>
      </c>
      <c r="AF8" s="8">
        <f t="shared" si="5"/>
        <v>-0.08</v>
      </c>
      <c r="AG8" s="8">
        <f t="shared" si="6"/>
        <v>-3.1419999999999999</v>
      </c>
      <c r="AH8" s="8">
        <f t="shared" si="7"/>
        <v>-1.5707963267948966</v>
      </c>
      <c r="AI8" s="22">
        <f t="shared" si="8"/>
        <v>1</v>
      </c>
      <c r="AJ8" s="22">
        <f t="shared" si="9"/>
        <v>0.09</v>
      </c>
      <c r="AK8" s="22">
        <f t="shared" si="10"/>
        <v>2.3565</v>
      </c>
      <c r="AL8" s="22">
        <f t="shared" si="11"/>
        <v>1</v>
      </c>
    </row>
    <row r="9" spans="1:46" x14ac:dyDescent="0.25">
      <c r="A9" s="8">
        <f>'Proximal Validation (double)'!A26</f>
        <v>0.7</v>
      </c>
      <c r="B9" s="8">
        <f>'Proximal Validation (double)'!B26</f>
        <v>0.16</v>
      </c>
      <c r="C9" s="8">
        <f>'Proximal Validation (double)'!C26</f>
        <v>3.927</v>
      </c>
      <c r="D9" s="8">
        <f>'Proximal Validation (double)'!D26</f>
        <v>1.5707963267948966</v>
      </c>
      <c r="E9" s="8">
        <f>'Proximal Validation (double)'!E26</f>
        <v>1</v>
      </c>
      <c r="F9" s="8">
        <f>'Proximal Validation (double)'!F26</f>
        <v>0.04</v>
      </c>
      <c r="G9" s="8">
        <f>'Proximal Validation (double)'!G26</f>
        <v>3.927</v>
      </c>
      <c r="H9" s="8">
        <f>'Proximal Validation (double)'!H26</f>
        <v>1.5707963267948966</v>
      </c>
      <c r="I9" s="8">
        <f>'Proximal Validation (double)'!I26</f>
        <v>1.2</v>
      </c>
      <c r="J9" s="8">
        <f>'Proximal Validation (double)'!J26</f>
        <v>0</v>
      </c>
      <c r="K9" s="8">
        <f>'Proximal Validation (double)'!K26</f>
        <v>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28"/>
      <c r="AA9" s="8">
        <f t="shared" si="0"/>
        <v>-0.7</v>
      </c>
      <c r="AB9" s="8">
        <f t="shared" si="1"/>
        <v>-0.16</v>
      </c>
      <c r="AC9" s="8">
        <f t="shared" si="2"/>
        <v>-3.927</v>
      </c>
      <c r="AD9" s="8">
        <f t="shared" si="3"/>
        <v>-1.5707963267948966</v>
      </c>
      <c r="AE9" s="8">
        <f t="shared" si="4"/>
        <v>-1</v>
      </c>
      <c r="AF9" s="8">
        <f t="shared" si="5"/>
        <v>-0.04</v>
      </c>
      <c r="AG9" s="8">
        <f t="shared" si="6"/>
        <v>-3.927</v>
      </c>
      <c r="AH9" s="8">
        <f t="shared" si="7"/>
        <v>-1.5707963267948966</v>
      </c>
      <c r="AI9" s="22">
        <f t="shared" si="8"/>
        <v>0.85</v>
      </c>
      <c r="AJ9" s="22">
        <f t="shared" si="9"/>
        <v>0.1</v>
      </c>
      <c r="AK9" s="22">
        <f t="shared" si="10"/>
        <v>3.927</v>
      </c>
      <c r="AL9" s="22">
        <f t="shared" si="11"/>
        <v>0.7</v>
      </c>
    </row>
    <row r="10" spans="1:46" x14ac:dyDescent="0.25">
      <c r="A10" s="8">
        <f>'Proximal Validation (double)'!A37</f>
        <v>0.3</v>
      </c>
      <c r="B10" s="8">
        <f>'Proximal Validation (double)'!B37</f>
        <v>0.18</v>
      </c>
      <c r="C10" s="8">
        <f>'Proximal Validation (double)'!C37</f>
        <v>4.7119999999999997</v>
      </c>
      <c r="D10" s="8">
        <f>'Proximal Validation (double)'!D37</f>
        <v>1.5707963267948966</v>
      </c>
      <c r="E10" s="8">
        <f>'Proximal Validation (double)'!E37</f>
        <v>0.3</v>
      </c>
      <c r="F10" s="8">
        <f>'Proximal Validation (double)'!F37</f>
        <v>0.06</v>
      </c>
      <c r="G10" s="8">
        <f>'Proximal Validation (double)'!G37</f>
        <v>3.1419999999999999</v>
      </c>
      <c r="H10" s="8">
        <f>'Proximal Validation (double)'!H37</f>
        <v>1.5707963267948966</v>
      </c>
      <c r="I10" s="8">
        <f>'Proximal Validation (double)'!I37</f>
        <v>1.4</v>
      </c>
      <c r="J10" s="8">
        <f>'Proximal Validation (double)'!J37</f>
        <v>0</v>
      </c>
      <c r="K10" s="8">
        <f>'Proximal Validation (double)'!K37</f>
        <v>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28"/>
      <c r="AA10" s="8">
        <f t="shared" si="0"/>
        <v>-0.3</v>
      </c>
      <c r="AB10" s="8">
        <f t="shared" si="1"/>
        <v>-0.18</v>
      </c>
      <c r="AC10" s="8">
        <f t="shared" si="2"/>
        <v>-4.7119999999999997</v>
      </c>
      <c r="AD10" s="8">
        <f t="shared" si="3"/>
        <v>-1.5707963267948966</v>
      </c>
      <c r="AE10" s="8">
        <f t="shared" si="4"/>
        <v>-0.3</v>
      </c>
      <c r="AF10" s="8">
        <f t="shared" si="5"/>
        <v>-0.06</v>
      </c>
      <c r="AG10" s="8">
        <f t="shared" si="6"/>
        <v>-3.1419999999999999</v>
      </c>
      <c r="AH10" s="8">
        <f t="shared" si="7"/>
        <v>-1.5707963267948966</v>
      </c>
      <c r="AI10" s="22">
        <f t="shared" si="8"/>
        <v>0.3</v>
      </c>
      <c r="AJ10" s="22">
        <f t="shared" si="9"/>
        <v>0.12</v>
      </c>
      <c r="AK10" s="22">
        <f t="shared" si="10"/>
        <v>3.9269999999999996</v>
      </c>
      <c r="AL10" s="22">
        <f t="shared" si="11"/>
        <v>0.3</v>
      </c>
    </row>
    <row r="11" spans="1:46" x14ac:dyDescent="0.25">
      <c r="A11" s="8">
        <f>'Proximal Validation (double)'!A36</f>
        <v>1</v>
      </c>
      <c r="B11" s="8">
        <f>'Proximal Validation (double)'!B36</f>
        <v>0.12</v>
      </c>
      <c r="C11" s="8">
        <f>'Proximal Validation (double)'!C36</f>
        <v>4.7119999999999997</v>
      </c>
      <c r="D11" s="8">
        <f>'Proximal Validation (double)'!D36</f>
        <v>1.5707963267948966</v>
      </c>
      <c r="E11" s="8">
        <f>'Proximal Validation (double)'!E36</f>
        <v>0.8</v>
      </c>
      <c r="F11" s="8">
        <f>'Proximal Validation (double)'!F36</f>
        <v>0.08</v>
      </c>
      <c r="G11" s="8">
        <f>'Proximal Validation (double)'!G36</f>
        <v>3.1419999999999999</v>
      </c>
      <c r="H11" s="8">
        <f>'Proximal Validation (double)'!H36</f>
        <v>1.5707963267948966</v>
      </c>
      <c r="I11" s="8">
        <f>'Proximal Validation (double)'!I36</f>
        <v>1.2</v>
      </c>
      <c r="J11" s="8">
        <f>'Proximal Validation (double)'!J36</f>
        <v>0</v>
      </c>
      <c r="K11" s="8">
        <f>'Proximal Validation (double)'!K36</f>
        <v>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28"/>
      <c r="AA11" s="8">
        <f t="shared" si="0"/>
        <v>-1</v>
      </c>
      <c r="AB11" s="8">
        <f t="shared" si="1"/>
        <v>-0.12</v>
      </c>
      <c r="AC11" s="8">
        <f t="shared" si="2"/>
        <v>-4.7119999999999997</v>
      </c>
      <c r="AD11" s="8">
        <f t="shared" si="3"/>
        <v>-1.5707963267948966</v>
      </c>
      <c r="AE11" s="8">
        <f t="shared" si="4"/>
        <v>-0.8</v>
      </c>
      <c r="AF11" s="8">
        <f t="shared" si="5"/>
        <v>-0.08</v>
      </c>
      <c r="AG11" s="8">
        <f t="shared" si="6"/>
        <v>-3.1419999999999999</v>
      </c>
      <c r="AH11" s="8">
        <f t="shared" si="7"/>
        <v>-1.5707963267948966</v>
      </c>
      <c r="AI11" s="22">
        <f t="shared" si="8"/>
        <v>0.9</v>
      </c>
      <c r="AJ11" s="22">
        <f t="shared" si="9"/>
        <v>0.1</v>
      </c>
      <c r="AK11" s="22">
        <f t="shared" si="10"/>
        <v>3.9269999999999996</v>
      </c>
      <c r="AL11" s="22">
        <f t="shared" si="11"/>
        <v>0.8</v>
      </c>
    </row>
    <row r="12" spans="1:46" x14ac:dyDescent="0.25">
      <c r="A12" s="8">
        <f>'Proximal Validation (double)'!A14</f>
        <v>0.9</v>
      </c>
      <c r="B12" s="8">
        <f>'Proximal Validation (double)'!B14</f>
        <v>0.2</v>
      </c>
      <c r="C12" s="8">
        <f>'Proximal Validation (double)'!C14</f>
        <v>1.571</v>
      </c>
      <c r="D12" s="8">
        <f>'Proximal Validation (double)'!D14</f>
        <v>1.5707963267948966</v>
      </c>
      <c r="E12" s="8">
        <f>'Proximal Validation (double)'!E14</f>
        <v>0.3</v>
      </c>
      <c r="F12" s="8">
        <f>'Proximal Validation (double)'!F14</f>
        <v>0.02</v>
      </c>
      <c r="G12" s="8">
        <f>'Proximal Validation (double)'!G14</f>
        <v>4.7119999999999997</v>
      </c>
      <c r="H12" s="8">
        <f>'Proximal Validation (double)'!H14</f>
        <v>1.5707963267948966</v>
      </c>
      <c r="I12" s="8">
        <f>'Proximal Validation (double)'!I14</f>
        <v>1.4</v>
      </c>
      <c r="J12" s="8">
        <f>'Proximal Validation (double)'!J14</f>
        <v>0</v>
      </c>
      <c r="K12" s="8">
        <f>'Proximal Validation (double)'!K14</f>
        <v>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28"/>
      <c r="AA12" s="8">
        <f t="shared" si="0"/>
        <v>-0.9</v>
      </c>
      <c r="AB12" s="8">
        <f t="shared" si="1"/>
        <v>-0.2</v>
      </c>
      <c r="AC12" s="8">
        <f t="shared" si="2"/>
        <v>-1.571</v>
      </c>
      <c r="AD12" s="8">
        <f t="shared" si="3"/>
        <v>-1.5707963267948966</v>
      </c>
      <c r="AE12" s="8">
        <f t="shared" si="4"/>
        <v>-0.3</v>
      </c>
      <c r="AF12" s="8">
        <f t="shared" si="5"/>
        <v>-0.02</v>
      </c>
      <c r="AG12" s="8">
        <f t="shared" si="6"/>
        <v>-4.7119999999999997</v>
      </c>
      <c r="AH12" s="8">
        <f t="shared" si="7"/>
        <v>-1.5707963267948966</v>
      </c>
      <c r="AI12" s="22">
        <f t="shared" si="8"/>
        <v>0.6</v>
      </c>
      <c r="AJ12" s="22">
        <f t="shared" si="9"/>
        <v>0.11</v>
      </c>
      <c r="AK12" s="22">
        <f t="shared" si="10"/>
        <v>3.1414999999999997</v>
      </c>
      <c r="AL12" s="22">
        <f t="shared" si="11"/>
        <v>0.3</v>
      </c>
    </row>
    <row r="13" spans="1:46" x14ac:dyDescent="0.25">
      <c r="A13" s="8">
        <f>'Proximal Validation (double)'!A8</f>
        <v>0.8</v>
      </c>
      <c r="B13" s="8">
        <f>'Proximal Validation (double)'!B8</f>
        <v>0.16</v>
      </c>
      <c r="C13" s="8">
        <f>'Proximal Validation (double)'!C8</f>
        <v>1.571</v>
      </c>
      <c r="D13" s="8">
        <f>'Proximal Validation (double)'!D8</f>
        <v>1.5707963267948966</v>
      </c>
      <c r="E13" s="8">
        <f>'Proximal Validation (double)'!E8</f>
        <v>0.8</v>
      </c>
      <c r="F13" s="8">
        <f>'Proximal Validation (double)'!F8</f>
        <v>0.06</v>
      </c>
      <c r="G13" s="8">
        <f>'Proximal Validation (double)'!G8</f>
        <v>3.927</v>
      </c>
      <c r="H13" s="8">
        <f>'Proximal Validation (double)'!H8</f>
        <v>1.5707963267948966</v>
      </c>
      <c r="I13" s="8">
        <f>'Proximal Validation (double)'!I8</f>
        <v>1.4</v>
      </c>
      <c r="J13" s="8">
        <f>'Proximal Validation (double)'!J8</f>
        <v>0</v>
      </c>
      <c r="K13" s="8">
        <f>'Proximal Validation (double)'!K8</f>
        <v>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28"/>
      <c r="AA13" s="8">
        <f t="shared" si="0"/>
        <v>-0.8</v>
      </c>
      <c r="AB13" s="8">
        <f t="shared" si="1"/>
        <v>-0.16</v>
      </c>
      <c r="AC13" s="8">
        <f t="shared" si="2"/>
        <v>-1.571</v>
      </c>
      <c r="AD13" s="8">
        <f t="shared" si="3"/>
        <v>-1.5707963267948966</v>
      </c>
      <c r="AE13" s="8">
        <f t="shared" si="4"/>
        <v>-0.8</v>
      </c>
      <c r="AF13" s="8">
        <f t="shared" si="5"/>
        <v>-0.06</v>
      </c>
      <c r="AG13" s="8">
        <f t="shared" si="6"/>
        <v>-3.927</v>
      </c>
      <c r="AH13" s="8">
        <f t="shared" si="7"/>
        <v>-1.5707963267948966</v>
      </c>
      <c r="AI13" s="22">
        <f t="shared" si="8"/>
        <v>0.8</v>
      </c>
      <c r="AJ13" s="22">
        <f t="shared" si="9"/>
        <v>0.11</v>
      </c>
      <c r="AK13" s="22">
        <f t="shared" si="10"/>
        <v>2.7490000000000001</v>
      </c>
      <c r="AL13" s="22">
        <f t="shared" si="11"/>
        <v>0.8</v>
      </c>
    </row>
    <row r="14" spans="1:46" x14ac:dyDescent="0.25">
      <c r="A14" s="8">
        <f>'Proximal Validation (double)'!A30</f>
        <v>1</v>
      </c>
      <c r="B14" s="8">
        <f>'Proximal Validation (double)'!B30</f>
        <v>0.2</v>
      </c>
      <c r="C14" s="8">
        <f>'Proximal Validation (double)'!C30</f>
        <v>3.927</v>
      </c>
      <c r="D14" s="8">
        <f>'Proximal Validation (double)'!D30</f>
        <v>1.5707963267948966</v>
      </c>
      <c r="E14" s="8">
        <f>'Proximal Validation (double)'!E30</f>
        <v>1</v>
      </c>
      <c r="F14" s="8">
        <f>'Proximal Validation (double)'!F30</f>
        <v>0.06</v>
      </c>
      <c r="G14" s="8">
        <f>'Proximal Validation (double)'!G30</f>
        <v>3.927</v>
      </c>
      <c r="H14" s="8">
        <f>'Proximal Validation (double)'!H30</f>
        <v>1.5707963267948966</v>
      </c>
      <c r="I14" s="8">
        <f>'Proximal Validation (double)'!I30</f>
        <v>0.2</v>
      </c>
      <c r="J14" s="8">
        <f>'Proximal Validation (double)'!J30</f>
        <v>0</v>
      </c>
      <c r="K14" s="8">
        <f>'Proximal Validation (double)'!K30</f>
        <v>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28"/>
      <c r="AA14" s="8">
        <f t="shared" si="0"/>
        <v>-1</v>
      </c>
      <c r="AB14" s="8">
        <f t="shared" si="1"/>
        <v>-0.2</v>
      </c>
      <c r="AC14" s="8">
        <f t="shared" si="2"/>
        <v>-3.927</v>
      </c>
      <c r="AD14" s="8">
        <f t="shared" si="3"/>
        <v>-1.5707963267948966</v>
      </c>
      <c r="AE14" s="8">
        <f t="shared" si="4"/>
        <v>-1</v>
      </c>
      <c r="AF14" s="8">
        <f t="shared" si="5"/>
        <v>-0.06</v>
      </c>
      <c r="AG14" s="8">
        <f t="shared" si="6"/>
        <v>-3.927</v>
      </c>
      <c r="AH14" s="8">
        <f t="shared" si="7"/>
        <v>-1.5707963267948966</v>
      </c>
      <c r="AI14" s="22">
        <f t="shared" si="8"/>
        <v>1</v>
      </c>
      <c r="AJ14" s="22">
        <f t="shared" si="9"/>
        <v>0.13</v>
      </c>
      <c r="AK14" s="22">
        <f t="shared" si="10"/>
        <v>3.927</v>
      </c>
      <c r="AL14" s="22">
        <f t="shared" si="11"/>
        <v>1</v>
      </c>
    </row>
    <row r="15" spans="1:46" x14ac:dyDescent="0.25">
      <c r="A15" s="8">
        <f>'Proximal Validation (double)'!A20</f>
        <v>0.9</v>
      </c>
      <c r="B15" s="8">
        <f>'Proximal Validation (double)'!B20</f>
        <v>0.2</v>
      </c>
      <c r="C15" s="8">
        <f>'Proximal Validation (double)'!C20</f>
        <v>2.3559999999999999</v>
      </c>
      <c r="D15" s="8">
        <f>'Proximal Validation (double)'!D20</f>
        <v>1.5707963267948966</v>
      </c>
      <c r="E15" s="8">
        <f>'Proximal Validation (double)'!E20</f>
        <v>0.3</v>
      </c>
      <c r="F15" s="8">
        <f>'Proximal Validation (double)'!F20</f>
        <v>0.06</v>
      </c>
      <c r="G15" s="8">
        <f>'Proximal Validation (double)'!G20</f>
        <v>3.1419999999999999</v>
      </c>
      <c r="H15" s="8">
        <f>'Proximal Validation (double)'!H20</f>
        <v>1.5707963267948966</v>
      </c>
      <c r="I15" s="8">
        <f>'Proximal Validation (double)'!I20</f>
        <v>1.2</v>
      </c>
      <c r="J15" s="8">
        <f>'Proximal Validation (double)'!J20</f>
        <v>0</v>
      </c>
      <c r="K15" s="8">
        <f>'Proximal Validation (double)'!K20</f>
        <v>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28"/>
      <c r="AA15" s="8">
        <f t="shared" si="0"/>
        <v>-0.9</v>
      </c>
      <c r="AB15" s="8">
        <f t="shared" si="1"/>
        <v>-0.2</v>
      </c>
      <c r="AC15" s="8">
        <f t="shared" si="2"/>
        <v>-2.3559999999999999</v>
      </c>
      <c r="AD15" s="8">
        <f t="shared" si="3"/>
        <v>-1.5707963267948966</v>
      </c>
      <c r="AE15" s="8">
        <f t="shared" si="4"/>
        <v>-0.3</v>
      </c>
      <c r="AF15" s="8">
        <f t="shared" si="5"/>
        <v>-0.06</v>
      </c>
      <c r="AG15" s="8">
        <f t="shared" si="6"/>
        <v>-3.1419999999999999</v>
      </c>
      <c r="AH15" s="8">
        <f t="shared" si="7"/>
        <v>-1.5707963267948966</v>
      </c>
      <c r="AI15" s="22">
        <f t="shared" si="8"/>
        <v>0.6</v>
      </c>
      <c r="AJ15" s="22">
        <f t="shared" si="9"/>
        <v>0.13</v>
      </c>
      <c r="AK15" s="22">
        <f t="shared" si="10"/>
        <v>2.7489999999999997</v>
      </c>
      <c r="AL15" s="22">
        <f t="shared" si="11"/>
        <v>0.3</v>
      </c>
    </row>
    <row r="16" spans="1:46" x14ac:dyDescent="0.25">
      <c r="A16" s="8">
        <f>'Proximal Validation (double)'!A35</f>
        <v>0.9</v>
      </c>
      <c r="B16" s="8">
        <f>'Proximal Validation (double)'!B35</f>
        <v>0.12</v>
      </c>
      <c r="C16" s="8">
        <f>'Proximal Validation (double)'!C35</f>
        <v>4.7119999999999997</v>
      </c>
      <c r="D16" s="8">
        <f>'Proximal Validation (double)'!D35</f>
        <v>1.5707963267948966</v>
      </c>
      <c r="E16" s="8">
        <f>'Proximal Validation (double)'!E35</f>
        <v>0.9</v>
      </c>
      <c r="F16" s="8">
        <f>'Proximal Validation (double)'!F35</f>
        <v>0.02</v>
      </c>
      <c r="G16" s="8">
        <f>'Proximal Validation (double)'!G35</f>
        <v>3.1419999999999999</v>
      </c>
      <c r="H16" s="8">
        <f>'Proximal Validation (double)'!H35</f>
        <v>1.5707963267948966</v>
      </c>
      <c r="I16" s="8">
        <f>'Proximal Validation (double)'!I35</f>
        <v>0</v>
      </c>
      <c r="J16" s="8">
        <f>'Proximal Validation (double)'!J35</f>
        <v>0</v>
      </c>
      <c r="K16" s="8">
        <f>'Proximal Validation (double)'!K35</f>
        <v>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28"/>
      <c r="AA16" s="8">
        <f t="shared" si="0"/>
        <v>-0.9</v>
      </c>
      <c r="AB16" s="8">
        <f t="shared" si="1"/>
        <v>-0.12</v>
      </c>
      <c r="AC16" s="8">
        <f t="shared" si="2"/>
        <v>-4.7119999999999997</v>
      </c>
      <c r="AD16" s="8">
        <f t="shared" si="3"/>
        <v>-1.5707963267948966</v>
      </c>
      <c r="AE16" s="8">
        <f t="shared" si="4"/>
        <v>-0.9</v>
      </c>
      <c r="AF16" s="8">
        <f t="shared" si="5"/>
        <v>-0.02</v>
      </c>
      <c r="AG16" s="8">
        <f t="shared" si="6"/>
        <v>-3.1419999999999999</v>
      </c>
      <c r="AH16" s="8">
        <f t="shared" si="7"/>
        <v>-1.5707963267948966</v>
      </c>
      <c r="AI16" s="22">
        <f t="shared" si="8"/>
        <v>0.9</v>
      </c>
      <c r="AJ16" s="22">
        <f t="shared" si="9"/>
        <v>6.9999999999999993E-2</v>
      </c>
      <c r="AK16" s="22">
        <f t="shared" si="10"/>
        <v>3.9269999999999996</v>
      </c>
      <c r="AL16" s="22">
        <f t="shared" si="11"/>
        <v>0.9</v>
      </c>
    </row>
    <row r="17" spans="1:38" x14ac:dyDescent="0.25">
      <c r="A17" s="8">
        <f>'Proximal Validation (double)'!A41</f>
        <v>1</v>
      </c>
      <c r="B17" s="8">
        <f>'Proximal Validation (double)'!B41</f>
        <v>0.2</v>
      </c>
      <c r="C17" s="8">
        <f>'Proximal Validation (double)'!C41</f>
        <v>4.7119999999999997</v>
      </c>
      <c r="D17" s="8">
        <f>'Proximal Validation (double)'!D41</f>
        <v>1.5707963267948966</v>
      </c>
      <c r="E17" s="8">
        <f>'Proximal Validation (double)'!E41</f>
        <v>0.8</v>
      </c>
      <c r="F17" s="8">
        <f>'Proximal Validation (double)'!F41</f>
        <v>0.02</v>
      </c>
      <c r="G17" s="8">
        <f>'Proximal Validation (double)'!G41</f>
        <v>3.1419999999999999</v>
      </c>
      <c r="H17" s="8">
        <f>'Proximal Validation (double)'!H41</f>
        <v>1.5707963267948966</v>
      </c>
      <c r="I17" s="8">
        <f>'Proximal Validation (double)'!I41</f>
        <v>1.4</v>
      </c>
      <c r="J17" s="8">
        <f>'Proximal Validation (double)'!J41</f>
        <v>0</v>
      </c>
      <c r="K17" s="8">
        <f>'Proximal Validation (double)'!K41</f>
        <v>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28"/>
      <c r="AA17" s="8">
        <f t="shared" si="0"/>
        <v>-1</v>
      </c>
      <c r="AB17" s="8">
        <f t="shared" si="1"/>
        <v>-0.2</v>
      </c>
      <c r="AC17" s="8">
        <f t="shared" si="2"/>
        <v>-4.7119999999999997</v>
      </c>
      <c r="AD17" s="8">
        <f t="shared" si="3"/>
        <v>-1.5707963267948966</v>
      </c>
      <c r="AE17" s="8">
        <f t="shared" si="4"/>
        <v>-0.8</v>
      </c>
      <c r="AF17" s="8">
        <f t="shared" si="5"/>
        <v>-0.02</v>
      </c>
      <c r="AG17" s="8">
        <f t="shared" si="6"/>
        <v>-3.1419999999999999</v>
      </c>
      <c r="AH17" s="8">
        <f t="shared" si="7"/>
        <v>-1.5707963267948966</v>
      </c>
      <c r="AI17" s="22">
        <f t="shared" si="8"/>
        <v>0.9</v>
      </c>
      <c r="AJ17" s="22">
        <f t="shared" si="9"/>
        <v>0.11</v>
      </c>
      <c r="AK17" s="22">
        <f t="shared" si="10"/>
        <v>3.9269999999999996</v>
      </c>
      <c r="AL17" s="22">
        <f t="shared" si="11"/>
        <v>0.8</v>
      </c>
    </row>
    <row r="18" spans="1:38" x14ac:dyDescent="0.25">
      <c r="A18" s="8">
        <f>'Proximal Validation (double)'!A17</f>
        <v>1</v>
      </c>
      <c r="B18" s="8">
        <f>'Proximal Validation (double)'!B17</f>
        <v>0.14000000000000001</v>
      </c>
      <c r="C18" s="8">
        <f>'Proximal Validation (double)'!C17</f>
        <v>2.3559999999999999</v>
      </c>
      <c r="D18" s="8">
        <f>'Proximal Validation (double)'!D17</f>
        <v>1.5707963267948966</v>
      </c>
      <c r="E18" s="8">
        <f>'Proximal Validation (double)'!E17</f>
        <v>0.4</v>
      </c>
      <c r="F18" s="8">
        <f>'Proximal Validation (double)'!F17</f>
        <v>0.04</v>
      </c>
      <c r="G18" s="8">
        <f>'Proximal Validation (double)'!G17</f>
        <v>3.927</v>
      </c>
      <c r="H18" s="8">
        <f>'Proximal Validation (double)'!H17</f>
        <v>1.5707963267948966</v>
      </c>
      <c r="I18" s="8">
        <f>'Proximal Validation (double)'!I17</f>
        <v>0.6</v>
      </c>
      <c r="J18" s="8">
        <f>'Proximal Validation (double)'!J17</f>
        <v>0</v>
      </c>
      <c r="K18" s="8">
        <f>'Proximal Validation (double)'!K17</f>
        <v>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28"/>
      <c r="AA18" s="8">
        <f t="shared" si="0"/>
        <v>-1</v>
      </c>
      <c r="AB18" s="8">
        <f t="shared" si="1"/>
        <v>-0.14000000000000001</v>
      </c>
      <c r="AC18" s="8">
        <f t="shared" si="2"/>
        <v>-2.3559999999999999</v>
      </c>
      <c r="AD18" s="8">
        <f t="shared" si="3"/>
        <v>-1.5707963267948966</v>
      </c>
      <c r="AE18" s="8">
        <f t="shared" si="4"/>
        <v>-0.4</v>
      </c>
      <c r="AF18" s="8">
        <f t="shared" si="5"/>
        <v>-0.04</v>
      </c>
      <c r="AG18" s="8">
        <f t="shared" si="6"/>
        <v>-3.927</v>
      </c>
      <c r="AH18" s="8">
        <f t="shared" si="7"/>
        <v>-1.5707963267948966</v>
      </c>
      <c r="AI18" s="22">
        <f t="shared" si="8"/>
        <v>0.7</v>
      </c>
      <c r="AJ18" s="22">
        <f t="shared" si="9"/>
        <v>9.0000000000000011E-2</v>
      </c>
      <c r="AK18" s="22">
        <f t="shared" si="10"/>
        <v>3.1414999999999997</v>
      </c>
      <c r="AL18" s="22">
        <f t="shared" si="11"/>
        <v>0.4</v>
      </c>
    </row>
    <row r="19" spans="1:38" x14ac:dyDescent="0.25">
      <c r="A19" s="8">
        <f>'Proximal Validation (double)'!A32</f>
        <v>0.3</v>
      </c>
      <c r="B19" s="8">
        <f>'Proximal Validation (double)'!B32</f>
        <v>0.1</v>
      </c>
      <c r="C19" s="8">
        <f>'Proximal Validation (double)'!C32</f>
        <v>4.7119999999999997</v>
      </c>
      <c r="D19" s="8">
        <f>'Proximal Validation (double)'!D32</f>
        <v>1.5707963267948966</v>
      </c>
      <c r="E19" s="8">
        <f>'Proximal Validation (double)'!E32</f>
        <v>0.8</v>
      </c>
      <c r="F19" s="8">
        <f>'Proximal Validation (double)'!F32</f>
        <v>0.04</v>
      </c>
      <c r="G19" s="8">
        <f>'Proximal Validation (double)'!G32</f>
        <v>3.927</v>
      </c>
      <c r="H19" s="8">
        <f>'Proximal Validation (double)'!H32</f>
        <v>1.5707963267948966</v>
      </c>
      <c r="I19" s="8">
        <f>'Proximal Validation (double)'!I32</f>
        <v>0.4</v>
      </c>
      <c r="J19" s="8">
        <f>'Proximal Validation (double)'!J32</f>
        <v>0</v>
      </c>
      <c r="K19" s="8">
        <f>'Proximal Validation (double)'!K32</f>
        <v>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28"/>
      <c r="AA19" s="8">
        <f t="shared" si="0"/>
        <v>-0.3</v>
      </c>
      <c r="AB19" s="8">
        <f t="shared" si="1"/>
        <v>-0.1</v>
      </c>
      <c r="AC19" s="8">
        <f t="shared" si="2"/>
        <v>-4.7119999999999997</v>
      </c>
      <c r="AD19" s="8">
        <f t="shared" si="3"/>
        <v>-1.5707963267948966</v>
      </c>
      <c r="AE19" s="8">
        <f t="shared" si="4"/>
        <v>-0.8</v>
      </c>
      <c r="AF19" s="8">
        <f t="shared" si="5"/>
        <v>-0.04</v>
      </c>
      <c r="AG19" s="8">
        <f t="shared" si="6"/>
        <v>-3.927</v>
      </c>
      <c r="AH19" s="8">
        <f t="shared" si="7"/>
        <v>-1.5707963267948966</v>
      </c>
      <c r="AI19" s="22">
        <f t="shared" si="8"/>
        <v>0.55000000000000004</v>
      </c>
      <c r="AJ19" s="22">
        <f t="shared" si="9"/>
        <v>7.0000000000000007E-2</v>
      </c>
      <c r="AK19" s="22">
        <f t="shared" si="10"/>
        <v>4.3194999999999997</v>
      </c>
      <c r="AL19" s="22">
        <f t="shared" si="11"/>
        <v>0.3</v>
      </c>
    </row>
    <row r="20" spans="1:38" x14ac:dyDescent="0.25">
      <c r="A20" s="8">
        <f>'Proximal Validation (double)'!A12</f>
        <v>0.9</v>
      </c>
      <c r="B20" s="8">
        <f>'Proximal Validation (double)'!B12</f>
        <v>0.2</v>
      </c>
      <c r="C20" s="8">
        <f>'Proximal Validation (double)'!C12</f>
        <v>1.571</v>
      </c>
      <c r="D20" s="8">
        <f>'Proximal Validation (double)'!D12</f>
        <v>1.5707963267948966</v>
      </c>
      <c r="E20" s="8">
        <f>'Proximal Validation (double)'!E12</f>
        <v>1</v>
      </c>
      <c r="F20" s="8">
        <f>'Proximal Validation (double)'!F12</f>
        <v>0.02</v>
      </c>
      <c r="G20" s="8">
        <f>'Proximal Validation (double)'!G12</f>
        <v>3.1419999999999999</v>
      </c>
      <c r="H20" s="8">
        <f>'Proximal Validation (double)'!H12</f>
        <v>1.5707963267948966</v>
      </c>
      <c r="I20" s="8">
        <f>'Proximal Validation (double)'!I12</f>
        <v>0.4</v>
      </c>
      <c r="J20" s="8">
        <f>'Proximal Validation (double)'!J12</f>
        <v>0</v>
      </c>
      <c r="K20" s="8">
        <f>'Proximal Validation (double)'!K12</f>
        <v>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28"/>
      <c r="AA20" s="8">
        <f t="shared" si="0"/>
        <v>-0.9</v>
      </c>
      <c r="AB20" s="8">
        <f t="shared" si="1"/>
        <v>-0.2</v>
      </c>
      <c r="AC20" s="8">
        <f t="shared" si="2"/>
        <v>-1.571</v>
      </c>
      <c r="AD20" s="8">
        <f t="shared" si="3"/>
        <v>-1.5707963267948966</v>
      </c>
      <c r="AE20" s="8">
        <f t="shared" si="4"/>
        <v>-1</v>
      </c>
      <c r="AF20" s="8">
        <f t="shared" si="5"/>
        <v>-0.02</v>
      </c>
      <c r="AG20" s="8">
        <f t="shared" si="6"/>
        <v>-3.1419999999999999</v>
      </c>
      <c r="AH20" s="8">
        <f t="shared" si="7"/>
        <v>-1.5707963267948966</v>
      </c>
      <c r="AI20" s="22">
        <f t="shared" si="8"/>
        <v>0.95</v>
      </c>
      <c r="AJ20" s="22">
        <f t="shared" si="9"/>
        <v>0.11</v>
      </c>
      <c r="AK20" s="22">
        <f t="shared" si="10"/>
        <v>2.3565</v>
      </c>
      <c r="AL20" s="22">
        <f t="shared" si="11"/>
        <v>0.9</v>
      </c>
    </row>
    <row r="21" spans="1:38" ht="15.75" x14ac:dyDescent="0.25">
      <c r="A21" s="12"/>
      <c r="B21" s="16"/>
      <c r="C21" s="17"/>
      <c r="D21" s="17"/>
      <c r="E21" s="16"/>
      <c r="F21" s="16"/>
      <c r="G21" s="17"/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7"/>
      <c r="S21" s="17"/>
      <c r="T21" s="17"/>
      <c r="U21" s="17"/>
      <c r="V21" s="17"/>
      <c r="W21" s="17"/>
      <c r="X21" s="19"/>
      <c r="Y21" s="19"/>
      <c r="Z21" s="19"/>
    </row>
    <row r="22" spans="1:38" ht="15.75" x14ac:dyDescent="0.25">
      <c r="A22" s="12"/>
      <c r="B22" s="16"/>
      <c r="C22" s="17"/>
      <c r="D22" s="17"/>
      <c r="E22" s="16"/>
      <c r="F22" s="16"/>
      <c r="G22" s="17"/>
      <c r="H22" s="17"/>
      <c r="I22" s="17"/>
      <c r="J22" s="17"/>
      <c r="K22" s="17"/>
      <c r="L22" s="18"/>
      <c r="M22" s="18"/>
      <c r="N22" s="18"/>
      <c r="O22" s="18"/>
      <c r="P22" s="18"/>
      <c r="Q22" s="18"/>
      <c r="R22" s="17"/>
      <c r="S22" s="17"/>
      <c r="T22" s="17"/>
      <c r="U22" s="17"/>
      <c r="V22" s="17"/>
      <c r="W22" s="17"/>
      <c r="X22" s="19"/>
      <c r="Y22" s="19"/>
      <c r="Z22" s="19"/>
    </row>
    <row r="23" spans="1:38" ht="15.75" x14ac:dyDescent="0.25">
      <c r="A23" s="12"/>
      <c r="B23" s="16"/>
      <c r="C23" s="17"/>
      <c r="D23" s="17"/>
      <c r="E23" s="16"/>
      <c r="F23" s="16"/>
      <c r="G23" s="17"/>
      <c r="H23" s="17"/>
      <c r="I23" s="17"/>
      <c r="J23" s="17"/>
      <c r="K23" s="17"/>
      <c r="L23" s="18"/>
      <c r="M23" s="18"/>
      <c r="N23" s="18"/>
      <c r="O23" s="18"/>
      <c r="P23" s="18"/>
      <c r="Q23" s="18"/>
      <c r="R23" s="17"/>
      <c r="S23" s="17"/>
      <c r="T23" s="17"/>
      <c r="U23" s="17"/>
      <c r="V23" s="17"/>
      <c r="W23" s="17"/>
      <c r="X23" s="19"/>
      <c r="Y23" s="19"/>
      <c r="Z23" s="19"/>
    </row>
    <row r="24" spans="1:38" ht="15.75" x14ac:dyDescent="0.25">
      <c r="A24" s="12"/>
      <c r="B24" s="16"/>
      <c r="C24" s="17"/>
      <c r="D24" s="17"/>
      <c r="E24" s="16"/>
      <c r="F24" s="16"/>
      <c r="G24" s="17"/>
      <c r="H24" s="17"/>
      <c r="I24" s="17"/>
      <c r="J24" s="17"/>
      <c r="K24" s="17"/>
      <c r="L24" s="18"/>
      <c r="M24" s="18"/>
      <c r="N24" s="18"/>
      <c r="O24" s="18"/>
      <c r="P24" s="18"/>
      <c r="Q24" s="18"/>
      <c r="R24" s="17"/>
      <c r="S24" s="17"/>
      <c r="T24" s="17"/>
      <c r="U24" s="17"/>
      <c r="V24" s="17"/>
      <c r="W24" s="17"/>
      <c r="X24" s="19"/>
      <c r="Y24" s="19"/>
      <c r="Z24" s="19"/>
    </row>
    <row r="25" spans="1:38" ht="15.75" x14ac:dyDescent="0.25">
      <c r="A25" s="12"/>
      <c r="B25" s="16"/>
      <c r="C25" s="17"/>
      <c r="D25" s="17"/>
      <c r="E25" s="16"/>
      <c r="F25" s="16"/>
      <c r="G25" s="17"/>
      <c r="H25" s="17"/>
      <c r="I25" s="17"/>
      <c r="J25" s="17"/>
      <c r="K25" s="17"/>
      <c r="L25" s="18"/>
      <c r="M25" s="18"/>
      <c r="N25" s="18"/>
      <c r="O25" s="18"/>
      <c r="P25" s="18"/>
      <c r="Q25" s="18"/>
      <c r="R25" s="17"/>
      <c r="S25" s="17"/>
      <c r="T25" s="17"/>
      <c r="U25" s="17"/>
      <c r="V25" s="17"/>
      <c r="W25" s="17"/>
      <c r="X25" s="19"/>
      <c r="Y25" s="19"/>
      <c r="Z25" s="19"/>
    </row>
    <row r="26" spans="1:38" ht="15.75" x14ac:dyDescent="0.25">
      <c r="A26" s="12"/>
      <c r="B26" s="16"/>
      <c r="C26" s="17"/>
      <c r="D26" s="17"/>
      <c r="E26" s="16"/>
      <c r="F26" s="16"/>
      <c r="G26" s="17"/>
      <c r="H26" s="17"/>
      <c r="I26" s="17"/>
      <c r="J26" s="17"/>
      <c r="K26" s="17"/>
      <c r="L26" s="18"/>
      <c r="M26" s="18"/>
      <c r="N26" s="18"/>
      <c r="O26" s="18"/>
      <c r="P26" s="18"/>
      <c r="Q26" s="18"/>
      <c r="R26" s="17"/>
      <c r="S26" s="17"/>
      <c r="T26" s="17"/>
      <c r="U26" s="17"/>
      <c r="V26" s="17"/>
      <c r="W26" s="17"/>
      <c r="X26" s="19"/>
      <c r="Y26" s="19"/>
      <c r="Z26" s="19"/>
    </row>
    <row r="27" spans="1:38" ht="15.75" x14ac:dyDescent="0.25">
      <c r="A27" s="12"/>
      <c r="B27" s="16"/>
      <c r="C27" s="17"/>
      <c r="D27" s="17"/>
      <c r="E27" s="16"/>
      <c r="F27" s="16"/>
      <c r="G27" s="17"/>
      <c r="H27" s="17"/>
      <c r="I27" s="17"/>
      <c r="J27" s="17"/>
      <c r="K27" s="17"/>
      <c r="L27" s="18"/>
      <c r="M27" s="18"/>
      <c r="N27" s="18"/>
      <c r="O27" s="18"/>
      <c r="P27" s="18"/>
      <c r="Q27" s="18"/>
      <c r="R27" s="17"/>
      <c r="S27" s="17"/>
      <c r="T27" s="17"/>
      <c r="U27" s="17"/>
      <c r="V27" s="17"/>
      <c r="W27" s="17"/>
      <c r="X27" s="19"/>
      <c r="Y27" s="19"/>
      <c r="Z27" s="19"/>
    </row>
    <row r="28" spans="1:38" ht="15.75" x14ac:dyDescent="0.25">
      <c r="A28" s="12"/>
      <c r="B28" s="16"/>
      <c r="C28" s="17"/>
      <c r="D28" s="17"/>
      <c r="E28" s="16"/>
      <c r="F28" s="16"/>
      <c r="G28" s="17"/>
      <c r="H28" s="17"/>
      <c r="I28" s="17"/>
      <c r="J28" s="17"/>
      <c r="K28" s="17"/>
      <c r="L28" s="18"/>
      <c r="M28" s="18"/>
      <c r="N28" s="18"/>
      <c r="O28" s="18"/>
      <c r="P28" s="18"/>
      <c r="Q28" s="18"/>
      <c r="R28" s="17"/>
      <c r="S28" s="17"/>
      <c r="T28" s="17"/>
      <c r="U28" s="17"/>
      <c r="V28" s="17"/>
      <c r="W28" s="17"/>
      <c r="X28" s="19"/>
      <c r="Y28" s="19"/>
      <c r="Z28" s="19"/>
    </row>
    <row r="29" spans="1:38" ht="15.75" x14ac:dyDescent="0.25">
      <c r="A29" s="12"/>
      <c r="B29" s="16"/>
      <c r="C29" s="17"/>
      <c r="D29" s="17"/>
      <c r="E29" s="16"/>
      <c r="F29" s="16"/>
      <c r="G29" s="17"/>
      <c r="H29" s="17"/>
      <c r="I29" s="17"/>
      <c r="J29" s="17"/>
      <c r="K29" s="17"/>
      <c r="L29" s="18"/>
      <c r="M29" s="18"/>
      <c r="N29" s="18"/>
      <c r="O29" s="18"/>
      <c r="P29" s="18"/>
      <c r="Q29" s="18"/>
      <c r="R29" s="17"/>
      <c r="S29" s="17"/>
      <c r="T29" s="17"/>
      <c r="U29" s="17"/>
      <c r="V29" s="17"/>
      <c r="W29" s="17"/>
      <c r="X29" s="19"/>
      <c r="Y29" s="19"/>
      <c r="Z29" s="19"/>
    </row>
    <row r="30" spans="1:38" ht="15.75" x14ac:dyDescent="0.25">
      <c r="A30" s="12"/>
      <c r="B30" s="16"/>
      <c r="C30" s="17"/>
      <c r="D30" s="17"/>
      <c r="E30" s="16"/>
      <c r="F30" s="16"/>
      <c r="G30" s="17"/>
      <c r="H30" s="17"/>
      <c r="I30" s="17"/>
      <c r="J30" s="17"/>
      <c r="K30" s="17"/>
      <c r="L30" s="18"/>
      <c r="M30" s="18"/>
      <c r="N30" s="18"/>
      <c r="O30" s="18"/>
      <c r="P30" s="18"/>
      <c r="Q30" s="18"/>
      <c r="R30" s="17"/>
      <c r="S30" s="17"/>
      <c r="T30" s="17"/>
      <c r="U30" s="17"/>
      <c r="V30" s="17"/>
      <c r="W30" s="17"/>
      <c r="X30" s="19"/>
      <c r="Y30" s="19"/>
      <c r="Z30" s="19"/>
    </row>
    <row r="32" spans="1:38" x14ac:dyDescent="0.25">
      <c r="L32">
        <v>9.5657878176665264E-4</v>
      </c>
      <c r="M32">
        <v>7.2694361240665237E-2</v>
      </c>
      <c r="N32">
        <v>-2.8741830315450438E-4</v>
      </c>
      <c r="O32">
        <v>-2.1138543051779746E-2</v>
      </c>
      <c r="P32">
        <v>-2.0227697047187176E-3</v>
      </c>
      <c r="Q32">
        <v>-0.60468827012652515</v>
      </c>
    </row>
    <row r="33" spans="12:17" x14ac:dyDescent="0.25">
      <c r="L33">
        <v>-1.458571828687718E-4</v>
      </c>
      <c r="M33">
        <v>0.17226517469618494</v>
      </c>
      <c r="N33">
        <v>-8.8023523919035465E-2</v>
      </c>
      <c r="O33">
        <v>-0.19279376667886766</v>
      </c>
      <c r="P33">
        <v>-0.41490211244803576</v>
      </c>
      <c r="Q33">
        <v>-0.90825290012760196</v>
      </c>
    </row>
    <row r="34" spans="12:17" x14ac:dyDescent="0.25">
      <c r="L34">
        <v>5.7518300212201599E-11</v>
      </c>
      <c r="M34">
        <v>-7.4356282015799996E-2</v>
      </c>
      <c r="N34">
        <v>-0.16494077153714221</v>
      </c>
      <c r="O34">
        <v>-0.18095861276512423</v>
      </c>
      <c r="P34">
        <v>-0.96464231548638302</v>
      </c>
      <c r="Q34">
        <v>0.26697732246335143</v>
      </c>
    </row>
    <row r="35" spans="12:17" x14ac:dyDescent="0.25">
      <c r="L35">
        <v>4.9379611457160786E-4</v>
      </c>
      <c r="M35">
        <v>-2.1634846289556441E-2</v>
      </c>
      <c r="N35">
        <v>-0.12006166102294483</v>
      </c>
      <c r="O35">
        <v>-0.11448486491958909</v>
      </c>
      <c r="P35">
        <v>-0.62930011803129793</v>
      </c>
      <c r="Q35">
        <v>-0.27101391278391496</v>
      </c>
    </row>
    <row r="36" spans="12:17" x14ac:dyDescent="0.25">
      <c r="L36">
        <v>-4.5819363388087796E-3</v>
      </c>
      <c r="M36">
        <v>0.28390673405969918</v>
      </c>
      <c r="N36">
        <v>-4.8724483888921521E-4</v>
      </c>
      <c r="O36">
        <v>-0.61889078626534255</v>
      </c>
      <c r="P36">
        <v>-1.267551251051705E-2</v>
      </c>
      <c r="Q36">
        <v>-1.2325665025982531</v>
      </c>
    </row>
    <row r="37" spans="12:17" x14ac:dyDescent="0.25">
      <c r="L37">
        <v>1.6979007357138377E-10</v>
      </c>
      <c r="M37">
        <v>-0.18716387860592729</v>
      </c>
      <c r="N37">
        <v>-0.16806378308601461</v>
      </c>
      <c r="O37">
        <v>-0.28801925372046694</v>
      </c>
      <c r="P37">
        <v>-0.98270551214593738</v>
      </c>
      <c r="Q37">
        <v>0.97508879698836848</v>
      </c>
    </row>
    <row r="38" spans="12:17" x14ac:dyDescent="0.25">
      <c r="L38">
        <v>-1.0622161300470915E-3</v>
      </c>
      <c r="M38">
        <v>0.21139418103685126</v>
      </c>
      <c r="N38">
        <v>-0.2113934546901064</v>
      </c>
      <c r="O38">
        <v>-0.36911824275776411</v>
      </c>
      <c r="P38">
        <v>-1.1681823258236728</v>
      </c>
      <c r="Q38">
        <v>-1.1660599186621596</v>
      </c>
    </row>
    <row r="39" spans="12:17" x14ac:dyDescent="0.25">
      <c r="L39">
        <v>-2.2096057940771425E-3</v>
      </c>
      <c r="M39">
        <v>8.058885789780422E-2</v>
      </c>
      <c r="N39">
        <v>-4.4861252858960247E-2</v>
      </c>
      <c r="O39">
        <v>-4.9910609345041552E-2</v>
      </c>
      <c r="P39">
        <v>-0.30064122226667728</v>
      </c>
      <c r="Q39">
        <v>-0.29587256984070576</v>
      </c>
    </row>
    <row r="40" spans="12:17" x14ac:dyDescent="0.25">
      <c r="L40">
        <v>-1.9082601735098492E-3</v>
      </c>
      <c r="M40">
        <v>0.20607246383840794</v>
      </c>
      <c r="N40">
        <v>-0.1344670253704548</v>
      </c>
      <c r="O40">
        <v>-0.29754453475964471</v>
      </c>
      <c r="P40">
        <v>-0.78822362419490555</v>
      </c>
      <c r="Q40">
        <v>-0.96521536461586721</v>
      </c>
    </row>
    <row r="41" spans="12:17" x14ac:dyDescent="0.25">
      <c r="L41">
        <v>8.4458180584789759E-3</v>
      </c>
      <c r="M41">
        <v>-0.16710836284611411</v>
      </c>
      <c r="N41">
        <v>-2.5632392885112493E-3</v>
      </c>
      <c r="O41">
        <v>-0.70681903084305686</v>
      </c>
      <c r="P41">
        <v>-3.7748414235381778E-2</v>
      </c>
      <c r="Q41">
        <v>0.22226753736367866</v>
      </c>
    </row>
    <row r="42" spans="12:17" x14ac:dyDescent="0.25">
      <c r="L42">
        <v>4.2801599107240547E-3</v>
      </c>
      <c r="M42">
        <v>-0.10412283431828991</v>
      </c>
      <c r="N42">
        <v>-8.4602610175346676E-2</v>
      </c>
      <c r="O42">
        <v>-0.26441447244157301</v>
      </c>
      <c r="P42">
        <v>-0.56821845710410179</v>
      </c>
      <c r="Q42">
        <v>0.15609938765694492</v>
      </c>
    </row>
    <row r="43" spans="12:17" x14ac:dyDescent="0.25">
      <c r="L43">
        <v>-4.2926648652987718E-4</v>
      </c>
      <c r="M43">
        <v>0.25528551806683908</v>
      </c>
      <c r="N43">
        <v>-0.25539801254669259</v>
      </c>
      <c r="O43">
        <v>-1.2059366826870874</v>
      </c>
      <c r="P43">
        <v>-1.0362116995146369</v>
      </c>
      <c r="Q43">
        <v>-1.0335585189019187</v>
      </c>
    </row>
    <row r="44" spans="12:17" x14ac:dyDescent="0.25">
      <c r="L44">
        <v>8.3293819465282085E-3</v>
      </c>
      <c r="M44">
        <v>-0.14881434111448233</v>
      </c>
      <c r="N44">
        <v>-0.19436597849963258</v>
      </c>
      <c r="O44">
        <v>-0.74260892582773985</v>
      </c>
      <c r="P44">
        <v>-0.72381920487860518</v>
      </c>
      <c r="Q44">
        <v>0.39182548017891894</v>
      </c>
    </row>
    <row r="45" spans="12:17" x14ac:dyDescent="0.25">
      <c r="L45">
        <v>-5.2306949726201713E-11</v>
      </c>
      <c r="M45">
        <v>0.18569469024108576</v>
      </c>
      <c r="N45">
        <v>-9.8411084345253336E-2</v>
      </c>
      <c r="O45">
        <v>-0.2274388427686764</v>
      </c>
      <c r="P45">
        <v>-0.89924073937052362</v>
      </c>
      <c r="Q45">
        <v>-0.87208468129671668</v>
      </c>
    </row>
    <row r="46" spans="12:17" x14ac:dyDescent="0.25">
      <c r="L46">
        <v>-9.5520792187484653E-3</v>
      </c>
      <c r="M46">
        <v>0.23094312441035475</v>
      </c>
      <c r="N46">
        <v>-8.8665441833246178E-2</v>
      </c>
      <c r="O46">
        <v>-0.78082987834064832</v>
      </c>
      <c r="P46">
        <v>-0.83294555280046867</v>
      </c>
      <c r="Q46">
        <v>-0.62171232544543809</v>
      </c>
    </row>
    <row r="47" spans="12:17" x14ac:dyDescent="0.25">
      <c r="L47">
        <v>1.8758774985504544E-3</v>
      </c>
      <c r="M47">
        <v>-0.11932263032959782</v>
      </c>
      <c r="N47">
        <v>-0.19241742005333581</v>
      </c>
      <c r="O47">
        <v>-0.38573947735126057</v>
      </c>
      <c r="P47">
        <v>-0.93598364283110613</v>
      </c>
      <c r="Q47">
        <v>0.3695443826627175</v>
      </c>
    </row>
    <row r="48" spans="12:17" x14ac:dyDescent="0.25">
      <c r="L48">
        <v>-1.6817598314844236E-4</v>
      </c>
      <c r="M48">
        <v>0.13028706443396329</v>
      </c>
      <c r="N48">
        <v>-7.3391100233516651E-2</v>
      </c>
      <c r="O48">
        <v>-4.763889481101051E-2</v>
      </c>
      <c r="P48">
        <v>-0.56548887885272636</v>
      </c>
      <c r="Q48">
        <v>-0.86454387832232749</v>
      </c>
    </row>
    <row r="49" spans="12:17" x14ac:dyDescent="0.25">
      <c r="L49">
        <v>2.4534723389427315E-3</v>
      </c>
      <c r="M49">
        <v>-0.20639670239494295</v>
      </c>
      <c r="N49">
        <v>-0.10961922421182543</v>
      </c>
      <c r="O49">
        <v>-0.71088987358984979</v>
      </c>
      <c r="P49">
        <v>-1.0060143695549923</v>
      </c>
      <c r="Q49">
        <v>0.55534908040432174</v>
      </c>
    </row>
  </sheetData>
  <sortState xmlns:xlrd2="http://schemas.microsoft.com/office/spreadsheetml/2017/richdata2" ref="A3:AL20">
    <sortCondition descending="1" ref="AI3:AI20"/>
  </sortState>
  <mergeCells count="5">
    <mergeCell ref="A1:K1"/>
    <mergeCell ref="L1:Q1"/>
    <mergeCell ref="AA1:AH1"/>
    <mergeCell ref="AI1:AT1"/>
    <mergeCell ref="AM2:AT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523D-6139-44A0-9AFE-574AC028A6F2}">
  <dimension ref="A1:I1"/>
  <sheetViews>
    <sheetView workbookViewId="0">
      <selection sqref="A1:I1"/>
    </sheetView>
  </sheetViews>
  <sheetFormatPr defaultRowHeight="15" x14ac:dyDescent="0.25"/>
  <sheetData>
    <row r="1" spans="1:9" x14ac:dyDescent="0.25">
      <c r="A1">
        <v>2.18013394623995E-3</v>
      </c>
      <c r="B1">
        <v>3.2103806734085097E-2</v>
      </c>
      <c r="C1">
        <v>-7.3234974406659603E-3</v>
      </c>
      <c r="D1">
        <v>-9.8161064088344609E-3</v>
      </c>
      <c r="E1">
        <v>-3.0252411961555498E-2</v>
      </c>
      <c r="F1">
        <v>-0.40001493692398099</v>
      </c>
      <c r="G1">
        <v>1</v>
      </c>
      <c r="H1">
        <v>0</v>
      </c>
      <c r="I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44"/>
  <sheetViews>
    <sheetView workbookViewId="0">
      <selection activeCell="H3" sqref="H3:M3"/>
    </sheetView>
  </sheetViews>
  <sheetFormatPr defaultRowHeight="15" x14ac:dyDescent="0.25"/>
  <sheetData>
    <row r="1" spans="1:13" ht="15.75" x14ac:dyDescent="0.25">
      <c r="A1" s="44" t="s">
        <v>21</v>
      </c>
      <c r="B1" s="45"/>
      <c r="C1" s="45"/>
      <c r="D1" s="45"/>
      <c r="E1" s="45"/>
      <c r="F1" s="46"/>
      <c r="H1" s="44" t="s">
        <v>22</v>
      </c>
      <c r="I1" s="45"/>
      <c r="J1" s="45"/>
      <c r="K1" s="45"/>
      <c r="L1" s="45"/>
      <c r="M1" s="46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-0.40001493692398099</v>
      </c>
      <c r="B3">
        <v>3.0252411961555498E-2</v>
      </c>
      <c r="C3">
        <v>-9.8161064088344609E-3</v>
      </c>
      <c r="D3">
        <v>-7.3234974406659603E-3</v>
      </c>
      <c r="E3">
        <v>-3.2103806734085097E-2</v>
      </c>
      <c r="F3" s="4">
        <v>2.18013394623995E-3</v>
      </c>
      <c r="H3">
        <f>$F3</f>
        <v>2.18013394623995E-3</v>
      </c>
      <c r="I3">
        <f>-1*$E3</f>
        <v>3.2103806734085097E-2</v>
      </c>
      <c r="J3">
        <f>$D3</f>
        <v>-7.3234974406659603E-3</v>
      </c>
      <c r="K3">
        <f>$C3</f>
        <v>-9.8161064088344609E-3</v>
      </c>
      <c r="L3">
        <f>-1*$B3</f>
        <v>-3.0252411961555498E-2</v>
      </c>
      <c r="M3">
        <f>$A3</f>
        <v>-0.40001493692398099</v>
      </c>
    </row>
    <row r="4" spans="1:13" x14ac:dyDescent="0.25">
      <c r="H4">
        <f t="shared" ref="H4:H44" si="0">$F4</f>
        <v>0</v>
      </c>
      <c r="I4">
        <f t="shared" ref="I4:I44" si="1">-1*$E4</f>
        <v>0</v>
      </c>
      <c r="J4">
        <f t="shared" ref="J4:J44" si="2">$D4</f>
        <v>0</v>
      </c>
      <c r="K4">
        <f t="shared" ref="K4:K44" si="3">$C4</f>
        <v>0</v>
      </c>
      <c r="L4">
        <f t="shared" ref="L4:L44" si="4">-1*$B4</f>
        <v>0</v>
      </c>
      <c r="M4">
        <f t="shared" ref="M4:M44" si="5">$A4</f>
        <v>0</v>
      </c>
    </row>
    <row r="5" spans="1:13" x14ac:dyDescent="0.25"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0</v>
      </c>
    </row>
    <row r="6" spans="1:13" x14ac:dyDescent="0.25"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0</v>
      </c>
      <c r="M6">
        <f t="shared" si="5"/>
        <v>0</v>
      </c>
    </row>
    <row r="7" spans="1:13" x14ac:dyDescent="0.25"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</row>
    <row r="8" spans="1:13" x14ac:dyDescent="0.25"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</row>
    <row r="9" spans="1:13" x14ac:dyDescent="0.25"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</row>
    <row r="10" spans="1:13" x14ac:dyDescent="0.2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</row>
    <row r="11" spans="1:13" x14ac:dyDescent="0.2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</row>
    <row r="12" spans="1:13" x14ac:dyDescent="0.2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</row>
    <row r="13" spans="1:13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3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8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8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8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8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8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8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8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8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8:13" x14ac:dyDescent="0.2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8:13" x14ac:dyDescent="0.2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  <row r="29" spans="8:13" x14ac:dyDescent="0.25"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0</v>
      </c>
      <c r="M29">
        <f t="shared" si="5"/>
        <v>0</v>
      </c>
    </row>
    <row r="30" spans="8:13" x14ac:dyDescent="0.25"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4"/>
        <v>0</v>
      </c>
      <c r="M30">
        <f t="shared" si="5"/>
        <v>0</v>
      </c>
    </row>
    <row r="31" spans="8:13" x14ac:dyDescent="0.25"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0</v>
      </c>
      <c r="M31">
        <f t="shared" si="5"/>
        <v>0</v>
      </c>
    </row>
    <row r="32" spans="8:13" x14ac:dyDescent="0.25"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0</v>
      </c>
      <c r="M32">
        <f t="shared" si="5"/>
        <v>0</v>
      </c>
    </row>
    <row r="33" spans="8:13" x14ac:dyDescent="0.25">
      <c r="H33">
        <f t="shared" si="0"/>
        <v>0</v>
      </c>
      <c r="I33">
        <f t="shared" si="1"/>
        <v>0</v>
      </c>
      <c r="J33">
        <f t="shared" si="2"/>
        <v>0</v>
      </c>
      <c r="K33">
        <f t="shared" si="3"/>
        <v>0</v>
      </c>
      <c r="L33">
        <f t="shared" si="4"/>
        <v>0</v>
      </c>
      <c r="M33">
        <f t="shared" si="5"/>
        <v>0</v>
      </c>
    </row>
    <row r="34" spans="8:13" x14ac:dyDescent="0.25"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0</v>
      </c>
      <c r="L34">
        <f t="shared" si="4"/>
        <v>0</v>
      </c>
      <c r="M34">
        <f t="shared" si="5"/>
        <v>0</v>
      </c>
    </row>
    <row r="35" spans="8:13" x14ac:dyDescent="0.25"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4"/>
        <v>0</v>
      </c>
      <c r="M35">
        <f t="shared" si="5"/>
        <v>0</v>
      </c>
    </row>
    <row r="36" spans="8:13" x14ac:dyDescent="0.25"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4"/>
        <v>0</v>
      </c>
      <c r="M36">
        <f t="shared" si="5"/>
        <v>0</v>
      </c>
    </row>
    <row r="37" spans="8:13" x14ac:dyDescent="0.25"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4"/>
        <v>0</v>
      </c>
      <c r="M37">
        <f t="shared" si="5"/>
        <v>0</v>
      </c>
    </row>
    <row r="38" spans="8:13" x14ac:dyDescent="0.25"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4"/>
        <v>0</v>
      </c>
      <c r="M38">
        <f t="shared" si="5"/>
        <v>0</v>
      </c>
    </row>
    <row r="39" spans="8:13" x14ac:dyDescent="0.25"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4"/>
        <v>0</v>
      </c>
      <c r="M39">
        <f t="shared" si="5"/>
        <v>0</v>
      </c>
    </row>
    <row r="40" spans="8:13" x14ac:dyDescent="0.25">
      <c r="H40">
        <f t="shared" si="0"/>
        <v>0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4"/>
        <v>0</v>
      </c>
      <c r="M40">
        <f t="shared" si="5"/>
        <v>0</v>
      </c>
    </row>
    <row r="41" spans="8:13" x14ac:dyDescent="0.25"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4"/>
        <v>0</v>
      </c>
      <c r="M41">
        <f t="shared" si="5"/>
        <v>0</v>
      </c>
    </row>
    <row r="42" spans="8:13" x14ac:dyDescent="0.25"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4"/>
        <v>0</v>
      </c>
      <c r="M42">
        <f t="shared" si="5"/>
        <v>0</v>
      </c>
    </row>
    <row r="43" spans="8:13" x14ac:dyDescent="0.25"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4"/>
        <v>0</v>
      </c>
      <c r="M43">
        <f t="shared" si="5"/>
        <v>0</v>
      </c>
    </row>
    <row r="44" spans="8:13" x14ac:dyDescent="0.25"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4"/>
        <v>0</v>
      </c>
      <c r="M44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(double)</vt:lpstr>
      <vt:lpstr>Distal Vali (double, loose)</vt:lpstr>
      <vt:lpstr>Distal Vali (double 1.75 0.2F+)</vt:lpstr>
      <vt:lpstr>Distal Vali (double 2to1.25)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2025-10-08T01:14:51Z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