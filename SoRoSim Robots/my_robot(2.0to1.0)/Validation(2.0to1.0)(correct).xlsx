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jpropertycom-my.sharepoint.com/personal/noah_familiajones_org/Documents/Work and Projects/Github/Whisker_Inspired_Sensing_CR/SoRoSim Robots/my_robot(2.0to1.0)/"/>
    </mc:Choice>
  </mc:AlternateContent>
  <xr:revisionPtr revIDLastSave="858" documentId="8_{DFFD6B0C-681F-42C8-B2E4-5D4B90AAE966}" xr6:coauthVersionLast="47" xr6:coauthVersionMax="47" xr10:uidLastSave="{ADEA899C-E081-4095-8226-081B2CD6ECF1}"/>
  <bookViews>
    <workbookView xWindow="-120" yWindow="-120" windowWidth="29040" windowHeight="15720" activeTab="1" xr2:uid="{3D16C37F-3C74-4527-A308-796C339DFE9F}"/>
  </bookViews>
  <sheets>
    <sheet name="get_proximal_value Validation" sheetId="1" r:id="rId1"/>
    <sheet name="get_distal_value Validation" sheetId="3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4" i="3" l="1" a="1"/>
  <c r="T54" i="3"/>
  <c r="U54" i="3" a="1"/>
  <c r="U54" i="3"/>
  <c r="V54" i="3" a="1"/>
  <c r="V54" i="3"/>
  <c r="S54" i="3" a="1"/>
  <c r="S54" i="3"/>
  <c r="S52" i="3"/>
  <c r="G5" i="3"/>
  <c r="H5" i="3"/>
  <c r="I5" i="3"/>
  <c r="J5" i="3"/>
  <c r="K5" i="3"/>
  <c r="L5" i="3"/>
  <c r="M5" i="3"/>
  <c r="G6" i="3"/>
  <c r="H6" i="3"/>
  <c r="I6" i="3"/>
  <c r="J6" i="3"/>
  <c r="K6" i="3"/>
  <c r="L6" i="3"/>
  <c r="M6" i="3"/>
  <c r="G7" i="3"/>
  <c r="H7" i="3"/>
  <c r="I7" i="3"/>
  <c r="J7" i="3"/>
  <c r="K7" i="3"/>
  <c r="L7" i="3"/>
  <c r="M7" i="3"/>
  <c r="G8" i="3"/>
  <c r="H8" i="3"/>
  <c r="I8" i="3"/>
  <c r="J8" i="3"/>
  <c r="K8" i="3"/>
  <c r="L8" i="3"/>
  <c r="M8" i="3"/>
  <c r="G9" i="3"/>
  <c r="H9" i="3"/>
  <c r="I9" i="3"/>
  <c r="J9" i="3"/>
  <c r="K9" i="3"/>
  <c r="L9" i="3"/>
  <c r="M9" i="3"/>
  <c r="G10" i="3"/>
  <c r="H10" i="3"/>
  <c r="I10" i="3"/>
  <c r="J10" i="3"/>
  <c r="K10" i="3"/>
  <c r="L10" i="3"/>
  <c r="M10" i="3"/>
  <c r="G11" i="3"/>
  <c r="H11" i="3"/>
  <c r="I11" i="3"/>
  <c r="J11" i="3"/>
  <c r="K11" i="3"/>
  <c r="L11" i="3"/>
  <c r="M11" i="3"/>
  <c r="G12" i="3"/>
  <c r="H12" i="3"/>
  <c r="I12" i="3"/>
  <c r="J12" i="3"/>
  <c r="K12" i="3"/>
  <c r="L12" i="3"/>
  <c r="M12" i="3"/>
  <c r="G13" i="3"/>
  <c r="H13" i="3"/>
  <c r="I13" i="3"/>
  <c r="J13" i="3"/>
  <c r="K13" i="3"/>
  <c r="L13" i="3"/>
  <c r="M13" i="3"/>
  <c r="G14" i="3"/>
  <c r="H14" i="3"/>
  <c r="I14" i="3"/>
  <c r="J14" i="3"/>
  <c r="K14" i="3"/>
  <c r="L14" i="3"/>
  <c r="M14" i="3"/>
  <c r="G15" i="3"/>
  <c r="H15" i="3"/>
  <c r="I15" i="3"/>
  <c r="J15" i="3"/>
  <c r="K15" i="3"/>
  <c r="L15" i="3"/>
  <c r="M15" i="3"/>
  <c r="G16" i="3"/>
  <c r="H16" i="3"/>
  <c r="I16" i="3"/>
  <c r="J16" i="3"/>
  <c r="K16" i="3"/>
  <c r="L16" i="3"/>
  <c r="M16" i="3"/>
  <c r="G17" i="3"/>
  <c r="H17" i="3"/>
  <c r="I17" i="3"/>
  <c r="J17" i="3"/>
  <c r="K17" i="3"/>
  <c r="L17" i="3"/>
  <c r="M17" i="3"/>
  <c r="G18" i="3"/>
  <c r="H18" i="3"/>
  <c r="I18" i="3"/>
  <c r="J18" i="3"/>
  <c r="K18" i="3"/>
  <c r="L18" i="3"/>
  <c r="M18" i="3"/>
  <c r="G19" i="3"/>
  <c r="H19" i="3"/>
  <c r="I19" i="3"/>
  <c r="J19" i="3"/>
  <c r="K19" i="3"/>
  <c r="L19" i="3"/>
  <c r="M19" i="3"/>
  <c r="G20" i="3"/>
  <c r="H20" i="3"/>
  <c r="I20" i="3"/>
  <c r="J20" i="3"/>
  <c r="K20" i="3"/>
  <c r="L20" i="3"/>
  <c r="M20" i="3"/>
  <c r="G21" i="3"/>
  <c r="H21" i="3"/>
  <c r="I21" i="3"/>
  <c r="J21" i="3"/>
  <c r="K21" i="3"/>
  <c r="L21" i="3"/>
  <c r="M21" i="3"/>
  <c r="G22" i="3"/>
  <c r="H22" i="3"/>
  <c r="I22" i="3"/>
  <c r="J22" i="3"/>
  <c r="K22" i="3"/>
  <c r="L22" i="3"/>
  <c r="M22" i="3"/>
  <c r="G23" i="3"/>
  <c r="H23" i="3"/>
  <c r="I23" i="3"/>
  <c r="J23" i="3"/>
  <c r="K23" i="3"/>
  <c r="L23" i="3"/>
  <c r="M23" i="3"/>
  <c r="G4" i="3"/>
  <c r="H4" i="3"/>
  <c r="I4" i="3"/>
  <c r="J4" i="3"/>
  <c r="K4" i="3"/>
  <c r="L4" i="3"/>
  <c r="M4" i="3"/>
  <c r="A5" i="3"/>
  <c r="B5" i="3"/>
  <c r="C5" i="3"/>
  <c r="D5" i="3"/>
  <c r="E5" i="3"/>
  <c r="F5" i="3"/>
  <c r="A6" i="3"/>
  <c r="S6" i="3" s="1"/>
  <c r="B6" i="3"/>
  <c r="T6" i="3" s="1"/>
  <c r="C6" i="3"/>
  <c r="U6" i="3" s="1"/>
  <c r="D6" i="3"/>
  <c r="V6" i="3" s="1"/>
  <c r="E6" i="3"/>
  <c r="F6" i="3"/>
  <c r="A7" i="3"/>
  <c r="S7" i="3" s="1"/>
  <c r="B7" i="3"/>
  <c r="C7" i="3"/>
  <c r="D7" i="3"/>
  <c r="V7" i="3" s="1"/>
  <c r="E7" i="3"/>
  <c r="F7" i="3"/>
  <c r="A8" i="3"/>
  <c r="S8" i="3" s="1"/>
  <c r="B8" i="3"/>
  <c r="T8" i="3" s="1"/>
  <c r="C8" i="3"/>
  <c r="D8" i="3"/>
  <c r="V8" i="3" s="1"/>
  <c r="E8" i="3"/>
  <c r="F8" i="3"/>
  <c r="A9" i="3"/>
  <c r="S9" i="3" s="1"/>
  <c r="B9" i="3"/>
  <c r="C9" i="3"/>
  <c r="D9" i="3"/>
  <c r="V9" i="3" s="1"/>
  <c r="E9" i="3"/>
  <c r="F9" i="3"/>
  <c r="A10" i="3"/>
  <c r="S10" i="3" s="1"/>
  <c r="B10" i="3"/>
  <c r="T10" i="3" s="1"/>
  <c r="C10" i="3"/>
  <c r="D10" i="3"/>
  <c r="V10" i="3" s="1"/>
  <c r="E10" i="3"/>
  <c r="F10" i="3"/>
  <c r="A11" i="3"/>
  <c r="S11" i="3" s="1"/>
  <c r="B11" i="3"/>
  <c r="C11" i="3"/>
  <c r="D11" i="3"/>
  <c r="V11" i="3" s="1"/>
  <c r="E11" i="3"/>
  <c r="F11" i="3"/>
  <c r="A12" i="3"/>
  <c r="S12" i="3" s="1"/>
  <c r="B12" i="3"/>
  <c r="T12" i="3" s="1"/>
  <c r="C12" i="3"/>
  <c r="U12" i="3" s="1"/>
  <c r="D12" i="3"/>
  <c r="V12" i="3" s="1"/>
  <c r="E12" i="3"/>
  <c r="F12" i="3"/>
  <c r="A13" i="3"/>
  <c r="S13" i="3" s="1"/>
  <c r="B13" i="3"/>
  <c r="C13" i="3"/>
  <c r="D13" i="3"/>
  <c r="E13" i="3"/>
  <c r="F13" i="3"/>
  <c r="A14" i="3"/>
  <c r="S14" i="3" s="1"/>
  <c r="B14" i="3"/>
  <c r="T14" i="3" s="1"/>
  <c r="C14" i="3"/>
  <c r="U14" i="3" s="1"/>
  <c r="D14" i="3"/>
  <c r="V14" i="3" s="1"/>
  <c r="E14" i="3"/>
  <c r="F14" i="3"/>
  <c r="A15" i="3"/>
  <c r="S15" i="3" s="1"/>
  <c r="B15" i="3"/>
  <c r="C15" i="3"/>
  <c r="D15" i="3"/>
  <c r="V15" i="3" s="1"/>
  <c r="E15" i="3"/>
  <c r="F15" i="3"/>
  <c r="A16" i="3"/>
  <c r="S16" i="3" s="1"/>
  <c r="B16" i="3"/>
  <c r="T16" i="3" s="1"/>
  <c r="C16" i="3"/>
  <c r="U16" i="3" s="1"/>
  <c r="D16" i="3"/>
  <c r="V16" i="3" s="1"/>
  <c r="E16" i="3"/>
  <c r="F16" i="3"/>
  <c r="A17" i="3"/>
  <c r="S17" i="3" s="1"/>
  <c r="B17" i="3"/>
  <c r="C17" i="3"/>
  <c r="D17" i="3"/>
  <c r="V17" i="3" s="1"/>
  <c r="E17" i="3"/>
  <c r="F17" i="3"/>
  <c r="A18" i="3"/>
  <c r="B18" i="3"/>
  <c r="T18" i="3" s="1"/>
  <c r="C18" i="3"/>
  <c r="D18" i="3"/>
  <c r="V18" i="3" s="1"/>
  <c r="E18" i="3"/>
  <c r="F18" i="3"/>
  <c r="A19" i="3"/>
  <c r="S19" i="3" s="1"/>
  <c r="B19" i="3"/>
  <c r="C19" i="3"/>
  <c r="D19" i="3"/>
  <c r="E19" i="3"/>
  <c r="F19" i="3"/>
  <c r="A20" i="3"/>
  <c r="S20" i="3" s="1"/>
  <c r="B20" i="3"/>
  <c r="T20" i="3" s="1"/>
  <c r="C20" i="3"/>
  <c r="U20" i="3" s="1"/>
  <c r="D20" i="3"/>
  <c r="V20" i="3" s="1"/>
  <c r="E20" i="3"/>
  <c r="F20" i="3"/>
  <c r="A21" i="3"/>
  <c r="S21" i="3" s="1"/>
  <c r="B21" i="3"/>
  <c r="C21" i="3"/>
  <c r="D21" i="3"/>
  <c r="V21" i="3" s="1"/>
  <c r="E21" i="3"/>
  <c r="F21" i="3"/>
  <c r="A22" i="3"/>
  <c r="S22" i="3" s="1"/>
  <c r="B22" i="3"/>
  <c r="T22" i="3" s="1"/>
  <c r="C22" i="3"/>
  <c r="U22" i="3" s="1"/>
  <c r="D22" i="3"/>
  <c r="V22" i="3" s="1"/>
  <c r="E22" i="3"/>
  <c r="F22" i="3"/>
  <c r="A23" i="3"/>
  <c r="S23" i="3" s="1"/>
  <c r="B23" i="3"/>
  <c r="C23" i="3"/>
  <c r="D23" i="3"/>
  <c r="E23" i="3"/>
  <c r="F23" i="3"/>
  <c r="A24" i="3"/>
  <c r="B24" i="3"/>
  <c r="C24" i="3"/>
  <c r="D24" i="3"/>
  <c r="E24" i="3"/>
  <c r="F24" i="3"/>
  <c r="A25" i="3"/>
  <c r="B25" i="3"/>
  <c r="C25" i="3"/>
  <c r="D25" i="3"/>
  <c r="E25" i="3"/>
  <c r="F25" i="3"/>
  <c r="A26" i="3"/>
  <c r="B26" i="3"/>
  <c r="C26" i="3"/>
  <c r="D26" i="3"/>
  <c r="E26" i="3"/>
  <c r="F26" i="3"/>
  <c r="A27" i="3"/>
  <c r="B27" i="3"/>
  <c r="C27" i="3"/>
  <c r="D27" i="3"/>
  <c r="E27" i="3"/>
  <c r="F27" i="3"/>
  <c r="A28" i="3"/>
  <c r="B28" i="3"/>
  <c r="C28" i="3"/>
  <c r="D28" i="3"/>
  <c r="E28" i="3"/>
  <c r="F28" i="3"/>
  <c r="A29" i="3"/>
  <c r="B29" i="3"/>
  <c r="C29" i="3"/>
  <c r="D29" i="3"/>
  <c r="E29" i="3"/>
  <c r="F29" i="3"/>
  <c r="A30" i="3"/>
  <c r="B30" i="3"/>
  <c r="C30" i="3"/>
  <c r="D30" i="3"/>
  <c r="E30" i="3"/>
  <c r="F30" i="3"/>
  <c r="A31" i="3"/>
  <c r="B31" i="3"/>
  <c r="C31" i="3"/>
  <c r="D31" i="3"/>
  <c r="E31" i="3"/>
  <c r="F31" i="3"/>
  <c r="A32" i="3"/>
  <c r="B32" i="3"/>
  <c r="C32" i="3"/>
  <c r="D32" i="3"/>
  <c r="E32" i="3"/>
  <c r="F32" i="3"/>
  <c r="A33" i="3"/>
  <c r="B33" i="3"/>
  <c r="C33" i="3"/>
  <c r="D33" i="3"/>
  <c r="E33" i="3"/>
  <c r="F33" i="3"/>
  <c r="A34" i="3"/>
  <c r="B34" i="3"/>
  <c r="C34" i="3"/>
  <c r="D34" i="3"/>
  <c r="E34" i="3"/>
  <c r="F34" i="3"/>
  <c r="A35" i="3"/>
  <c r="B35" i="3"/>
  <c r="C35" i="3"/>
  <c r="D35" i="3"/>
  <c r="E35" i="3"/>
  <c r="F35" i="3"/>
  <c r="A36" i="3"/>
  <c r="B36" i="3"/>
  <c r="C36" i="3"/>
  <c r="D36" i="3"/>
  <c r="E36" i="3"/>
  <c r="F36" i="3"/>
  <c r="A37" i="3"/>
  <c r="B37" i="3"/>
  <c r="C37" i="3"/>
  <c r="D37" i="3"/>
  <c r="E37" i="3"/>
  <c r="F37" i="3"/>
  <c r="A38" i="3"/>
  <c r="B38" i="3"/>
  <c r="C38" i="3"/>
  <c r="D38" i="3"/>
  <c r="E38" i="3"/>
  <c r="F38" i="3"/>
  <c r="A39" i="3"/>
  <c r="B39" i="3"/>
  <c r="C39" i="3"/>
  <c r="D39" i="3"/>
  <c r="E39" i="3"/>
  <c r="F39" i="3"/>
  <c r="A40" i="3"/>
  <c r="B40" i="3"/>
  <c r="C40" i="3"/>
  <c r="D40" i="3"/>
  <c r="E40" i="3"/>
  <c r="F40" i="3"/>
  <c r="A4" i="3"/>
  <c r="S4" i="3" s="1"/>
  <c r="B4" i="3"/>
  <c r="T4" i="3" s="1"/>
  <c r="C4" i="3"/>
  <c r="U4" i="3" s="1"/>
  <c r="D4" i="3"/>
  <c r="V4" i="3" s="1"/>
  <c r="E4" i="3"/>
  <c r="F4" i="3"/>
  <c r="AB6" i="1"/>
  <c r="AC6" i="1"/>
  <c r="AD6" i="1"/>
  <c r="AE6" i="1"/>
  <c r="AF6" i="1"/>
  <c r="AG6" i="1"/>
  <c r="AB7" i="1"/>
  <c r="AC7" i="1"/>
  <c r="AD7" i="1"/>
  <c r="AE7" i="1"/>
  <c r="AF7" i="1"/>
  <c r="AG7" i="1"/>
  <c r="AB8" i="1"/>
  <c r="AC8" i="1"/>
  <c r="AD8" i="1"/>
  <c r="AE8" i="1"/>
  <c r="AF8" i="1"/>
  <c r="AG8" i="1"/>
  <c r="AB9" i="1"/>
  <c r="AC9" i="1"/>
  <c r="AD9" i="1"/>
  <c r="AE9" i="1"/>
  <c r="AF9" i="1"/>
  <c r="AG9" i="1"/>
  <c r="AB10" i="1"/>
  <c r="AC10" i="1"/>
  <c r="AD10" i="1"/>
  <c r="AE10" i="1"/>
  <c r="AF10" i="1"/>
  <c r="AG10" i="1"/>
  <c r="AB11" i="1"/>
  <c r="AC11" i="1"/>
  <c r="AD11" i="1"/>
  <c r="AE11" i="1"/>
  <c r="AF11" i="1"/>
  <c r="AG11" i="1"/>
  <c r="AB12" i="1"/>
  <c r="AC12" i="1"/>
  <c r="AD12" i="1"/>
  <c r="AE12" i="1"/>
  <c r="AF12" i="1"/>
  <c r="AG12" i="1"/>
  <c r="AB13" i="1"/>
  <c r="AC13" i="1"/>
  <c r="AD13" i="1"/>
  <c r="AE13" i="1"/>
  <c r="AF13" i="1"/>
  <c r="AG13" i="1"/>
  <c r="AB14" i="1"/>
  <c r="AC14" i="1"/>
  <c r="AD14" i="1"/>
  <c r="AE14" i="1"/>
  <c r="AF14" i="1"/>
  <c r="AG14" i="1"/>
  <c r="AB15" i="1"/>
  <c r="AC15" i="1"/>
  <c r="AD15" i="1"/>
  <c r="AE15" i="1"/>
  <c r="AF15" i="1"/>
  <c r="AG15" i="1"/>
  <c r="AB16" i="1"/>
  <c r="AC16" i="1"/>
  <c r="AD16" i="1"/>
  <c r="AE16" i="1"/>
  <c r="AF16" i="1"/>
  <c r="AG16" i="1"/>
  <c r="AB17" i="1"/>
  <c r="AC17" i="1"/>
  <c r="AD17" i="1"/>
  <c r="AE17" i="1"/>
  <c r="AF17" i="1"/>
  <c r="AG17" i="1"/>
  <c r="AB18" i="1"/>
  <c r="AC18" i="1"/>
  <c r="AD18" i="1"/>
  <c r="AE18" i="1"/>
  <c r="AF18" i="1"/>
  <c r="AG18" i="1"/>
  <c r="AB19" i="1"/>
  <c r="AC19" i="1"/>
  <c r="AD19" i="1"/>
  <c r="AE19" i="1"/>
  <c r="AF19" i="1"/>
  <c r="AG19" i="1"/>
  <c r="AB20" i="1"/>
  <c r="AC20" i="1"/>
  <c r="AD20" i="1"/>
  <c r="AE20" i="1"/>
  <c r="AF20" i="1"/>
  <c r="AG20" i="1"/>
  <c r="AB21" i="1"/>
  <c r="AC21" i="1"/>
  <c r="AD21" i="1"/>
  <c r="AE21" i="1"/>
  <c r="AF21" i="1"/>
  <c r="AG21" i="1"/>
  <c r="AB22" i="1"/>
  <c r="AC22" i="1"/>
  <c r="AD22" i="1"/>
  <c r="AE22" i="1"/>
  <c r="AF22" i="1"/>
  <c r="AG22" i="1"/>
  <c r="AB23" i="1"/>
  <c r="AC23" i="1"/>
  <c r="AD23" i="1"/>
  <c r="AE23" i="1"/>
  <c r="AF23" i="1"/>
  <c r="AG23" i="1"/>
  <c r="AB24" i="1"/>
  <c r="AC24" i="1"/>
  <c r="AD24" i="1"/>
  <c r="AE24" i="1"/>
  <c r="AF24" i="1"/>
  <c r="AG24" i="1"/>
  <c r="AB25" i="1"/>
  <c r="AC25" i="1"/>
  <c r="AD25" i="1"/>
  <c r="AE25" i="1"/>
  <c r="AF25" i="1"/>
  <c r="AG25" i="1"/>
  <c r="AB26" i="1"/>
  <c r="AC26" i="1"/>
  <c r="AD26" i="1"/>
  <c r="AE26" i="1"/>
  <c r="AF26" i="1"/>
  <c r="AG26" i="1"/>
  <c r="AB27" i="1"/>
  <c r="AC27" i="1"/>
  <c r="AD27" i="1"/>
  <c r="AE27" i="1"/>
  <c r="AF27" i="1"/>
  <c r="AG27" i="1"/>
  <c r="AB28" i="1"/>
  <c r="AC28" i="1"/>
  <c r="AD28" i="1"/>
  <c r="AE28" i="1"/>
  <c r="AF28" i="1"/>
  <c r="AG28" i="1"/>
  <c r="AB29" i="1"/>
  <c r="AC29" i="1"/>
  <c r="AD29" i="1"/>
  <c r="AE29" i="1"/>
  <c r="AF29" i="1"/>
  <c r="AG29" i="1"/>
  <c r="AB30" i="1"/>
  <c r="AC30" i="1"/>
  <c r="AD30" i="1"/>
  <c r="AE30" i="1"/>
  <c r="AF30" i="1"/>
  <c r="AG30" i="1"/>
  <c r="AB31" i="1"/>
  <c r="AC31" i="1"/>
  <c r="AD31" i="1"/>
  <c r="AE31" i="1"/>
  <c r="AF31" i="1"/>
  <c r="AG31" i="1"/>
  <c r="AB32" i="1"/>
  <c r="AC32" i="1"/>
  <c r="AD32" i="1"/>
  <c r="AE32" i="1"/>
  <c r="AF32" i="1"/>
  <c r="AG32" i="1"/>
  <c r="AB33" i="1"/>
  <c r="AC33" i="1"/>
  <c r="AD33" i="1"/>
  <c r="AE33" i="1"/>
  <c r="AF33" i="1"/>
  <c r="AG33" i="1"/>
  <c r="AB34" i="1"/>
  <c r="AC34" i="1"/>
  <c r="AD34" i="1"/>
  <c r="AE34" i="1"/>
  <c r="AF34" i="1"/>
  <c r="AG34" i="1"/>
  <c r="AB35" i="1"/>
  <c r="AC35" i="1"/>
  <c r="AD35" i="1"/>
  <c r="AE35" i="1"/>
  <c r="AF35" i="1"/>
  <c r="AG35" i="1"/>
  <c r="AB36" i="1"/>
  <c r="AC36" i="1"/>
  <c r="AD36" i="1"/>
  <c r="AE36" i="1"/>
  <c r="AF36" i="1"/>
  <c r="AG36" i="1"/>
  <c r="AB37" i="1"/>
  <c r="AC37" i="1"/>
  <c r="AD37" i="1"/>
  <c r="AE37" i="1"/>
  <c r="AF37" i="1"/>
  <c r="AG37" i="1"/>
  <c r="AB38" i="1"/>
  <c r="AC38" i="1"/>
  <c r="AD38" i="1"/>
  <c r="AE38" i="1"/>
  <c r="AF38" i="1"/>
  <c r="AG38" i="1"/>
  <c r="AB39" i="1"/>
  <c r="AC39" i="1"/>
  <c r="AD39" i="1"/>
  <c r="AE39" i="1"/>
  <c r="AF39" i="1"/>
  <c r="AG39" i="1"/>
  <c r="AB40" i="1"/>
  <c r="AC40" i="1"/>
  <c r="AD40" i="1"/>
  <c r="AE40" i="1"/>
  <c r="AF40" i="1"/>
  <c r="AG40" i="1"/>
  <c r="AB41" i="1"/>
  <c r="AC41" i="1"/>
  <c r="AD41" i="1"/>
  <c r="AE41" i="1"/>
  <c r="AF41" i="1"/>
  <c r="AG41" i="1"/>
  <c r="AB42" i="1"/>
  <c r="AC42" i="1"/>
  <c r="AD42" i="1"/>
  <c r="AE42" i="1"/>
  <c r="AF42" i="1"/>
  <c r="AG42" i="1"/>
  <c r="AB43" i="1"/>
  <c r="AC43" i="1"/>
  <c r="AD43" i="1"/>
  <c r="AE43" i="1"/>
  <c r="AF43" i="1"/>
  <c r="AG43" i="1"/>
  <c r="AB44" i="1"/>
  <c r="AC44" i="1"/>
  <c r="AD44" i="1"/>
  <c r="AE44" i="1"/>
  <c r="AF44" i="1"/>
  <c r="AG44" i="1"/>
  <c r="AB45" i="1"/>
  <c r="AC45" i="1"/>
  <c r="AD45" i="1"/>
  <c r="AE45" i="1"/>
  <c r="AF45" i="1"/>
  <c r="AG45" i="1"/>
  <c r="AB46" i="1"/>
  <c r="AC46" i="1"/>
  <c r="AD46" i="1"/>
  <c r="AE46" i="1"/>
  <c r="AF46" i="1"/>
  <c r="AG46" i="1"/>
  <c r="AB47" i="1"/>
  <c r="AC47" i="1"/>
  <c r="AD47" i="1"/>
  <c r="AE47" i="1"/>
  <c r="AF47" i="1"/>
  <c r="AG47" i="1"/>
  <c r="AB48" i="1"/>
  <c r="AC48" i="1"/>
  <c r="AD48" i="1"/>
  <c r="AE48" i="1"/>
  <c r="AF48" i="1"/>
  <c r="AG48" i="1"/>
  <c r="AB49" i="1"/>
  <c r="AC49" i="1"/>
  <c r="AD49" i="1"/>
  <c r="AE49" i="1"/>
  <c r="AF49" i="1"/>
  <c r="AG49" i="1"/>
  <c r="AB50" i="1"/>
  <c r="AC50" i="1"/>
  <c r="AD50" i="1"/>
  <c r="AE50" i="1"/>
  <c r="AF50" i="1"/>
  <c r="AG50" i="1"/>
  <c r="AB51" i="1"/>
  <c r="AC51" i="1"/>
  <c r="AD51" i="1"/>
  <c r="AE51" i="1"/>
  <c r="AF51" i="1"/>
  <c r="AG51" i="1"/>
  <c r="AB52" i="1"/>
  <c r="AC52" i="1"/>
  <c r="AD52" i="1"/>
  <c r="AE52" i="1"/>
  <c r="AF52" i="1"/>
  <c r="AG52" i="1"/>
  <c r="AG5" i="1"/>
  <c r="AF5" i="1"/>
  <c r="AE5" i="1"/>
  <c r="AD5" i="1"/>
  <c r="AC5" i="1"/>
  <c r="AB5" i="1"/>
  <c r="U5" i="1"/>
  <c r="V5" i="1"/>
  <c r="W5" i="1"/>
  <c r="X5" i="1"/>
  <c r="Y5" i="1"/>
  <c r="Z5" i="1"/>
  <c r="U6" i="1"/>
  <c r="V6" i="1"/>
  <c r="W6" i="1"/>
  <c r="X6" i="1"/>
  <c r="Y6" i="1"/>
  <c r="Z6" i="1"/>
  <c r="U7" i="1"/>
  <c r="V7" i="1"/>
  <c r="W7" i="1"/>
  <c r="X7" i="1"/>
  <c r="Y7" i="1"/>
  <c r="Z7" i="1"/>
  <c r="U8" i="1"/>
  <c r="V8" i="1"/>
  <c r="W8" i="1"/>
  <c r="X8" i="1"/>
  <c r="Y8" i="1"/>
  <c r="Z8" i="1"/>
  <c r="U9" i="1"/>
  <c r="V9" i="1"/>
  <c r="W9" i="1"/>
  <c r="X9" i="1"/>
  <c r="Y9" i="1"/>
  <c r="Z9" i="1"/>
  <c r="U10" i="1"/>
  <c r="V10" i="1"/>
  <c r="W10" i="1"/>
  <c r="X10" i="1"/>
  <c r="Y10" i="1"/>
  <c r="Z10" i="1"/>
  <c r="U11" i="1"/>
  <c r="V11" i="1"/>
  <c r="W11" i="1"/>
  <c r="X11" i="1"/>
  <c r="Y11" i="1"/>
  <c r="Z11" i="1"/>
  <c r="U12" i="1"/>
  <c r="V12" i="1"/>
  <c r="W12" i="1"/>
  <c r="X12" i="1"/>
  <c r="Y12" i="1"/>
  <c r="Z12" i="1"/>
  <c r="U13" i="1"/>
  <c r="V13" i="1"/>
  <c r="W13" i="1"/>
  <c r="X13" i="1"/>
  <c r="Y13" i="1"/>
  <c r="Z13" i="1"/>
  <c r="U14" i="1"/>
  <c r="V14" i="1"/>
  <c r="W14" i="1"/>
  <c r="X14" i="1"/>
  <c r="Y14" i="1"/>
  <c r="Z14" i="1"/>
  <c r="U15" i="1"/>
  <c r="V15" i="1"/>
  <c r="W15" i="1"/>
  <c r="X15" i="1"/>
  <c r="Y15" i="1"/>
  <c r="Z15" i="1"/>
  <c r="U16" i="1"/>
  <c r="V16" i="1"/>
  <c r="W16" i="1"/>
  <c r="X16" i="1"/>
  <c r="Y16" i="1"/>
  <c r="Z16" i="1"/>
  <c r="U17" i="1"/>
  <c r="V17" i="1"/>
  <c r="W17" i="1"/>
  <c r="X17" i="1"/>
  <c r="Y17" i="1"/>
  <c r="Z17" i="1"/>
  <c r="U18" i="1"/>
  <c r="V18" i="1"/>
  <c r="W18" i="1"/>
  <c r="X18" i="1"/>
  <c r="Y18" i="1"/>
  <c r="Z18" i="1"/>
  <c r="U19" i="1"/>
  <c r="V19" i="1"/>
  <c r="W19" i="1"/>
  <c r="X19" i="1"/>
  <c r="Y19" i="1"/>
  <c r="Z19" i="1"/>
  <c r="U20" i="1"/>
  <c r="V20" i="1"/>
  <c r="W20" i="1"/>
  <c r="X20" i="1"/>
  <c r="Y20" i="1"/>
  <c r="Z20" i="1"/>
  <c r="U21" i="1"/>
  <c r="V21" i="1"/>
  <c r="W21" i="1"/>
  <c r="X21" i="1"/>
  <c r="Y21" i="1"/>
  <c r="Z21" i="1"/>
  <c r="U22" i="1"/>
  <c r="V22" i="1"/>
  <c r="W22" i="1"/>
  <c r="X22" i="1"/>
  <c r="Y22" i="1"/>
  <c r="Z22" i="1"/>
  <c r="U23" i="1"/>
  <c r="V23" i="1"/>
  <c r="W23" i="1"/>
  <c r="X23" i="1"/>
  <c r="Y23" i="1"/>
  <c r="Z23" i="1"/>
  <c r="Z4" i="1"/>
  <c r="V4" i="1"/>
  <c r="W4" i="1"/>
  <c r="X4" i="1"/>
  <c r="Y4" i="1"/>
  <c r="U4" i="1"/>
  <c r="S5" i="3"/>
  <c r="T5" i="3"/>
  <c r="U5" i="3"/>
  <c r="V5" i="3"/>
  <c r="T7" i="3"/>
  <c r="U7" i="3"/>
  <c r="U8" i="3"/>
  <c r="T9" i="3"/>
  <c r="U9" i="3"/>
  <c r="U10" i="3"/>
  <c r="T11" i="3"/>
  <c r="U11" i="3"/>
  <c r="T13" i="3"/>
  <c r="U13" i="3"/>
  <c r="V13" i="3"/>
  <c r="T15" i="3"/>
  <c r="U15" i="3"/>
  <c r="T17" i="3"/>
  <c r="U17" i="3"/>
  <c r="S18" i="3"/>
  <c r="U18" i="3"/>
  <c r="T19" i="3"/>
  <c r="U19" i="3"/>
  <c r="V19" i="3"/>
  <c r="T21" i="3"/>
  <c r="U21" i="3"/>
  <c r="T23" i="3"/>
  <c r="U23" i="3"/>
  <c r="V23" i="3"/>
  <c r="A47" i="3"/>
  <c r="B47" i="3"/>
  <c r="C47" i="3"/>
  <c r="D47" i="3"/>
  <c r="F47" i="3"/>
  <c r="A48" i="3"/>
  <c r="B48" i="3"/>
  <c r="C48" i="3"/>
  <c r="D48" i="3"/>
  <c r="F48" i="3"/>
  <c r="A49" i="3"/>
  <c r="B49" i="3"/>
  <c r="C49" i="3"/>
  <c r="D49" i="3"/>
  <c r="F49" i="3"/>
  <c r="A50" i="3"/>
  <c r="B50" i="3"/>
  <c r="C50" i="3"/>
  <c r="D50" i="3"/>
  <c r="F50" i="3"/>
  <c r="A51" i="3"/>
  <c r="B51" i="3"/>
  <c r="C51" i="3"/>
  <c r="D51" i="3"/>
  <c r="F51" i="3"/>
  <c r="A52" i="3"/>
  <c r="B52" i="3"/>
  <c r="C52" i="3"/>
  <c r="D52" i="3"/>
  <c r="F52" i="3"/>
  <c r="W7" i="3" l="1"/>
  <c r="W18" i="3"/>
  <c r="W14" i="3"/>
  <c r="W15" i="3"/>
  <c r="W23" i="3"/>
  <c r="W11" i="3"/>
  <c r="W6" i="3"/>
  <c r="W22" i="3"/>
  <c r="W20" i="3"/>
  <c r="W5" i="3"/>
  <c r="W17" i="3"/>
  <c r="W12" i="3"/>
  <c r="W10" i="3"/>
  <c r="W16" i="3"/>
  <c r="W8" i="3"/>
  <c r="W19" i="3"/>
  <c r="W13" i="3"/>
  <c r="W21" i="3"/>
  <c r="W4" i="3"/>
  <c r="W9" i="3"/>
  <c r="T50" i="3"/>
  <c r="U50" i="3"/>
  <c r="U52" i="3"/>
  <c r="V50" i="3"/>
  <c r="S50" i="3"/>
  <c r="V52" i="3"/>
  <c r="T5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<sst xmlns="http://schemas.openxmlformats.org/spreadsheetml/2006/main" count="64" uniqueCount="34">
  <si>
    <t>Fx (N)</t>
  </si>
  <si>
    <t>Fy (N)</t>
  </si>
  <si>
    <t>Fz (N)</t>
  </si>
  <si>
    <t>Tx (Nm)</t>
  </si>
  <si>
    <t>Ty (Nm)</t>
  </si>
  <si>
    <t>Tz(Nm)</t>
  </si>
  <si>
    <t>6-Axis FT Sensor</t>
  </si>
  <si>
    <t>F (N)</t>
  </si>
  <si>
    <t>s (m)</t>
  </si>
  <si>
    <t>el (rad)</t>
  </si>
  <si>
    <t>az (rad)</t>
  </si>
  <si>
    <t>tau (N)</t>
  </si>
  <si>
    <t>Tau (N)</t>
  </si>
  <si>
    <t>SoRoSim get_distal_value</t>
  </si>
  <si>
    <t>Conversion</t>
  </si>
  <si>
    <t>Tx is Tz(col G)</t>
  </si>
  <si>
    <t>Tz is Tx(col E)</t>
  </si>
  <si>
    <t>Fx is Fz(col D)</t>
  </si>
  <si>
    <t>Fy is -Fy(col C)</t>
  </si>
  <si>
    <t>Ty is -Ty(col F)</t>
  </si>
  <si>
    <t>Fz is Fx (col B)</t>
  </si>
  <si>
    <t>SoRoSim get_proximal_value(with tendon lookup)</t>
  </si>
  <si>
    <t>Mean error</t>
  </si>
  <si>
    <t>stdev error</t>
  </si>
  <si>
    <t>-1*'[ATI_Sensor_Log(2.0to1.0).csv]ATI_Sensor_Log(2.0to1.0)'!$F2'</t>
  </si>
  <si>
    <t>[ATI_Sensor_Log(2.0to1.0).csv]ATI_Sensor_Log(2.0to1.0)'!$E2</t>
  </si>
  <si>
    <t>-1*'[ATI_Sensor_Log(2.0to1.0).csv]ATI_Sensor_Log(2.0to1.0)'!$C2'</t>
  </si>
  <si>
    <t>[ATI_Sensor_Log(2.0to1.0).csv]ATI_Sensor_Log(2.0to1.0)'!$B2</t>
  </si>
  <si>
    <t>pre tau (N)</t>
  </si>
  <si>
    <t>[ATI_Sensor_Log(2.0to1.0).csv]ATI_Sensor_Log(2.0to1.0)'!$G2</t>
  </si>
  <si>
    <t>Distal differences</t>
  </si>
  <si>
    <t>Sum of distal
differences squared</t>
  </si>
  <si>
    <t>`</t>
  </si>
  <si>
    <t>Abs Mean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</si>
</sst>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B1BDF9"/>
        <bgColor indexed="64"/>
      </patternFill>
    </fill>
    <fill>
      <patternFill patternType="solid">
        <fgColor theme="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164" fontId="2" fillId="0" borderId="1" xfId="0" applyNumberFormat="1" applyFont="1" applyBorder="1"/>
    <xf numFmtId="0" fontId="3" fillId="8" borderId="0" xfId="0" applyFont="1" applyFill="1" applyAlignment="1">
      <alignment horizontal="center"/>
    </xf>
    <xf numFmtId="0" fontId="2" fillId="0" borderId="0" xfId="0" applyFont="1"/>
    <xf numFmtId="0" fontId="4" fillId="5" borderId="0" xfId="0" applyFont="1" applyFill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4" fillId="6" borderId="1" xfId="0" applyFont="1" applyFill="1" applyBorder="1"/>
    <xf numFmtId="0" fontId="4" fillId="6" borderId="15" xfId="0" applyFont="1" applyFill="1" applyBorder="1"/>
    <xf numFmtId="0" fontId="4" fillId="6" borderId="2" xfId="0" applyFont="1" applyFill="1" applyBorder="1"/>
    <xf numFmtId="0" fontId="4" fillId="6" borderId="6" xfId="0" applyFont="1" applyFill="1" applyBorder="1"/>
    <xf numFmtId="0" fontId="4" fillId="6" borderId="0" xfId="0" applyFont="1" applyFill="1"/>
    <xf numFmtId="0" fontId="4" fillId="6" borderId="7" xfId="0" applyFont="1" applyFill="1" applyBorder="1"/>
    <xf numFmtId="165" fontId="2" fillId="0" borderId="0" xfId="0" applyNumberFormat="1" applyFont="1"/>
    <xf numFmtId="0" fontId="4" fillId="6" borderId="6" xfId="0" quotePrefix="1" applyFont="1" applyFill="1" applyBorder="1"/>
    <xf numFmtId="0" fontId="4" fillId="6" borderId="1" xfId="0" quotePrefix="1" applyFont="1" applyFill="1" applyBorder="1"/>
    <xf numFmtId="0" fontId="4" fillId="6" borderId="7" xfId="0" quotePrefix="1" applyFont="1" applyFill="1" applyBorder="1"/>
    <xf numFmtId="11" fontId="2" fillId="0" borderId="6" xfId="0" applyNumberFormat="1" applyFont="1" applyBorder="1"/>
    <xf numFmtId="165" fontId="2" fillId="0" borderId="1" xfId="0" applyNumberFormat="1" applyFont="1" applyBorder="1"/>
    <xf numFmtId="0" fontId="2" fillId="0" borderId="1" xfId="0" applyFont="1" applyBorder="1"/>
    <xf numFmtId="0" fontId="2" fillId="0" borderId="15" xfId="0" applyFont="1" applyBorder="1"/>
    <xf numFmtId="0" fontId="2" fillId="0" borderId="7" xfId="0" applyFont="1" applyBorder="1"/>
    <xf numFmtId="0" fontId="2" fillId="0" borderId="6" xfId="0" applyFont="1" applyBorder="1"/>
    <xf numFmtId="0" fontId="2" fillId="0" borderId="16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8" xfId="0" applyFont="1" applyBorder="1"/>
    <xf numFmtId="0" fontId="3" fillId="8" borderId="0" xfId="0" applyFont="1" applyFill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/>
    </xf>
    <xf numFmtId="0" fontId="4" fillId="7" borderId="4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4" fillId="4" borderId="17" xfId="0" applyFont="1" applyFill="1" applyBorder="1" applyAlignment="1">
      <alignment horizontal="center" wrapText="1"/>
    </xf>
    <xf numFmtId="0" fontId="4" fillId="4" borderId="1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1BD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2.xml"/><Relationship Id="rId5" Type="http://schemas.openxmlformats.org/officeDocument/2006/relationships/styles" Target="style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'get_distal_value Validation'!$A$4:$A$23</c:f>
              <c:numCache>
                <c:formatCode>0.000</c:formatCode>
                <c:ptCount val="20"/>
                <c:pt idx="0">
                  <c:v>0.14182976</c:v>
                </c:pt>
                <c:pt idx="1">
                  <c:v>0.60745837000000003</c:v>
                </c:pt>
                <c:pt idx="2">
                  <c:v>0.88365583999999997</c:v>
                </c:pt>
                <c:pt idx="3">
                  <c:v>9.2526059999999993E-2</c:v>
                </c:pt>
                <c:pt idx="4">
                  <c:v>0.26582482000000002</c:v>
                </c:pt>
                <c:pt idx="5">
                  <c:v>0.45</c:v>
                </c:pt>
                <c:pt idx="6">
                  <c:v>0.17540121</c:v>
                </c:pt>
                <c:pt idx="7">
                  <c:v>0.91138322999999999</c:v>
                </c:pt>
                <c:pt idx="8">
                  <c:v>0.67321675000000003</c:v>
                </c:pt>
                <c:pt idx="9">
                  <c:v>0.51328965999999998</c:v>
                </c:pt>
                <c:pt idx="10">
                  <c:v>0.41902099999999998</c:v>
                </c:pt>
                <c:pt idx="11">
                  <c:v>0.34660519000000001</c:v>
                </c:pt>
                <c:pt idx="12">
                  <c:v>0.37136375999999999</c:v>
                </c:pt>
                <c:pt idx="13">
                  <c:v>0.57675153999999995</c:v>
                </c:pt>
                <c:pt idx="14">
                  <c:v>0.73141639999999997</c:v>
                </c:pt>
                <c:pt idx="15">
                  <c:v>0.92824048000000003</c:v>
                </c:pt>
                <c:pt idx="16">
                  <c:v>0.48677182000000002</c:v>
                </c:pt>
                <c:pt idx="17">
                  <c:v>0.75984845000000001</c:v>
                </c:pt>
                <c:pt idx="18">
                  <c:v>6.0400080000000002E-2</c:v>
                </c:pt>
                <c:pt idx="19">
                  <c:v>0.17360724999999999</c:v>
                </c:pt>
              </c:numCache>
            </c:numRef>
          </c:xVal>
          <c:yVal>
            <c:numRef>
              <c:f>'get_distal_value Validation'!$N$4:$N$23</c:f>
              <c:numCache>
                <c:formatCode>0.0000</c:formatCode>
                <c:ptCount val="20"/>
                <c:pt idx="0">
                  <c:v>0.1552202006</c:v>
                </c:pt>
                <c:pt idx="1">
                  <c:v>0.55294679660000001</c:v>
                </c:pt>
                <c:pt idx="2">
                  <c:v>0.87128265559999996</c:v>
                </c:pt>
                <c:pt idx="3">
                  <c:v>0.10168109409999999</c:v>
                </c:pt>
                <c:pt idx="4">
                  <c:v>0.24965928770000001</c:v>
                </c:pt>
                <c:pt idx="5">
                  <c:v>0.40711206760000002</c:v>
                </c:pt>
                <c:pt idx="6">
                  <c:v>0.18504490430000001</c:v>
                </c:pt>
                <c:pt idx="7">
                  <c:v>0.86172972640000001</c:v>
                </c:pt>
                <c:pt idx="8">
                  <c:v>0.65954870119999998</c:v>
                </c:pt>
                <c:pt idx="9">
                  <c:v>0.49264697829999998</c:v>
                </c:pt>
                <c:pt idx="10">
                  <c:v>0.38119508289999998</c:v>
                </c:pt>
                <c:pt idx="11">
                  <c:v>0.33444876429999998</c:v>
                </c:pt>
                <c:pt idx="12">
                  <c:v>0.3560644027</c:v>
                </c:pt>
                <c:pt idx="13">
                  <c:v>0.55320014370000004</c:v>
                </c:pt>
                <c:pt idx="14">
                  <c:v>0.63768712449999998</c:v>
                </c:pt>
                <c:pt idx="15">
                  <c:v>0.90992140170000002</c:v>
                </c:pt>
                <c:pt idx="16">
                  <c:v>0.70956196709999997</c:v>
                </c:pt>
                <c:pt idx="17">
                  <c:v>0.74052383730000004</c:v>
                </c:pt>
                <c:pt idx="18">
                  <c:v>6.2152555300000002E-2</c:v>
                </c:pt>
                <c:pt idx="19">
                  <c:v>0.1540387838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85-4531-A8B9-35064E669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7046527"/>
        <c:axId val="337045087"/>
      </c:scatterChart>
      <c:valAx>
        <c:axId val="337046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045087"/>
        <c:crosses val="autoZero"/>
        <c:crossBetween val="midCat"/>
      </c:valAx>
      <c:valAx>
        <c:axId val="33704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046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'get_distal_value Validation'!$B$4:$B$23</c:f>
              <c:numCache>
                <c:formatCode>0.000</c:formatCode>
                <c:ptCount val="20"/>
                <c:pt idx="0">
                  <c:v>7.2024199999999997E-2</c:v>
                </c:pt>
                <c:pt idx="1">
                  <c:v>9.7064369999999997E-2</c:v>
                </c:pt>
                <c:pt idx="2">
                  <c:v>5.4008720000000003E-2</c:v>
                </c:pt>
                <c:pt idx="3">
                  <c:v>7.6311329999999997E-2</c:v>
                </c:pt>
                <c:pt idx="4">
                  <c:v>0.11576127</c:v>
                </c:pt>
                <c:pt idx="5">
                  <c:v>0.17373299</c:v>
                </c:pt>
                <c:pt idx="6">
                  <c:v>0.14381803000000001</c:v>
                </c:pt>
                <c:pt idx="7">
                  <c:v>0.10326726999999999</c:v>
                </c:pt>
                <c:pt idx="8">
                  <c:v>0.15658332999999999</c:v>
                </c:pt>
                <c:pt idx="9">
                  <c:v>0.18841874</c:v>
                </c:pt>
                <c:pt idx="10">
                  <c:v>0.19321867000000001</c:v>
                </c:pt>
                <c:pt idx="11">
                  <c:v>0.13028766</c:v>
                </c:pt>
                <c:pt idx="12">
                  <c:v>0.19169604000000001</c:v>
                </c:pt>
                <c:pt idx="13">
                  <c:v>0.19410669999999999</c:v>
                </c:pt>
                <c:pt idx="14">
                  <c:v>0.10712663</c:v>
                </c:pt>
                <c:pt idx="15">
                  <c:v>6.1499020000000001E-2</c:v>
                </c:pt>
                <c:pt idx="16">
                  <c:v>0.1926011</c:v>
                </c:pt>
                <c:pt idx="17">
                  <c:v>0.11235321</c:v>
                </c:pt>
                <c:pt idx="18">
                  <c:v>0.17999249</c:v>
                </c:pt>
                <c:pt idx="19">
                  <c:v>0.17599989999999999</c:v>
                </c:pt>
              </c:numCache>
            </c:numRef>
          </c:xVal>
          <c:yVal>
            <c:numRef>
              <c:f>'get_distal_value Validation'!$O$4:$O$23</c:f>
              <c:numCache>
                <c:formatCode>0.0000</c:formatCode>
                <c:ptCount val="20"/>
                <c:pt idx="0">
                  <c:v>7.1353470500000002E-2</c:v>
                </c:pt>
                <c:pt idx="1">
                  <c:v>0.104934607</c:v>
                </c:pt>
                <c:pt idx="2">
                  <c:v>5.4308711599999997E-2</c:v>
                </c:pt>
                <c:pt idx="3">
                  <c:v>8.0464167399999995E-2</c:v>
                </c:pt>
                <c:pt idx="4">
                  <c:v>0.12562618119999999</c:v>
                </c:pt>
                <c:pt idx="5">
                  <c:v>0.2</c:v>
                </c:pt>
                <c:pt idx="6">
                  <c:v>0.1587055268</c:v>
                </c:pt>
                <c:pt idx="7">
                  <c:v>0.1078973567</c:v>
                </c:pt>
                <c:pt idx="8">
                  <c:v>0.16738955480000001</c:v>
                </c:pt>
                <c:pt idx="9">
                  <c:v>0.2</c:v>
                </c:pt>
                <c:pt idx="10">
                  <c:v>0.2</c:v>
                </c:pt>
                <c:pt idx="11">
                  <c:v>0.13783736930000001</c:v>
                </c:pt>
                <c:pt idx="12">
                  <c:v>0.2</c:v>
                </c:pt>
                <c:pt idx="13">
                  <c:v>0.2</c:v>
                </c:pt>
                <c:pt idx="14">
                  <c:v>0.10547438639999999</c:v>
                </c:pt>
                <c:pt idx="15">
                  <c:v>6.5472843099999997E-2</c:v>
                </c:pt>
                <c:pt idx="16">
                  <c:v>0.18387510060000001</c:v>
                </c:pt>
                <c:pt idx="17">
                  <c:v>0.1244305711</c:v>
                </c:pt>
                <c:pt idx="18">
                  <c:v>0.18302933900000001</c:v>
                </c:pt>
                <c:pt idx="19">
                  <c:v>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3C-4AA0-B225-3FB21A4C3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7046527"/>
        <c:axId val="337045087"/>
      </c:scatterChart>
      <c:valAx>
        <c:axId val="337046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045087"/>
        <c:crosses val="autoZero"/>
        <c:crossBetween val="midCat"/>
      </c:valAx>
      <c:valAx>
        <c:axId val="33704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046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</xdr:colOff>
      <xdr:row>2</xdr:row>
      <xdr:rowOff>52387</xdr:rowOff>
    </xdr:from>
    <xdr:to>
      <xdr:col>31</xdr:col>
      <xdr:colOff>428625</xdr:colOff>
      <xdr:row>15</xdr:row>
      <xdr:rowOff>195262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15B41C-3F92-A807-6853-72C628D773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0</xdr:colOff>
      <xdr:row>17</xdr:row>
      <xdr:rowOff>0</xdr:rowOff>
    </xdr:from>
    <xdr:to>
      <xdr:col>31</xdr:col>
      <xdr:colOff>371475</xdr:colOff>
      <xdr:row>30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3A4A0D-212D-40B1-9B31-588F184274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oahj\OneDrive%20-%20DJ%20Property\Work%20and%20Projects\Github\Whisker_Inspired_Sensing_CR\SoRoSim%20Robots\my_robot(2.0to1.0)\ATI_Sensor_Log(2.0to1.0).csv" TargetMode="External"/><Relationship Id="rId1" Type="http://schemas.openxmlformats.org/officeDocument/2006/relationships/externalLinkPath" Target="file:///C:\Users\noahj\OneDrive%20-%20DJ%20Property\Work%20and%20Projects\Github\Whisker_Inspired_Sensing_CR\SoRoSim%20Robots\my_robot(2.0to1.0)\ATI_Sensor_Log(2.0to1.0)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TI_Sensor_Log(2.0to1.0)"/>
    </sheetNames>
    <sheetDataSet>
      <sheetData sheetId="0">
        <row r="38">
          <cell r="B38">
            <v>1.2485386105254301E-4</v>
          </cell>
          <cell r="C38">
            <v>7.8196363756433097E-4</v>
          </cell>
          <cell r="D38">
            <v>5.8085650380235199E-5</v>
          </cell>
          <cell r="E38">
            <v>1.7066902273654701E-6</v>
          </cell>
          <cell r="F38">
            <v>-1.0438450772198799E-5</v>
          </cell>
          <cell r="G38">
            <v>-4.6970417315606002E-6</v>
          </cell>
        </row>
        <row r="39">
          <cell r="B39">
            <v>8.4088072180748003E-3</v>
          </cell>
          <cell r="C39">
            <v>0.12924839556217199</v>
          </cell>
          <cell r="D39">
            <v>-0.19703710079193101</v>
          </cell>
          <cell r="E39">
            <v>-2.5136896874755599E-3</v>
          </cell>
          <cell r="F39">
            <v>1.0851300321519401E-3</v>
          </cell>
          <cell r="G39">
            <v>-9.1163394972681999E-4</v>
          </cell>
        </row>
        <row r="40">
          <cell r="B40">
            <v>3.4370362758636502E-2</v>
          </cell>
          <cell r="C40">
            <v>0.67019283771514904</v>
          </cell>
          <cell r="D40">
            <v>-2.8852019459009198E-2</v>
          </cell>
          <cell r="E40">
            <v>-2.6666743680834801E-2</v>
          </cell>
          <cell r="F40">
            <v>3.4488118253648298E-3</v>
          </cell>
          <cell r="G40">
            <v>-2.39273207262158E-3</v>
          </cell>
        </row>
        <row r="41">
          <cell r="B41">
            <v>6.3757039606571198E-3</v>
          </cell>
          <cell r="C41">
            <v>0.100444361567497</v>
          </cell>
          <cell r="D41">
            <v>-0.22372764348983801</v>
          </cell>
          <cell r="E41">
            <v>-3.5143312998115999E-3</v>
          </cell>
          <cell r="F41">
            <v>1.3324012979865101E-4</v>
          </cell>
          <cell r="G41">
            <v>-4.48850973043591E-4</v>
          </cell>
        </row>
        <row r="42">
          <cell r="B42">
            <v>1.5296399593353299E-2</v>
          </cell>
          <cell r="C42">
            <v>-0.378590047359467</v>
          </cell>
          <cell r="D42">
            <v>-0.53976345062255904</v>
          </cell>
          <cell r="E42">
            <v>8.9680150151252705E-2</v>
          </cell>
          <cell r="F42">
            <v>1.34663167409599E-3</v>
          </cell>
          <cell r="G42">
            <v>6.4870691858232E-4</v>
          </cell>
        </row>
        <row r="43">
          <cell r="B43">
            <v>3.5194247961044298E-2</v>
          </cell>
          <cell r="C43">
            <v>0.64403772354125999</v>
          </cell>
          <cell r="D43">
            <v>-0.73136901855468806</v>
          </cell>
          <cell r="E43">
            <v>-5.2740231156349203E-2</v>
          </cell>
          <cell r="F43">
            <v>3.8975423667579898E-3</v>
          </cell>
          <cell r="G43">
            <v>-2.8338059782981899E-3</v>
          </cell>
        </row>
        <row r="44">
          <cell r="B44">
            <v>3.0811607837676998E-2</v>
          </cell>
          <cell r="C44">
            <v>0.42153304815292397</v>
          </cell>
          <cell r="D44">
            <v>-1.3344798088073699</v>
          </cell>
          <cell r="E44">
            <v>-6.55845552682877E-2</v>
          </cell>
          <cell r="F44">
            <v>3.9606718346476598E-3</v>
          </cell>
          <cell r="G44">
            <v>-2.4467429611831899E-3</v>
          </cell>
        </row>
        <row r="45">
          <cell r="B45">
            <v>3.94041240215302E-2</v>
          </cell>
          <cell r="C45">
            <v>0.54947280883789096</v>
          </cell>
          <cell r="D45">
            <v>-0.77465367317199696</v>
          </cell>
          <cell r="E45">
            <v>-7.3739819228649098E-2</v>
          </cell>
          <cell r="F45">
            <v>1.3992630410939501E-3</v>
          </cell>
          <cell r="G45">
            <v>-2.2109632845967999E-3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416C8-6FFA-4564-9592-20AD22887E1B}">
  <dimension ref="A1:AJ52"/>
  <sheetViews>
    <sheetView workbookViewId="0">
      <selection activeCell="G27" sqref="G27"/>
    </sheetView>
  </sheetViews>
  <sheetFormatPr defaultColWidth="8" defaultRowHeight="15.75" x14ac:dyDescent="0.25"/>
  <cols>
    <col min="1" max="26" width="9.28515625" style="3" customWidth="1"/>
    <col min="27" max="27" width="8" style="3"/>
    <col min="28" max="34" width="15.28515625" style="3" customWidth="1"/>
    <col min="35" max="16384" width="8" style="3"/>
  </cols>
  <sheetData>
    <row r="1" spans="1:36" ht="16.5" thickBot="1" x14ac:dyDescent="0.3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"/>
      <c r="V1" s="2"/>
      <c r="W1" s="2"/>
      <c r="X1" s="2"/>
      <c r="Y1" s="2"/>
      <c r="Z1" s="2"/>
    </row>
    <row r="2" spans="1:36" x14ac:dyDescent="0.25">
      <c r="A2" s="35"/>
      <c r="B2" s="35"/>
      <c r="C2" s="35"/>
      <c r="D2" s="35"/>
      <c r="E2" s="35"/>
      <c r="F2" s="36"/>
      <c r="G2" s="31" t="s">
        <v>6</v>
      </c>
      <c r="H2" s="32"/>
      <c r="I2" s="32"/>
      <c r="J2" s="32"/>
      <c r="K2" s="32"/>
      <c r="L2" s="32"/>
      <c r="M2" s="32"/>
      <c r="N2" s="33" t="s">
        <v>21</v>
      </c>
      <c r="O2" s="34"/>
      <c r="P2" s="34"/>
      <c r="Q2" s="34"/>
      <c r="R2" s="34"/>
      <c r="S2" s="34"/>
      <c r="T2" s="34"/>
      <c r="U2" s="4"/>
      <c r="V2" s="4"/>
      <c r="W2" s="4"/>
      <c r="X2" s="4"/>
      <c r="Y2" s="4"/>
      <c r="Z2" s="4"/>
      <c r="AA2" s="5"/>
      <c r="AB2" s="28" t="s">
        <v>14</v>
      </c>
      <c r="AC2" s="29"/>
      <c r="AD2" s="29"/>
      <c r="AE2" s="29"/>
      <c r="AF2" s="29"/>
      <c r="AG2" s="30"/>
      <c r="AH2" s="5"/>
      <c r="AI2" s="6"/>
      <c r="AJ2" s="6"/>
    </row>
    <row r="3" spans="1:36" x14ac:dyDescent="0.25">
      <c r="A3" s="7" t="s">
        <v>7</v>
      </c>
      <c r="B3" s="7" t="s">
        <v>8</v>
      </c>
      <c r="C3" s="7" t="s">
        <v>9</v>
      </c>
      <c r="D3" s="7" t="s">
        <v>10</v>
      </c>
      <c r="E3" s="7" t="s">
        <v>28</v>
      </c>
      <c r="F3" s="7" t="s">
        <v>11</v>
      </c>
      <c r="G3" s="8" t="s">
        <v>3</v>
      </c>
      <c r="H3" s="7" t="s">
        <v>4</v>
      </c>
      <c r="I3" s="7" t="s">
        <v>5</v>
      </c>
      <c r="J3" s="7" t="s">
        <v>0</v>
      </c>
      <c r="K3" s="7" t="s">
        <v>1</v>
      </c>
      <c r="L3" s="7" t="s">
        <v>2</v>
      </c>
      <c r="M3" s="9" t="s">
        <v>12</v>
      </c>
      <c r="N3" s="10" t="s">
        <v>3</v>
      </c>
      <c r="O3" s="7" t="s">
        <v>4</v>
      </c>
      <c r="P3" s="7" t="s">
        <v>5</v>
      </c>
      <c r="Q3" s="7" t="s">
        <v>0</v>
      </c>
      <c r="R3" s="7" t="s">
        <v>1</v>
      </c>
      <c r="S3" s="7" t="s">
        <v>2</v>
      </c>
      <c r="T3" s="9" t="s">
        <v>12</v>
      </c>
      <c r="U3" s="11"/>
      <c r="V3" s="11"/>
      <c r="W3" s="11"/>
      <c r="X3" s="11"/>
      <c r="Y3" s="11"/>
      <c r="Z3" s="11"/>
      <c r="AA3" s="5"/>
      <c r="AB3" s="10" t="s">
        <v>15</v>
      </c>
      <c r="AC3" s="7" t="s">
        <v>19</v>
      </c>
      <c r="AD3" s="7" t="s">
        <v>16</v>
      </c>
      <c r="AE3" s="7" t="s">
        <v>17</v>
      </c>
      <c r="AF3" s="7" t="s">
        <v>18</v>
      </c>
      <c r="AG3" s="12" t="s">
        <v>20</v>
      </c>
      <c r="AI3" s="5"/>
      <c r="AJ3" s="5"/>
    </row>
    <row r="4" spans="1:36" x14ac:dyDescent="0.25">
      <c r="A4" s="1">
        <v>0.14182976</v>
      </c>
      <c r="B4" s="1">
        <v>7.2024199999999997E-2</v>
      </c>
      <c r="C4" s="1">
        <v>0</v>
      </c>
      <c r="D4" s="1">
        <v>-0.91174491000000002</v>
      </c>
      <c r="E4" s="1">
        <v>0.30351324000000002</v>
      </c>
      <c r="F4" s="1">
        <v>0.30399999999999999</v>
      </c>
      <c r="G4" s="1">
        <v>-9.1163394972681999E-4</v>
      </c>
      <c r="H4" s="1">
        <v>-1.0851300321519401E-3</v>
      </c>
      <c r="I4" s="1">
        <v>-2.5136896874755599E-3</v>
      </c>
      <c r="J4" s="1">
        <v>-0.19703710079193101</v>
      </c>
      <c r="K4" s="1">
        <v>-0.12924839556217199</v>
      </c>
      <c r="L4" s="1">
        <v>8.4088072180748003E-3</v>
      </c>
      <c r="M4" s="1">
        <v>0.30399999999999999</v>
      </c>
      <c r="N4" s="1">
        <v>-2.835952E-4</v>
      </c>
      <c r="O4" s="1">
        <v>9.3502299999999994E-5</v>
      </c>
      <c r="P4" s="1">
        <v>-1.0362583000000001E-3</v>
      </c>
      <c r="Q4" s="1">
        <v>-0.20704410170000001</v>
      </c>
      <c r="R4" s="1">
        <v>-0.1133078619</v>
      </c>
      <c r="S4" s="1">
        <v>2.3606158999999998E-3</v>
      </c>
      <c r="T4" s="1">
        <v>-0.311</v>
      </c>
      <c r="U4" s="13">
        <f>ABS(G4-N4)</f>
        <v>6.2803874972681994E-4</v>
      </c>
      <c r="V4" s="13">
        <f t="shared" ref="V4:Z4" si="0">ABS(H4-O4)</f>
        <v>1.1786323321519401E-3</v>
      </c>
      <c r="W4" s="13">
        <f t="shared" si="0"/>
        <v>1.4774313874755599E-3</v>
      </c>
      <c r="X4" s="13">
        <f t="shared" si="0"/>
        <v>1.0007000908068997E-2</v>
      </c>
      <c r="Y4" s="13">
        <f t="shared" si="0"/>
        <v>1.5940533662171991E-2</v>
      </c>
      <c r="Z4" s="13">
        <f t="shared" si="0"/>
        <v>6.0481913180748005E-3</v>
      </c>
      <c r="AB4" s="14" t="s">
        <v>29</v>
      </c>
      <c r="AC4" s="15" t="s">
        <v>24</v>
      </c>
      <c r="AD4" s="15" t="s">
        <v>25</v>
      </c>
      <c r="AE4" s="7"/>
      <c r="AF4" s="15" t="s">
        <v>26</v>
      </c>
      <c r="AG4" s="16" t="s">
        <v>27</v>
      </c>
    </row>
    <row r="5" spans="1:36" x14ac:dyDescent="0.25">
      <c r="A5" s="1">
        <v>0.60745837000000003</v>
      </c>
      <c r="B5" s="1">
        <v>9.7064369999999997E-2</v>
      </c>
      <c r="C5" s="1">
        <v>0</v>
      </c>
      <c r="D5" s="1">
        <v>1.7524401700000001</v>
      </c>
      <c r="E5" s="1">
        <v>0.57808470999999995</v>
      </c>
      <c r="F5" s="1">
        <v>0.378</v>
      </c>
      <c r="G5" s="1">
        <v>5.73261640965939E-4</v>
      </c>
      <c r="H5" s="1">
        <v>-8.4196426905691602E-4</v>
      </c>
      <c r="I5" s="1">
        <v>7.2134017944335896E-2</v>
      </c>
      <c r="J5" s="1">
        <v>-0.55127584934234597</v>
      </c>
      <c r="K5" s="1">
        <v>0.51616352796554599</v>
      </c>
      <c r="L5" s="1">
        <v>1.7094016075134302E-2</v>
      </c>
      <c r="M5" s="1">
        <v>0.378</v>
      </c>
      <c r="N5" s="1">
        <v>-3.516309E-4</v>
      </c>
      <c r="O5" s="1">
        <v>1.116527E-4</v>
      </c>
      <c r="P5" s="1">
        <v>7.2870908799999995E-2</v>
      </c>
      <c r="Q5" s="1">
        <v>-0.58514473690000002</v>
      </c>
      <c r="R5" s="1">
        <v>0.56133962829999995</v>
      </c>
      <c r="S5" s="1">
        <v>2.8994540000000001E-3</v>
      </c>
      <c r="T5" s="1">
        <v>-0.378</v>
      </c>
      <c r="U5" s="13">
        <f t="shared" ref="U5:U23" si="1">ABS(G5-N5)</f>
        <v>9.24892540965939E-4</v>
      </c>
      <c r="V5" s="13">
        <f t="shared" ref="V5:V23" si="2">ABS(H5-O5)</f>
        <v>9.53616969056916E-4</v>
      </c>
      <c r="W5" s="13">
        <f t="shared" ref="W5:W23" si="3">ABS(I5-P5)</f>
        <v>7.3689085566409906E-4</v>
      </c>
      <c r="X5" s="13">
        <f t="shared" ref="X5:X23" si="4">ABS(J5-Q5)</f>
        <v>3.3868887557654048E-2</v>
      </c>
      <c r="Y5" s="13">
        <f t="shared" ref="Y5:Y23" si="5">ABS(K5-R5)</f>
        <v>4.5176100334453961E-2</v>
      </c>
      <c r="Z5" s="13">
        <f t="shared" ref="Z5:Z23" si="6">ABS(L5-S5)</f>
        <v>1.4194562075134302E-2</v>
      </c>
      <c r="AB5" s="17">
        <f>'[1]ATI_Sensor_Log(2.0to1.0)'!$G2</f>
        <v>0</v>
      </c>
      <c r="AC5" s="17">
        <f>-1*'[1]ATI_Sensor_Log(2.0to1.0)'!$F2</f>
        <v>0</v>
      </c>
      <c r="AD5" s="17">
        <f>'[1]ATI_Sensor_Log(2.0to1.0)'!$E2</f>
        <v>0</v>
      </c>
      <c r="AE5" s="17">
        <f>'[1]ATI_Sensor_Log(2.0to1.0)'!$D2</f>
        <v>0</v>
      </c>
      <c r="AF5" s="17">
        <f>-1*'[1]ATI_Sensor_Log(2.0to1.0)'!$C2</f>
        <v>0</v>
      </c>
      <c r="AG5" s="17">
        <f>'[1]ATI_Sensor_Log(2.0to1.0)'!$B2</f>
        <v>0</v>
      </c>
    </row>
    <row r="6" spans="1:36" x14ac:dyDescent="0.25">
      <c r="A6" s="1">
        <v>0.88365583999999997</v>
      </c>
      <c r="B6" s="1">
        <v>5.4008720000000003E-2</v>
      </c>
      <c r="C6" s="1">
        <v>0</v>
      </c>
      <c r="D6" s="1">
        <v>-0.91161608000000005</v>
      </c>
      <c r="E6" s="1">
        <v>0.57138001000000005</v>
      </c>
      <c r="F6" s="1">
        <v>0.61699999999999999</v>
      </c>
      <c r="G6" s="1">
        <v>-2.39273207262158E-3</v>
      </c>
      <c r="H6" s="1">
        <v>-3.4488118253648298E-3</v>
      </c>
      <c r="I6" s="1">
        <v>-2.6666743680834801E-2</v>
      </c>
      <c r="J6" s="1">
        <v>-2.8852019459009198E-2</v>
      </c>
      <c r="K6" s="1">
        <v>-0.67019283771514904</v>
      </c>
      <c r="L6" s="1">
        <v>3.4370362758636502E-2</v>
      </c>
      <c r="M6" s="1">
        <v>0.61699999999999999</v>
      </c>
      <c r="N6" s="1">
        <v>-4.6826350000000002E-4</v>
      </c>
      <c r="O6" s="1">
        <v>1.4276760000000001E-4</v>
      </c>
      <c r="P6" s="1">
        <v>-3.2085327800000001E-2</v>
      </c>
      <c r="Q6" s="1">
        <v>5.9246150099999999E-2</v>
      </c>
      <c r="R6" s="1">
        <v>-0.7071697455</v>
      </c>
      <c r="S6" s="1">
        <v>3.8231763999999999E-3</v>
      </c>
      <c r="T6" s="1">
        <v>-0.502</v>
      </c>
      <c r="U6" s="13">
        <f t="shared" si="1"/>
        <v>1.9244685726215801E-3</v>
      </c>
      <c r="V6" s="13">
        <f t="shared" si="2"/>
        <v>3.5915794253648299E-3</v>
      </c>
      <c r="W6" s="13">
        <f t="shared" si="3"/>
        <v>5.4185841191651991E-3</v>
      </c>
      <c r="X6" s="13">
        <f t="shared" si="4"/>
        <v>8.8098169559009204E-2</v>
      </c>
      <c r="Y6" s="13">
        <f t="shared" si="5"/>
        <v>3.6976907784850965E-2</v>
      </c>
      <c r="Z6" s="13">
        <f t="shared" si="6"/>
        <v>3.0547186358636503E-2</v>
      </c>
      <c r="AB6" s="17">
        <f>'[1]ATI_Sensor_Log(2.0to1.0)'!$G3</f>
        <v>0</v>
      </c>
      <c r="AC6" s="17">
        <f>-1*'[1]ATI_Sensor_Log(2.0to1.0)'!$F3</f>
        <v>0</v>
      </c>
      <c r="AD6" s="17">
        <f>'[1]ATI_Sensor_Log(2.0to1.0)'!$E3</f>
        <v>0</v>
      </c>
      <c r="AE6" s="17">
        <f>'[1]ATI_Sensor_Log(2.0to1.0)'!$D3</f>
        <v>0</v>
      </c>
      <c r="AF6" s="17">
        <f>-1*'[1]ATI_Sensor_Log(2.0to1.0)'!$C3</f>
        <v>0</v>
      </c>
      <c r="AG6" s="17">
        <f>'[1]ATI_Sensor_Log(2.0to1.0)'!$B3</f>
        <v>0</v>
      </c>
    </row>
    <row r="7" spans="1:36" x14ac:dyDescent="0.25">
      <c r="A7" s="1">
        <v>9.2526059999999993E-2</v>
      </c>
      <c r="B7" s="1">
        <v>7.6311329999999997E-2</v>
      </c>
      <c r="C7" s="1">
        <v>0</v>
      </c>
      <c r="D7" s="1">
        <v>-1.80081968</v>
      </c>
      <c r="E7" s="1">
        <v>0.20000873999999999</v>
      </c>
      <c r="F7" s="1">
        <v>0.21</v>
      </c>
      <c r="G7" s="1">
        <v>-4.48850973043591E-4</v>
      </c>
      <c r="H7" s="1">
        <v>-1.3324012979865101E-4</v>
      </c>
      <c r="I7" s="1">
        <v>-3.5143312998115999E-3</v>
      </c>
      <c r="J7" s="1">
        <v>-0.22372764348983801</v>
      </c>
      <c r="K7" s="1">
        <v>-0.100444361567497</v>
      </c>
      <c r="L7" s="1">
        <v>6.3757039606571198E-3</v>
      </c>
      <c r="M7" s="1">
        <v>0.21</v>
      </c>
      <c r="N7" s="1">
        <v>-1.5724320000000001E-4</v>
      </c>
      <c r="O7" s="1">
        <v>5.9794399999999998E-5</v>
      </c>
      <c r="P7" s="1">
        <v>-3.1501951000000002E-3</v>
      </c>
      <c r="Q7" s="1">
        <v>-0.1924480616</v>
      </c>
      <c r="R7" s="1">
        <v>-9.1929783200000004E-2</v>
      </c>
      <c r="S7" s="1">
        <v>1.3599166000000001E-3</v>
      </c>
      <c r="T7" s="1">
        <v>-0.17799999999999999</v>
      </c>
      <c r="U7" s="13">
        <f t="shared" si="1"/>
        <v>2.9160777304359099E-4</v>
      </c>
      <c r="V7" s="13">
        <f t="shared" si="2"/>
        <v>1.9303452979865102E-4</v>
      </c>
      <c r="W7" s="13">
        <f t="shared" si="3"/>
        <v>3.641361998115997E-4</v>
      </c>
      <c r="X7" s="13">
        <f t="shared" si="4"/>
        <v>3.127958188983801E-2</v>
      </c>
      <c r="Y7" s="13">
        <f t="shared" si="5"/>
        <v>8.5145783674969999E-3</v>
      </c>
      <c r="Z7" s="13">
        <f t="shared" si="6"/>
        <v>5.0157873606571195E-3</v>
      </c>
      <c r="AB7" s="17">
        <f>'[1]ATI_Sensor_Log(2.0to1.0)'!$G4</f>
        <v>0</v>
      </c>
      <c r="AC7" s="17">
        <f>-1*'[1]ATI_Sensor_Log(2.0to1.0)'!$F4</f>
        <v>0</v>
      </c>
      <c r="AD7" s="17">
        <f>'[1]ATI_Sensor_Log(2.0to1.0)'!$E4</f>
        <v>0</v>
      </c>
      <c r="AE7" s="17">
        <f>'[1]ATI_Sensor_Log(2.0to1.0)'!$D4</f>
        <v>0</v>
      </c>
      <c r="AF7" s="17">
        <f>-1*'[1]ATI_Sensor_Log(2.0to1.0)'!$C4</f>
        <v>0</v>
      </c>
      <c r="AG7" s="17">
        <f>'[1]ATI_Sensor_Log(2.0to1.0)'!$B4</f>
        <v>0</v>
      </c>
    </row>
    <row r="8" spans="1:36" x14ac:dyDescent="0.25">
      <c r="A8" s="1">
        <v>0.26582482000000002</v>
      </c>
      <c r="B8" s="1">
        <v>0.11576127</v>
      </c>
      <c r="C8" s="1">
        <v>0</v>
      </c>
      <c r="D8" s="1">
        <v>1.6288840099999999</v>
      </c>
      <c r="E8" s="1">
        <v>0.56468087</v>
      </c>
      <c r="F8" s="1">
        <v>0.43</v>
      </c>
      <c r="G8" s="1">
        <v>3.9714667946100202E-4</v>
      </c>
      <c r="H8" s="1">
        <v>-8.1160559784621E-4</v>
      </c>
      <c r="I8" s="1">
        <v>4.53379787504673E-2</v>
      </c>
      <c r="J8" s="1">
        <v>-0.44326165318489102</v>
      </c>
      <c r="K8" s="1">
        <v>0.24324490129947701</v>
      </c>
      <c r="L8" s="1">
        <v>1.42691433429718E-2</v>
      </c>
      <c r="M8" s="1">
        <v>0.43</v>
      </c>
      <c r="N8" s="1">
        <v>-4.0022780000000002E-4</v>
      </c>
      <c r="O8" s="1">
        <v>1.246172E-4</v>
      </c>
      <c r="P8" s="1">
        <v>4.4657177700000002E-2</v>
      </c>
      <c r="Q8" s="1">
        <v>-0.4748598758</v>
      </c>
      <c r="R8" s="1">
        <v>0.25410777800000001</v>
      </c>
      <c r="S8" s="1">
        <v>3.2843383E-3</v>
      </c>
      <c r="T8" s="1">
        <v>-0.43</v>
      </c>
      <c r="U8" s="13">
        <f t="shared" si="1"/>
        <v>7.9737447946100204E-4</v>
      </c>
      <c r="V8" s="13">
        <f t="shared" si="2"/>
        <v>9.3622279784621001E-4</v>
      </c>
      <c r="W8" s="13">
        <f t="shared" si="3"/>
        <v>6.8080105046729872E-4</v>
      </c>
      <c r="X8" s="13">
        <f t="shared" si="4"/>
        <v>3.1598222615108973E-2</v>
      </c>
      <c r="Y8" s="13">
        <f t="shared" si="5"/>
        <v>1.0862876700522994E-2</v>
      </c>
      <c r="Z8" s="13">
        <f t="shared" si="6"/>
        <v>1.09848050429718E-2</v>
      </c>
      <c r="AB8" s="17">
        <f>'[1]ATI_Sensor_Log(2.0to1.0)'!$G5</f>
        <v>0</v>
      </c>
      <c r="AC8" s="17">
        <f>-1*'[1]ATI_Sensor_Log(2.0to1.0)'!$F5</f>
        <v>0</v>
      </c>
      <c r="AD8" s="17">
        <f>'[1]ATI_Sensor_Log(2.0to1.0)'!$E5</f>
        <v>0</v>
      </c>
      <c r="AE8" s="17">
        <f>'[1]ATI_Sensor_Log(2.0to1.0)'!$D5</f>
        <v>0</v>
      </c>
      <c r="AF8" s="17">
        <f>-1*'[1]ATI_Sensor_Log(2.0to1.0)'!$C5</f>
        <v>0</v>
      </c>
      <c r="AG8" s="17">
        <f>'[1]ATI_Sensor_Log(2.0to1.0)'!$B5</f>
        <v>0</v>
      </c>
    </row>
    <row r="9" spans="1:36" x14ac:dyDescent="0.25">
      <c r="A9" s="1">
        <v>0.45</v>
      </c>
      <c r="B9" s="1">
        <v>0.17373299</v>
      </c>
      <c r="C9" s="1">
        <v>0</v>
      </c>
      <c r="D9" s="1">
        <v>-2.0085328699999998</v>
      </c>
      <c r="E9" s="1">
        <v>0.2667928</v>
      </c>
      <c r="F9" s="1">
        <v>0.76800000000000002</v>
      </c>
      <c r="G9" s="1">
        <v>-2.8824871405959099E-3</v>
      </c>
      <c r="H9" s="1">
        <v>-2.6444175746291902E-3</v>
      </c>
      <c r="I9" s="1">
        <v>-5.5171221494674703E-2</v>
      </c>
      <c r="J9" s="1">
        <v>-0.967154741287231</v>
      </c>
      <c r="K9" s="1">
        <v>-0.338964402675629</v>
      </c>
      <c r="L9" s="1">
        <v>4.3315857648849501E-2</v>
      </c>
      <c r="M9" s="1">
        <v>0.76800000000000002</v>
      </c>
      <c r="N9" s="1">
        <v>-7.3068679999999998E-4</v>
      </c>
      <c r="O9" s="1">
        <v>2.1277629999999999E-4</v>
      </c>
      <c r="P9" s="1">
        <v>-5.6755080200000002E-2</v>
      </c>
      <c r="Q9" s="1">
        <v>-0.94569726050000003</v>
      </c>
      <c r="R9" s="1">
        <v>-0.40452304119999999</v>
      </c>
      <c r="S9" s="1">
        <v>5.9015519000000004E-3</v>
      </c>
      <c r="T9" s="1">
        <v>-0.76800000000000002</v>
      </c>
      <c r="U9" s="13">
        <f t="shared" si="1"/>
        <v>2.1518003405959097E-3</v>
      </c>
      <c r="V9" s="13">
        <f t="shared" si="2"/>
        <v>2.8571938746291903E-3</v>
      </c>
      <c r="W9" s="13">
        <f t="shared" si="3"/>
        <v>1.5838587053252987E-3</v>
      </c>
      <c r="X9" s="13">
        <f t="shared" si="4"/>
        <v>2.1457480787230976E-2</v>
      </c>
      <c r="Y9" s="13">
        <f t="shared" si="5"/>
        <v>6.5558638524370993E-2</v>
      </c>
      <c r="Z9" s="13">
        <f t="shared" si="6"/>
        <v>3.7414305748849498E-2</v>
      </c>
      <c r="AB9" s="17">
        <f>'[1]ATI_Sensor_Log(2.0to1.0)'!$G6</f>
        <v>0</v>
      </c>
      <c r="AC9" s="17">
        <f>-1*'[1]ATI_Sensor_Log(2.0to1.0)'!$F6</f>
        <v>0</v>
      </c>
      <c r="AD9" s="17">
        <f>'[1]ATI_Sensor_Log(2.0to1.0)'!$E6</f>
        <v>0</v>
      </c>
      <c r="AE9" s="17">
        <f>'[1]ATI_Sensor_Log(2.0to1.0)'!$D6</f>
        <v>0</v>
      </c>
      <c r="AF9" s="17">
        <f>-1*'[1]ATI_Sensor_Log(2.0to1.0)'!$C6</f>
        <v>0</v>
      </c>
      <c r="AG9" s="17">
        <f>'[1]ATI_Sensor_Log(2.0to1.0)'!$B6</f>
        <v>0</v>
      </c>
    </row>
    <row r="10" spans="1:36" x14ac:dyDescent="0.25">
      <c r="A10" s="1">
        <v>0.17540121</v>
      </c>
      <c r="B10" s="1">
        <v>0.14381803000000001</v>
      </c>
      <c r="C10" s="1">
        <v>0</v>
      </c>
      <c r="D10" s="1">
        <v>-1.11184028</v>
      </c>
      <c r="E10" s="1">
        <v>0.38917186999999998</v>
      </c>
      <c r="F10" s="1">
        <v>0.497</v>
      </c>
      <c r="G10" s="1">
        <v>-1.4106486923992599E-3</v>
      </c>
      <c r="H10" s="1">
        <v>-2.5641322135925302E-3</v>
      </c>
      <c r="I10" s="1">
        <v>-1.1485542170703401E-2</v>
      </c>
      <c r="J10" s="1">
        <v>-0.36418968439102201</v>
      </c>
      <c r="K10" s="1">
        <v>-0.149911478161812</v>
      </c>
      <c r="L10" s="1">
        <v>2.13295146822929E-2</v>
      </c>
      <c r="M10" s="1">
        <v>0.497</v>
      </c>
      <c r="N10" s="1">
        <v>-4.6826350000000002E-4</v>
      </c>
      <c r="O10" s="1">
        <v>1.4276760000000001E-4</v>
      </c>
      <c r="P10" s="1">
        <v>-1.0207613500000001E-2</v>
      </c>
      <c r="Q10" s="1">
        <v>-0.38892716440000002</v>
      </c>
      <c r="R10" s="1">
        <v>-0.15564500270000001</v>
      </c>
      <c r="S10" s="1">
        <v>3.8231763999999999E-3</v>
      </c>
      <c r="T10" s="1">
        <v>-0.497</v>
      </c>
      <c r="U10" s="13">
        <f t="shared" si="1"/>
        <v>9.4238519239925995E-4</v>
      </c>
      <c r="V10" s="13">
        <f t="shared" si="2"/>
        <v>2.7068998135925302E-3</v>
      </c>
      <c r="W10" s="13">
        <f t="shared" si="3"/>
        <v>1.2779286707034002E-3</v>
      </c>
      <c r="X10" s="13">
        <f t="shared" si="4"/>
        <v>2.4737480008978019E-2</v>
      </c>
      <c r="Y10" s="13">
        <f t="shared" si="5"/>
        <v>5.7335245381880118E-3</v>
      </c>
      <c r="Z10" s="13">
        <f t="shared" si="6"/>
        <v>1.7506338282292901E-2</v>
      </c>
      <c r="AB10" s="17">
        <f>'[1]ATI_Sensor_Log(2.0to1.0)'!$G7</f>
        <v>0</v>
      </c>
      <c r="AC10" s="17">
        <f>-1*'[1]ATI_Sensor_Log(2.0to1.0)'!$F7</f>
        <v>0</v>
      </c>
      <c r="AD10" s="17">
        <f>'[1]ATI_Sensor_Log(2.0to1.0)'!$E7</f>
        <v>0</v>
      </c>
      <c r="AE10" s="17">
        <f>'[1]ATI_Sensor_Log(2.0to1.0)'!$D7</f>
        <v>0</v>
      </c>
      <c r="AF10" s="17">
        <f>-1*'[1]ATI_Sensor_Log(2.0to1.0)'!$C7</f>
        <v>0</v>
      </c>
      <c r="AG10" s="17">
        <f>'[1]ATI_Sensor_Log(2.0to1.0)'!$B7</f>
        <v>0</v>
      </c>
    </row>
    <row r="11" spans="1:36" x14ac:dyDescent="0.25">
      <c r="A11" s="1">
        <v>0.91138322999999999</v>
      </c>
      <c r="B11" s="1">
        <v>0.10326726999999999</v>
      </c>
      <c r="C11" s="1">
        <v>0</v>
      </c>
      <c r="D11" s="1">
        <v>-2.1051697800000002</v>
      </c>
      <c r="E11" s="1">
        <v>1.130865E-2</v>
      </c>
      <c r="F11" s="1">
        <v>0.23</v>
      </c>
      <c r="G11" s="1">
        <v>-2.0074252970516699E-3</v>
      </c>
      <c r="H11" s="1">
        <v>-4.5337807387113598E-4</v>
      </c>
      <c r="I11" s="1">
        <v>-7.8970164060592707E-2</v>
      </c>
      <c r="J11" s="1">
        <v>-0.77051401138305697</v>
      </c>
      <c r="K11" s="1">
        <v>-0.66304510831832897</v>
      </c>
      <c r="L11" s="1">
        <v>4.46887910366058E-2</v>
      </c>
      <c r="M11" s="1">
        <v>0.23</v>
      </c>
      <c r="N11" s="1">
        <v>-2.058401E-4</v>
      </c>
      <c r="O11" s="1">
        <v>7.2758900000000006E-5</v>
      </c>
      <c r="P11" s="1">
        <v>-7.9263195800000005E-2</v>
      </c>
      <c r="Q11" s="1">
        <v>-0.80579253989999999</v>
      </c>
      <c r="R11" s="1">
        <v>-0.69916631259999995</v>
      </c>
      <c r="S11" s="1">
        <v>1.7448009E-3</v>
      </c>
      <c r="T11" s="1">
        <v>-0.23</v>
      </c>
      <c r="U11" s="13">
        <f t="shared" si="1"/>
        <v>1.80158519705167E-3</v>
      </c>
      <c r="V11" s="13">
        <f t="shared" si="2"/>
        <v>5.2613697387113604E-4</v>
      </c>
      <c r="W11" s="13">
        <f t="shared" si="3"/>
        <v>2.9303173940729843E-4</v>
      </c>
      <c r="X11" s="13">
        <f t="shared" si="4"/>
        <v>3.527852851694302E-2</v>
      </c>
      <c r="Y11" s="13">
        <f t="shared" si="5"/>
        <v>3.6121204281670982E-2</v>
      </c>
      <c r="Z11" s="13">
        <f t="shared" si="6"/>
        <v>4.2943990136605797E-2</v>
      </c>
      <c r="AB11" s="17">
        <f>'[1]ATI_Sensor_Log(2.0to1.0)'!$G8</f>
        <v>0</v>
      </c>
      <c r="AC11" s="17">
        <f>-1*'[1]ATI_Sensor_Log(2.0to1.0)'!$F8</f>
        <v>0</v>
      </c>
      <c r="AD11" s="17">
        <f>'[1]ATI_Sensor_Log(2.0to1.0)'!$E8</f>
        <v>0</v>
      </c>
      <c r="AE11" s="17">
        <f>'[1]ATI_Sensor_Log(2.0to1.0)'!$D8</f>
        <v>0</v>
      </c>
      <c r="AF11" s="17">
        <f>-1*'[1]ATI_Sensor_Log(2.0to1.0)'!$C8</f>
        <v>0</v>
      </c>
      <c r="AG11" s="17">
        <f>'[1]ATI_Sensor_Log(2.0to1.0)'!$B8</f>
        <v>0</v>
      </c>
    </row>
    <row r="12" spans="1:36" x14ac:dyDescent="0.25">
      <c r="A12" s="1">
        <v>0.67321675000000003</v>
      </c>
      <c r="B12" s="1">
        <v>0.15658332999999999</v>
      </c>
      <c r="C12" s="1">
        <v>0</v>
      </c>
      <c r="D12" s="1">
        <v>1.9850788800000001</v>
      </c>
      <c r="E12" s="1">
        <v>0.19040074000000001</v>
      </c>
      <c r="F12" s="1">
        <v>0</v>
      </c>
      <c r="G12" s="1">
        <v>6.4870691858232E-4</v>
      </c>
      <c r="H12" s="1">
        <v>-1.34663167409599E-3</v>
      </c>
      <c r="I12" s="1">
        <v>8.9680150151252705E-2</v>
      </c>
      <c r="J12" s="1">
        <v>-0.53976345062255904</v>
      </c>
      <c r="K12" s="1">
        <v>0.378590047359467</v>
      </c>
      <c r="L12" s="1">
        <v>1.5296399593353299E-2</v>
      </c>
      <c r="M12" s="1">
        <v>0</v>
      </c>
      <c r="N12" s="1">
        <v>7.9863000000000001E-6</v>
      </c>
      <c r="O12" s="1">
        <v>1.5714900000000001E-5</v>
      </c>
      <c r="P12" s="1">
        <v>8.8698333099999999E-2</v>
      </c>
      <c r="Q12" s="1">
        <v>-0.53453876550000001</v>
      </c>
      <c r="R12" s="1">
        <v>0.42169223960000002</v>
      </c>
      <c r="S12" s="1">
        <v>5.1309800000000001E-5</v>
      </c>
      <c r="T12" s="1">
        <v>-1.2999999999999999E-2</v>
      </c>
      <c r="U12" s="13">
        <f t="shared" si="1"/>
        <v>6.4072061858232003E-4</v>
      </c>
      <c r="V12" s="13">
        <f t="shared" si="2"/>
        <v>1.3623465740959901E-3</v>
      </c>
      <c r="W12" s="13">
        <f t="shared" si="3"/>
        <v>9.8181705125270635E-4</v>
      </c>
      <c r="X12" s="13">
        <f t="shared" si="4"/>
        <v>5.2246851225590252E-3</v>
      </c>
      <c r="Y12" s="13">
        <f t="shared" si="5"/>
        <v>4.3102192240533022E-2</v>
      </c>
      <c r="Z12" s="13">
        <f t="shared" si="6"/>
        <v>1.52450897933533E-2</v>
      </c>
      <c r="AB12" s="17">
        <f>'[1]ATI_Sensor_Log(2.0to1.0)'!$G9</f>
        <v>0</v>
      </c>
      <c r="AC12" s="17">
        <f>-1*'[1]ATI_Sensor_Log(2.0to1.0)'!$F9</f>
        <v>0</v>
      </c>
      <c r="AD12" s="17">
        <f>'[1]ATI_Sensor_Log(2.0to1.0)'!$E9</f>
        <v>0</v>
      </c>
      <c r="AE12" s="17">
        <f>'[1]ATI_Sensor_Log(2.0to1.0)'!$D9</f>
        <v>0</v>
      </c>
      <c r="AF12" s="17">
        <f>-1*'[1]ATI_Sensor_Log(2.0to1.0)'!$C9</f>
        <v>0</v>
      </c>
      <c r="AG12" s="17">
        <f>'[1]ATI_Sensor_Log(2.0to1.0)'!$B9</f>
        <v>0</v>
      </c>
    </row>
    <row r="13" spans="1:36" x14ac:dyDescent="0.25">
      <c r="A13" s="1">
        <v>0.51328965999999998</v>
      </c>
      <c r="B13" s="1">
        <v>0.18841874</v>
      </c>
      <c r="C13" s="1">
        <v>0</v>
      </c>
      <c r="D13" s="1">
        <v>1.9513616899999999</v>
      </c>
      <c r="E13" s="1">
        <v>0.15918219</v>
      </c>
      <c r="F13" s="1">
        <v>0</v>
      </c>
      <c r="G13" s="1">
        <v>2.1531186066567902E-3</v>
      </c>
      <c r="H13" s="1">
        <v>-1.85897364281118E-3</v>
      </c>
      <c r="I13" s="1">
        <v>7.3820367455482497E-2</v>
      </c>
      <c r="J13" s="1">
        <v>-0.43470159173011802</v>
      </c>
      <c r="K13" s="1">
        <v>0.22742748260498</v>
      </c>
      <c r="L13" s="1">
        <v>3.35876196622849E-2</v>
      </c>
      <c r="M13" s="1">
        <v>0</v>
      </c>
      <c r="N13" s="1">
        <v>0</v>
      </c>
      <c r="O13" s="1">
        <v>0</v>
      </c>
      <c r="P13" s="1">
        <v>7.5702147499999997E-2</v>
      </c>
      <c r="Q13" s="1">
        <v>-0.42884205710000001</v>
      </c>
      <c r="R13" s="1">
        <v>0.28148504680000003</v>
      </c>
      <c r="S13" s="1">
        <v>0</v>
      </c>
      <c r="T13" s="1">
        <v>0</v>
      </c>
      <c r="U13" s="13">
        <f t="shared" si="1"/>
        <v>2.1531186066567902E-3</v>
      </c>
      <c r="V13" s="13">
        <f t="shared" si="2"/>
        <v>1.85897364281118E-3</v>
      </c>
      <c r="W13" s="13">
        <f t="shared" si="3"/>
        <v>1.8817800445175004E-3</v>
      </c>
      <c r="X13" s="13">
        <f t="shared" si="4"/>
        <v>5.8595346301180129E-3</v>
      </c>
      <c r="Y13" s="13">
        <f t="shared" si="5"/>
        <v>5.405756419502003E-2</v>
      </c>
      <c r="Z13" s="13">
        <f t="shared" si="6"/>
        <v>3.35876196622849E-2</v>
      </c>
      <c r="AB13" s="17">
        <f>'[1]ATI_Sensor_Log(2.0to1.0)'!$G10</f>
        <v>0</v>
      </c>
      <c r="AC13" s="17">
        <f>-1*'[1]ATI_Sensor_Log(2.0to1.0)'!$F10</f>
        <v>0</v>
      </c>
      <c r="AD13" s="17">
        <f>'[1]ATI_Sensor_Log(2.0to1.0)'!$E10</f>
        <v>0</v>
      </c>
      <c r="AE13" s="17">
        <f>'[1]ATI_Sensor_Log(2.0to1.0)'!$D10</f>
        <v>0</v>
      </c>
      <c r="AF13" s="17">
        <f>-1*'[1]ATI_Sensor_Log(2.0to1.0)'!$C10</f>
        <v>0</v>
      </c>
      <c r="AG13" s="17">
        <f>'[1]ATI_Sensor_Log(2.0to1.0)'!$B10</f>
        <v>0</v>
      </c>
    </row>
    <row r="14" spans="1:36" x14ac:dyDescent="0.25">
      <c r="A14" s="1">
        <v>0.41902099999999998</v>
      </c>
      <c r="B14" s="1">
        <v>0.19321867000000001</v>
      </c>
      <c r="C14" s="1">
        <v>0</v>
      </c>
      <c r="D14" s="1">
        <v>-1.94528868</v>
      </c>
      <c r="E14" s="1">
        <v>7.5709239999999997E-2</v>
      </c>
      <c r="F14" s="1">
        <v>0.76800000000000002</v>
      </c>
      <c r="G14" s="1">
        <v>-1.50931708049029E-3</v>
      </c>
      <c r="H14" s="1">
        <v>-2.2329168859869198E-3</v>
      </c>
      <c r="I14" s="1">
        <v>-5.9763666242361103E-2</v>
      </c>
      <c r="J14" s="1">
        <v>-0.94436967372894298</v>
      </c>
      <c r="K14" s="1">
        <v>-0.32222291827201799</v>
      </c>
      <c r="L14" s="1">
        <v>2.7182862162589999E-2</v>
      </c>
      <c r="M14" s="1">
        <v>0.76800000000000002</v>
      </c>
      <c r="N14" s="1">
        <v>-7.3068679999999998E-4</v>
      </c>
      <c r="O14" s="1">
        <v>2.1277629999999999E-4</v>
      </c>
      <c r="P14" s="1">
        <v>-5.9708396499999997E-2</v>
      </c>
      <c r="Q14" s="1">
        <v>-0.90742564670000003</v>
      </c>
      <c r="R14" s="1">
        <v>-0.38896644920000001</v>
      </c>
      <c r="S14" s="1">
        <v>5.9015519000000004E-3</v>
      </c>
      <c r="T14" s="1">
        <v>-0.76800000000000002</v>
      </c>
      <c r="U14" s="13">
        <f t="shared" si="1"/>
        <v>7.7863028049029006E-4</v>
      </c>
      <c r="V14" s="13">
        <f t="shared" si="2"/>
        <v>2.44569318598692E-3</v>
      </c>
      <c r="W14" s="13">
        <f t="shared" si="3"/>
        <v>5.5269742361106766E-5</v>
      </c>
      <c r="X14" s="13">
        <f t="shared" si="4"/>
        <v>3.694402702894295E-2</v>
      </c>
      <c r="Y14" s="13">
        <f t="shared" si="5"/>
        <v>6.674353092798202E-2</v>
      </c>
      <c r="Z14" s="13">
        <f t="shared" si="6"/>
        <v>2.128131026259E-2</v>
      </c>
      <c r="AB14" s="17">
        <f>'[1]ATI_Sensor_Log(2.0to1.0)'!$G11</f>
        <v>0</v>
      </c>
      <c r="AC14" s="17">
        <f>-1*'[1]ATI_Sensor_Log(2.0to1.0)'!$F11</f>
        <v>0</v>
      </c>
      <c r="AD14" s="17">
        <f>'[1]ATI_Sensor_Log(2.0to1.0)'!$E11</f>
        <v>0</v>
      </c>
      <c r="AE14" s="17">
        <f>'[1]ATI_Sensor_Log(2.0to1.0)'!$D11</f>
        <v>0</v>
      </c>
      <c r="AF14" s="17">
        <f>-1*'[1]ATI_Sensor_Log(2.0to1.0)'!$C11</f>
        <v>0</v>
      </c>
      <c r="AG14" s="17">
        <f>'[1]ATI_Sensor_Log(2.0to1.0)'!$B11</f>
        <v>0</v>
      </c>
    </row>
    <row r="15" spans="1:36" x14ac:dyDescent="0.25">
      <c r="A15" s="1">
        <v>0.34660519000000001</v>
      </c>
      <c r="B15" s="1">
        <v>0.13028766</v>
      </c>
      <c r="C15" s="1">
        <v>0</v>
      </c>
      <c r="D15" s="1">
        <v>2.32963897</v>
      </c>
      <c r="E15" s="1">
        <v>0.24459961</v>
      </c>
      <c r="F15" s="1">
        <v>0.1</v>
      </c>
      <c r="G15" s="1">
        <v>-3.0693307053297801E-4</v>
      </c>
      <c r="H15" s="1">
        <v>-9.6095260232686996E-5</v>
      </c>
      <c r="I15" s="1">
        <v>3.5561989992857E-2</v>
      </c>
      <c r="J15" s="1">
        <v>-0.36243444681167603</v>
      </c>
      <c r="K15" s="1">
        <v>0.20112581551075001</v>
      </c>
      <c r="L15" s="1">
        <v>5.4567307233810399E-3</v>
      </c>
      <c r="M15" s="1">
        <v>0.1</v>
      </c>
      <c r="N15" s="1">
        <v>-7.9488100000000002E-5</v>
      </c>
      <c r="O15" s="1">
        <v>3.9051100000000003E-5</v>
      </c>
      <c r="P15" s="1">
        <v>3.55140236E-2</v>
      </c>
      <c r="Q15" s="1">
        <v>-0.3677255962</v>
      </c>
      <c r="R15" s="1">
        <v>0.21486410659999999</v>
      </c>
      <c r="S15" s="1">
        <v>7.4410160000000004E-4</v>
      </c>
      <c r="T15" s="1">
        <v>-0.1</v>
      </c>
      <c r="U15" s="13">
        <f t="shared" si="1"/>
        <v>2.2744497053297803E-4</v>
      </c>
      <c r="V15" s="13">
        <f t="shared" si="2"/>
        <v>1.3514636023268699E-4</v>
      </c>
      <c r="W15" s="13">
        <f t="shared" si="3"/>
        <v>4.7966392857000384E-5</v>
      </c>
      <c r="X15" s="13">
        <f t="shared" si="4"/>
        <v>5.2911493883239791E-3</v>
      </c>
      <c r="Y15" s="13">
        <f t="shared" si="5"/>
        <v>1.3738291089249982E-2</v>
      </c>
      <c r="Z15" s="13">
        <f t="shared" si="6"/>
        <v>4.7126291233810401E-3</v>
      </c>
      <c r="AB15" s="17">
        <f>'[1]ATI_Sensor_Log(2.0to1.0)'!$G12</f>
        <v>0</v>
      </c>
      <c r="AC15" s="17">
        <f>-1*'[1]ATI_Sensor_Log(2.0to1.0)'!$F12</f>
        <v>0</v>
      </c>
      <c r="AD15" s="17">
        <f>'[1]ATI_Sensor_Log(2.0to1.0)'!$E12</f>
        <v>0</v>
      </c>
      <c r="AE15" s="17">
        <f>'[1]ATI_Sensor_Log(2.0to1.0)'!$D12</f>
        <v>0</v>
      </c>
      <c r="AF15" s="17">
        <f>-1*'[1]ATI_Sensor_Log(2.0to1.0)'!$C12</f>
        <v>0</v>
      </c>
      <c r="AG15" s="17">
        <f>'[1]ATI_Sensor_Log(2.0to1.0)'!$B12</f>
        <v>0</v>
      </c>
    </row>
    <row r="16" spans="1:36" x14ac:dyDescent="0.25">
      <c r="A16" s="1">
        <v>0.37136375999999999</v>
      </c>
      <c r="B16" s="1">
        <v>0.19169604000000001</v>
      </c>
      <c r="C16" s="1">
        <v>0</v>
      </c>
      <c r="D16" s="1">
        <v>1.70618673</v>
      </c>
      <c r="E16" s="1">
        <v>0.66852389999999995</v>
      </c>
      <c r="F16" s="1">
        <v>0</v>
      </c>
      <c r="G16" s="1">
        <v>1.05677347164601E-3</v>
      </c>
      <c r="H16" s="1">
        <v>-1.7957310192287001E-3</v>
      </c>
      <c r="I16" s="1">
        <v>6.4393624663352994E-2</v>
      </c>
      <c r="J16" s="1">
        <v>-0.26715281605720498</v>
      </c>
      <c r="K16" s="1">
        <v>0.232885867357254</v>
      </c>
      <c r="L16" s="1">
        <v>1.8380418419838E-2</v>
      </c>
      <c r="M16" s="1">
        <v>0</v>
      </c>
      <c r="N16" s="1">
        <v>0</v>
      </c>
      <c r="O16" s="1">
        <v>0</v>
      </c>
      <c r="P16" s="1">
        <v>6.7136236099999996E-2</v>
      </c>
      <c r="Q16" s="1">
        <v>-0.22503309660000001</v>
      </c>
      <c r="R16" s="1">
        <v>0.29494572409999997</v>
      </c>
      <c r="S16" s="1">
        <v>0</v>
      </c>
      <c r="T16" s="1">
        <v>0</v>
      </c>
      <c r="U16" s="13">
        <f t="shared" si="1"/>
        <v>1.05677347164601E-3</v>
      </c>
      <c r="V16" s="13">
        <f t="shared" si="2"/>
        <v>1.7957310192287001E-3</v>
      </c>
      <c r="W16" s="13">
        <f t="shared" si="3"/>
        <v>2.7426114366470022E-3</v>
      </c>
      <c r="X16" s="13">
        <f t="shared" si="4"/>
        <v>4.2119719457204968E-2</v>
      </c>
      <c r="Y16" s="13">
        <f t="shared" si="5"/>
        <v>6.2059856742745972E-2</v>
      </c>
      <c r="Z16" s="13">
        <f t="shared" si="6"/>
        <v>1.8380418419838E-2</v>
      </c>
      <c r="AB16" s="17">
        <f>'[1]ATI_Sensor_Log(2.0to1.0)'!$G13</f>
        <v>0</v>
      </c>
      <c r="AC16" s="17">
        <f>-1*'[1]ATI_Sensor_Log(2.0to1.0)'!$F13</f>
        <v>0</v>
      </c>
      <c r="AD16" s="17">
        <f>'[1]ATI_Sensor_Log(2.0to1.0)'!$E13</f>
        <v>0</v>
      </c>
      <c r="AE16" s="17">
        <f>'[1]ATI_Sensor_Log(2.0to1.0)'!$D13</f>
        <v>0</v>
      </c>
      <c r="AF16" s="17">
        <f>-1*'[1]ATI_Sensor_Log(2.0to1.0)'!$C13</f>
        <v>0</v>
      </c>
      <c r="AG16" s="17">
        <f>'[1]ATI_Sensor_Log(2.0to1.0)'!$B13</f>
        <v>0</v>
      </c>
    </row>
    <row r="17" spans="1:35" x14ac:dyDescent="0.25">
      <c r="A17" s="1">
        <v>0.57675153999999995</v>
      </c>
      <c r="B17" s="1">
        <v>0.19410669999999999</v>
      </c>
      <c r="C17" s="1">
        <v>0</v>
      </c>
      <c r="D17" s="1">
        <v>1.17213521</v>
      </c>
      <c r="E17" s="1">
        <v>0.57058774999999995</v>
      </c>
      <c r="F17" s="1">
        <v>0</v>
      </c>
      <c r="G17" s="1">
        <v>3.5343742929399001E-3</v>
      </c>
      <c r="H17" s="1">
        <v>-3.7954235449433301E-3</v>
      </c>
      <c r="I17" s="1">
        <v>0.11383625864982599</v>
      </c>
      <c r="J17" s="1">
        <v>-0.25536644458770802</v>
      </c>
      <c r="K17" s="1">
        <v>0.48884528875351002</v>
      </c>
      <c r="L17" s="1">
        <v>2.4793863296508799E-2</v>
      </c>
      <c r="M17" s="1">
        <v>0</v>
      </c>
      <c r="N17" s="1">
        <v>0</v>
      </c>
      <c r="O17" s="1">
        <v>0</v>
      </c>
      <c r="P17" s="1">
        <v>0.111681115</v>
      </c>
      <c r="Q17" s="1">
        <v>-0.23438837739999999</v>
      </c>
      <c r="R17" s="1">
        <v>0.52721302830000005</v>
      </c>
      <c r="S17" s="1">
        <v>0</v>
      </c>
      <c r="T17" s="1">
        <v>0</v>
      </c>
      <c r="U17" s="13">
        <f t="shared" si="1"/>
        <v>3.5343742929399001E-3</v>
      </c>
      <c r="V17" s="13">
        <f t="shared" si="2"/>
        <v>3.7954235449433301E-3</v>
      </c>
      <c r="W17" s="13">
        <f t="shared" si="3"/>
        <v>2.1551436498259968E-3</v>
      </c>
      <c r="X17" s="13">
        <f t="shared" si="4"/>
        <v>2.0978067187708033E-2</v>
      </c>
      <c r="Y17" s="13">
        <f t="shared" si="5"/>
        <v>3.8367739546490032E-2</v>
      </c>
      <c r="Z17" s="13">
        <f t="shared" si="6"/>
        <v>2.4793863296508799E-2</v>
      </c>
      <c r="AB17" s="17">
        <f>'[1]ATI_Sensor_Log(2.0to1.0)'!$G14</f>
        <v>0</v>
      </c>
      <c r="AC17" s="17">
        <f>-1*'[1]ATI_Sensor_Log(2.0to1.0)'!$F14</f>
        <v>0</v>
      </c>
      <c r="AD17" s="17">
        <f>'[1]ATI_Sensor_Log(2.0to1.0)'!$E14</f>
        <v>0</v>
      </c>
      <c r="AE17" s="17">
        <f>'[1]ATI_Sensor_Log(2.0to1.0)'!$D14</f>
        <v>0</v>
      </c>
      <c r="AF17" s="17">
        <f>-1*'[1]ATI_Sensor_Log(2.0to1.0)'!$C14</f>
        <v>0</v>
      </c>
      <c r="AG17" s="17">
        <f>'[1]ATI_Sensor_Log(2.0to1.0)'!$B14</f>
        <v>0</v>
      </c>
    </row>
    <row r="18" spans="1:35" x14ac:dyDescent="0.25">
      <c r="A18" s="1">
        <v>0.73141639999999997</v>
      </c>
      <c r="B18" s="1">
        <v>0.10712663</v>
      </c>
      <c r="C18" s="1">
        <v>0</v>
      </c>
      <c r="D18" s="1">
        <v>-1.2846379400000001</v>
      </c>
      <c r="E18" s="1">
        <v>0.75296912000000005</v>
      </c>
      <c r="F18" s="1">
        <v>0.99099999999999999</v>
      </c>
      <c r="G18" s="1">
        <v>-2.8338059782981899E-3</v>
      </c>
      <c r="H18" s="1">
        <v>-3.8975423667579898E-3</v>
      </c>
      <c r="I18" s="1">
        <v>-5.2740231156349203E-2</v>
      </c>
      <c r="J18" s="1">
        <v>-0.73136901855468806</v>
      </c>
      <c r="K18" s="1">
        <v>-0.64403772354125999</v>
      </c>
      <c r="L18" s="1">
        <v>3.5194247961044298E-2</v>
      </c>
      <c r="M18" s="1">
        <v>0.99099999999999999</v>
      </c>
      <c r="N18" s="1">
        <v>-7.5984499999999999E-4</v>
      </c>
      <c r="O18" s="1">
        <v>2.2055499999999999E-4</v>
      </c>
      <c r="P18" s="1">
        <v>-6.0835117700000003E-2</v>
      </c>
      <c r="Q18" s="1">
        <v>-0.56612885960000003</v>
      </c>
      <c r="R18" s="1">
        <v>-0.71153494159999997</v>
      </c>
      <c r="S18" s="1">
        <v>6.1324824999999996E-3</v>
      </c>
      <c r="T18" s="1">
        <v>-1.028</v>
      </c>
      <c r="U18" s="13">
        <f t="shared" si="1"/>
        <v>2.07396097829819E-3</v>
      </c>
      <c r="V18" s="13">
        <f t="shared" si="2"/>
        <v>4.1180973667579897E-3</v>
      </c>
      <c r="W18" s="13">
        <f t="shared" si="3"/>
        <v>8.0948865436508005E-3</v>
      </c>
      <c r="X18" s="13">
        <f t="shared" si="4"/>
        <v>0.16524015895468802</v>
      </c>
      <c r="Y18" s="13">
        <f t="shared" si="5"/>
        <v>6.7497218058739983E-2</v>
      </c>
      <c r="Z18" s="13">
        <f t="shared" si="6"/>
        <v>2.9061765461044296E-2</v>
      </c>
      <c r="AB18" s="17">
        <f>'[1]ATI_Sensor_Log(2.0to1.0)'!$G15</f>
        <v>0</v>
      </c>
      <c r="AC18" s="17">
        <f>-1*'[1]ATI_Sensor_Log(2.0to1.0)'!$F15</f>
        <v>0</v>
      </c>
      <c r="AD18" s="17">
        <f>'[1]ATI_Sensor_Log(2.0to1.0)'!$E15</f>
        <v>0</v>
      </c>
      <c r="AE18" s="17">
        <f>'[1]ATI_Sensor_Log(2.0to1.0)'!$D15</f>
        <v>0</v>
      </c>
      <c r="AF18" s="17">
        <f>-1*'[1]ATI_Sensor_Log(2.0to1.0)'!$C15</f>
        <v>0</v>
      </c>
      <c r="AG18" s="17">
        <f>'[1]ATI_Sensor_Log(2.0to1.0)'!$B15</f>
        <v>0</v>
      </c>
    </row>
    <row r="19" spans="1:35" x14ac:dyDescent="0.25">
      <c r="A19" s="1">
        <v>0.92824048000000003</v>
      </c>
      <c r="B19" s="1">
        <v>6.1499020000000001E-2</v>
      </c>
      <c r="C19" s="1">
        <v>0</v>
      </c>
      <c r="D19" s="1">
        <v>2.2133731600000002</v>
      </c>
      <c r="E19" s="1">
        <v>0.49874278999999999</v>
      </c>
      <c r="F19" s="1">
        <v>0.41199999999999998</v>
      </c>
      <c r="G19" s="1">
        <v>-2.7264871168881698E-3</v>
      </c>
      <c r="H19" s="1">
        <v>-2.9036914929747598E-4</v>
      </c>
      <c r="I19" s="1">
        <v>6.54015243053436E-2</v>
      </c>
      <c r="J19" s="1">
        <v>-0.990095674991608</v>
      </c>
      <c r="K19" s="1">
        <v>0.68135464191436801</v>
      </c>
      <c r="L19" s="1">
        <v>-9.7361505031585693E-3</v>
      </c>
      <c r="M19" s="1">
        <v>0.41199999999999998</v>
      </c>
      <c r="N19" s="1">
        <v>-3.8078899999999998E-4</v>
      </c>
      <c r="O19" s="1">
        <v>1.194314E-4</v>
      </c>
      <c r="P19" s="1">
        <v>6.2403555200000002E-2</v>
      </c>
      <c r="Q19" s="1">
        <v>-1.0104350098999999</v>
      </c>
      <c r="R19" s="1">
        <v>0.68763079179999997</v>
      </c>
      <c r="S19" s="1">
        <v>3.1303846000000001E-3</v>
      </c>
      <c r="T19" s="1">
        <v>-0.41199999999999998</v>
      </c>
      <c r="U19" s="13">
        <f t="shared" si="1"/>
        <v>2.3456981168881699E-3</v>
      </c>
      <c r="V19" s="13">
        <f t="shared" si="2"/>
        <v>4.0980054929747598E-4</v>
      </c>
      <c r="W19" s="13">
        <f t="shared" si="3"/>
        <v>2.9979691053435981E-3</v>
      </c>
      <c r="X19" s="13">
        <f t="shared" si="4"/>
        <v>2.0339334908391904E-2</v>
      </c>
      <c r="Y19" s="13">
        <f t="shared" si="5"/>
        <v>6.2761498856319653E-3</v>
      </c>
      <c r="Z19" s="13">
        <f t="shared" si="6"/>
        <v>1.286653510315857E-2</v>
      </c>
      <c r="AB19" s="17">
        <f>'[1]ATI_Sensor_Log(2.0to1.0)'!$G16</f>
        <v>0</v>
      </c>
      <c r="AC19" s="17">
        <f>-1*'[1]ATI_Sensor_Log(2.0to1.0)'!$F16</f>
        <v>0</v>
      </c>
      <c r="AD19" s="17">
        <f>'[1]ATI_Sensor_Log(2.0to1.0)'!$E16</f>
        <v>0</v>
      </c>
      <c r="AE19" s="17">
        <f>'[1]ATI_Sensor_Log(2.0to1.0)'!$D16</f>
        <v>0</v>
      </c>
      <c r="AF19" s="17">
        <f>-1*'[1]ATI_Sensor_Log(2.0to1.0)'!$C16</f>
        <v>0</v>
      </c>
      <c r="AG19" s="17">
        <f>'[1]ATI_Sensor_Log(2.0to1.0)'!$B16</f>
        <v>0</v>
      </c>
      <c r="AI19" s="3" t="s">
        <v>32</v>
      </c>
    </row>
    <row r="20" spans="1:35" x14ac:dyDescent="0.25">
      <c r="A20" s="1">
        <v>0.48677182000000002</v>
      </c>
      <c r="B20" s="1">
        <v>0.1926011</v>
      </c>
      <c r="C20" s="1">
        <v>0</v>
      </c>
      <c r="D20" s="1">
        <v>-1.97383197</v>
      </c>
      <c r="E20" s="1">
        <v>0.40514359</v>
      </c>
      <c r="F20" s="1">
        <v>1.2649999999999999</v>
      </c>
      <c r="G20" s="1">
        <v>-2.4467429611831899E-3</v>
      </c>
      <c r="H20" s="1">
        <v>-3.9606718346476598E-3</v>
      </c>
      <c r="I20" s="1">
        <v>-6.55845552682877E-2</v>
      </c>
      <c r="J20" s="1">
        <v>-1.3344798088073699</v>
      </c>
      <c r="K20" s="1">
        <v>-0.42153304815292397</v>
      </c>
      <c r="L20" s="1">
        <v>3.0811607837676998E-2</v>
      </c>
      <c r="M20" s="1">
        <v>1.2649999999999999</v>
      </c>
      <c r="N20" s="1">
        <v>-7.5984499999999999E-4</v>
      </c>
      <c r="O20" s="1">
        <v>2.2055499999999999E-4</v>
      </c>
      <c r="P20" s="1">
        <v>-7.4722673200000006E-2</v>
      </c>
      <c r="Q20" s="1">
        <v>-0.87859897769999995</v>
      </c>
      <c r="R20" s="1">
        <v>-0.47921755150000001</v>
      </c>
      <c r="S20" s="1">
        <v>6.1324824999999996E-3</v>
      </c>
      <c r="T20" s="1">
        <v>-1.222</v>
      </c>
      <c r="U20" s="13">
        <f t="shared" si="1"/>
        <v>1.68689796118319E-3</v>
      </c>
      <c r="V20" s="13">
        <f t="shared" si="2"/>
        <v>4.1812268346476597E-3</v>
      </c>
      <c r="W20" s="13">
        <f t="shared" si="3"/>
        <v>9.1381179317123057E-3</v>
      </c>
      <c r="X20" s="13">
        <f t="shared" si="4"/>
        <v>0.45588083110736999</v>
      </c>
      <c r="Y20" s="13">
        <f t="shared" si="5"/>
        <v>5.7684503347076033E-2</v>
      </c>
      <c r="Z20" s="13">
        <f t="shared" si="6"/>
        <v>2.4679125337677001E-2</v>
      </c>
      <c r="AB20" s="17">
        <f>'[1]ATI_Sensor_Log(2.0to1.0)'!$G17</f>
        <v>0</v>
      </c>
      <c r="AC20" s="17">
        <f>-1*'[1]ATI_Sensor_Log(2.0to1.0)'!$F17</f>
        <v>0</v>
      </c>
      <c r="AD20" s="17">
        <f>'[1]ATI_Sensor_Log(2.0to1.0)'!$E17</f>
        <v>0</v>
      </c>
      <c r="AE20" s="17">
        <f>'[1]ATI_Sensor_Log(2.0to1.0)'!$D17</f>
        <v>0</v>
      </c>
      <c r="AF20" s="17">
        <f>-1*'[1]ATI_Sensor_Log(2.0to1.0)'!$C17</f>
        <v>0</v>
      </c>
      <c r="AG20" s="17">
        <f>'[1]ATI_Sensor_Log(2.0to1.0)'!$B17</f>
        <v>0</v>
      </c>
    </row>
    <row r="21" spans="1:35" x14ac:dyDescent="0.25">
      <c r="A21" s="1">
        <v>0.75984845000000001</v>
      </c>
      <c r="B21" s="1">
        <v>0.11235321</v>
      </c>
      <c r="C21" s="1">
        <v>0</v>
      </c>
      <c r="D21" s="1">
        <v>-2.0615691699999998</v>
      </c>
      <c r="E21" s="1">
        <v>3.4406390000000002E-2</v>
      </c>
      <c r="F21" s="1">
        <v>0.28599999999999998</v>
      </c>
      <c r="G21" s="1">
        <v>-2.2109632845967999E-3</v>
      </c>
      <c r="H21" s="1">
        <v>-1.3992630410939501E-3</v>
      </c>
      <c r="I21" s="1">
        <v>-7.3739819228649098E-2</v>
      </c>
      <c r="J21" s="1">
        <v>-0.77465367317199696</v>
      </c>
      <c r="K21" s="1">
        <v>-0.54947280883789096</v>
      </c>
      <c r="L21" s="1">
        <v>3.94041240215302E-2</v>
      </c>
      <c r="M21" s="1">
        <v>0.28599999999999998</v>
      </c>
      <c r="N21" s="1">
        <v>-2.7387579999999998E-4</v>
      </c>
      <c r="O21" s="1">
        <v>9.0909300000000001E-5</v>
      </c>
      <c r="P21" s="1">
        <v>-7.14835937E-2</v>
      </c>
      <c r="Q21" s="1">
        <v>-0.74512940969999997</v>
      </c>
      <c r="R21" s="1">
        <v>-0.60854157350000004</v>
      </c>
      <c r="S21" s="1">
        <v>2.2836390000000001E-3</v>
      </c>
      <c r="T21" s="1">
        <v>-0.29599999999999999</v>
      </c>
      <c r="U21" s="13">
        <f t="shared" si="1"/>
        <v>1.9370874845967999E-3</v>
      </c>
      <c r="V21" s="13">
        <f t="shared" si="2"/>
        <v>1.4901723410939501E-3</v>
      </c>
      <c r="W21" s="13">
        <f t="shared" si="3"/>
        <v>2.2562255286490973E-3</v>
      </c>
      <c r="X21" s="13">
        <f t="shared" si="4"/>
        <v>2.9524263471996992E-2</v>
      </c>
      <c r="Y21" s="13">
        <f t="shared" si="5"/>
        <v>5.9068764662109086E-2</v>
      </c>
      <c r="Z21" s="13">
        <f t="shared" si="6"/>
        <v>3.7120485021530203E-2</v>
      </c>
      <c r="AB21" s="17">
        <f>'[1]ATI_Sensor_Log(2.0to1.0)'!$G18</f>
        <v>0</v>
      </c>
      <c r="AC21" s="17">
        <f>-1*'[1]ATI_Sensor_Log(2.0to1.0)'!$F18</f>
        <v>0</v>
      </c>
      <c r="AD21" s="17">
        <f>'[1]ATI_Sensor_Log(2.0to1.0)'!$E18</f>
        <v>0</v>
      </c>
      <c r="AE21" s="17">
        <f>'[1]ATI_Sensor_Log(2.0to1.0)'!$D18</f>
        <v>0</v>
      </c>
      <c r="AF21" s="17">
        <f>-1*'[1]ATI_Sensor_Log(2.0to1.0)'!$C18</f>
        <v>0</v>
      </c>
      <c r="AG21" s="17">
        <f>'[1]ATI_Sensor_Log(2.0to1.0)'!$B18</f>
        <v>0</v>
      </c>
    </row>
    <row r="22" spans="1:35" x14ac:dyDescent="0.25">
      <c r="A22" s="1">
        <v>6.0400080000000002E-2</v>
      </c>
      <c r="B22" s="1">
        <v>0.17999249</v>
      </c>
      <c r="C22" s="1">
        <v>0</v>
      </c>
      <c r="D22" s="1">
        <v>-2.2005077800000001</v>
      </c>
      <c r="E22" s="1">
        <v>4.6805619999999999E-2</v>
      </c>
      <c r="F22" s="1">
        <v>0.125</v>
      </c>
      <c r="G22" s="1">
        <v>-5.2654783939942696E-4</v>
      </c>
      <c r="H22" s="1">
        <v>-6.8196270149201198E-4</v>
      </c>
      <c r="I22" s="1">
        <v>-7.9568028450012207E-3</v>
      </c>
      <c r="J22" s="1">
        <v>-0.14130574464797999</v>
      </c>
      <c r="K22" s="1">
        <v>-5.4839767515659298E-2</v>
      </c>
      <c r="L22" s="1">
        <v>1.5218697488308E-2</v>
      </c>
      <c r="M22" s="1">
        <v>0.125</v>
      </c>
      <c r="N22" s="1">
        <v>-9.8926900000000003E-5</v>
      </c>
      <c r="O22" s="1">
        <v>4.4236900000000003E-5</v>
      </c>
      <c r="P22" s="1">
        <v>-6.2335923999999997E-3</v>
      </c>
      <c r="Q22" s="1">
        <v>-0.14926663400000001</v>
      </c>
      <c r="R22" s="1">
        <v>-4.9555828500000003E-2</v>
      </c>
      <c r="S22" s="1">
        <v>8.9805530000000003E-4</v>
      </c>
      <c r="T22" s="1">
        <v>-0.125</v>
      </c>
      <c r="U22" s="13">
        <f t="shared" si="1"/>
        <v>4.2762093939942693E-4</v>
      </c>
      <c r="V22" s="13">
        <f t="shared" si="2"/>
        <v>7.2619960149201198E-4</v>
      </c>
      <c r="W22" s="13">
        <f t="shared" si="3"/>
        <v>1.723210445001221E-3</v>
      </c>
      <c r="X22" s="13">
        <f t="shared" si="4"/>
        <v>7.960889352020023E-3</v>
      </c>
      <c r="Y22" s="13">
        <f t="shared" si="5"/>
        <v>5.2839390156592947E-3</v>
      </c>
      <c r="Z22" s="13">
        <f t="shared" si="6"/>
        <v>1.4320642188307999E-2</v>
      </c>
      <c r="AB22" s="17">
        <f>'[1]ATI_Sensor_Log(2.0to1.0)'!$G19</f>
        <v>0</v>
      </c>
      <c r="AC22" s="17">
        <f>-1*'[1]ATI_Sensor_Log(2.0to1.0)'!$F19</f>
        <v>0</v>
      </c>
      <c r="AD22" s="17">
        <f>'[1]ATI_Sensor_Log(2.0to1.0)'!$E19</f>
        <v>0</v>
      </c>
      <c r="AE22" s="17">
        <f>'[1]ATI_Sensor_Log(2.0to1.0)'!$D19</f>
        <v>0</v>
      </c>
      <c r="AF22" s="17">
        <f>-1*'[1]ATI_Sensor_Log(2.0to1.0)'!$C19</f>
        <v>0</v>
      </c>
      <c r="AG22" s="17">
        <f>'[1]ATI_Sensor_Log(2.0to1.0)'!$B19</f>
        <v>0</v>
      </c>
    </row>
    <row r="23" spans="1:35" x14ac:dyDescent="0.25">
      <c r="A23" s="1">
        <v>0.17360724999999999</v>
      </c>
      <c r="B23" s="1">
        <v>0.17599989999999999</v>
      </c>
      <c r="C23" s="1">
        <v>0</v>
      </c>
      <c r="D23" s="1">
        <v>-1.72739267</v>
      </c>
      <c r="E23" s="1">
        <v>0.33001807999999999</v>
      </c>
      <c r="F23" s="1">
        <v>0.53900000000000003</v>
      </c>
      <c r="G23" s="1">
        <v>-1.2194762239232701E-3</v>
      </c>
      <c r="H23" s="1">
        <v>-1.72514526639134E-3</v>
      </c>
      <c r="I23" s="1">
        <v>-1.7789617180824301E-2</v>
      </c>
      <c r="J23" s="1">
        <v>-0.53096002340316795</v>
      </c>
      <c r="K23" s="1">
        <v>-0.15755756199359899</v>
      </c>
      <c r="L23" s="1">
        <v>1.7692722380161299E-2</v>
      </c>
      <c r="M23" s="1">
        <v>0.53900000000000003</v>
      </c>
      <c r="N23" s="1">
        <v>-5.0714100000000002E-4</v>
      </c>
      <c r="O23" s="1">
        <v>1.5313929999999999E-4</v>
      </c>
      <c r="P23" s="1">
        <v>-1.8159270299999999E-2</v>
      </c>
      <c r="Q23" s="1">
        <v>-0.52423488200000001</v>
      </c>
      <c r="R23" s="1">
        <v>-0.17878596099999999</v>
      </c>
      <c r="S23" s="1">
        <v>4.1310838999999997E-3</v>
      </c>
      <c r="T23" s="1">
        <v>-0.53900000000000003</v>
      </c>
      <c r="U23" s="13">
        <f t="shared" si="1"/>
        <v>7.1233522392327004E-4</v>
      </c>
      <c r="V23" s="13">
        <f t="shared" si="2"/>
        <v>1.8782845663913399E-3</v>
      </c>
      <c r="W23" s="13">
        <f t="shared" si="3"/>
        <v>3.6965311917569812E-4</v>
      </c>
      <c r="X23" s="13">
        <f t="shared" si="4"/>
        <v>6.7251414031679335E-3</v>
      </c>
      <c r="Y23" s="13">
        <f t="shared" si="5"/>
        <v>2.1228399006401E-2</v>
      </c>
      <c r="Z23" s="13">
        <f t="shared" si="6"/>
        <v>1.35616384801613E-2</v>
      </c>
      <c r="AB23" s="17">
        <f>'[1]ATI_Sensor_Log(2.0to1.0)'!$G20</f>
        <v>0</v>
      </c>
      <c r="AC23" s="17">
        <f>-1*'[1]ATI_Sensor_Log(2.0to1.0)'!$F20</f>
        <v>0</v>
      </c>
      <c r="AD23" s="17">
        <f>'[1]ATI_Sensor_Log(2.0to1.0)'!$E20</f>
        <v>0</v>
      </c>
      <c r="AE23" s="17">
        <f>'[1]ATI_Sensor_Log(2.0to1.0)'!$D20</f>
        <v>0</v>
      </c>
      <c r="AF23" s="17">
        <f>-1*'[1]ATI_Sensor_Log(2.0to1.0)'!$C20</f>
        <v>0</v>
      </c>
      <c r="AG23" s="17">
        <f>'[1]ATI_Sensor_Log(2.0to1.0)'!$B20</f>
        <v>0</v>
      </c>
    </row>
    <row r="24" spans="1:35" x14ac:dyDescent="0.25">
      <c r="A24" s="1">
        <v>0.10809269000000001</v>
      </c>
      <c r="B24" s="1">
        <v>9.2321100000000003E-2</v>
      </c>
      <c r="C24" s="1">
        <v>3.1415926500000002</v>
      </c>
      <c r="D24" s="1">
        <v>2.1803239099999998</v>
      </c>
      <c r="E24" s="1">
        <v>0.50234588999999996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3"/>
      <c r="V24" s="13"/>
      <c r="W24" s="13"/>
      <c r="X24" s="13"/>
      <c r="Y24" s="13"/>
      <c r="Z24" s="13"/>
      <c r="AB24" s="17">
        <f>'[1]ATI_Sensor_Log(2.0to1.0)'!$G21</f>
        <v>0</v>
      </c>
      <c r="AC24" s="17">
        <f>-1*'[1]ATI_Sensor_Log(2.0to1.0)'!$F21</f>
        <v>0</v>
      </c>
      <c r="AD24" s="17">
        <f>'[1]ATI_Sensor_Log(2.0to1.0)'!$E21</f>
        <v>0</v>
      </c>
      <c r="AE24" s="17">
        <f>'[1]ATI_Sensor_Log(2.0to1.0)'!$D21</f>
        <v>0</v>
      </c>
      <c r="AF24" s="17">
        <f>-1*'[1]ATI_Sensor_Log(2.0to1.0)'!$C21</f>
        <v>0</v>
      </c>
      <c r="AG24" s="17">
        <f>'[1]ATI_Sensor_Log(2.0to1.0)'!$B21</f>
        <v>0</v>
      </c>
    </row>
    <row r="25" spans="1:35" x14ac:dyDescent="0.25">
      <c r="A25" s="1">
        <v>0.98561829999999995</v>
      </c>
      <c r="B25" s="1">
        <v>0.17793179000000001</v>
      </c>
      <c r="C25" s="1">
        <v>0</v>
      </c>
      <c r="D25" s="1">
        <v>1.2977671099999999</v>
      </c>
      <c r="E25" s="1">
        <v>0.66740032000000005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3"/>
      <c r="V25" s="13"/>
      <c r="W25" s="13"/>
      <c r="X25" s="13"/>
      <c r="Y25" s="13"/>
      <c r="Z25" s="13"/>
      <c r="AB25" s="17">
        <f>'[1]ATI_Sensor_Log(2.0to1.0)'!$G22</f>
        <v>0</v>
      </c>
      <c r="AC25" s="17">
        <f>-1*'[1]ATI_Sensor_Log(2.0to1.0)'!$F22</f>
        <v>0</v>
      </c>
      <c r="AD25" s="17">
        <f>'[1]ATI_Sensor_Log(2.0to1.0)'!$E22</f>
        <v>0</v>
      </c>
      <c r="AE25" s="17">
        <f>'[1]ATI_Sensor_Log(2.0to1.0)'!$D22</f>
        <v>0</v>
      </c>
      <c r="AF25" s="17">
        <f>-1*'[1]ATI_Sensor_Log(2.0to1.0)'!$C22</f>
        <v>0</v>
      </c>
      <c r="AG25" s="17">
        <f>'[1]ATI_Sensor_Log(2.0to1.0)'!$B22</f>
        <v>0</v>
      </c>
    </row>
    <row r="26" spans="1:35" x14ac:dyDescent="0.25">
      <c r="A26" s="1">
        <v>0.26891644999999997</v>
      </c>
      <c r="B26" s="1">
        <v>5.2511210000000003E-2</v>
      </c>
      <c r="C26" s="1">
        <v>0</v>
      </c>
      <c r="D26" s="1">
        <v>0.90552482999999995</v>
      </c>
      <c r="E26" s="1">
        <v>3.6851370000000001E-2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3"/>
      <c r="V26" s="13"/>
      <c r="W26" s="13"/>
      <c r="X26" s="13"/>
      <c r="Y26" s="13"/>
      <c r="Z26" s="13"/>
      <c r="AB26" s="17">
        <f>'[1]ATI_Sensor_Log(2.0to1.0)'!$G23</f>
        <v>0</v>
      </c>
      <c r="AC26" s="17">
        <f>-1*'[1]ATI_Sensor_Log(2.0to1.0)'!$F23</f>
        <v>0</v>
      </c>
      <c r="AD26" s="17">
        <f>'[1]ATI_Sensor_Log(2.0to1.0)'!$E23</f>
        <v>0</v>
      </c>
      <c r="AE26" s="17">
        <f>'[1]ATI_Sensor_Log(2.0to1.0)'!$D23</f>
        <v>0</v>
      </c>
      <c r="AF26" s="17">
        <f>-1*'[1]ATI_Sensor_Log(2.0to1.0)'!$C23</f>
        <v>0</v>
      </c>
      <c r="AG26" s="17">
        <f>'[1]ATI_Sensor_Log(2.0to1.0)'!$B23</f>
        <v>0</v>
      </c>
    </row>
    <row r="27" spans="1:35" x14ac:dyDescent="0.25">
      <c r="A27" s="1">
        <v>0.56002419000000003</v>
      </c>
      <c r="B27" s="1">
        <v>0.18469824000000001</v>
      </c>
      <c r="C27" s="1">
        <v>3.1415926500000002</v>
      </c>
      <c r="D27" s="1">
        <v>2.1227517300000001</v>
      </c>
      <c r="E27" s="1">
        <v>0.13839265000000001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3"/>
      <c r="V27" s="13"/>
      <c r="W27" s="13"/>
      <c r="X27" s="13"/>
      <c r="Y27" s="13"/>
      <c r="Z27" s="13"/>
      <c r="AB27" s="17">
        <f>'[1]ATI_Sensor_Log(2.0to1.0)'!$G24</f>
        <v>0</v>
      </c>
      <c r="AC27" s="17">
        <f>-1*'[1]ATI_Sensor_Log(2.0to1.0)'!$F24</f>
        <v>0</v>
      </c>
      <c r="AD27" s="17">
        <f>'[1]ATI_Sensor_Log(2.0to1.0)'!$E24</f>
        <v>0</v>
      </c>
      <c r="AE27" s="17">
        <f>'[1]ATI_Sensor_Log(2.0to1.0)'!$D24</f>
        <v>0</v>
      </c>
      <c r="AF27" s="17">
        <f>-1*'[1]ATI_Sensor_Log(2.0to1.0)'!$C24</f>
        <v>0</v>
      </c>
      <c r="AG27" s="17">
        <f>'[1]ATI_Sensor_Log(2.0to1.0)'!$B24</f>
        <v>0</v>
      </c>
    </row>
    <row r="28" spans="1:35" x14ac:dyDescent="0.25">
      <c r="A28" s="1">
        <v>0.83422353999999999</v>
      </c>
      <c r="B28" s="1">
        <v>0.17161941999999999</v>
      </c>
      <c r="C28" s="1">
        <v>3.1415926500000002</v>
      </c>
      <c r="D28" s="1">
        <v>0.79461192000000003</v>
      </c>
      <c r="E28" s="1">
        <v>0.62881962000000002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3"/>
      <c r="V28" s="13"/>
      <c r="W28" s="13"/>
      <c r="X28" s="13"/>
      <c r="Y28" s="13"/>
      <c r="Z28" s="13"/>
      <c r="AB28" s="17">
        <f>'[1]ATI_Sensor_Log(2.0to1.0)'!$G25</f>
        <v>0</v>
      </c>
      <c r="AC28" s="17">
        <f>-1*'[1]ATI_Sensor_Log(2.0to1.0)'!$F25</f>
        <v>0</v>
      </c>
      <c r="AD28" s="17">
        <f>'[1]ATI_Sensor_Log(2.0to1.0)'!$E25</f>
        <v>0</v>
      </c>
      <c r="AE28" s="17">
        <f>'[1]ATI_Sensor_Log(2.0to1.0)'!$D25</f>
        <v>0</v>
      </c>
      <c r="AF28" s="17">
        <f>-1*'[1]ATI_Sensor_Log(2.0to1.0)'!$C25</f>
        <v>0</v>
      </c>
      <c r="AG28" s="17">
        <f>'[1]ATI_Sensor_Log(2.0to1.0)'!$B25</f>
        <v>0</v>
      </c>
    </row>
    <row r="29" spans="1:35" x14ac:dyDescent="0.25">
      <c r="A29" s="1">
        <v>0.55995868999999998</v>
      </c>
      <c r="B29" s="1">
        <v>5.1605539999999998E-2</v>
      </c>
      <c r="C29" s="1">
        <v>0</v>
      </c>
      <c r="D29" s="1">
        <v>2.1179067499999999</v>
      </c>
      <c r="E29" s="1">
        <v>1.202191E-2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3"/>
      <c r="V29" s="13"/>
      <c r="W29" s="13"/>
      <c r="X29" s="13"/>
      <c r="Y29" s="13"/>
      <c r="Z29" s="13"/>
      <c r="AB29" s="17">
        <f>'[1]ATI_Sensor_Log(2.0to1.0)'!$G26</f>
        <v>0</v>
      </c>
      <c r="AC29" s="17">
        <f>-1*'[1]ATI_Sensor_Log(2.0to1.0)'!$F26</f>
        <v>0</v>
      </c>
      <c r="AD29" s="17">
        <f>'[1]ATI_Sensor_Log(2.0to1.0)'!$E26</f>
        <v>0</v>
      </c>
      <c r="AE29" s="17">
        <f>'[1]ATI_Sensor_Log(2.0to1.0)'!$D26</f>
        <v>0</v>
      </c>
      <c r="AF29" s="17">
        <f>-1*'[1]ATI_Sensor_Log(2.0to1.0)'!$C26</f>
        <v>0</v>
      </c>
      <c r="AG29" s="17">
        <f>'[1]ATI_Sensor_Log(2.0to1.0)'!$B26</f>
        <v>0</v>
      </c>
    </row>
    <row r="30" spans="1:35" x14ac:dyDescent="0.25">
      <c r="A30" s="1">
        <v>0.44980113999999999</v>
      </c>
      <c r="B30" s="1">
        <v>0.10200598</v>
      </c>
      <c r="C30" s="1">
        <v>3.1415926500000002</v>
      </c>
      <c r="D30" s="1">
        <v>1.7680319799999999</v>
      </c>
      <c r="E30" s="1">
        <v>9.9881399999999995E-3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3"/>
      <c r="V30" s="13"/>
      <c r="W30" s="13"/>
      <c r="X30" s="13"/>
      <c r="Y30" s="13"/>
      <c r="Z30" s="13"/>
      <c r="AB30" s="17">
        <f>'[1]ATI_Sensor_Log(2.0to1.0)'!$G27</f>
        <v>0</v>
      </c>
      <c r="AC30" s="17">
        <f>-1*'[1]ATI_Sensor_Log(2.0to1.0)'!$F27</f>
        <v>0</v>
      </c>
      <c r="AD30" s="17">
        <f>'[1]ATI_Sensor_Log(2.0to1.0)'!$E27</f>
        <v>0</v>
      </c>
      <c r="AE30" s="17">
        <f>'[1]ATI_Sensor_Log(2.0to1.0)'!$D27</f>
        <v>0</v>
      </c>
      <c r="AF30" s="17">
        <f>-1*'[1]ATI_Sensor_Log(2.0to1.0)'!$C27</f>
        <v>0</v>
      </c>
      <c r="AG30" s="17">
        <f>'[1]ATI_Sensor_Log(2.0to1.0)'!$B27</f>
        <v>0</v>
      </c>
    </row>
    <row r="31" spans="1:35" x14ac:dyDescent="0.25">
      <c r="A31" s="1">
        <v>0.32506987999999998</v>
      </c>
      <c r="B31" s="1">
        <v>7.8239820000000002E-2</v>
      </c>
      <c r="C31" s="1">
        <v>0</v>
      </c>
      <c r="D31" s="1">
        <v>0.84911296000000003</v>
      </c>
      <c r="E31" s="1">
        <v>0.13584010999999999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3"/>
      <c r="V31" s="13"/>
      <c r="W31" s="13"/>
      <c r="X31" s="13"/>
      <c r="Y31" s="13"/>
      <c r="Z31" s="13"/>
      <c r="AB31" s="17">
        <f>'[1]ATI_Sensor_Log(2.0to1.0)'!$G28</f>
        <v>0</v>
      </c>
      <c r="AC31" s="17">
        <f>-1*'[1]ATI_Sensor_Log(2.0to1.0)'!$F28</f>
        <v>0</v>
      </c>
      <c r="AD31" s="17">
        <f>'[1]ATI_Sensor_Log(2.0to1.0)'!$E28</f>
        <v>0</v>
      </c>
      <c r="AE31" s="17">
        <f>'[1]ATI_Sensor_Log(2.0to1.0)'!$D28</f>
        <v>0</v>
      </c>
      <c r="AF31" s="17">
        <f>-1*'[1]ATI_Sensor_Log(2.0to1.0)'!$C28</f>
        <v>0</v>
      </c>
      <c r="AG31" s="17">
        <f>'[1]ATI_Sensor_Log(2.0to1.0)'!$B28</f>
        <v>0</v>
      </c>
    </row>
    <row r="32" spans="1:35" x14ac:dyDescent="0.25">
      <c r="A32" s="1">
        <v>0.83641871999999995</v>
      </c>
      <c r="B32" s="1">
        <v>0.17572318000000001</v>
      </c>
      <c r="C32" s="1">
        <v>0</v>
      </c>
      <c r="D32" s="1">
        <v>1.8360540400000001</v>
      </c>
      <c r="E32" s="1">
        <v>0.14203721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3"/>
      <c r="V32" s="13"/>
      <c r="W32" s="13"/>
      <c r="X32" s="13"/>
      <c r="Y32" s="13"/>
      <c r="Z32" s="13"/>
      <c r="AB32" s="17">
        <f>'[1]ATI_Sensor_Log(2.0to1.0)'!$G29</f>
        <v>0</v>
      </c>
      <c r="AC32" s="17">
        <f>-1*'[1]ATI_Sensor_Log(2.0to1.0)'!$F29</f>
        <v>0</v>
      </c>
      <c r="AD32" s="17">
        <f>'[1]ATI_Sensor_Log(2.0to1.0)'!$E29</f>
        <v>0</v>
      </c>
      <c r="AE32" s="17">
        <f>'[1]ATI_Sensor_Log(2.0to1.0)'!$D29</f>
        <v>0</v>
      </c>
      <c r="AF32" s="17">
        <f>-1*'[1]ATI_Sensor_Log(2.0to1.0)'!$C29</f>
        <v>0</v>
      </c>
      <c r="AG32" s="17">
        <f>'[1]ATI_Sensor_Log(2.0to1.0)'!$B29</f>
        <v>0</v>
      </c>
    </row>
    <row r="33" spans="1:33" x14ac:dyDescent="0.25">
      <c r="A33" s="1">
        <v>0.92651930000000005</v>
      </c>
      <c r="B33" s="1">
        <v>0.17963873999999999</v>
      </c>
      <c r="C33" s="1">
        <v>0</v>
      </c>
      <c r="D33" s="1">
        <v>1.54728405</v>
      </c>
      <c r="E33" s="1">
        <v>0.36612027000000003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3"/>
      <c r="V33" s="13"/>
      <c r="W33" s="13"/>
      <c r="X33" s="13"/>
      <c r="Y33" s="13"/>
      <c r="Z33" s="13"/>
      <c r="AB33" s="17">
        <f>'[1]ATI_Sensor_Log(2.0to1.0)'!$G30</f>
        <v>0</v>
      </c>
      <c r="AC33" s="17">
        <f>-1*'[1]ATI_Sensor_Log(2.0to1.0)'!$F30</f>
        <v>0</v>
      </c>
      <c r="AD33" s="17">
        <f>'[1]ATI_Sensor_Log(2.0to1.0)'!$E30</f>
        <v>0</v>
      </c>
      <c r="AE33" s="17">
        <f>'[1]ATI_Sensor_Log(2.0to1.0)'!$D30</f>
        <v>0</v>
      </c>
      <c r="AF33" s="17">
        <f>-1*'[1]ATI_Sensor_Log(2.0to1.0)'!$C30</f>
        <v>0</v>
      </c>
      <c r="AG33" s="17">
        <f>'[1]ATI_Sensor_Log(2.0to1.0)'!$B30</f>
        <v>0</v>
      </c>
    </row>
    <row r="34" spans="1:33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3"/>
      <c r="V34" s="13"/>
      <c r="W34" s="13"/>
      <c r="X34" s="13"/>
      <c r="Y34" s="13"/>
      <c r="Z34" s="13"/>
      <c r="AB34" s="17">
        <f>'[1]ATI_Sensor_Log(2.0to1.0)'!$G31</f>
        <v>0</v>
      </c>
      <c r="AC34" s="17">
        <f>-1*'[1]ATI_Sensor_Log(2.0to1.0)'!$F31</f>
        <v>0</v>
      </c>
      <c r="AD34" s="17">
        <f>'[1]ATI_Sensor_Log(2.0to1.0)'!$E31</f>
        <v>0</v>
      </c>
      <c r="AE34" s="17">
        <f>'[1]ATI_Sensor_Log(2.0to1.0)'!$D31</f>
        <v>0</v>
      </c>
      <c r="AF34" s="17">
        <f>-1*'[1]ATI_Sensor_Log(2.0to1.0)'!$C31</f>
        <v>0</v>
      </c>
      <c r="AG34" s="17">
        <f>'[1]ATI_Sensor_Log(2.0to1.0)'!$B31</f>
        <v>0</v>
      </c>
    </row>
    <row r="35" spans="1:33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3"/>
      <c r="V35" s="13"/>
      <c r="W35" s="13"/>
      <c r="X35" s="13"/>
      <c r="Y35" s="13"/>
      <c r="Z35" s="13"/>
      <c r="AB35" s="17">
        <f>'[1]ATI_Sensor_Log(2.0to1.0)'!$G32</f>
        <v>0</v>
      </c>
      <c r="AC35" s="17">
        <f>-1*'[1]ATI_Sensor_Log(2.0to1.0)'!$F32</f>
        <v>0</v>
      </c>
      <c r="AD35" s="17">
        <f>'[1]ATI_Sensor_Log(2.0to1.0)'!$E32</f>
        <v>0</v>
      </c>
      <c r="AE35" s="17">
        <f>'[1]ATI_Sensor_Log(2.0to1.0)'!$D32</f>
        <v>0</v>
      </c>
      <c r="AF35" s="17">
        <f>-1*'[1]ATI_Sensor_Log(2.0to1.0)'!$C32</f>
        <v>0</v>
      </c>
      <c r="AG35" s="17">
        <f>'[1]ATI_Sensor_Log(2.0to1.0)'!$B32</f>
        <v>0</v>
      </c>
    </row>
    <row r="36" spans="1:33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3"/>
      <c r="V36" s="13"/>
      <c r="W36" s="13"/>
      <c r="X36" s="13"/>
      <c r="Y36" s="13"/>
      <c r="Z36" s="13"/>
      <c r="AB36" s="17">
        <f>'[1]ATI_Sensor_Log(2.0to1.0)'!$G33</f>
        <v>0</v>
      </c>
      <c r="AC36" s="17">
        <f>-1*'[1]ATI_Sensor_Log(2.0to1.0)'!$F33</f>
        <v>0</v>
      </c>
      <c r="AD36" s="17">
        <f>'[1]ATI_Sensor_Log(2.0to1.0)'!$E33</f>
        <v>0</v>
      </c>
      <c r="AE36" s="17">
        <f>'[1]ATI_Sensor_Log(2.0to1.0)'!$D33</f>
        <v>0</v>
      </c>
      <c r="AF36" s="17">
        <f>-1*'[1]ATI_Sensor_Log(2.0to1.0)'!$C33</f>
        <v>0</v>
      </c>
      <c r="AG36" s="17">
        <f>'[1]ATI_Sensor_Log(2.0to1.0)'!$B33</f>
        <v>0</v>
      </c>
    </row>
    <row r="37" spans="1:33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3"/>
      <c r="V37" s="13"/>
      <c r="W37" s="13"/>
      <c r="X37" s="13"/>
      <c r="Y37" s="13"/>
      <c r="Z37" s="13"/>
      <c r="AB37" s="17">
        <f>'[1]ATI_Sensor_Log(2.0to1.0)'!$G34</f>
        <v>0</v>
      </c>
      <c r="AC37" s="17">
        <f>-1*'[1]ATI_Sensor_Log(2.0to1.0)'!$F34</f>
        <v>0</v>
      </c>
      <c r="AD37" s="17">
        <f>'[1]ATI_Sensor_Log(2.0to1.0)'!$E34</f>
        <v>0</v>
      </c>
      <c r="AE37" s="17">
        <f>'[1]ATI_Sensor_Log(2.0to1.0)'!$D34</f>
        <v>0</v>
      </c>
      <c r="AF37" s="17">
        <f>-1*'[1]ATI_Sensor_Log(2.0to1.0)'!$C34</f>
        <v>0</v>
      </c>
      <c r="AG37" s="17">
        <f>'[1]ATI_Sensor_Log(2.0to1.0)'!$B34</f>
        <v>0</v>
      </c>
    </row>
    <row r="38" spans="1:33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3"/>
      <c r="V38" s="13"/>
      <c r="W38" s="13"/>
      <c r="X38" s="13"/>
      <c r="Y38" s="13"/>
      <c r="Z38" s="13"/>
      <c r="AB38" s="17">
        <f>'[1]ATI_Sensor_Log(2.0to1.0)'!$G35</f>
        <v>0</v>
      </c>
      <c r="AC38" s="17">
        <f>-1*'[1]ATI_Sensor_Log(2.0to1.0)'!$F35</f>
        <v>0</v>
      </c>
      <c r="AD38" s="17">
        <f>'[1]ATI_Sensor_Log(2.0to1.0)'!$E35</f>
        <v>0</v>
      </c>
      <c r="AE38" s="17">
        <f>'[1]ATI_Sensor_Log(2.0to1.0)'!$D35</f>
        <v>0</v>
      </c>
      <c r="AF38" s="17">
        <f>-1*'[1]ATI_Sensor_Log(2.0to1.0)'!$C35</f>
        <v>0</v>
      </c>
      <c r="AG38" s="17">
        <f>'[1]ATI_Sensor_Log(2.0to1.0)'!$B35</f>
        <v>0</v>
      </c>
    </row>
    <row r="39" spans="1:33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3"/>
      <c r="V39" s="13"/>
      <c r="W39" s="13"/>
      <c r="X39" s="13"/>
      <c r="Y39" s="13"/>
      <c r="Z39" s="13"/>
      <c r="AB39" s="17">
        <f>'[1]ATI_Sensor_Log(2.0to1.0)'!$G36</f>
        <v>0</v>
      </c>
      <c r="AC39" s="17">
        <f>-1*'[1]ATI_Sensor_Log(2.0to1.0)'!$F36</f>
        <v>0</v>
      </c>
      <c r="AD39" s="17">
        <f>'[1]ATI_Sensor_Log(2.0to1.0)'!$E36</f>
        <v>0</v>
      </c>
      <c r="AE39" s="17">
        <f>'[1]ATI_Sensor_Log(2.0to1.0)'!$D36</f>
        <v>0</v>
      </c>
      <c r="AF39" s="17">
        <f>-1*'[1]ATI_Sensor_Log(2.0to1.0)'!$C36</f>
        <v>0</v>
      </c>
      <c r="AG39" s="17">
        <f>'[1]ATI_Sensor_Log(2.0to1.0)'!$B36</f>
        <v>0</v>
      </c>
    </row>
    <row r="40" spans="1:33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3"/>
      <c r="V40" s="13"/>
      <c r="W40" s="13"/>
      <c r="X40" s="13"/>
      <c r="Y40" s="13"/>
      <c r="Z40" s="13"/>
      <c r="AB40" s="17">
        <f>'[1]ATI_Sensor_Log(2.0to1.0)'!$G37</f>
        <v>0</v>
      </c>
      <c r="AC40" s="17">
        <f>-1*'[1]ATI_Sensor_Log(2.0to1.0)'!$F37</f>
        <v>0</v>
      </c>
      <c r="AD40" s="17">
        <f>'[1]ATI_Sensor_Log(2.0to1.0)'!$E37</f>
        <v>0</v>
      </c>
      <c r="AE40" s="17">
        <f>'[1]ATI_Sensor_Log(2.0to1.0)'!$D37</f>
        <v>0</v>
      </c>
      <c r="AF40" s="17">
        <f>-1*'[1]ATI_Sensor_Log(2.0to1.0)'!$C37</f>
        <v>0</v>
      </c>
      <c r="AG40" s="17">
        <f>'[1]ATI_Sensor_Log(2.0to1.0)'!$B37</f>
        <v>0</v>
      </c>
    </row>
    <row r="41" spans="1:33" x14ac:dyDescent="0.25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AB41" s="17">
        <f>'[1]ATI_Sensor_Log(2.0to1.0)'!$G38</f>
        <v>-4.6970417315606002E-6</v>
      </c>
      <c r="AC41" s="17">
        <f>-1*'[1]ATI_Sensor_Log(2.0to1.0)'!$F38</f>
        <v>1.0438450772198799E-5</v>
      </c>
      <c r="AD41" s="17">
        <f>'[1]ATI_Sensor_Log(2.0to1.0)'!$E38</f>
        <v>1.7066902273654701E-6</v>
      </c>
      <c r="AE41" s="17">
        <f>'[1]ATI_Sensor_Log(2.0to1.0)'!$D38</f>
        <v>5.8085650380235199E-5</v>
      </c>
      <c r="AF41" s="17">
        <f>-1*'[1]ATI_Sensor_Log(2.0to1.0)'!$C38</f>
        <v>-7.8196363756433097E-4</v>
      </c>
      <c r="AG41" s="17">
        <f>'[1]ATI_Sensor_Log(2.0to1.0)'!$B38</f>
        <v>1.2485386105254301E-4</v>
      </c>
    </row>
    <row r="42" spans="1:33" x14ac:dyDescent="0.2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AB42" s="17">
        <f>'[1]ATI_Sensor_Log(2.0to1.0)'!$G39</f>
        <v>-9.1163394972681999E-4</v>
      </c>
      <c r="AC42" s="17">
        <f>-1*'[1]ATI_Sensor_Log(2.0to1.0)'!$F39</f>
        <v>-1.0851300321519401E-3</v>
      </c>
      <c r="AD42" s="17">
        <f>'[1]ATI_Sensor_Log(2.0to1.0)'!$E39</f>
        <v>-2.5136896874755599E-3</v>
      </c>
      <c r="AE42" s="17">
        <f>'[1]ATI_Sensor_Log(2.0to1.0)'!$D39</f>
        <v>-0.19703710079193101</v>
      </c>
      <c r="AF42" s="17">
        <f>-1*'[1]ATI_Sensor_Log(2.0to1.0)'!$C39</f>
        <v>-0.12924839556217199</v>
      </c>
      <c r="AG42" s="17">
        <f>'[1]ATI_Sensor_Log(2.0to1.0)'!$B39</f>
        <v>8.4088072180748003E-3</v>
      </c>
    </row>
    <row r="43" spans="1:33" x14ac:dyDescent="0.25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AB43" s="17">
        <f>'[1]ATI_Sensor_Log(2.0to1.0)'!$G40</f>
        <v>-2.39273207262158E-3</v>
      </c>
      <c r="AC43" s="17">
        <f>-1*'[1]ATI_Sensor_Log(2.0to1.0)'!$F40</f>
        <v>-3.4488118253648298E-3</v>
      </c>
      <c r="AD43" s="17">
        <f>'[1]ATI_Sensor_Log(2.0to1.0)'!$E40</f>
        <v>-2.6666743680834801E-2</v>
      </c>
      <c r="AE43" s="17">
        <f>'[1]ATI_Sensor_Log(2.0to1.0)'!$D40</f>
        <v>-2.8852019459009198E-2</v>
      </c>
      <c r="AF43" s="17">
        <f>-1*'[1]ATI_Sensor_Log(2.0to1.0)'!$C40</f>
        <v>-0.67019283771514904</v>
      </c>
      <c r="AG43" s="17">
        <f>'[1]ATI_Sensor_Log(2.0to1.0)'!$B40</f>
        <v>3.4370362758636502E-2</v>
      </c>
    </row>
    <row r="44" spans="1:33" x14ac:dyDescent="0.25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AB44" s="17">
        <f>'[1]ATI_Sensor_Log(2.0to1.0)'!$G41</f>
        <v>-4.48850973043591E-4</v>
      </c>
      <c r="AC44" s="17">
        <f>-1*'[1]ATI_Sensor_Log(2.0to1.0)'!$F41</f>
        <v>-1.3324012979865101E-4</v>
      </c>
      <c r="AD44" s="17">
        <f>'[1]ATI_Sensor_Log(2.0to1.0)'!$E41</f>
        <v>-3.5143312998115999E-3</v>
      </c>
      <c r="AE44" s="17">
        <f>'[1]ATI_Sensor_Log(2.0to1.0)'!$D41</f>
        <v>-0.22372764348983801</v>
      </c>
      <c r="AF44" s="17">
        <f>-1*'[1]ATI_Sensor_Log(2.0to1.0)'!$C41</f>
        <v>-0.100444361567497</v>
      </c>
      <c r="AG44" s="17">
        <f>'[1]ATI_Sensor_Log(2.0to1.0)'!$B41</f>
        <v>6.3757039606571198E-3</v>
      </c>
    </row>
    <row r="45" spans="1:33" x14ac:dyDescent="0.2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AB45" s="17">
        <f>'[1]ATI_Sensor_Log(2.0to1.0)'!$G42</f>
        <v>6.4870691858232E-4</v>
      </c>
      <c r="AC45" s="17">
        <f>-1*'[1]ATI_Sensor_Log(2.0to1.0)'!$F42</f>
        <v>-1.34663167409599E-3</v>
      </c>
      <c r="AD45" s="17">
        <f>'[1]ATI_Sensor_Log(2.0to1.0)'!$E42</f>
        <v>8.9680150151252705E-2</v>
      </c>
      <c r="AE45" s="17">
        <f>'[1]ATI_Sensor_Log(2.0to1.0)'!$D42</f>
        <v>-0.53976345062255904</v>
      </c>
      <c r="AF45" s="17">
        <f>-1*'[1]ATI_Sensor_Log(2.0to1.0)'!$C42</f>
        <v>0.378590047359467</v>
      </c>
      <c r="AG45" s="17">
        <f>'[1]ATI_Sensor_Log(2.0to1.0)'!$B42</f>
        <v>1.5296399593353299E-2</v>
      </c>
    </row>
    <row r="46" spans="1:33" x14ac:dyDescent="0.25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AB46" s="17">
        <f>'[1]ATI_Sensor_Log(2.0to1.0)'!$G43</f>
        <v>-2.8338059782981899E-3</v>
      </c>
      <c r="AC46" s="17">
        <f>-1*'[1]ATI_Sensor_Log(2.0to1.0)'!$F43</f>
        <v>-3.8975423667579898E-3</v>
      </c>
      <c r="AD46" s="17">
        <f>'[1]ATI_Sensor_Log(2.0to1.0)'!$E43</f>
        <v>-5.2740231156349203E-2</v>
      </c>
      <c r="AE46" s="17">
        <f>'[1]ATI_Sensor_Log(2.0to1.0)'!$D43</f>
        <v>-0.73136901855468806</v>
      </c>
      <c r="AF46" s="17">
        <f>-1*'[1]ATI_Sensor_Log(2.0to1.0)'!$C43</f>
        <v>-0.64403772354125999</v>
      </c>
      <c r="AG46" s="17">
        <f>'[1]ATI_Sensor_Log(2.0to1.0)'!$B43</f>
        <v>3.5194247961044298E-2</v>
      </c>
    </row>
    <row r="47" spans="1:33" x14ac:dyDescent="0.25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AB47" s="17">
        <f>'[1]ATI_Sensor_Log(2.0to1.0)'!$G44</f>
        <v>-2.4467429611831899E-3</v>
      </c>
      <c r="AC47" s="17">
        <f>-1*'[1]ATI_Sensor_Log(2.0to1.0)'!$F44</f>
        <v>-3.9606718346476598E-3</v>
      </c>
      <c r="AD47" s="17">
        <f>'[1]ATI_Sensor_Log(2.0to1.0)'!$E44</f>
        <v>-6.55845552682877E-2</v>
      </c>
      <c r="AE47" s="17">
        <f>'[1]ATI_Sensor_Log(2.0to1.0)'!$D44</f>
        <v>-1.3344798088073699</v>
      </c>
      <c r="AF47" s="17">
        <f>-1*'[1]ATI_Sensor_Log(2.0to1.0)'!$C44</f>
        <v>-0.42153304815292397</v>
      </c>
      <c r="AG47" s="17">
        <f>'[1]ATI_Sensor_Log(2.0to1.0)'!$B44</f>
        <v>3.0811607837676998E-2</v>
      </c>
    </row>
    <row r="48" spans="1:33" x14ac:dyDescent="0.25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AB48" s="17">
        <f>'[1]ATI_Sensor_Log(2.0to1.0)'!$G45</f>
        <v>-2.2109632845967999E-3</v>
      </c>
      <c r="AC48" s="17">
        <f>-1*'[1]ATI_Sensor_Log(2.0to1.0)'!$F45</f>
        <v>-1.3992630410939501E-3</v>
      </c>
      <c r="AD48" s="17">
        <f>'[1]ATI_Sensor_Log(2.0to1.0)'!$E45</f>
        <v>-7.3739819228649098E-2</v>
      </c>
      <c r="AE48" s="17">
        <f>'[1]ATI_Sensor_Log(2.0to1.0)'!$D45</f>
        <v>-0.77465367317199696</v>
      </c>
      <c r="AF48" s="17">
        <f>-1*'[1]ATI_Sensor_Log(2.0to1.0)'!$C45</f>
        <v>-0.54947280883789096</v>
      </c>
      <c r="AG48" s="17">
        <f>'[1]ATI_Sensor_Log(2.0to1.0)'!$B45</f>
        <v>3.94041240215302E-2</v>
      </c>
    </row>
    <row r="49" spans="1:33" x14ac:dyDescent="0.25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AB49" s="17">
        <f>'[1]ATI_Sensor_Log(2.0to1.0)'!$G46</f>
        <v>0</v>
      </c>
      <c r="AC49" s="17">
        <f>-1*'[1]ATI_Sensor_Log(2.0to1.0)'!$F46</f>
        <v>0</v>
      </c>
      <c r="AD49" s="17">
        <f>'[1]ATI_Sensor_Log(2.0to1.0)'!$E46</f>
        <v>0</v>
      </c>
      <c r="AE49" s="17">
        <f>'[1]ATI_Sensor_Log(2.0to1.0)'!$D46</f>
        <v>0</v>
      </c>
      <c r="AF49" s="17">
        <f>-1*'[1]ATI_Sensor_Log(2.0to1.0)'!$C46</f>
        <v>0</v>
      </c>
      <c r="AG49" s="17">
        <f>'[1]ATI_Sensor_Log(2.0to1.0)'!$B46</f>
        <v>0</v>
      </c>
    </row>
    <row r="50" spans="1:33" x14ac:dyDescent="0.2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AB50" s="17">
        <f>'[1]ATI_Sensor_Log(2.0to1.0)'!$G47</f>
        <v>0</v>
      </c>
      <c r="AC50" s="17">
        <f>-1*'[1]ATI_Sensor_Log(2.0to1.0)'!$F47</f>
        <v>0</v>
      </c>
      <c r="AD50" s="17">
        <f>'[1]ATI_Sensor_Log(2.0to1.0)'!$E47</f>
        <v>0</v>
      </c>
      <c r="AE50" s="17">
        <f>'[1]ATI_Sensor_Log(2.0to1.0)'!$D47</f>
        <v>0</v>
      </c>
      <c r="AF50" s="17">
        <f>-1*'[1]ATI_Sensor_Log(2.0to1.0)'!$C47</f>
        <v>0</v>
      </c>
      <c r="AG50" s="17">
        <f>'[1]ATI_Sensor_Log(2.0to1.0)'!$B47</f>
        <v>0</v>
      </c>
    </row>
    <row r="51" spans="1:33" x14ac:dyDescent="0.2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AB51" s="17">
        <f>'[1]ATI_Sensor_Log(2.0to1.0)'!$G48</f>
        <v>0</v>
      </c>
      <c r="AC51" s="17">
        <f>-1*'[1]ATI_Sensor_Log(2.0to1.0)'!$F48</f>
        <v>0</v>
      </c>
      <c r="AD51" s="17">
        <f>'[1]ATI_Sensor_Log(2.0to1.0)'!$E48</f>
        <v>0</v>
      </c>
      <c r="AE51" s="17">
        <f>'[1]ATI_Sensor_Log(2.0to1.0)'!$D48</f>
        <v>0</v>
      </c>
      <c r="AF51" s="17">
        <f>-1*'[1]ATI_Sensor_Log(2.0to1.0)'!$C48</f>
        <v>0</v>
      </c>
      <c r="AG51" s="17">
        <f>'[1]ATI_Sensor_Log(2.0to1.0)'!$B48</f>
        <v>0</v>
      </c>
    </row>
    <row r="52" spans="1:33" x14ac:dyDescent="0.25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AB52" s="17">
        <f>'[1]ATI_Sensor_Log(2.0to1.0)'!$G49</f>
        <v>0</v>
      </c>
      <c r="AC52" s="17">
        <f>-1*'[1]ATI_Sensor_Log(2.0to1.0)'!$F49</f>
        <v>0</v>
      </c>
      <c r="AD52" s="17">
        <f>'[1]ATI_Sensor_Log(2.0to1.0)'!$E49</f>
        <v>0</v>
      </c>
      <c r="AE52" s="17">
        <f>'[1]ATI_Sensor_Log(2.0to1.0)'!$D49</f>
        <v>0</v>
      </c>
      <c r="AF52" s="17">
        <f>-1*'[1]ATI_Sensor_Log(2.0to1.0)'!$C49</f>
        <v>0</v>
      </c>
      <c r="AG52" s="17">
        <f>'[1]ATI_Sensor_Log(2.0to1.0)'!$B49</f>
        <v>0</v>
      </c>
    </row>
  </sheetData>
  <mergeCells count="5">
    <mergeCell ref="A1:T1"/>
    <mergeCell ref="AB2:AG2"/>
    <mergeCell ref="G2:M2"/>
    <mergeCell ref="N2:T2"/>
    <mergeCell ref="A2:F2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93EB2-5DD9-4DA0-BCDE-0457543667A5}">
  <dimension ref="A1:AE54"/>
  <sheetViews>
    <sheetView tabSelected="1" topLeftCell="A33" workbookViewId="0">
      <selection activeCell="Q56" sqref="Q56"/>
    </sheetView>
  </sheetViews>
  <sheetFormatPr defaultColWidth="9" defaultRowHeight="15.75" x14ac:dyDescent="0.25"/>
  <cols>
    <col min="1" max="22" width="9" style="3"/>
    <col min="23" max="23" width="32" style="3" bestFit="1" customWidth="1"/>
    <col min="24" max="16384" width="9" style="3"/>
  </cols>
  <sheetData>
    <row r="1" spans="1:31" ht="16.5" thickBot="1" x14ac:dyDescent="0.3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</row>
    <row r="2" spans="1:31" x14ac:dyDescent="0.25">
      <c r="A2" s="35"/>
      <c r="B2" s="35"/>
      <c r="C2" s="35"/>
      <c r="D2" s="35"/>
      <c r="E2" s="35"/>
      <c r="F2" s="36"/>
      <c r="G2" s="31" t="s">
        <v>6</v>
      </c>
      <c r="H2" s="32"/>
      <c r="I2" s="32"/>
      <c r="J2" s="32"/>
      <c r="K2" s="32"/>
      <c r="L2" s="32"/>
      <c r="M2" s="38"/>
      <c r="N2" s="39" t="s">
        <v>13</v>
      </c>
      <c r="O2" s="40"/>
      <c r="P2" s="40"/>
      <c r="Q2" s="40"/>
      <c r="R2" s="40"/>
      <c r="S2" s="41" t="s">
        <v>30</v>
      </c>
      <c r="T2" s="42"/>
      <c r="U2" s="42"/>
      <c r="V2" s="42"/>
      <c r="W2" s="44" t="s">
        <v>31</v>
      </c>
      <c r="X2" s="5"/>
      <c r="Y2" s="5"/>
      <c r="Z2" s="43"/>
      <c r="AA2" s="43"/>
      <c r="AB2" s="43"/>
      <c r="AC2" s="43"/>
      <c r="AD2" s="43"/>
      <c r="AE2" s="43"/>
    </row>
    <row r="3" spans="1:31" x14ac:dyDescent="0.25">
      <c r="A3" s="7" t="s">
        <v>7</v>
      </c>
      <c r="B3" s="7" t="s">
        <v>8</v>
      </c>
      <c r="C3" s="7" t="s">
        <v>9</v>
      </c>
      <c r="D3" s="7" t="s">
        <v>10</v>
      </c>
      <c r="E3" s="7" t="s">
        <v>28</v>
      </c>
      <c r="F3" s="7" t="s">
        <v>11</v>
      </c>
      <c r="G3" s="8" t="s">
        <v>3</v>
      </c>
      <c r="H3" s="7" t="s">
        <v>4</v>
      </c>
      <c r="I3" s="7" t="s">
        <v>5</v>
      </c>
      <c r="J3" s="7" t="s">
        <v>0</v>
      </c>
      <c r="K3" s="7" t="s">
        <v>1</v>
      </c>
      <c r="L3" s="7" t="s">
        <v>2</v>
      </c>
      <c r="M3" s="12" t="s">
        <v>11</v>
      </c>
      <c r="N3" s="10" t="s">
        <v>7</v>
      </c>
      <c r="O3" s="7" t="s">
        <v>8</v>
      </c>
      <c r="P3" s="7" t="s">
        <v>9</v>
      </c>
      <c r="Q3" s="7" t="s">
        <v>10</v>
      </c>
      <c r="R3" s="12" t="s">
        <v>11</v>
      </c>
      <c r="S3" s="10" t="s">
        <v>7</v>
      </c>
      <c r="T3" s="7" t="s">
        <v>8</v>
      </c>
      <c r="U3" s="7" t="s">
        <v>9</v>
      </c>
      <c r="V3" s="7" t="s">
        <v>10</v>
      </c>
      <c r="W3" s="45"/>
      <c r="X3" s="5"/>
      <c r="Y3" s="5"/>
      <c r="Z3" s="5"/>
      <c r="AA3" s="5"/>
      <c r="AB3" s="5"/>
      <c r="AC3" s="5"/>
      <c r="AD3" s="5"/>
      <c r="AE3" s="5"/>
    </row>
    <row r="4" spans="1:31" x14ac:dyDescent="0.25">
      <c r="A4" s="1">
        <f>'get_proximal_value Validation'!A4</f>
        <v>0.14182976</v>
      </c>
      <c r="B4" s="1">
        <f>'get_proximal_value Validation'!B4</f>
        <v>7.2024199999999997E-2</v>
      </c>
      <c r="C4" s="1">
        <f>'get_proximal_value Validation'!C4</f>
        <v>0</v>
      </c>
      <c r="D4" s="1">
        <f>'get_proximal_value Validation'!D4</f>
        <v>-0.91174491000000002</v>
      </c>
      <c r="E4" s="1">
        <f>'get_proximal_value Validation'!E4</f>
        <v>0.30351324000000002</v>
      </c>
      <c r="F4" s="1">
        <f>'get_proximal_value Validation'!F4</f>
        <v>0.30399999999999999</v>
      </c>
      <c r="G4" s="18">
        <f>'get_proximal_value Validation'!G4</f>
        <v>-9.1163394972681999E-4</v>
      </c>
      <c r="H4" s="18">
        <f>'get_proximal_value Validation'!H4</f>
        <v>-1.0851300321519401E-3</v>
      </c>
      <c r="I4" s="18">
        <f>'get_proximal_value Validation'!I4</f>
        <v>-2.5136896874755599E-3</v>
      </c>
      <c r="J4" s="18">
        <f>'get_proximal_value Validation'!J4</f>
        <v>-0.19703710079193101</v>
      </c>
      <c r="K4" s="18">
        <f>'get_proximal_value Validation'!K4</f>
        <v>-0.12924839556217199</v>
      </c>
      <c r="L4" s="18">
        <f>'get_proximal_value Validation'!L4</f>
        <v>8.4088072180748003E-3</v>
      </c>
      <c r="M4" s="18">
        <f>'get_proximal_value Validation'!M4</f>
        <v>0.30399999999999999</v>
      </c>
      <c r="N4" s="18">
        <v>0.1552202006</v>
      </c>
      <c r="O4" s="18">
        <v>7.1353470500000002E-2</v>
      </c>
      <c r="P4" s="18">
        <v>3.9434929399999999E-2</v>
      </c>
      <c r="Q4" s="18">
        <v>-0.97199647789999999</v>
      </c>
      <c r="R4" s="18">
        <v>0.30399999999999999</v>
      </c>
      <c r="S4" s="18">
        <f>N4-A4</f>
        <v>1.3390440599999998E-2</v>
      </c>
      <c r="T4" s="18">
        <f>O4-B4</f>
        <v>-6.7072949999999465E-4</v>
      </c>
      <c r="U4" s="18">
        <f>P4-C4</f>
        <v>3.9434929399999999E-2</v>
      </c>
      <c r="V4" s="18">
        <f>Q4-D4</f>
        <v>-6.0251567899999969E-2</v>
      </c>
      <c r="W4" s="13">
        <f>SUM(S4:V4)^2</f>
        <v>6.5560233320870236E-5</v>
      </c>
    </row>
    <row r="5" spans="1:31" x14ac:dyDescent="0.25">
      <c r="A5" s="1">
        <f>'get_proximal_value Validation'!A5</f>
        <v>0.60745837000000003</v>
      </c>
      <c r="B5" s="1">
        <f>'get_proximal_value Validation'!B5</f>
        <v>9.7064369999999997E-2</v>
      </c>
      <c r="C5" s="1">
        <f>'get_proximal_value Validation'!C5</f>
        <v>0</v>
      </c>
      <c r="D5" s="1">
        <f>'get_proximal_value Validation'!D5</f>
        <v>1.7524401700000001</v>
      </c>
      <c r="E5" s="1">
        <f>'get_proximal_value Validation'!E5</f>
        <v>0.57808470999999995</v>
      </c>
      <c r="F5" s="1">
        <f>'get_proximal_value Validation'!F5</f>
        <v>0.378</v>
      </c>
      <c r="G5" s="18">
        <f>'get_proximal_value Validation'!G5</f>
        <v>5.73261640965939E-4</v>
      </c>
      <c r="H5" s="18">
        <f>'get_proximal_value Validation'!H5</f>
        <v>-8.4196426905691602E-4</v>
      </c>
      <c r="I5" s="18">
        <f>'get_proximal_value Validation'!I5</f>
        <v>7.2134017944335896E-2</v>
      </c>
      <c r="J5" s="18">
        <f>'get_proximal_value Validation'!J5</f>
        <v>-0.55127584934234597</v>
      </c>
      <c r="K5" s="18">
        <f>'get_proximal_value Validation'!K5</f>
        <v>0.51616352796554599</v>
      </c>
      <c r="L5" s="18">
        <f>'get_proximal_value Validation'!L5</f>
        <v>1.7094016075134302E-2</v>
      </c>
      <c r="M5" s="18">
        <f>'get_proximal_value Validation'!M5</f>
        <v>0.378</v>
      </c>
      <c r="N5" s="18">
        <v>0.55294679660000001</v>
      </c>
      <c r="O5" s="18">
        <v>0.104934607</v>
      </c>
      <c r="P5" s="18">
        <v>2.65311474E-2</v>
      </c>
      <c r="Q5" s="18">
        <v>1.7006166752</v>
      </c>
      <c r="R5" s="18">
        <v>0.378</v>
      </c>
      <c r="S5" s="18">
        <f t="shared" ref="S5:S23" si="0">N5-A5</f>
        <v>-5.4511573400000013E-2</v>
      </c>
      <c r="T5" s="18">
        <f t="shared" ref="T5:T23" si="1">O5-B5</f>
        <v>7.8702370000000021E-3</v>
      </c>
      <c r="U5" s="18">
        <f t="shared" ref="U5:U23" si="2">P5-C5</f>
        <v>2.65311474E-2</v>
      </c>
      <c r="V5" s="18">
        <f t="shared" ref="V5:V23" si="3">Q5-D5</f>
        <v>-5.1823494800000036E-2</v>
      </c>
      <c r="W5" s="13">
        <f t="shared" ref="W5:W23" si="4">SUM(S5:V5)^2</f>
        <v>5.1744548650383901E-3</v>
      </c>
    </row>
    <row r="6" spans="1:31" x14ac:dyDescent="0.25">
      <c r="A6" s="1">
        <f>'get_proximal_value Validation'!A6</f>
        <v>0.88365583999999997</v>
      </c>
      <c r="B6" s="1">
        <f>'get_proximal_value Validation'!B6</f>
        <v>5.4008720000000003E-2</v>
      </c>
      <c r="C6" s="1">
        <f>'get_proximal_value Validation'!C6</f>
        <v>0</v>
      </c>
      <c r="D6" s="1">
        <f>'get_proximal_value Validation'!D6</f>
        <v>-0.91161608000000005</v>
      </c>
      <c r="E6" s="1">
        <f>'get_proximal_value Validation'!E6</f>
        <v>0.57138001000000005</v>
      </c>
      <c r="F6" s="1">
        <f>'get_proximal_value Validation'!F6</f>
        <v>0.61699999999999999</v>
      </c>
      <c r="G6" s="18">
        <f>'get_proximal_value Validation'!G6</f>
        <v>-2.39273207262158E-3</v>
      </c>
      <c r="H6" s="18">
        <f>'get_proximal_value Validation'!H6</f>
        <v>-3.4488118253648298E-3</v>
      </c>
      <c r="I6" s="18">
        <f>'get_proximal_value Validation'!I6</f>
        <v>-2.6666743680834801E-2</v>
      </c>
      <c r="J6" s="18">
        <f>'get_proximal_value Validation'!J6</f>
        <v>-2.8852019459009198E-2</v>
      </c>
      <c r="K6" s="18">
        <f>'get_proximal_value Validation'!K6</f>
        <v>-0.67019283771514904</v>
      </c>
      <c r="L6" s="18">
        <f>'get_proximal_value Validation'!L6</f>
        <v>3.4370362758636502E-2</v>
      </c>
      <c r="M6" s="18">
        <f>'get_proximal_value Validation'!M6</f>
        <v>0.61699999999999999</v>
      </c>
      <c r="N6" s="18">
        <v>0.87128265559999996</v>
      </c>
      <c r="O6" s="18">
        <v>5.4308711599999997E-2</v>
      </c>
      <c r="P6" s="18">
        <v>3.3026537799999998E-2</v>
      </c>
      <c r="Q6" s="18">
        <v>-0.87068177329999996</v>
      </c>
      <c r="R6" s="18">
        <v>0.61699999999999999</v>
      </c>
      <c r="S6" s="18">
        <f t="shared" si="0"/>
        <v>-1.2373184400000015E-2</v>
      </c>
      <c r="T6" s="18">
        <f t="shared" si="1"/>
        <v>2.9999159999999359E-4</v>
      </c>
      <c r="U6" s="18">
        <f t="shared" si="2"/>
        <v>3.3026537799999998E-2</v>
      </c>
      <c r="V6" s="18">
        <f t="shared" si="3"/>
        <v>4.0934306700000089E-2</v>
      </c>
      <c r="W6" s="13">
        <f t="shared" si="4"/>
        <v>3.830081432940521E-3</v>
      </c>
    </row>
    <row r="7" spans="1:31" x14ac:dyDescent="0.25">
      <c r="A7" s="1">
        <f>'get_proximal_value Validation'!A7</f>
        <v>9.2526059999999993E-2</v>
      </c>
      <c r="B7" s="1">
        <f>'get_proximal_value Validation'!B7</f>
        <v>7.6311329999999997E-2</v>
      </c>
      <c r="C7" s="1">
        <f>'get_proximal_value Validation'!C7</f>
        <v>0</v>
      </c>
      <c r="D7" s="1">
        <f>'get_proximal_value Validation'!D7</f>
        <v>-1.80081968</v>
      </c>
      <c r="E7" s="1">
        <f>'get_proximal_value Validation'!E7</f>
        <v>0.20000873999999999</v>
      </c>
      <c r="F7" s="1">
        <f>'get_proximal_value Validation'!F7</f>
        <v>0.21</v>
      </c>
      <c r="G7" s="18">
        <f>'get_proximal_value Validation'!G7</f>
        <v>-4.48850973043591E-4</v>
      </c>
      <c r="H7" s="18">
        <f>'get_proximal_value Validation'!H7</f>
        <v>-1.3324012979865101E-4</v>
      </c>
      <c r="I7" s="18">
        <f>'get_proximal_value Validation'!I7</f>
        <v>-3.5143312998115999E-3</v>
      </c>
      <c r="J7" s="18">
        <f>'get_proximal_value Validation'!J7</f>
        <v>-0.22372764348983801</v>
      </c>
      <c r="K7" s="18">
        <f>'get_proximal_value Validation'!K7</f>
        <v>-0.100444361567497</v>
      </c>
      <c r="L7" s="18">
        <f>'get_proximal_value Validation'!L7</f>
        <v>6.3757039606571198E-3</v>
      </c>
      <c r="M7" s="18">
        <f>'get_proximal_value Validation'!M7</f>
        <v>0.21</v>
      </c>
      <c r="N7" s="18">
        <v>0.10168109409999999</v>
      </c>
      <c r="O7" s="18">
        <v>8.0464167399999995E-2</v>
      </c>
      <c r="P7" s="18">
        <v>4.7018612699999997E-2</v>
      </c>
      <c r="Q7" s="18">
        <v>-1.8110141503999999</v>
      </c>
      <c r="R7" s="18">
        <v>0.21</v>
      </c>
      <c r="S7" s="18">
        <f t="shared" si="0"/>
        <v>9.1550341000000007E-3</v>
      </c>
      <c r="T7" s="18">
        <f t="shared" si="1"/>
        <v>4.1528373999999979E-3</v>
      </c>
      <c r="U7" s="18">
        <f t="shared" si="2"/>
        <v>4.7018612699999997E-2</v>
      </c>
      <c r="V7" s="18">
        <f t="shared" si="3"/>
        <v>-1.0194470399999878E-2</v>
      </c>
      <c r="W7" s="13">
        <f t="shared" si="4"/>
        <v>2.5132188076434025E-3</v>
      </c>
    </row>
    <row r="8" spans="1:31" x14ac:dyDescent="0.25">
      <c r="A8" s="1">
        <f>'get_proximal_value Validation'!A8</f>
        <v>0.26582482000000002</v>
      </c>
      <c r="B8" s="1">
        <f>'get_proximal_value Validation'!B8</f>
        <v>0.11576127</v>
      </c>
      <c r="C8" s="1">
        <f>'get_proximal_value Validation'!C8</f>
        <v>0</v>
      </c>
      <c r="D8" s="1">
        <f>'get_proximal_value Validation'!D8</f>
        <v>1.6288840099999999</v>
      </c>
      <c r="E8" s="1">
        <f>'get_proximal_value Validation'!E8</f>
        <v>0.56468087</v>
      </c>
      <c r="F8" s="1">
        <f>'get_proximal_value Validation'!F8</f>
        <v>0.43</v>
      </c>
      <c r="G8" s="18">
        <f>'get_proximal_value Validation'!G8</f>
        <v>3.9714667946100202E-4</v>
      </c>
      <c r="H8" s="18">
        <f>'get_proximal_value Validation'!H8</f>
        <v>-8.1160559784621E-4</v>
      </c>
      <c r="I8" s="18">
        <f>'get_proximal_value Validation'!I8</f>
        <v>4.53379787504673E-2</v>
      </c>
      <c r="J8" s="18">
        <f>'get_proximal_value Validation'!J8</f>
        <v>-0.44326165318489102</v>
      </c>
      <c r="K8" s="18">
        <f>'get_proximal_value Validation'!K8</f>
        <v>0.24324490129947701</v>
      </c>
      <c r="L8" s="18">
        <f>'get_proximal_value Validation'!L8</f>
        <v>1.42691433429718E-2</v>
      </c>
      <c r="M8" s="18">
        <f>'get_proximal_value Validation'!M8</f>
        <v>0.43</v>
      </c>
      <c r="N8" s="18">
        <v>0.24965928770000001</v>
      </c>
      <c r="O8" s="18">
        <v>0.12562618119999999</v>
      </c>
      <c r="P8" s="18">
        <v>4.3942473199999998E-2</v>
      </c>
      <c r="Q8" s="18">
        <v>1.4859877639000001</v>
      </c>
      <c r="R8" s="18">
        <v>0.43</v>
      </c>
      <c r="S8" s="18">
        <f t="shared" si="0"/>
        <v>-1.6165532300000007E-2</v>
      </c>
      <c r="T8" s="18">
        <f t="shared" si="1"/>
        <v>9.8649111999999928E-3</v>
      </c>
      <c r="U8" s="18">
        <f t="shared" si="2"/>
        <v>4.3942473199999998E-2</v>
      </c>
      <c r="V8" s="18">
        <f t="shared" si="3"/>
        <v>-0.14289624609999985</v>
      </c>
      <c r="W8" s="13">
        <f t="shared" si="4"/>
        <v>1.1078487456307207E-2</v>
      </c>
    </row>
    <row r="9" spans="1:31" x14ac:dyDescent="0.25">
      <c r="A9" s="1">
        <f>'get_proximal_value Validation'!A9</f>
        <v>0.45</v>
      </c>
      <c r="B9" s="1">
        <f>'get_proximal_value Validation'!B9</f>
        <v>0.17373299</v>
      </c>
      <c r="C9" s="1">
        <f>'get_proximal_value Validation'!C9</f>
        <v>0</v>
      </c>
      <c r="D9" s="1">
        <f>'get_proximal_value Validation'!D9</f>
        <v>-2.0085328699999998</v>
      </c>
      <c r="E9" s="1">
        <f>'get_proximal_value Validation'!E9</f>
        <v>0.2667928</v>
      </c>
      <c r="F9" s="1">
        <f>'get_proximal_value Validation'!F9</f>
        <v>0.76800000000000002</v>
      </c>
      <c r="G9" s="18">
        <f>'get_proximal_value Validation'!G9</f>
        <v>-2.8824871405959099E-3</v>
      </c>
      <c r="H9" s="18">
        <f>'get_proximal_value Validation'!H9</f>
        <v>-2.6444175746291902E-3</v>
      </c>
      <c r="I9" s="18">
        <f>'get_proximal_value Validation'!I9</f>
        <v>-5.5171221494674703E-2</v>
      </c>
      <c r="J9" s="18">
        <f>'get_proximal_value Validation'!J9</f>
        <v>-0.967154741287231</v>
      </c>
      <c r="K9" s="18">
        <f>'get_proximal_value Validation'!K9</f>
        <v>-0.338964402675629</v>
      </c>
      <c r="L9" s="18">
        <f>'get_proximal_value Validation'!L9</f>
        <v>4.3315857648849501E-2</v>
      </c>
      <c r="M9" s="18">
        <f>'get_proximal_value Validation'!M9</f>
        <v>0.76800000000000002</v>
      </c>
      <c r="N9" s="18">
        <v>0.40711206760000002</v>
      </c>
      <c r="O9" s="18">
        <v>0.2</v>
      </c>
      <c r="P9" s="18">
        <v>0.120810722</v>
      </c>
      <c r="Q9" s="18">
        <v>-2.1884713775</v>
      </c>
      <c r="R9" s="18">
        <v>0.76800000000000002</v>
      </c>
      <c r="S9" s="18">
        <f t="shared" si="0"/>
        <v>-4.2887932399999995E-2</v>
      </c>
      <c r="T9" s="18">
        <f t="shared" si="1"/>
        <v>2.6267010000000007E-2</v>
      </c>
      <c r="U9" s="18">
        <f t="shared" si="2"/>
        <v>0.120810722</v>
      </c>
      <c r="V9" s="18">
        <f t="shared" si="3"/>
        <v>-0.17993850750000018</v>
      </c>
      <c r="W9" s="13">
        <f t="shared" si="4"/>
        <v>5.7378667485195479E-3</v>
      </c>
    </row>
    <row r="10" spans="1:31" x14ac:dyDescent="0.25">
      <c r="A10" s="1">
        <f>'get_proximal_value Validation'!A10</f>
        <v>0.17540121</v>
      </c>
      <c r="B10" s="1">
        <f>'get_proximal_value Validation'!B10</f>
        <v>0.14381803000000001</v>
      </c>
      <c r="C10" s="1">
        <f>'get_proximal_value Validation'!C10</f>
        <v>0</v>
      </c>
      <c r="D10" s="1">
        <f>'get_proximal_value Validation'!D10</f>
        <v>-1.11184028</v>
      </c>
      <c r="E10" s="1">
        <f>'get_proximal_value Validation'!E10</f>
        <v>0.38917186999999998</v>
      </c>
      <c r="F10" s="1">
        <f>'get_proximal_value Validation'!F10</f>
        <v>0.497</v>
      </c>
      <c r="G10" s="18">
        <f>'get_proximal_value Validation'!G10</f>
        <v>-1.4106486923992599E-3</v>
      </c>
      <c r="H10" s="18">
        <f>'get_proximal_value Validation'!H10</f>
        <v>-2.5641322135925302E-3</v>
      </c>
      <c r="I10" s="18">
        <f>'get_proximal_value Validation'!I10</f>
        <v>-1.1485542170703401E-2</v>
      </c>
      <c r="J10" s="18">
        <f>'get_proximal_value Validation'!J10</f>
        <v>-0.36418968439102201</v>
      </c>
      <c r="K10" s="18">
        <f>'get_proximal_value Validation'!K10</f>
        <v>-0.149911478161812</v>
      </c>
      <c r="L10" s="18">
        <f>'get_proximal_value Validation'!L10</f>
        <v>2.13295146822929E-2</v>
      </c>
      <c r="M10" s="18">
        <f>'get_proximal_value Validation'!M10</f>
        <v>0.497</v>
      </c>
      <c r="N10" s="18">
        <v>0.18504490430000001</v>
      </c>
      <c r="O10" s="18">
        <v>0.1587055268</v>
      </c>
      <c r="P10" s="18">
        <v>8.6093611799999997E-2</v>
      </c>
      <c r="Q10" s="18">
        <v>-0.99703021329999997</v>
      </c>
      <c r="R10" s="18">
        <v>0.497</v>
      </c>
      <c r="S10" s="18">
        <f t="shared" si="0"/>
        <v>9.6436943000000053E-3</v>
      </c>
      <c r="T10" s="18">
        <f t="shared" si="1"/>
        <v>1.4887496799999983E-2</v>
      </c>
      <c r="U10" s="18">
        <f t="shared" si="2"/>
        <v>8.6093611799999997E-2</v>
      </c>
      <c r="V10" s="18">
        <f t="shared" si="3"/>
        <v>0.11481006670000005</v>
      </c>
      <c r="W10" s="13">
        <f t="shared" si="4"/>
        <v>5.0820880431569015E-2</v>
      </c>
    </row>
    <row r="11" spans="1:31" x14ac:dyDescent="0.25">
      <c r="A11" s="1">
        <f>'get_proximal_value Validation'!A11</f>
        <v>0.91138322999999999</v>
      </c>
      <c r="B11" s="1">
        <f>'get_proximal_value Validation'!B11</f>
        <v>0.10326726999999999</v>
      </c>
      <c r="C11" s="1">
        <f>'get_proximal_value Validation'!C11</f>
        <v>0</v>
      </c>
      <c r="D11" s="1">
        <f>'get_proximal_value Validation'!D11</f>
        <v>-2.1051697800000002</v>
      </c>
      <c r="E11" s="1">
        <f>'get_proximal_value Validation'!E11</f>
        <v>1.130865E-2</v>
      </c>
      <c r="F11" s="1">
        <f>'get_proximal_value Validation'!F11</f>
        <v>0.23</v>
      </c>
      <c r="G11" s="18">
        <f>'get_proximal_value Validation'!G11</f>
        <v>-2.0074252970516699E-3</v>
      </c>
      <c r="H11" s="18">
        <f>'get_proximal_value Validation'!H11</f>
        <v>-4.5337807387113598E-4</v>
      </c>
      <c r="I11" s="18">
        <f>'get_proximal_value Validation'!I11</f>
        <v>-7.8970164060592707E-2</v>
      </c>
      <c r="J11" s="18">
        <f>'get_proximal_value Validation'!J11</f>
        <v>-0.77051401138305697</v>
      </c>
      <c r="K11" s="18">
        <f>'get_proximal_value Validation'!K11</f>
        <v>-0.66304510831832897</v>
      </c>
      <c r="L11" s="18">
        <f>'get_proximal_value Validation'!L11</f>
        <v>4.46887910366058E-2</v>
      </c>
      <c r="M11" s="18">
        <f>'get_proximal_value Validation'!M11</f>
        <v>0.23</v>
      </c>
      <c r="N11" s="18">
        <v>0.86172972640000001</v>
      </c>
      <c r="O11" s="18">
        <v>0.1078973567</v>
      </c>
      <c r="P11" s="18">
        <v>5.71078364E-2</v>
      </c>
      <c r="Q11" s="18">
        <v>-2.0893219276999999</v>
      </c>
      <c r="R11" s="18">
        <v>0.23</v>
      </c>
      <c r="S11" s="18">
        <f t="shared" si="0"/>
        <v>-4.9653503599999982E-2</v>
      </c>
      <c r="T11" s="18">
        <f t="shared" si="1"/>
        <v>4.6300867000000079E-3</v>
      </c>
      <c r="U11" s="18">
        <f t="shared" si="2"/>
        <v>5.71078364E-2</v>
      </c>
      <c r="V11" s="18">
        <f t="shared" si="3"/>
        <v>1.5847852300000298E-2</v>
      </c>
      <c r="W11" s="13">
        <f t="shared" si="4"/>
        <v>7.8021180790909341E-4</v>
      </c>
    </row>
    <row r="12" spans="1:31" x14ac:dyDescent="0.25">
      <c r="A12" s="1">
        <f>'get_proximal_value Validation'!A12</f>
        <v>0.67321675000000003</v>
      </c>
      <c r="B12" s="1">
        <f>'get_proximal_value Validation'!B12</f>
        <v>0.15658332999999999</v>
      </c>
      <c r="C12" s="1">
        <f>'get_proximal_value Validation'!C12</f>
        <v>0</v>
      </c>
      <c r="D12" s="1">
        <f>'get_proximal_value Validation'!D12</f>
        <v>1.9850788800000001</v>
      </c>
      <c r="E12" s="1">
        <f>'get_proximal_value Validation'!E12</f>
        <v>0.19040074000000001</v>
      </c>
      <c r="F12" s="1">
        <f>'get_proximal_value Validation'!F12</f>
        <v>0</v>
      </c>
      <c r="G12" s="18">
        <f>'get_proximal_value Validation'!G12</f>
        <v>6.4870691858232E-4</v>
      </c>
      <c r="H12" s="18">
        <f>'get_proximal_value Validation'!H12</f>
        <v>-1.34663167409599E-3</v>
      </c>
      <c r="I12" s="18">
        <f>'get_proximal_value Validation'!I12</f>
        <v>8.9680150151252705E-2</v>
      </c>
      <c r="J12" s="18">
        <f>'get_proximal_value Validation'!J12</f>
        <v>-0.53976345062255904</v>
      </c>
      <c r="K12" s="18">
        <f>'get_proximal_value Validation'!K12</f>
        <v>0.378590047359467</v>
      </c>
      <c r="L12" s="18">
        <f>'get_proximal_value Validation'!L12</f>
        <v>1.5296399593353299E-2</v>
      </c>
      <c r="M12" s="18">
        <f>'get_proximal_value Validation'!M12</f>
        <v>0</v>
      </c>
      <c r="N12" s="18">
        <v>0.65954870119999998</v>
      </c>
      <c r="O12" s="18">
        <v>0.16738955480000001</v>
      </c>
      <c r="P12" s="18">
        <v>3.6041738300000001E-2</v>
      </c>
      <c r="Q12" s="18">
        <v>1.9652106119999999</v>
      </c>
      <c r="R12" s="18">
        <v>0</v>
      </c>
      <c r="S12" s="18">
        <f t="shared" si="0"/>
        <v>-1.3668048800000054E-2</v>
      </c>
      <c r="T12" s="18">
        <f t="shared" si="1"/>
        <v>1.0806224800000014E-2</v>
      </c>
      <c r="U12" s="18">
        <f t="shared" si="2"/>
        <v>3.6041738300000001E-2</v>
      </c>
      <c r="V12" s="18">
        <f t="shared" si="3"/>
        <v>-1.9868268000000189E-2</v>
      </c>
      <c r="W12" s="13">
        <f t="shared" si="4"/>
        <v>1.7719992721629759E-4</v>
      </c>
    </row>
    <row r="13" spans="1:31" x14ac:dyDescent="0.25">
      <c r="A13" s="1">
        <f>'get_proximal_value Validation'!A13</f>
        <v>0.51328965999999998</v>
      </c>
      <c r="B13" s="1">
        <f>'get_proximal_value Validation'!B13</f>
        <v>0.18841874</v>
      </c>
      <c r="C13" s="1">
        <f>'get_proximal_value Validation'!C13</f>
        <v>0</v>
      </c>
      <c r="D13" s="1">
        <f>'get_proximal_value Validation'!D13</f>
        <v>1.9513616899999999</v>
      </c>
      <c r="E13" s="1">
        <f>'get_proximal_value Validation'!E13</f>
        <v>0.15918219</v>
      </c>
      <c r="F13" s="1">
        <f>'get_proximal_value Validation'!F13</f>
        <v>0</v>
      </c>
      <c r="G13" s="18">
        <f>'get_proximal_value Validation'!G13</f>
        <v>2.1531186066567902E-3</v>
      </c>
      <c r="H13" s="18">
        <f>'get_proximal_value Validation'!H13</f>
        <v>-1.85897364281118E-3</v>
      </c>
      <c r="I13" s="18">
        <f>'get_proximal_value Validation'!I13</f>
        <v>7.3820367455482497E-2</v>
      </c>
      <c r="J13" s="18">
        <f>'get_proximal_value Validation'!J13</f>
        <v>-0.43470159173011802</v>
      </c>
      <c r="K13" s="18">
        <f>'get_proximal_value Validation'!K13</f>
        <v>0.22742748260498</v>
      </c>
      <c r="L13" s="18">
        <f>'get_proximal_value Validation'!L13</f>
        <v>3.35876196622849E-2</v>
      </c>
      <c r="M13" s="18">
        <f>'get_proximal_value Validation'!M13</f>
        <v>0</v>
      </c>
      <c r="N13" s="18">
        <v>0.49264697829999998</v>
      </c>
      <c r="O13" s="18">
        <v>0.2</v>
      </c>
      <c r="P13" s="18">
        <v>0.1214923366</v>
      </c>
      <c r="Q13" s="18">
        <v>2.0402252147</v>
      </c>
      <c r="R13" s="18">
        <v>0</v>
      </c>
      <c r="S13" s="18">
        <f t="shared" si="0"/>
        <v>-2.0642681699999998E-2</v>
      </c>
      <c r="T13" s="18">
        <f t="shared" si="1"/>
        <v>1.158126000000001E-2</v>
      </c>
      <c r="U13" s="18">
        <f t="shared" si="2"/>
        <v>0.1214923366</v>
      </c>
      <c r="V13" s="18">
        <f t="shared" si="3"/>
        <v>8.8863524700000029E-2</v>
      </c>
      <c r="W13" s="13">
        <f t="shared" si="4"/>
        <v>4.0519451413878062E-2</v>
      </c>
    </row>
    <row r="14" spans="1:31" x14ac:dyDescent="0.25">
      <c r="A14" s="1">
        <f>'get_proximal_value Validation'!A14</f>
        <v>0.41902099999999998</v>
      </c>
      <c r="B14" s="1">
        <f>'get_proximal_value Validation'!B14</f>
        <v>0.19321867000000001</v>
      </c>
      <c r="C14" s="1">
        <f>'get_proximal_value Validation'!C14</f>
        <v>0</v>
      </c>
      <c r="D14" s="1">
        <f>'get_proximal_value Validation'!D14</f>
        <v>-1.94528868</v>
      </c>
      <c r="E14" s="1">
        <f>'get_proximal_value Validation'!E14</f>
        <v>7.5709239999999997E-2</v>
      </c>
      <c r="F14" s="1">
        <f>'get_proximal_value Validation'!F14</f>
        <v>0.76800000000000002</v>
      </c>
      <c r="G14" s="18">
        <f>'get_proximal_value Validation'!G14</f>
        <v>-1.50931708049029E-3</v>
      </c>
      <c r="H14" s="18">
        <f>'get_proximal_value Validation'!H14</f>
        <v>-2.2329168859869198E-3</v>
      </c>
      <c r="I14" s="18">
        <f>'get_proximal_value Validation'!I14</f>
        <v>-5.9763666242361103E-2</v>
      </c>
      <c r="J14" s="18">
        <f>'get_proximal_value Validation'!J14</f>
        <v>-0.94436967372894298</v>
      </c>
      <c r="K14" s="18">
        <f>'get_proximal_value Validation'!K14</f>
        <v>-0.32222291827201799</v>
      </c>
      <c r="L14" s="18">
        <f>'get_proximal_value Validation'!L14</f>
        <v>2.7182862162589999E-2</v>
      </c>
      <c r="M14" s="18">
        <f>'get_proximal_value Validation'!M14</f>
        <v>0.76800000000000002</v>
      </c>
      <c r="N14" s="18">
        <v>0.38119508289999998</v>
      </c>
      <c r="O14" s="18">
        <v>0.2</v>
      </c>
      <c r="P14" s="18">
        <v>7.2169630799999995E-2</v>
      </c>
      <c r="Q14" s="18">
        <v>-2.2004415011999998</v>
      </c>
      <c r="R14" s="18">
        <v>0.76800000000000002</v>
      </c>
      <c r="S14" s="18">
        <f t="shared" si="0"/>
        <v>-3.7825917099999995E-2</v>
      </c>
      <c r="T14" s="18">
        <f t="shared" si="1"/>
        <v>6.7813300000000021E-3</v>
      </c>
      <c r="U14" s="18">
        <f t="shared" si="2"/>
        <v>7.2169630799999995E-2</v>
      </c>
      <c r="V14" s="18">
        <f t="shared" si="3"/>
        <v>-0.25515282119999982</v>
      </c>
      <c r="W14" s="13">
        <f t="shared" si="4"/>
        <v>4.580788954158943E-2</v>
      </c>
    </row>
    <row r="15" spans="1:31" x14ac:dyDescent="0.25">
      <c r="A15" s="1">
        <f>'get_proximal_value Validation'!A15</f>
        <v>0.34660519000000001</v>
      </c>
      <c r="B15" s="1">
        <f>'get_proximal_value Validation'!B15</f>
        <v>0.13028766</v>
      </c>
      <c r="C15" s="1">
        <f>'get_proximal_value Validation'!C15</f>
        <v>0</v>
      </c>
      <c r="D15" s="1">
        <f>'get_proximal_value Validation'!D15</f>
        <v>2.32963897</v>
      </c>
      <c r="E15" s="1">
        <f>'get_proximal_value Validation'!E15</f>
        <v>0.24459961</v>
      </c>
      <c r="F15" s="1">
        <f>'get_proximal_value Validation'!F15</f>
        <v>0.1</v>
      </c>
      <c r="G15" s="18">
        <f>'get_proximal_value Validation'!G15</f>
        <v>-3.0693307053297801E-4</v>
      </c>
      <c r="H15" s="18">
        <f>'get_proximal_value Validation'!H15</f>
        <v>-9.6095260232686996E-5</v>
      </c>
      <c r="I15" s="18">
        <f>'get_proximal_value Validation'!I15</f>
        <v>3.5561989992857E-2</v>
      </c>
      <c r="J15" s="18">
        <f>'get_proximal_value Validation'!J15</f>
        <v>-0.36243444681167603</v>
      </c>
      <c r="K15" s="18">
        <f>'get_proximal_value Validation'!K15</f>
        <v>0.20112581551075001</v>
      </c>
      <c r="L15" s="18">
        <f>'get_proximal_value Validation'!L15</f>
        <v>5.4567307233810399E-3</v>
      </c>
      <c r="M15" s="18">
        <f>'get_proximal_value Validation'!M15</f>
        <v>0.1</v>
      </c>
      <c r="N15" s="18">
        <v>0.33444876429999998</v>
      </c>
      <c r="O15" s="18">
        <v>0.13783736930000001</v>
      </c>
      <c r="P15" s="18">
        <v>1.5982782000000001E-2</v>
      </c>
      <c r="Q15" s="18">
        <v>2.3345412470000002</v>
      </c>
      <c r="R15" s="18">
        <v>0.1</v>
      </c>
      <c r="S15" s="18">
        <f t="shared" si="0"/>
        <v>-1.2156425700000029E-2</v>
      </c>
      <c r="T15" s="18">
        <f t="shared" si="1"/>
        <v>7.5497093000000126E-3</v>
      </c>
      <c r="U15" s="18">
        <f t="shared" si="2"/>
        <v>1.5982782000000001E-2</v>
      </c>
      <c r="V15" s="18">
        <f t="shared" si="3"/>
        <v>4.9022770000002325E-3</v>
      </c>
      <c r="W15" s="13">
        <f t="shared" si="4"/>
        <v>2.6498443780298181E-4</v>
      </c>
    </row>
    <row r="16" spans="1:31" x14ac:dyDescent="0.25">
      <c r="A16" s="1">
        <f>'get_proximal_value Validation'!A16</f>
        <v>0.37136375999999999</v>
      </c>
      <c r="B16" s="1">
        <f>'get_proximal_value Validation'!B16</f>
        <v>0.19169604000000001</v>
      </c>
      <c r="C16" s="1">
        <f>'get_proximal_value Validation'!C16</f>
        <v>0</v>
      </c>
      <c r="D16" s="1">
        <f>'get_proximal_value Validation'!D16</f>
        <v>1.70618673</v>
      </c>
      <c r="E16" s="1">
        <f>'get_proximal_value Validation'!E16</f>
        <v>0.66852389999999995</v>
      </c>
      <c r="F16" s="1">
        <f>'get_proximal_value Validation'!F16</f>
        <v>0</v>
      </c>
      <c r="G16" s="18">
        <f>'get_proximal_value Validation'!G16</f>
        <v>1.05677347164601E-3</v>
      </c>
      <c r="H16" s="18">
        <f>'get_proximal_value Validation'!H16</f>
        <v>-1.7957310192287001E-3</v>
      </c>
      <c r="I16" s="18">
        <f>'get_proximal_value Validation'!I16</f>
        <v>6.4393624663352994E-2</v>
      </c>
      <c r="J16" s="18">
        <f>'get_proximal_value Validation'!J16</f>
        <v>-0.26715281605720498</v>
      </c>
      <c r="K16" s="18">
        <f>'get_proximal_value Validation'!K16</f>
        <v>0.232885867357254</v>
      </c>
      <c r="L16" s="18">
        <f>'get_proximal_value Validation'!L16</f>
        <v>1.8380418419838E-2</v>
      </c>
      <c r="M16" s="18">
        <f>'get_proximal_value Validation'!M16</f>
        <v>0</v>
      </c>
      <c r="N16" s="18">
        <v>0.3560644027</v>
      </c>
      <c r="O16" s="18">
        <v>0.2</v>
      </c>
      <c r="P16" s="18">
        <v>7.0557252400000006E-2</v>
      </c>
      <c r="Q16" s="18">
        <v>1.9356272506000001</v>
      </c>
      <c r="R16" s="18">
        <v>0</v>
      </c>
      <c r="S16" s="18">
        <f t="shared" si="0"/>
        <v>-1.5299357299999983E-2</v>
      </c>
      <c r="T16" s="18">
        <f t="shared" si="1"/>
        <v>8.3039599999999991E-3</v>
      </c>
      <c r="U16" s="18">
        <f t="shared" si="2"/>
        <v>7.0557252400000006E-2</v>
      </c>
      <c r="V16" s="18">
        <f t="shared" si="3"/>
        <v>0.22944052060000009</v>
      </c>
      <c r="W16" s="13">
        <f t="shared" si="4"/>
        <v>8.5850392165844003E-2</v>
      </c>
    </row>
    <row r="17" spans="1:23" x14ac:dyDescent="0.25">
      <c r="A17" s="1">
        <f>'get_proximal_value Validation'!A17</f>
        <v>0.57675153999999995</v>
      </c>
      <c r="B17" s="1">
        <f>'get_proximal_value Validation'!B17</f>
        <v>0.19410669999999999</v>
      </c>
      <c r="C17" s="1">
        <f>'get_proximal_value Validation'!C17</f>
        <v>0</v>
      </c>
      <c r="D17" s="1">
        <f>'get_proximal_value Validation'!D17</f>
        <v>1.17213521</v>
      </c>
      <c r="E17" s="1">
        <f>'get_proximal_value Validation'!E17</f>
        <v>0.57058774999999995</v>
      </c>
      <c r="F17" s="1">
        <f>'get_proximal_value Validation'!F17</f>
        <v>0</v>
      </c>
      <c r="G17" s="18">
        <f>'get_proximal_value Validation'!G17</f>
        <v>3.5343742929399001E-3</v>
      </c>
      <c r="H17" s="18">
        <f>'get_proximal_value Validation'!H17</f>
        <v>-3.7954235449433301E-3</v>
      </c>
      <c r="I17" s="18">
        <f>'get_proximal_value Validation'!I17</f>
        <v>0.11383625864982599</v>
      </c>
      <c r="J17" s="18">
        <f>'get_proximal_value Validation'!J17</f>
        <v>-0.25536644458770802</v>
      </c>
      <c r="K17" s="18">
        <f>'get_proximal_value Validation'!K17</f>
        <v>0.48884528875351002</v>
      </c>
      <c r="L17" s="18">
        <f>'get_proximal_value Validation'!L17</f>
        <v>2.4793863296508799E-2</v>
      </c>
      <c r="M17" s="18">
        <f>'get_proximal_value Validation'!M17</f>
        <v>0</v>
      </c>
      <c r="N17" s="18">
        <v>0.55320014370000004</v>
      </c>
      <c r="O17" s="18">
        <v>0.2</v>
      </c>
      <c r="P17" s="18">
        <v>4.6837792900000001E-2</v>
      </c>
      <c r="Q17" s="18">
        <v>1.2222314729999999</v>
      </c>
      <c r="R17" s="18">
        <v>0</v>
      </c>
      <c r="S17" s="18">
        <f t="shared" si="0"/>
        <v>-2.3551396299999916E-2</v>
      </c>
      <c r="T17" s="18">
        <f t="shared" si="1"/>
        <v>5.893300000000018E-3</v>
      </c>
      <c r="U17" s="18">
        <f t="shared" si="2"/>
        <v>4.6837792900000001E-2</v>
      </c>
      <c r="V17" s="18">
        <f t="shared" si="3"/>
        <v>5.0096262999999919E-2</v>
      </c>
      <c r="W17" s="13">
        <f t="shared" si="4"/>
        <v>6.2846777705008365E-3</v>
      </c>
    </row>
    <row r="18" spans="1:23" x14ac:dyDescent="0.25">
      <c r="A18" s="1">
        <f>'get_proximal_value Validation'!A18</f>
        <v>0.73141639999999997</v>
      </c>
      <c r="B18" s="1">
        <f>'get_proximal_value Validation'!B18</f>
        <v>0.10712663</v>
      </c>
      <c r="C18" s="1">
        <f>'get_proximal_value Validation'!C18</f>
        <v>0</v>
      </c>
      <c r="D18" s="1">
        <f>'get_proximal_value Validation'!D18</f>
        <v>-1.2846379400000001</v>
      </c>
      <c r="E18" s="1">
        <f>'get_proximal_value Validation'!E18</f>
        <v>0.75296912000000005</v>
      </c>
      <c r="F18" s="1">
        <f>'get_proximal_value Validation'!F18</f>
        <v>0.99099999999999999</v>
      </c>
      <c r="G18" s="18">
        <f>'get_proximal_value Validation'!G18</f>
        <v>-2.8338059782981899E-3</v>
      </c>
      <c r="H18" s="18">
        <f>'get_proximal_value Validation'!H18</f>
        <v>-3.8975423667579898E-3</v>
      </c>
      <c r="I18" s="18">
        <f>'get_proximal_value Validation'!I18</f>
        <v>-5.2740231156349203E-2</v>
      </c>
      <c r="J18" s="18">
        <f>'get_proximal_value Validation'!J18</f>
        <v>-0.73136901855468806</v>
      </c>
      <c r="K18" s="18">
        <f>'get_proximal_value Validation'!K18</f>
        <v>-0.64403772354125999</v>
      </c>
      <c r="L18" s="18">
        <f>'get_proximal_value Validation'!L18</f>
        <v>3.5194247961044298E-2</v>
      </c>
      <c r="M18" s="18">
        <f>'get_proximal_value Validation'!M18</f>
        <v>0.99099999999999999</v>
      </c>
      <c r="N18" s="18">
        <v>0.63768712449999998</v>
      </c>
      <c r="O18" s="18">
        <v>0.10547438639999999</v>
      </c>
      <c r="P18" s="18">
        <v>4.5002342399999999E-2</v>
      </c>
      <c r="Q18" s="18">
        <v>-1.5195661146999999</v>
      </c>
      <c r="R18" s="18">
        <v>0.99099999999999999</v>
      </c>
      <c r="S18" s="18">
        <f t="shared" si="0"/>
        <v>-9.3729275499999987E-2</v>
      </c>
      <c r="T18" s="18">
        <f t="shared" si="1"/>
        <v>-1.6522436000000057E-3</v>
      </c>
      <c r="U18" s="18">
        <f t="shared" si="2"/>
        <v>4.5002342399999999E-2</v>
      </c>
      <c r="V18" s="18">
        <f t="shared" si="3"/>
        <v>-0.23492817469999983</v>
      </c>
      <c r="W18" s="13">
        <f t="shared" si="4"/>
        <v>8.1400284762882968E-2</v>
      </c>
    </row>
    <row r="19" spans="1:23" x14ac:dyDescent="0.25">
      <c r="A19" s="1">
        <f>'get_proximal_value Validation'!A19</f>
        <v>0.92824048000000003</v>
      </c>
      <c r="B19" s="1">
        <f>'get_proximal_value Validation'!B19</f>
        <v>6.1499020000000001E-2</v>
      </c>
      <c r="C19" s="1">
        <f>'get_proximal_value Validation'!C19</f>
        <v>0</v>
      </c>
      <c r="D19" s="1">
        <f>'get_proximal_value Validation'!D19</f>
        <v>2.2133731600000002</v>
      </c>
      <c r="E19" s="1">
        <f>'get_proximal_value Validation'!E19</f>
        <v>0.49874278999999999</v>
      </c>
      <c r="F19" s="1">
        <f>'get_proximal_value Validation'!F19</f>
        <v>0.41199999999999998</v>
      </c>
      <c r="G19" s="18">
        <f>'get_proximal_value Validation'!G19</f>
        <v>-2.7264871168881698E-3</v>
      </c>
      <c r="H19" s="18">
        <f>'get_proximal_value Validation'!H19</f>
        <v>-2.9036914929747598E-4</v>
      </c>
      <c r="I19" s="18">
        <f>'get_proximal_value Validation'!I19</f>
        <v>6.54015243053436E-2</v>
      </c>
      <c r="J19" s="18">
        <f>'get_proximal_value Validation'!J19</f>
        <v>-0.990095674991608</v>
      </c>
      <c r="K19" s="18">
        <f>'get_proximal_value Validation'!K19</f>
        <v>0.68135464191436801</v>
      </c>
      <c r="L19" s="18">
        <f>'get_proximal_value Validation'!L19</f>
        <v>-9.7361505031585693E-3</v>
      </c>
      <c r="M19" s="18">
        <f>'get_proximal_value Validation'!M19</f>
        <v>0.41199999999999998</v>
      </c>
      <c r="N19" s="18">
        <v>0.90992140170000002</v>
      </c>
      <c r="O19" s="18">
        <v>6.5472843099999997E-2</v>
      </c>
      <c r="P19" s="18">
        <v>-1.47643797E-2</v>
      </c>
      <c r="Q19" s="18">
        <v>2.1879206054</v>
      </c>
      <c r="R19" s="18">
        <v>0.41199999999999998</v>
      </c>
      <c r="S19" s="18">
        <f t="shared" si="0"/>
        <v>-1.8319078300000013E-2</v>
      </c>
      <c r="T19" s="18">
        <f t="shared" si="1"/>
        <v>3.9738230999999957E-3</v>
      </c>
      <c r="U19" s="18">
        <f t="shared" si="2"/>
        <v>-1.47643797E-2</v>
      </c>
      <c r="V19" s="18">
        <f t="shared" si="3"/>
        <v>-2.5452554600000177E-2</v>
      </c>
      <c r="W19" s="13">
        <f t="shared" si="4"/>
        <v>2.977032523033931E-3</v>
      </c>
    </row>
    <row r="20" spans="1:23" x14ac:dyDescent="0.25">
      <c r="A20" s="1">
        <f>'get_proximal_value Validation'!A20</f>
        <v>0.48677182000000002</v>
      </c>
      <c r="B20" s="1">
        <f>'get_proximal_value Validation'!B20</f>
        <v>0.1926011</v>
      </c>
      <c r="C20" s="1">
        <f>'get_proximal_value Validation'!C20</f>
        <v>0</v>
      </c>
      <c r="D20" s="1">
        <f>'get_proximal_value Validation'!D20</f>
        <v>-1.97383197</v>
      </c>
      <c r="E20" s="1">
        <f>'get_proximal_value Validation'!E20</f>
        <v>0.40514359</v>
      </c>
      <c r="F20" s="1">
        <f>'get_proximal_value Validation'!F20</f>
        <v>1.2649999999999999</v>
      </c>
      <c r="G20" s="18">
        <f>'get_proximal_value Validation'!G20</f>
        <v>-2.4467429611831899E-3</v>
      </c>
      <c r="H20" s="18">
        <f>'get_proximal_value Validation'!H20</f>
        <v>-3.9606718346476598E-3</v>
      </c>
      <c r="I20" s="18">
        <f>'get_proximal_value Validation'!I20</f>
        <v>-6.55845552682877E-2</v>
      </c>
      <c r="J20" s="18">
        <f>'get_proximal_value Validation'!J20</f>
        <v>-1.3344798088073699</v>
      </c>
      <c r="K20" s="18">
        <f>'get_proximal_value Validation'!K20</f>
        <v>-0.42153304815292397</v>
      </c>
      <c r="L20" s="18">
        <f>'get_proximal_value Validation'!L20</f>
        <v>3.0811607837676998E-2</v>
      </c>
      <c r="M20" s="18">
        <f>'get_proximal_value Validation'!M20</f>
        <v>1.2649999999999999</v>
      </c>
      <c r="N20" s="18">
        <v>0.70956196709999997</v>
      </c>
      <c r="O20" s="18">
        <v>0.18387510060000001</v>
      </c>
      <c r="P20" s="18">
        <v>8.0751721299999996E-2</v>
      </c>
      <c r="Q20" s="18">
        <v>-2.7659297763000001</v>
      </c>
      <c r="R20" s="18">
        <v>1.2649999999999999</v>
      </c>
      <c r="S20" s="18">
        <f t="shared" si="0"/>
        <v>0.22279014709999995</v>
      </c>
      <c r="T20" s="18">
        <f t="shared" si="1"/>
        <v>-8.7259993999999896E-3</v>
      </c>
      <c r="U20" s="18">
        <f t="shared" si="2"/>
        <v>8.0751721299999996E-2</v>
      </c>
      <c r="V20" s="18">
        <f t="shared" si="3"/>
        <v>-0.79209780630000015</v>
      </c>
      <c r="W20" s="13">
        <f t="shared" si="4"/>
        <v>0.24728932516484134</v>
      </c>
    </row>
    <row r="21" spans="1:23" x14ac:dyDescent="0.25">
      <c r="A21" s="1">
        <f>'get_proximal_value Validation'!A21</f>
        <v>0.75984845000000001</v>
      </c>
      <c r="B21" s="1">
        <f>'get_proximal_value Validation'!B21</f>
        <v>0.11235321</v>
      </c>
      <c r="C21" s="1">
        <f>'get_proximal_value Validation'!C21</f>
        <v>0</v>
      </c>
      <c r="D21" s="1">
        <f>'get_proximal_value Validation'!D21</f>
        <v>-2.0615691699999998</v>
      </c>
      <c r="E21" s="1">
        <f>'get_proximal_value Validation'!E21</f>
        <v>3.4406390000000002E-2</v>
      </c>
      <c r="F21" s="1">
        <f>'get_proximal_value Validation'!F21</f>
        <v>0.28599999999999998</v>
      </c>
      <c r="G21" s="18">
        <f>'get_proximal_value Validation'!G21</f>
        <v>-2.2109632845967999E-3</v>
      </c>
      <c r="H21" s="18">
        <f>'get_proximal_value Validation'!H21</f>
        <v>-1.3992630410939501E-3</v>
      </c>
      <c r="I21" s="18">
        <f>'get_proximal_value Validation'!I21</f>
        <v>-7.3739819228649098E-2</v>
      </c>
      <c r="J21" s="18">
        <f>'get_proximal_value Validation'!J21</f>
        <v>-0.77465367317199696</v>
      </c>
      <c r="K21" s="18">
        <f>'get_proximal_value Validation'!K21</f>
        <v>-0.54947280883789096</v>
      </c>
      <c r="L21" s="18">
        <f>'get_proximal_value Validation'!L21</f>
        <v>3.94041240215302E-2</v>
      </c>
      <c r="M21" s="18">
        <f>'get_proximal_value Validation'!M21</f>
        <v>0.28599999999999998</v>
      </c>
      <c r="N21" s="18">
        <v>0.74052383730000004</v>
      </c>
      <c r="O21" s="18">
        <v>0.1244305711</v>
      </c>
      <c r="P21" s="18">
        <v>6.0082425199999998E-2</v>
      </c>
      <c r="Q21" s="18">
        <v>-2.1140271421999999</v>
      </c>
      <c r="R21" s="18">
        <v>0.28599999999999998</v>
      </c>
      <c r="S21" s="18">
        <f t="shared" si="0"/>
        <v>-1.9324612699999966E-2</v>
      </c>
      <c r="T21" s="18">
        <f t="shared" si="1"/>
        <v>1.2077361100000003E-2</v>
      </c>
      <c r="U21" s="18">
        <f t="shared" si="2"/>
        <v>6.0082425199999998E-2</v>
      </c>
      <c r="V21" s="18">
        <f t="shared" si="3"/>
        <v>-5.2457972200000036E-2</v>
      </c>
      <c r="W21" s="13">
        <f t="shared" si="4"/>
        <v>1.4228089616195926E-7</v>
      </c>
    </row>
    <row r="22" spans="1:23" x14ac:dyDescent="0.25">
      <c r="A22" s="1">
        <f>'get_proximal_value Validation'!A22</f>
        <v>6.0400080000000002E-2</v>
      </c>
      <c r="B22" s="1">
        <f>'get_proximal_value Validation'!B22</f>
        <v>0.17999249</v>
      </c>
      <c r="C22" s="1">
        <f>'get_proximal_value Validation'!C22</f>
        <v>0</v>
      </c>
      <c r="D22" s="1">
        <f>'get_proximal_value Validation'!D22</f>
        <v>-2.2005077800000001</v>
      </c>
      <c r="E22" s="1">
        <f>'get_proximal_value Validation'!E22</f>
        <v>4.6805619999999999E-2</v>
      </c>
      <c r="F22" s="1">
        <f>'get_proximal_value Validation'!F22</f>
        <v>0.125</v>
      </c>
      <c r="G22" s="18">
        <f>'get_proximal_value Validation'!G22</f>
        <v>-5.2654783939942696E-4</v>
      </c>
      <c r="H22" s="18">
        <f>'get_proximal_value Validation'!H22</f>
        <v>-6.8196270149201198E-4</v>
      </c>
      <c r="I22" s="18">
        <f>'get_proximal_value Validation'!I22</f>
        <v>-7.9568028450012207E-3</v>
      </c>
      <c r="J22" s="18">
        <f>'get_proximal_value Validation'!J22</f>
        <v>-0.14130574464797999</v>
      </c>
      <c r="K22" s="18">
        <f>'get_proximal_value Validation'!K22</f>
        <v>-5.4839767515659298E-2</v>
      </c>
      <c r="L22" s="18">
        <f>'get_proximal_value Validation'!L22</f>
        <v>1.5218697488308E-2</v>
      </c>
      <c r="M22" s="18">
        <f>'get_proximal_value Validation'!M22</f>
        <v>0.125</v>
      </c>
      <c r="N22" s="18">
        <v>6.2152555300000002E-2</v>
      </c>
      <c r="O22" s="18">
        <v>0.18302933900000001</v>
      </c>
      <c r="P22" s="18">
        <v>0.2338209819</v>
      </c>
      <c r="Q22" s="18">
        <v>-2.0309694221000001</v>
      </c>
      <c r="R22" s="18">
        <v>0.125</v>
      </c>
      <c r="S22" s="18">
        <f t="shared" si="0"/>
        <v>1.7524753000000004E-3</v>
      </c>
      <c r="T22" s="18">
        <f t="shared" si="1"/>
        <v>3.0368490000000081E-3</v>
      </c>
      <c r="U22" s="18">
        <f t="shared" si="2"/>
        <v>0.2338209819</v>
      </c>
      <c r="V22" s="18">
        <f t="shared" si="3"/>
        <v>0.16953835790000005</v>
      </c>
      <c r="W22" s="13">
        <f t="shared" si="4"/>
        <v>0.16658533200661468</v>
      </c>
    </row>
    <row r="23" spans="1:23" x14ac:dyDescent="0.25">
      <c r="A23" s="1">
        <f>'get_proximal_value Validation'!A23</f>
        <v>0.17360724999999999</v>
      </c>
      <c r="B23" s="1">
        <f>'get_proximal_value Validation'!B23</f>
        <v>0.17599989999999999</v>
      </c>
      <c r="C23" s="1">
        <f>'get_proximal_value Validation'!C23</f>
        <v>0</v>
      </c>
      <c r="D23" s="1">
        <f>'get_proximal_value Validation'!D23</f>
        <v>-1.72739267</v>
      </c>
      <c r="E23" s="1">
        <f>'get_proximal_value Validation'!E23</f>
        <v>0.33001807999999999</v>
      </c>
      <c r="F23" s="1">
        <f>'get_proximal_value Validation'!F23</f>
        <v>0.53900000000000003</v>
      </c>
      <c r="G23" s="18">
        <f>'get_proximal_value Validation'!G23</f>
        <v>-1.2194762239232701E-3</v>
      </c>
      <c r="H23" s="18">
        <f>'get_proximal_value Validation'!H23</f>
        <v>-1.72514526639134E-3</v>
      </c>
      <c r="I23" s="18">
        <f>'get_proximal_value Validation'!I23</f>
        <v>-1.7789617180824301E-2</v>
      </c>
      <c r="J23" s="18">
        <f>'get_proximal_value Validation'!J23</f>
        <v>-0.53096002340316795</v>
      </c>
      <c r="K23" s="18">
        <f>'get_proximal_value Validation'!K23</f>
        <v>-0.15755756199359899</v>
      </c>
      <c r="L23" s="18">
        <f>'get_proximal_value Validation'!L23</f>
        <v>1.7692722380161299E-2</v>
      </c>
      <c r="M23" s="18">
        <f>'get_proximal_value Validation'!M23</f>
        <v>0.53900000000000003</v>
      </c>
      <c r="N23" s="18">
        <v>0.1540387838</v>
      </c>
      <c r="O23" s="18">
        <v>0.2</v>
      </c>
      <c r="P23" s="18">
        <v>8.8658265E-2</v>
      </c>
      <c r="Q23" s="18">
        <v>-1.8345180439</v>
      </c>
      <c r="R23" s="18">
        <v>0.53900000000000003</v>
      </c>
      <c r="S23" s="18">
        <f t="shared" si="0"/>
        <v>-1.9568466199999995E-2</v>
      </c>
      <c r="T23" s="18">
        <f t="shared" si="1"/>
        <v>2.4000100000000024E-2</v>
      </c>
      <c r="U23" s="18">
        <f t="shared" si="2"/>
        <v>8.8658265E-2</v>
      </c>
      <c r="V23" s="18">
        <f t="shared" si="3"/>
        <v>-0.10712537389999999</v>
      </c>
      <c r="W23" s="13">
        <f t="shared" si="4"/>
        <v>1.9699456128271885E-4</v>
      </c>
    </row>
    <row r="24" spans="1:23" x14ac:dyDescent="0.25">
      <c r="A24" s="1">
        <f>'get_proximal_value Validation'!A24</f>
        <v>0.10809269000000001</v>
      </c>
      <c r="B24" s="1">
        <f>'get_proximal_value Validation'!B24</f>
        <v>9.2321100000000003E-2</v>
      </c>
      <c r="C24" s="1">
        <f>'get_proximal_value Validation'!C24</f>
        <v>3.1415926500000002</v>
      </c>
      <c r="D24" s="1">
        <f>'get_proximal_value Validation'!D24</f>
        <v>2.1803239099999998</v>
      </c>
      <c r="E24" s="1">
        <f>'get_proximal_value Validation'!E24</f>
        <v>0.50234588999999996</v>
      </c>
      <c r="F24" s="1">
        <f>'get_proximal_value Validation'!F24</f>
        <v>0</v>
      </c>
      <c r="G24" s="18"/>
      <c r="H24" s="18"/>
      <c r="I24" s="18"/>
      <c r="J24" s="18"/>
      <c r="K24" s="18"/>
      <c r="L24" s="18"/>
      <c r="M24" s="18"/>
      <c r="N24" s="19"/>
      <c r="O24" s="19"/>
      <c r="P24" s="19"/>
      <c r="Q24" s="19"/>
      <c r="R24" s="19"/>
      <c r="S24" s="18"/>
      <c r="T24" s="18"/>
      <c r="U24" s="18"/>
      <c r="V24" s="18"/>
      <c r="W24" s="13"/>
    </row>
    <row r="25" spans="1:23" x14ac:dyDescent="0.25">
      <c r="A25" s="1">
        <f>'get_proximal_value Validation'!A25</f>
        <v>0.98561829999999995</v>
      </c>
      <c r="B25" s="1">
        <f>'get_proximal_value Validation'!B25</f>
        <v>0.17793179000000001</v>
      </c>
      <c r="C25" s="1">
        <f>'get_proximal_value Validation'!C25</f>
        <v>0</v>
      </c>
      <c r="D25" s="1">
        <f>'get_proximal_value Validation'!D25</f>
        <v>1.2977671099999999</v>
      </c>
      <c r="E25" s="1">
        <f>'get_proximal_value Validation'!E25</f>
        <v>0.66740032000000005</v>
      </c>
      <c r="F25" s="1">
        <f>'get_proximal_value Validation'!F25</f>
        <v>0</v>
      </c>
      <c r="G25" s="18"/>
      <c r="H25" s="18"/>
      <c r="I25" s="18"/>
      <c r="J25" s="18"/>
      <c r="K25" s="18"/>
      <c r="L25" s="18"/>
      <c r="M25" s="18"/>
      <c r="N25" s="19"/>
      <c r="O25" s="19"/>
      <c r="P25" s="19"/>
      <c r="Q25" s="19"/>
      <c r="R25" s="19"/>
      <c r="S25" s="18"/>
      <c r="T25" s="18"/>
      <c r="U25" s="18"/>
      <c r="V25" s="18"/>
      <c r="W25" s="13"/>
    </row>
    <row r="26" spans="1:23" x14ac:dyDescent="0.25">
      <c r="A26" s="1">
        <f>'get_proximal_value Validation'!A26</f>
        <v>0.26891644999999997</v>
      </c>
      <c r="B26" s="1">
        <f>'get_proximal_value Validation'!B26</f>
        <v>5.2511210000000003E-2</v>
      </c>
      <c r="C26" s="1">
        <f>'get_proximal_value Validation'!C26</f>
        <v>0</v>
      </c>
      <c r="D26" s="1">
        <f>'get_proximal_value Validation'!D26</f>
        <v>0.90552482999999995</v>
      </c>
      <c r="E26" s="1">
        <f>'get_proximal_value Validation'!E26</f>
        <v>3.6851370000000001E-2</v>
      </c>
      <c r="F26" s="1">
        <f>'get_proximal_value Validation'!F26</f>
        <v>0</v>
      </c>
      <c r="G26" s="18"/>
      <c r="H26" s="18"/>
      <c r="I26" s="18"/>
      <c r="J26" s="18"/>
      <c r="K26" s="18"/>
      <c r="L26" s="18"/>
      <c r="M26" s="18"/>
      <c r="N26" s="19"/>
      <c r="O26" s="19"/>
      <c r="P26" s="19"/>
      <c r="Q26" s="19"/>
      <c r="R26" s="19"/>
      <c r="S26" s="18"/>
      <c r="T26" s="18"/>
      <c r="U26" s="18"/>
      <c r="V26" s="18"/>
      <c r="W26" s="13"/>
    </row>
    <row r="27" spans="1:23" x14ac:dyDescent="0.25">
      <c r="A27" s="1">
        <f>'get_proximal_value Validation'!A27</f>
        <v>0.56002419000000003</v>
      </c>
      <c r="B27" s="1">
        <f>'get_proximal_value Validation'!B27</f>
        <v>0.18469824000000001</v>
      </c>
      <c r="C27" s="1">
        <f>'get_proximal_value Validation'!C27</f>
        <v>3.1415926500000002</v>
      </c>
      <c r="D27" s="1">
        <f>'get_proximal_value Validation'!D27</f>
        <v>2.1227517300000001</v>
      </c>
      <c r="E27" s="1">
        <f>'get_proximal_value Validation'!E27</f>
        <v>0.13839265000000001</v>
      </c>
      <c r="F27" s="1">
        <f>'get_proximal_value Validation'!F27</f>
        <v>0</v>
      </c>
      <c r="G27" s="18"/>
      <c r="H27" s="18"/>
      <c r="I27" s="18"/>
      <c r="J27" s="18"/>
      <c r="K27" s="18"/>
      <c r="L27" s="18"/>
      <c r="M27" s="18"/>
      <c r="N27" s="19"/>
      <c r="O27" s="19"/>
      <c r="P27" s="19"/>
      <c r="Q27" s="19"/>
      <c r="R27" s="19"/>
      <c r="S27" s="18"/>
      <c r="T27" s="18"/>
      <c r="U27" s="18"/>
      <c r="V27" s="18"/>
      <c r="W27" s="13"/>
    </row>
    <row r="28" spans="1:23" x14ac:dyDescent="0.25">
      <c r="A28" s="1">
        <f>'get_proximal_value Validation'!A28</f>
        <v>0.83422353999999999</v>
      </c>
      <c r="B28" s="1">
        <f>'get_proximal_value Validation'!B28</f>
        <v>0.17161941999999999</v>
      </c>
      <c r="C28" s="1">
        <f>'get_proximal_value Validation'!C28</f>
        <v>3.1415926500000002</v>
      </c>
      <c r="D28" s="1">
        <f>'get_proximal_value Validation'!D28</f>
        <v>0.79461192000000003</v>
      </c>
      <c r="E28" s="1">
        <f>'get_proximal_value Validation'!E28</f>
        <v>0.62881962000000002</v>
      </c>
      <c r="F28" s="1">
        <f>'get_proximal_value Validation'!F28</f>
        <v>0</v>
      </c>
      <c r="G28" s="18"/>
      <c r="H28" s="18"/>
      <c r="I28" s="18"/>
      <c r="J28" s="18"/>
      <c r="K28" s="18"/>
      <c r="L28" s="18"/>
      <c r="M28" s="18"/>
      <c r="N28" s="19"/>
      <c r="O28" s="19"/>
      <c r="P28" s="19"/>
      <c r="Q28" s="19"/>
      <c r="R28" s="19"/>
      <c r="S28" s="18"/>
      <c r="T28" s="18"/>
      <c r="U28" s="18"/>
      <c r="V28" s="18"/>
      <c r="W28" s="13"/>
    </row>
    <row r="29" spans="1:23" x14ac:dyDescent="0.25">
      <c r="A29" s="1">
        <f>'get_proximal_value Validation'!A29</f>
        <v>0.55995868999999998</v>
      </c>
      <c r="B29" s="1">
        <f>'get_proximal_value Validation'!B29</f>
        <v>5.1605539999999998E-2</v>
      </c>
      <c r="C29" s="1">
        <f>'get_proximal_value Validation'!C29</f>
        <v>0</v>
      </c>
      <c r="D29" s="1">
        <f>'get_proximal_value Validation'!D29</f>
        <v>2.1179067499999999</v>
      </c>
      <c r="E29" s="1">
        <f>'get_proximal_value Validation'!E29</f>
        <v>1.202191E-2</v>
      </c>
      <c r="F29" s="1">
        <f>'get_proximal_value Validation'!F29</f>
        <v>0</v>
      </c>
      <c r="G29" s="18"/>
      <c r="H29" s="18"/>
      <c r="I29" s="18"/>
      <c r="J29" s="18"/>
      <c r="K29" s="18"/>
      <c r="L29" s="18"/>
      <c r="M29" s="18"/>
      <c r="N29" s="19"/>
      <c r="O29" s="19"/>
      <c r="P29" s="19"/>
      <c r="Q29" s="19"/>
      <c r="R29" s="19"/>
      <c r="S29" s="18"/>
      <c r="T29" s="18"/>
      <c r="U29" s="18"/>
      <c r="V29" s="18"/>
      <c r="W29" s="13"/>
    </row>
    <row r="30" spans="1:23" x14ac:dyDescent="0.25">
      <c r="A30" s="1">
        <f>'get_proximal_value Validation'!A30</f>
        <v>0.44980113999999999</v>
      </c>
      <c r="B30" s="1">
        <f>'get_proximal_value Validation'!B30</f>
        <v>0.10200598</v>
      </c>
      <c r="C30" s="1">
        <f>'get_proximal_value Validation'!C30</f>
        <v>3.1415926500000002</v>
      </c>
      <c r="D30" s="1">
        <f>'get_proximal_value Validation'!D30</f>
        <v>1.7680319799999999</v>
      </c>
      <c r="E30" s="1">
        <f>'get_proximal_value Validation'!E30</f>
        <v>9.9881399999999995E-3</v>
      </c>
      <c r="F30" s="1">
        <f>'get_proximal_value Validation'!F30</f>
        <v>0</v>
      </c>
      <c r="G30" s="18"/>
      <c r="H30" s="18"/>
      <c r="I30" s="18"/>
      <c r="J30" s="18"/>
      <c r="K30" s="18"/>
      <c r="L30" s="18"/>
      <c r="M30" s="18"/>
      <c r="N30" s="19"/>
      <c r="O30" s="19"/>
      <c r="P30" s="19"/>
      <c r="Q30" s="19"/>
      <c r="R30" s="19"/>
      <c r="S30" s="18"/>
      <c r="T30" s="18"/>
      <c r="U30" s="18"/>
      <c r="V30" s="18"/>
      <c r="W30" s="13"/>
    </row>
    <row r="31" spans="1:23" x14ac:dyDescent="0.25">
      <c r="A31" s="1">
        <f>'get_proximal_value Validation'!A31</f>
        <v>0.32506987999999998</v>
      </c>
      <c r="B31" s="1">
        <f>'get_proximal_value Validation'!B31</f>
        <v>7.8239820000000002E-2</v>
      </c>
      <c r="C31" s="1">
        <f>'get_proximal_value Validation'!C31</f>
        <v>0</v>
      </c>
      <c r="D31" s="1">
        <f>'get_proximal_value Validation'!D31</f>
        <v>0.84911296000000003</v>
      </c>
      <c r="E31" s="1">
        <f>'get_proximal_value Validation'!E31</f>
        <v>0.13584010999999999</v>
      </c>
      <c r="F31" s="1">
        <f>'get_proximal_value Validation'!F31</f>
        <v>0</v>
      </c>
      <c r="G31" s="18"/>
      <c r="H31" s="18"/>
      <c r="I31" s="18"/>
      <c r="J31" s="18"/>
      <c r="K31" s="18"/>
      <c r="L31" s="18"/>
      <c r="M31" s="18"/>
      <c r="N31" s="19"/>
      <c r="O31" s="19"/>
      <c r="P31" s="19"/>
      <c r="Q31" s="19"/>
      <c r="R31" s="19"/>
      <c r="S31" s="18"/>
      <c r="T31" s="18"/>
      <c r="U31" s="18"/>
      <c r="V31" s="18"/>
      <c r="W31" s="13"/>
    </row>
    <row r="32" spans="1:23" x14ac:dyDescent="0.25">
      <c r="A32" s="1">
        <f>'get_proximal_value Validation'!A32</f>
        <v>0.83641871999999995</v>
      </c>
      <c r="B32" s="1">
        <f>'get_proximal_value Validation'!B32</f>
        <v>0.17572318000000001</v>
      </c>
      <c r="C32" s="1">
        <f>'get_proximal_value Validation'!C32</f>
        <v>0</v>
      </c>
      <c r="D32" s="1">
        <f>'get_proximal_value Validation'!D32</f>
        <v>1.8360540400000001</v>
      </c>
      <c r="E32" s="1">
        <f>'get_proximal_value Validation'!E32</f>
        <v>0.14203721</v>
      </c>
      <c r="F32" s="1">
        <f>'get_proximal_value Validation'!F32</f>
        <v>0</v>
      </c>
      <c r="G32" s="18"/>
      <c r="H32" s="18"/>
      <c r="I32" s="18"/>
      <c r="J32" s="18"/>
      <c r="K32" s="18"/>
      <c r="L32" s="18"/>
      <c r="M32" s="18"/>
      <c r="N32" s="19"/>
      <c r="O32" s="19"/>
      <c r="P32" s="19"/>
      <c r="Q32" s="19"/>
      <c r="R32" s="19"/>
      <c r="S32" s="18"/>
      <c r="T32" s="18"/>
      <c r="U32" s="18"/>
      <c r="V32" s="18"/>
      <c r="W32" s="13"/>
    </row>
    <row r="33" spans="1:23" x14ac:dyDescent="0.25">
      <c r="A33" s="1">
        <f>'get_proximal_value Validation'!A33</f>
        <v>0.92651930000000005</v>
      </c>
      <c r="B33" s="1">
        <f>'get_proximal_value Validation'!B33</f>
        <v>0.17963873999999999</v>
      </c>
      <c r="C33" s="1">
        <f>'get_proximal_value Validation'!C33</f>
        <v>0</v>
      </c>
      <c r="D33" s="1">
        <f>'get_proximal_value Validation'!D33</f>
        <v>1.54728405</v>
      </c>
      <c r="E33" s="1">
        <f>'get_proximal_value Validation'!E33</f>
        <v>0.36612027000000003</v>
      </c>
      <c r="F33" s="1">
        <f>'get_proximal_value Validation'!F33</f>
        <v>0</v>
      </c>
      <c r="G33" s="18"/>
      <c r="H33" s="18"/>
      <c r="I33" s="18"/>
      <c r="J33" s="18"/>
      <c r="K33" s="18"/>
      <c r="L33" s="18"/>
      <c r="M33" s="18"/>
      <c r="N33" s="19"/>
      <c r="O33" s="19"/>
      <c r="P33" s="19"/>
      <c r="Q33" s="19"/>
      <c r="R33" s="19"/>
      <c r="S33" s="18"/>
      <c r="T33" s="18"/>
      <c r="U33" s="18"/>
      <c r="V33" s="18"/>
      <c r="W33" s="13"/>
    </row>
    <row r="34" spans="1:23" x14ac:dyDescent="0.25">
      <c r="A34" s="1">
        <f>'get_proximal_value Validation'!A34</f>
        <v>0</v>
      </c>
      <c r="B34" s="1">
        <f>'get_proximal_value Validation'!B34</f>
        <v>0</v>
      </c>
      <c r="C34" s="1">
        <f>'get_proximal_value Validation'!C34</f>
        <v>0</v>
      </c>
      <c r="D34" s="1">
        <f>'get_proximal_value Validation'!D34</f>
        <v>0</v>
      </c>
      <c r="E34" s="1">
        <f>'get_proximal_value Validation'!E34</f>
        <v>0</v>
      </c>
      <c r="F34" s="1">
        <f>'get_proximal_value Validation'!F34</f>
        <v>0</v>
      </c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3"/>
    </row>
    <row r="35" spans="1:23" x14ac:dyDescent="0.25">
      <c r="A35" s="1">
        <f>'get_proximal_value Validation'!A35</f>
        <v>0</v>
      </c>
      <c r="B35" s="1">
        <f>'get_proximal_value Validation'!B35</f>
        <v>0</v>
      </c>
      <c r="C35" s="1">
        <f>'get_proximal_value Validation'!C35</f>
        <v>0</v>
      </c>
      <c r="D35" s="1">
        <f>'get_proximal_value Validation'!D35</f>
        <v>0</v>
      </c>
      <c r="E35" s="1">
        <f>'get_proximal_value Validation'!E35</f>
        <v>0</v>
      </c>
      <c r="F35" s="1">
        <f>'get_proximal_value Validation'!F35</f>
        <v>0</v>
      </c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3"/>
    </row>
    <row r="36" spans="1:23" x14ac:dyDescent="0.25">
      <c r="A36" s="1">
        <f>'get_proximal_value Validation'!A36</f>
        <v>0</v>
      </c>
      <c r="B36" s="1">
        <f>'get_proximal_value Validation'!B36</f>
        <v>0</v>
      </c>
      <c r="C36" s="1">
        <f>'get_proximal_value Validation'!C36</f>
        <v>0</v>
      </c>
      <c r="D36" s="1">
        <f>'get_proximal_value Validation'!D36</f>
        <v>0</v>
      </c>
      <c r="E36" s="1">
        <f>'get_proximal_value Validation'!E36</f>
        <v>0</v>
      </c>
      <c r="F36" s="1">
        <f>'get_proximal_value Validation'!F36</f>
        <v>0</v>
      </c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3"/>
    </row>
    <row r="37" spans="1:23" x14ac:dyDescent="0.25">
      <c r="A37" s="1">
        <f>'get_proximal_value Validation'!A37</f>
        <v>0</v>
      </c>
      <c r="B37" s="1">
        <f>'get_proximal_value Validation'!B37</f>
        <v>0</v>
      </c>
      <c r="C37" s="1">
        <f>'get_proximal_value Validation'!C37</f>
        <v>0</v>
      </c>
      <c r="D37" s="1">
        <f>'get_proximal_value Validation'!D37</f>
        <v>0</v>
      </c>
      <c r="E37" s="1">
        <f>'get_proximal_value Validation'!E37</f>
        <v>0</v>
      </c>
      <c r="F37" s="1">
        <f>'get_proximal_value Validation'!F37</f>
        <v>0</v>
      </c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3"/>
    </row>
    <row r="38" spans="1:23" x14ac:dyDescent="0.25">
      <c r="A38" s="1">
        <f>'get_proximal_value Validation'!A38</f>
        <v>0</v>
      </c>
      <c r="B38" s="1">
        <f>'get_proximal_value Validation'!B38</f>
        <v>0</v>
      </c>
      <c r="C38" s="1">
        <f>'get_proximal_value Validation'!C38</f>
        <v>0</v>
      </c>
      <c r="D38" s="1">
        <f>'get_proximal_value Validation'!D38</f>
        <v>0</v>
      </c>
      <c r="E38" s="1">
        <f>'get_proximal_value Validation'!E38</f>
        <v>0</v>
      </c>
      <c r="F38" s="1">
        <f>'get_proximal_value Validation'!F38</f>
        <v>0</v>
      </c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3"/>
    </row>
    <row r="39" spans="1:23" x14ac:dyDescent="0.25">
      <c r="A39" s="1">
        <f>'get_proximal_value Validation'!A39</f>
        <v>0</v>
      </c>
      <c r="B39" s="1">
        <f>'get_proximal_value Validation'!B39</f>
        <v>0</v>
      </c>
      <c r="C39" s="1">
        <f>'get_proximal_value Validation'!C39</f>
        <v>0</v>
      </c>
      <c r="D39" s="1">
        <f>'get_proximal_value Validation'!D39</f>
        <v>0</v>
      </c>
      <c r="E39" s="1">
        <f>'get_proximal_value Validation'!E39</f>
        <v>0</v>
      </c>
      <c r="F39" s="1">
        <f>'get_proximal_value Validation'!F39</f>
        <v>0</v>
      </c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3"/>
    </row>
    <row r="40" spans="1:23" x14ac:dyDescent="0.25">
      <c r="A40" s="1">
        <f>'get_proximal_value Validation'!A40</f>
        <v>0</v>
      </c>
      <c r="B40" s="1">
        <f>'get_proximal_value Validation'!B40</f>
        <v>0</v>
      </c>
      <c r="C40" s="1">
        <f>'get_proximal_value Validation'!C40</f>
        <v>0</v>
      </c>
      <c r="D40" s="1">
        <f>'get_proximal_value Validation'!D40</f>
        <v>0</v>
      </c>
      <c r="E40" s="1">
        <f>'get_proximal_value Validation'!E40</f>
        <v>0</v>
      </c>
      <c r="F40" s="1">
        <f>'get_proximal_value Validation'!F40</f>
        <v>0</v>
      </c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3"/>
    </row>
    <row r="41" spans="1:23" x14ac:dyDescent="0.25">
      <c r="A41" s="1"/>
      <c r="B41" s="1"/>
      <c r="C41" s="1"/>
      <c r="D41" s="1"/>
      <c r="E41" s="1"/>
      <c r="F41" s="1"/>
      <c r="G41" s="18"/>
      <c r="H41" s="18"/>
      <c r="I41" s="18"/>
      <c r="J41" s="18"/>
      <c r="K41" s="18"/>
      <c r="L41" s="18"/>
      <c r="M41" s="18"/>
      <c r="N41" s="19"/>
      <c r="O41" s="19"/>
      <c r="P41" s="19"/>
      <c r="Q41" s="19"/>
      <c r="R41" s="19"/>
      <c r="S41" s="19"/>
      <c r="T41" s="19"/>
      <c r="U41" s="19"/>
      <c r="V41" s="19"/>
    </row>
    <row r="42" spans="1:23" x14ac:dyDescent="0.25">
      <c r="A42" s="1"/>
      <c r="B42" s="1"/>
      <c r="C42" s="1"/>
      <c r="D42" s="1"/>
      <c r="E42" s="1"/>
      <c r="F42" s="1"/>
      <c r="G42" s="18"/>
      <c r="H42" s="18"/>
      <c r="I42" s="18"/>
      <c r="J42" s="18"/>
      <c r="K42" s="18"/>
      <c r="L42" s="18"/>
      <c r="M42" s="18"/>
      <c r="N42" s="19"/>
      <c r="O42" s="19"/>
      <c r="P42" s="19"/>
      <c r="Q42" s="19"/>
      <c r="R42" s="19"/>
      <c r="S42" s="19"/>
      <c r="T42" s="19"/>
      <c r="U42" s="19"/>
      <c r="V42" s="19"/>
    </row>
    <row r="43" spans="1:23" x14ac:dyDescent="0.25">
      <c r="A43" s="19"/>
      <c r="B43" s="19"/>
      <c r="C43" s="19"/>
      <c r="D43" s="19"/>
      <c r="E43" s="19"/>
      <c r="F43" s="19"/>
      <c r="G43" s="18"/>
      <c r="H43" s="18"/>
      <c r="I43" s="18"/>
      <c r="J43" s="18"/>
      <c r="K43" s="18"/>
      <c r="L43" s="18"/>
      <c r="M43" s="18"/>
      <c r="N43" s="19"/>
      <c r="O43" s="19"/>
      <c r="P43" s="19"/>
      <c r="Q43" s="19"/>
      <c r="R43" s="19"/>
      <c r="S43" s="19"/>
      <c r="T43" s="19"/>
      <c r="U43" s="19"/>
      <c r="V43" s="19"/>
    </row>
    <row r="44" spans="1:23" x14ac:dyDescent="0.25">
      <c r="A44" s="19"/>
      <c r="B44" s="19"/>
      <c r="C44" s="19"/>
      <c r="D44" s="19"/>
      <c r="E44" s="19"/>
      <c r="F44" s="19"/>
      <c r="G44" s="18"/>
      <c r="H44" s="18"/>
      <c r="I44" s="18"/>
      <c r="J44" s="18"/>
      <c r="K44" s="18"/>
      <c r="L44" s="18"/>
      <c r="M44" s="18"/>
      <c r="N44" s="19"/>
      <c r="O44" s="19"/>
      <c r="P44" s="19"/>
      <c r="Q44" s="19"/>
      <c r="R44" s="19"/>
      <c r="S44" s="19"/>
      <c r="T44" s="19"/>
      <c r="U44" s="19"/>
      <c r="V44" s="19"/>
    </row>
    <row r="45" spans="1:23" x14ac:dyDescent="0.25">
      <c r="A45" s="19"/>
      <c r="B45" s="19"/>
      <c r="C45" s="19"/>
      <c r="D45" s="19"/>
      <c r="E45" s="19"/>
      <c r="F45" s="19"/>
      <c r="G45" s="18"/>
      <c r="H45" s="18"/>
      <c r="I45" s="18"/>
      <c r="J45" s="18"/>
      <c r="K45" s="18"/>
      <c r="L45" s="18"/>
      <c r="M45" s="18"/>
      <c r="N45" s="19"/>
      <c r="O45" s="19"/>
      <c r="P45" s="19"/>
      <c r="Q45" s="19"/>
      <c r="R45" s="19"/>
      <c r="S45" s="19"/>
      <c r="T45" s="19"/>
      <c r="U45" s="19"/>
      <c r="V45" s="19"/>
    </row>
    <row r="46" spans="1:23" x14ac:dyDescent="0.25">
      <c r="A46" s="19"/>
      <c r="B46" s="19"/>
      <c r="C46" s="19"/>
      <c r="D46" s="19"/>
      <c r="E46" s="19"/>
      <c r="F46" s="19"/>
      <c r="G46" s="18"/>
      <c r="H46" s="18"/>
      <c r="I46" s="18"/>
      <c r="J46" s="18"/>
      <c r="K46" s="18"/>
      <c r="L46" s="18"/>
      <c r="M46" s="18"/>
      <c r="N46" s="19"/>
      <c r="O46" s="19"/>
      <c r="P46" s="19"/>
      <c r="Q46" s="19"/>
      <c r="R46" s="19"/>
      <c r="S46" s="19"/>
      <c r="T46" s="19"/>
      <c r="U46" s="19"/>
      <c r="V46" s="19"/>
    </row>
    <row r="47" spans="1:23" x14ac:dyDescent="0.25">
      <c r="A47" s="19">
        <f>'get_proximal_value Validation'!A47</f>
        <v>0</v>
      </c>
      <c r="B47" s="19">
        <f>'get_proximal_value Validation'!B47</f>
        <v>0</v>
      </c>
      <c r="C47" s="19">
        <f>'get_proximal_value Validation'!C47</f>
        <v>0</v>
      </c>
      <c r="D47" s="19">
        <f>'get_proximal_value Validation'!D47</f>
        <v>0</v>
      </c>
      <c r="E47" s="19"/>
      <c r="F47" s="19">
        <f>'get_proximal_value Validation'!F47</f>
        <v>0</v>
      </c>
      <c r="G47" s="19">
        <v>0</v>
      </c>
      <c r="H47" s="19">
        <v>0</v>
      </c>
      <c r="I47" s="19">
        <v>0</v>
      </c>
      <c r="J47" s="19">
        <v>0</v>
      </c>
      <c r="K47" s="19">
        <v>0</v>
      </c>
      <c r="L47" s="19">
        <v>0</v>
      </c>
      <c r="M47" s="19"/>
      <c r="N47" s="19"/>
      <c r="O47" s="19"/>
      <c r="P47" s="19"/>
      <c r="Q47" s="19"/>
      <c r="R47" s="19"/>
      <c r="S47" s="19"/>
      <c r="T47" s="19"/>
      <c r="U47" s="19"/>
      <c r="V47" s="19"/>
    </row>
    <row r="48" spans="1:23" x14ac:dyDescent="0.25">
      <c r="A48" s="19">
        <f>'get_proximal_value Validation'!A48</f>
        <v>0</v>
      </c>
      <c r="B48" s="19">
        <f>'get_proximal_value Validation'!B48</f>
        <v>0</v>
      </c>
      <c r="C48" s="19">
        <f>'get_proximal_value Validation'!C48</f>
        <v>0</v>
      </c>
      <c r="D48" s="19">
        <f>'get_proximal_value Validation'!D48</f>
        <v>0</v>
      </c>
      <c r="E48" s="19"/>
      <c r="F48" s="19">
        <f>'get_proximal_value Validation'!F48</f>
        <v>0</v>
      </c>
      <c r="G48" s="19">
        <v>0</v>
      </c>
      <c r="H48" s="19">
        <v>0</v>
      </c>
      <c r="I48" s="19">
        <v>0</v>
      </c>
      <c r="J48" s="19">
        <v>0</v>
      </c>
      <c r="K48" s="19">
        <v>0</v>
      </c>
      <c r="L48" s="19">
        <v>0</v>
      </c>
      <c r="M48" s="19"/>
      <c r="N48" s="19"/>
      <c r="O48" s="19"/>
      <c r="P48" s="19"/>
      <c r="Q48" s="19"/>
      <c r="R48" s="19"/>
      <c r="S48" s="19"/>
      <c r="T48" s="19"/>
      <c r="U48" s="19"/>
      <c r="V48" s="19"/>
    </row>
    <row r="49" spans="1:22" x14ac:dyDescent="0.25">
      <c r="A49" s="19">
        <f>'get_proximal_value Validation'!A49</f>
        <v>0</v>
      </c>
      <c r="B49" s="19">
        <f>'get_proximal_value Validation'!B49</f>
        <v>0</v>
      </c>
      <c r="C49" s="19">
        <f>'get_proximal_value Validation'!C49</f>
        <v>0</v>
      </c>
      <c r="D49" s="19">
        <f>'get_proximal_value Validation'!D49</f>
        <v>0</v>
      </c>
      <c r="E49" s="19"/>
      <c r="F49" s="19">
        <f>'get_proximal_value Validation'!F49</f>
        <v>0</v>
      </c>
      <c r="G49" s="20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21"/>
      <c r="N49" s="22"/>
      <c r="O49" s="19"/>
      <c r="P49" s="19"/>
      <c r="Q49" s="19"/>
      <c r="R49" s="19"/>
      <c r="S49" s="37" t="s">
        <v>22</v>
      </c>
      <c r="T49" s="37"/>
      <c r="U49" s="37"/>
      <c r="V49" s="37"/>
    </row>
    <row r="50" spans="1:22" x14ac:dyDescent="0.25">
      <c r="A50" s="19">
        <f>'get_proximal_value Validation'!A50</f>
        <v>0</v>
      </c>
      <c r="B50" s="19">
        <f>'get_proximal_value Validation'!B50</f>
        <v>0</v>
      </c>
      <c r="C50" s="19">
        <f>'get_proximal_value Validation'!C50</f>
        <v>0</v>
      </c>
      <c r="D50" s="19">
        <f>'get_proximal_value Validation'!D50</f>
        <v>0</v>
      </c>
      <c r="E50" s="19"/>
      <c r="F50" s="19">
        <f>'get_proximal_value Validation'!F50</f>
        <v>0</v>
      </c>
      <c r="G50" s="20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21"/>
      <c r="N50" s="22"/>
      <c r="O50" s="19"/>
      <c r="P50" s="19"/>
      <c r="Q50" s="19"/>
      <c r="R50" s="19"/>
      <c r="S50" s="19">
        <f>AVERAGE(S4:S48)</f>
        <v>-9.6472597149999985E-3</v>
      </c>
      <c r="T50" s="19">
        <f t="shared" ref="T50:V50" si="5">AVERAGE(T4:T48)</f>
        <v>7.5463757750000044E-3</v>
      </c>
      <c r="U50" s="19">
        <f t="shared" si="5"/>
        <v>6.5529937990000009E-2</v>
      </c>
      <c r="V50" s="19">
        <f t="shared" si="5"/>
        <v>-6.0887704434999967E-2</v>
      </c>
    </row>
    <row r="51" spans="1:22" x14ac:dyDescent="0.25">
      <c r="A51" s="19">
        <f>'get_proximal_value Validation'!A51</f>
        <v>0</v>
      </c>
      <c r="B51" s="19">
        <f>'get_proximal_value Validation'!B51</f>
        <v>0</v>
      </c>
      <c r="C51" s="19">
        <f>'get_proximal_value Validation'!C51</f>
        <v>0</v>
      </c>
      <c r="D51" s="19">
        <f>'get_proximal_value Validation'!D51</f>
        <v>0</v>
      </c>
      <c r="E51" s="19"/>
      <c r="F51" s="19">
        <f>'get_proximal_value Validation'!F51</f>
        <v>0</v>
      </c>
      <c r="G51" s="20">
        <v>0</v>
      </c>
      <c r="H51" s="19">
        <v>0</v>
      </c>
      <c r="I51" s="19">
        <v>0</v>
      </c>
      <c r="J51" s="19">
        <v>0</v>
      </c>
      <c r="K51" s="19">
        <v>0</v>
      </c>
      <c r="L51" s="19">
        <v>0</v>
      </c>
      <c r="M51" s="21"/>
      <c r="N51" s="22"/>
      <c r="O51" s="19"/>
      <c r="P51" s="19"/>
      <c r="Q51" s="19"/>
      <c r="R51" s="19"/>
      <c r="S51" s="37" t="s">
        <v>23</v>
      </c>
      <c r="T51" s="37"/>
      <c r="U51" s="37"/>
      <c r="V51" s="37"/>
    </row>
    <row r="52" spans="1:22" ht="16.5" thickBot="1" x14ac:dyDescent="0.3">
      <c r="A52" s="19">
        <f>'get_proximal_value Validation'!A52</f>
        <v>0</v>
      </c>
      <c r="B52" s="19">
        <f>'get_proximal_value Validation'!B52</f>
        <v>0</v>
      </c>
      <c r="C52" s="19">
        <f>'get_proximal_value Validation'!C52</f>
        <v>0</v>
      </c>
      <c r="D52" s="19">
        <f>'get_proximal_value Validation'!D52</f>
        <v>0</v>
      </c>
      <c r="E52" s="19"/>
      <c r="F52" s="19">
        <f>'get_proximal_value Validation'!F52</f>
        <v>0</v>
      </c>
      <c r="G52" s="23">
        <v>0</v>
      </c>
      <c r="H52" s="24">
        <v>0</v>
      </c>
      <c r="I52" s="24">
        <v>0</v>
      </c>
      <c r="J52" s="24">
        <v>0</v>
      </c>
      <c r="K52" s="24">
        <v>0</v>
      </c>
      <c r="L52" s="24">
        <v>0</v>
      </c>
      <c r="M52" s="25"/>
      <c r="N52" s="26"/>
      <c r="O52" s="24"/>
      <c r="P52" s="24"/>
      <c r="Q52" s="24"/>
      <c r="R52" s="19"/>
      <c r="S52" s="19">
        <f>_xlfn.STDEV.S(S4:S48)</f>
        <v>6.0123298368721219E-2</v>
      </c>
      <c r="T52" s="19">
        <f t="shared" ref="T52:V52" si="6">_xlfn.STDEV.S(T4:T48)</f>
        <v>8.1254760996205665E-3</v>
      </c>
      <c r="U52" s="19">
        <f t="shared" si="6"/>
        <v>5.1543813020579879E-2</v>
      </c>
      <c r="V52" s="19">
        <f t="shared" si="6"/>
        <v>0.21212942173553898</v>
      </c>
    </row>
    <row r="53" spans="1:22" x14ac:dyDescent="0.25">
      <c r="S53" s="37" t="s">
        <v>33</v>
      </c>
      <c r="T53" s="37"/>
      <c r="U53" s="37"/>
      <c r="V53" s="37"/>
    </row>
    <row r="54" spans="1:22" x14ac:dyDescent="0.25">
      <c r="S54" s="3" cm="1">
        <f t="array" ref="S54">AVERAGE(ABS(S4:S23))</f>
        <v>3.532043885499999E-2</v>
      </c>
      <c r="T54" s="3" cm="1">
        <f t="array" ref="T54">AVERAGE(ABS(T4:T23))</f>
        <v>8.6512730250000031E-3</v>
      </c>
      <c r="U54" s="3" cm="1">
        <f t="array" ref="U54">AVERAGE(ABS(U4:U23))</f>
        <v>6.7006375960000003E-2</v>
      </c>
      <c r="V54" s="3" cm="1">
        <f t="array" ref="V54">AVERAGE(ABS(V4:V23))</f>
        <v>0.13233102132500005</v>
      </c>
    </row>
  </sheetData>
  <mergeCells count="10">
    <mergeCell ref="Z2:AE2"/>
    <mergeCell ref="A2:F2"/>
    <mergeCell ref="A1:V1"/>
    <mergeCell ref="W2:W3"/>
    <mergeCell ref="S53:V53"/>
    <mergeCell ref="S49:V49"/>
    <mergeCell ref="S51:V51"/>
    <mergeCell ref="G2:M2"/>
    <mergeCell ref="N2:R2"/>
    <mergeCell ref="S2:V2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2580AD17ADB64691A1BA4C2E042DA4" ma:contentTypeVersion="18" ma:contentTypeDescription="Create a new document." ma:contentTypeScope="" ma:versionID="6532fc6a52f3455fe895a4f720bca71c">
  <xsd:schema xmlns:xsd="http://www.w3.org/2001/XMLSchema" xmlns:xs="http://www.w3.org/2001/XMLSchema" xmlns:p="http://schemas.microsoft.com/office/2006/metadata/properties" xmlns:ns3="c2b20bf0-79f3-4559-a8ab-bcb74dcd8cd8" xmlns:ns4="08a9f8ec-165a-4165-a8e9-ed45c2de7bcb" targetNamespace="http://schemas.microsoft.com/office/2006/metadata/properties" ma:root="true" ma:fieldsID="d9a2f75daf18a7097de825f86ff3fec6" ns3:_="" ns4:_="">
    <xsd:import namespace="c2b20bf0-79f3-4559-a8ab-bcb74dcd8cd8"/>
    <xsd:import namespace="08a9f8ec-165a-4165-a8e9-ed45c2de7bc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b20bf0-79f3-4559-a8ab-bcb74dcd8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5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a9f8ec-165a-4165-a8e9-ed45c2de7bc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2b20bf0-79f3-4559-a8ab-bcb74dcd8cd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923CC5-95C4-4597-AADE-A0DCE38786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b20bf0-79f3-4559-a8ab-bcb74dcd8cd8"/>
    <ds:schemaRef ds:uri="08a9f8ec-165a-4165-a8e9-ed45c2de7b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E208467-E14A-4CB9-9FC8-72DFB8E94FF2}">
  <ds:schemaRefs>
    <ds:schemaRef ds:uri="http://purl.org/dc/dcmitype/"/>
    <ds:schemaRef ds:uri="http://schemas.microsoft.com/office/2006/metadata/properties"/>
    <ds:schemaRef ds:uri="http://purl.org/dc/elements/1.1/"/>
    <ds:schemaRef ds:uri="c2b20bf0-79f3-4559-a8ab-bcb74dcd8cd8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infopath/2007/PartnerControls"/>
    <ds:schemaRef ds:uri="08a9f8ec-165a-4165-a8e9-ed45c2de7bcb"/>
  </ds:schemaRefs>
</ds:datastoreItem>
</file>

<file path=customXml/itemProps3.xml><?xml version="1.0" encoding="utf-8"?>
<ds:datastoreItem xmlns:ds="http://schemas.openxmlformats.org/officeDocument/2006/customXml" ds:itemID="{2D595912-0053-4104-933F-CDA3B3DBC54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get_proximal_value Validation</vt:lpstr>
      <vt:lpstr>get_distal_value 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Jones</dc:creator>
  <cp:lastModifiedBy>Noah Jones</cp:lastModifiedBy>
  <dcterms:created xsi:type="dcterms:W3CDTF">2025-08-20T18:12:27Z</dcterms:created>
  <dcterms:modified xsi:type="dcterms:W3CDTF">2025-09-15T18:50:05Z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0x010100E12580AD17ADB64691A1BA4C2E042DA4</vt:lpwstr>
  </property>
</Properties>
</file>