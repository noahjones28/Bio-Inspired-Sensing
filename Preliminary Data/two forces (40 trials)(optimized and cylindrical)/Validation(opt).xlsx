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radii_opt)(20_segments)(3tendon)/10-01-2025/"/>
    </mc:Choice>
  </mc:AlternateContent>
  <xr:revisionPtr revIDLastSave="2329" documentId="8_{DFFD6B0C-681F-42C8-B2E4-5D4B90AAE966}" xr6:coauthVersionLast="47" xr6:coauthVersionMax="47" xr10:uidLastSave="{C033BF1B-7E49-432A-9F8C-40E32CB5DE0F}"/>
  <bookViews>
    <workbookView xWindow="-120" yWindow="-120" windowWidth="29040" windowHeight="15720" firstSheet="1" activeTab="3" xr2:uid="{3D16C37F-3C74-4527-A308-796C339DFE9F}"/>
  </bookViews>
  <sheets>
    <sheet name="Proximal Validation (double)" sheetId="12" r:id="rId1"/>
    <sheet name="Distal Vali (double, simulated)" sheetId="21" r:id="rId2"/>
    <sheet name="Distal Vali (double, tight)" sheetId="17" r:id="rId3"/>
    <sheet name="Distal Vali (double, loose)" sheetId="19" r:id="rId4"/>
    <sheet name="Conversion" sheetId="4" r:id="rId5"/>
  </sheets>
  <definedNames>
    <definedName name="_xlnm._FilterDatabase" localSheetId="1" hidden="1">'Distal Vali (double, simulated)'!$A$1:$AU$42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3" i="19" l="1"/>
  <c r="AN11" i="19"/>
  <c r="AN13" i="21"/>
  <c r="AP13" i="21"/>
  <c r="AO13" i="21"/>
  <c r="AP13" i="19"/>
  <c r="AO13" i="19"/>
  <c r="AL4" i="21"/>
  <c r="AL5" i="21"/>
  <c r="AL17" i="21"/>
  <c r="AL25" i="21"/>
  <c r="AL26" i="21"/>
  <c r="AL27" i="21"/>
  <c r="AL28" i="21"/>
  <c r="AL29" i="21"/>
  <c r="AL35" i="21"/>
  <c r="AL36" i="21"/>
  <c r="AL37" i="21"/>
  <c r="AL38" i="21"/>
  <c r="AL39" i="21"/>
  <c r="AL41" i="21"/>
  <c r="AG13" i="12"/>
  <c r="K42" i="21"/>
  <c r="J42" i="21"/>
  <c r="I42" i="21"/>
  <c r="H42" i="21"/>
  <c r="AH42" i="21" s="1"/>
  <c r="G42" i="21"/>
  <c r="AG42" i="21" s="1"/>
  <c r="F42" i="21"/>
  <c r="AF42" i="21" s="1"/>
  <c r="E42" i="21"/>
  <c r="AE42" i="21" s="1"/>
  <c r="D42" i="21"/>
  <c r="AD42" i="21" s="1"/>
  <c r="C42" i="21"/>
  <c r="AC42" i="21" s="1"/>
  <c r="B42" i="21"/>
  <c r="AB42" i="21" s="1"/>
  <c r="A42" i="21"/>
  <c r="AA42" i="21" s="1"/>
  <c r="K41" i="21"/>
  <c r="J41" i="21"/>
  <c r="I41" i="21"/>
  <c r="H41" i="21"/>
  <c r="AH41" i="21" s="1"/>
  <c r="G41" i="21"/>
  <c r="AG41" i="21" s="1"/>
  <c r="F41" i="21"/>
  <c r="AF41" i="21" s="1"/>
  <c r="E41" i="21"/>
  <c r="AE41" i="21" s="1"/>
  <c r="D41" i="21"/>
  <c r="AD41" i="21" s="1"/>
  <c r="C41" i="21"/>
  <c r="AC41" i="21" s="1"/>
  <c r="B41" i="21"/>
  <c r="AB41" i="21" s="1"/>
  <c r="A41" i="21"/>
  <c r="AA41" i="21" s="1"/>
  <c r="K40" i="21"/>
  <c r="J40" i="21"/>
  <c r="I40" i="21"/>
  <c r="H40" i="21"/>
  <c r="AH40" i="21" s="1"/>
  <c r="G40" i="21"/>
  <c r="AG40" i="21" s="1"/>
  <c r="F40" i="21"/>
  <c r="AF40" i="21" s="1"/>
  <c r="E40" i="21"/>
  <c r="AE40" i="21" s="1"/>
  <c r="D40" i="21"/>
  <c r="AD40" i="21" s="1"/>
  <c r="C40" i="21"/>
  <c r="AC40" i="21" s="1"/>
  <c r="B40" i="21"/>
  <c r="AB40" i="21" s="1"/>
  <c r="A40" i="21"/>
  <c r="AA40" i="21" s="1"/>
  <c r="AF39" i="21"/>
  <c r="AE39" i="21"/>
  <c r="K39" i="21"/>
  <c r="J39" i="21"/>
  <c r="I39" i="21"/>
  <c r="H39" i="21"/>
  <c r="AH39" i="21" s="1"/>
  <c r="G39" i="21"/>
  <c r="AG39" i="21" s="1"/>
  <c r="F39" i="21"/>
  <c r="E39" i="21"/>
  <c r="D39" i="21"/>
  <c r="AD39" i="21" s="1"/>
  <c r="C39" i="21"/>
  <c r="AC39" i="21" s="1"/>
  <c r="B39" i="21"/>
  <c r="AB39" i="21" s="1"/>
  <c r="A39" i="21"/>
  <c r="AA39" i="21" s="1"/>
  <c r="K38" i="21"/>
  <c r="J38" i="21"/>
  <c r="I38" i="21"/>
  <c r="H38" i="21"/>
  <c r="AH38" i="21" s="1"/>
  <c r="G38" i="21"/>
  <c r="AG38" i="21" s="1"/>
  <c r="F38" i="21"/>
  <c r="AF38" i="21" s="1"/>
  <c r="E38" i="21"/>
  <c r="AE38" i="21" s="1"/>
  <c r="D38" i="21"/>
  <c r="AD38" i="21" s="1"/>
  <c r="C38" i="21"/>
  <c r="AC38" i="21" s="1"/>
  <c r="B38" i="21"/>
  <c r="AB38" i="21" s="1"/>
  <c r="A38" i="21"/>
  <c r="AA38" i="21" s="1"/>
  <c r="AD37" i="21"/>
  <c r="K37" i="21"/>
  <c r="J37" i="21"/>
  <c r="I37" i="21"/>
  <c r="H37" i="21"/>
  <c r="AH37" i="21" s="1"/>
  <c r="G37" i="21"/>
  <c r="AG37" i="21" s="1"/>
  <c r="F37" i="21"/>
  <c r="AF37" i="21" s="1"/>
  <c r="E37" i="21"/>
  <c r="AE37" i="21" s="1"/>
  <c r="D37" i="21"/>
  <c r="C37" i="21"/>
  <c r="AC37" i="21" s="1"/>
  <c r="B37" i="21"/>
  <c r="AB37" i="21" s="1"/>
  <c r="A37" i="21"/>
  <c r="AA37" i="21" s="1"/>
  <c r="AE36" i="21"/>
  <c r="K36" i="21"/>
  <c r="J36" i="21"/>
  <c r="I36" i="21"/>
  <c r="H36" i="21"/>
  <c r="AH36" i="21" s="1"/>
  <c r="G36" i="21"/>
  <c r="AG36" i="21" s="1"/>
  <c r="F36" i="21"/>
  <c r="AF36" i="21" s="1"/>
  <c r="E36" i="21"/>
  <c r="D36" i="21"/>
  <c r="AD36" i="21" s="1"/>
  <c r="C36" i="21"/>
  <c r="AC36" i="21" s="1"/>
  <c r="B36" i="21"/>
  <c r="AB36" i="21" s="1"/>
  <c r="A36" i="21"/>
  <c r="AA36" i="21" s="1"/>
  <c r="K35" i="21"/>
  <c r="J35" i="21"/>
  <c r="I35" i="21"/>
  <c r="H35" i="21"/>
  <c r="AH35" i="21" s="1"/>
  <c r="G35" i="21"/>
  <c r="AG35" i="21" s="1"/>
  <c r="F35" i="21"/>
  <c r="AF35" i="21" s="1"/>
  <c r="E35" i="21"/>
  <c r="AE35" i="21" s="1"/>
  <c r="D35" i="21"/>
  <c r="AD35" i="21" s="1"/>
  <c r="C35" i="21"/>
  <c r="AC35" i="21" s="1"/>
  <c r="B35" i="21"/>
  <c r="AB35" i="21" s="1"/>
  <c r="A35" i="21"/>
  <c r="AA35" i="21" s="1"/>
  <c r="AI35" i="21" s="1"/>
  <c r="K34" i="21"/>
  <c r="J34" i="21"/>
  <c r="I34" i="21"/>
  <c r="H34" i="21"/>
  <c r="AH34" i="21" s="1"/>
  <c r="G34" i="21"/>
  <c r="AG34" i="21" s="1"/>
  <c r="F34" i="21"/>
  <c r="AF34" i="21" s="1"/>
  <c r="E34" i="21"/>
  <c r="AE34" i="21" s="1"/>
  <c r="D34" i="21"/>
  <c r="AD34" i="21" s="1"/>
  <c r="C34" i="21"/>
  <c r="AC34" i="21" s="1"/>
  <c r="B34" i="21"/>
  <c r="AB34" i="21" s="1"/>
  <c r="A34" i="21"/>
  <c r="AA34" i="21" s="1"/>
  <c r="K33" i="21"/>
  <c r="J33" i="21"/>
  <c r="I33" i="21"/>
  <c r="H33" i="21"/>
  <c r="AH33" i="21" s="1"/>
  <c r="G33" i="21"/>
  <c r="AG33" i="21" s="1"/>
  <c r="F33" i="21"/>
  <c r="AF33" i="21" s="1"/>
  <c r="E33" i="21"/>
  <c r="AE33" i="21" s="1"/>
  <c r="D33" i="21"/>
  <c r="AD33" i="21" s="1"/>
  <c r="C33" i="21"/>
  <c r="AC33" i="21" s="1"/>
  <c r="B33" i="21"/>
  <c r="AB33" i="21" s="1"/>
  <c r="A33" i="21"/>
  <c r="AA33" i="21" s="1"/>
  <c r="K32" i="21"/>
  <c r="J32" i="21"/>
  <c r="I32" i="21"/>
  <c r="H32" i="21"/>
  <c r="AH32" i="21" s="1"/>
  <c r="G32" i="21"/>
  <c r="AG32" i="21" s="1"/>
  <c r="F32" i="21"/>
  <c r="AF32" i="21" s="1"/>
  <c r="E32" i="21"/>
  <c r="AE32" i="21" s="1"/>
  <c r="D32" i="21"/>
  <c r="AD32" i="21" s="1"/>
  <c r="C32" i="21"/>
  <c r="AC32" i="21" s="1"/>
  <c r="B32" i="21"/>
  <c r="AB32" i="21" s="1"/>
  <c r="A32" i="21"/>
  <c r="AL32" i="21" s="1"/>
  <c r="AA31" i="21"/>
  <c r="K31" i="21"/>
  <c r="J31" i="21"/>
  <c r="I31" i="21"/>
  <c r="H31" i="21"/>
  <c r="AH31" i="21" s="1"/>
  <c r="G31" i="21"/>
  <c r="AG31" i="21" s="1"/>
  <c r="F31" i="21"/>
  <c r="AF31" i="21" s="1"/>
  <c r="E31" i="21"/>
  <c r="AE31" i="21" s="1"/>
  <c r="D31" i="21"/>
  <c r="AD31" i="21" s="1"/>
  <c r="C31" i="21"/>
  <c r="AC31" i="21" s="1"/>
  <c r="B31" i="21"/>
  <c r="AB31" i="21" s="1"/>
  <c r="A31" i="21"/>
  <c r="AL31" i="21" s="1"/>
  <c r="AE30" i="21"/>
  <c r="K30" i="21"/>
  <c r="J30" i="21"/>
  <c r="I30" i="21"/>
  <c r="H30" i="21"/>
  <c r="AH30" i="21" s="1"/>
  <c r="G30" i="21"/>
  <c r="AG30" i="21" s="1"/>
  <c r="F30" i="21"/>
  <c r="AF30" i="21" s="1"/>
  <c r="E30" i="21"/>
  <c r="D30" i="21"/>
  <c r="AD30" i="21" s="1"/>
  <c r="C30" i="21"/>
  <c r="AC30" i="21" s="1"/>
  <c r="B30" i="21"/>
  <c r="AB30" i="21" s="1"/>
  <c r="A30" i="21"/>
  <c r="AA30" i="21" s="1"/>
  <c r="K29" i="21"/>
  <c r="J29" i="21"/>
  <c r="I29" i="21"/>
  <c r="H29" i="21"/>
  <c r="AH29" i="21" s="1"/>
  <c r="G29" i="21"/>
  <c r="AG29" i="21" s="1"/>
  <c r="F29" i="21"/>
  <c r="AF29" i="21" s="1"/>
  <c r="E29" i="21"/>
  <c r="AE29" i="21" s="1"/>
  <c r="D29" i="21"/>
  <c r="AD29" i="21" s="1"/>
  <c r="C29" i="21"/>
  <c r="AC29" i="21" s="1"/>
  <c r="B29" i="21"/>
  <c r="AB29" i="21" s="1"/>
  <c r="A29" i="21"/>
  <c r="AA29" i="21" s="1"/>
  <c r="AC28" i="21"/>
  <c r="AB28" i="21"/>
  <c r="K28" i="21"/>
  <c r="J28" i="21"/>
  <c r="I28" i="21"/>
  <c r="H28" i="21"/>
  <c r="AH28" i="21" s="1"/>
  <c r="G28" i="21"/>
  <c r="AG28" i="21" s="1"/>
  <c r="F28" i="21"/>
  <c r="AF28" i="21" s="1"/>
  <c r="E28" i="21"/>
  <c r="AE28" i="21" s="1"/>
  <c r="D28" i="21"/>
  <c r="AD28" i="21" s="1"/>
  <c r="C28" i="21"/>
  <c r="B28" i="21"/>
  <c r="A28" i="21"/>
  <c r="AA28" i="21" s="1"/>
  <c r="AI28" i="21" s="1"/>
  <c r="AF27" i="21"/>
  <c r="K27" i="21"/>
  <c r="J27" i="21"/>
  <c r="I27" i="21"/>
  <c r="H27" i="21"/>
  <c r="AH27" i="21" s="1"/>
  <c r="G27" i="21"/>
  <c r="AG27" i="21" s="1"/>
  <c r="F27" i="21"/>
  <c r="E27" i="21"/>
  <c r="AE27" i="21" s="1"/>
  <c r="D27" i="21"/>
  <c r="AD27" i="21" s="1"/>
  <c r="C27" i="21"/>
  <c r="AC27" i="21" s="1"/>
  <c r="B27" i="21"/>
  <c r="AB27" i="21" s="1"/>
  <c r="A27" i="21"/>
  <c r="AA27" i="21" s="1"/>
  <c r="AA26" i="21"/>
  <c r="AI26" i="21" s="1"/>
  <c r="K26" i="21"/>
  <c r="J26" i="21"/>
  <c r="I26" i="21"/>
  <c r="H26" i="21"/>
  <c r="AH26" i="21" s="1"/>
  <c r="G26" i="21"/>
  <c r="AG26" i="21" s="1"/>
  <c r="F26" i="21"/>
  <c r="AF26" i="21" s="1"/>
  <c r="E26" i="21"/>
  <c r="AE26" i="21" s="1"/>
  <c r="D26" i="21"/>
  <c r="AD26" i="21" s="1"/>
  <c r="C26" i="21"/>
  <c r="AC26" i="21" s="1"/>
  <c r="B26" i="21"/>
  <c r="AB26" i="21" s="1"/>
  <c r="A26" i="21"/>
  <c r="AE25" i="21"/>
  <c r="AD25" i="21"/>
  <c r="K25" i="21"/>
  <c r="J25" i="21"/>
  <c r="I25" i="21"/>
  <c r="H25" i="21"/>
  <c r="AH25" i="21" s="1"/>
  <c r="G25" i="21"/>
  <c r="AG25" i="21" s="1"/>
  <c r="F25" i="21"/>
  <c r="AF25" i="21" s="1"/>
  <c r="E25" i="21"/>
  <c r="D25" i="21"/>
  <c r="C25" i="21"/>
  <c r="AC25" i="21" s="1"/>
  <c r="B25" i="21"/>
  <c r="AB25" i="21" s="1"/>
  <c r="A25" i="21"/>
  <c r="AA25" i="21" s="1"/>
  <c r="K24" i="21"/>
  <c r="J24" i="21"/>
  <c r="I24" i="21"/>
  <c r="H24" i="21"/>
  <c r="AH24" i="21" s="1"/>
  <c r="G24" i="21"/>
  <c r="AG24" i="21" s="1"/>
  <c r="F24" i="21"/>
  <c r="AF24" i="21" s="1"/>
  <c r="E24" i="21"/>
  <c r="AE24" i="21" s="1"/>
  <c r="D24" i="21"/>
  <c r="AD24" i="21" s="1"/>
  <c r="C24" i="21"/>
  <c r="AC24" i="21" s="1"/>
  <c r="B24" i="21"/>
  <c r="AB24" i="21" s="1"/>
  <c r="A24" i="21"/>
  <c r="AA24" i="21" s="1"/>
  <c r="AB23" i="21"/>
  <c r="K23" i="21"/>
  <c r="J23" i="21"/>
  <c r="I23" i="21"/>
  <c r="H23" i="21"/>
  <c r="AH23" i="21" s="1"/>
  <c r="G23" i="21"/>
  <c r="AG23" i="21" s="1"/>
  <c r="F23" i="21"/>
  <c r="AF23" i="21" s="1"/>
  <c r="E23" i="21"/>
  <c r="AE23" i="21" s="1"/>
  <c r="D23" i="21"/>
  <c r="AD23" i="21" s="1"/>
  <c r="C23" i="21"/>
  <c r="AC23" i="21" s="1"/>
  <c r="B23" i="21"/>
  <c r="A23" i="21"/>
  <c r="AA23" i="21" s="1"/>
  <c r="AI23" i="21" s="1"/>
  <c r="AD22" i="21"/>
  <c r="AA22" i="21"/>
  <c r="K22" i="21"/>
  <c r="J22" i="21"/>
  <c r="I22" i="21"/>
  <c r="H22" i="21"/>
  <c r="AH22" i="21" s="1"/>
  <c r="G22" i="21"/>
  <c r="AG22" i="21" s="1"/>
  <c r="F22" i="21"/>
  <c r="AF22" i="21" s="1"/>
  <c r="E22" i="21"/>
  <c r="AE22" i="21" s="1"/>
  <c r="D22" i="21"/>
  <c r="C22" i="21"/>
  <c r="AC22" i="21" s="1"/>
  <c r="B22" i="21"/>
  <c r="AB22" i="21" s="1"/>
  <c r="A22" i="21"/>
  <c r="AL22" i="21" s="1"/>
  <c r="AH21" i="21"/>
  <c r="K21" i="21"/>
  <c r="J21" i="21"/>
  <c r="I21" i="21"/>
  <c r="H21" i="21"/>
  <c r="G21" i="21"/>
  <c r="AG21" i="21" s="1"/>
  <c r="F21" i="21"/>
  <c r="AF21" i="21" s="1"/>
  <c r="E21" i="21"/>
  <c r="AE21" i="21" s="1"/>
  <c r="D21" i="21"/>
  <c r="AD21" i="21" s="1"/>
  <c r="C21" i="21"/>
  <c r="AC21" i="21" s="1"/>
  <c r="B21" i="21"/>
  <c r="AB21" i="21" s="1"/>
  <c r="A21" i="21"/>
  <c r="AA21" i="21" s="1"/>
  <c r="K20" i="21"/>
  <c r="J20" i="21"/>
  <c r="I20" i="21"/>
  <c r="H20" i="21"/>
  <c r="AH20" i="21" s="1"/>
  <c r="G20" i="21"/>
  <c r="AG20" i="21" s="1"/>
  <c r="F20" i="21"/>
  <c r="AF20" i="21" s="1"/>
  <c r="E20" i="21"/>
  <c r="AE20" i="21" s="1"/>
  <c r="D20" i="21"/>
  <c r="AD20" i="21" s="1"/>
  <c r="C20" i="21"/>
  <c r="AC20" i="21" s="1"/>
  <c r="B20" i="21"/>
  <c r="AB20" i="21" s="1"/>
  <c r="A20" i="21"/>
  <c r="AA20" i="21" s="1"/>
  <c r="K19" i="21"/>
  <c r="J19" i="21"/>
  <c r="I19" i="21"/>
  <c r="H19" i="21"/>
  <c r="AH19" i="21" s="1"/>
  <c r="G19" i="21"/>
  <c r="AG19" i="21" s="1"/>
  <c r="F19" i="21"/>
  <c r="AF19" i="21" s="1"/>
  <c r="E19" i="21"/>
  <c r="AE19" i="21" s="1"/>
  <c r="D19" i="21"/>
  <c r="AD19" i="21" s="1"/>
  <c r="C19" i="21"/>
  <c r="AC19" i="21" s="1"/>
  <c r="B19" i="21"/>
  <c r="AB19" i="21" s="1"/>
  <c r="A19" i="21"/>
  <c r="AA19" i="21" s="1"/>
  <c r="K18" i="21"/>
  <c r="J18" i="21"/>
  <c r="I18" i="21"/>
  <c r="H18" i="21"/>
  <c r="AH18" i="21" s="1"/>
  <c r="G18" i="21"/>
  <c r="AG18" i="21" s="1"/>
  <c r="F18" i="21"/>
  <c r="AF18" i="21" s="1"/>
  <c r="E18" i="21"/>
  <c r="AE18" i="21" s="1"/>
  <c r="D18" i="21"/>
  <c r="AD18" i="21" s="1"/>
  <c r="C18" i="21"/>
  <c r="AC18" i="21" s="1"/>
  <c r="B18" i="21"/>
  <c r="AB18" i="21" s="1"/>
  <c r="A18" i="21"/>
  <c r="AA18" i="21" s="1"/>
  <c r="AB17" i="21"/>
  <c r="K17" i="21"/>
  <c r="J17" i="21"/>
  <c r="I17" i="21"/>
  <c r="H17" i="21"/>
  <c r="AH17" i="21" s="1"/>
  <c r="G17" i="21"/>
  <c r="AG17" i="21" s="1"/>
  <c r="F17" i="21"/>
  <c r="AF17" i="21" s="1"/>
  <c r="E17" i="21"/>
  <c r="AE17" i="21" s="1"/>
  <c r="D17" i="21"/>
  <c r="AD17" i="21" s="1"/>
  <c r="C17" i="21"/>
  <c r="AC17" i="21" s="1"/>
  <c r="B17" i="21"/>
  <c r="A17" i="21"/>
  <c r="AA17" i="21" s="1"/>
  <c r="AI17" i="21" s="1"/>
  <c r="K16" i="21"/>
  <c r="J16" i="21"/>
  <c r="I16" i="21"/>
  <c r="H16" i="21"/>
  <c r="AH16" i="21" s="1"/>
  <c r="G16" i="21"/>
  <c r="AG16" i="21" s="1"/>
  <c r="F16" i="21"/>
  <c r="AF16" i="21" s="1"/>
  <c r="E16" i="21"/>
  <c r="AE16" i="21" s="1"/>
  <c r="D16" i="21"/>
  <c r="AD16" i="21" s="1"/>
  <c r="C16" i="21"/>
  <c r="AC16" i="21" s="1"/>
  <c r="B16" i="21"/>
  <c r="AB16" i="21" s="1"/>
  <c r="A16" i="21"/>
  <c r="AA16" i="21" s="1"/>
  <c r="K15" i="21"/>
  <c r="J15" i="21"/>
  <c r="I15" i="21"/>
  <c r="H15" i="21"/>
  <c r="AH15" i="21" s="1"/>
  <c r="G15" i="21"/>
  <c r="AG15" i="21" s="1"/>
  <c r="F15" i="21"/>
  <c r="AF15" i="21" s="1"/>
  <c r="E15" i="21"/>
  <c r="AE15" i="21" s="1"/>
  <c r="D15" i="21"/>
  <c r="AD15" i="21" s="1"/>
  <c r="C15" i="21"/>
  <c r="AC15" i="21" s="1"/>
  <c r="B15" i="21"/>
  <c r="AB15" i="21" s="1"/>
  <c r="A15" i="21"/>
  <c r="AA15" i="21" s="1"/>
  <c r="K14" i="21"/>
  <c r="J14" i="21"/>
  <c r="I14" i="21"/>
  <c r="H14" i="21"/>
  <c r="AH14" i="21" s="1"/>
  <c r="G14" i="21"/>
  <c r="AG14" i="21" s="1"/>
  <c r="F14" i="21"/>
  <c r="AF14" i="21" s="1"/>
  <c r="E14" i="21"/>
  <c r="AE14" i="21" s="1"/>
  <c r="D14" i="21"/>
  <c r="AD14" i="21" s="1"/>
  <c r="C14" i="21"/>
  <c r="AC14" i="21" s="1"/>
  <c r="B14" i="21"/>
  <c r="AB14" i="21" s="1"/>
  <c r="A14" i="21"/>
  <c r="AA14" i="21" s="1"/>
  <c r="K13" i="21"/>
  <c r="J13" i="21"/>
  <c r="I13" i="21"/>
  <c r="H13" i="21"/>
  <c r="AH13" i="21" s="1"/>
  <c r="G13" i="21"/>
  <c r="AG13" i="21" s="1"/>
  <c r="F13" i="21"/>
  <c r="AF13" i="21" s="1"/>
  <c r="E13" i="21"/>
  <c r="AE13" i="21" s="1"/>
  <c r="D13" i="21"/>
  <c r="AD13" i="21" s="1"/>
  <c r="C13" i="21"/>
  <c r="AC13" i="21" s="1"/>
  <c r="B13" i="21"/>
  <c r="AB13" i="21" s="1"/>
  <c r="A13" i="21"/>
  <c r="AA13" i="21" s="1"/>
  <c r="K12" i="21"/>
  <c r="J12" i="21"/>
  <c r="I12" i="21"/>
  <c r="H12" i="21"/>
  <c r="AH12" i="21" s="1"/>
  <c r="G12" i="21"/>
  <c r="AG12" i="21" s="1"/>
  <c r="F12" i="21"/>
  <c r="AF12" i="21" s="1"/>
  <c r="E12" i="21"/>
  <c r="AE12" i="21" s="1"/>
  <c r="D12" i="21"/>
  <c r="AD12" i="21" s="1"/>
  <c r="C12" i="21"/>
  <c r="AC12" i="21" s="1"/>
  <c r="B12" i="21"/>
  <c r="AB12" i="21" s="1"/>
  <c r="A12" i="21"/>
  <c r="AA12" i="21" s="1"/>
  <c r="K11" i="21"/>
  <c r="J11" i="21"/>
  <c r="I11" i="21"/>
  <c r="H11" i="21"/>
  <c r="AH11" i="21" s="1"/>
  <c r="G11" i="21"/>
  <c r="AG11" i="21" s="1"/>
  <c r="F11" i="21"/>
  <c r="AF11" i="21" s="1"/>
  <c r="E11" i="21"/>
  <c r="AE11" i="21" s="1"/>
  <c r="D11" i="21"/>
  <c r="AD11" i="21" s="1"/>
  <c r="C11" i="21"/>
  <c r="AC11" i="21" s="1"/>
  <c r="B11" i="21"/>
  <c r="AB11" i="21" s="1"/>
  <c r="A11" i="21"/>
  <c r="AA11" i="21" s="1"/>
  <c r="K10" i="21"/>
  <c r="J10" i="21"/>
  <c r="I10" i="21"/>
  <c r="H10" i="21"/>
  <c r="AH10" i="21" s="1"/>
  <c r="G10" i="21"/>
  <c r="AG10" i="21" s="1"/>
  <c r="F10" i="21"/>
  <c r="AF10" i="21" s="1"/>
  <c r="E10" i="21"/>
  <c r="AE10" i="21" s="1"/>
  <c r="D10" i="21"/>
  <c r="AD10" i="21" s="1"/>
  <c r="C10" i="21"/>
  <c r="AC10" i="21" s="1"/>
  <c r="B10" i="21"/>
  <c r="AB10" i="21" s="1"/>
  <c r="A10" i="21"/>
  <c r="AA10" i="21" s="1"/>
  <c r="K9" i="21"/>
  <c r="J9" i="21"/>
  <c r="I9" i="21"/>
  <c r="H9" i="21"/>
  <c r="AH9" i="21" s="1"/>
  <c r="G9" i="21"/>
  <c r="AG9" i="21" s="1"/>
  <c r="F9" i="21"/>
  <c r="AF9" i="21" s="1"/>
  <c r="E9" i="21"/>
  <c r="AE9" i="21" s="1"/>
  <c r="D9" i="21"/>
  <c r="AD9" i="21" s="1"/>
  <c r="C9" i="21"/>
  <c r="AC9" i="21" s="1"/>
  <c r="B9" i="21"/>
  <c r="AB9" i="21" s="1"/>
  <c r="A9" i="21"/>
  <c r="AA9" i="21" s="1"/>
  <c r="K8" i="21"/>
  <c r="J8" i="21"/>
  <c r="I8" i="21"/>
  <c r="H8" i="21"/>
  <c r="AH8" i="21" s="1"/>
  <c r="G8" i="21"/>
  <c r="AG8" i="21" s="1"/>
  <c r="F8" i="21"/>
  <c r="AF8" i="21" s="1"/>
  <c r="E8" i="21"/>
  <c r="AE8" i="21" s="1"/>
  <c r="D8" i="21"/>
  <c r="AD8" i="21" s="1"/>
  <c r="C8" i="21"/>
  <c r="AC8" i="21" s="1"/>
  <c r="B8" i="21"/>
  <c r="AB8" i="21" s="1"/>
  <c r="A8" i="21"/>
  <c r="AA8" i="21" s="1"/>
  <c r="K7" i="21"/>
  <c r="J7" i="21"/>
  <c r="I7" i="21"/>
  <c r="H7" i="21"/>
  <c r="AH7" i="21" s="1"/>
  <c r="G7" i="21"/>
  <c r="AG7" i="21" s="1"/>
  <c r="F7" i="21"/>
  <c r="AF7" i="21" s="1"/>
  <c r="E7" i="21"/>
  <c r="AE7" i="21" s="1"/>
  <c r="D7" i="21"/>
  <c r="AD7" i="21" s="1"/>
  <c r="C7" i="21"/>
  <c r="AC7" i="21" s="1"/>
  <c r="B7" i="21"/>
  <c r="AB7" i="21" s="1"/>
  <c r="A7" i="21"/>
  <c r="AA7" i="21" s="1"/>
  <c r="K6" i="21"/>
  <c r="J6" i="21"/>
  <c r="I6" i="21"/>
  <c r="H6" i="21"/>
  <c r="AH6" i="21" s="1"/>
  <c r="G6" i="21"/>
  <c r="AG6" i="21" s="1"/>
  <c r="F6" i="21"/>
  <c r="AF6" i="21" s="1"/>
  <c r="E6" i="21"/>
  <c r="AE6" i="21" s="1"/>
  <c r="D6" i="21"/>
  <c r="AD6" i="21" s="1"/>
  <c r="C6" i="21"/>
  <c r="AC6" i="21" s="1"/>
  <c r="B6" i="21"/>
  <c r="AB6" i="21" s="1"/>
  <c r="A6" i="21"/>
  <c r="AA6" i="21" s="1"/>
  <c r="K5" i="21"/>
  <c r="J5" i="21"/>
  <c r="I5" i="21"/>
  <c r="H5" i="21"/>
  <c r="AH5" i="21" s="1"/>
  <c r="G5" i="21"/>
  <c r="AG5" i="21" s="1"/>
  <c r="F5" i="21"/>
  <c r="AF5" i="21" s="1"/>
  <c r="E5" i="21"/>
  <c r="AE5" i="21" s="1"/>
  <c r="D5" i="21"/>
  <c r="AD5" i="21" s="1"/>
  <c r="C5" i="21"/>
  <c r="AC5" i="21" s="1"/>
  <c r="B5" i="21"/>
  <c r="AB5" i="21" s="1"/>
  <c r="A5" i="21"/>
  <c r="AA5" i="21" s="1"/>
  <c r="K4" i="21"/>
  <c r="J4" i="21"/>
  <c r="I4" i="21"/>
  <c r="H4" i="21"/>
  <c r="AH4" i="21" s="1"/>
  <c r="G4" i="21"/>
  <c r="AG4" i="21" s="1"/>
  <c r="F4" i="21"/>
  <c r="AF4" i="21" s="1"/>
  <c r="E4" i="21"/>
  <c r="AE4" i="21" s="1"/>
  <c r="D4" i="21"/>
  <c r="AD4" i="21" s="1"/>
  <c r="C4" i="21"/>
  <c r="AC4" i="21" s="1"/>
  <c r="B4" i="21"/>
  <c r="AB4" i="21" s="1"/>
  <c r="A4" i="21"/>
  <c r="AA4" i="21" s="1"/>
  <c r="K3" i="21"/>
  <c r="J3" i="21"/>
  <c r="I3" i="21"/>
  <c r="H3" i="21"/>
  <c r="AH3" i="21" s="1"/>
  <c r="G3" i="21"/>
  <c r="AG3" i="21" s="1"/>
  <c r="F3" i="21"/>
  <c r="AF3" i="21" s="1"/>
  <c r="E3" i="21"/>
  <c r="AE3" i="21" s="1"/>
  <c r="D3" i="21"/>
  <c r="AD3" i="21" s="1"/>
  <c r="C3" i="21"/>
  <c r="AC3" i="21" s="1"/>
  <c r="B3" i="21"/>
  <c r="AB3" i="21" s="1"/>
  <c r="A3" i="21"/>
  <c r="AA3" i="21" s="1"/>
  <c r="X4" i="12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Y3" i="12"/>
  <c r="Z3" i="12"/>
  <c r="AA3" i="12"/>
  <c r="AB3" i="12"/>
  <c r="AC3" i="12"/>
  <c r="X3" i="12"/>
  <c r="AL34" i="21" l="1"/>
  <c r="AL10" i="21"/>
  <c r="AL40" i="21"/>
  <c r="AL16" i="21"/>
  <c r="AL13" i="21"/>
  <c r="AL24" i="21"/>
  <c r="AL12" i="21"/>
  <c r="AL23" i="21"/>
  <c r="AL11" i="21"/>
  <c r="AA32" i="21"/>
  <c r="AN4" i="21" s="1" a="1"/>
  <c r="AN4" i="21" s="1"/>
  <c r="AN7" i="21" s="1"/>
  <c r="AJ38" i="21"/>
  <c r="AL33" i="21"/>
  <c r="AL21" i="21"/>
  <c r="AL9" i="21"/>
  <c r="AK35" i="21"/>
  <c r="AL20" i="21"/>
  <c r="AL8" i="21"/>
  <c r="AL15" i="21"/>
  <c r="AL14" i="21"/>
  <c r="AJ6" i="21"/>
  <c r="AJ8" i="21"/>
  <c r="AL3" i="21"/>
  <c r="AL19" i="21"/>
  <c r="AL7" i="21"/>
  <c r="AL42" i="21"/>
  <c r="AL30" i="21"/>
  <c r="AL18" i="21"/>
  <c r="AL6" i="21"/>
  <c r="AK11" i="21"/>
  <c r="AJ14" i="21"/>
  <c r="AJ35" i="21"/>
  <c r="AI37" i="21"/>
  <c r="AI39" i="21"/>
  <c r="AI42" i="21"/>
  <c r="AK42" i="21"/>
  <c r="AK41" i="21"/>
  <c r="AK14" i="21"/>
  <c r="AK17" i="21"/>
  <c r="AJ21" i="21"/>
  <c r="AJ41" i="21"/>
  <c r="AI33" i="21"/>
  <c r="AI8" i="21"/>
  <c r="AK20" i="21"/>
  <c r="AI30" i="21"/>
  <c r="AK23" i="21"/>
  <c r="AJ26" i="21"/>
  <c r="AI29" i="21"/>
  <c r="AK26" i="21"/>
  <c r="AJ29" i="21"/>
  <c r="AI41" i="21"/>
  <c r="AJ11" i="21"/>
  <c r="AI13" i="21"/>
  <c r="AI6" i="21"/>
  <c r="AI24" i="21"/>
  <c r="AJ7" i="21"/>
  <c r="AJ15" i="21"/>
  <c r="AJ23" i="21"/>
  <c r="AI7" i="21"/>
  <c r="AI9" i="21"/>
  <c r="AI22" i="21"/>
  <c r="AK8" i="21"/>
  <c r="AK36" i="21"/>
  <c r="AK9" i="21"/>
  <c r="AI20" i="21"/>
  <c r="AI15" i="21"/>
  <c r="AI12" i="21"/>
  <c r="AK27" i="21"/>
  <c r="AJ36" i="21"/>
  <c r="AK38" i="21"/>
  <c r="AI18" i="21"/>
  <c r="AJ18" i="21"/>
  <c r="AI27" i="21"/>
  <c r="AK18" i="21"/>
  <c r="AK29" i="21"/>
  <c r="AI36" i="21"/>
  <c r="AK6" i="21"/>
  <c r="AJ12" i="21"/>
  <c r="AQ4" i="21" a="1"/>
  <c r="AQ4" i="21" s="1"/>
  <c r="AJ24" i="21"/>
  <c r="AK37" i="21"/>
  <c r="AJ4" i="21"/>
  <c r="AJ9" i="21"/>
  <c r="AI21" i="21"/>
  <c r="AJ25" i="21"/>
  <c r="AK32" i="21"/>
  <c r="AI38" i="21"/>
  <c r="AJ42" i="21"/>
  <c r="AI11" i="21"/>
  <c r="AJ32" i="21"/>
  <c r="AT4" i="21" a="1"/>
  <c r="AT4" i="21" s="1"/>
  <c r="AK4" i="21"/>
  <c r="AI14" i="21"/>
  <c r="AJ17" i="21"/>
  <c r="AJ20" i="21"/>
  <c r="AJ34" i="21"/>
  <c r="AR4" i="21" a="1"/>
  <c r="AR4" i="21" s="1"/>
  <c r="AI4" i="21"/>
  <c r="AS4" i="21" a="1"/>
  <c r="AS4" i="21" s="1"/>
  <c r="AI3" i="21"/>
  <c r="AJ33" i="21"/>
  <c r="AI16" i="21"/>
  <c r="AI40" i="21"/>
  <c r="AJ3" i="21"/>
  <c r="AO4" i="21" a="1"/>
  <c r="AO4" i="21" s="1"/>
  <c r="AO7" i="21" s="1"/>
  <c r="AJ16" i="21"/>
  <c r="AK25" i="21"/>
  <c r="AK33" i="21"/>
  <c r="AJ40" i="21"/>
  <c r="AU4" i="21" a="1"/>
  <c r="AU4" i="21" s="1"/>
  <c r="AK3" i="21"/>
  <c r="AP4" i="21" a="1"/>
  <c r="AP4" i="21" s="1"/>
  <c r="AP7" i="21" s="1"/>
  <c r="AK12" i="21"/>
  <c r="AK16" i="21"/>
  <c r="AK21" i="21"/>
  <c r="AJ27" i="21"/>
  <c r="AI34" i="21"/>
  <c r="AK40" i="21"/>
  <c r="AI5" i="21"/>
  <c r="AK34" i="21"/>
  <c r="AJ22" i="21"/>
  <c r="AJ30" i="21"/>
  <c r="AJ5" i="21"/>
  <c r="AJ13" i="21"/>
  <c r="AJ28" i="21"/>
  <c r="AK5" i="21"/>
  <c r="AK13" i="21"/>
  <c r="AK22" i="21"/>
  <c r="AK28" i="21"/>
  <c r="AI10" i="21"/>
  <c r="AI19" i="21"/>
  <c r="AK30" i="21"/>
  <c r="AJ37" i="21"/>
  <c r="AK10" i="21"/>
  <c r="AK15" i="21"/>
  <c r="AK19" i="21"/>
  <c r="AK24" i="21"/>
  <c r="AJ31" i="21"/>
  <c r="AJ39" i="21"/>
  <c r="AK7" i="21"/>
  <c r="AJ10" i="21"/>
  <c r="AJ19" i="21"/>
  <c r="AI31" i="21"/>
  <c r="AI25" i="21"/>
  <c r="AK31" i="21"/>
  <c r="AK39" i="21"/>
  <c r="AP11" i="21" l="1"/>
  <c r="AI32" i="21"/>
  <c r="AN9" i="21"/>
  <c r="AP9" i="21"/>
  <c r="AO11" i="21"/>
  <c r="AO9" i="21"/>
  <c r="AN11" i="21"/>
  <c r="AL4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3" i="19"/>
  <c r="Y44" i="12"/>
  <c r="Z44" i="12"/>
  <c r="AA44" i="12"/>
  <c r="AB44" i="12"/>
  <c r="AC44" i="12"/>
  <c r="X44" i="12"/>
  <c r="Q42" i="19" l="1"/>
  <c r="P42" i="19"/>
  <c r="O42" i="19"/>
  <c r="N42" i="19"/>
  <c r="M42" i="19"/>
  <c r="L42" i="19"/>
  <c r="K42" i="19"/>
  <c r="J42" i="19"/>
  <c r="I42" i="19"/>
  <c r="H42" i="19"/>
  <c r="AH42" i="19" s="1"/>
  <c r="G42" i="19"/>
  <c r="AG42" i="19" s="1"/>
  <c r="F42" i="19"/>
  <c r="AF42" i="19" s="1"/>
  <c r="E42" i="19"/>
  <c r="AE42" i="19" s="1"/>
  <c r="D42" i="19"/>
  <c r="AD42" i="19" s="1"/>
  <c r="C42" i="19"/>
  <c r="AC42" i="19" s="1"/>
  <c r="B42" i="19"/>
  <c r="A42" i="19"/>
  <c r="AA42" i="19" s="1"/>
  <c r="Q41" i="19"/>
  <c r="P41" i="19"/>
  <c r="O41" i="19"/>
  <c r="N41" i="19"/>
  <c r="M41" i="19"/>
  <c r="L41" i="19"/>
  <c r="K41" i="19"/>
  <c r="J41" i="19"/>
  <c r="I41" i="19"/>
  <c r="H41" i="19"/>
  <c r="AH41" i="19" s="1"/>
  <c r="G41" i="19"/>
  <c r="AG41" i="19" s="1"/>
  <c r="F41" i="19"/>
  <c r="AF41" i="19" s="1"/>
  <c r="E41" i="19"/>
  <c r="AE41" i="19" s="1"/>
  <c r="D41" i="19"/>
  <c r="AD41" i="19" s="1"/>
  <c r="C41" i="19"/>
  <c r="AC41" i="19" s="1"/>
  <c r="B41" i="19"/>
  <c r="AB41" i="19" s="1"/>
  <c r="A41" i="19"/>
  <c r="AA41" i="19" s="1"/>
  <c r="Q40" i="19"/>
  <c r="P40" i="19"/>
  <c r="O40" i="19"/>
  <c r="N40" i="19"/>
  <c r="M40" i="19"/>
  <c r="L40" i="19"/>
  <c r="K40" i="19"/>
  <c r="J40" i="19"/>
  <c r="I40" i="19"/>
  <c r="H40" i="19"/>
  <c r="AH40" i="19" s="1"/>
  <c r="G40" i="19"/>
  <c r="AG40" i="19" s="1"/>
  <c r="F40" i="19"/>
  <c r="AF40" i="19" s="1"/>
  <c r="E40" i="19"/>
  <c r="AE40" i="19" s="1"/>
  <c r="D40" i="19"/>
  <c r="AD40" i="19" s="1"/>
  <c r="C40" i="19"/>
  <c r="AC40" i="19" s="1"/>
  <c r="B40" i="19"/>
  <c r="AB40" i="19" s="1"/>
  <c r="A40" i="19"/>
  <c r="AA40" i="19" s="1"/>
  <c r="AF39" i="19"/>
  <c r="Q39" i="19"/>
  <c r="P39" i="19"/>
  <c r="O39" i="19"/>
  <c r="N39" i="19"/>
  <c r="M39" i="19"/>
  <c r="L39" i="19"/>
  <c r="K39" i="19"/>
  <c r="J39" i="19"/>
  <c r="I39" i="19"/>
  <c r="H39" i="19"/>
  <c r="AH39" i="19" s="1"/>
  <c r="G39" i="19"/>
  <c r="AG39" i="19" s="1"/>
  <c r="F39" i="19"/>
  <c r="E39" i="19"/>
  <c r="AE39" i="19" s="1"/>
  <c r="D39" i="19"/>
  <c r="AD39" i="19" s="1"/>
  <c r="C39" i="19"/>
  <c r="AC39" i="19" s="1"/>
  <c r="B39" i="19"/>
  <c r="AB39" i="19" s="1"/>
  <c r="A39" i="19"/>
  <c r="AA39" i="19" s="1"/>
  <c r="Q38" i="19"/>
  <c r="P38" i="19"/>
  <c r="O38" i="19"/>
  <c r="N38" i="19"/>
  <c r="M38" i="19"/>
  <c r="L38" i="19"/>
  <c r="K38" i="19"/>
  <c r="J38" i="19"/>
  <c r="I38" i="19"/>
  <c r="H38" i="19"/>
  <c r="AH38" i="19" s="1"/>
  <c r="G38" i="19"/>
  <c r="AG38" i="19" s="1"/>
  <c r="F38" i="19"/>
  <c r="AF38" i="19" s="1"/>
  <c r="E38" i="19"/>
  <c r="AE38" i="19" s="1"/>
  <c r="D38" i="19"/>
  <c r="AD38" i="19" s="1"/>
  <c r="C38" i="19"/>
  <c r="AC38" i="19" s="1"/>
  <c r="B38" i="19"/>
  <c r="AB38" i="19" s="1"/>
  <c r="A38" i="19"/>
  <c r="AA38" i="19" s="1"/>
  <c r="Q37" i="19"/>
  <c r="P37" i="19"/>
  <c r="O37" i="19"/>
  <c r="N37" i="19"/>
  <c r="M37" i="19"/>
  <c r="L37" i="19"/>
  <c r="K37" i="19"/>
  <c r="J37" i="19"/>
  <c r="I37" i="19"/>
  <c r="H37" i="19"/>
  <c r="AH37" i="19" s="1"/>
  <c r="G37" i="19"/>
  <c r="AG37" i="19" s="1"/>
  <c r="F37" i="19"/>
  <c r="AF37" i="19" s="1"/>
  <c r="E37" i="19"/>
  <c r="AE37" i="19" s="1"/>
  <c r="D37" i="19"/>
  <c r="AD37" i="19" s="1"/>
  <c r="C37" i="19"/>
  <c r="AC37" i="19" s="1"/>
  <c r="B37" i="19"/>
  <c r="AB37" i="19" s="1"/>
  <c r="A37" i="19"/>
  <c r="AA37" i="19" s="1"/>
  <c r="AB36" i="19"/>
  <c r="Q36" i="19"/>
  <c r="P36" i="19"/>
  <c r="O36" i="19"/>
  <c r="N36" i="19"/>
  <c r="M36" i="19"/>
  <c r="L36" i="19"/>
  <c r="K36" i="19"/>
  <c r="J36" i="19"/>
  <c r="I36" i="19"/>
  <c r="H36" i="19"/>
  <c r="AH36" i="19" s="1"/>
  <c r="G36" i="19"/>
  <c r="AG36" i="19" s="1"/>
  <c r="F36" i="19"/>
  <c r="AF36" i="19" s="1"/>
  <c r="E36" i="19"/>
  <c r="AE36" i="19" s="1"/>
  <c r="D36" i="19"/>
  <c r="AD36" i="19" s="1"/>
  <c r="C36" i="19"/>
  <c r="AC36" i="19" s="1"/>
  <c r="B36" i="19"/>
  <c r="A36" i="19"/>
  <c r="AA36" i="19" s="1"/>
  <c r="Q35" i="19"/>
  <c r="P35" i="19"/>
  <c r="O35" i="19"/>
  <c r="N35" i="19"/>
  <c r="M35" i="19"/>
  <c r="L35" i="19"/>
  <c r="K35" i="19"/>
  <c r="J35" i="19"/>
  <c r="I35" i="19"/>
  <c r="H35" i="19"/>
  <c r="AH35" i="19" s="1"/>
  <c r="G35" i="19"/>
  <c r="AG35" i="19" s="1"/>
  <c r="F35" i="19"/>
  <c r="AF35" i="19" s="1"/>
  <c r="E35" i="19"/>
  <c r="AE35" i="19" s="1"/>
  <c r="D35" i="19"/>
  <c r="AD35" i="19" s="1"/>
  <c r="C35" i="19"/>
  <c r="AC35" i="19" s="1"/>
  <c r="B35" i="19"/>
  <c r="AB35" i="19" s="1"/>
  <c r="A35" i="19"/>
  <c r="AA35" i="19" s="1"/>
  <c r="AB34" i="19"/>
  <c r="Q34" i="19"/>
  <c r="P34" i="19"/>
  <c r="O34" i="19"/>
  <c r="N34" i="19"/>
  <c r="M34" i="19"/>
  <c r="L34" i="19"/>
  <c r="K34" i="19"/>
  <c r="J34" i="19"/>
  <c r="I34" i="19"/>
  <c r="H34" i="19"/>
  <c r="AH34" i="19" s="1"/>
  <c r="G34" i="19"/>
  <c r="AG34" i="19" s="1"/>
  <c r="F34" i="19"/>
  <c r="AF34" i="19" s="1"/>
  <c r="E34" i="19"/>
  <c r="AE34" i="19" s="1"/>
  <c r="D34" i="19"/>
  <c r="AD34" i="19" s="1"/>
  <c r="C34" i="19"/>
  <c r="AC34" i="19" s="1"/>
  <c r="B34" i="19"/>
  <c r="A34" i="19"/>
  <c r="AA34" i="19" s="1"/>
  <c r="AA33" i="19"/>
  <c r="Q33" i="19"/>
  <c r="P33" i="19"/>
  <c r="O33" i="19"/>
  <c r="N33" i="19"/>
  <c r="M33" i="19"/>
  <c r="L33" i="19"/>
  <c r="K33" i="19"/>
  <c r="J33" i="19"/>
  <c r="I33" i="19"/>
  <c r="H33" i="19"/>
  <c r="AH33" i="19" s="1"/>
  <c r="G33" i="19"/>
  <c r="AG33" i="19" s="1"/>
  <c r="F33" i="19"/>
  <c r="AF33" i="19" s="1"/>
  <c r="E33" i="19"/>
  <c r="AE33" i="19" s="1"/>
  <c r="D33" i="19"/>
  <c r="AD33" i="19" s="1"/>
  <c r="C33" i="19"/>
  <c r="AC33" i="19" s="1"/>
  <c r="B33" i="19"/>
  <c r="AB33" i="19" s="1"/>
  <c r="A33" i="19"/>
  <c r="AD32" i="19"/>
  <c r="Q32" i="19"/>
  <c r="P32" i="19"/>
  <c r="O32" i="19"/>
  <c r="N32" i="19"/>
  <c r="M32" i="19"/>
  <c r="L32" i="19"/>
  <c r="K32" i="19"/>
  <c r="J32" i="19"/>
  <c r="I32" i="19"/>
  <c r="H32" i="19"/>
  <c r="AH32" i="19" s="1"/>
  <c r="G32" i="19"/>
  <c r="AG32" i="19" s="1"/>
  <c r="F32" i="19"/>
  <c r="AF32" i="19" s="1"/>
  <c r="E32" i="19"/>
  <c r="AE32" i="19" s="1"/>
  <c r="D32" i="19"/>
  <c r="C32" i="19"/>
  <c r="AC32" i="19" s="1"/>
  <c r="B32" i="19"/>
  <c r="AB32" i="19" s="1"/>
  <c r="A32" i="19"/>
  <c r="AA32" i="19" s="1"/>
  <c r="AA31" i="19"/>
  <c r="Q31" i="19"/>
  <c r="P31" i="19"/>
  <c r="O31" i="19"/>
  <c r="N31" i="19"/>
  <c r="M31" i="19"/>
  <c r="L31" i="19"/>
  <c r="K31" i="19"/>
  <c r="J31" i="19"/>
  <c r="I31" i="19"/>
  <c r="H31" i="19"/>
  <c r="AH31" i="19" s="1"/>
  <c r="G31" i="19"/>
  <c r="AG31" i="19" s="1"/>
  <c r="F31" i="19"/>
  <c r="AF31" i="19" s="1"/>
  <c r="E31" i="19"/>
  <c r="AE31" i="19" s="1"/>
  <c r="D31" i="19"/>
  <c r="AD31" i="19" s="1"/>
  <c r="C31" i="19"/>
  <c r="AC31" i="19" s="1"/>
  <c r="B31" i="19"/>
  <c r="AB31" i="19" s="1"/>
  <c r="A31" i="19"/>
  <c r="Q30" i="19"/>
  <c r="P30" i="19"/>
  <c r="O30" i="19"/>
  <c r="N30" i="19"/>
  <c r="M30" i="19"/>
  <c r="L30" i="19"/>
  <c r="K30" i="19"/>
  <c r="J30" i="19"/>
  <c r="I30" i="19"/>
  <c r="H30" i="19"/>
  <c r="AH30" i="19" s="1"/>
  <c r="G30" i="19"/>
  <c r="AG30" i="19" s="1"/>
  <c r="F30" i="19"/>
  <c r="AF30" i="19" s="1"/>
  <c r="E30" i="19"/>
  <c r="AE30" i="19" s="1"/>
  <c r="D30" i="19"/>
  <c r="AD30" i="19" s="1"/>
  <c r="C30" i="19"/>
  <c r="AC30" i="19" s="1"/>
  <c r="B30" i="19"/>
  <c r="AB30" i="19" s="1"/>
  <c r="A30" i="19"/>
  <c r="AA30" i="19" s="1"/>
  <c r="Q29" i="19"/>
  <c r="P29" i="19"/>
  <c r="O29" i="19"/>
  <c r="N29" i="19"/>
  <c r="M29" i="19"/>
  <c r="L29" i="19"/>
  <c r="K29" i="19"/>
  <c r="J29" i="19"/>
  <c r="I29" i="19"/>
  <c r="H29" i="19"/>
  <c r="AH29" i="19" s="1"/>
  <c r="G29" i="19"/>
  <c r="AG29" i="19" s="1"/>
  <c r="F29" i="19"/>
  <c r="AF29" i="19" s="1"/>
  <c r="E29" i="19"/>
  <c r="AE29" i="19" s="1"/>
  <c r="D29" i="19"/>
  <c r="AD29" i="19" s="1"/>
  <c r="C29" i="19"/>
  <c r="AC29" i="19" s="1"/>
  <c r="B29" i="19"/>
  <c r="AB29" i="19" s="1"/>
  <c r="A29" i="19"/>
  <c r="AA29" i="19" s="1"/>
  <c r="Q28" i="19"/>
  <c r="P28" i="19"/>
  <c r="O28" i="19"/>
  <c r="N28" i="19"/>
  <c r="M28" i="19"/>
  <c r="L28" i="19"/>
  <c r="K28" i="19"/>
  <c r="J28" i="19"/>
  <c r="I28" i="19"/>
  <c r="H28" i="19"/>
  <c r="AH28" i="19" s="1"/>
  <c r="G28" i="19"/>
  <c r="AG28" i="19" s="1"/>
  <c r="F28" i="19"/>
  <c r="AF28" i="19" s="1"/>
  <c r="E28" i="19"/>
  <c r="AE28" i="19" s="1"/>
  <c r="D28" i="19"/>
  <c r="AD28" i="19" s="1"/>
  <c r="C28" i="19"/>
  <c r="AC28" i="19" s="1"/>
  <c r="B28" i="19"/>
  <c r="A28" i="19"/>
  <c r="AA28" i="19" s="1"/>
  <c r="AA27" i="19"/>
  <c r="Q27" i="19"/>
  <c r="P27" i="19"/>
  <c r="O27" i="19"/>
  <c r="N27" i="19"/>
  <c r="M27" i="19"/>
  <c r="L27" i="19"/>
  <c r="K27" i="19"/>
  <c r="J27" i="19"/>
  <c r="I27" i="19"/>
  <c r="H27" i="19"/>
  <c r="AH27" i="19" s="1"/>
  <c r="G27" i="19"/>
  <c r="AG27" i="19" s="1"/>
  <c r="F27" i="19"/>
  <c r="AF27" i="19" s="1"/>
  <c r="E27" i="19"/>
  <c r="AE27" i="19" s="1"/>
  <c r="D27" i="19"/>
  <c r="AD27" i="19" s="1"/>
  <c r="C27" i="19"/>
  <c r="AC27" i="19" s="1"/>
  <c r="B27" i="19"/>
  <c r="AB27" i="19" s="1"/>
  <c r="A27" i="19"/>
  <c r="Q26" i="19"/>
  <c r="P26" i="19"/>
  <c r="O26" i="19"/>
  <c r="N26" i="19"/>
  <c r="M26" i="19"/>
  <c r="L26" i="19"/>
  <c r="K26" i="19"/>
  <c r="J26" i="19"/>
  <c r="I26" i="19"/>
  <c r="H26" i="19"/>
  <c r="AH26" i="19" s="1"/>
  <c r="G26" i="19"/>
  <c r="AG26" i="19" s="1"/>
  <c r="F26" i="19"/>
  <c r="AF26" i="19" s="1"/>
  <c r="E26" i="19"/>
  <c r="AE26" i="19" s="1"/>
  <c r="D26" i="19"/>
  <c r="AD26" i="19" s="1"/>
  <c r="C26" i="19"/>
  <c r="AC26" i="19" s="1"/>
  <c r="B26" i="19"/>
  <c r="AB26" i="19" s="1"/>
  <c r="A26" i="19"/>
  <c r="AA26" i="19" s="1"/>
  <c r="Q25" i="19"/>
  <c r="P25" i="19"/>
  <c r="O25" i="19"/>
  <c r="N25" i="19"/>
  <c r="M25" i="19"/>
  <c r="L25" i="19"/>
  <c r="K25" i="19"/>
  <c r="J25" i="19"/>
  <c r="I25" i="19"/>
  <c r="H25" i="19"/>
  <c r="AH25" i="19" s="1"/>
  <c r="G25" i="19"/>
  <c r="AG25" i="19" s="1"/>
  <c r="F25" i="19"/>
  <c r="AF25" i="19" s="1"/>
  <c r="E25" i="19"/>
  <c r="AE25" i="19" s="1"/>
  <c r="D25" i="19"/>
  <c r="AD25" i="19" s="1"/>
  <c r="C25" i="19"/>
  <c r="AC25" i="19" s="1"/>
  <c r="B25" i="19"/>
  <c r="AB25" i="19" s="1"/>
  <c r="A25" i="19"/>
  <c r="AA25" i="19" s="1"/>
  <c r="AD24" i="19"/>
  <c r="Q24" i="19"/>
  <c r="P24" i="19"/>
  <c r="O24" i="19"/>
  <c r="N24" i="19"/>
  <c r="M24" i="19"/>
  <c r="L24" i="19"/>
  <c r="K24" i="19"/>
  <c r="J24" i="19"/>
  <c r="I24" i="19"/>
  <c r="H24" i="19"/>
  <c r="AH24" i="19" s="1"/>
  <c r="G24" i="19"/>
  <c r="AG24" i="19" s="1"/>
  <c r="F24" i="19"/>
  <c r="AF24" i="19" s="1"/>
  <c r="E24" i="19"/>
  <c r="AE24" i="19" s="1"/>
  <c r="D24" i="19"/>
  <c r="C24" i="19"/>
  <c r="AC24" i="19" s="1"/>
  <c r="B24" i="19"/>
  <c r="AB24" i="19" s="1"/>
  <c r="A24" i="19"/>
  <c r="AA24" i="19" s="1"/>
  <c r="Q23" i="19"/>
  <c r="P23" i="19"/>
  <c r="O23" i="19"/>
  <c r="N23" i="19"/>
  <c r="M23" i="19"/>
  <c r="L23" i="19"/>
  <c r="K23" i="19"/>
  <c r="J23" i="19"/>
  <c r="I23" i="19"/>
  <c r="H23" i="19"/>
  <c r="AH23" i="19" s="1"/>
  <c r="G23" i="19"/>
  <c r="AG23" i="19" s="1"/>
  <c r="F23" i="19"/>
  <c r="AF23" i="19" s="1"/>
  <c r="E23" i="19"/>
  <c r="AE23" i="19" s="1"/>
  <c r="D23" i="19"/>
  <c r="AD23" i="19" s="1"/>
  <c r="C23" i="19"/>
  <c r="AC23" i="19" s="1"/>
  <c r="B23" i="19"/>
  <c r="AB23" i="19" s="1"/>
  <c r="A23" i="19"/>
  <c r="AA23" i="19" s="1"/>
  <c r="Q22" i="19"/>
  <c r="P22" i="19"/>
  <c r="O22" i="19"/>
  <c r="N22" i="19"/>
  <c r="M22" i="19"/>
  <c r="L22" i="19"/>
  <c r="K22" i="19"/>
  <c r="J22" i="19"/>
  <c r="I22" i="19"/>
  <c r="H22" i="19"/>
  <c r="AH22" i="19" s="1"/>
  <c r="G22" i="19"/>
  <c r="AG22" i="19" s="1"/>
  <c r="F22" i="19"/>
  <c r="AF22" i="19" s="1"/>
  <c r="E22" i="19"/>
  <c r="AE22" i="19" s="1"/>
  <c r="D22" i="19"/>
  <c r="AD22" i="19" s="1"/>
  <c r="C22" i="19"/>
  <c r="AC22" i="19" s="1"/>
  <c r="B22" i="19"/>
  <c r="AB22" i="19" s="1"/>
  <c r="A22" i="19"/>
  <c r="AA22" i="19" s="1"/>
  <c r="Q21" i="19"/>
  <c r="P21" i="19"/>
  <c r="O21" i="19"/>
  <c r="N21" i="19"/>
  <c r="M21" i="19"/>
  <c r="L21" i="19"/>
  <c r="K21" i="19"/>
  <c r="J21" i="19"/>
  <c r="I21" i="19"/>
  <c r="H21" i="19"/>
  <c r="AH21" i="19" s="1"/>
  <c r="G21" i="19"/>
  <c r="AG21" i="19" s="1"/>
  <c r="F21" i="19"/>
  <c r="AF21" i="19" s="1"/>
  <c r="E21" i="19"/>
  <c r="AE21" i="19" s="1"/>
  <c r="D21" i="19"/>
  <c r="AD21" i="19" s="1"/>
  <c r="C21" i="19"/>
  <c r="AC21" i="19" s="1"/>
  <c r="B21" i="19"/>
  <c r="AB21" i="19" s="1"/>
  <c r="A21" i="19"/>
  <c r="AA21" i="19" s="1"/>
  <c r="AH20" i="19"/>
  <c r="AG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AF20" i="19" s="1"/>
  <c r="E20" i="19"/>
  <c r="AE20" i="19" s="1"/>
  <c r="D20" i="19"/>
  <c r="AD20" i="19" s="1"/>
  <c r="C20" i="19"/>
  <c r="AC20" i="19" s="1"/>
  <c r="B20" i="19"/>
  <c r="AB20" i="19" s="1"/>
  <c r="A20" i="19"/>
  <c r="AA20" i="19" s="1"/>
  <c r="Q19" i="19"/>
  <c r="P19" i="19"/>
  <c r="O19" i="19"/>
  <c r="N19" i="19"/>
  <c r="M19" i="19"/>
  <c r="L19" i="19"/>
  <c r="K19" i="19"/>
  <c r="J19" i="19"/>
  <c r="I19" i="19"/>
  <c r="H19" i="19"/>
  <c r="AH19" i="19" s="1"/>
  <c r="G19" i="19"/>
  <c r="AG19" i="19" s="1"/>
  <c r="F19" i="19"/>
  <c r="AF19" i="19" s="1"/>
  <c r="E19" i="19"/>
  <c r="AE19" i="19" s="1"/>
  <c r="D19" i="19"/>
  <c r="AD19" i="19" s="1"/>
  <c r="C19" i="19"/>
  <c r="AC19" i="19" s="1"/>
  <c r="B19" i="19"/>
  <c r="AB19" i="19" s="1"/>
  <c r="A19" i="19"/>
  <c r="AA19" i="19" s="1"/>
  <c r="AF18" i="19"/>
  <c r="AE18" i="19"/>
  <c r="Q18" i="19"/>
  <c r="P18" i="19"/>
  <c r="O18" i="19"/>
  <c r="N18" i="19"/>
  <c r="M18" i="19"/>
  <c r="L18" i="19"/>
  <c r="K18" i="19"/>
  <c r="J18" i="19"/>
  <c r="I18" i="19"/>
  <c r="H18" i="19"/>
  <c r="AH18" i="19" s="1"/>
  <c r="G18" i="19"/>
  <c r="AG18" i="19" s="1"/>
  <c r="F18" i="19"/>
  <c r="E18" i="19"/>
  <c r="D18" i="19"/>
  <c r="AD18" i="19" s="1"/>
  <c r="C18" i="19"/>
  <c r="AC18" i="19" s="1"/>
  <c r="B18" i="19"/>
  <c r="AB18" i="19" s="1"/>
  <c r="A18" i="19"/>
  <c r="AA18" i="19" s="1"/>
  <c r="Q17" i="19"/>
  <c r="P17" i="19"/>
  <c r="O17" i="19"/>
  <c r="N17" i="19"/>
  <c r="M17" i="19"/>
  <c r="L17" i="19"/>
  <c r="K17" i="19"/>
  <c r="J17" i="19"/>
  <c r="I17" i="19"/>
  <c r="H17" i="19"/>
  <c r="AH17" i="19" s="1"/>
  <c r="G17" i="19"/>
  <c r="AG17" i="19" s="1"/>
  <c r="F17" i="19"/>
  <c r="AF17" i="19" s="1"/>
  <c r="E17" i="19"/>
  <c r="AE17" i="19" s="1"/>
  <c r="D17" i="19"/>
  <c r="AD17" i="19" s="1"/>
  <c r="C17" i="19"/>
  <c r="AC17" i="19" s="1"/>
  <c r="B17" i="19"/>
  <c r="AB17" i="19" s="1"/>
  <c r="A17" i="19"/>
  <c r="AA17" i="19" s="1"/>
  <c r="Q16" i="19"/>
  <c r="P16" i="19"/>
  <c r="O16" i="19"/>
  <c r="N16" i="19"/>
  <c r="M16" i="19"/>
  <c r="L16" i="19"/>
  <c r="K16" i="19"/>
  <c r="J16" i="19"/>
  <c r="I16" i="19"/>
  <c r="H16" i="19"/>
  <c r="AH16" i="19" s="1"/>
  <c r="G16" i="19"/>
  <c r="AG16" i="19" s="1"/>
  <c r="F16" i="19"/>
  <c r="AF16" i="19" s="1"/>
  <c r="E16" i="19"/>
  <c r="AE16" i="19" s="1"/>
  <c r="D16" i="19"/>
  <c r="AD16" i="19" s="1"/>
  <c r="C16" i="19"/>
  <c r="AC16" i="19" s="1"/>
  <c r="B16" i="19"/>
  <c r="AB16" i="19" s="1"/>
  <c r="A16" i="19"/>
  <c r="AA16" i="19" s="1"/>
  <c r="Q15" i="19"/>
  <c r="P15" i="19"/>
  <c r="O15" i="19"/>
  <c r="N15" i="19"/>
  <c r="M15" i="19"/>
  <c r="L15" i="19"/>
  <c r="K15" i="19"/>
  <c r="J15" i="19"/>
  <c r="I15" i="19"/>
  <c r="H15" i="19"/>
  <c r="AH15" i="19" s="1"/>
  <c r="G15" i="19"/>
  <c r="AG15" i="19" s="1"/>
  <c r="F15" i="19"/>
  <c r="AF15" i="19" s="1"/>
  <c r="E15" i="19"/>
  <c r="AE15" i="19" s="1"/>
  <c r="D15" i="19"/>
  <c r="AD15" i="19" s="1"/>
  <c r="C15" i="19"/>
  <c r="AC15" i="19" s="1"/>
  <c r="B15" i="19"/>
  <c r="AB15" i="19" s="1"/>
  <c r="A15" i="19"/>
  <c r="AA15" i="19" s="1"/>
  <c r="AD14" i="19"/>
  <c r="Q14" i="19"/>
  <c r="P14" i="19"/>
  <c r="O14" i="19"/>
  <c r="N14" i="19"/>
  <c r="M14" i="19"/>
  <c r="L14" i="19"/>
  <c r="K14" i="19"/>
  <c r="J14" i="19"/>
  <c r="I14" i="19"/>
  <c r="H14" i="19"/>
  <c r="AH14" i="19" s="1"/>
  <c r="G14" i="19"/>
  <c r="AG14" i="19" s="1"/>
  <c r="F14" i="19"/>
  <c r="AF14" i="19" s="1"/>
  <c r="E14" i="19"/>
  <c r="AE14" i="19" s="1"/>
  <c r="D14" i="19"/>
  <c r="C14" i="19"/>
  <c r="AC14" i="19" s="1"/>
  <c r="B14" i="19"/>
  <c r="AB14" i="19" s="1"/>
  <c r="A14" i="19"/>
  <c r="AA14" i="19" s="1"/>
  <c r="Q13" i="19"/>
  <c r="P13" i="19"/>
  <c r="O13" i="19"/>
  <c r="N13" i="19"/>
  <c r="M13" i="19"/>
  <c r="L13" i="19"/>
  <c r="K13" i="19"/>
  <c r="J13" i="19"/>
  <c r="I13" i="19"/>
  <c r="H13" i="19"/>
  <c r="AH13" i="19" s="1"/>
  <c r="G13" i="19"/>
  <c r="AG13" i="19" s="1"/>
  <c r="F13" i="19"/>
  <c r="AF13" i="19" s="1"/>
  <c r="E13" i="19"/>
  <c r="AE13" i="19" s="1"/>
  <c r="D13" i="19"/>
  <c r="AD13" i="19" s="1"/>
  <c r="C13" i="19"/>
  <c r="AC13" i="19" s="1"/>
  <c r="B13" i="19"/>
  <c r="AB13" i="19" s="1"/>
  <c r="A13" i="19"/>
  <c r="AA13" i="19" s="1"/>
  <c r="Q12" i="19"/>
  <c r="P12" i="19"/>
  <c r="O12" i="19"/>
  <c r="N12" i="19"/>
  <c r="M12" i="19"/>
  <c r="L12" i="19"/>
  <c r="K12" i="19"/>
  <c r="J12" i="19"/>
  <c r="I12" i="19"/>
  <c r="H12" i="19"/>
  <c r="AH12" i="19" s="1"/>
  <c r="G12" i="19"/>
  <c r="AG12" i="19" s="1"/>
  <c r="F12" i="19"/>
  <c r="AF12" i="19" s="1"/>
  <c r="E12" i="19"/>
  <c r="AE12" i="19" s="1"/>
  <c r="D12" i="19"/>
  <c r="AD12" i="19" s="1"/>
  <c r="C12" i="19"/>
  <c r="AC12" i="19" s="1"/>
  <c r="B12" i="19"/>
  <c r="AB12" i="19" s="1"/>
  <c r="A12" i="19"/>
  <c r="AA12" i="19" s="1"/>
  <c r="Q11" i="19"/>
  <c r="P11" i="19"/>
  <c r="O11" i="19"/>
  <c r="N11" i="19"/>
  <c r="M11" i="19"/>
  <c r="L11" i="19"/>
  <c r="K11" i="19"/>
  <c r="J11" i="19"/>
  <c r="I11" i="19"/>
  <c r="H11" i="19"/>
  <c r="AH11" i="19" s="1"/>
  <c r="G11" i="19"/>
  <c r="AG11" i="19" s="1"/>
  <c r="F11" i="19"/>
  <c r="AF11" i="19" s="1"/>
  <c r="E11" i="19"/>
  <c r="AE11" i="19" s="1"/>
  <c r="D11" i="19"/>
  <c r="AD11" i="19" s="1"/>
  <c r="C11" i="19"/>
  <c r="AC11" i="19" s="1"/>
  <c r="B11" i="19"/>
  <c r="AB11" i="19" s="1"/>
  <c r="A11" i="19"/>
  <c r="AA11" i="19" s="1"/>
  <c r="Q10" i="19"/>
  <c r="P10" i="19"/>
  <c r="O10" i="19"/>
  <c r="N10" i="19"/>
  <c r="M10" i="19"/>
  <c r="L10" i="19"/>
  <c r="K10" i="19"/>
  <c r="J10" i="19"/>
  <c r="I10" i="19"/>
  <c r="H10" i="19"/>
  <c r="AH10" i="19" s="1"/>
  <c r="G10" i="19"/>
  <c r="AG10" i="19" s="1"/>
  <c r="F10" i="19"/>
  <c r="AF10" i="19" s="1"/>
  <c r="E10" i="19"/>
  <c r="AE10" i="19" s="1"/>
  <c r="D10" i="19"/>
  <c r="AD10" i="19" s="1"/>
  <c r="C10" i="19"/>
  <c r="AC10" i="19" s="1"/>
  <c r="B10" i="19"/>
  <c r="AB10" i="19" s="1"/>
  <c r="A10" i="19"/>
  <c r="AA10" i="19" s="1"/>
  <c r="AE9" i="19"/>
  <c r="Q9" i="19"/>
  <c r="P9" i="19"/>
  <c r="O9" i="19"/>
  <c r="N9" i="19"/>
  <c r="M9" i="19"/>
  <c r="L9" i="19"/>
  <c r="K9" i="19"/>
  <c r="J9" i="19"/>
  <c r="I9" i="19"/>
  <c r="H9" i="19"/>
  <c r="AH9" i="19" s="1"/>
  <c r="G9" i="19"/>
  <c r="AG9" i="19" s="1"/>
  <c r="F9" i="19"/>
  <c r="AF9" i="19" s="1"/>
  <c r="E9" i="19"/>
  <c r="D9" i="19"/>
  <c r="AD9" i="19" s="1"/>
  <c r="C9" i="19"/>
  <c r="AC9" i="19" s="1"/>
  <c r="B9" i="19"/>
  <c r="AB9" i="19" s="1"/>
  <c r="A9" i="19"/>
  <c r="AA9" i="19" s="1"/>
  <c r="Q8" i="19"/>
  <c r="P8" i="19"/>
  <c r="O8" i="19"/>
  <c r="N8" i="19"/>
  <c r="M8" i="19"/>
  <c r="L8" i="19"/>
  <c r="K8" i="19"/>
  <c r="J8" i="19"/>
  <c r="I8" i="19"/>
  <c r="H8" i="19"/>
  <c r="AH8" i="19" s="1"/>
  <c r="G8" i="19"/>
  <c r="AG8" i="19" s="1"/>
  <c r="F8" i="19"/>
  <c r="AF8" i="19" s="1"/>
  <c r="E8" i="19"/>
  <c r="AE8" i="19" s="1"/>
  <c r="D8" i="19"/>
  <c r="AD8" i="19" s="1"/>
  <c r="C8" i="19"/>
  <c r="AC8" i="19" s="1"/>
  <c r="B8" i="19"/>
  <c r="AB8" i="19" s="1"/>
  <c r="A8" i="19"/>
  <c r="AA8" i="19" s="1"/>
  <c r="Q7" i="19"/>
  <c r="P7" i="19"/>
  <c r="O7" i="19"/>
  <c r="N7" i="19"/>
  <c r="M7" i="19"/>
  <c r="L7" i="19"/>
  <c r="K7" i="19"/>
  <c r="J7" i="19"/>
  <c r="I7" i="19"/>
  <c r="H7" i="19"/>
  <c r="AH7" i="19" s="1"/>
  <c r="G7" i="19"/>
  <c r="AG7" i="19" s="1"/>
  <c r="F7" i="19"/>
  <c r="AF7" i="19" s="1"/>
  <c r="E7" i="19"/>
  <c r="AE7" i="19" s="1"/>
  <c r="D7" i="19"/>
  <c r="AD7" i="19" s="1"/>
  <c r="C7" i="19"/>
  <c r="AC7" i="19" s="1"/>
  <c r="B7" i="19"/>
  <c r="AB7" i="19" s="1"/>
  <c r="A7" i="19"/>
  <c r="AA7" i="19" s="1"/>
  <c r="AH6" i="19"/>
  <c r="Q6" i="19"/>
  <c r="P6" i="19"/>
  <c r="O6" i="19"/>
  <c r="N6" i="19"/>
  <c r="M6" i="19"/>
  <c r="L6" i="19"/>
  <c r="K6" i="19"/>
  <c r="J6" i="19"/>
  <c r="I6" i="19"/>
  <c r="H6" i="19"/>
  <c r="G6" i="19"/>
  <c r="AG6" i="19" s="1"/>
  <c r="F6" i="19"/>
  <c r="AF6" i="19" s="1"/>
  <c r="E6" i="19"/>
  <c r="AE6" i="19" s="1"/>
  <c r="D6" i="19"/>
  <c r="AD6" i="19" s="1"/>
  <c r="C6" i="19"/>
  <c r="AC6" i="19" s="1"/>
  <c r="B6" i="19"/>
  <c r="AB6" i="19" s="1"/>
  <c r="A6" i="19"/>
  <c r="AA6" i="19" s="1"/>
  <c r="Q5" i="19"/>
  <c r="P5" i="19"/>
  <c r="O5" i="19"/>
  <c r="N5" i="19"/>
  <c r="M5" i="19"/>
  <c r="L5" i="19"/>
  <c r="K5" i="19"/>
  <c r="J5" i="19"/>
  <c r="I5" i="19"/>
  <c r="H5" i="19"/>
  <c r="AH5" i="19" s="1"/>
  <c r="G5" i="19"/>
  <c r="AG5" i="19" s="1"/>
  <c r="F5" i="19"/>
  <c r="AF5" i="19" s="1"/>
  <c r="E5" i="19"/>
  <c r="AE5" i="19" s="1"/>
  <c r="D5" i="19"/>
  <c r="AD5" i="19" s="1"/>
  <c r="C5" i="19"/>
  <c r="AC5" i="19" s="1"/>
  <c r="B5" i="19"/>
  <c r="AB5" i="19" s="1"/>
  <c r="A5" i="19"/>
  <c r="AA5" i="19" s="1"/>
  <c r="Q4" i="19"/>
  <c r="P4" i="19"/>
  <c r="O4" i="19"/>
  <c r="N4" i="19"/>
  <c r="M4" i="19"/>
  <c r="L4" i="19"/>
  <c r="K4" i="19"/>
  <c r="J4" i="19"/>
  <c r="I4" i="19"/>
  <c r="H4" i="19"/>
  <c r="AH4" i="19" s="1"/>
  <c r="G4" i="19"/>
  <c r="AG4" i="19" s="1"/>
  <c r="F4" i="19"/>
  <c r="AF4" i="19" s="1"/>
  <c r="E4" i="19"/>
  <c r="AE4" i="19" s="1"/>
  <c r="D4" i="19"/>
  <c r="AD4" i="19" s="1"/>
  <c r="C4" i="19"/>
  <c r="AC4" i="19" s="1"/>
  <c r="B4" i="19"/>
  <c r="AB4" i="19" s="1"/>
  <c r="A4" i="19"/>
  <c r="AA4" i="19" s="1"/>
  <c r="Q3" i="19"/>
  <c r="P3" i="19"/>
  <c r="O3" i="19"/>
  <c r="N3" i="19"/>
  <c r="M3" i="19"/>
  <c r="L3" i="19"/>
  <c r="K3" i="19"/>
  <c r="J3" i="19"/>
  <c r="I3" i="19"/>
  <c r="H3" i="19"/>
  <c r="AH3" i="19" s="1"/>
  <c r="G3" i="19"/>
  <c r="AG3" i="19" s="1"/>
  <c r="F3" i="19"/>
  <c r="AF3" i="19" s="1"/>
  <c r="E3" i="19"/>
  <c r="AE3" i="19" s="1"/>
  <c r="D3" i="19"/>
  <c r="AD3" i="19" s="1"/>
  <c r="C3" i="19"/>
  <c r="AC3" i="19" s="1"/>
  <c r="B3" i="19"/>
  <c r="AB3" i="19" s="1"/>
  <c r="A3" i="19"/>
  <c r="AA3" i="19" s="1"/>
  <c r="AF5" i="17"/>
  <c r="AG5" i="17"/>
  <c r="Z6" i="17"/>
  <c r="AH6" i="17" s="1"/>
  <c r="AB6" i="17"/>
  <c r="AC6" i="17"/>
  <c r="AE10" i="17"/>
  <c r="AF10" i="17"/>
  <c r="AG10" i="17"/>
  <c r="Z13" i="17"/>
  <c r="AA13" i="17"/>
  <c r="AB13" i="17"/>
  <c r="AC13" i="17"/>
  <c r="AG13" i="17"/>
  <c r="AE14" i="17"/>
  <c r="AG14" i="17"/>
  <c r="AB15" i="17"/>
  <c r="AC15" i="17"/>
  <c r="AD16" i="17"/>
  <c r="AD17" i="17"/>
  <c r="AE17" i="17"/>
  <c r="AI17" i="17" s="1"/>
  <c r="AG17" i="17"/>
  <c r="AB18" i="17"/>
  <c r="AC18" i="17"/>
  <c r="AC19" i="17"/>
  <c r="AF19" i="17"/>
  <c r="AG19" i="17"/>
  <c r="Z21" i="17"/>
  <c r="AC22" i="17"/>
  <c r="AD22" i="17"/>
  <c r="AE22" i="17"/>
  <c r="AF22" i="17"/>
  <c r="Z25" i="17"/>
  <c r="AA25" i="17"/>
  <c r="AC25" i="17"/>
  <c r="AG26" i="17"/>
  <c r="AC27" i="17"/>
  <c r="AD28" i="17"/>
  <c r="AE28" i="17"/>
  <c r="AE29" i="17"/>
  <c r="AF29" i="17"/>
  <c r="AG29" i="17"/>
  <c r="AB30" i="17"/>
  <c r="AJ30" i="17" s="1"/>
  <c r="AC30" i="17"/>
  <c r="AC31" i="17"/>
  <c r="AD34" i="17"/>
  <c r="AE34" i="17"/>
  <c r="AF34" i="17"/>
  <c r="Z37" i="17"/>
  <c r="AA37" i="17"/>
  <c r="AB37" i="17"/>
  <c r="AC37" i="17"/>
  <c r="AG37" i="17"/>
  <c r="AC39" i="17"/>
  <c r="AF41" i="17"/>
  <c r="AG41" i="17"/>
  <c r="Z42" i="17"/>
  <c r="AH42" i="17" s="1"/>
  <c r="AB42" i="17"/>
  <c r="AB3" i="17"/>
  <c r="AD3" i="17"/>
  <c r="AE3" i="17"/>
  <c r="A3" i="17"/>
  <c r="Z3" i="17" s="1"/>
  <c r="B3" i="17"/>
  <c r="AA3" i="17" s="1"/>
  <c r="C3" i="17"/>
  <c r="D3" i="17"/>
  <c r="AC3" i="17" s="1"/>
  <c r="E3" i="17"/>
  <c r="F3" i="17"/>
  <c r="G3" i="17"/>
  <c r="AF3" i="17" s="1"/>
  <c r="H3" i="17"/>
  <c r="AG3" i="17" s="1"/>
  <c r="I3" i="17"/>
  <c r="J3" i="17"/>
  <c r="K3" i="17"/>
  <c r="L3" i="17"/>
  <c r="M3" i="17"/>
  <c r="N3" i="17"/>
  <c r="O3" i="17"/>
  <c r="P3" i="17"/>
  <c r="Q3" i="17"/>
  <c r="A4" i="17"/>
  <c r="Z4" i="17" s="1"/>
  <c r="B4" i="17"/>
  <c r="AA4" i="17" s="1"/>
  <c r="C4" i="17"/>
  <c r="AB4" i="17" s="1"/>
  <c r="D4" i="17"/>
  <c r="AC4" i="17" s="1"/>
  <c r="E4" i="17"/>
  <c r="AD4" i="17" s="1"/>
  <c r="F4" i="17"/>
  <c r="AE4" i="17" s="1"/>
  <c r="G4" i="17"/>
  <c r="AF4" i="17" s="1"/>
  <c r="H4" i="17"/>
  <c r="AG4" i="17" s="1"/>
  <c r="I4" i="17"/>
  <c r="J4" i="17"/>
  <c r="K4" i="17"/>
  <c r="L4" i="17"/>
  <c r="M4" i="17"/>
  <c r="N4" i="17"/>
  <c r="O4" i="17"/>
  <c r="P4" i="17"/>
  <c r="Q4" i="17"/>
  <c r="A5" i="17"/>
  <c r="Z5" i="17" s="1"/>
  <c r="B5" i="17"/>
  <c r="AA5" i="17" s="1"/>
  <c r="C5" i="17"/>
  <c r="AB5" i="17" s="1"/>
  <c r="AJ5" i="17" s="1"/>
  <c r="D5" i="17"/>
  <c r="AC5" i="17" s="1"/>
  <c r="E5" i="17"/>
  <c r="AD5" i="17" s="1"/>
  <c r="F5" i="17"/>
  <c r="AE5" i="17" s="1"/>
  <c r="G5" i="17"/>
  <c r="H5" i="17"/>
  <c r="I5" i="17"/>
  <c r="J5" i="17"/>
  <c r="K5" i="17"/>
  <c r="L5" i="17"/>
  <c r="M5" i="17"/>
  <c r="N5" i="17"/>
  <c r="O5" i="17"/>
  <c r="P5" i="17"/>
  <c r="Q5" i="17"/>
  <c r="A6" i="17"/>
  <c r="B6" i="17"/>
  <c r="AA6" i="17" s="1"/>
  <c r="C6" i="17"/>
  <c r="D6" i="17"/>
  <c r="E6" i="17"/>
  <c r="AD6" i="17" s="1"/>
  <c r="F6" i="17"/>
  <c r="AE6" i="17" s="1"/>
  <c r="G6" i="17"/>
  <c r="AF6" i="17" s="1"/>
  <c r="H6" i="17"/>
  <c r="AG6" i="17" s="1"/>
  <c r="I6" i="17"/>
  <c r="J6" i="17"/>
  <c r="K6" i="17"/>
  <c r="L6" i="17"/>
  <c r="M6" i="17"/>
  <c r="N6" i="17"/>
  <c r="O6" i="17"/>
  <c r="P6" i="17"/>
  <c r="Q6" i="17"/>
  <c r="A7" i="17"/>
  <c r="Z7" i="17" s="1"/>
  <c r="B7" i="17"/>
  <c r="AA7" i="17" s="1"/>
  <c r="C7" i="17"/>
  <c r="AB7" i="17" s="1"/>
  <c r="D7" i="17"/>
  <c r="AC7" i="17" s="1"/>
  <c r="E7" i="17"/>
  <c r="AD7" i="17" s="1"/>
  <c r="F7" i="17"/>
  <c r="AE7" i="17" s="1"/>
  <c r="G7" i="17"/>
  <c r="AF7" i="17" s="1"/>
  <c r="H7" i="17"/>
  <c r="AG7" i="17" s="1"/>
  <c r="I7" i="17"/>
  <c r="J7" i="17"/>
  <c r="K7" i="17"/>
  <c r="L7" i="17"/>
  <c r="M7" i="17"/>
  <c r="N7" i="17"/>
  <c r="O7" i="17"/>
  <c r="P7" i="17"/>
  <c r="Q7" i="17"/>
  <c r="A8" i="17"/>
  <c r="Z8" i="17" s="1"/>
  <c r="AH8" i="17" s="1"/>
  <c r="B8" i="17"/>
  <c r="AA8" i="17" s="1"/>
  <c r="C8" i="17"/>
  <c r="AB8" i="17" s="1"/>
  <c r="D8" i="17"/>
  <c r="AC8" i="17" s="1"/>
  <c r="E8" i="17"/>
  <c r="AD8" i="17" s="1"/>
  <c r="F8" i="17"/>
  <c r="AE8" i="17" s="1"/>
  <c r="G8" i="17"/>
  <c r="AF8" i="17" s="1"/>
  <c r="H8" i="17"/>
  <c r="AG8" i="17" s="1"/>
  <c r="I8" i="17"/>
  <c r="J8" i="17"/>
  <c r="K8" i="17"/>
  <c r="L8" i="17"/>
  <c r="M8" i="17"/>
  <c r="N8" i="17"/>
  <c r="O8" i="17"/>
  <c r="P8" i="17"/>
  <c r="Q8" i="17"/>
  <c r="A9" i="17"/>
  <c r="Z9" i="17" s="1"/>
  <c r="B9" i="17"/>
  <c r="AA9" i="17" s="1"/>
  <c r="C9" i="17"/>
  <c r="AB9" i="17" s="1"/>
  <c r="D9" i="17"/>
  <c r="AC9" i="17" s="1"/>
  <c r="E9" i="17"/>
  <c r="AD9" i="17" s="1"/>
  <c r="F9" i="17"/>
  <c r="AE9" i="17" s="1"/>
  <c r="G9" i="17"/>
  <c r="AF9" i="17" s="1"/>
  <c r="H9" i="17"/>
  <c r="AG9" i="17" s="1"/>
  <c r="I9" i="17"/>
  <c r="J9" i="17"/>
  <c r="K9" i="17"/>
  <c r="L9" i="17"/>
  <c r="M9" i="17"/>
  <c r="N9" i="17"/>
  <c r="O9" i="17"/>
  <c r="P9" i="17"/>
  <c r="Q9" i="17"/>
  <c r="A10" i="17"/>
  <c r="Z10" i="17" s="1"/>
  <c r="B10" i="17"/>
  <c r="AA10" i="17" s="1"/>
  <c r="AI10" i="17" s="1"/>
  <c r="C10" i="17"/>
  <c r="AB10" i="17" s="1"/>
  <c r="D10" i="17"/>
  <c r="AC10" i="17" s="1"/>
  <c r="E10" i="17"/>
  <c r="AD10" i="17" s="1"/>
  <c r="F10" i="17"/>
  <c r="G10" i="17"/>
  <c r="H10" i="17"/>
  <c r="I10" i="17"/>
  <c r="J10" i="17"/>
  <c r="K10" i="17"/>
  <c r="L10" i="17"/>
  <c r="M10" i="17"/>
  <c r="N10" i="17"/>
  <c r="O10" i="17"/>
  <c r="P10" i="17"/>
  <c r="Q10" i="17"/>
  <c r="A11" i="17"/>
  <c r="Z11" i="17" s="1"/>
  <c r="B11" i="17"/>
  <c r="AA11" i="17" s="1"/>
  <c r="C11" i="17"/>
  <c r="AB11" i="17" s="1"/>
  <c r="AJ11" i="17" s="1"/>
  <c r="D11" i="17"/>
  <c r="AC11" i="17" s="1"/>
  <c r="E11" i="17"/>
  <c r="AD11" i="17" s="1"/>
  <c r="F11" i="17"/>
  <c r="AE11" i="17" s="1"/>
  <c r="G11" i="17"/>
  <c r="AF11" i="17" s="1"/>
  <c r="H11" i="17"/>
  <c r="AG11" i="17" s="1"/>
  <c r="I11" i="17"/>
  <c r="J11" i="17"/>
  <c r="K11" i="17"/>
  <c r="L11" i="17"/>
  <c r="M11" i="17"/>
  <c r="N11" i="17"/>
  <c r="O11" i="17"/>
  <c r="P11" i="17"/>
  <c r="Q11" i="17"/>
  <c r="A12" i="17"/>
  <c r="Z12" i="17" s="1"/>
  <c r="B12" i="17"/>
  <c r="AA12" i="17" s="1"/>
  <c r="AI12" i="17" s="1"/>
  <c r="C12" i="17"/>
  <c r="AB12" i="17" s="1"/>
  <c r="AJ12" i="17" s="1"/>
  <c r="D12" i="17"/>
  <c r="AC12" i="17" s="1"/>
  <c r="E12" i="17"/>
  <c r="AD12" i="17" s="1"/>
  <c r="F12" i="17"/>
  <c r="AE12" i="17" s="1"/>
  <c r="G12" i="17"/>
  <c r="AF12" i="17" s="1"/>
  <c r="H12" i="17"/>
  <c r="AG12" i="17" s="1"/>
  <c r="I12" i="17"/>
  <c r="J12" i="17"/>
  <c r="K12" i="17"/>
  <c r="L12" i="17"/>
  <c r="M12" i="17"/>
  <c r="N12" i="17"/>
  <c r="O12" i="17"/>
  <c r="P12" i="17"/>
  <c r="Q12" i="17"/>
  <c r="A13" i="17"/>
  <c r="B13" i="17"/>
  <c r="C13" i="17"/>
  <c r="D13" i="17"/>
  <c r="E13" i="17"/>
  <c r="AD13" i="17" s="1"/>
  <c r="AH13" i="17" s="1"/>
  <c r="F13" i="17"/>
  <c r="AE13" i="17" s="1"/>
  <c r="AI13" i="17" s="1"/>
  <c r="G13" i="17"/>
  <c r="AF13" i="17" s="1"/>
  <c r="H13" i="17"/>
  <c r="I13" i="17"/>
  <c r="J13" i="17"/>
  <c r="K13" i="17"/>
  <c r="L13" i="17"/>
  <c r="M13" i="17"/>
  <c r="N13" i="17"/>
  <c r="O13" i="17"/>
  <c r="P13" i="17"/>
  <c r="Q13" i="17"/>
  <c r="A14" i="17"/>
  <c r="Z14" i="17" s="1"/>
  <c r="B14" i="17"/>
  <c r="AA14" i="17" s="1"/>
  <c r="C14" i="17"/>
  <c r="AB14" i="17" s="1"/>
  <c r="D14" i="17"/>
  <c r="AC14" i="17" s="1"/>
  <c r="E14" i="17"/>
  <c r="AD14" i="17" s="1"/>
  <c r="F14" i="17"/>
  <c r="G14" i="17"/>
  <c r="AF14" i="17" s="1"/>
  <c r="H14" i="17"/>
  <c r="I14" i="17"/>
  <c r="J14" i="17"/>
  <c r="K14" i="17"/>
  <c r="L14" i="17"/>
  <c r="M14" i="17"/>
  <c r="N14" i="17"/>
  <c r="O14" i="17"/>
  <c r="P14" i="17"/>
  <c r="Q14" i="17"/>
  <c r="A15" i="17"/>
  <c r="Z15" i="17" s="1"/>
  <c r="B15" i="17"/>
  <c r="AA15" i="17" s="1"/>
  <c r="C15" i="17"/>
  <c r="D15" i="17"/>
  <c r="E15" i="17"/>
  <c r="AD15" i="17" s="1"/>
  <c r="F15" i="17"/>
  <c r="AE15" i="17" s="1"/>
  <c r="G15" i="17"/>
  <c r="AF15" i="17" s="1"/>
  <c r="H15" i="17"/>
  <c r="AG15" i="17" s="1"/>
  <c r="I15" i="17"/>
  <c r="J15" i="17"/>
  <c r="K15" i="17"/>
  <c r="L15" i="17"/>
  <c r="M15" i="17"/>
  <c r="N15" i="17"/>
  <c r="O15" i="17"/>
  <c r="P15" i="17"/>
  <c r="Q15" i="17"/>
  <c r="A16" i="17"/>
  <c r="Z16" i="17" s="1"/>
  <c r="B16" i="17"/>
  <c r="AA16" i="17" s="1"/>
  <c r="C16" i="17"/>
  <c r="AB16" i="17" s="1"/>
  <c r="D16" i="17"/>
  <c r="AC16" i="17" s="1"/>
  <c r="E16" i="17"/>
  <c r="F16" i="17"/>
  <c r="AE16" i="17" s="1"/>
  <c r="G16" i="17"/>
  <c r="AF16" i="17" s="1"/>
  <c r="H16" i="17"/>
  <c r="AG16" i="17" s="1"/>
  <c r="I16" i="17"/>
  <c r="J16" i="17"/>
  <c r="K16" i="17"/>
  <c r="L16" i="17"/>
  <c r="M16" i="17"/>
  <c r="N16" i="17"/>
  <c r="O16" i="17"/>
  <c r="P16" i="17"/>
  <c r="Q16" i="17"/>
  <c r="A17" i="17"/>
  <c r="Z17" i="17" s="1"/>
  <c r="B17" i="17"/>
  <c r="AA17" i="17" s="1"/>
  <c r="C17" i="17"/>
  <c r="AB17" i="17" s="1"/>
  <c r="D17" i="17"/>
  <c r="AC17" i="17" s="1"/>
  <c r="E17" i="17"/>
  <c r="F17" i="17"/>
  <c r="G17" i="17"/>
  <c r="AF17" i="17" s="1"/>
  <c r="H17" i="17"/>
  <c r="I17" i="17"/>
  <c r="J17" i="17"/>
  <c r="K17" i="17"/>
  <c r="L17" i="17"/>
  <c r="M17" i="17"/>
  <c r="N17" i="17"/>
  <c r="O17" i="17"/>
  <c r="P17" i="17"/>
  <c r="Q17" i="17"/>
  <c r="A18" i="17"/>
  <c r="Z18" i="17" s="1"/>
  <c r="B18" i="17"/>
  <c r="AA18" i="17" s="1"/>
  <c r="AI18" i="17" s="1"/>
  <c r="C18" i="17"/>
  <c r="D18" i="17"/>
  <c r="E18" i="17"/>
  <c r="AD18" i="17" s="1"/>
  <c r="F18" i="17"/>
  <c r="AE18" i="17" s="1"/>
  <c r="G18" i="17"/>
  <c r="AF18" i="17" s="1"/>
  <c r="H18" i="17"/>
  <c r="AG18" i="17" s="1"/>
  <c r="I18" i="17"/>
  <c r="J18" i="17"/>
  <c r="K18" i="17"/>
  <c r="L18" i="17"/>
  <c r="M18" i="17"/>
  <c r="N18" i="17"/>
  <c r="O18" i="17"/>
  <c r="P18" i="17"/>
  <c r="Q18" i="17"/>
  <c r="A19" i="17"/>
  <c r="Z19" i="17" s="1"/>
  <c r="B19" i="17"/>
  <c r="AA19" i="17" s="1"/>
  <c r="C19" i="17"/>
  <c r="AB19" i="17" s="1"/>
  <c r="D19" i="17"/>
  <c r="E19" i="17"/>
  <c r="AD19" i="17" s="1"/>
  <c r="F19" i="17"/>
  <c r="AE19" i="17" s="1"/>
  <c r="G19" i="17"/>
  <c r="H19" i="17"/>
  <c r="I19" i="17"/>
  <c r="J19" i="17"/>
  <c r="K19" i="17"/>
  <c r="L19" i="17"/>
  <c r="M19" i="17"/>
  <c r="N19" i="17"/>
  <c r="O19" i="17"/>
  <c r="P19" i="17"/>
  <c r="Q19" i="17"/>
  <c r="A20" i="17"/>
  <c r="Z20" i="17" s="1"/>
  <c r="AH20" i="17" s="1"/>
  <c r="B20" i="17"/>
  <c r="AA20" i="17" s="1"/>
  <c r="C20" i="17"/>
  <c r="AB20" i="17" s="1"/>
  <c r="D20" i="17"/>
  <c r="AC20" i="17" s="1"/>
  <c r="E20" i="17"/>
  <c r="AD20" i="17" s="1"/>
  <c r="F20" i="17"/>
  <c r="AE20" i="17" s="1"/>
  <c r="G20" i="17"/>
  <c r="AF20" i="17" s="1"/>
  <c r="H20" i="17"/>
  <c r="AG20" i="17" s="1"/>
  <c r="I20" i="17"/>
  <c r="J20" i="17"/>
  <c r="K20" i="17"/>
  <c r="L20" i="17"/>
  <c r="M20" i="17"/>
  <c r="N20" i="17"/>
  <c r="O20" i="17"/>
  <c r="P20" i="17"/>
  <c r="Q20" i="17"/>
  <c r="A21" i="17"/>
  <c r="B21" i="17"/>
  <c r="AA21" i="17" s="1"/>
  <c r="C21" i="17"/>
  <c r="AB21" i="17" s="1"/>
  <c r="D21" i="17"/>
  <c r="AC21" i="17" s="1"/>
  <c r="E21" i="17"/>
  <c r="AD21" i="17" s="1"/>
  <c r="F21" i="17"/>
  <c r="AE21" i="17" s="1"/>
  <c r="G21" i="17"/>
  <c r="AF21" i="17" s="1"/>
  <c r="H21" i="17"/>
  <c r="AG21" i="17" s="1"/>
  <c r="I21" i="17"/>
  <c r="J21" i="17"/>
  <c r="K21" i="17"/>
  <c r="L21" i="17"/>
  <c r="M21" i="17"/>
  <c r="N21" i="17"/>
  <c r="O21" i="17"/>
  <c r="P21" i="17"/>
  <c r="Q21" i="17"/>
  <c r="A22" i="17"/>
  <c r="Z22" i="17" s="1"/>
  <c r="AH22" i="17" s="1"/>
  <c r="B22" i="17"/>
  <c r="AA22" i="17" s="1"/>
  <c r="C22" i="17"/>
  <c r="AB22" i="17" s="1"/>
  <c r="AJ22" i="17" s="1"/>
  <c r="D22" i="17"/>
  <c r="E22" i="17"/>
  <c r="F22" i="17"/>
  <c r="G22" i="17"/>
  <c r="H22" i="17"/>
  <c r="AG22" i="17" s="1"/>
  <c r="I22" i="17"/>
  <c r="J22" i="17"/>
  <c r="K22" i="17"/>
  <c r="L22" i="17"/>
  <c r="M22" i="17"/>
  <c r="N22" i="17"/>
  <c r="O22" i="17"/>
  <c r="P22" i="17"/>
  <c r="Q22" i="17"/>
  <c r="A23" i="17"/>
  <c r="Z23" i="17" s="1"/>
  <c r="B23" i="17"/>
  <c r="AA23" i="17" s="1"/>
  <c r="C23" i="17"/>
  <c r="AB23" i="17" s="1"/>
  <c r="AJ23" i="17" s="1"/>
  <c r="D23" i="17"/>
  <c r="AC23" i="17" s="1"/>
  <c r="E23" i="17"/>
  <c r="AD23" i="17" s="1"/>
  <c r="F23" i="17"/>
  <c r="AE23" i="17" s="1"/>
  <c r="G23" i="17"/>
  <c r="AF23" i="17" s="1"/>
  <c r="H23" i="17"/>
  <c r="AG23" i="17" s="1"/>
  <c r="I23" i="17"/>
  <c r="J23" i="17"/>
  <c r="K23" i="17"/>
  <c r="L23" i="17"/>
  <c r="M23" i="17"/>
  <c r="N23" i="17"/>
  <c r="O23" i="17"/>
  <c r="P23" i="17"/>
  <c r="Q23" i="17"/>
  <c r="A24" i="17"/>
  <c r="Z24" i="17" s="1"/>
  <c r="B24" i="17"/>
  <c r="AA24" i="17" s="1"/>
  <c r="AI24" i="17" s="1"/>
  <c r="C24" i="17"/>
  <c r="AB24" i="17" s="1"/>
  <c r="AJ24" i="17" s="1"/>
  <c r="D24" i="17"/>
  <c r="AC24" i="17" s="1"/>
  <c r="E24" i="17"/>
  <c r="AD24" i="17" s="1"/>
  <c r="F24" i="17"/>
  <c r="AE24" i="17" s="1"/>
  <c r="G24" i="17"/>
  <c r="AF24" i="17" s="1"/>
  <c r="H24" i="17"/>
  <c r="AG24" i="17" s="1"/>
  <c r="I24" i="17"/>
  <c r="J24" i="17"/>
  <c r="K24" i="17"/>
  <c r="L24" i="17"/>
  <c r="M24" i="17"/>
  <c r="N24" i="17"/>
  <c r="O24" i="17"/>
  <c r="P24" i="17"/>
  <c r="Q24" i="17"/>
  <c r="A25" i="17"/>
  <c r="B25" i="17"/>
  <c r="C25" i="17"/>
  <c r="AB25" i="17" s="1"/>
  <c r="D25" i="17"/>
  <c r="E25" i="17"/>
  <c r="AD25" i="17" s="1"/>
  <c r="AH25" i="17" s="1"/>
  <c r="F25" i="17"/>
  <c r="AE25" i="17" s="1"/>
  <c r="G25" i="17"/>
  <c r="AF25" i="17" s="1"/>
  <c r="H25" i="17"/>
  <c r="AG25" i="17" s="1"/>
  <c r="I25" i="17"/>
  <c r="J25" i="17"/>
  <c r="K25" i="17"/>
  <c r="L25" i="17"/>
  <c r="M25" i="17"/>
  <c r="N25" i="17"/>
  <c r="O25" i="17"/>
  <c r="P25" i="17"/>
  <c r="Q25" i="17"/>
  <c r="A26" i="17"/>
  <c r="Z26" i="17" s="1"/>
  <c r="B26" i="17"/>
  <c r="AA26" i="17" s="1"/>
  <c r="C26" i="17"/>
  <c r="AB26" i="17" s="1"/>
  <c r="D26" i="17"/>
  <c r="AC26" i="17" s="1"/>
  <c r="E26" i="17"/>
  <c r="AD26" i="17" s="1"/>
  <c r="AH26" i="17" s="1"/>
  <c r="F26" i="17"/>
  <c r="AE26" i="17" s="1"/>
  <c r="G26" i="17"/>
  <c r="AF26" i="17" s="1"/>
  <c r="H26" i="17"/>
  <c r="I26" i="17"/>
  <c r="J26" i="17"/>
  <c r="K26" i="17"/>
  <c r="L26" i="17"/>
  <c r="M26" i="17"/>
  <c r="N26" i="17"/>
  <c r="O26" i="17"/>
  <c r="P26" i="17"/>
  <c r="Q26" i="17"/>
  <c r="A27" i="17"/>
  <c r="Z27" i="17" s="1"/>
  <c r="AH27" i="17" s="1"/>
  <c r="B27" i="17"/>
  <c r="AA27" i="17" s="1"/>
  <c r="AI27" i="17" s="1"/>
  <c r="C27" i="17"/>
  <c r="AB27" i="17" s="1"/>
  <c r="AJ27" i="17" s="1"/>
  <c r="D27" i="17"/>
  <c r="E27" i="17"/>
  <c r="AD27" i="17" s="1"/>
  <c r="F27" i="17"/>
  <c r="AE27" i="17" s="1"/>
  <c r="G27" i="17"/>
  <c r="AF27" i="17" s="1"/>
  <c r="H27" i="17"/>
  <c r="AG27" i="17" s="1"/>
  <c r="I27" i="17"/>
  <c r="J27" i="17"/>
  <c r="K27" i="17"/>
  <c r="L27" i="17"/>
  <c r="M27" i="17"/>
  <c r="N27" i="17"/>
  <c r="O27" i="17"/>
  <c r="P27" i="17"/>
  <c r="Q27" i="17"/>
  <c r="A28" i="17"/>
  <c r="Z28" i="17" s="1"/>
  <c r="B28" i="17"/>
  <c r="AA28" i="17" s="1"/>
  <c r="C28" i="17"/>
  <c r="AB28" i="17" s="1"/>
  <c r="D28" i="17"/>
  <c r="AC28" i="17" s="1"/>
  <c r="E28" i="17"/>
  <c r="F28" i="17"/>
  <c r="G28" i="17"/>
  <c r="AF28" i="17" s="1"/>
  <c r="H28" i="17"/>
  <c r="AG28" i="17" s="1"/>
  <c r="I28" i="17"/>
  <c r="J28" i="17"/>
  <c r="K28" i="17"/>
  <c r="L28" i="17"/>
  <c r="M28" i="17"/>
  <c r="N28" i="17"/>
  <c r="O28" i="17"/>
  <c r="P28" i="17"/>
  <c r="Q28" i="17"/>
  <c r="A29" i="17"/>
  <c r="Z29" i="17" s="1"/>
  <c r="B29" i="17"/>
  <c r="AA29" i="17" s="1"/>
  <c r="AI29" i="17" s="1"/>
  <c r="C29" i="17"/>
  <c r="AB29" i="17" s="1"/>
  <c r="AJ29" i="17" s="1"/>
  <c r="D29" i="17"/>
  <c r="AC29" i="17" s="1"/>
  <c r="E29" i="17"/>
  <c r="AD29" i="17" s="1"/>
  <c r="F29" i="17"/>
  <c r="G29" i="17"/>
  <c r="H29" i="17"/>
  <c r="I29" i="17"/>
  <c r="J29" i="17"/>
  <c r="K29" i="17"/>
  <c r="L29" i="17"/>
  <c r="M29" i="17"/>
  <c r="N29" i="17"/>
  <c r="O29" i="17"/>
  <c r="P29" i="17"/>
  <c r="Q29" i="17"/>
  <c r="A30" i="17"/>
  <c r="Z30" i="17" s="1"/>
  <c r="AH30" i="17" s="1"/>
  <c r="B30" i="17"/>
  <c r="AA30" i="17" s="1"/>
  <c r="C30" i="17"/>
  <c r="D30" i="17"/>
  <c r="E30" i="17"/>
  <c r="AD30" i="17" s="1"/>
  <c r="F30" i="17"/>
  <c r="AE30" i="17" s="1"/>
  <c r="G30" i="17"/>
  <c r="AF30" i="17" s="1"/>
  <c r="H30" i="17"/>
  <c r="AG30" i="17" s="1"/>
  <c r="I30" i="17"/>
  <c r="J30" i="17"/>
  <c r="K30" i="17"/>
  <c r="L30" i="17"/>
  <c r="M30" i="17"/>
  <c r="N30" i="17"/>
  <c r="O30" i="17"/>
  <c r="P30" i="17"/>
  <c r="Q30" i="17"/>
  <c r="A31" i="17"/>
  <c r="Z31" i="17" s="1"/>
  <c r="B31" i="17"/>
  <c r="AA31" i="17" s="1"/>
  <c r="C31" i="17"/>
  <c r="AB31" i="17" s="1"/>
  <c r="D31" i="17"/>
  <c r="E31" i="17"/>
  <c r="AD31" i="17" s="1"/>
  <c r="F31" i="17"/>
  <c r="AE31" i="17" s="1"/>
  <c r="G31" i="17"/>
  <c r="AF31" i="17" s="1"/>
  <c r="H31" i="17"/>
  <c r="AG31" i="17" s="1"/>
  <c r="I31" i="17"/>
  <c r="J31" i="17"/>
  <c r="K31" i="17"/>
  <c r="L31" i="17"/>
  <c r="M31" i="17"/>
  <c r="N31" i="17"/>
  <c r="O31" i="17"/>
  <c r="P31" i="17"/>
  <c r="Q31" i="17"/>
  <c r="A32" i="17"/>
  <c r="Z32" i="17" s="1"/>
  <c r="AH32" i="17" s="1"/>
  <c r="B32" i="17"/>
  <c r="AA32" i="17" s="1"/>
  <c r="C32" i="17"/>
  <c r="AB32" i="17" s="1"/>
  <c r="D32" i="17"/>
  <c r="AC32" i="17" s="1"/>
  <c r="E32" i="17"/>
  <c r="AD32" i="17" s="1"/>
  <c r="F32" i="17"/>
  <c r="AE32" i="17" s="1"/>
  <c r="G32" i="17"/>
  <c r="AF32" i="17" s="1"/>
  <c r="H32" i="17"/>
  <c r="AG32" i="17" s="1"/>
  <c r="I32" i="17"/>
  <c r="J32" i="17"/>
  <c r="K32" i="17"/>
  <c r="L32" i="17"/>
  <c r="M32" i="17"/>
  <c r="N32" i="17"/>
  <c r="O32" i="17"/>
  <c r="P32" i="17"/>
  <c r="Q32" i="17"/>
  <c r="A33" i="17"/>
  <c r="Z33" i="17" s="1"/>
  <c r="AH33" i="17" s="1"/>
  <c r="B33" i="17"/>
  <c r="AA33" i="17" s="1"/>
  <c r="C33" i="17"/>
  <c r="AB33" i="17" s="1"/>
  <c r="D33" i="17"/>
  <c r="AC33" i="17" s="1"/>
  <c r="E33" i="17"/>
  <c r="AD33" i="17" s="1"/>
  <c r="F33" i="17"/>
  <c r="AE33" i="17" s="1"/>
  <c r="G33" i="17"/>
  <c r="AF33" i="17" s="1"/>
  <c r="H33" i="17"/>
  <c r="AG33" i="17" s="1"/>
  <c r="I33" i="17"/>
  <c r="J33" i="17"/>
  <c r="K33" i="17"/>
  <c r="L33" i="17"/>
  <c r="M33" i="17"/>
  <c r="N33" i="17"/>
  <c r="O33" i="17"/>
  <c r="P33" i="17"/>
  <c r="Q33" i="17"/>
  <c r="A34" i="17"/>
  <c r="Z34" i="17" s="1"/>
  <c r="AH34" i="17" s="1"/>
  <c r="B34" i="17"/>
  <c r="AA34" i="17" s="1"/>
  <c r="C34" i="17"/>
  <c r="AB34" i="17" s="1"/>
  <c r="AJ34" i="17" s="1"/>
  <c r="D34" i="17"/>
  <c r="AC34" i="17" s="1"/>
  <c r="E34" i="17"/>
  <c r="F34" i="17"/>
  <c r="G34" i="17"/>
  <c r="H34" i="17"/>
  <c r="AG34" i="17" s="1"/>
  <c r="I34" i="17"/>
  <c r="J34" i="17"/>
  <c r="K34" i="17"/>
  <c r="L34" i="17"/>
  <c r="M34" i="17"/>
  <c r="N34" i="17"/>
  <c r="O34" i="17"/>
  <c r="P34" i="17"/>
  <c r="Q34" i="17"/>
  <c r="A35" i="17"/>
  <c r="Z35" i="17" s="1"/>
  <c r="B35" i="17"/>
  <c r="AA35" i="17" s="1"/>
  <c r="C35" i="17"/>
  <c r="AB35" i="17" s="1"/>
  <c r="D35" i="17"/>
  <c r="AC35" i="17" s="1"/>
  <c r="E35" i="17"/>
  <c r="AD35" i="17" s="1"/>
  <c r="F35" i="17"/>
  <c r="AE35" i="17" s="1"/>
  <c r="G35" i="17"/>
  <c r="AF35" i="17" s="1"/>
  <c r="H35" i="17"/>
  <c r="AG35" i="17" s="1"/>
  <c r="I35" i="17"/>
  <c r="J35" i="17"/>
  <c r="K35" i="17"/>
  <c r="L35" i="17"/>
  <c r="M35" i="17"/>
  <c r="N35" i="17"/>
  <c r="O35" i="17"/>
  <c r="P35" i="17"/>
  <c r="Q35" i="17"/>
  <c r="A36" i="17"/>
  <c r="Z36" i="17" s="1"/>
  <c r="B36" i="17"/>
  <c r="AA36" i="17" s="1"/>
  <c r="AI36" i="17" s="1"/>
  <c r="C36" i="17"/>
  <c r="AB36" i="17" s="1"/>
  <c r="AJ36" i="17" s="1"/>
  <c r="D36" i="17"/>
  <c r="AC36" i="17" s="1"/>
  <c r="E36" i="17"/>
  <c r="AD36" i="17" s="1"/>
  <c r="F36" i="17"/>
  <c r="AE36" i="17" s="1"/>
  <c r="G36" i="17"/>
  <c r="AF36" i="17" s="1"/>
  <c r="H36" i="17"/>
  <c r="AG36" i="17" s="1"/>
  <c r="I36" i="17"/>
  <c r="J36" i="17"/>
  <c r="K36" i="17"/>
  <c r="L36" i="17"/>
  <c r="M36" i="17"/>
  <c r="N36" i="17"/>
  <c r="O36" i="17"/>
  <c r="P36" i="17"/>
  <c r="Q36" i="17"/>
  <c r="A37" i="17"/>
  <c r="B37" i="17"/>
  <c r="C37" i="17"/>
  <c r="D37" i="17"/>
  <c r="E37" i="17"/>
  <c r="AD37" i="17" s="1"/>
  <c r="AH37" i="17" s="1"/>
  <c r="F37" i="17"/>
  <c r="AE37" i="17" s="1"/>
  <c r="AI37" i="17" s="1"/>
  <c r="G37" i="17"/>
  <c r="AF37" i="17" s="1"/>
  <c r="H37" i="17"/>
  <c r="I37" i="17"/>
  <c r="J37" i="17"/>
  <c r="K37" i="17"/>
  <c r="L37" i="17"/>
  <c r="M37" i="17"/>
  <c r="N37" i="17"/>
  <c r="O37" i="17"/>
  <c r="P37" i="17"/>
  <c r="Q37" i="17"/>
  <c r="A38" i="17"/>
  <c r="Z38" i="17" s="1"/>
  <c r="B38" i="17"/>
  <c r="AA38" i="17" s="1"/>
  <c r="C38" i="17"/>
  <c r="AB38" i="17" s="1"/>
  <c r="D38" i="17"/>
  <c r="AC38" i="17" s="1"/>
  <c r="E38" i="17"/>
  <c r="AD38" i="17" s="1"/>
  <c r="F38" i="17"/>
  <c r="AE38" i="17" s="1"/>
  <c r="G38" i="17"/>
  <c r="AF38" i="17" s="1"/>
  <c r="H38" i="17"/>
  <c r="AG38" i="17" s="1"/>
  <c r="I38" i="17"/>
  <c r="J38" i="17"/>
  <c r="K38" i="17"/>
  <c r="L38" i="17"/>
  <c r="M38" i="17"/>
  <c r="N38" i="17"/>
  <c r="O38" i="17"/>
  <c r="P38" i="17"/>
  <c r="Q38" i="17"/>
  <c r="A39" i="17"/>
  <c r="Z39" i="17" s="1"/>
  <c r="AH39" i="17" s="1"/>
  <c r="B39" i="17"/>
  <c r="AA39" i="17" s="1"/>
  <c r="AI39" i="17" s="1"/>
  <c r="C39" i="17"/>
  <c r="AB39" i="17" s="1"/>
  <c r="AJ39" i="17" s="1"/>
  <c r="D39" i="17"/>
  <c r="E39" i="17"/>
  <c r="AD39" i="17" s="1"/>
  <c r="F39" i="17"/>
  <c r="AE39" i="17" s="1"/>
  <c r="G39" i="17"/>
  <c r="AF39" i="17" s="1"/>
  <c r="H39" i="17"/>
  <c r="AG39" i="17" s="1"/>
  <c r="I39" i="17"/>
  <c r="J39" i="17"/>
  <c r="K39" i="17"/>
  <c r="L39" i="17"/>
  <c r="M39" i="17"/>
  <c r="N39" i="17"/>
  <c r="O39" i="17"/>
  <c r="P39" i="17"/>
  <c r="Q39" i="17"/>
  <c r="A40" i="17"/>
  <c r="Z40" i="17" s="1"/>
  <c r="B40" i="17"/>
  <c r="AA40" i="17" s="1"/>
  <c r="C40" i="17"/>
  <c r="AB40" i="17" s="1"/>
  <c r="D40" i="17"/>
  <c r="AC40" i="17" s="1"/>
  <c r="E40" i="17"/>
  <c r="AD40" i="17" s="1"/>
  <c r="F40" i="17"/>
  <c r="AE40" i="17" s="1"/>
  <c r="G40" i="17"/>
  <c r="AF40" i="17" s="1"/>
  <c r="H40" i="17"/>
  <c r="AG40" i="17" s="1"/>
  <c r="I40" i="17"/>
  <c r="J40" i="17"/>
  <c r="K40" i="17"/>
  <c r="L40" i="17"/>
  <c r="M40" i="17"/>
  <c r="N40" i="17"/>
  <c r="O40" i="17"/>
  <c r="P40" i="17"/>
  <c r="Q40" i="17"/>
  <c r="A41" i="17"/>
  <c r="Z41" i="17" s="1"/>
  <c r="B41" i="17"/>
  <c r="AA41" i="17" s="1"/>
  <c r="C41" i="17"/>
  <c r="AB41" i="17" s="1"/>
  <c r="AJ41" i="17" s="1"/>
  <c r="D41" i="17"/>
  <c r="AC41" i="17" s="1"/>
  <c r="E41" i="17"/>
  <c r="AD41" i="17" s="1"/>
  <c r="F41" i="17"/>
  <c r="AE41" i="17" s="1"/>
  <c r="G41" i="17"/>
  <c r="H41" i="17"/>
  <c r="I41" i="17"/>
  <c r="J41" i="17"/>
  <c r="K41" i="17"/>
  <c r="L41" i="17"/>
  <c r="M41" i="17"/>
  <c r="N41" i="17"/>
  <c r="O41" i="17"/>
  <c r="P41" i="17"/>
  <c r="Q41" i="17"/>
  <c r="A42" i="17"/>
  <c r="B42" i="17"/>
  <c r="AA42" i="17" s="1"/>
  <c r="AI42" i="17" s="1"/>
  <c r="C42" i="17"/>
  <c r="D42" i="17"/>
  <c r="AC42" i="17" s="1"/>
  <c r="E42" i="17"/>
  <c r="AD42" i="17" s="1"/>
  <c r="F42" i="17"/>
  <c r="AE42" i="17" s="1"/>
  <c r="G42" i="17"/>
  <c r="AF42" i="17" s="1"/>
  <c r="H42" i="17"/>
  <c r="AG42" i="17" s="1"/>
  <c r="I42" i="17"/>
  <c r="J42" i="17"/>
  <c r="K42" i="17"/>
  <c r="L42" i="17"/>
  <c r="M42" i="17"/>
  <c r="N42" i="17"/>
  <c r="O42" i="17"/>
  <c r="P42" i="17"/>
  <c r="Q42" i="17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AI39" i="19" l="1"/>
  <c r="AH10" i="17"/>
  <c r="AI41" i="17"/>
  <c r="AI5" i="17"/>
  <c r="AH41" i="17"/>
  <c r="AJ31" i="17"/>
  <c r="AH29" i="17"/>
  <c r="AH17" i="17"/>
  <c r="AH9" i="17"/>
  <c r="AH5" i="17"/>
  <c r="AJ17" i="17"/>
  <c r="AI34" i="17"/>
  <c r="AJ38" i="17"/>
  <c r="AI31" i="17"/>
  <c r="AJ26" i="17"/>
  <c r="AH24" i="17"/>
  <c r="AJ14" i="17"/>
  <c r="AP4" i="17" a="1"/>
  <c r="AP4" i="17" s="1"/>
  <c r="AI38" i="17"/>
  <c r="AJ33" i="17"/>
  <c r="AI21" i="17"/>
  <c r="AH18" i="17"/>
  <c r="AH14" i="17"/>
  <c r="AJ35" i="17"/>
  <c r="AJ3" i="17"/>
  <c r="AJ18" i="17"/>
  <c r="AI35" i="17"/>
  <c r="AI23" i="17"/>
  <c r="AI11" i="17"/>
  <c r="AI30" i="17"/>
  <c r="AJ21" i="17"/>
  <c r="AI22" i="17"/>
  <c r="AI33" i="17"/>
  <c r="AH31" i="17"/>
  <c r="AH19" i="17"/>
  <c r="AI26" i="17"/>
  <c r="AI14" i="17"/>
  <c r="AJ9" i="17"/>
  <c r="AH7" i="17"/>
  <c r="AH38" i="17"/>
  <c r="AI25" i="17"/>
  <c r="AI9" i="17"/>
  <c r="AO4" i="17" a="1"/>
  <c r="AO4" i="17" s="1"/>
  <c r="AR4" i="17" a="1"/>
  <c r="AR4" i="17" s="1"/>
  <c r="AJ40" i="17"/>
  <c r="AJ28" i="17"/>
  <c r="AJ16" i="17"/>
  <c r="AJ4" i="17"/>
  <c r="AH36" i="17"/>
  <c r="AI40" i="17"/>
  <c r="AI28" i="17"/>
  <c r="AI16" i="17"/>
  <c r="AI4" i="17"/>
  <c r="AI3" i="17"/>
  <c r="AH40" i="17"/>
  <c r="AH28" i="17"/>
  <c r="AH16" i="17"/>
  <c r="AH4" i="17"/>
  <c r="AJ13" i="17"/>
  <c r="AH35" i="17"/>
  <c r="AH23" i="17"/>
  <c r="AH11" i="17"/>
  <c r="AN4" i="17" a="1"/>
  <c r="AN4" i="17" s="1"/>
  <c r="AJ15" i="17"/>
  <c r="AJ10" i="17"/>
  <c r="AJ32" i="17"/>
  <c r="AJ20" i="17"/>
  <c r="AJ8" i="17"/>
  <c r="AI15" i="17"/>
  <c r="AI32" i="17"/>
  <c r="AI20" i="17"/>
  <c r="AI8" i="17"/>
  <c r="AJ42" i="17"/>
  <c r="AH21" i="17"/>
  <c r="AH15" i="17"/>
  <c r="AJ6" i="17"/>
  <c r="AJ37" i="17"/>
  <c r="AI6" i="17"/>
  <c r="AJ19" i="17"/>
  <c r="AJ7" i="17"/>
  <c r="AL4" i="17" a="1"/>
  <c r="AL4" i="17" s="1"/>
  <c r="AL7" i="17" s="1"/>
  <c r="AH3" i="17"/>
  <c r="AK4" i="17" a="1"/>
  <c r="AK4" i="17" s="1"/>
  <c r="AK7" i="17" s="1"/>
  <c r="AH12" i="17"/>
  <c r="AM4" i="17" a="1"/>
  <c r="AM4" i="17" s="1"/>
  <c r="AI19" i="17"/>
  <c r="AI7" i="17"/>
  <c r="AQ4" i="17" a="1"/>
  <c r="AQ4" i="17" s="1"/>
  <c r="AJ25" i="17"/>
  <c r="AJ39" i="19"/>
  <c r="AJ30" i="19"/>
  <c r="AJ15" i="19"/>
  <c r="AB28" i="19"/>
  <c r="AJ28" i="19" s="1"/>
  <c r="AB42" i="19"/>
  <c r="AJ42" i="19" s="1"/>
  <c r="AI24" i="19"/>
  <c r="AJ24" i="19"/>
  <c r="AI42" i="19"/>
  <c r="AI16" i="19"/>
  <c r="AI23" i="19"/>
  <c r="AK29" i="19"/>
  <c r="AJ31" i="19"/>
  <c r="AI4" i="19"/>
  <c r="AJ23" i="19"/>
  <c r="AJ4" i="19"/>
  <c r="AK5" i="19"/>
  <c r="AI9" i="19"/>
  <c r="AK23" i="19"/>
  <c r="AJ25" i="19"/>
  <c r="AK38" i="19"/>
  <c r="AJ16" i="19"/>
  <c r="AI31" i="19"/>
  <c r="AI17" i="19"/>
  <c r="AI32" i="19"/>
  <c r="AI41" i="19"/>
  <c r="AJ41" i="19"/>
  <c r="AI5" i="19"/>
  <c r="AJ17" i="19"/>
  <c r="AK28" i="19"/>
  <c r="AJ32" i="19"/>
  <c r="AK4" i="19"/>
  <c r="AJ8" i="19"/>
  <c r="AI18" i="19"/>
  <c r="AI33" i="19"/>
  <c r="AI8" i="19"/>
  <c r="AJ10" i="19"/>
  <c r="AI12" i="19"/>
  <c r="AK13" i="19"/>
  <c r="AK17" i="19"/>
  <c r="AJ19" i="19"/>
  <c r="AI26" i="19"/>
  <c r="AK32" i="19"/>
  <c r="AJ34" i="19"/>
  <c r="AK41" i="19"/>
  <c r="AJ9" i="19"/>
  <c r="AJ18" i="19"/>
  <c r="AK22" i="19"/>
  <c r="AJ33" i="19"/>
  <c r="AK37" i="19"/>
  <c r="AJ13" i="19"/>
  <c r="AK15" i="19"/>
  <c r="AI7" i="19"/>
  <c r="AJ14" i="19"/>
  <c r="AJ21" i="19"/>
  <c r="AJ36" i="19"/>
  <c r="AI38" i="19"/>
  <c r="AK6" i="19"/>
  <c r="AK14" i="19"/>
  <c r="AI15" i="19"/>
  <c r="AI30" i="19"/>
  <c r="AJ38" i="19"/>
  <c r="AJ40" i="19"/>
  <c r="AJ6" i="19"/>
  <c r="AJ11" i="19"/>
  <c r="AK16" i="19"/>
  <c r="AJ20" i="19"/>
  <c r="AJ27" i="19"/>
  <c r="AK31" i="19"/>
  <c r="AJ35" i="19"/>
  <c r="AK30" i="19"/>
  <c r="AJ26" i="19"/>
  <c r="AK8" i="19"/>
  <c r="AK26" i="19"/>
  <c r="AI6" i="19"/>
  <c r="AI20" i="19"/>
  <c r="AI35" i="19"/>
  <c r="AK11" i="19"/>
  <c r="AJ12" i="19"/>
  <c r="AK20" i="19"/>
  <c r="AJ22" i="19"/>
  <c r="AI29" i="19"/>
  <c r="AK35" i="19"/>
  <c r="AJ37" i="19"/>
  <c r="AI27" i="19"/>
  <c r="AI21" i="19"/>
  <c r="AJ29" i="19"/>
  <c r="AI36" i="19"/>
  <c r="AU4" i="19" a="1"/>
  <c r="AU4" i="19" s="1"/>
  <c r="AJ5" i="19"/>
  <c r="AJ7" i="19"/>
  <c r="AK21" i="19"/>
  <c r="AK36" i="19"/>
  <c r="AI40" i="19"/>
  <c r="AK7" i="19"/>
  <c r="AK10" i="19"/>
  <c r="AK19" i="19"/>
  <c r="AI25" i="19"/>
  <c r="AK34" i="19"/>
  <c r="AK3" i="19"/>
  <c r="AP4" i="19" a="1"/>
  <c r="AP4" i="19" s="1"/>
  <c r="AI28" i="19"/>
  <c r="AI10" i="19"/>
  <c r="AI19" i="19"/>
  <c r="AK24" i="19"/>
  <c r="AI34" i="19"/>
  <c r="AO4" i="19" a="1"/>
  <c r="AO4" i="19" s="1"/>
  <c r="AO7" i="19" s="1"/>
  <c r="AJ3" i="19"/>
  <c r="AQ4" i="19" a="1"/>
  <c r="AQ4" i="19" s="1"/>
  <c r="AK9" i="19"/>
  <c r="AI11" i="19"/>
  <c r="AI13" i="19"/>
  <c r="AK18" i="19"/>
  <c r="AK33" i="19"/>
  <c r="AK42" i="19"/>
  <c r="AR4" i="19" a="1"/>
  <c r="AR4" i="19" s="1"/>
  <c r="AI3" i="19"/>
  <c r="AS4" i="19" a="1"/>
  <c r="AS4" i="19" s="1"/>
  <c r="AN4" i="19" a="1"/>
  <c r="AN4" i="19" s="1"/>
  <c r="AN7" i="19" s="1"/>
  <c r="AI22" i="19"/>
  <c r="AK27" i="19"/>
  <c r="AI37" i="19"/>
  <c r="AK40" i="19"/>
  <c r="AK39" i="19"/>
  <c r="AT4" i="19" a="1"/>
  <c r="AT4" i="19" s="1"/>
  <c r="AK12" i="19"/>
  <c r="AI14" i="19"/>
  <c r="AK25" i="19"/>
  <c r="AN9" i="19" l="1"/>
  <c r="AP11" i="19"/>
  <c r="AP7" i="19"/>
  <c r="AP9" i="19"/>
  <c r="AO11" i="19"/>
  <c r="AO9" i="19"/>
  <c r="AM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<sst xmlns="http://schemas.openxmlformats.org/spreadsheetml/2006/main" count="219" uniqueCount="44">
  <si>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</si>
  <si>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</si>
  <si>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</si>
  <si>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</si>
  <si>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</si>
  <si>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</si>
  <si>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</si>
  <si>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</si>
  <si>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</si>
  <si>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</si>
  <si>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</si>
  <si>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</si>
  <si>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</si>
  <si>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</si>
  <si>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</si>
  <si>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</si>
  <si>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</si>
  <si>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</si>
  <si>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</si>
  <si>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</si>
  <si>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</si>
  <si>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</si>
  <si>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</si>
  <si>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</si>
  <si>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</si>
  <si>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</si>
  <si>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</si>
  <si>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</si>
  <si>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</si>
  <si>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</si>
  <si>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</si>
  <si>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</si>
  <si>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</si>
  <si>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</si>
  <si>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</si>
  <si>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</si>
  <si>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</si>
  <si>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d_actual</t>
  </si>
  <si>
    <t>f_final</t>
  </si>
  <si>
    <t>min_f</t>
  </si>
  <si>
    <t>with 0.1 cuttoff</t>
  </si>
  <si>
    <t>with 0.2 cuttof</t>
  </si>
  <si>
    <t>with 0.1 cuttof</t>
  </si>
  <si>
    <t>0.2 cutoof + no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</si>
</sst>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60">
    <xf numFmtId="0" fontId="0" fillId="0" borderId="0" xfId="0"/>
    <xf numFmtId="0" fontId="2" fillId="6" borderId="1" xfId="0" applyFont="1" applyFill="1" applyBorder="1"/>
    <xf numFmtId="0" fontId="2" fillId="6" borderId="8" xfId="0" applyFont="1" applyFill="1" applyBorder="1"/>
    <xf numFmtId="0" fontId="2" fillId="6" borderId="5" xfId="0" applyFont="1" applyFill="1" applyBorder="1"/>
    <xf numFmtId="11" fontId="0" fillId="0" borderId="0" xfId="0" applyNumberFormat="1"/>
    <xf numFmtId="0" fontId="0" fillId="6" borderId="0" xfId="0" applyFill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164" fontId="5" fillId="8" borderId="1" xfId="0" applyNumberFormat="1" applyFont="1" applyFill="1" applyBorder="1"/>
    <xf numFmtId="2" fontId="5" fillId="8" borderId="1" xfId="0" applyNumberFormat="1" applyFont="1" applyFill="1" applyBorder="1"/>
    <xf numFmtId="164" fontId="3" fillId="9" borderId="1" xfId="1" applyNumberFormat="1" applyBorder="1"/>
    <xf numFmtId="2" fontId="3" fillId="9" borderId="1" xfId="1" applyNumberFormat="1" applyBorder="1"/>
    <xf numFmtId="164" fontId="5" fillId="8" borderId="2" xfId="0" applyNumberFormat="1" applyFont="1" applyFill="1" applyBorder="1"/>
    <xf numFmtId="2" fontId="3" fillId="9" borderId="12" xfId="1" applyNumberFormat="1" applyBorder="1"/>
    <xf numFmtId="164" fontId="3" fillId="9" borderId="12" xfId="1" applyNumberFormat="1" applyBorder="1"/>
    <xf numFmtId="164" fontId="5" fillId="8" borderId="12" xfId="0" applyNumberFormat="1" applyFont="1" applyFill="1" applyBorder="1"/>
    <xf numFmtId="2" fontId="5" fillId="8" borderId="0" xfId="0" applyNumberFormat="1" applyFont="1" applyFill="1"/>
    <xf numFmtId="164" fontId="5" fillId="8" borderId="0" xfId="0" applyNumberFormat="1" applyFont="1" applyFill="1"/>
    <xf numFmtId="164" fontId="1" fillId="8" borderId="0" xfId="0" applyNumberFormat="1" applyFont="1" applyFill="1"/>
    <xf numFmtId="165" fontId="1" fillId="8" borderId="0" xfId="0" applyNumberFormat="1" applyFont="1" applyFill="1"/>
    <xf numFmtId="0" fontId="4" fillId="6" borderId="1" xfId="0" applyFont="1" applyFill="1" applyBorder="1"/>
    <xf numFmtId="0" fontId="0" fillId="0" borderId="1" xfId="0" applyBorder="1"/>
    <xf numFmtId="166" fontId="5" fillId="8" borderId="1" xfId="0" applyNumberFormat="1" applyFont="1" applyFill="1" applyBorder="1"/>
    <xf numFmtId="166" fontId="5" fillId="8" borderId="13" xfId="0" applyNumberFormat="1" applyFont="1" applyFill="1" applyBorder="1"/>
    <xf numFmtId="166" fontId="0" fillId="0" borderId="1" xfId="0" applyNumberFormat="1" applyBorder="1"/>
    <xf numFmtId="165" fontId="5" fillId="8" borderId="1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6" fontId="0" fillId="0" borderId="0" xfId="0" applyNumberFormat="1"/>
    <xf numFmtId="166" fontId="5" fillId="8" borderId="0" xfId="0" applyNumberFormat="1" applyFont="1" applyFill="1" applyBorder="1"/>
    <xf numFmtId="164" fontId="5" fillId="0" borderId="1" xfId="0" applyNumberFormat="1" applyFont="1" applyFill="1" applyBorder="1"/>
    <xf numFmtId="165" fontId="5" fillId="0" borderId="1" xfId="0" applyNumberFormat="1" applyFont="1" applyFill="1" applyBorder="1"/>
    <xf numFmtId="166" fontId="5" fillId="0" borderId="1" xfId="0" applyNumberFormat="1" applyFont="1" applyFill="1" applyBorder="1"/>
    <xf numFmtId="166" fontId="5" fillId="0" borderId="13" xfId="0" applyNumberFormat="1" applyFont="1" applyFill="1" applyBorder="1"/>
    <xf numFmtId="0" fontId="0" fillId="0" borderId="0" xfId="0" applyFill="1"/>
    <xf numFmtId="164" fontId="5" fillId="0" borderId="12" xfId="0" applyNumberFormat="1" applyFont="1" applyFill="1" applyBorder="1"/>
    <xf numFmtId="165" fontId="5" fillId="0" borderId="12" xfId="0" applyNumberFormat="1" applyFont="1" applyFill="1" applyBorder="1"/>
    <xf numFmtId="164" fontId="5" fillId="0" borderId="2" xfId="0" applyNumberFormat="1" applyFont="1" applyFill="1" applyBorder="1"/>
    <xf numFmtId="2" fontId="5" fillId="0" borderId="0" xfId="0" applyNumberFormat="1" applyFont="1" applyFill="1"/>
    <xf numFmtId="164" fontId="5" fillId="0" borderId="0" xfId="0" applyNumberFormat="1" applyFont="1" applyFill="1"/>
    <xf numFmtId="164" fontId="1" fillId="0" borderId="0" xfId="0" applyNumberFormat="1" applyFont="1" applyFill="1"/>
    <xf numFmtId="165" fontId="1" fillId="0" borderId="0" xfId="0" applyNumberFormat="1" applyFont="1" applyFill="1"/>
    <xf numFmtId="166" fontId="0" fillId="0" borderId="0" xfId="0" applyNumberFormat="1" applyFill="1"/>
    <xf numFmtId="166" fontId="5" fillId="0" borderId="0" xfId="0" applyNumberFormat="1" applyFont="1" applyFill="1" applyBorder="1"/>
    <xf numFmtId="164" fontId="3" fillId="9" borderId="1" xfId="1" applyNumberFormat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G52"/>
  <sheetViews>
    <sheetView workbookViewId="0">
      <pane ySplit="2" topLeftCell="A13" activePane="bottomLeft" state="frozen"/>
      <selection pane="bottomLeft" activeCell="A37" sqref="A37:XFD3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28515625" bestFit="1" customWidth="1"/>
    <col min="20" max="20" width="7.85546875" bestFit="1" customWidth="1"/>
    <col min="21" max="23" width="7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33" ht="15.75" x14ac:dyDescent="0.25">
      <c r="A1" s="26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28" t="s">
        <v>6</v>
      </c>
      <c r="M1" s="29"/>
      <c r="N1" s="29"/>
      <c r="O1" s="29"/>
      <c r="P1" s="29"/>
      <c r="Q1" s="29"/>
      <c r="R1" s="30" t="s">
        <v>12</v>
      </c>
      <c r="S1" s="31"/>
      <c r="T1" s="31"/>
      <c r="U1" s="31"/>
      <c r="V1" s="31"/>
      <c r="W1" s="31"/>
      <c r="X1" s="32" t="s">
        <v>14</v>
      </c>
      <c r="Y1" s="33"/>
      <c r="Z1" s="33"/>
      <c r="AA1" s="33"/>
      <c r="AB1" s="33"/>
      <c r="AC1" s="34"/>
    </row>
    <row r="2" spans="1:33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33" x14ac:dyDescent="0.25">
      <c r="A3" s="10">
        <v>0.2</v>
      </c>
      <c r="B3" s="11">
        <v>0.1</v>
      </c>
      <c r="C3" s="10">
        <v>1.571</v>
      </c>
      <c r="D3" s="10">
        <f>PI()/2</f>
        <v>1.5707963267948966</v>
      </c>
      <c r="E3" s="11">
        <v>1</v>
      </c>
      <c r="F3" s="11">
        <v>0.04</v>
      </c>
      <c r="G3" s="10">
        <v>3.1419999999999999</v>
      </c>
      <c r="H3" s="10">
        <f>PI()/2</f>
        <v>1.5707963267948966</v>
      </c>
      <c r="I3" s="10">
        <v>1.4</v>
      </c>
      <c r="J3" s="10">
        <v>0</v>
      </c>
      <c r="K3" s="10">
        <v>0</v>
      </c>
      <c r="L3" s="8">
        <v>-1.9976701587438601E-3</v>
      </c>
      <c r="M3" s="8">
        <v>-3.3190850168466603E-2</v>
      </c>
      <c r="N3" s="8">
        <v>-0.13983803987503099</v>
      </c>
      <c r="O3" s="8">
        <v>-1.5990611165761899E-2</v>
      </c>
      <c r="P3" s="8">
        <v>-1.04125440120697</v>
      </c>
      <c r="Q3" s="8">
        <v>0.195114254951477</v>
      </c>
      <c r="R3" s="25">
        <v>6.359377354808179E-5</v>
      </c>
      <c r="S3" s="25">
        <v>-3.7943379094806856E-2</v>
      </c>
      <c r="T3" s="25">
        <v>-0.13000956742441419</v>
      </c>
      <c r="U3" s="25">
        <v>-2.8238971273182715E-3</v>
      </c>
      <c r="V3" s="25">
        <v>-1.000055418730343</v>
      </c>
      <c r="W3" s="25">
        <v>0.19957227305535405</v>
      </c>
      <c r="X3" s="8">
        <f t="shared" ref="X3" si="0">ABS(L3)-ABS(R3)</f>
        <v>1.9340763851957783E-3</v>
      </c>
      <c r="Y3" s="8">
        <f t="shared" ref="Y3" si="1">ABS(M3)-ABS(S3)</f>
        <v>-4.7525289263402534E-3</v>
      </c>
      <c r="Z3" s="8">
        <f t="shared" ref="Z3" si="2">ABS(N3)-ABS(T3)</f>
        <v>9.8284724506167986E-3</v>
      </c>
      <c r="AA3" s="8">
        <f t="shared" ref="AA3" si="3">ABS(O3)-ABS(U3)</f>
        <v>1.3166714038443628E-2</v>
      </c>
      <c r="AB3" s="8">
        <f t="shared" ref="AB3" si="4">ABS(P3)-ABS(V3)</f>
        <v>4.1198982476627011E-2</v>
      </c>
      <c r="AC3" s="8">
        <f t="shared" ref="AC3" si="5">ABS(Q3)-ABS(W3)</f>
        <v>-4.4580181038770539E-3</v>
      </c>
    </row>
    <row r="4" spans="1:33" s="5" customFormat="1" x14ac:dyDescent="0.25">
      <c r="A4" s="10">
        <v>1</v>
      </c>
      <c r="B4" s="11">
        <v>0.1</v>
      </c>
      <c r="C4" s="10">
        <v>1.571</v>
      </c>
      <c r="D4" s="10">
        <f t="shared" ref="D4:D42" si="6">PI()/2</f>
        <v>1.5707963267948966</v>
      </c>
      <c r="E4" s="11">
        <v>1</v>
      </c>
      <c r="F4" s="11">
        <v>0.08</v>
      </c>
      <c r="G4" s="10">
        <v>3.1419999999999999</v>
      </c>
      <c r="H4" s="10">
        <f t="shared" ref="H4:H42" si="7">PI()/2</f>
        <v>1.5707963267948966</v>
      </c>
      <c r="I4" s="10">
        <v>0</v>
      </c>
      <c r="J4" s="10">
        <v>0</v>
      </c>
      <c r="K4" s="10">
        <v>0</v>
      </c>
      <c r="L4" s="8">
        <v>-1.30753358826041E-3</v>
      </c>
      <c r="M4" s="8">
        <v>-0.21146439015865301</v>
      </c>
      <c r="N4" s="8">
        <v>-0.15480977296829199</v>
      </c>
      <c r="O4" s="8">
        <v>-0.115148775279522</v>
      </c>
      <c r="P4" s="8">
        <v>-0.885367691516876</v>
      </c>
      <c r="Q4" s="8">
        <v>1.0914549827575699</v>
      </c>
      <c r="R4" s="25">
        <v>1.2514809336496615E-11</v>
      </c>
      <c r="S4" s="25">
        <v>-0.18984404440767003</v>
      </c>
      <c r="T4" s="25">
        <v>-0.16999026355049282</v>
      </c>
      <c r="U4" s="25">
        <v>-4.4042600088196965E-2</v>
      </c>
      <c r="V4" s="25">
        <v>-0.99984999050489642</v>
      </c>
      <c r="W4" s="25">
        <v>0.9989733049922962</v>
      </c>
      <c r="X4" s="8">
        <f t="shared" ref="X4:X42" si="8">ABS(L4)-ABS(R4)</f>
        <v>1.3075335757456008E-3</v>
      </c>
      <c r="Y4" s="8">
        <f t="shared" ref="Y4:Y42" si="9">ABS(M4)-ABS(S4)</f>
        <v>2.1620345750982983E-2</v>
      </c>
      <c r="Z4" s="8">
        <f t="shared" ref="Z4:Z42" si="10">ABS(N4)-ABS(T4)</f>
        <v>-1.5180490582200834E-2</v>
      </c>
      <c r="AA4" s="8">
        <f t="shared" ref="AA4:AA42" si="11">ABS(O4)-ABS(U4)</f>
        <v>7.1106175191325033E-2</v>
      </c>
      <c r="AB4" s="8">
        <f t="shared" ref="AB4:AB42" si="12">ABS(P4)-ABS(V4)</f>
        <v>-0.11448229898802043</v>
      </c>
      <c r="AC4" s="8">
        <f t="shared" ref="AC4:AC42" si="13">ABS(Q4)-ABS(W4)</f>
        <v>9.2481677765273718E-2</v>
      </c>
    </row>
    <row r="5" spans="1:33" x14ac:dyDescent="0.25">
      <c r="A5" s="10">
        <v>0.5</v>
      </c>
      <c r="B5" s="10">
        <v>0.1</v>
      </c>
      <c r="C5" s="10">
        <v>1.571</v>
      </c>
      <c r="D5" s="10">
        <f t="shared" si="6"/>
        <v>1.5707963267948966</v>
      </c>
      <c r="E5" s="10">
        <v>0.2</v>
      </c>
      <c r="F5" s="10">
        <v>0.02</v>
      </c>
      <c r="G5" s="10">
        <v>3.927</v>
      </c>
      <c r="H5" s="10">
        <f t="shared" si="7"/>
        <v>1.5707963267948966</v>
      </c>
      <c r="I5" s="10">
        <v>0</v>
      </c>
      <c r="J5" s="10">
        <v>0</v>
      </c>
      <c r="K5" s="10">
        <v>0</v>
      </c>
      <c r="L5" s="8">
        <v>4.8654910642653698E-4</v>
      </c>
      <c r="M5" s="8">
        <v>-9.9444381892681094E-2</v>
      </c>
      <c r="N5" s="8">
        <v>-1.08874747529626E-2</v>
      </c>
      <c r="O5" s="8">
        <v>-2.9133602976799001E-2</v>
      </c>
      <c r="P5" s="8">
        <v>-0.12781015038490301</v>
      </c>
      <c r="Q5" s="8">
        <v>0.45268994569778398</v>
      </c>
      <c r="R5" s="25">
        <v>3.6278387799749889E-17</v>
      </c>
      <c r="S5" s="25">
        <v>-7.9435160301570648E-2</v>
      </c>
      <c r="T5" s="25">
        <v>-1.5575538524603388E-2</v>
      </c>
      <c r="U5" s="25">
        <v>-7.5837262860693833E-3</v>
      </c>
      <c r="V5" s="25">
        <v>-0.14152172633976273</v>
      </c>
      <c r="W5" s="25">
        <v>0.35851823179023262</v>
      </c>
      <c r="X5" s="8">
        <f t="shared" si="8"/>
        <v>4.8654910642650072E-4</v>
      </c>
      <c r="Y5" s="8">
        <f t="shared" si="9"/>
        <v>2.0009221591110446E-2</v>
      </c>
      <c r="Z5" s="8">
        <f t="shared" si="10"/>
        <v>-4.6880637716407887E-3</v>
      </c>
      <c r="AA5" s="8">
        <f t="shared" si="11"/>
        <v>2.1549876690729618E-2</v>
      </c>
      <c r="AB5" s="8">
        <f t="shared" si="12"/>
        <v>-1.3711575954859723E-2</v>
      </c>
      <c r="AC5" s="8">
        <f t="shared" si="13"/>
        <v>9.4171713907551358E-2</v>
      </c>
    </row>
    <row r="6" spans="1:33" x14ac:dyDescent="0.25">
      <c r="A6" s="10">
        <v>0.9</v>
      </c>
      <c r="B6" s="11">
        <v>0.1</v>
      </c>
      <c r="C6" s="10">
        <v>1.571</v>
      </c>
      <c r="D6" s="10">
        <f t="shared" si="6"/>
        <v>1.5707963267948966</v>
      </c>
      <c r="E6" s="11">
        <v>0.2</v>
      </c>
      <c r="F6" s="11">
        <v>0.08</v>
      </c>
      <c r="G6" s="10">
        <v>4.7119999999999997</v>
      </c>
      <c r="H6" s="10">
        <f t="shared" si="7"/>
        <v>1.5707963267948966</v>
      </c>
      <c r="I6" s="10">
        <v>1.2</v>
      </c>
      <c r="J6" s="10">
        <v>0</v>
      </c>
      <c r="K6" s="10">
        <v>0</v>
      </c>
      <c r="L6" s="8">
        <v>2.1138784941285801E-3</v>
      </c>
      <c r="M6" s="8">
        <v>-0.17721578478813199</v>
      </c>
      <c r="N6" s="8">
        <v>3.8662729784846302E-3</v>
      </c>
      <c r="O6" s="8">
        <v>-9.7615689039230305E-2</v>
      </c>
      <c r="P6" s="8">
        <v>2.8949752449989302E-2</v>
      </c>
      <c r="Q6" s="8">
        <v>0.88741946220397905</v>
      </c>
      <c r="R6" s="25">
        <v>2.125152152610221E-4</v>
      </c>
      <c r="S6" s="25">
        <v>-0.13693849985710277</v>
      </c>
      <c r="T6" s="25">
        <v>-6.0502750846218253E-5</v>
      </c>
      <c r="U6" s="25">
        <v>-2.4142075407090263E-2</v>
      </c>
      <c r="V6" s="25">
        <v>-3.6234209406849478E-4</v>
      </c>
      <c r="W6" s="25">
        <v>0.69959146240795345</v>
      </c>
      <c r="X6" s="8">
        <f t="shared" si="8"/>
        <v>1.9013632788675581E-3</v>
      </c>
      <c r="Y6" s="8">
        <f t="shared" si="9"/>
        <v>4.0277284931029222E-2</v>
      </c>
      <c r="Z6" s="8">
        <f t="shared" si="10"/>
        <v>3.805770227638412E-3</v>
      </c>
      <c r="AA6" s="8">
        <f t="shared" si="11"/>
        <v>7.3473613632140042E-2</v>
      </c>
      <c r="AB6" s="8">
        <f t="shared" si="12"/>
        <v>2.8587410355920807E-2</v>
      </c>
      <c r="AC6" s="8">
        <f t="shared" si="13"/>
        <v>0.1878279997960256</v>
      </c>
    </row>
    <row r="7" spans="1:33" x14ac:dyDescent="0.25">
      <c r="A7" s="10">
        <v>0.1</v>
      </c>
      <c r="B7" s="11">
        <v>0.12</v>
      </c>
      <c r="C7" s="10">
        <v>1.571</v>
      </c>
      <c r="D7" s="10">
        <f t="shared" si="6"/>
        <v>1.5707963267948966</v>
      </c>
      <c r="E7" s="11">
        <v>1</v>
      </c>
      <c r="F7" s="11">
        <v>0.06</v>
      </c>
      <c r="G7" s="10">
        <v>3.927</v>
      </c>
      <c r="H7" s="10">
        <f t="shared" si="7"/>
        <v>1.5707963267948966</v>
      </c>
      <c r="I7" s="10">
        <v>0</v>
      </c>
      <c r="J7" s="10">
        <v>0</v>
      </c>
      <c r="K7" s="10">
        <v>0</v>
      </c>
      <c r="L7" s="8">
        <v>-1.4075441285967801E-3</v>
      </c>
      <c r="M7" s="8">
        <v>7.2883039712905898E-2</v>
      </c>
      <c r="N7" s="8">
        <v>-0.11806334555149101</v>
      </c>
      <c r="O7" s="8">
        <v>2.7194060385227199E-3</v>
      </c>
      <c r="P7" s="8">
        <v>-0.75840699672698997</v>
      </c>
      <c r="Q7" s="8">
        <v>-0.50915515422821001</v>
      </c>
      <c r="R7" s="25">
        <v>2.0768266727077167E-14</v>
      </c>
      <c r="S7" s="25">
        <v>8.5067080463404471E-2</v>
      </c>
      <c r="T7" s="25">
        <v>-0.10606910405639924</v>
      </c>
      <c r="U7" s="25">
        <v>-1.770104464736017E-3</v>
      </c>
      <c r="V7" s="25">
        <v>-0.70711887505591653</v>
      </c>
      <c r="W7" s="25">
        <v>-0.6071135449827878</v>
      </c>
      <c r="X7" s="8">
        <f t="shared" si="8"/>
        <v>1.4075441285760118E-3</v>
      </c>
      <c r="Y7" s="8">
        <f t="shared" si="9"/>
        <v>-1.2184040750498573E-2</v>
      </c>
      <c r="Z7" s="8">
        <f t="shared" si="10"/>
        <v>1.1994241495091762E-2</v>
      </c>
      <c r="AA7" s="8">
        <f t="shared" si="11"/>
        <v>9.4930157378670288E-4</v>
      </c>
      <c r="AB7" s="8">
        <f t="shared" si="12"/>
        <v>5.1288121671073439E-2</v>
      </c>
      <c r="AC7" s="8">
        <f t="shared" si="13"/>
        <v>-9.7958390754577795E-2</v>
      </c>
    </row>
    <row r="8" spans="1:33" x14ac:dyDescent="0.25">
      <c r="A8" s="10">
        <v>0.8</v>
      </c>
      <c r="B8" s="11">
        <v>0.16</v>
      </c>
      <c r="C8" s="10">
        <v>1.571</v>
      </c>
      <c r="D8" s="10">
        <f t="shared" si="6"/>
        <v>1.5707963267948966</v>
      </c>
      <c r="E8" s="11">
        <v>0.8</v>
      </c>
      <c r="F8" s="11">
        <v>0.06</v>
      </c>
      <c r="G8" s="10">
        <v>3.927</v>
      </c>
      <c r="H8" s="10">
        <f t="shared" si="7"/>
        <v>1.5707963267948966</v>
      </c>
      <c r="I8" s="10">
        <v>1.4</v>
      </c>
      <c r="J8" s="10">
        <v>0</v>
      </c>
      <c r="K8" s="10">
        <v>0</v>
      </c>
      <c r="L8" s="8">
        <v>3.4910831600427602E-3</v>
      </c>
      <c r="M8" s="8">
        <v>-0.18494510650634799</v>
      </c>
      <c r="N8" s="8">
        <v>-9.0413324534892994E-2</v>
      </c>
      <c r="O8" s="8">
        <v>-0.40126189589500399</v>
      </c>
      <c r="P8" s="8">
        <v>-0.60379952192306496</v>
      </c>
      <c r="Q8" s="8">
        <v>0.49847054481506298</v>
      </c>
      <c r="R8" s="25">
        <v>2.4837031795162576E-3</v>
      </c>
      <c r="S8" s="25">
        <v>-0.10814299417196351</v>
      </c>
      <c r="T8" s="25">
        <v>-8.6006944296823984E-2</v>
      </c>
      <c r="U8" s="25">
        <v>-0.22293507423786466</v>
      </c>
      <c r="V8" s="25">
        <v>-0.57314463605390586</v>
      </c>
      <c r="W8" s="25">
        <v>0.19699600907020262</v>
      </c>
      <c r="X8" s="8">
        <f t="shared" si="8"/>
        <v>1.0073799805265025E-3</v>
      </c>
      <c r="Y8" s="8">
        <f t="shared" si="9"/>
        <v>7.6802112334384484E-2</v>
      </c>
      <c r="Z8" s="8">
        <f t="shared" si="10"/>
        <v>4.4063802380690104E-3</v>
      </c>
      <c r="AA8" s="8">
        <f t="shared" si="11"/>
        <v>0.17832682165713934</v>
      </c>
      <c r="AB8" s="8">
        <f t="shared" si="12"/>
        <v>3.0654885869159099E-2</v>
      </c>
      <c r="AC8" s="8">
        <f t="shared" si="13"/>
        <v>0.30147453574486038</v>
      </c>
    </row>
    <row r="9" spans="1:33" x14ac:dyDescent="0.25">
      <c r="A9" s="10">
        <v>0.1</v>
      </c>
      <c r="B9" s="11">
        <v>0.18</v>
      </c>
      <c r="C9" s="10">
        <v>1.571</v>
      </c>
      <c r="D9" s="10">
        <f t="shared" si="6"/>
        <v>1.5707963267948966</v>
      </c>
      <c r="E9" s="11">
        <v>0.1</v>
      </c>
      <c r="F9" s="11">
        <v>0.02</v>
      </c>
      <c r="G9" s="10">
        <v>3.1419999999999999</v>
      </c>
      <c r="H9" s="10">
        <f t="shared" si="7"/>
        <v>1.5707963267948966</v>
      </c>
      <c r="I9" s="10">
        <v>1.2</v>
      </c>
      <c r="J9" s="10">
        <v>0</v>
      </c>
      <c r="K9" s="10">
        <v>0</v>
      </c>
      <c r="L9" s="8">
        <v>1.5908150235191001E-3</v>
      </c>
      <c r="M9" s="8">
        <v>-3.4777380526065799E-2</v>
      </c>
      <c r="N9" s="8">
        <v>-1.5904162079095799E-2</v>
      </c>
      <c r="O9" s="8">
        <v>-2.0381897687912001E-2</v>
      </c>
      <c r="P9" s="8">
        <v>-0.14476515352725999</v>
      </c>
      <c r="Q9" s="8">
        <v>0.117096215486526</v>
      </c>
      <c r="R9" s="25">
        <v>4.4382726743997445E-4</v>
      </c>
      <c r="S9" s="25">
        <v>-2.6869973358949899E-2</v>
      </c>
      <c r="T9" s="25">
        <v>-1.1069103224111518E-2</v>
      </c>
      <c r="U9" s="25">
        <v>-1.0528277993886222E-2</v>
      </c>
      <c r="V9" s="25">
        <v>-0.1004299415080465</v>
      </c>
      <c r="W9" s="25">
        <v>9.9399541644951683E-2</v>
      </c>
      <c r="X9" s="8">
        <f t="shared" si="8"/>
        <v>1.1469877560791257E-3</v>
      </c>
      <c r="Y9" s="8">
        <f t="shared" si="9"/>
        <v>7.9074071671158992E-3</v>
      </c>
      <c r="Z9" s="8">
        <f t="shared" si="10"/>
        <v>4.835058854984281E-3</v>
      </c>
      <c r="AA9" s="8">
        <f t="shared" si="11"/>
        <v>9.8536196940257788E-3</v>
      </c>
      <c r="AB9" s="8">
        <f t="shared" si="12"/>
        <v>4.4335212019213491E-2</v>
      </c>
      <c r="AC9" s="8">
        <f t="shared" si="13"/>
        <v>1.769667384157432E-2</v>
      </c>
    </row>
    <row r="10" spans="1:33" x14ac:dyDescent="0.25">
      <c r="A10" s="10">
        <v>0.9</v>
      </c>
      <c r="B10" s="11">
        <v>0.18</v>
      </c>
      <c r="C10" s="10">
        <v>1.571</v>
      </c>
      <c r="D10" s="10">
        <f t="shared" si="6"/>
        <v>1.5707963267948966</v>
      </c>
      <c r="E10" s="11">
        <v>0.1</v>
      </c>
      <c r="F10" s="11">
        <v>0.08</v>
      </c>
      <c r="G10" s="10">
        <v>4.7119999999999997</v>
      </c>
      <c r="H10" s="10">
        <f t="shared" si="7"/>
        <v>1.5707963267948966</v>
      </c>
      <c r="I10" s="10">
        <v>0</v>
      </c>
      <c r="J10" s="10">
        <v>0</v>
      </c>
      <c r="K10" s="10">
        <v>0</v>
      </c>
      <c r="L10" s="8">
        <v>2.3236712440848398E-3</v>
      </c>
      <c r="M10" s="8">
        <v>-0.204822152853012</v>
      </c>
      <c r="N10" s="8">
        <v>6.1566708609461802E-3</v>
      </c>
      <c r="O10" s="8">
        <v>-0.39857342839241</v>
      </c>
      <c r="P10" s="8">
        <v>2.7593433856964101E-2</v>
      </c>
      <c r="Q10" s="8">
        <v>0.66701602935791005</v>
      </c>
      <c r="R10" s="25">
        <v>8.0876545096417778E-15</v>
      </c>
      <c r="S10" s="25">
        <v>-0.20707877480950876</v>
      </c>
      <c r="T10" s="25">
        <v>-5.2207475049045555E-5</v>
      </c>
      <c r="U10" s="25">
        <v>-0.40492468568353202</v>
      </c>
      <c r="V10" s="25">
        <v>-2.0169903368486453E-4</v>
      </c>
      <c r="W10" s="25">
        <v>0.70085547517362701</v>
      </c>
      <c r="X10" s="8">
        <f t="shared" si="8"/>
        <v>2.3236712440767521E-3</v>
      </c>
      <c r="Y10" s="8">
        <f t="shared" si="9"/>
        <v>-2.2566219564967571E-3</v>
      </c>
      <c r="Z10" s="8">
        <f t="shared" si="10"/>
        <v>6.1044633858971346E-3</v>
      </c>
      <c r="AA10" s="8">
        <f t="shared" si="11"/>
        <v>-6.3512572911220144E-3</v>
      </c>
      <c r="AB10" s="8">
        <f t="shared" si="12"/>
        <v>2.7391734823279237E-2</v>
      </c>
      <c r="AC10" s="8">
        <f t="shared" si="13"/>
        <v>-3.3839445815716962E-2</v>
      </c>
    </row>
    <row r="11" spans="1:33" x14ac:dyDescent="0.25">
      <c r="A11" s="10">
        <v>0.3</v>
      </c>
      <c r="B11" s="11">
        <v>0.18</v>
      </c>
      <c r="C11" s="10">
        <v>1.571</v>
      </c>
      <c r="D11" s="10">
        <f t="shared" si="6"/>
        <v>1.5707963267948966</v>
      </c>
      <c r="E11" s="11">
        <v>0.9</v>
      </c>
      <c r="F11" s="11">
        <v>0.08</v>
      </c>
      <c r="G11" s="10">
        <v>4.7119999999999997</v>
      </c>
      <c r="H11" s="10">
        <f t="shared" si="7"/>
        <v>1.5707963267948966</v>
      </c>
      <c r="I11" s="10">
        <v>1</v>
      </c>
      <c r="J11" s="10">
        <v>0</v>
      </c>
      <c r="K11" s="10">
        <v>0</v>
      </c>
      <c r="L11" s="8">
        <v>1.6893346328288299E-3</v>
      </c>
      <c r="M11" s="8">
        <v>9.5554247498512296E-2</v>
      </c>
      <c r="N11" s="8">
        <v>-8.84410343132913E-4</v>
      </c>
      <c r="O11" s="8">
        <v>-4.5536972582340199E-2</v>
      </c>
      <c r="P11" s="8">
        <v>-5.9180781245231602E-3</v>
      </c>
      <c r="Q11" s="8">
        <v>-0.73156416416168202</v>
      </c>
      <c r="R11" s="25">
        <v>1.0230325013820818E-3</v>
      </c>
      <c r="S11" s="25">
        <v>7.3116424920705206E-2</v>
      </c>
      <c r="T11" s="25">
        <v>-3.3942386252521877E-4</v>
      </c>
      <c r="U11" s="25">
        <v>-4.6565898687965811E-2</v>
      </c>
      <c r="V11" s="25">
        <v>-2.1599013762491283E-3</v>
      </c>
      <c r="W11" s="25">
        <v>-0.6054161938999848</v>
      </c>
      <c r="X11" s="8">
        <f t="shared" si="8"/>
        <v>6.6630213144674814E-4</v>
      </c>
      <c r="Y11" s="8">
        <f t="shared" si="9"/>
        <v>2.243782257780709E-2</v>
      </c>
      <c r="Z11" s="8">
        <f t="shared" si="10"/>
        <v>5.4498648060769418E-4</v>
      </c>
      <c r="AA11" s="8">
        <f t="shared" si="11"/>
        <v>-1.0289261056256119E-3</v>
      </c>
      <c r="AB11" s="8">
        <f t="shared" si="12"/>
        <v>3.7581767482740319E-3</v>
      </c>
      <c r="AC11" s="8">
        <f t="shared" si="13"/>
        <v>0.12614797026169722</v>
      </c>
    </row>
    <row r="12" spans="1:33" x14ac:dyDescent="0.25">
      <c r="A12" s="10">
        <v>0.9</v>
      </c>
      <c r="B12" s="11">
        <v>0.2</v>
      </c>
      <c r="C12" s="10">
        <v>1.571</v>
      </c>
      <c r="D12" s="10">
        <f t="shared" si="6"/>
        <v>1.5707963267948966</v>
      </c>
      <c r="E12" s="11">
        <v>1</v>
      </c>
      <c r="F12" s="11">
        <v>0.02</v>
      </c>
      <c r="G12" s="10">
        <v>3.1419999999999999</v>
      </c>
      <c r="H12" s="10">
        <f t="shared" si="7"/>
        <v>1.5707963267948966</v>
      </c>
      <c r="I12" s="10">
        <v>0.4</v>
      </c>
      <c r="J12" s="10">
        <v>0</v>
      </c>
      <c r="K12" s="10">
        <v>0</v>
      </c>
      <c r="L12" s="8">
        <v>1.2135198339819899E-3</v>
      </c>
      <c r="M12" s="8">
        <v>-0.182935655117035</v>
      </c>
      <c r="N12" s="8">
        <v>-0.104798644781113</v>
      </c>
      <c r="O12" s="8">
        <v>-0.48353463411331199</v>
      </c>
      <c r="P12" s="8">
        <v>-0.98798036575317405</v>
      </c>
      <c r="Q12" s="8">
        <v>0.51245713233947798</v>
      </c>
      <c r="R12" s="25">
        <v>1.7585897824018302E-3</v>
      </c>
      <c r="S12" s="25">
        <v>-0.2219085788563499</v>
      </c>
      <c r="T12" s="25">
        <v>-0.11093483184692993</v>
      </c>
      <c r="U12" s="25">
        <v>-0.5463225046426885</v>
      </c>
      <c r="V12" s="25">
        <v>-1.0072866305983814</v>
      </c>
      <c r="W12" s="25">
        <v>0.7146984068754908</v>
      </c>
      <c r="X12" s="8">
        <f t="shared" si="8"/>
        <v>-5.450699484198403E-4</v>
      </c>
      <c r="Y12" s="8">
        <f t="shared" si="9"/>
        <v>-3.8972923739314907E-2</v>
      </c>
      <c r="Z12" s="8">
        <f t="shared" si="10"/>
        <v>-6.1361870658169226E-3</v>
      </c>
      <c r="AA12" s="8">
        <f t="shared" si="11"/>
        <v>-6.278787052937651E-2</v>
      </c>
      <c r="AB12" s="8">
        <f t="shared" si="12"/>
        <v>-1.9306264845207366E-2</v>
      </c>
      <c r="AC12" s="8">
        <f t="shared" si="13"/>
        <v>-0.20224127453601282</v>
      </c>
    </row>
    <row r="13" spans="1:33" x14ac:dyDescent="0.25">
      <c r="A13" s="10">
        <v>0.1</v>
      </c>
      <c r="B13" s="11">
        <v>0.2</v>
      </c>
      <c r="C13" s="10">
        <v>1.571</v>
      </c>
      <c r="D13" s="10">
        <f t="shared" si="6"/>
        <v>1.5707963267948966</v>
      </c>
      <c r="E13" s="11">
        <v>0.3</v>
      </c>
      <c r="F13" s="11">
        <v>0.08</v>
      </c>
      <c r="G13" s="10">
        <v>3.1419999999999999</v>
      </c>
      <c r="H13" s="10">
        <f t="shared" si="7"/>
        <v>1.5707963267948966</v>
      </c>
      <c r="I13" s="10">
        <v>0.2</v>
      </c>
      <c r="J13" s="10">
        <v>0</v>
      </c>
      <c r="K13" s="10">
        <v>0</v>
      </c>
      <c r="L13" s="8">
        <v>-6.5936520695686297E-4</v>
      </c>
      <c r="M13" s="8">
        <v>3.10139125213027E-3</v>
      </c>
      <c r="N13" s="8">
        <v>-6.7128308117389707E-2</v>
      </c>
      <c r="O13" s="8">
        <v>3.1099312007427202E-2</v>
      </c>
      <c r="P13" s="8">
        <v>-0.38181251287460299</v>
      </c>
      <c r="Q13" s="8">
        <v>-3.04524004459381E-2</v>
      </c>
      <c r="R13" s="25">
        <v>1.0286970873842568E-4</v>
      </c>
      <c r="S13" s="25">
        <v>-2.8595158079893476E-2</v>
      </c>
      <c r="T13" s="25">
        <v>-5.100725275400908E-2</v>
      </c>
      <c r="U13" s="25">
        <v>-8.9683116793701778E-3</v>
      </c>
      <c r="V13" s="25">
        <v>-0.30003681599159926</v>
      </c>
      <c r="W13" s="25">
        <v>9.9549955980523297E-2</v>
      </c>
      <c r="X13" s="8">
        <f t="shared" si="8"/>
        <v>5.5649549821843727E-4</v>
      </c>
      <c r="Y13" s="8">
        <f t="shared" si="9"/>
        <v>-2.5493766827763206E-2</v>
      </c>
      <c r="Z13" s="8">
        <f t="shared" si="10"/>
        <v>1.6121055363380626E-2</v>
      </c>
      <c r="AA13" s="8">
        <f t="shared" si="11"/>
        <v>2.2131000328057024E-2</v>
      </c>
      <c r="AB13" s="8">
        <f t="shared" si="12"/>
        <v>8.1775696883003735E-2</v>
      </c>
      <c r="AC13" s="8">
        <f t="shared" si="13"/>
        <v>-6.90975555345852E-2</v>
      </c>
      <c r="AG13">
        <f>0.17*0.01</f>
        <v>1.7000000000000001E-3</v>
      </c>
    </row>
    <row r="14" spans="1:33" x14ac:dyDescent="0.25">
      <c r="A14" s="10">
        <v>0.9</v>
      </c>
      <c r="B14" s="11">
        <v>0.2</v>
      </c>
      <c r="C14" s="10">
        <v>1.571</v>
      </c>
      <c r="D14" s="10">
        <f t="shared" si="6"/>
        <v>1.5707963267948966</v>
      </c>
      <c r="E14" s="11">
        <v>0.3</v>
      </c>
      <c r="F14" s="11">
        <v>0.02</v>
      </c>
      <c r="G14" s="10">
        <v>4.7119999999999997</v>
      </c>
      <c r="H14" s="10">
        <f t="shared" si="7"/>
        <v>1.5707963267948966</v>
      </c>
      <c r="I14" s="10">
        <v>1.4</v>
      </c>
      <c r="J14" s="10">
        <v>0</v>
      </c>
      <c r="K14" s="10">
        <v>0</v>
      </c>
      <c r="L14" s="8">
        <v>8.7932776659727097E-3</v>
      </c>
      <c r="M14" s="8">
        <v>-0.16019897162914301</v>
      </c>
      <c r="N14" s="8">
        <v>-2.4834894575178602E-3</v>
      </c>
      <c r="O14" s="8">
        <v>-0.46627718210220298</v>
      </c>
      <c r="P14" s="8">
        <v>-1.91364511847496E-2</v>
      </c>
      <c r="Q14" s="8">
        <v>0.27873134613037098</v>
      </c>
      <c r="R14" s="25">
        <v>6.1138314884863201E-3</v>
      </c>
      <c r="S14" s="25">
        <v>-0.18402079722998058</v>
      </c>
      <c r="T14" s="25">
        <v>-3.5282492134792237E-3</v>
      </c>
      <c r="U14" s="25">
        <v>-0.57405012741627193</v>
      </c>
      <c r="V14" s="25">
        <v>-2.7516677548597948E-2</v>
      </c>
      <c r="W14" s="25">
        <v>0.39218058963589908</v>
      </c>
      <c r="X14" s="8">
        <f t="shared" si="8"/>
        <v>2.6794461774863896E-3</v>
      </c>
      <c r="Y14" s="8">
        <f t="shared" si="9"/>
        <v>-2.3821825600837565E-2</v>
      </c>
      <c r="Z14" s="8">
        <f t="shared" si="10"/>
        <v>-1.0447597559613635E-3</v>
      </c>
      <c r="AA14" s="8">
        <f t="shared" si="11"/>
        <v>-0.10777294531406895</v>
      </c>
      <c r="AB14" s="8">
        <f t="shared" si="12"/>
        <v>-8.3802263638483483E-3</v>
      </c>
      <c r="AC14" s="8">
        <f t="shared" si="13"/>
        <v>-0.1134492435055281</v>
      </c>
    </row>
    <row r="15" spans="1:33" x14ac:dyDescent="0.25">
      <c r="A15" s="10">
        <v>0.9</v>
      </c>
      <c r="B15" s="11">
        <v>0.1</v>
      </c>
      <c r="C15" s="10">
        <v>2.3559999999999999</v>
      </c>
      <c r="D15" s="10">
        <f t="shared" si="6"/>
        <v>1.5707963267948966</v>
      </c>
      <c r="E15" s="11">
        <v>0.9</v>
      </c>
      <c r="F15" s="11">
        <v>0.02</v>
      </c>
      <c r="G15" s="10">
        <v>4.7119999999999997</v>
      </c>
      <c r="H15" s="10">
        <f t="shared" si="7"/>
        <v>1.5707963267948966</v>
      </c>
      <c r="I15" s="10">
        <v>0.4</v>
      </c>
      <c r="J15" s="10">
        <v>0</v>
      </c>
      <c r="K15" s="10">
        <v>0</v>
      </c>
      <c r="L15" s="8">
        <v>-7.9012457281351107E-3</v>
      </c>
      <c r="M15" s="8">
        <v>-4.3984718620777102E-2</v>
      </c>
      <c r="N15" s="8">
        <v>-0.141960874199867</v>
      </c>
      <c r="O15" s="8">
        <v>8.6025655269622803E-2</v>
      </c>
      <c r="P15" s="8">
        <v>-0.69405859708786</v>
      </c>
      <c r="Q15" s="8">
        <v>-0.18663805723190299</v>
      </c>
      <c r="R15" s="25">
        <v>8.7044730320810407E-5</v>
      </c>
      <c r="S15" s="25">
        <v>-2.1905759641639207E-2</v>
      </c>
      <c r="T15" s="25">
        <v>-0.12090056796715359</v>
      </c>
      <c r="U15" s="25">
        <v>-2.3124792974723387E-2</v>
      </c>
      <c r="V15" s="25">
        <v>-0.63641941556855031</v>
      </c>
      <c r="W15" s="25">
        <v>-0.26371643299257491</v>
      </c>
      <c r="X15" s="8">
        <f t="shared" si="8"/>
        <v>7.8142009978143002E-3</v>
      </c>
      <c r="Y15" s="8">
        <f t="shared" si="9"/>
        <v>2.2078958979137895E-2</v>
      </c>
      <c r="Z15" s="8">
        <f t="shared" si="10"/>
        <v>2.1060306232713405E-2</v>
      </c>
      <c r="AA15" s="8">
        <f t="shared" si="11"/>
        <v>6.2900862294899412E-2</v>
      </c>
      <c r="AB15" s="8">
        <f t="shared" si="12"/>
        <v>5.763918151930969E-2</v>
      </c>
      <c r="AC15" s="8">
        <f t="shared" si="13"/>
        <v>-7.7078375760671919E-2</v>
      </c>
    </row>
    <row r="16" spans="1:33" x14ac:dyDescent="0.25">
      <c r="A16" s="10">
        <v>0.4</v>
      </c>
      <c r="B16" s="11">
        <v>0.12</v>
      </c>
      <c r="C16" s="10">
        <v>2.3559999999999999</v>
      </c>
      <c r="D16" s="10">
        <f t="shared" si="6"/>
        <v>1.5707963267948966</v>
      </c>
      <c r="E16" s="11">
        <v>0.1</v>
      </c>
      <c r="F16" s="11">
        <v>0.06</v>
      </c>
      <c r="G16" s="10">
        <v>3.1419999999999999</v>
      </c>
      <c r="H16" s="10">
        <f t="shared" si="7"/>
        <v>1.5707963267948966</v>
      </c>
      <c r="I16" s="10">
        <v>0.4</v>
      </c>
      <c r="J16" s="10">
        <v>0</v>
      </c>
      <c r="K16" s="10">
        <v>0</v>
      </c>
      <c r="L16" s="8">
        <v>-3.90403810888529E-3</v>
      </c>
      <c r="M16" s="8">
        <v>-6.7934043705463396E-2</v>
      </c>
      <c r="N16" s="8">
        <v>-8.5464723408222198E-2</v>
      </c>
      <c r="O16" s="8">
        <v>2.6761934161186201E-2</v>
      </c>
      <c r="P16" s="8">
        <v>-0.412941753864288</v>
      </c>
      <c r="Q16" s="8">
        <v>0.30062127113342302</v>
      </c>
      <c r="R16" s="25">
        <v>8.791463342498816E-5</v>
      </c>
      <c r="S16" s="25">
        <v>-5.938697891312672E-2</v>
      </c>
      <c r="T16" s="25">
        <v>-7.4372299307602141E-2</v>
      </c>
      <c r="U16" s="25">
        <v>-1.0767215152111443E-2</v>
      </c>
      <c r="V16" s="25">
        <v>-0.38270710601024649</v>
      </c>
      <c r="W16" s="25">
        <v>0.28275138744060457</v>
      </c>
      <c r="X16" s="8">
        <f t="shared" si="8"/>
        <v>3.8161234754603016E-3</v>
      </c>
      <c r="Y16" s="8">
        <f t="shared" si="9"/>
        <v>8.5470647923366755E-3</v>
      </c>
      <c r="Z16" s="8">
        <f t="shared" si="10"/>
        <v>1.1092424100620057E-2</v>
      </c>
      <c r="AA16" s="8">
        <f t="shared" si="11"/>
        <v>1.5994719009074759E-2</v>
      </c>
      <c r="AB16" s="8">
        <f t="shared" si="12"/>
        <v>3.0234647854041508E-2</v>
      </c>
      <c r="AC16" s="8">
        <f t="shared" si="13"/>
        <v>1.7869883692818445E-2</v>
      </c>
    </row>
    <row r="17" spans="1:29" x14ac:dyDescent="0.25">
      <c r="A17" s="10">
        <v>1</v>
      </c>
      <c r="B17" s="11">
        <v>0.14000000000000001</v>
      </c>
      <c r="C17" s="10">
        <v>2.3559999999999999</v>
      </c>
      <c r="D17" s="10">
        <f t="shared" si="6"/>
        <v>1.5707963267948966</v>
      </c>
      <c r="E17" s="11">
        <v>0.4</v>
      </c>
      <c r="F17" s="11">
        <v>0.04</v>
      </c>
      <c r="G17" s="10">
        <v>3.927</v>
      </c>
      <c r="H17" s="10">
        <f t="shared" si="7"/>
        <v>1.5707963267948966</v>
      </c>
      <c r="I17" s="10">
        <v>0.6</v>
      </c>
      <c r="J17" s="10">
        <v>0</v>
      </c>
      <c r="K17" s="10">
        <v>0</v>
      </c>
      <c r="L17" s="8">
        <v>-2.8297975659370401E-3</v>
      </c>
      <c r="M17" s="8">
        <v>-0.18058618903160101</v>
      </c>
      <c r="N17" s="8">
        <v>-0.23388142883777599</v>
      </c>
      <c r="O17" s="8">
        <v>-0.26429381966590898</v>
      </c>
      <c r="P17" s="8">
        <v>-1.1066045761108401</v>
      </c>
      <c r="Q17" s="8">
        <v>0.67185997962951705</v>
      </c>
      <c r="R17" s="25">
        <v>7.5126950432627729E-4</v>
      </c>
      <c r="S17" s="25">
        <v>-0.12443248579962851</v>
      </c>
      <c r="T17" s="25">
        <v>-0.19810864536032557</v>
      </c>
      <c r="U17" s="25">
        <v>-0.15147433910395772</v>
      </c>
      <c r="V17" s="25">
        <v>-0.98242111985237857</v>
      </c>
      <c r="W17" s="25">
        <v>0.41545764354083969</v>
      </c>
      <c r="X17" s="8">
        <f t="shared" si="8"/>
        <v>2.078528061610763E-3</v>
      </c>
      <c r="Y17" s="8">
        <f t="shared" si="9"/>
        <v>5.6153703231972496E-2</v>
      </c>
      <c r="Z17" s="8">
        <f t="shared" si="10"/>
        <v>3.5772783477450415E-2</v>
      </c>
      <c r="AA17" s="8">
        <f t="shared" si="11"/>
        <v>0.11281948056195126</v>
      </c>
      <c r="AB17" s="8">
        <f t="shared" si="12"/>
        <v>0.1241834562584615</v>
      </c>
      <c r="AC17" s="8">
        <f t="shared" si="13"/>
        <v>0.25640233608867735</v>
      </c>
    </row>
    <row r="18" spans="1:29" x14ac:dyDescent="0.25">
      <c r="A18" s="10">
        <v>0.4</v>
      </c>
      <c r="B18" s="11">
        <v>0.18</v>
      </c>
      <c r="C18" s="10">
        <v>2.3559999999999999</v>
      </c>
      <c r="D18" s="10">
        <f t="shared" si="6"/>
        <v>1.5707963267948966</v>
      </c>
      <c r="E18" s="11">
        <v>0.7</v>
      </c>
      <c r="F18" s="11">
        <v>0.04</v>
      </c>
      <c r="G18" s="10">
        <v>3.1419999999999999</v>
      </c>
      <c r="H18" s="10">
        <f t="shared" si="7"/>
        <v>1.5707963267948966</v>
      </c>
      <c r="I18" s="10">
        <v>0</v>
      </c>
      <c r="J18" s="10">
        <v>0</v>
      </c>
      <c r="K18" s="10">
        <v>0</v>
      </c>
      <c r="L18" s="8">
        <v>-6.22342247515917E-3</v>
      </c>
      <c r="M18" s="8">
        <v>-5.8960229158401503E-2</v>
      </c>
      <c r="N18" s="8">
        <v>-0.15366320312023199</v>
      </c>
      <c r="O18" s="8">
        <v>-5.5010270327329601E-2</v>
      </c>
      <c r="P18" s="8">
        <v>-0.88742548227310203</v>
      </c>
      <c r="Q18" s="8">
        <v>0.18511915206909199</v>
      </c>
      <c r="R18" s="25">
        <v>2.5166354177894806E-14</v>
      </c>
      <c r="S18" s="25">
        <v>-7.5129988117898505E-2</v>
      </c>
      <c r="T18" s="25">
        <v>-0.1661349301410856</v>
      </c>
      <c r="U18" s="25">
        <v>-8.5610834036796576E-2</v>
      </c>
      <c r="V18" s="25">
        <v>-0.97635689018407679</v>
      </c>
      <c r="W18" s="25">
        <v>0.27620745758415172</v>
      </c>
      <c r="X18" s="8">
        <f t="shared" si="8"/>
        <v>6.2234224751340035E-3</v>
      </c>
      <c r="Y18" s="8">
        <f t="shared" si="9"/>
        <v>-1.6169758959497002E-2</v>
      </c>
      <c r="Z18" s="8">
        <f t="shared" si="10"/>
        <v>-1.2471727020853612E-2</v>
      </c>
      <c r="AA18" s="8">
        <f t="shared" si="11"/>
        <v>-3.0600563709466976E-2</v>
      </c>
      <c r="AB18" s="8">
        <f t="shared" si="12"/>
        <v>-8.8931407910974758E-2</v>
      </c>
      <c r="AC18" s="8">
        <f t="shared" si="13"/>
        <v>-9.1088305515059725E-2</v>
      </c>
    </row>
    <row r="19" spans="1:29" x14ac:dyDescent="0.25">
      <c r="A19" s="10">
        <v>0.1</v>
      </c>
      <c r="B19" s="11">
        <v>0.18</v>
      </c>
      <c r="C19" s="10">
        <v>2.3559999999999999</v>
      </c>
      <c r="D19" s="10">
        <f t="shared" si="6"/>
        <v>1.5707963267948966</v>
      </c>
      <c r="E19" s="11">
        <v>0.2</v>
      </c>
      <c r="F19" s="11">
        <v>0.06</v>
      </c>
      <c r="G19" s="10">
        <v>4.7119999999999997</v>
      </c>
      <c r="H19" s="10">
        <f t="shared" si="7"/>
        <v>1.5707963267948966</v>
      </c>
      <c r="I19" s="10">
        <v>0.4</v>
      </c>
      <c r="J19" s="10">
        <v>0</v>
      </c>
      <c r="K19" s="10">
        <v>0</v>
      </c>
      <c r="L19" s="8">
        <v>3.3402333501726402E-3</v>
      </c>
      <c r="M19" s="8">
        <v>1.4506237581372299E-2</v>
      </c>
      <c r="N19" s="8">
        <v>-1.5207892283797301E-2</v>
      </c>
      <c r="O19" s="8">
        <v>-1.86226963996887E-2</v>
      </c>
      <c r="P19" s="8">
        <v>-4.76582162082195E-2</v>
      </c>
      <c r="Q19" s="8">
        <v>-0.14300855994224501</v>
      </c>
      <c r="R19" s="25">
        <v>1.6324741851021413E-4</v>
      </c>
      <c r="S19" s="25">
        <v>1.0922219864245818E-2</v>
      </c>
      <c r="T19" s="25">
        <v>-1.9089625247352013E-2</v>
      </c>
      <c r="U19" s="25">
        <v>-3.6935071396595421E-3</v>
      </c>
      <c r="V19" s="25">
        <v>-7.0740478468305251E-2</v>
      </c>
      <c r="W19" s="25">
        <v>-0.12937428970802639</v>
      </c>
      <c r="X19" s="8">
        <f t="shared" si="8"/>
        <v>3.1769859316624263E-3</v>
      </c>
      <c r="Y19" s="8">
        <f t="shared" si="9"/>
        <v>3.5840177171264816E-3</v>
      </c>
      <c r="Z19" s="8">
        <f t="shared" si="10"/>
        <v>-3.8817329635547123E-3</v>
      </c>
      <c r="AA19" s="8">
        <f t="shared" si="11"/>
        <v>1.4929189260029157E-2</v>
      </c>
      <c r="AB19" s="8">
        <f t="shared" si="12"/>
        <v>-2.3082262260085751E-2</v>
      </c>
      <c r="AC19" s="8">
        <f t="shared" si="13"/>
        <v>1.3634270234218621E-2</v>
      </c>
    </row>
    <row r="20" spans="1:29" x14ac:dyDescent="0.25">
      <c r="A20" s="10">
        <v>0.9</v>
      </c>
      <c r="B20" s="11">
        <v>0.2</v>
      </c>
      <c r="C20" s="10">
        <v>2.3559999999999999</v>
      </c>
      <c r="D20" s="10">
        <f t="shared" si="6"/>
        <v>1.5707963267948966</v>
      </c>
      <c r="E20" s="11">
        <v>0.3</v>
      </c>
      <c r="F20" s="11">
        <v>0.06</v>
      </c>
      <c r="G20" s="10">
        <v>3.1419999999999999</v>
      </c>
      <c r="H20" s="10">
        <f t="shared" si="7"/>
        <v>1.5707963267948966</v>
      </c>
      <c r="I20" s="10">
        <v>1.2</v>
      </c>
      <c r="J20" s="10">
        <v>0</v>
      </c>
      <c r="K20" s="10">
        <v>0</v>
      </c>
      <c r="L20" s="8">
        <v>9.9984761327505094E-3</v>
      </c>
      <c r="M20" s="8">
        <v>-0.16704940795898399</v>
      </c>
      <c r="N20" s="8">
        <v>-0.211101770401001</v>
      </c>
      <c r="O20" s="8">
        <v>-0.65643388032913197</v>
      </c>
      <c r="P20" s="8">
        <v>-0.80316579341888406</v>
      </c>
      <c r="Q20" s="8">
        <v>0.504788398742676</v>
      </c>
      <c r="R20" s="25">
        <v>5.9109947025484709E-3</v>
      </c>
      <c r="S20" s="25">
        <v>-0.15824306368210392</v>
      </c>
      <c r="T20" s="25">
        <v>-0.20689860766874721</v>
      </c>
      <c r="U20" s="25">
        <v>-0.52353574655227253</v>
      </c>
      <c r="V20" s="25">
        <v>-0.83705636616307388</v>
      </c>
      <c r="W20" s="25">
        <v>0.50639605339595928</v>
      </c>
      <c r="X20" s="8">
        <f t="shared" si="8"/>
        <v>4.0874814302020385E-3</v>
      </c>
      <c r="Y20" s="8">
        <f t="shared" si="9"/>
        <v>8.8063442768800682E-3</v>
      </c>
      <c r="Z20" s="8">
        <f t="shared" si="10"/>
        <v>4.2031627322537957E-3</v>
      </c>
      <c r="AA20" s="8">
        <f t="shared" si="11"/>
        <v>0.13289813377685944</v>
      </c>
      <c r="AB20" s="8">
        <f t="shared" si="12"/>
        <v>-3.3890572744189829E-2</v>
      </c>
      <c r="AC20" s="8">
        <f t="shared" si="13"/>
        <v>-1.6076546532832747E-3</v>
      </c>
    </row>
    <row r="21" spans="1:29" x14ac:dyDescent="0.25">
      <c r="A21" s="10">
        <v>0.1</v>
      </c>
      <c r="B21" s="11">
        <v>0.1</v>
      </c>
      <c r="C21" s="10">
        <v>3.1419999999999999</v>
      </c>
      <c r="D21" s="10">
        <f t="shared" si="6"/>
        <v>1.5707963267948966</v>
      </c>
      <c r="E21" s="11">
        <v>0.3</v>
      </c>
      <c r="F21" s="11">
        <v>0.08</v>
      </c>
      <c r="G21" s="10">
        <v>3.927</v>
      </c>
      <c r="H21" s="10">
        <f t="shared" si="7"/>
        <v>1.5707963267948966</v>
      </c>
      <c r="I21" s="10">
        <v>1.2</v>
      </c>
      <c r="J21" s="10">
        <v>0</v>
      </c>
      <c r="K21" s="10">
        <v>0</v>
      </c>
      <c r="L21" s="8">
        <v>-4.1311280801892302E-4</v>
      </c>
      <c r="M21" s="8">
        <v>3.3949088305234902E-2</v>
      </c>
      <c r="N21" s="8">
        <v>-5.4488845169544199E-2</v>
      </c>
      <c r="O21" s="8">
        <v>-5.7915411889553096E-3</v>
      </c>
      <c r="P21" s="8">
        <v>-0.31081974506378202</v>
      </c>
      <c r="Q21" s="8">
        <v>-0.19208578765392301</v>
      </c>
      <c r="R21" s="25">
        <v>4.9478285781687539E-6</v>
      </c>
      <c r="S21" s="25">
        <v>3.6069994417940204E-2</v>
      </c>
      <c r="T21" s="25">
        <v>-5.5061291386110281E-2</v>
      </c>
      <c r="U21" s="25">
        <v>5.4940457620744675E-4</v>
      </c>
      <c r="V21" s="25">
        <v>-0.31212792169173037</v>
      </c>
      <c r="W21" s="25">
        <v>-0.21217310088183478</v>
      </c>
      <c r="X21" s="8">
        <f t="shared" si="8"/>
        <v>4.0816497944075428E-4</v>
      </c>
      <c r="Y21" s="8">
        <f t="shared" si="9"/>
        <v>-2.1209061127053022E-3</v>
      </c>
      <c r="Z21" s="8">
        <f t="shared" si="10"/>
        <v>-5.724462165660818E-4</v>
      </c>
      <c r="AA21" s="8">
        <f t="shared" si="11"/>
        <v>5.2421366127478625E-3</v>
      </c>
      <c r="AB21" s="8">
        <f t="shared" si="12"/>
        <v>-1.3081766279483542E-3</v>
      </c>
      <c r="AC21" s="8">
        <f t="shared" si="13"/>
        <v>-2.0087313227911768E-2</v>
      </c>
    </row>
    <row r="22" spans="1:29" x14ac:dyDescent="0.25">
      <c r="A22" s="10">
        <v>0.1</v>
      </c>
      <c r="B22" s="11">
        <v>0.2</v>
      </c>
      <c r="C22" s="10">
        <v>3.1419999999999999</v>
      </c>
      <c r="D22" s="10">
        <f t="shared" si="6"/>
        <v>1.5707963267948966</v>
      </c>
      <c r="E22" s="11">
        <v>0.8</v>
      </c>
      <c r="F22" s="11">
        <v>0.02</v>
      </c>
      <c r="G22" s="10">
        <v>3.927</v>
      </c>
      <c r="H22" s="10">
        <f t="shared" si="7"/>
        <v>1.5707963267948966</v>
      </c>
      <c r="I22" s="10">
        <v>1.2</v>
      </c>
      <c r="J22" s="10">
        <v>0</v>
      </c>
      <c r="K22" s="10">
        <v>0</v>
      </c>
      <c r="L22" s="8">
        <v>-1.08309416100383E-3</v>
      </c>
      <c r="M22" s="8">
        <v>4.8130437731742901E-2</v>
      </c>
      <c r="N22" s="8">
        <v>-8.1404998898506206E-2</v>
      </c>
      <c r="O22" s="8">
        <v>-3.8113974034786197E-2</v>
      </c>
      <c r="P22" s="8">
        <v>-0.69519579410553001</v>
      </c>
      <c r="Q22" s="8">
        <v>-0.43949088454246499</v>
      </c>
      <c r="R22" s="25">
        <v>3.4450526824020825E-4</v>
      </c>
      <c r="S22" s="25">
        <v>6.2217163853992327E-2</v>
      </c>
      <c r="T22" s="25">
        <v>-9.0891628706033456E-2</v>
      </c>
      <c r="U22" s="25">
        <v>1.9621470998348882E-3</v>
      </c>
      <c r="V22" s="25">
        <v>-0.66566073073999699</v>
      </c>
      <c r="W22" s="25">
        <v>-0.5656364631996823</v>
      </c>
      <c r="X22" s="8">
        <f t="shared" si="8"/>
        <v>7.385888927636218E-4</v>
      </c>
      <c r="Y22" s="8">
        <f t="shared" si="9"/>
        <v>-1.4086726122249427E-2</v>
      </c>
      <c r="Z22" s="8">
        <f t="shared" si="10"/>
        <v>-9.4866298075272498E-3</v>
      </c>
      <c r="AA22" s="8">
        <f t="shared" si="11"/>
        <v>3.6151826934951309E-2</v>
      </c>
      <c r="AB22" s="8">
        <f t="shared" si="12"/>
        <v>2.9535063365533021E-2</v>
      </c>
      <c r="AC22" s="8">
        <f t="shared" si="13"/>
        <v>-0.12614557865721732</v>
      </c>
    </row>
    <row r="23" spans="1:29" x14ac:dyDescent="0.25">
      <c r="A23" s="10">
        <v>0.9</v>
      </c>
      <c r="B23" s="11">
        <v>0.1</v>
      </c>
      <c r="C23" s="10">
        <v>3.927</v>
      </c>
      <c r="D23" s="10">
        <f t="shared" si="6"/>
        <v>1.5707963267948966</v>
      </c>
      <c r="E23" s="11">
        <v>0.2</v>
      </c>
      <c r="F23" s="11">
        <v>0.02</v>
      </c>
      <c r="G23" s="10">
        <v>3.1419999999999999</v>
      </c>
      <c r="H23" s="10">
        <f t="shared" si="7"/>
        <v>1.5707963267948966</v>
      </c>
      <c r="I23" s="10">
        <v>1.4</v>
      </c>
      <c r="J23" s="10">
        <v>0</v>
      </c>
      <c r="K23" s="10">
        <v>0</v>
      </c>
      <c r="L23" s="8">
        <v>-1.0050361976027501E-2</v>
      </c>
      <c r="M23" s="8">
        <v>0.127486452460289</v>
      </c>
      <c r="N23" s="8">
        <v>-0.178982153534889</v>
      </c>
      <c r="O23" s="8">
        <v>2.8237748891115199E-2</v>
      </c>
      <c r="P23" s="8">
        <v>-1.01243340969086</v>
      </c>
      <c r="Q23" s="8">
        <v>-0.60584980249404896</v>
      </c>
      <c r="R23" s="25">
        <v>-8.1804653180856467E-5</v>
      </c>
      <c r="S23" s="25">
        <v>0.12091875644520353</v>
      </c>
      <c r="T23" s="25">
        <v>-0.14290507539558206</v>
      </c>
      <c r="U23" s="25">
        <v>-1.0876101800984476E-2</v>
      </c>
      <c r="V23" s="25">
        <v>-0.8363404527247108</v>
      </c>
      <c r="W23" s="25">
        <v>-0.63643947905459231</v>
      </c>
      <c r="X23" s="8">
        <f t="shared" si="8"/>
        <v>9.9685573228466447E-3</v>
      </c>
      <c r="Y23" s="8">
        <f t="shared" si="9"/>
        <v>6.5676960150854724E-3</v>
      </c>
      <c r="Z23" s="8">
        <f t="shared" si="10"/>
        <v>3.607707813930694E-2</v>
      </c>
      <c r="AA23" s="8">
        <f t="shared" si="11"/>
        <v>1.7361647090130723E-2</v>
      </c>
      <c r="AB23" s="8">
        <f t="shared" si="12"/>
        <v>0.17609295696614924</v>
      </c>
      <c r="AC23" s="8">
        <f t="shared" si="13"/>
        <v>-3.0589676560543344E-2</v>
      </c>
    </row>
    <row r="24" spans="1:29" x14ac:dyDescent="0.25">
      <c r="A24" s="10">
        <v>0.2</v>
      </c>
      <c r="B24" s="11">
        <v>0.12</v>
      </c>
      <c r="C24" s="10">
        <v>3.927</v>
      </c>
      <c r="D24" s="10">
        <f t="shared" si="6"/>
        <v>1.5707963267948966</v>
      </c>
      <c r="E24" s="11">
        <v>0.2</v>
      </c>
      <c r="F24" s="11">
        <v>0.02</v>
      </c>
      <c r="G24" s="10">
        <v>4.7119999999999997</v>
      </c>
      <c r="H24" s="10">
        <f t="shared" si="7"/>
        <v>1.5707963267948966</v>
      </c>
      <c r="I24" s="10">
        <v>1.2</v>
      </c>
      <c r="J24" s="10">
        <v>0</v>
      </c>
      <c r="K24" s="10">
        <v>0</v>
      </c>
      <c r="L24" s="8">
        <v>-1.8197204917669299E-4</v>
      </c>
      <c r="M24" s="8">
        <v>4.8199806362390497E-2</v>
      </c>
      <c r="N24" s="8">
        <v>-2.8443846851587299E-2</v>
      </c>
      <c r="O24" s="8">
        <v>1.3900646939873701E-2</v>
      </c>
      <c r="P24" s="8">
        <v>-0.13246817886829401</v>
      </c>
      <c r="Q24" s="8">
        <v>-0.32060724496841397</v>
      </c>
      <c r="R24" s="25">
        <v>-3.5341545850511248E-5</v>
      </c>
      <c r="S24" s="25">
        <v>5.1697110686158204E-2</v>
      </c>
      <c r="T24" s="25">
        <v>-2.97010930904931E-2</v>
      </c>
      <c r="U24" s="25">
        <v>2.6096253347740023E-3</v>
      </c>
      <c r="V24" s="25">
        <v>-0.1414714350064519</v>
      </c>
      <c r="W24" s="25">
        <v>-0.34141866076320321</v>
      </c>
      <c r="X24" s="8">
        <f t="shared" si="8"/>
        <v>1.4663050332618176E-4</v>
      </c>
      <c r="Y24" s="8">
        <f t="shared" si="9"/>
        <v>-3.4973043237677068E-3</v>
      </c>
      <c r="Z24" s="8">
        <f t="shared" si="10"/>
        <v>-1.2572462389058014E-3</v>
      </c>
      <c r="AA24" s="8">
        <f t="shared" si="11"/>
        <v>1.1291021605099698E-2</v>
      </c>
      <c r="AB24" s="8">
        <f t="shared" si="12"/>
        <v>-9.0032561381578891E-3</v>
      </c>
      <c r="AC24" s="8">
        <f t="shared" si="13"/>
        <v>-2.0811415794789234E-2</v>
      </c>
    </row>
    <row r="25" spans="1:29" x14ac:dyDescent="0.25">
      <c r="A25" s="10">
        <v>0.6</v>
      </c>
      <c r="B25" s="11">
        <v>0.12</v>
      </c>
      <c r="C25" s="10">
        <v>3.927</v>
      </c>
      <c r="D25" s="10">
        <f t="shared" si="6"/>
        <v>1.5707963267948966</v>
      </c>
      <c r="E25" s="11">
        <v>0.5</v>
      </c>
      <c r="F25" s="11">
        <v>0.08</v>
      </c>
      <c r="G25" s="10">
        <v>4.7119999999999997</v>
      </c>
      <c r="H25" s="10">
        <f t="shared" si="7"/>
        <v>1.5707963267948966</v>
      </c>
      <c r="I25" s="10">
        <v>0.2</v>
      </c>
      <c r="J25" s="10">
        <v>0</v>
      </c>
      <c r="K25" s="10">
        <v>0</v>
      </c>
      <c r="L25" s="8">
        <v>-9.4277318567037604E-4</v>
      </c>
      <c r="M25" s="8">
        <v>0.193720102310181</v>
      </c>
      <c r="N25" s="8">
        <v>-0.115528546273708</v>
      </c>
      <c r="O25" s="8">
        <v>4.3163940310478197E-2</v>
      </c>
      <c r="P25" s="8">
        <v>-0.53577321767806996</v>
      </c>
      <c r="Q25" s="8">
        <v>-0.986228287220001</v>
      </c>
      <c r="R25" s="25">
        <v>-2.6956574685226325E-5</v>
      </c>
      <c r="S25" s="25">
        <v>0.17401658138018583</v>
      </c>
      <c r="T25" s="25">
        <v>-8.9071489573808824E-2</v>
      </c>
      <c r="U25" s="25">
        <v>-3.5907181872403146E-2</v>
      </c>
      <c r="V25" s="25">
        <v>-0.42407538702066999</v>
      </c>
      <c r="W25" s="25">
        <v>-0.92371517000918779</v>
      </c>
      <c r="X25" s="8">
        <f t="shared" si="8"/>
        <v>9.158166109851497E-4</v>
      </c>
      <c r="Y25" s="8">
        <f t="shared" si="9"/>
        <v>1.9703520929995166E-2</v>
      </c>
      <c r="Z25" s="8">
        <f t="shared" si="10"/>
        <v>2.6457056699899173E-2</v>
      </c>
      <c r="AA25" s="8">
        <f t="shared" si="11"/>
        <v>7.2567584380750505E-3</v>
      </c>
      <c r="AB25" s="8">
        <f t="shared" si="12"/>
        <v>0.11169783065739997</v>
      </c>
      <c r="AC25" s="8">
        <f t="shared" si="13"/>
        <v>6.2513117210813207E-2</v>
      </c>
    </row>
    <row r="26" spans="1:29" x14ac:dyDescent="0.25">
      <c r="A26" s="10">
        <v>0.7</v>
      </c>
      <c r="B26" s="11">
        <v>0.16</v>
      </c>
      <c r="C26" s="10">
        <v>3.927</v>
      </c>
      <c r="D26" s="10">
        <f t="shared" si="6"/>
        <v>1.5707963267948966</v>
      </c>
      <c r="E26" s="11">
        <v>1</v>
      </c>
      <c r="F26" s="11">
        <v>0.04</v>
      </c>
      <c r="G26" s="10">
        <v>3.927</v>
      </c>
      <c r="H26" s="10">
        <f t="shared" si="7"/>
        <v>1.5707963267948966</v>
      </c>
      <c r="I26" s="10">
        <v>1.2</v>
      </c>
      <c r="J26" s="10">
        <v>0</v>
      </c>
      <c r="K26" s="10">
        <v>0</v>
      </c>
      <c r="L26" s="8">
        <v>-1.8966067582368901E-3</v>
      </c>
      <c r="M26" s="8">
        <v>0.20827016234397899</v>
      </c>
      <c r="N26" s="8">
        <v>-0.236072272062302</v>
      </c>
      <c r="O26" s="8">
        <v>-2.9216319322586101E-2</v>
      </c>
      <c r="P26" s="8">
        <v>-1.3177623748779299</v>
      </c>
      <c r="Q26" s="8">
        <v>-1.11354172229767</v>
      </c>
      <c r="R26" s="25">
        <v>-5.6398153473434412E-4</v>
      </c>
      <c r="S26" s="25">
        <v>0.21488651931414124</v>
      </c>
      <c r="T26" s="25">
        <v>-0.21490367316436726</v>
      </c>
      <c r="U26" s="25">
        <v>-9.6830521264820071E-2</v>
      </c>
      <c r="V26" s="25">
        <v>-1.1978123788547277</v>
      </c>
      <c r="W26" s="25">
        <v>-1.1973187440242272</v>
      </c>
      <c r="X26" s="8">
        <f t="shared" si="8"/>
        <v>1.3326252235025459E-3</v>
      </c>
      <c r="Y26" s="8">
        <f t="shared" si="9"/>
        <v>-6.616356970162246E-3</v>
      </c>
      <c r="Z26" s="8">
        <f t="shared" si="10"/>
        <v>2.1168598897934737E-2</v>
      </c>
      <c r="AA26" s="8">
        <f t="shared" si="11"/>
        <v>-6.761420194223397E-2</v>
      </c>
      <c r="AB26" s="8">
        <f t="shared" si="12"/>
        <v>0.11994999602320222</v>
      </c>
      <c r="AC26" s="8">
        <f t="shared" si="13"/>
        <v>-8.377702172655721E-2</v>
      </c>
    </row>
    <row r="27" spans="1:29" x14ac:dyDescent="0.25">
      <c r="A27" s="10">
        <v>0.1</v>
      </c>
      <c r="B27" s="11">
        <v>0.18</v>
      </c>
      <c r="C27" s="10">
        <v>3.927</v>
      </c>
      <c r="D27" s="10">
        <f t="shared" si="6"/>
        <v>1.5707963267948966</v>
      </c>
      <c r="E27" s="11">
        <v>0.9</v>
      </c>
      <c r="F27" s="11">
        <v>0.08</v>
      </c>
      <c r="G27" s="10">
        <v>3.1419999999999999</v>
      </c>
      <c r="H27" s="10">
        <f t="shared" si="7"/>
        <v>1.5707963267948966</v>
      </c>
      <c r="I27" s="10">
        <v>0.6</v>
      </c>
      <c r="J27" s="10">
        <v>0</v>
      </c>
      <c r="K27" s="10">
        <v>0</v>
      </c>
      <c r="L27" s="8">
        <v>-2.1010981872677799E-3</v>
      </c>
      <c r="M27" s="8">
        <v>1.5756551176309599E-2</v>
      </c>
      <c r="N27" s="8">
        <v>-0.160715162754059</v>
      </c>
      <c r="O27" s="8">
        <v>2.54940949380398E-2</v>
      </c>
      <c r="P27" s="8">
        <v>-0.88553363084793102</v>
      </c>
      <c r="Q27" s="8">
        <v>-5.3425669670105001E-2</v>
      </c>
      <c r="R27" s="25">
        <v>-3.7112580535596401E-5</v>
      </c>
      <c r="S27" s="25">
        <v>1.9153190728548115E-2</v>
      </c>
      <c r="T27" s="25">
        <v>-0.17207483041279859</v>
      </c>
      <c r="U27" s="25">
        <v>-1.4258414034108945E-2</v>
      </c>
      <c r="V27" s="25">
        <v>-0.97060030585151025</v>
      </c>
      <c r="W27" s="25">
        <v>-7.1062679900828762E-2</v>
      </c>
      <c r="X27" s="8">
        <f t="shared" si="8"/>
        <v>2.0639856067321835E-3</v>
      </c>
      <c r="Y27" s="8">
        <f t="shared" si="9"/>
        <v>-3.3966395522385152E-3</v>
      </c>
      <c r="Z27" s="8">
        <f t="shared" si="10"/>
        <v>-1.1359667658739581E-2</v>
      </c>
      <c r="AA27" s="8">
        <f t="shared" si="11"/>
        <v>1.1235680903930855E-2</v>
      </c>
      <c r="AB27" s="8">
        <f t="shared" si="12"/>
        <v>-8.5066675003579229E-2</v>
      </c>
      <c r="AC27" s="8">
        <f t="shared" si="13"/>
        <v>-1.7637010230723761E-2</v>
      </c>
    </row>
    <row r="28" spans="1:29" x14ac:dyDescent="0.25">
      <c r="A28" s="10">
        <v>1</v>
      </c>
      <c r="B28" s="11">
        <v>0.18</v>
      </c>
      <c r="C28" s="10">
        <v>3.927</v>
      </c>
      <c r="D28" s="10">
        <f t="shared" si="6"/>
        <v>1.5707963267948966</v>
      </c>
      <c r="E28" s="11">
        <v>0.1</v>
      </c>
      <c r="F28" s="11">
        <v>0.08</v>
      </c>
      <c r="G28" s="10">
        <v>4.7119999999999997</v>
      </c>
      <c r="H28" s="10">
        <f t="shared" si="7"/>
        <v>1.5707963267948966</v>
      </c>
      <c r="I28" s="10">
        <v>1.4</v>
      </c>
      <c r="J28" s="10">
        <v>0</v>
      </c>
      <c r="K28" s="10">
        <v>0</v>
      </c>
      <c r="L28" s="8">
        <v>-2.0807487890124299E-3</v>
      </c>
      <c r="M28" s="8">
        <v>0.205877780914307</v>
      </c>
      <c r="N28" s="8">
        <v>-0.19408226013183599</v>
      </c>
      <c r="O28" s="8">
        <v>-0.39274537563324002</v>
      </c>
      <c r="P28" s="8">
        <v>-0.65224993228912398</v>
      </c>
      <c r="Q28" s="8">
        <v>-0.73969256877899203</v>
      </c>
      <c r="R28" s="25">
        <v>-1.5562416943239535E-3</v>
      </c>
      <c r="S28" s="25">
        <v>0.1964575246040593</v>
      </c>
      <c r="T28" s="25">
        <v>-0.18020675070417982</v>
      </c>
      <c r="U28" s="25">
        <v>-0.40610175534370191</v>
      </c>
      <c r="V28" s="25">
        <v>-0.65076904977853245</v>
      </c>
      <c r="W28" s="25">
        <v>-0.74435477290458385</v>
      </c>
      <c r="X28" s="8">
        <f t="shared" si="8"/>
        <v>5.2450709468847647E-4</v>
      </c>
      <c r="Y28" s="8">
        <f t="shared" si="9"/>
        <v>9.4202563102477044E-3</v>
      </c>
      <c r="Z28" s="8">
        <f t="shared" si="10"/>
        <v>1.3875509427656169E-2</v>
      </c>
      <c r="AA28" s="8">
        <f t="shared" si="11"/>
        <v>-1.3356379710461885E-2</v>
      </c>
      <c r="AB28" s="8">
        <f t="shared" si="12"/>
        <v>1.4808825105915302E-3</v>
      </c>
      <c r="AC28" s="8">
        <f t="shared" si="13"/>
        <v>-4.6622041255918178E-3</v>
      </c>
    </row>
    <row r="29" spans="1:29" x14ac:dyDescent="0.25">
      <c r="A29" s="10">
        <v>0.7</v>
      </c>
      <c r="B29" s="11">
        <v>0.2</v>
      </c>
      <c r="C29" s="10">
        <v>3.927</v>
      </c>
      <c r="D29" s="10">
        <f t="shared" si="6"/>
        <v>1.5707963267948966</v>
      </c>
      <c r="E29" s="11">
        <v>0.2</v>
      </c>
      <c r="F29" s="11">
        <v>0.02</v>
      </c>
      <c r="G29" s="10">
        <v>3.927</v>
      </c>
      <c r="H29" s="10">
        <f t="shared" si="7"/>
        <v>1.5707963267948966</v>
      </c>
      <c r="I29" s="10">
        <v>0.4</v>
      </c>
      <c r="J29" s="10">
        <v>0</v>
      </c>
      <c r="K29" s="10">
        <v>0</v>
      </c>
      <c r="L29" s="8">
        <v>-1.87318958342075E-3</v>
      </c>
      <c r="M29" s="8">
        <v>0.13435347378253901</v>
      </c>
      <c r="N29" s="8">
        <v>-0.13989627361297599</v>
      </c>
      <c r="O29" s="8">
        <v>-0.26602268218994102</v>
      </c>
      <c r="P29" s="8">
        <v>-0.53642767667770397</v>
      </c>
      <c r="Q29" s="8">
        <v>-0.50663030147552501</v>
      </c>
      <c r="R29" s="25">
        <v>-4.1358200234336938E-4</v>
      </c>
      <c r="S29" s="25">
        <v>0.14726380992137919</v>
      </c>
      <c r="T29" s="25">
        <v>-0.14745240627763012</v>
      </c>
      <c r="U29" s="25">
        <v>-0.3139239545754523</v>
      </c>
      <c r="V29" s="25">
        <v>-0.58472932764495678</v>
      </c>
      <c r="W29" s="25">
        <v>-0.5831135913720018</v>
      </c>
      <c r="X29" s="8">
        <f t="shared" si="8"/>
        <v>1.4596075810773806E-3</v>
      </c>
      <c r="Y29" s="8">
        <f t="shared" si="9"/>
        <v>-1.2910336138840184E-2</v>
      </c>
      <c r="Z29" s="8">
        <f t="shared" si="10"/>
        <v>-7.5561326646541305E-3</v>
      </c>
      <c r="AA29" s="8">
        <f t="shared" si="11"/>
        <v>-4.7901272385511284E-2</v>
      </c>
      <c r="AB29" s="8">
        <f t="shared" si="12"/>
        <v>-4.8301650967252807E-2</v>
      </c>
      <c r="AC29" s="8">
        <f t="shared" si="13"/>
        <v>-7.6483289896476792E-2</v>
      </c>
    </row>
    <row r="30" spans="1:29" x14ac:dyDescent="0.25">
      <c r="A30" s="10">
        <v>1</v>
      </c>
      <c r="B30" s="11">
        <v>0.2</v>
      </c>
      <c r="C30" s="10">
        <v>3.927</v>
      </c>
      <c r="D30" s="10">
        <f t="shared" si="6"/>
        <v>1.5707963267948966</v>
      </c>
      <c r="E30" s="11">
        <v>1</v>
      </c>
      <c r="F30" s="11">
        <v>0.06</v>
      </c>
      <c r="G30" s="10">
        <v>3.927</v>
      </c>
      <c r="H30" s="10">
        <f t="shared" si="7"/>
        <v>1.5707963267948966</v>
      </c>
      <c r="I30" s="10">
        <v>0.2</v>
      </c>
      <c r="J30" s="10">
        <v>0</v>
      </c>
      <c r="K30" s="10">
        <v>0</v>
      </c>
      <c r="L30" s="8">
        <v>-3.7020025774836501E-3</v>
      </c>
      <c r="M30" s="8">
        <v>0.26659435033798201</v>
      </c>
      <c r="N30" s="8">
        <v>-0.30219966173172003</v>
      </c>
      <c r="O30" s="8">
        <v>-0.59528750181198098</v>
      </c>
      <c r="P30" s="8">
        <v>-1.3395630121231099</v>
      </c>
      <c r="Q30" s="8">
        <v>-1.10396945476532</v>
      </c>
      <c r="R30" s="25">
        <v>-2.9342598080093558E-4</v>
      </c>
      <c r="S30" s="25">
        <v>0.27708795515710488</v>
      </c>
      <c r="T30" s="25">
        <v>-0.2772995348668445</v>
      </c>
      <c r="U30" s="25">
        <v>-0.6901984689657682</v>
      </c>
      <c r="V30" s="25">
        <v>-1.2518879204935647</v>
      </c>
      <c r="W30" s="25">
        <v>-1.2501318565271546</v>
      </c>
      <c r="X30" s="8">
        <f t="shared" si="8"/>
        <v>3.4085765966827145E-3</v>
      </c>
      <c r="Y30" s="8">
        <f t="shared" si="9"/>
        <v>-1.049360481912287E-2</v>
      </c>
      <c r="Z30" s="8">
        <f t="shared" si="10"/>
        <v>2.4900126864875527E-2</v>
      </c>
      <c r="AA30" s="8">
        <f t="shared" si="11"/>
        <v>-9.4910967153787218E-2</v>
      </c>
      <c r="AB30" s="8">
        <f t="shared" si="12"/>
        <v>8.7675091629545232E-2</v>
      </c>
      <c r="AC30" s="8">
        <f t="shared" si="13"/>
        <v>-0.14616240176183459</v>
      </c>
    </row>
    <row r="31" spans="1:29" x14ac:dyDescent="0.25">
      <c r="A31" s="10">
        <v>0.1</v>
      </c>
      <c r="B31" s="11">
        <v>0.1</v>
      </c>
      <c r="C31" s="10">
        <v>4.7119999999999997</v>
      </c>
      <c r="D31" s="10">
        <f t="shared" si="6"/>
        <v>1.5707963267948966</v>
      </c>
      <c r="E31" s="11">
        <v>0.2</v>
      </c>
      <c r="F31" s="11">
        <v>0.02</v>
      </c>
      <c r="G31" s="10">
        <v>3.1419999999999999</v>
      </c>
      <c r="H31" s="10">
        <f t="shared" si="7"/>
        <v>1.5707963267948966</v>
      </c>
      <c r="I31" s="10">
        <v>0</v>
      </c>
      <c r="J31" s="10">
        <v>0</v>
      </c>
      <c r="K31" s="10">
        <v>0</v>
      </c>
      <c r="L31" s="8">
        <v>-2.9836385510861901E-4</v>
      </c>
      <c r="M31" s="8">
        <v>1.1398071423172999E-2</v>
      </c>
      <c r="N31" s="8">
        <v>-2.4645710363984101E-2</v>
      </c>
      <c r="O31" s="8">
        <v>1.9913738593459102E-2</v>
      </c>
      <c r="P31" s="8">
        <v>-0.214856266975403</v>
      </c>
      <c r="Q31" s="8">
        <v>-6.1887651681899997E-2</v>
      </c>
      <c r="R31" s="25">
        <v>-4.9109913171477042E-19</v>
      </c>
      <c r="S31" s="25">
        <v>1.9008893674210901E-2</v>
      </c>
      <c r="T31" s="25">
        <v>-2.2007387579862356E-2</v>
      </c>
      <c r="U31" s="25">
        <v>-2.7257376908878926E-4</v>
      </c>
      <c r="V31" s="25">
        <v>-0.20003886944191496</v>
      </c>
      <c r="W31" s="25">
        <v>-0.10008099146891127</v>
      </c>
      <c r="X31" s="8">
        <f t="shared" si="8"/>
        <v>2.9836385510861852E-4</v>
      </c>
      <c r="Y31" s="8">
        <f t="shared" si="9"/>
        <v>-7.610822251037902E-3</v>
      </c>
      <c r="Z31" s="8">
        <f t="shared" si="10"/>
        <v>2.6383227841217452E-3</v>
      </c>
      <c r="AA31" s="8">
        <f t="shared" si="11"/>
        <v>1.9641164824370311E-2</v>
      </c>
      <c r="AB31" s="8">
        <f t="shared" si="12"/>
        <v>1.4817397533488041E-2</v>
      </c>
      <c r="AC31" s="8">
        <f t="shared" si="13"/>
        <v>-3.8193339787011268E-2</v>
      </c>
    </row>
    <row r="32" spans="1:29" x14ac:dyDescent="0.25">
      <c r="A32" s="10">
        <v>0.3</v>
      </c>
      <c r="B32" s="11">
        <v>0.1</v>
      </c>
      <c r="C32" s="10">
        <v>4.7119999999999997</v>
      </c>
      <c r="D32" s="10">
        <f t="shared" si="6"/>
        <v>1.5707963267948966</v>
      </c>
      <c r="E32" s="11">
        <v>0.8</v>
      </c>
      <c r="F32" s="11">
        <v>0.04</v>
      </c>
      <c r="G32" s="10">
        <v>3.927</v>
      </c>
      <c r="H32" s="10">
        <f t="shared" si="7"/>
        <v>1.5707963267948966</v>
      </c>
      <c r="I32" s="10">
        <v>0.4</v>
      </c>
      <c r="J32" s="10">
        <v>0</v>
      </c>
      <c r="K32" s="10">
        <v>0</v>
      </c>
      <c r="L32" s="8">
        <v>1.33801531046629E-3</v>
      </c>
      <c r="M32" s="8">
        <v>0.12020714581012699</v>
      </c>
      <c r="N32" s="8">
        <v>-7.8008078038692502E-2</v>
      </c>
      <c r="O32" s="8">
        <v>1.24355498701334E-2</v>
      </c>
      <c r="P32" s="8">
        <v>-0.59375947713851895</v>
      </c>
      <c r="Q32" s="8">
        <v>-0.77984750270843495</v>
      </c>
      <c r="R32" s="25">
        <v>-2.6427251230517119E-5</v>
      </c>
      <c r="S32" s="25">
        <v>0.13053848235091278</v>
      </c>
      <c r="T32" s="25">
        <v>-7.3560588893860884E-2</v>
      </c>
      <c r="U32" s="25">
        <v>-2.6026256497391248E-3</v>
      </c>
      <c r="V32" s="25">
        <v>-0.5657977486447644</v>
      </c>
      <c r="W32" s="25">
        <v>-0.86568269754478278</v>
      </c>
      <c r="X32" s="8">
        <f t="shared" si="8"/>
        <v>1.3115880592357728E-3</v>
      </c>
      <c r="Y32" s="8">
        <f t="shared" si="9"/>
        <v>-1.0331336540785788E-2</v>
      </c>
      <c r="Z32" s="8">
        <f t="shared" si="10"/>
        <v>4.4474891448316178E-3</v>
      </c>
      <c r="AA32" s="8">
        <f t="shared" si="11"/>
        <v>9.8329242203942756E-3</v>
      </c>
      <c r="AB32" s="8">
        <f t="shared" si="12"/>
        <v>2.7961728493754556E-2</v>
      </c>
      <c r="AC32" s="8">
        <f t="shared" si="13"/>
        <v>-8.5835194836347828E-2</v>
      </c>
    </row>
    <row r="33" spans="1:29" x14ac:dyDescent="0.25">
      <c r="A33" s="10">
        <v>1</v>
      </c>
      <c r="B33" s="11">
        <v>0.1</v>
      </c>
      <c r="C33" s="10">
        <v>4.7119999999999997</v>
      </c>
      <c r="D33" s="10">
        <f t="shared" si="6"/>
        <v>1.5707963267948966</v>
      </c>
      <c r="E33" s="11">
        <v>0.1</v>
      </c>
      <c r="F33" s="11">
        <v>0.04</v>
      </c>
      <c r="G33" s="10">
        <v>4.7119999999999997</v>
      </c>
      <c r="H33" s="10">
        <f t="shared" si="7"/>
        <v>1.5707963267948966</v>
      </c>
      <c r="I33" s="10">
        <v>0</v>
      </c>
      <c r="J33" s="10">
        <v>0</v>
      </c>
      <c r="K33" s="10">
        <v>0</v>
      </c>
      <c r="L33" s="8">
        <v>2.7945239562541199E-3</v>
      </c>
      <c r="M33" s="8">
        <v>0.24397116899490401</v>
      </c>
      <c r="N33" s="8">
        <v>1.2453994713723699E-2</v>
      </c>
      <c r="O33" s="8">
        <v>-6.59529305994511E-3</v>
      </c>
      <c r="P33" s="8">
        <v>6.8884432315826402E-2</v>
      </c>
      <c r="Q33" s="8">
        <v>-1.3081740140914899</v>
      </c>
      <c r="R33" s="25">
        <v>-2.0975208830902332E-23</v>
      </c>
      <c r="S33" s="25">
        <v>0.2029329024182922</v>
      </c>
      <c r="T33" s="25">
        <v>-7.8936920792890453E-5</v>
      </c>
      <c r="U33" s="25">
        <v>-3.1016594196107798E-2</v>
      </c>
      <c r="V33" s="25">
        <v>-4.2769324691751306E-4</v>
      </c>
      <c r="W33" s="25">
        <v>-1.0995239118763722</v>
      </c>
      <c r="X33" s="8">
        <f t="shared" si="8"/>
        <v>2.7945239562541199E-3</v>
      </c>
      <c r="Y33" s="8">
        <f t="shared" si="9"/>
        <v>4.1038266576611804E-2</v>
      </c>
      <c r="Z33" s="8">
        <f t="shared" si="10"/>
        <v>1.237505779293081E-2</v>
      </c>
      <c r="AA33" s="8">
        <f t="shared" si="11"/>
        <v>-2.4421301136162688E-2</v>
      </c>
      <c r="AB33" s="8">
        <f t="shared" si="12"/>
        <v>6.8456739068908895E-2</v>
      </c>
      <c r="AC33" s="8">
        <f t="shared" si="13"/>
        <v>0.20865010221511771</v>
      </c>
    </row>
    <row r="34" spans="1:29" x14ac:dyDescent="0.25">
      <c r="A34" s="10">
        <v>0.1</v>
      </c>
      <c r="B34" s="11">
        <v>0.1</v>
      </c>
      <c r="C34" s="10">
        <v>4.7119999999999997</v>
      </c>
      <c r="D34" s="10">
        <f t="shared" si="6"/>
        <v>1.5707963267948966</v>
      </c>
      <c r="E34" s="11">
        <v>1</v>
      </c>
      <c r="F34" s="11">
        <v>0.08</v>
      </c>
      <c r="G34" s="10">
        <v>4.7119999999999997</v>
      </c>
      <c r="H34" s="10">
        <f t="shared" si="7"/>
        <v>1.5707963267948966</v>
      </c>
      <c r="I34" s="10">
        <v>1.4</v>
      </c>
      <c r="J34" s="10">
        <v>0</v>
      </c>
      <c r="K34" s="10">
        <v>0</v>
      </c>
      <c r="L34" s="8">
        <v>2.5964039377868202E-3</v>
      </c>
      <c r="M34" s="8">
        <v>0.18914604187011699</v>
      </c>
      <c r="N34" s="8">
        <v>2.9903646558523199E-2</v>
      </c>
      <c r="O34" s="8">
        <v>-6.4636766910552996E-3</v>
      </c>
      <c r="P34" s="8">
        <v>0.158803179860115</v>
      </c>
      <c r="Q34" s="8">
        <v>-1.0939816236496001</v>
      </c>
      <c r="R34" s="25">
        <v>-1.621502483117182E-4</v>
      </c>
      <c r="S34" s="25">
        <v>0.18898679868969442</v>
      </c>
      <c r="T34" s="25">
        <v>-7.5579430605672365E-5</v>
      </c>
      <c r="U34" s="25">
        <v>-1.3575343658984506E-2</v>
      </c>
      <c r="V34" s="25">
        <v>-4.5160753498799973E-4</v>
      </c>
      <c r="W34" s="25">
        <v>-1.0999152506338914</v>
      </c>
      <c r="X34" s="8">
        <f t="shared" si="8"/>
        <v>2.4342536894751019E-3</v>
      </c>
      <c r="Y34" s="8">
        <f t="shared" si="9"/>
        <v>1.5924318042256913E-4</v>
      </c>
      <c r="Z34" s="8">
        <f t="shared" si="10"/>
        <v>2.9828067127917527E-2</v>
      </c>
      <c r="AA34" s="8">
        <f t="shared" si="11"/>
        <v>-7.1116669679292064E-3</v>
      </c>
      <c r="AB34" s="8">
        <f t="shared" si="12"/>
        <v>0.158351572325127</v>
      </c>
      <c r="AC34" s="8">
        <f t="shared" si="13"/>
        <v>-5.9336269842913403E-3</v>
      </c>
    </row>
    <row r="35" spans="1:29" x14ac:dyDescent="0.25">
      <c r="A35" s="10">
        <v>0.9</v>
      </c>
      <c r="B35" s="11">
        <v>0.12</v>
      </c>
      <c r="C35" s="10">
        <v>4.7119999999999997</v>
      </c>
      <c r="D35" s="10">
        <f t="shared" si="6"/>
        <v>1.5707963267948966</v>
      </c>
      <c r="E35" s="11">
        <v>0.9</v>
      </c>
      <c r="F35" s="11">
        <v>0.02</v>
      </c>
      <c r="G35" s="10">
        <v>3.1419999999999999</v>
      </c>
      <c r="H35" s="10">
        <f t="shared" si="7"/>
        <v>1.5707963267948966</v>
      </c>
      <c r="I35" s="10">
        <v>0</v>
      </c>
      <c r="J35" s="10">
        <v>0</v>
      </c>
      <c r="K35" s="10">
        <v>0</v>
      </c>
      <c r="L35" s="8">
        <v>-7.47585669159889E-4</v>
      </c>
      <c r="M35" s="8">
        <v>0.23934969305992099</v>
      </c>
      <c r="N35" s="8">
        <v>-9.9573642015457195E-2</v>
      </c>
      <c r="O35" s="8">
        <v>-0.13754428923129999</v>
      </c>
      <c r="P35" s="8">
        <v>-0.88355565071106001</v>
      </c>
      <c r="Q35" s="8">
        <v>-1.16920530796051</v>
      </c>
      <c r="R35" s="25">
        <v>-2.7335735369367266E-15</v>
      </c>
      <c r="S35" s="25">
        <v>0.18877720248151469</v>
      </c>
      <c r="T35" s="25">
        <v>-9.9072713725387646E-2</v>
      </c>
      <c r="U35" s="25">
        <v>-5.5799686331803502E-2</v>
      </c>
      <c r="V35" s="25">
        <v>-0.90034214805948531</v>
      </c>
      <c r="W35" s="25">
        <v>-0.89862964010051449</v>
      </c>
      <c r="X35" s="8">
        <f t="shared" si="8"/>
        <v>7.4758566915715541E-4</v>
      </c>
      <c r="Y35" s="8">
        <f t="shared" si="9"/>
        <v>5.0572490578406293E-2</v>
      </c>
      <c r="Z35" s="8">
        <f t="shared" si="10"/>
        <v>5.0092829006954942E-4</v>
      </c>
      <c r="AA35" s="8">
        <f t="shared" si="11"/>
        <v>8.1744602899496491E-2</v>
      </c>
      <c r="AB35" s="8">
        <f t="shared" si="12"/>
        <v>-1.67864973484253E-2</v>
      </c>
      <c r="AC35" s="8">
        <f t="shared" si="13"/>
        <v>0.27057566785999554</v>
      </c>
    </row>
    <row r="36" spans="1:29" x14ac:dyDescent="0.25">
      <c r="A36" s="10">
        <v>1</v>
      </c>
      <c r="B36" s="11">
        <v>0.12</v>
      </c>
      <c r="C36" s="10">
        <v>4.7119999999999997</v>
      </c>
      <c r="D36" s="10">
        <f t="shared" si="6"/>
        <v>1.5707963267948966</v>
      </c>
      <c r="E36" s="11">
        <v>0.8</v>
      </c>
      <c r="F36" s="11">
        <v>0.08</v>
      </c>
      <c r="G36" s="10">
        <v>3.1419999999999999</v>
      </c>
      <c r="H36" s="10">
        <f t="shared" si="7"/>
        <v>1.5707963267948966</v>
      </c>
      <c r="I36" s="10">
        <v>1.2</v>
      </c>
      <c r="J36" s="10">
        <v>0</v>
      </c>
      <c r="K36" s="10">
        <v>0</v>
      </c>
      <c r="L36" s="8">
        <v>-5.7288859970867599E-3</v>
      </c>
      <c r="M36" s="8">
        <v>0.26700088381767301</v>
      </c>
      <c r="N36" s="8">
        <v>-0.13192363083362599</v>
      </c>
      <c r="O36" s="8">
        <v>-0.16222637891769401</v>
      </c>
      <c r="P36" s="8">
        <v>-0.74046343564987205</v>
      </c>
      <c r="Q36" s="8">
        <v>-1.2301561832428001</v>
      </c>
      <c r="R36" s="25">
        <v>-5.3498011043951355E-4</v>
      </c>
      <c r="S36" s="25">
        <v>0.20982276429395919</v>
      </c>
      <c r="T36" s="25">
        <v>-0.13603586961577158</v>
      </c>
      <c r="U36" s="25">
        <v>-5.9661438408667521E-2</v>
      </c>
      <c r="V36" s="25">
        <v>-0.80017160069114612</v>
      </c>
      <c r="W36" s="25">
        <v>-0.99875898263070007</v>
      </c>
      <c r="X36" s="8">
        <f t="shared" si="8"/>
        <v>5.1939058866472465E-3</v>
      </c>
      <c r="Y36" s="8">
        <f t="shared" si="9"/>
        <v>5.7178119523713822E-2</v>
      </c>
      <c r="Z36" s="8">
        <f t="shared" si="10"/>
        <v>-4.1122387821455886E-3</v>
      </c>
      <c r="AA36" s="8">
        <f t="shared" si="11"/>
        <v>0.10256494050902648</v>
      </c>
      <c r="AB36" s="8">
        <f t="shared" si="12"/>
        <v>-5.9708165041274075E-2</v>
      </c>
      <c r="AC36" s="8">
        <f t="shared" si="13"/>
        <v>0.23139720061210001</v>
      </c>
    </row>
    <row r="37" spans="1:29" x14ac:dyDescent="0.25">
      <c r="A37" s="10">
        <v>0.3</v>
      </c>
      <c r="B37" s="11">
        <v>0.18</v>
      </c>
      <c r="C37" s="10">
        <v>4.7119999999999997</v>
      </c>
      <c r="D37" s="10">
        <f t="shared" si="6"/>
        <v>1.5707963267948966</v>
      </c>
      <c r="E37" s="11">
        <v>0.3</v>
      </c>
      <c r="F37" s="11">
        <v>0.06</v>
      </c>
      <c r="G37" s="10">
        <v>3.1419999999999999</v>
      </c>
      <c r="H37" s="10">
        <f t="shared" si="7"/>
        <v>1.5707963267948966</v>
      </c>
      <c r="I37" s="10">
        <v>1.4</v>
      </c>
      <c r="J37" s="10">
        <v>0</v>
      </c>
      <c r="K37" s="10">
        <v>0</v>
      </c>
      <c r="L37" s="8">
        <v>-3.59367998316884E-3</v>
      </c>
      <c r="M37" s="8">
        <v>8.4611706435680403E-2</v>
      </c>
      <c r="N37" s="8">
        <v>-4.8628196120262097E-2</v>
      </c>
      <c r="O37" s="8">
        <v>3.4434549510479001E-2</v>
      </c>
      <c r="P37" s="8">
        <v>-0.30159375071525601</v>
      </c>
      <c r="Q37" s="8">
        <v>-0.31295472383499101</v>
      </c>
      <c r="R37" s="25">
        <v>-1.5477411985762002E-3</v>
      </c>
      <c r="S37" s="25">
        <v>8.0695331378576318E-2</v>
      </c>
      <c r="T37" s="25">
        <v>-4.5095799185760607E-2</v>
      </c>
      <c r="U37" s="25">
        <v>-2.870177979699334E-2</v>
      </c>
      <c r="V37" s="25">
        <v>-0.30090859611185999</v>
      </c>
      <c r="W37" s="25">
        <v>-0.29866700583841466</v>
      </c>
      <c r="X37" s="8">
        <f t="shared" si="8"/>
        <v>2.0459387845926397E-3</v>
      </c>
      <c r="Y37" s="8">
        <f t="shared" si="9"/>
        <v>3.9163750571040851E-3</v>
      </c>
      <c r="Z37" s="8">
        <f t="shared" si="10"/>
        <v>3.5323969345014902E-3</v>
      </c>
      <c r="AA37" s="8">
        <f t="shared" si="11"/>
        <v>5.7327697134856616E-3</v>
      </c>
      <c r="AB37" s="8">
        <f t="shared" si="12"/>
        <v>6.8515460339602097E-4</v>
      </c>
      <c r="AC37" s="8">
        <f t="shared" si="13"/>
        <v>1.4287717996576355E-2</v>
      </c>
    </row>
    <row r="38" spans="1:29" x14ac:dyDescent="0.25">
      <c r="A38" s="10">
        <v>0.9</v>
      </c>
      <c r="B38" s="11">
        <v>0.18</v>
      </c>
      <c r="C38" s="10">
        <v>4.7119999999999997</v>
      </c>
      <c r="D38" s="10">
        <f t="shared" si="6"/>
        <v>1.5707963267948966</v>
      </c>
      <c r="E38" s="11">
        <v>0.2</v>
      </c>
      <c r="F38" s="11">
        <v>0.08</v>
      </c>
      <c r="G38" s="10">
        <v>3.1419999999999999</v>
      </c>
      <c r="H38" s="10">
        <f t="shared" si="7"/>
        <v>1.5707963267948966</v>
      </c>
      <c r="I38" s="10">
        <v>0.2</v>
      </c>
      <c r="J38" s="10">
        <v>0</v>
      </c>
      <c r="K38" s="10">
        <v>0</v>
      </c>
      <c r="L38" s="8">
        <v>-2.5372554082423401E-3</v>
      </c>
      <c r="M38" s="8">
        <v>0.23767614364624001</v>
      </c>
      <c r="N38" s="8">
        <v>-4.0118761360645301E-2</v>
      </c>
      <c r="O38" s="8">
        <v>-0.48286521434783902</v>
      </c>
      <c r="P38" s="8">
        <v>-0.22859935462474801</v>
      </c>
      <c r="Q38" s="8">
        <v>-0.81168925762176503</v>
      </c>
      <c r="R38" s="25">
        <v>-6.5730380179248129E-4</v>
      </c>
      <c r="S38" s="25">
        <v>0.22467725156941432</v>
      </c>
      <c r="T38" s="25">
        <v>-3.4238740351745935E-2</v>
      </c>
      <c r="U38" s="25">
        <v>-0.40560135550841886</v>
      </c>
      <c r="V38" s="25">
        <v>-0.20152587318744891</v>
      </c>
      <c r="W38" s="25">
        <v>-0.80367046527147123</v>
      </c>
      <c r="X38" s="8">
        <f t="shared" si="8"/>
        <v>1.8799516064498588E-3</v>
      </c>
      <c r="Y38" s="8">
        <f t="shared" si="9"/>
        <v>1.2998892076825697E-2</v>
      </c>
      <c r="Z38" s="8">
        <f t="shared" si="10"/>
        <v>5.8800210088993665E-3</v>
      </c>
      <c r="AA38" s="8">
        <f t="shared" si="11"/>
        <v>7.7263858839420163E-2</v>
      </c>
      <c r="AB38" s="8">
        <f t="shared" si="12"/>
        <v>2.7073481437299096E-2</v>
      </c>
      <c r="AC38" s="8">
        <f t="shared" si="13"/>
        <v>8.0187923502937908E-3</v>
      </c>
    </row>
    <row r="39" spans="1:29" x14ac:dyDescent="0.25">
      <c r="A39" s="10">
        <v>0.1</v>
      </c>
      <c r="B39" s="11">
        <v>0.18</v>
      </c>
      <c r="C39" s="10">
        <v>4.7119999999999997</v>
      </c>
      <c r="D39" s="10">
        <f t="shared" si="6"/>
        <v>1.5707963267948966</v>
      </c>
      <c r="E39" s="11">
        <v>1</v>
      </c>
      <c r="F39" s="11">
        <v>0.02</v>
      </c>
      <c r="G39" s="10">
        <v>4.7119999999999997</v>
      </c>
      <c r="H39" s="10">
        <f t="shared" si="7"/>
        <v>1.5707963267948966</v>
      </c>
      <c r="I39" s="10">
        <v>0</v>
      </c>
      <c r="J39" s="10">
        <v>0</v>
      </c>
      <c r="K39" s="10">
        <v>0</v>
      </c>
      <c r="L39" s="8">
        <v>5.4148025810718502E-5</v>
      </c>
      <c r="M39" s="8">
        <v>0.130592405796051</v>
      </c>
      <c r="N39" s="8">
        <v>-1.0551102459430699E-3</v>
      </c>
      <c r="O39" s="8">
        <v>5.6034162640571601E-2</v>
      </c>
      <c r="P39" s="8">
        <v>-1.5731915831565899E-2</v>
      </c>
      <c r="Q39" s="8">
        <v>-1.0787600278854399</v>
      </c>
      <c r="R39" s="25">
        <v>-1.2707444274370203E-23</v>
      </c>
      <c r="S39" s="25">
        <v>0.13697283411419703</v>
      </c>
      <c r="T39" s="25">
        <v>-5.3279747287916866E-5</v>
      </c>
      <c r="U39" s="25">
        <v>-5.695029445285103E-3</v>
      </c>
      <c r="V39" s="25">
        <v>-4.2782253615123675E-4</v>
      </c>
      <c r="W39" s="25">
        <v>-1.0998562916954402</v>
      </c>
      <c r="X39" s="8">
        <f t="shared" si="8"/>
        <v>5.4148025810718502E-5</v>
      </c>
      <c r="Y39" s="8">
        <f t="shared" si="9"/>
        <v>-6.3804283181460308E-3</v>
      </c>
      <c r="Z39" s="8">
        <f t="shared" si="10"/>
        <v>1.001830498655153E-3</v>
      </c>
      <c r="AA39" s="8">
        <f t="shared" si="11"/>
        <v>5.0339133195286496E-2</v>
      </c>
      <c r="AB39" s="8">
        <f t="shared" si="12"/>
        <v>1.5304093295414661E-2</v>
      </c>
      <c r="AC39" s="8">
        <f t="shared" si="13"/>
        <v>-2.1096263810000293E-2</v>
      </c>
    </row>
    <row r="40" spans="1:29" x14ac:dyDescent="0.25">
      <c r="A40" s="10">
        <v>0.8</v>
      </c>
      <c r="B40" s="11">
        <v>0.18</v>
      </c>
      <c r="C40" s="10">
        <v>4.7119999999999997</v>
      </c>
      <c r="D40" s="10">
        <f t="shared" si="6"/>
        <v>1.5707963267948966</v>
      </c>
      <c r="E40" s="11">
        <v>0.6</v>
      </c>
      <c r="F40" s="11">
        <v>0.06</v>
      </c>
      <c r="G40" s="10">
        <v>4.7119999999999997</v>
      </c>
      <c r="H40" s="10">
        <f t="shared" si="7"/>
        <v>1.5707963267948966</v>
      </c>
      <c r="I40" s="10">
        <v>1</v>
      </c>
      <c r="J40" s="10">
        <v>0</v>
      </c>
      <c r="K40" s="10">
        <v>0</v>
      </c>
      <c r="L40" s="8">
        <v>-5.3779371082782702E-3</v>
      </c>
      <c r="M40" s="8">
        <v>0.29702112078666698</v>
      </c>
      <c r="N40" s="8">
        <v>-2.0560383796691901E-2</v>
      </c>
      <c r="O40" s="8">
        <v>-0.30376738309860202</v>
      </c>
      <c r="P40" s="8">
        <v>-0.130133211612701</v>
      </c>
      <c r="Q40" s="8">
        <v>-1.3058658838272099</v>
      </c>
      <c r="R40" s="25">
        <v>-2.9583053292956294E-3</v>
      </c>
      <c r="S40" s="25">
        <v>0.2949752259776427</v>
      </c>
      <c r="T40" s="25">
        <v>-1.1019924437313589E-3</v>
      </c>
      <c r="U40" s="25">
        <v>-0.32168677843004623</v>
      </c>
      <c r="V40" s="25">
        <v>-8.3988648163300355E-3</v>
      </c>
      <c r="W40" s="25">
        <v>-1.3416374603198977</v>
      </c>
      <c r="X40" s="8">
        <f t="shared" si="8"/>
        <v>2.4196317789826408E-3</v>
      </c>
      <c r="Y40" s="8">
        <f t="shared" si="9"/>
        <v>2.0458948090242846E-3</v>
      </c>
      <c r="Z40" s="8">
        <f t="shared" si="10"/>
        <v>1.9458391352960541E-2</v>
      </c>
      <c r="AA40" s="8">
        <f t="shared" si="11"/>
        <v>-1.791939533144421E-2</v>
      </c>
      <c r="AB40" s="8">
        <f t="shared" si="12"/>
        <v>0.12173434679637096</v>
      </c>
      <c r="AC40" s="8">
        <f t="shared" si="13"/>
        <v>-3.5771576492687807E-2</v>
      </c>
    </row>
    <row r="41" spans="1:29" x14ac:dyDescent="0.25">
      <c r="A41" s="10">
        <v>1</v>
      </c>
      <c r="B41" s="11">
        <v>0.2</v>
      </c>
      <c r="C41" s="10">
        <v>4.7119999999999997</v>
      </c>
      <c r="D41" s="10">
        <f t="shared" si="6"/>
        <v>1.5707963267948966</v>
      </c>
      <c r="E41" s="11">
        <v>0.8</v>
      </c>
      <c r="F41" s="11">
        <v>0.02</v>
      </c>
      <c r="G41" s="10">
        <v>3.1419999999999999</v>
      </c>
      <c r="H41" s="10">
        <f t="shared" si="7"/>
        <v>1.5707963267948966</v>
      </c>
      <c r="I41" s="10">
        <v>1.4</v>
      </c>
      <c r="J41" s="10">
        <v>0</v>
      </c>
      <c r="K41" s="10">
        <v>0</v>
      </c>
      <c r="L41" s="8">
        <v>-1.2866270728409301E-2</v>
      </c>
      <c r="M41" s="8">
        <v>0.26722592115402199</v>
      </c>
      <c r="N41" s="8">
        <v>-0.10332116484642</v>
      </c>
      <c r="O41" s="8">
        <v>-0.63931977748870905</v>
      </c>
      <c r="P41" s="8">
        <v>-0.86686456203460704</v>
      </c>
      <c r="Q41" s="8">
        <v>-0.873266160488129</v>
      </c>
      <c r="R41" s="25">
        <v>-6.8612814441296813E-3</v>
      </c>
      <c r="S41" s="25">
        <v>0.24769990020936164</v>
      </c>
      <c r="T41" s="25">
        <v>-9.1305443940865344E-2</v>
      </c>
      <c r="U41" s="25">
        <v>-0.59930763517000363</v>
      </c>
      <c r="V41" s="25">
        <v>-0.82723823428375698</v>
      </c>
      <c r="W41" s="25">
        <v>-0.80026401511982459</v>
      </c>
      <c r="X41" s="8">
        <f t="shared" si="8"/>
        <v>6.0049892842796194E-3</v>
      </c>
      <c r="Y41" s="8">
        <f t="shared" si="9"/>
        <v>1.9526020944660355E-2</v>
      </c>
      <c r="Z41" s="8">
        <f t="shared" si="10"/>
        <v>1.2015720905554653E-2</v>
      </c>
      <c r="AA41" s="8">
        <f t="shared" si="11"/>
        <v>4.0012142318705424E-2</v>
      </c>
      <c r="AB41" s="8">
        <f t="shared" si="12"/>
        <v>3.9626327750850066E-2</v>
      </c>
      <c r="AC41" s="8">
        <f t="shared" si="13"/>
        <v>7.3002145368304405E-2</v>
      </c>
    </row>
    <row r="42" spans="1:29" x14ac:dyDescent="0.25">
      <c r="A42" s="10">
        <v>0.2</v>
      </c>
      <c r="B42" s="11">
        <v>0.2</v>
      </c>
      <c r="C42" s="10">
        <v>4.7119999999999997</v>
      </c>
      <c r="D42" s="10">
        <f t="shared" si="6"/>
        <v>1.5707963267948966</v>
      </c>
      <c r="E42" s="11">
        <v>0.1</v>
      </c>
      <c r="F42" s="11">
        <v>0.08</v>
      </c>
      <c r="G42" s="10">
        <v>3.927</v>
      </c>
      <c r="H42" s="10">
        <f t="shared" si="7"/>
        <v>1.5707963267948966</v>
      </c>
      <c r="I42" s="10">
        <v>0</v>
      </c>
      <c r="J42" s="10">
        <v>0</v>
      </c>
      <c r="K42" s="10">
        <v>0</v>
      </c>
      <c r="L42" s="8">
        <v>-1.2752725742757301E-3</v>
      </c>
      <c r="M42" s="8">
        <v>4.2479593306779903E-2</v>
      </c>
      <c r="N42" s="8">
        <v>-1.04580884799361E-2</v>
      </c>
      <c r="O42" s="8">
        <v>-2.78243236243725E-3</v>
      </c>
      <c r="P42" s="8">
        <v>-5.4970372468233102E-2</v>
      </c>
      <c r="Q42" s="8">
        <v>-0.153516501188278</v>
      </c>
      <c r="R42" s="25">
        <v>-3.5639315814912006E-13</v>
      </c>
      <c r="S42" s="25">
        <v>6.8976345855090507E-2</v>
      </c>
      <c r="T42" s="25">
        <v>-1.2039043150496025E-2</v>
      </c>
      <c r="U42" s="25">
        <v>-3.0104292500564126E-2</v>
      </c>
      <c r="V42" s="25">
        <v>-7.075995164725854E-2</v>
      </c>
      <c r="W42" s="25">
        <v>-0.2686118350330714</v>
      </c>
      <c r="X42" s="8">
        <f t="shared" si="8"/>
        <v>1.275272573919337E-3</v>
      </c>
      <c r="Y42" s="8">
        <f t="shared" si="9"/>
        <v>-2.6496752548310604E-2</v>
      </c>
      <c r="Z42" s="8">
        <f t="shared" si="10"/>
        <v>-1.5809546705599243E-3</v>
      </c>
      <c r="AA42" s="8">
        <f t="shared" si="11"/>
        <v>-2.7321860138126874E-2</v>
      </c>
      <c r="AB42" s="8">
        <f t="shared" si="12"/>
        <v>-1.5789579179025438E-2</v>
      </c>
      <c r="AC42" s="8">
        <f t="shared" si="13"/>
        <v>-0.1150953338447934</v>
      </c>
    </row>
    <row r="43" spans="1:29" ht="15.75" x14ac:dyDescent="0.25">
      <c r="A43" s="8"/>
      <c r="B43" s="9"/>
      <c r="C43" s="8"/>
      <c r="D43" s="8"/>
      <c r="E43" s="9"/>
      <c r="F43" s="9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</row>
    <row r="44" spans="1:29" ht="15.75" x14ac:dyDescent="0.25">
      <c r="A44" s="8"/>
      <c r="B44" s="9"/>
      <c r="C44" s="8"/>
      <c r="D44" s="8"/>
      <c r="E44" s="9"/>
      <c r="F44" s="9"/>
      <c r="G44" s="8"/>
      <c r="H44" s="8"/>
      <c r="I44" s="8"/>
      <c r="J44" s="8"/>
      <c r="K44" s="8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7">
        <f>AVERAGE(X3:X42)</f>
        <v>2.2374058817016965E-3</v>
      </c>
      <c r="Y44" s="7">
        <f t="shared" ref="Y44:AC44" si="14">AVERAGE(Y3:Y42)</f>
        <v>7.0939594723466535E-3</v>
      </c>
      <c r="Z44" s="7">
        <f t="shared" si="14"/>
        <v>6.6149355927577948E-3</v>
      </c>
      <c r="AA44" s="7">
        <f t="shared" si="14"/>
        <v>1.7416787702456617E-2</v>
      </c>
      <c r="AB44" s="7">
        <f t="shared" si="14"/>
        <v>2.4593538989063621E-2</v>
      </c>
      <c r="AC44" s="7">
        <f t="shared" si="14"/>
        <v>1.1426307325745183E-2</v>
      </c>
    </row>
    <row r="45" spans="1:29" ht="15.75" x14ac:dyDescent="0.25">
      <c r="A45" s="8"/>
      <c r="B45" s="9"/>
      <c r="C45" s="8"/>
      <c r="D45" s="8"/>
      <c r="E45" s="9"/>
      <c r="F45" s="9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</row>
    <row r="46" spans="1:29" ht="15.75" x14ac:dyDescent="0.25">
      <c r="A46" s="8"/>
      <c r="B46" s="9"/>
      <c r="C46" s="8"/>
      <c r="D46" s="8"/>
      <c r="E46" s="9"/>
      <c r="F46" s="9"/>
      <c r="G46" s="8"/>
      <c r="H46" s="8"/>
      <c r="I46" s="8"/>
      <c r="J46" s="8"/>
      <c r="K46" s="8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7"/>
      <c r="Y46" s="7"/>
      <c r="Z46" s="7"/>
      <c r="AA46" s="7"/>
      <c r="AB46" s="7"/>
      <c r="AC46" s="7"/>
    </row>
    <row r="47" spans="1:29" ht="15.75" x14ac:dyDescent="0.25">
      <c r="A47" s="8"/>
      <c r="B47" s="9"/>
      <c r="C47" s="8"/>
      <c r="D47" s="8"/>
      <c r="E47" s="9"/>
      <c r="F47" s="9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</row>
    <row r="48" spans="1:29" ht="15.75" x14ac:dyDescent="0.25">
      <c r="A48" s="8"/>
      <c r="B48" s="9"/>
      <c r="C48" s="8"/>
      <c r="D48" s="8"/>
      <c r="E48" s="9"/>
      <c r="F48" s="9"/>
      <c r="G48" s="8"/>
      <c r="H48" s="8"/>
      <c r="I48" s="8"/>
      <c r="J48" s="8"/>
      <c r="K48" s="8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</row>
    <row r="49" spans="1:29" ht="15.75" x14ac:dyDescent="0.25">
      <c r="A49" s="8"/>
      <c r="B49" s="9"/>
      <c r="C49" s="8"/>
      <c r="D49" s="8"/>
      <c r="E49" s="9"/>
      <c r="F49" s="9"/>
      <c r="G49" s="8"/>
      <c r="H49" s="8"/>
      <c r="I49" s="8"/>
      <c r="J49" s="8"/>
      <c r="K49" s="8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</row>
    <row r="50" spans="1:29" ht="15.75" x14ac:dyDescent="0.25">
      <c r="A50" s="8"/>
      <c r="B50" s="9"/>
      <c r="C50" s="8"/>
      <c r="D50" s="8"/>
      <c r="E50" s="9"/>
      <c r="F50" s="9"/>
      <c r="G50" s="8"/>
      <c r="H50" s="8"/>
      <c r="I50" s="8"/>
      <c r="J50" s="8"/>
      <c r="K50" s="8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</row>
    <row r="51" spans="1:29" ht="15.75" x14ac:dyDescent="0.25">
      <c r="A51" s="8"/>
      <c r="B51" s="9"/>
      <c r="C51" s="8"/>
      <c r="D51" s="8"/>
      <c r="E51" s="9"/>
      <c r="F51" s="9"/>
      <c r="G51" s="8"/>
      <c r="H51" s="8"/>
      <c r="I51" s="8"/>
      <c r="J51" s="8"/>
      <c r="K51" s="8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</row>
    <row r="52" spans="1:29" ht="15.75" x14ac:dyDescent="0.25">
      <c r="A52" s="8"/>
      <c r="B52" s="9"/>
      <c r="C52" s="8"/>
      <c r="D52" s="8"/>
      <c r="E52" s="9"/>
      <c r="F52" s="9"/>
      <c r="G52" s="8"/>
      <c r="H52" s="8"/>
      <c r="I52" s="8"/>
      <c r="J52" s="8"/>
      <c r="K52" s="8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7"/>
      <c r="Y52" s="7"/>
      <c r="Z52" s="7"/>
      <c r="AA52" s="7"/>
      <c r="AB52" s="7"/>
      <c r="AC52" s="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3587-86E9-401E-862D-882A9F537AFD}">
  <dimension ref="A1:AU52"/>
  <sheetViews>
    <sheetView topLeftCell="AF11" workbookViewId="0">
      <selection activeCell="U37" sqref="A37:XFD3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9.140625" customWidth="1"/>
    <col min="27" max="27" width="6.5703125" bestFit="1" customWidth="1"/>
    <col min="28" max="28" width="6.85546875" bestFit="1" customWidth="1"/>
    <col min="29" max="29" width="11.140625" bestFit="1" customWidth="1"/>
    <col min="35" max="35" width="11" bestFit="1" customWidth="1"/>
    <col min="36" max="36" width="13.85546875" bestFit="1" customWidth="1"/>
    <col min="40" max="40" width="11" bestFit="1" customWidth="1"/>
    <col min="41" max="41" width="13.85546875" bestFit="1" customWidth="1"/>
    <col min="42" max="42" width="11.140625" bestFit="1" customWidth="1"/>
  </cols>
  <sheetData>
    <row r="1" spans="1:47" ht="15.75" x14ac:dyDescent="0.25">
      <c r="A1" s="26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28" t="s">
        <v>6</v>
      </c>
      <c r="M1" s="29"/>
      <c r="N1" s="29"/>
      <c r="O1" s="29"/>
      <c r="P1" s="29"/>
      <c r="Q1" s="29"/>
      <c r="R1" s="36" t="s">
        <v>7</v>
      </c>
      <c r="S1" s="37"/>
      <c r="T1" s="37"/>
      <c r="U1" s="37"/>
      <c r="V1" s="37"/>
      <c r="W1" s="37"/>
      <c r="X1" s="37"/>
      <c r="Y1" s="37"/>
      <c r="Z1" s="37"/>
      <c r="AA1" s="38" t="s">
        <v>13</v>
      </c>
      <c r="AB1" s="38"/>
      <c r="AC1" s="38"/>
      <c r="AD1" s="38"/>
      <c r="AE1" s="38"/>
      <c r="AF1" s="38"/>
      <c r="AG1" s="38"/>
      <c r="AH1" s="38"/>
      <c r="AI1" s="39" t="s">
        <v>36</v>
      </c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</row>
    <row r="2" spans="1:47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38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39</v>
      </c>
      <c r="AM2" s="20"/>
      <c r="AN2" s="35" t="s">
        <v>31</v>
      </c>
      <c r="AO2" s="35"/>
      <c r="AP2" s="35"/>
      <c r="AQ2" s="35"/>
      <c r="AR2" s="35"/>
      <c r="AS2" s="35"/>
      <c r="AT2" s="35"/>
      <c r="AU2" s="35"/>
    </row>
    <row r="3" spans="1:47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/>
      <c r="M3" s="8"/>
      <c r="N3" s="8"/>
      <c r="O3" s="8"/>
      <c r="P3" s="8"/>
      <c r="Q3" s="8"/>
      <c r="R3" s="8">
        <v>0.22547476389254775</v>
      </c>
      <c r="S3" s="8">
        <v>0.11383244396410357</v>
      </c>
      <c r="T3" s="8">
        <v>2.2803397778809487</v>
      </c>
      <c r="U3" s="8">
        <v>1.5707963267948966</v>
      </c>
      <c r="V3" s="8">
        <v>0.85359593028198277</v>
      </c>
      <c r="W3" s="8">
        <v>2.719055805724092E-2</v>
      </c>
      <c r="X3" s="8">
        <v>3.1081982482509081</v>
      </c>
      <c r="Y3" s="8">
        <v>1.5707963267948966</v>
      </c>
      <c r="Z3" s="8">
        <v>7.0657007764040902E-7</v>
      </c>
      <c r="AA3" s="8">
        <f t="shared" ref="AA3:AA42" si="0">R3-A3</f>
        <v>2.5474763892547742E-2</v>
      </c>
      <c r="AB3" s="8">
        <f t="shared" ref="AB3:AB42" si="1">S3-B3</f>
        <v>1.3832443964103561E-2</v>
      </c>
      <c r="AC3" s="8">
        <f t="shared" ref="AC3:AC42" si="2">T3-C3</f>
        <v>0.70933977788094871</v>
      </c>
      <c r="AD3" s="8">
        <f t="shared" ref="AD3:AD42" si="3">U3-D3</f>
        <v>0</v>
      </c>
      <c r="AE3" s="8">
        <f t="shared" ref="AE3:AE42" si="4">V3-E3</f>
        <v>-0.14640406971801723</v>
      </c>
      <c r="AF3" s="8">
        <f t="shared" ref="AF3:AF42" si="5">W3-F3</f>
        <v>-1.280944194275908E-2</v>
      </c>
      <c r="AG3" s="8">
        <f t="shared" ref="AG3:AG42" si="6">X3-G3</f>
        <v>-3.3801751749091835E-2</v>
      </c>
      <c r="AH3" s="8">
        <f t="shared" ref="AH3:AH42" si="7">Y3-H3</f>
        <v>0</v>
      </c>
      <c r="AI3" s="22">
        <f>AVERAGE(ABS(AA3),ABS(AE3))</f>
        <v>8.5939416805282484E-2</v>
      </c>
      <c r="AJ3" s="22">
        <f t="shared" ref="AJ3:AK18" si="8">AVERAGE(ABS(AB3),ABS(AF3))</f>
        <v>1.3320942953431321E-2</v>
      </c>
      <c r="AK3" s="22">
        <f t="shared" si="8"/>
        <v>0.37157076481502027</v>
      </c>
      <c r="AL3" s="22">
        <f>MIN(A3,E3)</f>
        <v>0.2</v>
      </c>
      <c r="AM3" s="22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/>
      <c r="M4" s="8"/>
      <c r="N4" s="8"/>
      <c r="O4" s="8"/>
      <c r="P4" s="8"/>
      <c r="Q4" s="8"/>
      <c r="R4" s="8">
        <v>0.80543725942346123</v>
      </c>
      <c r="S4" s="8">
        <v>0.10619206435314409</v>
      </c>
      <c r="T4" s="8">
        <v>1.850704787232095</v>
      </c>
      <c r="U4" s="8">
        <v>1.5707963267948966</v>
      </c>
      <c r="V4" s="8">
        <v>0.80964875673629244</v>
      </c>
      <c r="W4" s="8">
        <v>7.2180857038483037E-2</v>
      </c>
      <c r="X4" s="8">
        <v>2.8592387374927299</v>
      </c>
      <c r="Y4" s="8">
        <v>1.5707963267948966</v>
      </c>
      <c r="Z4" s="8">
        <v>3.0314235079583044E-6</v>
      </c>
      <c r="AA4" s="8">
        <f t="shared" si="0"/>
        <v>-0.19456274057653877</v>
      </c>
      <c r="AB4" s="8">
        <f t="shared" si="1"/>
        <v>6.1920643531440805E-3</v>
      </c>
      <c r="AC4" s="8">
        <f t="shared" si="2"/>
        <v>0.27970478723209502</v>
      </c>
      <c r="AD4" s="8">
        <f t="shared" si="3"/>
        <v>0</v>
      </c>
      <c r="AE4" s="8">
        <f t="shared" si="4"/>
        <v>-0.19035124326370756</v>
      </c>
      <c r="AF4" s="8">
        <f t="shared" si="5"/>
        <v>-7.8191429615169644E-3</v>
      </c>
      <c r="AG4" s="8">
        <f t="shared" si="6"/>
        <v>-0.28276126250726996</v>
      </c>
      <c r="AH4" s="8">
        <f t="shared" si="7"/>
        <v>0</v>
      </c>
      <c r="AI4" s="22">
        <f t="shared" ref="AI4:AK42" si="9">AVERAGE(ABS(AA4),ABS(AE4))</f>
        <v>0.19245699192012317</v>
      </c>
      <c r="AJ4" s="22">
        <f t="shared" si="8"/>
        <v>7.0056036573305225E-3</v>
      </c>
      <c r="AK4" s="22">
        <f t="shared" si="8"/>
        <v>0.28123302486968249</v>
      </c>
      <c r="AL4" s="22">
        <f t="shared" ref="AL4:AL42" si="10">MIN(A4,E4)</f>
        <v>1</v>
      </c>
      <c r="AM4" s="22"/>
      <c r="AN4" s="21" cm="1">
        <f t="array" ref="AN4">AVERAGE(ABS(AA3:AA42))</f>
        <v>0.17122841097260449</v>
      </c>
      <c r="AO4" s="21" cm="1">
        <f t="array" ref="AO4">AVERAGE(ABS(AB3:AB42))</f>
        <v>2.6636849082193159E-2</v>
      </c>
      <c r="AP4" s="21" cm="1">
        <f t="array" ref="AP4">AVERAGE(ABS(AC3:AC42))</f>
        <v>0.40222669295348157</v>
      </c>
      <c r="AQ4" s="21" cm="1">
        <f t="array" ref="AQ4">AVERAGE(ABS(AD3:AD42))</f>
        <v>0</v>
      </c>
      <c r="AR4" s="21" cm="1">
        <f t="array" ref="AR4">AVERAGE(ABS(AE3:AE42))</f>
        <v>0.22050927845684676</v>
      </c>
      <c r="AS4" s="21" cm="1">
        <f t="array" ref="AS4">AVERAGE(ABS(AF3:AF42))</f>
        <v>3.1118941135575097E-2</v>
      </c>
      <c r="AT4" s="21" cm="1">
        <f t="array" ref="AT4">AVERAGE(ABS(AG3:AG42))</f>
        <v>0.36293545980972536</v>
      </c>
      <c r="AU4" s="21" cm="1">
        <f t="array" ref="AU4">AVERAGE(ABS(AH3:AH42))</f>
        <v>0</v>
      </c>
    </row>
    <row r="5" spans="1:47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/>
      <c r="M5" s="8"/>
      <c r="N5" s="8"/>
      <c r="O5" s="8"/>
      <c r="P5" s="8"/>
      <c r="Q5" s="8"/>
      <c r="R5" s="8">
        <v>0.48854130437465598</v>
      </c>
      <c r="S5" s="8">
        <v>0.19986731196479587</v>
      </c>
      <c r="T5" s="8">
        <v>5.8705440937566893</v>
      </c>
      <c r="U5" s="8">
        <v>1.5707963267948966</v>
      </c>
      <c r="V5" s="8">
        <v>0.80825761503362459</v>
      </c>
      <c r="W5" s="8">
        <v>0.15446928425622472</v>
      </c>
      <c r="X5" s="8">
        <v>2.385926764727329</v>
      </c>
      <c r="Y5" s="8">
        <v>1.5707963267948966</v>
      </c>
      <c r="Z5" s="8">
        <v>1.3429432425560825E-8</v>
      </c>
      <c r="AA5" s="8">
        <f t="shared" si="0"/>
        <v>-1.1458695625344018E-2</v>
      </c>
      <c r="AB5" s="8">
        <f t="shared" si="1"/>
        <v>9.9867311964795868E-2</v>
      </c>
      <c r="AC5" s="8">
        <f t="shared" si="2"/>
        <v>4.2995440937566896</v>
      </c>
      <c r="AD5" s="8">
        <f t="shared" si="3"/>
        <v>0</v>
      </c>
      <c r="AE5" s="8">
        <f t="shared" si="4"/>
        <v>0.60825761503362452</v>
      </c>
      <c r="AF5" s="8">
        <f t="shared" si="5"/>
        <v>0.13446928425622473</v>
      </c>
      <c r="AG5" s="8">
        <f t="shared" si="6"/>
        <v>-1.541073235272671</v>
      </c>
      <c r="AH5" s="8">
        <f t="shared" si="7"/>
        <v>0</v>
      </c>
      <c r="AI5" s="22">
        <f t="shared" si="9"/>
        <v>0.30985815532948424</v>
      </c>
      <c r="AJ5" s="22">
        <f t="shared" si="8"/>
        <v>0.1171682981105103</v>
      </c>
      <c r="AK5" s="22">
        <f t="shared" si="8"/>
        <v>2.9203086645146801</v>
      </c>
      <c r="AL5" s="22">
        <f t="shared" si="10"/>
        <v>0.2</v>
      </c>
      <c r="AM5" s="22"/>
      <c r="AN5" s="35" t="s">
        <v>32</v>
      </c>
      <c r="AO5" s="35"/>
      <c r="AP5" s="35"/>
      <c r="AQ5" s="35"/>
      <c r="AR5" s="35"/>
      <c r="AS5" s="35"/>
      <c r="AT5" s="35"/>
      <c r="AU5" s="35"/>
    </row>
    <row r="6" spans="1:47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/>
      <c r="M6" s="8"/>
      <c r="N6" s="8"/>
      <c r="O6" s="8"/>
      <c r="P6" s="8"/>
      <c r="Q6" s="8"/>
      <c r="R6" s="8">
        <v>0.82907775575157627</v>
      </c>
      <c r="S6" s="8">
        <v>0.10511963569610322</v>
      </c>
      <c r="T6" s="8">
        <v>2.0520398934663038</v>
      </c>
      <c r="U6" s="8">
        <v>1.5707963267948966</v>
      </c>
      <c r="V6" s="8">
        <v>0.38509787533446105</v>
      </c>
      <c r="W6" s="8">
        <v>0.10499181322857822</v>
      </c>
      <c r="X6" s="8">
        <v>6.1926017508592457</v>
      </c>
      <c r="Y6" s="8">
        <v>1.5707963267948966</v>
      </c>
      <c r="Z6" s="8">
        <v>2.4985503239048988E-7</v>
      </c>
      <c r="AA6" s="8">
        <f t="shared" si="0"/>
        <v>-7.0922244248423749E-2</v>
      </c>
      <c r="AB6" s="8">
        <f t="shared" si="1"/>
        <v>5.1196356961032141E-3</v>
      </c>
      <c r="AC6" s="8">
        <f t="shared" si="2"/>
        <v>0.48103989346630383</v>
      </c>
      <c r="AD6" s="8">
        <f t="shared" si="3"/>
        <v>0</v>
      </c>
      <c r="AE6" s="8">
        <f t="shared" si="4"/>
        <v>0.18509787533446104</v>
      </c>
      <c r="AF6" s="8">
        <f t="shared" si="5"/>
        <v>2.4991813228578214E-2</v>
      </c>
      <c r="AG6" s="8">
        <f t="shared" si="6"/>
        <v>1.4806017508592459</v>
      </c>
      <c r="AH6" s="8">
        <f t="shared" si="7"/>
        <v>0</v>
      </c>
      <c r="AI6" s="22">
        <f t="shared" si="9"/>
        <v>0.12801005979144239</v>
      </c>
      <c r="AJ6" s="22">
        <f t="shared" si="8"/>
        <v>1.5055724462340714E-2</v>
      </c>
      <c r="AK6" s="22">
        <f t="shared" si="8"/>
        <v>0.98082082216277489</v>
      </c>
      <c r="AL6" s="22">
        <f t="shared" si="10"/>
        <v>0.2</v>
      </c>
      <c r="AM6" s="22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/>
      <c r="M7" s="8"/>
      <c r="N7" s="8"/>
      <c r="O7" s="8"/>
      <c r="P7" s="8"/>
      <c r="Q7" s="8"/>
      <c r="R7" s="8">
        <v>0.19539383466185128</v>
      </c>
      <c r="S7" s="8">
        <v>7.9883255536397357E-2</v>
      </c>
      <c r="T7" s="8">
        <v>2.8082367910169719</v>
      </c>
      <c r="U7" s="8">
        <v>1.5707963267948966</v>
      </c>
      <c r="V7" s="8">
        <v>0.8504684850603198</v>
      </c>
      <c r="W7" s="8">
        <v>5.304635866423129E-2</v>
      </c>
      <c r="X7" s="8">
        <v>4.0508280134605439</v>
      </c>
      <c r="Y7" s="8">
        <v>1.5707963267948966</v>
      </c>
      <c r="Z7" s="8">
        <v>8.2314198761207872E-9</v>
      </c>
      <c r="AA7" s="8">
        <f t="shared" si="0"/>
        <v>9.5393834661851279E-2</v>
      </c>
      <c r="AB7" s="8">
        <f t="shared" si="1"/>
        <v>-4.0116744463602638E-2</v>
      </c>
      <c r="AC7" s="8">
        <f t="shared" si="2"/>
        <v>1.2372367910169719</v>
      </c>
      <c r="AD7" s="8">
        <f t="shared" si="3"/>
        <v>0</v>
      </c>
      <c r="AE7" s="8">
        <f t="shared" si="4"/>
        <v>-0.1495315149396802</v>
      </c>
      <c r="AF7" s="8">
        <f t="shared" si="5"/>
        <v>-6.953641335768708E-3</v>
      </c>
      <c r="AG7" s="8">
        <f t="shared" si="6"/>
        <v>0.12382801346054384</v>
      </c>
      <c r="AH7" s="8">
        <f t="shared" si="7"/>
        <v>0</v>
      </c>
      <c r="AI7" s="22">
        <f t="shared" si="9"/>
        <v>0.12246267480076574</v>
      </c>
      <c r="AJ7" s="22">
        <f t="shared" si="8"/>
        <v>2.3535192899685673E-2</v>
      </c>
      <c r="AK7" s="22">
        <f t="shared" si="8"/>
        <v>0.68053240223875788</v>
      </c>
      <c r="AL7" s="22">
        <f t="shared" si="10"/>
        <v>0.1</v>
      </c>
      <c r="AM7" s="22"/>
      <c r="AN7" s="24">
        <f>AVERAGE(AN4,AR4)</f>
        <v>0.19586884471472563</v>
      </c>
      <c r="AO7" s="24">
        <f t="shared" ref="AO7:AP7" si="11">AVERAGE(AO4,AS4)</f>
        <v>2.8877895108884128E-2</v>
      </c>
      <c r="AP7" s="24">
        <f t="shared" si="11"/>
        <v>0.38258107638160344</v>
      </c>
      <c r="AQ7" s="21"/>
      <c r="AR7" s="21"/>
      <c r="AS7" s="21"/>
      <c r="AT7" s="21"/>
      <c r="AU7" s="21"/>
    </row>
    <row r="8" spans="1:47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/>
      <c r="M8" s="8"/>
      <c r="N8" s="8"/>
      <c r="O8" s="8"/>
      <c r="P8" s="8"/>
      <c r="Q8" s="8"/>
      <c r="R8" s="8">
        <v>0.70764445998263126</v>
      </c>
      <c r="S8" s="8">
        <v>0.16700380670295356</v>
      </c>
      <c r="T8" s="8">
        <v>1.6376329034133816</v>
      </c>
      <c r="U8" s="8">
        <v>1.5707963267948966</v>
      </c>
      <c r="V8" s="8">
        <v>0.70157940439973132</v>
      </c>
      <c r="W8" s="8">
        <v>5.0549756302809536E-2</v>
      </c>
      <c r="X8" s="8">
        <v>3.8772687829717118</v>
      </c>
      <c r="Y8" s="8">
        <v>1.5707963267948966</v>
      </c>
      <c r="Z8" s="8">
        <v>9.7388293435370887E-8</v>
      </c>
      <c r="AA8" s="8">
        <f t="shared" si="0"/>
        <v>-9.2355540017368787E-2</v>
      </c>
      <c r="AB8" s="8">
        <f t="shared" si="1"/>
        <v>7.0038067029535578E-3</v>
      </c>
      <c r="AC8" s="8">
        <f t="shared" si="2"/>
        <v>6.6632903413381683E-2</v>
      </c>
      <c r="AD8" s="8">
        <f t="shared" si="3"/>
        <v>0</v>
      </c>
      <c r="AE8" s="8">
        <f t="shared" si="4"/>
        <v>-9.8420595600268723E-2</v>
      </c>
      <c r="AF8" s="8">
        <f t="shared" si="5"/>
        <v>-9.4502436971904621E-3</v>
      </c>
      <c r="AG8" s="8">
        <f t="shared" si="6"/>
        <v>-4.9731217028288199E-2</v>
      </c>
      <c r="AH8" s="8">
        <f t="shared" si="7"/>
        <v>0</v>
      </c>
      <c r="AI8" s="23">
        <f t="shared" si="9"/>
        <v>9.5388067808818755E-2</v>
      </c>
      <c r="AJ8" s="23">
        <f t="shared" si="8"/>
        <v>8.22702520007201E-3</v>
      </c>
      <c r="AK8" s="23">
        <f t="shared" si="8"/>
        <v>5.8182060220834941E-2</v>
      </c>
      <c r="AL8" s="22">
        <f t="shared" si="10"/>
        <v>0.8</v>
      </c>
      <c r="AM8" s="44"/>
      <c r="AN8" t="s">
        <v>40</v>
      </c>
    </row>
    <row r="9" spans="1:47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/>
      <c r="M9" s="8"/>
      <c r="N9" s="8"/>
      <c r="O9" s="8"/>
      <c r="P9" s="8"/>
      <c r="Q9" s="8"/>
      <c r="R9" s="8">
        <v>0.57356980204810593</v>
      </c>
      <c r="S9" s="8">
        <v>0.11963616137383799</v>
      </c>
      <c r="T9" s="8">
        <v>0.78463507967689006</v>
      </c>
      <c r="U9" s="8">
        <v>1.5707963267948966</v>
      </c>
      <c r="V9" s="8">
        <v>0.59113532267786228</v>
      </c>
      <c r="W9" s="8">
        <v>9.9947917671612527E-2</v>
      </c>
      <c r="X9" s="8">
        <v>3.684876943258129</v>
      </c>
      <c r="Y9" s="8">
        <v>1.5707963267948966</v>
      </c>
      <c r="Z9" s="8">
        <v>1.2138655557783407E-7</v>
      </c>
      <c r="AA9" s="8">
        <f t="shared" si="0"/>
        <v>0.47356980204810595</v>
      </c>
      <c r="AB9" s="8">
        <f t="shared" si="1"/>
        <v>-6.0363838626162E-2</v>
      </c>
      <c r="AC9" s="8">
        <f t="shared" si="2"/>
        <v>-0.78636492032310989</v>
      </c>
      <c r="AD9" s="8">
        <f t="shared" si="3"/>
        <v>0</v>
      </c>
      <c r="AE9" s="8">
        <f t="shared" si="4"/>
        <v>0.49113532267786231</v>
      </c>
      <c r="AF9" s="8">
        <f t="shared" si="5"/>
        <v>7.9947917671612523E-2</v>
      </c>
      <c r="AG9" s="8">
        <f t="shared" si="6"/>
        <v>0.54287694325812907</v>
      </c>
      <c r="AH9" s="8">
        <f t="shared" si="7"/>
        <v>0</v>
      </c>
      <c r="AI9" s="22">
        <f t="shared" si="9"/>
        <v>0.48235256236298413</v>
      </c>
      <c r="AJ9" s="22">
        <f t="shared" si="8"/>
        <v>7.0155878148887268E-2</v>
      </c>
      <c r="AK9" s="22">
        <f t="shared" si="8"/>
        <v>0.66462093179061954</v>
      </c>
      <c r="AL9" s="22">
        <f t="shared" si="10"/>
        <v>0.1</v>
      </c>
      <c r="AM9" s="44"/>
      <c r="AN9" s="43">
        <f>AVERAGE(AI3,AI4,AI5,AI6,AI8,AI11,AI12,AI14,AI15,AI17,AI18,AI20,AI23,AI24,AI25,AI26,AI29,AI30,AI32,AI35,AI36,AI37,AI38,AI40,AI41)</f>
        <v>0.11995914339572579</v>
      </c>
      <c r="AO9" s="43">
        <f>AVERAGE(AJ3,AJ4,AJ5,AJ6,AJ8,AJ11,AJ12,AJ14,AJ15,AJ17,AJ18,AJ20,AJ23,AJ24,AJ25,AJ26,AJ29,AJ30,AJ32,AJ35,AJ36,AJ37,AJ38,AJ40,AJ41)</f>
        <v>2.1010645332654197E-2</v>
      </c>
      <c r="AP9" s="43">
        <f>AVERAGE(AK3,AK4,AK5,AK6,AK8,AK11,AK12,AK14,AK15,AK17,AK18,AK20,AK23,AK24,AK25,AK26,AK29,AK30,AK32,AK35,AK36,AK37,AK38,AK40,AK41)</f>
        <v>0.3229536599706318</v>
      </c>
    </row>
    <row r="10" spans="1:47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/>
      <c r="M10" s="8"/>
      <c r="N10" s="8"/>
      <c r="O10" s="8"/>
      <c r="P10" s="8"/>
      <c r="Q10" s="8"/>
      <c r="R10" s="8">
        <v>0.53332271430209899</v>
      </c>
      <c r="S10" s="8">
        <v>0.19182641919532803</v>
      </c>
      <c r="T10" s="8">
        <v>0.2759628917585874</v>
      </c>
      <c r="U10" s="8">
        <v>1.5707963267948966</v>
      </c>
      <c r="V10" s="8">
        <v>0.83948773797372234</v>
      </c>
      <c r="W10" s="8">
        <v>0.19181779989291753</v>
      </c>
      <c r="X10" s="8">
        <v>2.2287845089068652</v>
      </c>
      <c r="Y10" s="8">
        <v>1.5707963267948966</v>
      </c>
      <c r="Z10" s="8">
        <v>3.7168067232938613E-7</v>
      </c>
      <c r="AA10" s="8">
        <f t="shared" si="0"/>
        <v>-0.36667728569790103</v>
      </c>
      <c r="AB10" s="8">
        <f t="shared" si="1"/>
        <v>1.1826419195328036E-2</v>
      </c>
      <c r="AC10" s="8">
        <f t="shared" si="2"/>
        <v>-1.2950371082414125</v>
      </c>
      <c r="AD10" s="8">
        <f t="shared" si="3"/>
        <v>0</v>
      </c>
      <c r="AE10" s="8">
        <f t="shared" si="4"/>
        <v>0.73948773797372236</v>
      </c>
      <c r="AF10" s="8">
        <f t="shared" si="5"/>
        <v>0.11181779989291753</v>
      </c>
      <c r="AG10" s="8">
        <f t="shared" si="6"/>
        <v>-2.4832154910931346</v>
      </c>
      <c r="AH10" s="8">
        <f t="shared" si="7"/>
        <v>0</v>
      </c>
      <c r="AI10" s="22">
        <f t="shared" si="9"/>
        <v>0.5530825118358117</v>
      </c>
      <c r="AJ10" s="22">
        <f t="shared" si="8"/>
        <v>6.1822109544122782E-2</v>
      </c>
      <c r="AK10" s="22">
        <f t="shared" si="8"/>
        <v>1.8891262996672735</v>
      </c>
      <c r="AL10" s="22">
        <f t="shared" si="10"/>
        <v>0.1</v>
      </c>
      <c r="AM10" s="44"/>
      <c r="AN10" t="s">
        <v>41</v>
      </c>
    </row>
    <row r="11" spans="1:47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/>
      <c r="M11" s="8"/>
      <c r="N11" s="8"/>
      <c r="O11" s="8"/>
      <c r="P11" s="8"/>
      <c r="Q11" s="8"/>
      <c r="R11" s="8">
        <v>0.27384230225896961</v>
      </c>
      <c r="S11" s="8">
        <v>0.19100968210362787</v>
      </c>
      <c r="T11" s="8">
        <v>1.5711913894846252</v>
      </c>
      <c r="U11" s="8">
        <v>1.5707963267948966</v>
      </c>
      <c r="V11" s="8">
        <v>0.8733616431492075</v>
      </c>
      <c r="W11" s="8">
        <v>8.025398210843955E-2</v>
      </c>
      <c r="X11" s="8">
        <v>4.7121184356853218</v>
      </c>
      <c r="Y11" s="8">
        <v>1.5707963267948966</v>
      </c>
      <c r="Z11" s="8">
        <v>1.4722999946614295E-8</v>
      </c>
      <c r="AA11" s="8">
        <f t="shared" si="0"/>
        <v>-2.6157697741030383E-2</v>
      </c>
      <c r="AB11" s="8">
        <f t="shared" si="1"/>
        <v>1.1009682103627877E-2</v>
      </c>
      <c r="AC11" s="8">
        <f t="shared" si="2"/>
        <v>1.9138948462527061E-4</v>
      </c>
      <c r="AD11" s="8">
        <f t="shared" si="3"/>
        <v>0</v>
      </c>
      <c r="AE11" s="8">
        <f t="shared" si="4"/>
        <v>-2.6638356850792522E-2</v>
      </c>
      <c r="AF11" s="8">
        <f t="shared" si="5"/>
        <v>2.5398210843954883E-4</v>
      </c>
      <c r="AG11" s="8">
        <f t="shared" si="6"/>
        <v>1.1843568532210469E-4</v>
      </c>
      <c r="AH11" s="8">
        <f t="shared" si="7"/>
        <v>0</v>
      </c>
      <c r="AI11" s="22">
        <f t="shared" si="9"/>
        <v>2.6398027295911453E-2</v>
      </c>
      <c r="AJ11" s="22">
        <f t="shared" si="8"/>
        <v>5.6318321060337129E-3</v>
      </c>
      <c r="AK11" s="22">
        <f t="shared" si="8"/>
        <v>1.5491258497368765E-4</v>
      </c>
      <c r="AL11" s="22">
        <f t="shared" si="10"/>
        <v>0.3</v>
      </c>
      <c r="AM11" s="44"/>
      <c r="AN11" s="43">
        <f>AVERAGE(AI4,AI8,AI11,AI12,AI14,AI15,AI17,AI18,AI20,AI25,AI26,AI30,AI32,AI35,AI36,AI37,AI40,AI41)</f>
        <v>0.10433109138159453</v>
      </c>
      <c r="AO11" s="43">
        <f>AVERAGE(AJ4,AJ8,AJ11,AJ12,AJ14,AJ15,AJ17,AJ18,AJ20,AJ25,AJ26,AJ30,AJ32,AJ35,AJ36,AJ37,AJ40,AJ41)</f>
        <v>1.1263999182580069E-2</v>
      </c>
      <c r="AP11" s="43">
        <f>AVERAGE(AK4,AK8,AK11,AK12,AK14,AK15,AK17,AK18,AK20,AK25,AK26,AK30,AK32,AK35,AK36,AK37,AK40,AK41)</f>
        <v>0.11315865492970641</v>
      </c>
    </row>
    <row r="12" spans="1:47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/>
      <c r="M12" s="8"/>
      <c r="N12" s="8"/>
      <c r="O12" s="8"/>
      <c r="P12" s="8"/>
      <c r="Q12" s="8"/>
      <c r="R12" s="8">
        <v>0.90049966065685916</v>
      </c>
      <c r="S12" s="8">
        <v>0.19980159181219379</v>
      </c>
      <c r="T12" s="8">
        <v>1.5734121352360118</v>
      </c>
      <c r="U12" s="8">
        <v>1.5707963267948966</v>
      </c>
      <c r="V12" s="8">
        <v>0.9981672750760483</v>
      </c>
      <c r="W12" s="8">
        <v>2.0000011799857602E-2</v>
      </c>
      <c r="X12" s="8">
        <v>3.142776225855278</v>
      </c>
      <c r="Y12" s="8">
        <v>1.5707963267948966</v>
      </c>
      <c r="Z12" s="8">
        <v>1.2346603730310008E-7</v>
      </c>
      <c r="AA12" s="8">
        <f t="shared" si="0"/>
        <v>4.9966065685913552E-4</v>
      </c>
      <c r="AB12" s="8">
        <f t="shared" si="1"/>
        <v>-1.9840818780622604E-4</v>
      </c>
      <c r="AC12" s="8">
        <f t="shared" si="2"/>
        <v>2.4121352360118031E-3</v>
      </c>
      <c r="AD12" s="8">
        <f t="shared" si="3"/>
        <v>0</v>
      </c>
      <c r="AE12" s="8">
        <f t="shared" si="4"/>
        <v>-1.8327249239517007E-3</v>
      </c>
      <c r="AF12" s="8">
        <f t="shared" si="5"/>
        <v>1.1799857601441088E-8</v>
      </c>
      <c r="AG12" s="8">
        <f t="shared" si="6"/>
        <v>7.7622585527814536E-4</v>
      </c>
      <c r="AH12" s="8">
        <f t="shared" si="7"/>
        <v>0</v>
      </c>
      <c r="AI12" s="22">
        <f t="shared" si="9"/>
        <v>1.1661927904054181E-3</v>
      </c>
      <c r="AJ12" s="22">
        <f t="shared" si="8"/>
        <v>9.9209993831913743E-5</v>
      </c>
      <c r="AK12" s="22">
        <f t="shared" si="8"/>
        <v>1.5941805456449742E-3</v>
      </c>
      <c r="AL12" s="22">
        <f t="shared" si="10"/>
        <v>0.9</v>
      </c>
      <c r="AM12" s="44"/>
      <c r="AN12" t="s">
        <v>43</v>
      </c>
    </row>
    <row r="13" spans="1:47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/>
      <c r="M13" s="8"/>
      <c r="N13" s="8"/>
      <c r="O13" s="8"/>
      <c r="P13" s="8"/>
      <c r="Q13" s="8"/>
      <c r="R13" s="8">
        <v>0.19055945137586666</v>
      </c>
      <c r="S13" s="8">
        <v>0.15353675370053008</v>
      </c>
      <c r="T13" s="8">
        <v>2.3652998643445495</v>
      </c>
      <c r="U13" s="8">
        <v>1.5707963267948966</v>
      </c>
      <c r="V13" s="8">
        <v>0.16747320566327836</v>
      </c>
      <c r="W13" s="8">
        <v>2.0000000923734589E-2</v>
      </c>
      <c r="X13" s="8">
        <v>3.3437354506808119</v>
      </c>
      <c r="Y13" s="8">
        <v>1.5707963267948966</v>
      </c>
      <c r="Z13" s="8">
        <v>1.2413494338928686E-7</v>
      </c>
      <c r="AA13" s="8">
        <f t="shared" si="0"/>
        <v>9.0559451375866656E-2</v>
      </c>
      <c r="AB13" s="8">
        <f t="shared" si="1"/>
        <v>-4.6463246299469935E-2</v>
      </c>
      <c r="AC13" s="8">
        <f t="shared" si="2"/>
        <v>0.79429986434454958</v>
      </c>
      <c r="AD13" s="8">
        <f t="shared" si="3"/>
        <v>0</v>
      </c>
      <c r="AE13" s="8">
        <f t="shared" si="4"/>
        <v>-0.13252679433672163</v>
      </c>
      <c r="AF13" s="8">
        <f t="shared" si="5"/>
        <v>-5.9999999076265409E-2</v>
      </c>
      <c r="AG13" s="8">
        <f t="shared" si="6"/>
        <v>0.201735450680812</v>
      </c>
      <c r="AH13" s="8">
        <f t="shared" si="7"/>
        <v>0</v>
      </c>
      <c r="AI13" s="22">
        <f t="shared" si="9"/>
        <v>0.11154312285629414</v>
      </c>
      <c r="AJ13" s="22">
        <f t="shared" si="8"/>
        <v>5.3231622687867672E-2</v>
      </c>
      <c r="AK13" s="22">
        <f t="shared" si="8"/>
        <v>0.49801765751268079</v>
      </c>
      <c r="AL13" s="22">
        <f t="shared" si="10"/>
        <v>0.1</v>
      </c>
      <c r="AM13" s="44"/>
      <c r="AN13" s="43">
        <f>AVERAGE(AI8,AI11,AI12,AI14,AI15,AI17,AI18,AI20,AI26,AI30,AI32,AI35,AI37,AI40,AI41)</f>
        <v>6.8832561428573052E-2</v>
      </c>
      <c r="AO13" s="43">
        <f t="shared" ref="AO13:AP13" si="12">AVERAGE(AJ8,AJ11,AJ12,AJ14,AJ15,AJ17,AJ18,AJ20,AJ26,AJ30,AJ32,AJ35,AJ37,AJ40,AJ41)</f>
        <v>9.2324664562674092E-3</v>
      </c>
      <c r="AP13" s="43">
        <f t="shared" si="12"/>
        <v>6.3501006550968991E-2</v>
      </c>
    </row>
    <row r="14" spans="1:47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/>
      <c r="M14" s="8"/>
      <c r="N14" s="8"/>
      <c r="O14" s="8"/>
      <c r="P14" s="8"/>
      <c r="Q14" s="8"/>
      <c r="R14" s="8">
        <v>0.92246090080900045</v>
      </c>
      <c r="S14" s="8">
        <v>0.1946764594584639</v>
      </c>
      <c r="T14" s="8">
        <v>1.5706802179480717</v>
      </c>
      <c r="U14" s="8">
        <v>1.5707963267948966</v>
      </c>
      <c r="V14" s="8">
        <v>0.32885378577599522</v>
      </c>
      <c r="W14" s="8">
        <v>2.458379524806454E-2</v>
      </c>
      <c r="X14" s="8">
        <v>4.7095244859909631</v>
      </c>
      <c r="Y14" s="8">
        <v>1.5707963267948966</v>
      </c>
      <c r="Z14" s="8">
        <v>6.2014403561351136E-8</v>
      </c>
      <c r="AA14" s="8">
        <f t="shared" si="0"/>
        <v>2.2460900809000428E-2</v>
      </c>
      <c r="AB14" s="8">
        <f t="shared" si="1"/>
        <v>-5.3235405415361092E-3</v>
      </c>
      <c r="AC14" s="8">
        <f t="shared" si="2"/>
        <v>-3.1978205192828568E-4</v>
      </c>
      <c r="AD14" s="8">
        <f t="shared" si="3"/>
        <v>0</v>
      </c>
      <c r="AE14" s="8">
        <f t="shared" si="4"/>
        <v>2.8853785775995233E-2</v>
      </c>
      <c r="AF14" s="8">
        <f t="shared" si="5"/>
        <v>4.5837952480645393E-3</v>
      </c>
      <c r="AG14" s="8">
        <f t="shared" si="6"/>
        <v>-2.4755140090366723E-3</v>
      </c>
      <c r="AH14" s="8">
        <f t="shared" si="7"/>
        <v>0</v>
      </c>
      <c r="AI14" s="22">
        <f t="shared" si="9"/>
        <v>2.5657343292497831E-2</v>
      </c>
      <c r="AJ14" s="22">
        <f t="shared" si="8"/>
        <v>4.9536678948003243E-3</v>
      </c>
      <c r="AK14" s="22">
        <f t="shared" si="8"/>
        <v>1.397648030482479E-3</v>
      </c>
      <c r="AL14" s="22">
        <f t="shared" si="10"/>
        <v>0.3</v>
      </c>
      <c r="AM14" s="44"/>
    </row>
    <row r="15" spans="1:47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/>
      <c r="M15" s="8"/>
      <c r="N15" s="8"/>
      <c r="O15" s="8"/>
      <c r="P15" s="8"/>
      <c r="Q15" s="8"/>
      <c r="R15" s="8">
        <v>0.91550308041612605</v>
      </c>
      <c r="S15" s="8">
        <v>9.9195560855869586E-2</v>
      </c>
      <c r="T15" s="8">
        <v>2.3470108162614816</v>
      </c>
      <c r="U15" s="8">
        <v>1.5707963267948966</v>
      </c>
      <c r="V15" s="8">
        <v>0.91675215416047928</v>
      </c>
      <c r="W15" s="8">
        <v>2.1094354683877464E-2</v>
      </c>
      <c r="X15" s="8">
        <v>4.7175794136290587</v>
      </c>
      <c r="Y15" s="8">
        <v>1.5707963267948966</v>
      </c>
      <c r="Z15" s="8">
        <v>2.0749133514414708E-8</v>
      </c>
      <c r="AA15" s="8">
        <f t="shared" si="0"/>
        <v>1.5503080416126025E-2</v>
      </c>
      <c r="AB15" s="8">
        <f t="shared" si="1"/>
        <v>-8.0443914413041995E-4</v>
      </c>
      <c r="AC15" s="8">
        <f t="shared" si="2"/>
        <v>-8.9891837385183138E-3</v>
      </c>
      <c r="AD15" s="8">
        <f t="shared" si="3"/>
        <v>0</v>
      </c>
      <c r="AE15" s="8">
        <f t="shared" si="4"/>
        <v>1.675215416047926E-2</v>
      </c>
      <c r="AF15" s="8">
        <f t="shared" si="5"/>
        <v>1.0943546838774638E-3</v>
      </c>
      <c r="AG15" s="8">
        <f t="shared" si="6"/>
        <v>5.5794136290590046E-3</v>
      </c>
      <c r="AH15" s="8">
        <f t="shared" si="7"/>
        <v>0</v>
      </c>
      <c r="AI15" s="22">
        <f t="shared" si="9"/>
        <v>1.6127617288302643E-2</v>
      </c>
      <c r="AJ15" s="22">
        <f t="shared" si="8"/>
        <v>9.493969140039419E-4</v>
      </c>
      <c r="AK15" s="22">
        <f t="shared" si="8"/>
        <v>7.2842986837886592E-3</v>
      </c>
      <c r="AL15" s="22">
        <f t="shared" si="10"/>
        <v>0.9</v>
      </c>
      <c r="AM15" s="44"/>
    </row>
    <row r="16" spans="1:47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/>
      <c r="M16" s="8"/>
      <c r="N16" s="8"/>
      <c r="O16" s="8"/>
      <c r="P16" s="8"/>
      <c r="Q16" s="8"/>
      <c r="R16" s="8">
        <v>0.51175535196596811</v>
      </c>
      <c r="S16" s="8">
        <v>0.11530747837100272</v>
      </c>
      <c r="T16" s="8">
        <v>1.1709202999972077</v>
      </c>
      <c r="U16" s="8">
        <v>1.5707963267948966</v>
      </c>
      <c r="V16" s="8">
        <v>0.61177624861134361</v>
      </c>
      <c r="W16" s="8">
        <v>0.10803659102249277</v>
      </c>
      <c r="X16" s="8">
        <v>3.4548621404016209</v>
      </c>
      <c r="Y16" s="8">
        <v>1.5707963267948966</v>
      </c>
      <c r="Z16" s="8">
        <v>4.0947298345774296E-9</v>
      </c>
      <c r="AA16" s="8">
        <f t="shared" si="0"/>
        <v>0.11175535196596809</v>
      </c>
      <c r="AB16" s="8">
        <f t="shared" si="1"/>
        <v>-4.692521628997276E-3</v>
      </c>
      <c r="AC16" s="8">
        <f t="shared" si="2"/>
        <v>-1.1850797000027922</v>
      </c>
      <c r="AD16" s="8">
        <f t="shared" si="3"/>
        <v>0</v>
      </c>
      <c r="AE16" s="8">
        <f t="shared" si="4"/>
        <v>0.51177624861134363</v>
      </c>
      <c r="AF16" s="8">
        <f t="shared" si="5"/>
        <v>4.8036591022492775E-2</v>
      </c>
      <c r="AG16" s="8">
        <f t="shared" si="6"/>
        <v>0.31286214040162097</v>
      </c>
      <c r="AH16" s="8">
        <f t="shared" si="7"/>
        <v>0</v>
      </c>
      <c r="AI16" s="22">
        <f t="shared" si="9"/>
        <v>0.31176580028865586</v>
      </c>
      <c r="AJ16" s="22">
        <f t="shared" si="8"/>
        <v>2.6364556325745026E-2</v>
      </c>
      <c r="AK16" s="22">
        <f t="shared" si="8"/>
        <v>0.74897092020220657</v>
      </c>
      <c r="AL16" s="22">
        <f t="shared" si="10"/>
        <v>0.1</v>
      </c>
      <c r="AM16" s="44"/>
    </row>
    <row r="17" spans="1:39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/>
      <c r="M17" s="8"/>
      <c r="N17" s="8"/>
      <c r="O17" s="8"/>
      <c r="P17" s="8"/>
      <c r="Q17" s="8"/>
      <c r="R17" s="8">
        <v>0.99978786794840036</v>
      </c>
      <c r="S17" s="8">
        <v>0.13963843786840133</v>
      </c>
      <c r="T17" s="8">
        <v>2.1719558688628706</v>
      </c>
      <c r="U17" s="8">
        <v>1.5707963267948966</v>
      </c>
      <c r="V17" s="8">
        <v>0.58147093023659857</v>
      </c>
      <c r="W17" s="8">
        <v>7.1887493480916262E-2</v>
      </c>
      <c r="X17" s="8">
        <v>3.8968965872608492</v>
      </c>
      <c r="Y17" s="8">
        <v>1.5707963267948966</v>
      </c>
      <c r="Z17" s="8">
        <v>2.4428601700357716E-6</v>
      </c>
      <c r="AA17" s="8">
        <f t="shared" si="0"/>
        <v>-2.1213205159964499E-4</v>
      </c>
      <c r="AB17" s="8">
        <f t="shared" si="1"/>
        <v>-3.6156213159868611E-4</v>
      </c>
      <c r="AC17" s="8">
        <f t="shared" si="2"/>
        <v>-0.18404413113712925</v>
      </c>
      <c r="AD17" s="8">
        <f t="shared" si="3"/>
        <v>0</v>
      </c>
      <c r="AE17" s="8">
        <f t="shared" si="4"/>
        <v>0.18147093023659855</v>
      </c>
      <c r="AF17" s="8">
        <f t="shared" si="5"/>
        <v>3.1887493480916261E-2</v>
      </c>
      <c r="AG17" s="8">
        <f t="shared" si="6"/>
        <v>-3.0103412739150848E-2</v>
      </c>
      <c r="AH17" s="8">
        <f t="shared" si="7"/>
        <v>0</v>
      </c>
      <c r="AI17" s="22">
        <f t="shared" si="9"/>
        <v>9.0841531144099097E-2</v>
      </c>
      <c r="AJ17" s="22">
        <f t="shared" si="8"/>
        <v>1.6124527806257474E-2</v>
      </c>
      <c r="AK17" s="22">
        <f t="shared" si="8"/>
        <v>0.10707377193814005</v>
      </c>
      <c r="AL17" s="22">
        <f t="shared" si="10"/>
        <v>0.4</v>
      </c>
      <c r="AM17" s="44"/>
    </row>
    <row r="18" spans="1:39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/>
      <c r="M18" s="8"/>
      <c r="N18" s="8"/>
      <c r="O18" s="8"/>
      <c r="P18" s="8"/>
      <c r="Q18" s="8"/>
      <c r="R18" s="8">
        <v>0.36856868995430797</v>
      </c>
      <c r="S18" s="8">
        <v>0.18846391474128446</v>
      </c>
      <c r="T18" s="8">
        <v>2.3312145660200798</v>
      </c>
      <c r="U18" s="8">
        <v>1.5707963267948966</v>
      </c>
      <c r="V18" s="8">
        <v>0.729249922567199</v>
      </c>
      <c r="W18" s="8">
        <v>4.2776626126465947E-2</v>
      </c>
      <c r="X18" s="8">
        <v>3.1193617858743812</v>
      </c>
      <c r="Y18" s="8">
        <v>1.5707963267948966</v>
      </c>
      <c r="Z18" s="8">
        <v>7.9960651987436769E-14</v>
      </c>
      <c r="AA18" s="8">
        <f t="shared" si="0"/>
        <v>-3.1431310045692051E-2</v>
      </c>
      <c r="AB18" s="8">
        <f t="shared" si="1"/>
        <v>8.4639147412844673E-3</v>
      </c>
      <c r="AC18" s="8">
        <f t="shared" si="2"/>
        <v>-2.4785433979920057E-2</v>
      </c>
      <c r="AD18" s="8">
        <f t="shared" si="3"/>
        <v>0</v>
      </c>
      <c r="AE18" s="8">
        <f t="shared" si="4"/>
        <v>2.9249922567199049E-2</v>
      </c>
      <c r="AF18" s="8">
        <f t="shared" si="5"/>
        <v>2.7766261264659461E-3</v>
      </c>
      <c r="AG18" s="8">
        <f t="shared" si="6"/>
        <v>-2.2638214125618727E-2</v>
      </c>
      <c r="AH18" s="8">
        <f t="shared" si="7"/>
        <v>0</v>
      </c>
      <c r="AI18" s="22">
        <f t="shared" si="9"/>
        <v>3.034061630644555E-2</v>
      </c>
      <c r="AJ18" s="22">
        <f t="shared" si="8"/>
        <v>5.6202704338752067E-3</v>
      </c>
      <c r="AK18" s="22">
        <f t="shared" si="8"/>
        <v>2.3711824052769392E-2</v>
      </c>
      <c r="AL18" s="22">
        <f t="shared" si="10"/>
        <v>0.4</v>
      </c>
      <c r="AM18" s="44"/>
    </row>
    <row r="19" spans="1:39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/>
      <c r="M19" s="8"/>
      <c r="N19" s="8"/>
      <c r="O19" s="8"/>
      <c r="P19" s="8"/>
      <c r="Q19" s="8"/>
      <c r="R19" s="8">
        <v>0.20431610259136562</v>
      </c>
      <c r="S19" s="8">
        <v>0.13889568170911412</v>
      </c>
      <c r="T19" s="8">
        <v>2.1602992079525167</v>
      </c>
      <c r="U19" s="8">
        <v>1.5707963267948966</v>
      </c>
      <c r="V19" s="8">
        <v>0.30219589862587637</v>
      </c>
      <c r="W19" s="8">
        <v>7.6283937668207819E-2</v>
      </c>
      <c r="X19" s="8">
        <v>4.8543771647265856</v>
      </c>
      <c r="Y19" s="8">
        <v>1.5707963267948966</v>
      </c>
      <c r="Z19" s="8">
        <v>5.8928476182628843E-8</v>
      </c>
      <c r="AA19" s="8">
        <f t="shared" si="0"/>
        <v>0.10431610259136562</v>
      </c>
      <c r="AB19" s="8">
        <f t="shared" si="1"/>
        <v>-4.1104318290885872E-2</v>
      </c>
      <c r="AC19" s="8">
        <f t="shared" si="2"/>
        <v>-0.19570079204748314</v>
      </c>
      <c r="AD19" s="8">
        <f t="shared" si="3"/>
        <v>0</v>
      </c>
      <c r="AE19" s="8">
        <f t="shared" si="4"/>
        <v>0.10219589862587636</v>
      </c>
      <c r="AF19" s="8">
        <f t="shared" si="5"/>
        <v>1.6283937668207821E-2</v>
      </c>
      <c r="AG19" s="8">
        <f t="shared" si="6"/>
        <v>0.1423771647265859</v>
      </c>
      <c r="AH19" s="8">
        <f t="shared" si="7"/>
        <v>0</v>
      </c>
      <c r="AI19" s="22">
        <f t="shared" si="9"/>
        <v>0.10325600060862099</v>
      </c>
      <c r="AJ19" s="22">
        <f t="shared" si="9"/>
        <v>2.8694127979546846E-2</v>
      </c>
      <c r="AK19" s="22">
        <f t="shared" si="9"/>
        <v>0.16903897838703452</v>
      </c>
      <c r="AL19" s="22">
        <f t="shared" si="10"/>
        <v>0.1</v>
      </c>
      <c r="AM19" s="44"/>
    </row>
    <row r="20" spans="1:39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/>
      <c r="M20" s="8"/>
      <c r="N20" s="8"/>
      <c r="O20" s="8"/>
      <c r="P20" s="8"/>
      <c r="Q20" s="8"/>
      <c r="R20" s="8">
        <v>0.92494272468005156</v>
      </c>
      <c r="S20" s="8">
        <v>0.19519420590084965</v>
      </c>
      <c r="T20" s="8">
        <v>2.3610725528991794</v>
      </c>
      <c r="U20" s="8">
        <v>1.5707963267948966</v>
      </c>
      <c r="V20" s="8">
        <v>0.27794418337907101</v>
      </c>
      <c r="W20" s="8">
        <v>5.6612427405132268E-2</v>
      </c>
      <c r="X20" s="8">
        <v>3.2050693034249527</v>
      </c>
      <c r="Y20" s="8">
        <v>1.5707963267948966</v>
      </c>
      <c r="Z20" s="8">
        <v>4.4629546857673035E-8</v>
      </c>
      <c r="AA20" s="8">
        <f t="shared" si="0"/>
        <v>2.4942724680051542E-2</v>
      </c>
      <c r="AB20" s="8">
        <f t="shared" si="1"/>
        <v>-4.8057940991503567E-3</v>
      </c>
      <c r="AC20" s="8">
        <f t="shared" si="2"/>
        <v>5.0725528991795166E-3</v>
      </c>
      <c r="AD20" s="8">
        <f t="shared" si="3"/>
        <v>0</v>
      </c>
      <c r="AE20" s="8">
        <f t="shared" si="4"/>
        <v>-2.2055816620928981E-2</v>
      </c>
      <c r="AF20" s="8">
        <f t="shared" si="5"/>
        <v>-3.3875725948677299E-3</v>
      </c>
      <c r="AG20" s="8">
        <f t="shared" si="6"/>
        <v>6.3069303424952761E-2</v>
      </c>
      <c r="AH20" s="8">
        <f t="shared" si="7"/>
        <v>0</v>
      </c>
      <c r="AI20" s="22">
        <f t="shared" si="9"/>
        <v>2.3499270650490262E-2</v>
      </c>
      <c r="AJ20" s="22">
        <f t="shared" si="9"/>
        <v>4.0966833470090433E-3</v>
      </c>
      <c r="AK20" s="22">
        <f t="shared" si="9"/>
        <v>3.4070928162066139E-2</v>
      </c>
      <c r="AL20" s="22">
        <f t="shared" si="10"/>
        <v>0.3</v>
      </c>
      <c r="AM20" s="44"/>
    </row>
    <row r="21" spans="1:39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/>
      <c r="M21" s="8"/>
      <c r="N21" s="8"/>
      <c r="O21" s="8"/>
      <c r="P21" s="8"/>
      <c r="Q21" s="8"/>
      <c r="R21" s="8">
        <v>0.24931862038713201</v>
      </c>
      <c r="S21" s="8">
        <v>8.7862751116245849E-2</v>
      </c>
      <c r="T21" s="8">
        <v>3.0492850992218283</v>
      </c>
      <c r="U21" s="8">
        <v>1.5707963267948966</v>
      </c>
      <c r="V21" s="8">
        <v>0.24368015132490692</v>
      </c>
      <c r="W21" s="8">
        <v>8.0556752697293788E-2</v>
      </c>
      <c r="X21" s="8">
        <v>4.4472011506503</v>
      </c>
      <c r="Y21" s="8">
        <v>1.5707963267948966</v>
      </c>
      <c r="Z21" s="8">
        <v>2.3128170893721408E-7</v>
      </c>
      <c r="AA21" s="8">
        <f t="shared" si="0"/>
        <v>0.14931862038713201</v>
      </c>
      <c r="AB21" s="8">
        <f t="shared" si="1"/>
        <v>-1.2137248883754156E-2</v>
      </c>
      <c r="AC21" s="8">
        <f t="shared" si="2"/>
        <v>-9.2714900778171572E-2</v>
      </c>
      <c r="AD21" s="8">
        <f t="shared" si="3"/>
        <v>0</v>
      </c>
      <c r="AE21" s="8">
        <f t="shared" si="4"/>
        <v>-5.631984867509307E-2</v>
      </c>
      <c r="AF21" s="8">
        <f t="shared" si="5"/>
        <v>5.5675269729378585E-4</v>
      </c>
      <c r="AG21" s="8">
        <f t="shared" si="6"/>
        <v>0.52020115065029993</v>
      </c>
      <c r="AH21" s="8">
        <f t="shared" si="7"/>
        <v>0</v>
      </c>
      <c r="AI21" s="22">
        <f t="shared" si="9"/>
        <v>0.10281923453111254</v>
      </c>
      <c r="AJ21" s="22">
        <f t="shared" si="9"/>
        <v>6.3470007905239711E-3</v>
      </c>
      <c r="AK21" s="22">
        <f t="shared" si="9"/>
        <v>0.30645802571423575</v>
      </c>
      <c r="AL21" s="22">
        <f t="shared" si="10"/>
        <v>0.1</v>
      </c>
      <c r="AM21" s="44"/>
    </row>
    <row r="22" spans="1:39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/>
      <c r="M22" s="8"/>
      <c r="N22" s="8"/>
      <c r="O22" s="8"/>
      <c r="P22" s="8"/>
      <c r="Q22" s="8"/>
      <c r="R22" s="8">
        <v>0.50277019492587371</v>
      </c>
      <c r="S22" s="8">
        <v>5.5468088763883573E-2</v>
      </c>
      <c r="T22" s="8">
        <v>3.1456281941100381</v>
      </c>
      <c r="U22" s="8">
        <v>1.5707963267948966</v>
      </c>
      <c r="V22" s="8">
        <v>0.58675798413885538</v>
      </c>
      <c r="W22" s="8">
        <v>2.0000542807078501E-2</v>
      </c>
      <c r="X22" s="8">
        <v>4.4310777459122273</v>
      </c>
      <c r="Y22" s="8">
        <v>1.5707963267948966</v>
      </c>
      <c r="Z22" s="8">
        <v>2.098026421752843E-6</v>
      </c>
      <c r="AA22" s="8">
        <f t="shared" si="0"/>
        <v>0.40277019492587374</v>
      </c>
      <c r="AB22" s="8">
        <f t="shared" si="1"/>
        <v>-0.14453191123611644</v>
      </c>
      <c r="AC22" s="8">
        <f t="shared" si="2"/>
        <v>3.6281941100382298E-3</v>
      </c>
      <c r="AD22" s="8">
        <f t="shared" si="3"/>
        <v>0</v>
      </c>
      <c r="AE22" s="8">
        <f t="shared" si="4"/>
        <v>-0.21324201586114466</v>
      </c>
      <c r="AF22" s="8">
        <f t="shared" si="5"/>
        <v>5.4280707850046239E-7</v>
      </c>
      <c r="AG22" s="8">
        <f t="shared" si="6"/>
        <v>0.5040777459122272</v>
      </c>
      <c r="AH22" s="8">
        <f t="shared" si="7"/>
        <v>0</v>
      </c>
      <c r="AI22" s="22">
        <f t="shared" si="9"/>
        <v>0.3080061053935092</v>
      </c>
      <c r="AJ22" s="22">
        <f t="shared" si="9"/>
        <v>7.2266227021597476E-2</v>
      </c>
      <c r="AK22" s="22">
        <f t="shared" si="9"/>
        <v>0.25385297001113272</v>
      </c>
      <c r="AL22" s="22">
        <f t="shared" si="10"/>
        <v>0.1</v>
      </c>
      <c r="AM22" s="44"/>
    </row>
    <row r="23" spans="1:39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/>
      <c r="M23" s="8"/>
      <c r="N23" s="8"/>
      <c r="O23" s="8"/>
      <c r="P23" s="8"/>
      <c r="Q23" s="8"/>
      <c r="R23" s="8">
        <v>0.86699224948468001</v>
      </c>
      <c r="S23" s="8">
        <v>9.5388050905212365E-2</v>
      </c>
      <c r="T23" s="8">
        <v>4.1313561905856213</v>
      </c>
      <c r="U23" s="8">
        <v>1.5707963267948966</v>
      </c>
      <c r="V23" s="8">
        <v>0.37110663697242391</v>
      </c>
      <c r="W23" s="8">
        <v>6.2327475893304972E-2</v>
      </c>
      <c r="X23" s="8">
        <v>2.9015002629980633</v>
      </c>
      <c r="Y23" s="8">
        <v>1.5707963267948966</v>
      </c>
      <c r="Z23" s="8">
        <v>2.7426181478834033E-7</v>
      </c>
      <c r="AA23" s="8">
        <f t="shared" si="0"/>
        <v>-3.3007750515320011E-2</v>
      </c>
      <c r="AB23" s="8">
        <f t="shared" si="1"/>
        <v>-4.6119490947876401E-3</v>
      </c>
      <c r="AC23" s="8">
        <f t="shared" si="2"/>
        <v>0.20435619058562127</v>
      </c>
      <c r="AD23" s="8">
        <f t="shared" si="3"/>
        <v>0</v>
      </c>
      <c r="AE23" s="8">
        <f t="shared" si="4"/>
        <v>0.1711066369724239</v>
      </c>
      <c r="AF23" s="8">
        <f t="shared" si="5"/>
        <v>4.2327475893304975E-2</v>
      </c>
      <c r="AG23" s="8">
        <f t="shared" si="6"/>
        <v>-0.24049973700193661</v>
      </c>
      <c r="AH23" s="8">
        <f t="shared" si="7"/>
        <v>0</v>
      </c>
      <c r="AI23" s="22">
        <f t="shared" si="9"/>
        <v>0.10205719374387195</v>
      </c>
      <c r="AJ23" s="22">
        <f t="shared" si="9"/>
        <v>2.3469712494046308E-2</v>
      </c>
      <c r="AK23" s="22">
        <f t="shared" si="9"/>
        <v>0.22242796379377894</v>
      </c>
      <c r="AL23" s="22">
        <f t="shared" si="10"/>
        <v>0.2</v>
      </c>
      <c r="AM23" s="44"/>
    </row>
    <row r="24" spans="1:39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/>
      <c r="M24" s="8"/>
      <c r="N24" s="8"/>
      <c r="O24" s="8"/>
      <c r="P24" s="8"/>
      <c r="Q24" s="8"/>
      <c r="R24" s="8">
        <v>0.21797974004116202</v>
      </c>
      <c r="S24" s="8">
        <v>0.10255681290861325</v>
      </c>
      <c r="T24" s="8">
        <v>3.7596768792679649</v>
      </c>
      <c r="U24" s="8">
        <v>1.5707963267948966</v>
      </c>
      <c r="V24" s="8">
        <v>0.21807440698181013</v>
      </c>
      <c r="W24" s="8">
        <v>3.735795650011791E-2</v>
      </c>
      <c r="X24" s="8">
        <v>4.8792027513281155</v>
      </c>
      <c r="Y24" s="8">
        <v>1.5707963267948966</v>
      </c>
      <c r="Z24" s="8">
        <v>1.2421441271334045E-6</v>
      </c>
      <c r="AA24" s="8">
        <f t="shared" si="0"/>
        <v>1.7979740041162012E-2</v>
      </c>
      <c r="AB24" s="8">
        <f t="shared" si="1"/>
        <v>-1.7443187091386744E-2</v>
      </c>
      <c r="AC24" s="8">
        <f t="shared" si="2"/>
        <v>-0.16732312073203515</v>
      </c>
      <c r="AD24" s="8">
        <f t="shared" si="3"/>
        <v>0</v>
      </c>
      <c r="AE24" s="8">
        <f t="shared" si="4"/>
        <v>1.8074406981810121E-2</v>
      </c>
      <c r="AF24" s="8">
        <f t="shared" si="5"/>
        <v>1.735795650011791E-2</v>
      </c>
      <c r="AG24" s="8">
        <f t="shared" si="6"/>
        <v>0.1672027513281158</v>
      </c>
      <c r="AH24" s="8">
        <f t="shared" si="7"/>
        <v>0</v>
      </c>
      <c r="AI24" s="22">
        <f t="shared" si="9"/>
        <v>1.8027073511486066E-2</v>
      </c>
      <c r="AJ24" s="22">
        <f t="shared" si="9"/>
        <v>1.7400571795752329E-2</v>
      </c>
      <c r="AK24" s="22">
        <f t="shared" si="9"/>
        <v>0.16726293603007547</v>
      </c>
      <c r="AL24" s="22">
        <f t="shared" si="10"/>
        <v>0.2</v>
      </c>
      <c r="AM24" s="44"/>
    </row>
    <row r="25" spans="1:39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/>
      <c r="M25" s="8"/>
      <c r="N25" s="8"/>
      <c r="O25" s="8"/>
      <c r="P25" s="8"/>
      <c r="Q25" s="8"/>
      <c r="R25" s="8">
        <v>0.11836566120005125</v>
      </c>
      <c r="S25" s="8">
        <v>0.175997005541842</v>
      </c>
      <c r="T25" s="8">
        <v>3.1782039936844262</v>
      </c>
      <c r="U25" s="8">
        <v>1.5707963267948966</v>
      </c>
      <c r="V25" s="8">
        <v>0.96950489962715336</v>
      </c>
      <c r="W25" s="8">
        <v>9.7769743255378863E-2</v>
      </c>
      <c r="X25" s="8">
        <v>4.391043536128227</v>
      </c>
      <c r="Y25" s="8">
        <v>1.5707963267948966</v>
      </c>
      <c r="Z25" s="8">
        <v>3.8510461895054663E-8</v>
      </c>
      <c r="AA25" s="8">
        <f t="shared" si="0"/>
        <v>-0.48163433879994871</v>
      </c>
      <c r="AB25" s="8">
        <f t="shared" si="1"/>
        <v>5.5997005541842004E-2</v>
      </c>
      <c r="AC25" s="8">
        <f t="shared" si="2"/>
        <v>-0.74879600631557386</v>
      </c>
      <c r="AD25" s="8">
        <f t="shared" si="3"/>
        <v>0</v>
      </c>
      <c r="AE25" s="8">
        <f t="shared" si="4"/>
        <v>0.46950489962715336</v>
      </c>
      <c r="AF25" s="8">
        <f t="shared" si="5"/>
        <v>1.7769743255378861E-2</v>
      </c>
      <c r="AG25" s="8">
        <f t="shared" si="6"/>
        <v>-0.32095646387177279</v>
      </c>
      <c r="AH25" s="8">
        <f t="shared" si="7"/>
        <v>0</v>
      </c>
      <c r="AI25" s="22">
        <f t="shared" si="9"/>
        <v>0.47556961921355101</v>
      </c>
      <c r="AJ25" s="22">
        <f t="shared" si="9"/>
        <v>3.6883374398610433E-2</v>
      </c>
      <c r="AK25" s="22">
        <f t="shared" si="9"/>
        <v>0.53487623509367332</v>
      </c>
      <c r="AL25" s="22">
        <f t="shared" si="10"/>
        <v>0.5</v>
      </c>
      <c r="AM25" s="44"/>
    </row>
    <row r="26" spans="1:39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/>
      <c r="M26" s="8"/>
      <c r="N26" s="8"/>
      <c r="O26" s="8"/>
      <c r="P26" s="8"/>
      <c r="Q26" s="8"/>
      <c r="R26" s="8">
        <v>0.70361101129769266</v>
      </c>
      <c r="S26" s="8">
        <v>0.15960554374258076</v>
      </c>
      <c r="T26" s="8">
        <v>3.9270048137255387</v>
      </c>
      <c r="U26" s="8">
        <v>1.5707963267948966</v>
      </c>
      <c r="V26" s="8">
        <v>0.99634333190879643</v>
      </c>
      <c r="W26" s="8">
        <v>3.9817783202170554E-2</v>
      </c>
      <c r="X26" s="8">
        <v>3.9269923918072327</v>
      </c>
      <c r="Y26" s="8">
        <v>1.5707963267948966</v>
      </c>
      <c r="Z26" s="8">
        <v>1.2824009977044583E-11</v>
      </c>
      <c r="AA26" s="8">
        <f t="shared" si="0"/>
        <v>3.6110112976927011E-3</v>
      </c>
      <c r="AB26" s="8">
        <f t="shared" si="1"/>
        <v>-3.9445625741924006E-4</v>
      </c>
      <c r="AC26" s="8">
        <f t="shared" si="2"/>
        <v>4.8137255386215827E-6</v>
      </c>
      <c r="AD26" s="8">
        <f t="shared" si="3"/>
        <v>0</v>
      </c>
      <c r="AE26" s="8">
        <f t="shared" si="4"/>
        <v>-3.6566680912035743E-3</v>
      </c>
      <c r="AF26" s="8">
        <f t="shared" si="5"/>
        <v>-1.8221679782944727E-4</v>
      </c>
      <c r="AG26" s="8">
        <f t="shared" si="6"/>
        <v>-7.6081927673499194E-6</v>
      </c>
      <c r="AH26" s="8">
        <f t="shared" si="7"/>
        <v>0</v>
      </c>
      <c r="AI26" s="22">
        <f t="shared" si="9"/>
        <v>3.6338396944481377E-3</v>
      </c>
      <c r="AJ26" s="22">
        <f t="shared" si="9"/>
        <v>2.8833652762434367E-4</v>
      </c>
      <c r="AK26" s="22">
        <f t="shared" si="9"/>
        <v>6.2109591529857511E-6</v>
      </c>
      <c r="AL26" s="22">
        <f t="shared" si="10"/>
        <v>0.7</v>
      </c>
      <c r="AM26" s="44"/>
    </row>
    <row r="27" spans="1:39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/>
      <c r="M27" s="8"/>
      <c r="N27" s="8"/>
      <c r="O27" s="8"/>
      <c r="P27" s="8"/>
      <c r="Q27" s="8"/>
      <c r="R27" s="8">
        <v>0.40088230309474371</v>
      </c>
      <c r="S27" s="8">
        <v>0.10358645346987935</v>
      </c>
      <c r="T27" s="8">
        <v>4.0666695363105827</v>
      </c>
      <c r="U27" s="8">
        <v>1.5707963267948966</v>
      </c>
      <c r="V27" s="8">
        <v>0.77082367559766551</v>
      </c>
      <c r="W27" s="8">
        <v>8.1987359500965876E-2</v>
      </c>
      <c r="X27" s="8">
        <v>2.812546398515519</v>
      </c>
      <c r="Y27" s="8">
        <v>1.5707963267948966</v>
      </c>
      <c r="Z27" s="8">
        <v>7.8802738347563225E-9</v>
      </c>
      <c r="AA27" s="8">
        <f t="shared" si="0"/>
        <v>0.30088230309474373</v>
      </c>
      <c r="AB27" s="8">
        <f t="shared" si="1"/>
        <v>-7.6413546530120641E-2</v>
      </c>
      <c r="AC27" s="8">
        <f t="shared" si="2"/>
        <v>0.13966953631058265</v>
      </c>
      <c r="AD27" s="8">
        <f t="shared" si="3"/>
        <v>0</v>
      </c>
      <c r="AE27" s="8">
        <f t="shared" si="4"/>
        <v>-0.12917632440233451</v>
      </c>
      <c r="AF27" s="8">
        <f t="shared" si="5"/>
        <v>1.987359500965874E-3</v>
      </c>
      <c r="AG27" s="8">
        <f t="shared" si="6"/>
        <v>-0.32945360148448088</v>
      </c>
      <c r="AH27" s="8">
        <f t="shared" si="7"/>
        <v>0</v>
      </c>
      <c r="AI27" s="22">
        <f t="shared" si="9"/>
        <v>0.21502931374853912</v>
      </c>
      <c r="AJ27" s="22">
        <f t="shared" si="9"/>
        <v>3.9200453015543257E-2</v>
      </c>
      <c r="AK27" s="22">
        <f t="shared" si="9"/>
        <v>0.23456156889753177</v>
      </c>
      <c r="AL27" s="22">
        <f t="shared" si="10"/>
        <v>0.1</v>
      </c>
      <c r="AM27" s="44"/>
    </row>
    <row r="28" spans="1:39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/>
      <c r="M28" s="8"/>
      <c r="N28" s="8"/>
      <c r="O28" s="8"/>
      <c r="P28" s="8"/>
      <c r="Q28" s="8"/>
      <c r="R28" s="8">
        <v>0.59007900258009194</v>
      </c>
      <c r="S28" s="8">
        <v>0.18905932230666883</v>
      </c>
      <c r="T28" s="8">
        <v>3.6267560323761407</v>
      </c>
      <c r="U28" s="8">
        <v>1.5707963267948966</v>
      </c>
      <c r="V28" s="8">
        <v>0.55797794557082525</v>
      </c>
      <c r="W28" s="8">
        <v>0.15916352113844862</v>
      </c>
      <c r="X28" s="8">
        <v>4.3764697842200153</v>
      </c>
      <c r="Y28" s="8">
        <v>1.5707963267948966</v>
      </c>
      <c r="Z28" s="8">
        <v>2.246379196852272E-6</v>
      </c>
      <c r="AA28" s="8">
        <f t="shared" si="0"/>
        <v>-0.40992099741990806</v>
      </c>
      <c r="AB28" s="8">
        <f t="shared" si="1"/>
        <v>9.0593223066688378E-3</v>
      </c>
      <c r="AC28" s="8">
        <f t="shared" si="2"/>
        <v>-0.3002439676238593</v>
      </c>
      <c r="AD28" s="8">
        <f t="shared" si="3"/>
        <v>0</v>
      </c>
      <c r="AE28" s="8">
        <f t="shared" si="4"/>
        <v>0.45797794557082527</v>
      </c>
      <c r="AF28" s="8">
        <f t="shared" si="5"/>
        <v>7.9163521138448614E-2</v>
      </c>
      <c r="AG28" s="8">
        <f t="shared" si="6"/>
        <v>-0.33553021577998443</v>
      </c>
      <c r="AH28" s="8">
        <f t="shared" si="7"/>
        <v>0</v>
      </c>
      <c r="AI28" s="22">
        <f t="shared" si="9"/>
        <v>0.43394947149536667</v>
      </c>
      <c r="AJ28" s="22">
        <f t="shared" si="9"/>
        <v>4.4111421722558726E-2</v>
      </c>
      <c r="AK28" s="22">
        <f t="shared" si="9"/>
        <v>0.31788709170192186</v>
      </c>
      <c r="AL28" s="22">
        <f t="shared" si="10"/>
        <v>0.1</v>
      </c>
      <c r="AM28" s="44"/>
    </row>
    <row r="29" spans="1:39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/>
      <c r="M29" s="8"/>
      <c r="N29" s="8"/>
      <c r="O29" s="8"/>
      <c r="P29" s="8"/>
      <c r="Q29" s="8"/>
      <c r="R29" s="8">
        <v>0.84718484788429982</v>
      </c>
      <c r="S29" s="8">
        <v>0.17267865257089232</v>
      </c>
      <c r="T29" s="8">
        <v>4.3718267079060622</v>
      </c>
      <c r="U29" s="8">
        <v>1.5707963267948966</v>
      </c>
      <c r="V29" s="8">
        <v>0.38272944301632061</v>
      </c>
      <c r="W29" s="8">
        <v>0.17238472534963703</v>
      </c>
      <c r="X29" s="8">
        <v>2.6645451663157407</v>
      </c>
      <c r="Y29" s="8">
        <v>1.5707963267948966</v>
      </c>
      <c r="Z29" s="8">
        <v>1.5539735866673752E-4</v>
      </c>
      <c r="AA29" s="8">
        <f t="shared" si="0"/>
        <v>0.14718484788429986</v>
      </c>
      <c r="AB29" s="8">
        <f t="shared" si="1"/>
        <v>-2.732134742910769E-2</v>
      </c>
      <c r="AC29" s="8">
        <f t="shared" si="2"/>
        <v>0.44482670790606216</v>
      </c>
      <c r="AD29" s="8">
        <f t="shared" si="3"/>
        <v>0</v>
      </c>
      <c r="AE29" s="8">
        <f t="shared" si="4"/>
        <v>0.1827294430163206</v>
      </c>
      <c r="AF29" s="8">
        <f t="shared" si="5"/>
        <v>0.15238472534963704</v>
      </c>
      <c r="AG29" s="8">
        <f t="shared" si="6"/>
        <v>-1.2624548336842594</v>
      </c>
      <c r="AH29" s="8">
        <f t="shared" si="7"/>
        <v>0</v>
      </c>
      <c r="AI29" s="22">
        <f t="shared" si="9"/>
        <v>0.16495714545031023</v>
      </c>
      <c r="AJ29" s="22">
        <f t="shared" si="9"/>
        <v>8.9853036389372365E-2</v>
      </c>
      <c r="AK29" s="22">
        <f t="shared" si="9"/>
        <v>0.85364077079516076</v>
      </c>
      <c r="AL29" s="22">
        <f t="shared" si="10"/>
        <v>0.2</v>
      </c>
      <c r="AM29" s="44"/>
    </row>
    <row r="30" spans="1:39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59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/>
      <c r="M30" s="8"/>
      <c r="N30" s="8"/>
      <c r="O30" s="8"/>
      <c r="P30" s="8"/>
      <c r="Q30" s="8"/>
      <c r="R30" s="8">
        <v>0.91002125927355215</v>
      </c>
      <c r="S30" s="8">
        <v>0.15949086209027272</v>
      </c>
      <c r="T30" s="8">
        <v>4.0207902797208286</v>
      </c>
      <c r="U30" s="8">
        <v>1.5707963267948966</v>
      </c>
      <c r="V30" s="8">
        <v>0.86752317635430531</v>
      </c>
      <c r="W30" s="8">
        <v>0.13736829749927357</v>
      </c>
      <c r="X30" s="8">
        <v>3.8284293937002962</v>
      </c>
      <c r="Y30" s="8">
        <v>1.5707963267948966</v>
      </c>
      <c r="Z30" s="8">
        <v>1.7161063226593758E-2</v>
      </c>
      <c r="AA30" s="8">
        <f t="shared" si="0"/>
        <v>-8.9978740726447848E-2</v>
      </c>
      <c r="AB30" s="8">
        <f t="shared" si="1"/>
        <v>-4.0509137909727294E-2</v>
      </c>
      <c r="AC30" s="8">
        <f t="shared" si="2"/>
        <v>9.379027972082854E-2</v>
      </c>
      <c r="AD30" s="8">
        <f t="shared" si="3"/>
        <v>0</v>
      </c>
      <c r="AE30" s="8">
        <f t="shared" si="4"/>
        <v>-0.13247682364569469</v>
      </c>
      <c r="AF30" s="8">
        <f t="shared" si="5"/>
        <v>7.7368297499273569E-2</v>
      </c>
      <c r="AG30" s="8">
        <f t="shared" si="6"/>
        <v>-9.8570606299703822E-2</v>
      </c>
      <c r="AH30" s="8">
        <f t="shared" si="7"/>
        <v>0</v>
      </c>
      <c r="AI30" s="22">
        <f t="shared" si="9"/>
        <v>0.11122778218607127</v>
      </c>
      <c r="AJ30" s="22">
        <f t="shared" si="9"/>
        <v>5.8938717704500432E-2</v>
      </c>
      <c r="AK30" s="22">
        <f t="shared" si="9"/>
        <v>9.6180443010266181E-2</v>
      </c>
      <c r="AL30" s="22">
        <f t="shared" si="10"/>
        <v>1</v>
      </c>
      <c r="AM30" s="44"/>
    </row>
    <row r="31" spans="1:39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/>
      <c r="M31" s="8"/>
      <c r="N31" s="8"/>
      <c r="O31" s="8"/>
      <c r="P31" s="8"/>
      <c r="Q31" s="8"/>
      <c r="R31" s="8">
        <v>0.19937763584389587</v>
      </c>
      <c r="S31" s="8">
        <v>7.1075916540057099E-2</v>
      </c>
      <c r="T31" s="8">
        <v>5.1459666038888825</v>
      </c>
      <c r="U31" s="8">
        <v>1.5707963267948966</v>
      </c>
      <c r="V31" s="8">
        <v>0.29509008772855494</v>
      </c>
      <c r="W31" s="8">
        <v>3.5049474363879229E-2</v>
      </c>
      <c r="X31" s="8">
        <v>2.8640651457313817</v>
      </c>
      <c r="Y31" s="8">
        <v>1.5707963267948966</v>
      </c>
      <c r="Z31" s="8">
        <v>2.2263214782722697E-9</v>
      </c>
      <c r="AA31" s="8">
        <f t="shared" si="0"/>
        <v>9.9377635843895862E-2</v>
      </c>
      <c r="AB31" s="8">
        <f t="shared" si="1"/>
        <v>-2.8924083459942906E-2</v>
      </c>
      <c r="AC31" s="8">
        <f t="shared" si="2"/>
        <v>0.43396660388888275</v>
      </c>
      <c r="AD31" s="8">
        <f t="shared" si="3"/>
        <v>0</v>
      </c>
      <c r="AE31" s="8">
        <f t="shared" si="4"/>
        <v>9.5090087728554928E-2</v>
      </c>
      <c r="AF31" s="8">
        <f t="shared" si="5"/>
        <v>1.5049474363879229E-2</v>
      </c>
      <c r="AG31" s="8">
        <f t="shared" si="6"/>
        <v>-0.27793485426861819</v>
      </c>
      <c r="AH31" s="8">
        <f t="shared" si="7"/>
        <v>0</v>
      </c>
      <c r="AI31" s="22">
        <f t="shared" si="9"/>
        <v>9.7233861786225395E-2</v>
      </c>
      <c r="AJ31" s="22">
        <f t="shared" si="9"/>
        <v>2.1986778911911066E-2</v>
      </c>
      <c r="AK31" s="22">
        <f t="shared" si="9"/>
        <v>0.35595072907875047</v>
      </c>
      <c r="AL31" s="22">
        <f t="shared" si="10"/>
        <v>0.1</v>
      </c>
      <c r="AM31" s="44"/>
    </row>
    <row r="32" spans="1:39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/>
      <c r="M32" s="8"/>
      <c r="N32" s="8"/>
      <c r="O32" s="8"/>
      <c r="P32" s="8"/>
      <c r="Q32" s="8"/>
      <c r="R32" s="8">
        <v>0.95198809893505221</v>
      </c>
      <c r="S32" s="8">
        <v>5.8759099130492626E-2</v>
      </c>
      <c r="T32" s="8">
        <v>4.4826229270113735</v>
      </c>
      <c r="U32" s="8">
        <v>1.5707963267948966</v>
      </c>
      <c r="V32" s="8">
        <v>0.35427607565189523</v>
      </c>
      <c r="W32" s="8">
        <v>2.9094880197575584E-2</v>
      </c>
      <c r="X32" s="8">
        <v>2.9678599508663872</v>
      </c>
      <c r="Y32" s="8">
        <v>1.5707963267948966</v>
      </c>
      <c r="Z32" s="8">
        <v>5.9830793767943503E-7</v>
      </c>
      <c r="AA32" s="8">
        <f t="shared" si="0"/>
        <v>0.65198809893505216</v>
      </c>
      <c r="AB32" s="8">
        <f t="shared" si="1"/>
        <v>-4.124090086950738E-2</v>
      </c>
      <c r="AC32" s="8">
        <f t="shared" si="2"/>
        <v>-0.2293770729886262</v>
      </c>
      <c r="AD32" s="8">
        <f t="shared" si="3"/>
        <v>0</v>
      </c>
      <c r="AE32" s="8">
        <f t="shared" si="4"/>
        <v>-0.44572392434810482</v>
      </c>
      <c r="AF32" s="8">
        <f t="shared" si="5"/>
        <v>-1.0905119802424416E-2</v>
      </c>
      <c r="AG32" s="8">
        <f t="shared" si="6"/>
        <v>-0.95914004913361284</v>
      </c>
      <c r="AH32" s="8">
        <f t="shared" si="7"/>
        <v>0</v>
      </c>
      <c r="AI32" s="22">
        <f t="shared" si="9"/>
        <v>0.54885601164157849</v>
      </c>
      <c r="AJ32" s="22">
        <f t="shared" si="9"/>
        <v>2.6073010335965898E-2</v>
      </c>
      <c r="AK32" s="22">
        <f t="shared" si="9"/>
        <v>0.59425856106111952</v>
      </c>
      <c r="AL32" s="22">
        <f t="shared" si="10"/>
        <v>0.3</v>
      </c>
      <c r="AM32" s="44"/>
    </row>
    <row r="33" spans="1:39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/>
      <c r="M33" s="8"/>
      <c r="N33" s="8"/>
      <c r="O33" s="8"/>
      <c r="P33" s="8"/>
      <c r="Q33" s="8"/>
      <c r="R33" s="8">
        <v>0.61599248114314575</v>
      </c>
      <c r="S33" s="8">
        <v>0.10597237984221028</v>
      </c>
      <c r="T33" s="8">
        <v>4.711846495167241</v>
      </c>
      <c r="U33" s="8">
        <v>1.5707963267948966</v>
      </c>
      <c r="V33" s="8">
        <v>0.48397853666354573</v>
      </c>
      <c r="W33" s="8">
        <v>7.9740223822504827E-2</v>
      </c>
      <c r="X33" s="8">
        <v>4.7121950248111606</v>
      </c>
      <c r="Y33" s="8">
        <v>1.5707963267948966</v>
      </c>
      <c r="Z33" s="8">
        <v>3.6592175108236398E-9</v>
      </c>
      <c r="AA33" s="8">
        <f t="shared" si="0"/>
        <v>-0.38400751885685425</v>
      </c>
      <c r="AB33" s="8">
        <f t="shared" si="1"/>
        <v>5.9723798422102736E-3</v>
      </c>
      <c r="AC33" s="8">
        <f t="shared" si="2"/>
        <v>-1.5350483275877735E-4</v>
      </c>
      <c r="AD33" s="8">
        <f t="shared" si="3"/>
        <v>0</v>
      </c>
      <c r="AE33" s="8">
        <f t="shared" si="4"/>
        <v>0.38397853666354576</v>
      </c>
      <c r="AF33" s="8">
        <f t="shared" si="5"/>
        <v>3.9740223822504826E-2</v>
      </c>
      <c r="AG33" s="8">
        <f t="shared" si="6"/>
        <v>1.950248111608488E-4</v>
      </c>
      <c r="AH33" s="8">
        <f t="shared" si="7"/>
        <v>0</v>
      </c>
      <c r="AI33" s="22">
        <f t="shared" si="9"/>
        <v>0.3839930277602</v>
      </c>
      <c r="AJ33" s="22">
        <f t="shared" si="9"/>
        <v>2.285630183235755E-2</v>
      </c>
      <c r="AK33" s="22">
        <f t="shared" si="9"/>
        <v>1.7426482195981308E-4</v>
      </c>
      <c r="AL33" s="22">
        <f t="shared" si="10"/>
        <v>0.1</v>
      </c>
      <c r="AM33" s="44"/>
    </row>
    <row r="34" spans="1:39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/>
      <c r="M34" s="8"/>
      <c r="N34" s="8"/>
      <c r="O34" s="8"/>
      <c r="P34" s="8"/>
      <c r="Q34" s="8"/>
      <c r="R34" s="8">
        <v>0.61494951816321453</v>
      </c>
      <c r="S34" s="8">
        <v>0.11210243827584801</v>
      </c>
      <c r="T34" s="8">
        <v>4.7119376537659141</v>
      </c>
      <c r="U34" s="8">
        <v>1.5707963267948966</v>
      </c>
      <c r="V34" s="8">
        <v>0.48509684758438937</v>
      </c>
      <c r="W34" s="8">
        <v>4.3698571993570717E-2</v>
      </c>
      <c r="X34" s="8">
        <v>4.7121010121215212</v>
      </c>
      <c r="Y34" s="8">
        <v>1.5707963267948966</v>
      </c>
      <c r="Z34" s="8">
        <v>2.1751292260351029E-8</v>
      </c>
      <c r="AA34" s="8">
        <f t="shared" si="0"/>
        <v>0.51494951816321455</v>
      </c>
      <c r="AB34" s="8">
        <f t="shared" si="1"/>
        <v>1.2102438275848004E-2</v>
      </c>
      <c r="AC34" s="8">
        <f t="shared" si="2"/>
        <v>-6.234623408563067E-5</v>
      </c>
      <c r="AD34" s="8">
        <f t="shared" si="3"/>
        <v>0</v>
      </c>
      <c r="AE34" s="8">
        <f t="shared" si="4"/>
        <v>-0.51490315241561069</v>
      </c>
      <c r="AF34" s="8">
        <f t="shared" si="5"/>
        <v>-3.6301428006429284E-2</v>
      </c>
      <c r="AG34" s="8">
        <f t="shared" si="6"/>
        <v>1.0101212152147099E-4</v>
      </c>
      <c r="AH34" s="8">
        <f t="shared" si="7"/>
        <v>0</v>
      </c>
      <c r="AI34" s="22">
        <f t="shared" si="9"/>
        <v>0.51492633528941267</v>
      </c>
      <c r="AJ34" s="22">
        <f t="shared" si="9"/>
        <v>2.4201933141138644E-2</v>
      </c>
      <c r="AK34" s="22">
        <f t="shared" si="9"/>
        <v>8.1679177803550829E-5</v>
      </c>
      <c r="AL34" s="22">
        <f t="shared" si="10"/>
        <v>0.1</v>
      </c>
      <c r="AM34" s="44"/>
    </row>
    <row r="35" spans="1:39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/>
      <c r="M35" s="8"/>
      <c r="N35" s="8"/>
      <c r="O35" s="8"/>
      <c r="P35" s="8"/>
      <c r="Q35" s="8"/>
      <c r="R35" s="8">
        <v>0.90135101363982872</v>
      </c>
      <c r="S35" s="8">
        <v>0.11985156078679628</v>
      </c>
      <c r="T35" s="8">
        <v>4.7119895626849582</v>
      </c>
      <c r="U35" s="8">
        <v>1.5707963267948966</v>
      </c>
      <c r="V35" s="8">
        <v>0.89996519172152456</v>
      </c>
      <c r="W35" s="8">
        <v>2.0000010857360615E-2</v>
      </c>
      <c r="X35" s="8">
        <v>3.1404918868913079</v>
      </c>
      <c r="Y35" s="8">
        <v>1.5707963267948966</v>
      </c>
      <c r="Z35" s="8">
        <v>2.0193766292416133E-9</v>
      </c>
      <c r="AA35" s="8">
        <f t="shared" si="0"/>
        <v>1.351013639828702E-3</v>
      </c>
      <c r="AB35" s="8">
        <f t="shared" si="1"/>
        <v>-1.4843921320371878E-4</v>
      </c>
      <c r="AC35" s="8">
        <f t="shared" si="2"/>
        <v>-1.0437315041578188E-5</v>
      </c>
      <c r="AD35" s="8">
        <f t="shared" si="3"/>
        <v>0</v>
      </c>
      <c r="AE35" s="8">
        <f t="shared" si="4"/>
        <v>-3.4808278475462195E-5</v>
      </c>
      <c r="AF35" s="8">
        <f t="shared" si="5"/>
        <v>1.0857360614735523E-8</v>
      </c>
      <c r="AG35" s="8">
        <f t="shared" si="6"/>
        <v>-1.508113108692033E-3</v>
      </c>
      <c r="AH35" s="8">
        <f t="shared" si="7"/>
        <v>0</v>
      </c>
      <c r="AI35" s="22">
        <f t="shared" si="9"/>
        <v>6.9291095915208212E-4</v>
      </c>
      <c r="AJ35" s="22">
        <f t="shared" si="9"/>
        <v>7.4225035282166757E-5</v>
      </c>
      <c r="AK35" s="22">
        <f t="shared" si="9"/>
        <v>7.5927521186680558E-4</v>
      </c>
      <c r="AL35" s="22">
        <f t="shared" si="10"/>
        <v>0.9</v>
      </c>
      <c r="AM35" s="44"/>
    </row>
    <row r="36" spans="1:39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/>
      <c r="M36" s="8"/>
      <c r="N36" s="8"/>
      <c r="O36" s="8"/>
      <c r="P36" s="8"/>
      <c r="Q36" s="8"/>
      <c r="R36" s="8">
        <v>0.9762583043653249</v>
      </c>
      <c r="S36" s="8">
        <v>0.12657776529117629</v>
      </c>
      <c r="T36" s="8">
        <v>4.3572124059048907</v>
      </c>
      <c r="U36" s="8">
        <v>1.5707963267948966</v>
      </c>
      <c r="V36" s="8">
        <v>0.46885247102181149</v>
      </c>
      <c r="W36" s="8">
        <v>4.5825744518197958E-2</v>
      </c>
      <c r="X36" s="8">
        <v>3.3236752669185403</v>
      </c>
      <c r="Y36" s="8">
        <v>1.5707963267948966</v>
      </c>
      <c r="Z36" s="8">
        <v>1.2998141181711859E-7</v>
      </c>
      <c r="AA36" s="8">
        <f t="shared" si="0"/>
        <v>-2.3741695634675097E-2</v>
      </c>
      <c r="AB36" s="8">
        <f t="shared" si="1"/>
        <v>6.5777652911762907E-3</v>
      </c>
      <c r="AC36" s="8">
        <f t="shared" si="2"/>
        <v>-0.35478759409510907</v>
      </c>
      <c r="AD36" s="8">
        <f t="shared" si="3"/>
        <v>0</v>
      </c>
      <c r="AE36" s="8">
        <f t="shared" si="4"/>
        <v>-0.33114752897818855</v>
      </c>
      <c r="AF36" s="8">
        <f t="shared" si="5"/>
        <v>-3.4174255481802043E-2</v>
      </c>
      <c r="AG36" s="8">
        <f t="shared" si="6"/>
        <v>0.18167526691854041</v>
      </c>
      <c r="AH36" s="8">
        <f t="shared" si="7"/>
        <v>0</v>
      </c>
      <c r="AI36" s="22">
        <f t="shared" si="9"/>
        <v>0.17744461230643183</v>
      </c>
      <c r="AJ36" s="22">
        <f t="shared" si="9"/>
        <v>2.0376010386489167E-2</v>
      </c>
      <c r="AK36" s="22">
        <f t="shared" si="9"/>
        <v>0.26823143050682474</v>
      </c>
      <c r="AL36" s="22">
        <f t="shared" si="10"/>
        <v>0.8</v>
      </c>
      <c r="AM36" s="44"/>
    </row>
    <row r="37" spans="1:39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/>
      <c r="M37" s="8"/>
      <c r="N37" s="8"/>
      <c r="O37" s="8"/>
      <c r="P37" s="8"/>
      <c r="Q37" s="8"/>
      <c r="R37" s="8">
        <v>0.29510331190949052</v>
      </c>
      <c r="S37" s="8">
        <v>0.1814851098142338</v>
      </c>
      <c r="T37" s="8">
        <v>4.7044594791503007</v>
      </c>
      <c r="U37" s="8">
        <v>1.5707963267948966</v>
      </c>
      <c r="V37" s="8">
        <v>0.29794500030933641</v>
      </c>
      <c r="W37" s="8">
        <v>5.9447573464674511E-2</v>
      </c>
      <c r="X37" s="8">
        <v>3.1595834969313401</v>
      </c>
      <c r="Y37" s="8">
        <v>1.5707963267948966</v>
      </c>
      <c r="Z37" s="8">
        <v>1.5035779752238712E-7</v>
      </c>
      <c r="AA37" s="8">
        <f t="shared" si="0"/>
        <v>-4.8966880905094712E-3</v>
      </c>
      <c r="AB37" s="8">
        <f t="shared" si="1"/>
        <v>1.4851098142338037E-3</v>
      </c>
      <c r="AC37" s="8">
        <f t="shared" si="2"/>
        <v>-7.5405208496990284E-3</v>
      </c>
      <c r="AD37" s="8">
        <f t="shared" si="3"/>
        <v>0</v>
      </c>
      <c r="AE37" s="8">
        <f t="shared" si="4"/>
        <v>-2.0549996906635837E-3</v>
      </c>
      <c r="AF37" s="8">
        <f t="shared" si="5"/>
        <v>-5.5242653532548702E-4</v>
      </c>
      <c r="AG37" s="8">
        <f t="shared" si="6"/>
        <v>1.7583496931340203E-2</v>
      </c>
      <c r="AH37" s="8">
        <f t="shared" si="7"/>
        <v>0</v>
      </c>
      <c r="AI37" s="22">
        <f t="shared" si="9"/>
        <v>3.4758438905865274E-3</v>
      </c>
      <c r="AJ37" s="22">
        <f t="shared" si="9"/>
        <v>1.0187681747796454E-3</v>
      </c>
      <c r="AK37" s="22">
        <f t="shared" si="9"/>
        <v>1.2562008890519616E-2</v>
      </c>
      <c r="AL37" s="22">
        <f t="shared" si="10"/>
        <v>0.3</v>
      </c>
      <c r="AM37" s="44"/>
    </row>
    <row r="38" spans="1:39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/>
      <c r="M38" s="8"/>
      <c r="N38" s="8"/>
      <c r="O38" s="8"/>
      <c r="P38" s="8"/>
      <c r="Q38" s="8"/>
      <c r="R38" s="8">
        <v>0.68137782399859648</v>
      </c>
      <c r="S38" s="8">
        <v>0.19895321634853111</v>
      </c>
      <c r="T38" s="8">
        <v>5.2217100125940998</v>
      </c>
      <c r="U38" s="8">
        <v>1.5707963267948966</v>
      </c>
      <c r="V38" s="8">
        <v>0.60571761478372776</v>
      </c>
      <c r="W38" s="8">
        <v>0.15353850730038957</v>
      </c>
      <c r="X38" s="8">
        <v>3.6741975642450773</v>
      </c>
      <c r="Y38" s="8">
        <v>1.5707963267948966</v>
      </c>
      <c r="Z38" s="8">
        <v>2.685312034193025E-6</v>
      </c>
      <c r="AA38" s="8">
        <f t="shared" si="0"/>
        <v>-0.21862217600140355</v>
      </c>
      <c r="AB38" s="8">
        <f t="shared" si="1"/>
        <v>1.8953216348531116E-2</v>
      </c>
      <c r="AC38" s="8">
        <f t="shared" si="2"/>
        <v>0.50971001259410009</v>
      </c>
      <c r="AD38" s="8">
        <f t="shared" si="3"/>
        <v>0</v>
      </c>
      <c r="AE38" s="8">
        <f t="shared" si="4"/>
        <v>0.40571761478372775</v>
      </c>
      <c r="AF38" s="8">
        <f t="shared" si="5"/>
        <v>7.3538507300389563E-2</v>
      </c>
      <c r="AG38" s="8">
        <f t="shared" si="6"/>
        <v>0.53219756424507736</v>
      </c>
      <c r="AH38" s="8">
        <f t="shared" si="7"/>
        <v>0</v>
      </c>
      <c r="AI38" s="22">
        <f t="shared" si="9"/>
        <v>0.31216989539256568</v>
      </c>
      <c r="AJ38" s="22">
        <f t="shared" si="9"/>
        <v>4.6245861824460339E-2</v>
      </c>
      <c r="AK38" s="22">
        <f t="shared" si="9"/>
        <v>0.52095378841958873</v>
      </c>
      <c r="AL38" s="22">
        <f t="shared" si="10"/>
        <v>0.2</v>
      </c>
      <c r="AM38" s="44"/>
    </row>
    <row r="39" spans="1:39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/>
      <c r="M39" s="8"/>
      <c r="N39" s="8"/>
      <c r="O39" s="8"/>
      <c r="P39" s="8"/>
      <c r="Q39" s="8"/>
      <c r="R39" s="8">
        <v>0.63771912662683727</v>
      </c>
      <c r="S39" s="8">
        <v>3.4705980402080852E-2</v>
      </c>
      <c r="T39" s="8">
        <v>4.804396333597607</v>
      </c>
      <c r="U39" s="8">
        <v>1.5707963267948966</v>
      </c>
      <c r="V39" s="8">
        <v>0.46855760717425732</v>
      </c>
      <c r="W39" s="8">
        <v>3.4576188033433604E-2</v>
      </c>
      <c r="X39" s="8">
        <v>4.5860888554266266</v>
      </c>
      <c r="Y39" s="8">
        <v>1.5707963267948966</v>
      </c>
      <c r="Z39" s="8">
        <v>2.7853176993697113E-5</v>
      </c>
      <c r="AA39" s="8">
        <f t="shared" si="0"/>
        <v>0.5377191266268373</v>
      </c>
      <c r="AB39" s="8">
        <f t="shared" si="1"/>
        <v>-0.14529401959791916</v>
      </c>
      <c r="AC39" s="8">
        <f t="shared" si="2"/>
        <v>9.2396333597607239E-2</v>
      </c>
      <c r="AD39" s="8">
        <f t="shared" si="3"/>
        <v>0</v>
      </c>
      <c r="AE39" s="8">
        <f t="shared" si="4"/>
        <v>-0.53144239282574268</v>
      </c>
      <c r="AF39" s="8">
        <f t="shared" si="5"/>
        <v>1.4576188033433603E-2</v>
      </c>
      <c r="AG39" s="8">
        <f t="shared" si="6"/>
        <v>-0.12591114457337316</v>
      </c>
      <c r="AH39" s="8">
        <f t="shared" si="7"/>
        <v>0</v>
      </c>
      <c r="AI39" s="22">
        <f t="shared" si="9"/>
        <v>0.53458075972628993</v>
      </c>
      <c r="AJ39" s="22">
        <f t="shared" si="9"/>
        <v>7.9935103815676381E-2</v>
      </c>
      <c r="AK39" s="22">
        <f t="shared" si="9"/>
        <v>0.1091537390854902</v>
      </c>
      <c r="AL39" s="22">
        <f t="shared" si="10"/>
        <v>0.1</v>
      </c>
      <c r="AM39" s="44"/>
    </row>
    <row r="40" spans="1:39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/>
      <c r="M40" s="8"/>
      <c r="N40" s="8"/>
      <c r="O40" s="8"/>
      <c r="P40" s="8"/>
      <c r="Q40" s="8"/>
      <c r="R40" s="8">
        <v>0.75728556361437827</v>
      </c>
      <c r="S40" s="8">
        <v>0.18469860295668103</v>
      </c>
      <c r="T40" s="8">
        <v>4.7116929032874753</v>
      </c>
      <c r="U40" s="8">
        <v>1.5707963267948966</v>
      </c>
      <c r="V40" s="8">
        <v>0.64445164258908672</v>
      </c>
      <c r="W40" s="8">
        <v>6.2842478975379187E-2</v>
      </c>
      <c r="X40" s="8">
        <v>4.7127143785796868</v>
      </c>
      <c r="Y40" s="8">
        <v>1.5707963267948966</v>
      </c>
      <c r="Z40" s="8">
        <v>1.2911138675984801E-8</v>
      </c>
      <c r="AA40" s="8">
        <f t="shared" si="0"/>
        <v>-4.2714436385621779E-2</v>
      </c>
      <c r="AB40" s="8">
        <f t="shared" si="1"/>
        <v>4.6986029566810361E-3</v>
      </c>
      <c r="AC40" s="8">
        <f t="shared" si="2"/>
        <v>-3.0709671252449056E-4</v>
      </c>
      <c r="AD40" s="8">
        <f t="shared" si="3"/>
        <v>0</v>
      </c>
      <c r="AE40" s="8">
        <f t="shared" si="4"/>
        <v>4.4451642589086737E-2</v>
      </c>
      <c r="AF40" s="8">
        <f t="shared" si="5"/>
        <v>2.8424789753791896E-3</v>
      </c>
      <c r="AG40" s="8">
        <f t="shared" si="6"/>
        <v>7.1437857968703611E-4</v>
      </c>
      <c r="AH40" s="8">
        <f t="shared" si="7"/>
        <v>0</v>
      </c>
      <c r="AI40" s="22">
        <f t="shared" si="9"/>
        <v>4.3583039487354258E-2</v>
      </c>
      <c r="AJ40" s="22">
        <f t="shared" si="9"/>
        <v>3.7705409660301129E-3</v>
      </c>
      <c r="AK40" s="22">
        <f t="shared" si="9"/>
        <v>5.1073764610576333E-4</v>
      </c>
      <c r="AL40" s="22">
        <f t="shared" si="10"/>
        <v>0.6</v>
      </c>
      <c r="AM40" s="44"/>
    </row>
    <row r="41" spans="1:39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/>
      <c r="M41" s="8"/>
      <c r="N41" s="8"/>
      <c r="O41" s="8"/>
      <c r="P41" s="8"/>
      <c r="Q41" s="8"/>
      <c r="R41" s="8">
        <v>0.9980118139364802</v>
      </c>
      <c r="S41" s="8">
        <v>0.19999583502151799</v>
      </c>
      <c r="T41" s="8">
        <v>4.7391067320419547</v>
      </c>
      <c r="U41" s="8">
        <v>1.5707963267948966</v>
      </c>
      <c r="V41" s="8">
        <v>0.82121246792134861</v>
      </c>
      <c r="W41" s="8">
        <v>2.523740382940784E-2</v>
      </c>
      <c r="X41" s="8">
        <v>3.1444297424916523</v>
      </c>
      <c r="Y41" s="8">
        <v>1.5707963267948966</v>
      </c>
      <c r="Z41" s="8">
        <v>2.0658220310335836E-7</v>
      </c>
      <c r="AA41" s="8">
        <f t="shared" si="0"/>
        <v>-1.9881860635198034E-3</v>
      </c>
      <c r="AB41" s="8">
        <f t="shared" si="1"/>
        <v>-4.1649784820185776E-6</v>
      </c>
      <c r="AC41" s="8">
        <f t="shared" si="2"/>
        <v>2.7106732041954906E-2</v>
      </c>
      <c r="AD41" s="8">
        <f t="shared" si="3"/>
        <v>0</v>
      </c>
      <c r="AE41" s="8">
        <f t="shared" si="4"/>
        <v>2.1212467921348566E-2</v>
      </c>
      <c r="AF41" s="8">
        <f t="shared" si="5"/>
        <v>5.2374038294078391E-3</v>
      </c>
      <c r="AG41" s="8">
        <f t="shared" si="6"/>
        <v>2.429742491652398E-3</v>
      </c>
      <c r="AH41" s="8">
        <f t="shared" si="7"/>
        <v>0</v>
      </c>
      <c r="AI41" s="22">
        <f t="shared" si="9"/>
        <v>1.1600326992434185E-2</v>
      </c>
      <c r="AJ41" s="22">
        <f t="shared" si="9"/>
        <v>2.6207844039449289E-3</v>
      </c>
      <c r="AK41" s="22">
        <f t="shared" si="9"/>
        <v>1.4768237266803652E-2</v>
      </c>
      <c r="AL41" s="22">
        <f t="shared" si="10"/>
        <v>0.8</v>
      </c>
      <c r="AM41" s="44"/>
    </row>
    <row r="42" spans="1:39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/>
      <c r="M42" s="15"/>
      <c r="N42" s="15"/>
      <c r="O42" s="15"/>
      <c r="P42" s="15"/>
      <c r="Q42" s="15"/>
      <c r="R42" s="15">
        <v>0.77323848046859889</v>
      </c>
      <c r="S42" s="15">
        <v>0.15589596177562046</v>
      </c>
      <c r="T42" s="15">
        <v>5.3945005049275112</v>
      </c>
      <c r="U42" s="15">
        <v>1.5707963267948966</v>
      </c>
      <c r="V42" s="15">
        <v>0.64831036195558689</v>
      </c>
      <c r="W42" s="15">
        <v>0.14617788817931612</v>
      </c>
      <c r="X42" s="15">
        <v>2.6075519095056205</v>
      </c>
      <c r="Y42" s="15">
        <v>1.5707963267948966</v>
      </c>
      <c r="Z42" s="15">
        <v>1.6443334622836102E-7</v>
      </c>
      <c r="AA42" s="15">
        <f t="shared" si="0"/>
        <v>0.57323848046859882</v>
      </c>
      <c r="AB42" s="15">
        <f t="shared" si="1"/>
        <v>-4.4104038224379555E-2</v>
      </c>
      <c r="AC42" s="15">
        <f t="shared" si="2"/>
        <v>0.68250050492751146</v>
      </c>
      <c r="AD42" s="15">
        <f t="shared" si="3"/>
        <v>0</v>
      </c>
      <c r="AE42" s="15">
        <f t="shared" si="4"/>
        <v>0.54831036195558691</v>
      </c>
      <c r="AF42" s="15">
        <f t="shared" si="5"/>
        <v>6.6177888179316122E-2</v>
      </c>
      <c r="AG42" s="15">
        <f t="shared" si="6"/>
        <v>-1.3194480904943795</v>
      </c>
      <c r="AH42" s="15">
        <f t="shared" si="7"/>
        <v>0</v>
      </c>
      <c r="AI42" s="22">
        <f t="shared" si="9"/>
        <v>0.56077442121209287</v>
      </c>
      <c r="AJ42" s="22">
        <f t="shared" si="9"/>
        <v>5.5140963201847838E-2</v>
      </c>
      <c r="AK42" s="22">
        <f t="shared" si="9"/>
        <v>1.0009742977109455</v>
      </c>
      <c r="AL42" s="22">
        <f t="shared" si="10"/>
        <v>0.1</v>
      </c>
      <c r="AM42" s="44"/>
    </row>
    <row r="43" spans="1:39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autoFilter ref="A1:AU42" xr:uid="{8E473587-86E9-401E-862D-882A9F537AFD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</autoFilter>
  <mergeCells count="7">
    <mergeCell ref="AN5:AU5"/>
    <mergeCell ref="R1:Z1"/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6AF4-6514-4C61-8746-7EF28C671104}">
  <dimension ref="A1:AR52"/>
  <sheetViews>
    <sheetView topLeftCell="AA2" workbookViewId="0">
      <selection activeCell="R5" sqref="R5:X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11" bestFit="1" customWidth="1"/>
    <col min="27" max="27" width="13.85546875" bestFit="1" customWidth="1"/>
    <col min="28" max="28" width="11.140625" bestFit="1" customWidth="1"/>
    <col min="34" max="34" width="11" bestFit="1" customWidth="1"/>
    <col min="35" max="35" width="13.85546875" bestFit="1" customWidth="1"/>
    <col min="37" max="37" width="11" bestFit="1" customWidth="1"/>
    <col min="38" max="38" width="13.85546875" bestFit="1" customWidth="1"/>
    <col min="39" max="39" width="11.140625" bestFit="1" customWidth="1"/>
  </cols>
  <sheetData>
    <row r="1" spans="1:44" ht="15.75" x14ac:dyDescent="0.25">
      <c r="A1" s="26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28" t="s">
        <v>6</v>
      </c>
      <c r="M1" s="29"/>
      <c r="N1" s="29"/>
      <c r="O1" s="29"/>
      <c r="P1" s="29"/>
      <c r="Q1" s="29"/>
      <c r="R1" s="36" t="s">
        <v>7</v>
      </c>
      <c r="S1" s="37"/>
      <c r="T1" s="37"/>
      <c r="U1" s="37"/>
      <c r="V1" s="37"/>
      <c r="W1" s="37"/>
      <c r="X1" s="37"/>
      <c r="Y1" s="37"/>
      <c r="Z1" s="38" t="s">
        <v>13</v>
      </c>
      <c r="AA1" s="38"/>
      <c r="AB1" s="38"/>
      <c r="AC1" s="38"/>
      <c r="AD1" s="38"/>
      <c r="AE1" s="38"/>
      <c r="AF1" s="38"/>
      <c r="AG1" s="38"/>
      <c r="AH1" s="39" t="s">
        <v>36</v>
      </c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4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3" t="s">
        <v>23</v>
      </c>
      <c r="AA2" s="1" t="s">
        <v>24</v>
      </c>
      <c r="AB2" s="1" t="s">
        <v>25</v>
      </c>
      <c r="AC2" s="1" t="s">
        <v>29</v>
      </c>
      <c r="AD2" s="1" t="s">
        <v>26</v>
      </c>
      <c r="AE2" s="1" t="s">
        <v>27</v>
      </c>
      <c r="AF2" s="1" t="s">
        <v>28</v>
      </c>
      <c r="AG2" s="1" t="s">
        <v>30</v>
      </c>
      <c r="AH2" s="20" t="s">
        <v>33</v>
      </c>
      <c r="AI2" s="20" t="s">
        <v>34</v>
      </c>
      <c r="AJ2" s="20" t="s">
        <v>35</v>
      </c>
      <c r="AK2" s="35" t="s">
        <v>31</v>
      </c>
      <c r="AL2" s="35"/>
      <c r="AM2" s="35"/>
      <c r="AN2" s="35"/>
      <c r="AO2" s="35"/>
      <c r="AP2" s="35"/>
      <c r="AQ2" s="35"/>
      <c r="AR2" s="35"/>
    </row>
    <row r="3" spans="1:44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-1.9976701587438601E-3</v>
      </c>
      <c r="M3" s="8">
        <f>'Proximal Validation (double)'!M3</f>
        <v>-3.3190850168466603E-2</v>
      </c>
      <c r="N3" s="8">
        <f>'Proximal Validation (double)'!N3</f>
        <v>-0.13983803987503099</v>
      </c>
      <c r="O3" s="8">
        <f>'Proximal Validation (double)'!O3</f>
        <v>-1.5990611165761899E-2</v>
      </c>
      <c r="P3" s="8">
        <f>'Proximal Validation (double)'!P3</f>
        <v>-1.04125440120697</v>
      </c>
      <c r="Q3" s="8">
        <f>'Proximal Validation (double)'!Q3</f>
        <v>0.195114254951477</v>
      </c>
      <c r="R3" s="8">
        <v>0.3629</v>
      </c>
      <c r="S3" s="8">
        <v>0.1089</v>
      </c>
      <c r="T3" s="8">
        <v>2.5762999999999998</v>
      </c>
      <c r="U3" s="8">
        <v>1.5708</v>
      </c>
      <c r="V3" s="8">
        <v>0.73470000000000002</v>
      </c>
      <c r="W3" s="8">
        <v>0.02</v>
      </c>
      <c r="X3" s="8">
        <v>3.1415999999999999</v>
      </c>
      <c r="Y3" s="8">
        <v>1.5708</v>
      </c>
      <c r="Z3" s="8">
        <f>R3-A3</f>
        <v>0.16289999999999999</v>
      </c>
      <c r="AA3" s="8">
        <f>S3-B3</f>
        <v>8.8999999999999913E-3</v>
      </c>
      <c r="AB3" s="8">
        <f>T3-C3</f>
        <v>1.0052999999999999</v>
      </c>
      <c r="AC3" s="8">
        <f>U3-D3</f>
        <v>3.6732051034160662E-6</v>
      </c>
      <c r="AD3" s="8">
        <f t="shared" ref="AD3:AG3" si="0">V3-E3</f>
        <v>-0.26529999999999998</v>
      </c>
      <c r="AE3" s="8">
        <f t="shared" si="0"/>
        <v>-0.02</v>
      </c>
      <c r="AF3" s="8">
        <f t="shared" si="0"/>
        <v>-3.9999999999995595E-4</v>
      </c>
      <c r="AG3" s="8">
        <f t="shared" si="0"/>
        <v>3.6732051034160662E-6</v>
      </c>
      <c r="AH3" s="22">
        <f>AVERAGE(ABS(Z3),ABS(AD3))</f>
        <v>0.21409999999999998</v>
      </c>
      <c r="AI3" s="22">
        <f t="shared" ref="AI3:AJ3" si="1">AVERAGE(ABS(AA3),ABS(AE3))</f>
        <v>1.4449999999999996E-2</v>
      </c>
      <c r="AJ3" s="22">
        <f t="shared" si="1"/>
        <v>0.50284999999999991</v>
      </c>
      <c r="AK3" s="1" t="s">
        <v>23</v>
      </c>
      <c r="AL3" s="1" t="s">
        <v>24</v>
      </c>
      <c r="AM3" s="1" t="s">
        <v>25</v>
      </c>
      <c r="AN3" s="1" t="s">
        <v>29</v>
      </c>
      <c r="AO3" s="1" t="s">
        <v>26</v>
      </c>
      <c r="AP3" s="1" t="s">
        <v>27</v>
      </c>
      <c r="AQ3" s="1" t="s">
        <v>28</v>
      </c>
      <c r="AR3" s="1" t="s">
        <v>30</v>
      </c>
    </row>
    <row r="4" spans="1:44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-1.30753358826041E-3</v>
      </c>
      <c r="M4" s="8">
        <f>'Proximal Validation (double)'!M4</f>
        <v>-0.21146439015865301</v>
      </c>
      <c r="N4" s="8">
        <f>'Proximal Validation (double)'!N4</f>
        <v>-0.15480977296829199</v>
      </c>
      <c r="O4" s="8">
        <f>'Proximal Validation (double)'!O4</f>
        <v>-0.115148775279522</v>
      </c>
      <c r="P4" s="8">
        <f>'Proximal Validation (double)'!P4</f>
        <v>-0.885367691516876</v>
      </c>
      <c r="Q4" s="8">
        <f>'Proximal Validation (double)'!Q4</f>
        <v>1.0914549827575699</v>
      </c>
      <c r="R4" s="8">
        <v>1</v>
      </c>
      <c r="S4" s="8">
        <v>0.12720000000000001</v>
      </c>
      <c r="T4" s="8">
        <v>1.5759000000000001</v>
      </c>
      <c r="U4" s="8">
        <v>1.5708</v>
      </c>
      <c r="V4" s="8">
        <v>0.88200000000000001</v>
      </c>
      <c r="W4" s="8">
        <v>0.08</v>
      </c>
      <c r="X4" s="8">
        <v>3.1415999999999999</v>
      </c>
      <c r="Y4" s="8">
        <v>1.5708</v>
      </c>
      <c r="Z4" s="8">
        <f t="shared" ref="Z4:Z42" si="2">R4-A4</f>
        <v>0</v>
      </c>
      <c r="AA4" s="8">
        <f t="shared" ref="AA4:AA42" si="3">S4-B4</f>
        <v>2.7200000000000002E-2</v>
      </c>
      <c r="AB4" s="8">
        <f t="shared" ref="AB4:AB42" si="4">T4-C4</f>
        <v>4.9000000000001265E-3</v>
      </c>
      <c r="AC4" s="8">
        <f t="shared" ref="AC4:AC42" si="5">U4-D4</f>
        <v>3.6732051034160662E-6</v>
      </c>
      <c r="AD4" s="8">
        <f t="shared" ref="AD4:AD42" si="6">V4-E4</f>
        <v>-0.11799999999999999</v>
      </c>
      <c r="AE4" s="8">
        <f t="shared" ref="AE4:AE42" si="7">W4-F4</f>
        <v>0</v>
      </c>
      <c r="AF4" s="8">
        <f t="shared" ref="AF4:AF42" si="8">X4-G4</f>
        <v>-3.9999999999995595E-4</v>
      </c>
      <c r="AG4" s="8">
        <f t="shared" ref="AG4:AG42" si="9">Y4-H4</f>
        <v>3.6732051034160662E-6</v>
      </c>
      <c r="AH4" s="22">
        <f t="shared" ref="AH4:AH42" si="10">AVERAGE(ABS(Z4),ABS(AD4))</f>
        <v>5.8999999999999997E-2</v>
      </c>
      <c r="AI4" s="22">
        <f t="shared" ref="AI4:AI42" si="11">AVERAGE(ABS(AA4),ABS(AE4))</f>
        <v>1.3600000000000001E-2</v>
      </c>
      <c r="AJ4" s="22">
        <f t="shared" ref="AJ4:AJ42" si="12">AVERAGE(ABS(AB4),ABS(AF4))</f>
        <v>2.6500000000000412E-3</v>
      </c>
      <c r="AK4" s="21" cm="1">
        <f t="array" ref="AK4">AVERAGE(ABS(Z3:Z42))</f>
        <v>0.10450750000000002</v>
      </c>
      <c r="AL4" s="21" cm="1">
        <f t="array" ref="AL4">AVERAGE(ABS(AA3:AA42))</f>
        <v>2.6852500000000001E-2</v>
      </c>
      <c r="AM4" s="21" cm="1">
        <f t="array" ref="AM4">AVERAGE(ABS(AB3:AB42))</f>
        <v>0.40527499999999989</v>
      </c>
      <c r="AN4" s="21" cm="1">
        <f t="array" ref="AN4">AVERAGE(ABS(AC3:AC42))</f>
        <v>3.6732051034160662E-6</v>
      </c>
      <c r="AO4" s="21" cm="1">
        <f t="array" ref="AO4">AVERAGE(ABS(AD3:AD42))</f>
        <v>0.13817499999999996</v>
      </c>
      <c r="AP4" s="21" cm="1">
        <f t="array" ref="AP4">AVERAGE(ABS(AE3:AE42))</f>
        <v>1.5289999999999998E-2</v>
      </c>
      <c r="AQ4" s="21" cm="1">
        <f t="array" ref="AQ4">AVERAGE(ABS(AF3:AF42))</f>
        <v>0.20804750000000002</v>
      </c>
      <c r="AR4" s="21" cm="1">
        <f t="array" ref="AR4">AVERAGE(ABS(AG3:AG42))</f>
        <v>3.6732051034160662E-6</v>
      </c>
    </row>
    <row r="5" spans="1:44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4.8654910642653698E-4</v>
      </c>
      <c r="M5" s="8">
        <f>'Proximal Validation (double)'!M5</f>
        <v>-9.9444381892681094E-2</v>
      </c>
      <c r="N5" s="8">
        <f>'Proximal Validation (double)'!N5</f>
        <v>-1.08874747529626E-2</v>
      </c>
      <c r="O5" s="8">
        <f>'Proximal Validation (double)'!O5</f>
        <v>-2.9133602976799001E-2</v>
      </c>
      <c r="P5" s="8">
        <f>'Proximal Validation (double)'!P5</f>
        <v>-0.12781015038490301</v>
      </c>
      <c r="Q5" s="8">
        <f>'Proximal Validation (double)'!Q5</f>
        <v>0.45268994569778398</v>
      </c>
      <c r="R5" s="8">
        <v>0.52090000000000003</v>
      </c>
      <c r="S5" s="8">
        <v>0.12790000000000001</v>
      </c>
      <c r="T5" s="8">
        <v>1.5718000000000001</v>
      </c>
      <c r="U5" s="8">
        <v>1.5708</v>
      </c>
      <c r="V5" s="8">
        <v>0.14399999999999999</v>
      </c>
      <c r="W5" s="8">
        <v>3.3000000000000002E-2</v>
      </c>
      <c r="X5" s="8">
        <v>3.6412</v>
      </c>
      <c r="Y5" s="8">
        <v>1.5708</v>
      </c>
      <c r="Z5" s="8">
        <f t="shared" si="2"/>
        <v>2.090000000000003E-2</v>
      </c>
      <c r="AA5" s="8">
        <f t="shared" si="3"/>
        <v>2.7900000000000008E-2</v>
      </c>
      <c r="AB5" s="8">
        <f t="shared" si="4"/>
        <v>8.0000000000013394E-4</v>
      </c>
      <c r="AC5" s="8">
        <f t="shared" si="5"/>
        <v>3.6732051034160662E-6</v>
      </c>
      <c r="AD5" s="8">
        <f t="shared" si="6"/>
        <v>-5.6000000000000022E-2</v>
      </c>
      <c r="AE5" s="8">
        <f t="shared" si="7"/>
        <v>1.3000000000000001E-2</v>
      </c>
      <c r="AF5" s="8">
        <f t="shared" si="8"/>
        <v>-0.28580000000000005</v>
      </c>
      <c r="AG5" s="8">
        <f t="shared" si="9"/>
        <v>3.6732051034160662E-6</v>
      </c>
      <c r="AH5" s="22">
        <f t="shared" si="10"/>
        <v>3.8450000000000026E-2</v>
      </c>
      <c r="AI5" s="22">
        <f t="shared" si="11"/>
        <v>2.0450000000000003E-2</v>
      </c>
      <c r="AJ5" s="22">
        <f t="shared" si="12"/>
        <v>0.14330000000000009</v>
      </c>
      <c r="AK5" s="35" t="s">
        <v>32</v>
      </c>
      <c r="AL5" s="35"/>
      <c r="AM5" s="35"/>
      <c r="AN5" s="35"/>
      <c r="AO5" s="35"/>
      <c r="AP5" s="35"/>
      <c r="AQ5" s="35"/>
      <c r="AR5" s="35"/>
    </row>
    <row r="6" spans="1:44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2.1138784941285801E-3</v>
      </c>
      <c r="M6" s="8">
        <f>'Proximal Validation (double)'!M6</f>
        <v>-0.17721578478813199</v>
      </c>
      <c r="N6" s="8">
        <f>'Proximal Validation (double)'!N6</f>
        <v>3.8662729784846302E-3</v>
      </c>
      <c r="O6" s="8">
        <f>'Proximal Validation (double)'!O6</f>
        <v>-9.7615689039230305E-2</v>
      </c>
      <c r="P6" s="8">
        <f>'Proximal Validation (double)'!P6</f>
        <v>2.8949752449989302E-2</v>
      </c>
      <c r="Q6" s="8">
        <f>'Proximal Validation (double)'!Q6</f>
        <v>0.88741946220397905</v>
      </c>
      <c r="R6" s="8">
        <v>0.98919999999999997</v>
      </c>
      <c r="S6" s="8">
        <v>0.1245</v>
      </c>
      <c r="T6" s="8">
        <v>1.5708</v>
      </c>
      <c r="U6" s="8">
        <v>1.5708</v>
      </c>
      <c r="V6" s="8">
        <v>0.1</v>
      </c>
      <c r="W6" s="8">
        <v>0.08</v>
      </c>
      <c r="X6" s="8">
        <v>4.7122999999999999</v>
      </c>
      <c r="Y6" s="8">
        <v>1.5708</v>
      </c>
      <c r="Z6" s="8">
        <f t="shared" si="2"/>
        <v>8.9199999999999946E-2</v>
      </c>
      <c r="AA6" s="8">
        <f t="shared" si="3"/>
        <v>2.4499999999999994E-2</v>
      </c>
      <c r="AB6" s="8">
        <f t="shared" si="4"/>
        <v>-1.9999999999997797E-4</v>
      </c>
      <c r="AC6" s="8">
        <f t="shared" si="5"/>
        <v>3.6732051034160662E-6</v>
      </c>
      <c r="AD6" s="8">
        <f t="shared" si="6"/>
        <v>-0.1</v>
      </c>
      <c r="AE6" s="8">
        <f t="shared" si="7"/>
        <v>0</v>
      </c>
      <c r="AF6" s="8">
        <f t="shared" si="8"/>
        <v>3.00000000000189E-4</v>
      </c>
      <c r="AG6" s="8">
        <f t="shared" si="9"/>
        <v>3.6732051034160662E-6</v>
      </c>
      <c r="AH6" s="22">
        <f t="shared" si="10"/>
        <v>9.4599999999999976E-2</v>
      </c>
      <c r="AI6" s="22">
        <f t="shared" si="11"/>
        <v>1.2249999999999997E-2</v>
      </c>
      <c r="AJ6" s="22">
        <f t="shared" si="12"/>
        <v>2.5000000000008349E-4</v>
      </c>
      <c r="AK6" s="20" t="s">
        <v>33</v>
      </c>
      <c r="AL6" s="20" t="s">
        <v>34</v>
      </c>
      <c r="AM6" s="20" t="s">
        <v>35</v>
      </c>
      <c r="AN6" s="21"/>
      <c r="AO6" s="21"/>
      <c r="AP6" s="21"/>
      <c r="AQ6" s="21"/>
      <c r="AR6" s="21"/>
    </row>
    <row r="7" spans="1:44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-1.4075441285967801E-3</v>
      </c>
      <c r="M7" s="8">
        <f>'Proximal Validation (double)'!M7</f>
        <v>7.2883039712905898E-2</v>
      </c>
      <c r="N7" s="8">
        <f>'Proximal Validation (double)'!N7</f>
        <v>-0.11806334555149101</v>
      </c>
      <c r="O7" s="8">
        <f>'Proximal Validation (double)'!O7</f>
        <v>2.7194060385227199E-3</v>
      </c>
      <c r="P7" s="8">
        <f>'Proximal Validation (double)'!P7</f>
        <v>-0.75840699672698997</v>
      </c>
      <c r="Q7" s="8">
        <f>'Proximal Validation (double)'!Q7</f>
        <v>-0.50915515422821001</v>
      </c>
      <c r="R7" s="8">
        <v>0.2014</v>
      </c>
      <c r="S7" s="8">
        <v>0.1</v>
      </c>
      <c r="T7" s="8">
        <v>3.2376</v>
      </c>
      <c r="U7" s="8">
        <v>1.5708</v>
      </c>
      <c r="V7" s="8">
        <v>0.74260000000000004</v>
      </c>
      <c r="W7" s="8">
        <v>5.04E-2</v>
      </c>
      <c r="X7" s="8">
        <v>3.8620000000000001</v>
      </c>
      <c r="Y7" s="8">
        <v>1.5708</v>
      </c>
      <c r="Z7" s="8">
        <f t="shared" si="2"/>
        <v>0.10139999999999999</v>
      </c>
      <c r="AA7" s="8">
        <f t="shared" si="3"/>
        <v>-1.999999999999999E-2</v>
      </c>
      <c r="AB7" s="8">
        <f t="shared" si="4"/>
        <v>1.6666000000000001</v>
      </c>
      <c r="AC7" s="8">
        <f t="shared" si="5"/>
        <v>3.6732051034160662E-6</v>
      </c>
      <c r="AD7" s="8">
        <f t="shared" si="6"/>
        <v>-0.25739999999999996</v>
      </c>
      <c r="AE7" s="8">
        <f t="shared" si="7"/>
        <v>-9.5999999999999974E-3</v>
      </c>
      <c r="AF7" s="8">
        <f t="shared" si="8"/>
        <v>-6.4999999999999947E-2</v>
      </c>
      <c r="AG7" s="8">
        <f t="shared" si="9"/>
        <v>3.6732051034160662E-6</v>
      </c>
      <c r="AH7" s="22">
        <f t="shared" si="10"/>
        <v>0.17939999999999998</v>
      </c>
      <c r="AI7" s="22">
        <f t="shared" si="11"/>
        <v>1.4799999999999994E-2</v>
      </c>
      <c r="AJ7" s="22">
        <f t="shared" si="12"/>
        <v>0.86580000000000001</v>
      </c>
      <c r="AK7" s="21">
        <f>AVERAGE(AK4,AO4)</f>
        <v>0.12134124999999998</v>
      </c>
      <c r="AL7" s="21">
        <f t="shared" ref="AL7:AM7" si="13">AVERAGE(AL4,AP4)</f>
        <v>2.107125E-2</v>
      </c>
      <c r="AM7" s="21">
        <f t="shared" si="13"/>
        <v>0.30666124999999994</v>
      </c>
      <c r="AN7" s="21"/>
      <c r="AO7" s="21"/>
      <c r="AP7" s="21"/>
      <c r="AQ7" s="21"/>
      <c r="AR7" s="21"/>
    </row>
    <row r="8" spans="1:44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3.4910831600427602E-3</v>
      </c>
      <c r="M8" s="8">
        <f>'Proximal Validation (double)'!M8</f>
        <v>-0.18494510650634799</v>
      </c>
      <c r="N8" s="8">
        <f>'Proximal Validation (double)'!N8</f>
        <v>-9.0413324534892994E-2</v>
      </c>
      <c r="O8" s="8">
        <f>'Proximal Validation (double)'!O8</f>
        <v>-0.40126189589500399</v>
      </c>
      <c r="P8" s="8">
        <f>'Proximal Validation (double)'!P8</f>
        <v>-0.60379952192306496</v>
      </c>
      <c r="Q8" s="8">
        <f>'Proximal Validation (double)'!Q8</f>
        <v>0.49847054481506298</v>
      </c>
      <c r="R8" s="8">
        <v>0.90759999999999996</v>
      </c>
      <c r="S8" s="8">
        <v>0.1739</v>
      </c>
      <c r="T8" s="8">
        <v>1.7493000000000001</v>
      </c>
      <c r="U8" s="8">
        <v>1.5708</v>
      </c>
      <c r="V8" s="8">
        <v>0.53449999999999998</v>
      </c>
      <c r="W8" s="8">
        <v>0.02</v>
      </c>
      <c r="X8" s="8">
        <v>3.7360000000000002</v>
      </c>
      <c r="Y8" s="8">
        <v>1.5708</v>
      </c>
      <c r="Z8" s="8">
        <f t="shared" si="2"/>
        <v>0.10759999999999992</v>
      </c>
      <c r="AA8" s="8">
        <f t="shared" si="3"/>
        <v>1.3899999999999996E-2</v>
      </c>
      <c r="AB8" s="8">
        <f t="shared" si="4"/>
        <v>0.17830000000000013</v>
      </c>
      <c r="AC8" s="8">
        <f t="shared" si="5"/>
        <v>3.6732051034160662E-6</v>
      </c>
      <c r="AD8" s="8">
        <f t="shared" si="6"/>
        <v>-0.26550000000000007</v>
      </c>
      <c r="AE8" s="8">
        <f t="shared" si="7"/>
        <v>-3.9999999999999994E-2</v>
      </c>
      <c r="AF8" s="8">
        <f t="shared" si="8"/>
        <v>-0.19099999999999984</v>
      </c>
      <c r="AG8" s="8">
        <f t="shared" si="9"/>
        <v>3.6732051034160662E-6</v>
      </c>
      <c r="AH8" s="23">
        <f t="shared" si="10"/>
        <v>0.18654999999999999</v>
      </c>
      <c r="AI8" s="23">
        <f t="shared" si="11"/>
        <v>2.6949999999999995E-2</v>
      </c>
      <c r="AJ8" s="23">
        <f t="shared" si="12"/>
        <v>0.18464999999999998</v>
      </c>
    </row>
    <row r="9" spans="1:44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1.5908150235191001E-3</v>
      </c>
      <c r="M9" s="8">
        <f>'Proximal Validation (double)'!M9</f>
        <v>-3.4777380526065799E-2</v>
      </c>
      <c r="N9" s="8">
        <f>'Proximal Validation (double)'!N9</f>
        <v>-1.5904162079095799E-2</v>
      </c>
      <c r="O9" s="8">
        <f>'Proximal Validation (double)'!O9</f>
        <v>-2.0381897687912001E-2</v>
      </c>
      <c r="P9" s="8">
        <f>'Proximal Validation (double)'!P9</f>
        <v>-0.14476515352725999</v>
      </c>
      <c r="Q9" s="8">
        <f>'Proximal Validation (double)'!Q9</f>
        <v>0.117096215486526</v>
      </c>
      <c r="R9" s="8">
        <v>0.15629999999999999</v>
      </c>
      <c r="S9" s="8">
        <v>0.17380000000000001</v>
      </c>
      <c r="T9" s="8">
        <v>1.5708</v>
      </c>
      <c r="U9" s="8">
        <v>1.5708</v>
      </c>
      <c r="V9" s="8">
        <v>0.14879999999999999</v>
      </c>
      <c r="W9" s="8">
        <v>2.5499999999999998E-2</v>
      </c>
      <c r="X9" s="8">
        <v>3.4020000000000001</v>
      </c>
      <c r="Y9" s="8">
        <v>1.5708</v>
      </c>
      <c r="Z9" s="8">
        <f t="shared" si="2"/>
        <v>5.6299999999999989E-2</v>
      </c>
      <c r="AA9" s="8">
        <f t="shared" si="3"/>
        <v>-6.1999999999999833E-3</v>
      </c>
      <c r="AB9" s="8">
        <f t="shared" si="4"/>
        <v>-1.9999999999997797E-4</v>
      </c>
      <c r="AC9" s="8">
        <f t="shared" si="5"/>
        <v>3.6732051034160662E-6</v>
      </c>
      <c r="AD9" s="8">
        <f t="shared" si="6"/>
        <v>4.8799999999999982E-2</v>
      </c>
      <c r="AE9" s="8">
        <f t="shared" si="7"/>
        <v>5.4999999999999979E-3</v>
      </c>
      <c r="AF9" s="8">
        <f t="shared" si="8"/>
        <v>0.26000000000000023</v>
      </c>
      <c r="AG9" s="8">
        <f t="shared" si="9"/>
        <v>3.6732051034160662E-6</v>
      </c>
      <c r="AH9" s="22">
        <f t="shared" si="10"/>
        <v>5.2549999999999986E-2</v>
      </c>
      <c r="AI9" s="22">
        <f t="shared" si="11"/>
        <v>5.8499999999999906E-3</v>
      </c>
      <c r="AJ9" s="22">
        <f t="shared" si="12"/>
        <v>0.1301000000000001</v>
      </c>
    </row>
    <row r="10" spans="1:44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2.3236712440848398E-3</v>
      </c>
      <c r="M10" s="8">
        <f>'Proximal Validation (double)'!M10</f>
        <v>-0.204822152853012</v>
      </c>
      <c r="N10" s="8">
        <f>'Proximal Validation (double)'!N10</f>
        <v>6.1566708609461802E-3</v>
      </c>
      <c r="O10" s="8">
        <f>'Proximal Validation (double)'!O10</f>
        <v>-0.39857342839241</v>
      </c>
      <c r="P10" s="8">
        <f>'Proximal Validation (double)'!P10</f>
        <v>2.7593433856964101E-2</v>
      </c>
      <c r="Q10" s="8">
        <f>'Proximal Validation (double)'!Q10</f>
        <v>0.66701602935791005</v>
      </c>
      <c r="R10" s="8">
        <v>0.86890000000000001</v>
      </c>
      <c r="S10" s="8">
        <v>0.182</v>
      </c>
      <c r="T10" s="8">
        <v>1.5708</v>
      </c>
      <c r="U10" s="8">
        <v>1.5708</v>
      </c>
      <c r="V10" s="8">
        <v>0.10489999999999999</v>
      </c>
      <c r="W10" s="8">
        <v>3.2899999999999999E-2</v>
      </c>
      <c r="X10" s="8">
        <v>4.7123999999999997</v>
      </c>
      <c r="Y10" s="8">
        <v>1.5708</v>
      </c>
      <c r="Z10" s="8">
        <f t="shared" si="2"/>
        <v>-3.1100000000000017E-2</v>
      </c>
      <c r="AA10" s="8">
        <f t="shared" si="3"/>
        <v>2.0000000000000018E-3</v>
      </c>
      <c r="AB10" s="8">
        <f t="shared" si="4"/>
        <v>-1.9999999999997797E-4</v>
      </c>
      <c r="AC10" s="8">
        <f t="shared" si="5"/>
        <v>3.6732051034160662E-6</v>
      </c>
      <c r="AD10" s="8">
        <f t="shared" si="6"/>
        <v>4.8999999999999877E-3</v>
      </c>
      <c r="AE10" s="8">
        <f t="shared" si="7"/>
        <v>-4.7100000000000003E-2</v>
      </c>
      <c r="AF10" s="8">
        <f t="shared" si="8"/>
        <v>3.9999999999995595E-4</v>
      </c>
      <c r="AG10" s="8">
        <f t="shared" si="9"/>
        <v>3.6732051034160662E-6</v>
      </c>
      <c r="AH10" s="22">
        <f t="shared" si="10"/>
        <v>1.8000000000000002E-2</v>
      </c>
      <c r="AI10" s="22">
        <f t="shared" si="11"/>
        <v>2.4550000000000002E-2</v>
      </c>
      <c r="AJ10" s="22">
        <f t="shared" si="12"/>
        <v>2.9999999999996696E-4</v>
      </c>
    </row>
    <row r="11" spans="1:44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1.6893346328288299E-3</v>
      </c>
      <c r="M11" s="8">
        <f>'Proximal Validation (double)'!M11</f>
        <v>9.5554247498512296E-2</v>
      </c>
      <c r="N11" s="8">
        <f>'Proximal Validation (double)'!N11</f>
        <v>-8.84410343132913E-4</v>
      </c>
      <c r="O11" s="8">
        <f>'Proximal Validation (double)'!O11</f>
        <v>-4.5536972582340199E-2</v>
      </c>
      <c r="P11" s="8">
        <f>'Proximal Validation (double)'!P11</f>
        <v>-5.9180781245231602E-3</v>
      </c>
      <c r="Q11" s="8">
        <f>'Proximal Validation (double)'!Q11</f>
        <v>-0.73156416416168202</v>
      </c>
      <c r="R11" s="8">
        <v>0.20469999999999999</v>
      </c>
      <c r="S11" s="8">
        <v>0.1123</v>
      </c>
      <c r="T11" s="8">
        <v>4.6962999999999999</v>
      </c>
      <c r="U11" s="8">
        <v>1.5708</v>
      </c>
      <c r="V11" s="8">
        <v>0.52680000000000005</v>
      </c>
      <c r="W11" s="8">
        <v>0.02</v>
      </c>
      <c r="X11" s="8">
        <v>4.7068000000000003</v>
      </c>
      <c r="Y11" s="8">
        <v>1.5708</v>
      </c>
      <c r="Z11" s="8">
        <f t="shared" si="2"/>
        <v>-9.5299999999999996E-2</v>
      </c>
      <c r="AA11" s="8">
        <f t="shared" si="3"/>
        <v>-6.7699999999999996E-2</v>
      </c>
      <c r="AB11" s="8">
        <f t="shared" si="4"/>
        <v>3.1253000000000002</v>
      </c>
      <c r="AC11" s="8">
        <f t="shared" si="5"/>
        <v>3.6732051034160662E-6</v>
      </c>
      <c r="AD11" s="8">
        <f t="shared" si="6"/>
        <v>-0.37319999999999998</v>
      </c>
      <c r="AE11" s="8">
        <f t="shared" si="7"/>
        <v>-0.06</v>
      </c>
      <c r="AF11" s="8">
        <f t="shared" si="8"/>
        <v>-5.1999999999994273E-3</v>
      </c>
      <c r="AG11" s="8">
        <f t="shared" si="9"/>
        <v>3.6732051034160662E-6</v>
      </c>
      <c r="AH11" s="22">
        <f t="shared" si="10"/>
        <v>0.23424999999999999</v>
      </c>
      <c r="AI11" s="22">
        <f t="shared" si="11"/>
        <v>6.384999999999999E-2</v>
      </c>
      <c r="AJ11" s="22">
        <f t="shared" si="12"/>
        <v>1.5652499999999998</v>
      </c>
    </row>
    <row r="12" spans="1:44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1.2135198339819899E-3</v>
      </c>
      <c r="M12" s="8">
        <f>'Proximal Validation (double)'!M12</f>
        <v>-0.182935655117035</v>
      </c>
      <c r="N12" s="8">
        <f>'Proximal Validation (double)'!N12</f>
        <v>-0.104798644781113</v>
      </c>
      <c r="O12" s="8">
        <f>'Proximal Validation (double)'!O12</f>
        <v>-0.48353463411331199</v>
      </c>
      <c r="P12" s="8">
        <f>'Proximal Validation (double)'!P12</f>
        <v>-0.98798036575317405</v>
      </c>
      <c r="Q12" s="8">
        <f>'Proximal Validation (double)'!Q12</f>
        <v>0.51245713233947798</v>
      </c>
      <c r="R12" s="8">
        <v>0.84030000000000005</v>
      </c>
      <c r="S12" s="8">
        <v>0.2</v>
      </c>
      <c r="T12" s="8">
        <v>1.5708</v>
      </c>
      <c r="U12" s="8">
        <v>1.5708</v>
      </c>
      <c r="V12" s="8">
        <v>0.99680000000000002</v>
      </c>
      <c r="W12" s="8">
        <v>0.02</v>
      </c>
      <c r="X12" s="8">
        <v>3.3195000000000001</v>
      </c>
      <c r="Y12" s="8">
        <v>1.5708</v>
      </c>
      <c r="Z12" s="8">
        <f t="shared" si="2"/>
        <v>-5.9699999999999975E-2</v>
      </c>
      <c r="AA12" s="8">
        <f t="shared" si="3"/>
        <v>0</v>
      </c>
      <c r="AB12" s="8">
        <f t="shared" si="4"/>
        <v>-1.9999999999997797E-4</v>
      </c>
      <c r="AC12" s="8">
        <f t="shared" si="5"/>
        <v>3.6732051034160662E-6</v>
      </c>
      <c r="AD12" s="8">
        <f t="shared" si="6"/>
        <v>-3.1999999999999806E-3</v>
      </c>
      <c r="AE12" s="8">
        <f t="shared" si="7"/>
        <v>0</v>
      </c>
      <c r="AF12" s="8">
        <f t="shared" si="8"/>
        <v>0.17750000000000021</v>
      </c>
      <c r="AG12" s="8">
        <f t="shared" si="9"/>
        <v>3.6732051034160662E-6</v>
      </c>
      <c r="AH12" s="22">
        <f t="shared" si="10"/>
        <v>3.1449999999999978E-2</v>
      </c>
      <c r="AI12" s="22">
        <f t="shared" si="11"/>
        <v>0</v>
      </c>
      <c r="AJ12" s="22">
        <f t="shared" si="12"/>
        <v>8.8850000000000096E-2</v>
      </c>
    </row>
    <row r="13" spans="1:44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-6.5936520695686297E-4</v>
      </c>
      <c r="M13" s="8">
        <f>'Proximal Validation (double)'!M13</f>
        <v>3.10139125213027E-3</v>
      </c>
      <c r="N13" s="8">
        <f>'Proximal Validation (double)'!N13</f>
        <v>-6.7128308117389707E-2</v>
      </c>
      <c r="O13" s="8">
        <f>'Proximal Validation (double)'!O13</f>
        <v>3.1099312007427202E-2</v>
      </c>
      <c r="P13" s="8">
        <f>'Proximal Validation (double)'!P13</f>
        <v>-0.38181251287460299</v>
      </c>
      <c r="Q13" s="8">
        <f>'Proximal Validation (double)'!Q13</f>
        <v>-3.04524004459381E-2</v>
      </c>
      <c r="R13" s="8">
        <v>0.18010000000000001</v>
      </c>
      <c r="S13" s="8">
        <v>0.1</v>
      </c>
      <c r="T13" s="8">
        <v>3.0131000000000001</v>
      </c>
      <c r="U13" s="8">
        <v>1.5708</v>
      </c>
      <c r="V13" s="8">
        <v>0.2107</v>
      </c>
      <c r="W13" s="8">
        <v>4.9200000000000001E-2</v>
      </c>
      <c r="X13" s="8">
        <v>3.3986000000000001</v>
      </c>
      <c r="Y13" s="8">
        <v>1.5708</v>
      </c>
      <c r="Z13" s="8">
        <f t="shared" si="2"/>
        <v>8.0100000000000005E-2</v>
      </c>
      <c r="AA13" s="8">
        <f t="shared" si="3"/>
        <v>-0.1</v>
      </c>
      <c r="AB13" s="8">
        <f t="shared" si="4"/>
        <v>1.4421000000000002</v>
      </c>
      <c r="AC13" s="8">
        <f t="shared" si="5"/>
        <v>3.6732051034160662E-6</v>
      </c>
      <c r="AD13" s="8">
        <f t="shared" si="6"/>
        <v>-8.929999999999999E-2</v>
      </c>
      <c r="AE13" s="8">
        <f t="shared" si="7"/>
        <v>-3.0800000000000001E-2</v>
      </c>
      <c r="AF13" s="8">
        <f t="shared" si="8"/>
        <v>0.25660000000000016</v>
      </c>
      <c r="AG13" s="8">
        <f t="shared" si="9"/>
        <v>3.6732051034160662E-6</v>
      </c>
      <c r="AH13" s="22">
        <f t="shared" si="10"/>
        <v>8.4699999999999998E-2</v>
      </c>
      <c r="AI13" s="22">
        <f t="shared" si="11"/>
        <v>6.54E-2</v>
      </c>
      <c r="AJ13" s="22">
        <f t="shared" si="12"/>
        <v>0.84935000000000016</v>
      </c>
    </row>
    <row r="14" spans="1:44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8.7932776659727097E-3</v>
      </c>
      <c r="M14" s="8">
        <f>'Proximal Validation (double)'!M14</f>
        <v>-0.16019897162914301</v>
      </c>
      <c r="N14" s="8">
        <f>'Proximal Validation (double)'!N14</f>
        <v>-2.4834894575178602E-3</v>
      </c>
      <c r="O14" s="8">
        <f>'Proximal Validation (double)'!O14</f>
        <v>-0.46627718210220298</v>
      </c>
      <c r="P14" s="8">
        <f>'Proximal Validation (double)'!P14</f>
        <v>-1.91364511847496E-2</v>
      </c>
      <c r="Q14" s="8">
        <f>'Proximal Validation (double)'!Q14</f>
        <v>0.27873134613037098</v>
      </c>
      <c r="R14" s="8">
        <v>0.8367</v>
      </c>
      <c r="S14" s="8">
        <v>0.1908</v>
      </c>
      <c r="T14" s="8">
        <v>1.5709</v>
      </c>
      <c r="U14" s="8">
        <v>1.5708</v>
      </c>
      <c r="V14" s="8">
        <v>0.4153</v>
      </c>
      <c r="W14" s="8">
        <v>2.1499999999999998E-2</v>
      </c>
      <c r="X14" s="8">
        <v>4.7123999999999997</v>
      </c>
      <c r="Y14" s="8">
        <v>1.5708</v>
      </c>
      <c r="Z14" s="8">
        <f t="shared" si="2"/>
        <v>-6.3300000000000023E-2</v>
      </c>
      <c r="AA14" s="8">
        <f t="shared" si="3"/>
        <v>-9.2000000000000137E-3</v>
      </c>
      <c r="AB14" s="8">
        <f t="shared" si="4"/>
        <v>-9.9999999999988987E-5</v>
      </c>
      <c r="AC14" s="8">
        <f t="shared" si="5"/>
        <v>3.6732051034160662E-6</v>
      </c>
      <c r="AD14" s="8">
        <f t="shared" si="6"/>
        <v>0.11530000000000001</v>
      </c>
      <c r="AE14" s="8">
        <f t="shared" si="7"/>
        <v>1.4999999999999979E-3</v>
      </c>
      <c r="AF14" s="8">
        <f t="shared" si="8"/>
        <v>3.9999999999995595E-4</v>
      </c>
      <c r="AG14" s="8">
        <f t="shared" si="9"/>
        <v>3.6732051034160662E-6</v>
      </c>
      <c r="AH14" s="22">
        <f t="shared" si="10"/>
        <v>8.9300000000000018E-2</v>
      </c>
      <c r="AI14" s="22">
        <f t="shared" si="11"/>
        <v>5.3500000000000058E-3</v>
      </c>
      <c r="AJ14" s="22">
        <f t="shared" si="12"/>
        <v>2.4999999999997247E-4</v>
      </c>
    </row>
    <row r="15" spans="1:44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-7.9012457281351107E-3</v>
      </c>
      <c r="M15" s="8">
        <f>'Proximal Validation (double)'!M15</f>
        <v>-4.3984718620777102E-2</v>
      </c>
      <c r="N15" s="8">
        <f>'Proximal Validation (double)'!N15</f>
        <v>-0.141960874199867</v>
      </c>
      <c r="O15" s="8">
        <f>'Proximal Validation (double)'!O15</f>
        <v>8.6025655269622803E-2</v>
      </c>
      <c r="P15" s="8">
        <f>'Proximal Validation (double)'!P15</f>
        <v>-0.69405859708786</v>
      </c>
      <c r="Q15" s="8">
        <f>'Proximal Validation (double)'!Q15</f>
        <v>-0.18663805723190299</v>
      </c>
      <c r="R15" s="8">
        <v>0.60899999999999999</v>
      </c>
      <c r="S15" s="8">
        <v>0.1</v>
      </c>
      <c r="T15" s="8">
        <v>2.4152</v>
      </c>
      <c r="U15" s="8">
        <v>1.5708</v>
      </c>
      <c r="V15" s="8">
        <v>0.63549999999999995</v>
      </c>
      <c r="W15" s="8">
        <v>0.02</v>
      </c>
      <c r="X15" s="8">
        <v>4.3217999999999996</v>
      </c>
      <c r="Y15" s="8">
        <v>1.5708</v>
      </c>
      <c r="Z15" s="8">
        <f t="shared" si="2"/>
        <v>-0.29100000000000004</v>
      </c>
      <c r="AA15" s="8">
        <f t="shared" si="3"/>
        <v>0</v>
      </c>
      <c r="AB15" s="8">
        <f t="shared" si="4"/>
        <v>5.9200000000000141E-2</v>
      </c>
      <c r="AC15" s="8">
        <f t="shared" si="5"/>
        <v>3.6732051034160662E-6</v>
      </c>
      <c r="AD15" s="8">
        <f t="shared" si="6"/>
        <v>-0.26450000000000007</v>
      </c>
      <c r="AE15" s="8">
        <f t="shared" si="7"/>
        <v>0</v>
      </c>
      <c r="AF15" s="8">
        <f t="shared" si="8"/>
        <v>-0.3902000000000001</v>
      </c>
      <c r="AG15" s="8">
        <f t="shared" si="9"/>
        <v>3.6732051034160662E-6</v>
      </c>
      <c r="AH15" s="22">
        <f t="shared" si="10"/>
        <v>0.27775000000000005</v>
      </c>
      <c r="AI15" s="22">
        <f t="shared" si="11"/>
        <v>0</v>
      </c>
      <c r="AJ15" s="22">
        <f t="shared" si="12"/>
        <v>0.22470000000000012</v>
      </c>
    </row>
    <row r="16" spans="1:44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-3.90403810888529E-3</v>
      </c>
      <c r="M16" s="8">
        <f>'Proximal Validation (double)'!M16</f>
        <v>-6.7934043705463396E-2</v>
      </c>
      <c r="N16" s="8">
        <f>'Proximal Validation (double)'!N16</f>
        <v>-8.5464723408222198E-2</v>
      </c>
      <c r="O16" s="8">
        <f>'Proximal Validation (double)'!O16</f>
        <v>2.6761934161186201E-2</v>
      </c>
      <c r="P16" s="8">
        <f>'Proximal Validation (double)'!P16</f>
        <v>-0.412941753864288</v>
      </c>
      <c r="Q16" s="8">
        <f>'Proximal Validation (double)'!Q16</f>
        <v>0.30062127113342302</v>
      </c>
      <c r="R16" s="8">
        <v>0.44479999999999997</v>
      </c>
      <c r="S16" s="8">
        <v>0.1</v>
      </c>
      <c r="T16" s="8">
        <v>2.2770000000000001</v>
      </c>
      <c r="U16" s="8">
        <v>1.5708</v>
      </c>
      <c r="V16" s="8">
        <v>0.13070000000000001</v>
      </c>
      <c r="W16" s="8">
        <v>7.9699999999999993E-2</v>
      </c>
      <c r="X16" s="8">
        <v>3.4281000000000001</v>
      </c>
      <c r="Y16" s="8">
        <v>1.5708</v>
      </c>
      <c r="Z16" s="8">
        <f t="shared" si="2"/>
        <v>4.4799999999999951E-2</v>
      </c>
      <c r="AA16" s="8">
        <f t="shared" si="3"/>
        <v>-1.999999999999999E-2</v>
      </c>
      <c r="AB16" s="8">
        <f t="shared" si="4"/>
        <v>-7.8999999999999737E-2</v>
      </c>
      <c r="AC16" s="8">
        <f t="shared" si="5"/>
        <v>3.6732051034160662E-6</v>
      </c>
      <c r="AD16" s="8">
        <f t="shared" si="6"/>
        <v>3.0700000000000005E-2</v>
      </c>
      <c r="AE16" s="8">
        <f t="shared" si="7"/>
        <v>1.9699999999999995E-2</v>
      </c>
      <c r="AF16" s="8">
        <f t="shared" si="8"/>
        <v>0.28610000000000024</v>
      </c>
      <c r="AG16" s="8">
        <f t="shared" si="9"/>
        <v>3.6732051034160662E-6</v>
      </c>
      <c r="AH16" s="22">
        <f t="shared" si="10"/>
        <v>3.7749999999999978E-2</v>
      </c>
      <c r="AI16" s="22">
        <f t="shared" si="11"/>
        <v>1.9849999999999993E-2</v>
      </c>
      <c r="AJ16" s="22">
        <f t="shared" si="12"/>
        <v>0.18254999999999999</v>
      </c>
    </row>
    <row r="17" spans="1:36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-2.8297975659370401E-3</v>
      </c>
      <c r="M17" s="8">
        <f>'Proximal Validation (double)'!M17</f>
        <v>-0.18058618903160101</v>
      </c>
      <c r="N17" s="8">
        <f>'Proximal Validation (double)'!N17</f>
        <v>-0.23388142883777599</v>
      </c>
      <c r="O17" s="8">
        <f>'Proximal Validation (double)'!O17</f>
        <v>-0.26429381966590898</v>
      </c>
      <c r="P17" s="8">
        <f>'Proximal Validation (double)'!P17</f>
        <v>-1.1066045761108401</v>
      </c>
      <c r="Q17" s="8">
        <f>'Proximal Validation (double)'!Q17</f>
        <v>0.67185997962951705</v>
      </c>
      <c r="R17" s="8">
        <v>1</v>
      </c>
      <c r="S17" s="8">
        <v>0.15279999999999999</v>
      </c>
      <c r="T17" s="8">
        <v>2.1778</v>
      </c>
      <c r="U17" s="8">
        <v>1.5708</v>
      </c>
      <c r="V17" s="8">
        <v>0.56740000000000002</v>
      </c>
      <c r="W17" s="8">
        <v>0.08</v>
      </c>
      <c r="X17" s="8">
        <v>3.3569</v>
      </c>
      <c r="Y17" s="8">
        <v>1.5708</v>
      </c>
      <c r="Z17" s="8">
        <f t="shared" si="2"/>
        <v>0</v>
      </c>
      <c r="AA17" s="8">
        <f t="shared" si="3"/>
        <v>1.2799999999999978E-2</v>
      </c>
      <c r="AB17" s="8">
        <f t="shared" si="4"/>
        <v>-0.17819999999999991</v>
      </c>
      <c r="AC17" s="8">
        <f t="shared" si="5"/>
        <v>3.6732051034160662E-6</v>
      </c>
      <c r="AD17" s="8">
        <f t="shared" si="6"/>
        <v>0.16739999999999999</v>
      </c>
      <c r="AE17" s="8">
        <f t="shared" si="7"/>
        <v>0.04</v>
      </c>
      <c r="AF17" s="8">
        <f t="shared" si="8"/>
        <v>-0.57010000000000005</v>
      </c>
      <c r="AG17" s="8">
        <f t="shared" si="9"/>
        <v>3.6732051034160662E-6</v>
      </c>
      <c r="AH17" s="22">
        <f t="shared" si="10"/>
        <v>8.3699999999999997E-2</v>
      </c>
      <c r="AI17" s="22">
        <f t="shared" si="11"/>
        <v>2.6399999999999989E-2</v>
      </c>
      <c r="AJ17" s="22">
        <f t="shared" si="12"/>
        <v>0.37414999999999998</v>
      </c>
    </row>
    <row r="18" spans="1:36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-6.22342247515917E-3</v>
      </c>
      <c r="M18" s="8">
        <f>'Proximal Validation (double)'!M18</f>
        <v>-5.8960229158401503E-2</v>
      </c>
      <c r="N18" s="8">
        <f>'Proximal Validation (double)'!N18</f>
        <v>-0.15366320312023199</v>
      </c>
      <c r="O18" s="8">
        <f>'Proximal Validation (double)'!O18</f>
        <v>-5.5010270327329601E-2</v>
      </c>
      <c r="P18" s="8">
        <f>'Proximal Validation (double)'!P18</f>
        <v>-0.88742548227310203</v>
      </c>
      <c r="Q18" s="8">
        <f>'Proximal Validation (double)'!Q18</f>
        <v>0.18511915206909199</v>
      </c>
      <c r="R18" s="8">
        <v>0.46539999999999998</v>
      </c>
      <c r="S18" s="8">
        <v>0.1525</v>
      </c>
      <c r="T18" s="8">
        <v>2.4117000000000002</v>
      </c>
      <c r="U18" s="8">
        <v>1.5708</v>
      </c>
      <c r="V18" s="8">
        <v>0.55679999999999996</v>
      </c>
      <c r="W18" s="8">
        <v>3.8899999999999997E-2</v>
      </c>
      <c r="X18" s="8">
        <v>3.3643999999999998</v>
      </c>
      <c r="Y18" s="8">
        <v>1.5708</v>
      </c>
      <c r="Z18" s="8">
        <f t="shared" si="2"/>
        <v>6.5399999999999958E-2</v>
      </c>
      <c r="AA18" s="8">
        <f t="shared" si="3"/>
        <v>-2.7499999999999997E-2</v>
      </c>
      <c r="AB18" s="8">
        <f t="shared" si="4"/>
        <v>5.5700000000000305E-2</v>
      </c>
      <c r="AC18" s="8">
        <f t="shared" si="5"/>
        <v>3.6732051034160662E-6</v>
      </c>
      <c r="AD18" s="8">
        <f t="shared" si="6"/>
        <v>-0.14319999999999999</v>
      </c>
      <c r="AE18" s="8">
        <f t="shared" si="7"/>
        <v>-1.1000000000000038E-3</v>
      </c>
      <c r="AF18" s="8">
        <f t="shared" si="8"/>
        <v>0.22239999999999993</v>
      </c>
      <c r="AG18" s="8">
        <f t="shared" si="9"/>
        <v>3.6732051034160662E-6</v>
      </c>
      <c r="AH18" s="22">
        <f t="shared" si="10"/>
        <v>0.10429999999999998</v>
      </c>
      <c r="AI18" s="22">
        <f t="shared" si="11"/>
        <v>1.43E-2</v>
      </c>
      <c r="AJ18" s="22">
        <f t="shared" si="12"/>
        <v>0.13905000000000012</v>
      </c>
    </row>
    <row r="19" spans="1:36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3.3402333501726402E-3</v>
      </c>
      <c r="M19" s="8">
        <f>'Proximal Validation (double)'!M19</f>
        <v>1.4506237581372299E-2</v>
      </c>
      <c r="N19" s="8">
        <f>'Proximal Validation (double)'!N19</f>
        <v>-1.5207892283797301E-2</v>
      </c>
      <c r="O19" s="8">
        <f>'Proximal Validation (double)'!O19</f>
        <v>-1.86226963996887E-2</v>
      </c>
      <c r="P19" s="8">
        <f>'Proximal Validation (double)'!P19</f>
        <v>-4.76582162082195E-2</v>
      </c>
      <c r="Q19" s="8">
        <f>'Proximal Validation (double)'!Q19</f>
        <v>-0.14300855994224501</v>
      </c>
      <c r="R19" s="8">
        <v>0.1522</v>
      </c>
      <c r="S19" s="8">
        <v>0.19919999999999999</v>
      </c>
      <c r="T19" s="8">
        <v>1.8935999999999999</v>
      </c>
      <c r="U19" s="8">
        <v>1.5708</v>
      </c>
      <c r="V19" s="8">
        <v>0.28760000000000002</v>
      </c>
      <c r="W19" s="8">
        <v>0.08</v>
      </c>
      <c r="X19" s="8">
        <v>4.7123999999999997</v>
      </c>
      <c r="Y19" s="8">
        <v>1.5708</v>
      </c>
      <c r="Z19" s="8">
        <f t="shared" si="2"/>
        <v>5.2199999999999996E-2</v>
      </c>
      <c r="AA19" s="8">
        <f t="shared" si="3"/>
        <v>1.9199999999999995E-2</v>
      </c>
      <c r="AB19" s="8">
        <f t="shared" si="4"/>
        <v>-0.46239999999999992</v>
      </c>
      <c r="AC19" s="8">
        <f t="shared" si="5"/>
        <v>3.6732051034160662E-6</v>
      </c>
      <c r="AD19" s="8">
        <f t="shared" si="6"/>
        <v>8.7600000000000011E-2</v>
      </c>
      <c r="AE19" s="8">
        <f t="shared" si="7"/>
        <v>2.0000000000000004E-2</v>
      </c>
      <c r="AF19" s="8">
        <f t="shared" si="8"/>
        <v>3.9999999999995595E-4</v>
      </c>
      <c r="AG19" s="8">
        <f t="shared" si="9"/>
        <v>3.6732051034160662E-6</v>
      </c>
      <c r="AH19" s="22">
        <f t="shared" si="10"/>
        <v>6.9900000000000004E-2</v>
      </c>
      <c r="AI19" s="22">
        <f t="shared" si="11"/>
        <v>1.9599999999999999E-2</v>
      </c>
      <c r="AJ19" s="22">
        <f t="shared" si="12"/>
        <v>0.23139999999999994</v>
      </c>
    </row>
    <row r="20" spans="1:36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9.9984761327505094E-3</v>
      </c>
      <c r="M20" s="8">
        <f>'Proximal Validation (double)'!M20</f>
        <v>-0.16704940795898399</v>
      </c>
      <c r="N20" s="8">
        <f>'Proximal Validation (double)'!N20</f>
        <v>-0.211101770401001</v>
      </c>
      <c r="O20" s="8">
        <f>'Proximal Validation (double)'!O20</f>
        <v>-0.65643388032913197</v>
      </c>
      <c r="P20" s="8">
        <f>'Proximal Validation (double)'!P20</f>
        <v>-0.80316579341888406</v>
      </c>
      <c r="Q20" s="8">
        <f>'Proximal Validation (double)'!Q20</f>
        <v>0.504788398742676</v>
      </c>
      <c r="R20" s="8">
        <v>1</v>
      </c>
      <c r="S20" s="8">
        <v>0.2</v>
      </c>
      <c r="T20" s="8">
        <v>2.2614999999999998</v>
      </c>
      <c r="U20" s="8">
        <v>1.5708</v>
      </c>
      <c r="V20" s="8">
        <v>0.3014</v>
      </c>
      <c r="W20" s="8">
        <v>0.08</v>
      </c>
      <c r="X20" s="8">
        <v>3.3893</v>
      </c>
      <c r="Y20" s="8">
        <v>1.5708</v>
      </c>
      <c r="Z20" s="8">
        <f t="shared" si="2"/>
        <v>9.9999999999999978E-2</v>
      </c>
      <c r="AA20" s="8">
        <f t="shared" si="3"/>
        <v>0</v>
      </c>
      <c r="AB20" s="8">
        <f t="shared" si="4"/>
        <v>-9.4500000000000028E-2</v>
      </c>
      <c r="AC20" s="8">
        <f t="shared" si="5"/>
        <v>3.6732051034160662E-6</v>
      </c>
      <c r="AD20" s="8">
        <f t="shared" si="6"/>
        <v>1.4000000000000123E-3</v>
      </c>
      <c r="AE20" s="8">
        <f t="shared" si="7"/>
        <v>2.0000000000000004E-2</v>
      </c>
      <c r="AF20" s="8">
        <f t="shared" si="8"/>
        <v>0.24730000000000008</v>
      </c>
      <c r="AG20" s="8">
        <f t="shared" si="9"/>
        <v>3.6732051034160662E-6</v>
      </c>
      <c r="AH20" s="22">
        <f t="shared" si="10"/>
        <v>5.0699999999999995E-2</v>
      </c>
      <c r="AI20" s="22">
        <f t="shared" si="11"/>
        <v>1.0000000000000002E-2</v>
      </c>
      <c r="AJ20" s="22">
        <f t="shared" si="12"/>
        <v>0.17090000000000005</v>
      </c>
    </row>
    <row r="21" spans="1:36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-4.1311280801892302E-4</v>
      </c>
      <c r="M21" s="8">
        <f>'Proximal Validation (double)'!M21</f>
        <v>3.3949088305234902E-2</v>
      </c>
      <c r="N21" s="8">
        <f>'Proximal Validation (double)'!N21</f>
        <v>-5.4488845169544199E-2</v>
      </c>
      <c r="O21" s="8">
        <f>'Proximal Validation (double)'!O21</f>
        <v>-5.7915411889553096E-3</v>
      </c>
      <c r="P21" s="8">
        <f>'Proximal Validation (double)'!P21</f>
        <v>-0.31081974506378202</v>
      </c>
      <c r="Q21" s="8">
        <f>'Proximal Validation (double)'!Q21</f>
        <v>-0.19208578765392301</v>
      </c>
      <c r="R21" s="8">
        <v>0.1241</v>
      </c>
      <c r="S21" s="8">
        <v>0.1013</v>
      </c>
      <c r="T21" s="8">
        <v>2.3405999999999998</v>
      </c>
      <c r="U21" s="8">
        <v>1.5708</v>
      </c>
      <c r="V21" s="8">
        <v>0.36</v>
      </c>
      <c r="W21" s="8">
        <v>0.08</v>
      </c>
      <c r="X21" s="8">
        <v>4.0404999999999998</v>
      </c>
      <c r="Y21" s="8">
        <v>1.5708</v>
      </c>
      <c r="Z21" s="8">
        <f t="shared" si="2"/>
        <v>2.4099999999999996E-2</v>
      </c>
      <c r="AA21" s="8">
        <f t="shared" si="3"/>
        <v>1.2999999999999956E-3</v>
      </c>
      <c r="AB21" s="8">
        <f t="shared" si="4"/>
        <v>-0.80140000000000011</v>
      </c>
      <c r="AC21" s="8">
        <f t="shared" si="5"/>
        <v>3.6732051034160662E-6</v>
      </c>
      <c r="AD21" s="8">
        <f t="shared" si="6"/>
        <v>0.06</v>
      </c>
      <c r="AE21" s="8">
        <f t="shared" si="7"/>
        <v>0</v>
      </c>
      <c r="AF21" s="8">
        <f t="shared" si="8"/>
        <v>0.11349999999999971</v>
      </c>
      <c r="AG21" s="8">
        <f t="shared" si="9"/>
        <v>3.6732051034160662E-6</v>
      </c>
      <c r="AH21" s="22">
        <f t="shared" si="10"/>
        <v>4.2049999999999997E-2</v>
      </c>
      <c r="AI21" s="22">
        <f t="shared" si="11"/>
        <v>6.499999999999978E-4</v>
      </c>
      <c r="AJ21" s="22">
        <f t="shared" si="12"/>
        <v>0.45744999999999991</v>
      </c>
    </row>
    <row r="22" spans="1:36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-1.08309416100383E-3</v>
      </c>
      <c r="M22" s="8">
        <f>'Proximal Validation (double)'!M22</f>
        <v>4.8130437731742901E-2</v>
      </c>
      <c r="N22" s="8">
        <f>'Proximal Validation (double)'!N22</f>
        <v>-8.1404998898506206E-2</v>
      </c>
      <c r="O22" s="8">
        <f>'Proximal Validation (double)'!O22</f>
        <v>-3.8113974034786197E-2</v>
      </c>
      <c r="P22" s="8">
        <f>'Proximal Validation (double)'!P22</f>
        <v>-0.69519579410553001</v>
      </c>
      <c r="Q22" s="8">
        <f>'Proximal Validation (double)'!Q22</f>
        <v>-0.43949088454246499</v>
      </c>
      <c r="R22" s="8">
        <v>0.1</v>
      </c>
      <c r="S22" s="8">
        <v>0.1</v>
      </c>
      <c r="T22" s="8">
        <v>2.7570999999999999</v>
      </c>
      <c r="U22" s="8">
        <v>1.5708</v>
      </c>
      <c r="V22" s="8">
        <v>0.76839999999999997</v>
      </c>
      <c r="W22" s="8">
        <v>0.02</v>
      </c>
      <c r="X22" s="8">
        <v>3.8117000000000001</v>
      </c>
      <c r="Y22" s="8">
        <v>1.5708</v>
      </c>
      <c r="Z22" s="8">
        <f t="shared" si="2"/>
        <v>0</v>
      </c>
      <c r="AA22" s="8">
        <f t="shared" si="3"/>
        <v>-0.1</v>
      </c>
      <c r="AB22" s="8">
        <f t="shared" si="4"/>
        <v>-0.38490000000000002</v>
      </c>
      <c r="AC22" s="8">
        <f t="shared" si="5"/>
        <v>3.6732051034160662E-6</v>
      </c>
      <c r="AD22" s="8">
        <f t="shared" si="6"/>
        <v>-3.1600000000000072E-2</v>
      </c>
      <c r="AE22" s="8">
        <f t="shared" si="7"/>
        <v>0</v>
      </c>
      <c r="AF22" s="8">
        <f t="shared" si="8"/>
        <v>-0.11529999999999996</v>
      </c>
      <c r="AG22" s="8">
        <f t="shared" si="9"/>
        <v>3.6732051034160662E-6</v>
      </c>
      <c r="AH22" s="22">
        <f t="shared" si="10"/>
        <v>1.5800000000000036E-2</v>
      </c>
      <c r="AI22" s="22">
        <f t="shared" si="11"/>
        <v>0.05</v>
      </c>
      <c r="AJ22" s="22">
        <f t="shared" si="12"/>
        <v>0.25009999999999999</v>
      </c>
    </row>
    <row r="23" spans="1:36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-1.0050361976027501E-2</v>
      </c>
      <c r="M23" s="8">
        <f>'Proximal Validation (double)'!M23</f>
        <v>0.127486452460289</v>
      </c>
      <c r="N23" s="8">
        <f>'Proximal Validation (double)'!N23</f>
        <v>-0.178982153534889</v>
      </c>
      <c r="O23" s="8">
        <f>'Proximal Validation (double)'!O23</f>
        <v>2.8237748891115199E-2</v>
      </c>
      <c r="P23" s="8">
        <f>'Proximal Validation (double)'!P23</f>
        <v>-1.01243340969086</v>
      </c>
      <c r="Q23" s="8">
        <f>'Proximal Validation (double)'!Q23</f>
        <v>-0.60584980249404896</v>
      </c>
      <c r="R23" s="8">
        <v>0.46500000000000002</v>
      </c>
      <c r="S23" s="8">
        <v>0.13719999999999999</v>
      </c>
      <c r="T23" s="8">
        <v>3.8883000000000001</v>
      </c>
      <c r="U23" s="8">
        <v>1.5708</v>
      </c>
      <c r="V23" s="8">
        <v>0.73270000000000002</v>
      </c>
      <c r="W23" s="8">
        <v>4.8099999999999997E-2</v>
      </c>
      <c r="X23" s="8">
        <v>3.552</v>
      </c>
      <c r="Y23" s="8">
        <v>1.5708</v>
      </c>
      <c r="Z23" s="8">
        <f t="shared" si="2"/>
        <v>-0.435</v>
      </c>
      <c r="AA23" s="8">
        <f t="shared" si="3"/>
        <v>3.7199999999999983E-2</v>
      </c>
      <c r="AB23" s="8">
        <f t="shared" si="4"/>
        <v>-3.8699999999999957E-2</v>
      </c>
      <c r="AC23" s="8">
        <f t="shared" si="5"/>
        <v>3.6732051034160662E-6</v>
      </c>
      <c r="AD23" s="8">
        <f t="shared" si="6"/>
        <v>0.53269999999999995</v>
      </c>
      <c r="AE23" s="8">
        <f t="shared" si="7"/>
        <v>2.8099999999999997E-2</v>
      </c>
      <c r="AF23" s="8">
        <f t="shared" si="8"/>
        <v>0.41000000000000014</v>
      </c>
      <c r="AG23" s="8">
        <f t="shared" si="9"/>
        <v>3.6732051034160662E-6</v>
      </c>
      <c r="AH23" s="22">
        <f t="shared" si="10"/>
        <v>0.48385</v>
      </c>
      <c r="AI23" s="22">
        <f t="shared" si="11"/>
        <v>3.2649999999999992E-2</v>
      </c>
      <c r="AJ23" s="22">
        <f t="shared" si="12"/>
        <v>0.22435000000000005</v>
      </c>
    </row>
    <row r="24" spans="1:36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-1.8197204917669299E-4</v>
      </c>
      <c r="M24" s="8">
        <f>'Proximal Validation (double)'!M24</f>
        <v>4.8199806362390497E-2</v>
      </c>
      <c r="N24" s="8">
        <f>'Proximal Validation (double)'!N24</f>
        <v>-2.8443846851587299E-2</v>
      </c>
      <c r="O24" s="8">
        <f>'Proximal Validation (double)'!O24</f>
        <v>1.3900646939873701E-2</v>
      </c>
      <c r="P24" s="8">
        <f>'Proximal Validation (double)'!P24</f>
        <v>-0.13246817886829401</v>
      </c>
      <c r="Q24" s="8">
        <f>'Proximal Validation (double)'!Q24</f>
        <v>-0.32060724496841397</v>
      </c>
      <c r="R24" s="8">
        <v>0.13650000000000001</v>
      </c>
      <c r="S24" s="8">
        <v>0.15959999999999999</v>
      </c>
      <c r="T24" s="8">
        <v>3.7867000000000002</v>
      </c>
      <c r="U24" s="8">
        <v>1.5708</v>
      </c>
      <c r="V24" s="8">
        <v>0.2397</v>
      </c>
      <c r="W24" s="8">
        <v>2.6499999999999999E-2</v>
      </c>
      <c r="X24" s="8">
        <v>4.6148999999999996</v>
      </c>
      <c r="Y24" s="8">
        <v>1.5708</v>
      </c>
      <c r="Z24" s="8">
        <f t="shared" si="2"/>
        <v>-6.3500000000000001E-2</v>
      </c>
      <c r="AA24" s="8">
        <f t="shared" si="3"/>
        <v>3.9599999999999996E-2</v>
      </c>
      <c r="AB24" s="8">
        <f t="shared" si="4"/>
        <v>-0.14029999999999987</v>
      </c>
      <c r="AC24" s="8">
        <f t="shared" si="5"/>
        <v>3.6732051034160662E-6</v>
      </c>
      <c r="AD24" s="8">
        <f t="shared" si="6"/>
        <v>3.9699999999999985E-2</v>
      </c>
      <c r="AE24" s="8">
        <f t="shared" si="7"/>
        <v>6.4999999999999988E-3</v>
      </c>
      <c r="AF24" s="8">
        <f t="shared" si="8"/>
        <v>-9.7100000000000186E-2</v>
      </c>
      <c r="AG24" s="8">
        <f t="shared" si="9"/>
        <v>3.6732051034160662E-6</v>
      </c>
      <c r="AH24" s="22">
        <f t="shared" si="10"/>
        <v>5.1599999999999993E-2</v>
      </c>
      <c r="AI24" s="22">
        <f t="shared" si="11"/>
        <v>2.3049999999999998E-2</v>
      </c>
      <c r="AJ24" s="22">
        <f t="shared" si="12"/>
        <v>0.11870000000000003</v>
      </c>
    </row>
    <row r="25" spans="1:36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-9.4277318567037604E-4</v>
      </c>
      <c r="M25" s="8">
        <f>'Proximal Validation (double)'!M25</f>
        <v>0.193720102310181</v>
      </c>
      <c r="N25" s="8">
        <f>'Proximal Validation (double)'!N25</f>
        <v>-0.115528546273708</v>
      </c>
      <c r="O25" s="8">
        <f>'Proximal Validation (double)'!O25</f>
        <v>4.3163940310478197E-2</v>
      </c>
      <c r="P25" s="8">
        <f>'Proximal Validation (double)'!P25</f>
        <v>-0.53577321767806996</v>
      </c>
      <c r="Q25" s="8">
        <f>'Proximal Validation (double)'!Q25</f>
        <v>-0.986228287220001</v>
      </c>
      <c r="R25" s="8">
        <v>0.59809999999999997</v>
      </c>
      <c r="S25" s="8">
        <v>0.1</v>
      </c>
      <c r="T25" s="8">
        <v>4.0458999999999996</v>
      </c>
      <c r="U25" s="8">
        <v>1.5708</v>
      </c>
      <c r="V25" s="8">
        <v>0.54720000000000002</v>
      </c>
      <c r="W25" s="8">
        <v>5.0200000000000002E-2</v>
      </c>
      <c r="X25" s="8">
        <v>4.3982999999999999</v>
      </c>
      <c r="Y25" s="8">
        <v>1.5708</v>
      </c>
      <c r="Z25" s="8">
        <f t="shared" si="2"/>
        <v>-1.9000000000000128E-3</v>
      </c>
      <c r="AA25" s="8">
        <f t="shared" si="3"/>
        <v>-1.999999999999999E-2</v>
      </c>
      <c r="AB25" s="8">
        <f t="shared" si="4"/>
        <v>0.11889999999999956</v>
      </c>
      <c r="AC25" s="8">
        <f t="shared" si="5"/>
        <v>3.6732051034160662E-6</v>
      </c>
      <c r="AD25" s="8">
        <f t="shared" si="6"/>
        <v>4.720000000000002E-2</v>
      </c>
      <c r="AE25" s="8">
        <f t="shared" si="7"/>
        <v>-2.98E-2</v>
      </c>
      <c r="AF25" s="8">
        <f t="shared" si="8"/>
        <v>-0.31369999999999987</v>
      </c>
      <c r="AG25" s="8">
        <f t="shared" si="9"/>
        <v>3.6732051034160662E-6</v>
      </c>
      <c r="AH25" s="22">
        <f t="shared" si="10"/>
        <v>2.4550000000000016E-2</v>
      </c>
      <c r="AI25" s="22">
        <f t="shared" si="11"/>
        <v>2.4899999999999995E-2</v>
      </c>
      <c r="AJ25" s="22">
        <f t="shared" si="12"/>
        <v>0.21629999999999971</v>
      </c>
    </row>
    <row r="26" spans="1:36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-1.8966067582368901E-3</v>
      </c>
      <c r="M26" s="8">
        <f>'Proximal Validation (double)'!M26</f>
        <v>0.20827016234397899</v>
      </c>
      <c r="N26" s="8">
        <f>'Proximal Validation (double)'!N26</f>
        <v>-0.236072272062302</v>
      </c>
      <c r="O26" s="8">
        <f>'Proximal Validation (double)'!O26</f>
        <v>-2.9216319322586101E-2</v>
      </c>
      <c r="P26" s="8">
        <f>'Proximal Validation (double)'!P26</f>
        <v>-1.3177623748779299</v>
      </c>
      <c r="Q26" s="8">
        <f>'Proximal Validation (double)'!Q26</f>
        <v>-1.11354172229767</v>
      </c>
      <c r="R26" s="8">
        <v>0.87009999999999998</v>
      </c>
      <c r="S26" s="8">
        <v>0.1</v>
      </c>
      <c r="T26" s="8">
        <v>4.0541</v>
      </c>
      <c r="U26" s="8">
        <v>1.5708</v>
      </c>
      <c r="V26" s="8">
        <v>0.89459999999999995</v>
      </c>
      <c r="W26" s="8">
        <v>7.2999999999999995E-2</v>
      </c>
      <c r="X26" s="8">
        <v>3.6385000000000001</v>
      </c>
      <c r="Y26" s="8">
        <v>1.5708</v>
      </c>
      <c r="Z26" s="8">
        <f t="shared" si="2"/>
        <v>0.17010000000000003</v>
      </c>
      <c r="AA26" s="8">
        <f t="shared" si="3"/>
        <v>-0.06</v>
      </c>
      <c r="AB26" s="8">
        <f t="shared" si="4"/>
        <v>0.12709999999999999</v>
      </c>
      <c r="AC26" s="8">
        <f t="shared" si="5"/>
        <v>3.6732051034160662E-6</v>
      </c>
      <c r="AD26" s="8">
        <f t="shared" si="6"/>
        <v>-0.10540000000000005</v>
      </c>
      <c r="AE26" s="8">
        <f t="shared" si="7"/>
        <v>3.2999999999999995E-2</v>
      </c>
      <c r="AF26" s="8">
        <f t="shared" si="8"/>
        <v>-0.28849999999999998</v>
      </c>
      <c r="AG26" s="8">
        <f t="shared" si="9"/>
        <v>3.6732051034160662E-6</v>
      </c>
      <c r="AH26" s="22">
        <f t="shared" si="10"/>
        <v>0.13775000000000004</v>
      </c>
      <c r="AI26" s="22">
        <f t="shared" si="11"/>
        <v>4.65E-2</v>
      </c>
      <c r="AJ26" s="22">
        <f t="shared" si="12"/>
        <v>0.20779999999999998</v>
      </c>
    </row>
    <row r="27" spans="1:36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-2.1010981872677799E-3</v>
      </c>
      <c r="M27" s="8">
        <f>'Proximal Validation (double)'!M27</f>
        <v>1.5756551176309599E-2</v>
      </c>
      <c r="N27" s="8">
        <f>'Proximal Validation (double)'!N27</f>
        <v>-0.160715162754059</v>
      </c>
      <c r="O27" s="8">
        <f>'Proximal Validation (double)'!O27</f>
        <v>2.54940949380398E-2</v>
      </c>
      <c r="P27" s="8">
        <f>'Proximal Validation (double)'!P27</f>
        <v>-0.88553363084793102</v>
      </c>
      <c r="Q27" s="8">
        <f>'Proximal Validation (double)'!Q27</f>
        <v>-5.3425669670105001E-2</v>
      </c>
      <c r="R27" s="8">
        <v>0.47760000000000002</v>
      </c>
      <c r="S27" s="8">
        <v>0.1</v>
      </c>
      <c r="T27" s="8">
        <v>3.2526999999999999</v>
      </c>
      <c r="U27" s="8">
        <v>1.5708</v>
      </c>
      <c r="V27" s="8">
        <v>0.41260000000000002</v>
      </c>
      <c r="W27" s="8">
        <v>4.9399999999999999E-2</v>
      </c>
      <c r="X27" s="8">
        <v>3.1455000000000002</v>
      </c>
      <c r="Y27" s="8">
        <v>1.5708</v>
      </c>
      <c r="Z27" s="8">
        <f t="shared" si="2"/>
        <v>0.37760000000000005</v>
      </c>
      <c r="AA27" s="8">
        <f t="shared" si="3"/>
        <v>-7.9999999999999988E-2</v>
      </c>
      <c r="AB27" s="8">
        <f t="shared" si="4"/>
        <v>-0.67430000000000012</v>
      </c>
      <c r="AC27" s="8">
        <f t="shared" si="5"/>
        <v>3.6732051034160662E-6</v>
      </c>
      <c r="AD27" s="8">
        <f t="shared" si="6"/>
        <v>-0.4874</v>
      </c>
      <c r="AE27" s="8">
        <f t="shared" si="7"/>
        <v>-3.0600000000000002E-2</v>
      </c>
      <c r="AF27" s="8">
        <f t="shared" si="8"/>
        <v>3.5000000000002807E-3</v>
      </c>
      <c r="AG27" s="8">
        <f t="shared" si="9"/>
        <v>3.6732051034160662E-6</v>
      </c>
      <c r="AH27" s="22">
        <f t="shared" si="10"/>
        <v>0.4325</v>
      </c>
      <c r="AI27" s="22">
        <f t="shared" si="11"/>
        <v>5.5299999999999995E-2</v>
      </c>
      <c r="AJ27" s="22">
        <f t="shared" si="12"/>
        <v>0.3389000000000002</v>
      </c>
    </row>
    <row r="28" spans="1:36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-2.0807487890124299E-3</v>
      </c>
      <c r="M28" s="8">
        <f>'Proximal Validation (double)'!M28</f>
        <v>0.205877780914307</v>
      </c>
      <c r="N28" s="8">
        <f>'Proximal Validation (double)'!N28</f>
        <v>-0.19408226013183599</v>
      </c>
      <c r="O28" s="8">
        <f>'Proximal Validation (double)'!O28</f>
        <v>-0.39274537563324002</v>
      </c>
      <c r="P28" s="8">
        <f>'Proximal Validation (double)'!P28</f>
        <v>-0.65224993228912398</v>
      </c>
      <c r="Q28" s="8">
        <f>'Proximal Validation (double)'!Q28</f>
        <v>-0.73969256877899203</v>
      </c>
      <c r="R28" s="8">
        <v>0.99139999999999995</v>
      </c>
      <c r="S28" s="8">
        <v>0.17949999999999999</v>
      </c>
      <c r="T28" s="8">
        <v>3.9272999999999998</v>
      </c>
      <c r="U28" s="8">
        <v>1.5708</v>
      </c>
      <c r="V28" s="8">
        <v>0.1</v>
      </c>
      <c r="W28" s="8">
        <v>0.08</v>
      </c>
      <c r="X28" s="8">
        <v>4.6334999999999997</v>
      </c>
      <c r="Y28" s="8">
        <v>1.5708</v>
      </c>
      <c r="Z28" s="8">
        <f t="shared" si="2"/>
        <v>-8.600000000000052E-3</v>
      </c>
      <c r="AA28" s="8">
        <f t="shared" si="3"/>
        <v>-5.0000000000000044E-4</v>
      </c>
      <c r="AB28" s="8">
        <f t="shared" si="4"/>
        <v>2.9999999999974492E-4</v>
      </c>
      <c r="AC28" s="8">
        <f t="shared" si="5"/>
        <v>3.6732051034160662E-6</v>
      </c>
      <c r="AD28" s="8">
        <f t="shared" si="6"/>
        <v>0</v>
      </c>
      <c r="AE28" s="8">
        <f t="shared" si="7"/>
        <v>0</v>
      </c>
      <c r="AF28" s="8">
        <f t="shared" si="8"/>
        <v>-7.8500000000000014E-2</v>
      </c>
      <c r="AG28" s="8">
        <f t="shared" si="9"/>
        <v>3.6732051034160662E-6</v>
      </c>
      <c r="AH28" s="22">
        <f t="shared" si="10"/>
        <v>4.300000000000026E-3</v>
      </c>
      <c r="AI28" s="22">
        <f t="shared" si="11"/>
        <v>2.5000000000000022E-4</v>
      </c>
      <c r="AJ28" s="22">
        <f t="shared" si="12"/>
        <v>3.939999999999988E-2</v>
      </c>
    </row>
    <row r="29" spans="1:36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-1.87318958342075E-3</v>
      </c>
      <c r="M29" s="8">
        <f>'Proximal Validation (double)'!M29</f>
        <v>0.13435347378253901</v>
      </c>
      <c r="N29" s="8">
        <f>'Proximal Validation (double)'!N29</f>
        <v>-0.13989627361297599</v>
      </c>
      <c r="O29" s="8">
        <f>'Proximal Validation (double)'!O29</f>
        <v>-0.26602268218994102</v>
      </c>
      <c r="P29" s="8">
        <f>'Proximal Validation (double)'!P29</f>
        <v>-0.53642767667770397</v>
      </c>
      <c r="Q29" s="8">
        <f>'Proximal Validation (double)'!Q29</f>
        <v>-0.50663030147552501</v>
      </c>
      <c r="R29" s="8">
        <v>0.66139999999999999</v>
      </c>
      <c r="S29" s="8">
        <v>0.19489999999999999</v>
      </c>
      <c r="T29" s="8">
        <v>3.9150999999999998</v>
      </c>
      <c r="U29" s="8">
        <v>1.5708</v>
      </c>
      <c r="V29" s="8">
        <v>0.13250000000000001</v>
      </c>
      <c r="W29" s="8">
        <v>4.0800000000000003E-2</v>
      </c>
      <c r="X29" s="8">
        <v>3.8288000000000002</v>
      </c>
      <c r="Y29" s="8">
        <v>1.5708</v>
      </c>
      <c r="Z29" s="8">
        <f t="shared" si="2"/>
        <v>-3.8599999999999968E-2</v>
      </c>
      <c r="AA29" s="8">
        <f t="shared" si="3"/>
        <v>-5.1000000000000212E-3</v>
      </c>
      <c r="AB29" s="8">
        <f t="shared" si="4"/>
        <v>-1.1900000000000244E-2</v>
      </c>
      <c r="AC29" s="8">
        <f t="shared" si="5"/>
        <v>3.6732051034160662E-6</v>
      </c>
      <c r="AD29" s="8">
        <f t="shared" si="6"/>
        <v>-6.7500000000000004E-2</v>
      </c>
      <c r="AE29" s="8">
        <f t="shared" si="7"/>
        <v>2.0800000000000003E-2</v>
      </c>
      <c r="AF29" s="8">
        <f t="shared" si="8"/>
        <v>-9.8199999999999843E-2</v>
      </c>
      <c r="AG29" s="8">
        <f t="shared" si="9"/>
        <v>3.6732051034160662E-6</v>
      </c>
      <c r="AH29" s="22">
        <f t="shared" si="10"/>
        <v>5.3049999999999986E-2</v>
      </c>
      <c r="AI29" s="22">
        <f t="shared" si="11"/>
        <v>1.2950000000000012E-2</v>
      </c>
      <c r="AJ29" s="22">
        <f t="shared" si="12"/>
        <v>5.5050000000000043E-2</v>
      </c>
    </row>
    <row r="30" spans="1:36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-3.7020025774836501E-3</v>
      </c>
      <c r="M30" s="8">
        <f>'Proximal Validation (double)'!M30</f>
        <v>0.26659435033798201</v>
      </c>
      <c r="N30" s="8">
        <f>'Proximal Validation (double)'!N30</f>
        <v>-0.30219966173172003</v>
      </c>
      <c r="O30" s="8">
        <f>'Proximal Validation (double)'!O30</f>
        <v>-0.59528750181198098</v>
      </c>
      <c r="P30" s="8">
        <f>'Proximal Validation (double)'!P30</f>
        <v>-1.3395630121231099</v>
      </c>
      <c r="Q30" s="8">
        <f>'Proximal Validation (double)'!Q30</f>
        <v>-1.10396945476532</v>
      </c>
      <c r="R30" s="8">
        <v>0.97</v>
      </c>
      <c r="S30" s="8">
        <v>0.18590000000000001</v>
      </c>
      <c r="T30" s="8">
        <v>3.9573</v>
      </c>
      <c r="U30" s="8">
        <v>1.5708</v>
      </c>
      <c r="V30" s="8">
        <v>0.93500000000000005</v>
      </c>
      <c r="W30" s="8">
        <v>0.08</v>
      </c>
      <c r="X30" s="8">
        <v>3.7202999999999999</v>
      </c>
      <c r="Y30" s="8">
        <v>1.5708</v>
      </c>
      <c r="Z30" s="8">
        <f t="shared" si="2"/>
        <v>-3.0000000000000027E-2</v>
      </c>
      <c r="AA30" s="8">
        <f t="shared" si="3"/>
        <v>-1.4100000000000001E-2</v>
      </c>
      <c r="AB30" s="8">
        <f t="shared" si="4"/>
        <v>3.0299999999999994E-2</v>
      </c>
      <c r="AC30" s="8">
        <f t="shared" si="5"/>
        <v>3.6732051034160662E-6</v>
      </c>
      <c r="AD30" s="8">
        <f t="shared" si="6"/>
        <v>-6.4999999999999947E-2</v>
      </c>
      <c r="AE30" s="8">
        <f t="shared" si="7"/>
        <v>2.0000000000000004E-2</v>
      </c>
      <c r="AF30" s="8">
        <f t="shared" si="8"/>
        <v>-0.20670000000000011</v>
      </c>
      <c r="AG30" s="8">
        <f t="shared" si="9"/>
        <v>3.6732051034160662E-6</v>
      </c>
      <c r="AH30" s="22">
        <f t="shared" si="10"/>
        <v>4.7499999999999987E-2</v>
      </c>
      <c r="AI30" s="22">
        <f t="shared" si="11"/>
        <v>1.7050000000000003E-2</v>
      </c>
      <c r="AJ30" s="22">
        <f t="shared" si="12"/>
        <v>0.11850000000000005</v>
      </c>
    </row>
    <row r="31" spans="1:36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-2.9836385510861901E-4</v>
      </c>
      <c r="M31" s="8">
        <f>'Proximal Validation (double)'!M31</f>
        <v>1.1398071423172999E-2</v>
      </c>
      <c r="N31" s="8">
        <f>'Proximal Validation (double)'!N31</f>
        <v>-2.4645710363984101E-2</v>
      </c>
      <c r="O31" s="8">
        <f>'Proximal Validation (double)'!O31</f>
        <v>1.9913738593459102E-2</v>
      </c>
      <c r="P31" s="8">
        <f>'Proximal Validation (double)'!P31</f>
        <v>-0.214856266975403</v>
      </c>
      <c r="Q31" s="8">
        <f>'Proximal Validation (double)'!Q31</f>
        <v>-6.1887651681899997E-2</v>
      </c>
      <c r="R31" s="8">
        <v>0.10059999999999999</v>
      </c>
      <c r="S31" s="8">
        <v>0.1</v>
      </c>
      <c r="T31" s="8">
        <v>2.9687999999999999</v>
      </c>
      <c r="U31" s="8">
        <v>1.5708</v>
      </c>
      <c r="V31" s="8">
        <v>0.1399</v>
      </c>
      <c r="W31" s="8">
        <v>2.6200000000000001E-2</v>
      </c>
      <c r="X31" s="8">
        <v>3.7555999999999998</v>
      </c>
      <c r="Y31" s="8">
        <v>1.5708</v>
      </c>
      <c r="Z31" s="8">
        <f t="shared" si="2"/>
        <v>5.9999999999998943E-4</v>
      </c>
      <c r="AA31" s="8">
        <f t="shared" si="3"/>
        <v>0</v>
      </c>
      <c r="AB31" s="8">
        <f t="shared" si="4"/>
        <v>-1.7431999999999999</v>
      </c>
      <c r="AC31" s="8">
        <f t="shared" si="5"/>
        <v>3.6732051034160662E-6</v>
      </c>
      <c r="AD31" s="8">
        <f t="shared" si="6"/>
        <v>-6.0100000000000015E-2</v>
      </c>
      <c r="AE31" s="8">
        <f t="shared" si="7"/>
        <v>6.2000000000000006E-3</v>
      </c>
      <c r="AF31" s="8">
        <f t="shared" si="8"/>
        <v>0.61359999999999992</v>
      </c>
      <c r="AG31" s="8">
        <f t="shared" si="9"/>
        <v>3.6732051034160662E-6</v>
      </c>
      <c r="AH31" s="22">
        <f t="shared" si="10"/>
        <v>3.0350000000000002E-2</v>
      </c>
      <c r="AI31" s="22">
        <f t="shared" si="11"/>
        <v>3.1000000000000003E-3</v>
      </c>
      <c r="AJ31" s="22">
        <f t="shared" si="12"/>
        <v>1.1783999999999999</v>
      </c>
    </row>
    <row r="32" spans="1:36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1.33801531046629E-3</v>
      </c>
      <c r="M32" s="8">
        <f>'Proximal Validation (double)'!M32</f>
        <v>0.12020714581012699</v>
      </c>
      <c r="N32" s="8">
        <f>'Proximal Validation (double)'!N32</f>
        <v>-7.8008078038692502E-2</v>
      </c>
      <c r="O32" s="8">
        <f>'Proximal Validation (double)'!O32</f>
        <v>1.24355498701334E-2</v>
      </c>
      <c r="P32" s="8">
        <f>'Proximal Validation (double)'!P32</f>
        <v>-0.59375947713851895</v>
      </c>
      <c r="Q32" s="8">
        <f>'Proximal Validation (double)'!Q32</f>
        <v>-0.77984750270843495</v>
      </c>
      <c r="R32" s="8">
        <v>0.2261</v>
      </c>
      <c r="S32" s="8">
        <v>0.1</v>
      </c>
      <c r="T32" s="8">
        <v>4.33</v>
      </c>
      <c r="U32" s="8">
        <v>1.5708</v>
      </c>
      <c r="V32" s="8">
        <v>0.76459999999999995</v>
      </c>
      <c r="W32" s="8">
        <v>4.1399999999999999E-2</v>
      </c>
      <c r="X32" s="8">
        <v>3.9847000000000001</v>
      </c>
      <c r="Y32" s="8">
        <v>1.5708</v>
      </c>
      <c r="Z32" s="8">
        <f t="shared" si="2"/>
        <v>-7.3899999999999993E-2</v>
      </c>
      <c r="AA32" s="8">
        <f t="shared" si="3"/>
        <v>0</v>
      </c>
      <c r="AB32" s="8">
        <f t="shared" si="4"/>
        <v>-0.38199999999999967</v>
      </c>
      <c r="AC32" s="8">
        <f t="shared" si="5"/>
        <v>3.6732051034160662E-6</v>
      </c>
      <c r="AD32" s="8">
        <f t="shared" si="6"/>
        <v>-3.5400000000000098E-2</v>
      </c>
      <c r="AE32" s="8">
        <f t="shared" si="7"/>
        <v>1.3999999999999985E-3</v>
      </c>
      <c r="AF32" s="8">
        <f t="shared" si="8"/>
        <v>5.7700000000000085E-2</v>
      </c>
      <c r="AG32" s="8">
        <f t="shared" si="9"/>
        <v>3.6732051034160662E-6</v>
      </c>
      <c r="AH32" s="22">
        <f t="shared" si="10"/>
        <v>5.4650000000000046E-2</v>
      </c>
      <c r="AI32" s="22">
        <f t="shared" si="11"/>
        <v>6.9999999999999923E-4</v>
      </c>
      <c r="AJ32" s="22">
        <f t="shared" si="12"/>
        <v>0.21984999999999988</v>
      </c>
    </row>
    <row r="33" spans="1:36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2.7945239562541199E-3</v>
      </c>
      <c r="M33" s="8">
        <f>'Proximal Validation (double)'!M33</f>
        <v>0.24397116899490401</v>
      </c>
      <c r="N33" s="8">
        <f>'Proximal Validation (double)'!N33</f>
        <v>1.2453994713723699E-2</v>
      </c>
      <c r="O33" s="8">
        <f>'Proximal Validation (double)'!O33</f>
        <v>-6.59529305994511E-3</v>
      </c>
      <c r="P33" s="8">
        <f>'Proximal Validation (double)'!P33</f>
        <v>6.8884432315826402E-2</v>
      </c>
      <c r="Q33" s="8">
        <f>'Proximal Validation (double)'!Q33</f>
        <v>-1.3081740140914899</v>
      </c>
      <c r="R33" s="8">
        <v>0.31040000000000001</v>
      </c>
      <c r="S33" s="8">
        <v>0.1</v>
      </c>
      <c r="T33" s="8">
        <v>4.7123999999999997</v>
      </c>
      <c r="U33" s="8">
        <v>1.5708</v>
      </c>
      <c r="V33" s="8">
        <v>1</v>
      </c>
      <c r="W33" s="8">
        <v>7.8399999999999997E-2</v>
      </c>
      <c r="X33" s="8">
        <v>4.7123999999999997</v>
      </c>
      <c r="Y33" s="8">
        <v>1.5708</v>
      </c>
      <c r="Z33" s="8">
        <f t="shared" si="2"/>
        <v>-0.68959999999999999</v>
      </c>
      <c r="AA33" s="8">
        <f t="shared" si="3"/>
        <v>0</v>
      </c>
      <c r="AB33" s="8">
        <f t="shared" si="4"/>
        <v>3.9999999999995595E-4</v>
      </c>
      <c r="AC33" s="8">
        <f t="shared" si="5"/>
        <v>3.6732051034160662E-6</v>
      </c>
      <c r="AD33" s="8">
        <f t="shared" si="6"/>
        <v>0.9</v>
      </c>
      <c r="AE33" s="8">
        <f t="shared" si="7"/>
        <v>3.8399999999999997E-2</v>
      </c>
      <c r="AF33" s="8">
        <f t="shared" si="8"/>
        <v>3.9999999999995595E-4</v>
      </c>
      <c r="AG33" s="8">
        <f t="shared" si="9"/>
        <v>3.6732051034160662E-6</v>
      </c>
      <c r="AH33" s="22">
        <f t="shared" si="10"/>
        <v>0.79479999999999995</v>
      </c>
      <c r="AI33" s="22">
        <f t="shared" si="11"/>
        <v>1.9199999999999998E-2</v>
      </c>
      <c r="AJ33" s="22">
        <f t="shared" si="12"/>
        <v>3.9999999999995595E-4</v>
      </c>
    </row>
    <row r="34" spans="1:36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2.5964039377868202E-3</v>
      </c>
      <c r="M34" s="8">
        <f>'Proximal Validation (double)'!M34</f>
        <v>0.18914604187011699</v>
      </c>
      <c r="N34" s="8">
        <f>'Proximal Validation (double)'!N34</f>
        <v>2.9903646558523199E-2</v>
      </c>
      <c r="O34" s="8">
        <f>'Proximal Validation (double)'!O34</f>
        <v>-6.4636766910552996E-3</v>
      </c>
      <c r="P34" s="8">
        <f>'Proximal Validation (double)'!P34</f>
        <v>0.158803179860115</v>
      </c>
      <c r="Q34" s="8">
        <f>'Proximal Validation (double)'!Q34</f>
        <v>-1.0939816236496001</v>
      </c>
      <c r="R34" s="8">
        <v>0.32600000000000001</v>
      </c>
      <c r="S34" s="8">
        <v>0.13539999999999999</v>
      </c>
      <c r="T34" s="8">
        <v>4.7123999999999997</v>
      </c>
      <c r="U34" s="8">
        <v>1.5708</v>
      </c>
      <c r="V34" s="8">
        <v>0.76829999999999998</v>
      </c>
      <c r="W34" s="8">
        <v>5.5899999999999998E-2</v>
      </c>
      <c r="X34" s="8">
        <v>4.7123999999999997</v>
      </c>
      <c r="Y34" s="8">
        <v>1.5708</v>
      </c>
      <c r="Z34" s="8">
        <f t="shared" si="2"/>
        <v>0.22600000000000001</v>
      </c>
      <c r="AA34" s="8">
        <f t="shared" si="3"/>
        <v>3.5399999999999987E-2</v>
      </c>
      <c r="AB34" s="8">
        <f t="shared" si="4"/>
        <v>3.9999999999995595E-4</v>
      </c>
      <c r="AC34" s="8">
        <f t="shared" si="5"/>
        <v>3.6732051034160662E-6</v>
      </c>
      <c r="AD34" s="8">
        <f t="shared" si="6"/>
        <v>-0.23170000000000002</v>
      </c>
      <c r="AE34" s="8">
        <f t="shared" si="7"/>
        <v>-2.4100000000000003E-2</v>
      </c>
      <c r="AF34" s="8">
        <f t="shared" si="8"/>
        <v>3.9999999999995595E-4</v>
      </c>
      <c r="AG34" s="8">
        <f t="shared" si="9"/>
        <v>3.6732051034160662E-6</v>
      </c>
      <c r="AH34" s="22">
        <f t="shared" si="10"/>
        <v>0.22885</v>
      </c>
      <c r="AI34" s="22">
        <f t="shared" si="11"/>
        <v>2.9749999999999995E-2</v>
      </c>
      <c r="AJ34" s="22">
        <f t="shared" si="12"/>
        <v>3.9999999999995595E-4</v>
      </c>
    </row>
    <row r="35" spans="1:36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-7.47585669159889E-4</v>
      </c>
      <c r="M35" s="8">
        <f>'Proximal Validation (double)'!M35</f>
        <v>0.23934969305992099</v>
      </c>
      <c r="N35" s="8">
        <f>'Proximal Validation (double)'!N35</f>
        <v>-9.9573642015457195E-2</v>
      </c>
      <c r="O35" s="8">
        <f>'Proximal Validation (double)'!O35</f>
        <v>-0.13754428923129999</v>
      </c>
      <c r="P35" s="8">
        <f>'Proximal Validation (double)'!P35</f>
        <v>-0.88355565071106001</v>
      </c>
      <c r="Q35" s="8">
        <f>'Proximal Validation (double)'!Q35</f>
        <v>-1.16920530796051</v>
      </c>
      <c r="R35" s="8">
        <v>0.91859999999999997</v>
      </c>
      <c r="S35" s="8">
        <v>0.14050000000000001</v>
      </c>
      <c r="T35" s="8">
        <v>4.7070999999999996</v>
      </c>
      <c r="U35" s="8">
        <v>1.5708</v>
      </c>
      <c r="V35" s="8">
        <v>0.91659999999999997</v>
      </c>
      <c r="W35" s="8">
        <v>2.2200000000000001E-2</v>
      </c>
      <c r="X35" s="8">
        <v>3.4300999999999999</v>
      </c>
      <c r="Y35" s="8">
        <v>1.5708</v>
      </c>
      <c r="Z35" s="8">
        <f t="shared" si="2"/>
        <v>1.859999999999995E-2</v>
      </c>
      <c r="AA35" s="8">
        <f t="shared" si="3"/>
        <v>2.0500000000000018E-2</v>
      </c>
      <c r="AB35" s="8">
        <f t="shared" si="4"/>
        <v>-4.9000000000001265E-3</v>
      </c>
      <c r="AC35" s="8">
        <f t="shared" si="5"/>
        <v>3.6732051034160662E-6</v>
      </c>
      <c r="AD35" s="8">
        <f t="shared" si="6"/>
        <v>1.6599999999999948E-2</v>
      </c>
      <c r="AE35" s="8">
        <f t="shared" si="7"/>
        <v>2.2000000000000006E-3</v>
      </c>
      <c r="AF35" s="8">
        <f t="shared" si="8"/>
        <v>0.28810000000000002</v>
      </c>
      <c r="AG35" s="8">
        <f t="shared" si="9"/>
        <v>3.6732051034160662E-6</v>
      </c>
      <c r="AH35" s="22">
        <f t="shared" si="10"/>
        <v>1.7599999999999949E-2</v>
      </c>
      <c r="AI35" s="22">
        <f t="shared" si="11"/>
        <v>1.1350000000000009E-2</v>
      </c>
      <c r="AJ35" s="22">
        <f t="shared" si="12"/>
        <v>0.14650000000000007</v>
      </c>
    </row>
    <row r="36" spans="1:36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-5.7288859970867599E-3</v>
      </c>
      <c r="M36" s="8">
        <f>'Proximal Validation (double)'!M36</f>
        <v>0.26700088381767301</v>
      </c>
      <c r="N36" s="8">
        <f>'Proximal Validation (double)'!N36</f>
        <v>-0.13192363083362599</v>
      </c>
      <c r="O36" s="8">
        <f>'Proximal Validation (double)'!O36</f>
        <v>-0.16222637891769401</v>
      </c>
      <c r="P36" s="8">
        <f>'Proximal Validation (double)'!P36</f>
        <v>-0.74046343564987205</v>
      </c>
      <c r="Q36" s="8">
        <f>'Proximal Validation (double)'!Q36</f>
        <v>-1.2301561832428001</v>
      </c>
      <c r="R36" s="8">
        <v>0.76700000000000002</v>
      </c>
      <c r="S36" s="8">
        <v>0.15670000000000001</v>
      </c>
      <c r="T36" s="8">
        <v>4.5819000000000001</v>
      </c>
      <c r="U36" s="8">
        <v>1.5708</v>
      </c>
      <c r="V36" s="8">
        <v>0.80220000000000002</v>
      </c>
      <c r="W36" s="8">
        <v>7.7899999999999997E-2</v>
      </c>
      <c r="X36" s="8">
        <v>3.7865000000000002</v>
      </c>
      <c r="Y36" s="8">
        <v>1.5708</v>
      </c>
      <c r="Z36" s="8">
        <f t="shared" si="2"/>
        <v>-0.23299999999999998</v>
      </c>
      <c r="AA36" s="8">
        <f t="shared" si="3"/>
        <v>3.670000000000001E-2</v>
      </c>
      <c r="AB36" s="8">
        <f t="shared" si="4"/>
        <v>-0.13009999999999966</v>
      </c>
      <c r="AC36" s="8">
        <f t="shared" si="5"/>
        <v>3.6732051034160662E-6</v>
      </c>
      <c r="AD36" s="8">
        <f t="shared" si="6"/>
        <v>2.1999999999999797E-3</v>
      </c>
      <c r="AE36" s="8">
        <f t="shared" si="7"/>
        <v>-2.1000000000000046E-3</v>
      </c>
      <c r="AF36" s="8">
        <f t="shared" si="8"/>
        <v>0.64450000000000029</v>
      </c>
      <c r="AG36" s="8">
        <f t="shared" si="9"/>
        <v>3.6732051034160662E-6</v>
      </c>
      <c r="AH36" s="22">
        <f t="shared" si="10"/>
        <v>0.11759999999999998</v>
      </c>
      <c r="AI36" s="22">
        <f t="shared" si="11"/>
        <v>1.9400000000000008E-2</v>
      </c>
      <c r="AJ36" s="22">
        <f t="shared" si="12"/>
        <v>0.38729999999999998</v>
      </c>
    </row>
    <row r="37" spans="1:36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-3.59367998316884E-3</v>
      </c>
      <c r="M37" s="8">
        <f>'Proximal Validation (double)'!M37</f>
        <v>8.4611706435680403E-2</v>
      </c>
      <c r="N37" s="8">
        <f>'Proximal Validation (double)'!N37</f>
        <v>-4.8628196120262097E-2</v>
      </c>
      <c r="O37" s="8">
        <f>'Proximal Validation (double)'!O37</f>
        <v>3.4434549510479001E-2</v>
      </c>
      <c r="P37" s="8">
        <f>'Proximal Validation (double)'!P37</f>
        <v>-0.30159375071525601</v>
      </c>
      <c r="Q37" s="8">
        <f>'Proximal Validation (double)'!Q37</f>
        <v>-0.31295472383499101</v>
      </c>
      <c r="R37" s="8">
        <v>0.22320000000000001</v>
      </c>
      <c r="S37" s="8">
        <v>0.15809999999999999</v>
      </c>
      <c r="T37" s="8">
        <v>4.1444999999999999</v>
      </c>
      <c r="U37" s="8">
        <v>1.5708</v>
      </c>
      <c r="V37" s="8">
        <v>0.22209999999999999</v>
      </c>
      <c r="W37" s="8">
        <v>5.4399999999999997E-2</v>
      </c>
      <c r="X37" s="8">
        <v>3.7553000000000001</v>
      </c>
      <c r="Y37" s="8">
        <v>1.5708</v>
      </c>
      <c r="Z37" s="8">
        <f t="shared" si="2"/>
        <v>-7.6799999999999979E-2</v>
      </c>
      <c r="AA37" s="8">
        <f t="shared" si="3"/>
        <v>-2.1900000000000003E-2</v>
      </c>
      <c r="AB37" s="8">
        <f t="shared" si="4"/>
        <v>-0.56749999999999989</v>
      </c>
      <c r="AC37" s="8">
        <f t="shared" si="5"/>
        <v>3.6732051034160662E-6</v>
      </c>
      <c r="AD37" s="8">
        <f t="shared" si="6"/>
        <v>-7.7899999999999997E-2</v>
      </c>
      <c r="AE37" s="8">
        <f t="shared" si="7"/>
        <v>-5.6000000000000008E-3</v>
      </c>
      <c r="AF37" s="8">
        <f t="shared" si="8"/>
        <v>0.61330000000000018</v>
      </c>
      <c r="AG37" s="8">
        <f t="shared" si="9"/>
        <v>3.6732051034160662E-6</v>
      </c>
      <c r="AH37" s="22">
        <f t="shared" si="10"/>
        <v>7.7349999999999988E-2</v>
      </c>
      <c r="AI37" s="22">
        <f t="shared" si="11"/>
        <v>1.3750000000000002E-2</v>
      </c>
      <c r="AJ37" s="22">
        <f t="shared" si="12"/>
        <v>0.59040000000000004</v>
      </c>
    </row>
    <row r="38" spans="1:36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-2.5372554082423401E-3</v>
      </c>
      <c r="M38" s="8">
        <f>'Proximal Validation (double)'!M38</f>
        <v>0.23767614364624001</v>
      </c>
      <c r="N38" s="8">
        <f>'Proximal Validation (double)'!N38</f>
        <v>-4.0118761360645301E-2</v>
      </c>
      <c r="O38" s="8">
        <f>'Proximal Validation (double)'!O38</f>
        <v>-0.48286521434783902</v>
      </c>
      <c r="P38" s="8">
        <f>'Proximal Validation (double)'!P38</f>
        <v>-0.22859935462474801</v>
      </c>
      <c r="Q38" s="8">
        <f>'Proximal Validation (double)'!Q38</f>
        <v>-0.81168925762176503</v>
      </c>
      <c r="R38" s="8">
        <v>0.8629</v>
      </c>
      <c r="S38" s="8">
        <v>0.1968</v>
      </c>
      <c r="T38" s="8">
        <v>4.6984000000000004</v>
      </c>
      <c r="U38" s="8">
        <v>1.5708</v>
      </c>
      <c r="V38" s="8">
        <v>0.23599999999999999</v>
      </c>
      <c r="W38" s="8">
        <v>0.08</v>
      </c>
      <c r="X38" s="8">
        <v>3.5472000000000001</v>
      </c>
      <c r="Y38" s="8">
        <v>1.5708</v>
      </c>
      <c r="Z38" s="8">
        <f t="shared" si="2"/>
        <v>-3.7100000000000022E-2</v>
      </c>
      <c r="AA38" s="8">
        <f t="shared" si="3"/>
        <v>1.6800000000000009E-2</v>
      </c>
      <c r="AB38" s="8">
        <f t="shared" si="4"/>
        <v>-1.359999999999939E-2</v>
      </c>
      <c r="AC38" s="8">
        <f t="shared" si="5"/>
        <v>3.6732051034160662E-6</v>
      </c>
      <c r="AD38" s="8">
        <f t="shared" si="6"/>
        <v>3.5999999999999976E-2</v>
      </c>
      <c r="AE38" s="8">
        <f t="shared" si="7"/>
        <v>0</v>
      </c>
      <c r="AF38" s="8">
        <f t="shared" si="8"/>
        <v>0.40520000000000023</v>
      </c>
      <c r="AG38" s="8">
        <f t="shared" si="9"/>
        <v>3.6732051034160662E-6</v>
      </c>
      <c r="AH38" s="22">
        <f t="shared" si="10"/>
        <v>3.6549999999999999E-2</v>
      </c>
      <c r="AI38" s="22">
        <f t="shared" si="11"/>
        <v>8.4000000000000047E-3</v>
      </c>
      <c r="AJ38" s="22">
        <f t="shared" si="12"/>
        <v>0.20939999999999981</v>
      </c>
    </row>
    <row r="39" spans="1:36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5.4148025810718502E-5</v>
      </c>
      <c r="M39" s="8">
        <f>'Proximal Validation (double)'!M39</f>
        <v>0.130592405796051</v>
      </c>
      <c r="N39" s="8">
        <f>'Proximal Validation (double)'!N39</f>
        <v>-1.0551102459430699E-3</v>
      </c>
      <c r="O39" s="8">
        <f>'Proximal Validation (double)'!O39</f>
        <v>5.6034162640571601E-2</v>
      </c>
      <c r="P39" s="8">
        <f>'Proximal Validation (double)'!P39</f>
        <v>-1.5731915831565899E-2</v>
      </c>
      <c r="Q39" s="8">
        <f>'Proximal Validation (double)'!Q39</f>
        <v>-1.0787600278854399</v>
      </c>
      <c r="R39" s="8">
        <v>0.10009999999999999</v>
      </c>
      <c r="S39" s="8">
        <v>0.1</v>
      </c>
      <c r="T39" s="8">
        <v>4.7123999999999997</v>
      </c>
      <c r="U39" s="8">
        <v>1.5708</v>
      </c>
      <c r="V39" s="8">
        <v>0.97860000000000003</v>
      </c>
      <c r="W39" s="8">
        <v>2.3300000000000001E-2</v>
      </c>
      <c r="X39" s="8">
        <v>4.6962999999999999</v>
      </c>
      <c r="Y39" s="8">
        <v>1.5708</v>
      </c>
      <c r="Z39" s="8">
        <f t="shared" si="2"/>
        <v>9.9999999999988987E-5</v>
      </c>
      <c r="AA39" s="8">
        <f t="shared" si="3"/>
        <v>-7.9999999999999988E-2</v>
      </c>
      <c r="AB39" s="8">
        <f t="shared" si="4"/>
        <v>3.9999999999995595E-4</v>
      </c>
      <c r="AC39" s="8">
        <f t="shared" si="5"/>
        <v>3.6732051034160662E-6</v>
      </c>
      <c r="AD39" s="8">
        <f t="shared" si="6"/>
        <v>-2.1399999999999975E-2</v>
      </c>
      <c r="AE39" s="8">
        <f t="shared" si="7"/>
        <v>3.3000000000000008E-3</v>
      </c>
      <c r="AF39" s="8">
        <f t="shared" si="8"/>
        <v>-1.5699999999999825E-2</v>
      </c>
      <c r="AG39" s="8">
        <f t="shared" si="9"/>
        <v>3.6732051034160662E-6</v>
      </c>
      <c r="AH39" s="22">
        <f t="shared" si="10"/>
        <v>1.0749999999999982E-2</v>
      </c>
      <c r="AI39" s="22">
        <f t="shared" si="11"/>
        <v>4.1649999999999993E-2</v>
      </c>
      <c r="AJ39" s="22">
        <f t="shared" si="12"/>
        <v>8.0499999999998906E-3</v>
      </c>
    </row>
    <row r="40" spans="1:36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-5.3779371082782702E-3</v>
      </c>
      <c r="M40" s="8">
        <f>'Proximal Validation (double)'!M40</f>
        <v>0.29702112078666698</v>
      </c>
      <c r="N40" s="8">
        <f>'Proximal Validation (double)'!N40</f>
        <v>-2.0560383796691901E-2</v>
      </c>
      <c r="O40" s="8">
        <f>'Proximal Validation (double)'!O40</f>
        <v>-0.30376738309860202</v>
      </c>
      <c r="P40" s="8">
        <f>'Proximal Validation (double)'!P40</f>
        <v>-0.130133211612701</v>
      </c>
      <c r="Q40" s="8">
        <f>'Proximal Validation (double)'!Q40</f>
        <v>-1.3058658838272099</v>
      </c>
      <c r="R40" s="8">
        <v>0.64600000000000002</v>
      </c>
      <c r="S40" s="8">
        <v>0.19800000000000001</v>
      </c>
      <c r="T40" s="8">
        <v>4.7123999999999997</v>
      </c>
      <c r="U40" s="8">
        <v>1.5708</v>
      </c>
      <c r="V40" s="8">
        <v>0.72729999999999995</v>
      </c>
      <c r="W40" s="8">
        <v>0.08</v>
      </c>
      <c r="X40" s="8">
        <v>4.5430000000000001</v>
      </c>
      <c r="Y40" s="8">
        <v>1.5708</v>
      </c>
      <c r="Z40" s="8">
        <f t="shared" si="2"/>
        <v>-0.15400000000000003</v>
      </c>
      <c r="AA40" s="8">
        <f t="shared" si="3"/>
        <v>1.8000000000000016E-2</v>
      </c>
      <c r="AB40" s="8">
        <f t="shared" si="4"/>
        <v>3.9999999999995595E-4</v>
      </c>
      <c r="AC40" s="8">
        <f t="shared" si="5"/>
        <v>3.6732051034160662E-6</v>
      </c>
      <c r="AD40" s="8">
        <f t="shared" si="6"/>
        <v>0.12729999999999997</v>
      </c>
      <c r="AE40" s="8">
        <f t="shared" si="7"/>
        <v>2.0000000000000004E-2</v>
      </c>
      <c r="AF40" s="8">
        <f t="shared" si="8"/>
        <v>-0.16899999999999959</v>
      </c>
      <c r="AG40" s="8">
        <f t="shared" si="9"/>
        <v>3.6732051034160662E-6</v>
      </c>
      <c r="AH40" s="22">
        <f t="shared" si="10"/>
        <v>0.14065</v>
      </c>
      <c r="AI40" s="22">
        <f t="shared" si="11"/>
        <v>1.900000000000001E-2</v>
      </c>
      <c r="AJ40" s="22">
        <f t="shared" si="12"/>
        <v>8.4699999999999775E-2</v>
      </c>
    </row>
    <row r="41" spans="1:36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-1.2866270728409301E-2</v>
      </c>
      <c r="M41" s="8">
        <f>'Proximal Validation (double)'!M41</f>
        <v>0.26722592115402199</v>
      </c>
      <c r="N41" s="8">
        <f>'Proximal Validation (double)'!N41</f>
        <v>-0.10332116484642</v>
      </c>
      <c r="O41" s="8">
        <f>'Proximal Validation (double)'!O41</f>
        <v>-0.63931977748870905</v>
      </c>
      <c r="P41" s="8">
        <f>'Proximal Validation (double)'!P41</f>
        <v>-0.86686456203460704</v>
      </c>
      <c r="Q41" s="8">
        <f>'Proximal Validation (double)'!Q41</f>
        <v>-0.873266160488129</v>
      </c>
      <c r="R41" s="8">
        <v>1</v>
      </c>
      <c r="S41" s="8">
        <v>0.2</v>
      </c>
      <c r="T41" s="8">
        <v>4.7123999999999997</v>
      </c>
      <c r="U41" s="8">
        <v>1.5708</v>
      </c>
      <c r="V41" s="8">
        <v>0.84309999999999996</v>
      </c>
      <c r="W41" s="8">
        <v>3.1199999999999999E-2</v>
      </c>
      <c r="X41" s="8">
        <v>3.2303999999999999</v>
      </c>
      <c r="Y41" s="8">
        <v>1.5708</v>
      </c>
      <c r="Z41" s="8">
        <f t="shared" si="2"/>
        <v>0</v>
      </c>
      <c r="AA41" s="8">
        <f t="shared" si="3"/>
        <v>0</v>
      </c>
      <c r="AB41" s="8">
        <f t="shared" si="4"/>
        <v>3.9999999999995595E-4</v>
      </c>
      <c r="AC41" s="8">
        <f t="shared" si="5"/>
        <v>3.6732051034160662E-6</v>
      </c>
      <c r="AD41" s="8">
        <f t="shared" si="6"/>
        <v>4.3099999999999916E-2</v>
      </c>
      <c r="AE41" s="8">
        <f t="shared" si="7"/>
        <v>1.1199999999999998E-2</v>
      </c>
      <c r="AF41" s="8">
        <f t="shared" si="8"/>
        <v>8.8400000000000034E-2</v>
      </c>
      <c r="AG41" s="8">
        <f t="shared" si="9"/>
        <v>3.6732051034160662E-6</v>
      </c>
      <c r="AH41" s="22">
        <f t="shared" si="10"/>
        <v>2.1549999999999958E-2</v>
      </c>
      <c r="AI41" s="22">
        <f t="shared" si="11"/>
        <v>5.5999999999999991E-3</v>
      </c>
      <c r="AJ41" s="22">
        <f t="shared" si="12"/>
        <v>4.4399999999999995E-2</v>
      </c>
    </row>
    <row r="42" spans="1:36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-1.2752725742757301E-3</v>
      </c>
      <c r="M42" s="15">
        <f>'Proximal Validation (double)'!M42</f>
        <v>4.2479593306779903E-2</v>
      </c>
      <c r="N42" s="15">
        <f>'Proximal Validation (double)'!N42</f>
        <v>-1.04580884799361E-2</v>
      </c>
      <c r="O42" s="15">
        <f>'Proximal Validation (double)'!O42</f>
        <v>-2.78243236243725E-3</v>
      </c>
      <c r="P42" s="15">
        <f>'Proximal Validation (double)'!P42</f>
        <v>-5.4970372468233102E-2</v>
      </c>
      <c r="Q42" s="15">
        <f>'Proximal Validation (double)'!Q42</f>
        <v>-0.153516501188278</v>
      </c>
      <c r="R42" s="15">
        <v>0.1</v>
      </c>
      <c r="S42" s="15">
        <v>0.1</v>
      </c>
      <c r="T42" s="15">
        <v>2.0255999999999998</v>
      </c>
      <c r="U42" s="15">
        <v>1.5708</v>
      </c>
      <c r="V42" s="15">
        <v>0.24709999999999999</v>
      </c>
      <c r="W42" s="15">
        <v>0.08</v>
      </c>
      <c r="X42" s="15">
        <v>4.6680999999999999</v>
      </c>
      <c r="Y42" s="15">
        <v>1.5708</v>
      </c>
      <c r="Z42" s="15">
        <f t="shared" si="2"/>
        <v>-0.1</v>
      </c>
      <c r="AA42" s="15">
        <f t="shared" si="3"/>
        <v>-0.1</v>
      </c>
      <c r="AB42" s="15">
        <f t="shared" si="4"/>
        <v>-2.6863999999999999</v>
      </c>
      <c r="AC42" s="15">
        <f t="shared" si="5"/>
        <v>3.6732051034160662E-6</v>
      </c>
      <c r="AD42" s="15">
        <f t="shared" si="6"/>
        <v>0.14709999999999998</v>
      </c>
      <c r="AE42" s="15">
        <f t="shared" si="7"/>
        <v>0</v>
      </c>
      <c r="AF42" s="15">
        <f t="shared" si="8"/>
        <v>0.74109999999999987</v>
      </c>
      <c r="AG42" s="15">
        <f t="shared" si="9"/>
        <v>3.6732051034160662E-6</v>
      </c>
      <c r="AH42" s="22">
        <f t="shared" si="10"/>
        <v>0.12354999999999999</v>
      </c>
      <c r="AI42" s="22">
        <f t="shared" si="11"/>
        <v>0.05</v>
      </c>
      <c r="AJ42" s="22">
        <f t="shared" si="12"/>
        <v>1.7137499999999999</v>
      </c>
    </row>
    <row r="43" spans="1:36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</row>
    <row r="44" spans="1:36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</row>
    <row r="45" spans="1:36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</row>
    <row r="46" spans="1:36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</row>
    <row r="47" spans="1:36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</row>
    <row r="48" spans="1:36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</row>
    <row r="49" spans="1:25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</row>
    <row r="50" spans="1:25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</row>
    <row r="51" spans="1:25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</row>
    <row r="52" spans="1:25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</row>
  </sheetData>
  <mergeCells count="7">
    <mergeCell ref="AK2:AR2"/>
    <mergeCell ref="AK5:AR5"/>
    <mergeCell ref="AH1:AR1"/>
    <mergeCell ref="A1:K1"/>
    <mergeCell ref="L1:Q1"/>
    <mergeCell ref="R1:Y1"/>
    <mergeCell ref="Z1:A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9767-5560-4646-90E1-68D67C83546D}">
  <dimension ref="A1:AU58"/>
  <sheetViews>
    <sheetView tabSelected="1" workbookViewId="0">
      <pane ySplit="2" topLeftCell="A11" activePane="bottomLeft" state="frozen"/>
      <selection activeCell="J1" sqref="J1"/>
      <selection pane="bottomLeft" activeCell="AN13" sqref="AN1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11" bestFit="1" customWidth="1"/>
    <col min="28" max="28" width="13.85546875" bestFit="1" customWidth="1"/>
    <col min="29" max="29" width="11.140625" bestFit="1" customWidth="1"/>
    <col min="35" max="35" width="11" bestFit="1" customWidth="1"/>
    <col min="36" max="36" width="13.85546875" bestFit="1" customWidth="1"/>
    <col min="40" max="40" width="11" bestFit="1" customWidth="1"/>
    <col min="41" max="41" width="13.85546875" bestFit="1" customWidth="1"/>
    <col min="42" max="42" width="11.140625" bestFit="1" customWidth="1"/>
  </cols>
  <sheetData>
    <row r="1" spans="1:47" ht="15.75" x14ac:dyDescent="0.25">
      <c r="A1" s="26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28" t="s">
        <v>6</v>
      </c>
      <c r="M1" s="29"/>
      <c r="N1" s="29"/>
      <c r="O1" s="29"/>
      <c r="P1" s="29"/>
      <c r="Q1" s="29"/>
      <c r="R1" s="36" t="s">
        <v>7</v>
      </c>
      <c r="S1" s="37"/>
      <c r="T1" s="37"/>
      <c r="U1" s="37"/>
      <c r="V1" s="37"/>
      <c r="W1" s="37"/>
      <c r="X1" s="37"/>
      <c r="Y1" s="37"/>
      <c r="Z1" s="37"/>
      <c r="AA1" s="38" t="s">
        <v>13</v>
      </c>
      <c r="AB1" s="38"/>
      <c r="AC1" s="38"/>
      <c r="AD1" s="38"/>
      <c r="AE1" s="38"/>
      <c r="AF1" s="38"/>
      <c r="AG1" s="38"/>
      <c r="AH1" s="38"/>
      <c r="AI1" s="39" t="s">
        <v>36</v>
      </c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</row>
    <row r="2" spans="1:47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38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37</v>
      </c>
      <c r="AM2" s="20"/>
      <c r="AN2" s="35" t="s">
        <v>31</v>
      </c>
      <c r="AO2" s="35"/>
      <c r="AP2" s="35"/>
      <c r="AQ2" s="35"/>
      <c r="AR2" s="35"/>
      <c r="AS2" s="35"/>
      <c r="AT2" s="35"/>
      <c r="AU2" s="35"/>
    </row>
    <row r="3" spans="1:47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45">
        <f>'Proximal Validation (double)'!L3</f>
        <v>-1.9976701587438601E-3</v>
      </c>
      <c r="M3" s="45">
        <f>'Proximal Validation (double)'!M3</f>
        <v>-3.3190850168466603E-2</v>
      </c>
      <c r="N3" s="45">
        <f>'Proximal Validation (double)'!N3</f>
        <v>-0.13983803987503099</v>
      </c>
      <c r="O3" s="45">
        <f>'Proximal Validation (double)'!O3</f>
        <v>-1.5990611165761899E-2</v>
      </c>
      <c r="P3" s="45">
        <f>'Proximal Validation (double)'!P3</f>
        <v>-1.04125440120697</v>
      </c>
      <c r="Q3" s="45">
        <f>'Proximal Validation (double)'!Q3</f>
        <v>0.195114254951477</v>
      </c>
      <c r="R3" s="45">
        <v>0.18039868881083743</v>
      </c>
      <c r="S3" s="45">
        <v>0.19999999943171654</v>
      </c>
      <c r="T3" s="45">
        <v>2.6314253877757796</v>
      </c>
      <c r="U3" s="45">
        <v>1.5707963267948966</v>
      </c>
      <c r="V3" s="45">
        <v>0.89020345034565074</v>
      </c>
      <c r="W3" s="45">
        <v>2.0000000026151436E-2</v>
      </c>
      <c r="X3" s="45">
        <v>3.0209724196610015</v>
      </c>
      <c r="Y3" s="45">
        <v>1.5707963267948966</v>
      </c>
      <c r="Z3" s="46">
        <v>4.425871703301148E-5</v>
      </c>
      <c r="AA3" s="45">
        <f t="shared" ref="AA3:AA42" si="0">R3-A3</f>
        <v>-1.9601311189162585E-2</v>
      </c>
      <c r="AB3" s="45">
        <f t="shared" ref="AB3:AB42" si="1">S3-B3</f>
        <v>9.999999943171653E-2</v>
      </c>
      <c r="AC3" s="45">
        <f t="shared" ref="AC3:AC42" si="2">T3-C3</f>
        <v>1.0604253877757797</v>
      </c>
      <c r="AD3" s="45">
        <f t="shared" ref="AD3:AD42" si="3">U3-D3</f>
        <v>0</v>
      </c>
      <c r="AE3" s="45">
        <f t="shared" ref="AE3:AE42" si="4">V3-E3</f>
        <v>-0.10979654965434926</v>
      </c>
      <c r="AF3" s="45">
        <f t="shared" ref="AF3:AF42" si="5">W3-F3</f>
        <v>-1.9999999973848565E-2</v>
      </c>
      <c r="AG3" s="45">
        <f t="shared" ref="AG3:AG42" si="6">X3-G3</f>
        <v>-0.12102758033899841</v>
      </c>
      <c r="AH3" s="45">
        <f t="shared" ref="AH3:AH42" si="7">Y3-H3</f>
        <v>0</v>
      </c>
      <c r="AI3" s="47">
        <f>AVERAGE(ABS(AA3),ABS(AE3))</f>
        <v>6.4698930421755924E-2</v>
      </c>
      <c r="AJ3" s="47">
        <f t="shared" ref="AJ3:AK18" si="8">AVERAGE(ABS(AB3),ABS(AF3))</f>
        <v>5.9999999702782546E-2</v>
      </c>
      <c r="AK3" s="47">
        <f t="shared" si="8"/>
        <v>0.59072648405738903</v>
      </c>
      <c r="AL3" s="47">
        <f>ABS(S3-W3)</f>
        <v>0.1799999994055651</v>
      </c>
      <c r="AM3" s="47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45">
        <f>'Proximal Validation (double)'!L4</f>
        <v>-1.30753358826041E-3</v>
      </c>
      <c r="M4" s="45">
        <f>'Proximal Validation (double)'!M4</f>
        <v>-0.21146439015865301</v>
      </c>
      <c r="N4" s="45">
        <f>'Proximal Validation (double)'!N4</f>
        <v>-0.15480977296829199</v>
      </c>
      <c r="O4" s="45">
        <f>'Proximal Validation (double)'!O4</f>
        <v>-0.115148775279522</v>
      </c>
      <c r="P4" s="45">
        <f>'Proximal Validation (double)'!P4</f>
        <v>-0.885367691516876</v>
      </c>
      <c r="Q4" s="45">
        <f>'Proximal Validation (double)'!Q4</f>
        <v>1.0914549827575699</v>
      </c>
      <c r="R4" s="45">
        <v>0.67456469966542765</v>
      </c>
      <c r="S4" s="45">
        <v>0.15149019499145286</v>
      </c>
      <c r="T4" s="45">
        <v>2.0649980294141943</v>
      </c>
      <c r="U4" s="45">
        <v>1.5707963267948966</v>
      </c>
      <c r="V4" s="45">
        <v>0.76177984347459349</v>
      </c>
      <c r="W4" s="45">
        <v>4.7364679116932727E-2</v>
      </c>
      <c r="X4" s="45">
        <v>2.4157454160886682</v>
      </c>
      <c r="Y4" s="45">
        <v>1.5707963267948966</v>
      </c>
      <c r="Z4" s="46">
        <v>1.7096452367398889E-6</v>
      </c>
      <c r="AA4" s="45">
        <f t="shared" si="0"/>
        <v>-0.32543530033457235</v>
      </c>
      <c r="AB4" s="45">
        <f t="shared" si="1"/>
        <v>5.1490194991452853E-2</v>
      </c>
      <c r="AC4" s="45">
        <f t="shared" si="2"/>
        <v>0.49399802941419435</v>
      </c>
      <c r="AD4" s="45">
        <f t="shared" si="3"/>
        <v>0</v>
      </c>
      <c r="AE4" s="45">
        <f t="shared" si="4"/>
        <v>-0.23822015652540651</v>
      </c>
      <c r="AF4" s="45">
        <f t="shared" si="5"/>
        <v>-3.2635320883067274E-2</v>
      </c>
      <c r="AG4" s="45">
        <f t="shared" si="6"/>
        <v>-0.72625458391133169</v>
      </c>
      <c r="AH4" s="45">
        <f t="shared" si="7"/>
        <v>0</v>
      </c>
      <c r="AI4" s="47">
        <f t="shared" ref="AI4:AK42" si="9">AVERAGE(ABS(AA4),ABS(AE4))</f>
        <v>0.28182772842998943</v>
      </c>
      <c r="AJ4" s="47">
        <f t="shared" si="8"/>
        <v>4.2062757937260067E-2</v>
      </c>
      <c r="AK4" s="47">
        <f t="shared" si="8"/>
        <v>0.61012630666276302</v>
      </c>
      <c r="AL4" s="47">
        <f t="shared" ref="AL4:AL42" si="10">ABS(S4-W4)</f>
        <v>0.10412551587452012</v>
      </c>
      <c r="AM4" s="47"/>
      <c r="AN4" s="21" cm="1">
        <f t="array" ref="AN4">AVERAGE(ABS(AA3:AA42))</f>
        <v>0.20929347353557248</v>
      </c>
      <c r="AO4" s="21" cm="1">
        <f t="array" ref="AO4">AVERAGE(ABS(AB3:AB42))</f>
        <v>3.354053536552478E-2</v>
      </c>
      <c r="AP4" s="21" cm="1">
        <f t="array" ref="AP4">AVERAGE(ABS(AC3:AC42))</f>
        <v>0.74294623718930386</v>
      </c>
      <c r="AQ4" s="21" cm="1">
        <f t="array" ref="AQ4">AVERAGE(ABS(AD3:AD42))</f>
        <v>0</v>
      </c>
      <c r="AR4" s="21" cm="1">
        <f t="array" ref="AR4">AVERAGE(ABS(AE3:AE42))</f>
        <v>0.27443272030548632</v>
      </c>
      <c r="AS4" s="21" cm="1">
        <f t="array" ref="AS4">AVERAGE(ABS(AF3:AF42))</f>
        <v>3.3466665216573765E-2</v>
      </c>
      <c r="AT4" s="21" cm="1">
        <f t="array" ref="AT4">AVERAGE(ABS(AG3:AG42))</f>
        <v>0.53166348642136652</v>
      </c>
      <c r="AU4" s="21" cm="1">
        <f t="array" ref="AU4">AVERAGE(ABS(AH3:AH42))</f>
        <v>0</v>
      </c>
    </row>
    <row r="5" spans="1:47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45">
        <f>'Proximal Validation (double)'!L5</f>
        <v>4.8654910642653698E-4</v>
      </c>
      <c r="M5" s="45">
        <f>'Proximal Validation (double)'!M5</f>
        <v>-9.9444381892681094E-2</v>
      </c>
      <c r="N5" s="45">
        <f>'Proximal Validation (double)'!N5</f>
        <v>-1.08874747529626E-2</v>
      </c>
      <c r="O5" s="45">
        <f>'Proximal Validation (double)'!O5</f>
        <v>-2.9133602976799001E-2</v>
      </c>
      <c r="P5" s="45">
        <f>'Proximal Validation (double)'!P5</f>
        <v>-0.12781015038490301</v>
      </c>
      <c r="Q5" s="45">
        <f>'Proximal Validation (double)'!Q5</f>
        <v>0.45268994569778398</v>
      </c>
      <c r="R5" s="45">
        <v>0.42439782920477614</v>
      </c>
      <c r="S5" s="45">
        <v>0.19064154071771872</v>
      </c>
      <c r="T5" s="45">
        <v>5.9481613187230291</v>
      </c>
      <c r="U5" s="45">
        <v>1.5707963267948966</v>
      </c>
      <c r="V5" s="45">
        <v>0.79256829873139822</v>
      </c>
      <c r="W5" s="45">
        <v>0.14383652127013566</v>
      </c>
      <c r="X5" s="45">
        <v>2.2967062055175833</v>
      </c>
      <c r="Y5" s="45">
        <v>1.5707963267948966</v>
      </c>
      <c r="Z5" s="46">
        <v>3.8723701891254015E-7</v>
      </c>
      <c r="AA5" s="45">
        <f t="shared" si="0"/>
        <v>-7.5602170795223855E-2</v>
      </c>
      <c r="AB5" s="45">
        <f t="shared" si="1"/>
        <v>9.064154071771871E-2</v>
      </c>
      <c r="AC5" s="45">
        <f t="shared" si="2"/>
        <v>4.3771613187230294</v>
      </c>
      <c r="AD5" s="45">
        <f t="shared" si="3"/>
        <v>0</v>
      </c>
      <c r="AE5" s="45">
        <f t="shared" si="4"/>
        <v>0.59256829873139827</v>
      </c>
      <c r="AF5" s="45">
        <f t="shared" si="5"/>
        <v>0.12383652127013565</v>
      </c>
      <c r="AG5" s="45">
        <f t="shared" si="6"/>
        <v>-1.6302937944824167</v>
      </c>
      <c r="AH5" s="45">
        <f t="shared" si="7"/>
        <v>0</v>
      </c>
      <c r="AI5" s="47">
        <f t="shared" si="9"/>
        <v>0.33408523476331109</v>
      </c>
      <c r="AJ5" s="47">
        <f t="shared" si="8"/>
        <v>0.10723903099392718</v>
      </c>
      <c r="AK5" s="47">
        <f t="shared" si="8"/>
        <v>3.0037275566027231</v>
      </c>
      <c r="AL5" s="47">
        <f t="shared" si="10"/>
        <v>4.6805019447583057E-2</v>
      </c>
      <c r="AM5" s="47"/>
      <c r="AN5" s="35" t="s">
        <v>32</v>
      </c>
      <c r="AO5" s="35"/>
      <c r="AP5" s="35"/>
      <c r="AQ5" s="35"/>
      <c r="AR5" s="35"/>
      <c r="AS5" s="35"/>
      <c r="AT5" s="35"/>
      <c r="AU5" s="35"/>
    </row>
    <row r="6" spans="1:47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45">
        <f>'Proximal Validation (double)'!L6</f>
        <v>2.1138784941285801E-3</v>
      </c>
      <c r="M6" s="45">
        <f>'Proximal Validation (double)'!M6</f>
        <v>-0.17721578478813199</v>
      </c>
      <c r="N6" s="45">
        <f>'Proximal Validation (double)'!N6</f>
        <v>3.8662729784846302E-3</v>
      </c>
      <c r="O6" s="45">
        <f>'Proximal Validation (double)'!O6</f>
        <v>-9.7615689039230305E-2</v>
      </c>
      <c r="P6" s="45">
        <f>'Proximal Validation (double)'!P6</f>
        <v>2.8949752449989302E-2</v>
      </c>
      <c r="Q6" s="45">
        <f>'Proximal Validation (double)'!Q6</f>
        <v>0.88741946220397905</v>
      </c>
      <c r="R6" s="45">
        <v>0.40686651345220609</v>
      </c>
      <c r="S6" s="45">
        <v>0.16750228225910965</v>
      </c>
      <c r="T6" s="45">
        <v>1.5834128351609347</v>
      </c>
      <c r="U6" s="45">
        <v>1.5707963267948966</v>
      </c>
      <c r="V6" s="45">
        <v>0.49140175728508512</v>
      </c>
      <c r="W6" s="45">
        <v>6.1493926919523045E-2</v>
      </c>
      <c r="X6" s="45">
        <v>1.4959361810705527</v>
      </c>
      <c r="Y6" s="45">
        <v>1.5707963267948966</v>
      </c>
      <c r="Z6" s="46">
        <v>5.591479530596854E-7</v>
      </c>
      <c r="AA6" s="45">
        <f t="shared" si="0"/>
        <v>-0.49313348654779393</v>
      </c>
      <c r="AB6" s="45">
        <f t="shared" si="1"/>
        <v>6.7502282259109647E-2</v>
      </c>
      <c r="AC6" s="45">
        <f t="shared" si="2"/>
        <v>1.2412835160934721E-2</v>
      </c>
      <c r="AD6" s="45">
        <f t="shared" si="3"/>
        <v>0</v>
      </c>
      <c r="AE6" s="45">
        <f t="shared" si="4"/>
        <v>0.29140175728508511</v>
      </c>
      <c r="AF6" s="45">
        <f t="shared" si="5"/>
        <v>-1.8506073080476956E-2</v>
      </c>
      <c r="AG6" s="45">
        <f t="shared" si="6"/>
        <v>-3.216063818929447</v>
      </c>
      <c r="AH6" s="45">
        <f t="shared" si="7"/>
        <v>0</v>
      </c>
      <c r="AI6" s="47">
        <f t="shared" si="9"/>
        <v>0.39226762191643949</v>
      </c>
      <c r="AJ6" s="47">
        <f t="shared" si="8"/>
        <v>4.3004177669793302E-2</v>
      </c>
      <c r="AK6" s="47">
        <f t="shared" si="8"/>
        <v>1.6142383270451908</v>
      </c>
      <c r="AL6" s="47">
        <f t="shared" si="10"/>
        <v>0.10600835533958661</v>
      </c>
      <c r="AM6" s="47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45">
        <f>'Proximal Validation (double)'!L7</f>
        <v>-1.4075441285967801E-3</v>
      </c>
      <c r="M7" s="45">
        <f>'Proximal Validation (double)'!M7</f>
        <v>7.2883039712905898E-2</v>
      </c>
      <c r="N7" s="45">
        <f>'Proximal Validation (double)'!N7</f>
        <v>-0.11806334555149101</v>
      </c>
      <c r="O7" s="45">
        <f>'Proximal Validation (double)'!O7</f>
        <v>2.7194060385227199E-3</v>
      </c>
      <c r="P7" s="45">
        <f>'Proximal Validation (double)'!P7</f>
        <v>-0.75840699672698997</v>
      </c>
      <c r="Q7" s="45">
        <f>'Proximal Validation (double)'!Q7</f>
        <v>-0.50915515422821001</v>
      </c>
      <c r="R7" s="45">
        <v>0.1981797457320989</v>
      </c>
      <c r="S7" s="45">
        <v>8.9306598599937267E-2</v>
      </c>
      <c r="T7" s="45">
        <v>2.8729819016684144</v>
      </c>
      <c r="U7" s="45">
        <v>1.5707963267948966</v>
      </c>
      <c r="V7" s="45">
        <v>0.79856695776959152</v>
      </c>
      <c r="W7" s="45">
        <v>5.4908563524042379E-2</v>
      </c>
      <c r="X7" s="45">
        <v>3.9218875043824708</v>
      </c>
      <c r="Y7" s="45">
        <v>1.5707963267948966</v>
      </c>
      <c r="Z7" s="46">
        <v>3.5363659256757068E-5</v>
      </c>
      <c r="AA7" s="45">
        <f t="shared" si="0"/>
        <v>9.8179745732098894E-2</v>
      </c>
      <c r="AB7" s="45">
        <f t="shared" si="1"/>
        <v>-3.0693401400062728E-2</v>
      </c>
      <c r="AC7" s="45">
        <f t="shared" si="2"/>
        <v>1.3019819016684144</v>
      </c>
      <c r="AD7" s="45">
        <f t="shared" si="3"/>
        <v>0</v>
      </c>
      <c r="AE7" s="45">
        <f t="shared" si="4"/>
        <v>-0.20143304223040848</v>
      </c>
      <c r="AF7" s="45">
        <f t="shared" si="5"/>
        <v>-5.0914364759576183E-3</v>
      </c>
      <c r="AG7" s="45">
        <f t="shared" si="6"/>
        <v>-5.1124956175292446E-3</v>
      </c>
      <c r="AH7" s="45">
        <f t="shared" si="7"/>
        <v>0</v>
      </c>
      <c r="AI7" s="47">
        <f t="shared" si="9"/>
        <v>0.14980639398125367</v>
      </c>
      <c r="AJ7" s="47">
        <f t="shared" si="8"/>
        <v>1.7892418938010173E-2</v>
      </c>
      <c r="AK7" s="47">
        <f t="shared" si="8"/>
        <v>0.65354719864297184</v>
      </c>
      <c r="AL7" s="47">
        <f t="shared" si="10"/>
        <v>3.4398035075894888E-2</v>
      </c>
      <c r="AM7" s="47"/>
      <c r="AN7" s="24">
        <f>AVERAGE(AN4,AR4)</f>
        <v>0.2418630969205294</v>
      </c>
      <c r="AO7" s="24">
        <f t="shared" ref="AO7:AP7" si="11">AVERAGE(AO4,AS4)</f>
        <v>3.3503600291049276E-2</v>
      </c>
      <c r="AP7" s="24">
        <f t="shared" si="11"/>
        <v>0.63730486180533519</v>
      </c>
      <c r="AQ7" s="21"/>
      <c r="AR7" s="21"/>
      <c r="AS7" s="21"/>
      <c r="AT7" s="21"/>
      <c r="AU7" s="21"/>
    </row>
    <row r="8" spans="1:47" s="49" customFormat="1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45">
        <f>'Proximal Validation (double)'!L8</f>
        <v>3.4910831600427602E-3</v>
      </c>
      <c r="M8" s="45">
        <f>'Proximal Validation (double)'!M8</f>
        <v>-0.18494510650634799</v>
      </c>
      <c r="N8" s="45">
        <f>'Proximal Validation (double)'!N8</f>
        <v>-9.0413324534892994E-2</v>
      </c>
      <c r="O8" s="45">
        <f>'Proximal Validation (double)'!O8</f>
        <v>-0.40126189589500399</v>
      </c>
      <c r="P8" s="45">
        <f>'Proximal Validation (double)'!P8</f>
        <v>-0.60379952192306496</v>
      </c>
      <c r="Q8" s="45">
        <f>'Proximal Validation (double)'!Q8</f>
        <v>0.49847054481506298</v>
      </c>
      <c r="R8" s="45">
        <v>0.91353421412608593</v>
      </c>
      <c r="S8" s="45">
        <v>0.17328912573754682</v>
      </c>
      <c r="T8" s="45">
        <v>1.7489230900598289</v>
      </c>
      <c r="U8" s="45">
        <v>1.5707963267948966</v>
      </c>
      <c r="V8" s="45">
        <v>0.53765897546302865</v>
      </c>
      <c r="W8" s="45">
        <v>2.0008453560353329E-2</v>
      </c>
      <c r="X8" s="45">
        <v>3.7469813755174672</v>
      </c>
      <c r="Y8" s="45">
        <v>1.5707963267948966</v>
      </c>
      <c r="Z8" s="46">
        <v>7.8084220997808071E-7</v>
      </c>
      <c r="AA8" s="45">
        <f t="shared" si="0"/>
        <v>0.11353421412608589</v>
      </c>
      <c r="AB8" s="45">
        <f t="shared" si="1"/>
        <v>1.3289125737546814E-2</v>
      </c>
      <c r="AC8" s="45">
        <f t="shared" si="2"/>
        <v>0.17792309005982898</v>
      </c>
      <c r="AD8" s="45">
        <f t="shared" si="3"/>
        <v>0</v>
      </c>
      <c r="AE8" s="45">
        <f t="shared" si="4"/>
        <v>-0.26234102453697139</v>
      </c>
      <c r="AF8" s="45">
        <f t="shared" si="5"/>
        <v>-3.9991546439646669E-2</v>
      </c>
      <c r="AG8" s="45">
        <f t="shared" si="6"/>
        <v>-0.18001862448253281</v>
      </c>
      <c r="AH8" s="45">
        <f t="shared" si="7"/>
        <v>0</v>
      </c>
      <c r="AI8" s="48">
        <f t="shared" si="9"/>
        <v>0.18793761933152864</v>
      </c>
      <c r="AJ8" s="48">
        <f t="shared" si="8"/>
        <v>2.6640336088596742E-2</v>
      </c>
      <c r="AK8" s="48">
        <f t="shared" si="8"/>
        <v>0.17897085727118089</v>
      </c>
      <c r="AL8" s="47">
        <f t="shared" si="10"/>
        <v>0.15328067217719349</v>
      </c>
      <c r="AM8" s="58"/>
      <c r="AN8" s="49" t="s">
        <v>42</v>
      </c>
    </row>
    <row r="9" spans="1:47" s="49" customFormat="1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45">
        <f>'Proximal Validation (double)'!L9</f>
        <v>1.5908150235191001E-3</v>
      </c>
      <c r="M9" s="45">
        <f>'Proximal Validation (double)'!M9</f>
        <v>-3.4777380526065799E-2</v>
      </c>
      <c r="N9" s="45">
        <f>'Proximal Validation (double)'!N9</f>
        <v>-1.5904162079095799E-2</v>
      </c>
      <c r="O9" s="45">
        <f>'Proximal Validation (double)'!O9</f>
        <v>-2.0381897687912001E-2</v>
      </c>
      <c r="P9" s="45">
        <f>'Proximal Validation (double)'!P9</f>
        <v>-0.14476515352725999</v>
      </c>
      <c r="Q9" s="45">
        <f>'Proximal Validation (double)'!Q9</f>
        <v>0.117096215486526</v>
      </c>
      <c r="R9" s="45">
        <v>0.22485832799014935</v>
      </c>
      <c r="S9" s="45">
        <v>0.14641159833329143</v>
      </c>
      <c r="T9" s="45">
        <v>1.1751006997131508</v>
      </c>
      <c r="U9" s="45">
        <v>1.5707963267948966</v>
      </c>
      <c r="V9" s="45">
        <v>0.24738583563757874</v>
      </c>
      <c r="W9" s="45">
        <v>6.7183268109422462E-2</v>
      </c>
      <c r="X9" s="45">
        <v>3.5116692907340679</v>
      </c>
      <c r="Y9" s="45">
        <v>1.5707963267948966</v>
      </c>
      <c r="Z9" s="46">
        <v>1.7377622450178191E-6</v>
      </c>
      <c r="AA9" s="45">
        <f t="shared" si="0"/>
        <v>0.12485832799014934</v>
      </c>
      <c r="AB9" s="45">
        <f t="shared" si="1"/>
        <v>-3.3588401666708567E-2</v>
      </c>
      <c r="AC9" s="45">
        <f t="shared" si="2"/>
        <v>-0.39589930028684917</v>
      </c>
      <c r="AD9" s="45">
        <f t="shared" si="3"/>
        <v>0</v>
      </c>
      <c r="AE9" s="45">
        <f t="shared" si="4"/>
        <v>0.14738583563757873</v>
      </c>
      <c r="AF9" s="45">
        <f t="shared" si="5"/>
        <v>4.7183268109422458E-2</v>
      </c>
      <c r="AG9" s="45">
        <f t="shared" si="6"/>
        <v>0.36966929073406796</v>
      </c>
      <c r="AH9" s="45">
        <f t="shared" si="7"/>
        <v>0</v>
      </c>
      <c r="AI9" s="47">
        <f t="shared" si="9"/>
        <v>0.13612208181386404</v>
      </c>
      <c r="AJ9" s="47">
        <f t="shared" si="8"/>
        <v>4.0385834888065512E-2</v>
      </c>
      <c r="AK9" s="47">
        <f t="shared" si="8"/>
        <v>0.38278429551045856</v>
      </c>
      <c r="AL9" s="47">
        <f t="shared" si="10"/>
        <v>7.9228330223868965E-2</v>
      </c>
      <c r="AM9" s="58"/>
      <c r="AN9" s="57">
        <f>AVERAGE(AI3,AI4,AI5,AI6,AI8,AI11,AI12,AI14,AI15,AI17,AI18,AI20,AI23,AI24,AI25,AI26,AI29,AI30,AI32,AI35,AI36,AI37,AI38,AI40,AI41)</f>
        <v>0.19139216302558515</v>
      </c>
      <c r="AO9" s="57">
        <f>AVERAGE(AJ3,AJ4,AJ5,AJ6,AJ8,AJ11,AJ12,AJ14,AJ15,AJ17,AJ18,AJ20,AJ23,AJ24,AJ25,AJ26,AJ29,AJ30,AJ32,AJ35,AJ36,AJ37,AJ38,AJ40,AJ41)</f>
        <v>3.1556943489874895E-2</v>
      </c>
      <c r="AP9" s="57">
        <f>AVERAGE(AK3,AK4,AK5,AK6,AK8,AK11,AK12,AK14,AK15,AK17,AK18,AK20,AK23,AK24,AK25,AK26,AK29,AK30,AK32,AK35,AK36,AK37,AK38,AK40,AK41)</f>
        <v>0.5459011907962289</v>
      </c>
    </row>
    <row r="10" spans="1:47" s="49" customFormat="1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45">
        <f>'Proximal Validation (double)'!L10</f>
        <v>2.3236712440848398E-3</v>
      </c>
      <c r="M10" s="45">
        <f>'Proximal Validation (double)'!M10</f>
        <v>-0.204822152853012</v>
      </c>
      <c r="N10" s="45">
        <f>'Proximal Validation (double)'!N10</f>
        <v>6.1566708609461802E-3</v>
      </c>
      <c r="O10" s="45">
        <f>'Proximal Validation (double)'!O10</f>
        <v>-0.39857342839241</v>
      </c>
      <c r="P10" s="45">
        <f>'Proximal Validation (double)'!P10</f>
        <v>2.7593433856964101E-2</v>
      </c>
      <c r="Q10" s="45">
        <f>'Proximal Validation (double)'!Q10</f>
        <v>0.66701602935791005</v>
      </c>
      <c r="R10" s="45">
        <v>0.92144434799945441</v>
      </c>
      <c r="S10" s="45">
        <v>0.17634056174745369</v>
      </c>
      <c r="T10" s="45">
        <v>1.5506263666505662</v>
      </c>
      <c r="U10" s="45">
        <v>1.5707963267948966</v>
      </c>
      <c r="V10" s="45">
        <v>0.16232488168004414</v>
      </c>
      <c r="W10" s="45">
        <v>5.324093450199037E-2</v>
      </c>
      <c r="X10" s="45">
        <v>4.7794553815836798</v>
      </c>
      <c r="Y10" s="45">
        <v>1.5707963267948966</v>
      </c>
      <c r="Z10" s="46">
        <v>5.3996705248386994E-6</v>
      </c>
      <c r="AA10" s="45">
        <f t="shared" si="0"/>
        <v>2.1444347999454383E-2</v>
      </c>
      <c r="AB10" s="45">
        <f t="shared" si="1"/>
        <v>-3.6594382525463043E-3</v>
      </c>
      <c r="AC10" s="45">
        <f t="shared" si="2"/>
        <v>-2.0373633349433762E-2</v>
      </c>
      <c r="AD10" s="45">
        <f t="shared" si="3"/>
        <v>0</v>
      </c>
      <c r="AE10" s="45">
        <f t="shared" si="4"/>
        <v>6.2324881680044131E-2</v>
      </c>
      <c r="AF10" s="45">
        <f t="shared" si="5"/>
        <v>-2.6759065498009632E-2</v>
      </c>
      <c r="AG10" s="45">
        <f t="shared" si="6"/>
        <v>6.745538158368003E-2</v>
      </c>
      <c r="AH10" s="45">
        <f t="shared" si="7"/>
        <v>0</v>
      </c>
      <c r="AI10" s="47">
        <f t="shared" si="9"/>
        <v>4.1884614839749257E-2</v>
      </c>
      <c r="AJ10" s="47">
        <f t="shared" si="8"/>
        <v>1.5209251875277968E-2</v>
      </c>
      <c r="AK10" s="47">
        <f t="shared" si="8"/>
        <v>4.3914507466556896E-2</v>
      </c>
      <c r="AL10" s="47">
        <f t="shared" si="10"/>
        <v>0.12309962724546332</v>
      </c>
      <c r="AM10" s="58"/>
      <c r="AN10" s="49" t="s">
        <v>41</v>
      </c>
    </row>
    <row r="11" spans="1:47" s="49" customFormat="1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45">
        <f>'Proximal Validation (double)'!L11</f>
        <v>1.6893346328288299E-3</v>
      </c>
      <c r="M11" s="45">
        <f>'Proximal Validation (double)'!M11</f>
        <v>9.5554247498512296E-2</v>
      </c>
      <c r="N11" s="45">
        <f>'Proximal Validation (double)'!N11</f>
        <v>-8.84410343132913E-4</v>
      </c>
      <c r="O11" s="45">
        <f>'Proximal Validation (double)'!O11</f>
        <v>-4.5536972582340199E-2</v>
      </c>
      <c r="P11" s="45">
        <f>'Proximal Validation (double)'!P11</f>
        <v>-5.9180781245231602E-3</v>
      </c>
      <c r="Q11" s="45">
        <f>'Proximal Validation (double)'!Q11</f>
        <v>-0.73156416416168202</v>
      </c>
      <c r="R11" s="45">
        <v>0.25838646439857677</v>
      </c>
      <c r="S11" s="45">
        <v>0.19999055168047952</v>
      </c>
      <c r="T11" s="45">
        <v>1.567729972838277</v>
      </c>
      <c r="U11" s="45">
        <v>1.5707963267948966</v>
      </c>
      <c r="V11" s="45">
        <v>0.98402442185068206</v>
      </c>
      <c r="W11" s="45">
        <v>8.1324919118516248E-2</v>
      </c>
      <c r="X11" s="45">
        <v>4.7073984506705413</v>
      </c>
      <c r="Y11" s="45">
        <v>1.5707963267948966</v>
      </c>
      <c r="Z11" s="46">
        <v>2.8057394713175725E-7</v>
      </c>
      <c r="AA11" s="45">
        <f t="shared" si="0"/>
        <v>-4.1613535601423224E-2</v>
      </c>
      <c r="AB11" s="45">
        <f t="shared" si="1"/>
        <v>1.9990551680479529E-2</v>
      </c>
      <c r="AC11" s="45">
        <f t="shared" si="2"/>
        <v>-3.270027161722977E-3</v>
      </c>
      <c r="AD11" s="45">
        <f t="shared" si="3"/>
        <v>0</v>
      </c>
      <c r="AE11" s="45">
        <f t="shared" si="4"/>
        <v>8.4024421850682041E-2</v>
      </c>
      <c r="AF11" s="45">
        <f t="shared" si="5"/>
        <v>1.3249191185162462E-3</v>
      </c>
      <c r="AG11" s="45">
        <f t="shared" si="6"/>
        <v>-4.6015493294584431E-3</v>
      </c>
      <c r="AH11" s="45">
        <f t="shared" si="7"/>
        <v>0</v>
      </c>
      <c r="AI11" s="47">
        <f t="shared" si="9"/>
        <v>6.2818978726052632E-2</v>
      </c>
      <c r="AJ11" s="47">
        <f t="shared" si="8"/>
        <v>1.0657735399497888E-2</v>
      </c>
      <c r="AK11" s="47">
        <f t="shared" si="8"/>
        <v>3.9357882455907101E-3</v>
      </c>
      <c r="AL11" s="47">
        <f t="shared" si="10"/>
        <v>0.11866563256196327</v>
      </c>
      <c r="AM11" s="58"/>
      <c r="AN11" s="57">
        <f>AVERAGE(AI4,AI8,AI11,AI12,AI14,AI15,AI17,AI18,AI20,AI25,AI26,AI30,AI32,AI35,AI36,AI37,AI40,AI41)</f>
        <v>0.18405485226993498</v>
      </c>
      <c r="AO11" s="57">
        <f>AVERAGE(AJ4,AJ8,AJ11,AJ12,AJ14,AJ15,AJ17,AJ18,AJ20,AJ25,AJ26,AJ30,AJ32,AJ35,AJ36,AJ37,AJ40,AJ41)</f>
        <v>2.3043169945650012E-2</v>
      </c>
      <c r="AP11" s="57">
        <f>AVERAGE(AK4,AK8,AK11,AK12,AK14,AK15,AK17,AK18,AK20,AK25,AK26,AK30,AK32,AK35,AK36,AK37,AK40,AK41)</f>
        <v>0.37844000150243329</v>
      </c>
    </row>
    <row r="12" spans="1:47" s="49" customFormat="1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45">
        <f>'Proximal Validation (double)'!L12</f>
        <v>1.2135198339819899E-3</v>
      </c>
      <c r="M12" s="45">
        <f>'Proximal Validation (double)'!M12</f>
        <v>-0.182935655117035</v>
      </c>
      <c r="N12" s="45">
        <f>'Proximal Validation (double)'!N12</f>
        <v>-0.104798644781113</v>
      </c>
      <c r="O12" s="45">
        <f>'Proximal Validation (double)'!O12</f>
        <v>-0.48353463411331199</v>
      </c>
      <c r="P12" s="45">
        <f>'Proximal Validation (double)'!P12</f>
        <v>-0.98798036575317405</v>
      </c>
      <c r="Q12" s="45">
        <f>'Proximal Validation (double)'!Q12</f>
        <v>0.51245713233947798</v>
      </c>
      <c r="R12" s="45">
        <v>0.84021013212470108</v>
      </c>
      <c r="S12" s="45">
        <v>0.19999999999997778</v>
      </c>
      <c r="T12" s="45">
        <v>1.5655505184363088</v>
      </c>
      <c r="U12" s="45">
        <v>1.5707963267948966</v>
      </c>
      <c r="V12" s="45">
        <v>0.99999999976547749</v>
      </c>
      <c r="W12" s="45">
        <v>2.0000003626824452E-2</v>
      </c>
      <c r="X12" s="45">
        <v>3.3187255867447458</v>
      </c>
      <c r="Y12" s="45">
        <v>1.5707963267948966</v>
      </c>
      <c r="Z12" s="46">
        <v>9.1742267176153357E-5</v>
      </c>
      <c r="AA12" s="45">
        <f t="shared" si="0"/>
        <v>-5.9789867875298941E-2</v>
      </c>
      <c r="AB12" s="45">
        <f t="shared" si="1"/>
        <v>-2.223221606811876E-14</v>
      </c>
      <c r="AC12" s="45">
        <f t="shared" si="2"/>
        <v>-5.4494815636911831E-3</v>
      </c>
      <c r="AD12" s="45">
        <f t="shared" si="3"/>
        <v>0</v>
      </c>
      <c r="AE12" s="45">
        <f t="shared" si="4"/>
        <v>-2.345225125210959E-10</v>
      </c>
      <c r="AF12" s="45">
        <f t="shared" si="5"/>
        <v>3.6268244518744552E-9</v>
      </c>
      <c r="AG12" s="45">
        <f t="shared" si="6"/>
        <v>0.17672558674474592</v>
      </c>
      <c r="AH12" s="45">
        <f t="shared" si="7"/>
        <v>0</v>
      </c>
      <c r="AI12" s="47">
        <f t="shared" si="9"/>
        <v>2.9894934054910727E-2</v>
      </c>
      <c r="AJ12" s="47">
        <f t="shared" si="8"/>
        <v>1.8134233420452617E-9</v>
      </c>
      <c r="AK12" s="47">
        <f t="shared" si="8"/>
        <v>9.1087534154218552E-2</v>
      </c>
      <c r="AL12" s="47">
        <f t="shared" si="10"/>
        <v>0.17999999637315334</v>
      </c>
      <c r="AM12" s="58"/>
      <c r="AN12" t="s">
        <v>43</v>
      </c>
      <c r="AO12"/>
      <c r="AP12"/>
    </row>
    <row r="13" spans="1:47" s="49" customFormat="1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45">
        <f>'Proximal Validation (double)'!L13</f>
        <v>-6.5936520695686297E-4</v>
      </c>
      <c r="M13" s="45">
        <f>'Proximal Validation (double)'!M13</f>
        <v>3.10139125213027E-3</v>
      </c>
      <c r="N13" s="45">
        <f>'Proximal Validation (double)'!N13</f>
        <v>-6.7128308117389707E-2</v>
      </c>
      <c r="O13" s="45">
        <f>'Proximal Validation (double)'!O13</f>
        <v>3.1099312007427202E-2</v>
      </c>
      <c r="P13" s="45">
        <f>'Proximal Validation (double)'!P13</f>
        <v>-0.38181251287460299</v>
      </c>
      <c r="Q13" s="45">
        <f>'Proximal Validation (double)'!Q13</f>
        <v>-3.04524004459381E-2</v>
      </c>
      <c r="R13" s="45">
        <v>0.43961927405959206</v>
      </c>
      <c r="S13" s="45">
        <v>7.5679061385748286E-2</v>
      </c>
      <c r="T13" s="45">
        <v>1.2341430146701542</v>
      </c>
      <c r="U13" s="45">
        <v>1.5707963267948966</v>
      </c>
      <c r="V13" s="45">
        <v>0.69064062909948198</v>
      </c>
      <c r="W13" s="45">
        <v>7.1613723582582167E-2</v>
      </c>
      <c r="X13" s="45">
        <v>3.8425119796818472</v>
      </c>
      <c r="Y13" s="45">
        <v>1.5707963267948966</v>
      </c>
      <c r="Z13" s="46">
        <v>1.059416315434098E-3</v>
      </c>
      <c r="AA13" s="45">
        <f t="shared" si="0"/>
        <v>0.33961927405959202</v>
      </c>
      <c r="AB13" s="45">
        <f t="shared" si="1"/>
        <v>-0.12432093861425172</v>
      </c>
      <c r="AC13" s="45">
        <f t="shared" si="2"/>
        <v>-0.33685698532984576</v>
      </c>
      <c r="AD13" s="45">
        <f t="shared" si="3"/>
        <v>0</v>
      </c>
      <c r="AE13" s="45">
        <f t="shared" si="4"/>
        <v>0.390640629099482</v>
      </c>
      <c r="AF13" s="45">
        <f t="shared" si="5"/>
        <v>-8.3862764174178345E-3</v>
      </c>
      <c r="AG13" s="45">
        <f t="shared" si="6"/>
        <v>0.70051197968184731</v>
      </c>
      <c r="AH13" s="45">
        <f t="shared" si="7"/>
        <v>0</v>
      </c>
      <c r="AI13" s="47">
        <f t="shared" si="9"/>
        <v>0.36512995157953698</v>
      </c>
      <c r="AJ13" s="47">
        <f t="shared" si="8"/>
        <v>6.6353607515834773E-2</v>
      </c>
      <c r="AK13" s="47">
        <f t="shared" si="8"/>
        <v>0.51868448250584653</v>
      </c>
      <c r="AL13" s="47">
        <f t="shared" si="10"/>
        <v>4.0653378031661191E-3</v>
      </c>
      <c r="AM13" s="58"/>
      <c r="AN13" s="43">
        <f>AVERAGE(AI8,AI11,AI12,AI14,AI15,AI17,AI18,AI20,AI26,AI30,AI32,AI35,AI37,AI40,AI41)</f>
        <v>0.180187894546912</v>
      </c>
      <c r="AO13" s="43">
        <f t="shared" ref="AO13:AP13" si="12">AVERAGE(AJ8,AJ11,AJ12,AJ14,AJ15,AJ17,AJ18,AJ20,AJ26,AJ30,AJ32,AJ35,AJ37,AJ40,AJ41)</f>
        <v>2.1958196948803081E-2</v>
      </c>
      <c r="AP13" s="43">
        <f t="shared" si="12"/>
        <v>0.37250192540644422</v>
      </c>
    </row>
    <row r="14" spans="1:47" s="49" customFormat="1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45">
        <f>'Proximal Validation (double)'!L14</f>
        <v>8.7932776659727097E-3</v>
      </c>
      <c r="M14" s="45">
        <f>'Proximal Validation (double)'!M14</f>
        <v>-0.16019897162914301</v>
      </c>
      <c r="N14" s="45">
        <f>'Proximal Validation (double)'!N14</f>
        <v>-2.4834894575178602E-3</v>
      </c>
      <c r="O14" s="45">
        <f>'Proximal Validation (double)'!O14</f>
        <v>-0.46627718210220298</v>
      </c>
      <c r="P14" s="45">
        <f>'Proximal Validation (double)'!P14</f>
        <v>-1.91364511847496E-2</v>
      </c>
      <c r="Q14" s="45">
        <f>'Proximal Validation (double)'!Q14</f>
        <v>0.27873134613037098</v>
      </c>
      <c r="R14" s="45">
        <v>0.81165799519872173</v>
      </c>
      <c r="S14" s="45">
        <v>0.19642225038901012</v>
      </c>
      <c r="T14" s="45">
        <v>1.5721688670944407</v>
      </c>
      <c r="U14" s="45">
        <v>1.5707963267948966</v>
      </c>
      <c r="V14" s="45">
        <v>0.38461600092182691</v>
      </c>
      <c r="W14" s="45">
        <v>2.0472642914300617E-2</v>
      </c>
      <c r="X14" s="45">
        <v>4.7209601999641002</v>
      </c>
      <c r="Y14" s="45">
        <v>1.5707963267948966</v>
      </c>
      <c r="Z14" s="46">
        <v>1.2902521559592309E-5</v>
      </c>
      <c r="AA14" s="45">
        <f t="shared" si="0"/>
        <v>-8.8342004801278295E-2</v>
      </c>
      <c r="AB14" s="45">
        <f t="shared" si="1"/>
        <v>-3.5777496109898888E-3</v>
      </c>
      <c r="AC14" s="45">
        <f t="shared" si="2"/>
        <v>1.1688670944407509E-3</v>
      </c>
      <c r="AD14" s="45">
        <f t="shared" si="3"/>
        <v>0</v>
      </c>
      <c r="AE14" s="45">
        <f t="shared" si="4"/>
        <v>8.4616000921826917E-2</v>
      </c>
      <c r="AF14" s="45">
        <f t="shared" si="5"/>
        <v>4.7264291430061667E-4</v>
      </c>
      <c r="AG14" s="45">
        <f t="shared" si="6"/>
        <v>8.9601999641004682E-3</v>
      </c>
      <c r="AH14" s="45">
        <f t="shared" si="7"/>
        <v>0</v>
      </c>
      <c r="AI14" s="47">
        <f t="shared" si="9"/>
        <v>8.6479002861552606E-2</v>
      </c>
      <c r="AJ14" s="47">
        <f t="shared" si="8"/>
        <v>2.0251962626452527E-3</v>
      </c>
      <c r="AK14" s="47">
        <f t="shared" si="8"/>
        <v>5.0645335292706095E-3</v>
      </c>
      <c r="AL14" s="47">
        <f t="shared" si="10"/>
        <v>0.1759496074747095</v>
      </c>
      <c r="AM14" s="58"/>
    </row>
    <row r="15" spans="1:47" s="49" customFormat="1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45">
        <f>'Proximal Validation (double)'!L15</f>
        <v>-7.9012457281351107E-3</v>
      </c>
      <c r="M15" s="45">
        <f>'Proximal Validation (double)'!M15</f>
        <v>-4.3984718620777102E-2</v>
      </c>
      <c r="N15" s="45">
        <f>'Proximal Validation (double)'!N15</f>
        <v>-0.141960874199867</v>
      </c>
      <c r="O15" s="45">
        <f>'Proximal Validation (double)'!O15</f>
        <v>8.6025655269622803E-2</v>
      </c>
      <c r="P15" s="45">
        <f>'Proximal Validation (double)'!P15</f>
        <v>-0.69405859708786</v>
      </c>
      <c r="Q15" s="45">
        <f>'Proximal Validation (double)'!Q15</f>
        <v>-0.18663805723190299</v>
      </c>
      <c r="R15" s="45">
        <v>0.48707095593530253</v>
      </c>
      <c r="S15" s="45">
        <v>0.11571588739032294</v>
      </c>
      <c r="T15" s="45">
        <v>2.5780403341328464</v>
      </c>
      <c r="U15" s="45">
        <v>1.5707963267948966</v>
      </c>
      <c r="V15" s="45">
        <v>0.5208173668683771</v>
      </c>
      <c r="W15" s="45">
        <v>2.2498205212188489E-2</v>
      </c>
      <c r="X15" s="45">
        <v>4.1449873665747488</v>
      </c>
      <c r="Y15" s="45">
        <v>1.5707963267948966</v>
      </c>
      <c r="Z15" s="46">
        <v>1.2017625251804682E-2</v>
      </c>
      <c r="AA15" s="45">
        <f t="shared" si="0"/>
        <v>-0.41292904406469749</v>
      </c>
      <c r="AB15" s="45">
        <f t="shared" si="1"/>
        <v>1.5715887390322938E-2</v>
      </c>
      <c r="AC15" s="45">
        <f t="shared" si="2"/>
        <v>0.22204033413284652</v>
      </c>
      <c r="AD15" s="45">
        <f t="shared" si="3"/>
        <v>0</v>
      </c>
      <c r="AE15" s="45">
        <f t="shared" si="4"/>
        <v>-0.37918263313162293</v>
      </c>
      <c r="AF15" s="45">
        <f t="shared" si="5"/>
        <v>2.4982052121884889E-3</v>
      </c>
      <c r="AG15" s="45">
        <f t="shared" si="6"/>
        <v>-0.56701263342525099</v>
      </c>
      <c r="AH15" s="45">
        <f t="shared" si="7"/>
        <v>0</v>
      </c>
      <c r="AI15" s="47">
        <f t="shared" si="9"/>
        <v>0.39605583859816018</v>
      </c>
      <c r="AJ15" s="47">
        <f t="shared" si="8"/>
        <v>9.1070463012557137E-3</v>
      </c>
      <c r="AK15" s="47">
        <f t="shared" si="8"/>
        <v>0.39452648377904875</v>
      </c>
      <c r="AL15" s="47">
        <f t="shared" si="10"/>
        <v>9.3217682178134448E-2</v>
      </c>
      <c r="AM15" s="58"/>
    </row>
    <row r="16" spans="1:47" s="49" customFormat="1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45">
        <f>'Proximal Validation (double)'!L16</f>
        <v>-3.90403810888529E-3</v>
      </c>
      <c r="M16" s="45">
        <f>'Proximal Validation (double)'!M16</f>
        <v>-6.7934043705463396E-2</v>
      </c>
      <c r="N16" s="45">
        <f>'Proximal Validation (double)'!N16</f>
        <v>-8.5464723408222198E-2</v>
      </c>
      <c r="O16" s="45">
        <f>'Proximal Validation (double)'!O16</f>
        <v>2.6761934161186201E-2</v>
      </c>
      <c r="P16" s="45">
        <f>'Proximal Validation (double)'!P16</f>
        <v>-0.412941753864288</v>
      </c>
      <c r="Q16" s="45">
        <f>'Proximal Validation (double)'!Q16</f>
        <v>0.30062127113342302</v>
      </c>
      <c r="R16" s="45">
        <v>0.45281738950317341</v>
      </c>
      <c r="S16" s="45">
        <v>9.6878208738333263E-2</v>
      </c>
      <c r="T16" s="45">
        <v>4.4776533365625921</v>
      </c>
      <c r="U16" s="45">
        <v>1.5707963267948966</v>
      </c>
      <c r="V16" s="45">
        <v>0.80442596354360274</v>
      </c>
      <c r="W16" s="45">
        <v>9.5462548606318157E-2</v>
      </c>
      <c r="X16" s="45">
        <v>1.9646072664843939</v>
      </c>
      <c r="Y16" s="45">
        <v>1.5707963267948966</v>
      </c>
      <c r="Z16" s="46">
        <v>1.2902063793396143E-3</v>
      </c>
      <c r="AA16" s="45">
        <f t="shared" si="0"/>
        <v>5.2817389503173384E-2</v>
      </c>
      <c r="AB16" s="45">
        <f t="shared" si="1"/>
        <v>-2.3121791261666733E-2</v>
      </c>
      <c r="AC16" s="45">
        <f t="shared" si="2"/>
        <v>2.1216533365625923</v>
      </c>
      <c r="AD16" s="45">
        <f t="shared" si="3"/>
        <v>0</v>
      </c>
      <c r="AE16" s="45">
        <f t="shared" si="4"/>
        <v>0.70442596354360276</v>
      </c>
      <c r="AF16" s="45">
        <f t="shared" si="5"/>
        <v>3.5462548606318159E-2</v>
      </c>
      <c r="AG16" s="45">
        <f t="shared" si="6"/>
        <v>-1.177392733515606</v>
      </c>
      <c r="AH16" s="45">
        <f t="shared" si="7"/>
        <v>0</v>
      </c>
      <c r="AI16" s="47">
        <f t="shared" si="9"/>
        <v>0.37862167652338807</v>
      </c>
      <c r="AJ16" s="47">
        <f t="shared" si="8"/>
        <v>2.9292169933992446E-2</v>
      </c>
      <c r="AK16" s="47">
        <f t="shared" si="8"/>
        <v>1.649523035039099</v>
      </c>
      <c r="AL16" s="47">
        <f t="shared" si="10"/>
        <v>1.4156601320151063E-3</v>
      </c>
      <c r="AM16" s="58"/>
    </row>
    <row r="17" spans="1:39" s="49" customFormat="1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45">
        <f>'Proximal Validation (double)'!L17</f>
        <v>-2.8297975659370401E-3</v>
      </c>
      <c r="M17" s="45">
        <f>'Proximal Validation (double)'!M17</f>
        <v>-0.18058618903160101</v>
      </c>
      <c r="N17" s="45">
        <f>'Proximal Validation (double)'!N17</f>
        <v>-0.23388142883777599</v>
      </c>
      <c r="O17" s="45">
        <f>'Proximal Validation (double)'!O17</f>
        <v>-0.26429381966590898</v>
      </c>
      <c r="P17" s="45">
        <f>'Proximal Validation (double)'!P17</f>
        <v>-1.1066045761108401</v>
      </c>
      <c r="Q17" s="45">
        <f>'Proximal Validation (double)'!Q17</f>
        <v>0.67185997962951705</v>
      </c>
      <c r="R17" s="45">
        <v>0.92894592851683866</v>
      </c>
      <c r="S17" s="45">
        <v>0.15349236500306868</v>
      </c>
      <c r="T17" s="45">
        <v>1.8858305604177776</v>
      </c>
      <c r="U17" s="45">
        <v>1.5707963267948966</v>
      </c>
      <c r="V17" s="45">
        <v>0.85271341391093403</v>
      </c>
      <c r="W17" s="45">
        <v>0.10627335365407389</v>
      </c>
      <c r="X17" s="45">
        <v>3.3569043866886208</v>
      </c>
      <c r="Y17" s="45">
        <v>1.5707963267948966</v>
      </c>
      <c r="Z17" s="46">
        <v>6.5151421225312606E-5</v>
      </c>
      <c r="AA17" s="45">
        <f t="shared" si="0"/>
        <v>-7.1054071483161341E-2</v>
      </c>
      <c r="AB17" s="45">
        <f t="shared" si="1"/>
        <v>1.3492365003068663E-2</v>
      </c>
      <c r="AC17" s="45">
        <f t="shared" si="2"/>
        <v>-0.47016943958222224</v>
      </c>
      <c r="AD17" s="45">
        <f t="shared" si="3"/>
        <v>0</v>
      </c>
      <c r="AE17" s="45">
        <f t="shared" si="4"/>
        <v>0.452713413910934</v>
      </c>
      <c r="AF17" s="45">
        <f t="shared" si="5"/>
        <v>6.6273353654073885E-2</v>
      </c>
      <c r="AG17" s="45">
        <f t="shared" si="6"/>
        <v>-0.57009561331137926</v>
      </c>
      <c r="AH17" s="45">
        <f t="shared" si="7"/>
        <v>0</v>
      </c>
      <c r="AI17" s="47">
        <f t="shared" si="9"/>
        <v>0.26188374269704767</v>
      </c>
      <c r="AJ17" s="47">
        <f t="shared" si="8"/>
        <v>3.9882859328571274E-2</v>
      </c>
      <c r="AK17" s="47">
        <f t="shared" si="8"/>
        <v>0.52013252644680075</v>
      </c>
      <c r="AL17" s="47">
        <f t="shared" si="10"/>
        <v>4.7219011348994783E-2</v>
      </c>
      <c r="AM17" s="58"/>
    </row>
    <row r="18" spans="1:39" s="49" customFormat="1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45">
        <f>'Proximal Validation (double)'!L18</f>
        <v>-6.22342247515917E-3</v>
      </c>
      <c r="M18" s="45">
        <f>'Proximal Validation (double)'!M18</f>
        <v>-5.8960229158401503E-2</v>
      </c>
      <c r="N18" s="45">
        <f>'Proximal Validation (double)'!N18</f>
        <v>-0.15366320312023199</v>
      </c>
      <c r="O18" s="45">
        <f>'Proximal Validation (double)'!O18</f>
        <v>-5.5010270327329601E-2</v>
      </c>
      <c r="P18" s="45">
        <f>'Proximal Validation (double)'!P18</f>
        <v>-0.88742548227310203</v>
      </c>
      <c r="Q18" s="45">
        <f>'Proximal Validation (double)'!Q18</f>
        <v>0.18511915206909199</v>
      </c>
      <c r="R18" s="45">
        <v>0.39422908341011953</v>
      </c>
      <c r="S18" s="45">
        <v>0.16170676773989684</v>
      </c>
      <c r="T18" s="45">
        <v>2.2837130809952053</v>
      </c>
      <c r="U18" s="45">
        <v>1.5707963267948966</v>
      </c>
      <c r="V18" s="45">
        <v>0.64149238826695376</v>
      </c>
      <c r="W18" s="45">
        <v>5.1248533642753807E-2</v>
      </c>
      <c r="X18" s="45">
        <v>3.3146519613150542</v>
      </c>
      <c r="Y18" s="45">
        <v>1.5707963267948966</v>
      </c>
      <c r="Z18" s="46">
        <v>3.8730986341609567E-5</v>
      </c>
      <c r="AA18" s="45">
        <f t="shared" si="0"/>
        <v>-5.7709165898804926E-3</v>
      </c>
      <c r="AB18" s="45">
        <f t="shared" si="1"/>
        <v>-1.8293232260103154E-2</v>
      </c>
      <c r="AC18" s="45">
        <f t="shared" si="2"/>
        <v>-7.2286919004794559E-2</v>
      </c>
      <c r="AD18" s="45">
        <f t="shared" si="3"/>
        <v>0</v>
      </c>
      <c r="AE18" s="45">
        <f t="shared" si="4"/>
        <v>-5.8507611733046194E-2</v>
      </c>
      <c r="AF18" s="45">
        <f t="shared" si="5"/>
        <v>1.1248533642753807E-2</v>
      </c>
      <c r="AG18" s="45">
        <f t="shared" si="6"/>
        <v>0.17265196131505434</v>
      </c>
      <c r="AH18" s="45">
        <f t="shared" si="7"/>
        <v>0</v>
      </c>
      <c r="AI18" s="47">
        <f t="shared" si="9"/>
        <v>3.2139264161463343E-2</v>
      </c>
      <c r="AJ18" s="47">
        <f t="shared" si="8"/>
        <v>1.477088295142848E-2</v>
      </c>
      <c r="AK18" s="47">
        <f t="shared" si="8"/>
        <v>0.12246944015992445</v>
      </c>
      <c r="AL18" s="47">
        <f t="shared" si="10"/>
        <v>0.11045823409714303</v>
      </c>
      <c r="AM18" s="58"/>
    </row>
    <row r="19" spans="1:39" s="49" customFormat="1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45">
        <f>'Proximal Validation (double)'!L19</f>
        <v>3.3402333501726402E-3</v>
      </c>
      <c r="M19" s="45">
        <f>'Proximal Validation (double)'!M19</f>
        <v>1.4506237581372299E-2</v>
      </c>
      <c r="N19" s="45">
        <f>'Proximal Validation (double)'!N19</f>
        <v>-1.5207892283797301E-2</v>
      </c>
      <c r="O19" s="45">
        <f>'Proximal Validation (double)'!O19</f>
        <v>-1.86226963996887E-2</v>
      </c>
      <c r="P19" s="45">
        <f>'Proximal Validation (double)'!P19</f>
        <v>-4.76582162082195E-2</v>
      </c>
      <c r="Q19" s="45">
        <f>'Proximal Validation (double)'!Q19</f>
        <v>-0.14300855994224501</v>
      </c>
      <c r="R19" s="45">
        <v>0.38523266575286536</v>
      </c>
      <c r="S19" s="45">
        <v>0.17642806295366928</v>
      </c>
      <c r="T19" s="45">
        <v>1.8436513385578173</v>
      </c>
      <c r="U19" s="45">
        <v>1.5707963267948966</v>
      </c>
      <c r="V19" s="45">
        <v>0.51445586151444489</v>
      </c>
      <c r="W19" s="45">
        <v>0.13021287318970551</v>
      </c>
      <c r="X19" s="45">
        <v>4.8210600171563938</v>
      </c>
      <c r="Y19" s="45">
        <v>1.5707963267948966</v>
      </c>
      <c r="Z19" s="46">
        <v>8.5426782238629341E-6</v>
      </c>
      <c r="AA19" s="45">
        <f t="shared" si="0"/>
        <v>0.28523266575286532</v>
      </c>
      <c r="AB19" s="45">
        <f t="shared" si="1"/>
        <v>-3.5719370463307143E-3</v>
      </c>
      <c r="AC19" s="45">
        <f t="shared" si="2"/>
        <v>-0.51234866144218261</v>
      </c>
      <c r="AD19" s="45">
        <f t="shared" si="3"/>
        <v>0</v>
      </c>
      <c r="AE19" s="45">
        <f t="shared" si="4"/>
        <v>0.31445586151444488</v>
      </c>
      <c r="AF19" s="45">
        <f t="shared" si="5"/>
        <v>7.021287318970551E-2</v>
      </c>
      <c r="AG19" s="45">
        <f t="shared" si="6"/>
        <v>0.10906001715639402</v>
      </c>
      <c r="AH19" s="45">
        <f t="shared" si="7"/>
        <v>0</v>
      </c>
      <c r="AI19" s="47">
        <f t="shared" si="9"/>
        <v>0.29984426363365513</v>
      </c>
      <c r="AJ19" s="47">
        <f t="shared" si="9"/>
        <v>3.6892405118018112E-2</v>
      </c>
      <c r="AK19" s="47">
        <f t="shared" si="9"/>
        <v>0.31070433929928831</v>
      </c>
      <c r="AL19" s="47">
        <f t="shared" si="10"/>
        <v>4.6215189763963771E-2</v>
      </c>
      <c r="AM19" s="58"/>
    </row>
    <row r="20" spans="1:39" s="49" customFormat="1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45">
        <f>'Proximal Validation (double)'!L20</f>
        <v>9.9984761327505094E-3</v>
      </c>
      <c r="M20" s="45">
        <f>'Proximal Validation (double)'!M20</f>
        <v>-0.16704940795898399</v>
      </c>
      <c r="N20" s="45">
        <f>'Proximal Validation (double)'!N20</f>
        <v>-0.211101770401001</v>
      </c>
      <c r="O20" s="45">
        <f>'Proximal Validation (double)'!O20</f>
        <v>-0.65643388032913197</v>
      </c>
      <c r="P20" s="45">
        <f>'Proximal Validation (double)'!P20</f>
        <v>-0.80316579341888406</v>
      </c>
      <c r="Q20" s="45">
        <f>'Proximal Validation (double)'!Q20</f>
        <v>0.504788398742676</v>
      </c>
      <c r="R20" s="45">
        <v>0.96365979904639809</v>
      </c>
      <c r="S20" s="45">
        <v>0.1985977393932942</v>
      </c>
      <c r="T20" s="45">
        <v>2.1124685087276669</v>
      </c>
      <c r="U20" s="45">
        <v>1.5707963267948966</v>
      </c>
      <c r="V20" s="45">
        <v>0.44248109487285481</v>
      </c>
      <c r="W20" s="45">
        <v>0.1360290839488732</v>
      </c>
      <c r="X20" s="45">
        <v>3.4400878582310503</v>
      </c>
      <c r="Y20" s="45">
        <v>1.5707963267948966</v>
      </c>
      <c r="Z20" s="46">
        <v>3.1560568083435703E-5</v>
      </c>
      <c r="AA20" s="45">
        <f t="shared" si="0"/>
        <v>6.3659799046398069E-2</v>
      </c>
      <c r="AB20" s="45">
        <f t="shared" si="1"/>
        <v>-1.402260606705813E-3</v>
      </c>
      <c r="AC20" s="45">
        <f t="shared" si="2"/>
        <v>-0.24353149127233298</v>
      </c>
      <c r="AD20" s="45">
        <f t="shared" si="3"/>
        <v>0</v>
      </c>
      <c r="AE20" s="45">
        <f t="shared" si="4"/>
        <v>0.14248109487285482</v>
      </c>
      <c r="AF20" s="45">
        <f t="shared" si="5"/>
        <v>7.60290839488732E-2</v>
      </c>
      <c r="AG20" s="45">
        <f t="shared" si="6"/>
        <v>0.29808785823105044</v>
      </c>
      <c r="AH20" s="45">
        <f t="shared" si="7"/>
        <v>0</v>
      </c>
      <c r="AI20" s="47">
        <f t="shared" si="9"/>
        <v>0.10307044695962644</v>
      </c>
      <c r="AJ20" s="47">
        <f t="shared" si="9"/>
        <v>3.8715672277789506E-2</v>
      </c>
      <c r="AK20" s="47">
        <f t="shared" si="9"/>
        <v>0.27080967475169171</v>
      </c>
      <c r="AL20" s="47">
        <f t="shared" si="10"/>
        <v>6.2568655444421001E-2</v>
      </c>
      <c r="AM20" s="58"/>
    </row>
    <row r="21" spans="1:39" s="49" customFormat="1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45">
        <f>'Proximal Validation (double)'!L21</f>
        <v>-4.1311280801892302E-4</v>
      </c>
      <c r="M21" s="45">
        <f>'Proximal Validation (double)'!M21</f>
        <v>3.3949088305234902E-2</v>
      </c>
      <c r="N21" s="45">
        <f>'Proximal Validation (double)'!N21</f>
        <v>-5.4488845169544199E-2</v>
      </c>
      <c r="O21" s="45">
        <f>'Proximal Validation (double)'!O21</f>
        <v>-5.7915411889553096E-3</v>
      </c>
      <c r="P21" s="45">
        <f>'Proximal Validation (double)'!P21</f>
        <v>-0.31081974506378202</v>
      </c>
      <c r="Q21" s="45">
        <f>'Proximal Validation (double)'!Q21</f>
        <v>-0.19208578765392301</v>
      </c>
      <c r="R21" s="45">
        <v>0.44509438473721363</v>
      </c>
      <c r="S21" s="45">
        <v>0.12439181375593907</v>
      </c>
      <c r="T21" s="45">
        <v>0.52164188699226377</v>
      </c>
      <c r="U21" s="45">
        <v>1.5707963267948966</v>
      </c>
      <c r="V21" s="45">
        <v>0.81018377094662419</v>
      </c>
      <c r="W21" s="45">
        <v>0.10680441741186443</v>
      </c>
      <c r="X21" s="45">
        <v>3.6776248251494126</v>
      </c>
      <c r="Y21" s="45">
        <v>1.5707963267948966</v>
      </c>
      <c r="Z21" s="46">
        <v>1.705878110600221E-7</v>
      </c>
      <c r="AA21" s="45">
        <f t="shared" si="0"/>
        <v>0.34509438473721366</v>
      </c>
      <c r="AB21" s="45">
        <f t="shared" si="1"/>
        <v>2.439181375593906E-2</v>
      </c>
      <c r="AC21" s="45">
        <f t="shared" si="2"/>
        <v>-2.620358113007736</v>
      </c>
      <c r="AD21" s="45">
        <f t="shared" si="3"/>
        <v>0</v>
      </c>
      <c r="AE21" s="45">
        <f t="shared" si="4"/>
        <v>0.51018377094662415</v>
      </c>
      <c r="AF21" s="45">
        <f t="shared" si="5"/>
        <v>2.6804417411864428E-2</v>
      </c>
      <c r="AG21" s="45">
        <f t="shared" si="6"/>
        <v>-0.24937517485058747</v>
      </c>
      <c r="AH21" s="45">
        <f t="shared" si="7"/>
        <v>0</v>
      </c>
      <c r="AI21" s="47">
        <f t="shared" si="9"/>
        <v>0.4276390778419189</v>
      </c>
      <c r="AJ21" s="47">
        <f t="shared" si="9"/>
        <v>2.5598115583901744E-2</v>
      </c>
      <c r="AK21" s="47">
        <f t="shared" si="9"/>
        <v>1.4348666439291617</v>
      </c>
      <c r="AL21" s="47">
        <f t="shared" si="10"/>
        <v>1.7587396344074635E-2</v>
      </c>
      <c r="AM21" s="58"/>
    </row>
    <row r="22" spans="1:39" s="49" customFormat="1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45">
        <f>'Proximal Validation (double)'!L22</f>
        <v>-1.08309416100383E-3</v>
      </c>
      <c r="M22" s="45">
        <f>'Proximal Validation (double)'!M22</f>
        <v>4.8130437731742901E-2</v>
      </c>
      <c r="N22" s="45">
        <f>'Proximal Validation (double)'!N22</f>
        <v>-8.1404998898506206E-2</v>
      </c>
      <c r="O22" s="45">
        <f>'Proximal Validation (double)'!O22</f>
        <v>-3.8113974034786197E-2</v>
      </c>
      <c r="P22" s="45">
        <f>'Proximal Validation (double)'!P22</f>
        <v>-0.69519579410553001</v>
      </c>
      <c r="Q22" s="45">
        <f>'Proximal Validation (double)'!Q22</f>
        <v>-0.43949088454246499</v>
      </c>
      <c r="R22" s="45">
        <v>0.18376593362634752</v>
      </c>
      <c r="S22" s="45">
        <v>0.19988931731859655</v>
      </c>
      <c r="T22" s="45">
        <v>0.6822287020220964</v>
      </c>
      <c r="U22" s="45">
        <v>1.5707963267948966</v>
      </c>
      <c r="V22" s="45">
        <v>0.99999999999997735</v>
      </c>
      <c r="W22" s="45">
        <v>5.4226085602201268E-2</v>
      </c>
      <c r="X22" s="45">
        <v>3.7268059328635585</v>
      </c>
      <c r="Y22" s="45">
        <v>1.5707963267948966</v>
      </c>
      <c r="Z22" s="46">
        <v>8.90036490285023E-6</v>
      </c>
      <c r="AA22" s="45">
        <f t="shared" si="0"/>
        <v>8.3765933626347516E-2</v>
      </c>
      <c r="AB22" s="45">
        <f t="shared" si="1"/>
        <v>-1.1068268140346227E-4</v>
      </c>
      <c r="AC22" s="45">
        <f t="shared" si="2"/>
        <v>-2.4597712979779036</v>
      </c>
      <c r="AD22" s="45">
        <f t="shared" si="3"/>
        <v>0</v>
      </c>
      <c r="AE22" s="45">
        <f t="shared" si="4"/>
        <v>0.19999999999997731</v>
      </c>
      <c r="AF22" s="45">
        <f t="shared" si="5"/>
        <v>3.4226085602201264E-2</v>
      </c>
      <c r="AG22" s="45">
        <f t="shared" si="6"/>
        <v>-0.2001940671364415</v>
      </c>
      <c r="AH22" s="45">
        <f t="shared" si="7"/>
        <v>0</v>
      </c>
      <c r="AI22" s="47">
        <f t="shared" si="9"/>
        <v>0.14188296681316243</v>
      </c>
      <c r="AJ22" s="47">
        <f t="shared" si="9"/>
        <v>1.7168384141802363E-2</v>
      </c>
      <c r="AK22" s="47">
        <f t="shared" si="9"/>
        <v>1.3299826825571726</v>
      </c>
      <c r="AL22" s="47">
        <f t="shared" si="10"/>
        <v>0.14566323171639528</v>
      </c>
      <c r="AM22" s="58"/>
    </row>
    <row r="23" spans="1:39" s="49" customFormat="1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45">
        <f>'Proximal Validation (double)'!L23</f>
        <v>-1.0050361976027501E-2</v>
      </c>
      <c r="M23" s="45">
        <f>'Proximal Validation (double)'!M23</f>
        <v>0.127486452460289</v>
      </c>
      <c r="N23" s="45">
        <f>'Proximal Validation (double)'!N23</f>
        <v>-0.178982153534889</v>
      </c>
      <c r="O23" s="45">
        <f>'Proximal Validation (double)'!O23</f>
        <v>2.8237748891115199E-2</v>
      </c>
      <c r="P23" s="45">
        <f>'Proximal Validation (double)'!P23</f>
        <v>-1.01243340969086</v>
      </c>
      <c r="Q23" s="45">
        <f>'Proximal Validation (double)'!Q23</f>
        <v>-0.60584980249404896</v>
      </c>
      <c r="R23" s="45">
        <v>0.65914057559870376</v>
      </c>
      <c r="S23" s="45">
        <v>0.10160932647478199</v>
      </c>
      <c r="T23" s="45">
        <v>3.925855957660414</v>
      </c>
      <c r="U23" s="45">
        <v>1.5707963267948966</v>
      </c>
      <c r="V23" s="45">
        <v>0.56268549244101951</v>
      </c>
      <c r="W23" s="45">
        <v>5.0419898796167706E-2</v>
      </c>
      <c r="X23" s="45">
        <v>3.4073317139454851</v>
      </c>
      <c r="Y23" s="45">
        <v>1.5707963267948966</v>
      </c>
      <c r="Z23" s="46">
        <v>1.8146615962632462E-3</v>
      </c>
      <c r="AA23" s="45">
        <f t="shared" si="0"/>
        <v>-0.24085942440129626</v>
      </c>
      <c r="AB23" s="45">
        <f t="shared" si="1"/>
        <v>1.6093264747819858E-3</v>
      </c>
      <c r="AC23" s="45">
        <f t="shared" si="2"/>
        <v>-1.1440423395860932E-3</v>
      </c>
      <c r="AD23" s="45">
        <f t="shared" si="3"/>
        <v>0</v>
      </c>
      <c r="AE23" s="45">
        <f t="shared" si="4"/>
        <v>0.3626854924410195</v>
      </c>
      <c r="AF23" s="45">
        <f t="shared" si="5"/>
        <v>3.0419898796167705E-2</v>
      </c>
      <c r="AG23" s="45">
        <f t="shared" si="6"/>
        <v>0.26533171394548516</v>
      </c>
      <c r="AH23" s="45">
        <f t="shared" si="7"/>
        <v>0</v>
      </c>
      <c r="AI23" s="47">
        <f t="shared" si="9"/>
        <v>0.30177245842115785</v>
      </c>
      <c r="AJ23" s="47">
        <f t="shared" si="9"/>
        <v>1.6014612635474844E-2</v>
      </c>
      <c r="AK23" s="47">
        <f t="shared" si="9"/>
        <v>0.13323787814253563</v>
      </c>
      <c r="AL23" s="47">
        <f t="shared" si="10"/>
        <v>5.1189427678614285E-2</v>
      </c>
      <c r="AM23" s="58"/>
    </row>
    <row r="24" spans="1:39" s="49" customFormat="1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45">
        <f>'Proximal Validation (double)'!L24</f>
        <v>-1.8197204917669299E-4</v>
      </c>
      <c r="M24" s="45">
        <f>'Proximal Validation (double)'!M24</f>
        <v>4.8199806362390497E-2</v>
      </c>
      <c r="N24" s="45">
        <f>'Proximal Validation (double)'!N24</f>
        <v>-2.8443846851587299E-2</v>
      </c>
      <c r="O24" s="45">
        <f>'Proximal Validation (double)'!O24</f>
        <v>1.3900646939873701E-2</v>
      </c>
      <c r="P24" s="45">
        <f>'Proximal Validation (double)'!P24</f>
        <v>-0.13246817886829401</v>
      </c>
      <c r="Q24" s="45">
        <f>'Proximal Validation (double)'!Q24</f>
        <v>-0.32060724496841397</v>
      </c>
      <c r="R24" s="45">
        <v>0.15641681290804871</v>
      </c>
      <c r="S24" s="45">
        <v>0.1477312119217862</v>
      </c>
      <c r="T24" s="45">
        <v>3.8395929672229614</v>
      </c>
      <c r="U24" s="45">
        <v>1.5707963267948966</v>
      </c>
      <c r="V24" s="45">
        <v>0.22082411655767462</v>
      </c>
      <c r="W24" s="45">
        <v>2.0005480749686964E-2</v>
      </c>
      <c r="X24" s="45">
        <v>4.6548139005381408</v>
      </c>
      <c r="Y24" s="45">
        <v>1.5707963267948966</v>
      </c>
      <c r="Z24" s="46">
        <v>6.3308647859403505E-5</v>
      </c>
      <c r="AA24" s="45">
        <f t="shared" si="0"/>
        <v>-4.3583187091951303E-2</v>
      </c>
      <c r="AB24" s="45">
        <f t="shared" si="1"/>
        <v>2.7731211921786209E-2</v>
      </c>
      <c r="AC24" s="45">
        <f t="shared" si="2"/>
        <v>-8.7407032777038651E-2</v>
      </c>
      <c r="AD24" s="45">
        <f t="shared" si="3"/>
        <v>0</v>
      </c>
      <c r="AE24" s="45">
        <f t="shared" si="4"/>
        <v>2.0824116557674605E-2</v>
      </c>
      <c r="AF24" s="45">
        <f t="shared" si="5"/>
        <v>5.4807496869639649E-6</v>
      </c>
      <c r="AG24" s="45">
        <f t="shared" si="6"/>
        <v>-5.718609946185893E-2</v>
      </c>
      <c r="AH24" s="45">
        <f t="shared" si="7"/>
        <v>0</v>
      </c>
      <c r="AI24" s="47">
        <f t="shared" si="9"/>
        <v>3.2203651824812954E-2</v>
      </c>
      <c r="AJ24" s="47">
        <f t="shared" si="9"/>
        <v>1.3868346335736586E-2</v>
      </c>
      <c r="AK24" s="47">
        <f t="shared" si="9"/>
        <v>7.2296566119448791E-2</v>
      </c>
      <c r="AL24" s="47">
        <f t="shared" si="10"/>
        <v>0.12772573117209923</v>
      </c>
      <c r="AM24" s="58"/>
    </row>
    <row r="25" spans="1:39" s="49" customFormat="1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45">
        <f>'Proximal Validation (double)'!L25</f>
        <v>-9.4277318567037604E-4</v>
      </c>
      <c r="M25" s="45">
        <f>'Proximal Validation (double)'!M25</f>
        <v>0.193720102310181</v>
      </c>
      <c r="N25" s="45">
        <f>'Proximal Validation (double)'!N25</f>
        <v>-0.115528546273708</v>
      </c>
      <c r="O25" s="45">
        <f>'Proximal Validation (double)'!O25</f>
        <v>4.3163940310478197E-2</v>
      </c>
      <c r="P25" s="45">
        <f>'Proximal Validation (double)'!P25</f>
        <v>-0.53577321767806996</v>
      </c>
      <c r="Q25" s="45">
        <f>'Proximal Validation (double)'!Q25</f>
        <v>-0.986228287220001</v>
      </c>
      <c r="R25" s="45">
        <v>0.69438839688879073</v>
      </c>
      <c r="S25" s="45">
        <v>8.7103097942109214E-2</v>
      </c>
      <c r="T25" s="45">
        <v>3.5799294195312772</v>
      </c>
      <c r="U25" s="45">
        <v>1.5707963267948966</v>
      </c>
      <c r="V25" s="45">
        <v>0.70100164581368929</v>
      </c>
      <c r="W25" s="45">
        <v>6.8939675268585243E-2</v>
      </c>
      <c r="X25" s="45">
        <v>4.842161644179833</v>
      </c>
      <c r="Y25" s="45">
        <v>1.5707963267948966</v>
      </c>
      <c r="Z25" s="46">
        <v>4.6931449326109171E-3</v>
      </c>
      <c r="AA25" s="45">
        <f t="shared" si="0"/>
        <v>9.4388396888790749E-2</v>
      </c>
      <c r="AB25" s="45">
        <f t="shared" si="1"/>
        <v>-3.2896902057890781E-2</v>
      </c>
      <c r="AC25" s="45">
        <f t="shared" si="2"/>
        <v>-0.34707058046872286</v>
      </c>
      <c r="AD25" s="45">
        <f t="shared" si="3"/>
        <v>0</v>
      </c>
      <c r="AE25" s="45">
        <f t="shared" si="4"/>
        <v>0.20100164581368929</v>
      </c>
      <c r="AF25" s="45">
        <f t="shared" si="5"/>
        <v>-1.1060324731414758E-2</v>
      </c>
      <c r="AG25" s="45">
        <f t="shared" si="6"/>
        <v>0.13016164417983322</v>
      </c>
      <c r="AH25" s="45">
        <f t="shared" si="7"/>
        <v>0</v>
      </c>
      <c r="AI25" s="47">
        <f t="shared" si="9"/>
        <v>0.14769502135124002</v>
      </c>
      <c r="AJ25" s="47">
        <f t="shared" si="9"/>
        <v>2.197861339465277E-2</v>
      </c>
      <c r="AK25" s="47">
        <f t="shared" si="9"/>
        <v>0.23861611232427804</v>
      </c>
      <c r="AL25" s="47">
        <f t="shared" si="10"/>
        <v>1.8163422673523971E-2</v>
      </c>
      <c r="AM25" s="58"/>
    </row>
    <row r="26" spans="1:39" s="49" customFormat="1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45">
        <f>'Proximal Validation (double)'!L26</f>
        <v>-1.8966067582368901E-3</v>
      </c>
      <c r="M26" s="45">
        <f>'Proximal Validation (double)'!M26</f>
        <v>0.20827016234397899</v>
      </c>
      <c r="N26" s="45">
        <f>'Proximal Validation (double)'!N26</f>
        <v>-0.236072272062302</v>
      </c>
      <c r="O26" s="45">
        <f>'Proximal Validation (double)'!O26</f>
        <v>-2.9216319322586101E-2</v>
      </c>
      <c r="P26" s="45">
        <f>'Proximal Validation (double)'!P26</f>
        <v>-1.3177623748779299</v>
      </c>
      <c r="Q26" s="45">
        <f>'Proximal Validation (double)'!Q26</f>
        <v>-1.11354172229767</v>
      </c>
      <c r="R26" s="45">
        <v>0.81552352483271351</v>
      </c>
      <c r="S26" s="45">
        <v>0.12438199730995765</v>
      </c>
      <c r="T26" s="45">
        <v>3.9261498353187978</v>
      </c>
      <c r="U26" s="45">
        <v>1.5707963267948966</v>
      </c>
      <c r="V26" s="45">
        <v>0.91708760593096039</v>
      </c>
      <c r="W26" s="45">
        <v>5.1588165061863409E-2</v>
      </c>
      <c r="X26" s="45">
        <v>3.7697346914053802</v>
      </c>
      <c r="Y26" s="45">
        <v>1.5707963267948966</v>
      </c>
      <c r="Z26" s="46">
        <v>1.9656767006644239E-4</v>
      </c>
      <c r="AA26" s="45">
        <f t="shared" si="0"/>
        <v>0.11552352483271355</v>
      </c>
      <c r="AB26" s="45">
        <f t="shared" si="1"/>
        <v>-3.5618002690042352E-2</v>
      </c>
      <c r="AC26" s="45">
        <f t="shared" si="2"/>
        <v>-8.5016468120224786E-4</v>
      </c>
      <c r="AD26" s="45">
        <f t="shared" si="3"/>
        <v>0</v>
      </c>
      <c r="AE26" s="45">
        <f t="shared" si="4"/>
        <v>-8.2912394069039608E-2</v>
      </c>
      <c r="AF26" s="45">
        <f t="shared" si="5"/>
        <v>1.1588165061863408E-2</v>
      </c>
      <c r="AG26" s="45">
        <f t="shared" si="6"/>
        <v>-0.15726530859461985</v>
      </c>
      <c r="AH26" s="45">
        <f t="shared" si="7"/>
        <v>0</v>
      </c>
      <c r="AI26" s="47">
        <f t="shared" si="9"/>
        <v>9.9217959450876581E-2</v>
      </c>
      <c r="AJ26" s="47">
        <f t="shared" si="9"/>
        <v>2.360308387595288E-2</v>
      </c>
      <c r="AK26" s="47">
        <f t="shared" si="9"/>
        <v>7.9057736637911047E-2</v>
      </c>
      <c r="AL26" s="47">
        <f t="shared" si="10"/>
        <v>7.2793832248094242E-2</v>
      </c>
      <c r="AM26" s="58"/>
    </row>
    <row r="27" spans="1:39" s="49" customFormat="1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45">
        <f>'Proximal Validation (double)'!L27</f>
        <v>-2.1010981872677799E-3</v>
      </c>
      <c r="M27" s="45">
        <f>'Proximal Validation (double)'!M27</f>
        <v>1.5756551176309599E-2</v>
      </c>
      <c r="N27" s="45">
        <f>'Proximal Validation (double)'!N27</f>
        <v>-0.160715162754059</v>
      </c>
      <c r="O27" s="45">
        <f>'Proximal Validation (double)'!O27</f>
        <v>2.54940949380398E-2</v>
      </c>
      <c r="P27" s="45">
        <f>'Proximal Validation (double)'!P27</f>
        <v>-0.88553363084793102</v>
      </c>
      <c r="Q27" s="45">
        <f>'Proximal Validation (double)'!Q27</f>
        <v>-5.3425669670105001E-2</v>
      </c>
      <c r="R27" s="45">
        <v>0.66081664004347374</v>
      </c>
      <c r="S27" s="45">
        <v>8.0813644491892322E-2</v>
      </c>
      <c r="T27" s="45">
        <v>3.8660075893455277</v>
      </c>
      <c r="U27" s="45">
        <v>1.5707963267948966</v>
      </c>
      <c r="V27" s="45">
        <v>0.54916806800051177</v>
      </c>
      <c r="W27" s="45">
        <v>6.7462581084085732E-2</v>
      </c>
      <c r="X27" s="45">
        <v>2.3666786580881332</v>
      </c>
      <c r="Y27" s="45">
        <v>1.5707963267948966</v>
      </c>
      <c r="Z27" s="46">
        <v>1.2375631972125997E-3</v>
      </c>
      <c r="AA27" s="45">
        <f t="shared" si="0"/>
        <v>0.56081664004347376</v>
      </c>
      <c r="AB27" s="45">
        <f t="shared" si="1"/>
        <v>-9.9186355508107671E-2</v>
      </c>
      <c r="AC27" s="45">
        <f t="shared" si="2"/>
        <v>-6.0992410654472362E-2</v>
      </c>
      <c r="AD27" s="45">
        <f t="shared" si="3"/>
        <v>0</v>
      </c>
      <c r="AE27" s="45">
        <f t="shared" si="4"/>
        <v>-0.35083193199948826</v>
      </c>
      <c r="AF27" s="45">
        <f t="shared" si="5"/>
        <v>-1.253741891591427E-2</v>
      </c>
      <c r="AG27" s="45">
        <f t="shared" si="6"/>
        <v>-0.77532134191186675</v>
      </c>
      <c r="AH27" s="45">
        <f t="shared" si="7"/>
        <v>0</v>
      </c>
      <c r="AI27" s="47">
        <f t="shared" si="9"/>
        <v>0.45582428602148101</v>
      </c>
      <c r="AJ27" s="47">
        <f t="shared" si="9"/>
        <v>5.586188721201097E-2</v>
      </c>
      <c r="AK27" s="47">
        <f t="shared" si="9"/>
        <v>0.41815687628316955</v>
      </c>
      <c r="AL27" s="47">
        <f t="shared" si="10"/>
        <v>1.335106340780659E-2</v>
      </c>
      <c r="AM27" s="58"/>
    </row>
    <row r="28" spans="1:39" s="49" customFormat="1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45">
        <f>'Proximal Validation (double)'!L28</f>
        <v>-2.0807487890124299E-3</v>
      </c>
      <c r="M28" s="45">
        <f>'Proximal Validation (double)'!M28</f>
        <v>0.205877780914307</v>
      </c>
      <c r="N28" s="45">
        <f>'Proximal Validation (double)'!N28</f>
        <v>-0.19408226013183599</v>
      </c>
      <c r="O28" s="45">
        <f>'Proximal Validation (double)'!O28</f>
        <v>-0.39274537563324002</v>
      </c>
      <c r="P28" s="45">
        <f>'Proximal Validation (double)'!P28</f>
        <v>-0.65224993228912398</v>
      </c>
      <c r="Q28" s="45">
        <f>'Proximal Validation (double)'!Q28</f>
        <v>-0.73969256877899203</v>
      </c>
      <c r="R28" s="45">
        <v>0.71866872193582543</v>
      </c>
      <c r="S28" s="45">
        <v>0.19992136670808044</v>
      </c>
      <c r="T28" s="45">
        <v>3.8163162554734691</v>
      </c>
      <c r="U28" s="45">
        <v>1.5707963267948966</v>
      </c>
      <c r="V28" s="45">
        <v>0.37815111896042408</v>
      </c>
      <c r="W28" s="45">
        <v>0.1303320890250958</v>
      </c>
      <c r="X28" s="45">
        <v>4.3077021036674417</v>
      </c>
      <c r="Y28" s="45">
        <v>1.5707963267948966</v>
      </c>
      <c r="Z28" s="46">
        <v>2.3940325540001468E-4</v>
      </c>
      <c r="AA28" s="45">
        <f t="shared" si="0"/>
        <v>-0.28133127806417457</v>
      </c>
      <c r="AB28" s="45">
        <f t="shared" si="1"/>
        <v>1.9921366708080451E-2</v>
      </c>
      <c r="AC28" s="45">
        <f t="shared" si="2"/>
        <v>-0.11068374452653096</v>
      </c>
      <c r="AD28" s="45">
        <f t="shared" si="3"/>
        <v>0</v>
      </c>
      <c r="AE28" s="45">
        <f t="shared" si="4"/>
        <v>0.2781511189604241</v>
      </c>
      <c r="AF28" s="45">
        <f t="shared" si="5"/>
        <v>5.0332089025095797E-2</v>
      </c>
      <c r="AG28" s="45">
        <f t="shared" si="6"/>
        <v>-0.40429789633255808</v>
      </c>
      <c r="AH28" s="45">
        <f t="shared" si="7"/>
        <v>0</v>
      </c>
      <c r="AI28" s="47">
        <f t="shared" si="9"/>
        <v>0.27974119851229934</v>
      </c>
      <c r="AJ28" s="47">
        <f t="shared" si="9"/>
        <v>3.5126727866588124E-2</v>
      </c>
      <c r="AK28" s="47">
        <f t="shared" si="9"/>
        <v>0.25749082042954452</v>
      </c>
      <c r="AL28" s="47">
        <f t="shared" si="10"/>
        <v>6.9589277682984646E-2</v>
      </c>
      <c r="AM28" s="58"/>
    </row>
    <row r="29" spans="1:39" s="49" customFormat="1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45">
        <f>'Proximal Validation (double)'!L29</f>
        <v>-1.87318958342075E-3</v>
      </c>
      <c r="M29" s="45">
        <f>'Proximal Validation (double)'!M29</f>
        <v>0.13435347378253901</v>
      </c>
      <c r="N29" s="45">
        <f>'Proximal Validation (double)'!N29</f>
        <v>-0.13989627361297599</v>
      </c>
      <c r="O29" s="45">
        <f>'Proximal Validation (double)'!O29</f>
        <v>-0.26602268218994102</v>
      </c>
      <c r="P29" s="45">
        <f>'Proximal Validation (double)'!P29</f>
        <v>-0.53642767667770397</v>
      </c>
      <c r="Q29" s="45">
        <f>'Proximal Validation (double)'!Q29</f>
        <v>-0.50663030147552501</v>
      </c>
      <c r="R29" s="45">
        <v>0.83179452782345265</v>
      </c>
      <c r="S29" s="45">
        <v>0.17536482114654992</v>
      </c>
      <c r="T29" s="45">
        <v>4.137866175471367</v>
      </c>
      <c r="U29" s="45">
        <v>1.5707963267948966</v>
      </c>
      <c r="V29" s="45">
        <v>0.19644091737551489</v>
      </c>
      <c r="W29" s="45">
        <v>0.16667506136663732</v>
      </c>
      <c r="X29" s="45">
        <v>2.2008058727805713</v>
      </c>
      <c r="Y29" s="45">
        <v>1.5707963267948966</v>
      </c>
      <c r="Z29" s="46">
        <v>3.3465898937198007E-5</v>
      </c>
      <c r="AA29" s="45">
        <f t="shared" si="0"/>
        <v>0.13179452782345269</v>
      </c>
      <c r="AB29" s="45">
        <f t="shared" si="1"/>
        <v>-2.4635178853450096E-2</v>
      </c>
      <c r="AC29" s="45">
        <f t="shared" si="2"/>
        <v>0.21086617547136699</v>
      </c>
      <c r="AD29" s="45">
        <f t="shared" si="3"/>
        <v>0</v>
      </c>
      <c r="AE29" s="45">
        <f t="shared" si="4"/>
        <v>-3.5590826244851215E-3</v>
      </c>
      <c r="AF29" s="45">
        <f t="shared" si="5"/>
        <v>0.14667506136663733</v>
      </c>
      <c r="AG29" s="45">
        <f t="shared" si="6"/>
        <v>-1.7261941272194288</v>
      </c>
      <c r="AH29" s="45">
        <f t="shared" si="7"/>
        <v>0</v>
      </c>
      <c r="AI29" s="47">
        <f t="shared" si="9"/>
        <v>6.7676805223968906E-2</v>
      </c>
      <c r="AJ29" s="47">
        <f t="shared" si="9"/>
        <v>8.5655120110043712E-2</v>
      </c>
      <c r="AK29" s="47">
        <f t="shared" si="9"/>
        <v>0.96853015134539788</v>
      </c>
      <c r="AL29" s="47">
        <f t="shared" si="10"/>
        <v>8.6897597799125981E-3</v>
      </c>
      <c r="AM29" s="58"/>
    </row>
    <row r="30" spans="1:39" s="49" customFormat="1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45">
        <f>'Proximal Validation (double)'!L30</f>
        <v>-3.7020025774836501E-3</v>
      </c>
      <c r="M30" s="45">
        <f>'Proximal Validation (double)'!M30</f>
        <v>0.26659435033798201</v>
      </c>
      <c r="N30" s="45">
        <f>'Proximal Validation (double)'!N30</f>
        <v>-0.30219966173172003</v>
      </c>
      <c r="O30" s="45">
        <f>'Proximal Validation (double)'!O30</f>
        <v>-0.59528750181198098</v>
      </c>
      <c r="P30" s="45">
        <f>'Proximal Validation (double)'!P30</f>
        <v>-1.3395630121231099</v>
      </c>
      <c r="Q30" s="45">
        <f>'Proximal Validation (double)'!Q30</f>
        <v>-1.10396945476532</v>
      </c>
      <c r="R30" s="45">
        <v>0.89663844017838357</v>
      </c>
      <c r="S30" s="45">
        <v>0.18551026588114031</v>
      </c>
      <c r="T30" s="45">
        <v>4.0041571359637089</v>
      </c>
      <c r="U30" s="45">
        <v>1.5707963267948966</v>
      </c>
      <c r="V30" s="45">
        <v>0.99623645768849944</v>
      </c>
      <c r="W30" s="45">
        <v>9.6937603444689116E-2</v>
      </c>
      <c r="X30" s="45">
        <v>3.6956544680799688</v>
      </c>
      <c r="Y30" s="45">
        <v>1.5707963267948966</v>
      </c>
      <c r="Z30" s="46">
        <v>1.1914763319291775E-5</v>
      </c>
      <c r="AA30" s="45">
        <f t="shared" si="0"/>
        <v>-0.10336155982161643</v>
      </c>
      <c r="AB30" s="45">
        <f t="shared" si="1"/>
        <v>-1.4489734118859704E-2</v>
      </c>
      <c r="AC30" s="45">
        <f t="shared" si="2"/>
        <v>7.7157135963708878E-2</v>
      </c>
      <c r="AD30" s="45">
        <f t="shared" si="3"/>
        <v>0</v>
      </c>
      <c r="AE30" s="45">
        <f t="shared" si="4"/>
        <v>-3.7635423115005562E-3</v>
      </c>
      <c r="AF30" s="45">
        <f t="shared" si="5"/>
        <v>3.6937603444689118E-2</v>
      </c>
      <c r="AG30" s="45">
        <f t="shared" si="6"/>
        <v>-0.23134553192003127</v>
      </c>
      <c r="AH30" s="45">
        <f t="shared" si="7"/>
        <v>0</v>
      </c>
      <c r="AI30" s="47">
        <f t="shared" si="9"/>
        <v>5.3562551066558495E-2</v>
      </c>
      <c r="AJ30" s="47">
        <f t="shared" si="9"/>
        <v>2.5713668781774411E-2</v>
      </c>
      <c r="AK30" s="47">
        <f t="shared" si="9"/>
        <v>0.15425133394187007</v>
      </c>
      <c r="AL30" s="47">
        <f t="shared" si="10"/>
        <v>8.8572662436451191E-2</v>
      </c>
      <c r="AM30" s="58"/>
    </row>
    <row r="31" spans="1:39" s="49" customFormat="1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45">
        <f>'Proximal Validation (double)'!L31</f>
        <v>-2.9836385510861901E-4</v>
      </c>
      <c r="M31" s="45">
        <f>'Proximal Validation (double)'!M31</f>
        <v>1.1398071423172999E-2</v>
      </c>
      <c r="N31" s="45">
        <f>'Proximal Validation (double)'!N31</f>
        <v>-2.4645710363984101E-2</v>
      </c>
      <c r="O31" s="45">
        <f>'Proximal Validation (double)'!O31</f>
        <v>1.9913738593459102E-2</v>
      </c>
      <c r="P31" s="45">
        <f>'Proximal Validation (double)'!P31</f>
        <v>-0.214856266975403</v>
      </c>
      <c r="Q31" s="45">
        <f>'Proximal Validation (double)'!Q31</f>
        <v>-6.1887651681899997E-2</v>
      </c>
      <c r="R31" s="45">
        <v>0.29826014417616104</v>
      </c>
      <c r="S31" s="45">
        <v>9.032451751282275E-2</v>
      </c>
      <c r="T31" s="45">
        <v>0.14864393271385737</v>
      </c>
      <c r="U31" s="45">
        <v>1.5707963267948966</v>
      </c>
      <c r="V31" s="45">
        <v>0.52080886431632911</v>
      </c>
      <c r="W31" s="45">
        <v>6.4307033254012561E-2</v>
      </c>
      <c r="X31" s="45">
        <v>3.3474795424092405</v>
      </c>
      <c r="Y31" s="45">
        <v>1.5707963267948966</v>
      </c>
      <c r="Z31" s="46">
        <v>3.9640446600975861E-4</v>
      </c>
      <c r="AA31" s="45">
        <f t="shared" si="0"/>
        <v>0.19826014417616103</v>
      </c>
      <c r="AB31" s="45">
        <f t="shared" si="1"/>
        <v>-9.675482487177256E-3</v>
      </c>
      <c r="AC31" s="45">
        <f t="shared" si="2"/>
        <v>-4.5633560672861426</v>
      </c>
      <c r="AD31" s="45">
        <f t="shared" si="3"/>
        <v>0</v>
      </c>
      <c r="AE31" s="45">
        <f t="shared" si="4"/>
        <v>0.3208088643163291</v>
      </c>
      <c r="AF31" s="45">
        <f t="shared" si="5"/>
        <v>4.4307033254012557E-2</v>
      </c>
      <c r="AG31" s="45">
        <f t="shared" si="6"/>
        <v>0.2054795424092406</v>
      </c>
      <c r="AH31" s="45">
        <f t="shared" si="7"/>
        <v>0</v>
      </c>
      <c r="AI31" s="47">
        <f t="shared" si="9"/>
        <v>0.25953450424624508</v>
      </c>
      <c r="AJ31" s="47">
        <f t="shared" si="9"/>
        <v>2.6991257870594906E-2</v>
      </c>
      <c r="AK31" s="47">
        <f t="shared" si="9"/>
        <v>2.3844178048476916</v>
      </c>
      <c r="AL31" s="47">
        <f t="shared" si="10"/>
        <v>2.6017484258810189E-2</v>
      </c>
      <c r="AM31" s="58"/>
    </row>
    <row r="32" spans="1:39" s="49" customFormat="1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45">
        <f>'Proximal Validation (double)'!L32</f>
        <v>1.33801531046629E-3</v>
      </c>
      <c r="M32" s="45">
        <f>'Proximal Validation (double)'!M32</f>
        <v>0.12020714581012699</v>
      </c>
      <c r="N32" s="45">
        <f>'Proximal Validation (double)'!N32</f>
        <v>-7.8008078038692502E-2</v>
      </c>
      <c r="O32" s="45">
        <f>'Proximal Validation (double)'!O32</f>
        <v>1.24355498701334E-2</v>
      </c>
      <c r="P32" s="45">
        <f>'Proximal Validation (double)'!P32</f>
        <v>-0.59375947713851895</v>
      </c>
      <c r="Q32" s="45">
        <f>'Proximal Validation (double)'!Q32</f>
        <v>-0.77984750270843495</v>
      </c>
      <c r="R32" s="45">
        <v>0.99994040564646325</v>
      </c>
      <c r="S32" s="45">
        <v>5.4521029511682022E-2</v>
      </c>
      <c r="T32" s="45">
        <v>4.3635054041207599</v>
      </c>
      <c r="U32" s="45">
        <v>1.5707963267948966</v>
      </c>
      <c r="V32" s="45">
        <v>0.29828264199855054</v>
      </c>
      <c r="W32" s="45">
        <v>2.1142305913212135E-2</v>
      </c>
      <c r="X32" s="45">
        <v>2.5778061302713593</v>
      </c>
      <c r="Y32" s="45">
        <v>1.5707963267948966</v>
      </c>
      <c r="Z32" s="46">
        <v>1.8720802867640168E-4</v>
      </c>
      <c r="AA32" s="45">
        <f t="shared" si="0"/>
        <v>0.69994040564646332</v>
      </c>
      <c r="AB32" s="45">
        <f t="shared" si="1"/>
        <v>-4.5478970488317984E-2</v>
      </c>
      <c r="AC32" s="45">
        <f t="shared" si="2"/>
        <v>-0.34849459587923981</v>
      </c>
      <c r="AD32" s="45">
        <f t="shared" si="3"/>
        <v>0</v>
      </c>
      <c r="AE32" s="45">
        <f t="shared" si="4"/>
        <v>-0.50171735800144956</v>
      </c>
      <c r="AF32" s="45">
        <f t="shared" si="5"/>
        <v>-1.8857694086787866E-2</v>
      </c>
      <c r="AG32" s="45">
        <f t="shared" si="6"/>
        <v>-1.3491938697286407</v>
      </c>
      <c r="AH32" s="45">
        <f t="shared" si="7"/>
        <v>0</v>
      </c>
      <c r="AI32" s="47">
        <f t="shared" si="9"/>
        <v>0.60082888182395644</v>
      </c>
      <c r="AJ32" s="47">
        <f t="shared" si="9"/>
        <v>3.2168332287552927E-2</v>
      </c>
      <c r="AK32" s="47">
        <f t="shared" si="9"/>
        <v>0.84884423280394028</v>
      </c>
      <c r="AL32" s="47">
        <f t="shared" si="10"/>
        <v>3.3378723598469884E-2</v>
      </c>
      <c r="AM32" s="58"/>
    </row>
    <row r="33" spans="1:39" s="49" customFormat="1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45">
        <f>'Proximal Validation (double)'!L33</f>
        <v>2.7945239562541199E-3</v>
      </c>
      <c r="M33" s="45">
        <f>'Proximal Validation (double)'!M33</f>
        <v>0.24397116899490401</v>
      </c>
      <c r="N33" s="45">
        <f>'Proximal Validation (double)'!N33</f>
        <v>1.2453994713723699E-2</v>
      </c>
      <c r="O33" s="45">
        <f>'Proximal Validation (double)'!O33</f>
        <v>-6.59529305994511E-3</v>
      </c>
      <c r="P33" s="45">
        <f>'Proximal Validation (double)'!P33</f>
        <v>6.8884432315826402E-2</v>
      </c>
      <c r="Q33" s="45">
        <f>'Proximal Validation (double)'!Q33</f>
        <v>-1.3081740140914899</v>
      </c>
      <c r="R33" s="45">
        <v>0.60945560633164519</v>
      </c>
      <c r="S33" s="45">
        <v>8.4464623236326433E-2</v>
      </c>
      <c r="T33" s="45">
        <v>4.124930244143175</v>
      </c>
      <c r="U33" s="45">
        <v>1.5707963267948966</v>
      </c>
      <c r="V33" s="45">
        <v>0.90031775331515962</v>
      </c>
      <c r="W33" s="45">
        <v>8.3380118488912178E-2</v>
      </c>
      <c r="X33" s="45">
        <v>5.1812063173455565</v>
      </c>
      <c r="Y33" s="45">
        <v>1.5707963267948966</v>
      </c>
      <c r="Z33" s="46">
        <v>6.986045686252282E-4</v>
      </c>
      <c r="AA33" s="45">
        <f t="shared" si="0"/>
        <v>-0.39054439366835481</v>
      </c>
      <c r="AB33" s="45">
        <f t="shared" si="1"/>
        <v>-1.5535376763673572E-2</v>
      </c>
      <c r="AC33" s="45">
        <f t="shared" si="2"/>
        <v>-0.58706975585682475</v>
      </c>
      <c r="AD33" s="45">
        <f t="shared" si="3"/>
        <v>0</v>
      </c>
      <c r="AE33" s="45">
        <f t="shared" si="4"/>
        <v>0.80031775331515964</v>
      </c>
      <c r="AF33" s="45">
        <f t="shared" si="5"/>
        <v>4.3380118488912177E-2</v>
      </c>
      <c r="AG33" s="45">
        <f t="shared" si="6"/>
        <v>0.46920631734555673</v>
      </c>
      <c r="AH33" s="45">
        <f t="shared" si="7"/>
        <v>0</v>
      </c>
      <c r="AI33" s="47">
        <f t="shared" si="9"/>
        <v>0.59543107349175717</v>
      </c>
      <c r="AJ33" s="47">
        <f t="shared" si="9"/>
        <v>2.9457747626292875E-2</v>
      </c>
      <c r="AK33" s="47">
        <f t="shared" si="9"/>
        <v>0.52813803660119074</v>
      </c>
      <c r="AL33" s="47">
        <f t="shared" si="10"/>
        <v>1.0845047474142555E-3</v>
      </c>
      <c r="AM33" s="58"/>
    </row>
    <row r="34" spans="1:39" s="49" customFormat="1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45">
        <f>'Proximal Validation (double)'!L34</f>
        <v>2.5964039377868202E-3</v>
      </c>
      <c r="M34" s="45">
        <f>'Proximal Validation (double)'!M34</f>
        <v>0.18914604187011699</v>
      </c>
      <c r="N34" s="45">
        <f>'Proximal Validation (double)'!N34</f>
        <v>2.9903646558523199E-2</v>
      </c>
      <c r="O34" s="45">
        <f>'Proximal Validation (double)'!O34</f>
        <v>-6.4636766910552996E-3</v>
      </c>
      <c r="P34" s="45">
        <f>'Proximal Validation (double)'!P34</f>
        <v>0.158803179860115</v>
      </c>
      <c r="Q34" s="45">
        <f>'Proximal Validation (double)'!Q34</f>
        <v>-1.0939816236496001</v>
      </c>
      <c r="R34" s="45">
        <v>0.64864224805262605</v>
      </c>
      <c r="S34" s="45">
        <v>9.8706406504039321E-2</v>
      </c>
      <c r="T34" s="45">
        <v>4.8694797703586232</v>
      </c>
      <c r="U34" s="45">
        <v>1.5707963267948966</v>
      </c>
      <c r="V34" s="45">
        <v>0.45751024552540387</v>
      </c>
      <c r="W34" s="45">
        <v>5.2640719283663449E-2</v>
      </c>
      <c r="X34" s="45">
        <v>4.838649507302474</v>
      </c>
      <c r="Y34" s="45">
        <v>1.5707963267948966</v>
      </c>
      <c r="Z34" s="46">
        <v>5.4142452709775006E-5</v>
      </c>
      <c r="AA34" s="45">
        <f t="shared" si="0"/>
        <v>0.54864224805262607</v>
      </c>
      <c r="AB34" s="45">
        <f t="shared" si="1"/>
        <v>-1.2935934959606848E-3</v>
      </c>
      <c r="AC34" s="45">
        <f t="shared" si="2"/>
        <v>0.15747977035862348</v>
      </c>
      <c r="AD34" s="45">
        <f t="shared" si="3"/>
        <v>0</v>
      </c>
      <c r="AE34" s="45">
        <f t="shared" si="4"/>
        <v>-0.54248975447459613</v>
      </c>
      <c r="AF34" s="45">
        <f t="shared" si="5"/>
        <v>-2.7359280716336552E-2</v>
      </c>
      <c r="AG34" s="45">
        <f t="shared" si="6"/>
        <v>0.12664950730247426</v>
      </c>
      <c r="AH34" s="45">
        <f t="shared" si="7"/>
        <v>0</v>
      </c>
      <c r="AI34" s="47">
        <f t="shared" si="9"/>
        <v>0.5455660012636111</v>
      </c>
      <c r="AJ34" s="47">
        <f t="shared" si="9"/>
        <v>1.4326437106148619E-2</v>
      </c>
      <c r="AK34" s="47">
        <f t="shared" si="9"/>
        <v>0.14206463883054887</v>
      </c>
      <c r="AL34" s="47">
        <f t="shared" si="10"/>
        <v>4.6065687220375871E-2</v>
      </c>
      <c r="AM34" s="58"/>
    </row>
    <row r="35" spans="1:39" s="49" customFormat="1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45">
        <f>'Proximal Validation (double)'!L35</f>
        <v>-7.47585669159889E-4</v>
      </c>
      <c r="M35" s="45">
        <f>'Proximal Validation (double)'!M35</f>
        <v>0.23934969305992099</v>
      </c>
      <c r="N35" s="45">
        <f>'Proximal Validation (double)'!N35</f>
        <v>-9.9573642015457195E-2</v>
      </c>
      <c r="O35" s="45">
        <f>'Proximal Validation (double)'!O35</f>
        <v>-0.13754428923129999</v>
      </c>
      <c r="P35" s="45">
        <f>'Proximal Validation (double)'!P35</f>
        <v>-0.88355565071106001</v>
      </c>
      <c r="Q35" s="45">
        <f>'Proximal Validation (double)'!Q35</f>
        <v>-1.16920530796051</v>
      </c>
      <c r="R35" s="45">
        <v>0.92875986245586561</v>
      </c>
      <c r="S35" s="45">
        <v>0.13990252460584532</v>
      </c>
      <c r="T35" s="45">
        <v>4.6908761567276338</v>
      </c>
      <c r="U35" s="45">
        <v>1.5707963267948966</v>
      </c>
      <c r="V35" s="45">
        <v>0.89947405131912228</v>
      </c>
      <c r="W35" s="45">
        <v>2.0000004195501193E-2</v>
      </c>
      <c r="X35" s="45">
        <v>3.424210243348337</v>
      </c>
      <c r="Y35" s="45">
        <v>1.5707963267948966</v>
      </c>
      <c r="Z35" s="46">
        <v>5.6589594400826012E-7</v>
      </c>
      <c r="AA35" s="45">
        <f t="shared" si="0"/>
        <v>2.8759862455865592E-2</v>
      </c>
      <c r="AB35" s="45">
        <f t="shared" si="1"/>
        <v>1.9902524605845323E-2</v>
      </c>
      <c r="AC35" s="45">
        <f t="shared" si="2"/>
        <v>-2.1123843272365939E-2</v>
      </c>
      <c r="AD35" s="45">
        <f t="shared" si="3"/>
        <v>0</v>
      </c>
      <c r="AE35" s="45">
        <f t="shared" si="4"/>
        <v>-5.2594868087774138E-4</v>
      </c>
      <c r="AF35" s="45">
        <f t="shared" si="5"/>
        <v>4.1955011929883934E-9</v>
      </c>
      <c r="AG35" s="45">
        <f t="shared" si="6"/>
        <v>0.28221024334833711</v>
      </c>
      <c r="AH35" s="45">
        <f t="shared" si="7"/>
        <v>0</v>
      </c>
      <c r="AI35" s="47">
        <f t="shared" si="9"/>
        <v>1.4642905568371667E-2</v>
      </c>
      <c r="AJ35" s="47">
        <f t="shared" si="9"/>
        <v>9.9512644006732581E-3</v>
      </c>
      <c r="AK35" s="47">
        <f t="shared" si="9"/>
        <v>0.15166704331035152</v>
      </c>
      <c r="AL35" s="47">
        <f t="shared" si="10"/>
        <v>0.11990252041034413</v>
      </c>
      <c r="AM35" s="58"/>
    </row>
    <row r="36" spans="1:39" s="49" customFormat="1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45">
        <f>'Proximal Validation (double)'!L36</f>
        <v>-5.7288859970867599E-3</v>
      </c>
      <c r="M36" s="45">
        <f>'Proximal Validation (double)'!M36</f>
        <v>0.26700088381767301</v>
      </c>
      <c r="N36" s="45">
        <f>'Proximal Validation (double)'!N36</f>
        <v>-0.13192363083362599</v>
      </c>
      <c r="O36" s="45">
        <f>'Proximal Validation (double)'!O36</f>
        <v>-0.16222637891769401</v>
      </c>
      <c r="P36" s="45">
        <f>'Proximal Validation (double)'!P36</f>
        <v>-0.74046343564987205</v>
      </c>
      <c r="Q36" s="45">
        <f>'Proximal Validation (double)'!Q36</f>
        <v>-1.2301561832428001</v>
      </c>
      <c r="R36" s="45">
        <v>0.70717360632714255</v>
      </c>
      <c r="S36" s="45">
        <v>0.16047846514983102</v>
      </c>
      <c r="T36" s="45">
        <v>4.6287858041675065</v>
      </c>
      <c r="U36" s="45">
        <v>1.5707963267948966</v>
      </c>
      <c r="V36" s="45">
        <v>0.86846595207498289</v>
      </c>
      <c r="W36" s="45">
        <v>8.2247001765651306E-2</v>
      </c>
      <c r="X36" s="45">
        <v>3.8100832580876971</v>
      </c>
      <c r="Y36" s="45">
        <v>1.5707963267948966</v>
      </c>
      <c r="Z36" s="46">
        <v>1.5155392866123671E-5</v>
      </c>
      <c r="AA36" s="45">
        <f t="shared" si="0"/>
        <v>-0.29282639367285745</v>
      </c>
      <c r="AB36" s="45">
        <f t="shared" si="1"/>
        <v>4.0478465149831028E-2</v>
      </c>
      <c r="AC36" s="45">
        <f t="shared" si="2"/>
        <v>-8.3214195832493232E-2</v>
      </c>
      <c r="AD36" s="45">
        <f t="shared" si="3"/>
        <v>0</v>
      </c>
      <c r="AE36" s="45">
        <f t="shared" si="4"/>
        <v>6.846595207498285E-2</v>
      </c>
      <c r="AF36" s="45">
        <f t="shared" si="5"/>
        <v>2.2470017656513047E-3</v>
      </c>
      <c r="AG36" s="45">
        <f t="shared" si="6"/>
        <v>0.6680832580876972</v>
      </c>
      <c r="AH36" s="45">
        <f t="shared" si="7"/>
        <v>0</v>
      </c>
      <c r="AI36" s="47">
        <f t="shared" si="9"/>
        <v>0.18064617287392015</v>
      </c>
      <c r="AJ36" s="47">
        <f t="shared" si="9"/>
        <v>2.1362733457741166E-2</v>
      </c>
      <c r="AK36" s="47">
        <f t="shared" si="9"/>
        <v>0.37564872696009521</v>
      </c>
      <c r="AL36" s="47">
        <f t="shared" si="10"/>
        <v>7.8231463384179717E-2</v>
      </c>
      <c r="AM36" s="58"/>
    </row>
    <row r="37" spans="1:39" s="49" customFormat="1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45">
        <f>'Proximal Validation (double)'!L37</f>
        <v>-3.59367998316884E-3</v>
      </c>
      <c r="M37" s="45">
        <f>'Proximal Validation (double)'!M37</f>
        <v>8.4611706435680403E-2</v>
      </c>
      <c r="N37" s="45">
        <f>'Proximal Validation (double)'!N37</f>
        <v>-4.8628196120262097E-2</v>
      </c>
      <c r="O37" s="45">
        <f>'Proximal Validation (double)'!O37</f>
        <v>3.4434549510479001E-2</v>
      </c>
      <c r="P37" s="45">
        <f>'Proximal Validation (double)'!P37</f>
        <v>-0.30159375071525601</v>
      </c>
      <c r="Q37" s="45">
        <f>'Proximal Validation (double)'!Q37</f>
        <v>-0.31295472383499101</v>
      </c>
      <c r="R37" s="45">
        <v>0.64624929301619027</v>
      </c>
      <c r="S37" s="45">
        <v>0.19959362475579576</v>
      </c>
      <c r="T37" s="45">
        <v>2.7756532528381449E-4</v>
      </c>
      <c r="U37" s="45">
        <v>1.5707963267948966</v>
      </c>
      <c r="V37" s="45">
        <v>0.99991505178863649</v>
      </c>
      <c r="W37" s="45">
        <v>0.1599335066371754</v>
      </c>
      <c r="X37" s="45">
        <v>3.4595028911202821</v>
      </c>
      <c r="Y37" s="45">
        <v>1.5707963267948966</v>
      </c>
      <c r="Z37" s="46">
        <v>6.6323883142568131E-5</v>
      </c>
      <c r="AA37" s="45">
        <f t="shared" si="0"/>
        <v>0.34624929301619028</v>
      </c>
      <c r="AB37" s="45">
        <f t="shared" si="1"/>
        <v>1.9593624755795763E-2</v>
      </c>
      <c r="AC37" s="45">
        <f t="shared" si="2"/>
        <v>-4.7117224346747157</v>
      </c>
      <c r="AD37" s="45">
        <f t="shared" si="3"/>
        <v>0</v>
      </c>
      <c r="AE37" s="45">
        <f t="shared" si="4"/>
        <v>0.69991505178863656</v>
      </c>
      <c r="AF37" s="45">
        <f t="shared" si="5"/>
        <v>9.9933506637175401E-2</v>
      </c>
      <c r="AG37" s="45">
        <f t="shared" si="6"/>
        <v>0.31750289112028218</v>
      </c>
      <c r="AH37" s="45">
        <f t="shared" si="7"/>
        <v>0</v>
      </c>
      <c r="AI37" s="47">
        <f t="shared" si="9"/>
        <v>0.52308217240241339</v>
      </c>
      <c r="AJ37" s="47">
        <f t="shared" si="9"/>
        <v>5.9763565696485582E-2</v>
      </c>
      <c r="AK37" s="47">
        <f t="shared" si="9"/>
        <v>2.5146126628974992</v>
      </c>
      <c r="AL37" s="47">
        <f t="shared" si="10"/>
        <v>3.9660118118620358E-2</v>
      </c>
      <c r="AM37" s="58"/>
    </row>
    <row r="38" spans="1:39" s="49" customFormat="1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45">
        <f>'Proximal Validation (double)'!L38</f>
        <v>-2.5372554082423401E-3</v>
      </c>
      <c r="M38" s="45">
        <f>'Proximal Validation (double)'!M38</f>
        <v>0.23767614364624001</v>
      </c>
      <c r="N38" s="45">
        <f>'Proximal Validation (double)'!N38</f>
        <v>-4.0118761360645301E-2</v>
      </c>
      <c r="O38" s="45">
        <f>'Proximal Validation (double)'!O38</f>
        <v>-0.48286521434783902</v>
      </c>
      <c r="P38" s="45">
        <f>'Proximal Validation (double)'!P38</f>
        <v>-0.22859935462474801</v>
      </c>
      <c r="Q38" s="45">
        <f>'Proximal Validation (double)'!Q38</f>
        <v>-0.81168925762176503</v>
      </c>
      <c r="R38" s="45">
        <v>0.80928033780377506</v>
      </c>
      <c r="S38" s="45">
        <v>0.19946417433278205</v>
      </c>
      <c r="T38" s="45">
        <v>5.2376485896433023</v>
      </c>
      <c r="U38" s="45">
        <v>1.5707963267948966</v>
      </c>
      <c r="V38" s="45">
        <v>0.66750440222248153</v>
      </c>
      <c r="W38" s="45">
        <v>0.1572663072220461</v>
      </c>
      <c r="X38" s="45">
        <v>3.5220569694551798</v>
      </c>
      <c r="Y38" s="45">
        <v>1.5707963267948966</v>
      </c>
      <c r="Z38" s="46">
        <v>6.6050250057841664E-6</v>
      </c>
      <c r="AA38" s="45">
        <f t="shared" si="0"/>
        <v>-9.0719662196224959E-2</v>
      </c>
      <c r="AB38" s="45">
        <f t="shared" si="1"/>
        <v>1.9464174332782053E-2</v>
      </c>
      <c r="AC38" s="45">
        <f t="shared" si="2"/>
        <v>0.52564858964330252</v>
      </c>
      <c r="AD38" s="45">
        <f t="shared" si="3"/>
        <v>0</v>
      </c>
      <c r="AE38" s="45">
        <f t="shared" si="4"/>
        <v>0.46750440222248152</v>
      </c>
      <c r="AF38" s="45">
        <f t="shared" si="5"/>
        <v>7.7266307222046096E-2</v>
      </c>
      <c r="AG38" s="45">
        <f t="shared" si="6"/>
        <v>0.38005696945517986</v>
      </c>
      <c r="AH38" s="45">
        <f t="shared" si="7"/>
        <v>0</v>
      </c>
      <c r="AI38" s="47">
        <f t="shared" si="9"/>
        <v>0.27911203220935321</v>
      </c>
      <c r="AJ38" s="47">
        <f t="shared" si="9"/>
        <v>4.8365240777414074E-2</v>
      </c>
      <c r="AK38" s="47">
        <f t="shared" si="9"/>
        <v>0.45285277954924119</v>
      </c>
      <c r="AL38" s="47">
        <f t="shared" si="10"/>
        <v>4.2197867110735948E-2</v>
      </c>
      <c r="AM38" s="58"/>
    </row>
    <row r="39" spans="1:39" s="49" customFormat="1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45">
        <f>'Proximal Validation (double)'!L39</f>
        <v>5.4148025810718502E-5</v>
      </c>
      <c r="M39" s="45">
        <f>'Proximal Validation (double)'!M39</f>
        <v>0.130592405796051</v>
      </c>
      <c r="N39" s="45">
        <f>'Proximal Validation (double)'!N39</f>
        <v>-1.0551102459430699E-3</v>
      </c>
      <c r="O39" s="45">
        <f>'Proximal Validation (double)'!O39</f>
        <v>5.6034162640571601E-2</v>
      </c>
      <c r="P39" s="45">
        <f>'Proximal Validation (double)'!P39</f>
        <v>-1.5731915831565899E-2</v>
      </c>
      <c r="Q39" s="45">
        <f>'Proximal Validation (double)'!Q39</f>
        <v>-1.0787600278854399</v>
      </c>
      <c r="R39" s="45">
        <v>0.56909825844696105</v>
      </c>
      <c r="S39" s="45">
        <v>3.1819854841473774E-2</v>
      </c>
      <c r="T39" s="45">
        <v>5.2928982556472226</v>
      </c>
      <c r="U39" s="45">
        <v>1.5707963267948966</v>
      </c>
      <c r="V39" s="45">
        <v>0.68633453955364832</v>
      </c>
      <c r="W39" s="45">
        <v>2.8966918414128157E-2</v>
      </c>
      <c r="X39" s="45">
        <v>4.214363370317912</v>
      </c>
      <c r="Y39" s="45">
        <v>1.5707963267948966</v>
      </c>
      <c r="Z39" s="46">
        <v>3.1767540896731621E-3</v>
      </c>
      <c r="AA39" s="45">
        <f t="shared" si="0"/>
        <v>0.46909825844696107</v>
      </c>
      <c r="AB39" s="45">
        <f t="shared" si="1"/>
        <v>-0.14818014515852623</v>
      </c>
      <c r="AC39" s="45">
        <f t="shared" si="2"/>
        <v>0.58089825564722286</v>
      </c>
      <c r="AD39" s="45">
        <f t="shared" si="3"/>
        <v>0</v>
      </c>
      <c r="AE39" s="45">
        <f t="shared" si="4"/>
        <v>-0.31366546044635168</v>
      </c>
      <c r="AF39" s="45">
        <f t="shared" si="5"/>
        <v>8.9669184141281562E-3</v>
      </c>
      <c r="AG39" s="45">
        <f t="shared" si="6"/>
        <v>-0.49763662968208777</v>
      </c>
      <c r="AH39" s="45">
        <f t="shared" si="7"/>
        <v>0</v>
      </c>
      <c r="AI39" s="47">
        <f t="shared" si="9"/>
        <v>0.39138185944665638</v>
      </c>
      <c r="AJ39" s="47">
        <f t="shared" si="9"/>
        <v>7.85735317863272E-2</v>
      </c>
      <c r="AK39" s="47">
        <f t="shared" si="9"/>
        <v>0.53926744266465532</v>
      </c>
      <c r="AL39" s="47">
        <f t="shared" si="10"/>
        <v>2.8529364273456176E-3</v>
      </c>
      <c r="AM39" s="58"/>
    </row>
    <row r="40" spans="1:39" s="49" customFormat="1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45">
        <f>'Proximal Validation (double)'!L40</f>
        <v>-5.3779371082782702E-3</v>
      </c>
      <c r="M40" s="45">
        <f>'Proximal Validation (double)'!M40</f>
        <v>0.29702112078666698</v>
      </c>
      <c r="N40" s="45">
        <f>'Proximal Validation (double)'!N40</f>
        <v>-2.0560383796691901E-2</v>
      </c>
      <c r="O40" s="45">
        <f>'Proximal Validation (double)'!O40</f>
        <v>-0.30376738309860202</v>
      </c>
      <c r="P40" s="45">
        <f>'Proximal Validation (double)'!P40</f>
        <v>-0.130133211612701</v>
      </c>
      <c r="Q40" s="45">
        <f>'Proximal Validation (double)'!Q40</f>
        <v>-1.3058658838272099</v>
      </c>
      <c r="R40" s="45">
        <v>0.63638930968749063</v>
      </c>
      <c r="S40" s="45">
        <v>0.19955813778533146</v>
      </c>
      <c r="T40" s="45">
        <v>4.733639737445885</v>
      </c>
      <c r="U40" s="45">
        <v>1.5707963267948966</v>
      </c>
      <c r="V40" s="45">
        <v>0.73884330845878221</v>
      </c>
      <c r="W40" s="45">
        <v>8.2945805825230493E-2</v>
      </c>
      <c r="X40" s="45">
        <v>4.5282729348222013</v>
      </c>
      <c r="Y40" s="45">
        <v>1.5707963267948966</v>
      </c>
      <c r="Z40" s="46">
        <v>4.552024128797867E-6</v>
      </c>
      <c r="AA40" s="45">
        <f t="shared" si="0"/>
        <v>-0.16361069031250941</v>
      </c>
      <c r="AB40" s="45">
        <f t="shared" si="1"/>
        <v>1.955813778533147E-2</v>
      </c>
      <c r="AC40" s="45">
        <f t="shared" si="2"/>
        <v>2.163973744588521E-2</v>
      </c>
      <c r="AD40" s="45">
        <f t="shared" si="3"/>
        <v>0</v>
      </c>
      <c r="AE40" s="45">
        <f t="shared" si="4"/>
        <v>0.13884330845878223</v>
      </c>
      <c r="AF40" s="45">
        <f t="shared" si="5"/>
        <v>2.2945805825230495E-2</v>
      </c>
      <c r="AG40" s="45">
        <f t="shared" si="6"/>
        <v>-0.18372706517779847</v>
      </c>
      <c r="AH40" s="45">
        <f t="shared" si="7"/>
        <v>0</v>
      </c>
      <c r="AI40" s="47">
        <f t="shared" si="9"/>
        <v>0.15122699938564582</v>
      </c>
      <c r="AJ40" s="47">
        <f t="shared" si="9"/>
        <v>2.1251971805280982E-2</v>
      </c>
      <c r="AK40" s="47">
        <f t="shared" si="9"/>
        <v>0.10268340131184184</v>
      </c>
      <c r="AL40" s="47">
        <f t="shared" si="10"/>
        <v>0.11661233196010097</v>
      </c>
      <c r="AM40" s="58"/>
    </row>
    <row r="41" spans="1:39" s="49" customFormat="1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45">
        <f>'Proximal Validation (double)'!L41</f>
        <v>-1.2866270728409301E-2</v>
      </c>
      <c r="M41" s="45">
        <f>'Proximal Validation (double)'!M41</f>
        <v>0.26722592115402199</v>
      </c>
      <c r="N41" s="45">
        <f>'Proximal Validation (double)'!N41</f>
        <v>-0.10332116484642</v>
      </c>
      <c r="O41" s="45">
        <f>'Proximal Validation (double)'!O41</f>
        <v>-0.63931977748870905</v>
      </c>
      <c r="P41" s="45">
        <f>'Proximal Validation (double)'!P41</f>
        <v>-0.86686456203460704</v>
      </c>
      <c r="Q41" s="45">
        <f>'Proximal Validation (double)'!Q41</f>
        <v>-0.873266160488129</v>
      </c>
      <c r="R41" s="45">
        <v>0.99999904015021424</v>
      </c>
      <c r="S41" s="45">
        <v>0.1999999990514183</v>
      </c>
      <c r="T41" s="45">
        <v>4.912978152133272</v>
      </c>
      <c r="U41" s="45">
        <v>1.5707963267948966</v>
      </c>
      <c r="V41" s="45">
        <v>0.99995328238124503</v>
      </c>
      <c r="W41" s="45">
        <v>5.0242672973654201E-2</v>
      </c>
      <c r="X41" s="45">
        <v>3.2398531115777716</v>
      </c>
      <c r="Y41" s="45">
        <v>1.5707963267948966</v>
      </c>
      <c r="Z41" s="46">
        <v>9.1661875324566659E-4</v>
      </c>
      <c r="AA41" s="45">
        <f t="shared" si="0"/>
        <v>-9.5984978576435509E-7</v>
      </c>
      <c r="AB41" s="45">
        <f t="shared" si="1"/>
        <v>-9.4858171317824258E-10</v>
      </c>
      <c r="AC41" s="45">
        <f t="shared" si="2"/>
        <v>0.2009781521332723</v>
      </c>
      <c r="AD41" s="45">
        <f t="shared" si="3"/>
        <v>0</v>
      </c>
      <c r="AE41" s="45">
        <f t="shared" si="4"/>
        <v>0.19995328238124499</v>
      </c>
      <c r="AF41" s="45">
        <f t="shared" si="5"/>
        <v>3.0242672973654201E-2</v>
      </c>
      <c r="AG41" s="45">
        <f t="shared" si="6"/>
        <v>9.7853111577771656E-2</v>
      </c>
      <c r="AH41" s="45">
        <f t="shared" si="7"/>
        <v>0</v>
      </c>
      <c r="AI41" s="47">
        <f t="shared" si="9"/>
        <v>9.9977121115515377E-2</v>
      </c>
      <c r="AJ41" s="47">
        <f t="shared" si="9"/>
        <v>1.5121336961117957E-2</v>
      </c>
      <c r="AK41" s="47">
        <f t="shared" si="9"/>
        <v>0.14941563185552198</v>
      </c>
      <c r="AL41" s="47">
        <f t="shared" si="10"/>
        <v>0.1497573260777641</v>
      </c>
      <c r="AM41" s="58"/>
    </row>
    <row r="42" spans="1:39" s="49" customFormat="1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50">
        <f>'Proximal Validation (double)'!L42</f>
        <v>-1.2752725742757301E-3</v>
      </c>
      <c r="M42" s="50">
        <f>'Proximal Validation (double)'!M42</f>
        <v>4.2479593306779903E-2</v>
      </c>
      <c r="N42" s="50">
        <f>'Proximal Validation (double)'!N42</f>
        <v>-1.04580884799361E-2</v>
      </c>
      <c r="O42" s="50">
        <f>'Proximal Validation (double)'!O42</f>
        <v>-2.78243236243725E-3</v>
      </c>
      <c r="P42" s="50">
        <f>'Proximal Validation (double)'!P42</f>
        <v>-5.4970372468233102E-2</v>
      </c>
      <c r="Q42" s="50">
        <f>'Proximal Validation (double)'!Q42</f>
        <v>-0.153516501188278</v>
      </c>
      <c r="R42" s="50">
        <v>0.64995029910555946</v>
      </c>
      <c r="S42" s="50">
        <v>9.2480754051977115E-2</v>
      </c>
      <c r="T42" s="50">
        <v>4.6010276479113399</v>
      </c>
      <c r="U42" s="50">
        <v>1.5707963267948966</v>
      </c>
      <c r="V42" s="50">
        <v>0.49266940324037883</v>
      </c>
      <c r="W42" s="50">
        <v>6.3337952083557497E-2</v>
      </c>
      <c r="X42" s="50">
        <v>1.5357285566880023</v>
      </c>
      <c r="Y42" s="50">
        <v>1.5707963267948966</v>
      </c>
      <c r="Z42" s="51">
        <v>1.8418619698550797E-6</v>
      </c>
      <c r="AA42" s="50">
        <f t="shared" si="0"/>
        <v>0.44995029910555945</v>
      </c>
      <c r="AB42" s="50">
        <f t="shared" si="1"/>
        <v>-0.1075192459480229</v>
      </c>
      <c r="AC42" s="50">
        <f t="shared" si="2"/>
        <v>-0.11097235208865985</v>
      </c>
      <c r="AD42" s="50">
        <f t="shared" si="3"/>
        <v>0</v>
      </c>
      <c r="AE42" s="50">
        <f t="shared" si="4"/>
        <v>0.3926694032403788</v>
      </c>
      <c r="AF42" s="50">
        <f t="shared" si="5"/>
        <v>-1.6662047916442504E-2</v>
      </c>
      <c r="AG42" s="50">
        <f t="shared" si="6"/>
        <v>-2.3912714433119975</v>
      </c>
      <c r="AH42" s="50">
        <f t="shared" si="7"/>
        <v>0</v>
      </c>
      <c r="AI42" s="47">
        <f t="shared" si="9"/>
        <v>0.42130985117296915</v>
      </c>
      <c r="AJ42" s="47">
        <f t="shared" si="9"/>
        <v>6.20906469322327E-2</v>
      </c>
      <c r="AK42" s="47">
        <f t="shared" si="9"/>
        <v>1.2511218977003287</v>
      </c>
      <c r="AL42" s="47">
        <f t="shared" si="10"/>
        <v>2.9142801968419618E-2</v>
      </c>
      <c r="AM42" s="58"/>
    </row>
    <row r="43" spans="1:39" s="49" customFormat="1" ht="15.75" x14ac:dyDescent="0.25">
      <c r="A43" s="52"/>
      <c r="B43" s="53"/>
      <c r="C43" s="54"/>
      <c r="D43" s="54"/>
      <c r="E43" s="53"/>
      <c r="F43" s="53"/>
      <c r="G43" s="54"/>
      <c r="H43" s="54"/>
      <c r="I43" s="54"/>
      <c r="J43" s="54"/>
      <c r="K43" s="54"/>
      <c r="L43" s="55"/>
      <c r="M43" s="55"/>
      <c r="N43" s="55"/>
      <c r="O43" s="55"/>
      <c r="P43" s="55"/>
      <c r="Q43" s="55"/>
      <c r="R43" s="54"/>
      <c r="S43" s="54"/>
      <c r="T43" s="54"/>
      <c r="U43" s="54"/>
      <c r="V43" s="54"/>
      <c r="W43" s="54"/>
      <c r="X43" s="56"/>
      <c r="Y43" s="56"/>
      <c r="Z43" s="56"/>
    </row>
    <row r="44" spans="1:39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  <row r="58" spans="1:26" x14ac:dyDescent="0.25">
      <c r="Q58">
        <v>0.2</v>
      </c>
    </row>
  </sheetData>
  <mergeCells count="7">
    <mergeCell ref="AN5:AU5"/>
    <mergeCell ref="A1:K1"/>
    <mergeCell ref="L1:Q1"/>
    <mergeCell ref="AA1:AH1"/>
    <mergeCell ref="AI1:AU1"/>
    <mergeCell ref="AN2:AU2"/>
    <mergeCell ref="R1:Z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3"/>
  <sheetViews>
    <sheetView workbookViewId="0">
      <selection activeCell="H36" sqref="H36:M43"/>
    </sheetView>
  </sheetViews>
  <sheetFormatPr defaultRowHeight="15" x14ac:dyDescent="0.25"/>
  <sheetData>
    <row r="1" spans="1:13" ht="15.75" x14ac:dyDescent="0.25">
      <c r="A1" s="40" t="s">
        <v>21</v>
      </c>
      <c r="B1" s="41"/>
      <c r="C1" s="41"/>
      <c r="D1" s="41"/>
      <c r="E1" s="41"/>
      <c r="F1" s="42"/>
      <c r="H1" s="40" t="s">
        <v>22</v>
      </c>
      <c r="I1" s="41"/>
      <c r="J1" s="41"/>
      <c r="K1" s="41"/>
      <c r="L1" s="41"/>
      <c r="M1" s="42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0.195114254951477</v>
      </c>
      <c r="B3">
        <v>1.04125440120697</v>
      </c>
      <c r="C3">
        <v>-1.5990611165761899E-2</v>
      </c>
      <c r="D3">
        <v>-0.13983803987503099</v>
      </c>
      <c r="E3">
        <v>3.3190850168466603E-2</v>
      </c>
      <c r="F3" s="4">
        <v>-1.9976701587438601E-3</v>
      </c>
      <c r="H3">
        <f>$F3</f>
        <v>-1.9976701587438601E-3</v>
      </c>
      <c r="I3">
        <f>-1*$E3</f>
        <v>-3.3190850168466603E-2</v>
      </c>
      <c r="J3">
        <f>$D3</f>
        <v>-0.13983803987503099</v>
      </c>
      <c r="K3">
        <f>$C3</f>
        <v>-1.5990611165761899E-2</v>
      </c>
      <c r="L3">
        <f>-1*$B3</f>
        <v>-1.04125440120697</v>
      </c>
      <c r="M3">
        <f>$A3</f>
        <v>0.195114254951477</v>
      </c>
    </row>
    <row r="4" spans="1:13" x14ac:dyDescent="0.25">
      <c r="A4">
        <v>1.0914549827575699</v>
      </c>
      <c r="B4">
        <v>0.885367691516876</v>
      </c>
      <c r="C4">
        <v>-0.115148775279522</v>
      </c>
      <c r="D4">
        <v>-0.15480977296829199</v>
      </c>
      <c r="E4">
        <v>0.21146439015865301</v>
      </c>
      <c r="F4">
        <v>-1.30753358826041E-3</v>
      </c>
      <c r="H4">
        <f t="shared" ref="H4:H43" si="0">$F4</f>
        <v>-1.30753358826041E-3</v>
      </c>
      <c r="I4">
        <f t="shared" ref="I4:I43" si="1">-1*$E4</f>
        <v>-0.21146439015865301</v>
      </c>
      <c r="J4">
        <f t="shared" ref="J4:J43" si="2">$D4</f>
        <v>-0.15480977296829199</v>
      </c>
      <c r="K4">
        <f t="shared" ref="K4:K43" si="3">$C4</f>
        <v>-0.115148775279522</v>
      </c>
      <c r="L4">
        <f t="shared" ref="L4:L43" si="4">-1*$B4</f>
        <v>-0.885367691516876</v>
      </c>
      <c r="M4">
        <f t="shared" ref="M4:M43" si="5">$A4</f>
        <v>1.0914549827575699</v>
      </c>
    </row>
    <row r="5" spans="1:13" x14ac:dyDescent="0.25">
      <c r="A5">
        <v>0.559031963348389</v>
      </c>
      <c r="B5">
        <v>0.16426452994346599</v>
      </c>
      <c r="C5">
        <v>-2.8092034161090899E-2</v>
      </c>
      <c r="D5">
        <v>-1.5087915584445E-2</v>
      </c>
      <c r="E5">
        <v>0.1097217425704</v>
      </c>
      <c r="F5">
        <v>-6.2641571275889901E-5</v>
      </c>
      <c r="H5">
        <f t="shared" si="0"/>
        <v>-6.2641571275889901E-5</v>
      </c>
      <c r="I5">
        <f t="shared" si="1"/>
        <v>-0.1097217425704</v>
      </c>
      <c r="J5">
        <f t="shared" si="2"/>
        <v>-1.5087915584445E-2</v>
      </c>
      <c r="K5">
        <f t="shared" si="3"/>
        <v>-2.8092034161090899E-2</v>
      </c>
      <c r="L5">
        <f t="shared" si="4"/>
        <v>-0.16426452994346599</v>
      </c>
      <c r="M5">
        <f t="shared" si="5"/>
        <v>0.559031963348389</v>
      </c>
    </row>
    <row r="6" spans="1:13" x14ac:dyDescent="0.25">
      <c r="A6">
        <v>0.45268994569778398</v>
      </c>
      <c r="B6">
        <v>0.12781015038490301</v>
      </c>
      <c r="C6">
        <v>-2.9133602976799001E-2</v>
      </c>
      <c r="D6">
        <v>-1.08874747529626E-2</v>
      </c>
      <c r="E6">
        <v>9.9444381892681094E-2</v>
      </c>
      <c r="F6">
        <v>4.8654910642653698E-4</v>
      </c>
      <c r="H6">
        <f t="shared" si="0"/>
        <v>4.8654910642653698E-4</v>
      </c>
      <c r="I6">
        <f t="shared" si="1"/>
        <v>-9.9444381892681094E-2</v>
      </c>
      <c r="J6">
        <f t="shared" si="2"/>
        <v>-1.08874747529626E-2</v>
      </c>
      <c r="K6">
        <f t="shared" si="3"/>
        <v>-2.9133602976799001E-2</v>
      </c>
      <c r="L6">
        <f t="shared" si="4"/>
        <v>-0.12781015038490301</v>
      </c>
      <c r="M6">
        <f t="shared" si="5"/>
        <v>0.45268994569778398</v>
      </c>
    </row>
    <row r="7" spans="1:13" x14ac:dyDescent="0.25">
      <c r="A7">
        <v>0.88741946220397905</v>
      </c>
      <c r="B7">
        <v>-2.8949752449989302E-2</v>
      </c>
      <c r="C7">
        <v>-9.7615689039230305E-2</v>
      </c>
      <c r="D7">
        <v>3.8662729784846302E-3</v>
      </c>
      <c r="E7">
        <v>0.17721578478813199</v>
      </c>
      <c r="F7">
        <v>2.1138784941285801E-3</v>
      </c>
      <c r="H7">
        <f t="shared" si="0"/>
        <v>2.1138784941285801E-3</v>
      </c>
      <c r="I7">
        <f t="shared" si="1"/>
        <v>-0.17721578478813199</v>
      </c>
      <c r="J7">
        <f t="shared" si="2"/>
        <v>3.8662729784846302E-3</v>
      </c>
      <c r="K7">
        <f t="shared" si="3"/>
        <v>-9.7615689039230305E-2</v>
      </c>
      <c r="L7">
        <f t="shared" si="4"/>
        <v>2.8949752449989302E-2</v>
      </c>
      <c r="M7">
        <f t="shared" si="5"/>
        <v>0.88741946220397905</v>
      </c>
    </row>
    <row r="8" spans="1:13" x14ac:dyDescent="0.25">
      <c r="A8">
        <v>-0.50915515422821001</v>
      </c>
      <c r="B8">
        <v>0.75840699672698997</v>
      </c>
      <c r="C8">
        <v>2.7194060385227199E-3</v>
      </c>
      <c r="D8">
        <v>-0.11806334555149101</v>
      </c>
      <c r="E8">
        <v>-7.2883039712905898E-2</v>
      </c>
      <c r="F8">
        <v>-1.4075441285967801E-3</v>
      </c>
      <c r="H8">
        <f t="shared" si="0"/>
        <v>-1.4075441285967801E-3</v>
      </c>
      <c r="I8">
        <f t="shared" si="1"/>
        <v>7.2883039712905898E-2</v>
      </c>
      <c r="J8">
        <f t="shared" si="2"/>
        <v>-0.11806334555149101</v>
      </c>
      <c r="K8">
        <f t="shared" si="3"/>
        <v>2.7194060385227199E-3</v>
      </c>
      <c r="L8">
        <f t="shared" si="4"/>
        <v>-0.75840699672698997</v>
      </c>
      <c r="M8">
        <f t="shared" si="5"/>
        <v>-0.50915515422821001</v>
      </c>
    </row>
    <row r="9" spans="1:13" x14ac:dyDescent="0.25">
      <c r="A9">
        <v>0.49847054481506298</v>
      </c>
      <c r="B9">
        <v>0.60379952192306496</v>
      </c>
      <c r="C9">
        <v>-0.40126189589500399</v>
      </c>
      <c r="D9">
        <v>-9.0413324534892994E-2</v>
      </c>
      <c r="E9">
        <v>0.18494510650634799</v>
      </c>
      <c r="F9">
        <v>3.4910831600427602E-3</v>
      </c>
      <c r="H9">
        <f t="shared" si="0"/>
        <v>3.4910831600427602E-3</v>
      </c>
      <c r="I9">
        <f t="shared" si="1"/>
        <v>-0.18494510650634799</v>
      </c>
      <c r="J9">
        <f t="shared" si="2"/>
        <v>-9.0413324534892994E-2</v>
      </c>
      <c r="K9">
        <f t="shared" si="3"/>
        <v>-0.40126189589500399</v>
      </c>
      <c r="L9">
        <f t="shared" si="4"/>
        <v>-0.60379952192306496</v>
      </c>
      <c r="M9">
        <f t="shared" si="5"/>
        <v>0.49847054481506298</v>
      </c>
    </row>
    <row r="10" spans="1:13" x14ac:dyDescent="0.25">
      <c r="A10">
        <v>0.117096215486526</v>
      </c>
      <c r="B10">
        <v>0.14476515352725999</v>
      </c>
      <c r="C10">
        <v>-2.0381897687912001E-2</v>
      </c>
      <c r="D10">
        <v>-1.5904162079095799E-2</v>
      </c>
      <c r="E10">
        <v>3.4777380526065799E-2</v>
      </c>
      <c r="F10">
        <v>1.5908150235191001E-3</v>
      </c>
      <c r="H10">
        <f t="shared" si="0"/>
        <v>1.5908150235191001E-3</v>
      </c>
      <c r="I10">
        <f t="shared" si="1"/>
        <v>-3.4777380526065799E-2</v>
      </c>
      <c r="J10">
        <f t="shared" si="2"/>
        <v>-1.5904162079095799E-2</v>
      </c>
      <c r="K10">
        <f t="shared" si="3"/>
        <v>-2.0381897687912001E-2</v>
      </c>
      <c r="L10">
        <f t="shared" si="4"/>
        <v>-0.14476515352725999</v>
      </c>
      <c r="M10">
        <f t="shared" si="5"/>
        <v>0.117096215486526</v>
      </c>
    </row>
    <row r="11" spans="1:13" x14ac:dyDescent="0.25">
      <c r="A11">
        <v>0.66701602935791005</v>
      </c>
      <c r="B11">
        <v>-2.7593433856964101E-2</v>
      </c>
      <c r="C11">
        <v>-0.39857342839241</v>
      </c>
      <c r="D11">
        <v>6.1566708609461802E-3</v>
      </c>
      <c r="E11">
        <v>0.204822152853012</v>
      </c>
      <c r="F11">
        <v>2.3236712440848398E-3</v>
      </c>
      <c r="H11">
        <f t="shared" si="0"/>
        <v>2.3236712440848398E-3</v>
      </c>
      <c r="I11">
        <f t="shared" si="1"/>
        <v>-0.204822152853012</v>
      </c>
      <c r="J11">
        <f t="shared" si="2"/>
        <v>6.1566708609461802E-3</v>
      </c>
      <c r="K11">
        <f t="shared" si="3"/>
        <v>-0.39857342839241</v>
      </c>
      <c r="L11">
        <f t="shared" si="4"/>
        <v>2.7593433856964101E-2</v>
      </c>
      <c r="M11">
        <f t="shared" si="5"/>
        <v>0.66701602935791005</v>
      </c>
    </row>
    <row r="12" spans="1:13" x14ac:dyDescent="0.25">
      <c r="A12">
        <v>-0.73156416416168202</v>
      </c>
      <c r="B12">
        <v>5.9180781245231602E-3</v>
      </c>
      <c r="C12">
        <v>-4.5536972582340199E-2</v>
      </c>
      <c r="D12">
        <v>-8.84410343132913E-4</v>
      </c>
      <c r="E12">
        <v>-9.5554247498512296E-2</v>
      </c>
      <c r="F12">
        <v>1.6893346328288299E-3</v>
      </c>
      <c r="H12">
        <f t="shared" si="0"/>
        <v>1.6893346328288299E-3</v>
      </c>
      <c r="I12">
        <f t="shared" si="1"/>
        <v>9.5554247498512296E-2</v>
      </c>
      <c r="J12">
        <f t="shared" si="2"/>
        <v>-8.84410343132913E-4</v>
      </c>
      <c r="K12">
        <f t="shared" si="3"/>
        <v>-4.5536972582340199E-2</v>
      </c>
      <c r="L12">
        <f t="shared" si="4"/>
        <v>-5.9180781245231602E-3</v>
      </c>
      <c r="M12">
        <f t="shared" si="5"/>
        <v>-0.73156416416168202</v>
      </c>
    </row>
    <row r="13" spans="1:13" x14ac:dyDescent="0.25">
      <c r="A13">
        <v>0.51245713233947798</v>
      </c>
      <c r="B13">
        <v>0.98798036575317405</v>
      </c>
      <c r="C13">
        <v>-0.48353463411331199</v>
      </c>
      <c r="D13">
        <v>-0.104798644781113</v>
      </c>
      <c r="E13">
        <v>0.182935655117035</v>
      </c>
      <c r="F13">
        <v>1.2135198339819899E-3</v>
      </c>
      <c r="H13">
        <f t="shared" si="0"/>
        <v>1.2135198339819899E-3</v>
      </c>
      <c r="I13">
        <f t="shared" si="1"/>
        <v>-0.182935655117035</v>
      </c>
      <c r="J13">
        <f t="shared" si="2"/>
        <v>-0.104798644781113</v>
      </c>
      <c r="K13">
        <f t="shared" si="3"/>
        <v>-0.48353463411331199</v>
      </c>
      <c r="L13">
        <f t="shared" si="4"/>
        <v>-0.98798036575317405</v>
      </c>
      <c r="M13">
        <f t="shared" si="5"/>
        <v>0.51245713233947798</v>
      </c>
    </row>
    <row r="14" spans="1:13" x14ac:dyDescent="0.25">
      <c r="A14">
        <v>-3.04524004459381E-2</v>
      </c>
      <c r="B14">
        <v>0.38181251287460299</v>
      </c>
      <c r="C14">
        <v>3.1099312007427202E-2</v>
      </c>
      <c r="D14">
        <v>-6.7128308117389707E-2</v>
      </c>
      <c r="E14">
        <v>-3.10139125213027E-3</v>
      </c>
      <c r="F14">
        <v>-6.5936520695686297E-4</v>
      </c>
      <c r="H14">
        <f t="shared" si="0"/>
        <v>-6.5936520695686297E-4</v>
      </c>
      <c r="I14">
        <f t="shared" si="1"/>
        <v>3.10139125213027E-3</v>
      </c>
      <c r="J14">
        <f t="shared" si="2"/>
        <v>-6.7128308117389707E-2</v>
      </c>
      <c r="K14">
        <f t="shared" si="3"/>
        <v>3.1099312007427202E-2</v>
      </c>
      <c r="L14">
        <f t="shared" si="4"/>
        <v>-0.38181251287460299</v>
      </c>
      <c r="M14">
        <f t="shared" si="5"/>
        <v>-3.04524004459381E-2</v>
      </c>
    </row>
    <row r="15" spans="1:13" x14ac:dyDescent="0.25">
      <c r="A15">
        <v>0.27873134613037098</v>
      </c>
      <c r="B15">
        <v>1.91364511847496E-2</v>
      </c>
      <c r="C15">
        <v>-0.46627718210220298</v>
      </c>
      <c r="D15">
        <v>-2.4834894575178602E-3</v>
      </c>
      <c r="E15">
        <v>0.16019897162914301</v>
      </c>
      <c r="F15">
        <v>8.7932776659727097E-3</v>
      </c>
      <c r="H15">
        <f t="shared" si="0"/>
        <v>8.7932776659727097E-3</v>
      </c>
      <c r="I15">
        <f t="shared" si="1"/>
        <v>-0.16019897162914301</v>
      </c>
      <c r="J15">
        <f t="shared" si="2"/>
        <v>-2.4834894575178602E-3</v>
      </c>
      <c r="K15">
        <f t="shared" si="3"/>
        <v>-0.46627718210220298</v>
      </c>
      <c r="L15">
        <f t="shared" si="4"/>
        <v>-1.91364511847496E-2</v>
      </c>
      <c r="M15">
        <f t="shared" si="5"/>
        <v>0.27873134613037098</v>
      </c>
    </row>
    <row r="16" spans="1:13" x14ac:dyDescent="0.25">
      <c r="A16">
        <v>-0.18663805723190299</v>
      </c>
      <c r="B16">
        <v>0.69405859708786</v>
      </c>
      <c r="C16">
        <v>8.6025655269622803E-2</v>
      </c>
      <c r="D16">
        <v>-0.141960874199867</v>
      </c>
      <c r="E16">
        <v>4.3984718620777102E-2</v>
      </c>
      <c r="F16">
        <v>-7.9012457281351107E-3</v>
      </c>
      <c r="H16">
        <f t="shared" si="0"/>
        <v>-7.9012457281351107E-3</v>
      </c>
      <c r="I16">
        <f t="shared" si="1"/>
        <v>-4.3984718620777102E-2</v>
      </c>
      <c r="J16">
        <f t="shared" si="2"/>
        <v>-0.141960874199867</v>
      </c>
      <c r="K16">
        <f t="shared" si="3"/>
        <v>8.6025655269622803E-2</v>
      </c>
      <c r="L16">
        <f t="shared" si="4"/>
        <v>-0.69405859708786</v>
      </c>
      <c r="M16">
        <f t="shared" si="5"/>
        <v>-0.18663805723190299</v>
      </c>
    </row>
    <row r="17" spans="1:13" x14ac:dyDescent="0.25">
      <c r="A17">
        <v>0.30062127113342302</v>
      </c>
      <c r="B17">
        <v>0.412941753864288</v>
      </c>
      <c r="C17">
        <v>2.6761934161186201E-2</v>
      </c>
      <c r="D17">
        <v>-8.5464723408222198E-2</v>
      </c>
      <c r="E17">
        <v>6.7934043705463396E-2</v>
      </c>
      <c r="F17">
        <v>-3.90403810888529E-3</v>
      </c>
      <c r="H17">
        <f t="shared" si="0"/>
        <v>-3.90403810888529E-3</v>
      </c>
      <c r="I17">
        <f t="shared" si="1"/>
        <v>-6.7934043705463396E-2</v>
      </c>
      <c r="J17">
        <f t="shared" si="2"/>
        <v>-8.5464723408222198E-2</v>
      </c>
      <c r="K17">
        <f t="shared" si="3"/>
        <v>2.6761934161186201E-2</v>
      </c>
      <c r="L17">
        <f t="shared" si="4"/>
        <v>-0.412941753864288</v>
      </c>
      <c r="M17">
        <f t="shared" si="5"/>
        <v>0.30062127113342302</v>
      </c>
    </row>
    <row r="18" spans="1:13" x14ac:dyDescent="0.25">
      <c r="A18">
        <v>0.67185997962951705</v>
      </c>
      <c r="B18">
        <v>1.1066045761108401</v>
      </c>
      <c r="C18">
        <v>-0.26429381966590898</v>
      </c>
      <c r="D18">
        <v>-0.23388142883777599</v>
      </c>
      <c r="E18">
        <v>0.18058618903160101</v>
      </c>
      <c r="F18">
        <v>-2.8297975659370401E-3</v>
      </c>
      <c r="H18">
        <f t="shared" si="0"/>
        <v>-2.8297975659370401E-3</v>
      </c>
      <c r="I18">
        <f t="shared" si="1"/>
        <v>-0.18058618903160101</v>
      </c>
      <c r="J18">
        <f t="shared" si="2"/>
        <v>-0.23388142883777599</v>
      </c>
      <c r="K18">
        <f t="shared" si="3"/>
        <v>-0.26429381966590898</v>
      </c>
      <c r="L18">
        <f t="shared" si="4"/>
        <v>-1.1066045761108401</v>
      </c>
      <c r="M18">
        <f t="shared" si="5"/>
        <v>0.67185997962951705</v>
      </c>
    </row>
    <row r="19" spans="1:13" x14ac:dyDescent="0.25">
      <c r="A19">
        <v>0.18511915206909199</v>
      </c>
      <c r="B19">
        <v>0.88742548227310203</v>
      </c>
      <c r="C19">
        <v>-5.5010270327329601E-2</v>
      </c>
      <c r="D19">
        <v>-0.15366320312023199</v>
      </c>
      <c r="E19">
        <v>5.8960229158401503E-2</v>
      </c>
      <c r="F19">
        <v>-6.22342247515917E-3</v>
      </c>
      <c r="H19">
        <f t="shared" si="0"/>
        <v>-6.22342247515917E-3</v>
      </c>
      <c r="I19">
        <f t="shared" si="1"/>
        <v>-5.8960229158401503E-2</v>
      </c>
      <c r="J19">
        <f t="shared" si="2"/>
        <v>-0.15366320312023199</v>
      </c>
      <c r="K19">
        <f t="shared" si="3"/>
        <v>-5.5010270327329601E-2</v>
      </c>
      <c r="L19">
        <f t="shared" si="4"/>
        <v>-0.88742548227310203</v>
      </c>
      <c r="M19">
        <f t="shared" si="5"/>
        <v>0.18511915206909199</v>
      </c>
    </row>
    <row r="20" spans="1:13" x14ac:dyDescent="0.25">
      <c r="A20">
        <v>-0.14300855994224501</v>
      </c>
      <c r="B20">
        <v>4.76582162082195E-2</v>
      </c>
      <c r="C20">
        <v>-1.86226963996887E-2</v>
      </c>
      <c r="D20">
        <v>-1.5207892283797301E-2</v>
      </c>
      <c r="E20">
        <v>-1.4506237581372299E-2</v>
      </c>
      <c r="F20">
        <v>3.3402333501726402E-3</v>
      </c>
      <c r="H20">
        <f t="shared" si="0"/>
        <v>3.3402333501726402E-3</v>
      </c>
      <c r="I20">
        <f t="shared" si="1"/>
        <v>1.4506237581372299E-2</v>
      </c>
      <c r="J20">
        <f t="shared" si="2"/>
        <v>-1.5207892283797301E-2</v>
      </c>
      <c r="K20">
        <f t="shared" si="3"/>
        <v>-1.86226963996887E-2</v>
      </c>
      <c r="L20">
        <f t="shared" si="4"/>
        <v>-4.76582162082195E-2</v>
      </c>
      <c r="M20">
        <f t="shared" si="5"/>
        <v>-0.14300855994224501</v>
      </c>
    </row>
    <row r="21" spans="1:13" x14ac:dyDescent="0.25">
      <c r="A21">
        <v>0.504788398742676</v>
      </c>
      <c r="B21">
        <v>0.80316579341888406</v>
      </c>
      <c r="C21">
        <v>-0.65643388032913197</v>
      </c>
      <c r="D21">
        <v>-0.211101770401001</v>
      </c>
      <c r="E21">
        <v>0.16704940795898399</v>
      </c>
      <c r="F21">
        <v>9.9984761327505094E-3</v>
      </c>
      <c r="H21">
        <f t="shared" si="0"/>
        <v>9.9984761327505094E-3</v>
      </c>
      <c r="I21">
        <f t="shared" si="1"/>
        <v>-0.16704940795898399</v>
      </c>
      <c r="J21">
        <f t="shared" si="2"/>
        <v>-0.211101770401001</v>
      </c>
      <c r="K21">
        <f t="shared" si="3"/>
        <v>-0.65643388032913197</v>
      </c>
      <c r="L21">
        <f t="shared" si="4"/>
        <v>-0.80316579341888406</v>
      </c>
      <c r="M21">
        <f t="shared" si="5"/>
        <v>0.504788398742676</v>
      </c>
    </row>
    <row r="22" spans="1:13" x14ac:dyDescent="0.25">
      <c r="A22">
        <v>-0.19208578765392301</v>
      </c>
      <c r="B22">
        <v>0.31081974506378202</v>
      </c>
      <c r="C22">
        <v>-5.7915411889553096E-3</v>
      </c>
      <c r="D22">
        <v>-5.4488845169544199E-2</v>
      </c>
      <c r="E22">
        <v>-3.3949088305234902E-2</v>
      </c>
      <c r="F22">
        <v>-4.1311280801892302E-4</v>
      </c>
      <c r="H22">
        <f t="shared" si="0"/>
        <v>-4.1311280801892302E-4</v>
      </c>
      <c r="I22">
        <f t="shared" si="1"/>
        <v>3.3949088305234902E-2</v>
      </c>
      <c r="J22">
        <f t="shared" si="2"/>
        <v>-5.4488845169544199E-2</v>
      </c>
      <c r="K22">
        <f t="shared" si="3"/>
        <v>-5.7915411889553096E-3</v>
      </c>
      <c r="L22">
        <f t="shared" si="4"/>
        <v>-0.31081974506378202</v>
      </c>
      <c r="M22">
        <f t="shared" si="5"/>
        <v>-0.19208578765392301</v>
      </c>
    </row>
    <row r="23" spans="1:13" x14ac:dyDescent="0.25">
      <c r="A23">
        <v>-0.43949088454246499</v>
      </c>
      <c r="B23">
        <v>0.69519579410553001</v>
      </c>
      <c r="C23">
        <v>-3.8113974034786197E-2</v>
      </c>
      <c r="D23">
        <v>-8.1404998898506206E-2</v>
      </c>
      <c r="E23">
        <v>-4.8130437731742901E-2</v>
      </c>
      <c r="F23">
        <v>-1.08309416100383E-3</v>
      </c>
      <c r="H23">
        <f t="shared" si="0"/>
        <v>-1.08309416100383E-3</v>
      </c>
      <c r="I23">
        <f t="shared" si="1"/>
        <v>4.8130437731742901E-2</v>
      </c>
      <c r="J23">
        <f t="shared" si="2"/>
        <v>-8.1404998898506206E-2</v>
      </c>
      <c r="K23">
        <f t="shared" si="3"/>
        <v>-3.8113974034786197E-2</v>
      </c>
      <c r="L23">
        <f t="shared" si="4"/>
        <v>-0.69519579410553001</v>
      </c>
      <c r="M23">
        <f t="shared" si="5"/>
        <v>-0.43949088454246499</v>
      </c>
    </row>
    <row r="24" spans="1:13" x14ac:dyDescent="0.25">
      <c r="A24">
        <v>-0.60584980249404896</v>
      </c>
      <c r="B24">
        <v>1.01243340969086</v>
      </c>
      <c r="C24">
        <v>2.8237748891115199E-2</v>
      </c>
      <c r="D24">
        <v>-0.178982153534889</v>
      </c>
      <c r="E24">
        <v>-0.127486452460289</v>
      </c>
      <c r="F24">
        <v>-1.0050361976027501E-2</v>
      </c>
      <c r="H24">
        <f t="shared" si="0"/>
        <v>-1.0050361976027501E-2</v>
      </c>
      <c r="I24">
        <f t="shared" si="1"/>
        <v>0.127486452460289</v>
      </c>
      <c r="J24">
        <f t="shared" si="2"/>
        <v>-0.178982153534889</v>
      </c>
      <c r="K24">
        <f t="shared" si="3"/>
        <v>2.8237748891115199E-2</v>
      </c>
      <c r="L24">
        <f t="shared" si="4"/>
        <v>-1.01243340969086</v>
      </c>
      <c r="M24">
        <f t="shared" si="5"/>
        <v>-0.60584980249404896</v>
      </c>
    </row>
    <row r="25" spans="1:13" x14ac:dyDescent="0.25">
      <c r="A25">
        <v>-0.32060724496841397</v>
      </c>
      <c r="B25">
        <v>0.13246817886829401</v>
      </c>
      <c r="C25">
        <v>1.3900646939873701E-2</v>
      </c>
      <c r="D25">
        <v>-2.8443846851587299E-2</v>
      </c>
      <c r="E25">
        <v>-4.8199806362390497E-2</v>
      </c>
      <c r="F25">
        <v>-1.8197204917669299E-4</v>
      </c>
      <c r="H25">
        <f t="shared" si="0"/>
        <v>-1.8197204917669299E-4</v>
      </c>
      <c r="I25">
        <f t="shared" si="1"/>
        <v>4.8199806362390497E-2</v>
      </c>
      <c r="J25">
        <f t="shared" si="2"/>
        <v>-2.8443846851587299E-2</v>
      </c>
      <c r="K25">
        <f t="shared" si="3"/>
        <v>1.3900646939873701E-2</v>
      </c>
      <c r="L25">
        <f t="shared" si="4"/>
        <v>-0.13246817886829401</v>
      </c>
      <c r="M25">
        <f t="shared" si="5"/>
        <v>-0.32060724496841397</v>
      </c>
    </row>
    <row r="26" spans="1:13" x14ac:dyDescent="0.25">
      <c r="A26">
        <v>-0.986228287220001</v>
      </c>
      <c r="B26">
        <v>0.53577321767806996</v>
      </c>
      <c r="C26">
        <v>4.3163940310478197E-2</v>
      </c>
      <c r="D26">
        <v>-0.115528546273708</v>
      </c>
      <c r="E26">
        <v>-0.193720102310181</v>
      </c>
      <c r="F26">
        <v>-9.4277318567037604E-4</v>
      </c>
      <c r="H26">
        <f t="shared" si="0"/>
        <v>-9.4277318567037604E-4</v>
      </c>
      <c r="I26">
        <f t="shared" si="1"/>
        <v>0.193720102310181</v>
      </c>
      <c r="J26">
        <f t="shared" si="2"/>
        <v>-0.115528546273708</v>
      </c>
      <c r="K26">
        <f t="shared" si="3"/>
        <v>4.3163940310478197E-2</v>
      </c>
      <c r="L26">
        <f t="shared" si="4"/>
        <v>-0.53577321767806996</v>
      </c>
      <c r="M26">
        <f t="shared" si="5"/>
        <v>-0.986228287220001</v>
      </c>
    </row>
    <row r="27" spans="1:13" x14ac:dyDescent="0.25">
      <c r="A27">
        <v>-1.11354172229767</v>
      </c>
      <c r="B27">
        <v>1.3177623748779299</v>
      </c>
      <c r="C27">
        <v>-2.9216319322586101E-2</v>
      </c>
      <c r="D27">
        <v>-0.236072272062302</v>
      </c>
      <c r="E27">
        <v>-0.20827016234397899</v>
      </c>
      <c r="F27">
        <v>-1.8966067582368901E-3</v>
      </c>
      <c r="H27">
        <f t="shared" si="0"/>
        <v>-1.8966067582368901E-3</v>
      </c>
      <c r="I27">
        <f t="shared" si="1"/>
        <v>0.20827016234397899</v>
      </c>
      <c r="J27">
        <f t="shared" si="2"/>
        <v>-0.236072272062302</v>
      </c>
      <c r="K27">
        <f t="shared" si="3"/>
        <v>-2.9216319322586101E-2</v>
      </c>
      <c r="L27">
        <f t="shared" si="4"/>
        <v>-1.3177623748779299</v>
      </c>
      <c r="M27">
        <f t="shared" si="5"/>
        <v>-1.11354172229767</v>
      </c>
    </row>
    <row r="28" spans="1:13" x14ac:dyDescent="0.25">
      <c r="A28">
        <v>-5.3425669670105001E-2</v>
      </c>
      <c r="B28">
        <v>0.88553363084793102</v>
      </c>
      <c r="C28">
        <v>2.54940949380398E-2</v>
      </c>
      <c r="D28">
        <v>-0.160715162754059</v>
      </c>
      <c r="E28">
        <v>-1.5756551176309599E-2</v>
      </c>
      <c r="F28">
        <v>-2.1010981872677799E-3</v>
      </c>
      <c r="H28">
        <f t="shared" si="0"/>
        <v>-2.1010981872677799E-3</v>
      </c>
      <c r="I28">
        <f t="shared" si="1"/>
        <v>1.5756551176309599E-2</v>
      </c>
      <c r="J28">
        <f t="shared" si="2"/>
        <v>-0.160715162754059</v>
      </c>
      <c r="K28">
        <f t="shared" si="3"/>
        <v>2.54940949380398E-2</v>
      </c>
      <c r="L28">
        <f t="shared" si="4"/>
        <v>-0.88553363084793102</v>
      </c>
      <c r="M28">
        <f t="shared" si="5"/>
        <v>-5.3425669670105001E-2</v>
      </c>
    </row>
    <row r="29" spans="1:13" x14ac:dyDescent="0.25">
      <c r="A29">
        <v>-0.73969256877899203</v>
      </c>
      <c r="B29">
        <v>0.65224993228912398</v>
      </c>
      <c r="C29">
        <v>-0.39274537563324002</v>
      </c>
      <c r="D29">
        <v>-0.19408226013183599</v>
      </c>
      <c r="E29">
        <v>-0.205877780914307</v>
      </c>
      <c r="F29">
        <v>-2.0807487890124299E-3</v>
      </c>
      <c r="H29">
        <f t="shared" si="0"/>
        <v>-2.0807487890124299E-3</v>
      </c>
      <c r="I29">
        <f t="shared" si="1"/>
        <v>0.205877780914307</v>
      </c>
      <c r="J29">
        <f t="shared" si="2"/>
        <v>-0.19408226013183599</v>
      </c>
      <c r="K29">
        <f t="shared" si="3"/>
        <v>-0.39274537563324002</v>
      </c>
      <c r="L29">
        <f t="shared" si="4"/>
        <v>-0.65224993228912398</v>
      </c>
      <c r="M29">
        <f t="shared" si="5"/>
        <v>-0.73969256877899203</v>
      </c>
    </row>
    <row r="30" spans="1:13" x14ac:dyDescent="0.25">
      <c r="A30">
        <v>-0.50663030147552501</v>
      </c>
      <c r="B30">
        <v>0.53642767667770397</v>
      </c>
      <c r="C30">
        <v>-0.26602268218994102</v>
      </c>
      <c r="D30">
        <v>-0.13989627361297599</v>
      </c>
      <c r="E30">
        <v>-0.13435347378253901</v>
      </c>
      <c r="F30">
        <v>-1.87318958342075E-3</v>
      </c>
      <c r="H30">
        <f t="shared" si="0"/>
        <v>-1.87318958342075E-3</v>
      </c>
      <c r="I30">
        <f t="shared" si="1"/>
        <v>0.13435347378253901</v>
      </c>
      <c r="J30">
        <f t="shared" si="2"/>
        <v>-0.13989627361297599</v>
      </c>
      <c r="K30">
        <f t="shared" si="3"/>
        <v>-0.26602268218994102</v>
      </c>
      <c r="L30">
        <f t="shared" si="4"/>
        <v>-0.53642767667770397</v>
      </c>
      <c r="M30">
        <f t="shared" si="5"/>
        <v>-0.50663030147552501</v>
      </c>
    </row>
    <row r="31" spans="1:13" x14ac:dyDescent="0.25">
      <c r="A31">
        <v>-1.10396945476532</v>
      </c>
      <c r="B31">
        <v>1.3395630121231099</v>
      </c>
      <c r="C31">
        <v>-0.59528750181198098</v>
      </c>
      <c r="D31">
        <v>-0.30219966173172003</v>
      </c>
      <c r="E31">
        <v>-0.26659435033798201</v>
      </c>
      <c r="F31">
        <v>-3.7020025774836501E-3</v>
      </c>
      <c r="H31">
        <f t="shared" si="0"/>
        <v>-3.7020025774836501E-3</v>
      </c>
      <c r="I31">
        <f t="shared" si="1"/>
        <v>0.26659435033798201</v>
      </c>
      <c r="J31">
        <f t="shared" si="2"/>
        <v>-0.30219966173172003</v>
      </c>
      <c r="K31">
        <f t="shared" si="3"/>
        <v>-0.59528750181198098</v>
      </c>
      <c r="L31">
        <f t="shared" si="4"/>
        <v>-1.3395630121231099</v>
      </c>
      <c r="M31">
        <f t="shared" si="5"/>
        <v>-1.10396945476532</v>
      </c>
    </row>
    <row r="32" spans="1:13" x14ac:dyDescent="0.25">
      <c r="A32">
        <v>-6.1887651681899997E-2</v>
      </c>
      <c r="B32">
        <v>0.214856266975403</v>
      </c>
      <c r="C32">
        <v>1.9913738593459102E-2</v>
      </c>
      <c r="D32">
        <v>-2.4645710363984101E-2</v>
      </c>
      <c r="E32">
        <v>-1.1398071423172999E-2</v>
      </c>
      <c r="F32">
        <v>-2.9836385510861901E-4</v>
      </c>
      <c r="H32">
        <f t="shared" si="0"/>
        <v>-2.9836385510861901E-4</v>
      </c>
      <c r="I32">
        <f t="shared" si="1"/>
        <v>1.1398071423172999E-2</v>
      </c>
      <c r="J32">
        <f t="shared" si="2"/>
        <v>-2.4645710363984101E-2</v>
      </c>
      <c r="K32">
        <f t="shared" si="3"/>
        <v>1.9913738593459102E-2</v>
      </c>
      <c r="L32">
        <f t="shared" si="4"/>
        <v>-0.214856266975403</v>
      </c>
      <c r="M32">
        <f t="shared" si="5"/>
        <v>-6.1887651681899997E-2</v>
      </c>
    </row>
    <row r="33" spans="1:13" x14ac:dyDescent="0.25">
      <c r="A33">
        <v>-0.77984750270843495</v>
      </c>
      <c r="B33">
        <v>0.59375947713851895</v>
      </c>
      <c r="C33">
        <v>1.24355498701334E-2</v>
      </c>
      <c r="D33">
        <v>-7.8008078038692502E-2</v>
      </c>
      <c r="E33">
        <v>-0.12020714581012699</v>
      </c>
      <c r="F33">
        <v>1.33801531046629E-3</v>
      </c>
      <c r="H33">
        <f t="shared" si="0"/>
        <v>1.33801531046629E-3</v>
      </c>
      <c r="I33">
        <f t="shared" si="1"/>
        <v>0.12020714581012699</v>
      </c>
      <c r="J33">
        <f t="shared" si="2"/>
        <v>-7.8008078038692502E-2</v>
      </c>
      <c r="K33">
        <f t="shared" si="3"/>
        <v>1.24355498701334E-2</v>
      </c>
      <c r="L33">
        <f t="shared" si="4"/>
        <v>-0.59375947713851895</v>
      </c>
      <c r="M33">
        <f t="shared" si="5"/>
        <v>-0.77984750270843495</v>
      </c>
    </row>
    <row r="34" spans="1:13" x14ac:dyDescent="0.25">
      <c r="A34">
        <v>-1.3081740140914899</v>
      </c>
      <c r="B34">
        <v>-6.8884432315826402E-2</v>
      </c>
      <c r="C34">
        <v>-6.59529305994511E-3</v>
      </c>
      <c r="D34">
        <v>1.2453994713723699E-2</v>
      </c>
      <c r="E34">
        <v>-0.24397116899490401</v>
      </c>
      <c r="F34">
        <v>2.7945239562541199E-3</v>
      </c>
      <c r="H34">
        <f t="shared" si="0"/>
        <v>2.7945239562541199E-3</v>
      </c>
      <c r="I34">
        <f t="shared" si="1"/>
        <v>0.24397116899490401</v>
      </c>
      <c r="J34">
        <f t="shared" si="2"/>
        <v>1.2453994713723699E-2</v>
      </c>
      <c r="K34">
        <f t="shared" si="3"/>
        <v>-6.59529305994511E-3</v>
      </c>
      <c r="L34">
        <f t="shared" si="4"/>
        <v>6.8884432315826402E-2</v>
      </c>
      <c r="M34">
        <f t="shared" si="5"/>
        <v>-1.3081740140914899</v>
      </c>
    </row>
    <row r="35" spans="1:13" x14ac:dyDescent="0.25">
      <c r="A35">
        <v>-1.0939816236496001</v>
      </c>
      <c r="B35">
        <v>-0.158803179860115</v>
      </c>
      <c r="C35">
        <v>-6.4636766910552996E-3</v>
      </c>
      <c r="D35">
        <v>2.9903646558523199E-2</v>
      </c>
      <c r="E35">
        <v>-0.18914604187011699</v>
      </c>
      <c r="F35">
        <v>2.5964039377868202E-3</v>
      </c>
      <c r="H35">
        <f t="shared" si="0"/>
        <v>2.5964039377868202E-3</v>
      </c>
      <c r="I35">
        <f t="shared" si="1"/>
        <v>0.18914604187011699</v>
      </c>
      <c r="J35">
        <f t="shared" si="2"/>
        <v>2.9903646558523199E-2</v>
      </c>
      <c r="K35">
        <f t="shared" si="3"/>
        <v>-6.4636766910552996E-3</v>
      </c>
      <c r="L35">
        <f t="shared" si="4"/>
        <v>0.158803179860115</v>
      </c>
      <c r="M35">
        <f t="shared" si="5"/>
        <v>-1.0939816236496001</v>
      </c>
    </row>
    <row r="36" spans="1:13" x14ac:dyDescent="0.25">
      <c r="A36">
        <v>-1.16920530796051</v>
      </c>
      <c r="B36">
        <v>0.88355565071106001</v>
      </c>
      <c r="C36">
        <v>-0.13754428923129999</v>
      </c>
      <c r="D36">
        <v>-9.9573642015457195E-2</v>
      </c>
      <c r="E36">
        <v>-0.23934969305992099</v>
      </c>
      <c r="F36">
        <v>-7.47585669159889E-4</v>
      </c>
      <c r="H36">
        <f t="shared" si="0"/>
        <v>-7.47585669159889E-4</v>
      </c>
      <c r="I36">
        <f t="shared" si="1"/>
        <v>0.23934969305992099</v>
      </c>
      <c r="J36">
        <f t="shared" si="2"/>
        <v>-9.9573642015457195E-2</v>
      </c>
      <c r="K36">
        <f t="shared" si="3"/>
        <v>-0.13754428923129999</v>
      </c>
      <c r="L36">
        <f t="shared" si="4"/>
        <v>-0.88355565071106001</v>
      </c>
      <c r="M36">
        <f t="shared" si="5"/>
        <v>-1.16920530796051</v>
      </c>
    </row>
    <row r="37" spans="1:13" x14ac:dyDescent="0.25">
      <c r="A37">
        <v>-1.2301561832428001</v>
      </c>
      <c r="B37">
        <v>0.74046343564987205</v>
      </c>
      <c r="C37">
        <v>-0.16222637891769401</v>
      </c>
      <c r="D37">
        <v>-0.13192363083362599</v>
      </c>
      <c r="E37">
        <v>-0.26700088381767301</v>
      </c>
      <c r="F37">
        <v>-5.7288859970867599E-3</v>
      </c>
      <c r="H37">
        <f t="shared" si="0"/>
        <v>-5.7288859970867599E-3</v>
      </c>
      <c r="I37">
        <f t="shared" si="1"/>
        <v>0.26700088381767301</v>
      </c>
      <c r="J37">
        <f t="shared" si="2"/>
        <v>-0.13192363083362599</v>
      </c>
      <c r="K37">
        <f t="shared" si="3"/>
        <v>-0.16222637891769401</v>
      </c>
      <c r="L37">
        <f t="shared" si="4"/>
        <v>-0.74046343564987205</v>
      </c>
      <c r="M37">
        <f t="shared" si="5"/>
        <v>-1.2301561832428001</v>
      </c>
    </row>
    <row r="38" spans="1:13" x14ac:dyDescent="0.25">
      <c r="A38">
        <v>-0.31295472383499101</v>
      </c>
      <c r="B38">
        <v>0.30159375071525601</v>
      </c>
      <c r="C38">
        <v>3.4434549510479001E-2</v>
      </c>
      <c r="D38">
        <v>-4.8628196120262097E-2</v>
      </c>
      <c r="E38">
        <v>-8.4611706435680403E-2</v>
      </c>
      <c r="F38">
        <v>-3.59367998316884E-3</v>
      </c>
      <c r="H38">
        <f t="shared" si="0"/>
        <v>-3.59367998316884E-3</v>
      </c>
      <c r="I38">
        <f t="shared" si="1"/>
        <v>8.4611706435680403E-2</v>
      </c>
      <c r="J38">
        <f t="shared" si="2"/>
        <v>-4.8628196120262097E-2</v>
      </c>
      <c r="K38">
        <f t="shared" si="3"/>
        <v>3.4434549510479001E-2</v>
      </c>
      <c r="L38">
        <f t="shared" si="4"/>
        <v>-0.30159375071525601</v>
      </c>
      <c r="M38">
        <f t="shared" si="5"/>
        <v>-0.31295472383499101</v>
      </c>
    </row>
    <row r="39" spans="1:13" x14ac:dyDescent="0.25">
      <c r="A39">
        <v>-0.81168925762176503</v>
      </c>
      <c r="B39">
        <v>0.22859935462474801</v>
      </c>
      <c r="C39">
        <v>-0.48286521434783902</v>
      </c>
      <c r="D39">
        <v>-4.0118761360645301E-2</v>
      </c>
      <c r="E39">
        <v>-0.23767614364624001</v>
      </c>
      <c r="F39">
        <v>-2.5372554082423401E-3</v>
      </c>
      <c r="H39">
        <f t="shared" si="0"/>
        <v>-2.5372554082423401E-3</v>
      </c>
      <c r="I39">
        <f t="shared" si="1"/>
        <v>0.23767614364624001</v>
      </c>
      <c r="J39">
        <f t="shared" si="2"/>
        <v>-4.0118761360645301E-2</v>
      </c>
      <c r="K39">
        <f t="shared" si="3"/>
        <v>-0.48286521434783902</v>
      </c>
      <c r="L39">
        <f t="shared" si="4"/>
        <v>-0.22859935462474801</v>
      </c>
      <c r="M39">
        <f t="shared" si="5"/>
        <v>-0.81168925762176503</v>
      </c>
    </row>
    <row r="40" spans="1:13" x14ac:dyDescent="0.25">
      <c r="A40">
        <v>-1.0787600278854399</v>
      </c>
      <c r="B40">
        <v>1.5731915831565899E-2</v>
      </c>
      <c r="C40">
        <v>5.6034162640571601E-2</v>
      </c>
      <c r="D40">
        <v>-1.0551102459430699E-3</v>
      </c>
      <c r="E40">
        <v>-0.130592405796051</v>
      </c>
      <c r="F40">
        <v>5.4148025810718502E-5</v>
      </c>
      <c r="H40">
        <f t="shared" si="0"/>
        <v>5.4148025810718502E-5</v>
      </c>
      <c r="I40">
        <f t="shared" si="1"/>
        <v>0.130592405796051</v>
      </c>
      <c r="J40">
        <f t="shared" si="2"/>
        <v>-1.0551102459430699E-3</v>
      </c>
      <c r="K40">
        <f t="shared" si="3"/>
        <v>5.6034162640571601E-2</v>
      </c>
      <c r="L40">
        <f t="shared" si="4"/>
        <v>-1.5731915831565899E-2</v>
      </c>
      <c r="M40">
        <f t="shared" si="5"/>
        <v>-1.0787600278854399</v>
      </c>
    </row>
    <row r="41" spans="1:13" x14ac:dyDescent="0.25">
      <c r="A41">
        <v>-1.3058658838272099</v>
      </c>
      <c r="B41">
        <v>0.130133211612701</v>
      </c>
      <c r="C41">
        <v>-0.30376738309860202</v>
      </c>
      <c r="D41">
        <v>-2.0560383796691901E-2</v>
      </c>
      <c r="E41">
        <v>-0.29702112078666698</v>
      </c>
      <c r="F41">
        <v>-5.3779371082782702E-3</v>
      </c>
      <c r="H41">
        <f t="shared" si="0"/>
        <v>-5.3779371082782702E-3</v>
      </c>
      <c r="I41">
        <f t="shared" si="1"/>
        <v>0.29702112078666698</v>
      </c>
      <c r="J41">
        <f t="shared" si="2"/>
        <v>-2.0560383796691901E-2</v>
      </c>
      <c r="K41">
        <f t="shared" si="3"/>
        <v>-0.30376738309860202</v>
      </c>
      <c r="L41">
        <f t="shared" si="4"/>
        <v>-0.130133211612701</v>
      </c>
      <c r="M41">
        <f t="shared" si="5"/>
        <v>-1.3058658838272099</v>
      </c>
    </row>
    <row r="42" spans="1:13" x14ac:dyDescent="0.25">
      <c r="A42">
        <v>-0.873266160488129</v>
      </c>
      <c r="B42">
        <v>0.86686456203460704</v>
      </c>
      <c r="C42">
        <v>-0.63931977748870905</v>
      </c>
      <c r="D42">
        <v>-0.10332116484642</v>
      </c>
      <c r="E42">
        <v>-0.26722592115402199</v>
      </c>
      <c r="F42">
        <v>-1.2866270728409301E-2</v>
      </c>
      <c r="H42">
        <f t="shared" si="0"/>
        <v>-1.2866270728409301E-2</v>
      </c>
      <c r="I42">
        <f t="shared" si="1"/>
        <v>0.26722592115402199</v>
      </c>
      <c r="J42">
        <f t="shared" si="2"/>
        <v>-0.10332116484642</v>
      </c>
      <c r="K42">
        <f t="shared" si="3"/>
        <v>-0.63931977748870905</v>
      </c>
      <c r="L42">
        <f t="shared" si="4"/>
        <v>-0.86686456203460704</v>
      </c>
      <c r="M42">
        <f t="shared" si="5"/>
        <v>-0.873266160488129</v>
      </c>
    </row>
    <row r="43" spans="1:13" x14ac:dyDescent="0.25">
      <c r="A43">
        <v>-0.153516501188278</v>
      </c>
      <c r="B43">
        <v>5.4970372468233102E-2</v>
      </c>
      <c r="C43">
        <v>-2.78243236243725E-3</v>
      </c>
      <c r="D43">
        <v>-1.04580884799361E-2</v>
      </c>
      <c r="E43">
        <v>-4.2479593306779903E-2</v>
      </c>
      <c r="F43">
        <v>-1.2752725742757301E-3</v>
      </c>
      <c r="H43">
        <f t="shared" si="0"/>
        <v>-1.2752725742757301E-3</v>
      </c>
      <c r="I43">
        <f t="shared" si="1"/>
        <v>4.2479593306779903E-2</v>
      </c>
      <c r="J43">
        <f t="shared" si="2"/>
        <v>-1.04580884799361E-2</v>
      </c>
      <c r="K43">
        <f t="shared" si="3"/>
        <v>-2.78243236243725E-3</v>
      </c>
      <c r="L43">
        <f t="shared" si="4"/>
        <v>-5.4970372468233102E-2</v>
      </c>
      <c r="M43">
        <f t="shared" si="5"/>
        <v>-0.153516501188278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Proximal Validation (double)</vt:lpstr>
      <vt:lpstr>Distal Vali (double, simulated)</vt:lpstr>
      <vt:lpstr>Distal Vali (double, tight)</vt:lpstr>
      <vt:lpstr>Distal Vali (double, loose)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2025-10-07T09:58:05Z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