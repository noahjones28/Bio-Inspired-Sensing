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(SVD optimized)/"/>
    </mc:Choice>
  </mc:AlternateContent>
  <xr:revisionPtr revIDLastSave="3483" documentId="8_{DFFD6B0C-681F-42C8-B2E4-5D4B90AAE966}" xr6:coauthVersionLast="47" xr6:coauthVersionMax="47" xr10:uidLastSave="{C7D1A446-FD79-4D87-9F59-3F514B506D32}"/>
  <bookViews>
    <workbookView xWindow="-120" yWindow="-120" windowWidth="29040" windowHeight="15720" activeTab="2" xr2:uid="{3D16C37F-3C74-4527-A308-796C339DFE9F}"/>
  </bookViews>
  <sheets>
    <sheet name="Proximal Validation (empirical)" sheetId="12" r:id="rId1"/>
    <sheet name="Distal Validati (empirical)" sheetId="19" r:id="rId2"/>
    <sheet name="Distal Validati (sim)" sheetId="36" r:id="rId3"/>
    <sheet name="Conversion" sheetId="4" r:id="rId4"/>
    <sheet name="Sheet2" sheetId="3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7" i="36" l="1"/>
  <c r="AA17" i="36"/>
  <c r="O17" i="36"/>
  <c r="N17" i="36"/>
  <c r="M17" i="36"/>
  <c r="L17" i="36"/>
  <c r="K17" i="36"/>
  <c r="J17" i="36"/>
  <c r="I17" i="36"/>
  <c r="H17" i="36"/>
  <c r="G17" i="36"/>
  <c r="F17" i="36"/>
  <c r="E17" i="36"/>
  <c r="D17" i="36"/>
  <c r="Z17" i="36" s="1"/>
  <c r="C17" i="36"/>
  <c r="Y17" i="36" s="1"/>
  <c r="AE17" i="36" s="1"/>
  <c r="B17" i="36"/>
  <c r="X17" i="36" s="1"/>
  <c r="AD17" i="36" s="1"/>
  <c r="A17" i="36"/>
  <c r="W17" i="36" s="1"/>
  <c r="AC17" i="36" s="1"/>
  <c r="AB16" i="36"/>
  <c r="AA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Z16" i="36" s="1"/>
  <c r="C16" i="36"/>
  <c r="Y16" i="36" s="1"/>
  <c r="AE16" i="36" s="1"/>
  <c r="B16" i="36"/>
  <c r="X16" i="36" s="1"/>
  <c r="AD16" i="36" s="1"/>
  <c r="A16" i="36"/>
  <c r="W16" i="36" s="1"/>
  <c r="AC16" i="36" s="1"/>
  <c r="AB15" i="36"/>
  <c r="AA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Z15" i="36" s="1"/>
  <c r="C15" i="36"/>
  <c r="Y15" i="36" s="1"/>
  <c r="AE15" i="36" s="1"/>
  <c r="B15" i="36"/>
  <c r="X15" i="36" s="1"/>
  <c r="AD15" i="36" s="1"/>
  <c r="A15" i="36"/>
  <c r="W15" i="36" s="1"/>
  <c r="AC15" i="36" s="1"/>
  <c r="AB14" i="36"/>
  <c r="AA14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Z14" i="36" s="1"/>
  <c r="C14" i="36"/>
  <c r="Y14" i="36" s="1"/>
  <c r="AE14" i="36" s="1"/>
  <c r="B14" i="36"/>
  <c r="X14" i="36" s="1"/>
  <c r="AD14" i="36" s="1"/>
  <c r="A14" i="36"/>
  <c r="W14" i="36" s="1"/>
  <c r="AB13" i="36"/>
  <c r="AA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Z13" i="36" s="1"/>
  <c r="C13" i="36"/>
  <c r="Y13" i="36" s="1"/>
  <c r="AE13" i="36" s="1"/>
  <c r="B13" i="36"/>
  <c r="X13" i="36" s="1"/>
  <c r="AD13" i="36" s="1"/>
  <c r="A13" i="36"/>
  <c r="W13" i="36" s="1"/>
  <c r="AC13" i="36" s="1"/>
  <c r="AB12" i="36"/>
  <c r="AA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Z12" i="36" s="1"/>
  <c r="C12" i="36"/>
  <c r="Y12" i="36" s="1"/>
  <c r="AE12" i="36" s="1"/>
  <c r="B12" i="36"/>
  <c r="X12" i="36" s="1"/>
  <c r="AD12" i="36" s="1"/>
  <c r="A12" i="36"/>
  <c r="W12" i="36" s="1"/>
  <c r="AB11" i="36"/>
  <c r="AA11" i="36"/>
  <c r="O11" i="36"/>
  <c r="N11" i="36"/>
  <c r="M11" i="36"/>
  <c r="L11" i="36"/>
  <c r="K11" i="36"/>
  <c r="J11" i="36"/>
  <c r="I11" i="36"/>
  <c r="H11" i="36"/>
  <c r="G11" i="36"/>
  <c r="F11" i="36"/>
  <c r="E11" i="36"/>
  <c r="D11" i="36"/>
  <c r="Z11" i="36" s="1"/>
  <c r="C11" i="36"/>
  <c r="Y11" i="36" s="1"/>
  <c r="AE11" i="36" s="1"/>
  <c r="B11" i="36"/>
  <c r="X11" i="36" s="1"/>
  <c r="AD11" i="36" s="1"/>
  <c r="A11" i="36"/>
  <c r="W11" i="36" s="1"/>
  <c r="AC11" i="36" s="1"/>
  <c r="AB10" i="36"/>
  <c r="AA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Z10" i="36" s="1"/>
  <c r="C10" i="36"/>
  <c r="Y10" i="36" s="1"/>
  <c r="B10" i="36"/>
  <c r="X10" i="36" s="1"/>
  <c r="AD10" i="36" s="1"/>
  <c r="A10" i="36"/>
  <c r="W10" i="36" s="1"/>
  <c r="AC10" i="36" s="1"/>
  <c r="AB9" i="36"/>
  <c r="AA9" i="36"/>
  <c r="O9" i="36"/>
  <c r="N9" i="36"/>
  <c r="M9" i="36"/>
  <c r="L9" i="36"/>
  <c r="K9" i="36"/>
  <c r="J9" i="36"/>
  <c r="I9" i="36"/>
  <c r="H9" i="36"/>
  <c r="G9" i="36"/>
  <c r="F9" i="36"/>
  <c r="E9" i="36"/>
  <c r="D9" i="36"/>
  <c r="Z9" i="36" s="1"/>
  <c r="C9" i="36"/>
  <c r="Y9" i="36" s="1"/>
  <c r="B9" i="36"/>
  <c r="X9" i="36" s="1"/>
  <c r="AD9" i="36" s="1"/>
  <c r="A9" i="36"/>
  <c r="W9" i="36" s="1"/>
  <c r="AC9" i="36" s="1"/>
  <c r="AB8" i="36"/>
  <c r="AA8" i="36"/>
  <c r="O8" i="36"/>
  <c r="N8" i="36"/>
  <c r="M8" i="36"/>
  <c r="L8" i="36"/>
  <c r="K8" i="36"/>
  <c r="J8" i="36"/>
  <c r="I8" i="36"/>
  <c r="H8" i="36"/>
  <c r="G8" i="36"/>
  <c r="F8" i="36"/>
  <c r="E8" i="36"/>
  <c r="D8" i="36"/>
  <c r="Z8" i="36" s="1"/>
  <c r="C8" i="36"/>
  <c r="Y8" i="36" s="1"/>
  <c r="B8" i="36"/>
  <c r="X8" i="36" s="1"/>
  <c r="A8" i="36"/>
  <c r="W8" i="36" s="1"/>
  <c r="Y7" i="36"/>
  <c r="X7" i="36"/>
  <c r="W7" i="36"/>
  <c r="O7" i="36"/>
  <c r="N7" i="36"/>
  <c r="M7" i="36"/>
  <c r="L7" i="36"/>
  <c r="K7" i="36"/>
  <c r="J7" i="36"/>
  <c r="I7" i="36"/>
  <c r="H7" i="36"/>
  <c r="G7" i="36"/>
  <c r="F7" i="36"/>
  <c r="AB7" i="36" s="1"/>
  <c r="E7" i="36"/>
  <c r="AA7" i="36" s="1"/>
  <c r="D7" i="36"/>
  <c r="Z7" i="36" s="1"/>
  <c r="C7" i="36"/>
  <c r="B7" i="36"/>
  <c r="A7" i="36"/>
  <c r="Y6" i="36"/>
  <c r="X6" i="36"/>
  <c r="W6" i="36"/>
  <c r="O6" i="36"/>
  <c r="N6" i="36"/>
  <c r="M6" i="36"/>
  <c r="L6" i="36"/>
  <c r="K6" i="36"/>
  <c r="J6" i="36"/>
  <c r="I6" i="36"/>
  <c r="H6" i="36"/>
  <c r="G6" i="36"/>
  <c r="F6" i="36"/>
  <c r="AB6" i="36" s="1"/>
  <c r="E6" i="36"/>
  <c r="AA6" i="36" s="1"/>
  <c r="D6" i="36"/>
  <c r="Z6" i="36" s="1"/>
  <c r="C6" i="36"/>
  <c r="B6" i="36"/>
  <c r="A6" i="36"/>
  <c r="Y5" i="36"/>
  <c r="X5" i="36"/>
  <c r="W5" i="36"/>
  <c r="O5" i="36"/>
  <c r="N5" i="36"/>
  <c r="M5" i="36"/>
  <c r="L5" i="36"/>
  <c r="K5" i="36"/>
  <c r="J5" i="36"/>
  <c r="I5" i="36"/>
  <c r="H5" i="36"/>
  <c r="G5" i="36"/>
  <c r="F5" i="36"/>
  <c r="AB5" i="36" s="1"/>
  <c r="E5" i="36"/>
  <c r="AA5" i="36" s="1"/>
  <c r="D5" i="36"/>
  <c r="Z5" i="36" s="1"/>
  <c r="C5" i="36"/>
  <c r="B5" i="36"/>
  <c r="A5" i="36"/>
  <c r="Y4" i="36"/>
  <c r="X4" i="36"/>
  <c r="W4" i="36"/>
  <c r="AC4" i="36" s="1"/>
  <c r="O4" i="36"/>
  <c r="N4" i="36"/>
  <c r="M4" i="36"/>
  <c r="L4" i="36"/>
  <c r="K4" i="36"/>
  <c r="J4" i="36"/>
  <c r="I4" i="36"/>
  <c r="H4" i="36"/>
  <c r="G4" i="36"/>
  <c r="F4" i="36"/>
  <c r="AB4" i="36" s="1"/>
  <c r="E4" i="36"/>
  <c r="AA4" i="36" s="1"/>
  <c r="D4" i="36"/>
  <c r="Z4" i="36" s="1"/>
  <c r="C4" i="36"/>
  <c r="B4" i="36"/>
  <c r="A4" i="36"/>
  <c r="Y3" i="36"/>
  <c r="X3" i="36"/>
  <c r="W3" i="36"/>
  <c r="O3" i="36"/>
  <c r="N3" i="36"/>
  <c r="M3" i="36"/>
  <c r="L3" i="36"/>
  <c r="K3" i="36"/>
  <c r="J3" i="36"/>
  <c r="I3" i="36"/>
  <c r="H3" i="36"/>
  <c r="G3" i="36"/>
  <c r="F3" i="36"/>
  <c r="AB3" i="36" s="1"/>
  <c r="E3" i="36"/>
  <c r="AA3" i="36" s="1"/>
  <c r="D3" i="36"/>
  <c r="Z3" i="36" s="1"/>
  <c r="C3" i="36"/>
  <c r="B3" i="36"/>
  <c r="A3" i="36"/>
  <c r="AH4" i="19" a="1"/>
  <c r="AH4" i="19" s="1"/>
  <c r="AI4" i="19" a="1"/>
  <c r="AI4" i="19" s="1"/>
  <c r="AJ4" i="19" a="1"/>
  <c r="AJ4" i="19" s="1"/>
  <c r="AK4" i="19" a="1"/>
  <c r="AK4" i="19" s="1"/>
  <c r="AL4" i="19" a="1"/>
  <c r="AL4" i="19"/>
  <c r="AG4" i="19" a="1"/>
  <c r="AG4" i="19"/>
  <c r="AE9" i="36" l="1"/>
  <c r="AJ4" i="36" a="1"/>
  <c r="AJ4" i="36" s="1"/>
  <c r="AG4" i="36" a="1"/>
  <c r="AG4" i="36" s="1"/>
  <c r="AK4" i="36" a="1"/>
  <c r="AK4" i="36" s="1"/>
  <c r="AH4" i="36" a="1"/>
  <c r="AH4" i="36" s="1"/>
  <c r="AL4" i="36" a="1"/>
  <c r="AL4" i="36" s="1"/>
  <c r="AC8" i="36"/>
  <c r="AE10" i="36"/>
  <c r="AD8" i="36"/>
  <c r="AC7" i="36"/>
  <c r="AE8" i="36"/>
  <c r="AI4" i="36" a="1"/>
  <c r="AI4" i="36" s="1"/>
  <c r="AE5" i="36"/>
  <c r="AD5" i="36"/>
  <c r="AD7" i="36"/>
  <c r="AE3" i="36"/>
  <c r="AC6" i="36"/>
  <c r="AD4" i="36"/>
  <c r="AD6" i="36"/>
  <c r="AE4" i="36"/>
  <c r="AE6" i="36"/>
  <c r="AC14" i="36"/>
  <c r="AC12" i="36"/>
  <c r="AC5" i="36"/>
  <c r="AE7" i="36"/>
  <c r="AC3" i="36"/>
  <c r="AD3" i="36"/>
  <c r="V22" i="12"/>
  <c r="A3" i="19"/>
  <c r="B3" i="19"/>
  <c r="C3" i="19"/>
  <c r="D3" i="19"/>
  <c r="E3" i="19"/>
  <c r="F3" i="19"/>
  <c r="G3" i="19"/>
  <c r="H3" i="19"/>
  <c r="I3" i="19"/>
  <c r="J3" i="19"/>
  <c r="K3" i="19"/>
  <c r="L3" i="19"/>
  <c r="M3" i="19"/>
  <c r="N3" i="19"/>
  <c r="O3" i="19"/>
  <c r="A4" i="19"/>
  <c r="B4" i="19"/>
  <c r="C4" i="19"/>
  <c r="D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D6" i="19"/>
  <c r="E6" i="19"/>
  <c r="F6" i="19"/>
  <c r="G6" i="19"/>
  <c r="H6" i="19"/>
  <c r="I6" i="19"/>
  <c r="J6" i="19"/>
  <c r="K6" i="19"/>
  <c r="L6" i="19"/>
  <c r="M6" i="19"/>
  <c r="N6" i="19"/>
  <c r="O6" i="19"/>
  <c r="A7" i="19"/>
  <c r="B7" i="19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A8" i="19"/>
  <c r="B8" i="19"/>
  <c r="C8" i="19"/>
  <c r="D8" i="19"/>
  <c r="E8" i="19"/>
  <c r="F8" i="19"/>
  <c r="G8" i="19"/>
  <c r="H8" i="19"/>
  <c r="I8" i="19"/>
  <c r="J8" i="19"/>
  <c r="K8" i="19"/>
  <c r="L8" i="19"/>
  <c r="M8" i="19"/>
  <c r="N8" i="19"/>
  <c r="O8" i="19"/>
  <c r="A9" i="19"/>
  <c r="B9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A10" i="19"/>
  <c r="B10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W11" i="19" s="1"/>
  <c r="B11" i="19"/>
  <c r="C11" i="19"/>
  <c r="Y11" i="19" s="1"/>
  <c r="D11" i="19"/>
  <c r="Z11" i="19" s="1"/>
  <c r="E11" i="19"/>
  <c r="AA11" i="19" s="1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AB12" i="19" s="1"/>
  <c r="G12" i="19"/>
  <c r="H12" i="19"/>
  <c r="I12" i="19"/>
  <c r="J12" i="19"/>
  <c r="K12" i="19"/>
  <c r="L12" i="19"/>
  <c r="M12" i="19"/>
  <c r="N12" i="19"/>
  <c r="O12" i="19"/>
  <c r="A13" i="19"/>
  <c r="B13" i="19"/>
  <c r="C13" i="19"/>
  <c r="D13" i="19"/>
  <c r="Z13" i="19" s="1"/>
  <c r="E13" i="19"/>
  <c r="AA13" i="19" s="1"/>
  <c r="F13" i="19"/>
  <c r="AB13" i="19" s="1"/>
  <c r="G13" i="19"/>
  <c r="H13" i="19"/>
  <c r="I13" i="19"/>
  <c r="J13" i="19"/>
  <c r="K13" i="19"/>
  <c r="L13" i="19"/>
  <c r="M13" i="19"/>
  <c r="N13" i="19"/>
  <c r="O13" i="19"/>
  <c r="A14" i="19"/>
  <c r="W14" i="19" s="1"/>
  <c r="B14" i="19"/>
  <c r="X14" i="19" s="1"/>
  <c r="C14" i="19"/>
  <c r="Y14" i="19" s="1"/>
  <c r="D14" i="19"/>
  <c r="Z14" i="19" s="1"/>
  <c r="E14" i="19"/>
  <c r="F14" i="19"/>
  <c r="G14" i="19"/>
  <c r="H14" i="19"/>
  <c r="I14" i="19"/>
  <c r="J14" i="19"/>
  <c r="K14" i="19"/>
  <c r="L14" i="19"/>
  <c r="M14" i="19"/>
  <c r="N14" i="19"/>
  <c r="O14" i="19"/>
  <c r="A15" i="19"/>
  <c r="W15" i="19" s="1"/>
  <c r="B15" i="19"/>
  <c r="C15" i="19"/>
  <c r="Y15" i="19" s="1"/>
  <c r="D15" i="19"/>
  <c r="E15" i="19"/>
  <c r="AA15" i="19" s="1"/>
  <c r="F15" i="19"/>
  <c r="G15" i="19"/>
  <c r="H15" i="19"/>
  <c r="I15" i="19"/>
  <c r="J15" i="19"/>
  <c r="K15" i="19"/>
  <c r="L15" i="19"/>
  <c r="M15" i="19"/>
  <c r="N15" i="19"/>
  <c r="O15" i="19"/>
  <c r="A16" i="19"/>
  <c r="B16" i="19"/>
  <c r="X16" i="19" s="1"/>
  <c r="C16" i="19"/>
  <c r="D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Z17" i="19" s="1"/>
  <c r="E17" i="19"/>
  <c r="AA17" i="19" s="1"/>
  <c r="F17" i="19"/>
  <c r="AB17" i="19" s="1"/>
  <c r="G17" i="19"/>
  <c r="H17" i="19"/>
  <c r="I17" i="19"/>
  <c r="J17" i="19"/>
  <c r="K17" i="19"/>
  <c r="L17" i="19"/>
  <c r="M17" i="19"/>
  <c r="N17" i="19"/>
  <c r="O17" i="19"/>
  <c r="V5" i="12"/>
  <c r="W5" i="12"/>
  <c r="X5" i="12"/>
  <c r="Y5" i="12"/>
  <c r="Z5" i="12"/>
  <c r="AA5" i="12"/>
  <c r="X11" i="19"/>
  <c r="AB11" i="19"/>
  <c r="W12" i="19"/>
  <c r="X12" i="19"/>
  <c r="Y12" i="19"/>
  <c r="AA12" i="19"/>
  <c r="Y13" i="19"/>
  <c r="AA14" i="19"/>
  <c r="AB14" i="19"/>
  <c r="X15" i="19"/>
  <c r="Z15" i="19"/>
  <c r="AB15" i="19"/>
  <c r="Y16" i="19"/>
  <c r="Z16" i="19"/>
  <c r="AA16" i="19"/>
  <c r="AB16" i="19"/>
  <c r="W17" i="19"/>
  <c r="X17" i="19"/>
  <c r="Y17" i="19"/>
  <c r="Z12" i="19"/>
  <c r="W16" i="19"/>
  <c r="W13" i="19"/>
  <c r="X13" i="19"/>
  <c r="V11" i="12"/>
  <c r="W11" i="12"/>
  <c r="X11" i="12"/>
  <c r="Y11" i="12"/>
  <c r="Z11" i="12"/>
  <c r="AA11" i="12"/>
  <c r="V12" i="12"/>
  <c r="W12" i="12"/>
  <c r="X12" i="12"/>
  <c r="Y12" i="12"/>
  <c r="Z12" i="12"/>
  <c r="AA12" i="12"/>
  <c r="V13" i="12"/>
  <c r="W13" i="12"/>
  <c r="X13" i="12"/>
  <c r="Y13" i="12"/>
  <c r="Z13" i="12"/>
  <c r="AA13" i="12"/>
  <c r="V14" i="12"/>
  <c r="W14" i="12"/>
  <c r="X14" i="12"/>
  <c r="Y14" i="12"/>
  <c r="Z14" i="12"/>
  <c r="AA14" i="12"/>
  <c r="V15" i="12"/>
  <c r="W15" i="12"/>
  <c r="X15" i="12"/>
  <c r="Y15" i="12"/>
  <c r="Z15" i="12"/>
  <c r="AA15" i="12"/>
  <c r="V16" i="12"/>
  <c r="W16" i="12"/>
  <c r="X16" i="12"/>
  <c r="Y16" i="12"/>
  <c r="Z16" i="12"/>
  <c r="AA16" i="12"/>
  <c r="V17" i="12"/>
  <c r="W17" i="12"/>
  <c r="X17" i="12"/>
  <c r="Y17" i="12"/>
  <c r="Z17" i="12"/>
  <c r="AA17" i="12"/>
  <c r="AH7" i="36" l="1"/>
  <c r="AG7" i="36"/>
  <c r="AI7" i="36"/>
  <c r="AC17" i="19"/>
  <c r="AE16" i="19"/>
  <c r="AD15" i="19"/>
  <c r="AD16" i="19"/>
  <c r="AE11" i="19"/>
  <c r="AE15" i="19"/>
  <c r="AD14" i="19"/>
  <c r="AC13" i="19"/>
  <c r="AE14" i="19"/>
  <c r="AC14" i="19"/>
  <c r="AE17" i="19"/>
  <c r="AE13" i="19"/>
  <c r="AD17" i="19"/>
  <c r="AD13" i="19"/>
  <c r="AD12" i="19"/>
  <c r="AC16" i="19"/>
  <c r="AC12" i="19"/>
  <c r="AD11" i="19"/>
  <c r="AE12" i="19"/>
  <c r="AC15" i="19"/>
  <c r="AC11" i="19"/>
  <c r="V3" i="12"/>
  <c r="V4" i="12"/>
  <c r="V6" i="12"/>
  <c r="V7" i="12"/>
  <c r="V8" i="12"/>
  <c r="V9" i="12"/>
  <c r="V10" i="12"/>
  <c r="AA10" i="12" l="1"/>
  <c r="Z10" i="12"/>
  <c r="Y10" i="12"/>
  <c r="X10" i="12"/>
  <c r="W10" i="12"/>
  <c r="AA9" i="12"/>
  <c r="Z9" i="12"/>
  <c r="Y9" i="12"/>
  <c r="X9" i="12"/>
  <c r="W9" i="12"/>
  <c r="AA8" i="12"/>
  <c r="Z8" i="12"/>
  <c r="Y8" i="12"/>
  <c r="X8" i="12"/>
  <c r="W8" i="12"/>
  <c r="AA7" i="12"/>
  <c r="Z7" i="12"/>
  <c r="Y7" i="12"/>
  <c r="X7" i="12"/>
  <c r="W7" i="12"/>
  <c r="AA6" i="12"/>
  <c r="Z6" i="12"/>
  <c r="Y6" i="12"/>
  <c r="X6" i="12"/>
  <c r="W6" i="12"/>
  <c r="AA4" i="12"/>
  <c r="Z4" i="12"/>
  <c r="Y4" i="12"/>
  <c r="X4" i="12"/>
  <c r="W4" i="12"/>
  <c r="AA3" i="12"/>
  <c r="Z3" i="12"/>
  <c r="Y3" i="12"/>
  <c r="X3" i="12"/>
  <c r="W3" i="12"/>
  <c r="H18" i="4" l="1"/>
  <c r="I18" i="4"/>
  <c r="J18" i="4"/>
  <c r="K18" i="4"/>
  <c r="L18" i="4"/>
  <c r="M18" i="4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AB10" i="19" l="1"/>
  <c r="AA10" i="19"/>
  <c r="Z10" i="19"/>
  <c r="Y10" i="19"/>
  <c r="X10" i="19"/>
  <c r="AB9" i="19"/>
  <c r="AA9" i="19"/>
  <c r="Z9" i="19"/>
  <c r="Y9" i="19"/>
  <c r="X9" i="19"/>
  <c r="AB8" i="19"/>
  <c r="AA8" i="19"/>
  <c r="Z8" i="19"/>
  <c r="Y8" i="19"/>
  <c r="X8" i="19"/>
  <c r="AB7" i="19"/>
  <c r="AA7" i="19"/>
  <c r="Z7" i="19"/>
  <c r="Y7" i="19"/>
  <c r="X7" i="19"/>
  <c r="AB6" i="19"/>
  <c r="AA6" i="19"/>
  <c r="Z6" i="19"/>
  <c r="Y6" i="19"/>
  <c r="X6" i="19"/>
  <c r="AB5" i="19"/>
  <c r="AA5" i="19"/>
  <c r="Z5" i="19"/>
  <c r="Y5" i="19"/>
  <c r="X5" i="19"/>
  <c r="AB4" i="19"/>
  <c r="AA4" i="19"/>
  <c r="Z4" i="19"/>
  <c r="Y4" i="19"/>
  <c r="X4" i="19"/>
  <c r="AB3" i="19"/>
  <c r="AA3" i="19"/>
  <c r="Z3" i="19"/>
  <c r="Y3" i="19"/>
  <c r="X3" i="19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W8" i="19" l="1"/>
  <c r="AC8" i="19" s="1"/>
  <c r="W6" i="19"/>
  <c r="AC6" i="19" s="1"/>
  <c r="W9" i="19"/>
  <c r="AC9" i="19" s="1"/>
  <c r="W3" i="19"/>
  <c r="W4" i="19"/>
  <c r="W7" i="19"/>
  <c r="AC7" i="19" s="1"/>
  <c r="W5" i="19"/>
  <c r="W10" i="19"/>
  <c r="AC10" i="19" s="1"/>
  <c r="AD7" i="19"/>
  <c r="AE7" i="19"/>
  <c r="AE9" i="19"/>
  <c r="AD4" i="19"/>
  <c r="AE4" i="19"/>
  <c r="AE6" i="19"/>
  <c r="AE10" i="19"/>
  <c r="AE3" i="19"/>
  <c r="AD8" i="19"/>
  <c r="AE5" i="19"/>
  <c r="AE8" i="19"/>
  <c r="AD10" i="19"/>
  <c r="AD6" i="19"/>
  <c r="AD3" i="19"/>
  <c r="AD5" i="19"/>
  <c r="AD9" i="19"/>
  <c r="AG7" i="19" l="1"/>
  <c r="AC5" i="19"/>
  <c r="AC4" i="19"/>
  <c r="AC3" i="19"/>
  <c r="AH7" i="19"/>
  <c r="AI7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<sst xmlns="http://schemas.openxmlformats.org/spreadsheetml/2006/main" count="174" uniqueCount="42">
  <si>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</si>
  <si>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</si>
  <si>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</si>
  <si>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</si>
  <si>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</si>
  <si>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</si>
  <si>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</si>
  <si>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</si>
  <si>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</si>
  <si>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</si>
  <si>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</si>
  <si>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</si>
  <si>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</si>
  <si>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</si>
  <si>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</si>
  <si>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</si>
  <si>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</si>
  <si>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</si>
  <si>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</si>
  <si>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</si>
  <si>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</si>
  <si>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</si>
  <si>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</si>
  <si>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</si>
  <si>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</si>
  <si>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F2 (N)</t>
  </si>
  <si>
    <t>s2 (m)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</si>
  <si>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</si>
  <si>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</si>
  <si>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</si>
  <si>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</si>
  <si>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</si>
  <si>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</si>
  <si>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</si>
  <si>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</si>
  <si>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</si>
  <si>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</si>
  <si>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theta1 (rad)</t>
  </si>
  <si>
    <t>theta2 (rad)</t>
  </si>
  <si>
    <t>{</t>
  </si>
  <si>
    <t>}</t>
  </si>
  <si>
    <t>singular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</si>
</sst>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6D6D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2" fillId="9" borderId="0" applyNumberFormat="0" applyBorder="0" applyAlignment="0" applyProtection="0"/>
  </cellStyleXfs>
  <cellXfs count="37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4" fillId="8" borderId="1" xfId="0" applyNumberFormat="1" applyFont="1" applyFill="1" applyBorder="1"/>
    <xf numFmtId="164" fontId="2" fillId="9" borderId="1" xfId="1" applyNumberFormat="1" applyBorder="1"/>
    <xf numFmtId="0" fontId="3" fillId="6" borderId="1" xfId="0" applyFont="1" applyFill="1" applyBorder="1"/>
    <xf numFmtId="0" fontId="0" fillId="0" borderId="1" xfId="0" applyBorder="1"/>
    <xf numFmtId="166" fontId="4" fillId="8" borderId="1" xfId="0" applyNumberFormat="1" applyFont="1" applyFill="1" applyBorder="1"/>
    <xf numFmtId="166" fontId="4" fillId="8" borderId="12" xfId="0" applyNumberFormat="1" applyFont="1" applyFill="1" applyBorder="1"/>
    <xf numFmtId="166" fontId="0" fillId="0" borderId="1" xfId="0" applyNumberFormat="1" applyBorder="1"/>
    <xf numFmtId="165" fontId="4" fillId="8" borderId="1" xfId="0" applyNumberFormat="1" applyFont="1" applyFill="1" applyBorder="1"/>
    <xf numFmtId="166" fontId="0" fillId="0" borderId="0" xfId="0" applyNumberFormat="1"/>
    <xf numFmtId="11" fontId="4" fillId="8" borderId="1" xfId="0" applyNumberFormat="1" applyFont="1" applyFill="1" applyBorder="1"/>
    <xf numFmtId="11" fontId="4" fillId="8" borderId="13" xfId="0" applyNumberFormat="1" applyFont="1" applyFill="1" applyBorder="1"/>
    <xf numFmtId="11" fontId="4" fillId="8" borderId="0" xfId="0" applyNumberFormat="1" applyFont="1" applyFill="1"/>
    <xf numFmtId="0" fontId="3" fillId="0" borderId="0" xfId="0" applyFont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B22"/>
  <sheetViews>
    <sheetView workbookViewId="0">
      <selection activeCell="A10" sqref="A10:F10"/>
    </sheetView>
  </sheetViews>
  <sheetFormatPr defaultRowHeight="16.5" customHeight="1" x14ac:dyDescent="0.25"/>
  <cols>
    <col min="1" max="2" width="7.42578125" bestFit="1" customWidth="1"/>
    <col min="3" max="3" width="11.85546875" bestFit="1" customWidth="1"/>
    <col min="4" max="5" width="7.42578125" bestFit="1" customWidth="1"/>
    <col min="6" max="6" width="11.85546875" bestFit="1" customWidth="1"/>
    <col min="7" max="9" width="8.5703125" bestFit="1" customWidth="1"/>
    <col min="10" max="11" width="8.42578125" bestFit="1" customWidth="1"/>
    <col min="12" max="15" width="8" bestFit="1" customWidth="1"/>
    <col min="16" max="17" width="8.140625" bestFit="1" customWidth="1"/>
    <col min="18" max="18" width="7.7109375" bestFit="1" customWidth="1"/>
    <col min="19" max="21" width="7" bestFit="1" customWidth="1"/>
    <col min="22" max="22" width="11.85546875" bestFit="1" customWidth="1"/>
    <col min="23" max="23" width="8.140625" bestFit="1" customWidth="1"/>
    <col min="24" max="24" width="7.7109375" bestFit="1" customWidth="1"/>
    <col min="25" max="27" width="7.28515625" bestFit="1" customWidth="1"/>
    <col min="28" max="28" width="14.5703125" bestFit="1" customWidth="1"/>
  </cols>
  <sheetData>
    <row r="1" spans="1:28" ht="16.5" customHeight="1" x14ac:dyDescent="0.25">
      <c r="A1" s="18" t="s">
        <v>11</v>
      </c>
      <c r="B1" s="18"/>
      <c r="C1" s="18"/>
      <c r="D1" s="18"/>
      <c r="E1" s="18"/>
      <c r="F1" s="18"/>
      <c r="G1" s="18"/>
      <c r="H1" s="18"/>
      <c r="I1" s="19"/>
      <c r="J1" s="20" t="s">
        <v>6</v>
      </c>
      <c r="K1" s="21"/>
      <c r="L1" s="21"/>
      <c r="M1" s="21"/>
      <c r="N1" s="21"/>
      <c r="O1" s="21"/>
      <c r="P1" s="22" t="s">
        <v>12</v>
      </c>
      <c r="Q1" s="23"/>
      <c r="R1" s="23"/>
      <c r="S1" s="23"/>
      <c r="T1" s="23"/>
      <c r="U1" s="23"/>
      <c r="V1" s="24" t="s">
        <v>14</v>
      </c>
      <c r="W1" s="25"/>
      <c r="X1" s="25"/>
      <c r="Y1" s="25"/>
      <c r="Z1" s="25"/>
      <c r="AA1" s="26"/>
    </row>
    <row r="2" spans="1:28" ht="16.5" customHeight="1" x14ac:dyDescent="0.25">
      <c r="A2" s="1" t="s">
        <v>23</v>
      </c>
      <c r="B2" s="1" t="s">
        <v>24</v>
      </c>
      <c r="C2" s="1" t="s">
        <v>37</v>
      </c>
      <c r="D2" s="1" t="s">
        <v>25</v>
      </c>
      <c r="E2" s="1" t="s">
        <v>26</v>
      </c>
      <c r="F2" s="1" t="s">
        <v>38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3</v>
      </c>
      <c r="Q2" s="1" t="s">
        <v>4</v>
      </c>
      <c r="R2" s="1" t="s">
        <v>5</v>
      </c>
      <c r="S2" s="1" t="s">
        <v>0</v>
      </c>
      <c r="T2" s="1" t="s">
        <v>1</v>
      </c>
      <c r="U2" s="1" t="s">
        <v>2</v>
      </c>
      <c r="V2" s="1" t="s">
        <v>3</v>
      </c>
      <c r="W2" s="1" t="s">
        <v>4</v>
      </c>
      <c r="X2" s="1" t="s">
        <v>5</v>
      </c>
      <c r="Y2" s="1" t="s">
        <v>0</v>
      </c>
      <c r="Z2" s="1" t="s">
        <v>1</v>
      </c>
      <c r="AA2" s="1" t="s">
        <v>2</v>
      </c>
      <c r="AB2" s="7" t="s">
        <v>41</v>
      </c>
    </row>
    <row r="3" spans="1:28" s="5" customFormat="1" ht="16.5" customHeight="1" x14ac:dyDescent="0.25">
      <c r="A3" s="6">
        <v>0.8</v>
      </c>
      <c r="B3" s="6">
        <v>0.16</v>
      </c>
      <c r="C3" s="6">
        <v>3.927</v>
      </c>
      <c r="D3" s="6">
        <v>0.8</v>
      </c>
      <c r="E3" s="6">
        <v>0.02</v>
      </c>
      <c r="F3" s="6">
        <v>3.665</v>
      </c>
      <c r="G3" s="6">
        <v>0</v>
      </c>
      <c r="H3" s="6">
        <v>0</v>
      </c>
      <c r="I3" s="6">
        <v>0</v>
      </c>
      <c r="J3" s="9">
        <v>6.9695031270384797E-3</v>
      </c>
      <c r="K3" s="9">
        <v>0.18633711338043199</v>
      </c>
      <c r="L3" s="9">
        <v>-0.22898079454898801</v>
      </c>
      <c r="M3" s="9">
        <v>-0.40628731250762901</v>
      </c>
      <c r="N3" s="9">
        <v>-1.22047007083893</v>
      </c>
      <c r="O3" s="9">
        <v>-0.89387804269790605</v>
      </c>
      <c r="P3" s="12">
        <v>1.4225214327873647E-3</v>
      </c>
      <c r="Q3" s="12">
        <v>0.1788480320819168</v>
      </c>
      <c r="R3" s="12">
        <v>-0.21131127581988043</v>
      </c>
      <c r="S3" s="12">
        <v>-0.31597556922372083</v>
      </c>
      <c r="T3" s="12">
        <v>-1.2154841458002614</v>
      </c>
      <c r="U3" s="12">
        <v>-0.92521583270613139</v>
      </c>
      <c r="V3" s="5">
        <f t="shared" ref="V3:AA3" si="0">J3-P3</f>
        <v>5.5469816942511152E-3</v>
      </c>
      <c r="W3" s="5">
        <f t="shared" si="0"/>
        <v>7.4890812985151933E-3</v>
      </c>
      <c r="X3" s="5">
        <f t="shared" si="0"/>
        <v>-1.7669518729107575E-2</v>
      </c>
      <c r="Y3" s="5">
        <f t="shared" si="0"/>
        <v>-9.0311743283908175E-2</v>
      </c>
      <c r="Z3" s="5">
        <f t="shared" si="0"/>
        <v>-4.9859250386685705E-3</v>
      </c>
      <c r="AA3" s="5">
        <f t="shared" si="0"/>
        <v>3.1337790008225341E-2</v>
      </c>
      <c r="AB3" s="14">
        <v>2.42</v>
      </c>
    </row>
    <row r="4" spans="1:28" s="5" customFormat="1" ht="16.5" customHeight="1" x14ac:dyDescent="0.25">
      <c r="A4" s="5">
        <v>0.8</v>
      </c>
      <c r="B4" s="5">
        <v>0.2</v>
      </c>
      <c r="C4" s="5">
        <v>3.927</v>
      </c>
      <c r="D4" s="5">
        <v>0.4</v>
      </c>
      <c r="E4" s="5">
        <v>0.04</v>
      </c>
      <c r="F4" s="5">
        <v>1.0469999999999999</v>
      </c>
      <c r="G4" s="5">
        <v>0</v>
      </c>
      <c r="H4" s="5">
        <v>0</v>
      </c>
      <c r="I4" s="5">
        <v>0</v>
      </c>
      <c r="J4" s="9"/>
      <c r="K4" s="9"/>
      <c r="L4" s="9"/>
      <c r="M4" s="9"/>
      <c r="N4" s="9"/>
      <c r="O4" s="9"/>
      <c r="P4" s="12">
        <v>-7.8541408431635022E-5</v>
      </c>
      <c r="Q4" s="12">
        <v>9.7361570999752664E-2</v>
      </c>
      <c r="R4" s="12">
        <v>-0.12146223841005661</v>
      </c>
      <c r="S4" s="12">
        <v>-0.43884428387222035</v>
      </c>
      <c r="T4" s="12">
        <v>-0.26830568365080021</v>
      </c>
      <c r="U4" s="12">
        <v>-0.10567894094544981</v>
      </c>
      <c r="V4" s="5">
        <f t="shared" ref="V4:V10" si="1">J4-P4</f>
        <v>7.8541408431635022E-5</v>
      </c>
      <c r="W4" s="5">
        <f t="shared" ref="W4:W10" si="2">K4-Q4</f>
        <v>-9.7361570999752664E-2</v>
      </c>
      <c r="X4" s="5">
        <f t="shared" ref="X4:X10" si="3">L4-R4</f>
        <v>0.12146223841005661</v>
      </c>
      <c r="Y4" s="5">
        <f t="shared" ref="Y4:Y10" si="4">M4-S4</f>
        <v>0.43884428387222035</v>
      </c>
      <c r="Z4" s="5">
        <f t="shared" ref="Z4:Z10" si="5">N4-T4</f>
        <v>0.26830568365080021</v>
      </c>
      <c r="AA4" s="5">
        <f t="shared" ref="AA4:AA10" si="6">O4-U4</f>
        <v>0.10567894094544981</v>
      </c>
      <c r="AB4" s="15">
        <v>2.2799999999999998</v>
      </c>
    </row>
    <row r="5" spans="1:28" s="5" customFormat="1" ht="16.5" customHeight="1" x14ac:dyDescent="0.25">
      <c r="A5" s="5">
        <v>0.6</v>
      </c>
      <c r="B5" s="5">
        <v>0.2</v>
      </c>
      <c r="C5" s="5">
        <v>2.6179999999999999</v>
      </c>
      <c r="D5" s="5">
        <v>0.8</v>
      </c>
      <c r="E5" s="5">
        <v>0.02</v>
      </c>
      <c r="F5" s="5">
        <v>2.3559999999999999</v>
      </c>
      <c r="G5" s="5">
        <v>0</v>
      </c>
      <c r="H5" s="5">
        <v>0</v>
      </c>
      <c r="I5" s="5">
        <v>0</v>
      </c>
      <c r="J5" s="9"/>
      <c r="K5" s="9"/>
      <c r="L5" s="9"/>
      <c r="M5" s="9"/>
      <c r="N5" s="9"/>
      <c r="O5" s="9"/>
      <c r="P5" s="12">
        <v>2.9999999999999997E-4</v>
      </c>
      <c r="Q5" s="12">
        <v>-0.14230000000000001</v>
      </c>
      <c r="R5" s="12">
        <v>-0.2036</v>
      </c>
      <c r="S5" s="12">
        <v>-0.27739999999999998</v>
      </c>
      <c r="T5" s="12">
        <v>-1.0347999999999999</v>
      </c>
      <c r="U5" s="12">
        <v>0.83099999999999996</v>
      </c>
      <c r="V5" s="5">
        <f t="shared" ref="V5" si="7">J5-P5</f>
        <v>-2.9999999999999997E-4</v>
      </c>
      <c r="W5" s="5">
        <f t="shared" ref="W5" si="8">K5-Q5</f>
        <v>0.14230000000000001</v>
      </c>
      <c r="X5" s="5">
        <f t="shared" ref="X5" si="9">L5-R5</f>
        <v>0.2036</v>
      </c>
      <c r="Y5" s="5">
        <f t="shared" ref="Y5" si="10">M5-S5</f>
        <v>0.27739999999999998</v>
      </c>
      <c r="Z5" s="5">
        <f t="shared" ref="Z5" si="11">N5-T5</f>
        <v>1.0347999999999999</v>
      </c>
      <c r="AA5" s="5">
        <f t="shared" ref="AA5" si="12">O5-U5</f>
        <v>-0.83099999999999996</v>
      </c>
      <c r="AB5" s="15">
        <v>2.2132070000000001</v>
      </c>
    </row>
    <row r="6" spans="1:28" s="5" customFormat="1" ht="16.5" customHeight="1" x14ac:dyDescent="0.25">
      <c r="A6" s="5">
        <v>0.8</v>
      </c>
      <c r="B6" s="5">
        <v>0.18</v>
      </c>
      <c r="C6" s="5">
        <v>2.6179999999999999</v>
      </c>
      <c r="D6" s="5">
        <v>0.7</v>
      </c>
      <c r="E6" s="5">
        <v>0.06</v>
      </c>
      <c r="F6" s="5">
        <v>2.3559999999999999</v>
      </c>
      <c r="G6" s="5">
        <v>0</v>
      </c>
      <c r="H6" s="5">
        <v>0</v>
      </c>
      <c r="I6" s="5">
        <v>0</v>
      </c>
      <c r="J6" s="9"/>
      <c r="K6" s="9"/>
      <c r="L6" s="9"/>
      <c r="M6" s="9"/>
      <c r="N6" s="9"/>
      <c r="O6" s="9"/>
      <c r="P6" s="12">
        <v>-1.0035535676753548E-3</v>
      </c>
      <c r="Q6" s="12">
        <v>-0.17259790459540725</v>
      </c>
      <c r="R6" s="12">
        <v>-0.24724192096891831</v>
      </c>
      <c r="S6" s="12">
        <v>-0.49640737734616558</v>
      </c>
      <c r="T6" s="12">
        <v>-1.0919055222223786</v>
      </c>
      <c r="U6" s="12">
        <v>0.83564662970610848</v>
      </c>
      <c r="V6" s="5">
        <f t="shared" ref="V6:AA7" si="13">J6-P6</f>
        <v>1.0035535676753548E-3</v>
      </c>
      <c r="W6" s="5">
        <f t="shared" si="13"/>
        <v>0.17259790459540725</v>
      </c>
      <c r="X6" s="5">
        <f t="shared" si="13"/>
        <v>0.24724192096891831</v>
      </c>
      <c r="Y6" s="5">
        <f t="shared" si="13"/>
        <v>0.49640737734616558</v>
      </c>
      <c r="Z6" s="5">
        <f t="shared" si="13"/>
        <v>1.0919055222223786</v>
      </c>
      <c r="AA6" s="5">
        <f t="shared" si="13"/>
        <v>-0.83564662970610848</v>
      </c>
      <c r="AB6" s="14">
        <v>1.89</v>
      </c>
    </row>
    <row r="7" spans="1:28" s="5" customFormat="1" ht="16.5" customHeight="1" x14ac:dyDescent="0.25">
      <c r="A7" s="6">
        <v>0.7</v>
      </c>
      <c r="B7" s="6">
        <v>0.16</v>
      </c>
      <c r="C7" s="6">
        <v>0.78500000000000003</v>
      </c>
      <c r="D7" s="6">
        <v>0.3</v>
      </c>
      <c r="E7" s="6">
        <v>0.06</v>
      </c>
      <c r="F7" s="6">
        <v>3.665</v>
      </c>
      <c r="G7" s="6">
        <v>0</v>
      </c>
      <c r="H7" s="6">
        <v>0</v>
      </c>
      <c r="I7" s="6">
        <v>0</v>
      </c>
      <c r="J7" s="9">
        <v>-1.3200249522924399E-3</v>
      </c>
      <c r="K7" s="9">
        <v>-9.6287056803703294E-2</v>
      </c>
      <c r="L7" s="9">
        <v>9.0134814381599399E-2</v>
      </c>
      <c r="M7" s="9">
        <v>-0.28188201785087602</v>
      </c>
      <c r="N7" s="9">
        <v>0.217425882816315</v>
      </c>
      <c r="O7" s="9">
        <v>0.29466027021408098</v>
      </c>
      <c r="P7" s="12">
        <v>1.1784079708572954E-3</v>
      </c>
      <c r="Q7" s="12">
        <v>-9.6967487703004465E-2</v>
      </c>
      <c r="R7" s="12">
        <v>8.0905447693478558E-2</v>
      </c>
      <c r="S7" s="12">
        <v>-0.20026254151166967</v>
      </c>
      <c r="T7" s="12">
        <v>0.20921767325828472</v>
      </c>
      <c r="U7" s="12">
        <v>0.31927883928930278</v>
      </c>
      <c r="V7" s="5">
        <f t="shared" si="13"/>
        <v>-2.4984329231497356E-3</v>
      </c>
      <c r="W7" s="5">
        <f t="shared" si="13"/>
        <v>6.8043089930117095E-4</v>
      </c>
      <c r="X7" s="5">
        <f t="shared" si="13"/>
        <v>9.2293666881208408E-3</v>
      </c>
      <c r="Y7" s="5">
        <f t="shared" si="13"/>
        <v>-8.1619476339206354E-2</v>
      </c>
      <c r="Z7" s="5">
        <f t="shared" si="13"/>
        <v>8.2082095580302827E-3</v>
      </c>
      <c r="AA7" s="5">
        <f t="shared" si="13"/>
        <v>-2.4618569075221808E-2</v>
      </c>
      <c r="AB7" s="14">
        <v>1.1000000000000001</v>
      </c>
    </row>
    <row r="8" spans="1:28" s="5" customFormat="1" ht="16.5" customHeight="1" x14ac:dyDescent="0.25">
      <c r="A8" s="6">
        <v>0.4</v>
      </c>
      <c r="B8" s="6">
        <v>0.2</v>
      </c>
      <c r="C8" s="6">
        <v>3.927</v>
      </c>
      <c r="D8" s="6">
        <v>0.8</v>
      </c>
      <c r="E8" s="6">
        <v>0.06</v>
      </c>
      <c r="F8" s="6">
        <v>3.665</v>
      </c>
      <c r="G8" s="6">
        <v>0</v>
      </c>
      <c r="H8" s="6">
        <v>0</v>
      </c>
      <c r="I8" s="6">
        <v>0</v>
      </c>
      <c r="J8" s="9">
        <v>3.0324226245284098E-3</v>
      </c>
      <c r="K8" s="9">
        <v>0.13038665056228599</v>
      </c>
      <c r="L8" s="9">
        <v>-0.17296446859836601</v>
      </c>
      <c r="M8" s="9">
        <v>-0.12506151199340801</v>
      </c>
      <c r="N8" s="9">
        <v>-0.88299614191055298</v>
      </c>
      <c r="O8" s="9">
        <v>-0.61048221588134799</v>
      </c>
      <c r="P8" s="12">
        <v>8.1158405231829657E-5</v>
      </c>
      <c r="Q8" s="12">
        <v>0.13811030731414295</v>
      </c>
      <c r="R8" s="12">
        <v>-0.18246814810281636</v>
      </c>
      <c r="S8" s="12">
        <v>-0.20701396406401426</v>
      </c>
      <c r="T8" s="12">
        <v>-0.95748729881890027</v>
      </c>
      <c r="U8" s="12">
        <v>-0.66415778297496808</v>
      </c>
      <c r="V8" s="5">
        <f t="shared" si="1"/>
        <v>2.9512642192965803E-3</v>
      </c>
      <c r="W8" s="5">
        <f t="shared" si="2"/>
        <v>-7.723656751856961E-3</v>
      </c>
      <c r="X8" s="5">
        <f t="shared" si="3"/>
        <v>9.5036795044503575E-3</v>
      </c>
      <c r="Y8" s="5">
        <f t="shared" si="4"/>
        <v>8.1952452070606252E-2</v>
      </c>
      <c r="Z8" s="5">
        <f t="shared" si="5"/>
        <v>7.4491156908347289E-2</v>
      </c>
      <c r="AA8" s="5">
        <f t="shared" si="6"/>
        <v>5.3675567093620091E-2</v>
      </c>
      <c r="AB8" s="16">
        <v>0.91600000000000004</v>
      </c>
    </row>
    <row r="9" spans="1:28" s="5" customFormat="1" ht="16.5" customHeight="1" x14ac:dyDescent="0.25">
      <c r="A9" s="6">
        <v>0.3</v>
      </c>
      <c r="B9" s="6">
        <v>0.2</v>
      </c>
      <c r="C9" s="6">
        <v>0.78500000000000003</v>
      </c>
      <c r="D9" s="6">
        <v>0.7</v>
      </c>
      <c r="E9" s="6">
        <v>0.02</v>
      </c>
      <c r="F9" s="6">
        <v>3.665</v>
      </c>
      <c r="G9" s="6">
        <v>0</v>
      </c>
      <c r="H9" s="6">
        <v>0</v>
      </c>
      <c r="I9" s="6">
        <v>0</v>
      </c>
      <c r="J9" s="9">
        <v>-1.6676099039614201E-4</v>
      </c>
      <c r="K9" s="9">
        <v>-7.9468116164207493E-3</v>
      </c>
      <c r="L9" s="9">
        <v>-1.7586439847946202E-2</v>
      </c>
      <c r="M9" s="9">
        <v>-6.15512244403362E-2</v>
      </c>
      <c r="N9" s="9">
        <v>-0.44398531317710899</v>
      </c>
      <c r="O9" s="9">
        <v>-0.18986988067627</v>
      </c>
      <c r="P9" s="12">
        <v>6.7562054793991069E-5</v>
      </c>
      <c r="Q9" s="12">
        <v>-2.1225617505164031E-2</v>
      </c>
      <c r="R9" s="12">
        <v>-6.6430209705753635E-3</v>
      </c>
      <c r="S9" s="12">
        <v>-6.5151003023952492E-2</v>
      </c>
      <c r="T9" s="12">
        <v>-0.39947934656861056</v>
      </c>
      <c r="U9" s="12">
        <v>-0.1442213254116223</v>
      </c>
      <c r="V9" s="5">
        <f t="shared" si="1"/>
        <v>-2.3432304519013309E-4</v>
      </c>
      <c r="W9" s="5">
        <f t="shared" si="2"/>
        <v>1.3278805888743282E-2</v>
      </c>
      <c r="X9" s="5">
        <f t="shared" si="3"/>
        <v>-1.0943418877370839E-2</v>
      </c>
      <c r="Y9" s="5">
        <f t="shared" si="4"/>
        <v>3.5997785836162921E-3</v>
      </c>
      <c r="Z9" s="5">
        <f t="shared" si="5"/>
        <v>-4.4505966608498426E-2</v>
      </c>
      <c r="AA9" s="5">
        <f t="shared" si="6"/>
        <v>-4.56485552646477E-2</v>
      </c>
      <c r="AB9" s="16">
        <v>0.68600000000000005</v>
      </c>
    </row>
    <row r="10" spans="1:28" s="5" customFormat="1" ht="16.5" customHeight="1" x14ac:dyDescent="0.25">
      <c r="A10" s="6">
        <v>0.7</v>
      </c>
      <c r="B10" s="6">
        <v>0.12</v>
      </c>
      <c r="C10" s="6">
        <v>3.927</v>
      </c>
      <c r="D10" s="6">
        <v>0.7</v>
      </c>
      <c r="E10" s="6">
        <v>0.02</v>
      </c>
      <c r="F10" s="6">
        <v>1.0469999999999999</v>
      </c>
      <c r="G10" s="6">
        <v>0</v>
      </c>
      <c r="H10" s="6">
        <v>0</v>
      </c>
      <c r="I10" s="6">
        <v>0</v>
      </c>
      <c r="J10" s="9">
        <v>1.7961886478588E-3</v>
      </c>
      <c r="K10" s="9">
        <v>4.7429911792278297E-2</v>
      </c>
      <c r="L10" s="9">
        <v>-7.8928373754024506E-2</v>
      </c>
      <c r="M10" s="9">
        <v>-0.162799403071404</v>
      </c>
      <c r="N10" s="9">
        <v>-0.17039117217063901</v>
      </c>
      <c r="O10" s="9">
        <v>8.3889193832874298E-2</v>
      </c>
      <c r="P10" s="12">
        <v>9.7363161084973947E-4</v>
      </c>
      <c r="Q10" s="12">
        <v>3.6776876902953448E-2</v>
      </c>
      <c r="R10" s="12">
        <v>-6.469422424269676E-2</v>
      </c>
      <c r="S10" s="12">
        <v>-8.4074207736952664E-2</v>
      </c>
      <c r="T10" s="12">
        <v>-0.13946935075329142</v>
      </c>
      <c r="U10" s="12">
        <v>0.11459190775889376</v>
      </c>
      <c r="V10" s="5">
        <f t="shared" si="1"/>
        <v>8.2255703700906055E-4</v>
      </c>
      <c r="W10" s="5">
        <f t="shared" si="2"/>
        <v>1.0653034889324849E-2</v>
      </c>
      <c r="X10" s="5">
        <f t="shared" si="3"/>
        <v>-1.4234149511327746E-2</v>
      </c>
      <c r="Y10" s="5">
        <f t="shared" si="4"/>
        <v>-7.8725195334451339E-2</v>
      </c>
      <c r="Z10" s="5">
        <f t="shared" si="5"/>
        <v>-3.0921821417347589E-2</v>
      </c>
      <c r="AA10" s="5">
        <f t="shared" si="6"/>
        <v>-3.0702713926019462E-2</v>
      </c>
      <c r="AB10" s="16">
        <v>0.61099999999999999</v>
      </c>
    </row>
    <row r="11" spans="1:28" ht="16.5" customHeight="1" x14ac:dyDescent="0.25">
      <c r="A11" s="5">
        <v>0.8</v>
      </c>
      <c r="B11" s="5">
        <v>0.12</v>
      </c>
      <c r="C11" s="5">
        <v>2.6179999999999999</v>
      </c>
      <c r="D11" s="5">
        <v>0.3</v>
      </c>
      <c r="E11" s="5">
        <v>0.02</v>
      </c>
      <c r="F11" s="5">
        <v>3.665</v>
      </c>
      <c r="G11" s="5">
        <v>0</v>
      </c>
      <c r="H11" s="5">
        <v>0</v>
      </c>
      <c r="I11" s="5">
        <v>0</v>
      </c>
      <c r="J11" s="9"/>
      <c r="K11" s="9"/>
      <c r="L11" s="9"/>
      <c r="M11" s="9"/>
      <c r="N11" s="9"/>
      <c r="O11" s="9"/>
      <c r="P11" s="12">
        <v>-9.7876421264432622E-4</v>
      </c>
      <c r="Q11" s="12">
        <v>-6.6968525854226316E-2</v>
      </c>
      <c r="R11" s="12">
        <v>-0.17267535330109141</v>
      </c>
      <c r="S11" s="12">
        <v>-0.1307900240596008</v>
      </c>
      <c r="T11" s="12">
        <v>-0.94237807286034037</v>
      </c>
      <c r="U11" s="12">
        <v>0.24634454155090471</v>
      </c>
      <c r="V11" s="5">
        <f t="shared" ref="V11:V17" si="14">J11-P11</f>
        <v>9.7876421264432622E-4</v>
      </c>
      <c r="W11" s="5">
        <f t="shared" ref="W11:W17" si="15">K11-Q11</f>
        <v>6.6968525854226316E-2</v>
      </c>
      <c r="X11" s="5">
        <f t="shared" ref="X11:X17" si="16">L11-R11</f>
        <v>0.17267535330109141</v>
      </c>
      <c r="Y11" s="5">
        <f t="shared" ref="Y11:Y17" si="17">M11-S11</f>
        <v>0.1307900240596008</v>
      </c>
      <c r="Z11" s="5">
        <f t="shared" ref="Z11:Z17" si="18">N11-T11</f>
        <v>0.94237807286034037</v>
      </c>
      <c r="AA11" s="5">
        <f t="shared" ref="AA11:AA17" si="19">O11-U11</f>
        <v>-0.24634454155090471</v>
      </c>
      <c r="AB11" s="16">
        <v>0.58299999999999996</v>
      </c>
    </row>
    <row r="12" spans="1:28" ht="16.5" customHeight="1" x14ac:dyDescent="0.25">
      <c r="A12" s="5">
        <v>0.4</v>
      </c>
      <c r="B12" s="5">
        <v>0.18</v>
      </c>
      <c r="C12" s="5">
        <v>2.6179999999999999</v>
      </c>
      <c r="D12" s="5">
        <v>0.3</v>
      </c>
      <c r="E12" s="5">
        <v>0.02</v>
      </c>
      <c r="F12" s="5">
        <v>1.0469999999999999</v>
      </c>
      <c r="G12" s="5">
        <v>0</v>
      </c>
      <c r="H12" s="5">
        <v>0</v>
      </c>
      <c r="I12" s="5">
        <v>0</v>
      </c>
      <c r="J12" s="9"/>
      <c r="K12" s="9"/>
      <c r="L12" s="9"/>
      <c r="M12" s="9"/>
      <c r="N12" s="9"/>
      <c r="O12" s="9"/>
      <c r="P12" s="12">
        <v>-2.0867648253041377E-4</v>
      </c>
      <c r="Q12" s="12">
        <v>-8.1437684832294618E-2</v>
      </c>
      <c r="R12" s="12">
        <v>-7.541709118131712E-2</v>
      </c>
      <c r="S12" s="12">
        <v>-0.10180720796497494</v>
      </c>
      <c r="T12" s="12">
        <v>-0.18563589364941549</v>
      </c>
      <c r="U12" s="12">
        <v>0.45301252738324299</v>
      </c>
      <c r="V12" s="5">
        <f t="shared" si="14"/>
        <v>2.0867648253041377E-4</v>
      </c>
      <c r="W12" s="5">
        <f t="shared" si="15"/>
        <v>8.1437684832294618E-2</v>
      </c>
      <c r="X12" s="5">
        <f t="shared" si="16"/>
        <v>7.541709118131712E-2</v>
      </c>
      <c r="Y12" s="5">
        <f t="shared" si="17"/>
        <v>0.10180720796497494</v>
      </c>
      <c r="Z12" s="5">
        <f t="shared" si="18"/>
        <v>0.18563589364941549</v>
      </c>
      <c r="AA12" s="5">
        <f t="shared" si="19"/>
        <v>-0.45301252738324299</v>
      </c>
      <c r="AB12" s="16">
        <v>0.54100000000000004</v>
      </c>
    </row>
    <row r="13" spans="1:28" ht="16.5" customHeight="1" x14ac:dyDescent="0.25">
      <c r="A13" s="5">
        <v>0.6</v>
      </c>
      <c r="B13" s="5">
        <v>0.2</v>
      </c>
      <c r="C13" s="5">
        <v>2.6179999999999999</v>
      </c>
      <c r="D13" s="5">
        <v>0.5</v>
      </c>
      <c r="E13" s="5">
        <v>0.1</v>
      </c>
      <c r="F13" s="5">
        <v>3.665</v>
      </c>
      <c r="G13" s="5">
        <v>0</v>
      </c>
      <c r="H13" s="5">
        <v>0</v>
      </c>
      <c r="I13" s="5">
        <v>0</v>
      </c>
      <c r="J13" s="9"/>
      <c r="K13" s="9"/>
      <c r="L13" s="9"/>
      <c r="M13" s="9"/>
      <c r="N13" s="9"/>
      <c r="O13" s="9"/>
      <c r="P13" s="12">
        <v>3.1589830116105958E-4</v>
      </c>
      <c r="Q13" s="12">
        <v>-3.2020504384147733E-2</v>
      </c>
      <c r="R13" s="12">
        <v>-0.21945276075604328</v>
      </c>
      <c r="S13" s="12">
        <v>-0.38714038123395006</v>
      </c>
      <c r="T13" s="12">
        <v>-0.87211521781602097</v>
      </c>
      <c r="U13" s="12">
        <v>1.2647173668377544E-2</v>
      </c>
      <c r="V13" s="5">
        <f t="shared" si="14"/>
        <v>-3.1589830116105958E-4</v>
      </c>
      <c r="W13" s="5">
        <f t="shared" si="15"/>
        <v>3.2020504384147733E-2</v>
      </c>
      <c r="X13" s="5">
        <f t="shared" si="16"/>
        <v>0.21945276075604328</v>
      </c>
      <c r="Y13" s="5">
        <f t="shared" si="17"/>
        <v>0.38714038123395006</v>
      </c>
      <c r="Z13" s="5">
        <f t="shared" si="18"/>
        <v>0.87211521781602097</v>
      </c>
      <c r="AA13" s="5">
        <f t="shared" si="19"/>
        <v>-1.2647173668377544E-2</v>
      </c>
      <c r="AB13" s="16">
        <v>0.254</v>
      </c>
    </row>
    <row r="14" spans="1:28" ht="16.5" customHeight="1" x14ac:dyDescent="0.25">
      <c r="A14" s="5">
        <v>0.3</v>
      </c>
      <c r="B14" s="5">
        <v>0.2</v>
      </c>
      <c r="C14" s="5">
        <v>3.927</v>
      </c>
      <c r="D14" s="5">
        <v>0.3</v>
      </c>
      <c r="E14" s="5">
        <v>0.1</v>
      </c>
      <c r="F14" s="5">
        <v>2.3559999999999999</v>
      </c>
      <c r="G14" s="5">
        <v>0</v>
      </c>
      <c r="H14" s="5">
        <v>0</v>
      </c>
      <c r="I14" s="5">
        <v>0</v>
      </c>
      <c r="J14" s="9"/>
      <c r="K14" s="9"/>
      <c r="L14" s="9"/>
      <c r="M14" s="9"/>
      <c r="N14" s="9"/>
      <c r="O14" s="9"/>
      <c r="P14" s="12">
        <v>-8.8108393518399484E-5</v>
      </c>
      <c r="Q14" s="12">
        <v>1.943886059911621E-2</v>
      </c>
      <c r="R14" s="12">
        <v>-9.9946897680948762E-2</v>
      </c>
      <c r="S14" s="12">
        <v>-8.5532131466541442E-2</v>
      </c>
      <c r="T14" s="12">
        <v>-0.41616923502145198</v>
      </c>
      <c r="U14" s="12">
        <v>6.2100660087833926E-3</v>
      </c>
      <c r="V14" s="5">
        <f t="shared" si="14"/>
        <v>8.8108393518399484E-5</v>
      </c>
      <c r="W14" s="5">
        <f t="shared" si="15"/>
        <v>-1.943886059911621E-2</v>
      </c>
      <c r="X14" s="5">
        <f t="shared" si="16"/>
        <v>9.9946897680948762E-2</v>
      </c>
      <c r="Y14" s="5">
        <f t="shared" si="17"/>
        <v>8.5532131466541442E-2</v>
      </c>
      <c r="Z14" s="5">
        <f t="shared" si="18"/>
        <v>0.41616923502145198</v>
      </c>
      <c r="AA14" s="5">
        <f t="shared" si="19"/>
        <v>-6.2100660087833926E-3</v>
      </c>
      <c r="AB14" s="16">
        <v>0.191</v>
      </c>
    </row>
    <row r="15" spans="1:28" ht="16.5" customHeight="1" x14ac:dyDescent="0.25">
      <c r="A15" s="5">
        <v>0.3</v>
      </c>
      <c r="B15" s="5">
        <v>0.14000000000000001</v>
      </c>
      <c r="C15" s="5">
        <v>2.6179999999999999</v>
      </c>
      <c r="D15" s="5">
        <v>0.8</v>
      </c>
      <c r="E15" s="5">
        <v>0.04</v>
      </c>
      <c r="F15" s="5">
        <v>1.0469999999999999</v>
      </c>
      <c r="G15" s="5">
        <v>0</v>
      </c>
      <c r="H15" s="5">
        <v>0</v>
      </c>
      <c r="I15" s="5">
        <v>0</v>
      </c>
      <c r="J15" s="9"/>
      <c r="K15" s="9"/>
      <c r="L15" s="9"/>
      <c r="M15" s="9"/>
      <c r="N15" s="9"/>
      <c r="O15" s="9"/>
      <c r="P15" s="12">
        <v>-1.6663920226609279E-4</v>
      </c>
      <c r="Q15" s="12">
        <v>-0.12442974005206822</v>
      </c>
      <c r="R15" s="12">
        <v>-7.5452205974025537E-3</v>
      </c>
      <c r="S15" s="12">
        <v>-3.6114403607117269E-2</v>
      </c>
      <c r="T15" s="12">
        <v>0.14168065132326829</v>
      </c>
      <c r="U15" s="12">
        <v>0.84183398764537642</v>
      </c>
      <c r="V15" s="5">
        <f t="shared" si="14"/>
        <v>1.6663920226609279E-4</v>
      </c>
      <c r="W15" s="5">
        <f t="shared" si="15"/>
        <v>0.12442974005206822</v>
      </c>
      <c r="X15" s="5">
        <f t="shared" si="16"/>
        <v>7.5452205974025537E-3</v>
      </c>
      <c r="Y15" s="5">
        <f t="shared" si="17"/>
        <v>3.6114403607117269E-2</v>
      </c>
      <c r="Z15" s="5">
        <f t="shared" si="18"/>
        <v>-0.14168065132326829</v>
      </c>
      <c r="AA15" s="5">
        <f t="shared" si="19"/>
        <v>-0.84183398764537642</v>
      </c>
      <c r="AB15" s="16">
        <v>0.17499999999999999</v>
      </c>
    </row>
    <row r="16" spans="1:28" ht="16.5" customHeight="1" x14ac:dyDescent="0.25">
      <c r="A16" s="5">
        <v>0.8</v>
      </c>
      <c r="B16" s="5">
        <v>0.2</v>
      </c>
      <c r="C16" s="5">
        <v>0.78500000000000003</v>
      </c>
      <c r="D16" s="5">
        <v>0.8</v>
      </c>
      <c r="E16" s="5">
        <v>0.1</v>
      </c>
      <c r="F16" s="5">
        <v>1.0469999999999999</v>
      </c>
      <c r="G16" s="5">
        <v>0</v>
      </c>
      <c r="H16" s="5">
        <v>0</v>
      </c>
      <c r="I16" s="5">
        <v>0</v>
      </c>
      <c r="J16" s="9"/>
      <c r="K16" s="9"/>
      <c r="L16" s="9"/>
      <c r="M16" s="9"/>
      <c r="N16" s="9"/>
      <c r="O16" s="9"/>
      <c r="P16" s="12">
        <v>3.5118522079836258E-3</v>
      </c>
      <c r="Q16" s="12">
        <v>-0.26364738916947883</v>
      </c>
      <c r="R16" s="12">
        <v>0.21441302984307764</v>
      </c>
      <c r="S16" s="12">
        <v>-0.81913854887411386</v>
      </c>
      <c r="T16" s="12">
        <v>0.79879140693816375</v>
      </c>
      <c r="U16" s="12">
        <v>1.0716537535718262</v>
      </c>
      <c r="V16" s="5">
        <f t="shared" si="14"/>
        <v>-3.5118522079836258E-3</v>
      </c>
      <c r="W16" s="5">
        <f t="shared" si="15"/>
        <v>0.26364738916947883</v>
      </c>
      <c r="X16" s="5">
        <f t="shared" si="16"/>
        <v>-0.21441302984307764</v>
      </c>
      <c r="Y16" s="5">
        <f t="shared" si="17"/>
        <v>0.81913854887411386</v>
      </c>
      <c r="Z16" s="5">
        <f t="shared" si="18"/>
        <v>-0.79879140693816375</v>
      </c>
      <c r="AA16" s="5">
        <f t="shared" si="19"/>
        <v>-1.0716537535718262</v>
      </c>
      <c r="AB16" s="16">
        <v>0.159</v>
      </c>
    </row>
    <row r="17" spans="1:28" ht="16.5" customHeight="1" x14ac:dyDescent="0.25">
      <c r="A17" s="5">
        <v>0.4</v>
      </c>
      <c r="B17" s="5">
        <v>0.12</v>
      </c>
      <c r="C17" s="5">
        <v>0.78500000000000003</v>
      </c>
      <c r="D17" s="5">
        <v>0.4</v>
      </c>
      <c r="E17" s="5">
        <v>0.02</v>
      </c>
      <c r="F17" s="5">
        <v>2.3559999999999999</v>
      </c>
      <c r="G17" s="5">
        <v>0</v>
      </c>
      <c r="H17" s="5">
        <v>0</v>
      </c>
      <c r="I17" s="5">
        <v>0</v>
      </c>
      <c r="J17" s="9"/>
      <c r="K17" s="9"/>
      <c r="L17" s="9"/>
      <c r="M17" s="9"/>
      <c r="N17" s="9"/>
      <c r="O17" s="9"/>
      <c r="P17" s="12">
        <v>2.846440422784285E-4</v>
      </c>
      <c r="Q17" s="12">
        <v>-9.0391427516701428E-2</v>
      </c>
      <c r="R17" s="12">
        <v>2.8171902151110088E-2</v>
      </c>
      <c r="S17" s="12">
        <v>-3.3404171438953557E-2</v>
      </c>
      <c r="T17" s="12">
        <v>-8.8427322616437172E-4</v>
      </c>
      <c r="U17" s="12">
        <v>0.56490057119743364</v>
      </c>
      <c r="V17" s="5">
        <f t="shared" si="14"/>
        <v>-2.846440422784285E-4</v>
      </c>
      <c r="W17" s="5">
        <f t="shared" si="15"/>
        <v>9.0391427516701428E-2</v>
      </c>
      <c r="X17" s="5">
        <f t="shared" si="16"/>
        <v>-2.8171902151110088E-2</v>
      </c>
      <c r="Y17" s="5">
        <f t="shared" si="17"/>
        <v>3.3404171438953557E-2</v>
      </c>
      <c r="Z17" s="5">
        <f t="shared" si="18"/>
        <v>8.8427322616437172E-4</v>
      </c>
      <c r="AA17" s="5">
        <f t="shared" si="19"/>
        <v>-0.56490057119743364</v>
      </c>
      <c r="AB17" s="16">
        <v>5.8900000000000001E-2</v>
      </c>
    </row>
    <row r="19" spans="1:28" ht="16.5" customHeight="1" x14ac:dyDescent="0.25">
      <c r="V19" s="17">
        <v>1.73E-3</v>
      </c>
      <c r="W19" s="17">
        <v>1.5980000000000001E-2</v>
      </c>
      <c r="X19" s="17">
        <v>1.2149999999999999E-2</v>
      </c>
      <c r="Y19" s="17">
        <v>6.8379999999999996E-2</v>
      </c>
      <c r="Z19" s="17">
        <v>6.9379999999999997E-2</v>
      </c>
      <c r="AA19" s="17">
        <v>9.1469999999999996E-2</v>
      </c>
    </row>
    <row r="20" spans="1:28" ht="16.5" customHeight="1" x14ac:dyDescent="0.25">
      <c r="C20">
        <v>0.78500000000000003</v>
      </c>
      <c r="D20">
        <v>45</v>
      </c>
      <c r="F20">
        <v>1.0469999999999999</v>
      </c>
      <c r="G20">
        <v>60</v>
      </c>
    </row>
    <row r="21" spans="1:28" ht="16.5" customHeight="1" x14ac:dyDescent="0.25">
      <c r="C21">
        <v>2.6179999999999999</v>
      </c>
      <c r="D21">
        <v>150</v>
      </c>
      <c r="F21">
        <v>2.3559999999999999</v>
      </c>
      <c r="G21">
        <v>135</v>
      </c>
    </row>
    <row r="22" spans="1:28" ht="16.5" customHeight="1" x14ac:dyDescent="0.25">
      <c r="C22">
        <v>3.927</v>
      </c>
      <c r="D22">
        <v>225</v>
      </c>
      <c r="F22">
        <v>3.665</v>
      </c>
      <c r="G22">
        <v>210</v>
      </c>
      <c r="V22">
        <f>_xlfn.STDEV.S(V3,V7,V8,V9,V10)</f>
        <v>3.0729533123933337E-3</v>
      </c>
    </row>
  </sheetData>
  <mergeCells count="4">
    <mergeCell ref="A1:I1"/>
    <mergeCell ref="J1:O1"/>
    <mergeCell ref="P1:U1"/>
    <mergeCell ref="V1:AA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L17"/>
  <sheetViews>
    <sheetView workbookViewId="0">
      <pane ySplit="2" topLeftCell="A3" activePane="bottomLeft" state="frozen"/>
      <selection activeCell="K1" sqref="K1"/>
      <selection pane="bottomLeft" activeCell="K30" sqref="K30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6.7109375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5.140625" bestFit="1" customWidth="1"/>
    <col min="33" max="33" width="12" bestFit="1" customWidth="1"/>
    <col min="34" max="34" width="13.85546875" bestFit="1" customWidth="1"/>
    <col min="35" max="35" width="11.85546875" bestFit="1" customWidth="1"/>
    <col min="38" max="38" width="11.85546875" bestFit="1" customWidth="1"/>
  </cols>
  <sheetData>
    <row r="1" spans="1:38" ht="15.75" x14ac:dyDescent="0.25">
      <c r="A1" s="18" t="s">
        <v>11</v>
      </c>
      <c r="B1" s="18"/>
      <c r="C1" s="18"/>
      <c r="D1" s="18"/>
      <c r="E1" s="18"/>
      <c r="F1" s="18"/>
      <c r="G1" s="18"/>
      <c r="H1" s="18"/>
      <c r="I1" s="19"/>
      <c r="J1" s="20" t="s">
        <v>6</v>
      </c>
      <c r="K1" s="21"/>
      <c r="L1" s="21"/>
      <c r="M1" s="21"/>
      <c r="N1" s="21"/>
      <c r="O1" s="21"/>
      <c r="P1" s="32" t="s">
        <v>7</v>
      </c>
      <c r="Q1" s="33"/>
      <c r="R1" s="33"/>
      <c r="S1" s="33"/>
      <c r="T1" s="33"/>
      <c r="U1" s="33"/>
      <c r="V1" s="33"/>
      <c r="W1" s="29" t="s">
        <v>13</v>
      </c>
      <c r="X1" s="29"/>
      <c r="Y1" s="29"/>
      <c r="Z1" s="29"/>
      <c r="AA1" s="29"/>
      <c r="AB1" s="29"/>
      <c r="AC1" s="30" t="s">
        <v>32</v>
      </c>
      <c r="AD1" s="30"/>
      <c r="AE1" s="30"/>
      <c r="AF1" s="30"/>
      <c r="AG1" s="30"/>
      <c r="AH1" s="30"/>
      <c r="AI1" s="30"/>
      <c r="AJ1" s="30"/>
      <c r="AK1" s="30"/>
      <c r="AL1" s="30"/>
    </row>
    <row r="2" spans="1:38" ht="15.75" x14ac:dyDescent="0.25">
      <c r="A2" s="1" t="s">
        <v>23</v>
      </c>
      <c r="B2" s="1" t="s">
        <v>24</v>
      </c>
      <c r="C2" s="1" t="s">
        <v>37</v>
      </c>
      <c r="D2" s="1" t="s">
        <v>25</v>
      </c>
      <c r="E2" s="1" t="s">
        <v>26</v>
      </c>
      <c r="F2" s="1" t="s">
        <v>38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23</v>
      </c>
      <c r="Q2" s="1" t="s">
        <v>24</v>
      </c>
      <c r="R2" s="1" t="s">
        <v>37</v>
      </c>
      <c r="S2" s="1" t="s">
        <v>25</v>
      </c>
      <c r="T2" s="1" t="s">
        <v>26</v>
      </c>
      <c r="U2" s="1" t="s">
        <v>38</v>
      </c>
      <c r="V2" s="2" t="s">
        <v>33</v>
      </c>
      <c r="W2" s="3" t="s">
        <v>23</v>
      </c>
      <c r="X2" s="1" t="s">
        <v>24</v>
      </c>
      <c r="Y2" s="1" t="s">
        <v>37</v>
      </c>
      <c r="Z2" s="1" t="s">
        <v>25</v>
      </c>
      <c r="AA2" s="1" t="s">
        <v>26</v>
      </c>
      <c r="AB2" s="1" t="s">
        <v>38</v>
      </c>
      <c r="AC2" s="7" t="s">
        <v>29</v>
      </c>
      <c r="AD2" s="7" t="s">
        <v>30</v>
      </c>
      <c r="AE2" s="7" t="s">
        <v>31</v>
      </c>
      <c r="AF2" s="7" t="s">
        <v>41</v>
      </c>
      <c r="AG2" s="31" t="s">
        <v>27</v>
      </c>
      <c r="AH2" s="31"/>
      <c r="AI2" s="31"/>
      <c r="AJ2" s="31"/>
      <c r="AK2" s="31"/>
      <c r="AL2" s="31"/>
    </row>
    <row r="3" spans="1:38" ht="15.75" x14ac:dyDescent="0.25">
      <c r="A3" s="5">
        <f>'Proximal Validation (empirical)'!A3</f>
        <v>0.8</v>
      </c>
      <c r="B3" s="5">
        <f>'Proximal Validation (empirical)'!B3</f>
        <v>0.16</v>
      </c>
      <c r="C3" s="5">
        <f>'Proximal Validation (empirical)'!C3</f>
        <v>3.927</v>
      </c>
      <c r="D3" s="5">
        <f>'Proximal Validation (empirical)'!D3</f>
        <v>0.8</v>
      </c>
      <c r="E3" s="5">
        <f>'Proximal Validation (empirical)'!E3</f>
        <v>0.02</v>
      </c>
      <c r="F3" s="5">
        <f>'Proximal Validation (empirical)'!F3</f>
        <v>3.665</v>
      </c>
      <c r="G3" s="5">
        <f>'Proximal Validation (empirical)'!G3</f>
        <v>0</v>
      </c>
      <c r="H3" s="5">
        <f>'Proximal Validation (empirical)'!H3</f>
        <v>0</v>
      </c>
      <c r="I3" s="5">
        <f>'Proximal Validation (empirical)'!I3</f>
        <v>0</v>
      </c>
      <c r="J3" s="5">
        <f>'Proximal Validation (empirical)'!J3</f>
        <v>6.9695031270384797E-3</v>
      </c>
      <c r="K3" s="5">
        <f>'Proximal Validation (empirical)'!K3</f>
        <v>0.18633711338043199</v>
      </c>
      <c r="L3" s="5">
        <f>'Proximal Validation (empirical)'!L3</f>
        <v>-0.22898079454898801</v>
      </c>
      <c r="M3" s="5">
        <f>'Proximal Validation (empirical)'!M3</f>
        <v>-0.40628731250762901</v>
      </c>
      <c r="N3" s="5">
        <f>'Proximal Validation (empirical)'!N3</f>
        <v>-1.22047007083893</v>
      </c>
      <c r="O3" s="5">
        <f>'Proximal Validation (empirical)'!O3</f>
        <v>-0.89387804269790605</v>
      </c>
      <c r="P3" s="5">
        <v>1</v>
      </c>
      <c r="Q3" s="5">
        <v>0.15079999999999999</v>
      </c>
      <c r="R3" s="5">
        <v>3.8925000000000001</v>
      </c>
      <c r="S3" s="5">
        <v>0.61329999999999996</v>
      </c>
      <c r="T3" s="5">
        <v>2.12E-2</v>
      </c>
      <c r="U3" s="5">
        <v>3.5857000000000001</v>
      </c>
      <c r="V3" s="12"/>
      <c r="W3" s="5">
        <f t="shared" ref="W3:AB10" si="0">P3-A3</f>
        <v>0.19999999999999996</v>
      </c>
      <c r="X3" s="5">
        <f t="shared" si="0"/>
        <v>-9.2000000000000137E-3</v>
      </c>
      <c r="Y3" s="5">
        <f t="shared" si="0"/>
        <v>-3.4499999999999975E-2</v>
      </c>
      <c r="Z3" s="5">
        <f t="shared" si="0"/>
        <v>-0.18670000000000009</v>
      </c>
      <c r="AA3" s="5">
        <f t="shared" si="0"/>
        <v>1.1999999999999997E-3</v>
      </c>
      <c r="AB3" s="5">
        <f t="shared" si="0"/>
        <v>-7.9299999999999926E-2</v>
      </c>
      <c r="AC3" s="9">
        <f t="shared" ref="AC3:AC10" si="1">AVERAGE(ABS(W3),ABS(Z3))</f>
        <v>0.19335000000000002</v>
      </c>
      <c r="AD3" s="9">
        <f t="shared" ref="AD3:AD10" si="2">AVERAGE(ABS(X3),ABS(AA3))</f>
        <v>5.2000000000000067E-3</v>
      </c>
      <c r="AE3" s="9">
        <f t="shared" ref="AE3:AE10" si="3">AVERAGE(ABS(Y3),ABS(AB3))</f>
        <v>5.6899999999999951E-2</v>
      </c>
      <c r="AF3" s="14">
        <v>2.42</v>
      </c>
      <c r="AG3" s="1" t="s">
        <v>23</v>
      </c>
      <c r="AH3" s="1" t="s">
        <v>24</v>
      </c>
      <c r="AI3" s="1" t="s">
        <v>37</v>
      </c>
      <c r="AJ3" s="1" t="s">
        <v>25</v>
      </c>
      <c r="AK3" s="1" t="s">
        <v>26</v>
      </c>
      <c r="AL3" s="1" t="s">
        <v>38</v>
      </c>
    </row>
    <row r="4" spans="1:38" x14ac:dyDescent="0.25">
      <c r="A4" s="5">
        <f>'Proximal Validation (empirical)'!A4</f>
        <v>0.8</v>
      </c>
      <c r="B4" s="5">
        <f>'Proximal Validation (empirical)'!B4</f>
        <v>0.2</v>
      </c>
      <c r="C4" s="5">
        <f>'Proximal Validation (empirical)'!C4</f>
        <v>3.927</v>
      </c>
      <c r="D4" s="5">
        <f>'Proximal Validation (empirical)'!D4</f>
        <v>0.4</v>
      </c>
      <c r="E4" s="5">
        <f>'Proximal Validation (empirical)'!E4</f>
        <v>0.04</v>
      </c>
      <c r="F4" s="5">
        <f>'Proximal Validation (empirical)'!F4</f>
        <v>1.0469999999999999</v>
      </c>
      <c r="G4" s="5">
        <f>'Proximal Validation (empirical)'!G4</f>
        <v>0</v>
      </c>
      <c r="H4" s="5">
        <f>'Proximal Validation (empirical)'!H4</f>
        <v>0</v>
      </c>
      <c r="I4" s="5">
        <f>'Proximal Validation (empirical)'!I4</f>
        <v>0</v>
      </c>
      <c r="J4" s="5">
        <f>'Proximal Validation (empirical)'!J4</f>
        <v>0</v>
      </c>
      <c r="K4" s="5">
        <f>'Proximal Validation (empirical)'!K4</f>
        <v>0</v>
      </c>
      <c r="L4" s="5">
        <f>'Proximal Validation (empirical)'!L4</f>
        <v>0</v>
      </c>
      <c r="M4" s="5">
        <f>'Proximal Validation (empirical)'!M4</f>
        <v>0</v>
      </c>
      <c r="N4" s="5">
        <f>'Proximal Validation (empirical)'!N4</f>
        <v>0</v>
      </c>
      <c r="O4" s="5">
        <f>'Proximal Validation (empirical)'!O4</f>
        <v>0</v>
      </c>
      <c r="P4" s="5"/>
      <c r="Q4" s="5"/>
      <c r="R4" s="5"/>
      <c r="S4" s="5"/>
      <c r="T4" s="5"/>
      <c r="U4" s="5"/>
      <c r="V4" s="12"/>
      <c r="W4" s="5">
        <f t="shared" si="0"/>
        <v>-0.8</v>
      </c>
      <c r="X4" s="5">
        <f t="shared" si="0"/>
        <v>-0.2</v>
      </c>
      <c r="Y4" s="5">
        <f t="shared" si="0"/>
        <v>-3.927</v>
      </c>
      <c r="Z4" s="5">
        <f t="shared" si="0"/>
        <v>-0.4</v>
      </c>
      <c r="AA4" s="5">
        <f t="shared" si="0"/>
        <v>-0.04</v>
      </c>
      <c r="AB4" s="5">
        <f t="shared" si="0"/>
        <v>-1.0469999999999999</v>
      </c>
      <c r="AC4" s="9">
        <f t="shared" si="1"/>
        <v>0.60000000000000009</v>
      </c>
      <c r="AD4" s="9">
        <f t="shared" si="2"/>
        <v>0.12000000000000001</v>
      </c>
      <c r="AE4" s="9">
        <f t="shared" si="3"/>
        <v>2.4870000000000001</v>
      </c>
      <c r="AF4" s="14">
        <v>2.2799999999999998</v>
      </c>
      <c r="AG4" s="8" cm="1">
        <f t="array" ref="AG4">AVERAGE(ABS(W3),ABS(W7:W10))</f>
        <v>0.11964000000000001</v>
      </c>
      <c r="AH4" s="8" cm="1">
        <f t="array" ref="AH4">AVERAGE(ABS(X3),ABS(X7:X10))</f>
        <v>1.0260000000000002E-2</v>
      </c>
      <c r="AI4" s="8" cm="1">
        <f t="array" ref="AI4">AVERAGE(ABS(Y3),ABS(Y7:Y10))</f>
        <v>7.9539999999999986E-2</v>
      </c>
      <c r="AJ4" s="8" cm="1">
        <f t="array" ref="AJ4">AVERAGE(ABS(Z3),ABS(Z7:Z10))</f>
        <v>9.5240000000000033E-2</v>
      </c>
      <c r="AK4" s="8" cm="1">
        <f t="array" ref="AK4">AVERAGE(ABS(AA3),ABS(AA7:AA10))</f>
        <v>2.0039999999999999E-2</v>
      </c>
      <c r="AL4" s="8" cm="1">
        <f t="array" ref="AL4">AVERAGE(ABS(AB3),ABS(AB7:AB10))</f>
        <v>2.7779999999999961E-2</v>
      </c>
    </row>
    <row r="5" spans="1:38" x14ac:dyDescent="0.25">
      <c r="A5" s="5">
        <f>'Proximal Validation (empirical)'!A5</f>
        <v>0.6</v>
      </c>
      <c r="B5" s="5">
        <f>'Proximal Validation (empirical)'!B5</f>
        <v>0.2</v>
      </c>
      <c r="C5" s="5">
        <f>'Proximal Validation (empirical)'!C5</f>
        <v>2.6179999999999999</v>
      </c>
      <c r="D5" s="5">
        <f>'Proximal Validation (empirical)'!D5</f>
        <v>0.8</v>
      </c>
      <c r="E5" s="5">
        <f>'Proximal Validation (empirical)'!E5</f>
        <v>0.02</v>
      </c>
      <c r="F5" s="5">
        <f>'Proximal Validation (empirical)'!F5</f>
        <v>2.3559999999999999</v>
      </c>
      <c r="G5" s="5">
        <f>'Proximal Validation (empirical)'!G5</f>
        <v>0</v>
      </c>
      <c r="H5" s="5">
        <f>'Proximal Validation (empirical)'!H5</f>
        <v>0</v>
      </c>
      <c r="I5" s="5">
        <f>'Proximal Validation (empirical)'!I5</f>
        <v>0</v>
      </c>
      <c r="J5" s="5">
        <f>'Proximal Validation (empirical)'!J5</f>
        <v>0</v>
      </c>
      <c r="K5" s="5">
        <f>'Proximal Validation (empirical)'!K5</f>
        <v>0</v>
      </c>
      <c r="L5" s="5">
        <f>'Proximal Validation (empirical)'!L5</f>
        <v>0</v>
      </c>
      <c r="M5" s="5">
        <f>'Proximal Validation (empirical)'!M5</f>
        <v>0</v>
      </c>
      <c r="N5" s="5">
        <f>'Proximal Validation (empirical)'!N5</f>
        <v>0</v>
      </c>
      <c r="O5" s="5">
        <f>'Proximal Validation (empirical)'!O5</f>
        <v>0</v>
      </c>
      <c r="P5" s="5"/>
      <c r="Q5" s="5"/>
      <c r="R5" s="5"/>
      <c r="S5" s="5"/>
      <c r="T5" s="5"/>
      <c r="U5" s="5"/>
      <c r="V5" s="12"/>
      <c r="W5" s="5">
        <f t="shared" si="0"/>
        <v>-0.6</v>
      </c>
      <c r="X5" s="5">
        <f t="shared" si="0"/>
        <v>-0.2</v>
      </c>
      <c r="Y5" s="5">
        <f t="shared" si="0"/>
        <v>-2.6179999999999999</v>
      </c>
      <c r="Z5" s="5">
        <f t="shared" si="0"/>
        <v>-0.8</v>
      </c>
      <c r="AA5" s="5">
        <f t="shared" si="0"/>
        <v>-0.02</v>
      </c>
      <c r="AB5" s="5">
        <f t="shared" si="0"/>
        <v>-2.3559999999999999</v>
      </c>
      <c r="AC5" s="10">
        <f t="shared" si="1"/>
        <v>0.7</v>
      </c>
      <c r="AD5" s="10">
        <f t="shared" si="2"/>
        <v>0.11</v>
      </c>
      <c r="AE5" s="10">
        <f t="shared" si="3"/>
        <v>2.4870000000000001</v>
      </c>
      <c r="AF5" s="15">
        <v>2.2132070000000001</v>
      </c>
      <c r="AG5" s="27" t="s">
        <v>28</v>
      </c>
      <c r="AH5" s="28"/>
      <c r="AI5" s="28"/>
      <c r="AJ5" s="28"/>
      <c r="AK5" s="28"/>
      <c r="AL5" s="28"/>
    </row>
    <row r="6" spans="1:38" x14ac:dyDescent="0.25">
      <c r="A6" s="5">
        <f>'Proximal Validation (empirical)'!A6</f>
        <v>0.8</v>
      </c>
      <c r="B6" s="5">
        <f>'Proximal Validation (empirical)'!B6</f>
        <v>0.18</v>
      </c>
      <c r="C6" s="5">
        <f>'Proximal Validation (empirical)'!C6</f>
        <v>2.6179999999999999</v>
      </c>
      <c r="D6" s="5">
        <f>'Proximal Validation (empirical)'!D6</f>
        <v>0.7</v>
      </c>
      <c r="E6" s="5">
        <f>'Proximal Validation (empirical)'!E6</f>
        <v>0.06</v>
      </c>
      <c r="F6" s="5">
        <f>'Proximal Validation (empirical)'!F6</f>
        <v>2.3559999999999999</v>
      </c>
      <c r="G6" s="5">
        <f>'Proximal Validation (empirical)'!G6</f>
        <v>0</v>
      </c>
      <c r="H6" s="5">
        <f>'Proximal Validation (empirical)'!H6</f>
        <v>0</v>
      </c>
      <c r="I6" s="5">
        <f>'Proximal Validation (empirical)'!I6</f>
        <v>0</v>
      </c>
      <c r="J6" s="5">
        <f>'Proximal Validation (empirical)'!J6</f>
        <v>0</v>
      </c>
      <c r="K6" s="5">
        <f>'Proximal Validation (empirical)'!K6</f>
        <v>0</v>
      </c>
      <c r="L6" s="5">
        <f>'Proximal Validation (empirical)'!L6</f>
        <v>0</v>
      </c>
      <c r="M6" s="5">
        <f>'Proximal Validation (empirical)'!M6</f>
        <v>0</v>
      </c>
      <c r="N6" s="5">
        <f>'Proximal Validation (empirical)'!N6</f>
        <v>0</v>
      </c>
      <c r="O6" s="5">
        <f>'Proximal Validation (empirical)'!O6</f>
        <v>0</v>
      </c>
      <c r="P6" s="5"/>
      <c r="Q6" s="5"/>
      <c r="R6" s="5"/>
      <c r="S6" s="5"/>
      <c r="T6" s="5"/>
      <c r="U6" s="5"/>
      <c r="V6" s="12"/>
      <c r="W6" s="5">
        <f t="shared" si="0"/>
        <v>-0.8</v>
      </c>
      <c r="X6" s="5">
        <f t="shared" si="0"/>
        <v>-0.18</v>
      </c>
      <c r="Y6" s="5">
        <f t="shared" si="0"/>
        <v>-2.6179999999999999</v>
      </c>
      <c r="Z6" s="5">
        <f t="shared" si="0"/>
        <v>-0.7</v>
      </c>
      <c r="AA6" s="5">
        <f t="shared" si="0"/>
        <v>-0.06</v>
      </c>
      <c r="AB6" s="5">
        <f t="shared" si="0"/>
        <v>-2.3559999999999999</v>
      </c>
      <c r="AC6" s="9">
        <f t="shared" si="1"/>
        <v>0.75</v>
      </c>
      <c r="AD6" s="9">
        <f t="shared" si="2"/>
        <v>0.12</v>
      </c>
      <c r="AE6" s="9">
        <f t="shared" si="3"/>
        <v>2.4870000000000001</v>
      </c>
      <c r="AF6" s="14">
        <v>1.89</v>
      </c>
      <c r="AG6" s="7" t="s">
        <v>29</v>
      </c>
      <c r="AH6" s="7" t="s">
        <v>30</v>
      </c>
      <c r="AI6" s="7" t="s">
        <v>31</v>
      </c>
      <c r="AJ6" s="8"/>
      <c r="AK6" s="8"/>
      <c r="AL6" s="8"/>
    </row>
    <row r="7" spans="1:38" x14ac:dyDescent="0.25">
      <c r="A7" s="5">
        <f>'Proximal Validation (empirical)'!A7</f>
        <v>0.7</v>
      </c>
      <c r="B7" s="5">
        <f>'Proximal Validation (empirical)'!B7</f>
        <v>0.16</v>
      </c>
      <c r="C7" s="5">
        <f>'Proximal Validation (empirical)'!C7</f>
        <v>0.78500000000000003</v>
      </c>
      <c r="D7" s="5">
        <f>'Proximal Validation (empirical)'!D7</f>
        <v>0.3</v>
      </c>
      <c r="E7" s="5">
        <f>'Proximal Validation (empirical)'!E7</f>
        <v>0.06</v>
      </c>
      <c r="F7" s="5">
        <f>'Proximal Validation (empirical)'!F7</f>
        <v>3.665</v>
      </c>
      <c r="G7" s="5">
        <f>'Proximal Validation (empirical)'!G7</f>
        <v>0</v>
      </c>
      <c r="H7" s="5">
        <f>'Proximal Validation (empirical)'!H7</f>
        <v>0</v>
      </c>
      <c r="I7" s="5">
        <f>'Proximal Validation (empirical)'!I7</f>
        <v>0</v>
      </c>
      <c r="J7" s="5">
        <f>'Proximal Validation (empirical)'!J7</f>
        <v>-1.3200249522924399E-3</v>
      </c>
      <c r="K7" s="5">
        <f>'Proximal Validation (empirical)'!K7</f>
        <v>-9.6287056803703294E-2</v>
      </c>
      <c r="L7" s="5">
        <f>'Proximal Validation (empirical)'!L7</f>
        <v>9.0134814381599399E-2</v>
      </c>
      <c r="M7" s="5">
        <f>'Proximal Validation (empirical)'!M7</f>
        <v>-0.28188201785087602</v>
      </c>
      <c r="N7" s="5">
        <f>'Proximal Validation (empirical)'!N7</f>
        <v>0.217425882816315</v>
      </c>
      <c r="O7" s="5">
        <f>'Proximal Validation (empirical)'!O7</f>
        <v>0.29466027021408098</v>
      </c>
      <c r="P7" s="5">
        <v>0.74929999999999997</v>
      </c>
      <c r="Q7" s="5">
        <v>0.182</v>
      </c>
      <c r="R7" s="5">
        <v>0.73080000000000001</v>
      </c>
      <c r="S7" s="5">
        <v>0.33210000000000001</v>
      </c>
      <c r="T7" s="5">
        <v>9.1399999999999995E-2</v>
      </c>
      <c r="U7" s="5">
        <v>3.6339999999999999</v>
      </c>
      <c r="V7" s="12"/>
      <c r="W7" s="5">
        <f t="shared" si="0"/>
        <v>4.930000000000001E-2</v>
      </c>
      <c r="X7" s="5">
        <f t="shared" si="0"/>
        <v>2.1999999999999992E-2</v>
      </c>
      <c r="Y7" s="5">
        <f t="shared" si="0"/>
        <v>-5.4200000000000026E-2</v>
      </c>
      <c r="Z7" s="5">
        <f t="shared" si="0"/>
        <v>3.2100000000000017E-2</v>
      </c>
      <c r="AA7" s="5">
        <f t="shared" si="0"/>
        <v>3.1399999999999997E-2</v>
      </c>
      <c r="AB7" s="5">
        <f t="shared" si="0"/>
        <v>-3.1000000000000139E-2</v>
      </c>
      <c r="AC7" s="9">
        <f t="shared" si="1"/>
        <v>4.0700000000000014E-2</v>
      </c>
      <c r="AD7" s="9">
        <f t="shared" si="2"/>
        <v>2.6699999999999995E-2</v>
      </c>
      <c r="AE7" s="9">
        <f t="shared" si="3"/>
        <v>4.2600000000000082E-2</v>
      </c>
      <c r="AF7" s="14">
        <v>1.1000000000000001</v>
      </c>
      <c r="AG7" s="11">
        <f>AVERAGE(AG4,AJ4)</f>
        <v>0.10744000000000002</v>
      </c>
      <c r="AH7" s="11">
        <f>AVERAGE(AH4,AK4)</f>
        <v>1.515E-2</v>
      </c>
      <c r="AI7" s="11">
        <f>AVERAGE(AI4,AL4)</f>
        <v>5.3659999999999972E-2</v>
      </c>
      <c r="AJ7" s="8"/>
      <c r="AK7" s="8"/>
      <c r="AL7" s="8"/>
    </row>
    <row r="8" spans="1:38" x14ac:dyDescent="0.25">
      <c r="A8" s="5">
        <f>'Proximal Validation (empirical)'!A8</f>
        <v>0.4</v>
      </c>
      <c r="B8" s="5">
        <f>'Proximal Validation (empirical)'!B8</f>
        <v>0.2</v>
      </c>
      <c r="C8" s="5">
        <f>'Proximal Validation (empirical)'!C8</f>
        <v>3.927</v>
      </c>
      <c r="D8" s="5">
        <f>'Proximal Validation (empirical)'!D8</f>
        <v>0.8</v>
      </c>
      <c r="E8" s="5">
        <f>'Proximal Validation (empirical)'!E8</f>
        <v>0.06</v>
      </c>
      <c r="F8" s="5">
        <f>'Proximal Validation (empirical)'!F8</f>
        <v>3.665</v>
      </c>
      <c r="G8" s="5">
        <f>'Proximal Validation (empirical)'!G8</f>
        <v>0</v>
      </c>
      <c r="H8" s="5">
        <f>'Proximal Validation (empirical)'!H8</f>
        <v>0</v>
      </c>
      <c r="I8" s="5">
        <f>'Proximal Validation (empirical)'!I8</f>
        <v>0</v>
      </c>
      <c r="J8" s="5">
        <f>'Proximal Validation (empirical)'!J8</f>
        <v>3.0324226245284098E-3</v>
      </c>
      <c r="K8" s="5">
        <f>'Proximal Validation (empirical)'!K8</f>
        <v>0.13038665056228599</v>
      </c>
      <c r="L8" s="5">
        <f>'Proximal Validation (empirical)'!L8</f>
        <v>-0.17296446859836601</v>
      </c>
      <c r="M8" s="5">
        <f>'Proximal Validation (empirical)'!M8</f>
        <v>-0.12506151199340801</v>
      </c>
      <c r="N8" s="5">
        <f>'Proximal Validation (empirical)'!N8</f>
        <v>-0.88299614191055298</v>
      </c>
      <c r="O8" s="5">
        <f>'Proximal Validation (empirical)'!O8</f>
        <v>-0.61048221588134799</v>
      </c>
      <c r="P8" s="5">
        <v>0.18390000000000001</v>
      </c>
      <c r="Q8" s="5">
        <v>0.1983</v>
      </c>
      <c r="R8" s="5">
        <v>4.1196000000000002</v>
      </c>
      <c r="S8" s="5">
        <v>0.92110000000000003</v>
      </c>
      <c r="T8" s="5">
        <v>9.0399999999999994E-2</v>
      </c>
      <c r="U8" s="5">
        <v>3.6778</v>
      </c>
      <c r="V8" s="12"/>
      <c r="W8" s="5">
        <f t="shared" si="0"/>
        <v>-0.21610000000000001</v>
      </c>
      <c r="X8" s="5">
        <f t="shared" si="0"/>
        <v>-1.7000000000000071E-3</v>
      </c>
      <c r="Y8" s="5">
        <f t="shared" si="0"/>
        <v>0.1926000000000001</v>
      </c>
      <c r="Z8" s="5">
        <f t="shared" si="0"/>
        <v>0.12109999999999999</v>
      </c>
      <c r="AA8" s="5">
        <f t="shared" si="0"/>
        <v>3.0399999999999996E-2</v>
      </c>
      <c r="AB8" s="5">
        <f t="shared" si="0"/>
        <v>1.2799999999999923E-2</v>
      </c>
      <c r="AC8" s="9">
        <f t="shared" si="1"/>
        <v>0.1686</v>
      </c>
      <c r="AD8" s="9">
        <f t="shared" si="2"/>
        <v>1.6050000000000002E-2</v>
      </c>
      <c r="AE8" s="9">
        <f t="shared" si="3"/>
        <v>0.10270000000000001</v>
      </c>
      <c r="AF8" s="14">
        <v>0.91600000000000004</v>
      </c>
    </row>
    <row r="9" spans="1:38" x14ac:dyDescent="0.25">
      <c r="A9" s="5">
        <f>'Proximal Validation (empirical)'!A9</f>
        <v>0.3</v>
      </c>
      <c r="B9" s="5">
        <f>'Proximal Validation (empirical)'!B9</f>
        <v>0.2</v>
      </c>
      <c r="C9" s="5">
        <f>'Proximal Validation (empirical)'!C9</f>
        <v>0.78500000000000003</v>
      </c>
      <c r="D9" s="5">
        <f>'Proximal Validation (empirical)'!D9</f>
        <v>0.7</v>
      </c>
      <c r="E9" s="5">
        <f>'Proximal Validation (empirical)'!E9</f>
        <v>0.02</v>
      </c>
      <c r="F9" s="5">
        <f>'Proximal Validation (empirical)'!F9</f>
        <v>3.665</v>
      </c>
      <c r="G9" s="5">
        <f>'Proximal Validation (empirical)'!G9</f>
        <v>0</v>
      </c>
      <c r="H9" s="5">
        <f>'Proximal Validation (empirical)'!H9</f>
        <v>0</v>
      </c>
      <c r="I9" s="5">
        <f>'Proximal Validation (empirical)'!I9</f>
        <v>0</v>
      </c>
      <c r="J9" s="5">
        <f>'Proximal Validation (empirical)'!J9</f>
        <v>-1.6676099039614201E-4</v>
      </c>
      <c r="K9" s="5">
        <f>'Proximal Validation (empirical)'!K9</f>
        <v>-7.9468116164207493E-3</v>
      </c>
      <c r="L9" s="5">
        <f>'Proximal Validation (empirical)'!L9</f>
        <v>-1.7586439847946202E-2</v>
      </c>
      <c r="M9" s="5">
        <f>'Proximal Validation (empirical)'!M9</f>
        <v>-6.15512244403362E-2</v>
      </c>
      <c r="N9" s="5">
        <f>'Proximal Validation (empirical)'!N9</f>
        <v>-0.44398531317710899</v>
      </c>
      <c r="O9" s="5">
        <f>'Proximal Validation (empirical)'!O9</f>
        <v>-0.18986988067627</v>
      </c>
      <c r="P9" s="5">
        <v>0.35809999999999997</v>
      </c>
      <c r="Q9" s="5">
        <v>0.2</v>
      </c>
      <c r="R9" s="5">
        <v>0.67210000000000003</v>
      </c>
      <c r="S9" s="5">
        <v>0.8216</v>
      </c>
      <c r="T9" s="5">
        <v>4.5100000000000001E-2</v>
      </c>
      <c r="U9" s="5">
        <v>3.6558000000000002</v>
      </c>
      <c r="V9" s="12"/>
      <c r="W9" s="5">
        <f t="shared" si="0"/>
        <v>5.8099999999999985E-2</v>
      </c>
      <c r="X9" s="5">
        <f t="shared" si="0"/>
        <v>0</v>
      </c>
      <c r="Y9" s="5">
        <f t="shared" si="0"/>
        <v>-0.1129</v>
      </c>
      <c r="Z9" s="5">
        <f t="shared" si="0"/>
        <v>0.12160000000000004</v>
      </c>
      <c r="AA9" s="5">
        <f t="shared" si="0"/>
        <v>2.5100000000000001E-2</v>
      </c>
      <c r="AB9" s="5">
        <f t="shared" si="0"/>
        <v>-9.1999999999998749E-3</v>
      </c>
      <c r="AC9" s="9">
        <f t="shared" si="1"/>
        <v>8.9850000000000013E-2</v>
      </c>
      <c r="AD9" s="9">
        <f t="shared" si="2"/>
        <v>1.255E-2</v>
      </c>
      <c r="AE9" s="9">
        <f t="shared" si="3"/>
        <v>6.1049999999999938E-2</v>
      </c>
      <c r="AF9" s="14">
        <v>0.68600000000000005</v>
      </c>
      <c r="AG9" s="13"/>
      <c r="AH9" s="13"/>
      <c r="AI9" s="13"/>
    </row>
    <row r="10" spans="1:38" x14ac:dyDescent="0.25">
      <c r="A10" s="5">
        <f>'Proximal Validation (empirical)'!A10</f>
        <v>0.7</v>
      </c>
      <c r="B10" s="5">
        <f>'Proximal Validation (empirical)'!B10</f>
        <v>0.12</v>
      </c>
      <c r="C10" s="5">
        <f>'Proximal Validation (empirical)'!C10</f>
        <v>3.927</v>
      </c>
      <c r="D10" s="5">
        <f>'Proximal Validation (empirical)'!D10</f>
        <v>0.7</v>
      </c>
      <c r="E10" s="5">
        <f>'Proximal Validation (empirical)'!E10</f>
        <v>0.02</v>
      </c>
      <c r="F10" s="5">
        <f>'Proximal Validation (empirical)'!F10</f>
        <v>1.0469999999999999</v>
      </c>
      <c r="G10" s="5">
        <f>'Proximal Validation (empirical)'!G10</f>
        <v>0</v>
      </c>
      <c r="H10" s="5">
        <f>'Proximal Validation (empirical)'!H10</f>
        <v>0</v>
      </c>
      <c r="I10" s="5">
        <f>'Proximal Validation (empirical)'!I10</f>
        <v>0</v>
      </c>
      <c r="J10" s="5">
        <f>'Proximal Validation (empirical)'!J10</f>
        <v>1.7961886478588E-3</v>
      </c>
      <c r="K10" s="5">
        <f>'Proximal Validation (empirical)'!K10</f>
        <v>4.7429911792278297E-2</v>
      </c>
      <c r="L10" s="5">
        <f>'Proximal Validation (empirical)'!L10</f>
        <v>-7.8928373754024506E-2</v>
      </c>
      <c r="M10" s="5">
        <f>'Proximal Validation (empirical)'!M10</f>
        <v>-0.162799403071404</v>
      </c>
      <c r="N10" s="5">
        <f>'Proximal Validation (empirical)'!N10</f>
        <v>-0.17039117217063901</v>
      </c>
      <c r="O10" s="5">
        <f>'Proximal Validation (empirical)'!O10</f>
        <v>8.3889193832874298E-2</v>
      </c>
      <c r="P10" s="5">
        <v>0.77470000000000006</v>
      </c>
      <c r="Q10" s="5">
        <v>0.1384</v>
      </c>
      <c r="R10" s="5">
        <v>3.9235000000000002</v>
      </c>
      <c r="S10" s="5">
        <v>0.7147</v>
      </c>
      <c r="T10" s="5">
        <v>3.2099999999999997E-2</v>
      </c>
      <c r="U10" s="5">
        <v>1.0404</v>
      </c>
      <c r="V10" s="12"/>
      <c r="W10" s="5">
        <f t="shared" si="0"/>
        <v>7.47000000000001E-2</v>
      </c>
      <c r="X10" s="5">
        <f t="shared" si="0"/>
        <v>1.84E-2</v>
      </c>
      <c r="Y10" s="5">
        <f t="shared" si="0"/>
        <v>-3.4999999999998366E-3</v>
      </c>
      <c r="Z10" s="5">
        <f t="shared" si="0"/>
        <v>1.4700000000000046E-2</v>
      </c>
      <c r="AA10" s="5">
        <f t="shared" si="0"/>
        <v>1.2099999999999996E-2</v>
      </c>
      <c r="AB10" s="5">
        <f t="shared" si="0"/>
        <v>-6.5999999999999392E-3</v>
      </c>
      <c r="AC10" s="9">
        <f t="shared" si="1"/>
        <v>4.4700000000000073E-2</v>
      </c>
      <c r="AD10" s="9">
        <f t="shared" si="2"/>
        <v>1.5249999999999998E-2</v>
      </c>
      <c r="AE10" s="9">
        <f t="shared" si="3"/>
        <v>5.0499999999998879E-3</v>
      </c>
      <c r="AF10" s="14">
        <v>0.61099999999999999</v>
      </c>
    </row>
    <row r="11" spans="1:38" x14ac:dyDescent="0.25">
      <c r="A11" s="5">
        <f>'Proximal Validation (empirical)'!A11</f>
        <v>0.8</v>
      </c>
      <c r="B11" s="5">
        <f>'Proximal Validation (empirical)'!B11</f>
        <v>0.12</v>
      </c>
      <c r="C11" s="5">
        <f>'Proximal Validation (empirical)'!C11</f>
        <v>2.6179999999999999</v>
      </c>
      <c r="D11" s="5">
        <f>'Proximal Validation (empirical)'!D11</f>
        <v>0.3</v>
      </c>
      <c r="E11" s="5">
        <f>'Proximal Validation (empirical)'!E11</f>
        <v>0.02</v>
      </c>
      <c r="F11" s="5">
        <f>'Proximal Validation (empirical)'!F11</f>
        <v>3.665</v>
      </c>
      <c r="G11" s="5">
        <f>'Proximal Validation (empirical)'!G11</f>
        <v>0</v>
      </c>
      <c r="H11" s="5">
        <f>'Proximal Validation (empirical)'!H11</f>
        <v>0</v>
      </c>
      <c r="I11" s="5">
        <f>'Proximal Validation (empirical)'!I11</f>
        <v>0</v>
      </c>
      <c r="J11" s="5">
        <f>'Proximal Validation (empirical)'!J11</f>
        <v>0</v>
      </c>
      <c r="K11" s="5">
        <f>'Proximal Validation (empirical)'!K11</f>
        <v>0</v>
      </c>
      <c r="L11" s="5">
        <f>'Proximal Validation (empirical)'!L11</f>
        <v>0</v>
      </c>
      <c r="M11" s="5">
        <f>'Proximal Validation (empirical)'!M11</f>
        <v>0</v>
      </c>
      <c r="N11" s="5">
        <f>'Proximal Validation (empirical)'!N11</f>
        <v>0</v>
      </c>
      <c r="O11" s="5">
        <f>'Proximal Validation (empirical)'!O11</f>
        <v>0</v>
      </c>
      <c r="P11" s="5"/>
      <c r="Q11" s="5"/>
      <c r="R11" s="5"/>
      <c r="S11" s="5"/>
      <c r="T11" s="5"/>
      <c r="U11" s="5"/>
      <c r="V11" s="12"/>
      <c r="W11" s="5">
        <f t="shared" ref="W11:W17" si="4">P11-A11</f>
        <v>-0.8</v>
      </c>
      <c r="X11" s="5">
        <f t="shared" ref="X11:X17" si="5">Q11-B11</f>
        <v>-0.12</v>
      </c>
      <c r="Y11" s="5">
        <f t="shared" ref="Y11:Y17" si="6">R11-C11</f>
        <v>-2.6179999999999999</v>
      </c>
      <c r="Z11" s="5">
        <f t="shared" ref="Z11:Z17" si="7">S11-D11</f>
        <v>-0.3</v>
      </c>
      <c r="AA11" s="5">
        <f t="shared" ref="AA11:AA17" si="8">T11-E11</f>
        <v>-0.02</v>
      </c>
      <c r="AB11" s="5">
        <f t="shared" ref="AB11:AB17" si="9">U11-F11</f>
        <v>-3.665</v>
      </c>
      <c r="AC11" s="9">
        <f t="shared" ref="AC11:AC17" si="10">AVERAGE(ABS(W11),ABS(Z11))</f>
        <v>0.55000000000000004</v>
      </c>
      <c r="AD11" s="9">
        <f t="shared" ref="AD11:AD17" si="11">AVERAGE(ABS(X11),ABS(AA11))</f>
        <v>6.9999999999999993E-2</v>
      </c>
      <c r="AE11" s="9">
        <f t="shared" ref="AE11:AE17" si="12">AVERAGE(ABS(Y11),ABS(AB11))</f>
        <v>3.1414999999999997</v>
      </c>
      <c r="AF11" s="14">
        <v>0.58299999999999996</v>
      </c>
    </row>
    <row r="12" spans="1:38" x14ac:dyDescent="0.25">
      <c r="A12" s="5">
        <f>'Proximal Validation (empirical)'!A12</f>
        <v>0.4</v>
      </c>
      <c r="B12" s="5">
        <f>'Proximal Validation (empirical)'!B12</f>
        <v>0.18</v>
      </c>
      <c r="C12" s="5">
        <f>'Proximal Validation (empirical)'!C12</f>
        <v>2.6179999999999999</v>
      </c>
      <c r="D12" s="5">
        <f>'Proximal Validation (empirical)'!D12</f>
        <v>0.3</v>
      </c>
      <c r="E12" s="5">
        <f>'Proximal Validation (empirical)'!E12</f>
        <v>0.02</v>
      </c>
      <c r="F12" s="5">
        <f>'Proximal Validation (empirical)'!F12</f>
        <v>1.0469999999999999</v>
      </c>
      <c r="G12" s="5">
        <f>'Proximal Validation (empirical)'!G12</f>
        <v>0</v>
      </c>
      <c r="H12" s="5">
        <f>'Proximal Validation (empirical)'!H12</f>
        <v>0</v>
      </c>
      <c r="I12" s="5">
        <f>'Proximal Validation (empirical)'!I12</f>
        <v>0</v>
      </c>
      <c r="J12" s="5">
        <f>'Proximal Validation (empirical)'!J12</f>
        <v>0</v>
      </c>
      <c r="K12" s="5">
        <f>'Proximal Validation (empirical)'!K12</f>
        <v>0</v>
      </c>
      <c r="L12" s="5">
        <f>'Proximal Validation (empirical)'!L12</f>
        <v>0</v>
      </c>
      <c r="M12" s="5">
        <f>'Proximal Validation (empirical)'!M12</f>
        <v>0</v>
      </c>
      <c r="N12" s="5">
        <f>'Proximal Validation (empirical)'!N12</f>
        <v>0</v>
      </c>
      <c r="O12" s="5">
        <f>'Proximal Validation (empirical)'!O12</f>
        <v>0</v>
      </c>
      <c r="P12" s="5"/>
      <c r="Q12" s="5"/>
      <c r="R12" s="5"/>
      <c r="S12" s="5"/>
      <c r="T12" s="5"/>
      <c r="U12" s="5"/>
      <c r="V12" s="12"/>
      <c r="W12" s="5">
        <f t="shared" si="4"/>
        <v>-0.4</v>
      </c>
      <c r="X12" s="5">
        <f t="shared" si="5"/>
        <v>-0.18</v>
      </c>
      <c r="Y12" s="5">
        <f t="shared" si="6"/>
        <v>-2.6179999999999999</v>
      </c>
      <c r="Z12" s="5">
        <f t="shared" si="7"/>
        <v>-0.3</v>
      </c>
      <c r="AA12" s="5">
        <f t="shared" si="8"/>
        <v>-0.02</v>
      </c>
      <c r="AB12" s="5">
        <f t="shared" si="9"/>
        <v>-1.0469999999999999</v>
      </c>
      <c r="AC12" s="9">
        <f t="shared" si="10"/>
        <v>0.35</v>
      </c>
      <c r="AD12" s="9">
        <f t="shared" si="11"/>
        <v>9.9999999999999992E-2</v>
      </c>
      <c r="AE12" s="9">
        <f t="shared" si="12"/>
        <v>1.8325</v>
      </c>
      <c r="AF12" s="14">
        <v>0.54100000000000004</v>
      </c>
      <c r="AG12" s="13"/>
      <c r="AH12" s="13"/>
      <c r="AI12" s="13"/>
    </row>
    <row r="13" spans="1:38" x14ac:dyDescent="0.25">
      <c r="A13" s="5">
        <f>'Proximal Validation (empirical)'!A13</f>
        <v>0.6</v>
      </c>
      <c r="B13" s="5">
        <f>'Proximal Validation (empirical)'!B13</f>
        <v>0.2</v>
      </c>
      <c r="C13" s="5">
        <f>'Proximal Validation (empirical)'!C13</f>
        <v>2.6179999999999999</v>
      </c>
      <c r="D13" s="5">
        <f>'Proximal Validation (empirical)'!D13</f>
        <v>0.5</v>
      </c>
      <c r="E13" s="5">
        <f>'Proximal Validation (empirical)'!E13</f>
        <v>0.1</v>
      </c>
      <c r="F13" s="5">
        <f>'Proximal Validation (empirical)'!F13</f>
        <v>3.665</v>
      </c>
      <c r="G13" s="5">
        <f>'Proximal Validation (empirical)'!G13</f>
        <v>0</v>
      </c>
      <c r="H13" s="5">
        <f>'Proximal Validation (empirical)'!H13</f>
        <v>0</v>
      </c>
      <c r="I13" s="5">
        <f>'Proximal Validation (empirical)'!I13</f>
        <v>0</v>
      </c>
      <c r="J13" s="5">
        <f>'Proximal Validation (empirical)'!J13</f>
        <v>0</v>
      </c>
      <c r="K13" s="5">
        <f>'Proximal Validation (empirical)'!K13</f>
        <v>0</v>
      </c>
      <c r="L13" s="5">
        <f>'Proximal Validation (empirical)'!L13</f>
        <v>0</v>
      </c>
      <c r="M13" s="5">
        <f>'Proximal Validation (empirical)'!M13</f>
        <v>0</v>
      </c>
      <c r="N13" s="5">
        <f>'Proximal Validation (empirical)'!N13</f>
        <v>0</v>
      </c>
      <c r="O13" s="5">
        <f>'Proximal Validation (empirical)'!O13</f>
        <v>0</v>
      </c>
      <c r="P13" s="5"/>
      <c r="Q13" s="5"/>
      <c r="R13" s="5"/>
      <c r="S13" s="5"/>
      <c r="T13" s="5"/>
      <c r="U13" s="5"/>
      <c r="V13" s="12"/>
      <c r="W13" s="5">
        <f t="shared" si="4"/>
        <v>-0.6</v>
      </c>
      <c r="X13" s="5">
        <f t="shared" si="5"/>
        <v>-0.2</v>
      </c>
      <c r="Y13" s="5">
        <f t="shared" si="6"/>
        <v>-2.6179999999999999</v>
      </c>
      <c r="Z13" s="5">
        <f t="shared" si="7"/>
        <v>-0.5</v>
      </c>
      <c r="AA13" s="5">
        <f t="shared" si="8"/>
        <v>-0.1</v>
      </c>
      <c r="AB13" s="5">
        <f t="shared" si="9"/>
        <v>-3.665</v>
      </c>
      <c r="AC13" s="9">
        <f t="shared" si="10"/>
        <v>0.55000000000000004</v>
      </c>
      <c r="AD13" s="9">
        <f t="shared" si="11"/>
        <v>0.15000000000000002</v>
      </c>
      <c r="AE13" s="9">
        <f t="shared" si="12"/>
        <v>3.1414999999999997</v>
      </c>
      <c r="AF13" s="14">
        <v>0.254</v>
      </c>
    </row>
    <row r="14" spans="1:38" x14ac:dyDescent="0.25">
      <c r="A14" s="5">
        <f>'Proximal Validation (empirical)'!A14</f>
        <v>0.3</v>
      </c>
      <c r="B14" s="5">
        <f>'Proximal Validation (empirical)'!B14</f>
        <v>0.2</v>
      </c>
      <c r="C14" s="5">
        <f>'Proximal Validation (empirical)'!C14</f>
        <v>3.927</v>
      </c>
      <c r="D14" s="5">
        <f>'Proximal Validation (empirical)'!D14</f>
        <v>0.3</v>
      </c>
      <c r="E14" s="5">
        <f>'Proximal Validation (empirical)'!E14</f>
        <v>0.1</v>
      </c>
      <c r="F14" s="5">
        <f>'Proximal Validation (empirical)'!F14</f>
        <v>2.3559999999999999</v>
      </c>
      <c r="G14" s="5">
        <f>'Proximal Validation (empirical)'!G14</f>
        <v>0</v>
      </c>
      <c r="H14" s="5">
        <f>'Proximal Validation (empirical)'!H14</f>
        <v>0</v>
      </c>
      <c r="I14" s="5">
        <f>'Proximal Validation (empirical)'!I14</f>
        <v>0</v>
      </c>
      <c r="J14" s="5">
        <f>'Proximal Validation (empirical)'!J14</f>
        <v>0</v>
      </c>
      <c r="K14" s="5">
        <f>'Proximal Validation (empirical)'!K14</f>
        <v>0</v>
      </c>
      <c r="L14" s="5">
        <f>'Proximal Validation (empirical)'!L14</f>
        <v>0</v>
      </c>
      <c r="M14" s="5">
        <f>'Proximal Validation (empirical)'!M14</f>
        <v>0</v>
      </c>
      <c r="N14" s="5">
        <f>'Proximal Validation (empirical)'!N14</f>
        <v>0</v>
      </c>
      <c r="O14" s="5">
        <f>'Proximal Validation (empirical)'!O14</f>
        <v>0</v>
      </c>
      <c r="P14" s="5"/>
      <c r="Q14" s="5"/>
      <c r="R14" s="5"/>
      <c r="S14" s="5"/>
      <c r="T14" s="5"/>
      <c r="U14" s="5"/>
      <c r="V14" s="12"/>
      <c r="W14" s="5">
        <f t="shared" si="4"/>
        <v>-0.3</v>
      </c>
      <c r="X14" s="5">
        <f t="shared" si="5"/>
        <v>-0.2</v>
      </c>
      <c r="Y14" s="5">
        <f t="shared" si="6"/>
        <v>-3.927</v>
      </c>
      <c r="Z14" s="5">
        <f t="shared" si="7"/>
        <v>-0.3</v>
      </c>
      <c r="AA14" s="5">
        <f t="shared" si="8"/>
        <v>-0.1</v>
      </c>
      <c r="AB14" s="5">
        <f t="shared" si="9"/>
        <v>-2.3559999999999999</v>
      </c>
      <c r="AC14" s="9">
        <f t="shared" si="10"/>
        <v>0.3</v>
      </c>
      <c r="AD14" s="9">
        <f t="shared" si="11"/>
        <v>0.15000000000000002</v>
      </c>
      <c r="AE14" s="9">
        <f t="shared" si="12"/>
        <v>3.1414999999999997</v>
      </c>
      <c r="AF14" s="14">
        <v>0.191</v>
      </c>
    </row>
    <row r="15" spans="1:38" x14ac:dyDescent="0.25">
      <c r="A15" s="5">
        <f>'Proximal Validation (empirical)'!A15</f>
        <v>0.3</v>
      </c>
      <c r="B15" s="5">
        <f>'Proximal Validation (empirical)'!B15</f>
        <v>0.14000000000000001</v>
      </c>
      <c r="C15" s="5">
        <f>'Proximal Validation (empirical)'!C15</f>
        <v>2.6179999999999999</v>
      </c>
      <c r="D15" s="5">
        <f>'Proximal Validation (empirical)'!D15</f>
        <v>0.8</v>
      </c>
      <c r="E15" s="5">
        <f>'Proximal Validation (empirical)'!E15</f>
        <v>0.04</v>
      </c>
      <c r="F15" s="5">
        <f>'Proximal Validation (empirical)'!F15</f>
        <v>1.0469999999999999</v>
      </c>
      <c r="G15" s="5">
        <f>'Proximal Validation (empirical)'!G15</f>
        <v>0</v>
      </c>
      <c r="H15" s="5">
        <f>'Proximal Validation (empirical)'!H15</f>
        <v>0</v>
      </c>
      <c r="I15" s="5">
        <f>'Proximal Validation (empirical)'!I15</f>
        <v>0</v>
      </c>
      <c r="J15" s="5">
        <f>'Proximal Validation (empirical)'!J15</f>
        <v>0</v>
      </c>
      <c r="K15" s="5">
        <f>'Proximal Validation (empirical)'!K15</f>
        <v>0</v>
      </c>
      <c r="L15" s="5">
        <f>'Proximal Validation (empirical)'!L15</f>
        <v>0</v>
      </c>
      <c r="M15" s="5">
        <f>'Proximal Validation (empirical)'!M15</f>
        <v>0</v>
      </c>
      <c r="N15" s="5">
        <f>'Proximal Validation (empirical)'!N15</f>
        <v>0</v>
      </c>
      <c r="O15" s="5">
        <f>'Proximal Validation (empirical)'!O15</f>
        <v>0</v>
      </c>
      <c r="P15" s="5"/>
      <c r="Q15" s="5"/>
      <c r="R15" s="5"/>
      <c r="S15" s="5"/>
      <c r="T15" s="5"/>
      <c r="U15" s="5"/>
      <c r="V15" s="12"/>
      <c r="W15" s="5">
        <f t="shared" si="4"/>
        <v>-0.3</v>
      </c>
      <c r="X15" s="5">
        <f t="shared" si="5"/>
        <v>-0.14000000000000001</v>
      </c>
      <c r="Y15" s="5">
        <f t="shared" si="6"/>
        <v>-2.6179999999999999</v>
      </c>
      <c r="Z15" s="5">
        <f t="shared" si="7"/>
        <v>-0.8</v>
      </c>
      <c r="AA15" s="5">
        <f t="shared" si="8"/>
        <v>-0.04</v>
      </c>
      <c r="AB15" s="5">
        <f t="shared" si="9"/>
        <v>-1.0469999999999999</v>
      </c>
      <c r="AC15" s="9">
        <f t="shared" si="10"/>
        <v>0.55000000000000004</v>
      </c>
      <c r="AD15" s="9">
        <f t="shared" si="11"/>
        <v>9.0000000000000011E-2</v>
      </c>
      <c r="AE15" s="9">
        <f t="shared" si="12"/>
        <v>1.8325</v>
      </c>
      <c r="AF15" s="14">
        <v>0.17499999999999999</v>
      </c>
    </row>
    <row r="16" spans="1:38" x14ac:dyDescent="0.25">
      <c r="A16" s="5">
        <f>'Proximal Validation (empirical)'!A16</f>
        <v>0.8</v>
      </c>
      <c r="B16" s="5">
        <f>'Proximal Validation (empirical)'!B16</f>
        <v>0.2</v>
      </c>
      <c r="C16" s="5">
        <f>'Proximal Validation (empirical)'!C16</f>
        <v>0.78500000000000003</v>
      </c>
      <c r="D16" s="5">
        <f>'Proximal Validation (empirical)'!D16</f>
        <v>0.8</v>
      </c>
      <c r="E16" s="5">
        <f>'Proximal Validation (empirical)'!E16</f>
        <v>0.1</v>
      </c>
      <c r="F16" s="5">
        <f>'Proximal Validation (empirical)'!F16</f>
        <v>1.0469999999999999</v>
      </c>
      <c r="G16" s="5">
        <f>'Proximal Validation (empirical)'!G16</f>
        <v>0</v>
      </c>
      <c r="H16" s="5">
        <f>'Proximal Validation (empirical)'!H16</f>
        <v>0</v>
      </c>
      <c r="I16" s="5">
        <f>'Proximal Validation (empirical)'!I16</f>
        <v>0</v>
      </c>
      <c r="J16" s="5">
        <f>'Proximal Validation (empirical)'!J16</f>
        <v>0</v>
      </c>
      <c r="K16" s="5">
        <f>'Proximal Validation (empirical)'!K16</f>
        <v>0</v>
      </c>
      <c r="L16" s="5">
        <f>'Proximal Validation (empirical)'!L16</f>
        <v>0</v>
      </c>
      <c r="M16" s="5">
        <f>'Proximal Validation (empirical)'!M16</f>
        <v>0</v>
      </c>
      <c r="N16" s="5">
        <f>'Proximal Validation (empirical)'!N16</f>
        <v>0</v>
      </c>
      <c r="O16" s="5">
        <f>'Proximal Validation (empirical)'!O16</f>
        <v>0</v>
      </c>
      <c r="P16" s="5"/>
      <c r="Q16" s="5"/>
      <c r="R16" s="5"/>
      <c r="S16" s="5"/>
      <c r="T16" s="5"/>
      <c r="U16" s="5"/>
      <c r="V16" s="12"/>
      <c r="W16" s="5">
        <f t="shared" si="4"/>
        <v>-0.8</v>
      </c>
      <c r="X16" s="5">
        <f t="shared" si="5"/>
        <v>-0.2</v>
      </c>
      <c r="Y16" s="5">
        <f t="shared" si="6"/>
        <v>-0.78500000000000003</v>
      </c>
      <c r="Z16" s="5">
        <f t="shared" si="7"/>
        <v>-0.8</v>
      </c>
      <c r="AA16" s="5">
        <f t="shared" si="8"/>
        <v>-0.1</v>
      </c>
      <c r="AB16" s="5">
        <f t="shared" si="9"/>
        <v>-1.0469999999999999</v>
      </c>
      <c r="AC16" s="9">
        <f t="shared" si="10"/>
        <v>0.8</v>
      </c>
      <c r="AD16" s="9">
        <f t="shared" si="11"/>
        <v>0.15000000000000002</v>
      </c>
      <c r="AE16" s="9">
        <f t="shared" si="12"/>
        <v>0.91599999999999993</v>
      </c>
      <c r="AF16" s="14">
        <v>0.159</v>
      </c>
    </row>
    <row r="17" spans="1:32" x14ac:dyDescent="0.25">
      <c r="A17" s="5">
        <f>'Proximal Validation (empirical)'!A17</f>
        <v>0.4</v>
      </c>
      <c r="B17" s="5">
        <f>'Proximal Validation (empirical)'!B17</f>
        <v>0.12</v>
      </c>
      <c r="C17" s="5">
        <f>'Proximal Validation (empirical)'!C17</f>
        <v>0.78500000000000003</v>
      </c>
      <c r="D17" s="5">
        <f>'Proximal Validation (empirical)'!D17</f>
        <v>0.4</v>
      </c>
      <c r="E17" s="5">
        <f>'Proximal Validation (empirical)'!E17</f>
        <v>0.02</v>
      </c>
      <c r="F17" s="5">
        <f>'Proximal Validation (empirical)'!F17</f>
        <v>2.3559999999999999</v>
      </c>
      <c r="G17" s="5">
        <f>'Proximal Validation (empirical)'!G17</f>
        <v>0</v>
      </c>
      <c r="H17" s="5">
        <f>'Proximal Validation (empirical)'!H17</f>
        <v>0</v>
      </c>
      <c r="I17" s="5">
        <f>'Proximal Validation (empirical)'!I17</f>
        <v>0</v>
      </c>
      <c r="J17" s="5">
        <f>'Proximal Validation (empirical)'!J17</f>
        <v>0</v>
      </c>
      <c r="K17" s="5">
        <f>'Proximal Validation (empirical)'!K17</f>
        <v>0</v>
      </c>
      <c r="L17" s="5">
        <f>'Proximal Validation (empirical)'!L17</f>
        <v>0</v>
      </c>
      <c r="M17" s="5">
        <f>'Proximal Validation (empirical)'!M17</f>
        <v>0</v>
      </c>
      <c r="N17" s="5">
        <f>'Proximal Validation (empirical)'!N17</f>
        <v>0</v>
      </c>
      <c r="O17" s="5">
        <f>'Proximal Validation (empirical)'!O17</f>
        <v>0</v>
      </c>
      <c r="P17" s="5"/>
      <c r="Q17" s="5"/>
      <c r="R17" s="5"/>
      <c r="S17" s="5"/>
      <c r="T17" s="5"/>
      <c r="U17" s="5"/>
      <c r="V17" s="12"/>
      <c r="W17" s="5">
        <f t="shared" si="4"/>
        <v>-0.4</v>
      </c>
      <c r="X17" s="5">
        <f t="shared" si="5"/>
        <v>-0.12</v>
      </c>
      <c r="Y17" s="5">
        <f t="shared" si="6"/>
        <v>-0.78500000000000003</v>
      </c>
      <c r="Z17" s="5">
        <f t="shared" si="7"/>
        <v>-0.4</v>
      </c>
      <c r="AA17" s="5">
        <f t="shared" si="8"/>
        <v>-0.02</v>
      </c>
      <c r="AB17" s="5">
        <f t="shared" si="9"/>
        <v>-2.3559999999999999</v>
      </c>
      <c r="AC17" s="9">
        <f t="shared" si="10"/>
        <v>0.4</v>
      </c>
      <c r="AD17" s="9">
        <f t="shared" si="11"/>
        <v>6.9999999999999993E-2</v>
      </c>
      <c r="AE17" s="9">
        <f t="shared" si="12"/>
        <v>1.5705</v>
      </c>
      <c r="AF17" s="14">
        <v>5.8900000000000001E-2</v>
      </c>
    </row>
  </sheetData>
  <mergeCells count="7">
    <mergeCell ref="AG5:AL5"/>
    <mergeCell ref="A1:I1"/>
    <mergeCell ref="J1:O1"/>
    <mergeCell ref="W1:AB1"/>
    <mergeCell ref="AC1:AL1"/>
    <mergeCell ref="AG2:AL2"/>
    <mergeCell ref="P1:V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9F326-D87B-44BF-9AFC-E0158BB15A3E}">
  <dimension ref="A1:AL17"/>
  <sheetViews>
    <sheetView tabSelected="1" topLeftCell="K1" workbookViewId="0">
      <pane ySplit="2" topLeftCell="A3" activePane="bottomLeft" state="frozen"/>
      <selection activeCell="K1" sqref="K1"/>
      <selection pane="bottomLeft" activeCell="AG27" sqref="AG27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11.85546875" bestFit="1" customWidth="1"/>
    <col min="4" max="4" width="6.5703125" bestFit="1" customWidth="1"/>
    <col min="5" max="5" width="6.85546875" bestFit="1" customWidth="1"/>
    <col min="6" max="6" width="11.85546875" bestFit="1" customWidth="1"/>
    <col min="7" max="9" width="8.42578125" bestFit="1" customWidth="1"/>
    <col min="10" max="11" width="8.140625" bestFit="1" customWidth="1"/>
    <col min="12" max="12" width="7.7109375" bestFit="1" customWidth="1"/>
    <col min="13" max="15" width="6.42578125" bestFit="1" customWidth="1"/>
    <col min="16" max="16" width="6.5703125" bestFit="1" customWidth="1"/>
    <col min="17" max="17" width="6.85546875" bestFit="1" customWidth="1"/>
    <col min="18" max="18" width="11.85546875" bestFit="1" customWidth="1"/>
    <col min="19" max="19" width="6.5703125" bestFit="1" customWidth="1"/>
    <col min="20" max="20" width="6.85546875" bestFit="1" customWidth="1"/>
    <col min="21" max="21" width="11.85546875" bestFit="1" customWidth="1"/>
    <col min="22" max="22" width="6.7109375" customWidth="1"/>
    <col min="23" max="23" width="6.5703125" bestFit="1" customWidth="1"/>
    <col min="24" max="24" width="6.85546875" bestFit="1" customWidth="1"/>
    <col min="25" max="25" width="11.85546875" bestFit="1" customWidth="1"/>
    <col min="26" max="26" width="6.5703125" bestFit="1" customWidth="1"/>
    <col min="27" max="27" width="6.85546875" bestFit="1" customWidth="1"/>
    <col min="28" max="28" width="11.85546875" bestFit="1" customWidth="1"/>
    <col min="29" max="29" width="11" bestFit="1" customWidth="1"/>
    <col min="30" max="30" width="13.85546875" bestFit="1" customWidth="1"/>
    <col min="31" max="31" width="11.140625" bestFit="1" customWidth="1"/>
    <col min="32" max="32" width="15.140625" bestFit="1" customWidth="1"/>
    <col min="33" max="33" width="12" bestFit="1" customWidth="1"/>
    <col min="34" max="34" width="13.85546875" bestFit="1" customWidth="1"/>
    <col min="35" max="35" width="11.85546875" bestFit="1" customWidth="1"/>
    <col min="38" max="38" width="11.85546875" bestFit="1" customWidth="1"/>
  </cols>
  <sheetData>
    <row r="1" spans="1:38" ht="15.75" x14ac:dyDescent="0.25">
      <c r="A1" s="18" t="s">
        <v>11</v>
      </c>
      <c r="B1" s="18"/>
      <c r="C1" s="18"/>
      <c r="D1" s="18"/>
      <c r="E1" s="18"/>
      <c r="F1" s="18"/>
      <c r="G1" s="18"/>
      <c r="H1" s="18"/>
      <c r="I1" s="19"/>
      <c r="J1" s="20" t="s">
        <v>6</v>
      </c>
      <c r="K1" s="21"/>
      <c r="L1" s="21"/>
      <c r="M1" s="21"/>
      <c r="N1" s="21"/>
      <c r="O1" s="21"/>
      <c r="P1" s="32" t="s">
        <v>7</v>
      </c>
      <c r="Q1" s="33"/>
      <c r="R1" s="33"/>
      <c r="S1" s="33"/>
      <c r="T1" s="33"/>
      <c r="U1" s="33"/>
      <c r="V1" s="33"/>
      <c r="W1" s="29" t="s">
        <v>13</v>
      </c>
      <c r="X1" s="29"/>
      <c r="Y1" s="29"/>
      <c r="Z1" s="29"/>
      <c r="AA1" s="29"/>
      <c r="AB1" s="29"/>
      <c r="AC1" s="30" t="s">
        <v>32</v>
      </c>
      <c r="AD1" s="30"/>
      <c r="AE1" s="30"/>
      <c r="AF1" s="30"/>
      <c r="AG1" s="30"/>
      <c r="AH1" s="30"/>
      <c r="AI1" s="30"/>
      <c r="AJ1" s="30"/>
      <c r="AK1" s="30"/>
      <c r="AL1" s="30"/>
    </row>
    <row r="2" spans="1:38" ht="15.75" x14ac:dyDescent="0.25">
      <c r="A2" s="1" t="s">
        <v>23</v>
      </c>
      <c r="B2" s="1" t="s">
        <v>24</v>
      </c>
      <c r="C2" s="1" t="s">
        <v>37</v>
      </c>
      <c r="D2" s="1" t="s">
        <v>25</v>
      </c>
      <c r="E2" s="1" t="s">
        <v>26</v>
      </c>
      <c r="F2" s="1" t="s">
        <v>38</v>
      </c>
      <c r="G2" s="1" t="s">
        <v>8</v>
      </c>
      <c r="H2" s="1" t="s">
        <v>9</v>
      </c>
      <c r="I2" s="1" t="s">
        <v>10</v>
      </c>
      <c r="J2" s="2" t="s">
        <v>3</v>
      </c>
      <c r="K2" s="1" t="s">
        <v>4</v>
      </c>
      <c r="L2" s="1" t="s">
        <v>5</v>
      </c>
      <c r="M2" s="1" t="s">
        <v>0</v>
      </c>
      <c r="N2" s="1" t="s">
        <v>1</v>
      </c>
      <c r="O2" s="1" t="s">
        <v>2</v>
      </c>
      <c r="P2" s="3" t="s">
        <v>23</v>
      </c>
      <c r="Q2" s="1" t="s">
        <v>24</v>
      </c>
      <c r="R2" s="1" t="s">
        <v>37</v>
      </c>
      <c r="S2" s="1" t="s">
        <v>25</v>
      </c>
      <c r="T2" s="1" t="s">
        <v>26</v>
      </c>
      <c r="U2" s="1" t="s">
        <v>38</v>
      </c>
      <c r="V2" s="2" t="s">
        <v>33</v>
      </c>
      <c r="W2" s="3" t="s">
        <v>23</v>
      </c>
      <c r="X2" s="1" t="s">
        <v>24</v>
      </c>
      <c r="Y2" s="1" t="s">
        <v>37</v>
      </c>
      <c r="Z2" s="1" t="s">
        <v>25</v>
      </c>
      <c r="AA2" s="1" t="s">
        <v>26</v>
      </c>
      <c r="AB2" s="1" t="s">
        <v>38</v>
      </c>
      <c r="AC2" s="7" t="s">
        <v>29</v>
      </c>
      <c r="AD2" s="7" t="s">
        <v>30</v>
      </c>
      <c r="AE2" s="7" t="s">
        <v>31</v>
      </c>
      <c r="AF2" s="7" t="s">
        <v>41</v>
      </c>
      <c r="AG2" s="31" t="s">
        <v>27</v>
      </c>
      <c r="AH2" s="31"/>
      <c r="AI2" s="31"/>
      <c r="AJ2" s="31"/>
      <c r="AK2" s="31"/>
      <c r="AL2" s="31"/>
    </row>
    <row r="3" spans="1:38" ht="15.75" x14ac:dyDescent="0.25">
      <c r="A3" s="5">
        <f>'Proximal Validation (empirical)'!A3</f>
        <v>0.8</v>
      </c>
      <c r="B3" s="5">
        <f>'Proximal Validation (empirical)'!B3</f>
        <v>0.16</v>
      </c>
      <c r="C3" s="5">
        <f>'Proximal Validation (empirical)'!C3</f>
        <v>3.927</v>
      </c>
      <c r="D3" s="5">
        <f>'Proximal Validation (empirical)'!D3</f>
        <v>0.8</v>
      </c>
      <c r="E3" s="5">
        <f>'Proximal Validation (empirical)'!E3</f>
        <v>0.02</v>
      </c>
      <c r="F3" s="5">
        <f>'Proximal Validation (empirical)'!F3</f>
        <v>3.665</v>
      </c>
      <c r="G3" s="5">
        <f>'Proximal Validation (empirical)'!G3</f>
        <v>0</v>
      </c>
      <c r="H3" s="5">
        <f>'Proximal Validation (empirical)'!H3</f>
        <v>0</v>
      </c>
      <c r="I3" s="5">
        <f>'Proximal Validation (empirical)'!I3</f>
        <v>0</v>
      </c>
      <c r="J3" s="5">
        <f>'Proximal Validation (empirical)'!J3</f>
        <v>6.9695031270384797E-3</v>
      </c>
      <c r="K3" s="5">
        <f>'Proximal Validation (empirical)'!K3</f>
        <v>0.18633711338043199</v>
      </c>
      <c r="L3" s="5">
        <f>'Proximal Validation (empirical)'!L3</f>
        <v>-0.22898079454898801</v>
      </c>
      <c r="M3" s="5">
        <f>'Proximal Validation (empirical)'!M3</f>
        <v>-0.40628731250762901</v>
      </c>
      <c r="N3" s="5">
        <f>'Proximal Validation (empirical)'!N3</f>
        <v>-1.22047007083893</v>
      </c>
      <c r="O3" s="5">
        <f>'Proximal Validation (empirical)'!O3</f>
        <v>-0.89387804269790605</v>
      </c>
      <c r="P3" s="5">
        <v>0.8</v>
      </c>
      <c r="Q3" s="5">
        <v>0.16</v>
      </c>
      <c r="R3" s="5">
        <v>3.927</v>
      </c>
      <c r="S3" s="5">
        <v>0.8</v>
      </c>
      <c r="T3" s="5">
        <v>0.02</v>
      </c>
      <c r="U3" s="5">
        <v>3.665</v>
      </c>
      <c r="V3" s="12"/>
      <c r="W3" s="5">
        <f t="shared" ref="W3:AB17" si="0">P3-A3</f>
        <v>0</v>
      </c>
      <c r="X3" s="5">
        <f t="shared" si="0"/>
        <v>0</v>
      </c>
      <c r="Y3" s="5">
        <f t="shared" si="0"/>
        <v>0</v>
      </c>
      <c r="Z3" s="5">
        <f t="shared" si="0"/>
        <v>0</v>
      </c>
      <c r="AA3" s="5">
        <f t="shared" si="0"/>
        <v>0</v>
      </c>
      <c r="AB3" s="5">
        <f t="shared" si="0"/>
        <v>0</v>
      </c>
      <c r="AC3" s="9">
        <f t="shared" ref="AC3:AE17" si="1">AVERAGE(ABS(W3),ABS(Z3))</f>
        <v>0</v>
      </c>
      <c r="AD3" s="9">
        <f t="shared" si="1"/>
        <v>0</v>
      </c>
      <c r="AE3" s="9">
        <f t="shared" si="1"/>
        <v>0</v>
      </c>
      <c r="AF3" s="14">
        <v>2.42</v>
      </c>
      <c r="AG3" s="1" t="s">
        <v>23</v>
      </c>
      <c r="AH3" s="1" t="s">
        <v>24</v>
      </c>
      <c r="AI3" s="1" t="s">
        <v>37</v>
      </c>
      <c r="AJ3" s="1" t="s">
        <v>25</v>
      </c>
      <c r="AK3" s="1" t="s">
        <v>26</v>
      </c>
      <c r="AL3" s="1" t="s">
        <v>38</v>
      </c>
    </row>
    <row r="4" spans="1:38" x14ac:dyDescent="0.25">
      <c r="A4" s="5">
        <f>'Proximal Validation (empirical)'!A4</f>
        <v>0.8</v>
      </c>
      <c r="B4" s="5">
        <f>'Proximal Validation (empirical)'!B4</f>
        <v>0.2</v>
      </c>
      <c r="C4" s="5">
        <f>'Proximal Validation (empirical)'!C4</f>
        <v>3.927</v>
      </c>
      <c r="D4" s="5">
        <f>'Proximal Validation (empirical)'!D4</f>
        <v>0.4</v>
      </c>
      <c r="E4" s="5">
        <f>'Proximal Validation (empirical)'!E4</f>
        <v>0.04</v>
      </c>
      <c r="F4" s="5">
        <f>'Proximal Validation (empirical)'!F4</f>
        <v>1.0469999999999999</v>
      </c>
      <c r="G4" s="5">
        <f>'Proximal Validation (empirical)'!G4</f>
        <v>0</v>
      </c>
      <c r="H4" s="5">
        <f>'Proximal Validation (empirical)'!H4</f>
        <v>0</v>
      </c>
      <c r="I4" s="5">
        <f>'Proximal Validation (empirical)'!I4</f>
        <v>0</v>
      </c>
      <c r="J4" s="5">
        <f>'Proximal Validation (empirical)'!J4</f>
        <v>0</v>
      </c>
      <c r="K4" s="5">
        <f>'Proximal Validation (empirical)'!K4</f>
        <v>0</v>
      </c>
      <c r="L4" s="5">
        <f>'Proximal Validation (empirical)'!L4</f>
        <v>0</v>
      </c>
      <c r="M4" s="5">
        <f>'Proximal Validation (empirical)'!M4</f>
        <v>0</v>
      </c>
      <c r="N4" s="5">
        <f>'Proximal Validation (empirical)'!N4</f>
        <v>0</v>
      </c>
      <c r="O4" s="5">
        <f>'Proximal Validation (empirical)'!O4</f>
        <v>0</v>
      </c>
      <c r="P4" s="5"/>
      <c r="Q4" s="5"/>
      <c r="R4" s="5"/>
      <c r="S4" s="5"/>
      <c r="T4" s="5"/>
      <c r="U4" s="5"/>
      <c r="V4" s="12"/>
      <c r="W4" s="5">
        <f t="shared" si="0"/>
        <v>-0.8</v>
      </c>
      <c r="X4" s="5">
        <f t="shared" si="0"/>
        <v>-0.2</v>
      </c>
      <c r="Y4" s="5">
        <f t="shared" si="0"/>
        <v>-3.927</v>
      </c>
      <c r="Z4" s="5">
        <f t="shared" si="0"/>
        <v>-0.4</v>
      </c>
      <c r="AA4" s="5">
        <f t="shared" si="0"/>
        <v>-0.04</v>
      </c>
      <c r="AB4" s="5">
        <f t="shared" si="0"/>
        <v>-1.0469999999999999</v>
      </c>
      <c r="AC4" s="9">
        <f t="shared" si="1"/>
        <v>0.60000000000000009</v>
      </c>
      <c r="AD4" s="9">
        <f t="shared" si="1"/>
        <v>0.12000000000000001</v>
      </c>
      <c r="AE4" s="9">
        <f t="shared" si="1"/>
        <v>2.4870000000000001</v>
      </c>
      <c r="AF4" s="14">
        <v>2.2799999999999998</v>
      </c>
      <c r="AG4" s="8" cm="1">
        <f t="array" ref="AG4">AVERAGE(ABS(W3),ABS(W7:W10))</f>
        <v>4.1999999999998706E-4</v>
      </c>
      <c r="AH4" s="8" cm="1">
        <f t="array" ref="AH4">AVERAGE(ABS(X3),ABS(X7:X10))</f>
        <v>3.6000000000000474E-4</v>
      </c>
      <c r="AI4" s="8" cm="1">
        <f t="array" ref="AI4">AVERAGE(ABS(Y3),ABS(Y7:Y10))</f>
        <v>3.9999999999951187E-5</v>
      </c>
      <c r="AJ4" s="8" cm="1">
        <f t="array" ref="AJ4">AVERAGE(ABS(Z3),ABS(Z7:Z10))</f>
        <v>4.1999999999999817E-4</v>
      </c>
      <c r="AK4" s="8" cm="1">
        <f t="array" ref="AK4">AVERAGE(ABS(AA3),ABS(AA7:AA10))</f>
        <v>0</v>
      </c>
      <c r="AL4" s="8" cm="1">
        <f t="array" ref="AL4">AVERAGE(ABS(AB3),ABS(AB7:AB10))</f>
        <v>1.5999999999998237E-4</v>
      </c>
    </row>
    <row r="5" spans="1:38" x14ac:dyDescent="0.25">
      <c r="A5" s="5">
        <f>'Proximal Validation (empirical)'!A5</f>
        <v>0.6</v>
      </c>
      <c r="B5" s="5">
        <f>'Proximal Validation (empirical)'!B5</f>
        <v>0.2</v>
      </c>
      <c r="C5" s="5">
        <f>'Proximal Validation (empirical)'!C5</f>
        <v>2.6179999999999999</v>
      </c>
      <c r="D5" s="5">
        <f>'Proximal Validation (empirical)'!D5</f>
        <v>0.8</v>
      </c>
      <c r="E5" s="5">
        <f>'Proximal Validation (empirical)'!E5</f>
        <v>0.02</v>
      </c>
      <c r="F5" s="5">
        <f>'Proximal Validation (empirical)'!F5</f>
        <v>2.3559999999999999</v>
      </c>
      <c r="G5" s="5">
        <f>'Proximal Validation (empirical)'!G5</f>
        <v>0</v>
      </c>
      <c r="H5" s="5">
        <f>'Proximal Validation (empirical)'!H5</f>
        <v>0</v>
      </c>
      <c r="I5" s="5">
        <f>'Proximal Validation (empirical)'!I5</f>
        <v>0</v>
      </c>
      <c r="J5" s="5">
        <f>'Proximal Validation (empirical)'!J5</f>
        <v>0</v>
      </c>
      <c r="K5" s="5">
        <f>'Proximal Validation (empirical)'!K5</f>
        <v>0</v>
      </c>
      <c r="L5" s="5">
        <f>'Proximal Validation (empirical)'!L5</f>
        <v>0</v>
      </c>
      <c r="M5" s="5">
        <f>'Proximal Validation (empirical)'!M5</f>
        <v>0</v>
      </c>
      <c r="N5" s="5">
        <f>'Proximal Validation (empirical)'!N5</f>
        <v>0</v>
      </c>
      <c r="O5" s="5">
        <f>'Proximal Validation (empirical)'!O5</f>
        <v>0</v>
      </c>
      <c r="P5" s="5"/>
      <c r="Q5" s="5"/>
      <c r="R5" s="5"/>
      <c r="S5" s="5"/>
      <c r="T5" s="5"/>
      <c r="U5" s="5"/>
      <c r="V5" s="12"/>
      <c r="W5" s="5">
        <f t="shared" si="0"/>
        <v>-0.6</v>
      </c>
      <c r="X5" s="5">
        <f t="shared" si="0"/>
        <v>-0.2</v>
      </c>
      <c r="Y5" s="5">
        <f t="shared" si="0"/>
        <v>-2.6179999999999999</v>
      </c>
      <c r="Z5" s="5">
        <f t="shared" si="0"/>
        <v>-0.8</v>
      </c>
      <c r="AA5" s="5">
        <f t="shared" si="0"/>
        <v>-0.02</v>
      </c>
      <c r="AB5" s="5">
        <f t="shared" si="0"/>
        <v>-2.3559999999999999</v>
      </c>
      <c r="AC5" s="10">
        <f t="shared" si="1"/>
        <v>0.7</v>
      </c>
      <c r="AD5" s="10">
        <f t="shared" si="1"/>
        <v>0.11</v>
      </c>
      <c r="AE5" s="10">
        <f t="shared" si="1"/>
        <v>2.4870000000000001</v>
      </c>
      <c r="AF5" s="15">
        <v>2.2132070000000001</v>
      </c>
      <c r="AG5" s="27" t="s">
        <v>28</v>
      </c>
      <c r="AH5" s="28"/>
      <c r="AI5" s="28"/>
      <c r="AJ5" s="28"/>
      <c r="AK5" s="28"/>
      <c r="AL5" s="28"/>
    </row>
    <row r="6" spans="1:38" x14ac:dyDescent="0.25">
      <c r="A6" s="5">
        <f>'Proximal Validation (empirical)'!A6</f>
        <v>0.8</v>
      </c>
      <c r="B6" s="5">
        <f>'Proximal Validation (empirical)'!B6</f>
        <v>0.18</v>
      </c>
      <c r="C6" s="5">
        <f>'Proximal Validation (empirical)'!C6</f>
        <v>2.6179999999999999</v>
      </c>
      <c r="D6" s="5">
        <f>'Proximal Validation (empirical)'!D6</f>
        <v>0.7</v>
      </c>
      <c r="E6" s="5">
        <f>'Proximal Validation (empirical)'!E6</f>
        <v>0.06</v>
      </c>
      <c r="F6" s="5">
        <f>'Proximal Validation (empirical)'!F6</f>
        <v>2.3559999999999999</v>
      </c>
      <c r="G6" s="5">
        <f>'Proximal Validation (empirical)'!G6</f>
        <v>0</v>
      </c>
      <c r="H6" s="5">
        <f>'Proximal Validation (empirical)'!H6</f>
        <v>0</v>
      </c>
      <c r="I6" s="5">
        <f>'Proximal Validation (empirical)'!I6</f>
        <v>0</v>
      </c>
      <c r="J6" s="5">
        <f>'Proximal Validation (empirical)'!J6</f>
        <v>0</v>
      </c>
      <c r="K6" s="5">
        <f>'Proximal Validation (empirical)'!K6</f>
        <v>0</v>
      </c>
      <c r="L6" s="5">
        <f>'Proximal Validation (empirical)'!L6</f>
        <v>0</v>
      </c>
      <c r="M6" s="5">
        <f>'Proximal Validation (empirical)'!M6</f>
        <v>0</v>
      </c>
      <c r="N6" s="5">
        <f>'Proximal Validation (empirical)'!N6</f>
        <v>0</v>
      </c>
      <c r="O6" s="5">
        <f>'Proximal Validation (empirical)'!O6</f>
        <v>0</v>
      </c>
      <c r="P6" s="5"/>
      <c r="Q6" s="5"/>
      <c r="R6" s="5"/>
      <c r="S6" s="5"/>
      <c r="T6" s="5"/>
      <c r="U6" s="5"/>
      <c r="V6" s="12"/>
      <c r="W6" s="5">
        <f t="shared" si="0"/>
        <v>-0.8</v>
      </c>
      <c r="X6" s="5">
        <f t="shared" si="0"/>
        <v>-0.18</v>
      </c>
      <c r="Y6" s="5">
        <f t="shared" si="0"/>
        <v>-2.6179999999999999</v>
      </c>
      <c r="Z6" s="5">
        <f t="shared" si="0"/>
        <v>-0.7</v>
      </c>
      <c r="AA6" s="5">
        <f t="shared" si="0"/>
        <v>-0.06</v>
      </c>
      <c r="AB6" s="5">
        <f t="shared" si="0"/>
        <v>-2.3559999999999999</v>
      </c>
      <c r="AC6" s="9">
        <f t="shared" si="1"/>
        <v>0.75</v>
      </c>
      <c r="AD6" s="9">
        <f t="shared" si="1"/>
        <v>0.12</v>
      </c>
      <c r="AE6" s="9">
        <f t="shared" si="1"/>
        <v>2.4870000000000001</v>
      </c>
      <c r="AF6" s="14">
        <v>1.89</v>
      </c>
      <c r="AG6" s="7" t="s">
        <v>29</v>
      </c>
      <c r="AH6" s="7" t="s">
        <v>30</v>
      </c>
      <c r="AI6" s="7" t="s">
        <v>31</v>
      </c>
      <c r="AJ6" s="8"/>
      <c r="AK6" s="8"/>
      <c r="AL6" s="8"/>
    </row>
    <row r="7" spans="1:38" x14ac:dyDescent="0.25">
      <c r="A7" s="5">
        <f>'Proximal Validation (empirical)'!A7</f>
        <v>0.7</v>
      </c>
      <c r="B7" s="5">
        <f>'Proximal Validation (empirical)'!B7</f>
        <v>0.16</v>
      </c>
      <c r="C7" s="5">
        <f>'Proximal Validation (empirical)'!C7</f>
        <v>0.78500000000000003</v>
      </c>
      <c r="D7" s="5">
        <f>'Proximal Validation (empirical)'!D7</f>
        <v>0.3</v>
      </c>
      <c r="E7" s="5">
        <f>'Proximal Validation (empirical)'!E7</f>
        <v>0.06</v>
      </c>
      <c r="F7" s="5">
        <f>'Proximal Validation (empirical)'!F7</f>
        <v>3.665</v>
      </c>
      <c r="G7" s="5">
        <f>'Proximal Validation (empirical)'!G7</f>
        <v>0</v>
      </c>
      <c r="H7" s="5">
        <f>'Proximal Validation (empirical)'!H7</f>
        <v>0</v>
      </c>
      <c r="I7" s="5">
        <f>'Proximal Validation (empirical)'!I7</f>
        <v>0</v>
      </c>
      <c r="J7" s="5">
        <f>'Proximal Validation (empirical)'!J7</f>
        <v>-1.3200249522924399E-3</v>
      </c>
      <c r="K7" s="5">
        <f>'Proximal Validation (empirical)'!K7</f>
        <v>-9.6287056803703294E-2</v>
      </c>
      <c r="L7" s="5">
        <f>'Proximal Validation (empirical)'!L7</f>
        <v>9.0134814381599399E-2</v>
      </c>
      <c r="M7" s="5">
        <f>'Proximal Validation (empirical)'!M7</f>
        <v>-0.28188201785087602</v>
      </c>
      <c r="N7" s="5">
        <f>'Proximal Validation (empirical)'!N7</f>
        <v>0.217425882816315</v>
      </c>
      <c r="O7" s="5">
        <f>'Proximal Validation (empirical)'!O7</f>
        <v>0.29466027021408098</v>
      </c>
      <c r="P7" s="5">
        <v>0.7</v>
      </c>
      <c r="Q7" s="5">
        <v>0.16</v>
      </c>
      <c r="R7" s="5">
        <v>0.78500000000000003</v>
      </c>
      <c r="S7" s="5">
        <v>0.3</v>
      </c>
      <c r="T7" s="5">
        <v>0.06</v>
      </c>
      <c r="U7" s="5">
        <v>3.665</v>
      </c>
      <c r="V7" s="12"/>
      <c r="W7" s="5">
        <f t="shared" si="0"/>
        <v>0</v>
      </c>
      <c r="X7" s="5">
        <f t="shared" si="0"/>
        <v>0</v>
      </c>
      <c r="Y7" s="5">
        <f t="shared" si="0"/>
        <v>0</v>
      </c>
      <c r="Z7" s="5">
        <f t="shared" si="0"/>
        <v>0</v>
      </c>
      <c r="AA7" s="5">
        <f t="shared" si="0"/>
        <v>0</v>
      </c>
      <c r="AB7" s="5">
        <f t="shared" si="0"/>
        <v>0</v>
      </c>
      <c r="AC7" s="9">
        <f t="shared" si="1"/>
        <v>0</v>
      </c>
      <c r="AD7" s="9">
        <f t="shared" si="1"/>
        <v>0</v>
      </c>
      <c r="AE7" s="9">
        <f t="shared" si="1"/>
        <v>0</v>
      </c>
      <c r="AF7" s="14">
        <v>1.1000000000000001</v>
      </c>
      <c r="AG7" s="11">
        <f>AVERAGE(AG4,AJ4)</f>
        <v>4.1999999999999264E-4</v>
      </c>
      <c r="AH7" s="11">
        <f>AVERAGE(AH4,AK4)</f>
        <v>1.8000000000000237E-4</v>
      </c>
      <c r="AI7" s="11">
        <f>AVERAGE(AI4,AL4)</f>
        <v>9.9999999999966774E-5</v>
      </c>
      <c r="AJ7" s="8"/>
      <c r="AK7" s="8"/>
      <c r="AL7" s="8"/>
    </row>
    <row r="8" spans="1:38" x14ac:dyDescent="0.25">
      <c r="A8" s="5">
        <f>'Proximal Validation (empirical)'!A8</f>
        <v>0.4</v>
      </c>
      <c r="B8" s="5">
        <f>'Proximal Validation (empirical)'!B8</f>
        <v>0.2</v>
      </c>
      <c r="C8" s="5">
        <f>'Proximal Validation (empirical)'!C8</f>
        <v>3.927</v>
      </c>
      <c r="D8" s="5">
        <f>'Proximal Validation (empirical)'!D8</f>
        <v>0.8</v>
      </c>
      <c r="E8" s="5">
        <f>'Proximal Validation (empirical)'!E8</f>
        <v>0.06</v>
      </c>
      <c r="F8" s="5">
        <f>'Proximal Validation (empirical)'!F8</f>
        <v>3.665</v>
      </c>
      <c r="G8" s="5">
        <f>'Proximal Validation (empirical)'!G8</f>
        <v>0</v>
      </c>
      <c r="H8" s="5">
        <f>'Proximal Validation (empirical)'!H8</f>
        <v>0</v>
      </c>
      <c r="I8" s="5">
        <f>'Proximal Validation (empirical)'!I8</f>
        <v>0</v>
      </c>
      <c r="J8" s="5">
        <f>'Proximal Validation (empirical)'!J8</f>
        <v>3.0324226245284098E-3</v>
      </c>
      <c r="K8" s="5">
        <f>'Proximal Validation (empirical)'!K8</f>
        <v>0.13038665056228599</v>
      </c>
      <c r="L8" s="5">
        <f>'Proximal Validation (empirical)'!L8</f>
        <v>-0.17296446859836601</v>
      </c>
      <c r="M8" s="5">
        <f>'Proximal Validation (empirical)'!M8</f>
        <v>-0.12506151199340801</v>
      </c>
      <c r="N8" s="5">
        <f>'Proximal Validation (empirical)'!N8</f>
        <v>-0.88299614191055298</v>
      </c>
      <c r="O8" s="5">
        <f>'Proximal Validation (empirical)'!O8</f>
        <v>-0.61048221588134799</v>
      </c>
      <c r="P8" s="5">
        <v>0.40089999999999998</v>
      </c>
      <c r="Q8" s="5">
        <v>0.1993</v>
      </c>
      <c r="R8" s="5">
        <v>3.9270999999999998</v>
      </c>
      <c r="S8" s="5">
        <v>0.79910000000000003</v>
      </c>
      <c r="T8" s="5">
        <v>0.06</v>
      </c>
      <c r="U8" s="5">
        <v>3.6646000000000001</v>
      </c>
      <c r="V8" s="12"/>
      <c r="W8" s="5">
        <f t="shared" si="0"/>
        <v>8.9999999999995639E-4</v>
      </c>
      <c r="X8" s="5">
        <f t="shared" si="0"/>
        <v>-7.0000000000000617E-4</v>
      </c>
      <c r="Y8" s="5">
        <f t="shared" si="0"/>
        <v>9.9999999999766942E-5</v>
      </c>
      <c r="Z8" s="5">
        <f t="shared" si="0"/>
        <v>-9.000000000000119E-4</v>
      </c>
      <c r="AA8" s="5">
        <f t="shared" si="0"/>
        <v>0</v>
      </c>
      <c r="AB8" s="5">
        <f t="shared" si="0"/>
        <v>-3.9999999999995595E-4</v>
      </c>
      <c r="AC8" s="9">
        <f t="shared" si="1"/>
        <v>8.9999999999998415E-4</v>
      </c>
      <c r="AD8" s="9">
        <f t="shared" si="1"/>
        <v>3.5000000000000309E-4</v>
      </c>
      <c r="AE8" s="9">
        <f t="shared" si="1"/>
        <v>2.4999999999986144E-4</v>
      </c>
      <c r="AF8" s="14">
        <v>0.91600000000000004</v>
      </c>
    </row>
    <row r="9" spans="1:38" x14ac:dyDescent="0.25">
      <c r="A9" s="5">
        <f>'Proximal Validation (empirical)'!A9</f>
        <v>0.3</v>
      </c>
      <c r="B9" s="5">
        <f>'Proximal Validation (empirical)'!B9</f>
        <v>0.2</v>
      </c>
      <c r="C9" s="5">
        <f>'Proximal Validation (empirical)'!C9</f>
        <v>0.78500000000000003</v>
      </c>
      <c r="D9" s="5">
        <f>'Proximal Validation (empirical)'!D9</f>
        <v>0.7</v>
      </c>
      <c r="E9" s="5">
        <f>'Proximal Validation (empirical)'!E9</f>
        <v>0.02</v>
      </c>
      <c r="F9" s="5">
        <f>'Proximal Validation (empirical)'!F9</f>
        <v>3.665</v>
      </c>
      <c r="G9" s="5">
        <f>'Proximal Validation (empirical)'!G9</f>
        <v>0</v>
      </c>
      <c r="H9" s="5">
        <f>'Proximal Validation (empirical)'!H9</f>
        <v>0</v>
      </c>
      <c r="I9" s="5">
        <f>'Proximal Validation (empirical)'!I9</f>
        <v>0</v>
      </c>
      <c r="J9" s="5">
        <f>'Proximal Validation (empirical)'!J9</f>
        <v>-1.6676099039614201E-4</v>
      </c>
      <c r="K9" s="5">
        <f>'Proximal Validation (empirical)'!K9</f>
        <v>-7.9468116164207493E-3</v>
      </c>
      <c r="L9" s="5">
        <f>'Proximal Validation (empirical)'!L9</f>
        <v>-1.7586439847946202E-2</v>
      </c>
      <c r="M9" s="5">
        <f>'Proximal Validation (empirical)'!M9</f>
        <v>-6.15512244403362E-2</v>
      </c>
      <c r="N9" s="5">
        <f>'Proximal Validation (empirical)'!N9</f>
        <v>-0.44398531317710899</v>
      </c>
      <c r="O9" s="5">
        <f>'Proximal Validation (empirical)'!O9</f>
        <v>-0.18986988067627</v>
      </c>
      <c r="P9" s="5">
        <v>0.30109999999999998</v>
      </c>
      <c r="Q9" s="5">
        <v>0.19889999999999999</v>
      </c>
      <c r="R9" s="5">
        <v>0.78490000000000004</v>
      </c>
      <c r="S9" s="5">
        <v>0.70109999999999995</v>
      </c>
      <c r="T9" s="5">
        <v>0.02</v>
      </c>
      <c r="U9" s="5">
        <v>3.6654</v>
      </c>
      <c r="V9" s="12"/>
      <c r="W9" s="5">
        <f t="shared" si="0"/>
        <v>1.0999999999999899E-3</v>
      </c>
      <c r="X9" s="5">
        <f t="shared" si="0"/>
        <v>-1.1000000000000176E-3</v>
      </c>
      <c r="Y9" s="5">
        <f t="shared" si="0"/>
        <v>-9.9999999999988987E-5</v>
      </c>
      <c r="Z9" s="5">
        <f t="shared" si="0"/>
        <v>1.0999999999999899E-3</v>
      </c>
      <c r="AA9" s="5">
        <f t="shared" si="0"/>
        <v>0</v>
      </c>
      <c r="AB9" s="5">
        <f t="shared" si="0"/>
        <v>3.9999999999995595E-4</v>
      </c>
      <c r="AC9" s="9">
        <f t="shared" si="1"/>
        <v>1.0999999999999899E-3</v>
      </c>
      <c r="AD9" s="9">
        <f t="shared" si="1"/>
        <v>5.5000000000000882E-4</v>
      </c>
      <c r="AE9" s="9">
        <f t="shared" si="1"/>
        <v>2.4999999999997247E-4</v>
      </c>
      <c r="AF9" s="14">
        <v>0.68600000000000005</v>
      </c>
      <c r="AG9" s="13"/>
      <c r="AH9" s="13"/>
      <c r="AI9" s="13"/>
    </row>
    <row r="10" spans="1:38" x14ac:dyDescent="0.25">
      <c r="A10" s="5">
        <f>'Proximal Validation (empirical)'!A10</f>
        <v>0.7</v>
      </c>
      <c r="B10" s="5">
        <f>'Proximal Validation (empirical)'!B10</f>
        <v>0.12</v>
      </c>
      <c r="C10" s="5">
        <f>'Proximal Validation (empirical)'!C10</f>
        <v>3.927</v>
      </c>
      <c r="D10" s="5">
        <f>'Proximal Validation (empirical)'!D10</f>
        <v>0.7</v>
      </c>
      <c r="E10" s="5">
        <f>'Proximal Validation (empirical)'!E10</f>
        <v>0.02</v>
      </c>
      <c r="F10" s="5">
        <f>'Proximal Validation (empirical)'!F10</f>
        <v>1.0469999999999999</v>
      </c>
      <c r="G10" s="5">
        <f>'Proximal Validation (empirical)'!G10</f>
        <v>0</v>
      </c>
      <c r="H10" s="5">
        <f>'Proximal Validation (empirical)'!H10</f>
        <v>0</v>
      </c>
      <c r="I10" s="5">
        <f>'Proximal Validation (empirical)'!I10</f>
        <v>0</v>
      </c>
      <c r="J10" s="5">
        <f>'Proximal Validation (empirical)'!J10</f>
        <v>1.7961886478588E-3</v>
      </c>
      <c r="K10" s="5">
        <f>'Proximal Validation (empirical)'!K10</f>
        <v>4.7429911792278297E-2</v>
      </c>
      <c r="L10" s="5">
        <f>'Proximal Validation (empirical)'!L10</f>
        <v>-7.8928373754024506E-2</v>
      </c>
      <c r="M10" s="5">
        <f>'Proximal Validation (empirical)'!M10</f>
        <v>-0.162799403071404</v>
      </c>
      <c r="N10" s="5">
        <f>'Proximal Validation (empirical)'!N10</f>
        <v>-0.17039117217063901</v>
      </c>
      <c r="O10" s="5">
        <f>'Proximal Validation (empirical)'!O10</f>
        <v>8.3889193832874298E-2</v>
      </c>
      <c r="P10" s="5">
        <v>0.70009999999999994</v>
      </c>
      <c r="Q10" s="5">
        <v>0.12</v>
      </c>
      <c r="R10" s="5">
        <v>3.927</v>
      </c>
      <c r="S10" s="5">
        <v>0.70009999999999994</v>
      </c>
      <c r="T10" s="5">
        <v>0.02</v>
      </c>
      <c r="U10" s="5">
        <v>1.0469999999999999</v>
      </c>
      <c r="V10" s="12"/>
      <c r="W10" s="5">
        <f t="shared" si="0"/>
        <v>9.9999999999988987E-5</v>
      </c>
      <c r="X10" s="5">
        <f t="shared" si="0"/>
        <v>0</v>
      </c>
      <c r="Y10" s="5">
        <f t="shared" si="0"/>
        <v>0</v>
      </c>
      <c r="Z10" s="5">
        <f t="shared" si="0"/>
        <v>9.9999999999988987E-5</v>
      </c>
      <c r="AA10" s="5">
        <f t="shared" si="0"/>
        <v>0</v>
      </c>
      <c r="AB10" s="5">
        <f t="shared" si="0"/>
        <v>0</v>
      </c>
      <c r="AC10" s="9">
        <f t="shared" si="1"/>
        <v>9.9999999999988987E-5</v>
      </c>
      <c r="AD10" s="9">
        <f t="shared" si="1"/>
        <v>0</v>
      </c>
      <c r="AE10" s="9">
        <f t="shared" si="1"/>
        <v>0</v>
      </c>
      <c r="AF10" s="14">
        <v>0.61099999999999999</v>
      </c>
    </row>
    <row r="11" spans="1:38" x14ac:dyDescent="0.25">
      <c r="A11" s="5">
        <f>'Proximal Validation (empirical)'!A11</f>
        <v>0.8</v>
      </c>
      <c r="B11" s="5">
        <f>'Proximal Validation (empirical)'!B11</f>
        <v>0.12</v>
      </c>
      <c r="C11" s="5">
        <f>'Proximal Validation (empirical)'!C11</f>
        <v>2.6179999999999999</v>
      </c>
      <c r="D11" s="5">
        <f>'Proximal Validation (empirical)'!D11</f>
        <v>0.3</v>
      </c>
      <c r="E11" s="5">
        <f>'Proximal Validation (empirical)'!E11</f>
        <v>0.02</v>
      </c>
      <c r="F11" s="5">
        <f>'Proximal Validation (empirical)'!F11</f>
        <v>3.665</v>
      </c>
      <c r="G11" s="5">
        <f>'Proximal Validation (empirical)'!G11</f>
        <v>0</v>
      </c>
      <c r="H11" s="5">
        <f>'Proximal Validation (empirical)'!H11</f>
        <v>0</v>
      </c>
      <c r="I11" s="5">
        <f>'Proximal Validation (empirical)'!I11</f>
        <v>0</v>
      </c>
      <c r="J11" s="5">
        <f>'Proximal Validation (empirical)'!J11</f>
        <v>0</v>
      </c>
      <c r="K11" s="5">
        <f>'Proximal Validation (empirical)'!K11</f>
        <v>0</v>
      </c>
      <c r="L11" s="5">
        <f>'Proximal Validation (empirical)'!L11</f>
        <v>0</v>
      </c>
      <c r="M11" s="5">
        <f>'Proximal Validation (empirical)'!M11</f>
        <v>0</v>
      </c>
      <c r="N11" s="5">
        <f>'Proximal Validation (empirical)'!N11</f>
        <v>0</v>
      </c>
      <c r="O11" s="5">
        <f>'Proximal Validation (empirical)'!O11</f>
        <v>0</v>
      </c>
      <c r="P11" s="5"/>
      <c r="Q11" s="5"/>
      <c r="R11" s="5"/>
      <c r="S11" s="5"/>
      <c r="T11" s="5"/>
      <c r="U11" s="5"/>
      <c r="V11" s="12"/>
      <c r="W11" s="5">
        <f t="shared" si="0"/>
        <v>-0.8</v>
      </c>
      <c r="X11" s="5">
        <f t="shared" si="0"/>
        <v>-0.12</v>
      </c>
      <c r="Y11" s="5">
        <f t="shared" si="0"/>
        <v>-2.6179999999999999</v>
      </c>
      <c r="Z11" s="5">
        <f t="shared" si="0"/>
        <v>-0.3</v>
      </c>
      <c r="AA11" s="5">
        <f t="shared" si="0"/>
        <v>-0.02</v>
      </c>
      <c r="AB11" s="5">
        <f t="shared" si="0"/>
        <v>-3.665</v>
      </c>
      <c r="AC11" s="9">
        <f t="shared" si="1"/>
        <v>0.55000000000000004</v>
      </c>
      <c r="AD11" s="9">
        <f t="shared" si="1"/>
        <v>6.9999999999999993E-2</v>
      </c>
      <c r="AE11" s="9">
        <f t="shared" si="1"/>
        <v>3.1414999999999997</v>
      </c>
      <c r="AF11" s="14">
        <v>0.58299999999999996</v>
      </c>
    </row>
    <row r="12" spans="1:38" x14ac:dyDescent="0.25">
      <c r="A12" s="5">
        <f>'Proximal Validation (empirical)'!A12</f>
        <v>0.4</v>
      </c>
      <c r="B12" s="5">
        <f>'Proximal Validation (empirical)'!B12</f>
        <v>0.18</v>
      </c>
      <c r="C12" s="5">
        <f>'Proximal Validation (empirical)'!C12</f>
        <v>2.6179999999999999</v>
      </c>
      <c r="D12" s="5">
        <f>'Proximal Validation (empirical)'!D12</f>
        <v>0.3</v>
      </c>
      <c r="E12" s="5">
        <f>'Proximal Validation (empirical)'!E12</f>
        <v>0.02</v>
      </c>
      <c r="F12" s="5">
        <f>'Proximal Validation (empirical)'!F12</f>
        <v>1.0469999999999999</v>
      </c>
      <c r="G12" s="5">
        <f>'Proximal Validation (empirical)'!G12</f>
        <v>0</v>
      </c>
      <c r="H12" s="5">
        <f>'Proximal Validation (empirical)'!H12</f>
        <v>0</v>
      </c>
      <c r="I12" s="5">
        <f>'Proximal Validation (empirical)'!I12</f>
        <v>0</v>
      </c>
      <c r="J12" s="5">
        <f>'Proximal Validation (empirical)'!J12</f>
        <v>0</v>
      </c>
      <c r="K12" s="5">
        <f>'Proximal Validation (empirical)'!K12</f>
        <v>0</v>
      </c>
      <c r="L12" s="5">
        <f>'Proximal Validation (empirical)'!L12</f>
        <v>0</v>
      </c>
      <c r="M12" s="5">
        <f>'Proximal Validation (empirical)'!M12</f>
        <v>0</v>
      </c>
      <c r="N12" s="5">
        <f>'Proximal Validation (empirical)'!N12</f>
        <v>0</v>
      </c>
      <c r="O12" s="5">
        <f>'Proximal Validation (empirical)'!O12</f>
        <v>0</v>
      </c>
      <c r="P12" s="5"/>
      <c r="Q12" s="5"/>
      <c r="R12" s="5"/>
      <c r="S12" s="5"/>
      <c r="T12" s="5"/>
      <c r="U12" s="5"/>
      <c r="V12" s="12"/>
      <c r="W12" s="5">
        <f t="shared" si="0"/>
        <v>-0.4</v>
      </c>
      <c r="X12" s="5">
        <f t="shared" si="0"/>
        <v>-0.18</v>
      </c>
      <c r="Y12" s="5">
        <f t="shared" si="0"/>
        <v>-2.6179999999999999</v>
      </c>
      <c r="Z12" s="5">
        <f t="shared" si="0"/>
        <v>-0.3</v>
      </c>
      <c r="AA12" s="5">
        <f t="shared" si="0"/>
        <v>-0.02</v>
      </c>
      <c r="AB12" s="5">
        <f t="shared" si="0"/>
        <v>-1.0469999999999999</v>
      </c>
      <c r="AC12" s="9">
        <f t="shared" si="1"/>
        <v>0.35</v>
      </c>
      <c r="AD12" s="9">
        <f t="shared" si="1"/>
        <v>9.9999999999999992E-2</v>
      </c>
      <c r="AE12" s="9">
        <f t="shared" si="1"/>
        <v>1.8325</v>
      </c>
      <c r="AF12" s="14">
        <v>0.54100000000000004</v>
      </c>
      <c r="AG12" s="13"/>
      <c r="AH12" s="13"/>
      <c r="AI12" s="13"/>
    </row>
    <row r="13" spans="1:38" x14ac:dyDescent="0.25">
      <c r="A13" s="5">
        <f>'Proximal Validation (empirical)'!A13</f>
        <v>0.6</v>
      </c>
      <c r="B13" s="5">
        <f>'Proximal Validation (empirical)'!B13</f>
        <v>0.2</v>
      </c>
      <c r="C13" s="5">
        <f>'Proximal Validation (empirical)'!C13</f>
        <v>2.6179999999999999</v>
      </c>
      <c r="D13" s="5">
        <f>'Proximal Validation (empirical)'!D13</f>
        <v>0.5</v>
      </c>
      <c r="E13" s="5">
        <f>'Proximal Validation (empirical)'!E13</f>
        <v>0.1</v>
      </c>
      <c r="F13" s="5">
        <f>'Proximal Validation (empirical)'!F13</f>
        <v>3.665</v>
      </c>
      <c r="G13" s="5">
        <f>'Proximal Validation (empirical)'!G13</f>
        <v>0</v>
      </c>
      <c r="H13" s="5">
        <f>'Proximal Validation (empirical)'!H13</f>
        <v>0</v>
      </c>
      <c r="I13" s="5">
        <f>'Proximal Validation (empirical)'!I13</f>
        <v>0</v>
      </c>
      <c r="J13" s="5">
        <f>'Proximal Validation (empirical)'!J13</f>
        <v>0</v>
      </c>
      <c r="K13" s="5">
        <f>'Proximal Validation (empirical)'!K13</f>
        <v>0</v>
      </c>
      <c r="L13" s="5">
        <f>'Proximal Validation (empirical)'!L13</f>
        <v>0</v>
      </c>
      <c r="M13" s="5">
        <f>'Proximal Validation (empirical)'!M13</f>
        <v>0</v>
      </c>
      <c r="N13" s="5">
        <f>'Proximal Validation (empirical)'!N13</f>
        <v>0</v>
      </c>
      <c r="O13" s="5">
        <f>'Proximal Validation (empirical)'!O13</f>
        <v>0</v>
      </c>
      <c r="P13" s="5"/>
      <c r="Q13" s="5"/>
      <c r="R13" s="5"/>
      <c r="S13" s="5"/>
      <c r="T13" s="5"/>
      <c r="U13" s="5"/>
      <c r="V13" s="12"/>
      <c r="W13" s="5">
        <f t="shared" si="0"/>
        <v>-0.6</v>
      </c>
      <c r="X13" s="5">
        <f t="shared" si="0"/>
        <v>-0.2</v>
      </c>
      <c r="Y13" s="5">
        <f t="shared" si="0"/>
        <v>-2.6179999999999999</v>
      </c>
      <c r="Z13" s="5">
        <f t="shared" si="0"/>
        <v>-0.5</v>
      </c>
      <c r="AA13" s="5">
        <f t="shared" si="0"/>
        <v>-0.1</v>
      </c>
      <c r="AB13" s="5">
        <f t="shared" si="0"/>
        <v>-3.665</v>
      </c>
      <c r="AC13" s="9">
        <f t="shared" si="1"/>
        <v>0.55000000000000004</v>
      </c>
      <c r="AD13" s="9">
        <f t="shared" si="1"/>
        <v>0.15000000000000002</v>
      </c>
      <c r="AE13" s="9">
        <f t="shared" si="1"/>
        <v>3.1414999999999997</v>
      </c>
      <c r="AF13" s="14">
        <v>0.254</v>
      </c>
    </row>
    <row r="14" spans="1:38" x14ac:dyDescent="0.25">
      <c r="A14" s="5">
        <f>'Proximal Validation (empirical)'!A14</f>
        <v>0.3</v>
      </c>
      <c r="B14" s="5">
        <f>'Proximal Validation (empirical)'!B14</f>
        <v>0.2</v>
      </c>
      <c r="C14" s="5">
        <f>'Proximal Validation (empirical)'!C14</f>
        <v>3.927</v>
      </c>
      <c r="D14" s="5">
        <f>'Proximal Validation (empirical)'!D14</f>
        <v>0.3</v>
      </c>
      <c r="E14" s="5">
        <f>'Proximal Validation (empirical)'!E14</f>
        <v>0.1</v>
      </c>
      <c r="F14" s="5">
        <f>'Proximal Validation (empirical)'!F14</f>
        <v>2.3559999999999999</v>
      </c>
      <c r="G14" s="5">
        <f>'Proximal Validation (empirical)'!G14</f>
        <v>0</v>
      </c>
      <c r="H14" s="5">
        <f>'Proximal Validation (empirical)'!H14</f>
        <v>0</v>
      </c>
      <c r="I14" s="5">
        <f>'Proximal Validation (empirical)'!I14</f>
        <v>0</v>
      </c>
      <c r="J14" s="5">
        <f>'Proximal Validation (empirical)'!J14</f>
        <v>0</v>
      </c>
      <c r="K14" s="5">
        <f>'Proximal Validation (empirical)'!K14</f>
        <v>0</v>
      </c>
      <c r="L14" s="5">
        <f>'Proximal Validation (empirical)'!L14</f>
        <v>0</v>
      </c>
      <c r="M14" s="5">
        <f>'Proximal Validation (empirical)'!M14</f>
        <v>0</v>
      </c>
      <c r="N14" s="5">
        <f>'Proximal Validation (empirical)'!N14</f>
        <v>0</v>
      </c>
      <c r="O14" s="5">
        <f>'Proximal Validation (empirical)'!O14</f>
        <v>0</v>
      </c>
      <c r="P14" s="5"/>
      <c r="Q14" s="5"/>
      <c r="R14" s="5"/>
      <c r="S14" s="5"/>
      <c r="T14" s="5"/>
      <c r="U14" s="5"/>
      <c r="V14" s="12"/>
      <c r="W14" s="5">
        <f t="shared" si="0"/>
        <v>-0.3</v>
      </c>
      <c r="X14" s="5">
        <f t="shared" si="0"/>
        <v>-0.2</v>
      </c>
      <c r="Y14" s="5">
        <f t="shared" si="0"/>
        <v>-3.927</v>
      </c>
      <c r="Z14" s="5">
        <f t="shared" si="0"/>
        <v>-0.3</v>
      </c>
      <c r="AA14" s="5">
        <f t="shared" si="0"/>
        <v>-0.1</v>
      </c>
      <c r="AB14" s="5">
        <f t="shared" si="0"/>
        <v>-2.3559999999999999</v>
      </c>
      <c r="AC14" s="9">
        <f t="shared" si="1"/>
        <v>0.3</v>
      </c>
      <c r="AD14" s="9">
        <f t="shared" si="1"/>
        <v>0.15000000000000002</v>
      </c>
      <c r="AE14" s="9">
        <f t="shared" si="1"/>
        <v>3.1414999999999997</v>
      </c>
      <c r="AF14" s="14">
        <v>0.191</v>
      </c>
    </row>
    <row r="15" spans="1:38" x14ac:dyDescent="0.25">
      <c r="A15" s="5">
        <f>'Proximal Validation (empirical)'!A15</f>
        <v>0.3</v>
      </c>
      <c r="B15" s="5">
        <f>'Proximal Validation (empirical)'!B15</f>
        <v>0.14000000000000001</v>
      </c>
      <c r="C15" s="5">
        <f>'Proximal Validation (empirical)'!C15</f>
        <v>2.6179999999999999</v>
      </c>
      <c r="D15" s="5">
        <f>'Proximal Validation (empirical)'!D15</f>
        <v>0.8</v>
      </c>
      <c r="E15" s="5">
        <f>'Proximal Validation (empirical)'!E15</f>
        <v>0.04</v>
      </c>
      <c r="F15" s="5">
        <f>'Proximal Validation (empirical)'!F15</f>
        <v>1.0469999999999999</v>
      </c>
      <c r="G15" s="5">
        <f>'Proximal Validation (empirical)'!G15</f>
        <v>0</v>
      </c>
      <c r="H15" s="5">
        <f>'Proximal Validation (empirical)'!H15</f>
        <v>0</v>
      </c>
      <c r="I15" s="5">
        <f>'Proximal Validation (empirical)'!I15</f>
        <v>0</v>
      </c>
      <c r="J15" s="5">
        <f>'Proximal Validation (empirical)'!J15</f>
        <v>0</v>
      </c>
      <c r="K15" s="5">
        <f>'Proximal Validation (empirical)'!K15</f>
        <v>0</v>
      </c>
      <c r="L15" s="5">
        <f>'Proximal Validation (empirical)'!L15</f>
        <v>0</v>
      </c>
      <c r="M15" s="5">
        <f>'Proximal Validation (empirical)'!M15</f>
        <v>0</v>
      </c>
      <c r="N15" s="5">
        <f>'Proximal Validation (empirical)'!N15</f>
        <v>0</v>
      </c>
      <c r="O15" s="5">
        <f>'Proximal Validation (empirical)'!O15</f>
        <v>0</v>
      </c>
      <c r="P15" s="5"/>
      <c r="Q15" s="5"/>
      <c r="R15" s="5"/>
      <c r="S15" s="5"/>
      <c r="T15" s="5"/>
      <c r="U15" s="5"/>
      <c r="V15" s="12"/>
      <c r="W15" s="5">
        <f t="shared" si="0"/>
        <v>-0.3</v>
      </c>
      <c r="X15" s="5">
        <f t="shared" si="0"/>
        <v>-0.14000000000000001</v>
      </c>
      <c r="Y15" s="5">
        <f t="shared" si="0"/>
        <v>-2.6179999999999999</v>
      </c>
      <c r="Z15" s="5">
        <f t="shared" si="0"/>
        <v>-0.8</v>
      </c>
      <c r="AA15" s="5">
        <f t="shared" si="0"/>
        <v>-0.04</v>
      </c>
      <c r="AB15" s="5">
        <f t="shared" si="0"/>
        <v>-1.0469999999999999</v>
      </c>
      <c r="AC15" s="9">
        <f t="shared" si="1"/>
        <v>0.55000000000000004</v>
      </c>
      <c r="AD15" s="9">
        <f t="shared" si="1"/>
        <v>9.0000000000000011E-2</v>
      </c>
      <c r="AE15" s="9">
        <f t="shared" si="1"/>
        <v>1.8325</v>
      </c>
      <c r="AF15" s="14">
        <v>0.17499999999999999</v>
      </c>
    </row>
    <row r="16" spans="1:38" x14ac:dyDescent="0.25">
      <c r="A16" s="5">
        <f>'Proximal Validation (empirical)'!A16</f>
        <v>0.8</v>
      </c>
      <c r="B16" s="5">
        <f>'Proximal Validation (empirical)'!B16</f>
        <v>0.2</v>
      </c>
      <c r="C16" s="5">
        <f>'Proximal Validation (empirical)'!C16</f>
        <v>0.78500000000000003</v>
      </c>
      <c r="D16" s="5">
        <f>'Proximal Validation (empirical)'!D16</f>
        <v>0.8</v>
      </c>
      <c r="E16" s="5">
        <f>'Proximal Validation (empirical)'!E16</f>
        <v>0.1</v>
      </c>
      <c r="F16" s="5">
        <f>'Proximal Validation (empirical)'!F16</f>
        <v>1.0469999999999999</v>
      </c>
      <c r="G16" s="5">
        <f>'Proximal Validation (empirical)'!G16</f>
        <v>0</v>
      </c>
      <c r="H16" s="5">
        <f>'Proximal Validation (empirical)'!H16</f>
        <v>0</v>
      </c>
      <c r="I16" s="5">
        <f>'Proximal Validation (empirical)'!I16</f>
        <v>0</v>
      </c>
      <c r="J16" s="5">
        <f>'Proximal Validation (empirical)'!J16</f>
        <v>0</v>
      </c>
      <c r="K16" s="5">
        <f>'Proximal Validation (empirical)'!K16</f>
        <v>0</v>
      </c>
      <c r="L16" s="5">
        <f>'Proximal Validation (empirical)'!L16</f>
        <v>0</v>
      </c>
      <c r="M16" s="5">
        <f>'Proximal Validation (empirical)'!M16</f>
        <v>0</v>
      </c>
      <c r="N16" s="5">
        <f>'Proximal Validation (empirical)'!N16</f>
        <v>0</v>
      </c>
      <c r="O16" s="5">
        <f>'Proximal Validation (empirical)'!O16</f>
        <v>0</v>
      </c>
      <c r="P16" s="5"/>
      <c r="Q16" s="5"/>
      <c r="R16" s="5"/>
      <c r="S16" s="5"/>
      <c r="T16" s="5"/>
      <c r="U16" s="5"/>
      <c r="V16" s="12"/>
      <c r="W16" s="5">
        <f t="shared" si="0"/>
        <v>-0.8</v>
      </c>
      <c r="X16" s="5">
        <f t="shared" si="0"/>
        <v>-0.2</v>
      </c>
      <c r="Y16" s="5">
        <f t="shared" si="0"/>
        <v>-0.78500000000000003</v>
      </c>
      <c r="Z16" s="5">
        <f t="shared" si="0"/>
        <v>-0.8</v>
      </c>
      <c r="AA16" s="5">
        <f t="shared" si="0"/>
        <v>-0.1</v>
      </c>
      <c r="AB16" s="5">
        <f t="shared" si="0"/>
        <v>-1.0469999999999999</v>
      </c>
      <c r="AC16" s="9">
        <f t="shared" si="1"/>
        <v>0.8</v>
      </c>
      <c r="AD16" s="9">
        <f t="shared" si="1"/>
        <v>0.15000000000000002</v>
      </c>
      <c r="AE16" s="9">
        <f t="shared" si="1"/>
        <v>0.91599999999999993</v>
      </c>
      <c r="AF16" s="14">
        <v>0.159</v>
      </c>
    </row>
    <row r="17" spans="1:32" x14ac:dyDescent="0.25">
      <c r="A17" s="5">
        <f>'Proximal Validation (empirical)'!A17</f>
        <v>0.4</v>
      </c>
      <c r="B17" s="5">
        <f>'Proximal Validation (empirical)'!B17</f>
        <v>0.12</v>
      </c>
      <c r="C17" s="5">
        <f>'Proximal Validation (empirical)'!C17</f>
        <v>0.78500000000000003</v>
      </c>
      <c r="D17" s="5">
        <f>'Proximal Validation (empirical)'!D17</f>
        <v>0.4</v>
      </c>
      <c r="E17" s="5">
        <f>'Proximal Validation (empirical)'!E17</f>
        <v>0.02</v>
      </c>
      <c r="F17" s="5">
        <f>'Proximal Validation (empirical)'!F17</f>
        <v>2.3559999999999999</v>
      </c>
      <c r="G17" s="5">
        <f>'Proximal Validation (empirical)'!G17</f>
        <v>0</v>
      </c>
      <c r="H17" s="5">
        <f>'Proximal Validation (empirical)'!H17</f>
        <v>0</v>
      </c>
      <c r="I17" s="5">
        <f>'Proximal Validation (empirical)'!I17</f>
        <v>0</v>
      </c>
      <c r="J17" s="5">
        <f>'Proximal Validation (empirical)'!J17</f>
        <v>0</v>
      </c>
      <c r="K17" s="5">
        <f>'Proximal Validation (empirical)'!K17</f>
        <v>0</v>
      </c>
      <c r="L17" s="5">
        <f>'Proximal Validation (empirical)'!L17</f>
        <v>0</v>
      </c>
      <c r="M17" s="5">
        <f>'Proximal Validation (empirical)'!M17</f>
        <v>0</v>
      </c>
      <c r="N17" s="5">
        <f>'Proximal Validation (empirical)'!N17</f>
        <v>0</v>
      </c>
      <c r="O17" s="5">
        <f>'Proximal Validation (empirical)'!O17</f>
        <v>0</v>
      </c>
      <c r="P17" s="5"/>
      <c r="Q17" s="5"/>
      <c r="R17" s="5"/>
      <c r="S17" s="5"/>
      <c r="T17" s="5"/>
      <c r="U17" s="5"/>
      <c r="V17" s="12"/>
      <c r="W17" s="5">
        <f t="shared" si="0"/>
        <v>-0.4</v>
      </c>
      <c r="X17" s="5">
        <f t="shared" si="0"/>
        <v>-0.12</v>
      </c>
      <c r="Y17" s="5">
        <f t="shared" si="0"/>
        <v>-0.78500000000000003</v>
      </c>
      <c r="Z17" s="5">
        <f t="shared" si="0"/>
        <v>-0.4</v>
      </c>
      <c r="AA17" s="5">
        <f t="shared" si="0"/>
        <v>-0.02</v>
      </c>
      <c r="AB17" s="5">
        <f t="shared" si="0"/>
        <v>-2.3559999999999999</v>
      </c>
      <c r="AC17" s="9">
        <f t="shared" si="1"/>
        <v>0.4</v>
      </c>
      <c r="AD17" s="9">
        <f t="shared" si="1"/>
        <v>6.9999999999999993E-2</v>
      </c>
      <c r="AE17" s="9">
        <f t="shared" si="1"/>
        <v>1.5705</v>
      </c>
      <c r="AF17" s="14">
        <v>5.8900000000000001E-2</v>
      </c>
    </row>
  </sheetData>
  <mergeCells count="7">
    <mergeCell ref="AG5:AL5"/>
    <mergeCell ref="A1:I1"/>
    <mergeCell ref="J1:O1"/>
    <mergeCell ref="P1:V1"/>
    <mergeCell ref="W1:AB1"/>
    <mergeCell ref="AC1:AL1"/>
    <mergeCell ref="AG2:AL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18"/>
  <sheetViews>
    <sheetView workbookViewId="0">
      <selection activeCell="H8" sqref="H8:M8"/>
    </sheetView>
  </sheetViews>
  <sheetFormatPr defaultRowHeight="15" x14ac:dyDescent="0.25"/>
  <sheetData>
    <row r="1" spans="1:13" ht="15.75" x14ac:dyDescent="0.25">
      <c r="A1" s="34" t="s">
        <v>21</v>
      </c>
      <c r="B1" s="35"/>
      <c r="C1" s="35"/>
      <c r="D1" s="35"/>
      <c r="E1" s="35"/>
      <c r="F1" s="36"/>
      <c r="H1" s="34" t="s">
        <v>22</v>
      </c>
      <c r="I1" s="35"/>
      <c r="J1" s="35"/>
      <c r="K1" s="35"/>
      <c r="L1" s="35"/>
      <c r="M1" s="36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-0.89387804269790605</v>
      </c>
      <c r="B3">
        <v>1.22047007083893</v>
      </c>
      <c r="C3">
        <v>-0.40628731250762901</v>
      </c>
      <c r="D3">
        <v>-0.22898079454898801</v>
      </c>
      <c r="E3">
        <v>-0.18633711338043199</v>
      </c>
      <c r="F3" s="4">
        <v>6.9695031270384797E-3</v>
      </c>
      <c r="H3">
        <f>$F3</f>
        <v>6.9695031270384797E-3</v>
      </c>
      <c r="I3">
        <f>-1*$E3</f>
        <v>0.18633711338043199</v>
      </c>
      <c r="J3">
        <f>$D3</f>
        <v>-0.22898079454898801</v>
      </c>
      <c r="K3">
        <f>$C3</f>
        <v>-0.40628731250762901</v>
      </c>
      <c r="L3">
        <f>-1*$B3</f>
        <v>-1.22047007083893</v>
      </c>
      <c r="M3">
        <f>$A3</f>
        <v>-0.89387804269790605</v>
      </c>
    </row>
    <row r="4" spans="1:13" x14ac:dyDescent="0.25">
      <c r="A4">
        <v>0.29466027021408098</v>
      </c>
      <c r="B4">
        <v>-0.217425882816315</v>
      </c>
      <c r="C4">
        <v>-0.28188201785087602</v>
      </c>
      <c r="D4">
        <v>9.0134814381599399E-2</v>
      </c>
      <c r="E4">
        <v>9.6287056803703294E-2</v>
      </c>
      <c r="F4">
        <v>-1.3200249522924399E-3</v>
      </c>
      <c r="H4">
        <f t="shared" ref="H4:H18" si="0">$F4</f>
        <v>-1.3200249522924399E-3</v>
      </c>
      <c r="I4">
        <f t="shared" ref="I4:I18" si="1">-1*$E4</f>
        <v>-9.6287056803703294E-2</v>
      </c>
      <c r="J4">
        <f t="shared" ref="J4:J18" si="2">$D4</f>
        <v>9.0134814381599399E-2</v>
      </c>
      <c r="K4">
        <f t="shared" ref="K4:K18" si="3">$C4</f>
        <v>-0.28188201785087602</v>
      </c>
      <c r="L4">
        <f t="shared" ref="L4:L18" si="4">-1*$B4</f>
        <v>0.217425882816315</v>
      </c>
      <c r="M4">
        <f t="shared" ref="M4:M18" si="5">$A4</f>
        <v>0.29466027021408098</v>
      </c>
    </row>
    <row r="5" spans="1:13" x14ac:dyDescent="0.25">
      <c r="A5">
        <v>-0.61048221588134799</v>
      </c>
      <c r="B5">
        <v>0.88299614191055298</v>
      </c>
      <c r="C5">
        <v>-0.12506151199340801</v>
      </c>
      <c r="D5">
        <v>-0.17296446859836601</v>
      </c>
      <c r="E5">
        <v>-0.13038665056228599</v>
      </c>
      <c r="F5">
        <v>3.0324226245284098E-3</v>
      </c>
      <c r="H5">
        <f t="shared" si="0"/>
        <v>3.0324226245284098E-3</v>
      </c>
      <c r="I5">
        <f t="shared" si="1"/>
        <v>0.13038665056228599</v>
      </c>
      <c r="J5">
        <f t="shared" si="2"/>
        <v>-0.17296446859836601</v>
      </c>
      <c r="K5">
        <f t="shared" si="3"/>
        <v>-0.12506151199340801</v>
      </c>
      <c r="L5">
        <f t="shared" si="4"/>
        <v>-0.88299614191055298</v>
      </c>
      <c r="M5">
        <f t="shared" si="5"/>
        <v>-0.61048221588134799</v>
      </c>
    </row>
    <row r="6" spans="1:13" x14ac:dyDescent="0.25">
      <c r="A6">
        <v>0.98440170288085904</v>
      </c>
      <c r="B6">
        <v>0.72426092624664296</v>
      </c>
      <c r="C6">
        <v>-0.31092065572738598</v>
      </c>
      <c r="D6">
        <v>-0.12917971611022899</v>
      </c>
      <c r="E6">
        <v>0.195207834243774</v>
      </c>
      <c r="F6">
        <v>-3.0779188964515898E-3</v>
      </c>
      <c r="H6">
        <f t="shared" si="0"/>
        <v>-3.0779188964515898E-3</v>
      </c>
      <c r="I6">
        <f t="shared" si="1"/>
        <v>-0.195207834243774</v>
      </c>
      <c r="J6">
        <f t="shared" si="2"/>
        <v>-0.12917971611022899</v>
      </c>
      <c r="K6">
        <f t="shared" si="3"/>
        <v>-0.31092065572738598</v>
      </c>
      <c r="L6">
        <f t="shared" si="4"/>
        <v>-0.72426092624664296</v>
      </c>
      <c r="M6">
        <f t="shared" si="5"/>
        <v>0.98440170288085904</v>
      </c>
    </row>
    <row r="7" spans="1:13" x14ac:dyDescent="0.25">
      <c r="A7">
        <v>-0.18986988067627</v>
      </c>
      <c r="B7">
        <v>0.44398531317710899</v>
      </c>
      <c r="C7">
        <v>-6.15512244403362E-2</v>
      </c>
      <c r="D7">
        <v>-1.7586439847946202E-2</v>
      </c>
      <c r="E7">
        <v>7.9468116164207493E-3</v>
      </c>
      <c r="F7">
        <v>-1.6676099039614201E-4</v>
      </c>
      <c r="H7">
        <f t="shared" si="0"/>
        <v>-1.6676099039614201E-4</v>
      </c>
      <c r="I7">
        <f t="shared" si="1"/>
        <v>-7.9468116164207493E-3</v>
      </c>
      <c r="J7">
        <f t="shared" si="2"/>
        <v>-1.7586439847946202E-2</v>
      </c>
      <c r="K7">
        <f t="shared" si="3"/>
        <v>-6.15512244403362E-2</v>
      </c>
      <c r="L7">
        <f t="shared" si="4"/>
        <v>-0.44398531317710899</v>
      </c>
      <c r="M7">
        <f t="shared" si="5"/>
        <v>-0.18986988067627</v>
      </c>
    </row>
    <row r="8" spans="1:13" x14ac:dyDescent="0.25">
      <c r="A8">
        <v>8.3889193832874298E-2</v>
      </c>
      <c r="B8">
        <v>0.17039117217063901</v>
      </c>
      <c r="C8">
        <v>-0.162799403071404</v>
      </c>
      <c r="D8">
        <v>-7.8928373754024506E-2</v>
      </c>
      <c r="E8">
        <v>-4.7429911792278297E-2</v>
      </c>
      <c r="F8">
        <v>1.7961886478588E-3</v>
      </c>
      <c r="H8">
        <f t="shared" si="0"/>
        <v>1.7961886478588E-3</v>
      </c>
      <c r="I8">
        <f t="shared" si="1"/>
        <v>4.7429911792278297E-2</v>
      </c>
      <c r="J8">
        <f t="shared" si="2"/>
        <v>-7.8928373754024506E-2</v>
      </c>
      <c r="K8">
        <f t="shared" si="3"/>
        <v>-0.162799403071404</v>
      </c>
      <c r="L8">
        <f t="shared" si="4"/>
        <v>-0.17039117217063901</v>
      </c>
      <c r="M8">
        <f t="shared" si="5"/>
        <v>8.3889193832874298E-2</v>
      </c>
    </row>
    <row r="9" spans="1:13" x14ac:dyDescent="0.25"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</row>
    <row r="10" spans="1:13" x14ac:dyDescent="0.25"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0</v>
      </c>
    </row>
    <row r="11" spans="1:13" x14ac:dyDescent="0.25"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0</v>
      </c>
      <c r="M11">
        <f t="shared" si="5"/>
        <v>0</v>
      </c>
    </row>
    <row r="12" spans="1:13" x14ac:dyDescent="0.25">
      <c r="H12">
        <f t="shared" si="0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0</v>
      </c>
    </row>
    <row r="13" spans="1:13" x14ac:dyDescent="0.25"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0</v>
      </c>
    </row>
    <row r="14" spans="1:13" x14ac:dyDescent="0.25"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0</v>
      </c>
    </row>
    <row r="15" spans="1:13" x14ac:dyDescent="0.25"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0</v>
      </c>
      <c r="L15">
        <f t="shared" si="4"/>
        <v>0</v>
      </c>
      <c r="M15">
        <f t="shared" si="5"/>
        <v>0</v>
      </c>
    </row>
    <row r="16" spans="1:13" x14ac:dyDescent="0.25"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0</v>
      </c>
    </row>
    <row r="17" spans="8:13" x14ac:dyDescent="0.25"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0</v>
      </c>
    </row>
    <row r="18" spans="8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7133-1F40-42FE-857E-F1C32F431B6A}">
  <dimension ref="D2:AI16"/>
  <sheetViews>
    <sheetView topLeftCell="I1" workbookViewId="0">
      <selection activeCell="AH14" sqref="AH14"/>
    </sheetView>
  </sheetViews>
  <sheetFormatPr defaultRowHeight="15" x14ac:dyDescent="0.25"/>
  <sheetData>
    <row r="2" spans="4:35" x14ac:dyDescent="0.25">
      <c r="D2" t="s">
        <v>35</v>
      </c>
      <c r="E2">
        <v>0.7</v>
      </c>
      <c r="F2">
        <v>0.2</v>
      </c>
      <c r="G2">
        <v>2.6179999999999999</v>
      </c>
      <c r="H2">
        <v>0.8</v>
      </c>
      <c r="I2">
        <v>0.02</v>
      </c>
      <c r="J2">
        <v>2.3559999999999999</v>
      </c>
      <c r="K2">
        <v>0</v>
      </c>
      <c r="L2">
        <v>0</v>
      </c>
      <c r="M2">
        <v>0</v>
      </c>
      <c r="N2" t="s">
        <v>34</v>
      </c>
      <c r="W2" t="s">
        <v>39</v>
      </c>
      <c r="X2" t="s">
        <v>35</v>
      </c>
      <c r="Y2">
        <v>6.9695031270384797E-3</v>
      </c>
      <c r="Z2">
        <v>0.18633711338043199</v>
      </c>
      <c r="AA2">
        <v>-0.22898079454898801</v>
      </c>
      <c r="AB2">
        <v>-0.40628731250762901</v>
      </c>
      <c r="AC2">
        <v>-1.22047007083893</v>
      </c>
      <c r="AD2">
        <v>-0.89387804269790605</v>
      </c>
      <c r="AE2">
        <v>0</v>
      </c>
      <c r="AF2">
        <v>0</v>
      </c>
      <c r="AG2">
        <v>0</v>
      </c>
      <c r="AH2" t="s">
        <v>36</v>
      </c>
      <c r="AI2" t="s">
        <v>34</v>
      </c>
    </row>
    <row r="3" spans="4:35" x14ac:dyDescent="0.25">
      <c r="E3">
        <v>0.8</v>
      </c>
      <c r="F3">
        <v>0.16</v>
      </c>
      <c r="G3">
        <v>3.927</v>
      </c>
      <c r="H3">
        <v>0.8</v>
      </c>
      <c r="I3">
        <v>0.02</v>
      </c>
      <c r="J3">
        <v>3.665</v>
      </c>
      <c r="K3">
        <v>0</v>
      </c>
      <c r="L3">
        <v>0</v>
      </c>
      <c r="M3">
        <v>0</v>
      </c>
      <c r="N3" t="s">
        <v>34</v>
      </c>
      <c r="X3" t="s">
        <v>35</v>
      </c>
      <c r="Y3">
        <v>-1.3200249522924399E-3</v>
      </c>
      <c r="Z3">
        <v>-9.6287056803703294E-2</v>
      </c>
      <c r="AA3">
        <v>9.0134814381599399E-2</v>
      </c>
      <c r="AB3">
        <v>-0.28188201785087602</v>
      </c>
      <c r="AC3">
        <v>0.217425882816315</v>
      </c>
      <c r="AD3">
        <v>0.29466027021408098</v>
      </c>
      <c r="AE3">
        <v>0</v>
      </c>
      <c r="AF3">
        <v>0</v>
      </c>
      <c r="AG3">
        <v>0</v>
      </c>
      <c r="AH3" t="s">
        <v>36</v>
      </c>
      <c r="AI3" t="s">
        <v>34</v>
      </c>
    </row>
    <row r="4" spans="4:35" x14ac:dyDescent="0.25">
      <c r="E4">
        <v>0.8</v>
      </c>
      <c r="F4">
        <v>0.2</v>
      </c>
      <c r="G4">
        <v>3.927</v>
      </c>
      <c r="H4">
        <v>0.4</v>
      </c>
      <c r="I4">
        <v>0.04</v>
      </c>
      <c r="J4">
        <v>1.0469999999999999</v>
      </c>
      <c r="K4">
        <v>0</v>
      </c>
      <c r="L4">
        <v>0</v>
      </c>
      <c r="M4">
        <v>0</v>
      </c>
      <c r="N4" t="s">
        <v>34</v>
      </c>
      <c r="X4" t="s">
        <v>35</v>
      </c>
      <c r="Y4">
        <v>3.0324226245284098E-3</v>
      </c>
      <c r="Z4">
        <v>0.13038665056228599</v>
      </c>
      <c r="AA4">
        <v>-0.17296446859836601</v>
      </c>
      <c r="AB4">
        <v>-0.12506151199340801</v>
      </c>
      <c r="AC4">
        <v>-0.88299614191055298</v>
      </c>
      <c r="AD4">
        <v>-0.61048221588134799</v>
      </c>
      <c r="AE4">
        <v>0</v>
      </c>
      <c r="AF4">
        <v>0</v>
      </c>
      <c r="AG4">
        <v>0</v>
      </c>
      <c r="AH4" t="s">
        <v>36</v>
      </c>
      <c r="AI4" t="s">
        <v>34</v>
      </c>
    </row>
    <row r="5" spans="4:35" x14ac:dyDescent="0.25">
      <c r="E5">
        <v>0.8</v>
      </c>
      <c r="F5">
        <v>0.18</v>
      </c>
      <c r="G5">
        <v>2.6179999999999999</v>
      </c>
      <c r="H5">
        <v>0.7</v>
      </c>
      <c r="I5">
        <v>0.06</v>
      </c>
      <c r="J5">
        <v>2.3559999999999999</v>
      </c>
      <c r="K5">
        <v>0</v>
      </c>
      <c r="L5">
        <v>0</v>
      </c>
      <c r="M5">
        <v>0</v>
      </c>
      <c r="N5" t="s">
        <v>34</v>
      </c>
      <c r="X5" t="s">
        <v>35</v>
      </c>
      <c r="Y5">
        <v>-1.6676099039614201E-4</v>
      </c>
      <c r="Z5">
        <v>-7.9468116164207493E-3</v>
      </c>
      <c r="AA5">
        <v>-1.7586439847946202E-2</v>
      </c>
      <c r="AB5">
        <v>-6.15512244403362E-2</v>
      </c>
      <c r="AC5">
        <v>-0.44398531317710899</v>
      </c>
      <c r="AD5">
        <v>-0.18986988067627</v>
      </c>
      <c r="AE5">
        <v>0</v>
      </c>
      <c r="AF5">
        <v>0</v>
      </c>
      <c r="AG5">
        <v>0</v>
      </c>
      <c r="AH5" t="s">
        <v>36</v>
      </c>
      <c r="AI5" t="s">
        <v>34</v>
      </c>
    </row>
    <row r="6" spans="4:35" x14ac:dyDescent="0.25">
      <c r="E6">
        <v>0.7</v>
      </c>
      <c r="F6">
        <v>0.16</v>
      </c>
      <c r="G6">
        <v>0.78500000000000003</v>
      </c>
      <c r="H6">
        <v>0.3</v>
      </c>
      <c r="I6">
        <v>0.06</v>
      </c>
      <c r="J6">
        <v>3.665</v>
      </c>
      <c r="K6">
        <v>0</v>
      </c>
      <c r="L6">
        <v>0</v>
      </c>
      <c r="M6">
        <v>0</v>
      </c>
      <c r="N6" t="s">
        <v>34</v>
      </c>
      <c r="X6" t="s">
        <v>35</v>
      </c>
      <c r="Y6">
        <v>1.7961886478588E-3</v>
      </c>
      <c r="Z6">
        <v>4.7429911792278297E-2</v>
      </c>
      <c r="AA6">
        <v>-7.8928373754024506E-2</v>
      </c>
      <c r="AB6">
        <v>-0.162799403071404</v>
      </c>
      <c r="AC6">
        <v>-0.17039117217063901</v>
      </c>
      <c r="AD6">
        <v>8.3889193832874298E-2</v>
      </c>
      <c r="AE6">
        <v>0</v>
      </c>
      <c r="AF6">
        <v>0</v>
      </c>
      <c r="AG6">
        <v>0</v>
      </c>
      <c r="AH6" t="s">
        <v>36</v>
      </c>
      <c r="AI6" t="s">
        <v>40</v>
      </c>
    </row>
    <row r="7" spans="4:35" x14ac:dyDescent="0.25">
      <c r="E7">
        <v>0.4</v>
      </c>
      <c r="F7">
        <v>0.2</v>
      </c>
      <c r="G7">
        <v>3.927</v>
      </c>
      <c r="H7">
        <v>0.8</v>
      </c>
      <c r="I7">
        <v>0.06</v>
      </c>
      <c r="J7">
        <v>3.665</v>
      </c>
      <c r="K7">
        <v>0</v>
      </c>
      <c r="L7">
        <v>0</v>
      </c>
      <c r="M7">
        <v>0</v>
      </c>
      <c r="N7" t="s">
        <v>34</v>
      </c>
    </row>
    <row r="8" spans="4:35" x14ac:dyDescent="0.25">
      <c r="E8">
        <v>0.3</v>
      </c>
      <c r="F8">
        <v>0.2</v>
      </c>
      <c r="G8">
        <v>0.78500000000000003</v>
      </c>
      <c r="H8">
        <v>0.7</v>
      </c>
      <c r="I8">
        <v>0.02</v>
      </c>
      <c r="J8">
        <v>3.665</v>
      </c>
      <c r="K8">
        <v>0</v>
      </c>
      <c r="L8">
        <v>0</v>
      </c>
      <c r="M8">
        <v>0</v>
      </c>
      <c r="N8" t="s">
        <v>34</v>
      </c>
    </row>
    <row r="9" spans="4:35" x14ac:dyDescent="0.25">
      <c r="E9">
        <v>0.7</v>
      </c>
      <c r="F9">
        <v>0.12</v>
      </c>
      <c r="G9">
        <v>3.927</v>
      </c>
      <c r="H9">
        <v>0.7</v>
      </c>
      <c r="I9">
        <v>0.02</v>
      </c>
      <c r="J9">
        <v>1.0469999999999999</v>
      </c>
      <c r="K9">
        <v>0</v>
      </c>
      <c r="L9">
        <v>0</v>
      </c>
      <c r="M9">
        <v>0</v>
      </c>
      <c r="N9" t="s">
        <v>34</v>
      </c>
    </row>
    <row r="10" spans="4:35" x14ac:dyDescent="0.25">
      <c r="E10">
        <v>0.8</v>
      </c>
      <c r="F10">
        <v>0.12</v>
      </c>
      <c r="G10">
        <v>2.6179999999999999</v>
      </c>
      <c r="H10">
        <v>0.3</v>
      </c>
      <c r="I10">
        <v>0.02</v>
      </c>
      <c r="J10">
        <v>3.665</v>
      </c>
      <c r="K10">
        <v>0</v>
      </c>
      <c r="L10">
        <v>0</v>
      </c>
      <c r="M10">
        <v>0</v>
      </c>
      <c r="N10" t="s">
        <v>34</v>
      </c>
    </row>
    <row r="11" spans="4:35" x14ac:dyDescent="0.25">
      <c r="E11">
        <v>0.4</v>
      </c>
      <c r="F11">
        <v>0.18</v>
      </c>
      <c r="G11">
        <v>2.6179999999999999</v>
      </c>
      <c r="H11">
        <v>0.3</v>
      </c>
      <c r="I11">
        <v>0.02</v>
      </c>
      <c r="J11">
        <v>1.0469999999999999</v>
      </c>
      <c r="K11">
        <v>0</v>
      </c>
      <c r="L11">
        <v>0</v>
      </c>
      <c r="M11">
        <v>0</v>
      </c>
      <c r="N11" t="s">
        <v>34</v>
      </c>
    </row>
    <row r="12" spans="4:35" x14ac:dyDescent="0.25">
      <c r="E12">
        <v>0.6</v>
      </c>
      <c r="F12">
        <v>0.2</v>
      </c>
      <c r="G12">
        <v>2.6179999999999999</v>
      </c>
      <c r="H12">
        <v>0.5</v>
      </c>
      <c r="I12">
        <v>0.1</v>
      </c>
      <c r="J12">
        <v>3.665</v>
      </c>
      <c r="K12">
        <v>0</v>
      </c>
      <c r="L12">
        <v>0</v>
      </c>
      <c r="M12">
        <v>0</v>
      </c>
      <c r="N12" t="s">
        <v>34</v>
      </c>
    </row>
    <row r="13" spans="4:35" x14ac:dyDescent="0.25">
      <c r="E13">
        <v>0.3</v>
      </c>
      <c r="F13">
        <v>0.2</v>
      </c>
      <c r="G13">
        <v>3.927</v>
      </c>
      <c r="H13">
        <v>0.3</v>
      </c>
      <c r="I13">
        <v>0.1</v>
      </c>
      <c r="J13">
        <v>2.3559999999999999</v>
      </c>
      <c r="K13">
        <v>0</v>
      </c>
      <c r="L13">
        <v>0</v>
      </c>
      <c r="M13">
        <v>0</v>
      </c>
      <c r="N13" t="s">
        <v>34</v>
      </c>
    </row>
    <row r="14" spans="4:35" x14ac:dyDescent="0.25">
      <c r="E14">
        <v>0.3</v>
      </c>
      <c r="F14">
        <v>0.14000000000000001</v>
      </c>
      <c r="G14">
        <v>2.6179999999999999</v>
      </c>
      <c r="H14">
        <v>0.8</v>
      </c>
      <c r="I14">
        <v>0.04</v>
      </c>
      <c r="J14">
        <v>1.0469999999999999</v>
      </c>
      <c r="K14">
        <v>0</v>
      </c>
      <c r="L14">
        <v>0</v>
      </c>
      <c r="M14">
        <v>0</v>
      </c>
      <c r="N14" t="s">
        <v>34</v>
      </c>
    </row>
    <row r="15" spans="4:35" x14ac:dyDescent="0.25">
      <c r="E15">
        <v>0.8</v>
      </c>
      <c r="F15">
        <v>0.2</v>
      </c>
      <c r="G15">
        <v>0.78500000000000003</v>
      </c>
      <c r="H15">
        <v>0.8</v>
      </c>
      <c r="I15">
        <v>0.1</v>
      </c>
      <c r="J15">
        <v>1.0469999999999999</v>
      </c>
      <c r="K15">
        <v>0</v>
      </c>
      <c r="L15">
        <v>0</v>
      </c>
      <c r="M15">
        <v>0</v>
      </c>
      <c r="N15" t="s">
        <v>34</v>
      </c>
    </row>
    <row r="16" spans="4:35" x14ac:dyDescent="0.25">
      <c r="E16">
        <v>0.4</v>
      </c>
      <c r="F16">
        <v>0.12</v>
      </c>
      <c r="G16">
        <v>0.78500000000000003</v>
      </c>
      <c r="H16">
        <v>0.4</v>
      </c>
      <c r="I16">
        <v>0.02</v>
      </c>
      <c r="J16">
        <v>2.3559999999999999</v>
      </c>
      <c r="K16">
        <v>0</v>
      </c>
      <c r="L16">
        <v>0</v>
      </c>
      <c r="M16">
        <v>0</v>
      </c>
      <c r="N16" t="s">
        <v>36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208467-E14A-4CB9-9FC8-72DFB8E94FF2}">
  <ds:schemaRefs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08a9f8ec-165a-4165-a8e9-ed45c2de7bcb"/>
    <ds:schemaRef ds:uri="http://schemas.microsoft.com/office/2006/metadata/properties"/>
    <ds:schemaRef ds:uri="http://purl.org/dc/terms/"/>
    <ds:schemaRef ds:uri="c2b20bf0-79f3-4559-a8ab-bcb74dcd8cd8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 (empirical)</vt:lpstr>
      <vt:lpstr>Distal Validati (empirical)</vt:lpstr>
      <vt:lpstr>Distal Validati (sim)</vt:lpstr>
      <vt:lpstr>Conversion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2025-12-11T20:45:15Z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