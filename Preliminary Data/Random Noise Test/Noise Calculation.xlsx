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Preliminary Data/Random Noise Test/"/>
    </mc:Choice>
  </mc:AlternateContent>
  <xr:revisionPtr revIDLastSave="3404" documentId="8_{DFFD6B0C-681F-42C8-B2E4-5D4B90AAE966}" xr6:coauthVersionLast="47" xr6:coauthVersionMax="47" xr10:uidLastSave="{36FDFA57-17F2-4075-A136-6A837ED9B1C3}"/>
  <bookViews>
    <workbookView xWindow="-120" yWindow="-120" windowWidth="29040" windowHeight="15720" activeTab="4" xr2:uid="{3D16C37F-3C74-4527-A308-796C339DFE9F}"/>
  </bookViews>
  <sheets>
    <sheet name="Proximal Validation (double)" sheetId="12" r:id="rId1"/>
    <sheet name="Sensor_Error" sheetId="30" r:id="rId2"/>
    <sheet name="Hysteresis_Error" sheetId="31" r:id="rId3"/>
    <sheet name="Angle_Error" sheetId="32" r:id="rId4"/>
    <sheet name="Overall_Error" sheetId="3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3" l="1"/>
  <c r="B3" i="33"/>
  <c r="C3" i="33"/>
  <c r="D3" i="33"/>
  <c r="E3" i="33"/>
  <c r="F3" i="33"/>
  <c r="A5" i="33"/>
  <c r="B5" i="33"/>
  <c r="C5" i="33"/>
  <c r="D5" i="33"/>
  <c r="E5" i="33"/>
  <c r="F5" i="33"/>
  <c r="T12" i="31"/>
  <c r="S12" i="31"/>
  <c r="R12" i="31"/>
  <c r="Q12" i="31"/>
  <c r="P12" i="31"/>
  <c r="O12" i="31"/>
  <c r="A31" i="30"/>
  <c r="F31" i="30"/>
  <c r="E31" i="30"/>
  <c r="D31" i="30"/>
  <c r="C31" i="30"/>
  <c r="B31" i="30"/>
  <c r="A29" i="30"/>
  <c r="B29" i="30"/>
  <c r="C29" i="30"/>
  <c r="D29" i="30"/>
  <c r="E29" i="30"/>
  <c r="F29" i="30"/>
  <c r="B6" i="31" l="1"/>
  <c r="B4" i="31"/>
  <c r="B5" i="31"/>
  <c r="U10" i="32"/>
  <c r="V10" i="32"/>
  <c r="W10" i="32"/>
  <c r="X10" i="32"/>
  <c r="Y10" i="32"/>
  <c r="Z10" i="32"/>
  <c r="U11" i="32"/>
  <c r="V11" i="32"/>
  <c r="W11" i="32"/>
  <c r="X11" i="32"/>
  <c r="Y11" i="32"/>
  <c r="Z11" i="32"/>
  <c r="U12" i="32"/>
  <c r="V12" i="32"/>
  <c r="W12" i="32"/>
  <c r="X12" i="32"/>
  <c r="Y12" i="32"/>
  <c r="Z12" i="32"/>
  <c r="V9" i="32"/>
  <c r="W9" i="32"/>
  <c r="X9" i="32"/>
  <c r="Y9" i="32"/>
  <c r="Z9" i="32"/>
  <c r="U9" i="32"/>
  <c r="K8" i="32"/>
  <c r="G8" i="32"/>
  <c r="U5" i="32"/>
  <c r="V5" i="32"/>
  <c r="W5" i="32"/>
  <c r="X5" i="32"/>
  <c r="Y5" i="32"/>
  <c r="Z5" i="32"/>
  <c r="U6" i="32"/>
  <c r="V6" i="32"/>
  <c r="W6" i="32"/>
  <c r="X6" i="32"/>
  <c r="Y6" i="32"/>
  <c r="Z6" i="32"/>
  <c r="U7" i="32"/>
  <c r="V7" i="32"/>
  <c r="W7" i="32"/>
  <c r="X7" i="32"/>
  <c r="Y7" i="32"/>
  <c r="Z7" i="32"/>
  <c r="V4" i="32"/>
  <c r="W4" i="32"/>
  <c r="X4" i="32"/>
  <c r="Y4" i="32"/>
  <c r="Z4" i="32"/>
  <c r="U4" i="32"/>
  <c r="K10" i="32"/>
  <c r="K11" i="32"/>
  <c r="K12" i="32"/>
  <c r="K9" i="32"/>
  <c r="G10" i="32"/>
  <c r="G11" i="32"/>
  <c r="G12" i="32"/>
  <c r="G9" i="32"/>
  <c r="H3" i="32"/>
  <c r="H12" i="32" s="1"/>
  <c r="L3" i="32"/>
  <c r="L10" i="32" s="1"/>
  <c r="P4" i="31"/>
  <c r="Q4" i="31"/>
  <c r="R4" i="31"/>
  <c r="S4" i="31"/>
  <c r="T4" i="31"/>
  <c r="P5" i="31"/>
  <c r="Q5" i="31"/>
  <c r="R5" i="31"/>
  <c r="S5" i="31"/>
  <c r="T5" i="31"/>
  <c r="P6" i="31"/>
  <c r="Q6" i="31"/>
  <c r="R6" i="31"/>
  <c r="S6" i="31"/>
  <c r="T6" i="31"/>
  <c r="P3" i="31"/>
  <c r="Q3" i="31"/>
  <c r="R3" i="31"/>
  <c r="S3" i="31"/>
  <c r="T3" i="31"/>
  <c r="O4" i="31"/>
  <c r="O5" i="31"/>
  <c r="O6" i="31"/>
  <c r="O3" i="31"/>
  <c r="H8" i="32" l="1"/>
  <c r="L8" i="32"/>
  <c r="R8" i="31"/>
  <c r="R10" i="31" s="1"/>
  <c r="Q8" i="31"/>
  <c r="Q10" i="31" s="1"/>
  <c r="P8" i="31"/>
  <c r="P10" i="31" s="1"/>
  <c r="O8" i="31"/>
  <c r="O10" i="31" s="1"/>
  <c r="T8" i="31"/>
  <c r="T10" i="31" s="1"/>
  <c r="S8" i="31"/>
  <c r="S10" i="31" s="1"/>
  <c r="Y14" i="32"/>
  <c r="W14" i="32"/>
  <c r="L5" i="32"/>
  <c r="Z14" i="32"/>
  <c r="U14" i="32"/>
  <c r="X14" i="32"/>
  <c r="L6" i="32"/>
  <c r="L9" i="32"/>
  <c r="L7" i="32"/>
  <c r="V14" i="32"/>
  <c r="L12" i="32"/>
  <c r="L11" i="32"/>
  <c r="L4" i="32"/>
  <c r="H6" i="32"/>
  <c r="H7" i="32"/>
  <c r="H9" i="32"/>
  <c r="H10" i="32"/>
  <c r="H4" i="32"/>
  <c r="H5" i="32"/>
  <c r="H11" i="32"/>
  <c r="Y68" i="12"/>
  <c r="Z68" i="12"/>
  <c r="AA68" i="12"/>
  <c r="AB68" i="12"/>
  <c r="AC68" i="12"/>
  <c r="X68" i="12"/>
  <c r="Y66" i="12"/>
  <c r="Z66" i="12"/>
  <c r="AA66" i="12"/>
  <c r="AB66" i="12"/>
  <c r="AC66" i="12"/>
  <c r="X66" i="12"/>
  <c r="X37" i="12"/>
  <c r="Y37" i="12"/>
  <c r="Z37" i="12"/>
  <c r="AA37" i="12"/>
  <c r="AB37" i="12"/>
  <c r="AC37" i="12"/>
  <c r="X38" i="12"/>
  <c r="Y38" i="12"/>
  <c r="Z38" i="12"/>
  <c r="AA38" i="12"/>
  <c r="AB38" i="12"/>
  <c r="AC38" i="12"/>
  <c r="X39" i="12"/>
  <c r="Y39" i="12"/>
  <c r="Z39" i="12"/>
  <c r="AA39" i="12"/>
  <c r="AB39" i="12"/>
  <c r="AC39" i="12"/>
  <c r="X40" i="12"/>
  <c r="Y40" i="12"/>
  <c r="Z40" i="12"/>
  <c r="AA40" i="12"/>
  <c r="AB40" i="12"/>
  <c r="AC40" i="12"/>
  <c r="X41" i="12"/>
  <c r="Y41" i="12"/>
  <c r="Z41" i="12"/>
  <c r="AA41" i="12"/>
  <c r="AB41" i="12"/>
  <c r="AC41" i="12"/>
  <c r="X42" i="12"/>
  <c r="Y42" i="12"/>
  <c r="Z42" i="12"/>
  <c r="AA42" i="12"/>
  <c r="AB42" i="12"/>
  <c r="AC42" i="12"/>
  <c r="X43" i="12"/>
  <c r="Y43" i="12"/>
  <c r="Z43" i="12"/>
  <c r="AA43" i="12"/>
  <c r="AB43" i="12"/>
  <c r="AC43" i="12"/>
  <c r="X44" i="12"/>
  <c r="Y44" i="12"/>
  <c r="Z44" i="12"/>
  <c r="AA44" i="12"/>
  <c r="AB44" i="12"/>
  <c r="AC44" i="12"/>
  <c r="X45" i="12"/>
  <c r="Y45" i="12"/>
  <c r="Z45" i="12"/>
  <c r="AA45" i="12"/>
  <c r="AB45" i="12"/>
  <c r="AC45" i="12"/>
  <c r="X46" i="12"/>
  <c r="Y46" i="12"/>
  <c r="Z46" i="12"/>
  <c r="AA46" i="12"/>
  <c r="AB46" i="12"/>
  <c r="AC46" i="12"/>
  <c r="X47" i="12"/>
  <c r="Y47" i="12"/>
  <c r="Z47" i="12"/>
  <c r="AA47" i="12"/>
  <c r="AB47" i="12"/>
  <c r="AC47" i="12"/>
  <c r="X48" i="12"/>
  <c r="Y48" i="12"/>
  <c r="Z48" i="12"/>
  <c r="AA48" i="12"/>
  <c r="AB48" i="12"/>
  <c r="AC48" i="12"/>
  <c r="X49" i="12"/>
  <c r="Y49" i="12"/>
  <c r="Z49" i="12"/>
  <c r="AA49" i="12"/>
  <c r="AB49" i="12"/>
  <c r="AC49" i="12"/>
  <c r="X50" i="12"/>
  <c r="Y50" i="12"/>
  <c r="Z50" i="12"/>
  <c r="AA50" i="12"/>
  <c r="AB50" i="12"/>
  <c r="AC50" i="12"/>
  <c r="X51" i="12"/>
  <c r="Y51" i="12"/>
  <c r="Z51" i="12"/>
  <c r="AA51" i="12"/>
  <c r="AB51" i="12"/>
  <c r="AC51" i="12"/>
  <c r="X52" i="12"/>
  <c r="Y52" i="12"/>
  <c r="Z52" i="12"/>
  <c r="AA52" i="12"/>
  <c r="AB52" i="12"/>
  <c r="AC52" i="12"/>
  <c r="X53" i="12"/>
  <c r="Y53" i="12"/>
  <c r="Z53" i="12"/>
  <c r="AA53" i="12"/>
  <c r="AB53" i="12"/>
  <c r="AC53" i="12"/>
  <c r="X54" i="12"/>
  <c r="Y54" i="12"/>
  <c r="Z54" i="12"/>
  <c r="AA54" i="12"/>
  <c r="AB54" i="12"/>
  <c r="AC54" i="12"/>
  <c r="X55" i="12"/>
  <c r="Y55" i="12"/>
  <c r="Z55" i="12"/>
  <c r="AA55" i="12"/>
  <c r="AB55" i="12"/>
  <c r="AC55" i="12"/>
  <c r="X56" i="12"/>
  <c r="Y56" i="12"/>
  <c r="Z56" i="12"/>
  <c r="AA56" i="12"/>
  <c r="AB56" i="12"/>
  <c r="AC56" i="12"/>
  <c r="X57" i="12"/>
  <c r="Y57" i="12"/>
  <c r="Z57" i="12"/>
  <c r="AA57" i="12"/>
  <c r="AB57" i="12"/>
  <c r="AC57" i="12"/>
  <c r="X58" i="12"/>
  <c r="Y58" i="12"/>
  <c r="Z58" i="12"/>
  <c r="AA58" i="12"/>
  <c r="AB58" i="12"/>
  <c r="AC58" i="12"/>
  <c r="X59" i="12"/>
  <c r="Y59" i="12"/>
  <c r="Z59" i="12"/>
  <c r="AA59" i="12"/>
  <c r="AB59" i="12"/>
  <c r="AC59" i="12"/>
  <c r="X60" i="12"/>
  <c r="Y60" i="12"/>
  <c r="Z60" i="12"/>
  <c r="AA60" i="12"/>
  <c r="AB60" i="12"/>
  <c r="AC60" i="12"/>
  <c r="X61" i="12"/>
  <c r="Y61" i="12"/>
  <c r="Z61" i="12"/>
  <c r="AA61" i="12"/>
  <c r="AB61" i="12"/>
  <c r="AC61" i="12"/>
  <c r="X62" i="12"/>
  <c r="Y62" i="12"/>
  <c r="Z62" i="12"/>
  <c r="AA62" i="12"/>
  <c r="AB62" i="12"/>
  <c r="AC62" i="12"/>
  <c r="X63" i="12"/>
  <c r="Y63" i="12"/>
  <c r="Z63" i="12"/>
  <c r="AA63" i="12"/>
  <c r="AB63" i="12"/>
  <c r="AC63" i="12"/>
  <c r="X64" i="12"/>
  <c r="Y64" i="12"/>
  <c r="Z64" i="12"/>
  <c r="AA64" i="12"/>
  <c r="AB64" i="12"/>
  <c r="AC64" i="12"/>
  <c r="Y36" i="12"/>
  <c r="Z36" i="12"/>
  <c r="AA36" i="12"/>
  <c r="AB36" i="12"/>
  <c r="AC36" i="12"/>
  <c r="X36" i="12"/>
  <c r="D3" i="12"/>
  <c r="H3" i="12"/>
  <c r="X3" i="12"/>
  <c r="Y3" i="12"/>
  <c r="Z3" i="12"/>
  <c r="AA3" i="12"/>
  <c r="AB3" i="12"/>
  <c r="AC3" i="12"/>
  <c r="X18" i="12"/>
  <c r="Y18" i="12"/>
  <c r="Z18" i="12"/>
  <c r="AA18" i="12"/>
  <c r="AB18" i="12"/>
  <c r="AC18" i="12"/>
  <c r="X19" i="12"/>
  <c r="Y19" i="12"/>
  <c r="Z19" i="12"/>
  <c r="AA19" i="12"/>
  <c r="AB19" i="12"/>
  <c r="AC19" i="12"/>
  <c r="X20" i="12"/>
  <c r="Y20" i="12"/>
  <c r="Z20" i="12"/>
  <c r="AA20" i="12"/>
  <c r="AB20" i="12"/>
  <c r="AC20" i="12"/>
  <c r="X21" i="12"/>
  <c r="Y21" i="12"/>
  <c r="Z21" i="12"/>
  <c r="AA21" i="12"/>
  <c r="AB21" i="12"/>
  <c r="AC21" i="12"/>
  <c r="X22" i="12"/>
  <c r="Y22" i="12"/>
  <c r="Z22" i="12"/>
  <c r="AA22" i="12"/>
  <c r="AB22" i="12"/>
  <c r="AC22" i="12"/>
  <c r="X23" i="12"/>
  <c r="Y23" i="12"/>
  <c r="Z23" i="12"/>
  <c r="AA23" i="12"/>
  <c r="AB23" i="12"/>
  <c r="AC23" i="12"/>
  <c r="X24" i="12"/>
  <c r="Y24" i="12"/>
  <c r="Z24" i="12"/>
  <c r="AA24" i="12"/>
  <c r="AB24" i="12"/>
  <c r="AC24" i="12"/>
  <c r="X25" i="12"/>
  <c r="Y25" i="12"/>
  <c r="Z25" i="12"/>
  <c r="AA25" i="12"/>
  <c r="AB25" i="12"/>
  <c r="AC25" i="12"/>
  <c r="X26" i="12"/>
  <c r="Y26" i="12"/>
  <c r="Z26" i="12"/>
  <c r="AA26" i="12"/>
  <c r="AB26" i="12"/>
  <c r="AC26" i="12"/>
  <c r="X27" i="12"/>
  <c r="Y27" i="12"/>
  <c r="Z27" i="12"/>
  <c r="AA27" i="12"/>
  <c r="AB27" i="12"/>
  <c r="AC27" i="12"/>
  <c r="X28" i="12"/>
  <c r="Y28" i="12"/>
  <c r="Z28" i="12"/>
  <c r="AA28" i="12"/>
  <c r="AB28" i="12"/>
  <c r="AC28" i="12"/>
  <c r="X29" i="12"/>
  <c r="Y29" i="12"/>
  <c r="Z29" i="12"/>
  <c r="AA29" i="12"/>
  <c r="AB29" i="12"/>
  <c r="AC29" i="12"/>
  <c r="X30" i="12"/>
  <c r="Y30" i="12"/>
  <c r="Z30" i="12"/>
  <c r="AA30" i="12"/>
  <c r="AB30" i="12"/>
  <c r="AC30" i="12"/>
  <c r="X31" i="12"/>
  <c r="Y31" i="12"/>
  <c r="Z31" i="12"/>
  <c r="AA31" i="12"/>
  <c r="AB31" i="12"/>
  <c r="AC31" i="12"/>
  <c r="X32" i="12"/>
  <c r="Y32" i="12"/>
  <c r="Z32" i="12"/>
  <c r="AA32" i="12"/>
  <c r="AB32" i="12"/>
  <c r="AC32" i="12"/>
  <c r="Z16" i="32" l="1"/>
  <c r="F7" i="33" s="1"/>
  <c r="F9" i="33" s="1"/>
  <c r="W16" i="32"/>
  <c r="C7" i="33" s="1"/>
  <c r="C9" i="33" s="1"/>
  <c r="Y16" i="32"/>
  <c r="E7" i="33" s="1"/>
  <c r="E9" i="33" s="1"/>
  <c r="V16" i="32"/>
  <c r="B7" i="33" s="1"/>
  <c r="B9" i="33" s="1"/>
  <c r="X16" i="32"/>
  <c r="D7" i="33" s="1"/>
  <c r="D9" i="33" s="1"/>
  <c r="U16" i="32"/>
  <c r="A7" i="33" s="1"/>
  <c r="A9" i="33" s="1"/>
  <c r="AC17" i="12"/>
  <c r="AB17" i="12"/>
  <c r="AA17" i="12"/>
  <c r="Z17" i="12"/>
  <c r="Y17" i="12"/>
  <c r="X17" i="12"/>
  <c r="AC16" i="12"/>
  <c r="AB16" i="12"/>
  <c r="AA16" i="12"/>
  <c r="Z16" i="12"/>
  <c r="Y16" i="12"/>
  <c r="X16" i="12"/>
  <c r="AC15" i="12"/>
  <c r="AB15" i="12"/>
  <c r="AA15" i="12"/>
  <c r="Z15" i="12"/>
  <c r="Y15" i="12"/>
  <c r="X15" i="12"/>
  <c r="AC14" i="12"/>
  <c r="AB14" i="12"/>
  <c r="AA14" i="12"/>
  <c r="Z14" i="12"/>
  <c r="Y14" i="12"/>
  <c r="X14" i="12"/>
  <c r="AC13" i="12"/>
  <c r="AB13" i="12"/>
  <c r="AA13" i="12"/>
  <c r="Z13" i="12"/>
  <c r="Y13" i="12"/>
  <c r="X13" i="12"/>
  <c r="AC12" i="12"/>
  <c r="AB12" i="12"/>
  <c r="AA12" i="12"/>
  <c r="Z12" i="12"/>
  <c r="Y12" i="12"/>
  <c r="X12" i="12"/>
  <c r="AC11" i="12"/>
  <c r="AB11" i="12"/>
  <c r="AA11" i="12"/>
  <c r="Z11" i="12"/>
  <c r="Y11" i="12"/>
  <c r="X11" i="12"/>
  <c r="AC10" i="12"/>
  <c r="AB10" i="12"/>
  <c r="AA10" i="12"/>
  <c r="Z10" i="12"/>
  <c r="Y10" i="12"/>
  <c r="X10" i="12"/>
  <c r="AC9" i="12"/>
  <c r="AB9" i="12"/>
  <c r="AA9" i="12"/>
  <c r="Z9" i="12"/>
  <c r="Y9" i="12"/>
  <c r="X9" i="12"/>
  <c r="AC8" i="12"/>
  <c r="AB8" i="12"/>
  <c r="AA8" i="12"/>
  <c r="Z8" i="12"/>
  <c r="Y8" i="12"/>
  <c r="X8" i="12"/>
  <c r="AC7" i="12"/>
  <c r="AB7" i="12"/>
  <c r="AA7" i="12"/>
  <c r="Z7" i="12"/>
  <c r="Y7" i="12"/>
  <c r="X7" i="12"/>
  <c r="AC6" i="12"/>
  <c r="AB6" i="12"/>
  <c r="AA6" i="12"/>
  <c r="Z6" i="12"/>
  <c r="Y6" i="12"/>
  <c r="X6" i="12"/>
  <c r="AC5" i="12"/>
  <c r="AB5" i="12"/>
  <c r="AA5" i="12"/>
  <c r="Z5" i="12"/>
  <c r="Y5" i="12"/>
  <c r="X5" i="12"/>
  <c r="AC4" i="12"/>
  <c r="AC34" i="12" s="1"/>
  <c r="AB4" i="12"/>
  <c r="AB34" i="12" s="1"/>
  <c r="AA4" i="12"/>
  <c r="Z4" i="12"/>
  <c r="Y4" i="12"/>
  <c r="X4" i="12"/>
  <c r="X34" i="12" l="1"/>
  <c r="Y34" i="12"/>
  <c r="Z34" i="12"/>
  <c r="AA34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tc={C96BAFC3-33B7-45B5-930E-AAACDEA85BC7}</author>
  </authors>
  <commentList>
    <comment ref="K3" authorId="0" shapeId="0" xr:uid="{C96BAFC3-33B7-45B5-930E-AAACDEA85BC7}">
      <text>
        <t>[Threaded comment]
Your version of Excel allows you to read this threaded comment; however, any edits to it will get removed if the file is opened in a newer version of Excel. Learn more: https://go.microsoft.com/fwlink/?linkid=870924
Comment:
    Bad string rubbing</t>
      </text>
    </comment>
  </commentList>
</comments>
</file>

<file path=xl/sharedStrings.xml><?xml version="1.0" encoding="utf-8"?>
<sst xmlns="http://schemas.openxmlformats.org/spreadsheetml/2006/main" count="120" uniqueCount="57">
  <si>
    <t>Fx (N)</t>
  </si>
  <si>
    <t>Fy (N)</t>
  </si>
  <si>
    <t>Fz (N)</t>
  </si>
  <si>
    <t>Tx (Nm)</t>
  </si>
  <si>
    <t>Ty (Nm)</t>
  </si>
  <si>
    <t>Tz(Nm)</t>
  </si>
  <si>
    <t>6-Axis FT Sensor</t>
  </si>
  <si>
    <t>tau1 (N)</t>
  </si>
  <si>
    <t>tau2 (N)</t>
  </si>
  <si>
    <t>tau3 (N)</t>
  </si>
  <si>
    <t>Ground Truth</t>
  </si>
  <si>
    <t>SoRoSim get_proximal_value</t>
  </si>
  <si>
    <t>Proximal Errors</t>
  </si>
  <si>
    <t>F1 (N)</t>
  </si>
  <si>
    <t>s1 (m)</t>
  </si>
  <si>
    <t>el1 (rad)</t>
  </si>
  <si>
    <t>F2 (N)</t>
  </si>
  <si>
    <t>s2 (m)</t>
  </si>
  <si>
    <t>el2 (rad)</t>
  </si>
  <si>
    <t>az1 (rad)</t>
  </si>
  <si>
    <t>az2 (rad)</t>
  </si>
  <si>
    <t>Systematic Bias</t>
  </si>
  <si>
    <t>Centered Data (Subtract the Mean)</t>
  </si>
  <si>
    <t>Standard Deviation of centered values</t>
  </si>
  <si>
    <t>Standard Deviation of non-centered values</t>
  </si>
  <si>
    <t>Up</t>
  </si>
  <si>
    <t>Down</t>
  </si>
  <si>
    <t>Applied force (N)</t>
  </si>
  <si>
    <t>Errors</t>
  </si>
  <si>
    <t>Max</t>
  </si>
  <si>
    <t>theta2 (rad)</t>
  </si>
  <si>
    <t>theta1 (rad)</t>
  </si>
  <si>
    <t>Tilt1 (deg)</t>
  </si>
  <si>
    <t>Tilt2 (deg)</t>
  </si>
  <si>
    <t>pitch1 (rad)</t>
  </si>
  <si>
    <t>Experiment Name</t>
  </si>
  <si>
    <t>pitch2 (rad)</t>
  </si>
  <si>
    <t xml:space="preserve"> |W_nominal - W_tilted|</t>
  </si>
  <si>
    <t>Scenario E: Direction (z-axis) Both Tilt Up</t>
  </si>
  <si>
    <t>Scenario F: Direction (z-axis) Both Tilt Down</t>
  </si>
  <si>
    <t>Scenario G: Direction (z-axis) Opposite Tilt</t>
  </si>
  <si>
    <t>Scenario H: Direction (z-axis) Opposite Tilt Flipped</t>
  </si>
  <si>
    <t>Scenario A: Direction (y-axis) Both Tilt Up</t>
  </si>
  <si>
    <t>Scenario B: Direction (y-axis) Both Tilt Down</t>
  </si>
  <si>
    <t>Scenario C: Direction (y-axis) Opposite Tilt</t>
  </si>
  <si>
    <t>Scenario D: Direction (y-axis) Opposite Tilt Flipped</t>
  </si>
  <si>
    <t>Maximum difference per channel</t>
  </si>
  <si>
    <t>Baseline (r=2 mm cylindrical) Direction (y-axis)</t>
  </si>
  <si>
    <t>Baseline (r=2 mm cylindrical) Direction (z-axis)</t>
  </si>
  <si>
    <t>Sensor_Error Standard Deviation</t>
  </si>
  <si>
    <t>Overall Standard deviation</t>
  </si>
  <si>
    <t>Applied weight (g)</t>
  </si>
  <si>
    <t>Static Noise test under 1.2N load (z-direction)</t>
  </si>
  <si>
    <t>Corrected (assuming symmetric and isotropic)</t>
  </si>
  <si>
    <t>Hysteresis_Error Standard Deviation</t>
  </si>
  <si>
    <t>Angle_Error Standard Deviation</t>
  </si>
  <si>
    <t>Angle_Error Standard Deviation (assuming  "Max Error" as the 3_sigma limit)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</si>
</sst>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71" formatCode="0.000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8" borderId="0" applyNumberFormat="0" applyBorder="0" applyAlignment="0" applyProtection="0"/>
  </cellStyleXfs>
  <cellXfs count="35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64" fontId="3" fillId="7" borderId="1" xfId="0" applyNumberFormat="1" applyFont="1" applyFill="1" applyBorder="1"/>
    <xf numFmtId="164" fontId="2" fillId="8" borderId="1" xfId="1" applyNumberFormat="1" applyBorder="1"/>
    <xf numFmtId="164" fontId="0" fillId="0" borderId="0" xfId="0" applyNumberFormat="1"/>
    <xf numFmtId="165" fontId="0" fillId="0" borderId="0" xfId="0" applyNumberFormat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1" xfId="0" applyBorder="1" applyAlignment="1">
      <alignment horizontal="right"/>
    </xf>
    <xf numFmtId="165" fontId="0" fillId="0" borderId="1" xfId="0" applyNumberFormat="1" applyBorder="1"/>
    <xf numFmtId="0" fontId="1" fillId="6" borderId="2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171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Hysteresis_Error!$B$3:$B$6</c:f>
              <c:numCache>
                <c:formatCode>General</c:formatCode>
                <c:ptCount val="4"/>
                <c:pt idx="0">
                  <c:v>0</c:v>
                </c:pt>
                <c:pt idx="1">
                  <c:v>0.49050000000000005</c:v>
                </c:pt>
                <c:pt idx="2">
                  <c:v>0.98100000000000009</c:v>
                </c:pt>
                <c:pt idx="3">
                  <c:v>1.1772</c:v>
                </c:pt>
              </c:numCache>
            </c:numRef>
          </c:xVal>
          <c:yVal>
            <c:numRef>
              <c:f>Hysteresis_Error!$C$3:$C$6</c:f>
              <c:numCache>
                <c:formatCode>General</c:formatCode>
                <c:ptCount val="4"/>
                <c:pt idx="0">
                  <c:v>-1.60878016686183E-6</c:v>
                </c:pt>
                <c:pt idx="1">
                  <c:v>-3.0997174326330402E-4</c:v>
                </c:pt>
                <c:pt idx="2">
                  <c:v>-1.31723959930241E-3</c:v>
                </c:pt>
                <c:pt idx="3">
                  <c:v>-1.7683464102447E-3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5C-4DD2-93B8-4CA25A4EFDB0}"/>
            </c:ext>
          </c:extLst>
        </c:ser>
        <c:ser>
          <c:idx val="1"/>
          <c:order val="1"/>
          <c:tx>
            <c:v>down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Hysteresis_Error!$B$3:$B$6</c:f>
              <c:numCache>
                <c:formatCode>General</c:formatCode>
                <c:ptCount val="4"/>
                <c:pt idx="0">
                  <c:v>0</c:v>
                </c:pt>
                <c:pt idx="1">
                  <c:v>0.49050000000000005</c:v>
                </c:pt>
                <c:pt idx="2">
                  <c:v>0.98100000000000009</c:v>
                </c:pt>
                <c:pt idx="3">
                  <c:v>1.1772</c:v>
                </c:pt>
              </c:numCache>
            </c:numRef>
          </c:xVal>
          <c:yVal>
            <c:numRef>
              <c:f>Hysteresis_Error!$I$3:$I$6</c:f>
              <c:numCache>
                <c:formatCode>General</c:formatCode>
                <c:ptCount val="4"/>
                <c:pt idx="0">
                  <c:v>6.2304316088557203E-5</c:v>
                </c:pt>
                <c:pt idx="1">
                  <c:v>-6.0571008361876E-4</c:v>
                </c:pt>
                <c:pt idx="2">
                  <c:v>-1.56343937851489E-3</c:v>
                </c:pt>
                <c:pt idx="3">
                  <c:v>-1.7683464102447E-3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5C-4DD2-93B8-4CA25A4EF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309408"/>
        <c:axId val="2081308928"/>
      </c:scatterChart>
      <c:valAx>
        <c:axId val="208130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Applied</a:t>
                </a:r>
                <a:r>
                  <a:rPr lang="en-US" baseline="0"/>
                  <a:t> force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08928"/>
        <c:crosses val="autoZero"/>
        <c:crossBetween val="midCat"/>
      </c:valAx>
      <c:valAx>
        <c:axId val="208130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0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Hysteresis_Error!$B$3:$B$6</c:f>
              <c:numCache>
                <c:formatCode>General</c:formatCode>
                <c:ptCount val="4"/>
                <c:pt idx="0">
                  <c:v>0</c:v>
                </c:pt>
                <c:pt idx="1">
                  <c:v>0.49050000000000005</c:v>
                </c:pt>
                <c:pt idx="2">
                  <c:v>0.98100000000000009</c:v>
                </c:pt>
                <c:pt idx="3">
                  <c:v>1.1772</c:v>
                </c:pt>
              </c:numCache>
            </c:numRef>
          </c:xVal>
          <c:yVal>
            <c:numRef>
              <c:f>Hysteresis_Error!$D$3:$D$6</c:f>
              <c:numCache>
                <c:formatCode>General</c:formatCode>
                <c:ptCount val="4"/>
                <c:pt idx="0">
                  <c:v>1.88465310202446E-5</c:v>
                </c:pt>
                <c:pt idx="1">
                  <c:v>-0.12928463518619501</c:v>
                </c:pt>
                <c:pt idx="2">
                  <c:v>-0.26506674289703402</c:v>
                </c:pt>
                <c:pt idx="3">
                  <c:v>-0.31844446063041698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39-4BB1-A546-68FE6E5C0FCF}"/>
            </c:ext>
          </c:extLst>
        </c:ser>
        <c:ser>
          <c:idx val="1"/>
          <c:order val="1"/>
          <c:tx>
            <c:v>down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Hysteresis_Error!$B$3:$B$6</c:f>
              <c:numCache>
                <c:formatCode>General</c:formatCode>
                <c:ptCount val="4"/>
                <c:pt idx="0">
                  <c:v>0</c:v>
                </c:pt>
                <c:pt idx="1">
                  <c:v>0.49050000000000005</c:v>
                </c:pt>
                <c:pt idx="2">
                  <c:v>0.98100000000000009</c:v>
                </c:pt>
                <c:pt idx="3">
                  <c:v>1.1772</c:v>
                </c:pt>
              </c:numCache>
            </c:numRef>
          </c:xVal>
          <c:yVal>
            <c:numRef>
              <c:f>Hysteresis_Error!$J$3:$J$6</c:f>
              <c:numCache>
                <c:formatCode>General</c:formatCode>
                <c:ptCount val="4"/>
                <c:pt idx="0">
                  <c:v>-4.1646137833595298E-4</c:v>
                </c:pt>
                <c:pt idx="1">
                  <c:v>-0.12970544397830999</c:v>
                </c:pt>
                <c:pt idx="2">
                  <c:v>-0.26617881655693099</c:v>
                </c:pt>
                <c:pt idx="3">
                  <c:v>-0.31844446063041698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39-4BB1-A546-68FE6E5C0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309408"/>
        <c:axId val="2081308928"/>
      </c:scatterChart>
      <c:valAx>
        <c:axId val="208130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Applied</a:t>
                </a:r>
                <a:r>
                  <a:rPr lang="en-US" baseline="0"/>
                  <a:t> force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08928"/>
        <c:crosses val="autoZero"/>
        <c:crossBetween val="midCat"/>
      </c:valAx>
      <c:valAx>
        <c:axId val="208130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0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Hysteresis_Error!$B$3:$B$6</c:f>
              <c:numCache>
                <c:formatCode>General</c:formatCode>
                <c:ptCount val="4"/>
                <c:pt idx="0">
                  <c:v>0</c:v>
                </c:pt>
                <c:pt idx="1">
                  <c:v>0.49050000000000005</c:v>
                </c:pt>
                <c:pt idx="2">
                  <c:v>0.98100000000000009</c:v>
                </c:pt>
                <c:pt idx="3">
                  <c:v>1.1772</c:v>
                </c:pt>
              </c:numCache>
            </c:numRef>
          </c:xVal>
          <c:yVal>
            <c:numRef>
              <c:f>Hysteresis_Error!$E$3:$E$6</c:f>
              <c:numCache>
                <c:formatCode>General</c:formatCode>
                <c:ptCount val="4"/>
                <c:pt idx="0">
                  <c:v>2.88837986772705E-6</c:v>
                </c:pt>
                <c:pt idx="1">
                  <c:v>-2.2936267778277401E-3</c:v>
                </c:pt>
                <c:pt idx="2">
                  <c:v>-5.1040532998740699E-3</c:v>
                </c:pt>
                <c:pt idx="3">
                  <c:v>-6.2346826307475602E-3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53-4247-BBF5-2EA00375AEE5}"/>
            </c:ext>
          </c:extLst>
        </c:ser>
        <c:ser>
          <c:idx val="1"/>
          <c:order val="1"/>
          <c:tx>
            <c:v>down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Hysteresis_Error!$B$3:$B$6</c:f>
              <c:numCache>
                <c:formatCode>General</c:formatCode>
                <c:ptCount val="4"/>
                <c:pt idx="0">
                  <c:v>0</c:v>
                </c:pt>
                <c:pt idx="1">
                  <c:v>0.49050000000000005</c:v>
                </c:pt>
                <c:pt idx="2">
                  <c:v>0.98100000000000009</c:v>
                </c:pt>
                <c:pt idx="3">
                  <c:v>1.1772</c:v>
                </c:pt>
              </c:numCache>
            </c:numRef>
          </c:xVal>
          <c:yVal>
            <c:numRef>
              <c:f>Hysteresis_Error!$K$3:$K$6</c:f>
              <c:numCache>
                <c:formatCode>General</c:formatCode>
                <c:ptCount val="4"/>
                <c:pt idx="0">
                  <c:v>4.0425369661534198E-5</c:v>
                </c:pt>
                <c:pt idx="1">
                  <c:v>-2.4937090929597599E-3</c:v>
                </c:pt>
                <c:pt idx="2">
                  <c:v>-5.2859843708574798E-3</c:v>
                </c:pt>
                <c:pt idx="3">
                  <c:v>-6.2346826307475602E-3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53-4247-BBF5-2EA00375A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309408"/>
        <c:axId val="2081308928"/>
      </c:scatterChart>
      <c:valAx>
        <c:axId val="208130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Applied</a:t>
                </a:r>
                <a:r>
                  <a:rPr lang="en-US" baseline="0"/>
                  <a:t> force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08928"/>
        <c:crosses val="autoZero"/>
        <c:crossBetween val="midCat"/>
      </c:valAx>
      <c:valAx>
        <c:axId val="208130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0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Hysteresis_Error!$B$3:$B$6</c:f>
              <c:numCache>
                <c:formatCode>General</c:formatCode>
                <c:ptCount val="4"/>
                <c:pt idx="0">
                  <c:v>0</c:v>
                </c:pt>
                <c:pt idx="1">
                  <c:v>0.49050000000000005</c:v>
                </c:pt>
                <c:pt idx="2">
                  <c:v>0.98100000000000009</c:v>
                </c:pt>
                <c:pt idx="3">
                  <c:v>1.1772</c:v>
                </c:pt>
              </c:numCache>
            </c:numRef>
          </c:xVal>
          <c:yVal>
            <c:numRef>
              <c:f>Hysteresis_Error!$F$3:$F$6</c:f>
              <c:numCache>
                <c:formatCode>General</c:formatCode>
                <c:ptCount val="4"/>
                <c:pt idx="0">
                  <c:v>-9.8100444301962896E-4</c:v>
                </c:pt>
                <c:pt idx="1">
                  <c:v>-0.26717236638069197</c:v>
                </c:pt>
                <c:pt idx="2">
                  <c:v>-0.55141580104827903</c:v>
                </c:pt>
                <c:pt idx="3">
                  <c:v>-0.67402482032775901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0B-4F76-B34C-1B98770786F0}"/>
            </c:ext>
          </c:extLst>
        </c:ser>
        <c:ser>
          <c:idx val="1"/>
          <c:order val="1"/>
          <c:tx>
            <c:v>down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Hysteresis_Error!$B$3:$B$6</c:f>
              <c:numCache>
                <c:formatCode>General</c:formatCode>
                <c:ptCount val="4"/>
                <c:pt idx="0">
                  <c:v>0</c:v>
                </c:pt>
                <c:pt idx="1">
                  <c:v>0.49050000000000005</c:v>
                </c:pt>
                <c:pt idx="2">
                  <c:v>0.98100000000000009</c:v>
                </c:pt>
                <c:pt idx="3">
                  <c:v>1.1772</c:v>
                </c:pt>
              </c:numCache>
            </c:numRef>
          </c:xVal>
          <c:yVal>
            <c:numRef>
              <c:f>Hysteresis_Error!$L$3:$L$6</c:f>
              <c:numCache>
                <c:formatCode>General</c:formatCode>
                <c:ptCount val="4"/>
                <c:pt idx="0">
                  <c:v>1.13668832927942E-2</c:v>
                </c:pt>
                <c:pt idx="1">
                  <c:v>-0.27222990989685097</c:v>
                </c:pt>
                <c:pt idx="2">
                  <c:v>-0.55877524614334095</c:v>
                </c:pt>
                <c:pt idx="3">
                  <c:v>-0.67402482032775901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0B-4F76-B34C-1B9877078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309408"/>
        <c:axId val="2081308928"/>
      </c:scatterChart>
      <c:valAx>
        <c:axId val="208130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Applied</a:t>
                </a:r>
                <a:r>
                  <a:rPr lang="en-US" baseline="0"/>
                  <a:t> force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08928"/>
        <c:crosses val="autoZero"/>
        <c:crossBetween val="midCat"/>
      </c:valAx>
      <c:valAx>
        <c:axId val="208130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0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Hysteresis_Error!$B$3:$B$6</c:f>
              <c:numCache>
                <c:formatCode>General</c:formatCode>
                <c:ptCount val="4"/>
                <c:pt idx="0">
                  <c:v>0</c:v>
                </c:pt>
                <c:pt idx="1">
                  <c:v>0.49050000000000005</c:v>
                </c:pt>
                <c:pt idx="2">
                  <c:v>0.98100000000000009</c:v>
                </c:pt>
                <c:pt idx="3">
                  <c:v>1.1772</c:v>
                </c:pt>
              </c:numCache>
            </c:numRef>
          </c:xVal>
          <c:yVal>
            <c:numRef>
              <c:f>Hysteresis_Error!$G$3:$G$6</c:f>
              <c:numCache>
                <c:formatCode>General</c:formatCode>
                <c:ptCount val="4"/>
                <c:pt idx="0">
                  <c:v>1.33946887217462E-5</c:v>
                </c:pt>
                <c:pt idx="1">
                  <c:v>1.5018563717603701E-3</c:v>
                </c:pt>
                <c:pt idx="2">
                  <c:v>2.6175640523433698E-3</c:v>
                </c:pt>
                <c:pt idx="3">
                  <c:v>3.28068062663078E-3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A2-4177-BAB1-CA989EFE81FD}"/>
            </c:ext>
          </c:extLst>
        </c:ser>
        <c:ser>
          <c:idx val="1"/>
          <c:order val="1"/>
          <c:tx>
            <c:v>down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Hysteresis_Error!$B$3:$B$6</c:f>
              <c:numCache>
                <c:formatCode>General</c:formatCode>
                <c:ptCount val="4"/>
                <c:pt idx="0">
                  <c:v>0</c:v>
                </c:pt>
                <c:pt idx="1">
                  <c:v>0.49050000000000005</c:v>
                </c:pt>
                <c:pt idx="2">
                  <c:v>0.98100000000000009</c:v>
                </c:pt>
                <c:pt idx="3">
                  <c:v>1.1772</c:v>
                </c:pt>
              </c:numCache>
            </c:numRef>
          </c:xVal>
          <c:yVal>
            <c:numRef>
              <c:f>Hysteresis_Error!$M$3:$M$6</c:f>
              <c:numCache>
                <c:formatCode>General</c:formatCode>
                <c:ptCount val="4"/>
                <c:pt idx="0">
                  <c:v>-1.36645883321762E-3</c:v>
                </c:pt>
                <c:pt idx="1">
                  <c:v>-9.4631686806678804E-4</c:v>
                </c:pt>
                <c:pt idx="2">
                  <c:v>1.86469033360481E-3</c:v>
                </c:pt>
                <c:pt idx="3">
                  <c:v>3.28068062663078E-3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A2-4177-BAB1-CA989EFE8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309408"/>
        <c:axId val="2081308928"/>
      </c:scatterChart>
      <c:valAx>
        <c:axId val="208130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Applied</a:t>
                </a:r>
                <a:r>
                  <a:rPr lang="en-US" baseline="0"/>
                  <a:t> force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08928"/>
        <c:crosses val="autoZero"/>
        <c:crossBetween val="midCat"/>
      </c:valAx>
      <c:valAx>
        <c:axId val="208130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0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Hysteresis_Error!$B$3:$B$6</c:f>
              <c:numCache>
                <c:formatCode>General</c:formatCode>
                <c:ptCount val="4"/>
                <c:pt idx="0">
                  <c:v>0</c:v>
                </c:pt>
                <c:pt idx="1">
                  <c:v>0.49050000000000005</c:v>
                </c:pt>
                <c:pt idx="2">
                  <c:v>0.98100000000000009</c:v>
                </c:pt>
                <c:pt idx="3">
                  <c:v>1.1772</c:v>
                </c:pt>
              </c:numCache>
            </c:numRef>
          </c:xVal>
          <c:yVal>
            <c:numRef>
              <c:f>Hysteresis_Error!$H$3:$H$6</c:f>
              <c:numCache>
                <c:formatCode>General</c:formatCode>
                <c:ptCount val="4"/>
                <c:pt idx="0">
                  <c:v>-9.2765869339927998E-4</c:v>
                </c:pt>
                <c:pt idx="1">
                  <c:v>0.397724568843842</c:v>
                </c:pt>
                <c:pt idx="2">
                  <c:v>0.80131876468658403</c:v>
                </c:pt>
                <c:pt idx="3">
                  <c:v>0.96414262056350697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CB-4A58-A223-24231A104226}"/>
            </c:ext>
          </c:extLst>
        </c:ser>
        <c:ser>
          <c:idx val="1"/>
          <c:order val="1"/>
          <c:tx>
            <c:v>down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Hysteresis_Error!$B$3:$B$6</c:f>
              <c:numCache>
                <c:formatCode>General</c:formatCode>
                <c:ptCount val="4"/>
                <c:pt idx="0">
                  <c:v>0</c:v>
                </c:pt>
                <c:pt idx="1">
                  <c:v>0.49050000000000005</c:v>
                </c:pt>
                <c:pt idx="2">
                  <c:v>0.98100000000000009</c:v>
                </c:pt>
                <c:pt idx="3">
                  <c:v>1.1772</c:v>
                </c:pt>
              </c:numCache>
            </c:numRef>
          </c:xVal>
          <c:yVal>
            <c:numRef>
              <c:f>Hysteresis_Error!$N$3:$N$6</c:f>
              <c:numCache>
                <c:formatCode>General</c:formatCode>
                <c:ptCount val="4"/>
                <c:pt idx="0">
                  <c:v>1.3270040974021E-2</c:v>
                </c:pt>
                <c:pt idx="1">
                  <c:v>0.41247585415840099</c:v>
                </c:pt>
                <c:pt idx="2">
                  <c:v>0.81001901626586903</c:v>
                </c:pt>
                <c:pt idx="3">
                  <c:v>0.96414262056350697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CB-4A58-A223-24231A10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309408"/>
        <c:axId val="2081308928"/>
      </c:scatterChart>
      <c:valAx>
        <c:axId val="208130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Applied</a:t>
                </a:r>
                <a:r>
                  <a:rPr lang="en-US" baseline="0"/>
                  <a:t> force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08928"/>
        <c:crosses val="autoZero"/>
        <c:crossBetween val="midCat"/>
      </c:valAx>
      <c:valAx>
        <c:axId val="208130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0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485775</xdr:colOff>
      <xdr:row>2</xdr:row>
      <xdr:rowOff>33337</xdr:rowOff>
    </xdr:from>
    <xdr:to>
      <xdr:col>28</xdr:col>
      <xdr:colOff>180975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A62EE-D02A-CB61-FA5A-8B9B15394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485775</xdr:colOff>
      <xdr:row>17</xdr:row>
      <xdr:rowOff>114300</xdr:rowOff>
    </xdr:from>
    <xdr:to>
      <xdr:col>28</xdr:col>
      <xdr:colOff>180975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6FE555-D929-47C4-99BD-10127640A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447675</xdr:colOff>
      <xdr:row>32</xdr:row>
      <xdr:rowOff>123825</xdr:rowOff>
    </xdr:from>
    <xdr:to>
      <xdr:col>28</xdr:col>
      <xdr:colOff>142875</xdr:colOff>
      <xdr:row>47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65E88E-DF36-4AC2-A082-1AAB911AA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419100</xdr:colOff>
      <xdr:row>2</xdr:row>
      <xdr:rowOff>38100</xdr:rowOff>
    </xdr:from>
    <xdr:to>
      <xdr:col>36</xdr:col>
      <xdr:colOff>114300</xdr:colOff>
      <xdr:row>16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990DA3-3BD3-4E9D-B509-389FCE4C0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457200</xdr:colOff>
      <xdr:row>17</xdr:row>
      <xdr:rowOff>114300</xdr:rowOff>
    </xdr:from>
    <xdr:to>
      <xdr:col>36</xdr:col>
      <xdr:colOff>152400</xdr:colOff>
      <xdr:row>32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E330EF-02EF-4BF2-A5DF-BEC7C3067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419100</xdr:colOff>
      <xdr:row>32</xdr:row>
      <xdr:rowOff>152400</xdr:rowOff>
    </xdr:from>
    <xdr:to>
      <xdr:col>36</xdr:col>
      <xdr:colOff>114300</xdr:colOff>
      <xdr:row>47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AB02648-4F21-41E5-8768-3FB9B4E79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oah Jones" id="{49EEF8AB-B295-45B8-83DF-414EEA0D2F95}" userId="S::Noah@familiajones.org::c7736cb5-d3f8-4f6c-bac8-cbab17b7e33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" dT="2025-10-08T02:34:31.01" personId="{49EEF8AB-B295-45B8-83DF-414EEA0D2F95}" id="{C96BAFC3-33B7-45B5-930E-AAACDEA85BC7}">
    <text>Bad string rubbing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C79"/>
  <sheetViews>
    <sheetView workbookViewId="0">
      <selection activeCell="X1" sqref="X1:AC2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9" width="8.140625" bestFit="1" customWidth="1"/>
    <col min="20" max="20" width="7.7109375" bestFit="1" customWidth="1"/>
    <col min="21" max="23" width="6.42578125" bestFit="1" customWidth="1"/>
    <col min="24" max="25" width="8.28515625" bestFit="1" customWidth="1"/>
    <col min="26" max="26" width="7.85546875" bestFit="1" customWidth="1"/>
    <col min="27" max="29" width="7.5703125" bestFit="1" customWidth="1"/>
  </cols>
  <sheetData>
    <row r="1" spans="1:29" ht="15.75" x14ac:dyDescent="0.25">
      <c r="A1" s="16" t="s">
        <v>10</v>
      </c>
      <c r="B1" s="16"/>
      <c r="C1" s="16"/>
      <c r="D1" s="16"/>
      <c r="E1" s="16"/>
      <c r="F1" s="16"/>
      <c r="G1" s="16"/>
      <c r="H1" s="16"/>
      <c r="I1" s="16"/>
      <c r="J1" s="16"/>
      <c r="K1" s="17"/>
      <c r="L1" s="18" t="s">
        <v>6</v>
      </c>
      <c r="M1" s="19"/>
      <c r="N1" s="19"/>
      <c r="O1" s="19"/>
      <c r="P1" s="19"/>
      <c r="Q1" s="19"/>
      <c r="R1" s="20" t="s">
        <v>11</v>
      </c>
      <c r="S1" s="21"/>
      <c r="T1" s="21"/>
      <c r="U1" s="21"/>
      <c r="V1" s="21"/>
      <c r="W1" s="21"/>
      <c r="X1" s="22" t="s">
        <v>12</v>
      </c>
      <c r="Y1" s="23"/>
      <c r="Z1" s="23"/>
      <c r="AA1" s="23"/>
      <c r="AB1" s="23"/>
      <c r="AC1" s="24"/>
    </row>
    <row r="2" spans="1:29" ht="15.75" x14ac:dyDescent="0.25">
      <c r="A2" s="1" t="s">
        <v>13</v>
      </c>
      <c r="B2" s="1" t="s">
        <v>14</v>
      </c>
      <c r="C2" s="1" t="s">
        <v>15</v>
      </c>
      <c r="D2" s="1" t="s">
        <v>19</v>
      </c>
      <c r="E2" s="1" t="s">
        <v>16</v>
      </c>
      <c r="F2" s="1" t="s">
        <v>17</v>
      </c>
      <c r="G2" s="1" t="s">
        <v>18</v>
      </c>
      <c r="H2" s="1" t="s">
        <v>20</v>
      </c>
      <c r="I2" s="1" t="s">
        <v>7</v>
      </c>
      <c r="J2" s="1" t="s">
        <v>8</v>
      </c>
      <c r="K2" s="1" t="s">
        <v>9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3</v>
      </c>
      <c r="S2" s="1" t="s">
        <v>4</v>
      </c>
      <c r="T2" s="1" t="s">
        <v>5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0</v>
      </c>
      <c r="AB2" s="1" t="s">
        <v>1</v>
      </c>
      <c r="AC2" s="1" t="s">
        <v>2</v>
      </c>
    </row>
    <row r="3" spans="1:29" s="4" customFormat="1" x14ac:dyDescent="0.25">
      <c r="A3" s="5">
        <v>0.3</v>
      </c>
      <c r="B3" s="5">
        <v>0.2</v>
      </c>
      <c r="C3" s="5">
        <v>1.57</v>
      </c>
      <c r="D3" s="5">
        <f>PI()/2</f>
        <v>1.5707963267948966</v>
      </c>
      <c r="E3" s="5">
        <v>0.3</v>
      </c>
      <c r="F3" s="5">
        <v>0.08</v>
      </c>
      <c r="G3" s="5">
        <v>3.1419999999999999</v>
      </c>
      <c r="H3" s="5">
        <f>PI()/2</f>
        <v>1.5707963267948966</v>
      </c>
      <c r="I3" s="5">
        <v>0</v>
      </c>
      <c r="J3" s="5">
        <v>0</v>
      </c>
      <c r="K3" s="5">
        <v>0</v>
      </c>
      <c r="X3" s="4">
        <f>L3-R3</f>
        <v>0</v>
      </c>
      <c r="Y3" s="4">
        <f t="shared" ref="Y3:AC3" si="0">M3-S3</f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">
        <f t="shared" si="0"/>
        <v>0</v>
      </c>
    </row>
    <row r="4" spans="1:29" s="4" customFormat="1" x14ac:dyDescent="0.25">
      <c r="A4" s="5">
        <v>0.4</v>
      </c>
      <c r="B4" s="5">
        <v>0.1</v>
      </c>
      <c r="C4" s="5">
        <v>1.57</v>
      </c>
      <c r="D4" s="5">
        <f t="shared" ref="D4:D17" si="1">PI()/2</f>
        <v>1.5707963267948966</v>
      </c>
      <c r="E4" s="5">
        <v>0.5</v>
      </c>
      <c r="F4" s="5">
        <v>0.06</v>
      </c>
      <c r="G4" s="5">
        <v>4.7119999999999997</v>
      </c>
      <c r="H4" s="5">
        <f t="shared" ref="H4:H17" si="2">PI()/2</f>
        <v>1.5707963267948966</v>
      </c>
      <c r="I4" s="5">
        <v>0.8</v>
      </c>
      <c r="J4" s="5">
        <v>0</v>
      </c>
      <c r="K4" s="5">
        <v>0</v>
      </c>
      <c r="L4" s="4">
        <v>-6.9790857378393401E-4</v>
      </c>
      <c r="M4" s="4">
        <v>-7.3205647058784996E-3</v>
      </c>
      <c r="N4" s="4">
        <v>-3.4127428079955302E-4</v>
      </c>
      <c r="O4" s="4">
        <v>-5.5667467415332801E-2</v>
      </c>
      <c r="P4" s="4">
        <v>-1.0312870144844101E-3</v>
      </c>
      <c r="Q4" s="4">
        <v>-7.8237302601337405E-2</v>
      </c>
      <c r="R4" s="4">
        <v>2.8569799581245557E-4</v>
      </c>
      <c r="S4" s="4">
        <v>-1.0087775576834955E-3</v>
      </c>
      <c r="T4" s="4">
        <v>2.174307973358988E-5</v>
      </c>
      <c r="U4" s="4">
        <v>-4.2225168733916784E-3</v>
      </c>
      <c r="V4" s="4">
        <v>-1.5537278931954367E-5</v>
      </c>
      <c r="W4" s="4">
        <v>-0.10037540855181519</v>
      </c>
      <c r="X4" s="4">
        <f t="shared" ref="X4:X17" si="3">L4-R4</f>
        <v>-9.8360656959638952E-4</v>
      </c>
      <c r="Y4" s="4">
        <f t="shared" ref="Y4:Y17" si="4">M4-S4</f>
        <v>-6.3117871481950041E-3</v>
      </c>
      <c r="Z4" s="4">
        <f t="shared" ref="Z4:Z17" si="5">N4-T4</f>
        <v>-3.6301736053314287E-4</v>
      </c>
      <c r="AA4" s="4">
        <f t="shared" ref="AA4:AA17" si="6">O4-U4</f>
        <v>-5.144495054194112E-2</v>
      </c>
      <c r="AB4" s="4">
        <f t="shared" ref="AB4:AB17" si="7">P4-V4</f>
        <v>-1.0157497355524558E-3</v>
      </c>
      <c r="AC4" s="4">
        <f t="shared" ref="AC4:AC17" si="8">Q4-W4</f>
        <v>2.2138105950477785E-2</v>
      </c>
    </row>
    <row r="5" spans="1:29" s="4" customFormat="1" x14ac:dyDescent="0.25">
      <c r="A5" s="5">
        <v>0.7</v>
      </c>
      <c r="B5" s="5">
        <v>0.16</v>
      </c>
      <c r="C5" s="5">
        <v>1.57</v>
      </c>
      <c r="D5" s="5">
        <f t="shared" si="1"/>
        <v>1.5707963267948966</v>
      </c>
      <c r="E5" s="5">
        <v>0.7</v>
      </c>
      <c r="F5" s="5">
        <v>0.02</v>
      </c>
      <c r="G5" s="5">
        <v>4.7119999999999997</v>
      </c>
      <c r="H5" s="5">
        <f t="shared" si="2"/>
        <v>1.5707963267948966</v>
      </c>
      <c r="I5" s="5">
        <v>0</v>
      </c>
      <c r="J5" s="5">
        <v>0</v>
      </c>
      <c r="K5" s="5">
        <v>0</v>
      </c>
      <c r="L5" s="4">
        <v>-1.0536191985011101E-3</v>
      </c>
      <c r="M5" s="4">
        <v>-7.8555814921855899E-2</v>
      </c>
      <c r="N5" s="4">
        <v>-8.4829382831230803E-4</v>
      </c>
      <c r="O5" s="4">
        <v>-0.290728449821472</v>
      </c>
      <c r="P5" s="4">
        <v>-5.1247030496597299E-3</v>
      </c>
      <c r="Q5" s="4">
        <v>-0.149505704641342</v>
      </c>
      <c r="R5" s="4">
        <v>-5.9414687019557065E-14</v>
      </c>
      <c r="S5" s="4">
        <v>-9.1673922945979869E-2</v>
      </c>
      <c r="T5" s="4">
        <v>1.0413138209451165E-4</v>
      </c>
      <c r="U5" s="4">
        <v>-0.21863284700567198</v>
      </c>
      <c r="V5" s="4">
        <v>2.4029001118472675E-4</v>
      </c>
      <c r="W5" s="4">
        <v>-5.5548671066361563E-2</v>
      </c>
      <c r="X5" s="4">
        <f t="shared" si="3"/>
        <v>-1.0536191984416954E-3</v>
      </c>
      <c r="Y5" s="4">
        <f t="shared" si="4"/>
        <v>1.311810802412397E-2</v>
      </c>
      <c r="Z5" s="4">
        <f t="shared" si="5"/>
        <v>-9.524252104068197E-4</v>
      </c>
      <c r="AA5" s="4">
        <f t="shared" si="6"/>
        <v>-7.209560281580002E-2</v>
      </c>
      <c r="AB5" s="4">
        <f t="shared" si="7"/>
        <v>-5.3649930608444564E-3</v>
      </c>
      <c r="AC5" s="4">
        <f t="shared" si="8"/>
        <v>-9.3957033574980434E-2</v>
      </c>
    </row>
    <row r="6" spans="1:29" s="4" customFormat="1" x14ac:dyDescent="0.25">
      <c r="A6" s="5">
        <v>0.7</v>
      </c>
      <c r="B6" s="5">
        <v>0.18</v>
      </c>
      <c r="C6" s="5">
        <v>2.3559999999999999</v>
      </c>
      <c r="D6" s="5">
        <f t="shared" si="1"/>
        <v>1.5707963267948966</v>
      </c>
      <c r="E6" s="5">
        <v>0.8</v>
      </c>
      <c r="F6" s="5">
        <v>0.06</v>
      </c>
      <c r="G6" s="5">
        <v>3.1419999999999999</v>
      </c>
      <c r="H6" s="5">
        <f t="shared" si="2"/>
        <v>1.5707963267948966</v>
      </c>
      <c r="I6" s="5">
        <v>0.8</v>
      </c>
      <c r="J6" s="5">
        <v>0</v>
      </c>
      <c r="K6" s="5">
        <v>0</v>
      </c>
      <c r="L6" s="4">
        <v>5.7581164874136396E-3</v>
      </c>
      <c r="M6" s="4">
        <v>-0.10363680869340899</v>
      </c>
      <c r="N6" s="4">
        <v>-0.23897853493690499</v>
      </c>
      <c r="O6" s="4">
        <v>-0.52015882730483998</v>
      </c>
      <c r="P6" s="4">
        <v>-1.09926557540894</v>
      </c>
      <c r="Q6" s="4">
        <v>0.267356157302856</v>
      </c>
      <c r="R6" s="4">
        <v>3.4925322799582684E-3</v>
      </c>
      <c r="S6" s="4">
        <v>-0.123478612680415</v>
      </c>
      <c r="T6" s="4">
        <v>-0.24049207022235591</v>
      </c>
      <c r="U6" s="4">
        <v>-0.57507160944026781</v>
      </c>
      <c r="V6" s="4">
        <v>-1.1870392186587875</v>
      </c>
      <c r="W6" s="4">
        <v>0.4030052867277048</v>
      </c>
      <c r="X6" s="4">
        <f t="shared" si="3"/>
        <v>2.2655842074553712E-3</v>
      </c>
      <c r="Y6" s="4">
        <f t="shared" si="4"/>
        <v>1.984180398700601E-2</v>
      </c>
      <c r="Z6" s="4">
        <f t="shared" si="5"/>
        <v>1.5135352854509232E-3</v>
      </c>
      <c r="AA6" s="4">
        <f t="shared" si="6"/>
        <v>5.4912782135427829E-2</v>
      </c>
      <c r="AB6" s="4">
        <f t="shared" si="7"/>
        <v>8.7773643249847488E-2</v>
      </c>
      <c r="AC6" s="4">
        <f t="shared" si="8"/>
        <v>-0.1356491294248488</v>
      </c>
    </row>
    <row r="7" spans="1:29" s="4" customFormat="1" x14ac:dyDescent="0.25">
      <c r="A7" s="5">
        <v>0.6</v>
      </c>
      <c r="B7" s="5">
        <v>0.12</v>
      </c>
      <c r="C7" s="5">
        <v>2.3559999999999999</v>
      </c>
      <c r="D7" s="5">
        <f t="shared" si="1"/>
        <v>1.5707963267948966</v>
      </c>
      <c r="E7" s="5">
        <v>0.3</v>
      </c>
      <c r="F7" s="5">
        <v>0.04</v>
      </c>
      <c r="G7" s="5">
        <v>3.927</v>
      </c>
      <c r="H7" s="5">
        <f t="shared" si="2"/>
        <v>1.5707963267948966</v>
      </c>
      <c r="I7" s="5">
        <v>0.4</v>
      </c>
      <c r="J7" s="5">
        <v>0</v>
      </c>
      <c r="K7" s="5">
        <v>0</v>
      </c>
      <c r="L7" s="4">
        <v>-2.44866497814655E-3</v>
      </c>
      <c r="M7" s="4">
        <v>-6.6844537854194599E-2</v>
      </c>
      <c r="N7" s="4">
        <v>-0.113934345543385</v>
      </c>
      <c r="O7" s="4">
        <v>-0.13137710094451899</v>
      </c>
      <c r="P7" s="4">
        <v>-0.59289419651031505</v>
      </c>
      <c r="Q7" s="4">
        <v>0.26247158646583602</v>
      </c>
      <c r="R7" s="4">
        <v>6.1658665523164837E-4</v>
      </c>
      <c r="S7" s="4">
        <v>-6.071996499160652E-2</v>
      </c>
      <c r="T7" s="4">
        <v>-0.11561776916290079</v>
      </c>
      <c r="U7" s="4">
        <v>-0.11970483789245874</v>
      </c>
      <c r="V7" s="4">
        <v>-0.62771751481344185</v>
      </c>
      <c r="W7" s="4">
        <v>0.20413645002016334</v>
      </c>
      <c r="X7" s="4">
        <f t="shared" si="3"/>
        <v>-3.0652516333781986E-3</v>
      </c>
      <c r="Y7" s="4">
        <f t="shared" si="4"/>
        <v>-6.1245728625880791E-3</v>
      </c>
      <c r="Z7" s="4">
        <f t="shared" si="5"/>
        <v>1.6834236195157892E-3</v>
      </c>
      <c r="AA7" s="4">
        <f t="shared" si="6"/>
        <v>-1.1672263052060247E-2</v>
      </c>
      <c r="AB7" s="4">
        <f t="shared" si="7"/>
        <v>3.4823318303126793E-2</v>
      </c>
      <c r="AC7" s="4">
        <f t="shared" si="8"/>
        <v>5.8335136445672675E-2</v>
      </c>
    </row>
    <row r="8" spans="1:29" s="4" customFormat="1" x14ac:dyDescent="0.25">
      <c r="A8" s="5">
        <v>0.8</v>
      </c>
      <c r="B8" s="5">
        <v>0.12</v>
      </c>
      <c r="C8" s="5">
        <v>2.3559999999999999</v>
      </c>
      <c r="D8" s="5">
        <f t="shared" si="1"/>
        <v>1.5707963267948966</v>
      </c>
      <c r="E8" s="5">
        <v>0.5</v>
      </c>
      <c r="F8" s="5">
        <v>0.06</v>
      </c>
      <c r="G8" s="5">
        <v>3.927</v>
      </c>
      <c r="H8" s="5">
        <f t="shared" si="2"/>
        <v>1.5707963267948966</v>
      </c>
      <c r="I8" s="5">
        <v>0.4</v>
      </c>
      <c r="J8" s="5">
        <v>0</v>
      </c>
      <c r="K8" s="5">
        <v>0</v>
      </c>
      <c r="L8" s="4">
        <v>-2.50665238127112E-3</v>
      </c>
      <c r="M8" s="4">
        <v>-7.5730748474597903E-2</v>
      </c>
      <c r="N8" s="4">
        <v>-0.180317267775536</v>
      </c>
      <c r="O8" s="4">
        <v>-0.29059055447578402</v>
      </c>
      <c r="P8" s="4">
        <v>-0.92200559377670299</v>
      </c>
      <c r="Q8" s="4">
        <v>0.27903902530670199</v>
      </c>
      <c r="R8" s="4">
        <v>7.9878182123114931E-4</v>
      </c>
      <c r="S8" s="4">
        <v>-6.3983583712797748E-2</v>
      </c>
      <c r="T8" s="4">
        <v>-0.16900056067378727</v>
      </c>
      <c r="U8" s="4">
        <v>-0.22623756585888674</v>
      </c>
      <c r="V8" s="4">
        <v>-0.89475974891427545</v>
      </c>
      <c r="W8" s="4">
        <v>0.19533585286758007</v>
      </c>
      <c r="X8" s="4">
        <f t="shared" si="3"/>
        <v>-3.3054342025022692E-3</v>
      </c>
      <c r="Y8" s="4">
        <f t="shared" si="4"/>
        <v>-1.1747164761800155E-2</v>
      </c>
      <c r="Z8" s="4">
        <f t="shared" si="5"/>
        <v>-1.131670710174873E-2</v>
      </c>
      <c r="AA8" s="4">
        <f t="shared" si="6"/>
        <v>-6.4352988616897283E-2</v>
      </c>
      <c r="AB8" s="4">
        <f t="shared" si="7"/>
        <v>-2.7245844862427537E-2</v>
      </c>
      <c r="AC8" s="4">
        <f t="shared" si="8"/>
        <v>8.3703172439121926E-2</v>
      </c>
    </row>
    <row r="9" spans="1:29" s="4" customFormat="1" x14ac:dyDescent="0.25">
      <c r="A9" s="5">
        <v>0.3</v>
      </c>
      <c r="B9" s="5">
        <v>0.18</v>
      </c>
      <c r="C9" s="5">
        <v>3.1419999999999999</v>
      </c>
      <c r="D9" s="5">
        <f t="shared" si="1"/>
        <v>1.5707963267948966</v>
      </c>
      <c r="E9" s="5">
        <v>0.4</v>
      </c>
      <c r="F9" s="5">
        <v>0.04</v>
      </c>
      <c r="G9" s="5">
        <v>3.927</v>
      </c>
      <c r="H9" s="5">
        <f t="shared" si="2"/>
        <v>1.5707963267948966</v>
      </c>
      <c r="I9" s="5">
        <v>1.2</v>
      </c>
      <c r="J9" s="5">
        <v>0</v>
      </c>
      <c r="K9" s="5">
        <v>0</v>
      </c>
      <c r="L9" s="4">
        <v>8.5229938849806796E-4</v>
      </c>
      <c r="M9" s="4">
        <v>3.4337110817432397E-2</v>
      </c>
      <c r="N9" s="4">
        <v>-9.4974353909492507E-2</v>
      </c>
      <c r="O9" s="4">
        <v>-1.8785402178764302E-2</v>
      </c>
      <c r="P9" s="4">
        <v>-0.50129872560501099</v>
      </c>
      <c r="Q9" s="4">
        <v>-0.25437980890273998</v>
      </c>
      <c r="R9" s="4">
        <v>1.0626163233057066E-3</v>
      </c>
      <c r="S9" s="4">
        <v>3.6640843426631001E-2</v>
      </c>
      <c r="T9" s="4">
        <v>-0.11726999182555792</v>
      </c>
      <c r="U9" s="4">
        <v>-7.4921234111361965E-2</v>
      </c>
      <c r="V9" s="4">
        <v>-0.57752927681126565</v>
      </c>
      <c r="W9" s="4">
        <v>-0.28300033478536807</v>
      </c>
      <c r="X9" s="4">
        <f t="shared" si="3"/>
        <v>-2.1031693480763863E-4</v>
      </c>
      <c r="Y9" s="4">
        <f t="shared" si="4"/>
        <v>-2.3037326091986041E-3</v>
      </c>
      <c r="Z9" s="4">
        <f t="shared" si="5"/>
        <v>2.2295637916065411E-2</v>
      </c>
      <c r="AA9" s="4">
        <f t="shared" si="6"/>
        <v>5.6135831932597663E-2</v>
      </c>
      <c r="AB9" s="4">
        <f t="shared" si="7"/>
        <v>7.623055120625466E-2</v>
      </c>
      <c r="AC9" s="4">
        <f t="shared" si="8"/>
        <v>2.8620525882628089E-2</v>
      </c>
    </row>
    <row r="10" spans="1:29" s="4" customFormat="1" x14ac:dyDescent="0.25">
      <c r="A10" s="5">
        <v>0.5</v>
      </c>
      <c r="B10" s="5">
        <v>0.2</v>
      </c>
      <c r="C10" s="5">
        <v>3.1419999999999999</v>
      </c>
      <c r="D10" s="5">
        <f t="shared" si="1"/>
        <v>1.5707963267948966</v>
      </c>
      <c r="E10" s="5">
        <v>0.7</v>
      </c>
      <c r="F10" s="5">
        <v>0.04</v>
      </c>
      <c r="G10" s="5">
        <v>3.927</v>
      </c>
      <c r="H10" s="5">
        <f t="shared" si="2"/>
        <v>1.5707963267948966</v>
      </c>
      <c r="I10" s="5">
        <v>0.4</v>
      </c>
      <c r="J10" s="5">
        <v>0</v>
      </c>
      <c r="K10" s="5">
        <v>0</v>
      </c>
      <c r="L10" s="4">
        <v>6.1825290322303804E-4</v>
      </c>
      <c r="M10" s="4">
        <v>5.5208317935466801E-2</v>
      </c>
      <c r="N10" s="4">
        <v>-0.180955275893211</v>
      </c>
      <c r="O10" s="4">
        <v>-0.24768663942813901</v>
      </c>
      <c r="P10" s="4">
        <v>-0.86978924274444602</v>
      </c>
      <c r="Q10" s="4">
        <v>-0.40951335430145303</v>
      </c>
      <c r="R10" s="4">
        <v>7.0644551815632545E-4</v>
      </c>
      <c r="S10" s="4">
        <v>6.3818821429318578E-2</v>
      </c>
      <c r="T10" s="4">
        <v>-0.20101919342143321</v>
      </c>
      <c r="U10" s="4">
        <v>-0.31092896632637745</v>
      </c>
      <c r="V10" s="4">
        <v>-0.93737974469360641</v>
      </c>
      <c r="W10" s="4">
        <v>-0.49187066419064579</v>
      </c>
      <c r="X10" s="4">
        <f t="shared" si="3"/>
        <v>-8.8192614933287408E-5</v>
      </c>
      <c r="Y10" s="4">
        <f t="shared" si="4"/>
        <v>-8.6105034938517774E-3</v>
      </c>
      <c r="Z10" s="4">
        <f t="shared" si="5"/>
        <v>2.0063917528222203E-2</v>
      </c>
      <c r="AA10" s="4">
        <f t="shared" si="6"/>
        <v>6.3242326898238443E-2</v>
      </c>
      <c r="AB10" s="4">
        <f t="shared" si="7"/>
        <v>6.7590501949160386E-2</v>
      </c>
      <c r="AC10" s="4">
        <f t="shared" si="8"/>
        <v>8.2357309889192765E-2</v>
      </c>
    </row>
    <row r="11" spans="1:29" s="4" customFormat="1" x14ac:dyDescent="0.25">
      <c r="A11" s="5">
        <v>0.4</v>
      </c>
      <c r="B11" s="5">
        <v>0.14000000000000001</v>
      </c>
      <c r="C11" s="5">
        <v>3.927</v>
      </c>
      <c r="D11" s="5">
        <f t="shared" si="1"/>
        <v>1.5707963267948966</v>
      </c>
      <c r="E11" s="5">
        <v>0.5</v>
      </c>
      <c r="F11" s="5">
        <v>0.02</v>
      </c>
      <c r="G11" s="5">
        <v>3.1419999999999999</v>
      </c>
      <c r="H11" s="5">
        <f t="shared" si="2"/>
        <v>1.5707963267948966</v>
      </c>
      <c r="I11" s="5">
        <v>0.8</v>
      </c>
      <c r="J11" s="5">
        <v>0</v>
      </c>
      <c r="K11" s="5">
        <v>0</v>
      </c>
      <c r="L11" s="4">
        <v>-9.1634737327694904E-4</v>
      </c>
      <c r="M11" s="4">
        <v>5.3316056728363002E-2</v>
      </c>
      <c r="N11" s="4">
        <v>-0.111444413661957</v>
      </c>
      <c r="O11" s="4">
        <v>-5.3304430097341503E-2</v>
      </c>
      <c r="P11" s="4">
        <v>-0.72502011060714699</v>
      </c>
      <c r="Q11" s="4">
        <v>-0.226083904504776</v>
      </c>
      <c r="R11" s="4">
        <v>-2.8985342779909087E-4</v>
      </c>
      <c r="S11" s="4">
        <v>6.4758142715551498E-2</v>
      </c>
      <c r="T11" s="4">
        <v>-0.11939817589106227</v>
      </c>
      <c r="U11" s="4">
        <v>-7.4125360923362485E-2</v>
      </c>
      <c r="V11" s="4">
        <v>-0.77956146249065095</v>
      </c>
      <c r="W11" s="4">
        <v>-0.27977940458055278</v>
      </c>
      <c r="X11" s="4">
        <f t="shared" si="3"/>
        <v>-6.2649394547785822E-4</v>
      </c>
      <c r="Y11" s="4">
        <f t="shared" si="4"/>
        <v>-1.1442085987188495E-2</v>
      </c>
      <c r="Z11" s="4">
        <f t="shared" si="5"/>
        <v>7.9537622291052795E-3</v>
      </c>
      <c r="AA11" s="4">
        <f t="shared" si="6"/>
        <v>2.0820930826020982E-2</v>
      </c>
      <c r="AB11" s="4">
        <f t="shared" si="7"/>
        <v>5.4541351883503952E-2</v>
      </c>
      <c r="AC11" s="4">
        <f t="shared" si="8"/>
        <v>5.3695500075776781E-2</v>
      </c>
    </row>
    <row r="12" spans="1:29" s="4" customFormat="1" x14ac:dyDescent="0.25">
      <c r="A12" s="5">
        <v>0.7</v>
      </c>
      <c r="B12" s="5">
        <v>0.12</v>
      </c>
      <c r="C12" s="5">
        <v>3.927</v>
      </c>
      <c r="D12" s="5">
        <f t="shared" si="1"/>
        <v>1.5707963267948966</v>
      </c>
      <c r="E12" s="5">
        <v>0.7</v>
      </c>
      <c r="F12" s="5">
        <v>0.08</v>
      </c>
      <c r="G12" s="5">
        <v>3.927</v>
      </c>
      <c r="H12" s="5">
        <f t="shared" si="2"/>
        <v>1.5707963267948966</v>
      </c>
      <c r="I12" s="5">
        <v>1.2</v>
      </c>
      <c r="J12" s="5">
        <v>0</v>
      </c>
      <c r="K12" s="5">
        <v>0</v>
      </c>
      <c r="L12" s="4">
        <v>-1.71207822859287E-3</v>
      </c>
      <c r="M12" s="4">
        <v>0.15619830787181899</v>
      </c>
      <c r="N12" s="4">
        <v>-0.19836303591728199</v>
      </c>
      <c r="O12" s="4">
        <v>-0.20334188640117601</v>
      </c>
      <c r="P12" s="4">
        <v>-1.0199680328369101</v>
      </c>
      <c r="Q12" s="4">
        <v>-0.78116875886917103</v>
      </c>
      <c r="R12" s="4">
        <v>-8.4782218105974481E-4</v>
      </c>
      <c r="S12" s="4">
        <v>0.18377196343231053</v>
      </c>
      <c r="T12" s="4">
        <v>-0.18381760519246831</v>
      </c>
      <c r="U12" s="4">
        <v>-0.39139552852684162</v>
      </c>
      <c r="V12" s="4">
        <v>-0.95145893898802714</v>
      </c>
      <c r="W12" s="4">
        <v>-0.94941477381920614</v>
      </c>
      <c r="X12" s="4">
        <f t="shared" si="3"/>
        <v>-8.6425604753312521E-4</v>
      </c>
      <c r="Y12" s="4">
        <f t="shared" si="4"/>
        <v>-2.7573655560491545E-2</v>
      </c>
      <c r="Z12" s="4">
        <f t="shared" si="5"/>
        <v>-1.4545430724813679E-2</v>
      </c>
      <c r="AA12" s="4">
        <f t="shared" si="6"/>
        <v>0.18805364212566561</v>
      </c>
      <c r="AB12" s="4">
        <f t="shared" si="7"/>
        <v>-6.8509093848882929E-2</v>
      </c>
      <c r="AC12" s="4">
        <f t="shared" si="8"/>
        <v>0.16824601495003511</v>
      </c>
    </row>
    <row r="13" spans="1:29" s="4" customFormat="1" x14ac:dyDescent="0.25">
      <c r="A13" s="5">
        <v>0.3</v>
      </c>
      <c r="B13" s="5">
        <v>0.1</v>
      </c>
      <c r="C13" s="5">
        <v>3.927</v>
      </c>
      <c r="D13" s="5">
        <f t="shared" si="1"/>
        <v>1.5707963267948966</v>
      </c>
      <c r="E13" s="5">
        <v>0.8</v>
      </c>
      <c r="F13" s="5">
        <v>0.04</v>
      </c>
      <c r="G13" s="5">
        <v>4.7119999999999997</v>
      </c>
      <c r="H13" s="5">
        <f t="shared" si="2"/>
        <v>1.5707963267948966</v>
      </c>
      <c r="I13" s="5">
        <v>0</v>
      </c>
      <c r="J13" s="5">
        <v>0</v>
      </c>
      <c r="K13" s="5">
        <v>0</v>
      </c>
      <c r="L13" s="4">
        <v>5.1190471276640903E-4</v>
      </c>
      <c r="M13" s="4">
        <v>0.124454088509083</v>
      </c>
      <c r="N13" s="4">
        <v>-3.3203858882188797E-2</v>
      </c>
      <c r="O13" s="4">
        <v>-2.2600363940000499E-2</v>
      </c>
      <c r="P13" s="4">
        <v>-0.17098769545555101</v>
      </c>
      <c r="Q13" s="4">
        <v>-0.86582863330841098</v>
      </c>
      <c r="R13" s="4">
        <v>1.0787150049282486E-11</v>
      </c>
      <c r="S13" s="4">
        <v>0.14384393736154832</v>
      </c>
      <c r="T13" s="4">
        <v>-4.0206544512535025E-2</v>
      </c>
      <c r="U13" s="4">
        <v>-7.6307825329846909E-2</v>
      </c>
      <c r="V13" s="4">
        <v>-0.21112632906116785</v>
      </c>
      <c r="W13" s="4">
        <v>-1.0094616214450041</v>
      </c>
      <c r="X13" s="4">
        <f t="shared" si="3"/>
        <v>5.1190470197925899E-4</v>
      </c>
      <c r="Y13" s="4">
        <f t="shared" si="4"/>
        <v>-1.9389848852465322E-2</v>
      </c>
      <c r="Z13" s="4">
        <f t="shared" si="5"/>
        <v>7.0026856303462282E-3</v>
      </c>
      <c r="AA13" s="4">
        <f t="shared" si="6"/>
        <v>5.370746138984641E-2</v>
      </c>
      <c r="AB13" s="4">
        <f t="shared" si="7"/>
        <v>4.0138633605616841E-2</v>
      </c>
      <c r="AC13" s="4">
        <f t="shared" si="8"/>
        <v>0.14363298813659309</v>
      </c>
    </row>
    <row r="14" spans="1:29" s="4" customFormat="1" x14ac:dyDescent="0.25">
      <c r="A14" s="5">
        <v>0.6</v>
      </c>
      <c r="B14" s="5">
        <v>0.18</v>
      </c>
      <c r="C14" s="5">
        <v>3.927</v>
      </c>
      <c r="D14" s="5">
        <f t="shared" si="1"/>
        <v>1.5707963267948966</v>
      </c>
      <c r="E14" s="5">
        <v>0.4</v>
      </c>
      <c r="F14" s="5">
        <v>0.08</v>
      </c>
      <c r="G14" s="5">
        <v>4.7119999999999997</v>
      </c>
      <c r="H14" s="5">
        <f t="shared" si="2"/>
        <v>1.5707963267948966</v>
      </c>
      <c r="I14" s="5">
        <v>0</v>
      </c>
      <c r="J14" s="5">
        <v>0</v>
      </c>
      <c r="K14" s="5">
        <v>0</v>
      </c>
      <c r="L14" s="4">
        <v>-5.7422183454036702E-4</v>
      </c>
      <c r="M14" s="4">
        <v>0.162286356091499</v>
      </c>
      <c r="N14" s="4">
        <v>-0.11205181479454</v>
      </c>
      <c r="O14" s="4">
        <v>-0.35012972354888899</v>
      </c>
      <c r="P14" s="4">
        <v>-0.37300896644592302</v>
      </c>
      <c r="Q14" s="4">
        <v>-0.69461756944656405</v>
      </c>
      <c r="R14" s="4">
        <v>1.5387707760534714E-10</v>
      </c>
      <c r="S14" s="4">
        <v>0.17397564880746486</v>
      </c>
      <c r="T14" s="4">
        <v>-0.1078427643815609</v>
      </c>
      <c r="U14" s="4">
        <v>-0.39573746720649883</v>
      </c>
      <c r="V14" s="4">
        <v>-0.36765930738156366</v>
      </c>
      <c r="W14" s="4">
        <v>-0.7511408470152755</v>
      </c>
      <c r="X14" s="4">
        <f t="shared" si="3"/>
        <v>-5.7422198841744466E-4</v>
      </c>
      <c r="Y14" s="4">
        <f t="shared" si="4"/>
        <v>-1.168929271596586E-2</v>
      </c>
      <c r="Z14" s="4">
        <f t="shared" si="5"/>
        <v>-4.2090504129791012E-3</v>
      </c>
      <c r="AA14" s="4">
        <f t="shared" si="6"/>
        <v>4.5607743657609834E-2</v>
      </c>
      <c r="AB14" s="4">
        <f t="shared" si="7"/>
        <v>-5.3496590643593578E-3</v>
      </c>
      <c r="AC14" s="4">
        <f t="shared" si="8"/>
        <v>5.652327756871145E-2</v>
      </c>
    </row>
    <row r="15" spans="1:29" s="4" customFormat="1" x14ac:dyDescent="0.25">
      <c r="A15" s="5">
        <v>0.7</v>
      </c>
      <c r="B15" s="5">
        <v>0.1</v>
      </c>
      <c r="C15" s="5">
        <v>4.7119999999999997</v>
      </c>
      <c r="D15" s="5">
        <f t="shared" si="1"/>
        <v>1.5707963267948966</v>
      </c>
      <c r="E15" s="5">
        <v>0.4</v>
      </c>
      <c r="F15" s="5">
        <v>0.04</v>
      </c>
      <c r="G15" s="5">
        <v>3.1419999999999999</v>
      </c>
      <c r="H15" s="5">
        <f t="shared" si="2"/>
        <v>1.5707963267948966</v>
      </c>
      <c r="I15" s="5">
        <v>0</v>
      </c>
      <c r="J15" s="5">
        <v>0</v>
      </c>
      <c r="K15" s="5">
        <v>0</v>
      </c>
      <c r="L15" s="4">
        <v>-9.4429776072502104E-4</v>
      </c>
      <c r="M15" s="4">
        <v>0.148655906319618</v>
      </c>
      <c r="N15" s="4">
        <v>-5.2504345774650601E-2</v>
      </c>
      <c r="O15" s="4">
        <v>-0.16293309628963501</v>
      </c>
      <c r="P15" s="4">
        <v>-0.390052020549774</v>
      </c>
      <c r="Q15" s="4">
        <v>-0.75469374656677202</v>
      </c>
      <c r="R15" s="4">
        <v>-4.5486019282991644E-11</v>
      </c>
      <c r="S15" s="4">
        <v>0.13196654361161703</v>
      </c>
      <c r="T15" s="4">
        <v>-5.1824804277582792E-2</v>
      </c>
      <c r="U15" s="4">
        <v>-0.11998880209204343</v>
      </c>
      <c r="V15" s="4">
        <v>-0.39893904343380365</v>
      </c>
      <c r="W15" s="4">
        <v>-0.69054710095123839</v>
      </c>
      <c r="X15" s="4">
        <f t="shared" si="3"/>
        <v>-9.4429771523900179E-4</v>
      </c>
      <c r="Y15" s="4">
        <f t="shared" si="4"/>
        <v>1.6689362708000977E-2</v>
      </c>
      <c r="Z15" s="4">
        <f t="shared" si="5"/>
        <v>-6.7954149706780931E-4</v>
      </c>
      <c r="AA15" s="4">
        <f t="shared" si="6"/>
        <v>-4.2944294197591576E-2</v>
      </c>
      <c r="AB15" s="4">
        <f t="shared" si="7"/>
        <v>8.8870228840296495E-3</v>
      </c>
      <c r="AC15" s="4">
        <f t="shared" si="8"/>
        <v>-6.4146645615533626E-2</v>
      </c>
    </row>
    <row r="16" spans="1:29" s="4" customFormat="1" x14ac:dyDescent="0.25">
      <c r="A16" s="5">
        <v>0.4</v>
      </c>
      <c r="B16" s="5">
        <v>0.16</v>
      </c>
      <c r="C16" s="5">
        <v>4.7119999999999997</v>
      </c>
      <c r="D16" s="5">
        <f t="shared" si="1"/>
        <v>1.5707963267948966</v>
      </c>
      <c r="E16" s="5">
        <v>0.7</v>
      </c>
      <c r="F16" s="5">
        <v>0.06</v>
      </c>
      <c r="G16" s="5">
        <v>3.927</v>
      </c>
      <c r="H16" s="5">
        <f t="shared" si="2"/>
        <v>1.5707963267948966</v>
      </c>
      <c r="I16" s="5">
        <v>0.4</v>
      </c>
      <c r="J16" s="5">
        <v>0</v>
      </c>
      <c r="K16" s="5">
        <v>0</v>
      </c>
      <c r="L16" s="4">
        <v>-1.7503094859421301E-3</v>
      </c>
      <c r="M16" s="4">
        <v>0.14816157519817399</v>
      </c>
      <c r="N16" s="4">
        <v>-7.7811896800994901E-2</v>
      </c>
      <c r="O16" s="4">
        <v>-0.17471010982990301</v>
      </c>
      <c r="P16" s="4">
        <v>-0.50772678852081299</v>
      </c>
      <c r="Q16" s="4">
        <v>-0.73054701089858998</v>
      </c>
      <c r="R16" s="4">
        <v>-7.1444563477976843E-4</v>
      </c>
      <c r="S16" s="4">
        <v>0.1716169784161371</v>
      </c>
      <c r="T16" s="4">
        <v>-7.3630253714741634E-2</v>
      </c>
      <c r="U16" s="4">
        <v>-0.21281912021145202</v>
      </c>
      <c r="V16" s="4">
        <v>-0.49034334329148421</v>
      </c>
      <c r="W16" s="4">
        <v>-0.87120122255876464</v>
      </c>
      <c r="X16" s="4">
        <f t="shared" si="3"/>
        <v>-1.0358638511623617E-3</v>
      </c>
      <c r="Y16" s="4">
        <f t="shared" si="4"/>
        <v>-2.3455403217963106E-2</v>
      </c>
      <c r="Z16" s="4">
        <f t="shared" si="5"/>
        <v>-4.1816430862532672E-3</v>
      </c>
      <c r="AA16" s="4">
        <f t="shared" si="6"/>
        <v>3.8109010381549013E-2</v>
      </c>
      <c r="AB16" s="4">
        <f t="shared" si="7"/>
        <v>-1.7383445229328776E-2</v>
      </c>
      <c r="AC16" s="4">
        <f t="shared" si="8"/>
        <v>0.14065421166017467</v>
      </c>
    </row>
    <row r="17" spans="1:29" s="4" customFormat="1" x14ac:dyDescent="0.25">
      <c r="A17" s="5">
        <v>0.8</v>
      </c>
      <c r="B17" s="5">
        <v>0.2</v>
      </c>
      <c r="C17" s="5">
        <v>4.7119999999999997</v>
      </c>
      <c r="D17" s="5">
        <f t="shared" si="1"/>
        <v>1.5707963267948966</v>
      </c>
      <c r="E17" s="5">
        <v>0.3</v>
      </c>
      <c r="F17" s="5">
        <v>0.02</v>
      </c>
      <c r="G17" s="5">
        <v>4.7119999999999997</v>
      </c>
      <c r="H17" s="5">
        <f t="shared" si="2"/>
        <v>1.5707963267948966</v>
      </c>
      <c r="I17" s="5">
        <v>0.8</v>
      </c>
      <c r="J17" s="5">
        <v>0</v>
      </c>
      <c r="K17" s="5">
        <v>0</v>
      </c>
      <c r="L17" s="4">
        <v>-7.3545798659324603E-3</v>
      </c>
      <c r="M17" s="4">
        <v>0.22923256456852001</v>
      </c>
      <c r="N17" s="4">
        <v>-1.53919383883476E-2</v>
      </c>
      <c r="O17" s="4">
        <v>-0.71000015735626198</v>
      </c>
      <c r="P17" s="4">
        <v>-0.104077406227589</v>
      </c>
      <c r="Q17" s="4">
        <v>-0.75926923751831099</v>
      </c>
      <c r="R17" s="4">
        <v>-4.0164759904701862E-3</v>
      </c>
      <c r="S17" s="4">
        <v>0.2386714368792803</v>
      </c>
      <c r="T17" s="4">
        <v>-2.7393135265633316E-5</v>
      </c>
      <c r="U17" s="4">
        <v>-0.55061019794199051</v>
      </c>
      <c r="V17" s="4">
        <v>-1.0171678347743655E-2</v>
      </c>
      <c r="W17" s="4">
        <v>-0.91220761134274464</v>
      </c>
      <c r="X17" s="4">
        <f t="shared" si="3"/>
        <v>-3.3381038754622741E-3</v>
      </c>
      <c r="Y17" s="4">
        <f t="shared" si="4"/>
        <v>-9.4388723107602934E-3</v>
      </c>
      <c r="Z17" s="4">
        <f t="shared" si="5"/>
        <v>-1.5364545253081967E-2</v>
      </c>
      <c r="AA17" s="4">
        <f t="shared" si="6"/>
        <v>-0.15938995941427148</v>
      </c>
      <c r="AB17" s="4">
        <f t="shared" si="7"/>
        <v>-9.3905727879845344E-2</v>
      </c>
      <c r="AC17" s="4">
        <f t="shared" si="8"/>
        <v>0.15293837382443365</v>
      </c>
    </row>
    <row r="18" spans="1:29" x14ac:dyDescent="0.25">
      <c r="A18" s="5">
        <v>0.3</v>
      </c>
      <c r="B18" s="5">
        <v>0.2</v>
      </c>
      <c r="C18" s="5">
        <v>1.57</v>
      </c>
      <c r="D18" s="5">
        <v>1.5707963267948966</v>
      </c>
      <c r="E18" s="5">
        <v>0.3</v>
      </c>
      <c r="F18" s="5">
        <v>0.08</v>
      </c>
      <c r="G18" s="5">
        <v>3.1419999999999999</v>
      </c>
      <c r="H18" s="5">
        <v>1.5707963267948966</v>
      </c>
      <c r="I18" s="5">
        <v>0</v>
      </c>
      <c r="J18" s="5">
        <v>0</v>
      </c>
      <c r="K18" s="5">
        <v>0</v>
      </c>
      <c r="L18" s="4">
        <v>-4.30593034252524E-4</v>
      </c>
      <c r="M18" s="4">
        <v>-4.2151313275098801E-2</v>
      </c>
      <c r="N18" s="4">
        <v>-5.41769191622734E-2</v>
      </c>
      <c r="O18" s="4">
        <v>-1.0742351412773099E-2</v>
      </c>
      <c r="P18" s="4">
        <v>-0.322125554084778</v>
      </c>
      <c r="Q18" s="4">
        <v>0.112474009394646</v>
      </c>
      <c r="R18" s="4">
        <v>1.0281939107820917E-10</v>
      </c>
      <c r="S18" s="4">
        <v>-8.3694062567161914E-2</v>
      </c>
      <c r="T18" s="4">
        <v>-5.0534031696408598E-2</v>
      </c>
      <c r="U18" s="4">
        <v>-0.11054707733982631</v>
      </c>
      <c r="V18" s="4">
        <v>-0.29650189563400225</v>
      </c>
      <c r="W18" s="4">
        <v>0.28215784715169928</v>
      </c>
      <c r="X18" s="4">
        <f t="shared" ref="X18:X32" si="9">L18-R18</f>
        <v>-4.3059313707191507E-4</v>
      </c>
      <c r="Y18" s="4">
        <f t="shared" ref="Y18:Y32" si="10">M18-S18</f>
        <v>4.1542749292063114E-2</v>
      </c>
      <c r="Z18" s="4">
        <f t="shared" ref="Z18:Z32" si="11">N18-T18</f>
        <v>-3.6428874658648025E-3</v>
      </c>
      <c r="AA18" s="4">
        <f t="shared" ref="AA18:AA32" si="12">O18-U18</f>
        <v>9.9804725927053209E-2</v>
      </c>
      <c r="AB18" s="4">
        <f t="shared" ref="AB18:AB32" si="13">P18-V18</f>
        <v>-2.5623658450775744E-2</v>
      </c>
      <c r="AC18" s="4">
        <f t="shared" ref="AC18:AC32" si="14">Q18-W18</f>
        <v>-0.16968383775705329</v>
      </c>
    </row>
    <row r="19" spans="1:29" x14ac:dyDescent="0.25">
      <c r="A19" s="5">
        <v>0.4</v>
      </c>
      <c r="B19" s="5">
        <v>0.1</v>
      </c>
      <c r="C19" s="5">
        <v>1.57</v>
      </c>
      <c r="D19" s="5">
        <v>1.5707963267948966</v>
      </c>
      <c r="E19" s="5">
        <v>0.5</v>
      </c>
      <c r="F19" s="5">
        <v>0.06</v>
      </c>
      <c r="G19" s="5">
        <v>4.7119999999999997</v>
      </c>
      <c r="H19" s="5">
        <v>1.5707963267948966</v>
      </c>
      <c r="I19" s="5">
        <v>0.8</v>
      </c>
      <c r="J19" s="5">
        <v>0</v>
      </c>
      <c r="K19" s="5">
        <v>0</v>
      </c>
      <c r="L19" s="4">
        <v>-7.01924553140998E-4</v>
      </c>
      <c r="M19" s="4">
        <v>-1.88952703028917E-2</v>
      </c>
      <c r="N19" s="4">
        <v>6.5155932679772399E-4</v>
      </c>
      <c r="O19" s="4">
        <v>-3.4051635302603201E-3</v>
      </c>
      <c r="P19" s="4">
        <v>7.4966698884963998E-3</v>
      </c>
      <c r="Q19" s="4">
        <v>-3.05809658020735E-2</v>
      </c>
      <c r="R19" s="4">
        <v>2.7143079312827505E-4</v>
      </c>
      <c r="S19" s="4">
        <v>-1.0008975701517034E-3</v>
      </c>
      <c r="T19" s="4">
        <v>1.7497561347935585E-5</v>
      </c>
      <c r="U19" s="4">
        <v>-6.0959065253706861E-3</v>
      </c>
      <c r="V19" s="4">
        <v>-3.5604484895255967E-5</v>
      </c>
      <c r="W19" s="4">
        <v>-0.10042697767243022</v>
      </c>
      <c r="X19" s="4">
        <f t="shared" si="9"/>
        <v>-9.7335534626927299E-4</v>
      </c>
      <c r="Y19" s="4">
        <f t="shared" si="10"/>
        <v>-1.7894372732739996E-2</v>
      </c>
      <c r="Z19" s="4">
        <f t="shared" si="11"/>
        <v>6.3406176544978841E-4</v>
      </c>
      <c r="AA19" s="4">
        <f t="shared" si="12"/>
        <v>2.6907429951103659E-3</v>
      </c>
      <c r="AB19" s="4">
        <f t="shared" si="13"/>
        <v>7.5322743733916555E-3</v>
      </c>
      <c r="AC19" s="4">
        <f t="shared" si="14"/>
        <v>6.9846011870356717E-2</v>
      </c>
    </row>
    <row r="20" spans="1:29" x14ac:dyDescent="0.25">
      <c r="A20" s="5">
        <v>0.7</v>
      </c>
      <c r="B20" s="5">
        <v>0.16</v>
      </c>
      <c r="C20" s="5">
        <v>1.57</v>
      </c>
      <c r="D20" s="5">
        <v>1.5707963267948966</v>
      </c>
      <c r="E20" s="5">
        <v>0.7</v>
      </c>
      <c r="F20" s="5">
        <v>0.02</v>
      </c>
      <c r="G20" s="5">
        <v>4.7119999999999997</v>
      </c>
      <c r="H20" s="5">
        <v>1.5707963267948966</v>
      </c>
      <c r="I20" s="5">
        <v>0</v>
      </c>
      <c r="J20" s="5">
        <v>0</v>
      </c>
      <c r="K20" s="5">
        <v>0</v>
      </c>
      <c r="L20" s="4">
        <v>-1.1449491139501301E-3</v>
      </c>
      <c r="M20" s="4">
        <v>-8.78715589642525E-2</v>
      </c>
      <c r="N20" s="4">
        <v>1.2581461342051599E-3</v>
      </c>
      <c r="O20" s="4">
        <v>-0.259054124355316</v>
      </c>
      <c r="P20" s="4">
        <v>1.61738991737366E-2</v>
      </c>
      <c r="Q20" s="4">
        <v>-0.101423710584641</v>
      </c>
      <c r="R20" s="4">
        <v>-2.4098100804197807E-14</v>
      </c>
      <c r="S20" s="4">
        <v>-8.9694540564512273E-2</v>
      </c>
      <c r="T20" s="4">
        <v>1.0257002116087634E-4</v>
      </c>
      <c r="U20" s="4">
        <v>-0.25642536291631457</v>
      </c>
      <c r="V20" s="4">
        <v>2.323876118317243E-4</v>
      </c>
      <c r="W20" s="4">
        <v>-6.5649631711378803E-2</v>
      </c>
      <c r="X20" s="4">
        <f t="shared" si="9"/>
        <v>-1.1449491139260319E-3</v>
      </c>
      <c r="Y20" s="4">
        <f t="shared" si="10"/>
        <v>1.8229816002597737E-3</v>
      </c>
      <c r="Z20" s="4">
        <f t="shared" si="11"/>
        <v>1.1555761130442835E-3</v>
      </c>
      <c r="AA20" s="4">
        <f t="shared" si="12"/>
        <v>-2.6287614390014258E-3</v>
      </c>
      <c r="AB20" s="4">
        <f t="shared" si="13"/>
        <v>1.5941511561904875E-2</v>
      </c>
      <c r="AC20" s="4">
        <f t="shared" si="14"/>
        <v>-3.5774078873262199E-2</v>
      </c>
    </row>
    <row r="21" spans="1:29" x14ac:dyDescent="0.25">
      <c r="A21" s="5">
        <v>0.7</v>
      </c>
      <c r="B21" s="5">
        <v>0.18</v>
      </c>
      <c r="C21" s="5">
        <v>2.3559999999999999</v>
      </c>
      <c r="D21" s="5">
        <v>1.5707963267948966</v>
      </c>
      <c r="E21" s="5">
        <v>0.8</v>
      </c>
      <c r="F21" s="5">
        <v>0.06</v>
      </c>
      <c r="G21" s="5">
        <v>3.1419999999999999</v>
      </c>
      <c r="H21" s="5">
        <v>1.5707963267948966</v>
      </c>
      <c r="I21" s="5">
        <v>0.8</v>
      </c>
      <c r="J21" s="5">
        <v>0</v>
      </c>
      <c r="K21" s="5">
        <v>0</v>
      </c>
      <c r="L21" s="4">
        <v>6.4405519515275999E-3</v>
      </c>
      <c r="M21" s="4">
        <v>-9.6120387315750094E-2</v>
      </c>
      <c r="N21" s="4">
        <v>-0.213808938860893</v>
      </c>
      <c r="O21" s="4">
        <v>-0.53791087865829501</v>
      </c>
      <c r="P21" s="4">
        <v>-1.01066327095032</v>
      </c>
      <c r="Q21" s="4">
        <v>0.27253100275993303</v>
      </c>
      <c r="R21" s="4">
        <v>3.9396570255241046E-3</v>
      </c>
      <c r="S21" s="4">
        <v>-0.12033416485354129</v>
      </c>
      <c r="T21" s="4">
        <v>-0.23830752889744772</v>
      </c>
      <c r="U21" s="4">
        <v>-0.57020295950053468</v>
      </c>
      <c r="V21" s="4">
        <v>-1.1827594231839123</v>
      </c>
      <c r="W21" s="4">
        <v>0.38991688054120321</v>
      </c>
      <c r="X21" s="4">
        <f t="shared" si="9"/>
        <v>2.5008949260034953E-3</v>
      </c>
      <c r="Y21" s="4">
        <f t="shared" si="10"/>
        <v>2.4213777537791192E-2</v>
      </c>
      <c r="Z21" s="4">
        <f t="shared" si="11"/>
        <v>2.4498590036554718E-2</v>
      </c>
      <c r="AA21" s="4">
        <f t="shared" si="12"/>
        <v>3.2292080842239668E-2</v>
      </c>
      <c r="AB21" s="4">
        <f t="shared" si="13"/>
        <v>0.1720961522335922</v>
      </c>
      <c r="AC21" s="4">
        <f t="shared" si="14"/>
        <v>-0.11738587778127019</v>
      </c>
    </row>
    <row r="22" spans="1:29" x14ac:dyDescent="0.25">
      <c r="A22" s="5">
        <v>0.6</v>
      </c>
      <c r="B22" s="5">
        <v>0.12</v>
      </c>
      <c r="C22" s="5">
        <v>2.3559999999999999</v>
      </c>
      <c r="D22" s="5">
        <v>1.5707963267948966</v>
      </c>
      <c r="E22" s="5">
        <v>0.3</v>
      </c>
      <c r="F22" s="5">
        <v>0.04</v>
      </c>
      <c r="G22" s="5">
        <v>3.927</v>
      </c>
      <c r="H22" s="5">
        <v>1.5707963267948966</v>
      </c>
      <c r="I22" s="5">
        <v>0.4</v>
      </c>
      <c r="J22" s="5">
        <v>0</v>
      </c>
      <c r="K22" s="5">
        <v>0</v>
      </c>
      <c r="L22" s="4">
        <v>-1.2948727235197999E-3</v>
      </c>
      <c r="M22" s="4">
        <v>-6.0354080051183701E-2</v>
      </c>
      <c r="N22" s="4">
        <v>-0.103492647409439</v>
      </c>
      <c r="O22" s="4">
        <v>-0.120804071426392</v>
      </c>
      <c r="P22" s="4">
        <v>-0.51357686519622803</v>
      </c>
      <c r="Q22" s="4">
        <v>0.20345818996429399</v>
      </c>
      <c r="R22" s="4">
        <v>5.7347538541286031E-4</v>
      </c>
      <c r="S22" s="4">
        <v>-6.0807952003365001E-2</v>
      </c>
      <c r="T22" s="4">
        <v>-0.11575850938637863</v>
      </c>
      <c r="U22" s="4">
        <v>-0.10933291373791443</v>
      </c>
      <c r="V22" s="4">
        <v>-0.62926015119135814</v>
      </c>
      <c r="W22" s="4">
        <v>0.20531021030935173</v>
      </c>
      <c r="X22" s="4">
        <f t="shared" si="9"/>
        <v>-1.8683481089326603E-3</v>
      </c>
      <c r="Y22" s="4">
        <f t="shared" si="10"/>
        <v>4.5387195218130061E-4</v>
      </c>
      <c r="Z22" s="4">
        <f t="shared" si="11"/>
        <v>1.2265861976939629E-2</v>
      </c>
      <c r="AA22" s="4">
        <f t="shared" si="12"/>
        <v>-1.1471157688477576E-2</v>
      </c>
      <c r="AB22" s="4">
        <f t="shared" si="13"/>
        <v>0.11568328599513011</v>
      </c>
      <c r="AC22" s="4">
        <f t="shared" si="14"/>
        <v>-1.8520203450577422E-3</v>
      </c>
    </row>
    <row r="23" spans="1:29" x14ac:dyDescent="0.25">
      <c r="A23" s="5">
        <v>0.8</v>
      </c>
      <c r="B23" s="5">
        <v>0.12</v>
      </c>
      <c r="C23" s="5">
        <v>2.3559999999999999</v>
      </c>
      <c r="D23" s="5">
        <v>1.5707963267948966</v>
      </c>
      <c r="E23" s="5">
        <v>0.5</v>
      </c>
      <c r="F23" s="5">
        <v>0.06</v>
      </c>
      <c r="G23" s="5">
        <v>3.927</v>
      </c>
      <c r="H23" s="5">
        <v>1.5707963267948966</v>
      </c>
      <c r="I23" s="5">
        <v>0.4</v>
      </c>
      <c r="J23" s="5">
        <v>0</v>
      </c>
      <c r="K23" s="5">
        <v>0</v>
      </c>
      <c r="L23" s="4">
        <v>-1.53041677549481E-3</v>
      </c>
      <c r="M23" s="4">
        <v>-5.8196127414703397E-2</v>
      </c>
      <c r="N23" s="4">
        <v>-0.16341306269168901</v>
      </c>
      <c r="O23" s="4">
        <v>-0.25818380713462802</v>
      </c>
      <c r="P23" s="4">
        <v>-0.79976713657379195</v>
      </c>
      <c r="Q23" s="4">
        <v>0.14228719472885101</v>
      </c>
      <c r="R23" s="4">
        <v>7.4597715709253483E-4</v>
      </c>
      <c r="S23" s="4">
        <v>-6.4154236486015565E-2</v>
      </c>
      <c r="T23" s="4">
        <v>-0.16942635443603024</v>
      </c>
      <c r="U23" s="4">
        <v>-0.204827994523718</v>
      </c>
      <c r="V23" s="4">
        <v>-0.89941042260069459</v>
      </c>
      <c r="W23" s="4">
        <v>0.19771313755990649</v>
      </c>
      <c r="X23" s="4">
        <f t="shared" si="9"/>
        <v>-2.2763939325873448E-3</v>
      </c>
      <c r="Y23" s="4">
        <f t="shared" si="10"/>
        <v>5.9581090713121676E-3</v>
      </c>
      <c r="Z23" s="4">
        <f t="shared" si="11"/>
        <v>6.0132917443412315E-3</v>
      </c>
      <c r="AA23" s="4">
        <f t="shared" si="12"/>
        <v>-5.3355812610910019E-2</v>
      </c>
      <c r="AB23" s="4">
        <f t="shared" si="13"/>
        <v>9.9643286026902644E-2</v>
      </c>
      <c r="AC23" s="4">
        <f t="shared" si="14"/>
        <v>-5.542594283105548E-2</v>
      </c>
    </row>
    <row r="24" spans="1:29" x14ac:dyDescent="0.25">
      <c r="A24" s="5">
        <v>0.3</v>
      </c>
      <c r="B24" s="5">
        <v>0.18</v>
      </c>
      <c r="C24" s="5">
        <v>3.1419999999999999</v>
      </c>
      <c r="D24" s="5">
        <v>1.5707963267948966</v>
      </c>
      <c r="E24" s="5">
        <v>0.4</v>
      </c>
      <c r="F24" s="5">
        <v>0.04</v>
      </c>
      <c r="G24" s="5">
        <v>3.927</v>
      </c>
      <c r="H24" s="5">
        <v>1.5707963267948966</v>
      </c>
      <c r="I24" s="5">
        <v>1.2</v>
      </c>
      <c r="J24" s="5">
        <v>0</v>
      </c>
      <c r="K24" s="5">
        <v>0</v>
      </c>
      <c r="L24" s="4">
        <v>1.2701484374702001E-3</v>
      </c>
      <c r="M24" s="4">
        <v>3.2061167061328902E-2</v>
      </c>
      <c r="N24" s="4">
        <v>-8.9157111942768097E-2</v>
      </c>
      <c r="O24" s="4">
        <v>-2.97270901501179E-3</v>
      </c>
      <c r="P24" s="4">
        <v>-0.42995858192443798</v>
      </c>
      <c r="Q24" s="4">
        <v>-0.22458755970001201</v>
      </c>
      <c r="R24" s="4">
        <v>1.2483167625924735E-3</v>
      </c>
      <c r="S24" s="4">
        <v>3.6612470469445761E-2</v>
      </c>
      <c r="T24" s="4">
        <v>-0.11731380512990136</v>
      </c>
      <c r="U24" s="4">
        <v>-6.6707794629312575E-2</v>
      </c>
      <c r="V24" s="4">
        <v>-0.57831503067445467</v>
      </c>
      <c r="W24" s="4">
        <v>-0.28306346222602796</v>
      </c>
      <c r="X24" s="4">
        <f t="shared" si="9"/>
        <v>2.1831674877726553E-5</v>
      </c>
      <c r="Y24" s="4">
        <f t="shared" si="10"/>
        <v>-4.5513034081168594E-3</v>
      </c>
      <c r="Z24" s="4">
        <f t="shared" si="11"/>
        <v>2.8156693187133264E-2</v>
      </c>
      <c r="AA24" s="4">
        <f t="shared" si="12"/>
        <v>6.3735085614300788E-2</v>
      </c>
      <c r="AB24" s="4">
        <f t="shared" si="13"/>
        <v>0.14835644875001669</v>
      </c>
      <c r="AC24" s="4">
        <f t="shared" si="14"/>
        <v>5.8475902526015949E-2</v>
      </c>
    </row>
    <row r="25" spans="1:29" x14ac:dyDescent="0.25">
      <c r="A25" s="5">
        <v>0.5</v>
      </c>
      <c r="B25" s="5">
        <v>0.2</v>
      </c>
      <c r="C25" s="5">
        <v>3.1419999999999999</v>
      </c>
      <c r="D25" s="5">
        <v>1.5707963267948966</v>
      </c>
      <c r="E25" s="5">
        <v>0.7</v>
      </c>
      <c r="F25" s="5">
        <v>0.04</v>
      </c>
      <c r="G25" s="5">
        <v>3.927</v>
      </c>
      <c r="H25" s="5">
        <v>1.5707963267948966</v>
      </c>
      <c r="I25" s="5">
        <v>0.4</v>
      </c>
      <c r="J25" s="5">
        <v>0</v>
      </c>
      <c r="K25" s="5">
        <v>0</v>
      </c>
      <c r="L25" s="4">
        <v>-6.7927502095699299E-4</v>
      </c>
      <c r="M25" s="4">
        <v>5.69596737623215E-2</v>
      </c>
      <c r="N25" s="4">
        <v>-0.177663698792458</v>
      </c>
      <c r="O25" s="4">
        <v>-0.28621101379394498</v>
      </c>
      <c r="P25" s="4">
        <v>-0.79048734903335605</v>
      </c>
      <c r="Q25" s="4">
        <v>-0.42087453603744501</v>
      </c>
      <c r="R25" s="4">
        <v>8.8534208393938258E-4</v>
      </c>
      <c r="S25" s="4">
        <v>6.3961812733552698E-2</v>
      </c>
      <c r="T25" s="4">
        <v>-0.19770374474458235</v>
      </c>
      <c r="U25" s="4">
        <v>-0.32302862290569739</v>
      </c>
      <c r="V25" s="4">
        <v>-0.92171620493651496</v>
      </c>
      <c r="W25" s="4">
        <v>-0.49338601173561891</v>
      </c>
      <c r="X25" s="4">
        <f t="shared" si="9"/>
        <v>-1.5646171048963756E-3</v>
      </c>
      <c r="Y25" s="4">
        <f t="shared" si="10"/>
        <v>-7.0021389712311977E-3</v>
      </c>
      <c r="Z25" s="4">
        <f t="shared" si="11"/>
        <v>2.0040045952124358E-2</v>
      </c>
      <c r="AA25" s="4">
        <f t="shared" si="12"/>
        <v>3.6817609111752414E-2</v>
      </c>
      <c r="AB25" s="4">
        <f t="shared" si="13"/>
        <v>0.13122885590315891</v>
      </c>
      <c r="AC25" s="4">
        <f t="shared" si="14"/>
        <v>7.2511475698173899E-2</v>
      </c>
    </row>
    <row r="26" spans="1:29" x14ac:dyDescent="0.25">
      <c r="A26" s="5">
        <v>0.4</v>
      </c>
      <c r="B26" s="5">
        <v>0.14000000000000001</v>
      </c>
      <c r="C26" s="5">
        <v>3.927</v>
      </c>
      <c r="D26" s="5">
        <v>1.5707963267948966</v>
      </c>
      <c r="E26" s="5">
        <v>0.5</v>
      </c>
      <c r="F26" s="5">
        <v>0.02</v>
      </c>
      <c r="G26" s="5">
        <v>3.1419999999999999</v>
      </c>
      <c r="H26" s="5">
        <v>1.5707963267948966</v>
      </c>
      <c r="I26" s="5">
        <v>0.8</v>
      </c>
      <c r="J26" s="5">
        <v>0</v>
      </c>
      <c r="K26" s="5">
        <v>0</v>
      </c>
      <c r="L26" s="4">
        <v>-1.88525998964906E-3</v>
      </c>
      <c r="M26" s="4">
        <v>6.2983147799968706E-2</v>
      </c>
      <c r="N26" s="4">
        <v>-0.11185147613287</v>
      </c>
      <c r="O26" s="4">
        <v>-3.2080601900815998E-2</v>
      </c>
      <c r="P26" s="4">
        <v>-0.69933581352233898</v>
      </c>
      <c r="Q26" s="4">
        <v>-0.26614278554916398</v>
      </c>
      <c r="R26" s="4">
        <v>-2.9250795532051666E-4</v>
      </c>
      <c r="S26" s="4">
        <v>6.481256907609298E-2</v>
      </c>
      <c r="T26" s="4">
        <v>-0.11946024289965695</v>
      </c>
      <c r="U26" s="4">
        <v>-6.4085329881064967E-2</v>
      </c>
      <c r="V26" s="4">
        <v>-0.78024602321156367</v>
      </c>
      <c r="W26" s="4">
        <v>-0.28040112190483341</v>
      </c>
      <c r="X26" s="4">
        <f t="shared" si="9"/>
        <v>-1.5927520343285433E-3</v>
      </c>
      <c r="Y26" s="4">
        <f t="shared" si="10"/>
        <v>-1.829421276124274E-3</v>
      </c>
      <c r="Z26" s="4">
        <f t="shared" si="11"/>
        <v>7.6087667667869563E-3</v>
      </c>
      <c r="AA26" s="4">
        <f t="shared" si="12"/>
        <v>3.2004727980248969E-2</v>
      </c>
      <c r="AB26" s="4">
        <f t="shared" si="13"/>
        <v>8.0910209689224688E-2</v>
      </c>
      <c r="AC26" s="4">
        <f t="shared" si="14"/>
        <v>1.4258336355669421E-2</v>
      </c>
    </row>
    <row r="27" spans="1:29" x14ac:dyDescent="0.25">
      <c r="A27" s="5">
        <v>0.7</v>
      </c>
      <c r="B27" s="5">
        <v>0.12</v>
      </c>
      <c r="C27" s="5">
        <v>3.927</v>
      </c>
      <c r="D27" s="5">
        <v>1.5707963267948966</v>
      </c>
      <c r="E27" s="5">
        <v>0.7</v>
      </c>
      <c r="F27" s="5">
        <v>0.08</v>
      </c>
      <c r="G27" s="5">
        <v>3.927</v>
      </c>
      <c r="H27" s="5">
        <v>1.5707963267948966</v>
      </c>
      <c r="I27" s="5">
        <v>1.2</v>
      </c>
      <c r="J27" s="5">
        <v>0</v>
      </c>
      <c r="K27" s="5">
        <v>0</v>
      </c>
      <c r="L27" s="4">
        <v>-3.7175370380282402E-3</v>
      </c>
      <c r="M27" s="4">
        <v>0.17499575018882799</v>
      </c>
      <c r="N27" s="4">
        <v>-0.20276136696338701</v>
      </c>
      <c r="O27" s="4">
        <v>-0.35743337869644198</v>
      </c>
      <c r="P27" s="4">
        <v>-1.01576912403107</v>
      </c>
      <c r="Q27" s="4">
        <v>-0.85049569606780995</v>
      </c>
      <c r="R27" s="4">
        <v>-7.5764700439211272E-4</v>
      </c>
      <c r="S27" s="4">
        <v>0.18487120200142104</v>
      </c>
      <c r="T27" s="4">
        <v>-0.18490907610336799</v>
      </c>
      <c r="U27" s="4">
        <v>-0.33320516352269836</v>
      </c>
      <c r="V27" s="4">
        <v>-0.96223824533668212</v>
      </c>
      <c r="W27" s="4">
        <v>-0.96067060298607687</v>
      </c>
      <c r="X27" s="4">
        <f t="shared" si="9"/>
        <v>-2.9598900336361275E-3</v>
      </c>
      <c r="Y27" s="4">
        <f t="shared" si="10"/>
        <v>-9.8754518125930557E-3</v>
      </c>
      <c r="Z27" s="4">
        <f t="shared" si="11"/>
        <v>-1.7852290860019021E-2</v>
      </c>
      <c r="AA27" s="4">
        <f t="shared" si="12"/>
        <v>-2.4228215173743628E-2</v>
      </c>
      <c r="AB27" s="4">
        <f t="shared" si="13"/>
        <v>-5.3530878694387884E-2</v>
      </c>
      <c r="AC27" s="4">
        <f t="shared" si="14"/>
        <v>0.11017490691826692</v>
      </c>
    </row>
    <row r="28" spans="1:29" x14ac:dyDescent="0.25">
      <c r="A28" s="5">
        <v>0.3</v>
      </c>
      <c r="B28" s="5">
        <v>0.1</v>
      </c>
      <c r="C28" s="5">
        <v>3.927</v>
      </c>
      <c r="D28" s="5">
        <v>1.5707963267948966</v>
      </c>
      <c r="E28" s="5">
        <v>0.8</v>
      </c>
      <c r="F28" s="5">
        <v>0.04</v>
      </c>
      <c r="G28" s="5">
        <v>4.7119999999999997</v>
      </c>
      <c r="H28" s="5">
        <v>1.5707963267948966</v>
      </c>
      <c r="I28" s="5">
        <v>0</v>
      </c>
      <c r="J28" s="5">
        <v>0</v>
      </c>
      <c r="K28" s="5">
        <v>0</v>
      </c>
      <c r="L28" s="4">
        <v>-2.49816104769707E-4</v>
      </c>
      <c r="M28" s="4">
        <v>0.14310579001903501</v>
      </c>
      <c r="N28" s="4">
        <v>-4.2481523007154499E-2</v>
      </c>
      <c r="O28" s="4">
        <v>-6.7212104797363295E-2</v>
      </c>
      <c r="P28" s="4">
        <v>-0.226115942001343</v>
      </c>
      <c r="Q28" s="4">
        <v>-0.98430818319320701</v>
      </c>
      <c r="R28" s="4">
        <v>5.2957684795331344E-12</v>
      </c>
      <c r="S28" s="4">
        <v>0.14394787802811487</v>
      </c>
      <c r="T28" s="4">
        <v>-4.0256907896458166E-2</v>
      </c>
      <c r="U28" s="4">
        <v>-5.9004686087917937E-2</v>
      </c>
      <c r="V28" s="4">
        <v>-0.21162266806586452</v>
      </c>
      <c r="W28" s="4">
        <v>-1.010513779441532</v>
      </c>
      <c r="X28" s="4">
        <f t="shared" si="9"/>
        <v>-2.4981611006547549E-4</v>
      </c>
      <c r="Y28" s="4">
        <f t="shared" si="10"/>
        <v>-8.4208800907986658E-4</v>
      </c>
      <c r="Z28" s="4">
        <f t="shared" si="11"/>
        <v>-2.2246151106963333E-3</v>
      </c>
      <c r="AA28" s="4">
        <f t="shared" si="12"/>
        <v>-8.2074187094453577E-3</v>
      </c>
      <c r="AB28" s="4">
        <f t="shared" si="13"/>
        <v>-1.4493273935478473E-2</v>
      </c>
      <c r="AC28" s="4">
        <f t="shared" si="14"/>
        <v>2.6205596248324969E-2</v>
      </c>
    </row>
    <row r="29" spans="1:29" x14ac:dyDescent="0.25">
      <c r="A29" s="5">
        <v>0.6</v>
      </c>
      <c r="B29" s="5">
        <v>0.18</v>
      </c>
      <c r="C29" s="5">
        <v>3.927</v>
      </c>
      <c r="D29" s="5">
        <v>1.5707963267948966</v>
      </c>
      <c r="E29" s="5">
        <v>0.4</v>
      </c>
      <c r="F29" s="5">
        <v>0.08</v>
      </c>
      <c r="G29" s="5">
        <v>4.7119999999999997</v>
      </c>
      <c r="H29" s="5">
        <v>1.5707963267948966</v>
      </c>
      <c r="I29" s="5">
        <v>0</v>
      </c>
      <c r="J29" s="5">
        <v>0</v>
      </c>
      <c r="K29" s="5">
        <v>0</v>
      </c>
      <c r="L29" s="4">
        <v>-1.3586492277681799E-3</v>
      </c>
      <c r="M29" s="4">
        <v>0.158285066485405</v>
      </c>
      <c r="N29" s="4">
        <v>-0.101698912680149</v>
      </c>
      <c r="O29" s="4">
        <v>-0.36798006296157798</v>
      </c>
      <c r="P29" s="4">
        <v>-0.32599630951881398</v>
      </c>
      <c r="Q29" s="4">
        <v>-0.65422439575195301</v>
      </c>
      <c r="R29" s="4">
        <v>1.4893490169160949E-10</v>
      </c>
      <c r="S29" s="4">
        <v>0.17171109159173512</v>
      </c>
      <c r="T29" s="4">
        <v>-0.10553243882743443</v>
      </c>
      <c r="U29" s="4">
        <v>-0.41339098837646937</v>
      </c>
      <c r="V29" s="4">
        <v>-0.35721402761437482</v>
      </c>
      <c r="W29" s="4">
        <v>-0.74175584406110084</v>
      </c>
      <c r="X29" s="4">
        <f t="shared" si="9"/>
        <v>-1.3586493767030817E-3</v>
      </c>
      <c r="Y29" s="4">
        <f t="shared" si="10"/>
        <v>-1.3426025106330119E-2</v>
      </c>
      <c r="Z29" s="4">
        <f t="shared" si="11"/>
        <v>3.8335261472854376E-3</v>
      </c>
      <c r="AA29" s="4">
        <f t="shared" si="12"/>
        <v>4.541092541489139E-2</v>
      </c>
      <c r="AB29" s="4">
        <f t="shared" si="13"/>
        <v>3.1217718095560842E-2</v>
      </c>
      <c r="AC29" s="4">
        <f t="shared" si="14"/>
        <v>8.753144830914783E-2</v>
      </c>
    </row>
    <row r="30" spans="1:29" x14ac:dyDescent="0.25">
      <c r="A30" s="5">
        <v>0.7</v>
      </c>
      <c r="B30" s="5">
        <v>0.1</v>
      </c>
      <c r="C30" s="5">
        <v>4.7119999999999997</v>
      </c>
      <c r="D30" s="5">
        <v>1.5707963267948966</v>
      </c>
      <c r="E30" s="5">
        <v>0.4</v>
      </c>
      <c r="F30" s="5">
        <v>0.04</v>
      </c>
      <c r="G30" s="5">
        <v>3.1419999999999999</v>
      </c>
      <c r="H30" s="5">
        <v>1.5707963267948966</v>
      </c>
      <c r="I30" s="5">
        <v>0</v>
      </c>
      <c r="J30" s="5">
        <v>0</v>
      </c>
      <c r="K30" s="5">
        <v>0</v>
      </c>
      <c r="L30" s="4">
        <v>-1.34865380823612E-3</v>
      </c>
      <c r="M30" s="4">
        <v>0.16177396476268799</v>
      </c>
      <c r="N30" s="4">
        <v>-5.5058915168047E-2</v>
      </c>
      <c r="O30" s="4">
        <v>-0.211184471845627</v>
      </c>
      <c r="P30" s="4">
        <v>-0.41715639829635598</v>
      </c>
      <c r="Q30" s="4">
        <v>-0.82157814502716098</v>
      </c>
      <c r="R30" s="4">
        <v>-2.5128640814287647E-11</v>
      </c>
      <c r="S30" s="4">
        <v>0.13219954237926096</v>
      </c>
      <c r="T30" s="4">
        <v>-5.186635100279291E-2</v>
      </c>
      <c r="U30" s="4">
        <v>-0.10358709806652004</v>
      </c>
      <c r="V30" s="4">
        <v>-0.39938246906987923</v>
      </c>
      <c r="W30" s="4">
        <v>-0.69294836668714577</v>
      </c>
      <c r="X30" s="4">
        <f t="shared" si="9"/>
        <v>-1.348653783107479E-3</v>
      </c>
      <c r="Y30" s="4">
        <f t="shared" si="10"/>
        <v>2.9574422383427029E-2</v>
      </c>
      <c r="Z30" s="4">
        <f t="shared" si="11"/>
        <v>-3.1925641652540901E-3</v>
      </c>
      <c r="AA30" s="4">
        <f t="shared" si="12"/>
        <v>-0.10759737377910696</v>
      </c>
      <c r="AB30" s="4">
        <f t="shared" si="13"/>
        <v>-1.7773929226476748E-2</v>
      </c>
      <c r="AC30" s="4">
        <f t="shared" si="14"/>
        <v>-0.12862977834001521</v>
      </c>
    </row>
    <row r="31" spans="1:29" x14ac:dyDescent="0.25">
      <c r="A31" s="5">
        <v>0.4</v>
      </c>
      <c r="B31" s="5">
        <v>0.16</v>
      </c>
      <c r="C31" s="5">
        <v>4.7119999999999997</v>
      </c>
      <c r="D31" s="5">
        <v>1.5707963267948966</v>
      </c>
      <c r="E31" s="5">
        <v>0.7</v>
      </c>
      <c r="F31" s="5">
        <v>0.06</v>
      </c>
      <c r="G31" s="5">
        <v>3.927</v>
      </c>
      <c r="H31" s="5">
        <v>1.5707963267948966</v>
      </c>
      <c r="I31" s="5">
        <v>0.4</v>
      </c>
      <c r="J31" s="5">
        <v>0</v>
      </c>
      <c r="K31" s="5">
        <v>0</v>
      </c>
      <c r="L31" s="4">
        <v>-2.75324238464236E-3</v>
      </c>
      <c r="M31" s="4">
        <v>0.16406512260437001</v>
      </c>
      <c r="N31" s="4">
        <v>-7.10117071866989E-2</v>
      </c>
      <c r="O31" s="4">
        <v>-0.184263780713081</v>
      </c>
      <c r="P31" s="4">
        <v>-0.46651321649551403</v>
      </c>
      <c r="Q31" s="4">
        <v>-0.80446076393127397</v>
      </c>
      <c r="R31" s="4">
        <v>-7.4897767233183176E-4</v>
      </c>
      <c r="S31" s="4">
        <v>0.17178464071576047</v>
      </c>
      <c r="T31" s="4">
        <v>-7.3792292117331973E-2</v>
      </c>
      <c r="U31" s="4">
        <v>-0.19214875628180561</v>
      </c>
      <c r="V31" s="4">
        <v>-0.49187094004251253</v>
      </c>
      <c r="W31" s="4">
        <v>-0.87433061145902569</v>
      </c>
      <c r="X31" s="4">
        <f t="shared" si="9"/>
        <v>-2.0042647123105282E-3</v>
      </c>
      <c r="Y31" s="4">
        <f t="shared" si="10"/>
        <v>-7.719518111390461E-3</v>
      </c>
      <c r="Z31" s="4">
        <f t="shared" si="11"/>
        <v>2.7805849306330732E-3</v>
      </c>
      <c r="AA31" s="4">
        <f t="shared" si="12"/>
        <v>7.8849755687246115E-3</v>
      </c>
      <c r="AB31" s="4">
        <f t="shared" si="13"/>
        <v>2.5357723546998501E-2</v>
      </c>
      <c r="AC31" s="4">
        <f t="shared" si="14"/>
        <v>6.9869847527751716E-2</v>
      </c>
    </row>
    <row r="32" spans="1:29" x14ac:dyDescent="0.25">
      <c r="A32" s="5">
        <v>0.8</v>
      </c>
      <c r="B32" s="5">
        <v>0.2</v>
      </c>
      <c r="C32" s="5">
        <v>4.7119999999999997</v>
      </c>
      <c r="D32" s="5">
        <v>1.5707963267948966</v>
      </c>
      <c r="E32" s="5">
        <v>0.3</v>
      </c>
      <c r="F32" s="5">
        <v>0.02</v>
      </c>
      <c r="G32" s="5">
        <v>4.7119999999999997</v>
      </c>
      <c r="H32" s="5">
        <v>1.5707963267948966</v>
      </c>
      <c r="I32" s="5">
        <v>0.8</v>
      </c>
      <c r="J32" s="5">
        <v>0</v>
      </c>
      <c r="K32" s="5">
        <v>0</v>
      </c>
      <c r="L32" s="4">
        <v>-1.16670653223991E-2</v>
      </c>
      <c r="M32" s="4">
        <v>0.23207890987396201</v>
      </c>
      <c r="N32" s="4">
        <v>-1.73678714782E-2</v>
      </c>
      <c r="O32" s="4">
        <v>-0.68982279300689697</v>
      </c>
      <c r="P32" s="4">
        <v>-0.124690353870392</v>
      </c>
      <c r="Q32" s="4">
        <v>-0.78086811304092396</v>
      </c>
      <c r="R32" s="4">
        <v>-4.913829698299654E-3</v>
      </c>
      <c r="S32" s="4">
        <v>0.2238401762685287</v>
      </c>
      <c r="T32" s="4">
        <v>-7.9064998715663133E-4</v>
      </c>
      <c r="U32" s="4">
        <v>-0.61727008310049725</v>
      </c>
      <c r="V32" s="4">
        <v>-1.7504905426364646E-2</v>
      </c>
      <c r="W32" s="4">
        <v>-0.83773898588998108</v>
      </c>
      <c r="X32" s="4">
        <f t="shared" si="9"/>
        <v>-6.7532356240994455E-3</v>
      </c>
      <c r="Y32" s="4">
        <f t="shared" si="10"/>
        <v>8.2387336054333127E-3</v>
      </c>
      <c r="Z32" s="4">
        <f t="shared" si="11"/>
        <v>-1.6577221491043369E-2</v>
      </c>
      <c r="AA32" s="4">
        <f t="shared" si="12"/>
        <v>-7.2552709906399726E-2</v>
      </c>
      <c r="AB32" s="4">
        <f t="shared" si="13"/>
        <v>-0.10718544844402736</v>
      </c>
      <c r="AC32" s="4">
        <f t="shared" si="14"/>
        <v>5.6870872849057119E-2</v>
      </c>
    </row>
    <row r="33" spans="24:29" ht="15.75" x14ac:dyDescent="0.25">
      <c r="X33" s="13" t="s">
        <v>21</v>
      </c>
      <c r="Y33" s="14"/>
      <c r="Z33" s="14"/>
      <c r="AA33" s="14"/>
      <c r="AB33" s="14"/>
      <c r="AC33" s="15"/>
    </row>
    <row r="34" spans="24:29" x14ac:dyDescent="0.25">
      <c r="X34" s="6">
        <f>AVERAGE(X4:X32)</f>
        <v>-1.2177572925713784E-3</v>
      </c>
      <c r="Y34" s="6">
        <f t="shared" ref="Y34:AC34" si="15">AVERAGE(Y4:Y32)</f>
        <v>-1.3714937512577662E-3</v>
      </c>
      <c r="Z34" s="6">
        <f t="shared" si="15"/>
        <v>2.4964834858357391E-3</v>
      </c>
      <c r="AA34" s="6">
        <f t="shared" si="15"/>
        <v>5.4927274088148563E-3</v>
      </c>
      <c r="AB34" s="6">
        <f t="shared" si="15"/>
        <v>2.6226578856035652E-2</v>
      </c>
      <c r="AC34" s="6">
        <f t="shared" si="15"/>
        <v>2.6002919675258813E-2</v>
      </c>
    </row>
    <row r="35" spans="24:29" ht="15.75" x14ac:dyDescent="0.25">
      <c r="X35" s="13" t="s">
        <v>22</v>
      </c>
      <c r="Y35" s="14"/>
      <c r="Z35" s="14"/>
      <c r="AA35" s="14"/>
      <c r="AB35" s="14"/>
      <c r="AC35" s="15"/>
    </row>
    <row r="36" spans="24:29" x14ac:dyDescent="0.25">
      <c r="X36" s="6">
        <f>X4-X$34</f>
        <v>2.3415072297498893E-4</v>
      </c>
      <c r="Y36" s="6">
        <f t="shared" ref="Y36:AC36" si="16">Y4-Y$34</f>
        <v>-4.9402933969372384E-3</v>
      </c>
      <c r="Z36" s="6">
        <f t="shared" si="16"/>
        <v>-2.8595008463688822E-3</v>
      </c>
      <c r="AA36" s="6">
        <f t="shared" si="16"/>
        <v>-5.693767795075598E-2</v>
      </c>
      <c r="AB36" s="6">
        <f t="shared" si="16"/>
        <v>-2.7242328591588108E-2</v>
      </c>
      <c r="AC36" s="6">
        <f t="shared" si="16"/>
        <v>-3.8648137247810285E-3</v>
      </c>
    </row>
    <row r="37" spans="24:29" x14ac:dyDescent="0.25">
      <c r="X37" s="6">
        <f t="shared" ref="X37:AC37" si="17">X5-X$34</f>
        <v>1.6413809412968309E-4</v>
      </c>
      <c r="Y37" s="6">
        <f t="shared" si="17"/>
        <v>1.4489601775381736E-2</v>
      </c>
      <c r="Z37" s="6">
        <f t="shared" si="17"/>
        <v>-3.4489086962425589E-3</v>
      </c>
      <c r="AA37" s="6">
        <f t="shared" si="17"/>
        <v>-7.7588330224614879E-2</v>
      </c>
      <c r="AB37" s="6">
        <f t="shared" si="17"/>
        <v>-3.1591571916880112E-2</v>
      </c>
      <c r="AC37" s="6">
        <f t="shared" si="17"/>
        <v>-0.11995995325023925</v>
      </c>
    </row>
    <row r="38" spans="24:29" x14ac:dyDescent="0.25">
      <c r="X38" s="6">
        <f t="shared" ref="X38:AC38" si="18">X6-X$34</f>
        <v>3.4833415000267496E-3</v>
      </c>
      <c r="Y38" s="6">
        <f t="shared" si="18"/>
        <v>2.1213297738263776E-2</v>
      </c>
      <c r="Z38" s="6">
        <f t="shared" si="18"/>
        <v>-9.8294820038481593E-4</v>
      </c>
      <c r="AA38" s="6">
        <f t="shared" si="18"/>
        <v>4.9420054726612969E-2</v>
      </c>
      <c r="AB38" s="6">
        <f t="shared" si="18"/>
        <v>6.1547064393811836E-2</v>
      </c>
      <c r="AC38" s="6">
        <f t="shared" si="18"/>
        <v>-0.16165204910010761</v>
      </c>
    </row>
    <row r="39" spans="24:29" x14ac:dyDescent="0.25">
      <c r="X39" s="6">
        <f t="shared" ref="X39:AC39" si="19">X7-X$34</f>
        <v>-1.8474943408068201E-3</v>
      </c>
      <c r="Y39" s="6">
        <f t="shared" si="19"/>
        <v>-4.7530791113303134E-3</v>
      </c>
      <c r="Z39" s="6">
        <f t="shared" si="19"/>
        <v>-8.130598663199499E-4</v>
      </c>
      <c r="AA39" s="6">
        <f t="shared" si="19"/>
        <v>-1.7164990460875103E-2</v>
      </c>
      <c r="AB39" s="6">
        <f t="shared" si="19"/>
        <v>8.596739447091141E-3</v>
      </c>
      <c r="AC39" s="6">
        <f t="shared" si="19"/>
        <v>3.2332216770413862E-2</v>
      </c>
    </row>
    <row r="40" spans="24:29" x14ac:dyDescent="0.25">
      <c r="X40" s="6">
        <f t="shared" ref="X40:AC40" si="20">X8-X$34</f>
        <v>-2.0876769099308907E-3</v>
      </c>
      <c r="Y40" s="6">
        <f t="shared" si="20"/>
        <v>-1.0375671010542389E-2</v>
      </c>
      <c r="Z40" s="6">
        <f t="shared" si="20"/>
        <v>-1.3813190587584468E-2</v>
      </c>
      <c r="AA40" s="6">
        <f t="shared" si="20"/>
        <v>-6.9845716025712143E-2</v>
      </c>
      <c r="AB40" s="6">
        <f t="shared" si="20"/>
        <v>-5.347242371846319E-2</v>
      </c>
      <c r="AC40" s="6">
        <f t="shared" si="20"/>
        <v>5.7700252763863112E-2</v>
      </c>
    </row>
    <row r="41" spans="24:29" x14ac:dyDescent="0.25">
      <c r="X41" s="6">
        <f t="shared" ref="X41:AC41" si="21">X9-X$34</f>
        <v>1.0074403577637397E-3</v>
      </c>
      <c r="Y41" s="6">
        <f t="shared" si="21"/>
        <v>-9.3223885794083789E-4</v>
      </c>
      <c r="Z41" s="6">
        <f t="shared" si="21"/>
        <v>1.9799154430229671E-2</v>
      </c>
      <c r="AA41" s="6">
        <f t="shared" si="21"/>
        <v>5.0643104523782803E-2</v>
      </c>
      <c r="AB41" s="6">
        <f t="shared" si="21"/>
        <v>5.0003972350219007E-2</v>
      </c>
      <c r="AC41" s="6">
        <f t="shared" si="21"/>
        <v>2.617606207369276E-3</v>
      </c>
    </row>
    <row r="42" spans="24:29" x14ac:dyDescent="0.25">
      <c r="X42" s="6">
        <f t="shared" ref="X42:AC42" si="22">X10-X$34</f>
        <v>1.129564677638091E-3</v>
      </c>
      <c r="Y42" s="6">
        <f t="shared" si="22"/>
        <v>-7.2390097425940117E-3</v>
      </c>
      <c r="Z42" s="6">
        <f t="shared" si="22"/>
        <v>1.7567434042386462E-2</v>
      </c>
      <c r="AA42" s="6">
        <f t="shared" si="22"/>
        <v>5.7749599489423584E-2</v>
      </c>
      <c r="AB42" s="6">
        <f t="shared" si="22"/>
        <v>4.1363923093124734E-2</v>
      </c>
      <c r="AC42" s="6">
        <f t="shared" si="22"/>
        <v>5.6354390213933951E-2</v>
      </c>
    </row>
    <row r="43" spans="24:29" x14ac:dyDescent="0.25">
      <c r="X43" s="6">
        <f t="shared" ref="X43:AC43" si="23">X11-X$34</f>
        <v>5.9126334709352023E-4</v>
      </c>
      <c r="Y43" s="6">
        <f t="shared" si="23"/>
        <v>-1.007059223593073E-2</v>
      </c>
      <c r="Z43" s="6">
        <f t="shared" si="23"/>
        <v>5.4572787432695408E-3</v>
      </c>
      <c r="AA43" s="6">
        <f t="shared" si="23"/>
        <v>1.5328203417206126E-2</v>
      </c>
      <c r="AB43" s="6">
        <f t="shared" si="23"/>
        <v>2.83147730274683E-2</v>
      </c>
      <c r="AC43" s="6">
        <f t="shared" si="23"/>
        <v>2.7692580400517967E-2</v>
      </c>
    </row>
    <row r="44" spans="24:29" x14ac:dyDescent="0.25">
      <c r="X44" s="6">
        <f t="shared" ref="X44:AC44" si="24">X12-X$34</f>
        <v>3.5350124503825324E-4</v>
      </c>
      <c r="Y44" s="6">
        <f t="shared" si="24"/>
        <v>-2.6202161809233779E-2</v>
      </c>
      <c r="Z44" s="6">
        <f t="shared" si="24"/>
        <v>-1.704191421064942E-2</v>
      </c>
      <c r="AA44" s="6">
        <f t="shared" si="24"/>
        <v>0.18256091471685076</v>
      </c>
      <c r="AB44" s="6">
        <f t="shared" si="24"/>
        <v>-9.4735672704918589E-2</v>
      </c>
      <c r="AC44" s="6">
        <f t="shared" si="24"/>
        <v>0.1422430952747763</v>
      </c>
    </row>
    <row r="45" spans="24:29" x14ac:dyDescent="0.25">
      <c r="X45" s="6">
        <f t="shared" ref="X45:AC45" si="25">X13-X$34</f>
        <v>1.7296619945506376E-3</v>
      </c>
      <c r="Y45" s="6">
        <f t="shared" si="25"/>
        <v>-1.8018355101207556E-2</v>
      </c>
      <c r="Z45" s="6">
        <f t="shared" si="25"/>
        <v>4.5062021445104895E-3</v>
      </c>
      <c r="AA45" s="6">
        <f t="shared" si="25"/>
        <v>4.8214733981031557E-2</v>
      </c>
      <c r="AB45" s="6">
        <f t="shared" si="25"/>
        <v>1.3912054749581189E-2</v>
      </c>
      <c r="AC45" s="6">
        <f t="shared" si="25"/>
        <v>0.11763006846133428</v>
      </c>
    </row>
    <row r="46" spans="24:29" x14ac:dyDescent="0.25">
      <c r="X46" s="6">
        <f t="shared" ref="X46:AC46" si="26">X14-X$34</f>
        <v>6.4353530415393379E-4</v>
      </c>
      <c r="Y46" s="6">
        <f t="shared" si="26"/>
        <v>-1.0317798964708094E-2</v>
      </c>
      <c r="Z46" s="6">
        <f t="shared" si="26"/>
        <v>-6.7055338988148399E-3</v>
      </c>
      <c r="AA46" s="6">
        <f t="shared" si="26"/>
        <v>4.0115016248794974E-2</v>
      </c>
      <c r="AB46" s="6">
        <f t="shared" si="26"/>
        <v>-3.157623792039501E-2</v>
      </c>
      <c r="AC46" s="6">
        <f t="shared" si="26"/>
        <v>3.0520357893452636E-2</v>
      </c>
    </row>
    <row r="47" spans="24:29" x14ac:dyDescent="0.25">
      <c r="X47" s="6">
        <f t="shared" ref="X47:AC47" si="27">X15-X$34</f>
        <v>2.7345957733237666E-4</v>
      </c>
      <c r="Y47" s="6">
        <f t="shared" si="27"/>
        <v>1.8060856459258742E-2</v>
      </c>
      <c r="Z47" s="6">
        <f t="shared" si="27"/>
        <v>-3.1760249829035484E-3</v>
      </c>
      <c r="AA47" s="6">
        <f t="shared" si="27"/>
        <v>-4.8437021606406436E-2</v>
      </c>
      <c r="AB47" s="6">
        <f t="shared" si="27"/>
        <v>-1.7339555972006003E-2</v>
      </c>
      <c r="AC47" s="6">
        <f t="shared" si="27"/>
        <v>-9.0149565290792433E-2</v>
      </c>
    </row>
    <row r="48" spans="24:29" x14ac:dyDescent="0.25">
      <c r="X48" s="6">
        <f t="shared" ref="X48:AC48" si="28">X16-X$34</f>
        <v>1.8189344140901679E-4</v>
      </c>
      <c r="Y48" s="6">
        <f t="shared" si="28"/>
        <v>-2.208390946670534E-2</v>
      </c>
      <c r="Z48" s="6">
        <f t="shared" si="28"/>
        <v>-6.6781265720890059E-3</v>
      </c>
      <c r="AA48" s="6">
        <f t="shared" si="28"/>
        <v>3.2616282972734154E-2</v>
      </c>
      <c r="AB48" s="6">
        <f t="shared" si="28"/>
        <v>-4.3610024085364428E-2</v>
      </c>
      <c r="AC48" s="6">
        <f t="shared" si="28"/>
        <v>0.11465129198491586</v>
      </c>
    </row>
    <row r="49" spans="24:29" x14ac:dyDescent="0.25">
      <c r="X49" s="6">
        <f t="shared" ref="X49:AC49" si="29">X17-X$34</f>
        <v>-2.1203465828908957E-3</v>
      </c>
      <c r="Y49" s="6">
        <f t="shared" si="29"/>
        <v>-8.0673785595025277E-3</v>
      </c>
      <c r="Z49" s="6">
        <f t="shared" si="29"/>
        <v>-1.7861028738917706E-2</v>
      </c>
      <c r="AA49" s="6">
        <f t="shared" si="29"/>
        <v>-0.16488268682308632</v>
      </c>
      <c r="AB49" s="6">
        <f t="shared" si="29"/>
        <v>-0.12013230673588099</v>
      </c>
      <c r="AC49" s="6">
        <f t="shared" si="29"/>
        <v>0.12693545414917484</v>
      </c>
    </row>
    <row r="50" spans="24:29" x14ac:dyDescent="0.25">
      <c r="X50" s="6">
        <f t="shared" ref="X50:AC50" si="30">X18-X$34</f>
        <v>7.8716415549946338E-4</v>
      </c>
      <c r="Y50" s="6">
        <f t="shared" si="30"/>
        <v>4.2914243043320879E-2</v>
      </c>
      <c r="Z50" s="6">
        <f t="shared" si="30"/>
        <v>-6.1393709517005412E-3</v>
      </c>
      <c r="AA50" s="6">
        <f t="shared" si="30"/>
        <v>9.4311998518238349E-2</v>
      </c>
      <c r="AB50" s="6">
        <f t="shared" si="30"/>
        <v>-5.1850237306811396E-2</v>
      </c>
      <c r="AC50" s="6">
        <f t="shared" si="30"/>
        <v>-0.19568675743231209</v>
      </c>
    </row>
    <row r="51" spans="24:29" x14ac:dyDescent="0.25">
      <c r="X51" s="6">
        <f t="shared" ref="X51:AC51" si="31">X19-X$34</f>
        <v>2.4440194630210546E-4</v>
      </c>
      <c r="Y51" s="6">
        <f t="shared" si="31"/>
        <v>-1.652287898148223E-2</v>
      </c>
      <c r="Z51" s="6">
        <f t="shared" si="31"/>
        <v>-1.8624217203859507E-3</v>
      </c>
      <c r="AA51" s="6">
        <f t="shared" si="31"/>
        <v>-2.8019844137044904E-3</v>
      </c>
      <c r="AB51" s="6">
        <f t="shared" si="31"/>
        <v>-1.8694304482643996E-2</v>
      </c>
      <c r="AC51" s="6">
        <f t="shared" si="31"/>
        <v>4.3843092195097903E-2</v>
      </c>
    </row>
    <row r="52" spans="24:29" x14ac:dyDescent="0.25">
      <c r="X52" s="6">
        <f t="shared" ref="X52:AC52" si="32">X20-X$34</f>
        <v>7.2808178645346507E-5</v>
      </c>
      <c r="Y52" s="6">
        <f t="shared" si="32"/>
        <v>3.1944753515175399E-3</v>
      </c>
      <c r="Z52" s="6">
        <f t="shared" si="32"/>
        <v>-1.3409073727914556E-3</v>
      </c>
      <c r="AA52" s="6">
        <f t="shared" si="32"/>
        <v>-8.1214888478162821E-3</v>
      </c>
      <c r="AB52" s="6">
        <f t="shared" si="32"/>
        <v>-1.0285067294130777E-2</v>
      </c>
      <c r="AC52" s="6">
        <f t="shared" si="32"/>
        <v>-6.1776998548521013E-2</v>
      </c>
    </row>
    <row r="53" spans="24:29" x14ac:dyDescent="0.25">
      <c r="X53" s="6">
        <f t="shared" ref="X53:AC53" si="33">X21-X$34</f>
        <v>3.7186522185748737E-3</v>
      </c>
      <c r="Y53" s="6">
        <f t="shared" si="33"/>
        <v>2.5585271289048958E-2</v>
      </c>
      <c r="Z53" s="6">
        <f t="shared" si="33"/>
        <v>2.2002106550718978E-2</v>
      </c>
      <c r="AA53" s="6">
        <f t="shared" si="33"/>
        <v>2.6799353433424811E-2</v>
      </c>
      <c r="AB53" s="6">
        <f t="shared" si="33"/>
        <v>0.14586957337755654</v>
      </c>
      <c r="AC53" s="6">
        <f t="shared" si="33"/>
        <v>-0.14338879745652899</v>
      </c>
    </row>
    <row r="54" spans="24:29" x14ac:dyDescent="0.25">
      <c r="X54" s="6">
        <f t="shared" ref="X54:AC54" si="34">X22-X$34</f>
        <v>-6.505908163612819E-4</v>
      </c>
      <c r="Y54" s="6">
        <f t="shared" si="34"/>
        <v>1.8253657034390668E-3</v>
      </c>
      <c r="Z54" s="6">
        <f t="shared" si="34"/>
        <v>9.7693784911038906E-3</v>
      </c>
      <c r="AA54" s="6">
        <f t="shared" si="34"/>
        <v>-1.6963885097292433E-2</v>
      </c>
      <c r="AB54" s="6">
        <f t="shared" si="34"/>
        <v>8.9456707139094455E-2</v>
      </c>
      <c r="AC54" s="6">
        <f t="shared" si="34"/>
        <v>-2.7854940020316556E-2</v>
      </c>
    </row>
    <row r="55" spans="24:29" x14ac:dyDescent="0.25">
      <c r="X55" s="6">
        <f t="shared" ref="X55:AC55" si="35">X23-X$34</f>
        <v>-1.0586366400159664E-3</v>
      </c>
      <c r="Y55" s="6">
        <f t="shared" si="35"/>
        <v>7.3296028225699333E-3</v>
      </c>
      <c r="Z55" s="6">
        <f t="shared" si="35"/>
        <v>3.5168082585054924E-3</v>
      </c>
      <c r="AA55" s="6">
        <f t="shared" si="35"/>
        <v>-5.8848540019724879E-2</v>
      </c>
      <c r="AB55" s="6">
        <f t="shared" si="35"/>
        <v>7.3416707170866985E-2</v>
      </c>
      <c r="AC55" s="6">
        <f t="shared" si="35"/>
        <v>-8.1428862506314287E-2</v>
      </c>
    </row>
    <row r="56" spans="24:29" x14ac:dyDescent="0.25">
      <c r="X56" s="6">
        <f t="shared" ref="X56:AC56" si="36">X24-X$34</f>
        <v>1.239588967449105E-3</v>
      </c>
      <c r="Y56" s="6">
        <f t="shared" si="36"/>
        <v>-3.1798096568590932E-3</v>
      </c>
      <c r="Z56" s="6">
        <f t="shared" si="36"/>
        <v>2.5660209701297523E-2</v>
      </c>
      <c r="AA56" s="6">
        <f t="shared" si="36"/>
        <v>5.8242358205485928E-2</v>
      </c>
      <c r="AB56" s="6">
        <f t="shared" si="36"/>
        <v>0.12212986989398103</v>
      </c>
      <c r="AC56" s="6">
        <f t="shared" si="36"/>
        <v>3.2472982850757136E-2</v>
      </c>
    </row>
    <row r="57" spans="24:29" x14ac:dyDescent="0.25">
      <c r="X57" s="6">
        <f t="shared" ref="X57:AC57" si="37">X25-X$34</f>
        <v>-3.4685981232499712E-4</v>
      </c>
      <c r="Y57" s="6">
        <f t="shared" si="37"/>
        <v>-5.6306452199734319E-3</v>
      </c>
      <c r="Z57" s="6">
        <f t="shared" si="37"/>
        <v>1.7543562466288617E-2</v>
      </c>
      <c r="AA57" s="6">
        <f t="shared" si="37"/>
        <v>3.1324881702937554E-2</v>
      </c>
      <c r="AB57" s="6">
        <f t="shared" si="37"/>
        <v>0.10500227704712325</v>
      </c>
      <c r="AC57" s="6">
        <f t="shared" si="37"/>
        <v>4.6508556022915086E-2</v>
      </c>
    </row>
    <row r="58" spans="24:29" x14ac:dyDescent="0.25">
      <c r="X58" s="6">
        <f t="shared" ref="X58:AC58" si="38">X26-X$34</f>
        <v>-3.7499474175716483E-4</v>
      </c>
      <c r="Y58" s="6">
        <f t="shared" si="38"/>
        <v>-4.579275248665078E-4</v>
      </c>
      <c r="Z58" s="6">
        <f t="shared" si="38"/>
        <v>5.1122832809512176E-3</v>
      </c>
      <c r="AA58" s="6">
        <f t="shared" si="38"/>
        <v>2.6512000571434113E-2</v>
      </c>
      <c r="AB58" s="6">
        <f t="shared" si="38"/>
        <v>5.4683630833189036E-2</v>
      </c>
      <c r="AC58" s="6">
        <f t="shared" si="38"/>
        <v>-1.1744583319589393E-2</v>
      </c>
    </row>
    <row r="59" spans="24:29" x14ac:dyDescent="0.25">
      <c r="X59" s="6">
        <f t="shared" ref="X59:AC59" si="39">X27-X$34</f>
        <v>-1.742132741064749E-3</v>
      </c>
      <c r="Y59" s="6">
        <f t="shared" si="39"/>
        <v>-8.50395806133529E-3</v>
      </c>
      <c r="Z59" s="6">
        <f t="shared" si="39"/>
        <v>-2.0348774345854762E-2</v>
      </c>
      <c r="AA59" s="6">
        <f t="shared" si="39"/>
        <v>-2.9720942582558484E-2</v>
      </c>
      <c r="AB59" s="6">
        <f t="shared" si="39"/>
        <v>-7.9757457550423544E-2</v>
      </c>
      <c r="AC59" s="6">
        <f t="shared" si="39"/>
        <v>8.4171987243008117E-2</v>
      </c>
    </row>
    <row r="60" spans="24:29" x14ac:dyDescent="0.25">
      <c r="X60" s="6">
        <f t="shared" ref="X60:AC60" si="40">X28-X$34</f>
        <v>9.6794118250590291E-4</v>
      </c>
      <c r="Y60" s="6">
        <f t="shared" si="40"/>
        <v>5.2940574217789959E-4</v>
      </c>
      <c r="Z60" s="6">
        <f t="shared" si="40"/>
        <v>-4.721098596532072E-3</v>
      </c>
      <c r="AA60" s="6">
        <f t="shared" si="40"/>
        <v>-1.3700146118260214E-2</v>
      </c>
      <c r="AB60" s="6">
        <f t="shared" si="40"/>
        <v>-4.0719852791514126E-2</v>
      </c>
      <c r="AC60" s="6">
        <f t="shared" si="40"/>
        <v>2.0267657306615589E-4</v>
      </c>
    </row>
    <row r="61" spans="24:29" x14ac:dyDescent="0.25">
      <c r="X61" s="6">
        <f t="shared" ref="X61:AC61" si="41">X29-X$34</f>
        <v>-1.4089208413170322E-4</v>
      </c>
      <c r="Y61" s="6">
        <f t="shared" si="41"/>
        <v>-1.2054531355072354E-2</v>
      </c>
      <c r="Z61" s="6">
        <f t="shared" si="41"/>
        <v>1.3370426614496985E-3</v>
      </c>
      <c r="AA61" s="6">
        <f t="shared" si="41"/>
        <v>3.991819800607653E-2</v>
      </c>
      <c r="AB61" s="6">
        <f t="shared" si="41"/>
        <v>4.99113923952519E-3</v>
      </c>
      <c r="AC61" s="6">
        <f t="shared" si="41"/>
        <v>6.1528528633889017E-2</v>
      </c>
    </row>
    <row r="62" spans="24:29" x14ac:dyDescent="0.25">
      <c r="X62" s="6">
        <f t="shared" ref="X62:AC62" si="42">X30-X$34</f>
        <v>-1.3089649053610059E-4</v>
      </c>
      <c r="Y62" s="6">
        <f t="shared" si="42"/>
        <v>3.0945916134684795E-2</v>
      </c>
      <c r="Z62" s="6">
        <f t="shared" si="42"/>
        <v>-5.6890476510898288E-3</v>
      </c>
      <c r="AA62" s="6">
        <f t="shared" si="42"/>
        <v>-0.11309010118792182</v>
      </c>
      <c r="AB62" s="6">
        <f t="shared" si="42"/>
        <v>-4.40005080825124E-2</v>
      </c>
      <c r="AC62" s="6">
        <f t="shared" si="42"/>
        <v>-0.15463269801527402</v>
      </c>
    </row>
    <row r="63" spans="24:29" x14ac:dyDescent="0.25">
      <c r="X63" s="6">
        <f t="shared" ref="X63:AC63" si="43">X31-X$34</f>
        <v>-7.8650741973914978E-4</v>
      </c>
      <c r="Y63" s="6">
        <f t="shared" si="43"/>
        <v>-6.3480243601326952E-3</v>
      </c>
      <c r="Z63" s="6">
        <f t="shared" si="43"/>
        <v>2.8410144479733409E-4</v>
      </c>
      <c r="AA63" s="6">
        <f t="shared" si="43"/>
        <v>2.3922481599097552E-3</v>
      </c>
      <c r="AB63" s="6">
        <f t="shared" si="43"/>
        <v>-8.6885530903715175E-4</v>
      </c>
      <c r="AC63" s="6">
        <f t="shared" si="43"/>
        <v>4.3866927852492903E-2</v>
      </c>
    </row>
    <row r="64" spans="24:29" x14ac:dyDescent="0.25">
      <c r="X64" s="6">
        <f t="shared" ref="X64:AC64" si="44">X32-X$34</f>
        <v>-5.5354783315280671E-3</v>
      </c>
      <c r="Y64" s="6">
        <f t="shared" si="44"/>
        <v>9.6102273566910784E-3</v>
      </c>
      <c r="Z64" s="6">
        <f t="shared" si="44"/>
        <v>-1.9073704976879109E-2</v>
      </c>
      <c r="AA64" s="6">
        <f t="shared" si="44"/>
        <v>-7.8045437315214586E-2</v>
      </c>
      <c r="AB64" s="6">
        <f t="shared" si="44"/>
        <v>-0.13341202730006302</v>
      </c>
      <c r="AC64" s="6">
        <f t="shared" si="44"/>
        <v>3.0867953173798306E-2</v>
      </c>
    </row>
    <row r="65" spans="24:29" ht="15.75" x14ac:dyDescent="0.25">
      <c r="X65" s="13" t="s">
        <v>23</v>
      </c>
      <c r="Y65" s="14"/>
      <c r="Z65" s="14"/>
      <c r="AA65" s="14"/>
      <c r="AB65" s="14"/>
      <c r="AC65" s="15"/>
    </row>
    <row r="66" spans="24:29" x14ac:dyDescent="0.25">
      <c r="X66" s="7">
        <f>_xlfn.STDEV.S(X36:X64)</f>
        <v>1.7308713876288899E-3</v>
      </c>
      <c r="Y66" s="7">
        <f t="shared" ref="Y66:AC66" si="45">_xlfn.STDEV.S(Y36:Y64)</f>
        <v>1.5982896731383811E-2</v>
      </c>
      <c r="Z66" s="7">
        <f t="shared" si="45"/>
        <v>1.2150725520301954E-2</v>
      </c>
      <c r="AA66" s="7">
        <f t="shared" si="45"/>
        <v>6.8383176976350671E-2</v>
      </c>
      <c r="AB66" s="7">
        <f t="shared" si="45"/>
        <v>6.9384978806114578E-2</v>
      </c>
      <c r="AC66" s="7">
        <f t="shared" si="45"/>
        <v>9.146823855200982E-2</v>
      </c>
    </row>
    <row r="67" spans="24:29" ht="15.75" x14ac:dyDescent="0.25">
      <c r="X67" s="13" t="s">
        <v>24</v>
      </c>
      <c r="Y67" s="14"/>
      <c r="Z67" s="14"/>
      <c r="AA67" s="14"/>
      <c r="AB67" s="14"/>
      <c r="AC67" s="15"/>
    </row>
    <row r="68" spans="24:29" x14ac:dyDescent="0.25">
      <c r="X68" s="7">
        <f>_xlfn.STDEV.S(X4:X32)</f>
        <v>1.7308713876288899E-3</v>
      </c>
      <c r="Y68" s="7">
        <f t="shared" ref="Y68:AC68" si="46">_xlfn.STDEV.S(Y4:Y32)</f>
        <v>1.5982896731383811E-2</v>
      </c>
      <c r="Z68" s="7">
        <f t="shared" si="46"/>
        <v>1.2150725520301957E-2</v>
      </c>
      <c r="AA68" s="7">
        <f t="shared" si="46"/>
        <v>6.8383176976350671E-2</v>
      </c>
      <c r="AB68" s="7">
        <f t="shared" si="46"/>
        <v>6.9384978806114564E-2</v>
      </c>
      <c r="AC68" s="7">
        <f t="shared" si="46"/>
        <v>9.146823855200982E-2</v>
      </c>
    </row>
    <row r="69" spans="24:29" x14ac:dyDescent="0.25">
      <c r="X69" s="6"/>
      <c r="Y69" s="6"/>
      <c r="Z69" s="6"/>
      <c r="AA69" s="6"/>
      <c r="AB69" s="6"/>
      <c r="AC69" s="6"/>
    </row>
    <row r="70" spans="24:29" x14ac:dyDescent="0.25">
      <c r="X70" s="6"/>
      <c r="Y70" s="6"/>
      <c r="Z70" s="6"/>
      <c r="AA70" s="6"/>
      <c r="AB70" s="6"/>
      <c r="AC70" s="6"/>
    </row>
    <row r="71" spans="24:29" x14ac:dyDescent="0.25">
      <c r="X71" s="6"/>
      <c r="Y71" s="6"/>
      <c r="Z71" s="6"/>
      <c r="AA71" s="6"/>
      <c r="AB71" s="6"/>
      <c r="AC71" s="6"/>
    </row>
    <row r="72" spans="24:29" x14ac:dyDescent="0.25">
      <c r="X72" s="6"/>
      <c r="Y72" s="6"/>
      <c r="Z72" s="6"/>
      <c r="AA72" s="6"/>
      <c r="AB72" s="6"/>
      <c r="AC72" s="6"/>
    </row>
    <row r="73" spans="24:29" x14ac:dyDescent="0.25">
      <c r="X73" s="6"/>
      <c r="Y73" s="6"/>
      <c r="Z73" s="6"/>
      <c r="AA73" s="6"/>
      <c r="AB73" s="6"/>
      <c r="AC73" s="6"/>
    </row>
    <row r="74" spans="24:29" x14ac:dyDescent="0.25">
      <c r="X74" s="6"/>
      <c r="Y74" s="6"/>
      <c r="Z74" s="6"/>
      <c r="AA74" s="6"/>
      <c r="AB74" s="6"/>
      <c r="AC74" s="6"/>
    </row>
    <row r="75" spans="24:29" x14ac:dyDescent="0.25">
      <c r="X75" s="6"/>
      <c r="Y75" s="6"/>
      <c r="Z75" s="6"/>
      <c r="AA75" s="6"/>
      <c r="AB75" s="6"/>
      <c r="AC75" s="6"/>
    </row>
    <row r="76" spans="24:29" x14ac:dyDescent="0.25">
      <c r="X76" s="6"/>
      <c r="Y76" s="6"/>
      <c r="Z76" s="6"/>
      <c r="AA76" s="6"/>
      <c r="AB76" s="6"/>
      <c r="AC76" s="6"/>
    </row>
    <row r="77" spans="24:29" x14ac:dyDescent="0.25">
      <c r="X77" s="6"/>
      <c r="Y77" s="6"/>
      <c r="Z77" s="6"/>
      <c r="AA77" s="6"/>
      <c r="AB77" s="6"/>
      <c r="AC77" s="6"/>
    </row>
    <row r="78" spans="24:29" x14ac:dyDescent="0.25">
      <c r="X78" s="6"/>
      <c r="Y78" s="6"/>
      <c r="Z78" s="6"/>
      <c r="AA78" s="6"/>
      <c r="AB78" s="6"/>
      <c r="AC78" s="6"/>
    </row>
    <row r="79" spans="24:29" x14ac:dyDescent="0.25">
      <c r="X79" s="6"/>
      <c r="Y79" s="6"/>
      <c r="Z79" s="6"/>
      <c r="AA79" s="6"/>
      <c r="AB79" s="6"/>
      <c r="AC79" s="6"/>
    </row>
  </sheetData>
  <mergeCells count="8">
    <mergeCell ref="X35:AC35"/>
    <mergeCell ref="X65:AC65"/>
    <mergeCell ref="X67:AC67"/>
    <mergeCell ref="A1:K1"/>
    <mergeCell ref="L1:Q1"/>
    <mergeCell ref="R1:W1"/>
    <mergeCell ref="X1:AC1"/>
    <mergeCell ref="X33:AC3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F1F3-ADBC-4F71-9BBA-A70CB80B251A}">
  <dimension ref="A1:F31"/>
  <sheetViews>
    <sheetView topLeftCell="A6" workbookViewId="0">
      <selection activeCell="I37" sqref="I37"/>
    </sheetView>
  </sheetViews>
  <sheetFormatPr defaultRowHeight="15" x14ac:dyDescent="0.25"/>
  <cols>
    <col min="1" max="1" width="12" bestFit="1" customWidth="1"/>
    <col min="2" max="3" width="11" bestFit="1" customWidth="1"/>
    <col min="8" max="8" width="12" bestFit="1" customWidth="1"/>
  </cols>
  <sheetData>
    <row r="1" spans="1:6" ht="15.75" x14ac:dyDescent="0.25">
      <c r="A1" s="25" t="s">
        <v>52</v>
      </c>
      <c r="B1" s="26"/>
      <c r="C1" s="26"/>
      <c r="D1" s="26"/>
      <c r="E1" s="26"/>
      <c r="F1" s="26"/>
    </row>
    <row r="2" spans="1:6" ht="15.75" x14ac:dyDescent="0.25">
      <c r="A2" s="3" t="s">
        <v>3</v>
      </c>
      <c r="B2" s="1" t="s">
        <v>4</v>
      </c>
      <c r="C2" s="1" t="s">
        <v>5</v>
      </c>
      <c r="D2" s="1" t="s">
        <v>0</v>
      </c>
      <c r="E2" s="1" t="s">
        <v>1</v>
      </c>
      <c r="F2" s="1" t="s">
        <v>2</v>
      </c>
    </row>
    <row r="3" spans="1:6" x14ac:dyDescent="0.25">
      <c r="A3">
        <v>-1.7544741276651599E-3</v>
      </c>
      <c r="B3">
        <v>-0.31834593415260298</v>
      </c>
      <c r="C3">
        <v>-6.2641464173793801E-3</v>
      </c>
      <c r="D3">
        <v>-0.674751877784729</v>
      </c>
      <c r="E3">
        <v>3.19383293390274E-3</v>
      </c>
      <c r="F3">
        <v>0.96315091848373402</v>
      </c>
    </row>
    <row r="4" spans="1:6" x14ac:dyDescent="0.25">
      <c r="A4">
        <v>-1.7534195212647299E-3</v>
      </c>
      <c r="B4">
        <v>-0.31835025548934898</v>
      </c>
      <c r="C4">
        <v>-6.2434999272227296E-3</v>
      </c>
      <c r="D4">
        <v>-0.67515110969543501</v>
      </c>
      <c r="E4">
        <v>3.24986502528191E-3</v>
      </c>
      <c r="F4">
        <v>0.96419638395309404</v>
      </c>
    </row>
    <row r="5" spans="1:6" x14ac:dyDescent="0.25">
      <c r="A5">
        <v>-1.75065000075847E-3</v>
      </c>
      <c r="B5">
        <v>-0.318317800760269</v>
      </c>
      <c r="C5">
        <v>-6.2407385557889904E-3</v>
      </c>
      <c r="D5">
        <v>-0.67596113681793202</v>
      </c>
      <c r="E5">
        <v>3.2197870314121199E-3</v>
      </c>
      <c r="F5">
        <v>0.96527057886123702</v>
      </c>
    </row>
    <row r="6" spans="1:6" x14ac:dyDescent="0.25">
      <c r="A6">
        <v>-1.76246999762952E-3</v>
      </c>
      <c r="B6">
        <v>-0.31836199760437001</v>
      </c>
      <c r="C6">
        <v>-6.26142183318734E-3</v>
      </c>
      <c r="D6">
        <v>-0.67551815509796098</v>
      </c>
      <c r="E6">
        <v>3.1419545412063599E-3</v>
      </c>
      <c r="F6">
        <v>0.96570301055908203</v>
      </c>
    </row>
    <row r="7" spans="1:6" x14ac:dyDescent="0.25">
      <c r="A7">
        <v>-1.76115019712597E-3</v>
      </c>
      <c r="B7">
        <v>-0.31840476393699602</v>
      </c>
      <c r="C7">
        <v>-6.2717664986848796E-3</v>
      </c>
      <c r="D7">
        <v>-0.67516607046127297</v>
      </c>
      <c r="E7">
        <v>3.20330634713173E-3</v>
      </c>
      <c r="F7">
        <v>0.96672642230987504</v>
      </c>
    </row>
    <row r="8" spans="1:6" x14ac:dyDescent="0.25">
      <c r="A8">
        <v>-1.77080126013607E-3</v>
      </c>
      <c r="B8">
        <v>-0.318428844213486</v>
      </c>
      <c r="C8">
        <v>-6.2596271745860603E-3</v>
      </c>
      <c r="D8">
        <v>-0.67413067817687999</v>
      </c>
      <c r="E8">
        <v>3.0201077461242702E-3</v>
      </c>
      <c r="F8">
        <v>0.96745669841766402</v>
      </c>
    </row>
    <row r="9" spans="1:6" x14ac:dyDescent="0.25">
      <c r="A9">
        <v>-1.77538522984833E-3</v>
      </c>
      <c r="B9">
        <v>-0.31843546032905601</v>
      </c>
      <c r="C9">
        <v>-6.2413448467850702E-3</v>
      </c>
      <c r="D9">
        <v>-0.67258775234222401</v>
      </c>
      <c r="E9">
        <v>2.8775595128536198E-3</v>
      </c>
      <c r="F9">
        <v>0.96834367513656605</v>
      </c>
    </row>
    <row r="10" spans="1:6" x14ac:dyDescent="0.25">
      <c r="A10">
        <v>-1.7675861017778501E-3</v>
      </c>
      <c r="B10">
        <v>-0.31845599412918102</v>
      </c>
      <c r="C10">
        <v>-6.2550427392125104E-3</v>
      </c>
      <c r="D10">
        <v>-0.67437356710434004</v>
      </c>
      <c r="E10">
        <v>3.1309016048908199E-3</v>
      </c>
      <c r="F10">
        <v>0.96913027763366699</v>
      </c>
    </row>
    <row r="11" spans="1:6" x14ac:dyDescent="0.25">
      <c r="A11">
        <v>-1.76029501017183E-3</v>
      </c>
      <c r="B11">
        <v>-0.318482726812363</v>
      </c>
      <c r="C11">
        <v>-6.2672495841979998E-3</v>
      </c>
      <c r="D11">
        <v>-0.673661768436432</v>
      </c>
      <c r="E11">
        <v>3.05617973208427E-3</v>
      </c>
      <c r="F11">
        <v>0.96976023912429798</v>
      </c>
    </row>
    <row r="12" spans="1:6" x14ac:dyDescent="0.25">
      <c r="A12">
        <v>-1.7629903741180899E-3</v>
      </c>
      <c r="B12">
        <v>-0.31848400831222501</v>
      </c>
      <c r="C12">
        <v>-6.2635350041091399E-3</v>
      </c>
      <c r="D12">
        <v>-0.67213189601898204</v>
      </c>
      <c r="E12">
        <v>2.9119290411472299E-3</v>
      </c>
      <c r="F12">
        <v>0.97022724151611295</v>
      </c>
    </row>
    <row r="13" spans="1:6" x14ac:dyDescent="0.25">
      <c r="A13">
        <v>-1.7632051603868599E-3</v>
      </c>
      <c r="B13">
        <v>-0.318464756011963</v>
      </c>
      <c r="C13">
        <v>-6.2491958960890796E-3</v>
      </c>
      <c r="D13">
        <v>-0.67392349243164096</v>
      </c>
      <c r="E13">
        <v>2.87558138370514E-3</v>
      </c>
      <c r="F13">
        <v>0.97059470415115401</v>
      </c>
    </row>
    <row r="14" spans="1:6" x14ac:dyDescent="0.25">
      <c r="A14">
        <v>-1.77374866325408E-3</v>
      </c>
      <c r="B14">
        <v>-0.318466067314148</v>
      </c>
      <c r="C14">
        <v>-6.2402309849858301E-3</v>
      </c>
      <c r="D14">
        <v>-0.67248791456222501</v>
      </c>
      <c r="E14">
        <v>2.7865357697010001E-3</v>
      </c>
      <c r="F14">
        <v>0.97107356786727905</v>
      </c>
    </row>
    <row r="15" spans="1:6" x14ac:dyDescent="0.25">
      <c r="A15">
        <v>-1.77733844611794E-3</v>
      </c>
      <c r="B15">
        <v>-0.31850036978721602</v>
      </c>
      <c r="C15">
        <v>-6.2530143186449996E-3</v>
      </c>
      <c r="D15">
        <v>-0.67183429002761796</v>
      </c>
      <c r="E15">
        <v>2.6983767747878998E-3</v>
      </c>
      <c r="F15">
        <v>0.97133904695510898</v>
      </c>
    </row>
    <row r="16" spans="1:6" x14ac:dyDescent="0.25">
      <c r="A16">
        <v>-1.7670149682089699E-3</v>
      </c>
      <c r="B16">
        <v>-0.31851583719253501</v>
      </c>
      <c r="C16">
        <v>-6.2528648413717703E-3</v>
      </c>
      <c r="D16">
        <v>-0.67253780364990201</v>
      </c>
      <c r="E16">
        <v>2.7271993458271001E-3</v>
      </c>
      <c r="F16">
        <v>0.971873998641968</v>
      </c>
    </row>
    <row r="17" spans="1:6" x14ac:dyDescent="0.25">
      <c r="A17">
        <v>-1.7712386325001699E-3</v>
      </c>
      <c r="B17">
        <v>-0.31851834058761602</v>
      </c>
      <c r="C17">
        <v>-6.2509598210453996E-3</v>
      </c>
      <c r="D17">
        <v>-0.671431064605713</v>
      </c>
      <c r="E17">
        <v>2.7267523109912898E-3</v>
      </c>
      <c r="F17">
        <v>0.97247773408889804</v>
      </c>
    </row>
    <row r="18" spans="1:6" x14ac:dyDescent="0.25">
      <c r="A18">
        <v>-1.76940648816526E-3</v>
      </c>
      <c r="B18">
        <v>-0.31854039430618297</v>
      </c>
      <c r="C18">
        <v>-6.2529179267585304E-3</v>
      </c>
      <c r="D18">
        <v>-0.67083561420440696</v>
      </c>
      <c r="E18">
        <v>2.6949197053909302E-3</v>
      </c>
      <c r="F18">
        <v>0.973044574260712</v>
      </c>
    </row>
    <row r="19" spans="1:6" x14ac:dyDescent="0.25">
      <c r="A19">
        <v>-1.78128236439079E-3</v>
      </c>
      <c r="B19">
        <v>-0.31856659054756198</v>
      </c>
      <c r="C19">
        <v>-6.2438426539301898E-3</v>
      </c>
      <c r="D19">
        <v>-0.66994196176528897</v>
      </c>
      <c r="E19">
        <v>2.5208815932273899E-3</v>
      </c>
      <c r="F19">
        <v>0.97316545248031605</v>
      </c>
    </row>
    <row r="20" spans="1:6" x14ac:dyDescent="0.25">
      <c r="A20">
        <v>-1.7738130409270499E-3</v>
      </c>
      <c r="B20">
        <v>-0.31856286525726302</v>
      </c>
      <c r="C20">
        <v>-6.25357404351234E-3</v>
      </c>
      <c r="D20">
        <v>-0.67000734806060802</v>
      </c>
      <c r="E20">
        <v>2.72102653980255E-3</v>
      </c>
      <c r="F20">
        <v>0.97378432750701904</v>
      </c>
    </row>
    <row r="21" spans="1:6" x14ac:dyDescent="0.25">
      <c r="A21">
        <v>-1.76450808066875E-3</v>
      </c>
      <c r="B21">
        <v>-0.31856727600097701</v>
      </c>
      <c r="C21">
        <v>-6.2546827830374198E-3</v>
      </c>
      <c r="D21">
        <v>-0.67114913463592496</v>
      </c>
      <c r="E21">
        <v>2.4913586676120801E-3</v>
      </c>
      <c r="F21">
        <v>0.97397625446319602</v>
      </c>
    </row>
    <row r="22" spans="1:6" x14ac:dyDescent="0.25">
      <c r="A22">
        <v>-1.7654481343924999E-3</v>
      </c>
      <c r="B22">
        <v>-0.318564563989639</v>
      </c>
      <c r="C22">
        <v>-6.2473225407302397E-3</v>
      </c>
      <c r="D22">
        <v>-0.67081940174102805</v>
      </c>
      <c r="E22">
        <v>2.3330189287662502E-3</v>
      </c>
      <c r="F22">
        <v>0.97410929203033403</v>
      </c>
    </row>
    <row r="23" spans="1:6" x14ac:dyDescent="0.25">
      <c r="A23">
        <v>-1.75577506888658E-3</v>
      </c>
      <c r="B23">
        <v>-0.31857138872146601</v>
      </c>
      <c r="C23">
        <v>-6.2397951260209101E-3</v>
      </c>
      <c r="D23">
        <v>-0.67045581340789795</v>
      </c>
      <c r="E23">
        <v>2.2448077797889701E-3</v>
      </c>
      <c r="F23">
        <v>0.97440618276596103</v>
      </c>
    </row>
    <row r="24" spans="1:6" x14ac:dyDescent="0.25">
      <c r="A24">
        <v>-1.75328960176557E-3</v>
      </c>
      <c r="B24">
        <v>-0.31856989860534701</v>
      </c>
      <c r="C24">
        <v>-6.24858541414142E-3</v>
      </c>
      <c r="D24">
        <v>-0.67140483856201205</v>
      </c>
      <c r="E24">
        <v>2.3116767406463601E-3</v>
      </c>
      <c r="F24">
        <v>0.97501951456069902</v>
      </c>
    </row>
    <row r="25" spans="1:6" x14ac:dyDescent="0.25">
      <c r="A25">
        <v>-1.74800981767476E-3</v>
      </c>
      <c r="B25">
        <v>-0.31858021020889299</v>
      </c>
      <c r="C25">
        <v>-6.2483064830303201E-3</v>
      </c>
      <c r="D25">
        <v>-0.67009818553924605</v>
      </c>
      <c r="E25">
        <v>2.2258497774601E-3</v>
      </c>
      <c r="F25">
        <v>0.97518181800842296</v>
      </c>
    </row>
    <row r="26" spans="1:6" x14ac:dyDescent="0.25">
      <c r="A26">
        <v>-1.7333208816126E-3</v>
      </c>
      <c r="B26">
        <v>-0.31859701871871898</v>
      </c>
      <c r="C26">
        <v>-6.2371809035539601E-3</v>
      </c>
      <c r="D26">
        <v>-0.67003250122070301</v>
      </c>
      <c r="E26">
        <v>1.9907616078853599E-3</v>
      </c>
      <c r="F26">
        <v>0.97552931308746305</v>
      </c>
    </row>
    <row r="27" spans="1:6" x14ac:dyDescent="0.25">
      <c r="A27">
        <v>-1.74440152477473E-3</v>
      </c>
      <c r="B27">
        <v>-0.31862673163414001</v>
      </c>
      <c r="C27">
        <v>-6.2394086271524403E-3</v>
      </c>
      <c r="D27">
        <v>-0.66939991712570202</v>
      </c>
      <c r="E27">
        <v>2.1561831235885598E-3</v>
      </c>
      <c r="F27">
        <v>0.97596657276153598</v>
      </c>
    </row>
    <row r="28" spans="1:6" ht="15.75" x14ac:dyDescent="0.25">
      <c r="A28" s="13" t="s">
        <v>49</v>
      </c>
      <c r="B28" s="14"/>
      <c r="C28" s="14"/>
      <c r="D28" s="14"/>
      <c r="E28" s="14"/>
      <c r="F28" s="15"/>
    </row>
    <row r="29" spans="1:6" x14ac:dyDescent="0.25">
      <c r="A29">
        <f t="shared" ref="A29:F29" si="0">_xlfn.STDEV.S(A3:A27)</f>
        <v>1.1289891050910862E-5</v>
      </c>
      <c r="B29">
        <f t="shared" si="0"/>
        <v>8.6804021996947833E-5</v>
      </c>
      <c r="C29">
        <f t="shared" si="0"/>
        <v>9.4816635581873056E-6</v>
      </c>
      <c r="D29">
        <f t="shared" si="0"/>
        <v>2.0238275562511066E-3</v>
      </c>
      <c r="E29">
        <f t="shared" si="0"/>
        <v>3.7348373014277152E-4</v>
      </c>
      <c r="F29">
        <f t="shared" si="0"/>
        <v>3.7672160090065085E-3</v>
      </c>
    </row>
    <row r="30" spans="1:6" ht="15.75" x14ac:dyDescent="0.25">
      <c r="A30" s="13" t="s">
        <v>53</v>
      </c>
      <c r="B30" s="14"/>
      <c r="C30" s="14"/>
      <c r="D30" s="14"/>
      <c r="E30" s="14"/>
      <c r="F30" s="15"/>
    </row>
    <row r="31" spans="1:6" x14ac:dyDescent="0.25">
      <c r="A31">
        <f>A29</f>
        <v>1.1289891050910862E-5</v>
      </c>
      <c r="B31">
        <f>MAX(B29:C29)</f>
        <v>8.6804021996947833E-5</v>
      </c>
      <c r="C31">
        <f>MAX(B29:C29)</f>
        <v>8.6804021996947833E-5</v>
      </c>
      <c r="D31">
        <f>D29</f>
        <v>2.0238275562511066E-3</v>
      </c>
      <c r="E31">
        <f>MAX(E29,F29)</f>
        <v>3.7672160090065085E-3</v>
      </c>
      <c r="F31">
        <f>MAX(E29,F29)</f>
        <v>3.7672160090065085E-3</v>
      </c>
    </row>
  </sheetData>
  <mergeCells count="3">
    <mergeCell ref="A28:F28"/>
    <mergeCell ref="A1:F1"/>
    <mergeCell ref="A30:F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5B6B-2EF9-48BE-9815-1B7C70EFF082}">
  <dimension ref="A1:T16"/>
  <sheetViews>
    <sheetView topLeftCell="B1" workbookViewId="0">
      <selection activeCell="O12" sqref="O12:T12"/>
    </sheetView>
  </sheetViews>
  <sheetFormatPr defaultRowHeight="15" x14ac:dyDescent="0.25"/>
  <cols>
    <col min="1" max="1" width="18" bestFit="1" customWidth="1"/>
    <col min="2" max="2" width="16.7109375" bestFit="1" customWidth="1"/>
    <col min="15" max="15" width="12" bestFit="1" customWidth="1"/>
  </cols>
  <sheetData>
    <row r="1" spans="1:20" ht="15.75" x14ac:dyDescent="0.25">
      <c r="A1" s="27" t="s">
        <v>51</v>
      </c>
      <c r="B1" s="27" t="s">
        <v>27</v>
      </c>
      <c r="C1" s="27" t="s">
        <v>25</v>
      </c>
      <c r="D1" s="27"/>
      <c r="E1" s="27"/>
      <c r="F1" s="27"/>
      <c r="G1" s="27"/>
      <c r="H1" s="27"/>
      <c r="I1" s="27" t="s">
        <v>26</v>
      </c>
      <c r="J1" s="27"/>
      <c r="K1" s="27"/>
      <c r="L1" s="27"/>
      <c r="M1" s="27"/>
      <c r="N1" s="27"/>
      <c r="O1" s="27" t="s">
        <v>28</v>
      </c>
      <c r="P1" s="27"/>
      <c r="Q1" s="27"/>
      <c r="R1" s="27"/>
      <c r="S1" s="27"/>
      <c r="T1" s="27"/>
    </row>
    <row r="2" spans="1:20" ht="15.75" x14ac:dyDescent="0.25">
      <c r="A2" s="27" t="s">
        <v>51</v>
      </c>
      <c r="B2" s="27"/>
      <c r="C2" s="1" t="s">
        <v>3</v>
      </c>
      <c r="D2" s="1" t="s">
        <v>4</v>
      </c>
      <c r="E2" s="1" t="s">
        <v>5</v>
      </c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0</v>
      </c>
      <c r="M2" s="1" t="s">
        <v>1</v>
      </c>
      <c r="N2" s="1" t="s">
        <v>2</v>
      </c>
      <c r="O2" s="1" t="s">
        <v>3</v>
      </c>
      <c r="P2" s="1" t="s">
        <v>4</v>
      </c>
      <c r="Q2" s="1" t="s">
        <v>5</v>
      </c>
      <c r="R2" s="1" t="s">
        <v>0</v>
      </c>
      <c r="S2" s="1" t="s">
        <v>1</v>
      </c>
      <c r="T2" s="1" t="s">
        <v>2</v>
      </c>
    </row>
    <row r="3" spans="1:20" x14ac:dyDescent="0.25">
      <c r="A3" s="8">
        <v>0</v>
      </c>
      <c r="B3" s="8">
        <v>0</v>
      </c>
      <c r="C3" s="8">
        <v>-1.60878016686183E-6</v>
      </c>
      <c r="D3" s="8">
        <v>1.88465310202446E-5</v>
      </c>
      <c r="E3" s="8">
        <v>2.88837986772705E-6</v>
      </c>
      <c r="F3" s="8">
        <v>-9.8100444301962896E-4</v>
      </c>
      <c r="G3" s="8">
        <v>1.33946887217462E-5</v>
      </c>
      <c r="H3" s="8">
        <v>-9.2765869339927998E-4</v>
      </c>
      <c r="I3" s="8">
        <v>6.2304316088557203E-5</v>
      </c>
      <c r="J3" s="8">
        <v>-4.1646137833595298E-4</v>
      </c>
      <c r="K3" s="8">
        <v>4.0425369661534198E-5</v>
      </c>
      <c r="L3" s="8">
        <v>1.13668832927942E-2</v>
      </c>
      <c r="M3" s="8">
        <v>-1.36645883321762E-3</v>
      </c>
      <c r="N3" s="8">
        <v>1.3270040974021E-2</v>
      </c>
      <c r="O3" s="8">
        <f>ABS(I3-C3)</f>
        <v>6.3913096255419037E-5</v>
      </c>
      <c r="P3" s="8">
        <f t="shared" ref="P3:T3" si="0">ABS(J3-D3)</f>
        <v>4.3530790935619756E-4</v>
      </c>
      <c r="Q3" s="8">
        <f t="shared" si="0"/>
        <v>3.7536989793807152E-5</v>
      </c>
      <c r="R3" s="8">
        <f t="shared" si="0"/>
        <v>1.2347887735813828E-2</v>
      </c>
      <c r="S3" s="8">
        <f t="shared" si="0"/>
        <v>1.3798535219393662E-3</v>
      </c>
      <c r="T3" s="8">
        <f t="shared" si="0"/>
        <v>1.419769966742028E-2</v>
      </c>
    </row>
    <row r="4" spans="1:20" x14ac:dyDescent="0.25">
      <c r="A4" s="8">
        <v>50</v>
      </c>
      <c r="B4" s="8">
        <f>(A3+A4)/1000*9.81</f>
        <v>0.49050000000000005</v>
      </c>
      <c r="C4" s="8">
        <v>-3.0997174326330402E-4</v>
      </c>
      <c r="D4" s="8">
        <v>-0.12928463518619501</v>
      </c>
      <c r="E4" s="8">
        <v>-2.2936267778277401E-3</v>
      </c>
      <c r="F4" s="8">
        <v>-0.26717236638069197</v>
      </c>
      <c r="G4" s="8">
        <v>1.5018563717603701E-3</v>
      </c>
      <c r="H4" s="8">
        <v>0.397724568843842</v>
      </c>
      <c r="I4" s="8">
        <v>-6.0571008361876E-4</v>
      </c>
      <c r="J4" s="8">
        <v>-0.12970544397830999</v>
      </c>
      <c r="K4" s="8">
        <v>-2.4937090929597599E-3</v>
      </c>
      <c r="L4" s="8">
        <v>-0.27222990989685097</v>
      </c>
      <c r="M4" s="8">
        <v>-9.4631686806678804E-4</v>
      </c>
      <c r="N4" s="8">
        <v>0.41247585415840099</v>
      </c>
      <c r="O4" s="8">
        <f t="shared" ref="O4:O6" si="1">ABS(I4-C4)</f>
        <v>2.9573834035545598E-4</v>
      </c>
      <c r="P4" s="8">
        <f t="shared" ref="P4:P6" si="2">ABS(J4-D4)</f>
        <v>4.2080879211497946E-4</v>
      </c>
      <c r="Q4" s="8">
        <f t="shared" ref="Q4:Q6" si="3">ABS(K4-E4)</f>
        <v>2.0008231513201974E-4</v>
      </c>
      <c r="R4" s="8">
        <f t="shared" ref="R4:R6" si="4">ABS(L4-F4)</f>
        <v>5.0575435161590021E-3</v>
      </c>
      <c r="S4" s="8">
        <f t="shared" ref="S4:S6" si="5">ABS(M4-G4)</f>
        <v>2.4481732398271582E-3</v>
      </c>
      <c r="T4" s="8">
        <f t="shared" ref="T4:T6" si="6">ABS(N4-H4)</f>
        <v>1.4751285314558993E-2</v>
      </c>
    </row>
    <row r="5" spans="1:20" x14ac:dyDescent="0.25">
      <c r="A5" s="8">
        <v>50</v>
      </c>
      <c r="B5" s="8">
        <f>(A3+A4+A5)/1000*9.81</f>
        <v>0.98100000000000009</v>
      </c>
      <c r="C5" s="8">
        <v>-1.31723959930241E-3</v>
      </c>
      <c r="D5" s="8">
        <v>-0.26506674289703402</v>
      </c>
      <c r="E5" s="8">
        <v>-5.1040532998740699E-3</v>
      </c>
      <c r="F5" s="8">
        <v>-0.55141580104827903</v>
      </c>
      <c r="G5" s="8">
        <v>2.6175640523433698E-3</v>
      </c>
      <c r="H5" s="8">
        <v>0.80131876468658403</v>
      </c>
      <c r="I5" s="8">
        <v>-1.56343937851489E-3</v>
      </c>
      <c r="J5" s="8">
        <v>-0.26617881655693099</v>
      </c>
      <c r="K5" s="8">
        <v>-5.2859843708574798E-3</v>
      </c>
      <c r="L5" s="8">
        <v>-0.55877524614334095</v>
      </c>
      <c r="M5" s="8">
        <v>1.86469033360481E-3</v>
      </c>
      <c r="N5" s="8">
        <v>0.81001901626586903</v>
      </c>
      <c r="O5" s="8">
        <f t="shared" si="1"/>
        <v>2.4619977921248003E-4</v>
      </c>
      <c r="P5" s="8">
        <f t="shared" si="2"/>
        <v>1.1120736598969616E-3</v>
      </c>
      <c r="Q5" s="8">
        <f t="shared" si="3"/>
        <v>1.8193107098340988E-4</v>
      </c>
      <c r="R5" s="8">
        <f t="shared" si="4"/>
        <v>7.3594450950619228E-3</v>
      </c>
      <c r="S5" s="8">
        <f t="shared" si="5"/>
        <v>7.5287371873855981E-4</v>
      </c>
      <c r="T5" s="8">
        <f t="shared" si="6"/>
        <v>8.700251579285001E-3</v>
      </c>
    </row>
    <row r="6" spans="1:20" x14ac:dyDescent="0.25">
      <c r="A6" s="8">
        <v>20</v>
      </c>
      <c r="B6" s="8">
        <f>(A3+A4+A5+A6)/1000*9.81</f>
        <v>1.1772</v>
      </c>
      <c r="C6" s="8">
        <v>-1.7683464102447E-3</v>
      </c>
      <c r="D6" s="8">
        <v>-0.31844446063041698</v>
      </c>
      <c r="E6" s="8">
        <v>-6.2346826307475602E-3</v>
      </c>
      <c r="F6" s="8">
        <v>-0.67402482032775901</v>
      </c>
      <c r="G6" s="8">
        <v>3.28068062663078E-3</v>
      </c>
      <c r="H6" s="8">
        <v>0.96414262056350697</v>
      </c>
      <c r="I6" s="8">
        <v>-1.7683464102447E-3</v>
      </c>
      <c r="J6" s="8">
        <v>-0.31844446063041698</v>
      </c>
      <c r="K6" s="8">
        <v>-6.2346826307475602E-3</v>
      </c>
      <c r="L6" s="8">
        <v>-0.67402482032775901</v>
      </c>
      <c r="M6" s="8">
        <v>3.28068062663078E-3</v>
      </c>
      <c r="N6" s="8">
        <v>0.96414262056350697</v>
      </c>
      <c r="O6" s="8">
        <f t="shared" si="1"/>
        <v>0</v>
      </c>
      <c r="P6" s="8">
        <f t="shared" si="2"/>
        <v>0</v>
      </c>
      <c r="Q6" s="8">
        <f t="shared" si="3"/>
        <v>0</v>
      </c>
      <c r="R6" s="8">
        <f t="shared" si="4"/>
        <v>0</v>
      </c>
      <c r="S6" s="8">
        <f t="shared" si="5"/>
        <v>0</v>
      </c>
      <c r="T6" s="8">
        <f t="shared" si="6"/>
        <v>0</v>
      </c>
    </row>
    <row r="7" spans="1:20" ht="15.75" x14ac:dyDescent="0.25">
      <c r="B7" s="10"/>
      <c r="O7" s="28" t="s">
        <v>29</v>
      </c>
      <c r="P7" s="29"/>
      <c r="Q7" s="29"/>
      <c r="R7" s="29"/>
      <c r="S7" s="29"/>
      <c r="T7" s="29"/>
    </row>
    <row r="8" spans="1:20" x14ac:dyDescent="0.25">
      <c r="B8" s="10"/>
      <c r="O8">
        <f t="shared" ref="O8:T8" si="7">MAX(O3:O6)</f>
        <v>2.9573834035545598E-4</v>
      </c>
      <c r="P8">
        <f t="shared" si="7"/>
        <v>1.1120736598969616E-3</v>
      </c>
      <c r="Q8">
        <f t="shared" si="7"/>
        <v>2.0008231513201974E-4</v>
      </c>
      <c r="R8">
        <f t="shared" si="7"/>
        <v>1.2347887735813828E-2</v>
      </c>
      <c r="S8">
        <f t="shared" si="7"/>
        <v>2.4481732398271582E-3</v>
      </c>
      <c r="T8">
        <f t="shared" si="7"/>
        <v>1.4751285314558993E-2</v>
      </c>
    </row>
    <row r="9" spans="1:20" ht="15.75" x14ac:dyDescent="0.25">
      <c r="O9" s="27" t="s">
        <v>54</v>
      </c>
      <c r="P9" s="27"/>
      <c r="Q9" s="27"/>
      <c r="R9" s="27"/>
      <c r="S9" s="27"/>
      <c r="T9" s="27"/>
    </row>
    <row r="10" spans="1:20" x14ac:dyDescent="0.25">
      <c r="O10">
        <f>O8/(2*SQRT(3))</f>
        <v>8.5372305206957846E-5</v>
      </c>
      <c r="P10">
        <f t="shared" ref="P10:T10" si="8">P8/(2*SQRT(3))</f>
        <v>3.2102801345010155E-4</v>
      </c>
      <c r="Q10">
        <f t="shared" si="8"/>
        <v>5.7758789250777565E-5</v>
      </c>
      <c r="R10">
        <f t="shared" si="8"/>
        <v>3.5645281540976964E-3</v>
      </c>
      <c r="S10">
        <f t="shared" si="8"/>
        <v>7.0672673951852408E-4</v>
      </c>
      <c r="T10">
        <f t="shared" si="8"/>
        <v>4.2583292736268043E-3</v>
      </c>
    </row>
    <row r="11" spans="1:20" ht="15.75" x14ac:dyDescent="0.25">
      <c r="O11" s="13" t="s">
        <v>53</v>
      </c>
      <c r="P11" s="14"/>
      <c r="Q11" s="14"/>
      <c r="R11" s="14"/>
      <c r="S11" s="14"/>
      <c r="T11" s="15"/>
    </row>
    <row r="12" spans="1:20" x14ac:dyDescent="0.25">
      <c r="O12">
        <f>O10</f>
        <v>8.5372305206957846E-5</v>
      </c>
      <c r="P12">
        <f>MAX(P10,Q10)</f>
        <v>3.2102801345010155E-4</v>
      </c>
      <c r="Q12">
        <f>MAX(P10,Q10)</f>
        <v>3.2102801345010155E-4</v>
      </c>
      <c r="R12">
        <f>R10</f>
        <v>3.5645281540976964E-3</v>
      </c>
      <c r="S12">
        <f>MAX(S10:T10)</f>
        <v>4.2583292736268043E-3</v>
      </c>
      <c r="T12">
        <f>MAX(S10:T10)</f>
        <v>4.2583292736268043E-3</v>
      </c>
    </row>
    <row r="13" spans="1:20" x14ac:dyDescent="0.25">
      <c r="C13">
        <v>-1.7683464102447E-3</v>
      </c>
      <c r="D13">
        <v>-0.31844446063041698</v>
      </c>
      <c r="E13">
        <v>-6.2346826307475602E-3</v>
      </c>
      <c r="F13">
        <v>-0.67402482032775901</v>
      </c>
      <c r="G13">
        <v>3.28068062663078E-3</v>
      </c>
      <c r="H13">
        <v>0.96414262056350697</v>
      </c>
    </row>
    <row r="14" spans="1:20" x14ac:dyDescent="0.25">
      <c r="C14">
        <v>-1.56343937851489E-3</v>
      </c>
      <c r="D14">
        <v>-0.26617881655693099</v>
      </c>
      <c r="E14">
        <v>-5.2859843708574798E-3</v>
      </c>
      <c r="F14">
        <v>-0.55877524614334095</v>
      </c>
      <c r="G14">
        <v>1.86469033360481E-3</v>
      </c>
      <c r="H14">
        <v>0.81001901626586903</v>
      </c>
    </row>
    <row r="15" spans="1:20" x14ac:dyDescent="0.25">
      <c r="C15">
        <v>-6.0571008361876E-4</v>
      </c>
      <c r="D15">
        <v>-0.12970544397830999</v>
      </c>
      <c r="E15">
        <v>-2.4937090929597599E-3</v>
      </c>
      <c r="F15">
        <v>-0.27222990989685097</v>
      </c>
      <c r="G15">
        <v>-9.4631686806678804E-4</v>
      </c>
      <c r="H15">
        <v>0.41247585415840099</v>
      </c>
    </row>
    <row r="16" spans="1:20" x14ac:dyDescent="0.25">
      <c r="C16">
        <v>6.2304316088557203E-5</v>
      </c>
      <c r="D16">
        <v>-4.1646137833595298E-4</v>
      </c>
      <c r="E16">
        <v>4.0425369661534198E-5</v>
      </c>
      <c r="F16">
        <v>1.13668832927942E-2</v>
      </c>
      <c r="G16">
        <v>-1.36645883321762E-3</v>
      </c>
      <c r="H16">
        <v>1.3270040974021E-2</v>
      </c>
    </row>
  </sheetData>
  <sortState xmlns:xlrd2="http://schemas.microsoft.com/office/spreadsheetml/2017/richdata2" ref="B26:H40">
    <sortCondition ref="B26:B40"/>
  </sortState>
  <mergeCells count="8">
    <mergeCell ref="A1:A2"/>
    <mergeCell ref="O11:T11"/>
    <mergeCell ref="O9:T9"/>
    <mergeCell ref="C1:H1"/>
    <mergeCell ref="I1:N1"/>
    <mergeCell ref="B1:B2"/>
    <mergeCell ref="O1:T1"/>
    <mergeCell ref="O7:T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36B3-196B-4DE4-8E37-4D07B644D370}">
  <dimension ref="A1:Z16"/>
  <sheetViews>
    <sheetView topLeftCell="B1" workbookViewId="0">
      <selection activeCell="X21" sqref="X21"/>
    </sheetView>
  </sheetViews>
  <sheetFormatPr defaultRowHeight="15" x14ac:dyDescent="0.25"/>
  <cols>
    <col min="1" max="1" width="46.28515625" bestFit="1" customWidth="1"/>
    <col min="2" max="3" width="10.140625" bestFit="1" customWidth="1"/>
    <col min="4" max="4" width="10.140625" customWidth="1"/>
    <col min="7" max="7" width="11.85546875" bestFit="1" customWidth="1"/>
    <col min="8" max="8" width="11.85546875" customWidth="1"/>
    <col min="11" max="11" width="11.85546875" bestFit="1" customWidth="1"/>
    <col min="12" max="12" width="16" bestFit="1" customWidth="1"/>
    <col min="20" max="20" width="8.85546875" customWidth="1"/>
    <col min="21" max="26" width="12" customWidth="1"/>
  </cols>
  <sheetData>
    <row r="1" spans="1:26" ht="15.75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30" t="s">
        <v>6</v>
      </c>
      <c r="O1" s="30"/>
      <c r="P1" s="30"/>
      <c r="Q1" s="30"/>
      <c r="R1" s="30"/>
      <c r="S1" s="30"/>
      <c r="T1" s="9"/>
      <c r="U1" s="31" t="s">
        <v>37</v>
      </c>
      <c r="V1" s="31"/>
      <c r="W1" s="31"/>
      <c r="X1" s="31"/>
      <c r="Y1" s="31"/>
      <c r="Z1" s="31"/>
    </row>
    <row r="2" spans="1:26" ht="15.75" x14ac:dyDescent="0.25">
      <c r="A2" s="1" t="s">
        <v>35</v>
      </c>
      <c r="B2" s="1" t="s">
        <v>32</v>
      </c>
      <c r="C2" s="1" t="s">
        <v>33</v>
      </c>
      <c r="D2" s="9"/>
      <c r="E2" s="1" t="s">
        <v>13</v>
      </c>
      <c r="F2" s="1" t="s">
        <v>14</v>
      </c>
      <c r="G2" s="1" t="s">
        <v>31</v>
      </c>
      <c r="H2" s="1" t="s">
        <v>34</v>
      </c>
      <c r="I2" s="1" t="s">
        <v>16</v>
      </c>
      <c r="J2" s="1" t="s">
        <v>17</v>
      </c>
      <c r="K2" s="1" t="s">
        <v>30</v>
      </c>
      <c r="L2" s="1" t="s">
        <v>36</v>
      </c>
      <c r="M2" s="9"/>
      <c r="N2" s="1" t="s">
        <v>3</v>
      </c>
      <c r="O2" s="1" t="s">
        <v>4</v>
      </c>
      <c r="P2" s="1" t="s">
        <v>5</v>
      </c>
      <c r="Q2" s="1" t="s">
        <v>0</v>
      </c>
      <c r="R2" s="1" t="s">
        <v>1</v>
      </c>
      <c r="S2" s="1" t="s">
        <v>2</v>
      </c>
      <c r="T2" s="9"/>
      <c r="U2" s="1" t="s">
        <v>3</v>
      </c>
      <c r="V2" s="1" t="s">
        <v>4</v>
      </c>
      <c r="W2" s="1" t="s">
        <v>5</v>
      </c>
      <c r="X2" s="1" t="s">
        <v>0</v>
      </c>
      <c r="Y2" s="1" t="s">
        <v>1</v>
      </c>
      <c r="Z2" s="1" t="s">
        <v>2</v>
      </c>
    </row>
    <row r="3" spans="1:26" x14ac:dyDescent="0.25">
      <c r="A3" s="9" t="s">
        <v>47</v>
      </c>
      <c r="B3" s="9">
        <v>0</v>
      </c>
      <c r="C3" s="9">
        <v>0</v>
      </c>
      <c r="D3" s="9"/>
      <c r="E3" s="9">
        <v>1.2</v>
      </c>
      <c r="F3" s="9">
        <v>0.2</v>
      </c>
      <c r="G3" s="11">
        <v>0</v>
      </c>
      <c r="H3" s="9">
        <f>PI()/2</f>
        <v>1.5707963267948966</v>
      </c>
      <c r="I3" s="9">
        <v>1.2</v>
      </c>
      <c r="J3" s="9">
        <v>0.18</v>
      </c>
      <c r="K3" s="11">
        <v>0</v>
      </c>
      <c r="L3" s="9">
        <f>PI()/2</f>
        <v>1.5707963267948966</v>
      </c>
      <c r="M3" s="9"/>
      <c r="N3" s="9">
        <v>0</v>
      </c>
      <c r="O3" s="9">
        <v>0</v>
      </c>
      <c r="P3" s="9">
        <v>0.35610000000000003</v>
      </c>
      <c r="Q3" s="9">
        <v>-2.3912</v>
      </c>
      <c r="R3" s="9">
        <v>0.2054</v>
      </c>
      <c r="S3" s="9">
        <v>0</v>
      </c>
      <c r="T3" s="9"/>
      <c r="U3" s="9"/>
      <c r="V3" s="9"/>
      <c r="W3" s="9"/>
      <c r="X3" s="9"/>
      <c r="Y3" s="9"/>
      <c r="Z3" s="9"/>
    </row>
    <row r="4" spans="1:26" x14ac:dyDescent="0.25">
      <c r="A4" s="9" t="s">
        <v>42</v>
      </c>
      <c r="B4" s="9">
        <v>3</v>
      </c>
      <c r="C4" s="9">
        <v>3</v>
      </c>
      <c r="D4" s="9"/>
      <c r="E4" s="9">
        <v>1.2</v>
      </c>
      <c r="F4" s="9">
        <v>0.2</v>
      </c>
      <c r="G4" s="11">
        <v>0</v>
      </c>
      <c r="H4" s="9">
        <f t="shared" ref="H4:H12" si="0">H$3+RADIANS(B4)</f>
        <v>1.6231562043547265</v>
      </c>
      <c r="I4" s="9">
        <v>1.2</v>
      </c>
      <c r="J4" s="9">
        <v>0.18</v>
      </c>
      <c r="K4" s="11">
        <v>0</v>
      </c>
      <c r="L4" s="9">
        <f t="shared" ref="L4:L12" si="1">L$3+RADIANS(C4)</f>
        <v>1.6231562043547265</v>
      </c>
      <c r="M4" s="9"/>
      <c r="N4" s="9">
        <v>0</v>
      </c>
      <c r="O4" s="9">
        <v>0</v>
      </c>
      <c r="P4" s="9">
        <v>0.34699999999999998</v>
      </c>
      <c r="Q4" s="9">
        <v>-2.3965000000000001</v>
      </c>
      <c r="R4" s="9">
        <v>0.129</v>
      </c>
      <c r="S4" s="9">
        <v>0</v>
      </c>
      <c r="T4" s="9"/>
      <c r="U4" s="12">
        <f>ABS(N$3-N4)</f>
        <v>0</v>
      </c>
      <c r="V4" s="12">
        <f t="shared" ref="V4:Z4" si="2">ABS(O$3-O4)</f>
        <v>0</v>
      </c>
      <c r="W4" s="12">
        <f t="shared" si="2"/>
        <v>9.1000000000000525E-3</v>
      </c>
      <c r="X4" s="12">
        <f t="shared" si="2"/>
        <v>5.3000000000000824E-3</v>
      </c>
      <c r="Y4" s="12">
        <f t="shared" si="2"/>
        <v>7.6399999999999996E-2</v>
      </c>
      <c r="Z4" s="12">
        <f t="shared" si="2"/>
        <v>0</v>
      </c>
    </row>
    <row r="5" spans="1:26" x14ac:dyDescent="0.25">
      <c r="A5" s="9" t="s">
        <v>43</v>
      </c>
      <c r="B5" s="9">
        <v>-3</v>
      </c>
      <c r="C5" s="9">
        <v>-3</v>
      </c>
      <c r="D5" s="9"/>
      <c r="E5" s="9">
        <v>1.2</v>
      </c>
      <c r="F5" s="9">
        <v>0.2</v>
      </c>
      <c r="G5" s="11">
        <v>0</v>
      </c>
      <c r="H5" s="9">
        <f t="shared" si="0"/>
        <v>1.5184364492350666</v>
      </c>
      <c r="I5" s="9">
        <v>1.2</v>
      </c>
      <c r="J5" s="9">
        <v>0.18</v>
      </c>
      <c r="K5" s="11">
        <v>0</v>
      </c>
      <c r="L5" s="9">
        <f t="shared" si="1"/>
        <v>1.5184364492350666</v>
      </c>
      <c r="M5" s="9"/>
      <c r="N5" s="9">
        <v>0</v>
      </c>
      <c r="O5" s="9">
        <v>0</v>
      </c>
      <c r="P5" s="9">
        <v>0.36470000000000002</v>
      </c>
      <c r="Q5" s="9">
        <v>-2.3824000000000001</v>
      </c>
      <c r="R5" s="9">
        <v>0.28949999999999998</v>
      </c>
      <c r="S5" s="9">
        <v>0</v>
      </c>
      <c r="T5" s="9"/>
      <c r="U5" s="12">
        <f t="shared" ref="U5:U7" si="3">ABS(N$3-N5)</f>
        <v>0</v>
      </c>
      <c r="V5" s="12">
        <f t="shared" ref="V5:V7" si="4">ABS(O$3-O5)</f>
        <v>0</v>
      </c>
      <c r="W5" s="12">
        <f t="shared" ref="W5:W7" si="5">ABS(P$3-P5)</f>
        <v>8.5999999999999965E-3</v>
      </c>
      <c r="X5" s="12">
        <f t="shared" ref="X5:X7" si="6">ABS(Q$3-Q5)</f>
        <v>8.799999999999919E-3</v>
      </c>
      <c r="Y5" s="12">
        <f t="shared" ref="Y5:Y7" si="7">ABS(R$3-R5)</f>
        <v>8.409999999999998E-2</v>
      </c>
      <c r="Z5" s="12">
        <f t="shared" ref="Z5:Z7" si="8">ABS(S$3-S5)</f>
        <v>0</v>
      </c>
    </row>
    <row r="6" spans="1:26" x14ac:dyDescent="0.25">
      <c r="A6" s="9" t="s">
        <v>44</v>
      </c>
      <c r="B6" s="9">
        <v>3</v>
      </c>
      <c r="C6" s="9">
        <v>-3</v>
      </c>
      <c r="D6" s="9"/>
      <c r="E6" s="9">
        <v>1.2</v>
      </c>
      <c r="F6" s="9">
        <v>0.2</v>
      </c>
      <c r="G6" s="11">
        <v>0</v>
      </c>
      <c r="H6" s="9">
        <f t="shared" si="0"/>
        <v>1.6231562043547265</v>
      </c>
      <c r="I6" s="9">
        <v>1.2</v>
      </c>
      <c r="J6" s="9">
        <v>0.18</v>
      </c>
      <c r="K6" s="11">
        <v>0</v>
      </c>
      <c r="L6" s="9">
        <f t="shared" si="1"/>
        <v>1.5184364492350666</v>
      </c>
      <c r="M6" s="9"/>
      <c r="N6" s="9">
        <v>0</v>
      </c>
      <c r="O6" s="9">
        <v>0</v>
      </c>
      <c r="P6" s="9">
        <v>0.35580000000000001</v>
      </c>
      <c r="Q6" s="9">
        <v>-2.387</v>
      </c>
      <c r="R6" s="9">
        <v>0.20979999999999999</v>
      </c>
      <c r="S6" s="9">
        <v>0</v>
      </c>
      <c r="T6" s="9"/>
      <c r="U6" s="12">
        <f t="shared" si="3"/>
        <v>0</v>
      </c>
      <c r="V6" s="12">
        <f t="shared" si="4"/>
        <v>0</v>
      </c>
      <c r="W6" s="12">
        <f t="shared" si="5"/>
        <v>3.0000000000002247E-4</v>
      </c>
      <c r="X6" s="12">
        <f t="shared" si="6"/>
        <v>4.1999999999999815E-3</v>
      </c>
      <c r="Y6" s="12">
        <f t="shared" si="7"/>
        <v>4.3999999999999873E-3</v>
      </c>
      <c r="Z6" s="12">
        <f t="shared" si="8"/>
        <v>0</v>
      </c>
    </row>
    <row r="7" spans="1:26" x14ac:dyDescent="0.25">
      <c r="A7" s="9" t="s">
        <v>45</v>
      </c>
      <c r="B7" s="9">
        <v>-3</v>
      </c>
      <c r="C7" s="9">
        <v>3</v>
      </c>
      <c r="D7" s="9"/>
      <c r="E7" s="9">
        <v>1.2</v>
      </c>
      <c r="F7" s="9">
        <v>0.2</v>
      </c>
      <c r="G7" s="11">
        <v>0</v>
      </c>
      <c r="H7" s="9">
        <f t="shared" si="0"/>
        <v>1.5184364492350666</v>
      </c>
      <c r="I7" s="9">
        <v>1.2</v>
      </c>
      <c r="J7" s="9">
        <v>0.18</v>
      </c>
      <c r="K7" s="11">
        <v>0</v>
      </c>
      <c r="L7" s="9">
        <f t="shared" si="1"/>
        <v>1.6231562043547265</v>
      </c>
      <c r="M7" s="9"/>
      <c r="N7" s="9">
        <v>0</v>
      </c>
      <c r="O7" s="9">
        <v>0</v>
      </c>
      <c r="P7" s="9">
        <v>0.35589999999999999</v>
      </c>
      <c r="Q7" s="9">
        <v>-2.3879999999999999</v>
      </c>
      <c r="R7" s="9">
        <v>0.20880000000000001</v>
      </c>
      <c r="S7" s="9">
        <v>0</v>
      </c>
      <c r="T7" s="9"/>
      <c r="U7" s="12">
        <f t="shared" si="3"/>
        <v>0</v>
      </c>
      <c r="V7" s="12">
        <f t="shared" si="4"/>
        <v>0</v>
      </c>
      <c r="W7" s="12">
        <f t="shared" si="5"/>
        <v>2.0000000000003348E-4</v>
      </c>
      <c r="X7" s="12">
        <f t="shared" si="6"/>
        <v>3.2000000000000917E-3</v>
      </c>
      <c r="Y7" s="12">
        <f t="shared" si="7"/>
        <v>3.4000000000000141E-3</v>
      </c>
      <c r="Z7" s="12">
        <f t="shared" si="8"/>
        <v>0</v>
      </c>
    </row>
    <row r="8" spans="1:26" x14ac:dyDescent="0.25">
      <c r="A8" s="9" t="s">
        <v>48</v>
      </c>
      <c r="B8" s="9">
        <v>0</v>
      </c>
      <c r="C8" s="9">
        <v>0</v>
      </c>
      <c r="D8" s="9"/>
      <c r="E8" s="9">
        <v>1.2</v>
      </c>
      <c r="F8" s="9">
        <v>0.2</v>
      </c>
      <c r="G8" s="11">
        <f>PI()/2</f>
        <v>1.5707963267948966</v>
      </c>
      <c r="H8" s="9">
        <f t="shared" si="0"/>
        <v>1.5707963267948966</v>
      </c>
      <c r="I8" s="9">
        <v>1.2</v>
      </c>
      <c r="J8" s="9">
        <v>0.18</v>
      </c>
      <c r="K8" s="11">
        <f>PI()/2</f>
        <v>1.5707963267948966</v>
      </c>
      <c r="L8" s="9">
        <f t="shared" si="1"/>
        <v>1.5707963267948966</v>
      </c>
      <c r="M8" s="9"/>
      <c r="N8" s="9">
        <v>0</v>
      </c>
      <c r="O8" s="9">
        <v>-0.35610000000000003</v>
      </c>
      <c r="P8" s="9">
        <v>0</v>
      </c>
      <c r="Q8" s="9">
        <v>-2.3912</v>
      </c>
      <c r="R8" s="9">
        <v>0</v>
      </c>
      <c r="S8" s="9">
        <v>0.2054</v>
      </c>
      <c r="T8" s="9"/>
      <c r="U8" s="12"/>
      <c r="V8" s="12"/>
      <c r="W8" s="12"/>
      <c r="X8" s="12"/>
      <c r="Y8" s="12"/>
      <c r="Z8" s="12"/>
    </row>
    <row r="9" spans="1:26" x14ac:dyDescent="0.25">
      <c r="A9" s="9" t="s">
        <v>38</v>
      </c>
      <c r="B9" s="9">
        <v>3</v>
      </c>
      <c r="C9" s="9">
        <v>3</v>
      </c>
      <c r="D9" s="9"/>
      <c r="E9" s="9">
        <v>1.2</v>
      </c>
      <c r="F9" s="9">
        <v>0.2</v>
      </c>
      <c r="G9" s="11">
        <f>PI()/2</f>
        <v>1.5707963267948966</v>
      </c>
      <c r="H9" s="9">
        <f t="shared" si="0"/>
        <v>1.6231562043547265</v>
      </c>
      <c r="I9" s="9">
        <v>1.2</v>
      </c>
      <c r="J9" s="9">
        <v>0.18</v>
      </c>
      <c r="K9" s="11">
        <f>PI()/2</f>
        <v>1.5707963267948966</v>
      </c>
      <c r="L9" s="9">
        <f t="shared" si="1"/>
        <v>1.6231562043547265</v>
      </c>
      <c r="M9" s="9"/>
      <c r="N9" s="9">
        <v>0</v>
      </c>
      <c r="O9" s="9">
        <v>-0.34699999999999998</v>
      </c>
      <c r="P9" s="9">
        <v>0</v>
      </c>
      <c r="Q9" s="9">
        <v>-2.3965000000000001</v>
      </c>
      <c r="R9" s="9">
        <v>0</v>
      </c>
      <c r="S9" s="9">
        <v>0.129</v>
      </c>
      <c r="T9" s="9"/>
      <c r="U9" s="12">
        <f>ABS(N$8-N9)</f>
        <v>0</v>
      </c>
      <c r="V9" s="12">
        <f t="shared" ref="V9:Z9" si="9">ABS(O$8-O9)</f>
        <v>9.1000000000000525E-3</v>
      </c>
      <c r="W9" s="12">
        <f t="shared" si="9"/>
        <v>0</v>
      </c>
      <c r="X9" s="12">
        <f t="shared" si="9"/>
        <v>5.3000000000000824E-3</v>
      </c>
      <c r="Y9" s="12">
        <f t="shared" si="9"/>
        <v>0</v>
      </c>
      <c r="Z9" s="12">
        <f t="shared" si="9"/>
        <v>7.6399999999999996E-2</v>
      </c>
    </row>
    <row r="10" spans="1:26" x14ac:dyDescent="0.25">
      <c r="A10" s="9" t="s">
        <v>39</v>
      </c>
      <c r="B10" s="9">
        <v>-3</v>
      </c>
      <c r="C10" s="9">
        <v>-3</v>
      </c>
      <c r="D10" s="9"/>
      <c r="E10" s="9">
        <v>1.2</v>
      </c>
      <c r="F10" s="9">
        <v>0.2</v>
      </c>
      <c r="G10" s="11">
        <f t="shared" ref="G10:G12" si="10">PI()/2</f>
        <v>1.5707963267948966</v>
      </c>
      <c r="H10" s="9">
        <f t="shared" si="0"/>
        <v>1.5184364492350666</v>
      </c>
      <c r="I10" s="9">
        <v>1.2</v>
      </c>
      <c r="J10" s="9">
        <v>0.18</v>
      </c>
      <c r="K10" s="11">
        <f t="shared" ref="K10:K12" si="11">PI()/2</f>
        <v>1.5707963267948966</v>
      </c>
      <c r="L10" s="9">
        <f t="shared" si="1"/>
        <v>1.5184364492350666</v>
      </c>
      <c r="M10" s="9"/>
      <c r="N10" s="9">
        <v>0</v>
      </c>
      <c r="O10" s="9">
        <v>-0.36470000000000002</v>
      </c>
      <c r="P10" s="9">
        <v>0</v>
      </c>
      <c r="Q10" s="9">
        <v>-2.3824000000000001</v>
      </c>
      <c r="R10" s="9">
        <v>0</v>
      </c>
      <c r="S10" s="9">
        <v>0.28949999999999998</v>
      </c>
      <c r="T10" s="9"/>
      <c r="U10" s="12">
        <f t="shared" ref="U10:U12" si="12">ABS(N$8-N10)</f>
        <v>0</v>
      </c>
      <c r="V10" s="12">
        <f t="shared" ref="V10:V12" si="13">ABS(O$8-O10)</f>
        <v>8.5999999999999965E-3</v>
      </c>
      <c r="W10" s="12">
        <f t="shared" ref="W10:W12" si="14">ABS(P$8-P10)</f>
        <v>0</v>
      </c>
      <c r="X10" s="12">
        <f t="shared" ref="X10:X12" si="15">ABS(Q$8-Q10)</f>
        <v>8.799999999999919E-3</v>
      </c>
      <c r="Y10" s="12">
        <f t="shared" ref="Y10:Y12" si="16">ABS(R$8-R10)</f>
        <v>0</v>
      </c>
      <c r="Z10" s="12">
        <f t="shared" ref="Z10:Z12" si="17">ABS(S$8-S10)</f>
        <v>8.409999999999998E-2</v>
      </c>
    </row>
    <row r="11" spans="1:26" x14ac:dyDescent="0.25">
      <c r="A11" s="9" t="s">
        <v>40</v>
      </c>
      <c r="B11" s="9">
        <v>3</v>
      </c>
      <c r="C11" s="9">
        <v>-3</v>
      </c>
      <c r="D11" s="9"/>
      <c r="E11" s="9">
        <v>1.2</v>
      </c>
      <c r="F11" s="9">
        <v>0.2</v>
      </c>
      <c r="G11" s="11">
        <f t="shared" si="10"/>
        <v>1.5707963267948966</v>
      </c>
      <c r="H11" s="9">
        <f t="shared" si="0"/>
        <v>1.6231562043547265</v>
      </c>
      <c r="I11" s="9">
        <v>1.2</v>
      </c>
      <c r="J11" s="9">
        <v>0.18</v>
      </c>
      <c r="K11" s="11">
        <f t="shared" si="11"/>
        <v>1.5707963267948966</v>
      </c>
      <c r="L11" s="9">
        <f t="shared" si="1"/>
        <v>1.5184364492350666</v>
      </c>
      <c r="M11" s="9"/>
      <c r="N11" s="9">
        <v>0</v>
      </c>
      <c r="O11" s="9">
        <v>-0.35580000000000001</v>
      </c>
      <c r="P11" s="9">
        <v>0</v>
      </c>
      <c r="Q11" s="9">
        <v>-2.387</v>
      </c>
      <c r="R11" s="9">
        <v>0</v>
      </c>
      <c r="S11" s="9">
        <v>0.20979999999999999</v>
      </c>
      <c r="T11" s="9"/>
      <c r="U11" s="12">
        <f t="shared" si="12"/>
        <v>0</v>
      </c>
      <c r="V11" s="12">
        <f t="shared" si="13"/>
        <v>3.0000000000002247E-4</v>
      </c>
      <c r="W11" s="12">
        <f t="shared" si="14"/>
        <v>0</v>
      </c>
      <c r="X11" s="12">
        <f t="shared" si="15"/>
        <v>4.1999999999999815E-3</v>
      </c>
      <c r="Y11" s="12">
        <f t="shared" si="16"/>
        <v>0</v>
      </c>
      <c r="Z11" s="12">
        <f t="shared" si="17"/>
        <v>4.3999999999999873E-3</v>
      </c>
    </row>
    <row r="12" spans="1:26" x14ac:dyDescent="0.25">
      <c r="A12" s="9" t="s">
        <v>41</v>
      </c>
      <c r="B12" s="9">
        <v>-3</v>
      </c>
      <c r="C12" s="9">
        <v>3</v>
      </c>
      <c r="D12" s="9"/>
      <c r="E12" s="9">
        <v>1.2</v>
      </c>
      <c r="F12" s="9">
        <v>0.2</v>
      </c>
      <c r="G12" s="11">
        <f t="shared" si="10"/>
        <v>1.5707963267948966</v>
      </c>
      <c r="H12" s="9">
        <f t="shared" si="0"/>
        <v>1.5184364492350666</v>
      </c>
      <c r="I12" s="9">
        <v>1.2</v>
      </c>
      <c r="J12" s="9">
        <v>0.18</v>
      </c>
      <c r="K12" s="11">
        <f t="shared" si="11"/>
        <v>1.5707963267948966</v>
      </c>
      <c r="L12" s="9">
        <f t="shared" si="1"/>
        <v>1.6231562043547265</v>
      </c>
      <c r="M12" s="9"/>
      <c r="N12" s="9">
        <v>0</v>
      </c>
      <c r="O12" s="9">
        <v>-0.35589999999999999</v>
      </c>
      <c r="P12" s="9">
        <v>0</v>
      </c>
      <c r="Q12" s="9">
        <v>-2.3879999999999999</v>
      </c>
      <c r="R12" s="9">
        <v>0</v>
      </c>
      <c r="S12" s="9">
        <v>0.20880000000000001</v>
      </c>
      <c r="T12" s="9"/>
      <c r="U12" s="12">
        <f t="shared" si="12"/>
        <v>0</v>
      </c>
      <c r="V12" s="12">
        <f t="shared" si="13"/>
        <v>2.0000000000003348E-4</v>
      </c>
      <c r="W12" s="12">
        <f t="shared" si="14"/>
        <v>0</v>
      </c>
      <c r="X12" s="12">
        <f t="shared" si="15"/>
        <v>3.2000000000000917E-3</v>
      </c>
      <c r="Y12" s="12">
        <f t="shared" si="16"/>
        <v>0</v>
      </c>
      <c r="Z12" s="12">
        <f t="shared" si="17"/>
        <v>3.4000000000000141E-3</v>
      </c>
    </row>
    <row r="13" spans="1:26" ht="15.75" x14ac:dyDescent="0.25">
      <c r="U13" s="32" t="s">
        <v>46</v>
      </c>
      <c r="V13" s="33"/>
      <c r="W13" s="33"/>
      <c r="X13" s="33"/>
      <c r="Y13" s="33"/>
      <c r="Z13" s="33"/>
    </row>
    <row r="14" spans="1:26" x14ac:dyDescent="0.25">
      <c r="U14" s="7">
        <f>MAX(U4:U12)</f>
        <v>0</v>
      </c>
      <c r="V14" s="7">
        <f t="shared" ref="V14:Z14" si="18">MAX(V4:V12)</f>
        <v>9.1000000000000525E-3</v>
      </c>
      <c r="W14" s="7">
        <f t="shared" si="18"/>
        <v>9.1000000000000525E-3</v>
      </c>
      <c r="X14" s="7">
        <f t="shared" si="18"/>
        <v>8.799999999999919E-3</v>
      </c>
      <c r="Y14" s="7">
        <f t="shared" si="18"/>
        <v>8.409999999999998E-2</v>
      </c>
      <c r="Z14" s="7">
        <f t="shared" si="18"/>
        <v>8.409999999999998E-2</v>
      </c>
    </row>
    <row r="15" spans="1:26" ht="15.75" x14ac:dyDescent="0.25">
      <c r="U15" s="32" t="s">
        <v>56</v>
      </c>
      <c r="V15" s="33"/>
      <c r="W15" s="33"/>
      <c r="X15" s="33"/>
      <c r="Y15" s="33"/>
      <c r="Z15" s="33"/>
    </row>
    <row r="16" spans="1:26" x14ac:dyDescent="0.25">
      <c r="U16" s="34">
        <f>U14/3</f>
        <v>0</v>
      </c>
      <c r="V16" s="34">
        <f t="shared" ref="V16:Z16" si="19">V14/3</f>
        <v>3.033333333333351E-3</v>
      </c>
      <c r="W16" s="34">
        <f t="shared" si="19"/>
        <v>3.033333333333351E-3</v>
      </c>
      <c r="X16" s="34">
        <f t="shared" si="19"/>
        <v>2.9333333333333065E-3</v>
      </c>
      <c r="Y16" s="34">
        <f t="shared" si="19"/>
        <v>2.8033333333333327E-2</v>
      </c>
      <c r="Z16" s="34">
        <f t="shared" si="19"/>
        <v>2.8033333333333327E-2</v>
      </c>
    </row>
  </sheetData>
  <mergeCells count="4">
    <mergeCell ref="N1:S1"/>
    <mergeCell ref="U1:Z1"/>
    <mergeCell ref="U13:Z13"/>
    <mergeCell ref="U15:Z15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27810-BF87-4B2B-B72C-8080B545C63B}">
  <dimension ref="A1:F9"/>
  <sheetViews>
    <sheetView tabSelected="1" workbookViewId="0">
      <selection activeCell="A9" sqref="A9:F9"/>
    </sheetView>
  </sheetViews>
  <sheetFormatPr defaultRowHeight="15" x14ac:dyDescent="0.25"/>
  <cols>
    <col min="1" max="1" width="12" bestFit="1" customWidth="1"/>
  </cols>
  <sheetData>
    <row r="1" spans="1:6" ht="15.75" x14ac:dyDescent="0.25">
      <c r="A1" s="3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 ht="15.75" x14ac:dyDescent="0.25">
      <c r="A2" s="13" t="s">
        <v>49</v>
      </c>
      <c r="B2" s="14"/>
      <c r="C2" s="14"/>
      <c r="D2" s="14"/>
      <c r="E2" s="14"/>
      <c r="F2" s="15"/>
    </row>
    <row r="3" spans="1:6" x14ac:dyDescent="0.25">
      <c r="A3">
        <f>Sensor_Error!A31</f>
        <v>1.1289891050910862E-5</v>
      </c>
      <c r="B3">
        <f>Sensor_Error!B31</f>
        <v>8.6804021996947833E-5</v>
      </c>
      <c r="C3">
        <f>Sensor_Error!C31</f>
        <v>8.6804021996947833E-5</v>
      </c>
      <c r="D3">
        <f>Sensor_Error!D31</f>
        <v>2.0238275562511066E-3</v>
      </c>
      <c r="E3">
        <f>Sensor_Error!E31</f>
        <v>3.7672160090065085E-3</v>
      </c>
      <c r="F3">
        <f>Sensor_Error!F31</f>
        <v>3.7672160090065085E-3</v>
      </c>
    </row>
    <row r="4" spans="1:6" ht="15.75" x14ac:dyDescent="0.25">
      <c r="A4" s="13" t="s">
        <v>54</v>
      </c>
      <c r="B4" s="14"/>
      <c r="C4" s="14"/>
      <c r="D4" s="14"/>
      <c r="E4" s="14"/>
      <c r="F4" s="15"/>
    </row>
    <row r="5" spans="1:6" x14ac:dyDescent="0.25">
      <c r="A5">
        <f>Hysteresis_Error!O12</f>
        <v>8.5372305206957846E-5</v>
      </c>
      <c r="B5">
        <f>Hysteresis_Error!P12</f>
        <v>3.2102801345010155E-4</v>
      </c>
      <c r="C5">
        <f>Hysteresis_Error!Q12</f>
        <v>3.2102801345010155E-4</v>
      </c>
      <c r="D5">
        <f>Hysteresis_Error!R12</f>
        <v>3.5645281540976964E-3</v>
      </c>
      <c r="E5">
        <f>Hysteresis_Error!S12</f>
        <v>4.2583292736268043E-3</v>
      </c>
      <c r="F5">
        <f>Hysteresis_Error!T12</f>
        <v>4.2583292736268043E-3</v>
      </c>
    </row>
    <row r="6" spans="1:6" ht="15.75" x14ac:dyDescent="0.25">
      <c r="A6" s="13" t="s">
        <v>55</v>
      </c>
      <c r="B6" s="14"/>
      <c r="C6" s="14"/>
      <c r="D6" s="14"/>
      <c r="E6" s="14"/>
      <c r="F6" s="15"/>
    </row>
    <row r="7" spans="1:6" x14ac:dyDescent="0.25">
      <c r="A7">
        <f>Angle_Error!U16</f>
        <v>0</v>
      </c>
      <c r="B7">
        <f>Angle_Error!V16</f>
        <v>3.033333333333351E-3</v>
      </c>
      <c r="C7">
        <f>Angle_Error!W16</f>
        <v>3.033333333333351E-3</v>
      </c>
      <c r="D7">
        <f>Angle_Error!X16</f>
        <v>2.9333333333333065E-3</v>
      </c>
      <c r="E7">
        <f>Angle_Error!Y16</f>
        <v>2.8033333333333327E-2</v>
      </c>
      <c r="F7">
        <f>Angle_Error!Z16</f>
        <v>2.8033333333333327E-2</v>
      </c>
    </row>
    <row r="8" spans="1:6" ht="15.75" x14ac:dyDescent="0.25">
      <c r="A8" s="13" t="s">
        <v>50</v>
      </c>
      <c r="B8" s="14"/>
      <c r="C8" s="14"/>
      <c r="D8" s="14"/>
      <c r="E8" s="14"/>
      <c r="F8" s="15"/>
    </row>
    <row r="9" spans="1:6" x14ac:dyDescent="0.25">
      <c r="A9">
        <f>SQRT((A3)^2+(A5)^2+(A7)^2)</f>
        <v>8.6115574295776487E-5</v>
      </c>
      <c r="B9">
        <f t="shared" ref="B9:F9" si="0">SQRT((B3)^2+(B5)^2+(B7)^2)</f>
        <v>3.051508648974435E-3</v>
      </c>
      <c r="C9">
        <f t="shared" si="0"/>
        <v>3.051508648974435E-3</v>
      </c>
      <c r="D9">
        <f t="shared" si="0"/>
        <v>5.0404546802089931E-3</v>
      </c>
      <c r="E9">
        <f t="shared" si="0"/>
        <v>2.8604074227964786E-2</v>
      </c>
      <c r="F9">
        <f t="shared" si="0"/>
        <v>2.8604074227964786E-2</v>
      </c>
    </row>
  </sheetData>
  <mergeCells count="4">
    <mergeCell ref="A2:F2"/>
    <mergeCell ref="A6:F6"/>
    <mergeCell ref="A8:F8"/>
    <mergeCell ref="A4:F4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208467-E14A-4CB9-9FC8-72DFB8E94FF2}">
  <ds:schemaRefs>
    <ds:schemaRef ds:uri="c2b20bf0-79f3-4559-a8ab-bcb74dcd8cd8"/>
    <ds:schemaRef ds:uri="http://purl.org/dc/dcmitype/"/>
    <ds:schemaRef ds:uri="http://purl.org/dc/terms/"/>
    <ds:schemaRef ds:uri="http://schemas.microsoft.com/office/2006/documentManagement/types"/>
    <ds:schemaRef ds:uri="08a9f8ec-165a-4165-a8e9-ed45c2de7bcb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Proximal Validation (double)</vt:lpstr>
      <vt:lpstr>Sensor_Error</vt:lpstr>
      <vt:lpstr>Hysteresis_Error</vt:lpstr>
      <vt:lpstr>Angle_Error</vt:lpstr>
      <vt:lpstr>Overall_Error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2026-01-14T22:01:06Z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