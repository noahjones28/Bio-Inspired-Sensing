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Preliminary Data/two forces (15 trials)(tapered and cylindrical)/"/>
    </mc:Choice>
  </mc:AlternateContent>
  <xr:revisionPtr revIDLastSave="19" documentId="11_F25DC773A252ABDACC10483729DA651C5BDE58E9" xr6:coauthVersionLast="47" xr6:coauthVersionMax="47" xr10:uidLastSave="{542BF906-3B04-425B-9A0B-8DD467BE946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/>
  <c r="G28" i="1" a="1"/>
  <c r="G28" i="1" s="1"/>
  <c r="G29" i="1" a="1"/>
  <c r="G29" i="1" s="1"/>
  <c r="G30" i="1" a="1"/>
  <c r="G30" i="1" s="1"/>
  <c r="G31" i="1" a="1"/>
  <c r="G31" i="1" s="1"/>
  <c r="G3" i="1" a="1"/>
  <c r="G3" i="1" s="1"/>
  <c r="B35" i="1"/>
  <c r="C35" i="1"/>
  <c r="D35" i="1"/>
  <c r="E35" i="1"/>
  <c r="F35" i="1"/>
  <c r="A35" i="1"/>
  <c r="B33" i="1"/>
  <c r="C33" i="1"/>
  <c r="D33" i="1"/>
  <c r="E33" i="1"/>
  <c r="F33" i="1"/>
  <c r="A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<sst xmlns="http://schemas.openxmlformats.org/spreadsheetml/2006/main" count="7" uniqueCount="7">
  <si>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Proximal Errors</t>
  </si>
  <si>
    <t>Tx (Nm)</t>
  </si>
  <si>
    <t>Ty (Nm)</t>
  </si>
  <si>
    <t>Tz(Nm)</t>
  </si>
  <si>
    <t>Fx (N)</t>
  </si>
  <si>
    <t>Fy (N)</t>
  </si>
  <si>
    <t>Fz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</si>
</sst>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4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N9" sqref="N9"/>
    </sheetView>
  </sheetViews>
  <sheetFormatPr defaultRowHeight="15" x14ac:dyDescent="0.25"/>
  <cols>
    <col min="7" max="7" width="12" bestFit="1" customWidth="1"/>
  </cols>
  <sheetData>
    <row r="1" spans="1:13" ht="15.75" x14ac:dyDescent="0.25">
      <c r="A1" s="3" t="s">
        <v>0</v>
      </c>
      <c r="B1" s="4"/>
      <c r="C1" s="4"/>
      <c r="D1" s="4"/>
      <c r="E1" s="4"/>
      <c r="F1" s="5"/>
    </row>
    <row r="2" spans="1:13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3" x14ac:dyDescent="0.25">
      <c r="A3">
        <v>-9.8360656959638952E-4</v>
      </c>
      <c r="B3">
        <v>-6.3117871481950041E-3</v>
      </c>
      <c r="C3">
        <v>-3.6301736053314287E-4</v>
      </c>
      <c r="D3">
        <v>-5.144495054194112E-2</v>
      </c>
      <c r="E3">
        <v>-1.0157497355524558E-3</v>
      </c>
      <c r="F3">
        <v>2.2138105950477785E-2</v>
      </c>
      <c r="G3" cm="1">
        <f t="array" ref="G3">SUMPRODUCT((A3:F3/$H$3:$M$3)^2)</f>
        <v>4.290090112516054E-5</v>
      </c>
      <c r="H3">
        <v>1</v>
      </c>
      <c r="I3">
        <v>1</v>
      </c>
      <c r="J3">
        <v>1</v>
      </c>
      <c r="K3">
        <v>60</v>
      </c>
      <c r="L3">
        <v>20</v>
      </c>
      <c r="M3">
        <v>20</v>
      </c>
    </row>
    <row r="4" spans="1:13" x14ac:dyDescent="0.25">
      <c r="A4">
        <v>-1.0536191984416954E-3</v>
      </c>
      <c r="B4">
        <v>1.311810802412397E-2</v>
      </c>
      <c r="C4">
        <v>-9.524252104068197E-4</v>
      </c>
      <c r="D4">
        <v>-7.209560281580002E-2</v>
      </c>
      <c r="E4">
        <v>-5.3649930608444564E-3</v>
      </c>
      <c r="F4">
        <v>-9.3957033574980434E-2</v>
      </c>
      <c r="G4" cm="1">
        <f t="array" ref="G4">SUMPRODUCT((A4:F4/$H$3:$M$3)^2)</f>
        <v>1.9768758025270401E-4</v>
      </c>
    </row>
    <row r="5" spans="1:13" x14ac:dyDescent="0.25">
      <c r="A5">
        <v>2.2655842074553712E-3</v>
      </c>
      <c r="B5">
        <v>1.984180398700601E-2</v>
      </c>
      <c r="C5">
        <v>1.5135352854509232E-3</v>
      </c>
      <c r="D5">
        <v>5.4912782135427829E-2</v>
      </c>
      <c r="E5">
        <v>8.7773643249847488E-2</v>
      </c>
      <c r="F5">
        <v>-0.1356491294248488</v>
      </c>
      <c r="G5" cm="1">
        <f t="array" ref="G5">SUMPRODUCT((A5:F5/$H$3:$M$3)^2)</f>
        <v>4.6722070812833572E-4</v>
      </c>
    </row>
    <row r="6" spans="1:13" x14ac:dyDescent="0.25">
      <c r="A6">
        <v>-3.0652516333781986E-3</v>
      </c>
      <c r="B6">
        <v>-6.1245728625880791E-3</v>
      </c>
      <c r="C6">
        <v>1.6834236195157892E-3</v>
      </c>
      <c r="D6">
        <v>-1.1672263052060247E-2</v>
      </c>
      <c r="E6">
        <v>3.4823318303126793E-2</v>
      </c>
      <c r="F6">
        <v>5.8335136445672675E-2</v>
      </c>
      <c r="G6" cm="1">
        <f t="array" ref="G6">SUMPRODUCT((A6:F6/$H$3:$M$3)^2)</f>
        <v>6.1317049435805502E-5</v>
      </c>
    </row>
    <row r="7" spans="1:13" x14ac:dyDescent="0.25">
      <c r="A7">
        <v>-3.3054342025022692E-3</v>
      </c>
      <c r="B7">
        <v>-1.1747164761800155E-2</v>
      </c>
      <c r="C7">
        <v>-1.131670710174873E-2</v>
      </c>
      <c r="D7">
        <v>-6.4352988616897283E-2</v>
      </c>
      <c r="E7">
        <v>-2.7245844862427537E-2</v>
      </c>
      <c r="F7">
        <v>8.3703172439121926E-2</v>
      </c>
      <c r="G7" cm="1">
        <f t="array" ref="G7">SUMPRODUCT((A7:F7/$H$3:$M$3)^2)</f>
        <v>2.9751139077685844E-4</v>
      </c>
    </row>
    <row r="8" spans="1:13" x14ac:dyDescent="0.25">
      <c r="A8">
        <v>-2.1031693480763863E-4</v>
      </c>
      <c r="B8">
        <v>-2.3037326091986041E-3</v>
      </c>
      <c r="C8">
        <v>2.2295637916065411E-2</v>
      </c>
      <c r="D8">
        <v>5.6135831932597663E-2</v>
      </c>
      <c r="E8">
        <v>7.623055120625466E-2</v>
      </c>
      <c r="F8">
        <v>2.8620525882628089E-2</v>
      </c>
      <c r="G8" cm="1">
        <f t="array" ref="G8">SUMPRODUCT((A8:F8/$H$3:$M$3)^2)</f>
        <v>5.1989780794811018E-4</v>
      </c>
    </row>
    <row r="9" spans="1:13" x14ac:dyDescent="0.25">
      <c r="A9">
        <v>-8.8192614933287408E-5</v>
      </c>
      <c r="B9">
        <v>-8.6105034938517774E-3</v>
      </c>
      <c r="C9">
        <v>2.0063917528222203E-2</v>
      </c>
      <c r="D9">
        <v>6.3242326898238443E-2</v>
      </c>
      <c r="E9">
        <v>6.7590501949160386E-2</v>
      </c>
      <c r="F9">
        <v>8.2357309889192765E-2</v>
      </c>
      <c r="G9" cm="1">
        <f t="array" ref="G9">SUMPRODUCT((A9:F9/$H$3:$M$3)^2)</f>
        <v>5.061983388022699E-4</v>
      </c>
    </row>
    <row r="10" spans="1:13" x14ac:dyDescent="0.25">
      <c r="A10">
        <v>-6.2649394547785822E-4</v>
      </c>
      <c r="B10">
        <v>-1.1442085987188495E-2</v>
      </c>
      <c r="C10">
        <v>7.9537622291052795E-3</v>
      </c>
      <c r="D10">
        <v>2.0820930826020982E-2</v>
      </c>
      <c r="E10">
        <v>5.4541351883503952E-2</v>
      </c>
      <c r="F10">
        <v>5.3695500075776781E-2</v>
      </c>
      <c r="G10" cm="1">
        <f t="array" ref="G10">SUMPRODUCT((A10:F10/$H$3:$M$3)^2)</f>
        <v>2.0934149425004236E-4</v>
      </c>
    </row>
    <row r="11" spans="1:13" x14ac:dyDescent="0.25">
      <c r="A11">
        <v>-8.6425604753312521E-4</v>
      </c>
      <c r="B11">
        <v>-2.7573655560491545E-2</v>
      </c>
      <c r="C11">
        <v>-1.4545430724813679E-2</v>
      </c>
      <c r="D11">
        <v>0.18805364212566561</v>
      </c>
      <c r="E11">
        <v>-6.8509093848882929E-2</v>
      </c>
      <c r="F11">
        <v>0.16824601495003511</v>
      </c>
      <c r="G11" cm="1">
        <f t="array" ref="G11">SUMPRODUCT((A11:F11/$H$3:$M$3)^2)</f>
        <v>1.0649468993701749E-3</v>
      </c>
    </row>
    <row r="12" spans="1:13" x14ac:dyDescent="0.25">
      <c r="A12">
        <v>5.1190470197925899E-4</v>
      </c>
      <c r="B12">
        <v>-1.9389848852465322E-2</v>
      </c>
      <c r="C12">
        <v>7.0026856303462282E-3</v>
      </c>
      <c r="D12">
        <v>5.370746138984641E-2</v>
      </c>
      <c r="E12">
        <v>4.0138633605616841E-2</v>
      </c>
      <c r="F12">
        <v>0.14363298813659309</v>
      </c>
      <c r="G12" cm="1">
        <f t="array" ref="G12">SUMPRODUCT((A12:F12/$H$3:$M$3)^2)</f>
        <v>4.816710015683433E-4</v>
      </c>
    </row>
    <row r="13" spans="1:13" x14ac:dyDescent="0.25">
      <c r="A13">
        <v>-5.7422198841744466E-4</v>
      </c>
      <c r="B13">
        <v>-1.168929271596586E-2</v>
      </c>
      <c r="C13">
        <v>-4.2090504129791012E-3</v>
      </c>
      <c r="D13">
        <v>4.5607743657609834E-2</v>
      </c>
      <c r="E13">
        <v>-5.3496590643593578E-3</v>
      </c>
      <c r="F13">
        <v>5.652327756871145E-2</v>
      </c>
      <c r="G13" cm="1">
        <f t="array" ref="G13">SUMPRODUCT((A13:F13/$H$3:$M$3)^2)</f>
        <v>1.633219460578665E-4</v>
      </c>
    </row>
    <row r="14" spans="1:13" x14ac:dyDescent="0.25">
      <c r="A14">
        <v>-9.4429771523900179E-4</v>
      </c>
      <c r="B14">
        <v>1.6689362708000977E-2</v>
      </c>
      <c r="C14">
        <v>-6.7954149706780931E-4</v>
      </c>
      <c r="D14">
        <v>-4.2944294197591576E-2</v>
      </c>
      <c r="E14">
        <v>8.8870228840296495E-3</v>
      </c>
      <c r="F14">
        <v>-6.4146645615533626E-2</v>
      </c>
      <c r="G14" cm="1">
        <f t="array" ref="G14">SUMPRODUCT((A14:F14/$H$3:$M$3)^2)</f>
        <v>2.90885011942491E-4</v>
      </c>
    </row>
    <row r="15" spans="1:13" x14ac:dyDescent="0.25">
      <c r="A15">
        <v>-1.0358638511623617E-3</v>
      </c>
      <c r="B15">
        <v>-2.3455403217963106E-2</v>
      </c>
      <c r="C15">
        <v>-4.1816430862532672E-3</v>
      </c>
      <c r="D15">
        <v>3.8109010381549013E-2</v>
      </c>
      <c r="E15">
        <v>-1.7383445229328776E-2</v>
      </c>
      <c r="F15">
        <v>0.14065421166017467</v>
      </c>
      <c r="G15" cm="1">
        <f t="array" ref="G15">SUMPRODUCT((A15:F15/$H$3:$M$3)^2)</f>
        <v>6.1933298724294917E-4</v>
      </c>
    </row>
    <row r="16" spans="1:13" x14ac:dyDescent="0.25">
      <c r="A16">
        <v>-3.3381038754622741E-3</v>
      </c>
      <c r="B16">
        <v>-9.4388723107602934E-3</v>
      </c>
      <c r="C16">
        <v>-1.5364545253081967E-2</v>
      </c>
      <c r="D16">
        <v>-0.15938995941427148</v>
      </c>
      <c r="E16">
        <v>-9.3905727879845344E-2</v>
      </c>
      <c r="F16">
        <v>0.15293837382443365</v>
      </c>
      <c r="G16" cm="1">
        <f t="array" ref="G16">SUMPRODUCT((A16:F16/$H$3:$M$3)^2)</f>
        <v>4.2388256726411588E-4</v>
      </c>
    </row>
    <row r="17" spans="1:7" x14ac:dyDescent="0.25">
      <c r="A17">
        <v>-4.3059313707191507E-4</v>
      </c>
      <c r="B17">
        <v>4.1542749292063114E-2</v>
      </c>
      <c r="C17">
        <v>-3.6428874658648025E-3</v>
      </c>
      <c r="D17">
        <v>9.9804725927053209E-2</v>
      </c>
      <c r="E17">
        <v>-2.5623658450775744E-2</v>
      </c>
      <c r="F17">
        <v>-0.16968383775705329</v>
      </c>
      <c r="G17" cm="1">
        <f t="array" ref="G17">SUMPRODUCT((A17:F17/$H$3:$M$3)^2)</f>
        <v>1.8156459397631506E-3</v>
      </c>
    </row>
    <row r="18" spans="1:7" x14ac:dyDescent="0.25">
      <c r="A18">
        <v>-9.7335534626927299E-4</v>
      </c>
      <c r="B18">
        <v>-1.7894372732739996E-2</v>
      </c>
      <c r="C18">
        <v>6.3406176544978841E-4</v>
      </c>
      <c r="D18">
        <v>2.6907429951103659E-3</v>
      </c>
      <c r="E18">
        <v>7.5322743733916555E-3</v>
      </c>
      <c r="F18">
        <v>6.9846011870356717E-2</v>
      </c>
      <c r="G18" cm="1">
        <f t="array" ref="G18">SUMPRODUCT((A18:F18/$H$3:$M$3)^2)</f>
        <v>3.3389804291761619E-4</v>
      </c>
    </row>
    <row r="19" spans="1:7" x14ac:dyDescent="0.25">
      <c r="A19">
        <v>-1.1449491139260319E-3</v>
      </c>
      <c r="B19">
        <v>1.8229816002597737E-3</v>
      </c>
      <c r="C19">
        <v>1.1555761130442835E-3</v>
      </c>
      <c r="D19">
        <v>-2.6287614390014258E-3</v>
      </c>
      <c r="E19">
        <v>1.5941511561904875E-2</v>
      </c>
      <c r="F19">
        <v>-3.5774078873262199E-2</v>
      </c>
      <c r="G19" cm="1">
        <f t="array" ref="G19">SUMPRODUCT((A19:F19/$H$3:$M$3)^2)</f>
        <v>9.8062373685380474E-6</v>
      </c>
    </row>
    <row r="20" spans="1:7" x14ac:dyDescent="0.25">
      <c r="A20">
        <v>2.5008949260034953E-3</v>
      </c>
      <c r="B20">
        <v>2.4213777537791192E-2</v>
      </c>
      <c r="C20">
        <v>2.4498590036554718E-2</v>
      </c>
      <c r="D20">
        <v>3.2292080842239668E-2</v>
      </c>
      <c r="E20">
        <v>0.1720961522335922</v>
      </c>
      <c r="F20">
        <v>-0.11738587778127019</v>
      </c>
      <c r="G20" cm="1">
        <f t="array" ref="G20">SUMPRODUCT((A20:F20/$H$3:$M$3)^2)</f>
        <v>1.3015233973402587E-3</v>
      </c>
    </row>
    <row r="21" spans="1:7" x14ac:dyDescent="0.25">
      <c r="A21">
        <v>-1.8683481089326603E-3</v>
      </c>
      <c r="B21">
        <v>4.5387195218130061E-4</v>
      </c>
      <c r="C21">
        <v>1.2265861976939629E-2</v>
      </c>
      <c r="D21">
        <v>-1.1471157688477576E-2</v>
      </c>
      <c r="E21">
        <v>0.11568328599513011</v>
      </c>
      <c r="F21">
        <v>-1.8520203450577422E-3</v>
      </c>
      <c r="G21" cm="1">
        <f t="array" ref="G21">SUMPRODUCT((A21:F21/$H$3:$M$3)^2)</f>
        <v>1.8764977810930138E-4</v>
      </c>
    </row>
    <row r="22" spans="1:7" x14ac:dyDescent="0.25">
      <c r="A22">
        <v>-2.2763939325873448E-3</v>
      </c>
      <c r="B22">
        <v>5.9581090713121676E-3</v>
      </c>
      <c r="C22">
        <v>6.0132917443412315E-3</v>
      </c>
      <c r="D22">
        <v>-5.3355812610910019E-2</v>
      </c>
      <c r="E22">
        <v>9.9643286026902644E-2</v>
      </c>
      <c r="F22">
        <v>-5.542594283105548E-2</v>
      </c>
      <c r="G22" cm="1">
        <f t="array" ref="G22">SUMPRODUCT((A22:F22/$H$3:$M$3)^2)</f>
        <v>1.1013354926673677E-4</v>
      </c>
    </row>
    <row r="23" spans="1:7" x14ac:dyDescent="0.25">
      <c r="A23">
        <v>2.1831674877726553E-5</v>
      </c>
      <c r="B23">
        <v>-4.5513034081168594E-3</v>
      </c>
      <c r="C23">
        <v>2.8156693187133264E-2</v>
      </c>
      <c r="D23">
        <v>6.3735085614300788E-2</v>
      </c>
      <c r="E23">
        <v>0.14835644875001669</v>
      </c>
      <c r="F23">
        <v>5.8475902526015949E-2</v>
      </c>
      <c r="G23" cm="1">
        <f t="array" ref="G23">SUMPRODUCT((A23:F23/$H$3:$M$3)^2)</f>
        <v>8.7821525631795374E-4</v>
      </c>
    </row>
    <row r="24" spans="1:7" x14ac:dyDescent="0.25">
      <c r="A24">
        <v>-1.5646171048963756E-3</v>
      </c>
      <c r="B24">
        <v>-7.0021389712311977E-3</v>
      </c>
      <c r="C24">
        <v>2.0040045952124358E-2</v>
      </c>
      <c r="D24">
        <v>3.6817609111752414E-2</v>
      </c>
      <c r="E24">
        <v>0.13122885590315891</v>
      </c>
      <c r="F24">
        <v>7.2511475698173899E-2</v>
      </c>
      <c r="G24" cm="1">
        <f t="array" ref="G24">SUMPRODUCT((A24:F24/$H$3:$M$3)^2)</f>
        <v>5.0965527331699038E-4</v>
      </c>
    </row>
    <row r="25" spans="1:7" x14ac:dyDescent="0.25">
      <c r="A25">
        <v>-1.5927520343285433E-3</v>
      </c>
      <c r="B25">
        <v>-1.829421276124274E-3</v>
      </c>
      <c r="C25">
        <v>7.6087667667869563E-3</v>
      </c>
      <c r="D25">
        <v>3.2004727980248969E-2</v>
      </c>
      <c r="E25">
        <v>8.0910209689224688E-2</v>
      </c>
      <c r="F25">
        <v>1.4258336355669421E-2</v>
      </c>
      <c r="G25" cm="1">
        <f t="array" ref="G25">SUMPRODUCT((A25:F25/$H$3:$M$3)^2)</f>
        <v>8.0935906932355845E-5</v>
      </c>
    </row>
    <row r="26" spans="1:7" x14ac:dyDescent="0.25">
      <c r="A26">
        <v>-2.9598900336361275E-3</v>
      </c>
      <c r="B26">
        <v>-9.8754518125930557E-3</v>
      </c>
      <c r="C26">
        <v>-1.7852290860019021E-2</v>
      </c>
      <c r="D26">
        <v>-2.4228215173743628E-2</v>
      </c>
      <c r="E26">
        <v>-5.3530878694387884E-2</v>
      </c>
      <c r="F26">
        <v>0.11017490691826692</v>
      </c>
      <c r="G26" cm="1">
        <f t="array" ref="G26">SUMPRODUCT((A26:F26/$H$3:$M$3)^2)</f>
        <v>4.6266300652164118E-4</v>
      </c>
    </row>
    <row r="27" spans="1:7" x14ac:dyDescent="0.25">
      <c r="A27">
        <v>-2.4981611006547549E-4</v>
      </c>
      <c r="B27">
        <v>-8.4208800907986658E-4</v>
      </c>
      <c r="C27">
        <v>-2.2246151106963333E-3</v>
      </c>
      <c r="D27">
        <v>-8.2074187094453577E-3</v>
      </c>
      <c r="E27">
        <v>-1.4493273935478473E-2</v>
      </c>
      <c r="F27">
        <v>2.6205596248324969E-2</v>
      </c>
      <c r="G27" cm="1">
        <f t="array" ref="G27">SUMPRODUCT((A27:F27/$H$3:$M$3)^2)</f>
        <v>7.9811149442793385E-6</v>
      </c>
    </row>
    <row r="28" spans="1:7" x14ac:dyDescent="0.25">
      <c r="A28">
        <v>-1.3586493767030817E-3</v>
      </c>
      <c r="B28">
        <v>-1.3426025106330119E-2</v>
      </c>
      <c r="C28">
        <v>3.8335261472854376E-3</v>
      </c>
      <c r="D28">
        <v>4.541092541489139E-2</v>
      </c>
      <c r="E28">
        <v>3.1217718095560842E-2</v>
      </c>
      <c r="F28">
        <v>8.753144830914783E-2</v>
      </c>
      <c r="G28" cm="1">
        <f t="array" ref="G28">SUMPRODUCT((A28:F28/$H$3:$M$3)^2)</f>
        <v>2.1896357196286438E-4</v>
      </c>
    </row>
    <row r="29" spans="1:7" x14ac:dyDescent="0.25">
      <c r="A29">
        <v>-1.348653783107479E-3</v>
      </c>
      <c r="B29">
        <v>2.9574422383427029E-2</v>
      </c>
      <c r="C29">
        <v>-3.1925641652540901E-3</v>
      </c>
      <c r="D29">
        <v>-0.10759737377910696</v>
      </c>
      <c r="E29">
        <v>-1.7773929226476748E-2</v>
      </c>
      <c r="F29">
        <v>-0.12862977834001521</v>
      </c>
      <c r="G29" cm="1">
        <f t="array" ref="G29">SUMPRODUCT((A29:F29/$H$3:$M$3)^2)</f>
        <v>9.3202751083588877E-4</v>
      </c>
    </row>
    <row r="30" spans="1:7" x14ac:dyDescent="0.25">
      <c r="A30">
        <v>-2.0042647123105282E-3</v>
      </c>
      <c r="B30">
        <v>-7.719518111390461E-3</v>
      </c>
      <c r="C30">
        <v>2.7805849306330732E-3</v>
      </c>
      <c r="D30">
        <v>7.8849755687246115E-3</v>
      </c>
      <c r="E30">
        <v>2.5357723546998501E-2</v>
      </c>
      <c r="F30">
        <v>6.9869847527751716E-2</v>
      </c>
      <c r="G30" cm="1">
        <f t="array" ref="G30">SUMPRODUCT((A30:F30/$H$3:$M$3)^2)</f>
        <v>8.5168984041410851E-5</v>
      </c>
    </row>
    <row r="31" spans="1:7" x14ac:dyDescent="0.25">
      <c r="A31">
        <v>-6.7532356240994455E-3</v>
      </c>
      <c r="B31">
        <v>8.2387336054333127E-3</v>
      </c>
      <c r="C31">
        <v>-1.6577221491043369E-2</v>
      </c>
      <c r="D31">
        <v>-7.2552709906399726E-2</v>
      </c>
      <c r="E31">
        <v>-0.10718544844402736</v>
      </c>
      <c r="F31">
        <v>5.6870872849057119E-2</v>
      </c>
      <c r="G31" cm="1">
        <f t="array" ref="G31">SUMPRODUCT((A31:F31/$H$3:$M$3)^2)</f>
        <v>4.2655692977501487E-4</v>
      </c>
    </row>
    <row r="33" spans="1:7" x14ac:dyDescent="0.25">
      <c r="A33" s="2">
        <f>_xlfn.STDEV.S(A3:A31)</f>
        <v>1.7308713876288899E-3</v>
      </c>
      <c r="B33" s="2">
        <f t="shared" ref="B33:F33" si="0">_xlfn.STDEV.S(B3:B31)</f>
        <v>1.5982896731383811E-2</v>
      </c>
      <c r="C33" s="2">
        <f t="shared" si="0"/>
        <v>1.2150725520301957E-2</v>
      </c>
      <c r="D33" s="2">
        <f t="shared" si="0"/>
        <v>6.8383176976350671E-2</v>
      </c>
      <c r="E33" s="2">
        <f t="shared" si="0"/>
        <v>6.9384978806114564E-2</v>
      </c>
      <c r="F33" s="2">
        <f t="shared" si="0"/>
        <v>9.146823855200982E-2</v>
      </c>
    </row>
    <row r="35" spans="1:7" x14ac:dyDescent="0.25">
      <c r="A35">
        <f>AVERAGE(A3:A31)</f>
        <v>-1.2177572925713784E-3</v>
      </c>
      <c r="B35">
        <f t="shared" ref="B35:F35" si="1">AVERAGE(B3:B31)</f>
        <v>-1.3714937512577662E-3</v>
      </c>
      <c r="C35">
        <f t="shared" si="1"/>
        <v>2.4964834858357391E-3</v>
      </c>
      <c r="D35">
        <f t="shared" si="1"/>
        <v>5.4927274088148563E-3</v>
      </c>
      <c r="E35">
        <f t="shared" si="1"/>
        <v>2.6226578856035652E-2</v>
      </c>
      <c r="F35">
        <f t="shared" si="1"/>
        <v>2.6002919675258813E-2</v>
      </c>
      <c r="G35" s="6">
        <f>AVEDEV(G3:G31)</f>
        <v>2.9661751125939403E-4</v>
      </c>
    </row>
  </sheetData>
  <mergeCells count="1">
    <mergeCell ref="A1:F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2015-06-05T18:17:20Z</dcterms:created>
  <dcterms:modified xsi:type="dcterms:W3CDTF">2026-03-10T20:21:28Z</dcterms:modified>
</cp:coreProperties>
</file>