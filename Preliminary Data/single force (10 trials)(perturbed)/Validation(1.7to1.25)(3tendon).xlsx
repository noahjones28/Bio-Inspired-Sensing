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(10 trials)(perturbed)/"/>
    </mc:Choice>
  </mc:AlternateContent>
  <xr:revisionPtr revIDLastSave="4670" documentId="8_{DFFD6B0C-681F-42C8-B2E4-5D4B90AAE966}" xr6:coauthVersionLast="47" xr6:coauthVersionMax="47" xr10:uidLastSave="{DBE4E2FD-B8B9-43D8-BE16-1990BF95D951}"/>
  <bookViews>
    <workbookView xWindow="-120" yWindow="-120" windowWidth="29040" windowHeight="15720" firstSheet="1" activeTab="2" xr2:uid="{3D16C37F-3C74-4527-A308-796C339DFE9F}"/>
  </bookViews>
  <sheets>
    <sheet name="Proximal Validation" sheetId="12" r:id="rId1"/>
    <sheet name="Distal Vali (0N perturb)" sheetId="37" r:id="rId2"/>
    <sheet name="Distal Vali (0N pert 6prox)" sheetId="40" r:id="rId3"/>
    <sheet name="Distal Vali (0.5N perturb)" sheetId="19" r:id="rId4"/>
    <sheet name="Distal Vali (1N perturb)" sheetId="38" r:id="rId5"/>
    <sheet name="Distal Vali (1.5N perturb)" sheetId="39" r:id="rId6"/>
    <sheet name="Conversion" sheetId="4" r:id="rId7"/>
    <sheet name="Sheet5" sheetId="3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40" l="1" a="1"/>
  <c r="X4" i="40" s="1"/>
  <c r="Y4" i="40" a="1"/>
  <c r="Y4" i="40" s="1"/>
  <c r="Q12" i="40"/>
  <c r="T12" i="40" s="1"/>
  <c r="L12" i="40"/>
  <c r="K12" i="40"/>
  <c r="J12" i="40"/>
  <c r="I12" i="40"/>
  <c r="H12" i="40"/>
  <c r="G12" i="40"/>
  <c r="F12" i="40"/>
  <c r="E12" i="40"/>
  <c r="D12" i="40"/>
  <c r="C12" i="40"/>
  <c r="S12" i="40" s="1"/>
  <c r="V12" i="40" s="1"/>
  <c r="B12" i="40"/>
  <c r="R12" i="40" s="1"/>
  <c r="U12" i="40" s="1"/>
  <c r="A12" i="40"/>
  <c r="L11" i="40"/>
  <c r="K11" i="40"/>
  <c r="J11" i="40"/>
  <c r="I11" i="40"/>
  <c r="H11" i="40"/>
  <c r="G11" i="40"/>
  <c r="F11" i="40"/>
  <c r="E11" i="40"/>
  <c r="D11" i="40"/>
  <c r="C11" i="40"/>
  <c r="S11" i="40" s="1"/>
  <c r="V11" i="40" s="1"/>
  <c r="B11" i="40"/>
  <c r="R11" i="40" s="1"/>
  <c r="U11" i="40" s="1"/>
  <c r="A11" i="40"/>
  <c r="Q11" i="40" s="1"/>
  <c r="T11" i="40" s="1"/>
  <c r="L10" i="40"/>
  <c r="K10" i="40"/>
  <c r="J10" i="40"/>
  <c r="I10" i="40"/>
  <c r="H10" i="40"/>
  <c r="G10" i="40"/>
  <c r="F10" i="40"/>
  <c r="E10" i="40"/>
  <c r="D10" i="40"/>
  <c r="C10" i="40"/>
  <c r="S10" i="40" s="1"/>
  <c r="V10" i="40" s="1"/>
  <c r="B10" i="40"/>
  <c r="R10" i="40" s="1"/>
  <c r="U10" i="40" s="1"/>
  <c r="A10" i="40"/>
  <c r="Q10" i="40" s="1"/>
  <c r="T10" i="40" s="1"/>
  <c r="L9" i="40"/>
  <c r="K9" i="40"/>
  <c r="J9" i="40"/>
  <c r="I9" i="40"/>
  <c r="H9" i="40"/>
  <c r="G9" i="40"/>
  <c r="F9" i="40"/>
  <c r="E9" i="40"/>
  <c r="D9" i="40"/>
  <c r="C9" i="40"/>
  <c r="S9" i="40" s="1"/>
  <c r="V9" i="40" s="1"/>
  <c r="B9" i="40"/>
  <c r="R9" i="40" s="1"/>
  <c r="U9" i="40" s="1"/>
  <c r="A9" i="40"/>
  <c r="Q9" i="40" s="1"/>
  <c r="T9" i="40" s="1"/>
  <c r="L8" i="40"/>
  <c r="K8" i="40"/>
  <c r="J8" i="40"/>
  <c r="I8" i="40"/>
  <c r="H8" i="40"/>
  <c r="G8" i="40"/>
  <c r="F8" i="40"/>
  <c r="E8" i="40"/>
  <c r="D8" i="40"/>
  <c r="C8" i="40"/>
  <c r="S8" i="40" s="1"/>
  <c r="V8" i="40" s="1"/>
  <c r="B8" i="40"/>
  <c r="R8" i="40" s="1"/>
  <c r="U8" i="40" s="1"/>
  <c r="A8" i="40"/>
  <c r="Q8" i="40" s="1"/>
  <c r="T8" i="40" s="1"/>
  <c r="L7" i="40"/>
  <c r="K7" i="40"/>
  <c r="J7" i="40"/>
  <c r="I7" i="40"/>
  <c r="H7" i="40"/>
  <c r="G7" i="40"/>
  <c r="F7" i="40"/>
  <c r="E7" i="40"/>
  <c r="D7" i="40"/>
  <c r="C7" i="40"/>
  <c r="S7" i="40" s="1"/>
  <c r="B7" i="40"/>
  <c r="R7" i="40" s="1"/>
  <c r="A7" i="40"/>
  <c r="Q7" i="40" s="1"/>
  <c r="L6" i="40"/>
  <c r="K6" i="40"/>
  <c r="J6" i="40"/>
  <c r="I6" i="40"/>
  <c r="H6" i="40"/>
  <c r="G6" i="40"/>
  <c r="F6" i="40"/>
  <c r="E6" i="40"/>
  <c r="D6" i="40"/>
  <c r="C6" i="40"/>
  <c r="S6" i="40" s="1"/>
  <c r="V6" i="40" s="1"/>
  <c r="B6" i="40"/>
  <c r="R6" i="40" s="1"/>
  <c r="U6" i="40" s="1"/>
  <c r="A6" i="40"/>
  <c r="Q6" i="40" s="1"/>
  <c r="T6" i="40" s="1"/>
  <c r="L5" i="40"/>
  <c r="K5" i="40"/>
  <c r="J5" i="40"/>
  <c r="I5" i="40"/>
  <c r="H5" i="40"/>
  <c r="G5" i="40"/>
  <c r="F5" i="40"/>
  <c r="E5" i="40"/>
  <c r="D5" i="40"/>
  <c r="C5" i="40"/>
  <c r="S5" i="40" s="1"/>
  <c r="V5" i="40" s="1"/>
  <c r="B5" i="40"/>
  <c r="R5" i="40" s="1"/>
  <c r="U5" i="40" s="1"/>
  <c r="A5" i="40"/>
  <c r="Q5" i="40" s="1"/>
  <c r="T5" i="40" s="1"/>
  <c r="L4" i="40"/>
  <c r="K4" i="40"/>
  <c r="J4" i="40"/>
  <c r="I4" i="40"/>
  <c r="H4" i="40"/>
  <c r="G4" i="40"/>
  <c r="F4" i="40"/>
  <c r="E4" i="40"/>
  <c r="D4" i="40"/>
  <c r="C4" i="40"/>
  <c r="S4" i="40" s="1"/>
  <c r="V4" i="40" s="1"/>
  <c r="B4" i="40"/>
  <c r="R4" i="40" s="1"/>
  <c r="U4" i="40" s="1"/>
  <c r="A4" i="40"/>
  <c r="Q4" i="40" s="1"/>
  <c r="T4" i="40" s="1"/>
  <c r="L3" i="40"/>
  <c r="K3" i="40"/>
  <c r="J3" i="40"/>
  <c r="I3" i="40"/>
  <c r="H3" i="40"/>
  <c r="G3" i="40"/>
  <c r="F3" i="40"/>
  <c r="E3" i="40"/>
  <c r="D3" i="40"/>
  <c r="C3" i="40"/>
  <c r="S3" i="40" s="1"/>
  <c r="V3" i="40" s="1"/>
  <c r="B3" i="40"/>
  <c r="R3" i="40" s="1"/>
  <c r="U3" i="40" s="1"/>
  <c r="A3" i="40"/>
  <c r="Q3" i="40" s="1"/>
  <c r="T3" i="40" s="1"/>
  <c r="X4" i="37" a="1"/>
  <c r="X4" i="37"/>
  <c r="Y4" i="37" a="1"/>
  <c r="Y4" i="37" s="1"/>
  <c r="W4" i="37" a="1"/>
  <c r="W4" i="37" s="1"/>
  <c r="W4" i="40" l="1" a="1"/>
  <c r="W4" i="40" s="1"/>
  <c r="T7" i="40"/>
  <c r="V7" i="40"/>
  <c r="U7" i="40"/>
  <c r="W4" i="39" a="1"/>
  <c r="W4" i="39" s="1"/>
  <c r="X4" i="39" a="1"/>
  <c r="X4" i="39" s="1"/>
  <c r="Y4" i="39" a="1"/>
  <c r="Y4" i="39" s="1"/>
  <c r="Q28" i="39" l="1"/>
  <c r="R28" i="39"/>
  <c r="S28" i="39"/>
  <c r="V28" i="39" s="1"/>
  <c r="Q29" i="39"/>
  <c r="T29" i="39" s="1"/>
  <c r="R29" i="39"/>
  <c r="S29" i="39"/>
  <c r="Q30" i="39"/>
  <c r="R30" i="39"/>
  <c r="S30" i="39"/>
  <c r="V30" i="39" s="1"/>
  <c r="Q31" i="39"/>
  <c r="T31" i="39" s="1"/>
  <c r="R31" i="39"/>
  <c r="U31" i="39" s="1"/>
  <c r="S31" i="39"/>
  <c r="V31" i="39" s="1"/>
  <c r="Q32" i="39"/>
  <c r="R32" i="39"/>
  <c r="U32" i="39" s="1"/>
  <c r="S32" i="39"/>
  <c r="V32" i="39" s="1"/>
  <c r="Q33" i="39"/>
  <c r="T33" i="39" s="1"/>
  <c r="R33" i="39"/>
  <c r="S33" i="39"/>
  <c r="V33" i="39" s="1"/>
  <c r="Q34" i="39"/>
  <c r="T34" i="39" s="1"/>
  <c r="R34" i="39"/>
  <c r="S34" i="39"/>
  <c r="V34" i="39" s="1"/>
  <c r="Q35" i="39"/>
  <c r="T35" i="39" s="1"/>
  <c r="R35" i="39"/>
  <c r="U35" i="39" s="1"/>
  <c r="S35" i="39"/>
  <c r="V35" i="39" s="1"/>
  <c r="Q36" i="39"/>
  <c r="R36" i="39"/>
  <c r="U36" i="39" s="1"/>
  <c r="S36" i="39"/>
  <c r="V36" i="39" s="1"/>
  <c r="R27" i="39"/>
  <c r="S27" i="39"/>
  <c r="Q27" i="39"/>
  <c r="T27" i="39" s="1"/>
  <c r="Q16" i="39"/>
  <c r="R16" i="39"/>
  <c r="S16" i="39"/>
  <c r="V16" i="39" s="1"/>
  <c r="Q17" i="39"/>
  <c r="T17" i="39" s="1"/>
  <c r="R17" i="39"/>
  <c r="S17" i="39"/>
  <c r="Q18" i="39"/>
  <c r="R18" i="39"/>
  <c r="S18" i="39"/>
  <c r="V18" i="39" s="1"/>
  <c r="Q19" i="39"/>
  <c r="T19" i="39" s="1"/>
  <c r="R19" i="39"/>
  <c r="U19" i="39" s="1"/>
  <c r="S19" i="39"/>
  <c r="Q20" i="39"/>
  <c r="R20" i="39"/>
  <c r="S20" i="39"/>
  <c r="V20" i="39" s="1"/>
  <c r="Q21" i="39"/>
  <c r="T21" i="39" s="1"/>
  <c r="R21" i="39"/>
  <c r="S21" i="39"/>
  <c r="V21" i="39" s="1"/>
  <c r="Q22" i="39"/>
  <c r="R22" i="39"/>
  <c r="S22" i="39"/>
  <c r="V22" i="39" s="1"/>
  <c r="Q23" i="39"/>
  <c r="T23" i="39" s="1"/>
  <c r="R23" i="39"/>
  <c r="U23" i="39" s="1"/>
  <c r="S23" i="39"/>
  <c r="Q24" i="39"/>
  <c r="R24" i="39"/>
  <c r="U24" i="39" s="1"/>
  <c r="S24" i="39"/>
  <c r="V24" i="39" s="1"/>
  <c r="R15" i="39"/>
  <c r="U15" i="39" s="1"/>
  <c r="S15" i="39"/>
  <c r="Q15" i="39"/>
  <c r="T36" i="39"/>
  <c r="U34" i="39"/>
  <c r="U33" i="39"/>
  <c r="T32" i="39"/>
  <c r="U30" i="39"/>
  <c r="T30" i="39"/>
  <c r="V29" i="39"/>
  <c r="U29" i="39"/>
  <c r="U28" i="39"/>
  <c r="T28" i="39"/>
  <c r="V27" i="39"/>
  <c r="U27" i="39"/>
  <c r="T24" i="39"/>
  <c r="V23" i="39"/>
  <c r="U22" i="39"/>
  <c r="T22" i="39"/>
  <c r="U21" i="39"/>
  <c r="U20" i="39"/>
  <c r="T20" i="39"/>
  <c r="V19" i="39"/>
  <c r="U18" i="39"/>
  <c r="T18" i="39"/>
  <c r="V17" i="39"/>
  <c r="U17" i="39"/>
  <c r="U16" i="39"/>
  <c r="T16" i="39"/>
  <c r="V15" i="39"/>
  <c r="T15" i="39"/>
  <c r="W28" i="39" l="1" a="1"/>
  <c r="W28" i="39" s="1"/>
  <c r="X28" i="39" a="1"/>
  <c r="X28" i="39" s="1"/>
  <c r="Y28" i="39" a="1"/>
  <c r="Y28" i="39" s="1"/>
  <c r="W16" i="39" a="1"/>
  <c r="W16" i="39" s="1"/>
  <c r="X16" i="39" a="1"/>
  <c r="X16" i="39" s="1"/>
  <c r="Y16" i="39" a="1"/>
  <c r="Y16" i="39" s="1"/>
  <c r="AA4" i="38" l="1"/>
  <c r="AQ4" i="38" s="1"/>
  <c r="AB4" i="38"/>
  <c r="AC4" i="38"/>
  <c r="AD4" i="38"/>
  <c r="AE4" i="38"/>
  <c r="AF4" i="38"/>
  <c r="AG4" i="38"/>
  <c r="AH4" i="38"/>
  <c r="AI4" i="38"/>
  <c r="AJ4" i="38"/>
  <c r="AK4" i="38"/>
  <c r="AL4" i="38"/>
  <c r="AA5" i="38"/>
  <c r="AQ5" i="38" s="1"/>
  <c r="AT5" i="38" s="1"/>
  <c r="AB5" i="38"/>
  <c r="AC5" i="38"/>
  <c r="AD5" i="38"/>
  <c r="AE5" i="38"/>
  <c r="AF5" i="38"/>
  <c r="AG5" i="38"/>
  <c r="AH5" i="38"/>
  <c r="AI5" i="38"/>
  <c r="AJ5" i="38"/>
  <c r="AK5" i="38"/>
  <c r="AL5" i="38"/>
  <c r="AA6" i="38"/>
  <c r="AQ6" i="38" s="1"/>
  <c r="AT6" i="38" s="1"/>
  <c r="AB6" i="38"/>
  <c r="AC6" i="38"/>
  <c r="AD6" i="38"/>
  <c r="AE6" i="38"/>
  <c r="AF6" i="38"/>
  <c r="AG6" i="38"/>
  <c r="AH6" i="38"/>
  <c r="AI6" i="38"/>
  <c r="AJ6" i="38"/>
  <c r="AK6" i="38"/>
  <c r="AL6" i="38"/>
  <c r="AA7" i="38"/>
  <c r="AQ7" i="38" s="1"/>
  <c r="AT7" i="38" s="1"/>
  <c r="AB7" i="38"/>
  <c r="AC7" i="38"/>
  <c r="AS7" i="38" s="1"/>
  <c r="AV7" i="38" s="1"/>
  <c r="AD7" i="38"/>
  <c r="AE7" i="38"/>
  <c r="AF7" i="38"/>
  <c r="AG7" i="38"/>
  <c r="AH7" i="38"/>
  <c r="AI7" i="38"/>
  <c r="AJ7" i="38"/>
  <c r="AK7" i="38"/>
  <c r="AL7" i="38"/>
  <c r="AA8" i="38"/>
  <c r="AQ8" i="38" s="1"/>
  <c r="AT8" i="38" s="1"/>
  <c r="AB8" i="38"/>
  <c r="AC8" i="38"/>
  <c r="AD8" i="38"/>
  <c r="AE8" i="38"/>
  <c r="AF8" i="38"/>
  <c r="AG8" i="38"/>
  <c r="AH8" i="38"/>
  <c r="AI8" i="38"/>
  <c r="AJ8" i="38"/>
  <c r="AK8" i="38"/>
  <c r="AL8" i="38"/>
  <c r="AA9" i="38"/>
  <c r="AQ9" i="38" s="1"/>
  <c r="AT9" i="38" s="1"/>
  <c r="AB9" i="38"/>
  <c r="AC9" i="38"/>
  <c r="AD9" i="38"/>
  <c r="AE9" i="38"/>
  <c r="AF9" i="38"/>
  <c r="AG9" i="38"/>
  <c r="AH9" i="38"/>
  <c r="AI9" i="38"/>
  <c r="AJ9" i="38"/>
  <c r="AK9" i="38"/>
  <c r="AL9" i="38"/>
  <c r="AA10" i="38"/>
  <c r="AQ10" i="38" s="1"/>
  <c r="AT10" i="38" s="1"/>
  <c r="AB10" i="38"/>
  <c r="AC10" i="38"/>
  <c r="AD10" i="38"/>
  <c r="AE10" i="38"/>
  <c r="AF10" i="38"/>
  <c r="AG10" i="38"/>
  <c r="AH10" i="38"/>
  <c r="AI10" i="38"/>
  <c r="AJ10" i="38"/>
  <c r="AK10" i="38"/>
  <c r="AL10" i="38"/>
  <c r="AA11" i="38"/>
  <c r="AQ11" i="38" s="1"/>
  <c r="AT11" i="38" s="1"/>
  <c r="AB11" i="38"/>
  <c r="AC11" i="38"/>
  <c r="AS11" i="38" s="1"/>
  <c r="AV11" i="38" s="1"/>
  <c r="AD11" i="38"/>
  <c r="AE11" i="38"/>
  <c r="AF11" i="38"/>
  <c r="AG11" i="38"/>
  <c r="AH11" i="38"/>
  <c r="AI11" i="38"/>
  <c r="AJ11" i="38"/>
  <c r="AK11" i="38"/>
  <c r="AL11" i="38"/>
  <c r="AA12" i="38"/>
  <c r="AQ12" i="38" s="1"/>
  <c r="AT12" i="38" s="1"/>
  <c r="AB12" i="38"/>
  <c r="AC12" i="38"/>
  <c r="AD12" i="38"/>
  <c r="AE12" i="38"/>
  <c r="AF12" i="38"/>
  <c r="AG12" i="38"/>
  <c r="AH12" i="38"/>
  <c r="AI12" i="38"/>
  <c r="AJ12" i="38"/>
  <c r="AK12" i="38"/>
  <c r="AL12" i="38"/>
  <c r="AA13" i="38"/>
  <c r="AQ13" i="38" s="1"/>
  <c r="AT13" i="38" s="1"/>
  <c r="AB13" i="38"/>
  <c r="AC13" i="38"/>
  <c r="AS13" i="38" s="1"/>
  <c r="AV13" i="38" s="1"/>
  <c r="AD13" i="38"/>
  <c r="AE13" i="38"/>
  <c r="AF13" i="38"/>
  <c r="AG13" i="38"/>
  <c r="AH13" i="38"/>
  <c r="AI13" i="38"/>
  <c r="AJ13" i="38"/>
  <c r="AK13" i="38"/>
  <c r="AL13" i="38"/>
  <c r="AR13" i="38"/>
  <c r="AU13" i="38" s="1"/>
  <c r="AR12" i="38"/>
  <c r="AU12" i="38" s="1"/>
  <c r="AS12" i="38"/>
  <c r="AV12" i="38" s="1"/>
  <c r="AR11" i="38"/>
  <c r="AU11" i="38" s="1"/>
  <c r="AS10" i="38"/>
  <c r="AV10" i="38" s="1"/>
  <c r="AR10" i="38"/>
  <c r="AU10" i="38" s="1"/>
  <c r="AS9" i="38"/>
  <c r="AV9" i="38" s="1"/>
  <c r="AR9" i="38"/>
  <c r="AU9" i="38" s="1"/>
  <c r="AR8" i="38"/>
  <c r="AU8" i="38" s="1"/>
  <c r="AS8" i="38"/>
  <c r="AV8" i="38" s="1"/>
  <c r="AR7" i="38"/>
  <c r="AU7" i="38" s="1"/>
  <c r="AS6" i="38"/>
  <c r="AV6" i="38" s="1"/>
  <c r="AR6" i="38"/>
  <c r="AU6" i="38" s="1"/>
  <c r="AS5" i="38"/>
  <c r="AV5" i="38" s="1"/>
  <c r="AR5" i="38"/>
  <c r="AU5" i="38" s="1"/>
  <c r="AS4" i="38"/>
  <c r="AR4" i="38"/>
  <c r="AT4" i="38" l="1"/>
  <c r="AW5" i="38" a="1"/>
  <c r="AW5" i="38" s="1"/>
  <c r="AX5" i="38" a="1"/>
  <c r="AX5" i="38" s="1"/>
  <c r="AU4" i="38"/>
  <c r="AV4" i="38"/>
  <c r="AY5" i="38" a="1"/>
  <c r="AY5" i="38" s="1"/>
  <c r="H55" i="4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H61" i="4"/>
  <c r="I61" i="4"/>
  <c r="J61" i="4"/>
  <c r="K61" i="4"/>
  <c r="L61" i="4"/>
  <c r="M61" i="4"/>
  <c r="H62" i="4"/>
  <c r="I62" i="4"/>
  <c r="J62" i="4"/>
  <c r="K62" i="4"/>
  <c r="L62" i="4"/>
  <c r="M62" i="4"/>
  <c r="L12" i="39"/>
  <c r="L57" i="39" s="1"/>
  <c r="K12" i="39"/>
  <c r="K57" i="39" s="1"/>
  <c r="J12" i="39"/>
  <c r="J57" i="39" s="1"/>
  <c r="I12" i="39"/>
  <c r="I57" i="39" s="1"/>
  <c r="H12" i="39"/>
  <c r="H57" i="39" s="1"/>
  <c r="G12" i="39"/>
  <c r="G57" i="39" s="1"/>
  <c r="F12" i="39"/>
  <c r="E12" i="39"/>
  <c r="D12" i="39"/>
  <c r="C12" i="39"/>
  <c r="S12" i="39" s="1"/>
  <c r="V12" i="39" s="1"/>
  <c r="B12" i="39"/>
  <c r="R12" i="39" s="1"/>
  <c r="U12" i="39" s="1"/>
  <c r="A12" i="39"/>
  <c r="Q12" i="39" s="1"/>
  <c r="T12" i="39" s="1"/>
  <c r="L11" i="39"/>
  <c r="L53" i="39" s="1"/>
  <c r="K11" i="39"/>
  <c r="K53" i="39" s="1"/>
  <c r="J11" i="39"/>
  <c r="J53" i="39" s="1"/>
  <c r="I11" i="39"/>
  <c r="I53" i="39" s="1"/>
  <c r="H11" i="39"/>
  <c r="H53" i="39" s="1"/>
  <c r="G11" i="39"/>
  <c r="G53" i="39" s="1"/>
  <c r="F11" i="39"/>
  <c r="E11" i="39"/>
  <c r="D11" i="39"/>
  <c r="C11" i="39"/>
  <c r="S11" i="39" s="1"/>
  <c r="V11" i="39" s="1"/>
  <c r="B11" i="39"/>
  <c r="R11" i="39" s="1"/>
  <c r="U11" i="39" s="1"/>
  <c r="A11" i="39"/>
  <c r="Q11" i="39" s="1"/>
  <c r="T11" i="39" s="1"/>
  <c r="L10" i="39"/>
  <c r="L49" i="39" s="1"/>
  <c r="K10" i="39"/>
  <c r="K49" i="39" s="1"/>
  <c r="J10" i="39"/>
  <c r="J49" i="39" s="1"/>
  <c r="I10" i="39"/>
  <c r="I49" i="39" s="1"/>
  <c r="H10" i="39"/>
  <c r="H49" i="39" s="1"/>
  <c r="G10" i="39"/>
  <c r="G49" i="39" s="1"/>
  <c r="F10" i="39"/>
  <c r="E10" i="39"/>
  <c r="D10" i="39"/>
  <c r="C10" i="39"/>
  <c r="S10" i="39" s="1"/>
  <c r="V10" i="39" s="1"/>
  <c r="B10" i="39"/>
  <c r="R10" i="39" s="1"/>
  <c r="U10" i="39" s="1"/>
  <c r="A10" i="39"/>
  <c r="Q10" i="39" s="1"/>
  <c r="T10" i="39" s="1"/>
  <c r="L9" i="39"/>
  <c r="L45" i="39" s="1"/>
  <c r="K9" i="39"/>
  <c r="K45" i="39" s="1"/>
  <c r="J9" i="39"/>
  <c r="J45" i="39" s="1"/>
  <c r="I9" i="39"/>
  <c r="I45" i="39" s="1"/>
  <c r="H9" i="39"/>
  <c r="H45" i="39" s="1"/>
  <c r="G9" i="39"/>
  <c r="G45" i="39" s="1"/>
  <c r="F9" i="39"/>
  <c r="E9" i="39"/>
  <c r="D9" i="39"/>
  <c r="C9" i="39"/>
  <c r="S9" i="39" s="1"/>
  <c r="V9" i="39" s="1"/>
  <c r="B9" i="39"/>
  <c r="R9" i="39" s="1"/>
  <c r="U9" i="39" s="1"/>
  <c r="A9" i="39"/>
  <c r="Q9" i="39" s="1"/>
  <c r="T9" i="39" s="1"/>
  <c r="L8" i="39"/>
  <c r="L41" i="39" s="1"/>
  <c r="K8" i="39"/>
  <c r="K41" i="39" s="1"/>
  <c r="J8" i="39"/>
  <c r="J41" i="39" s="1"/>
  <c r="I8" i="39"/>
  <c r="I41" i="39" s="1"/>
  <c r="H8" i="39"/>
  <c r="H41" i="39" s="1"/>
  <c r="G8" i="39"/>
  <c r="G41" i="39" s="1"/>
  <c r="F8" i="39"/>
  <c r="E8" i="39"/>
  <c r="D8" i="39"/>
  <c r="C8" i="39"/>
  <c r="S8" i="39" s="1"/>
  <c r="V8" i="39" s="1"/>
  <c r="B8" i="39"/>
  <c r="R8" i="39" s="1"/>
  <c r="U8" i="39" s="1"/>
  <c r="A8" i="39"/>
  <c r="Q8" i="39" s="1"/>
  <c r="T8" i="39" s="1"/>
  <c r="L7" i="39"/>
  <c r="L37" i="39" s="1"/>
  <c r="K7" i="39"/>
  <c r="K37" i="39" s="1"/>
  <c r="J7" i="39"/>
  <c r="J37" i="39" s="1"/>
  <c r="I7" i="39"/>
  <c r="I37" i="39" s="1"/>
  <c r="H7" i="39"/>
  <c r="H37" i="39" s="1"/>
  <c r="G7" i="39"/>
  <c r="G37" i="39" s="1"/>
  <c r="F7" i="39"/>
  <c r="E7" i="39"/>
  <c r="D7" i="39"/>
  <c r="C7" i="39"/>
  <c r="S7" i="39" s="1"/>
  <c r="B7" i="39"/>
  <c r="R7" i="39" s="1"/>
  <c r="A7" i="39"/>
  <c r="Q7" i="39" s="1"/>
  <c r="L6" i="39"/>
  <c r="L33" i="39" s="1"/>
  <c r="K6" i="39"/>
  <c r="K33" i="39" s="1"/>
  <c r="J6" i="39"/>
  <c r="J33" i="39" s="1"/>
  <c r="I6" i="39"/>
  <c r="I33" i="39" s="1"/>
  <c r="H6" i="39"/>
  <c r="H33" i="39" s="1"/>
  <c r="G6" i="39"/>
  <c r="G33" i="39" s="1"/>
  <c r="F6" i="39"/>
  <c r="E6" i="39"/>
  <c r="D6" i="39"/>
  <c r="C6" i="39"/>
  <c r="S6" i="39" s="1"/>
  <c r="V6" i="39" s="1"/>
  <c r="B6" i="39"/>
  <c r="R6" i="39" s="1"/>
  <c r="U6" i="39" s="1"/>
  <c r="A6" i="39"/>
  <c r="Q6" i="39" s="1"/>
  <c r="T6" i="39" s="1"/>
  <c r="L5" i="39"/>
  <c r="L29" i="39" s="1"/>
  <c r="K5" i="39"/>
  <c r="K29" i="39" s="1"/>
  <c r="J5" i="39"/>
  <c r="J29" i="39" s="1"/>
  <c r="I5" i="39"/>
  <c r="I29" i="39" s="1"/>
  <c r="H5" i="39"/>
  <c r="H29" i="39" s="1"/>
  <c r="G5" i="39"/>
  <c r="G29" i="39" s="1"/>
  <c r="F5" i="39"/>
  <c r="E5" i="39"/>
  <c r="D5" i="39"/>
  <c r="C5" i="39"/>
  <c r="S5" i="39" s="1"/>
  <c r="V5" i="39" s="1"/>
  <c r="B5" i="39"/>
  <c r="R5" i="39" s="1"/>
  <c r="U5" i="39" s="1"/>
  <c r="A5" i="39"/>
  <c r="Q5" i="39" s="1"/>
  <c r="T5" i="39" s="1"/>
  <c r="L4" i="39"/>
  <c r="L25" i="39" s="1"/>
  <c r="K4" i="39"/>
  <c r="K25" i="39" s="1"/>
  <c r="J4" i="39"/>
  <c r="J25" i="39" s="1"/>
  <c r="I4" i="39"/>
  <c r="I25" i="39" s="1"/>
  <c r="H4" i="39"/>
  <c r="H25" i="39" s="1"/>
  <c r="G4" i="39"/>
  <c r="G25" i="39" s="1"/>
  <c r="F4" i="39"/>
  <c r="E4" i="39"/>
  <c r="D4" i="39"/>
  <c r="C4" i="39"/>
  <c r="S4" i="39" s="1"/>
  <c r="V4" i="39" s="1"/>
  <c r="B4" i="39"/>
  <c r="R4" i="39" s="1"/>
  <c r="U4" i="39" s="1"/>
  <c r="A4" i="39"/>
  <c r="Q4" i="39" s="1"/>
  <c r="T4" i="39" s="1"/>
  <c r="L3" i="39"/>
  <c r="L21" i="39" s="1"/>
  <c r="K3" i="39"/>
  <c r="K21" i="39" s="1"/>
  <c r="J3" i="39"/>
  <c r="J21" i="39" s="1"/>
  <c r="I3" i="39"/>
  <c r="I21" i="39" s="1"/>
  <c r="H3" i="39"/>
  <c r="H21" i="39" s="1"/>
  <c r="G3" i="39"/>
  <c r="G21" i="39" s="1"/>
  <c r="F3" i="39"/>
  <c r="F21" i="39" s="1"/>
  <c r="E3" i="39"/>
  <c r="E21" i="39" s="1"/>
  <c r="D3" i="39"/>
  <c r="D21" i="39" s="1"/>
  <c r="C3" i="39"/>
  <c r="S3" i="39" s="1"/>
  <c r="B3" i="39"/>
  <c r="R3" i="39" s="1"/>
  <c r="A3" i="39"/>
  <c r="Q3" i="39" s="1"/>
  <c r="L13" i="38"/>
  <c r="L58" i="38" s="1"/>
  <c r="K13" i="38"/>
  <c r="K58" i="38" s="1"/>
  <c r="J13" i="38"/>
  <c r="J58" i="38" s="1"/>
  <c r="I13" i="38"/>
  <c r="I58" i="38" s="1"/>
  <c r="H13" i="38"/>
  <c r="H58" i="38" s="1"/>
  <c r="G13" i="38"/>
  <c r="G58" i="38" s="1"/>
  <c r="F13" i="38"/>
  <c r="E13" i="38"/>
  <c r="D13" i="38"/>
  <c r="C13" i="38"/>
  <c r="S13" i="38" s="1"/>
  <c r="V13" i="38" s="1"/>
  <c r="B13" i="38"/>
  <c r="R13" i="38" s="1"/>
  <c r="U13" i="38" s="1"/>
  <c r="A13" i="38"/>
  <c r="Q13" i="38" s="1"/>
  <c r="T13" i="38" s="1"/>
  <c r="L12" i="38"/>
  <c r="L54" i="38" s="1"/>
  <c r="K12" i="38"/>
  <c r="K54" i="38" s="1"/>
  <c r="J12" i="38"/>
  <c r="J54" i="38" s="1"/>
  <c r="I12" i="38"/>
  <c r="I54" i="38" s="1"/>
  <c r="H12" i="38"/>
  <c r="H54" i="38" s="1"/>
  <c r="G12" i="38"/>
  <c r="G54" i="38" s="1"/>
  <c r="F12" i="38"/>
  <c r="E12" i="38"/>
  <c r="D12" i="38"/>
  <c r="C12" i="38"/>
  <c r="S12" i="38" s="1"/>
  <c r="V12" i="38" s="1"/>
  <c r="B12" i="38"/>
  <c r="R12" i="38" s="1"/>
  <c r="U12" i="38" s="1"/>
  <c r="A12" i="38"/>
  <c r="Q12" i="38" s="1"/>
  <c r="T12" i="38" s="1"/>
  <c r="L11" i="38"/>
  <c r="L50" i="38" s="1"/>
  <c r="K11" i="38"/>
  <c r="K50" i="38" s="1"/>
  <c r="J11" i="38"/>
  <c r="J50" i="38" s="1"/>
  <c r="I11" i="38"/>
  <c r="I50" i="38" s="1"/>
  <c r="H11" i="38"/>
  <c r="H50" i="38" s="1"/>
  <c r="G11" i="38"/>
  <c r="G50" i="38" s="1"/>
  <c r="F11" i="38"/>
  <c r="E11" i="38"/>
  <c r="D11" i="38"/>
  <c r="C11" i="38"/>
  <c r="S11" i="38" s="1"/>
  <c r="V11" i="38" s="1"/>
  <c r="B11" i="38"/>
  <c r="R11" i="38" s="1"/>
  <c r="U11" i="38" s="1"/>
  <c r="A11" i="38"/>
  <c r="Q11" i="38" s="1"/>
  <c r="T11" i="38" s="1"/>
  <c r="L10" i="38"/>
  <c r="L46" i="38" s="1"/>
  <c r="K10" i="38"/>
  <c r="K46" i="38" s="1"/>
  <c r="J10" i="38"/>
  <c r="J46" i="38" s="1"/>
  <c r="I10" i="38"/>
  <c r="I46" i="38" s="1"/>
  <c r="H10" i="38"/>
  <c r="H46" i="38" s="1"/>
  <c r="G10" i="38"/>
  <c r="G46" i="38" s="1"/>
  <c r="F10" i="38"/>
  <c r="E10" i="38"/>
  <c r="D10" i="38"/>
  <c r="C10" i="38"/>
  <c r="S10" i="38" s="1"/>
  <c r="V10" i="38" s="1"/>
  <c r="B10" i="38"/>
  <c r="R10" i="38" s="1"/>
  <c r="U10" i="38" s="1"/>
  <c r="A10" i="38"/>
  <c r="Q10" i="38" s="1"/>
  <c r="T10" i="38" s="1"/>
  <c r="L9" i="38"/>
  <c r="L42" i="38" s="1"/>
  <c r="K9" i="38"/>
  <c r="K42" i="38" s="1"/>
  <c r="J9" i="38"/>
  <c r="J42" i="38" s="1"/>
  <c r="I9" i="38"/>
  <c r="I42" i="38" s="1"/>
  <c r="H9" i="38"/>
  <c r="H42" i="38" s="1"/>
  <c r="G9" i="38"/>
  <c r="G42" i="38" s="1"/>
  <c r="F9" i="38"/>
  <c r="E9" i="38"/>
  <c r="D9" i="38"/>
  <c r="C9" i="38"/>
  <c r="S9" i="38" s="1"/>
  <c r="V9" i="38" s="1"/>
  <c r="B9" i="38"/>
  <c r="R9" i="38" s="1"/>
  <c r="U9" i="38" s="1"/>
  <c r="A9" i="38"/>
  <c r="Q9" i="38" s="1"/>
  <c r="T9" i="38" s="1"/>
  <c r="L8" i="38"/>
  <c r="L38" i="38" s="1"/>
  <c r="K8" i="38"/>
  <c r="K38" i="38" s="1"/>
  <c r="J8" i="38"/>
  <c r="J38" i="38" s="1"/>
  <c r="I8" i="38"/>
  <c r="I38" i="38" s="1"/>
  <c r="H8" i="38"/>
  <c r="H38" i="38" s="1"/>
  <c r="G8" i="38"/>
  <c r="G38" i="38" s="1"/>
  <c r="F8" i="38"/>
  <c r="E8" i="38"/>
  <c r="D8" i="38"/>
  <c r="C8" i="38"/>
  <c r="S8" i="38" s="1"/>
  <c r="V8" i="38" s="1"/>
  <c r="B8" i="38"/>
  <c r="R8" i="38" s="1"/>
  <c r="U8" i="38" s="1"/>
  <c r="A8" i="38"/>
  <c r="Q8" i="38" s="1"/>
  <c r="T8" i="38" s="1"/>
  <c r="L7" i="38"/>
  <c r="L34" i="38" s="1"/>
  <c r="K7" i="38"/>
  <c r="K34" i="38" s="1"/>
  <c r="J7" i="38"/>
  <c r="J34" i="38" s="1"/>
  <c r="I7" i="38"/>
  <c r="I34" i="38" s="1"/>
  <c r="H7" i="38"/>
  <c r="H34" i="38" s="1"/>
  <c r="G7" i="38"/>
  <c r="G34" i="38" s="1"/>
  <c r="F7" i="38"/>
  <c r="E7" i="38"/>
  <c r="D7" i="38"/>
  <c r="C7" i="38"/>
  <c r="S7" i="38" s="1"/>
  <c r="V7" i="38" s="1"/>
  <c r="B7" i="38"/>
  <c r="R7" i="38" s="1"/>
  <c r="U7" i="38" s="1"/>
  <c r="A7" i="38"/>
  <c r="Q7" i="38" s="1"/>
  <c r="T7" i="38" s="1"/>
  <c r="L6" i="38"/>
  <c r="L30" i="38" s="1"/>
  <c r="K6" i="38"/>
  <c r="K30" i="38" s="1"/>
  <c r="J6" i="38"/>
  <c r="J30" i="38" s="1"/>
  <c r="I6" i="38"/>
  <c r="I30" i="38" s="1"/>
  <c r="H6" i="38"/>
  <c r="H30" i="38" s="1"/>
  <c r="G6" i="38"/>
  <c r="G30" i="38" s="1"/>
  <c r="F6" i="38"/>
  <c r="E6" i="38"/>
  <c r="D6" i="38"/>
  <c r="C6" i="38"/>
  <c r="S6" i="38" s="1"/>
  <c r="V6" i="38" s="1"/>
  <c r="B6" i="38"/>
  <c r="R6" i="38" s="1"/>
  <c r="U6" i="38" s="1"/>
  <c r="A6" i="38"/>
  <c r="Q6" i="38" s="1"/>
  <c r="T6" i="38" s="1"/>
  <c r="L5" i="38"/>
  <c r="L26" i="38" s="1"/>
  <c r="K5" i="38"/>
  <c r="K26" i="38" s="1"/>
  <c r="J5" i="38"/>
  <c r="J26" i="38" s="1"/>
  <c r="I5" i="38"/>
  <c r="I26" i="38" s="1"/>
  <c r="H5" i="38"/>
  <c r="H26" i="38" s="1"/>
  <c r="G5" i="38"/>
  <c r="G26" i="38" s="1"/>
  <c r="F5" i="38"/>
  <c r="E5" i="38"/>
  <c r="D5" i="38"/>
  <c r="C5" i="38"/>
  <c r="S5" i="38" s="1"/>
  <c r="V5" i="38" s="1"/>
  <c r="B5" i="38"/>
  <c r="R5" i="38" s="1"/>
  <c r="U5" i="38" s="1"/>
  <c r="A5" i="38"/>
  <c r="Q5" i="38" s="1"/>
  <c r="T5" i="38" s="1"/>
  <c r="L4" i="38"/>
  <c r="L22" i="38" s="1"/>
  <c r="K4" i="38"/>
  <c r="K22" i="38" s="1"/>
  <c r="J4" i="38"/>
  <c r="J22" i="38" s="1"/>
  <c r="I4" i="38"/>
  <c r="I22" i="38" s="1"/>
  <c r="H4" i="38"/>
  <c r="H22" i="38" s="1"/>
  <c r="G4" i="38"/>
  <c r="G22" i="38" s="1"/>
  <c r="F4" i="38"/>
  <c r="F22" i="38" s="1"/>
  <c r="E4" i="38"/>
  <c r="E22" i="38" s="1"/>
  <c r="D4" i="38"/>
  <c r="D22" i="38" s="1"/>
  <c r="C4" i="38"/>
  <c r="S4" i="38" s="1"/>
  <c r="B4" i="38"/>
  <c r="R4" i="38" s="1"/>
  <c r="A4" i="38"/>
  <c r="Q4" i="38" s="1"/>
  <c r="L12" i="37"/>
  <c r="K12" i="37"/>
  <c r="J12" i="37"/>
  <c r="I12" i="37"/>
  <c r="H12" i="37"/>
  <c r="G12" i="37"/>
  <c r="F12" i="37"/>
  <c r="E12" i="37"/>
  <c r="D12" i="37"/>
  <c r="C12" i="37"/>
  <c r="S12" i="37" s="1"/>
  <c r="V12" i="37" s="1"/>
  <c r="B12" i="37"/>
  <c r="R12" i="37" s="1"/>
  <c r="U12" i="37" s="1"/>
  <c r="A12" i="37"/>
  <c r="Q12" i="37" s="1"/>
  <c r="T12" i="37" s="1"/>
  <c r="L11" i="37"/>
  <c r="K11" i="37"/>
  <c r="J11" i="37"/>
  <c r="I11" i="37"/>
  <c r="H11" i="37"/>
  <c r="G11" i="37"/>
  <c r="F11" i="37"/>
  <c r="E11" i="37"/>
  <c r="D11" i="37"/>
  <c r="C11" i="37"/>
  <c r="S11" i="37" s="1"/>
  <c r="V11" i="37" s="1"/>
  <c r="B11" i="37"/>
  <c r="R11" i="37" s="1"/>
  <c r="U11" i="37" s="1"/>
  <c r="A11" i="37"/>
  <c r="Q11" i="37" s="1"/>
  <c r="T11" i="37" s="1"/>
  <c r="L10" i="37"/>
  <c r="K10" i="37"/>
  <c r="J10" i="37"/>
  <c r="I10" i="37"/>
  <c r="H10" i="37"/>
  <c r="G10" i="37"/>
  <c r="F10" i="37"/>
  <c r="E10" i="37"/>
  <c r="D10" i="37"/>
  <c r="C10" i="37"/>
  <c r="S10" i="37" s="1"/>
  <c r="V10" i="37" s="1"/>
  <c r="B10" i="37"/>
  <c r="R10" i="37" s="1"/>
  <c r="U10" i="37" s="1"/>
  <c r="A10" i="37"/>
  <c r="Q10" i="37" s="1"/>
  <c r="T10" i="37" s="1"/>
  <c r="L9" i="37"/>
  <c r="K9" i="37"/>
  <c r="J9" i="37"/>
  <c r="I9" i="37"/>
  <c r="H9" i="37"/>
  <c r="G9" i="37"/>
  <c r="F9" i="37"/>
  <c r="E9" i="37"/>
  <c r="D9" i="37"/>
  <c r="C9" i="37"/>
  <c r="S9" i="37" s="1"/>
  <c r="V9" i="37" s="1"/>
  <c r="B9" i="37"/>
  <c r="R9" i="37" s="1"/>
  <c r="U9" i="37" s="1"/>
  <c r="A9" i="37"/>
  <c r="Q9" i="37" s="1"/>
  <c r="T9" i="37" s="1"/>
  <c r="L8" i="37"/>
  <c r="K8" i="37"/>
  <c r="J8" i="37"/>
  <c r="I8" i="37"/>
  <c r="H8" i="37"/>
  <c r="G8" i="37"/>
  <c r="F8" i="37"/>
  <c r="E8" i="37"/>
  <c r="D8" i="37"/>
  <c r="C8" i="37"/>
  <c r="S8" i="37" s="1"/>
  <c r="V8" i="37" s="1"/>
  <c r="B8" i="37"/>
  <c r="R8" i="37" s="1"/>
  <c r="U8" i="37" s="1"/>
  <c r="A8" i="37"/>
  <c r="Q8" i="37" s="1"/>
  <c r="T8" i="37" s="1"/>
  <c r="L7" i="37"/>
  <c r="K7" i="37"/>
  <c r="J7" i="37"/>
  <c r="I7" i="37"/>
  <c r="H7" i="37"/>
  <c r="G7" i="37"/>
  <c r="F7" i="37"/>
  <c r="E7" i="37"/>
  <c r="D7" i="37"/>
  <c r="C7" i="37"/>
  <c r="S7" i="37" s="1"/>
  <c r="V7" i="37" s="1"/>
  <c r="B7" i="37"/>
  <c r="R7" i="37" s="1"/>
  <c r="U7" i="37" s="1"/>
  <c r="A7" i="37"/>
  <c r="Q7" i="37" s="1"/>
  <c r="T7" i="37" s="1"/>
  <c r="L6" i="37"/>
  <c r="K6" i="37"/>
  <c r="J6" i="37"/>
  <c r="I6" i="37"/>
  <c r="H6" i="37"/>
  <c r="G6" i="37"/>
  <c r="F6" i="37"/>
  <c r="E6" i="37"/>
  <c r="D6" i="37"/>
  <c r="C6" i="37"/>
  <c r="S6" i="37" s="1"/>
  <c r="V6" i="37" s="1"/>
  <c r="B6" i="37"/>
  <c r="R6" i="37" s="1"/>
  <c r="U6" i="37" s="1"/>
  <c r="A6" i="37"/>
  <c r="Q6" i="37" s="1"/>
  <c r="T6" i="37" s="1"/>
  <c r="L5" i="37"/>
  <c r="K5" i="37"/>
  <c r="J5" i="37"/>
  <c r="I5" i="37"/>
  <c r="H5" i="37"/>
  <c r="G5" i="37"/>
  <c r="F5" i="37"/>
  <c r="E5" i="37"/>
  <c r="D5" i="37"/>
  <c r="C5" i="37"/>
  <c r="S5" i="37" s="1"/>
  <c r="V5" i="37" s="1"/>
  <c r="B5" i="37"/>
  <c r="R5" i="37" s="1"/>
  <c r="U5" i="37" s="1"/>
  <c r="A5" i="37"/>
  <c r="Q5" i="37" s="1"/>
  <c r="T5" i="37" s="1"/>
  <c r="L4" i="37"/>
  <c r="K4" i="37"/>
  <c r="J4" i="37"/>
  <c r="I4" i="37"/>
  <c r="H4" i="37"/>
  <c r="G4" i="37"/>
  <c r="F4" i="37"/>
  <c r="E4" i="37"/>
  <c r="D4" i="37"/>
  <c r="C4" i="37"/>
  <c r="S4" i="37" s="1"/>
  <c r="V4" i="37" s="1"/>
  <c r="B4" i="37"/>
  <c r="R4" i="37" s="1"/>
  <c r="U4" i="37" s="1"/>
  <c r="A4" i="37"/>
  <c r="Q4" i="37" s="1"/>
  <c r="T4" i="37" s="1"/>
  <c r="L3" i="37"/>
  <c r="K3" i="37"/>
  <c r="J3" i="37"/>
  <c r="I3" i="37"/>
  <c r="H3" i="37"/>
  <c r="G3" i="37"/>
  <c r="F3" i="37"/>
  <c r="E3" i="37"/>
  <c r="D3" i="37"/>
  <c r="C3" i="37"/>
  <c r="S3" i="37" s="1"/>
  <c r="V3" i="37" s="1"/>
  <c r="B3" i="37"/>
  <c r="R3" i="37" s="1"/>
  <c r="U3" i="37" s="1"/>
  <c r="A3" i="37"/>
  <c r="Q3" i="37" s="1"/>
  <c r="T3" i="37" s="1"/>
  <c r="A3" i="19"/>
  <c r="B3" i="19"/>
  <c r="C3" i="19"/>
  <c r="D3" i="19"/>
  <c r="D21" i="19" s="1"/>
  <c r="D24" i="19" s="1"/>
  <c r="E3" i="19"/>
  <c r="E21" i="19" s="1"/>
  <c r="E24" i="19" s="1"/>
  <c r="F3" i="19"/>
  <c r="F21" i="19" s="1"/>
  <c r="F24" i="19" s="1"/>
  <c r="G3" i="19"/>
  <c r="G21" i="19" s="1"/>
  <c r="H3" i="19"/>
  <c r="H21" i="19" s="1"/>
  <c r="I3" i="19"/>
  <c r="I21" i="19" s="1"/>
  <c r="J3" i="19"/>
  <c r="J21" i="19" s="1"/>
  <c r="K3" i="19"/>
  <c r="K21" i="19" s="1"/>
  <c r="L3" i="19"/>
  <c r="L21" i="19" s="1"/>
  <c r="A4" i="19"/>
  <c r="B4" i="19"/>
  <c r="C4" i="19"/>
  <c r="D4" i="19"/>
  <c r="E4" i="19"/>
  <c r="F4" i="19"/>
  <c r="G4" i="19"/>
  <c r="G25" i="19" s="1"/>
  <c r="H4" i="19"/>
  <c r="H25" i="19" s="1"/>
  <c r="I4" i="19"/>
  <c r="I25" i="19" s="1"/>
  <c r="J4" i="19"/>
  <c r="J25" i="19" s="1"/>
  <c r="K4" i="19"/>
  <c r="K25" i="19" s="1"/>
  <c r="L4" i="19"/>
  <c r="L25" i="19" s="1"/>
  <c r="A5" i="19"/>
  <c r="B5" i="19"/>
  <c r="C5" i="19"/>
  <c r="D5" i="19"/>
  <c r="E5" i="19"/>
  <c r="F5" i="19"/>
  <c r="G5" i="19"/>
  <c r="G29" i="19" s="1"/>
  <c r="H5" i="19"/>
  <c r="H29" i="19" s="1"/>
  <c r="I5" i="19"/>
  <c r="I29" i="19" s="1"/>
  <c r="J5" i="19"/>
  <c r="J29" i="19" s="1"/>
  <c r="K5" i="19"/>
  <c r="K29" i="19" s="1"/>
  <c r="L5" i="19"/>
  <c r="L29" i="19" s="1"/>
  <c r="A6" i="19"/>
  <c r="B6" i="19"/>
  <c r="C6" i="19"/>
  <c r="D6" i="19"/>
  <c r="E6" i="19"/>
  <c r="F6" i="19"/>
  <c r="G6" i="19"/>
  <c r="G33" i="19" s="1"/>
  <c r="H6" i="19"/>
  <c r="H33" i="19" s="1"/>
  <c r="I6" i="19"/>
  <c r="I33" i="19" s="1"/>
  <c r="J6" i="19"/>
  <c r="J33" i="19" s="1"/>
  <c r="K6" i="19"/>
  <c r="K33" i="19" s="1"/>
  <c r="L6" i="19"/>
  <c r="L33" i="19" s="1"/>
  <c r="A7" i="19"/>
  <c r="B7" i="19"/>
  <c r="C7" i="19"/>
  <c r="D7" i="19"/>
  <c r="E7" i="19"/>
  <c r="F7" i="19"/>
  <c r="G7" i="19"/>
  <c r="G37" i="19" s="1"/>
  <c r="H7" i="19"/>
  <c r="H37" i="19" s="1"/>
  <c r="I7" i="19"/>
  <c r="I37" i="19" s="1"/>
  <c r="J7" i="19"/>
  <c r="J37" i="19" s="1"/>
  <c r="K7" i="19"/>
  <c r="K37" i="19" s="1"/>
  <c r="L7" i="19"/>
  <c r="L37" i="19" s="1"/>
  <c r="A8" i="19"/>
  <c r="B8" i="19"/>
  <c r="C8" i="19"/>
  <c r="D8" i="19"/>
  <c r="E8" i="19"/>
  <c r="F8" i="19"/>
  <c r="G8" i="19"/>
  <c r="G41" i="19" s="1"/>
  <c r="H8" i="19"/>
  <c r="H41" i="19" s="1"/>
  <c r="I8" i="19"/>
  <c r="I41" i="19" s="1"/>
  <c r="J8" i="19"/>
  <c r="J41" i="19" s="1"/>
  <c r="K8" i="19"/>
  <c r="K41" i="19" s="1"/>
  <c r="L8" i="19"/>
  <c r="L41" i="19" s="1"/>
  <c r="A9" i="19"/>
  <c r="B9" i="19"/>
  <c r="C9" i="19"/>
  <c r="D9" i="19"/>
  <c r="E9" i="19"/>
  <c r="F9" i="19"/>
  <c r="G9" i="19"/>
  <c r="G45" i="19" s="1"/>
  <c r="H9" i="19"/>
  <c r="H45" i="19" s="1"/>
  <c r="I9" i="19"/>
  <c r="I45" i="19" s="1"/>
  <c r="J9" i="19"/>
  <c r="J45" i="19" s="1"/>
  <c r="K9" i="19"/>
  <c r="K45" i="19" s="1"/>
  <c r="L9" i="19"/>
  <c r="L45" i="19" s="1"/>
  <c r="A10" i="19"/>
  <c r="B10" i="19"/>
  <c r="C10" i="19"/>
  <c r="D10" i="19"/>
  <c r="E10" i="19"/>
  <c r="F10" i="19"/>
  <c r="G10" i="19"/>
  <c r="G49" i="19" s="1"/>
  <c r="H10" i="19"/>
  <c r="H49" i="19" s="1"/>
  <c r="I10" i="19"/>
  <c r="I49" i="19" s="1"/>
  <c r="J10" i="19"/>
  <c r="J49" i="19" s="1"/>
  <c r="K10" i="19"/>
  <c r="K49" i="19" s="1"/>
  <c r="L10" i="19"/>
  <c r="L49" i="19" s="1"/>
  <c r="A11" i="19"/>
  <c r="B11" i="19"/>
  <c r="C11" i="19"/>
  <c r="D11" i="19"/>
  <c r="E11" i="19"/>
  <c r="F11" i="19"/>
  <c r="G11" i="19"/>
  <c r="G53" i="19" s="1"/>
  <c r="H11" i="19"/>
  <c r="H53" i="19" s="1"/>
  <c r="I11" i="19"/>
  <c r="I53" i="19" s="1"/>
  <c r="J11" i="19"/>
  <c r="J53" i="19" s="1"/>
  <c r="K11" i="19"/>
  <c r="K53" i="19" s="1"/>
  <c r="L11" i="19"/>
  <c r="L53" i="19" s="1"/>
  <c r="A12" i="19"/>
  <c r="B12" i="19"/>
  <c r="C12" i="19"/>
  <c r="D12" i="19"/>
  <c r="E12" i="19"/>
  <c r="F12" i="19"/>
  <c r="G12" i="19"/>
  <c r="G57" i="19" s="1"/>
  <c r="H12" i="19"/>
  <c r="H57" i="19" s="1"/>
  <c r="I12" i="19"/>
  <c r="I57" i="19" s="1"/>
  <c r="J12" i="19"/>
  <c r="J57" i="19" s="1"/>
  <c r="K12" i="19"/>
  <c r="K57" i="19" s="1"/>
  <c r="L12" i="19"/>
  <c r="L57" i="19" s="1"/>
  <c r="C4" i="12"/>
  <c r="C5" i="12"/>
  <c r="C6" i="12"/>
  <c r="C7" i="12"/>
  <c r="C8" i="12"/>
  <c r="C9" i="12"/>
  <c r="C10" i="12"/>
  <c r="C11" i="12"/>
  <c r="C12" i="12"/>
  <c r="C3" i="12"/>
  <c r="T4" i="38" l="1"/>
  <c r="W5" i="38" a="1"/>
  <c r="W5" i="38" s="1"/>
  <c r="U4" i="38"/>
  <c r="X5" i="38" a="1"/>
  <c r="X5" i="38" s="1"/>
  <c r="V4" i="38"/>
  <c r="Y5" i="38" a="1"/>
  <c r="Y5" i="38" s="1"/>
  <c r="V3" i="39"/>
  <c r="U3" i="39"/>
  <c r="T3" i="39"/>
  <c r="T7" i="39"/>
  <c r="U7" i="39"/>
  <c r="V7" i="39"/>
  <c r="D22" i="19"/>
  <c r="F22" i="19"/>
  <c r="F23" i="19"/>
  <c r="E23" i="19"/>
  <c r="D23" i="19"/>
  <c r="E22" i="19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X12" i="12" l="1"/>
  <c r="W12" i="12"/>
  <c r="V12" i="12"/>
  <c r="U12" i="12"/>
  <c r="T12" i="12"/>
  <c r="S12" i="12"/>
  <c r="X11" i="12"/>
  <c r="W11" i="12"/>
  <c r="V11" i="12"/>
  <c r="U11" i="12"/>
  <c r="T11" i="12"/>
  <c r="S11" i="12"/>
  <c r="X10" i="12"/>
  <c r="W10" i="12"/>
  <c r="V10" i="12"/>
  <c r="U10" i="12"/>
  <c r="T10" i="12"/>
  <c r="S10" i="12"/>
  <c r="X9" i="12"/>
  <c r="W9" i="12"/>
  <c r="V9" i="12"/>
  <c r="U9" i="12"/>
  <c r="T9" i="12"/>
  <c r="S9" i="12"/>
  <c r="X8" i="12"/>
  <c r="W8" i="12"/>
  <c r="V8" i="12"/>
  <c r="U8" i="12"/>
  <c r="T8" i="12"/>
  <c r="S8" i="12"/>
  <c r="X7" i="12"/>
  <c r="W7" i="12"/>
  <c r="V7" i="12"/>
  <c r="U7" i="12"/>
  <c r="T7" i="12"/>
  <c r="S7" i="12"/>
  <c r="X6" i="12"/>
  <c r="W6" i="12"/>
  <c r="V6" i="12"/>
  <c r="U6" i="12"/>
  <c r="T6" i="12"/>
  <c r="S6" i="12"/>
  <c r="X5" i="12"/>
  <c r="W5" i="12"/>
  <c r="V5" i="12"/>
  <c r="U5" i="12"/>
  <c r="T5" i="12"/>
  <c r="S5" i="12"/>
  <c r="X4" i="12"/>
  <c r="W4" i="12"/>
  <c r="V4" i="12"/>
  <c r="U4" i="12"/>
  <c r="T4" i="12"/>
  <c r="S4" i="12"/>
  <c r="X3" i="12"/>
  <c r="W3" i="12"/>
  <c r="V3" i="12"/>
  <c r="U3" i="12"/>
  <c r="T3" i="12"/>
  <c r="S3" i="12"/>
  <c r="Q4" i="19" l="1"/>
  <c r="T4" i="19" s="1"/>
  <c r="R4" i="19"/>
  <c r="U4" i="19" s="1"/>
  <c r="S4" i="19"/>
  <c r="V4" i="19" s="1"/>
  <c r="Q5" i="19"/>
  <c r="T5" i="19" s="1"/>
  <c r="R5" i="19"/>
  <c r="U5" i="19" s="1"/>
  <c r="S5" i="19"/>
  <c r="V5" i="19" s="1"/>
  <c r="Q6" i="19"/>
  <c r="T6" i="19" s="1"/>
  <c r="R6" i="19"/>
  <c r="U6" i="19" s="1"/>
  <c r="S6" i="19"/>
  <c r="V6" i="19" s="1"/>
  <c r="Q7" i="19"/>
  <c r="T7" i="19" s="1"/>
  <c r="R7" i="19"/>
  <c r="U7" i="19" s="1"/>
  <c r="S7" i="19"/>
  <c r="V7" i="19" s="1"/>
  <c r="Q8" i="19"/>
  <c r="T8" i="19" s="1"/>
  <c r="R8" i="19"/>
  <c r="U8" i="19" s="1"/>
  <c r="S8" i="19"/>
  <c r="V8" i="19" s="1"/>
  <c r="Q9" i="19"/>
  <c r="T9" i="19" s="1"/>
  <c r="R9" i="19"/>
  <c r="U9" i="19" s="1"/>
  <c r="S9" i="19"/>
  <c r="V9" i="19" s="1"/>
  <c r="Q10" i="19"/>
  <c r="T10" i="19" s="1"/>
  <c r="R10" i="19"/>
  <c r="U10" i="19" s="1"/>
  <c r="S10" i="19"/>
  <c r="V10" i="19" s="1"/>
  <c r="Q11" i="19"/>
  <c r="T11" i="19" s="1"/>
  <c r="R11" i="19"/>
  <c r="U11" i="19" s="1"/>
  <c r="S11" i="19"/>
  <c r="V11" i="19" s="1"/>
  <c r="Q12" i="19"/>
  <c r="T12" i="19" s="1"/>
  <c r="R12" i="19"/>
  <c r="U12" i="19" s="1"/>
  <c r="S12" i="19"/>
  <c r="V12" i="19" s="1"/>
  <c r="S3" i="19" l="1"/>
  <c r="V3" i="19" s="1"/>
  <c r="R3" i="19"/>
  <c r="U3" i="19" s="1"/>
  <c r="X4" i="19" l="1" a="1"/>
  <c r="X4" i="19" s="1"/>
  <c r="Y4" i="19" a="1"/>
  <c r="Y4" i="19" s="1"/>
  <c r="Q3" i="19"/>
  <c r="T3" i="19" l="1"/>
  <c r="W4" i="19" a="1"/>
  <c r="W4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<sst xmlns="http://schemas.openxmlformats.org/spreadsheetml/2006/main" count="460" uniqueCount="47">
  <si>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</si>
  <si>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</si>
  <si>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</si>
  <si>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</si>
  <si>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</si>
  <si>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</si>
  <si>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</si>
  <si>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</si>
  <si>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</si>
  <si>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</si>
  <si>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</si>
  <si>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</si>
  <si>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</si>
  <si>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</si>
  <si>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</si>
  <si>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</si>
  <si>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</si>
  <si>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</si>
  <si>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</si>
  <si>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</si>
  <si>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</si>
  <si>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</si>
  <si>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</si>
  <si>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</si>
  <si>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</si>
  <si>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</si>
  <si>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Absolute Mean Error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</si>
  <si>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</si>
  <si>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</si>
  <si>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</si>
  <si>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</si>
  <si>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</si>
  <si>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</si>
  <si>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</si>
  <si>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F (N)</t>
  </si>
  <si>
    <t>s (m)</t>
  </si>
  <si>
    <t>theta (rad)</t>
  </si>
  <si>
    <t>{</t>
  </si>
  <si>
    <t>}</t>
  </si>
  <si>
    <t>SoRoSim get_distal_value (lambda = 0.5)</t>
  </si>
  <si>
    <t>ABS Distal Errors</t>
  </si>
  <si>
    <t>SoRoSim get_distal_value (lambda = 1)</t>
  </si>
  <si>
    <t>3 Perturbations</t>
  </si>
  <si>
    <t>3 Perturbation (relative only)</t>
  </si>
  <si>
    <t>SoRoSim get_distal_value (3 Perturbations)</t>
  </si>
  <si>
    <t>SoRoSim get_distal_value (2 Perturbations)</t>
  </si>
  <si>
    <t>SoRoSim get_distal_value (1 Perturbations)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</si>
</sst>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36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0" fillId="0" borderId="1" xfId="0" applyBorder="1"/>
    <xf numFmtId="165" fontId="0" fillId="0" borderId="0" xfId="0" applyNumberFormat="1"/>
    <xf numFmtId="164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6" fontId="0" fillId="0" borderId="0" xfId="0" applyNumberFormat="1" applyAlignment="1">
      <alignment horizontal="left"/>
    </xf>
    <xf numFmtId="164" fontId="4" fillId="10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0" xfId="0"/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X14"/>
  <sheetViews>
    <sheetView workbookViewId="0">
      <selection activeCell="A3" sqref="A3:L12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9.5703125" bestFit="1" customWidth="1"/>
    <col min="14" max="14" width="8.5703125" bestFit="1" customWidth="1"/>
    <col min="15" max="18" width="9.28515625" bestFit="1" customWidth="1"/>
    <col min="19" max="20" width="8.140625" bestFit="1" customWidth="1"/>
    <col min="21" max="21" width="7.7109375" bestFit="1" customWidth="1"/>
    <col min="22" max="24" width="7.28515625" bestFit="1" customWidth="1"/>
  </cols>
  <sheetData>
    <row r="1" spans="1:24" ht="16.5" customHeight="1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19" t="s">
        <v>12</v>
      </c>
      <c r="N1" s="20"/>
      <c r="O1" s="20"/>
      <c r="P1" s="20"/>
      <c r="Q1" s="20"/>
      <c r="R1" s="20"/>
      <c r="S1" s="21" t="s">
        <v>14</v>
      </c>
      <c r="T1" s="22"/>
      <c r="U1" s="22"/>
      <c r="V1" s="22"/>
      <c r="W1" s="22"/>
      <c r="X1" s="23"/>
    </row>
    <row r="2" spans="1:24" ht="16.5" customHeight="1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</v>
      </c>
      <c r="N2" s="1" t="s">
        <v>4</v>
      </c>
      <c r="O2" s="1" t="s">
        <v>5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0</v>
      </c>
      <c r="W2" s="1" t="s">
        <v>1</v>
      </c>
      <c r="X2" s="1" t="s">
        <v>2</v>
      </c>
    </row>
    <row r="3" spans="1:24" s="5" customFormat="1" ht="16.5" customHeight="1" x14ac:dyDescent="0.25">
      <c r="A3" s="14">
        <v>0.4</v>
      </c>
      <c r="B3" s="14">
        <v>0.06</v>
      </c>
      <c r="C3" s="14">
        <f>PI()/2</f>
        <v>1.5707963267948966</v>
      </c>
      <c r="D3" s="14">
        <v>0</v>
      </c>
      <c r="E3" s="14">
        <v>0</v>
      </c>
      <c r="F3" s="14">
        <v>0</v>
      </c>
      <c r="G3" s="5">
        <v>-4.37921960838139E-4</v>
      </c>
      <c r="H3" s="5">
        <v>-5.4464954882860198E-2</v>
      </c>
      <c r="I3" s="5">
        <v>-2.8745096642523999E-4</v>
      </c>
      <c r="J3" s="5">
        <v>-2.13129706680775E-2</v>
      </c>
      <c r="K3" s="5">
        <v>1.85158103704453E-4</v>
      </c>
      <c r="L3" s="5">
        <v>0.34822303056716902</v>
      </c>
      <c r="S3" s="5">
        <f>G3-M3</f>
        <v>-4.37921960838139E-4</v>
      </c>
      <c r="T3" s="5">
        <f t="shared" ref="T3:X3" si="0">H3-N3</f>
        <v>-5.4464954882860198E-2</v>
      </c>
      <c r="U3" s="5">
        <f t="shared" si="0"/>
        <v>-2.8745096642523999E-4</v>
      </c>
      <c r="V3" s="5">
        <f t="shared" si="0"/>
        <v>-2.13129706680775E-2</v>
      </c>
      <c r="W3" s="5">
        <f t="shared" si="0"/>
        <v>1.85158103704453E-4</v>
      </c>
      <c r="X3" s="5">
        <f t="shared" si="0"/>
        <v>0.34822303056716902</v>
      </c>
    </row>
    <row r="4" spans="1:24" s="5" customFormat="1" ht="16.5" customHeight="1" x14ac:dyDescent="0.25">
      <c r="A4" s="14">
        <v>0.8</v>
      </c>
      <c r="B4" s="14">
        <v>0.06</v>
      </c>
      <c r="C4" s="14">
        <f t="shared" ref="C4:C12" si="1">PI()/2</f>
        <v>1.5707963267948966</v>
      </c>
      <c r="D4" s="14">
        <v>0</v>
      </c>
      <c r="E4" s="14">
        <v>0</v>
      </c>
      <c r="F4" s="14">
        <v>0</v>
      </c>
      <c r="G4" s="5">
        <v>-1.2904058676213E-3</v>
      </c>
      <c r="H4" s="5">
        <v>-0.130890563130379</v>
      </c>
      <c r="I4" s="5">
        <v>-5.0724833272397496E-4</v>
      </c>
      <c r="J4" s="5">
        <v>-0.12710034847259499</v>
      </c>
      <c r="K4" s="5">
        <v>3.3702701330184902E-3</v>
      </c>
      <c r="L4" s="5">
        <v>0.83409011363983199</v>
      </c>
      <c r="S4" s="5">
        <f t="shared" ref="S4:S12" si="2">G4-M4</f>
        <v>-1.2904058676213E-3</v>
      </c>
      <c r="T4" s="5">
        <f t="shared" ref="T4:T12" si="3">H4-N4</f>
        <v>-0.130890563130379</v>
      </c>
      <c r="U4" s="5">
        <f t="shared" ref="U4:U12" si="4">I4-O4</f>
        <v>-5.0724833272397496E-4</v>
      </c>
      <c r="V4" s="5">
        <f t="shared" ref="V4:V12" si="5">J4-P4</f>
        <v>-0.12710034847259499</v>
      </c>
      <c r="W4" s="5">
        <f t="shared" ref="W4:W12" si="6">K4-Q4</f>
        <v>3.3702701330184902E-3</v>
      </c>
      <c r="X4" s="5">
        <f t="shared" ref="X4:X12" si="7">L4-R4</f>
        <v>0.83409011363983199</v>
      </c>
    </row>
    <row r="5" spans="1:24" s="5" customFormat="1" ht="16.5" customHeight="1" x14ac:dyDescent="0.25">
      <c r="A5" s="14">
        <v>0.3</v>
      </c>
      <c r="B5" s="14">
        <v>0.08</v>
      </c>
      <c r="C5" s="14">
        <f t="shared" si="1"/>
        <v>1.5707963267948966</v>
      </c>
      <c r="D5" s="14">
        <v>0</v>
      </c>
      <c r="E5" s="14">
        <v>0</v>
      </c>
      <c r="F5" s="14">
        <v>0</v>
      </c>
      <c r="G5" s="5">
        <v>-4.4532003812491899E-4</v>
      </c>
      <c r="H5" s="5">
        <v>-4.79050725698471E-2</v>
      </c>
      <c r="I5" s="5">
        <v>-1.45487196277827E-4</v>
      </c>
      <c r="J5" s="5">
        <v>-1.52218556031585E-2</v>
      </c>
      <c r="K5" s="5">
        <v>-1.61819159984589E-4</v>
      </c>
      <c r="L5" s="5">
        <v>0.269099742174149</v>
      </c>
      <c r="S5" s="5">
        <f t="shared" si="2"/>
        <v>-4.4532003812491899E-4</v>
      </c>
      <c r="T5" s="5">
        <f t="shared" si="3"/>
        <v>-4.79050725698471E-2</v>
      </c>
      <c r="U5" s="5">
        <f t="shared" si="4"/>
        <v>-1.45487196277827E-4</v>
      </c>
      <c r="V5" s="5">
        <f t="shared" si="5"/>
        <v>-1.52218556031585E-2</v>
      </c>
      <c r="W5" s="5">
        <f t="shared" si="6"/>
        <v>-1.61819159984589E-4</v>
      </c>
      <c r="X5" s="5">
        <f t="shared" si="7"/>
        <v>0.269099742174149</v>
      </c>
    </row>
    <row r="6" spans="1:24" s="5" customFormat="1" ht="16.5" customHeight="1" x14ac:dyDescent="0.25">
      <c r="A6" s="14">
        <v>0.5</v>
      </c>
      <c r="B6" s="14">
        <v>0.1</v>
      </c>
      <c r="C6" s="14">
        <f t="shared" si="1"/>
        <v>1.5707963267948966</v>
      </c>
      <c r="D6" s="14">
        <v>0</v>
      </c>
      <c r="E6" s="14">
        <v>0</v>
      </c>
      <c r="F6" s="14">
        <v>0</v>
      </c>
      <c r="G6" s="5">
        <v>-1.1705639772117101E-3</v>
      </c>
      <c r="H6" s="5">
        <v>-9.4456188380718203E-2</v>
      </c>
      <c r="I6" s="5">
        <v>-1.20323454029858E-3</v>
      </c>
      <c r="J6" s="5">
        <v>-0.111187651753426</v>
      </c>
      <c r="K6" s="5">
        <v>-3.2553412020206499E-3</v>
      </c>
      <c r="L6" s="5">
        <v>0.47075057029724099</v>
      </c>
      <c r="S6" s="5">
        <f t="shared" si="2"/>
        <v>-1.1705639772117101E-3</v>
      </c>
      <c r="T6" s="5">
        <f t="shared" si="3"/>
        <v>-9.4456188380718203E-2</v>
      </c>
      <c r="U6" s="5">
        <f t="shared" si="4"/>
        <v>-1.20323454029858E-3</v>
      </c>
      <c r="V6" s="5">
        <f t="shared" si="5"/>
        <v>-0.111187651753426</v>
      </c>
      <c r="W6" s="5">
        <f t="shared" si="6"/>
        <v>-3.2553412020206499E-3</v>
      </c>
      <c r="X6" s="5">
        <f t="shared" si="7"/>
        <v>0.47075057029724099</v>
      </c>
    </row>
    <row r="7" spans="1:24" s="5" customFormat="1" ht="16.5" customHeight="1" x14ac:dyDescent="0.25">
      <c r="A7" s="14">
        <v>0.7</v>
      </c>
      <c r="B7" s="14">
        <v>0.1</v>
      </c>
      <c r="C7" s="14">
        <f t="shared" si="1"/>
        <v>1.5707963267948966</v>
      </c>
      <c r="D7" s="14">
        <v>0</v>
      </c>
      <c r="E7" s="14">
        <v>0</v>
      </c>
      <c r="F7" s="14">
        <v>0</v>
      </c>
      <c r="G7" s="5">
        <v>-1.5179968904703901E-3</v>
      </c>
      <c r="H7" s="5">
        <v>-0.13914526998996701</v>
      </c>
      <c r="I7" s="5">
        <v>-1.6895274166017799E-3</v>
      </c>
      <c r="J7" s="5">
        <v>-0.208347618579865</v>
      </c>
      <c r="K7" s="5">
        <v>-2.6145353913307199E-3</v>
      </c>
      <c r="L7" s="5">
        <v>0.69233715534210205</v>
      </c>
      <c r="S7" s="5">
        <f t="shared" si="2"/>
        <v>-1.5179968904703901E-3</v>
      </c>
      <c r="T7" s="5">
        <f t="shared" si="3"/>
        <v>-0.13914526998996701</v>
      </c>
      <c r="U7" s="5">
        <f t="shared" si="4"/>
        <v>-1.6895274166017799E-3</v>
      </c>
      <c r="V7" s="5">
        <f t="shared" si="5"/>
        <v>-0.208347618579865</v>
      </c>
      <c r="W7" s="5">
        <f t="shared" si="6"/>
        <v>-2.6145353913307199E-3</v>
      </c>
      <c r="X7" s="5">
        <f t="shared" si="7"/>
        <v>0.69233715534210205</v>
      </c>
    </row>
    <row r="8" spans="1:24" s="5" customFormat="1" ht="16.5" customHeight="1" x14ac:dyDescent="0.25">
      <c r="A8" s="14">
        <v>0.4</v>
      </c>
      <c r="B8" s="14">
        <v>0.16</v>
      </c>
      <c r="C8" s="14">
        <f t="shared" si="1"/>
        <v>1.5707963267948966</v>
      </c>
      <c r="D8" s="14">
        <v>0</v>
      </c>
      <c r="E8" s="14">
        <v>0</v>
      </c>
      <c r="F8" s="14">
        <v>0</v>
      </c>
      <c r="G8" s="5">
        <v>-6.0909817693754998E-4</v>
      </c>
      <c r="H8" s="5">
        <v>-9.3464262783527402E-2</v>
      </c>
      <c r="I8" s="5">
        <v>-1.42273562960327E-3</v>
      </c>
      <c r="J8" s="5">
        <v>-0.183252438902855</v>
      </c>
      <c r="K8" s="5">
        <v>-1.30194798111916E-3</v>
      </c>
      <c r="L8" s="5">
        <v>0.33158546686172502</v>
      </c>
      <c r="S8" s="5">
        <f t="shared" si="2"/>
        <v>-6.0909817693754998E-4</v>
      </c>
      <c r="T8" s="5">
        <f t="shared" si="3"/>
        <v>-9.3464262783527402E-2</v>
      </c>
      <c r="U8" s="5">
        <f t="shared" si="4"/>
        <v>-1.42273562960327E-3</v>
      </c>
      <c r="V8" s="5">
        <f t="shared" si="5"/>
        <v>-0.183252438902855</v>
      </c>
      <c r="W8" s="5">
        <f t="shared" si="6"/>
        <v>-1.30194798111916E-3</v>
      </c>
      <c r="X8" s="5">
        <f t="shared" si="7"/>
        <v>0.33158546686172502</v>
      </c>
    </row>
    <row r="9" spans="1:24" s="5" customFormat="1" ht="16.5" customHeight="1" x14ac:dyDescent="0.25">
      <c r="A9" s="14">
        <v>0.6</v>
      </c>
      <c r="B9" s="14">
        <v>0.16</v>
      </c>
      <c r="C9" s="14">
        <f t="shared" si="1"/>
        <v>1.5707963267948966</v>
      </c>
      <c r="D9" s="14">
        <v>0</v>
      </c>
      <c r="E9" s="14">
        <v>0</v>
      </c>
      <c r="F9" s="14">
        <v>0</v>
      </c>
      <c r="G9" s="5">
        <v>-8.4166455781087301E-4</v>
      </c>
      <c r="H9" s="5">
        <v>-0.141347721219063</v>
      </c>
      <c r="I9" s="5">
        <v>-2.4875707458704701E-3</v>
      </c>
      <c r="J9" s="5">
        <v>-0.39468729496002197</v>
      </c>
      <c r="K9" s="5">
        <v>-9.2538818717002901E-4</v>
      </c>
      <c r="L9" s="5">
        <v>0.469948559999466</v>
      </c>
      <c r="S9" s="5">
        <f t="shared" si="2"/>
        <v>-8.4166455781087301E-4</v>
      </c>
      <c r="T9" s="5">
        <f t="shared" si="3"/>
        <v>-0.141347721219063</v>
      </c>
      <c r="U9" s="5">
        <f t="shared" si="4"/>
        <v>-2.4875707458704701E-3</v>
      </c>
      <c r="V9" s="5">
        <f t="shared" si="5"/>
        <v>-0.39468729496002197</v>
      </c>
      <c r="W9" s="5">
        <f t="shared" si="6"/>
        <v>-9.2538818717002901E-4</v>
      </c>
      <c r="X9" s="5">
        <f t="shared" si="7"/>
        <v>0.469948559999466</v>
      </c>
    </row>
    <row r="10" spans="1:24" s="5" customFormat="1" ht="16.5" customHeight="1" x14ac:dyDescent="0.25">
      <c r="A10" s="14">
        <v>0.8</v>
      </c>
      <c r="B10" s="14">
        <v>0.18</v>
      </c>
      <c r="C10" s="14">
        <f t="shared" si="1"/>
        <v>1.5707963267948966</v>
      </c>
      <c r="D10" s="14">
        <v>0</v>
      </c>
      <c r="E10" s="14">
        <v>0</v>
      </c>
      <c r="F10" s="14">
        <v>0</v>
      </c>
      <c r="G10" s="5">
        <v>-2.5411224924027898E-3</v>
      </c>
      <c r="H10" s="5">
        <v>-0.16168536245822901</v>
      </c>
      <c r="I10" s="5">
        <v>-2.0260578021407101E-3</v>
      </c>
      <c r="J10" s="5">
        <v>-0.81751561164856001</v>
      </c>
      <c r="K10" s="5">
        <v>1.46271400153637E-2</v>
      </c>
      <c r="L10" s="5">
        <v>0.27560678124427801</v>
      </c>
      <c r="S10" s="5">
        <f t="shared" si="2"/>
        <v>-2.5411224924027898E-3</v>
      </c>
      <c r="T10" s="5">
        <f t="shared" si="3"/>
        <v>-0.16168536245822901</v>
      </c>
      <c r="U10" s="5">
        <f t="shared" si="4"/>
        <v>-2.0260578021407101E-3</v>
      </c>
      <c r="V10" s="5">
        <f t="shared" si="5"/>
        <v>-0.81751561164856001</v>
      </c>
      <c r="W10" s="5">
        <f t="shared" si="6"/>
        <v>1.46271400153637E-2</v>
      </c>
      <c r="X10" s="5">
        <f t="shared" si="7"/>
        <v>0.27560678124427801</v>
      </c>
    </row>
    <row r="11" spans="1:24" s="5" customFormat="1" ht="16.5" customHeight="1" x14ac:dyDescent="0.25">
      <c r="A11" s="14">
        <v>0.3</v>
      </c>
      <c r="B11" s="14">
        <v>0.2</v>
      </c>
      <c r="C11" s="14">
        <f t="shared" si="1"/>
        <v>1.5707963267948966</v>
      </c>
      <c r="D11" s="14">
        <v>0</v>
      </c>
      <c r="E11" s="14">
        <v>0</v>
      </c>
      <c r="F11" s="14">
        <v>0</v>
      </c>
      <c r="G11" s="5">
        <v>-7.7232124749571096E-4</v>
      </c>
      <c r="H11" s="5">
        <v>-7.1722365915775299E-2</v>
      </c>
      <c r="I11" s="5">
        <v>-7.8877643682062604E-4</v>
      </c>
      <c r="J11" s="5">
        <v>-0.14824971556663499</v>
      </c>
      <c r="K11" s="5">
        <v>-2.5316514074802399E-4</v>
      </c>
      <c r="L11" s="5">
        <v>0.21111465990543399</v>
      </c>
      <c r="S11" s="5">
        <f t="shared" si="2"/>
        <v>-7.7232124749571096E-4</v>
      </c>
      <c r="T11" s="5">
        <f t="shared" si="3"/>
        <v>-7.1722365915775299E-2</v>
      </c>
      <c r="U11" s="5">
        <f t="shared" si="4"/>
        <v>-7.8877643682062604E-4</v>
      </c>
      <c r="V11" s="5">
        <f t="shared" si="5"/>
        <v>-0.14824971556663499</v>
      </c>
      <c r="W11" s="5">
        <f t="shared" si="6"/>
        <v>-2.5316514074802399E-4</v>
      </c>
      <c r="X11" s="5">
        <f t="shared" si="7"/>
        <v>0.21111465990543399</v>
      </c>
    </row>
    <row r="12" spans="1:24" s="5" customFormat="1" ht="16.5" customHeight="1" x14ac:dyDescent="0.25">
      <c r="A12" s="14">
        <v>0.7</v>
      </c>
      <c r="B12" s="14">
        <v>0.2</v>
      </c>
      <c r="C12" s="14">
        <f t="shared" si="1"/>
        <v>1.5707963267948966</v>
      </c>
      <c r="D12" s="14">
        <v>0</v>
      </c>
      <c r="E12" s="14">
        <v>0</v>
      </c>
      <c r="F12" s="14">
        <v>0</v>
      </c>
      <c r="G12" s="5">
        <v>-1.37498124968261E-3</v>
      </c>
      <c r="H12" s="5">
        <v>-0.13238599896431</v>
      </c>
      <c r="I12" s="5">
        <v>-1.95983843877912E-3</v>
      </c>
      <c r="J12" s="5">
        <v>-0.64118611812591597</v>
      </c>
      <c r="K12" s="5">
        <v>9.5805265009403194E-3</v>
      </c>
      <c r="L12" s="5">
        <v>0.17886316776275599</v>
      </c>
      <c r="S12" s="5">
        <f t="shared" si="2"/>
        <v>-1.37498124968261E-3</v>
      </c>
      <c r="T12" s="5">
        <f t="shared" si="3"/>
        <v>-0.13238599896431</v>
      </c>
      <c r="U12" s="5">
        <f t="shared" si="4"/>
        <v>-1.95983843877912E-3</v>
      </c>
      <c r="V12" s="5">
        <f t="shared" si="5"/>
        <v>-0.64118611812591597</v>
      </c>
      <c r="W12" s="5">
        <f t="shared" si="6"/>
        <v>9.5805265009403194E-3</v>
      </c>
      <c r="X12" s="5">
        <f t="shared" si="7"/>
        <v>0.17886316776275599</v>
      </c>
    </row>
    <row r="13" spans="1:24" ht="16.5" customHeight="1" x14ac:dyDescent="0.25">
      <c r="S13" s="9"/>
      <c r="T13" s="9"/>
      <c r="U13" s="9"/>
      <c r="V13" s="9"/>
      <c r="W13" s="9"/>
      <c r="X13" s="9"/>
    </row>
    <row r="14" spans="1:24" ht="16.5" customHeight="1" x14ac:dyDescent="0.25">
      <c r="G14" s="7"/>
      <c r="M14" s="13"/>
      <c r="N14" s="13"/>
      <c r="O14" s="13"/>
      <c r="P14" s="13"/>
      <c r="Q14" s="13"/>
      <c r="R14" s="13"/>
    </row>
  </sheetData>
  <mergeCells count="4">
    <mergeCell ref="A1:F1"/>
    <mergeCell ref="G1:L1"/>
    <mergeCell ref="M1:R1"/>
    <mergeCell ref="S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E692-1589-4E2A-898E-0D9349F16FCD}">
  <dimension ref="A1:Y12"/>
  <sheetViews>
    <sheetView workbookViewId="0">
      <pane ySplit="2" topLeftCell="A3" activePane="bottomLeft" state="frozen"/>
      <selection activeCell="K1" sqref="K1"/>
      <selection pane="bottomLeft" activeCell="Q17" sqref="Q1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>
        <v>0.15746337684228984</v>
      </c>
      <c r="N3" s="5">
        <v>0.14706766722744533</v>
      </c>
      <c r="O3" s="5">
        <v>1.5839465641526327</v>
      </c>
      <c r="P3" s="11">
        <v>5.8832285264751795E-11</v>
      </c>
      <c r="Q3" s="5">
        <f>M3-A3</f>
        <v>-0.24253662315771018</v>
      </c>
      <c r="R3" s="5">
        <f>N3-B3</f>
        <v>8.7067667227445328E-2</v>
      </c>
      <c r="S3" s="5">
        <f>O3-C3</f>
        <v>1.3150237357736128E-2</v>
      </c>
      <c r="T3" s="5">
        <f>ABS(Q3)</f>
        <v>0.24253662315771018</v>
      </c>
      <c r="U3" s="5">
        <f t="shared" ref="U3:V12" si="0">ABS(R3)</f>
        <v>8.7067667227445328E-2</v>
      </c>
      <c r="V3" s="5">
        <f t="shared" si="0"/>
        <v>1.3150237357736128E-2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>
        <v>0.35990390835913344</v>
      </c>
      <c r="N4" s="8">
        <v>0.15739171261332713</v>
      </c>
      <c r="O4" s="8">
        <v>1.5853158489358763</v>
      </c>
      <c r="P4" s="12">
        <v>3.0256104486505093E-19</v>
      </c>
      <c r="Q4" s="5">
        <f t="shared" ref="Q4:S12" si="1">M4-A4</f>
        <v>-0.4400960916408666</v>
      </c>
      <c r="R4" s="5">
        <f t="shared" si="1"/>
        <v>9.739171261332713E-2</v>
      </c>
      <c r="S4" s="5">
        <f t="shared" si="1"/>
        <v>1.4519522140979735E-2</v>
      </c>
      <c r="T4" s="5">
        <f t="shared" ref="T4:T12" si="2">ABS(Q4)</f>
        <v>0.4400960916408666</v>
      </c>
      <c r="U4" s="5">
        <f t="shared" si="0"/>
        <v>9.739171261332713E-2</v>
      </c>
      <c r="V4" s="5">
        <f t="shared" si="0"/>
        <v>1.4519522140979735E-2</v>
      </c>
      <c r="W4" s="6" cm="1">
        <f t="array" ref="W4">AVERAGE(ABS(Q7:Q12))</f>
        <v>7.9819944321570288E-2</v>
      </c>
      <c r="X4" s="6" cm="1">
        <f t="array" ref="X4">AVERAGE(ABS(R7:R12))</f>
        <v>1.2849522287114203E-2</v>
      </c>
      <c r="Y4" s="6" cm="1">
        <f t="array" ref="Y4">AVERAGE(ABS(S7:S12))</f>
        <v>2.11525889259155E-2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>
        <v>0.46841582639006052</v>
      </c>
      <c r="N5" s="5">
        <v>5.0651508975314986E-2</v>
      </c>
      <c r="O5" s="5">
        <v>1.576323702654584</v>
      </c>
      <c r="P5" s="11">
        <v>1.7289105216816407E-8</v>
      </c>
      <c r="Q5" s="5">
        <f t="shared" si="1"/>
        <v>0.16841582639006053</v>
      </c>
      <c r="R5" s="5">
        <f t="shared" si="1"/>
        <v>-2.9348491024685015E-2</v>
      </c>
      <c r="S5" s="5">
        <f t="shared" si="1"/>
        <v>5.5273758596874334E-3</v>
      </c>
      <c r="T5" s="5">
        <f t="shared" si="2"/>
        <v>0.16841582639006053</v>
      </c>
      <c r="U5" s="5">
        <f t="shared" si="0"/>
        <v>2.9348491024685015E-2</v>
      </c>
      <c r="V5" s="5">
        <f t="shared" si="0"/>
        <v>5.5273758596874334E-3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>
        <v>0.33133836085451945</v>
      </c>
      <c r="N6" s="5">
        <v>0.1592951468843887</v>
      </c>
      <c r="O6" s="5">
        <v>1.5882696516328036</v>
      </c>
      <c r="P6" s="11">
        <v>1.91626769756236E-14</v>
      </c>
      <c r="Q6" s="5">
        <f t="shared" si="1"/>
        <v>-0.16866163914548055</v>
      </c>
      <c r="R6" s="5">
        <f t="shared" si="1"/>
        <v>5.9295146884388694E-2</v>
      </c>
      <c r="S6" s="5">
        <f t="shared" si="1"/>
        <v>1.7473324837907089E-2</v>
      </c>
      <c r="T6" s="5">
        <f t="shared" si="2"/>
        <v>0.16866163914548055</v>
      </c>
      <c r="U6" s="5">
        <f t="shared" si="0"/>
        <v>5.9295146884388694E-2</v>
      </c>
      <c r="V6" s="5">
        <f t="shared" si="0"/>
        <v>1.7473324837907089E-2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>
        <v>0.83498129120804476</v>
      </c>
      <c r="N7" s="5">
        <v>9.2715576013870912E-2</v>
      </c>
      <c r="O7" s="5">
        <v>1.5897206014921799</v>
      </c>
      <c r="P7" s="11">
        <v>8.0156530313393216E-18</v>
      </c>
      <c r="Q7" s="5">
        <f t="shared" si="1"/>
        <v>0.13498129120804481</v>
      </c>
      <c r="R7" s="5">
        <f t="shared" si="1"/>
        <v>-7.2844239861290933E-3</v>
      </c>
      <c r="S7" s="5">
        <f t="shared" si="1"/>
        <v>1.8924274697283305E-2</v>
      </c>
      <c r="T7" s="5">
        <f t="shared" si="2"/>
        <v>0.13498129120804481</v>
      </c>
      <c r="U7" s="5">
        <f t="shared" si="0"/>
        <v>7.2844239861290933E-3</v>
      </c>
      <c r="V7" s="5">
        <f t="shared" si="0"/>
        <v>1.8924274697283305E-2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>
        <v>0.34005574134202854</v>
      </c>
      <c r="N8" s="5">
        <v>0.19439455461164623</v>
      </c>
      <c r="O8" s="5">
        <v>1.5913141708087286</v>
      </c>
      <c r="P8" s="11">
        <v>1.0518385854970283E-12</v>
      </c>
      <c r="Q8" s="5">
        <f t="shared" si="1"/>
        <v>-5.9944258657971483E-2</v>
      </c>
      <c r="R8" s="5">
        <f t="shared" si="1"/>
        <v>3.4394554611646228E-2</v>
      </c>
      <c r="S8" s="5">
        <f t="shared" si="1"/>
        <v>2.0517844013832054E-2</v>
      </c>
      <c r="T8" s="5">
        <f t="shared" si="2"/>
        <v>5.9944258657971483E-2</v>
      </c>
      <c r="U8" s="5">
        <f t="shared" si="0"/>
        <v>3.4394554611646228E-2</v>
      </c>
      <c r="V8" s="5">
        <f t="shared" si="0"/>
        <v>2.0517844013832054E-2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>
        <v>0.69606551003632378</v>
      </c>
      <c r="N9" s="5">
        <v>0.14864140048857938</v>
      </c>
      <c r="O9" s="5">
        <v>1.5950644445243112</v>
      </c>
      <c r="P9" s="11">
        <v>7.9283571593355567E-13</v>
      </c>
      <c r="Q9" s="5">
        <f t="shared" si="1"/>
        <v>9.6065510036323798E-2</v>
      </c>
      <c r="R9" s="5">
        <f t="shared" si="1"/>
        <v>-1.1358599511420625E-2</v>
      </c>
      <c r="S9" s="5">
        <f t="shared" si="1"/>
        <v>2.4268117729414618E-2</v>
      </c>
      <c r="T9" s="5">
        <f t="shared" si="2"/>
        <v>9.6065510036323798E-2</v>
      </c>
      <c r="U9" s="5">
        <f t="shared" si="0"/>
        <v>1.1358599511420625E-2</v>
      </c>
      <c r="V9" s="5">
        <f t="shared" si="0"/>
        <v>2.4268117729414618E-2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>
        <v>0.95031340680205012</v>
      </c>
      <c r="N10" s="5">
        <v>0.16549589238271611</v>
      </c>
      <c r="O10" s="5">
        <v>1.5952105445090021</v>
      </c>
      <c r="P10" s="11">
        <v>2.0224901012520271E-11</v>
      </c>
      <c r="Q10" s="5">
        <f t="shared" si="1"/>
        <v>0.15031340680205008</v>
      </c>
      <c r="R10" s="5">
        <f t="shared" si="1"/>
        <v>-1.4504107617283879E-2</v>
      </c>
      <c r="S10" s="5">
        <f t="shared" si="1"/>
        <v>2.4414217714105568E-2</v>
      </c>
      <c r="T10" s="5">
        <f t="shared" si="2"/>
        <v>0.15031340680205008</v>
      </c>
      <c r="U10" s="5">
        <f t="shared" si="0"/>
        <v>1.4504107617283879E-2</v>
      </c>
      <c r="V10" s="5">
        <f t="shared" si="0"/>
        <v>2.4414217714105568E-2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>
        <v>0.27958835496167023</v>
      </c>
      <c r="N11" s="5">
        <v>0.19999999999997756</v>
      </c>
      <c r="O11" s="5">
        <v>1.5853241632073789</v>
      </c>
      <c r="P11" s="11">
        <v>9.1453864883990146E-7</v>
      </c>
      <c r="Q11" s="5">
        <f t="shared" si="1"/>
        <v>-2.0411645038329762E-2</v>
      </c>
      <c r="R11" s="5">
        <f t="shared" si="1"/>
        <v>-2.2454260673043791E-14</v>
      </c>
      <c r="S11" s="5">
        <f t="shared" si="1"/>
        <v>1.4527836412482342E-2</v>
      </c>
      <c r="T11" s="5">
        <f t="shared" si="2"/>
        <v>2.0411645038329762E-2</v>
      </c>
      <c r="U11" s="5">
        <f t="shared" si="0"/>
        <v>2.2454260673043791E-14</v>
      </c>
      <c r="V11" s="5">
        <f t="shared" si="0"/>
        <v>1.4527836412482342E-2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>
        <v>0.71720355418670179</v>
      </c>
      <c r="N12" s="5">
        <v>0.19044455200381707</v>
      </c>
      <c r="O12" s="5">
        <v>1.5950595697832717</v>
      </c>
      <c r="P12" s="11">
        <v>3.0224751372873603E-14</v>
      </c>
      <c r="Q12" s="5">
        <f t="shared" si="1"/>
        <v>1.720355418670183E-2</v>
      </c>
      <c r="R12" s="5">
        <f t="shared" si="1"/>
        <v>-9.5554479961829364E-3</v>
      </c>
      <c r="S12" s="5">
        <f t="shared" si="1"/>
        <v>2.4263242988375122E-2</v>
      </c>
      <c r="T12" s="5">
        <f t="shared" si="2"/>
        <v>1.720355418670183E-2</v>
      </c>
      <c r="U12" s="5">
        <f t="shared" si="0"/>
        <v>9.5554479961829364E-3</v>
      </c>
      <c r="V12" s="5">
        <f t="shared" si="0"/>
        <v>2.4263242988375122E-2</v>
      </c>
    </row>
  </sheetData>
  <mergeCells count="8">
    <mergeCell ref="W5:Y5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AF8C-BA0F-4D6B-8197-0DD15032F82D}">
  <dimension ref="A1:Y12"/>
  <sheetViews>
    <sheetView tabSelected="1" workbookViewId="0">
      <pane ySplit="2" topLeftCell="A3" activePane="bottomLeft" state="frozen"/>
      <selection activeCell="K1" sqref="K1"/>
      <selection pane="bottomLeft" activeCell="Y8" sqref="Y8:Y9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12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/>
      <c r="N4" s="8"/>
      <c r="O4" s="8"/>
      <c r="P4" s="12"/>
      <c r="Q4" s="5">
        <f t="shared" ref="Q4:S12" si="1">M4-A4</f>
        <v>-0.8</v>
      </c>
      <c r="R4" s="5">
        <f t="shared" si="1"/>
        <v>-0.06</v>
      </c>
      <c r="S4" s="5">
        <f t="shared" si="1"/>
        <v>-1.5707963267948966</v>
      </c>
      <c r="T4" s="5">
        <f t="shared" ref="T4:T12" si="2">ABS(Q4)</f>
        <v>0.8</v>
      </c>
      <c r="U4" s="5">
        <f t="shared" si="0"/>
        <v>0.06</v>
      </c>
      <c r="V4" s="5">
        <f t="shared" si="0"/>
        <v>1.5707963267948966</v>
      </c>
      <c r="W4" s="6" cm="1">
        <f t="array" ref="W4">AVERAGE(ABS(Q7:Q12))</f>
        <v>3.6765321320119219E-2</v>
      </c>
      <c r="X4" s="6" cm="1">
        <f t="array" ref="X4">AVERAGE(ABS(R7:R12))</f>
        <v>5.574909039835982E-3</v>
      </c>
      <c r="Y4" s="6" cm="1">
        <f t="array" ref="Y4">AVERAGE(ABS(S7:S12))</f>
        <v>1.7417100305963291E-2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/>
      <c r="N5" s="5"/>
      <c r="O5" s="5"/>
      <c r="P5" s="11"/>
      <c r="Q5" s="5">
        <f t="shared" si="1"/>
        <v>-0.3</v>
      </c>
      <c r="R5" s="5">
        <f t="shared" si="1"/>
        <v>-0.08</v>
      </c>
      <c r="S5" s="5">
        <f t="shared" si="1"/>
        <v>-1.5707963267948966</v>
      </c>
      <c r="T5" s="5">
        <f t="shared" si="2"/>
        <v>0.3</v>
      </c>
      <c r="U5" s="5">
        <f t="shared" si="0"/>
        <v>0.08</v>
      </c>
      <c r="V5" s="5">
        <f t="shared" si="0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/>
      <c r="N6" s="5"/>
      <c r="O6" s="5"/>
      <c r="P6" s="11"/>
      <c r="Q6" s="5">
        <f t="shared" si="1"/>
        <v>-0.5</v>
      </c>
      <c r="R6" s="5">
        <f t="shared" si="1"/>
        <v>-0.1</v>
      </c>
      <c r="S6" s="5">
        <f t="shared" si="1"/>
        <v>-1.5707963267948966</v>
      </c>
      <c r="T6" s="5">
        <f t="shared" si="2"/>
        <v>0.5</v>
      </c>
      <c r="U6" s="5">
        <f t="shared" si="0"/>
        <v>0.1</v>
      </c>
      <c r="V6" s="5">
        <f t="shared" si="0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>
        <v>0.72494634990772444</v>
      </c>
      <c r="N7" s="5">
        <v>0.10662094941285304</v>
      </c>
      <c r="O7" s="5">
        <v>1.5829152161191393</v>
      </c>
      <c r="P7" s="11">
        <v>3.3288807721640497E-4</v>
      </c>
      <c r="Q7" s="5">
        <f t="shared" si="1"/>
        <v>2.4946349907724485E-2</v>
      </c>
      <c r="R7" s="5">
        <f t="shared" si="1"/>
        <v>6.6209494128530305E-3</v>
      </c>
      <c r="S7" s="5">
        <f t="shared" si="1"/>
        <v>1.2118889324242765E-2</v>
      </c>
      <c r="T7" s="5">
        <f t="shared" si="2"/>
        <v>2.4946349907724485E-2</v>
      </c>
      <c r="U7" s="5">
        <f t="shared" si="0"/>
        <v>6.6209494128530305E-3</v>
      </c>
      <c r="V7" s="5">
        <f t="shared" si="0"/>
        <v>1.2118889324242765E-2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>
        <v>0.37461772570696172</v>
      </c>
      <c r="N8" s="5">
        <v>0.17584726831853761</v>
      </c>
      <c r="O8" s="5">
        <v>1.5878003217554957</v>
      </c>
      <c r="P8" s="11">
        <v>1.2109854882938493E-4</v>
      </c>
      <c r="Q8" s="5">
        <f t="shared" si="1"/>
        <v>-2.5382274293038298E-2</v>
      </c>
      <c r="R8" s="5">
        <f t="shared" si="1"/>
        <v>1.5847268318537611E-2</v>
      </c>
      <c r="S8" s="5">
        <f t="shared" si="1"/>
        <v>1.7003994960599123E-2</v>
      </c>
      <c r="T8" s="5">
        <f t="shared" si="2"/>
        <v>2.5382274293038298E-2</v>
      </c>
      <c r="U8" s="5">
        <f t="shared" si="0"/>
        <v>1.5847268318537611E-2</v>
      </c>
      <c r="V8" s="5">
        <f t="shared" si="0"/>
        <v>1.7003994960599123E-2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>
        <v>0.62483472511339833</v>
      </c>
      <c r="N9" s="5">
        <v>0.16677168840130902</v>
      </c>
      <c r="O9" s="5">
        <v>1.5909034914421638</v>
      </c>
      <c r="P9" s="11">
        <v>4.8729854942259601E-4</v>
      </c>
      <c r="Q9" s="5">
        <f t="shared" si="1"/>
        <v>2.4834725113398348E-2</v>
      </c>
      <c r="R9" s="5">
        <f t="shared" si="1"/>
        <v>6.7716884013090117E-3</v>
      </c>
      <c r="S9" s="5">
        <f t="shared" si="1"/>
        <v>2.0107164647267251E-2</v>
      </c>
      <c r="T9" s="5">
        <f t="shared" si="2"/>
        <v>2.4834725113398348E-2</v>
      </c>
      <c r="U9" s="5">
        <f t="shared" si="0"/>
        <v>6.7716884013090117E-3</v>
      </c>
      <c r="V9" s="5">
        <f t="shared" si="0"/>
        <v>2.0107164647267251E-2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>
        <v>0.89432810860073297</v>
      </c>
      <c r="N10" s="5">
        <v>0.18420954810621448</v>
      </c>
      <c r="O10" s="5">
        <v>1.5920039262280163</v>
      </c>
      <c r="P10" s="11">
        <v>3.3236578515797276E-3</v>
      </c>
      <c r="Q10" s="5">
        <f t="shared" si="1"/>
        <v>9.4328108600732929E-2</v>
      </c>
      <c r="R10" s="5">
        <f t="shared" si="1"/>
        <v>4.209548106214489E-3</v>
      </c>
      <c r="S10" s="5">
        <f t="shared" si="1"/>
        <v>2.1207599433119784E-2</v>
      </c>
      <c r="T10" s="5">
        <f t="shared" si="2"/>
        <v>9.4328108600732929E-2</v>
      </c>
      <c r="U10" s="5">
        <f t="shared" si="0"/>
        <v>4.209548106214489E-3</v>
      </c>
      <c r="V10" s="5">
        <f t="shared" si="0"/>
        <v>2.1207599433119784E-2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>
        <v>0.2740378269579935</v>
      </c>
      <c r="N11" s="5">
        <v>0.19999999999997592</v>
      </c>
      <c r="O11" s="5">
        <v>1.5832391236606946</v>
      </c>
      <c r="P11" s="11">
        <v>1.6539266535709118E-3</v>
      </c>
      <c r="Q11" s="5">
        <f t="shared" si="1"/>
        <v>-2.5962173042006487E-2</v>
      </c>
      <c r="R11" s="5">
        <f t="shared" si="1"/>
        <v>-2.4091839634365897E-14</v>
      </c>
      <c r="S11" s="5">
        <f t="shared" si="1"/>
        <v>1.2442796865798078E-2</v>
      </c>
      <c r="T11" s="5">
        <f t="shared" si="2"/>
        <v>2.5962173042006487E-2</v>
      </c>
      <c r="U11" s="5">
        <f t="shared" si="0"/>
        <v>2.4091839634365897E-14</v>
      </c>
      <c r="V11" s="5">
        <f t="shared" si="0"/>
        <v>1.2442796865798078E-2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>
        <v>0.72513829696381471</v>
      </c>
      <c r="N12" s="5">
        <v>0.19999999999992235</v>
      </c>
      <c r="O12" s="5">
        <v>1.5924184833996493</v>
      </c>
      <c r="P12" s="11">
        <v>9.6305608445636463E-3</v>
      </c>
      <c r="Q12" s="5">
        <f t="shared" si="1"/>
        <v>2.5138296963814755E-2</v>
      </c>
      <c r="R12" s="5">
        <f t="shared" si="1"/>
        <v>-7.76601005725297E-14</v>
      </c>
      <c r="S12" s="5">
        <f t="shared" si="1"/>
        <v>2.1622156604752751E-2</v>
      </c>
      <c r="T12" s="5">
        <f t="shared" si="2"/>
        <v>2.5138296963814755E-2</v>
      </c>
      <c r="U12" s="5">
        <f t="shared" si="0"/>
        <v>7.76601005725297E-14</v>
      </c>
      <c r="V12" s="5">
        <f t="shared" si="0"/>
        <v>2.1622156604752751E-2</v>
      </c>
    </row>
  </sheetData>
  <mergeCells count="8">
    <mergeCell ref="W2:Y2"/>
    <mergeCell ref="W5:Y5"/>
    <mergeCell ref="A1:F1"/>
    <mergeCell ref="G1:L1"/>
    <mergeCell ref="M1:P1"/>
    <mergeCell ref="Q1:S1"/>
    <mergeCell ref="T1:V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Y60"/>
  <sheetViews>
    <sheetView workbookViewId="0">
      <pane ySplit="2" topLeftCell="A3" activePane="bottomLeft" state="frozen"/>
      <selection activeCell="K1" sqref="K1"/>
      <selection pane="bottomLeft" activeCell="N24" sqref="N24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85546875" customWidth="1"/>
    <col min="17" max="17" width="6.5703125" bestFit="1" customWidth="1"/>
    <col min="18" max="18" width="6.85546875" bestFit="1" customWidth="1"/>
    <col min="19" max="19" width="10.7109375" bestFit="1" customWidth="1"/>
    <col min="20" max="22" width="10.7109375" customWidth="1"/>
    <col min="23" max="23" width="11" bestFit="1" customWidth="1"/>
    <col min="24" max="24" width="13.85546875" bestFit="1" customWidth="1"/>
    <col min="25" max="25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39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3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/>
      <c r="N4" s="8"/>
      <c r="O4" s="8"/>
      <c r="P4" s="12"/>
      <c r="Q4" s="5">
        <f t="shared" ref="Q4:Q12" si="1">M4-A4</f>
        <v>-0.8</v>
      </c>
      <c r="R4" s="5">
        <f t="shared" ref="R4:R12" si="2">N4-B4</f>
        <v>-0.06</v>
      </c>
      <c r="S4" s="5">
        <f t="shared" ref="S4:S12" si="3">O4-C4</f>
        <v>-1.5707963267948966</v>
      </c>
      <c r="T4" s="5">
        <f t="shared" ref="T4:T12" si="4">ABS(Q4)</f>
        <v>0.8</v>
      </c>
      <c r="U4" s="5">
        <f t="shared" ref="U4:U12" si="5">ABS(R4)</f>
        <v>0.06</v>
      </c>
      <c r="V4" s="5">
        <f t="shared" ref="V4:V12" si="6">ABS(S4)</f>
        <v>1.5707963267948966</v>
      </c>
      <c r="W4" s="6" cm="1">
        <f t="array" ref="W4">AVERAGE(ABS(Q3:Q12))</f>
        <v>0.55000000000000004</v>
      </c>
      <c r="X4" s="6" cm="1">
        <f t="array" ref="X4">AVERAGE(ABS(R3:R12))</f>
        <v>0.13</v>
      </c>
      <c r="Y4" s="6" cm="1">
        <f t="array" ref="Y4">AVERAGE(ABS(S3:S12))</f>
        <v>1.5707963267948966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/>
      <c r="N5" s="5"/>
      <c r="O5" s="5"/>
      <c r="P5" s="11"/>
      <c r="Q5" s="5">
        <f t="shared" si="1"/>
        <v>-0.3</v>
      </c>
      <c r="R5" s="5">
        <f t="shared" si="2"/>
        <v>-0.08</v>
      </c>
      <c r="S5" s="5">
        <f t="shared" si="3"/>
        <v>-1.5707963267948966</v>
      </c>
      <c r="T5" s="5">
        <f t="shared" si="4"/>
        <v>0.3</v>
      </c>
      <c r="U5" s="5">
        <f t="shared" si="5"/>
        <v>0.08</v>
      </c>
      <c r="V5" s="5">
        <f t="shared" si="6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/>
      <c r="N6" s="5"/>
      <c r="O6" s="5"/>
      <c r="P6" s="11"/>
      <c r="Q6" s="5">
        <f t="shared" si="1"/>
        <v>-0.5</v>
      </c>
      <c r="R6" s="5">
        <f t="shared" si="2"/>
        <v>-0.1</v>
      </c>
      <c r="S6" s="5">
        <f t="shared" si="3"/>
        <v>-1.5707963267948966</v>
      </c>
      <c r="T6" s="5">
        <f t="shared" si="4"/>
        <v>0.5</v>
      </c>
      <c r="U6" s="5">
        <f t="shared" si="5"/>
        <v>0.1</v>
      </c>
      <c r="V6" s="5">
        <f t="shared" si="6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/>
      <c r="N7" s="5"/>
      <c r="O7" s="5"/>
      <c r="P7" s="11"/>
      <c r="Q7" s="5">
        <f t="shared" si="1"/>
        <v>-0.7</v>
      </c>
      <c r="R7" s="5">
        <f t="shared" si="2"/>
        <v>-0.1</v>
      </c>
      <c r="S7" s="5">
        <f t="shared" si="3"/>
        <v>-1.5707963267948966</v>
      </c>
      <c r="T7" s="5">
        <f t="shared" si="4"/>
        <v>0.7</v>
      </c>
      <c r="U7" s="5">
        <f t="shared" si="5"/>
        <v>0.1</v>
      </c>
      <c r="V7" s="5">
        <f t="shared" si="6"/>
        <v>1.5707963267948966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/>
      <c r="N8" s="5"/>
      <c r="O8" s="5"/>
      <c r="P8" s="11"/>
      <c r="Q8" s="5">
        <f t="shared" si="1"/>
        <v>-0.4</v>
      </c>
      <c r="R8" s="5">
        <f t="shared" si="2"/>
        <v>-0.16</v>
      </c>
      <c r="S8" s="5">
        <f t="shared" si="3"/>
        <v>-1.5707963267948966</v>
      </c>
      <c r="T8" s="5">
        <f t="shared" si="4"/>
        <v>0.4</v>
      </c>
      <c r="U8" s="5">
        <f t="shared" si="5"/>
        <v>0.16</v>
      </c>
      <c r="V8" s="5">
        <f t="shared" si="6"/>
        <v>1.5707963267948966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/>
      <c r="N9" s="5"/>
      <c r="O9" s="5"/>
      <c r="P9" s="11"/>
      <c r="Q9" s="5">
        <f t="shared" si="1"/>
        <v>-0.6</v>
      </c>
      <c r="R9" s="5">
        <f t="shared" si="2"/>
        <v>-0.16</v>
      </c>
      <c r="S9" s="5">
        <f t="shared" si="3"/>
        <v>-1.5707963267948966</v>
      </c>
      <c r="T9" s="5">
        <f t="shared" si="4"/>
        <v>0.6</v>
      </c>
      <c r="U9" s="5">
        <f t="shared" si="5"/>
        <v>0.16</v>
      </c>
      <c r="V9" s="5">
        <f t="shared" si="6"/>
        <v>1.5707963267948966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/>
      <c r="N10" s="5"/>
      <c r="O10" s="5"/>
      <c r="P10" s="11"/>
      <c r="Q10" s="5">
        <f t="shared" si="1"/>
        <v>-0.8</v>
      </c>
      <c r="R10" s="5">
        <f t="shared" si="2"/>
        <v>-0.18</v>
      </c>
      <c r="S10" s="5">
        <f t="shared" si="3"/>
        <v>-1.5707963267948966</v>
      </c>
      <c r="T10" s="5">
        <f t="shared" si="4"/>
        <v>0.8</v>
      </c>
      <c r="U10" s="5">
        <f t="shared" si="5"/>
        <v>0.18</v>
      </c>
      <c r="V10" s="5">
        <f t="shared" si="6"/>
        <v>1.5707963267948966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/>
      <c r="N11" s="5"/>
      <c r="O11" s="5"/>
      <c r="P11" s="11"/>
      <c r="Q11" s="5">
        <f t="shared" si="1"/>
        <v>-0.3</v>
      </c>
      <c r="R11" s="5">
        <f t="shared" si="2"/>
        <v>-0.2</v>
      </c>
      <c r="S11" s="5">
        <f t="shared" si="3"/>
        <v>-1.5707963267948966</v>
      </c>
      <c r="T11" s="5">
        <f t="shared" si="4"/>
        <v>0.3</v>
      </c>
      <c r="U11" s="5">
        <f t="shared" si="5"/>
        <v>0.2</v>
      </c>
      <c r="V11" s="5">
        <f t="shared" si="6"/>
        <v>1.5707963267948966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/>
      <c r="N12" s="5"/>
      <c r="O12" s="5"/>
      <c r="P12" s="11"/>
      <c r="Q12" s="5">
        <f t="shared" si="1"/>
        <v>-0.7</v>
      </c>
      <c r="R12" s="5">
        <f t="shared" si="2"/>
        <v>-0.2</v>
      </c>
      <c r="S12" s="5">
        <f t="shared" si="3"/>
        <v>-1.5707963267948966</v>
      </c>
      <c r="T12" s="5">
        <f t="shared" si="4"/>
        <v>0.7</v>
      </c>
      <c r="U12" s="5">
        <f t="shared" si="5"/>
        <v>0.2</v>
      </c>
      <c r="V12" s="5">
        <f t="shared" si="6"/>
        <v>1.5707963267948966</v>
      </c>
    </row>
    <row r="14" spans="1:25" ht="15.75" x14ac:dyDescent="0.25">
      <c r="A14" s="31" t="s">
        <v>31</v>
      </c>
      <c r="B14" s="32"/>
      <c r="C14" s="33"/>
    </row>
    <row r="15" spans="1:25" x14ac:dyDescent="0.25">
      <c r="A15">
        <v>0.5</v>
      </c>
      <c r="B15">
        <v>0</v>
      </c>
      <c r="C15">
        <v>0</v>
      </c>
    </row>
    <row r="16" spans="1:25" x14ac:dyDescent="0.25">
      <c r="A16">
        <v>0</v>
      </c>
      <c r="B16">
        <v>0.5</v>
      </c>
      <c r="C16">
        <v>0</v>
      </c>
    </row>
    <row r="17" spans="1:12" x14ac:dyDescent="0.25">
      <c r="A17">
        <v>0</v>
      </c>
      <c r="B17">
        <v>0</v>
      </c>
      <c r="C17">
        <v>0.5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7">D3</f>
        <v>0</v>
      </c>
      <c r="E21" s="5">
        <f t="shared" si="7"/>
        <v>0</v>
      </c>
      <c r="F21" s="5">
        <f t="shared" si="7"/>
        <v>0</v>
      </c>
      <c r="G21" s="5">
        <f t="shared" si="7"/>
        <v>-4.37921960838139E-4</v>
      </c>
      <c r="H21" s="5">
        <f t="shared" si="7"/>
        <v>-5.4464954882860198E-2</v>
      </c>
      <c r="I21" s="5">
        <f t="shared" si="7"/>
        <v>-2.8745096642523999E-4</v>
      </c>
      <c r="J21" s="5">
        <f t="shared" si="7"/>
        <v>-2.13129706680775E-2</v>
      </c>
      <c r="K21" s="5">
        <f t="shared" si="7"/>
        <v>1.85158103704453E-4</v>
      </c>
      <c r="L21" s="5">
        <f t="shared" si="7"/>
        <v>0.34822303056716902</v>
      </c>
    </row>
    <row r="22" spans="1:12" x14ac:dyDescent="0.25">
      <c r="C22" s="10">
        <v>1</v>
      </c>
      <c r="D22" s="5">
        <f>A15+D$21</f>
        <v>0.5</v>
      </c>
      <c r="E22" s="5">
        <f t="shared" ref="E22:F22" si="8">B15+E$21</f>
        <v>0</v>
      </c>
      <c r="F22" s="5">
        <f t="shared" si="8"/>
        <v>0</v>
      </c>
      <c r="G22" s="5">
        <v>-1.02264108136296E-4</v>
      </c>
      <c r="H22" s="5">
        <v>-4.9233462661504697E-2</v>
      </c>
      <c r="I22" s="5">
        <v>-2.99476378131658E-4</v>
      </c>
      <c r="J22" s="5">
        <v>-1.65714882314205E-2</v>
      </c>
      <c r="K22" s="5">
        <v>-1.33924931287766E-3</v>
      </c>
      <c r="L22" s="5">
        <v>0.31748384237289401</v>
      </c>
    </row>
    <row r="23" spans="1:12" x14ac:dyDescent="0.25">
      <c r="C23" s="10">
        <v>1</v>
      </c>
      <c r="D23" s="5">
        <f t="shared" ref="D23:D24" si="9">A16+D$21</f>
        <v>0</v>
      </c>
      <c r="E23" s="5">
        <f t="shared" ref="E23:E24" si="10">B16+E$21</f>
        <v>0.5</v>
      </c>
      <c r="F23" s="5">
        <f t="shared" ref="F23:F24" si="11">C16+F$21</f>
        <v>0</v>
      </c>
      <c r="G23" s="5">
        <v>-4.2643712367862501E-4</v>
      </c>
      <c r="H23" s="5">
        <v>-4.8638276755809798E-2</v>
      </c>
      <c r="I23" s="5">
        <v>-2.7974933618679599E-4</v>
      </c>
      <c r="J23" s="5">
        <v>-1.6359336674213399E-2</v>
      </c>
      <c r="K23" s="5">
        <v>1.32400169968605E-3</v>
      </c>
      <c r="L23" s="5">
        <v>0.31480351090431202</v>
      </c>
    </row>
    <row r="24" spans="1:12" x14ac:dyDescent="0.25">
      <c r="C24" s="10">
        <v>1</v>
      </c>
      <c r="D24" s="5">
        <f t="shared" si="9"/>
        <v>0</v>
      </c>
      <c r="E24" s="5">
        <f t="shared" si="10"/>
        <v>0</v>
      </c>
      <c r="F24" s="5">
        <f t="shared" si="11"/>
        <v>0.5</v>
      </c>
      <c r="G24" s="5">
        <v>-2.88879848085344E-4</v>
      </c>
      <c r="H24" s="5">
        <v>-5.7832427322864498E-2</v>
      </c>
      <c r="I24" s="5">
        <v>-3.4862931352108701E-4</v>
      </c>
      <c r="J24" s="5">
        <v>-1.9577505066990901E-2</v>
      </c>
      <c r="K24" s="5">
        <v>5.4720044136047396E-4</v>
      </c>
      <c r="L24" s="5">
        <v>0.37469360232353199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-1.2904058676213E-3</v>
      </c>
      <c r="H25" s="5">
        <f t="shared" ref="H25:L25" si="12">H4</f>
        <v>-0.130890563130379</v>
      </c>
      <c r="I25" s="5">
        <f t="shared" si="12"/>
        <v>-5.0724833272397496E-4</v>
      </c>
      <c r="J25" s="5">
        <f t="shared" si="12"/>
        <v>-0.12710034847259499</v>
      </c>
      <c r="K25" s="5">
        <f t="shared" si="12"/>
        <v>3.3702701330184902E-3</v>
      </c>
      <c r="L25" s="5">
        <f t="shared" si="12"/>
        <v>0.83409011363983199</v>
      </c>
    </row>
    <row r="26" spans="1:12" x14ac:dyDescent="0.25">
      <c r="C26" s="10">
        <v>2</v>
      </c>
      <c r="D26" s="5">
        <v>0.5</v>
      </c>
      <c r="E26" s="5">
        <v>0</v>
      </c>
      <c r="F26" s="5">
        <v>0</v>
      </c>
      <c r="G26" s="5">
        <v>-7.5655849650502205E-4</v>
      </c>
      <c r="H26" s="5">
        <v>-0.127172365784645</v>
      </c>
      <c r="I26" s="5">
        <v>-6.8982422817498402E-4</v>
      </c>
      <c r="J26" s="5">
        <v>-0.121893465518951</v>
      </c>
      <c r="K26" s="5">
        <v>5.4381787776947E-4</v>
      </c>
      <c r="L26" s="5">
        <v>0.81394112110137895</v>
      </c>
    </row>
    <row r="27" spans="1:12" x14ac:dyDescent="0.25">
      <c r="C27" s="10">
        <v>2</v>
      </c>
      <c r="D27" s="5">
        <v>0</v>
      </c>
      <c r="E27" s="5">
        <v>0.5</v>
      </c>
      <c r="F27" s="5">
        <v>0</v>
      </c>
      <c r="G27" s="5">
        <v>-1.61869125440717E-3</v>
      </c>
      <c r="H27" s="5">
        <v>-0.12622460722923301</v>
      </c>
      <c r="I27" s="5">
        <v>-2.72841076366603E-4</v>
      </c>
      <c r="J27" s="5">
        <v>-0.12119073420763</v>
      </c>
      <c r="K27" s="5">
        <v>5.9388875961303702E-3</v>
      </c>
      <c r="L27" s="5">
        <v>0.81022828817367598</v>
      </c>
    </row>
    <row r="28" spans="1:12" x14ac:dyDescent="0.25">
      <c r="C28" s="10">
        <v>2</v>
      </c>
      <c r="D28" s="5">
        <v>0</v>
      </c>
      <c r="E28" s="5">
        <v>0</v>
      </c>
      <c r="F28" s="5">
        <v>0.5</v>
      </c>
      <c r="G28" s="5">
        <v>-1.28623517230153E-3</v>
      </c>
      <c r="H28" s="5">
        <v>-0.13277906179428101</v>
      </c>
      <c r="I28" s="5">
        <v>-4.8934319056570497E-4</v>
      </c>
      <c r="J28" s="5">
        <v>-0.12763684988021901</v>
      </c>
      <c r="K28" s="5">
        <v>4.0640681982040397E-3</v>
      </c>
      <c r="L28" s="5">
        <v>0.852378129959106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-4.4532003812491899E-4</v>
      </c>
      <c r="H29" s="5">
        <f t="shared" ref="H29:L29" si="13">H5</f>
        <v>-4.79050725698471E-2</v>
      </c>
      <c r="I29" s="5">
        <f t="shared" si="13"/>
        <v>-1.45487196277827E-4</v>
      </c>
      <c r="J29" s="5">
        <f t="shared" si="13"/>
        <v>-1.52218556031585E-2</v>
      </c>
      <c r="K29" s="5">
        <f t="shared" si="13"/>
        <v>-1.61819159984589E-4</v>
      </c>
      <c r="L29" s="5">
        <f t="shared" si="13"/>
        <v>0.269099742174149</v>
      </c>
    </row>
    <row r="30" spans="1:12" x14ac:dyDescent="0.25">
      <c r="C30" s="10">
        <v>3</v>
      </c>
      <c r="D30" s="5">
        <v>0.5</v>
      </c>
      <c r="E30" s="5">
        <v>0</v>
      </c>
      <c r="F30" s="5">
        <v>0</v>
      </c>
      <c r="G30" s="5">
        <v>-1.02916732430458E-4</v>
      </c>
      <c r="H30" s="5">
        <v>-4.0455386042594903E-2</v>
      </c>
      <c r="I30" s="5">
        <v>-1.97469926206395E-4</v>
      </c>
      <c r="J30" s="5">
        <v>-1.3778557069599601E-2</v>
      </c>
      <c r="K30" s="5">
        <v>-1.9923076033592198E-3</v>
      </c>
      <c r="L30" s="5">
        <v>0.22861605882644701</v>
      </c>
    </row>
    <row r="31" spans="1:12" x14ac:dyDescent="0.25">
      <c r="C31" s="10">
        <v>3</v>
      </c>
      <c r="D31" s="5">
        <v>0</v>
      </c>
      <c r="E31" s="5">
        <v>0.5</v>
      </c>
      <c r="F31" s="5">
        <v>0</v>
      </c>
      <c r="G31" s="5">
        <v>-5.2102975314483003E-4</v>
      </c>
      <c r="H31" s="5">
        <v>-3.9230644702911398E-2</v>
      </c>
      <c r="I31" s="5">
        <v>-5.4417731007561101E-5</v>
      </c>
      <c r="J31" s="5">
        <v>-1.0256470181047901E-2</v>
      </c>
      <c r="K31" s="5">
        <v>8.0219656229019198E-4</v>
      </c>
      <c r="L31" s="5">
        <v>0.22224035859107999</v>
      </c>
    </row>
    <row r="32" spans="1:12" x14ac:dyDescent="0.25">
      <c r="C32" s="10">
        <v>3</v>
      </c>
      <c r="D32" s="5">
        <v>0</v>
      </c>
      <c r="E32" s="5">
        <v>0</v>
      </c>
      <c r="F32" s="5">
        <v>0.5</v>
      </c>
      <c r="G32" s="5">
        <v>-4.9925746861845298E-4</v>
      </c>
      <c r="H32" s="5">
        <v>-5.1998797804117203E-2</v>
      </c>
      <c r="I32" s="5">
        <v>-1.3459764886647501E-4</v>
      </c>
      <c r="J32" s="5">
        <v>-1.56884230673313E-2</v>
      </c>
      <c r="K32" s="5">
        <v>5.8252364397048998E-5</v>
      </c>
      <c r="L32" s="5">
        <v>0.29535105824470498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-1.1705639772117101E-3</v>
      </c>
      <c r="H33" s="5">
        <f t="shared" ref="H33:L33" si="14">H6</f>
        <v>-9.4456188380718203E-2</v>
      </c>
      <c r="I33" s="5">
        <f t="shared" si="14"/>
        <v>-1.20323454029858E-3</v>
      </c>
      <c r="J33" s="5">
        <f t="shared" si="14"/>
        <v>-0.111187651753426</v>
      </c>
      <c r="K33" s="5">
        <f t="shared" si="14"/>
        <v>-3.2553412020206499E-3</v>
      </c>
      <c r="L33" s="5">
        <f t="shared" si="14"/>
        <v>0.47075057029724099</v>
      </c>
    </row>
    <row r="34" spans="3:12" x14ac:dyDescent="0.25">
      <c r="C34" s="10">
        <v>4</v>
      </c>
      <c r="D34" s="5">
        <v>0.5</v>
      </c>
      <c r="E34" s="5">
        <v>0</v>
      </c>
      <c r="F34" s="5">
        <v>0</v>
      </c>
      <c r="G34" s="5">
        <v>-4.3118372559547403E-4</v>
      </c>
      <c r="H34" s="5">
        <v>-8.9639507234096499E-2</v>
      </c>
      <c r="I34" s="5">
        <v>-1.64168886840343E-3</v>
      </c>
      <c r="J34" s="5">
        <v>-0.10492410510778399</v>
      </c>
      <c r="K34" s="5">
        <v>-7.3592811822891201E-3</v>
      </c>
      <c r="L34" s="5">
        <v>0.44790044426918002</v>
      </c>
    </row>
    <row r="35" spans="3:12" x14ac:dyDescent="0.25">
      <c r="C35" s="10">
        <v>4</v>
      </c>
      <c r="D35" s="5">
        <v>0</v>
      </c>
      <c r="E35" s="5">
        <v>0.5</v>
      </c>
      <c r="F35" s="5">
        <v>0</v>
      </c>
      <c r="G35" s="5">
        <v>-1.80297694168985E-3</v>
      </c>
      <c r="H35" s="5">
        <v>-8.7559677660465199E-2</v>
      </c>
      <c r="I35" s="5">
        <v>-6.7153916461393205E-4</v>
      </c>
      <c r="J35" s="5">
        <v>-0.10215356200933499</v>
      </c>
      <c r="K35" s="5">
        <v>-2.1431595087051398E-5</v>
      </c>
      <c r="L35" s="5">
        <v>0.43895807862281799</v>
      </c>
    </row>
    <row r="36" spans="3:12" x14ac:dyDescent="0.25">
      <c r="C36" s="10">
        <v>4</v>
      </c>
      <c r="D36" s="5">
        <v>0</v>
      </c>
      <c r="E36" s="5">
        <v>0</v>
      </c>
      <c r="F36" s="5">
        <v>0.5</v>
      </c>
      <c r="G36" s="5">
        <v>-1.4795206952840101E-3</v>
      </c>
      <c r="H36" s="5">
        <v>-9.9117159843444796E-2</v>
      </c>
      <c r="I36" s="5">
        <v>-1.11160473898053E-3</v>
      </c>
      <c r="J36" s="5">
        <v>-0.115873411297798</v>
      </c>
      <c r="K36" s="5">
        <v>-2.3469403386116002E-3</v>
      </c>
      <c r="L36" s="5">
        <v>0.49583637714385997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-1.5179968904703901E-3</v>
      </c>
      <c r="H37" s="5">
        <f t="shared" ref="H37:L37" si="15">H7</f>
        <v>-0.13914526998996701</v>
      </c>
      <c r="I37" s="5">
        <f t="shared" si="15"/>
        <v>-1.6895274166017799E-3</v>
      </c>
      <c r="J37" s="5">
        <f t="shared" si="15"/>
        <v>-0.208347618579865</v>
      </c>
      <c r="K37" s="5">
        <f t="shared" si="15"/>
        <v>-2.6145353913307199E-3</v>
      </c>
      <c r="L37" s="5">
        <f t="shared" si="15"/>
        <v>0.69233715534210205</v>
      </c>
    </row>
    <row r="38" spans="3:12" x14ac:dyDescent="0.25">
      <c r="C38" s="10">
        <v>5</v>
      </c>
      <c r="D38" s="5">
        <v>0.5</v>
      </c>
      <c r="E38" s="5">
        <v>0</v>
      </c>
      <c r="F38" s="5">
        <v>0</v>
      </c>
      <c r="G38" s="5">
        <v>-3.51023161783814E-4</v>
      </c>
      <c r="H38" s="5">
        <v>-0.133042126893997</v>
      </c>
      <c r="I38" s="5">
        <v>-2.4027160834521099E-3</v>
      </c>
      <c r="J38" s="5">
        <v>-0.196183532476425</v>
      </c>
      <c r="K38" s="5">
        <v>-9.0570524334907497E-3</v>
      </c>
      <c r="L38" s="5">
        <v>0.66389405727386497</v>
      </c>
    </row>
    <row r="39" spans="3:12" x14ac:dyDescent="0.25">
      <c r="C39" s="10">
        <v>5</v>
      </c>
      <c r="D39" s="5">
        <v>0</v>
      </c>
      <c r="E39" s="5">
        <v>0.5</v>
      </c>
      <c r="F39" s="5">
        <v>0</v>
      </c>
      <c r="G39" s="5">
        <v>-2.4652022402733599E-3</v>
      </c>
      <c r="H39" s="5">
        <v>-0.13107772171497301</v>
      </c>
      <c r="I39" s="5">
        <v>-8.2595617277547695E-4</v>
      </c>
      <c r="J39" s="5">
        <v>-0.19345121085643799</v>
      </c>
      <c r="K39" s="5">
        <v>3.0057281255721998E-3</v>
      </c>
      <c r="L39" s="5">
        <v>0.65493339300155595</v>
      </c>
    </row>
    <row r="40" spans="3:12" x14ac:dyDescent="0.25">
      <c r="C40" s="10">
        <v>5</v>
      </c>
      <c r="D40" s="5">
        <v>0</v>
      </c>
      <c r="E40" s="5">
        <v>0</v>
      </c>
      <c r="F40" s="5">
        <v>0.5</v>
      </c>
      <c r="G40" s="5">
        <v>-1.9036105368286399E-3</v>
      </c>
      <c r="H40" s="5">
        <v>-0.14096364378929099</v>
      </c>
      <c r="I40" s="5">
        <v>-1.41268083825707E-3</v>
      </c>
      <c r="J40" s="5">
        <v>-0.21145741641521501</v>
      </c>
      <c r="K40" s="5">
        <v>-8.4137171506881703E-4</v>
      </c>
      <c r="L40" s="5">
        <v>0.70331704616546598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-6.0909817693754998E-4</v>
      </c>
      <c r="H41" s="5">
        <f t="shared" ref="H41:L41" si="16">H8</f>
        <v>-9.3464262783527402E-2</v>
      </c>
      <c r="I41" s="5">
        <f t="shared" si="16"/>
        <v>-1.42273562960327E-3</v>
      </c>
      <c r="J41" s="5">
        <f t="shared" si="16"/>
        <v>-0.183252438902855</v>
      </c>
      <c r="K41" s="5">
        <f t="shared" si="16"/>
        <v>-1.30194798111916E-3</v>
      </c>
      <c r="L41" s="5">
        <f t="shared" si="16"/>
        <v>0.33158546686172502</v>
      </c>
    </row>
    <row r="42" spans="3:12" x14ac:dyDescent="0.25">
      <c r="C42" s="10">
        <v>6</v>
      </c>
      <c r="D42" s="5">
        <v>0.5</v>
      </c>
      <c r="E42" s="5">
        <v>0</v>
      </c>
      <c r="F42" s="5">
        <v>0</v>
      </c>
      <c r="G42" s="5">
        <v>1.2037090491503501E-3</v>
      </c>
      <c r="H42" s="5">
        <v>-8.6668573319911998E-2</v>
      </c>
      <c r="I42" s="5">
        <v>-2.93074361979961E-3</v>
      </c>
      <c r="J42" s="5">
        <v>-0.17014570534229301</v>
      </c>
      <c r="K42" s="5">
        <v>-1.1143077164888399E-2</v>
      </c>
      <c r="L42" s="5">
        <v>0.30808722972869901</v>
      </c>
    </row>
    <row r="43" spans="3:12" x14ac:dyDescent="0.25">
      <c r="C43" s="10">
        <v>6</v>
      </c>
      <c r="D43" s="5">
        <v>0</v>
      </c>
      <c r="E43" s="5">
        <v>0.5</v>
      </c>
      <c r="F43" s="5">
        <v>0</v>
      </c>
      <c r="G43" s="5">
        <v>-1.83276447933167E-3</v>
      </c>
      <c r="H43" s="5">
        <v>-8.5605740547180204E-2</v>
      </c>
      <c r="I43" s="5">
        <v>-1.6621639952063601E-4</v>
      </c>
      <c r="J43" s="5">
        <v>-0.167198911309242</v>
      </c>
      <c r="K43" s="5">
        <v>5.0233425572514499E-3</v>
      </c>
      <c r="L43" s="5">
        <v>0.30530530214309698</v>
      </c>
    </row>
    <row r="44" spans="3:12" x14ac:dyDescent="0.25">
      <c r="C44" s="10">
        <v>6</v>
      </c>
      <c r="D44" s="5">
        <v>0</v>
      </c>
      <c r="E44" s="5">
        <v>0</v>
      </c>
      <c r="F44" s="5">
        <v>0.5</v>
      </c>
      <c r="G44" s="5">
        <v>-1.0226408485323199E-3</v>
      </c>
      <c r="H44" s="5">
        <v>-9.8617747426033006E-2</v>
      </c>
      <c r="I44" s="5">
        <v>-1.1529807234182999E-3</v>
      </c>
      <c r="J44" s="5">
        <v>-0.19415593147277799</v>
      </c>
      <c r="K44" s="5">
        <v>4.1933543980121602E-4</v>
      </c>
      <c r="L44" s="5">
        <v>0.35029289126396201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-8.4166455781087301E-4</v>
      </c>
      <c r="H45" s="5">
        <f t="shared" ref="H45:L45" si="17">H9</f>
        <v>-0.141347721219063</v>
      </c>
      <c r="I45" s="5">
        <f t="shared" si="17"/>
        <v>-2.4875707458704701E-3</v>
      </c>
      <c r="J45" s="5">
        <f t="shared" si="17"/>
        <v>-0.39468729496002197</v>
      </c>
      <c r="K45" s="5">
        <f t="shared" si="17"/>
        <v>-9.2538818717002901E-4</v>
      </c>
      <c r="L45" s="5">
        <f t="shared" si="17"/>
        <v>0.469948559999466</v>
      </c>
    </row>
    <row r="46" spans="3:12" x14ac:dyDescent="0.25">
      <c r="C46" s="10">
        <v>7</v>
      </c>
      <c r="D46" s="5">
        <v>0.5</v>
      </c>
      <c r="E46" s="5">
        <v>0</v>
      </c>
      <c r="F46" s="5">
        <v>0</v>
      </c>
      <c r="G46" s="5">
        <v>1.73850648570806E-3</v>
      </c>
      <c r="H46" s="5">
        <v>-0.13492897152900701</v>
      </c>
      <c r="I46" s="5">
        <v>-4.3936967849731402E-3</v>
      </c>
      <c r="J46" s="5">
        <v>-0.37507843971252403</v>
      </c>
      <c r="K46" s="5">
        <v>-1.50443464517593E-2</v>
      </c>
      <c r="L46" s="5">
        <v>0.44931906461715698</v>
      </c>
    </row>
    <row r="47" spans="3:12" x14ac:dyDescent="0.25">
      <c r="C47" s="10">
        <v>7</v>
      </c>
      <c r="D47" s="5">
        <v>0</v>
      </c>
      <c r="E47" s="5">
        <v>0.5</v>
      </c>
      <c r="F47" s="5">
        <v>0</v>
      </c>
      <c r="G47" s="5">
        <v>-2.3572284262627398E-3</v>
      </c>
      <c r="H47" s="5">
        <v>-0.134032398462296</v>
      </c>
      <c r="I47" s="5">
        <v>-1.0936050675809401E-3</v>
      </c>
      <c r="J47" s="5">
        <v>-0.37078517675399802</v>
      </c>
      <c r="K47" s="5">
        <v>7.2776749730110203E-3</v>
      </c>
      <c r="L47" s="5">
        <v>0.44731330871581998</v>
      </c>
    </row>
    <row r="48" spans="3:12" x14ac:dyDescent="0.25">
      <c r="C48" s="10">
        <v>7</v>
      </c>
      <c r="D48" s="5">
        <v>0</v>
      </c>
      <c r="E48" s="5">
        <v>0</v>
      </c>
      <c r="F48" s="5">
        <v>0.5</v>
      </c>
      <c r="G48" s="5">
        <v>-1.1145805474370701E-3</v>
      </c>
      <c r="H48" s="5">
        <v>-0.14394843578338601</v>
      </c>
      <c r="I48" s="5">
        <v>-2.3165070451796098E-3</v>
      </c>
      <c r="J48" s="5">
        <v>-0.403363257646561</v>
      </c>
      <c r="K48" s="5">
        <v>4.0146335959434498E-4</v>
      </c>
      <c r="L48" s="5">
        <v>0.47848188877105702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-2.5411224924027898E-3</v>
      </c>
      <c r="H49" s="5">
        <f t="shared" ref="H49:L49" si="18">H10</f>
        <v>-0.16168536245822901</v>
      </c>
      <c r="I49" s="5">
        <f t="shared" si="18"/>
        <v>-2.0260578021407101E-3</v>
      </c>
      <c r="J49" s="5">
        <f t="shared" si="18"/>
        <v>-0.81751561164856001</v>
      </c>
      <c r="K49" s="5">
        <f t="shared" si="18"/>
        <v>1.46271400153637E-2</v>
      </c>
      <c r="L49" s="5">
        <f t="shared" si="18"/>
        <v>0.27560678124427801</v>
      </c>
    </row>
    <row r="50" spans="3:12" x14ac:dyDescent="0.25">
      <c r="C50" s="10">
        <v>8</v>
      </c>
      <c r="D50" s="5">
        <v>0.5</v>
      </c>
      <c r="E50" s="5">
        <v>0</v>
      </c>
      <c r="F50" s="5">
        <v>0</v>
      </c>
      <c r="G50" s="5">
        <v>1.46241171751171E-3</v>
      </c>
      <c r="H50" s="5">
        <v>-0.15536318719387099</v>
      </c>
      <c r="I50" s="5">
        <v>-4.2329323478043097E-3</v>
      </c>
      <c r="J50" s="5">
        <v>-0.78456133604049705</v>
      </c>
      <c r="K50" s="5">
        <v>-1.03112626820803E-2</v>
      </c>
      <c r="L50" s="5">
        <v>0.26781278848648099</v>
      </c>
    </row>
    <row r="51" spans="3:12" x14ac:dyDescent="0.25">
      <c r="C51" s="10">
        <v>8</v>
      </c>
      <c r="D51" s="5">
        <v>0</v>
      </c>
      <c r="E51" s="5">
        <v>0.5</v>
      </c>
      <c r="F51" s="5">
        <v>0</v>
      </c>
      <c r="G51" s="5">
        <v>-5.4136812686920201E-3</v>
      </c>
      <c r="H51" s="5">
        <v>-0.15256731212139099</v>
      </c>
      <c r="I51" s="5">
        <v>-1.5825626906007501E-4</v>
      </c>
      <c r="J51" s="5">
        <v>-0.76911365985870395</v>
      </c>
      <c r="K51" s="5">
        <v>3.0860535800457001E-2</v>
      </c>
      <c r="L51" s="5">
        <v>0.26559501886367798</v>
      </c>
    </row>
    <row r="52" spans="3:12" x14ac:dyDescent="0.25">
      <c r="C52" s="10">
        <v>8</v>
      </c>
      <c r="D52" s="5">
        <v>0</v>
      </c>
      <c r="E52" s="5">
        <v>0</v>
      </c>
      <c r="F52" s="5">
        <v>0.5</v>
      </c>
      <c r="G52" s="5">
        <v>-3.1977551989257301E-3</v>
      </c>
      <c r="H52" s="5">
        <v>-0.159011796116829</v>
      </c>
      <c r="I52" s="5">
        <v>-1.5717856585979501E-3</v>
      </c>
      <c r="J52" s="5">
        <v>-0.80537450313568104</v>
      </c>
      <c r="K52" s="5">
        <v>1.7601598054170602E-2</v>
      </c>
      <c r="L52" s="5">
        <v>0.27209404110908503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-7.7232124749571096E-4</v>
      </c>
      <c r="H53" s="5">
        <f t="shared" ref="H53:L53" si="19">H11</f>
        <v>-7.1722365915775299E-2</v>
      </c>
      <c r="I53" s="5">
        <f t="shared" si="19"/>
        <v>-7.8877643682062604E-4</v>
      </c>
      <c r="J53" s="5">
        <f t="shared" si="19"/>
        <v>-0.14824971556663499</v>
      </c>
      <c r="K53" s="5">
        <f t="shared" si="19"/>
        <v>-2.5316514074802399E-4</v>
      </c>
      <c r="L53" s="5">
        <f t="shared" si="19"/>
        <v>0.21111465990543399</v>
      </c>
    </row>
    <row r="54" spans="3:12" x14ac:dyDescent="0.25">
      <c r="C54" s="10">
        <v>9</v>
      </c>
      <c r="D54" s="5">
        <v>0.5</v>
      </c>
      <c r="E54" s="5">
        <v>0</v>
      </c>
      <c r="F54" s="5">
        <v>0</v>
      </c>
      <c r="G54" s="5">
        <v>1.05093140155077E-3</v>
      </c>
      <c r="H54" s="5">
        <v>-6.5536044538021102E-2</v>
      </c>
      <c r="I54" s="5">
        <v>-2.6580682024359699E-3</v>
      </c>
      <c r="J54" s="5">
        <v>-0.13425213098526001</v>
      </c>
      <c r="K54" s="5">
        <v>-1.00293178111315E-2</v>
      </c>
      <c r="L54" s="5">
        <v>0.19304402172565499</v>
      </c>
    </row>
    <row r="55" spans="3:12" x14ac:dyDescent="0.25">
      <c r="C55" s="10">
        <v>9</v>
      </c>
      <c r="D55" s="5">
        <v>0</v>
      </c>
      <c r="E55" s="5">
        <v>0.5</v>
      </c>
      <c r="F55" s="5">
        <v>0</v>
      </c>
      <c r="G55" s="5">
        <v>-2.48786807060242E-3</v>
      </c>
      <c r="H55" s="5">
        <v>-6.3641197979450198E-2</v>
      </c>
      <c r="I55" s="5">
        <v>1.2721515959128701E-3</v>
      </c>
      <c r="J55" s="5">
        <v>-0.13072858750820199</v>
      </c>
      <c r="K55" s="5">
        <v>8.9522618800401705E-3</v>
      </c>
      <c r="L55" s="5">
        <v>0.18866416811943101</v>
      </c>
    </row>
    <row r="56" spans="3:12" x14ac:dyDescent="0.25">
      <c r="C56" s="10">
        <v>9</v>
      </c>
      <c r="D56" s="5">
        <v>0</v>
      </c>
      <c r="E56" s="5">
        <v>0</v>
      </c>
      <c r="F56" s="5">
        <v>0.5</v>
      </c>
      <c r="G56" s="5">
        <v>-1.32597866468132E-3</v>
      </c>
      <c r="H56" s="5">
        <v>-7.5712852180004106E-2</v>
      </c>
      <c r="I56" s="5">
        <v>-2.6658832211978701E-4</v>
      </c>
      <c r="J56" s="5">
        <v>-0.15775524079799699</v>
      </c>
      <c r="K56" s="5">
        <v>2.5443397462367998E-3</v>
      </c>
      <c r="L56" s="5">
        <v>0.22141568362712899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-1.37498124968261E-3</v>
      </c>
      <c r="H57" s="5">
        <f t="shared" ref="H57:L57" si="20">H12</f>
        <v>-0.13238599896431</v>
      </c>
      <c r="I57" s="5">
        <f t="shared" si="20"/>
        <v>-1.95983843877912E-3</v>
      </c>
      <c r="J57" s="5">
        <f t="shared" si="20"/>
        <v>-0.64118611812591597</v>
      </c>
      <c r="K57" s="5">
        <f t="shared" si="20"/>
        <v>9.5805265009403194E-3</v>
      </c>
      <c r="L57" s="5">
        <f t="shared" si="20"/>
        <v>0.17886316776275599</v>
      </c>
    </row>
    <row r="58" spans="3:12" x14ac:dyDescent="0.25">
      <c r="C58" s="10">
        <v>10</v>
      </c>
      <c r="D58" s="5">
        <v>0.5</v>
      </c>
      <c r="E58" s="5">
        <v>0</v>
      </c>
      <c r="F58" s="5">
        <v>0</v>
      </c>
      <c r="G58" s="5">
        <v>2.7742243837565201E-3</v>
      </c>
      <c r="H58" s="5">
        <v>-0.12640069425105999</v>
      </c>
      <c r="I58" s="5">
        <v>-4.4926148839294902E-3</v>
      </c>
      <c r="J58" s="5">
        <v>-0.611619472503662</v>
      </c>
      <c r="K58" s="5">
        <v>-1.3764277100563001E-2</v>
      </c>
      <c r="L58" s="5">
        <v>0.17358303070068401</v>
      </c>
    </row>
    <row r="59" spans="3:12" x14ac:dyDescent="0.25">
      <c r="C59" s="10">
        <v>10</v>
      </c>
      <c r="D59" s="5">
        <v>0</v>
      </c>
      <c r="E59" s="5">
        <v>0.5</v>
      </c>
      <c r="F59" s="5">
        <v>0</v>
      </c>
      <c r="G59" s="5">
        <v>-4.7706048935651797E-3</v>
      </c>
      <c r="H59" s="5">
        <v>-0.123556599020958</v>
      </c>
      <c r="I59" s="5">
        <v>4.5674253487959499E-4</v>
      </c>
      <c r="J59" s="5">
        <v>-0.59595751762390103</v>
      </c>
      <c r="K59" s="5">
        <v>2.8639040887355801E-2</v>
      </c>
      <c r="L59" s="5">
        <v>0.170791536569595</v>
      </c>
    </row>
    <row r="60" spans="3:12" x14ac:dyDescent="0.25">
      <c r="C60" s="10">
        <v>10</v>
      </c>
      <c r="D60" s="5">
        <v>0</v>
      </c>
      <c r="E60" s="5">
        <v>0</v>
      </c>
      <c r="F60" s="5">
        <v>0.5</v>
      </c>
      <c r="G60" s="5">
        <v>-2.6656663976609698E-3</v>
      </c>
      <c r="H60" s="5">
        <v>-0.13127295672893499</v>
      </c>
      <c r="I60" s="5">
        <v>-1.0825206991285101E-3</v>
      </c>
      <c r="J60" s="5">
        <v>-0.63895452022552501</v>
      </c>
      <c r="K60" s="5">
        <v>1.65862292051315E-2</v>
      </c>
      <c r="L60" s="5">
        <v>0.175496116280556</v>
      </c>
    </row>
  </sheetData>
  <mergeCells count="10">
    <mergeCell ref="A14:C14"/>
    <mergeCell ref="G20:L20"/>
    <mergeCell ref="W5:Y5"/>
    <mergeCell ref="A1:F1"/>
    <mergeCell ref="G1:L1"/>
    <mergeCell ref="Q1:S1"/>
    <mergeCell ref="W1:Y1"/>
    <mergeCell ref="W2:Y2"/>
    <mergeCell ref="M1:P1"/>
    <mergeCell ref="T1:V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0736-1722-4350-9DE0-8A911956EF0F}">
  <dimension ref="A1:AY61"/>
  <sheetViews>
    <sheetView workbookViewId="0">
      <pane ySplit="3" topLeftCell="A4" activePane="bottomLeft" state="frozen"/>
      <selection activeCell="K1" sqref="K1"/>
      <selection pane="bottomLeft" activeCell="R19" sqref="R19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425781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51" ht="15.75" thickBot="1" x14ac:dyDescent="0.3">
      <c r="A1" s="34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AA1" s="34" t="s">
        <v>43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1" ht="15.75" x14ac:dyDescent="0.25">
      <c r="A2" s="15" t="s">
        <v>11</v>
      </c>
      <c r="B2" s="15"/>
      <c r="C2" s="15"/>
      <c r="D2" s="15"/>
      <c r="E2" s="15"/>
      <c r="F2" s="16"/>
      <c r="G2" s="17" t="s">
        <v>6</v>
      </c>
      <c r="H2" s="18"/>
      <c r="I2" s="18"/>
      <c r="J2" s="18"/>
      <c r="K2" s="18"/>
      <c r="L2" s="18"/>
      <c r="M2" s="25" t="s">
        <v>41</v>
      </c>
      <c r="N2" s="26"/>
      <c r="O2" s="26"/>
      <c r="P2" s="26"/>
      <c r="Q2" s="27" t="s">
        <v>13</v>
      </c>
      <c r="R2" s="27"/>
      <c r="S2" s="27"/>
      <c r="T2" s="30" t="s">
        <v>40</v>
      </c>
      <c r="U2" s="30"/>
      <c r="V2" s="30"/>
      <c r="W2" s="28"/>
      <c r="X2" s="28"/>
      <c r="Y2" s="28"/>
      <c r="AA2" s="15" t="s">
        <v>11</v>
      </c>
      <c r="AB2" s="15"/>
      <c r="AC2" s="15"/>
      <c r="AD2" s="15"/>
      <c r="AE2" s="15"/>
      <c r="AF2" s="16"/>
      <c r="AG2" s="17" t="s">
        <v>6</v>
      </c>
      <c r="AH2" s="18"/>
      <c r="AI2" s="18"/>
      <c r="AJ2" s="18"/>
      <c r="AK2" s="18"/>
      <c r="AL2" s="18"/>
      <c r="AM2" s="25" t="s">
        <v>41</v>
      </c>
      <c r="AN2" s="26"/>
      <c r="AO2" s="26"/>
      <c r="AP2" s="26"/>
      <c r="AQ2" s="27" t="s">
        <v>13</v>
      </c>
      <c r="AR2" s="27"/>
      <c r="AS2" s="27"/>
      <c r="AT2" s="30" t="s">
        <v>40</v>
      </c>
      <c r="AU2" s="30"/>
      <c r="AV2" s="30"/>
      <c r="AW2" s="28"/>
      <c r="AX2" s="28"/>
      <c r="AY2" s="28"/>
    </row>
    <row r="3" spans="1:51" ht="15.75" x14ac:dyDescent="0.25">
      <c r="A3" s="1" t="s">
        <v>34</v>
      </c>
      <c r="B3" s="1" t="s">
        <v>35</v>
      </c>
      <c r="C3" s="1" t="s">
        <v>36</v>
      </c>
      <c r="D3" s="1" t="s">
        <v>8</v>
      </c>
      <c r="E3" s="1" t="s">
        <v>9</v>
      </c>
      <c r="F3" s="1" t="s">
        <v>10</v>
      </c>
      <c r="G3" s="2" t="s">
        <v>3</v>
      </c>
      <c r="H3" s="1" t="s">
        <v>4</v>
      </c>
      <c r="I3" s="1" t="s">
        <v>5</v>
      </c>
      <c r="J3" s="1" t="s">
        <v>0</v>
      </c>
      <c r="K3" s="1" t="s">
        <v>1</v>
      </c>
      <c r="L3" s="1" t="s">
        <v>2</v>
      </c>
      <c r="M3" s="3" t="s">
        <v>34</v>
      </c>
      <c r="N3" s="1" t="s">
        <v>35</v>
      </c>
      <c r="O3" s="1" t="s">
        <v>36</v>
      </c>
      <c r="P3" s="2" t="s">
        <v>27</v>
      </c>
      <c r="Q3" s="3" t="s">
        <v>34</v>
      </c>
      <c r="R3" s="1" t="s">
        <v>35</v>
      </c>
      <c r="S3" s="1" t="s">
        <v>36</v>
      </c>
      <c r="T3" s="3" t="s">
        <v>34</v>
      </c>
      <c r="U3" s="1" t="s">
        <v>35</v>
      </c>
      <c r="V3" s="1" t="s">
        <v>36</v>
      </c>
      <c r="W3" s="29" t="s">
        <v>26</v>
      </c>
      <c r="X3" s="29"/>
      <c r="Y3" s="29"/>
      <c r="AA3" s="1" t="s">
        <v>34</v>
      </c>
      <c r="AB3" s="1" t="s">
        <v>35</v>
      </c>
      <c r="AC3" s="1" t="s">
        <v>36</v>
      </c>
      <c r="AD3" s="1" t="s">
        <v>8</v>
      </c>
      <c r="AE3" s="1" t="s">
        <v>9</v>
      </c>
      <c r="AF3" s="1" t="s">
        <v>10</v>
      </c>
      <c r="AG3" s="2" t="s">
        <v>3</v>
      </c>
      <c r="AH3" s="1" t="s">
        <v>4</v>
      </c>
      <c r="AI3" s="1" t="s">
        <v>5</v>
      </c>
      <c r="AJ3" s="1" t="s">
        <v>0</v>
      </c>
      <c r="AK3" s="1" t="s">
        <v>1</v>
      </c>
      <c r="AL3" s="1" t="s">
        <v>2</v>
      </c>
      <c r="AM3" s="3" t="s">
        <v>34</v>
      </c>
      <c r="AN3" s="1" t="s">
        <v>35</v>
      </c>
      <c r="AO3" s="1" t="s">
        <v>36</v>
      </c>
      <c r="AP3" s="2" t="s">
        <v>27</v>
      </c>
      <c r="AQ3" s="3" t="s">
        <v>34</v>
      </c>
      <c r="AR3" s="1" t="s">
        <v>35</v>
      </c>
      <c r="AS3" s="1" t="s">
        <v>36</v>
      </c>
      <c r="AT3" s="3" t="s">
        <v>34</v>
      </c>
      <c r="AU3" s="1" t="s">
        <v>35</v>
      </c>
      <c r="AV3" s="1" t="s">
        <v>36</v>
      </c>
      <c r="AW3" s="29" t="s">
        <v>26</v>
      </c>
      <c r="AX3" s="29"/>
      <c r="AY3" s="29"/>
    </row>
    <row r="4" spans="1:51" ht="15.75" x14ac:dyDescent="0.25">
      <c r="A4" s="5">
        <f>'Proximal Validation'!A3</f>
        <v>0.4</v>
      </c>
      <c r="B4" s="5">
        <f>'Proximal Validation'!B3</f>
        <v>0.06</v>
      </c>
      <c r="C4" s="5">
        <f>'Proximal Validation'!C3</f>
        <v>1.5707963267948966</v>
      </c>
      <c r="D4" s="5">
        <f>'Proximal Validation'!D3</f>
        <v>0</v>
      </c>
      <c r="E4" s="5">
        <f>'Proximal Validation'!E3</f>
        <v>0</v>
      </c>
      <c r="F4" s="5">
        <f>'Proximal Validation'!F3</f>
        <v>0</v>
      </c>
      <c r="G4" s="5">
        <f>'Proximal Validation'!G3</f>
        <v>-4.37921960838139E-4</v>
      </c>
      <c r="H4" s="5">
        <f>'Proximal Validation'!H3</f>
        <v>-5.4464954882860198E-2</v>
      </c>
      <c r="I4" s="5">
        <f>'Proximal Validation'!I3</f>
        <v>-2.8745096642523999E-4</v>
      </c>
      <c r="J4" s="5">
        <f>'Proximal Validation'!J3</f>
        <v>-2.13129706680775E-2</v>
      </c>
      <c r="K4" s="5">
        <f>'Proximal Validation'!K3</f>
        <v>1.85158103704453E-4</v>
      </c>
      <c r="L4" s="5">
        <f>'Proximal Validation'!L3</f>
        <v>0.34822303056716902</v>
      </c>
      <c r="M4" s="8"/>
      <c r="N4" s="8"/>
      <c r="O4" s="8"/>
      <c r="P4" s="8"/>
      <c r="Q4" s="5">
        <f>M4-A4</f>
        <v>-0.4</v>
      </c>
      <c r="R4" s="5">
        <f>N4-B4</f>
        <v>-0.06</v>
      </c>
      <c r="S4" s="5">
        <f>O4-C4</f>
        <v>-1.5707963267948966</v>
      </c>
      <c r="T4" s="5">
        <f>ABS(Q4)</f>
        <v>0.4</v>
      </c>
      <c r="U4" s="5">
        <f t="shared" ref="U4:V13" si="0">ABS(R4)</f>
        <v>0.06</v>
      </c>
      <c r="V4" s="5">
        <f t="shared" si="0"/>
        <v>1.5707963267948966</v>
      </c>
      <c r="W4" s="1" t="s">
        <v>23</v>
      </c>
      <c r="X4" s="1" t="s">
        <v>24</v>
      </c>
      <c r="Y4" s="1" t="s">
        <v>25</v>
      </c>
      <c r="AA4" s="5">
        <f>'Proximal Validation'!A3</f>
        <v>0.4</v>
      </c>
      <c r="AB4" s="5">
        <f>'Proximal Validation'!B3</f>
        <v>0.06</v>
      </c>
      <c r="AC4" s="5">
        <f>'Proximal Validation'!C3</f>
        <v>1.5707963267948966</v>
      </c>
      <c r="AD4" s="5">
        <f>'Proximal Validation'!D3</f>
        <v>0</v>
      </c>
      <c r="AE4" s="5">
        <f>'Proximal Validation'!E3</f>
        <v>0</v>
      </c>
      <c r="AF4" s="5">
        <f>'Proximal Validation'!F3</f>
        <v>0</v>
      </c>
      <c r="AG4" s="5">
        <f>'Proximal Validation'!G3</f>
        <v>-4.37921960838139E-4</v>
      </c>
      <c r="AH4" s="5">
        <f>'Proximal Validation'!H3</f>
        <v>-5.4464954882860198E-2</v>
      </c>
      <c r="AI4" s="5">
        <f>'Proximal Validation'!I3</f>
        <v>-2.8745096642523999E-4</v>
      </c>
      <c r="AJ4" s="5">
        <f>'Proximal Validation'!J3</f>
        <v>-2.13129706680775E-2</v>
      </c>
      <c r="AK4" s="5">
        <f>'Proximal Validation'!K3</f>
        <v>1.85158103704453E-4</v>
      </c>
      <c r="AL4" s="5">
        <f>'Proximal Validation'!L3</f>
        <v>0.34822303056716902</v>
      </c>
      <c r="AM4" s="8">
        <v>0.90280937245662962</v>
      </c>
      <c r="AN4" s="8">
        <v>7.3504807421227364E-2</v>
      </c>
      <c r="AO4" s="8">
        <v>1.5860913566047261</v>
      </c>
      <c r="AP4" s="8">
        <v>2.1199761470585318E-4</v>
      </c>
      <c r="AQ4" s="5">
        <f>AM4-AA4</f>
        <v>0.5028093724566296</v>
      </c>
      <c r="AR4" s="5">
        <f>AN4-AB4</f>
        <v>1.3504807421227366E-2</v>
      </c>
      <c r="AS4" s="5">
        <f>AO4-AC4</f>
        <v>1.5295029809829552E-2</v>
      </c>
      <c r="AT4" s="5">
        <f>ABS(AQ4)</f>
        <v>0.5028093724566296</v>
      </c>
      <c r="AU4" s="5">
        <f t="shared" ref="AU4:AU13" si="1">ABS(AR4)</f>
        <v>1.3504807421227366E-2</v>
      </c>
      <c r="AV4" s="5">
        <f t="shared" ref="AV4:AV13" si="2">ABS(AS4)</f>
        <v>1.5295029809829552E-2</v>
      </c>
      <c r="AW4" s="1" t="s">
        <v>23</v>
      </c>
      <c r="AX4" s="1" t="s">
        <v>24</v>
      </c>
      <c r="AY4" s="1" t="s">
        <v>25</v>
      </c>
    </row>
    <row r="5" spans="1:51" x14ac:dyDescent="0.25">
      <c r="A5" s="8">
        <f>'Proximal Validation'!A4</f>
        <v>0.8</v>
      </c>
      <c r="B5" s="8">
        <f>'Proximal Validation'!B4</f>
        <v>0.06</v>
      </c>
      <c r="C5" s="8">
        <f>'Proximal Validation'!C4</f>
        <v>1.5707963267948966</v>
      </c>
      <c r="D5" s="8">
        <f>'Proximal Validation'!D4</f>
        <v>0</v>
      </c>
      <c r="E5" s="8">
        <f>'Proximal Validation'!E4</f>
        <v>0</v>
      </c>
      <c r="F5" s="8">
        <f>'Proximal Validation'!F4</f>
        <v>0</v>
      </c>
      <c r="G5" s="8">
        <f>'Proximal Validation'!G4</f>
        <v>-1.2904058676213E-3</v>
      </c>
      <c r="H5" s="8">
        <f>'Proximal Validation'!H4</f>
        <v>-0.130890563130379</v>
      </c>
      <c r="I5" s="8">
        <f>'Proximal Validation'!I4</f>
        <v>-5.0724833272397496E-4</v>
      </c>
      <c r="J5" s="8">
        <f>'Proximal Validation'!J4</f>
        <v>-0.12710034847259499</v>
      </c>
      <c r="K5" s="8">
        <f>'Proximal Validation'!K4</f>
        <v>3.3702701330184902E-3</v>
      </c>
      <c r="L5" s="8">
        <f>'Proximal Validation'!L4</f>
        <v>0.83409011363983199</v>
      </c>
      <c r="M5" s="8"/>
      <c r="N5" s="8"/>
      <c r="O5" s="8"/>
      <c r="P5" s="8"/>
      <c r="Q5" s="5">
        <f t="shared" ref="Q5:S13" si="3">M5-A5</f>
        <v>-0.8</v>
      </c>
      <c r="R5" s="5">
        <f t="shared" si="3"/>
        <v>-0.06</v>
      </c>
      <c r="S5" s="5">
        <f t="shared" si="3"/>
        <v>-1.5707963267948966</v>
      </c>
      <c r="T5" s="5">
        <f t="shared" ref="T5:T13" si="4">ABS(Q5)</f>
        <v>0.8</v>
      </c>
      <c r="U5" s="5">
        <f t="shared" si="0"/>
        <v>0.06</v>
      </c>
      <c r="V5" s="5">
        <f t="shared" si="0"/>
        <v>1.5707963267948966</v>
      </c>
      <c r="W5" s="6" cm="1">
        <f t="array" ref="W5">AVERAGE(ABS(Q4:Q13))</f>
        <v>0.55000000000000004</v>
      </c>
      <c r="X5" s="6" cm="1">
        <f t="array" ref="X5">AVERAGE(ABS(R4:R13))</f>
        <v>0.13</v>
      </c>
      <c r="Y5" s="6" cm="1">
        <f t="array" ref="Y5">AVERAGE(ABS(S4:S13))</f>
        <v>1.5707963267948966</v>
      </c>
      <c r="AA5" s="8">
        <f>'Proximal Validation'!A4</f>
        <v>0.8</v>
      </c>
      <c r="AB5" s="8">
        <f>'Proximal Validation'!B4</f>
        <v>0.06</v>
      </c>
      <c r="AC5" s="8">
        <f>'Proximal Validation'!C4</f>
        <v>1.5707963267948966</v>
      </c>
      <c r="AD5" s="8">
        <f>'Proximal Validation'!D4</f>
        <v>0</v>
      </c>
      <c r="AE5" s="8">
        <f>'Proximal Validation'!E4</f>
        <v>0</v>
      </c>
      <c r="AF5" s="8">
        <f>'Proximal Validation'!F4</f>
        <v>0</v>
      </c>
      <c r="AG5" s="8">
        <f>'Proximal Validation'!G4</f>
        <v>-1.2904058676213E-3</v>
      </c>
      <c r="AH5" s="8">
        <f>'Proximal Validation'!H4</f>
        <v>-0.130890563130379</v>
      </c>
      <c r="AI5" s="8">
        <f>'Proximal Validation'!I4</f>
        <v>-5.0724833272397496E-4</v>
      </c>
      <c r="AJ5" s="8">
        <f>'Proximal Validation'!J4</f>
        <v>-0.12710034847259499</v>
      </c>
      <c r="AK5" s="8">
        <f>'Proximal Validation'!K4</f>
        <v>3.3702701330184902E-3</v>
      </c>
      <c r="AL5" s="8">
        <f>'Proximal Validation'!L4</f>
        <v>0.83409011363983199</v>
      </c>
      <c r="AM5" s="8">
        <v>0.88619393783422673</v>
      </c>
      <c r="AN5" s="8">
        <v>7.7520968239498028E-2</v>
      </c>
      <c r="AO5" s="8">
        <v>1.5993199661293449</v>
      </c>
      <c r="AP5" s="8">
        <v>7.7792135483811787E-4</v>
      </c>
      <c r="AQ5" s="5">
        <f t="shared" ref="AQ5:AQ13" si="5">AM5-AA5</f>
        <v>8.6193937834226686E-2</v>
      </c>
      <c r="AR5" s="5">
        <f t="shared" ref="AR5:AR13" si="6">AN5-AB5</f>
        <v>1.752096823949803E-2</v>
      </c>
      <c r="AS5" s="5">
        <f t="shared" ref="AS5:AS13" si="7">AO5-AC5</f>
        <v>2.8523639334448347E-2</v>
      </c>
      <c r="AT5" s="5">
        <f t="shared" ref="AT5:AT13" si="8">ABS(AQ5)</f>
        <v>8.6193937834226686E-2</v>
      </c>
      <c r="AU5" s="5">
        <f t="shared" si="1"/>
        <v>1.752096823949803E-2</v>
      </c>
      <c r="AV5" s="5">
        <f t="shared" si="2"/>
        <v>2.8523639334448347E-2</v>
      </c>
      <c r="AW5" s="6" cm="1">
        <f t="array" ref="AW5">AVERAGE(ABS(AQ4:AQ13))</f>
        <v>0.16765908823383766</v>
      </c>
      <c r="AX5" s="6" cm="1">
        <f t="array" ref="AX5">AVERAGE(ABS(AR4:AR13))</f>
        <v>1.0799263321470187E-2</v>
      </c>
      <c r="AY5" s="6" cm="1">
        <f t="array" ref="AY5">AVERAGE(ABS(AS4:AS13))</f>
        <v>1.3400209778654614E-2</v>
      </c>
    </row>
    <row r="6" spans="1:51" x14ac:dyDescent="0.25">
      <c r="A6" s="5">
        <f>'Proximal Validation'!A5</f>
        <v>0.3</v>
      </c>
      <c r="B6" s="5">
        <f>'Proximal Validation'!B5</f>
        <v>0.08</v>
      </c>
      <c r="C6" s="5">
        <f>'Proximal Validation'!C5</f>
        <v>1.5707963267948966</v>
      </c>
      <c r="D6" s="5">
        <f>'Proximal Validation'!D5</f>
        <v>0</v>
      </c>
      <c r="E6" s="5">
        <f>'Proximal Validation'!E5</f>
        <v>0</v>
      </c>
      <c r="F6" s="5">
        <f>'Proximal Validation'!F5</f>
        <v>0</v>
      </c>
      <c r="G6" s="5">
        <f>'Proximal Validation'!G5</f>
        <v>-4.4532003812491899E-4</v>
      </c>
      <c r="H6" s="5">
        <f>'Proximal Validation'!H5</f>
        <v>-4.79050725698471E-2</v>
      </c>
      <c r="I6" s="5">
        <f>'Proximal Validation'!I5</f>
        <v>-1.45487196277827E-4</v>
      </c>
      <c r="J6" s="5">
        <f>'Proximal Validation'!J5</f>
        <v>-1.52218556031585E-2</v>
      </c>
      <c r="K6" s="5">
        <f>'Proximal Validation'!K5</f>
        <v>-1.61819159984589E-4</v>
      </c>
      <c r="L6" s="5">
        <f>'Proximal Validation'!L5</f>
        <v>0.269099742174149</v>
      </c>
      <c r="M6" s="8"/>
      <c r="N6" s="8"/>
      <c r="O6" s="8"/>
      <c r="P6" s="8"/>
      <c r="Q6" s="5">
        <f t="shared" si="3"/>
        <v>-0.3</v>
      </c>
      <c r="R6" s="5">
        <f t="shared" si="3"/>
        <v>-0.08</v>
      </c>
      <c r="S6" s="5">
        <f t="shared" si="3"/>
        <v>-1.5707963267948966</v>
      </c>
      <c r="T6" s="5">
        <f t="shared" si="4"/>
        <v>0.3</v>
      </c>
      <c r="U6" s="5">
        <f t="shared" si="0"/>
        <v>0.08</v>
      </c>
      <c r="V6" s="5">
        <f t="shared" si="0"/>
        <v>1.5707963267948966</v>
      </c>
      <c r="W6" s="24"/>
      <c r="X6" s="24"/>
      <c r="Y6" s="24"/>
      <c r="AA6" s="5">
        <f>'Proximal Validation'!A5</f>
        <v>0.3</v>
      </c>
      <c r="AB6" s="5">
        <f>'Proximal Validation'!B5</f>
        <v>0.08</v>
      </c>
      <c r="AC6" s="5">
        <f>'Proximal Validation'!C5</f>
        <v>1.5707963267948966</v>
      </c>
      <c r="AD6" s="5">
        <f>'Proximal Validation'!D5</f>
        <v>0</v>
      </c>
      <c r="AE6" s="5">
        <f>'Proximal Validation'!E5</f>
        <v>0</v>
      </c>
      <c r="AF6" s="5">
        <f>'Proximal Validation'!F5</f>
        <v>0</v>
      </c>
      <c r="AG6" s="5">
        <f>'Proximal Validation'!G5</f>
        <v>-4.4532003812491899E-4</v>
      </c>
      <c r="AH6" s="5">
        <f>'Proximal Validation'!H5</f>
        <v>-4.79050725698471E-2</v>
      </c>
      <c r="AI6" s="5">
        <f>'Proximal Validation'!I5</f>
        <v>-1.45487196277827E-4</v>
      </c>
      <c r="AJ6" s="5">
        <f>'Proximal Validation'!J5</f>
        <v>-1.52218556031585E-2</v>
      </c>
      <c r="AK6" s="5">
        <f>'Proximal Validation'!K5</f>
        <v>-1.61819159984589E-4</v>
      </c>
      <c r="AL6" s="5">
        <f>'Proximal Validation'!L5</f>
        <v>0.269099742174149</v>
      </c>
      <c r="AM6" s="8">
        <v>0.63721851611505154</v>
      </c>
      <c r="AN6" s="8">
        <v>8.7793440106066878E-2</v>
      </c>
      <c r="AO6" s="8">
        <v>1.5812845010112011</v>
      </c>
      <c r="AP6" s="8">
        <v>2.1709110139151531E-5</v>
      </c>
      <c r="AQ6" s="5">
        <f t="shared" si="5"/>
        <v>0.33721851611505155</v>
      </c>
      <c r="AR6" s="5">
        <f t="shared" si="6"/>
        <v>7.7934401060668762E-3</v>
      </c>
      <c r="AS6" s="5">
        <f t="shared" si="7"/>
        <v>1.0488174216304547E-2</v>
      </c>
      <c r="AT6" s="5">
        <f t="shared" si="8"/>
        <v>0.33721851611505155</v>
      </c>
      <c r="AU6" s="5">
        <f t="shared" si="1"/>
        <v>7.7934401060668762E-3</v>
      </c>
      <c r="AV6" s="5">
        <f t="shared" si="2"/>
        <v>1.0488174216304547E-2</v>
      </c>
      <c r="AW6" s="24"/>
      <c r="AX6" s="24"/>
      <c r="AY6" s="24"/>
    </row>
    <row r="7" spans="1:51" x14ac:dyDescent="0.25">
      <c r="A7" s="5">
        <f>'Proximal Validation'!A6</f>
        <v>0.5</v>
      </c>
      <c r="B7" s="5">
        <f>'Proximal Validation'!B6</f>
        <v>0.1</v>
      </c>
      <c r="C7" s="5">
        <f>'Proximal Validation'!C6</f>
        <v>1.5707963267948966</v>
      </c>
      <c r="D7" s="5">
        <f>'Proximal Validation'!D6</f>
        <v>0</v>
      </c>
      <c r="E7" s="5">
        <f>'Proximal Validation'!E6</f>
        <v>0</v>
      </c>
      <c r="F7" s="5">
        <f>'Proximal Validation'!F6</f>
        <v>0</v>
      </c>
      <c r="G7" s="5">
        <f>'Proximal Validation'!G6</f>
        <v>-1.1705639772117101E-3</v>
      </c>
      <c r="H7" s="5">
        <f>'Proximal Validation'!H6</f>
        <v>-9.4456188380718203E-2</v>
      </c>
      <c r="I7" s="5">
        <f>'Proximal Validation'!I6</f>
        <v>-1.20323454029858E-3</v>
      </c>
      <c r="J7" s="5">
        <f>'Proximal Validation'!J6</f>
        <v>-0.111187651753426</v>
      </c>
      <c r="K7" s="5">
        <f>'Proximal Validation'!K6</f>
        <v>-3.2553412020206499E-3</v>
      </c>
      <c r="L7" s="5">
        <f>'Proximal Validation'!L6</f>
        <v>0.47075057029724099</v>
      </c>
      <c r="M7" s="8"/>
      <c r="N7" s="8"/>
      <c r="O7" s="8"/>
      <c r="P7" s="8"/>
      <c r="Q7" s="5">
        <f t="shared" si="3"/>
        <v>-0.5</v>
      </c>
      <c r="R7" s="5">
        <f t="shared" si="3"/>
        <v>-0.1</v>
      </c>
      <c r="S7" s="5">
        <f t="shared" si="3"/>
        <v>-1.5707963267948966</v>
      </c>
      <c r="T7" s="5">
        <f t="shared" si="4"/>
        <v>0.5</v>
      </c>
      <c r="U7" s="5">
        <f t="shared" si="0"/>
        <v>0.1</v>
      </c>
      <c r="V7" s="5">
        <f t="shared" si="0"/>
        <v>1.5707963267948966</v>
      </c>
      <c r="AA7" s="5">
        <f>'Proximal Validation'!A6</f>
        <v>0.5</v>
      </c>
      <c r="AB7" s="5">
        <f>'Proximal Validation'!B6</f>
        <v>0.1</v>
      </c>
      <c r="AC7" s="5">
        <f>'Proximal Validation'!C6</f>
        <v>1.5707963267948966</v>
      </c>
      <c r="AD7" s="5">
        <f>'Proximal Validation'!D6</f>
        <v>0</v>
      </c>
      <c r="AE7" s="5">
        <f>'Proximal Validation'!E6</f>
        <v>0</v>
      </c>
      <c r="AF7" s="5">
        <f>'Proximal Validation'!F6</f>
        <v>0</v>
      </c>
      <c r="AG7" s="5">
        <f>'Proximal Validation'!G6</f>
        <v>-1.1705639772117101E-3</v>
      </c>
      <c r="AH7" s="5">
        <f>'Proximal Validation'!H6</f>
        <v>-9.4456188380718203E-2</v>
      </c>
      <c r="AI7" s="5">
        <f>'Proximal Validation'!I6</f>
        <v>-1.20323454029858E-3</v>
      </c>
      <c r="AJ7" s="5">
        <f>'Proximal Validation'!J6</f>
        <v>-0.111187651753426</v>
      </c>
      <c r="AK7" s="5">
        <f>'Proximal Validation'!K6</f>
        <v>-3.2553412020206499E-3</v>
      </c>
      <c r="AL7" s="5">
        <f>'Proximal Validation'!L6</f>
        <v>0.47075057029724099</v>
      </c>
      <c r="AM7" s="8">
        <v>0.80752080793495895</v>
      </c>
      <c r="AN7" s="8">
        <v>0.11162012037263089</v>
      </c>
      <c r="AO7" s="8">
        <v>1.5874660032480394</v>
      </c>
      <c r="AP7" s="8">
        <v>6.3464187648353562E-5</v>
      </c>
      <c r="AQ7" s="5">
        <f t="shared" si="5"/>
        <v>0.30752080793495895</v>
      </c>
      <c r="AR7" s="5">
        <f t="shared" si="6"/>
        <v>1.1620120372630882E-2</v>
      </c>
      <c r="AS7" s="5">
        <f t="shared" si="7"/>
        <v>1.6669676453142879E-2</v>
      </c>
      <c r="AT7" s="5">
        <f t="shared" si="8"/>
        <v>0.30752080793495895</v>
      </c>
      <c r="AU7" s="5">
        <f t="shared" si="1"/>
        <v>1.1620120372630882E-2</v>
      </c>
      <c r="AV7" s="5">
        <f t="shared" si="2"/>
        <v>1.6669676453142879E-2</v>
      </c>
    </row>
    <row r="8" spans="1:51" x14ac:dyDescent="0.25">
      <c r="A8" s="5">
        <f>'Proximal Validation'!A7</f>
        <v>0.7</v>
      </c>
      <c r="B8" s="5">
        <f>'Proximal Validation'!B7</f>
        <v>0.1</v>
      </c>
      <c r="C8" s="5">
        <f>'Proximal Validation'!C7</f>
        <v>1.5707963267948966</v>
      </c>
      <c r="D8" s="5">
        <f>'Proximal Validation'!D7</f>
        <v>0</v>
      </c>
      <c r="E8" s="5">
        <f>'Proximal Validation'!E7</f>
        <v>0</v>
      </c>
      <c r="F8" s="5">
        <f>'Proximal Validation'!F7</f>
        <v>0</v>
      </c>
      <c r="G8" s="5">
        <f>'Proximal Validation'!G7</f>
        <v>-1.5179968904703901E-3</v>
      </c>
      <c r="H8" s="5">
        <f>'Proximal Validation'!H7</f>
        <v>-0.13914526998996701</v>
      </c>
      <c r="I8" s="5">
        <f>'Proximal Validation'!I7</f>
        <v>-1.6895274166017799E-3</v>
      </c>
      <c r="J8" s="5">
        <f>'Proximal Validation'!J7</f>
        <v>-0.208347618579865</v>
      </c>
      <c r="K8" s="5">
        <f>'Proximal Validation'!K7</f>
        <v>-2.6145353913307199E-3</v>
      </c>
      <c r="L8" s="5">
        <f>'Proximal Validation'!L7</f>
        <v>0.69233715534210205</v>
      </c>
      <c r="M8" s="8"/>
      <c r="N8" s="8"/>
      <c r="O8" s="8"/>
      <c r="P8" s="8"/>
      <c r="Q8" s="5">
        <f t="shared" si="3"/>
        <v>-0.7</v>
      </c>
      <c r="R8" s="5">
        <f t="shared" si="3"/>
        <v>-0.1</v>
      </c>
      <c r="S8" s="5">
        <f t="shared" si="3"/>
        <v>-1.5707963267948966</v>
      </c>
      <c r="T8" s="5">
        <f t="shared" si="4"/>
        <v>0.7</v>
      </c>
      <c r="U8" s="5">
        <f t="shared" si="0"/>
        <v>0.1</v>
      </c>
      <c r="V8" s="5">
        <f t="shared" si="0"/>
        <v>1.5707963267948966</v>
      </c>
      <c r="AA8" s="5">
        <f>'Proximal Validation'!A7</f>
        <v>0.7</v>
      </c>
      <c r="AB8" s="5">
        <f>'Proximal Validation'!B7</f>
        <v>0.1</v>
      </c>
      <c r="AC8" s="5">
        <f>'Proximal Validation'!C7</f>
        <v>1.5707963267948966</v>
      </c>
      <c r="AD8" s="5">
        <f>'Proximal Validation'!D7</f>
        <v>0</v>
      </c>
      <c r="AE8" s="5">
        <f>'Proximal Validation'!E7</f>
        <v>0</v>
      </c>
      <c r="AF8" s="5">
        <f>'Proximal Validation'!F7</f>
        <v>0</v>
      </c>
      <c r="AG8" s="5">
        <f>'Proximal Validation'!G7</f>
        <v>-1.5179968904703901E-3</v>
      </c>
      <c r="AH8" s="5">
        <f>'Proximal Validation'!H7</f>
        <v>-0.13914526998996701</v>
      </c>
      <c r="AI8" s="5">
        <f>'Proximal Validation'!I7</f>
        <v>-1.6895274166017799E-3</v>
      </c>
      <c r="AJ8" s="5">
        <f>'Proximal Validation'!J7</f>
        <v>-0.208347618579865</v>
      </c>
      <c r="AK8" s="5">
        <f>'Proximal Validation'!K7</f>
        <v>-2.6145353913307199E-3</v>
      </c>
      <c r="AL8" s="5">
        <f>'Proximal Validation'!L7</f>
        <v>0.69233715534210205</v>
      </c>
      <c r="AM8" s="8">
        <v>0.88379744229303936</v>
      </c>
      <c r="AN8" s="8">
        <v>0.11268546986401622</v>
      </c>
      <c r="AO8" s="8">
        <v>1.5867762323810675</v>
      </c>
      <c r="AP8" s="8">
        <v>9.2289561623872364E-5</v>
      </c>
      <c r="AQ8" s="5">
        <f t="shared" si="5"/>
        <v>0.1837974422930394</v>
      </c>
      <c r="AR8" s="5">
        <f t="shared" si="6"/>
        <v>1.2685469864016211E-2</v>
      </c>
      <c r="AS8" s="5">
        <f t="shared" si="7"/>
        <v>1.5979905586170906E-2</v>
      </c>
      <c r="AT8" s="5">
        <f t="shared" si="8"/>
        <v>0.1837974422930394</v>
      </c>
      <c r="AU8" s="5">
        <f t="shared" si="1"/>
        <v>1.2685469864016211E-2</v>
      </c>
      <c r="AV8" s="5">
        <f t="shared" si="2"/>
        <v>1.5979905586170906E-2</v>
      </c>
    </row>
    <row r="9" spans="1:51" x14ac:dyDescent="0.25">
      <c r="A9" s="5">
        <f>'Proximal Validation'!A8</f>
        <v>0.4</v>
      </c>
      <c r="B9" s="5">
        <f>'Proximal Validation'!B8</f>
        <v>0.16</v>
      </c>
      <c r="C9" s="5">
        <f>'Proximal Validation'!C8</f>
        <v>1.5707963267948966</v>
      </c>
      <c r="D9" s="5">
        <f>'Proximal Validation'!D8</f>
        <v>0</v>
      </c>
      <c r="E9" s="5">
        <f>'Proximal Validation'!E8</f>
        <v>0</v>
      </c>
      <c r="F9" s="5">
        <f>'Proximal Validation'!F8</f>
        <v>0</v>
      </c>
      <c r="G9" s="5">
        <f>'Proximal Validation'!G8</f>
        <v>-6.0909817693754998E-4</v>
      </c>
      <c r="H9" s="5">
        <f>'Proximal Validation'!H8</f>
        <v>-9.3464262783527402E-2</v>
      </c>
      <c r="I9" s="5">
        <f>'Proximal Validation'!I8</f>
        <v>-1.42273562960327E-3</v>
      </c>
      <c r="J9" s="5">
        <f>'Proximal Validation'!J8</f>
        <v>-0.183252438902855</v>
      </c>
      <c r="K9" s="5">
        <f>'Proximal Validation'!K8</f>
        <v>-1.30194798111916E-3</v>
      </c>
      <c r="L9" s="5">
        <f>'Proximal Validation'!L8</f>
        <v>0.33158546686172502</v>
      </c>
      <c r="M9" s="8"/>
      <c r="N9" s="8"/>
      <c r="O9" s="8"/>
      <c r="P9" s="8"/>
      <c r="Q9" s="5">
        <f t="shared" si="3"/>
        <v>-0.4</v>
      </c>
      <c r="R9" s="5">
        <f t="shared" si="3"/>
        <v>-0.16</v>
      </c>
      <c r="S9" s="5">
        <f t="shared" si="3"/>
        <v>-1.5707963267948966</v>
      </c>
      <c r="T9" s="5">
        <f t="shared" si="4"/>
        <v>0.4</v>
      </c>
      <c r="U9" s="5">
        <f t="shared" si="0"/>
        <v>0.16</v>
      </c>
      <c r="V9" s="5">
        <f t="shared" si="0"/>
        <v>1.5707963267948966</v>
      </c>
      <c r="AA9" s="5">
        <f>'Proximal Validation'!A8</f>
        <v>0.4</v>
      </c>
      <c r="AB9" s="5">
        <f>'Proximal Validation'!B8</f>
        <v>0.16</v>
      </c>
      <c r="AC9" s="5">
        <f>'Proximal Validation'!C8</f>
        <v>1.5707963267948966</v>
      </c>
      <c r="AD9" s="5">
        <f>'Proximal Validation'!D8</f>
        <v>0</v>
      </c>
      <c r="AE9" s="5">
        <f>'Proximal Validation'!E8</f>
        <v>0</v>
      </c>
      <c r="AF9" s="5">
        <f>'Proximal Validation'!F8</f>
        <v>0</v>
      </c>
      <c r="AG9" s="5">
        <f>'Proximal Validation'!G8</f>
        <v>-6.0909817693754998E-4</v>
      </c>
      <c r="AH9" s="5">
        <f>'Proximal Validation'!H8</f>
        <v>-9.3464262783527402E-2</v>
      </c>
      <c r="AI9" s="5">
        <f>'Proximal Validation'!I8</f>
        <v>-1.42273562960327E-3</v>
      </c>
      <c r="AJ9" s="5">
        <f>'Proximal Validation'!J8</f>
        <v>-0.183252438902855</v>
      </c>
      <c r="AK9" s="5">
        <f>'Proximal Validation'!K8</f>
        <v>-1.30194798111916E-3</v>
      </c>
      <c r="AL9" s="5">
        <f>'Proximal Validation'!L8</f>
        <v>0.33158546686172502</v>
      </c>
      <c r="AM9" s="8">
        <v>0.37681576666845534</v>
      </c>
      <c r="AN9" s="8">
        <v>0.17145293786707433</v>
      </c>
      <c r="AO9" s="8">
        <v>1.5789638668037855</v>
      </c>
      <c r="AP9" s="8">
        <v>3.3490254406438571E-4</v>
      </c>
      <c r="AQ9" s="5">
        <f t="shared" si="5"/>
        <v>-2.3184233331544679E-2</v>
      </c>
      <c r="AR9" s="5">
        <f t="shared" si="6"/>
        <v>1.1452937867074325E-2</v>
      </c>
      <c r="AS9" s="5">
        <f t="shared" si="7"/>
        <v>8.1675400088889738E-3</v>
      </c>
      <c r="AT9" s="5">
        <f t="shared" si="8"/>
        <v>2.3184233331544679E-2</v>
      </c>
      <c r="AU9" s="5">
        <f t="shared" si="1"/>
        <v>1.1452937867074325E-2</v>
      </c>
      <c r="AV9" s="5">
        <f t="shared" si="2"/>
        <v>8.1675400088889738E-3</v>
      </c>
    </row>
    <row r="10" spans="1:51" x14ac:dyDescent="0.25">
      <c r="A10" s="5">
        <f>'Proximal Validation'!A9</f>
        <v>0.6</v>
      </c>
      <c r="B10" s="5">
        <f>'Proximal Validation'!B9</f>
        <v>0.16</v>
      </c>
      <c r="C10" s="5">
        <f>'Proximal Validation'!C9</f>
        <v>1.5707963267948966</v>
      </c>
      <c r="D10" s="5">
        <f>'Proximal Validation'!D9</f>
        <v>0</v>
      </c>
      <c r="E10" s="5">
        <f>'Proximal Validation'!E9</f>
        <v>0</v>
      </c>
      <c r="F10" s="5">
        <f>'Proximal Validation'!F9</f>
        <v>0</v>
      </c>
      <c r="G10" s="5">
        <f>'Proximal Validation'!G9</f>
        <v>-8.4166455781087301E-4</v>
      </c>
      <c r="H10" s="5">
        <f>'Proximal Validation'!H9</f>
        <v>-0.141347721219063</v>
      </c>
      <c r="I10" s="5">
        <f>'Proximal Validation'!I9</f>
        <v>-2.4875707458704701E-3</v>
      </c>
      <c r="J10" s="5">
        <f>'Proximal Validation'!J9</f>
        <v>-0.39468729496002197</v>
      </c>
      <c r="K10" s="5">
        <f>'Proximal Validation'!K9</f>
        <v>-9.2538818717002901E-4</v>
      </c>
      <c r="L10" s="5">
        <f>'Proximal Validation'!L9</f>
        <v>0.469948559999466</v>
      </c>
      <c r="M10" s="8"/>
      <c r="N10" s="8"/>
      <c r="O10" s="8"/>
      <c r="P10" s="8"/>
      <c r="Q10" s="5">
        <f t="shared" si="3"/>
        <v>-0.6</v>
      </c>
      <c r="R10" s="5">
        <f t="shared" si="3"/>
        <v>-0.16</v>
      </c>
      <c r="S10" s="5">
        <f t="shared" si="3"/>
        <v>-1.5707963267948966</v>
      </c>
      <c r="T10" s="5">
        <f t="shared" si="4"/>
        <v>0.6</v>
      </c>
      <c r="U10" s="5">
        <f t="shared" si="0"/>
        <v>0.16</v>
      </c>
      <c r="V10" s="5">
        <f t="shared" si="0"/>
        <v>1.5707963267948966</v>
      </c>
      <c r="W10" s="7"/>
      <c r="X10" s="7"/>
      <c r="Y10" s="7"/>
      <c r="AA10" s="5">
        <f>'Proximal Validation'!A9</f>
        <v>0.6</v>
      </c>
      <c r="AB10" s="5">
        <f>'Proximal Validation'!B9</f>
        <v>0.16</v>
      </c>
      <c r="AC10" s="5">
        <f>'Proximal Validation'!C9</f>
        <v>1.5707963267948966</v>
      </c>
      <c r="AD10" s="5">
        <f>'Proximal Validation'!D9</f>
        <v>0</v>
      </c>
      <c r="AE10" s="5">
        <f>'Proximal Validation'!E9</f>
        <v>0</v>
      </c>
      <c r="AF10" s="5">
        <f>'Proximal Validation'!F9</f>
        <v>0</v>
      </c>
      <c r="AG10" s="5">
        <f>'Proximal Validation'!G9</f>
        <v>-8.4166455781087301E-4</v>
      </c>
      <c r="AH10" s="5">
        <f>'Proximal Validation'!H9</f>
        <v>-0.141347721219063</v>
      </c>
      <c r="AI10" s="5">
        <f>'Proximal Validation'!I9</f>
        <v>-2.4875707458704701E-3</v>
      </c>
      <c r="AJ10" s="5">
        <f>'Proximal Validation'!J9</f>
        <v>-0.39468729496002197</v>
      </c>
      <c r="AK10" s="5">
        <f>'Proximal Validation'!K9</f>
        <v>-9.2538818717002901E-4</v>
      </c>
      <c r="AL10" s="5">
        <f>'Proximal Validation'!L9</f>
        <v>0.469948559999466</v>
      </c>
      <c r="AM10" s="8">
        <v>0.53446524716448018</v>
      </c>
      <c r="AN10" s="8">
        <v>0.16715553633788641</v>
      </c>
      <c r="AO10" s="8">
        <v>1.5778248279571701</v>
      </c>
      <c r="AP10" s="8">
        <v>3.781470249735663E-4</v>
      </c>
      <c r="AQ10" s="5">
        <f t="shared" si="5"/>
        <v>-6.5534752835519794E-2</v>
      </c>
      <c r="AR10" s="5">
        <f t="shared" si="6"/>
        <v>7.1555363378864034E-3</v>
      </c>
      <c r="AS10" s="5">
        <f t="shared" si="7"/>
        <v>7.0285011622734928E-3</v>
      </c>
      <c r="AT10" s="5">
        <f t="shared" si="8"/>
        <v>6.5534752835519794E-2</v>
      </c>
      <c r="AU10" s="5">
        <f t="shared" si="1"/>
        <v>7.1555363378864034E-3</v>
      </c>
      <c r="AV10" s="5">
        <f t="shared" si="2"/>
        <v>7.0285011622734928E-3</v>
      </c>
      <c r="AW10" s="7"/>
      <c r="AX10" s="7"/>
      <c r="AY10" s="7"/>
    </row>
    <row r="11" spans="1:51" x14ac:dyDescent="0.25">
      <c r="A11" s="5">
        <f>'Proximal Validation'!A10</f>
        <v>0.8</v>
      </c>
      <c r="B11" s="5">
        <f>'Proximal Validation'!B10</f>
        <v>0.18</v>
      </c>
      <c r="C11" s="5">
        <f>'Proximal Validation'!C10</f>
        <v>1.5707963267948966</v>
      </c>
      <c r="D11" s="5">
        <f>'Proximal Validation'!D10</f>
        <v>0</v>
      </c>
      <c r="E11" s="5">
        <f>'Proximal Validation'!E10</f>
        <v>0</v>
      </c>
      <c r="F11" s="5">
        <f>'Proximal Validation'!F10</f>
        <v>0</v>
      </c>
      <c r="G11" s="5">
        <f>'Proximal Validation'!G10</f>
        <v>-2.5411224924027898E-3</v>
      </c>
      <c r="H11" s="5">
        <f>'Proximal Validation'!H10</f>
        <v>-0.16168536245822901</v>
      </c>
      <c r="I11" s="5">
        <f>'Proximal Validation'!I10</f>
        <v>-2.0260578021407101E-3</v>
      </c>
      <c r="J11" s="5">
        <f>'Proximal Validation'!J10</f>
        <v>-0.81751561164856001</v>
      </c>
      <c r="K11" s="5">
        <f>'Proximal Validation'!K10</f>
        <v>1.46271400153637E-2</v>
      </c>
      <c r="L11" s="5">
        <f>'Proximal Validation'!L10</f>
        <v>0.27560678124427801</v>
      </c>
      <c r="M11" s="8"/>
      <c r="N11" s="8"/>
      <c r="O11" s="8"/>
      <c r="P11" s="8"/>
      <c r="Q11" s="5">
        <f t="shared" si="3"/>
        <v>-0.8</v>
      </c>
      <c r="R11" s="5">
        <f t="shared" si="3"/>
        <v>-0.18</v>
      </c>
      <c r="S11" s="5">
        <f t="shared" si="3"/>
        <v>-1.5707963267948966</v>
      </c>
      <c r="T11" s="5">
        <f t="shared" si="4"/>
        <v>0.8</v>
      </c>
      <c r="U11" s="5">
        <f t="shared" si="0"/>
        <v>0.18</v>
      </c>
      <c r="V11" s="5">
        <f t="shared" si="0"/>
        <v>1.5707963267948966</v>
      </c>
      <c r="AA11" s="5">
        <f>'Proximal Validation'!A10</f>
        <v>0.8</v>
      </c>
      <c r="AB11" s="5">
        <f>'Proximal Validation'!B10</f>
        <v>0.18</v>
      </c>
      <c r="AC11" s="5">
        <f>'Proximal Validation'!C10</f>
        <v>1.5707963267948966</v>
      </c>
      <c r="AD11" s="5">
        <f>'Proximal Validation'!D10</f>
        <v>0</v>
      </c>
      <c r="AE11" s="5">
        <f>'Proximal Validation'!E10</f>
        <v>0</v>
      </c>
      <c r="AF11" s="5">
        <f>'Proximal Validation'!F10</f>
        <v>0</v>
      </c>
      <c r="AG11" s="5">
        <f>'Proximal Validation'!G10</f>
        <v>-2.5411224924027898E-3</v>
      </c>
      <c r="AH11" s="5">
        <f>'Proximal Validation'!H10</f>
        <v>-0.16168536245822901</v>
      </c>
      <c r="AI11" s="5">
        <f>'Proximal Validation'!I10</f>
        <v>-2.0260578021407101E-3</v>
      </c>
      <c r="AJ11" s="5">
        <f>'Proximal Validation'!J10</f>
        <v>-0.81751561164856001</v>
      </c>
      <c r="AK11" s="5">
        <f>'Proximal Validation'!K10</f>
        <v>1.46271400153637E-2</v>
      </c>
      <c r="AL11" s="5">
        <f>'Proximal Validation'!L10</f>
        <v>0.27560678124427801</v>
      </c>
      <c r="AM11" s="8">
        <v>0.7316346965236179</v>
      </c>
      <c r="AN11" s="8">
        <v>0.17208978326093791</v>
      </c>
      <c r="AO11" s="8">
        <v>1.585755622395886</v>
      </c>
      <c r="AP11" s="8">
        <v>3.0318542166298695E-4</v>
      </c>
      <c r="AQ11" s="5">
        <f t="shared" si="5"/>
        <v>-6.8365303476382144E-2</v>
      </c>
      <c r="AR11" s="5">
        <f t="shared" si="6"/>
        <v>-7.910216739062087E-3</v>
      </c>
      <c r="AS11" s="5">
        <f t="shared" si="7"/>
        <v>1.4959295600989408E-2</v>
      </c>
      <c r="AT11" s="5">
        <f t="shared" si="8"/>
        <v>6.8365303476382144E-2</v>
      </c>
      <c r="AU11" s="5">
        <f t="shared" si="1"/>
        <v>7.910216739062087E-3</v>
      </c>
      <c r="AV11" s="5">
        <f t="shared" si="2"/>
        <v>1.4959295600989408E-2</v>
      </c>
    </row>
    <row r="12" spans="1:51" x14ac:dyDescent="0.25">
      <c r="A12" s="5">
        <f>'Proximal Validation'!A11</f>
        <v>0.3</v>
      </c>
      <c r="B12" s="5">
        <f>'Proximal Validation'!B11</f>
        <v>0.2</v>
      </c>
      <c r="C12" s="5">
        <f>'Proximal Validation'!C11</f>
        <v>1.5707963267948966</v>
      </c>
      <c r="D12" s="5">
        <f>'Proximal Validation'!D11</f>
        <v>0</v>
      </c>
      <c r="E12" s="5">
        <f>'Proximal Validation'!E11</f>
        <v>0</v>
      </c>
      <c r="F12" s="5">
        <f>'Proximal Validation'!F11</f>
        <v>0</v>
      </c>
      <c r="G12" s="5">
        <f>'Proximal Validation'!G11</f>
        <v>-7.7232124749571096E-4</v>
      </c>
      <c r="H12" s="5">
        <f>'Proximal Validation'!H11</f>
        <v>-7.1722365915775299E-2</v>
      </c>
      <c r="I12" s="5">
        <f>'Proximal Validation'!I11</f>
        <v>-7.8877643682062604E-4</v>
      </c>
      <c r="J12" s="5">
        <f>'Proximal Validation'!J11</f>
        <v>-0.14824971556663499</v>
      </c>
      <c r="K12" s="5">
        <f>'Proximal Validation'!K11</f>
        <v>-2.5316514074802399E-4</v>
      </c>
      <c r="L12" s="5">
        <f>'Proximal Validation'!L11</f>
        <v>0.21111465990543399</v>
      </c>
      <c r="M12" s="8"/>
      <c r="N12" s="8"/>
      <c r="O12" s="8"/>
      <c r="P12" s="8"/>
      <c r="Q12" s="5">
        <f t="shared" si="3"/>
        <v>-0.3</v>
      </c>
      <c r="R12" s="5">
        <f t="shared" si="3"/>
        <v>-0.2</v>
      </c>
      <c r="S12" s="5">
        <f t="shared" si="3"/>
        <v>-1.5707963267948966</v>
      </c>
      <c r="T12" s="5">
        <f t="shared" si="4"/>
        <v>0.3</v>
      </c>
      <c r="U12" s="5">
        <f t="shared" si="0"/>
        <v>0.2</v>
      </c>
      <c r="V12" s="5">
        <f t="shared" si="0"/>
        <v>1.5707963267948966</v>
      </c>
      <c r="W12" s="7"/>
      <c r="X12" s="7"/>
      <c r="Y12" s="7"/>
      <c r="AA12" s="5">
        <f>'Proximal Validation'!A11</f>
        <v>0.3</v>
      </c>
      <c r="AB12" s="5">
        <f>'Proximal Validation'!B11</f>
        <v>0.2</v>
      </c>
      <c r="AC12" s="5">
        <f>'Proximal Validation'!C11</f>
        <v>1.5707963267948966</v>
      </c>
      <c r="AD12" s="5">
        <f>'Proximal Validation'!D11</f>
        <v>0</v>
      </c>
      <c r="AE12" s="5">
        <f>'Proximal Validation'!E11</f>
        <v>0</v>
      </c>
      <c r="AF12" s="5">
        <f>'Proximal Validation'!F11</f>
        <v>0</v>
      </c>
      <c r="AG12" s="5">
        <f>'Proximal Validation'!G11</f>
        <v>-7.7232124749571096E-4</v>
      </c>
      <c r="AH12" s="5">
        <f>'Proximal Validation'!H11</f>
        <v>-7.1722365915775299E-2</v>
      </c>
      <c r="AI12" s="5">
        <f>'Proximal Validation'!I11</f>
        <v>-7.8877643682062604E-4</v>
      </c>
      <c r="AJ12" s="5">
        <f>'Proximal Validation'!J11</f>
        <v>-0.14824971556663499</v>
      </c>
      <c r="AK12" s="5">
        <f>'Proximal Validation'!K11</f>
        <v>-2.5316514074802399E-4</v>
      </c>
      <c r="AL12" s="5">
        <f>'Proximal Validation'!L11</f>
        <v>0.21111465990543399</v>
      </c>
      <c r="AM12" s="8">
        <v>0.29592508164170878</v>
      </c>
      <c r="AN12" s="8">
        <v>0.19999999999997781</v>
      </c>
      <c r="AO12" s="8">
        <v>1.5785429502112804</v>
      </c>
      <c r="AP12" s="8">
        <v>6.972532612836978E-4</v>
      </c>
      <c r="AQ12" s="5">
        <f t="shared" si="5"/>
        <v>-4.074918358291213E-3</v>
      </c>
      <c r="AR12" s="5">
        <f t="shared" si="6"/>
        <v>-2.2204460492503131E-14</v>
      </c>
      <c r="AS12" s="5">
        <f t="shared" si="7"/>
        <v>7.7466234163838799E-3</v>
      </c>
      <c r="AT12" s="5">
        <f t="shared" si="8"/>
        <v>4.074918358291213E-3</v>
      </c>
      <c r="AU12" s="5">
        <f t="shared" si="1"/>
        <v>2.2204460492503131E-14</v>
      </c>
      <c r="AV12" s="5">
        <f t="shared" si="2"/>
        <v>7.7466234163838799E-3</v>
      </c>
      <c r="AW12" s="7"/>
      <c r="AX12" s="7"/>
      <c r="AY12" s="7"/>
    </row>
    <row r="13" spans="1:51" x14ac:dyDescent="0.25">
      <c r="A13" s="5">
        <f>'Proximal Validation'!A12</f>
        <v>0.7</v>
      </c>
      <c r="B13" s="5">
        <f>'Proximal Validation'!B12</f>
        <v>0.2</v>
      </c>
      <c r="C13" s="5">
        <f>'Proximal Validation'!C12</f>
        <v>1.5707963267948966</v>
      </c>
      <c r="D13" s="5">
        <f>'Proximal Validation'!D12</f>
        <v>0</v>
      </c>
      <c r="E13" s="5">
        <f>'Proximal Validation'!E12</f>
        <v>0</v>
      </c>
      <c r="F13" s="5">
        <f>'Proximal Validation'!F12</f>
        <v>0</v>
      </c>
      <c r="G13" s="5">
        <f>'Proximal Validation'!G12</f>
        <v>-1.37498124968261E-3</v>
      </c>
      <c r="H13" s="5">
        <f>'Proximal Validation'!H12</f>
        <v>-0.13238599896431</v>
      </c>
      <c r="I13" s="5">
        <f>'Proximal Validation'!I12</f>
        <v>-1.95983843877912E-3</v>
      </c>
      <c r="J13" s="5">
        <f>'Proximal Validation'!J12</f>
        <v>-0.64118611812591597</v>
      </c>
      <c r="K13" s="5">
        <f>'Proximal Validation'!K12</f>
        <v>9.5805265009403194E-3</v>
      </c>
      <c r="L13" s="5">
        <f>'Proximal Validation'!L12</f>
        <v>0.17886316776275599</v>
      </c>
      <c r="M13" s="8"/>
      <c r="N13" s="8"/>
      <c r="O13" s="8"/>
      <c r="P13" s="8"/>
      <c r="Q13" s="5">
        <f t="shared" si="3"/>
        <v>-0.7</v>
      </c>
      <c r="R13" s="5">
        <f t="shared" si="3"/>
        <v>-0.2</v>
      </c>
      <c r="S13" s="5">
        <f t="shared" si="3"/>
        <v>-1.5707963267948966</v>
      </c>
      <c r="T13" s="5">
        <f t="shared" si="4"/>
        <v>0.7</v>
      </c>
      <c r="U13" s="5">
        <f t="shared" si="0"/>
        <v>0.2</v>
      </c>
      <c r="V13" s="5">
        <f t="shared" si="0"/>
        <v>1.5707963267948966</v>
      </c>
      <c r="AA13" s="5">
        <f>'Proximal Validation'!A12</f>
        <v>0.7</v>
      </c>
      <c r="AB13" s="5">
        <f>'Proximal Validation'!B12</f>
        <v>0.2</v>
      </c>
      <c r="AC13" s="5">
        <f>'Proximal Validation'!C12</f>
        <v>1.5707963267948966</v>
      </c>
      <c r="AD13" s="5">
        <f>'Proximal Validation'!D12</f>
        <v>0</v>
      </c>
      <c r="AE13" s="5">
        <f>'Proximal Validation'!E12</f>
        <v>0</v>
      </c>
      <c r="AF13" s="5">
        <f>'Proximal Validation'!F12</f>
        <v>0</v>
      </c>
      <c r="AG13" s="5">
        <f>'Proximal Validation'!G12</f>
        <v>-1.37498124968261E-3</v>
      </c>
      <c r="AH13" s="5">
        <f>'Proximal Validation'!H12</f>
        <v>-0.13238599896431</v>
      </c>
      <c r="AI13" s="5">
        <f>'Proximal Validation'!I12</f>
        <v>-1.95983843877912E-3</v>
      </c>
      <c r="AJ13" s="5">
        <f>'Proximal Validation'!J12</f>
        <v>-0.64118611812591597</v>
      </c>
      <c r="AK13" s="5">
        <f>'Proximal Validation'!K12</f>
        <v>9.5805265009403194E-3</v>
      </c>
      <c r="AL13" s="5">
        <f>'Proximal Validation'!L12</f>
        <v>0.17886316776275599</v>
      </c>
      <c r="AM13" s="8">
        <v>0.6021084022972677</v>
      </c>
      <c r="AN13" s="8">
        <v>0.18165086373278252</v>
      </c>
      <c r="AO13" s="8">
        <v>1.5799400389930107</v>
      </c>
      <c r="AP13" s="8">
        <v>3.464397181053898E-4</v>
      </c>
      <c r="AQ13" s="5">
        <f t="shared" si="5"/>
        <v>-9.7891597702732258E-2</v>
      </c>
      <c r="AR13" s="5">
        <f t="shared" si="6"/>
        <v>-1.8349136267217486E-2</v>
      </c>
      <c r="AS13" s="5">
        <f t="shared" si="7"/>
        <v>9.1437121981141622E-3</v>
      </c>
      <c r="AT13" s="5">
        <f t="shared" si="8"/>
        <v>9.7891597702732258E-2</v>
      </c>
      <c r="AU13" s="5">
        <f t="shared" si="1"/>
        <v>1.8349136267217486E-2</v>
      </c>
      <c r="AV13" s="5">
        <f t="shared" si="2"/>
        <v>9.1437121981141622E-3</v>
      </c>
    </row>
    <row r="15" spans="1:51" ht="15.75" x14ac:dyDescent="0.25">
      <c r="A15" s="31" t="s">
        <v>31</v>
      </c>
      <c r="B15" s="32"/>
      <c r="C15" s="33"/>
    </row>
    <row r="16" spans="1:51" x14ac:dyDescent="0.25">
      <c r="A16">
        <v>1</v>
      </c>
      <c r="B16">
        <v>0</v>
      </c>
      <c r="C16">
        <v>0</v>
      </c>
    </row>
    <row r="17" spans="1:12" x14ac:dyDescent="0.25">
      <c r="A17">
        <v>0</v>
      </c>
      <c r="B17">
        <v>1</v>
      </c>
      <c r="C17">
        <v>0</v>
      </c>
    </row>
    <row r="18" spans="1:12" x14ac:dyDescent="0.25">
      <c r="A18">
        <v>0</v>
      </c>
      <c r="B18">
        <v>0</v>
      </c>
      <c r="C18">
        <v>1</v>
      </c>
    </row>
    <row r="20" spans="1:12" ht="15.75" thickBot="1" x14ac:dyDescent="0.3"/>
    <row r="21" spans="1:12" ht="15.75" x14ac:dyDescent="0.25">
      <c r="C21" s="1" t="s">
        <v>33</v>
      </c>
      <c r="D21" s="1" t="s">
        <v>8</v>
      </c>
      <c r="E21" s="1" t="s">
        <v>9</v>
      </c>
      <c r="F21" s="1" t="s">
        <v>10</v>
      </c>
      <c r="G21" s="17" t="s">
        <v>32</v>
      </c>
      <c r="H21" s="18"/>
      <c r="I21" s="18"/>
      <c r="J21" s="18"/>
      <c r="K21" s="18"/>
      <c r="L21" s="18"/>
    </row>
    <row r="22" spans="1:12" x14ac:dyDescent="0.25">
      <c r="C22" s="10">
        <v>1</v>
      </c>
      <c r="D22" s="5">
        <f t="shared" ref="D22:L22" si="9">D4</f>
        <v>0</v>
      </c>
      <c r="E22" s="5">
        <f t="shared" si="9"/>
        <v>0</v>
      </c>
      <c r="F22" s="5">
        <f t="shared" si="9"/>
        <v>0</v>
      </c>
      <c r="G22" s="5">
        <f t="shared" si="9"/>
        <v>-4.37921960838139E-4</v>
      </c>
      <c r="H22" s="5">
        <f t="shared" si="9"/>
        <v>-5.4464954882860198E-2</v>
      </c>
      <c r="I22" s="5">
        <f t="shared" si="9"/>
        <v>-2.8745096642523999E-4</v>
      </c>
      <c r="J22" s="5">
        <f t="shared" si="9"/>
        <v>-2.13129706680775E-2</v>
      </c>
      <c r="K22" s="5">
        <f t="shared" si="9"/>
        <v>1.85158103704453E-4</v>
      </c>
      <c r="L22" s="5">
        <f t="shared" si="9"/>
        <v>0.34822303056716902</v>
      </c>
    </row>
    <row r="23" spans="1:12" x14ac:dyDescent="0.25">
      <c r="C23" s="10">
        <v>1</v>
      </c>
      <c r="D23" s="5">
        <v>1</v>
      </c>
      <c r="E23" s="5">
        <v>0</v>
      </c>
      <c r="F23" s="5">
        <v>0</v>
      </c>
      <c r="G23" s="5">
        <v>3.1034613493829998E-4</v>
      </c>
      <c r="H23" s="5">
        <v>-4.40637990832329E-2</v>
      </c>
      <c r="I23" s="5">
        <v>-2.6626966428011699E-4</v>
      </c>
      <c r="J23" s="5">
        <v>-1.2337492778897299E-2</v>
      </c>
      <c r="K23" s="5">
        <v>-2.0012184977531398E-3</v>
      </c>
      <c r="L23" s="5">
        <v>0.28711792826652499</v>
      </c>
    </row>
    <row r="24" spans="1:12" x14ac:dyDescent="0.25">
      <c r="C24" s="10">
        <v>1</v>
      </c>
      <c r="D24" s="5">
        <v>0</v>
      </c>
      <c r="E24" s="5">
        <v>1</v>
      </c>
      <c r="F24" s="5">
        <v>0</v>
      </c>
      <c r="G24" s="5">
        <v>-4.5217655133456003E-4</v>
      </c>
      <c r="H24" s="5">
        <v>-4.2780064046382897E-2</v>
      </c>
      <c r="I24" s="5">
        <v>-2.9174645897001001E-4</v>
      </c>
      <c r="J24" s="5">
        <v>-1.0398513637483099E-2</v>
      </c>
      <c r="K24" s="5">
        <v>2.8434172272682199E-3</v>
      </c>
      <c r="L24" s="5">
        <v>0.27934211492538502</v>
      </c>
    </row>
    <row r="25" spans="1:12" x14ac:dyDescent="0.25">
      <c r="C25" s="10">
        <v>1</v>
      </c>
      <c r="D25" s="5">
        <v>0</v>
      </c>
      <c r="E25" s="5">
        <v>0</v>
      </c>
      <c r="F25" s="5">
        <v>1</v>
      </c>
      <c r="G25" s="5">
        <v>-2.58053187280893E-4</v>
      </c>
      <c r="H25" s="5">
        <v>-6.3121601939201397E-2</v>
      </c>
      <c r="I25" s="5">
        <v>-4.25372389145195E-4</v>
      </c>
      <c r="J25" s="5">
        <v>-2.1438803523778902E-2</v>
      </c>
      <c r="K25" s="5">
        <v>8.5363537073135398E-4</v>
      </c>
      <c r="L25" s="5">
        <v>0.41041621565818798</v>
      </c>
    </row>
    <row r="26" spans="1:12" x14ac:dyDescent="0.25">
      <c r="C26" s="10">
        <v>2</v>
      </c>
      <c r="D26" s="5">
        <v>0</v>
      </c>
      <c r="E26" s="5">
        <v>0</v>
      </c>
      <c r="F26" s="5">
        <v>0</v>
      </c>
      <c r="G26" s="5">
        <f>G5</f>
        <v>-1.2904058676213E-3</v>
      </c>
      <c r="H26" s="5">
        <f t="shared" ref="H26:L26" si="10">H5</f>
        <v>-0.130890563130379</v>
      </c>
      <c r="I26" s="5">
        <f t="shared" si="10"/>
        <v>-5.0724833272397496E-4</v>
      </c>
      <c r="J26" s="5">
        <f t="shared" si="10"/>
        <v>-0.12710034847259499</v>
      </c>
      <c r="K26" s="5">
        <f t="shared" si="10"/>
        <v>3.3702701330184902E-3</v>
      </c>
      <c r="L26" s="5">
        <f t="shared" si="10"/>
        <v>0.83409011363983199</v>
      </c>
    </row>
    <row r="27" spans="1:12" x14ac:dyDescent="0.25">
      <c r="C27" s="10">
        <v>2</v>
      </c>
      <c r="D27" s="5">
        <v>1</v>
      </c>
      <c r="E27" s="5">
        <v>0</v>
      </c>
      <c r="F27" s="5">
        <v>0</v>
      </c>
      <c r="G27" s="5">
        <v>-1.5963241457939099E-4</v>
      </c>
      <c r="H27" s="5">
        <v>-0.121562890708447</v>
      </c>
      <c r="I27" s="5">
        <v>-8.2839734386652697E-4</v>
      </c>
      <c r="J27" s="5">
        <v>-0.11515100300312001</v>
      </c>
      <c r="K27" s="5">
        <v>-2.1543055772781398E-3</v>
      </c>
      <c r="L27" s="5">
        <v>0.782032251358032</v>
      </c>
    </row>
    <row r="28" spans="1:12" x14ac:dyDescent="0.25">
      <c r="C28" s="10">
        <v>2</v>
      </c>
      <c r="D28" s="5">
        <v>0</v>
      </c>
      <c r="E28" s="5">
        <v>1</v>
      </c>
      <c r="F28" s="5">
        <v>0</v>
      </c>
      <c r="G28" s="5">
        <v>-1.9617278594523699E-3</v>
      </c>
      <c r="H28" s="5">
        <v>-0.121123254299164</v>
      </c>
      <c r="I28" s="5">
        <v>-6.2098959460854503E-5</v>
      </c>
      <c r="J28" s="5">
        <v>-0.11508367210626599</v>
      </c>
      <c r="K28" s="5">
        <v>8.6164399981498701E-3</v>
      </c>
      <c r="L28" s="5">
        <v>0.77998018264770497</v>
      </c>
    </row>
    <row r="29" spans="1:12" x14ac:dyDescent="0.25">
      <c r="C29" s="10">
        <v>2</v>
      </c>
      <c r="D29" s="5">
        <v>0</v>
      </c>
      <c r="E29" s="5">
        <v>0</v>
      </c>
      <c r="F29" s="5">
        <v>1</v>
      </c>
      <c r="G29" s="5">
        <v>-1.25816813670099E-3</v>
      </c>
      <c r="H29" s="5">
        <v>-0.13559269905090299</v>
      </c>
      <c r="I29" s="5">
        <v>-5.3044769447296901E-4</v>
      </c>
      <c r="J29" s="5">
        <v>-0.134366035461426</v>
      </c>
      <c r="K29" s="5">
        <v>4.1586309671402004E-3</v>
      </c>
      <c r="L29" s="5">
        <v>0.87226921319961503</v>
      </c>
    </row>
    <row r="30" spans="1:12" x14ac:dyDescent="0.25">
      <c r="C30" s="10">
        <v>3</v>
      </c>
      <c r="D30" s="5">
        <v>0</v>
      </c>
      <c r="E30" s="5">
        <v>0</v>
      </c>
      <c r="F30" s="5">
        <v>0</v>
      </c>
      <c r="G30" s="5">
        <f>G6</f>
        <v>-4.4532003812491899E-4</v>
      </c>
      <c r="H30" s="5">
        <f t="shared" ref="H30:L30" si="11">H6</f>
        <v>-4.79050725698471E-2</v>
      </c>
      <c r="I30" s="5">
        <f t="shared" si="11"/>
        <v>-1.45487196277827E-4</v>
      </c>
      <c r="J30" s="5">
        <f t="shared" si="11"/>
        <v>-1.52218556031585E-2</v>
      </c>
      <c r="K30" s="5">
        <f t="shared" si="11"/>
        <v>-1.61819159984589E-4</v>
      </c>
      <c r="L30" s="5">
        <f t="shared" si="11"/>
        <v>0.269099742174149</v>
      </c>
    </row>
    <row r="31" spans="1:12" x14ac:dyDescent="0.25">
      <c r="C31" s="10">
        <v>3</v>
      </c>
      <c r="D31" s="5">
        <v>1</v>
      </c>
      <c r="E31" s="5">
        <v>0</v>
      </c>
      <c r="F31" s="5">
        <v>0</v>
      </c>
      <c r="G31" s="5">
        <v>1.9974156748503401E-4</v>
      </c>
      <c r="H31" s="5">
        <v>-3.2512675970792798E-2</v>
      </c>
      <c r="I31" s="5">
        <v>-1.71057123225182E-4</v>
      </c>
      <c r="J31" s="5">
        <v>-8.0844657495617901E-3</v>
      </c>
      <c r="K31" s="5">
        <v>-3.18075716495514E-3</v>
      </c>
      <c r="L31" s="5">
        <v>0.18479597568511999</v>
      </c>
    </row>
    <row r="32" spans="1:12" x14ac:dyDescent="0.25">
      <c r="C32" s="10">
        <v>3</v>
      </c>
      <c r="D32" s="5">
        <v>0</v>
      </c>
      <c r="E32" s="5">
        <v>1</v>
      </c>
      <c r="F32" s="5">
        <v>0</v>
      </c>
      <c r="G32" s="5">
        <v>-5.7576800463721199E-4</v>
      </c>
      <c r="H32" s="5">
        <v>-3.0636494979262401E-2</v>
      </c>
      <c r="I32" s="5">
        <v>-9.7063733846880496E-5</v>
      </c>
      <c r="J32" s="5">
        <v>-7.2050262242555601E-3</v>
      </c>
      <c r="K32" s="5">
        <v>1.8094088882207901E-3</v>
      </c>
      <c r="L32" s="5">
        <v>0.17424859106540699</v>
      </c>
    </row>
    <row r="33" spans="3:12" x14ac:dyDescent="0.25">
      <c r="C33" s="10">
        <v>3</v>
      </c>
      <c r="D33" s="5">
        <v>0</v>
      </c>
      <c r="E33" s="5">
        <v>0</v>
      </c>
      <c r="F33" s="5">
        <v>1</v>
      </c>
      <c r="G33" s="5">
        <v>-5.8534357231110302E-4</v>
      </c>
      <c r="H33" s="5">
        <v>-6.0917992144823102E-2</v>
      </c>
      <c r="I33" s="5">
        <v>-1.45592755870894E-4</v>
      </c>
      <c r="J33" s="5">
        <v>-1.8382957205176399E-2</v>
      </c>
      <c r="K33" s="5">
        <v>9.1800466179847696E-4</v>
      </c>
      <c r="L33" s="5">
        <v>0.34572017192840598</v>
      </c>
    </row>
    <row r="34" spans="3:12" x14ac:dyDescent="0.25">
      <c r="C34" s="10">
        <v>4</v>
      </c>
      <c r="D34" s="5">
        <v>0</v>
      </c>
      <c r="E34" s="5">
        <v>0</v>
      </c>
      <c r="F34" s="5">
        <v>0</v>
      </c>
      <c r="G34" s="5">
        <f>G7</f>
        <v>-1.1705639772117101E-3</v>
      </c>
      <c r="H34" s="5">
        <f t="shared" ref="H34:L34" si="12">H7</f>
        <v>-9.4456188380718203E-2</v>
      </c>
      <c r="I34" s="5">
        <f t="shared" si="12"/>
        <v>-1.20323454029858E-3</v>
      </c>
      <c r="J34" s="5">
        <f t="shared" si="12"/>
        <v>-0.111187651753426</v>
      </c>
      <c r="K34" s="5">
        <f t="shared" si="12"/>
        <v>-3.2553412020206499E-3</v>
      </c>
      <c r="L34" s="5">
        <f t="shared" si="12"/>
        <v>0.47075057029724099</v>
      </c>
    </row>
    <row r="35" spans="3:12" x14ac:dyDescent="0.25">
      <c r="C35" s="10">
        <v>4</v>
      </c>
      <c r="D35" s="5">
        <v>1</v>
      </c>
      <c r="E35" s="5">
        <v>0</v>
      </c>
      <c r="F35" s="5">
        <v>0</v>
      </c>
      <c r="G35" s="5">
        <v>8.7243388406932395E-5</v>
      </c>
      <c r="H35" s="5">
        <v>-8.1967003643512698E-2</v>
      </c>
      <c r="I35" s="5">
        <v>-1.8417512765154199E-3</v>
      </c>
      <c r="J35" s="5">
        <v>-9.5461010932922405E-2</v>
      </c>
      <c r="K35" s="5">
        <v>-1.02448388934135E-2</v>
      </c>
      <c r="L35" s="5">
        <v>0.411044031381607</v>
      </c>
    </row>
    <row r="36" spans="3:12" x14ac:dyDescent="0.25">
      <c r="C36" s="10">
        <v>4</v>
      </c>
      <c r="D36" s="5">
        <v>0</v>
      </c>
      <c r="E36" s="5">
        <v>1</v>
      </c>
      <c r="F36" s="5">
        <v>0</v>
      </c>
      <c r="G36" s="5">
        <v>-2.6281357277184699E-3</v>
      </c>
      <c r="H36" s="5">
        <v>-7.9778142273426098E-2</v>
      </c>
      <c r="I36" s="5">
        <v>8.1456964835524593E-6</v>
      </c>
      <c r="J36" s="5">
        <v>-9.1968797147274003E-2</v>
      </c>
      <c r="K36" s="5">
        <v>4.9324836581945402E-3</v>
      </c>
      <c r="L36" s="5">
        <v>0.401186943054199</v>
      </c>
    </row>
    <row r="37" spans="3:12" x14ac:dyDescent="0.25">
      <c r="C37" s="10">
        <v>4</v>
      </c>
      <c r="D37" s="5">
        <v>0</v>
      </c>
      <c r="E37" s="5">
        <v>0</v>
      </c>
      <c r="F37" s="5">
        <v>1</v>
      </c>
      <c r="G37" s="5">
        <v>-1.7928605666384101E-3</v>
      </c>
      <c r="H37" s="5">
        <v>-0.106283381581306</v>
      </c>
      <c r="I37" s="5">
        <v>-1.05142686516047E-3</v>
      </c>
      <c r="J37" s="5">
        <v>-0.124293893575668</v>
      </c>
      <c r="K37" s="5">
        <v>-1.8899887800216701E-3</v>
      </c>
      <c r="L37" s="5">
        <v>0.53177243471145597</v>
      </c>
    </row>
    <row r="38" spans="3:12" x14ac:dyDescent="0.25">
      <c r="C38" s="10">
        <v>5</v>
      </c>
      <c r="D38" s="5">
        <v>0</v>
      </c>
      <c r="E38" s="5">
        <v>0</v>
      </c>
      <c r="F38" s="5">
        <v>0</v>
      </c>
      <c r="G38" s="5">
        <f>G8</f>
        <v>-1.5179968904703901E-3</v>
      </c>
      <c r="H38" s="5">
        <f t="shared" ref="H38:L38" si="13">H8</f>
        <v>-0.13914526998996701</v>
      </c>
      <c r="I38" s="5">
        <f t="shared" si="13"/>
        <v>-1.6895274166017799E-3</v>
      </c>
      <c r="J38" s="5">
        <f t="shared" si="13"/>
        <v>-0.208347618579865</v>
      </c>
      <c r="K38" s="5">
        <f t="shared" si="13"/>
        <v>-2.6145353913307199E-3</v>
      </c>
      <c r="L38" s="5">
        <f t="shared" si="13"/>
        <v>0.69233715534210205</v>
      </c>
    </row>
    <row r="39" spans="3:12" x14ac:dyDescent="0.25">
      <c r="C39" s="10">
        <v>5</v>
      </c>
      <c r="D39" s="5">
        <v>1</v>
      </c>
      <c r="E39" s="5">
        <v>0</v>
      </c>
      <c r="F39" s="5">
        <v>0</v>
      </c>
      <c r="G39" s="5">
        <v>4.0320260450243999E-4</v>
      </c>
      <c r="H39" s="5">
        <v>-0.12612909078598</v>
      </c>
      <c r="I39" s="5">
        <v>-2.7437012176960698E-3</v>
      </c>
      <c r="J39" s="5">
        <v>-0.18591290712356601</v>
      </c>
      <c r="K39" s="5">
        <v>-1.28864273428917E-2</v>
      </c>
      <c r="L39" s="5">
        <v>0.63056266307830799</v>
      </c>
    </row>
    <row r="40" spans="3:12" x14ac:dyDescent="0.25">
      <c r="C40" s="10">
        <v>5</v>
      </c>
      <c r="D40" s="5">
        <v>0</v>
      </c>
      <c r="E40" s="5">
        <v>1</v>
      </c>
      <c r="F40" s="5">
        <v>0</v>
      </c>
      <c r="G40" s="5">
        <v>-3.60359740443528E-3</v>
      </c>
      <c r="H40" s="5">
        <v>-0.123284801840782</v>
      </c>
      <c r="I40" s="5">
        <v>1.3838161248713699E-4</v>
      </c>
      <c r="J40" s="5">
        <v>-0.18036614358425099</v>
      </c>
      <c r="K40" s="5">
        <v>9.5373615622520395E-3</v>
      </c>
      <c r="L40" s="5">
        <v>0.61717545986175504</v>
      </c>
    </row>
    <row r="41" spans="3:12" x14ac:dyDescent="0.25">
      <c r="C41" s="10">
        <v>5</v>
      </c>
      <c r="D41" s="5">
        <v>0</v>
      </c>
      <c r="E41" s="5">
        <v>0</v>
      </c>
      <c r="F41" s="5">
        <v>1</v>
      </c>
      <c r="G41" s="5">
        <v>-2.0965661387890599E-3</v>
      </c>
      <c r="H41" s="5">
        <v>-0.147491469979286</v>
      </c>
      <c r="I41" s="5">
        <v>-1.3944744132459201E-3</v>
      </c>
      <c r="J41" s="5">
        <v>-0.22115431725978901</v>
      </c>
      <c r="K41" s="5">
        <v>-3.3147633075714098E-5</v>
      </c>
      <c r="L41" s="5">
        <v>0.73367011547088601</v>
      </c>
    </row>
    <row r="42" spans="3:12" x14ac:dyDescent="0.25">
      <c r="C42" s="10">
        <v>6</v>
      </c>
      <c r="D42" s="5">
        <v>0</v>
      </c>
      <c r="E42" s="5">
        <v>0</v>
      </c>
      <c r="F42" s="5">
        <v>0</v>
      </c>
      <c r="G42" s="5">
        <f>G9</f>
        <v>-6.0909817693754998E-4</v>
      </c>
      <c r="H42" s="5">
        <f t="shared" ref="H42:L42" si="14">H9</f>
        <v>-9.3464262783527402E-2</v>
      </c>
      <c r="I42" s="5">
        <f t="shared" si="14"/>
        <v>-1.42273562960327E-3</v>
      </c>
      <c r="J42" s="5">
        <f t="shared" si="14"/>
        <v>-0.183252438902855</v>
      </c>
      <c r="K42" s="5">
        <f t="shared" si="14"/>
        <v>-1.30194798111916E-3</v>
      </c>
      <c r="L42" s="5">
        <f t="shared" si="14"/>
        <v>0.33158546686172502</v>
      </c>
    </row>
    <row r="43" spans="3:12" x14ac:dyDescent="0.25">
      <c r="C43" s="10">
        <v>6</v>
      </c>
      <c r="D43" s="5">
        <v>1</v>
      </c>
      <c r="E43" s="5">
        <v>0</v>
      </c>
      <c r="F43" s="5">
        <v>0</v>
      </c>
      <c r="G43" s="5">
        <v>2.1256739273667301E-3</v>
      </c>
      <c r="H43" s="5">
        <v>-8.1501223146915394E-2</v>
      </c>
      <c r="I43" s="5">
        <v>-3.6365091800689702E-3</v>
      </c>
      <c r="J43" s="5">
        <v>-0.15839047729969</v>
      </c>
      <c r="K43" s="5">
        <v>-1.5761572867631898E-2</v>
      </c>
      <c r="L43" s="5">
        <v>0.29118153452873202</v>
      </c>
    </row>
    <row r="44" spans="3:12" x14ac:dyDescent="0.25">
      <c r="C44" s="10">
        <v>6</v>
      </c>
      <c r="D44" s="5">
        <v>0</v>
      </c>
      <c r="E44" s="5">
        <v>1</v>
      </c>
      <c r="F44" s="5">
        <v>0</v>
      </c>
      <c r="G44" s="5">
        <v>-3.4697111696004898E-3</v>
      </c>
      <c r="H44" s="5">
        <v>-7.9126335680484799E-2</v>
      </c>
      <c r="I44" s="5">
        <v>1.4140863204374901E-3</v>
      </c>
      <c r="J44" s="5">
        <v>-0.15318381786346399</v>
      </c>
      <c r="K44" s="5">
        <v>1.42920073121786E-2</v>
      </c>
      <c r="L44" s="5">
        <v>0.28343707323074302</v>
      </c>
    </row>
    <row r="45" spans="3:12" x14ac:dyDescent="0.25">
      <c r="C45" s="10">
        <v>6</v>
      </c>
      <c r="D45" s="5">
        <v>0</v>
      </c>
      <c r="E45" s="5">
        <v>0</v>
      </c>
      <c r="F45" s="5">
        <v>1</v>
      </c>
      <c r="G45" s="5">
        <v>-1.4034989289939399E-3</v>
      </c>
      <c r="H45" s="5">
        <v>-0.10893576592206999</v>
      </c>
      <c r="I45" s="5">
        <v>-1.0244118748232701E-3</v>
      </c>
      <c r="J45" s="5">
        <v>-0.21598881483078</v>
      </c>
      <c r="K45" s="5">
        <v>2.0247809588909101E-3</v>
      </c>
      <c r="L45" s="5">
        <v>0.38628801703453097</v>
      </c>
    </row>
    <row r="46" spans="3:12" x14ac:dyDescent="0.25">
      <c r="C46" s="10">
        <v>7</v>
      </c>
      <c r="D46" s="5">
        <v>0</v>
      </c>
      <c r="E46" s="5">
        <v>0</v>
      </c>
      <c r="F46" s="5">
        <v>0</v>
      </c>
      <c r="G46" s="5">
        <f>G10</f>
        <v>-8.4166455781087301E-4</v>
      </c>
      <c r="H46" s="5">
        <f t="shared" ref="H46:L46" si="15">H10</f>
        <v>-0.141347721219063</v>
      </c>
      <c r="I46" s="5">
        <f t="shared" si="15"/>
        <v>-2.4875707458704701E-3</v>
      </c>
      <c r="J46" s="5">
        <f t="shared" si="15"/>
        <v>-0.39468729496002197</v>
      </c>
      <c r="K46" s="5">
        <f t="shared" si="15"/>
        <v>-9.2538818717002901E-4</v>
      </c>
      <c r="L46" s="5">
        <f t="shared" si="15"/>
        <v>0.469948559999466</v>
      </c>
    </row>
    <row r="47" spans="3:12" x14ac:dyDescent="0.25">
      <c r="C47" s="10">
        <v>7</v>
      </c>
      <c r="D47" s="5">
        <v>1</v>
      </c>
      <c r="E47" s="5">
        <v>0</v>
      </c>
      <c r="F47" s="5">
        <v>0</v>
      </c>
      <c r="G47" s="5">
        <v>3.8443636149168002E-3</v>
      </c>
      <c r="H47" s="5">
        <v>-0.12736497819423701</v>
      </c>
      <c r="I47" s="5">
        <v>-5.8701047673821397E-3</v>
      </c>
      <c r="J47" s="5">
        <v>-0.35098621249198902</v>
      </c>
      <c r="K47" s="5">
        <v>-2.6046320796012899E-2</v>
      </c>
      <c r="L47" s="5">
        <v>0.426019728183746</v>
      </c>
    </row>
    <row r="48" spans="3:12" x14ac:dyDescent="0.25">
      <c r="C48" s="10">
        <v>7</v>
      </c>
      <c r="D48" s="5">
        <v>0</v>
      </c>
      <c r="E48" s="5">
        <v>1</v>
      </c>
      <c r="F48" s="5">
        <v>0</v>
      </c>
      <c r="G48" s="5">
        <v>-4.7293268144130698E-3</v>
      </c>
      <c r="H48" s="5">
        <v>-0.12588208913803101</v>
      </c>
      <c r="I48" s="5">
        <v>9.4564992468804099E-4</v>
      </c>
      <c r="J48" s="5">
        <v>-0.346735060214996</v>
      </c>
      <c r="K48" s="5">
        <v>2.07273736596107E-2</v>
      </c>
      <c r="L48" s="5">
        <v>0.42136827111244202</v>
      </c>
    </row>
    <row r="49" spans="3:12" x14ac:dyDescent="0.25">
      <c r="C49" s="10">
        <v>7</v>
      </c>
      <c r="D49" s="5">
        <v>0</v>
      </c>
      <c r="E49" s="5">
        <v>0</v>
      </c>
      <c r="F49" s="5">
        <v>1</v>
      </c>
      <c r="G49" s="5">
        <v>-1.6190472524613101E-3</v>
      </c>
      <c r="H49" s="5">
        <v>-0.15216569602489499</v>
      </c>
      <c r="I49" s="5">
        <v>-2.0947058219462598E-3</v>
      </c>
      <c r="J49" s="5">
        <v>-0.42657080292701699</v>
      </c>
      <c r="K49" s="5">
        <v>2.95922160148621E-3</v>
      </c>
      <c r="L49" s="5">
        <v>0.50341123342514005</v>
      </c>
    </row>
    <row r="50" spans="3:12" x14ac:dyDescent="0.25">
      <c r="C50" s="10">
        <v>8</v>
      </c>
      <c r="D50" s="5">
        <v>0</v>
      </c>
      <c r="E50" s="5">
        <v>0</v>
      </c>
      <c r="F50" s="5">
        <v>0</v>
      </c>
      <c r="G50" s="5">
        <f>G11</f>
        <v>-2.5411224924027898E-3</v>
      </c>
      <c r="H50" s="5">
        <f t="shared" ref="H50:L50" si="16">H11</f>
        <v>-0.16168536245822901</v>
      </c>
      <c r="I50" s="5">
        <f t="shared" si="16"/>
        <v>-2.0260578021407101E-3</v>
      </c>
      <c r="J50" s="5">
        <f t="shared" si="16"/>
        <v>-0.81751561164856001</v>
      </c>
      <c r="K50" s="5">
        <f t="shared" si="16"/>
        <v>1.46271400153637E-2</v>
      </c>
      <c r="L50" s="5">
        <f t="shared" si="16"/>
        <v>0.27560678124427801</v>
      </c>
    </row>
    <row r="51" spans="3:12" x14ac:dyDescent="0.25">
      <c r="C51" s="10">
        <v>8</v>
      </c>
      <c r="D51" s="5">
        <v>1</v>
      </c>
      <c r="E51" s="5">
        <v>0</v>
      </c>
      <c r="F51" s="5">
        <v>0</v>
      </c>
      <c r="G51" s="5">
        <v>2.7138160075992298E-3</v>
      </c>
      <c r="H51" s="5">
        <v>-0.148533850908279</v>
      </c>
      <c r="I51" s="5">
        <v>-4.7276630066335201E-3</v>
      </c>
      <c r="J51" s="5">
        <v>-0.74681681394577004</v>
      </c>
      <c r="K51" s="5">
        <v>-1.84046011418104E-2</v>
      </c>
      <c r="L51" s="5">
        <v>0.25869399309158297</v>
      </c>
    </row>
    <row r="52" spans="3:12" x14ac:dyDescent="0.25">
      <c r="C52" s="10">
        <v>8</v>
      </c>
      <c r="D52" s="5">
        <v>0</v>
      </c>
      <c r="E52" s="5">
        <v>1</v>
      </c>
      <c r="F52" s="5">
        <v>0</v>
      </c>
      <c r="G52" s="5">
        <v>-8.3056669682264293E-3</v>
      </c>
      <c r="H52" s="5">
        <v>-0.14515875279903401</v>
      </c>
      <c r="I52" s="5">
        <v>1.6626357100904001E-3</v>
      </c>
      <c r="J52" s="5">
        <v>-0.72912079095840499</v>
      </c>
      <c r="K52" s="5">
        <v>4.7625131905078902E-2</v>
      </c>
      <c r="L52" s="5">
        <v>0.255448818206787</v>
      </c>
    </row>
    <row r="53" spans="3:12" x14ac:dyDescent="0.25">
      <c r="C53" s="10">
        <v>8</v>
      </c>
      <c r="D53" s="5">
        <v>0</v>
      </c>
      <c r="E53" s="5">
        <v>0</v>
      </c>
      <c r="F53" s="5">
        <v>1</v>
      </c>
      <c r="G53" s="5">
        <v>-3.82994743995368E-3</v>
      </c>
      <c r="H53" s="5">
        <v>-0.16439875960350001</v>
      </c>
      <c r="I53" s="5">
        <v>-1.33302470203489E-3</v>
      </c>
      <c r="J53" s="5">
        <v>-0.83642917871475198</v>
      </c>
      <c r="K53" s="5">
        <v>2.1142318844795199E-2</v>
      </c>
      <c r="L53" s="5">
        <v>0.275511234998703</v>
      </c>
    </row>
    <row r="54" spans="3:12" x14ac:dyDescent="0.25">
      <c r="C54" s="10">
        <v>9</v>
      </c>
      <c r="D54" s="5">
        <v>0</v>
      </c>
      <c r="E54" s="5">
        <v>0</v>
      </c>
      <c r="F54" s="5">
        <v>0</v>
      </c>
      <c r="G54" s="5">
        <f>G12</f>
        <v>-7.7232124749571096E-4</v>
      </c>
      <c r="H54" s="5">
        <f t="shared" ref="H54:L54" si="17">H12</f>
        <v>-7.1722365915775299E-2</v>
      </c>
      <c r="I54" s="5">
        <f t="shared" si="17"/>
        <v>-7.8877643682062604E-4</v>
      </c>
      <c r="J54" s="5">
        <f t="shared" si="17"/>
        <v>-0.14824971556663499</v>
      </c>
      <c r="K54" s="5">
        <f t="shared" si="17"/>
        <v>-2.5316514074802399E-4</v>
      </c>
      <c r="L54" s="5">
        <f t="shared" si="17"/>
        <v>0.21111465990543399</v>
      </c>
    </row>
    <row r="55" spans="3:12" x14ac:dyDescent="0.25">
      <c r="C55" s="10">
        <v>9</v>
      </c>
      <c r="D55" s="5">
        <v>1</v>
      </c>
      <c r="E55" s="5">
        <v>0</v>
      </c>
      <c r="F55" s="5">
        <v>0</v>
      </c>
      <c r="G55" s="5">
        <v>2.1917819976806602E-3</v>
      </c>
      <c r="H55" s="5">
        <v>-5.7274989783763899E-2</v>
      </c>
      <c r="I55" s="5">
        <v>-3.6934348754584798E-3</v>
      </c>
      <c r="J55" s="5">
        <v>-0.115169636905193</v>
      </c>
      <c r="K55" s="5">
        <v>-1.6218468546867398E-2</v>
      </c>
      <c r="L55" s="5">
        <v>0.169412106275558</v>
      </c>
    </row>
    <row r="56" spans="3:12" x14ac:dyDescent="0.25">
      <c r="C56" s="10">
        <v>9</v>
      </c>
      <c r="D56" s="5">
        <v>0</v>
      </c>
      <c r="E56" s="5">
        <v>1</v>
      </c>
      <c r="F56" s="5">
        <v>0</v>
      </c>
      <c r="G56" s="5">
        <v>-4.1306661441922196E-3</v>
      </c>
      <c r="H56" s="5">
        <v>-5.5268872529268299E-2</v>
      </c>
      <c r="I56" s="5">
        <v>3.15179536119103E-3</v>
      </c>
      <c r="J56" s="5">
        <v>-0.111157171428204</v>
      </c>
      <c r="K56" s="5">
        <v>1.7719671130180401E-2</v>
      </c>
      <c r="L56" s="5">
        <v>0.16463512182235701</v>
      </c>
    </row>
    <row r="57" spans="3:12" x14ac:dyDescent="0.25">
      <c r="C57" s="10">
        <v>9</v>
      </c>
      <c r="D57" s="5">
        <v>0</v>
      </c>
      <c r="E57" s="5">
        <v>0</v>
      </c>
      <c r="F57" s="5">
        <v>1</v>
      </c>
      <c r="G57" s="5">
        <v>-1.69308739714324E-3</v>
      </c>
      <c r="H57" s="5">
        <v>-8.5631921887397794E-2</v>
      </c>
      <c r="I57" s="5">
        <v>-4.7984158300096203E-5</v>
      </c>
      <c r="J57" s="5">
        <v>-0.18053941428661299</v>
      </c>
      <c r="K57" s="5">
        <v>4.4441134668886696E-3</v>
      </c>
      <c r="L57" s="5">
        <v>0.24911113083362599</v>
      </c>
    </row>
    <row r="58" spans="3:12" x14ac:dyDescent="0.25">
      <c r="C58" s="10">
        <v>10</v>
      </c>
      <c r="D58" s="5">
        <v>0</v>
      </c>
      <c r="E58" s="5">
        <v>0</v>
      </c>
      <c r="F58" s="5">
        <v>0</v>
      </c>
      <c r="G58" s="5">
        <f>G13</f>
        <v>-1.37498124968261E-3</v>
      </c>
      <c r="H58" s="5">
        <f t="shared" ref="H58:L58" si="18">H13</f>
        <v>-0.13238599896431</v>
      </c>
      <c r="I58" s="5">
        <f t="shared" si="18"/>
        <v>-1.95983843877912E-3</v>
      </c>
      <c r="J58" s="5">
        <f t="shared" si="18"/>
        <v>-0.64118611812591597</v>
      </c>
      <c r="K58" s="5">
        <f t="shared" si="18"/>
        <v>9.5805265009403194E-3</v>
      </c>
      <c r="L58" s="5">
        <f t="shared" si="18"/>
        <v>0.17886316776275599</v>
      </c>
    </row>
    <row r="59" spans="3:12" x14ac:dyDescent="0.25">
      <c r="C59" s="10">
        <v>10</v>
      </c>
      <c r="D59" s="5">
        <v>1</v>
      </c>
      <c r="E59" s="5">
        <v>0</v>
      </c>
      <c r="F59" s="5">
        <v>0</v>
      </c>
      <c r="G59" s="5">
        <v>4.5564956963062304E-3</v>
      </c>
      <c r="H59" s="5">
        <v>-0.11865180730819699</v>
      </c>
      <c r="I59" s="5">
        <v>-5.4197912104427797E-3</v>
      </c>
      <c r="J59" s="5">
        <v>-0.57230144739151001</v>
      </c>
      <c r="K59" s="5">
        <v>-2.49174889177084E-2</v>
      </c>
      <c r="L59" s="5">
        <v>0.16460032761096999</v>
      </c>
    </row>
    <row r="60" spans="3:12" x14ac:dyDescent="0.25">
      <c r="C60" s="10">
        <v>10</v>
      </c>
      <c r="D60" s="5">
        <v>0</v>
      </c>
      <c r="E60" s="5">
        <v>1</v>
      </c>
      <c r="F60" s="5">
        <v>0</v>
      </c>
      <c r="G60" s="5">
        <v>-8.2255862653255497E-3</v>
      </c>
      <c r="H60" s="5">
        <v>-0.116225816309452</v>
      </c>
      <c r="I60" s="5">
        <v>2.8010047972202301E-3</v>
      </c>
      <c r="J60" s="5">
        <v>-0.55895280838012695</v>
      </c>
      <c r="K60" s="5">
        <v>4.7850877046585097E-2</v>
      </c>
      <c r="L60" s="5">
        <v>0.16345152258873</v>
      </c>
    </row>
    <row r="61" spans="3:12" x14ac:dyDescent="0.25">
      <c r="C61" s="10">
        <v>10</v>
      </c>
      <c r="D61" s="5">
        <v>0</v>
      </c>
      <c r="E61" s="5">
        <v>0</v>
      </c>
      <c r="F61" s="5">
        <v>1</v>
      </c>
      <c r="G61" s="5">
        <v>-2.96032964251935E-3</v>
      </c>
      <c r="H61" s="5">
        <v>-0.13688300549984</v>
      </c>
      <c r="I61" s="5">
        <v>-1.02491653524339E-3</v>
      </c>
      <c r="J61" s="5">
        <v>-0.67123001813888605</v>
      </c>
      <c r="K61" s="5">
        <v>1.8216177821159401E-2</v>
      </c>
      <c r="L61" s="5">
        <v>0.17770855128765101</v>
      </c>
    </row>
  </sheetData>
  <mergeCells count="20">
    <mergeCell ref="A15:C15"/>
    <mergeCell ref="G21:L21"/>
    <mergeCell ref="A2:F2"/>
    <mergeCell ref="G2:L2"/>
    <mergeCell ref="M2:P2"/>
    <mergeCell ref="AW2:AY2"/>
    <mergeCell ref="AW3:AY3"/>
    <mergeCell ref="AW6:AY6"/>
    <mergeCell ref="A1:Y1"/>
    <mergeCell ref="AA1:AY1"/>
    <mergeCell ref="AA2:AF2"/>
    <mergeCell ref="AG2:AL2"/>
    <mergeCell ref="AM2:AP2"/>
    <mergeCell ref="AQ2:AS2"/>
    <mergeCell ref="AT2:AV2"/>
    <mergeCell ref="W6:Y6"/>
    <mergeCell ref="Q2:S2"/>
    <mergeCell ref="W2:Y2"/>
    <mergeCell ref="W3:Y3"/>
    <mergeCell ref="T2:V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55DD-E413-4EEB-B18C-66E0D2A3A5AE}">
  <dimension ref="A1:Y60"/>
  <sheetViews>
    <sheetView workbookViewId="0">
      <pane ySplit="2" topLeftCell="A3" activePane="bottomLeft" state="frozen"/>
      <selection activeCell="K1" sqref="K1"/>
      <selection pane="bottomLeft" activeCell="Z31" sqref="Z3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8.57031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44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>
        <v>0.31408271603248117</v>
      </c>
      <c r="N3" s="5">
        <v>0.19999999899533699</v>
      </c>
      <c r="O3" s="5">
        <v>1.5865549262293448</v>
      </c>
      <c r="P3" s="11">
        <v>4.8770789111221811E-3</v>
      </c>
      <c r="Q3" s="5">
        <f>M3-A3</f>
        <v>-8.5917283967518854E-2</v>
      </c>
      <c r="R3" s="5">
        <f>N3-B3</f>
        <v>0.13999999899533699</v>
      </c>
      <c r="S3" s="5">
        <f>O3-C3</f>
        <v>1.5758599434448239E-2</v>
      </c>
      <c r="T3" s="5">
        <f>ABS(Q3)</f>
        <v>8.5917283967518854E-2</v>
      </c>
      <c r="U3" s="5">
        <f t="shared" ref="U3:V12" si="0">ABS(R3)</f>
        <v>0.13999999899533699</v>
      </c>
      <c r="V3" s="5">
        <f t="shared" si="0"/>
        <v>1.5758599434448239E-2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>
        <v>0.31623114166253402</v>
      </c>
      <c r="N4" s="8">
        <v>0.19999999953885811</v>
      </c>
      <c r="O4" s="8">
        <v>1.5953492155841591</v>
      </c>
      <c r="P4" s="12">
        <v>1.9835038986431488E-3</v>
      </c>
      <c r="Q4" s="5">
        <f t="shared" ref="Q4:S12" si="1">M4-A4</f>
        <v>-0.48376885833746602</v>
      </c>
      <c r="R4" s="5">
        <f t="shared" si="1"/>
        <v>0.13999999953885811</v>
      </c>
      <c r="S4" s="5">
        <f t="shared" si="1"/>
        <v>2.4552888789262539E-2</v>
      </c>
      <c r="T4" s="5">
        <f t="shared" ref="T4:T12" si="2">ABS(Q4)</f>
        <v>0.48376885833746602</v>
      </c>
      <c r="U4" s="5">
        <f t="shared" si="0"/>
        <v>0.13999999953885811</v>
      </c>
      <c r="V4" s="5">
        <f t="shared" si="0"/>
        <v>2.4552888789262539E-2</v>
      </c>
      <c r="W4" s="6" cm="1">
        <f t="array" ref="W4">AVERAGE(ABS(Q7:Q12))</f>
        <v>4.3732467828106324E-2</v>
      </c>
      <c r="X4" s="6" cm="1">
        <f t="array" ref="X4">AVERAGE(ABS(R7:R12))</f>
        <v>9.2053043532432325E-3</v>
      </c>
      <c r="Y4" s="6" cm="1">
        <f t="array" ref="Y4">AVERAGE(ABS(S7:S12))</f>
        <v>1.2277037003567933E-2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>
        <v>0.24194170964132397</v>
      </c>
      <c r="N5" s="5">
        <v>0.19999999446723285</v>
      </c>
      <c r="O5" s="5">
        <v>1.5786470563162476</v>
      </c>
      <c r="P5" s="11">
        <v>8.655494073901422E-4</v>
      </c>
      <c r="Q5" s="5">
        <f t="shared" si="1"/>
        <v>-5.8058290358676018E-2</v>
      </c>
      <c r="R5" s="5">
        <f t="shared" si="1"/>
        <v>0.11999999446723285</v>
      </c>
      <c r="S5" s="5">
        <f t="shared" si="1"/>
        <v>7.8507295213510186E-3</v>
      </c>
      <c r="T5" s="5">
        <f t="shared" si="2"/>
        <v>5.8058290358676018E-2</v>
      </c>
      <c r="U5" s="5">
        <f t="shared" si="0"/>
        <v>0.11999999446723285</v>
      </c>
      <c r="V5" s="5">
        <f t="shared" si="0"/>
        <v>7.8507295213510186E-3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>
        <v>0.64434807120690019</v>
      </c>
      <c r="N6" s="5">
        <v>8.4705518234087701E-2</v>
      </c>
      <c r="O6" s="5">
        <v>1.5888921182016253</v>
      </c>
      <c r="P6" s="11">
        <v>1.6532907634860328E-3</v>
      </c>
      <c r="Q6" s="5">
        <f t="shared" si="1"/>
        <v>0.14434807120690019</v>
      </c>
      <c r="R6" s="5">
        <f t="shared" si="1"/>
        <v>-1.5294481765912304E-2</v>
      </c>
      <c r="S6" s="5">
        <f t="shared" si="1"/>
        <v>1.8095791406728789E-2</v>
      </c>
      <c r="T6" s="5">
        <f t="shared" si="2"/>
        <v>0.14434807120690019</v>
      </c>
      <c r="U6" s="5">
        <f t="shared" si="0"/>
        <v>1.5294481765912304E-2</v>
      </c>
      <c r="V6" s="5">
        <f t="shared" si="0"/>
        <v>1.8095791406728789E-2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>
        <v>0.69615947991023996</v>
      </c>
      <c r="N7" s="5">
        <v>0.10071391548769121</v>
      </c>
      <c r="O7" s="5">
        <v>1.5905381284842586</v>
      </c>
      <c r="P7" s="11">
        <v>3.9969747079750644E-3</v>
      </c>
      <c r="Q7" s="5">
        <f t="shared" si="1"/>
        <v>-3.8405200897599912E-3</v>
      </c>
      <c r="R7" s="5">
        <f t="shared" si="1"/>
        <v>7.1391548769120239E-4</v>
      </c>
      <c r="S7" s="5">
        <f t="shared" si="1"/>
        <v>1.9741801689362015E-2</v>
      </c>
      <c r="T7" s="5">
        <f t="shared" si="2"/>
        <v>3.8405200897599912E-3</v>
      </c>
      <c r="U7" s="5">
        <f t="shared" si="0"/>
        <v>7.1391548769120239E-4</v>
      </c>
      <c r="V7" s="5">
        <f t="shared" si="0"/>
        <v>1.9741801689362015E-2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>
        <v>0.51201170918090533</v>
      </c>
      <c r="N8" s="5">
        <v>0.13758461085295529</v>
      </c>
      <c r="O8" s="5">
        <v>1.5836854626595922</v>
      </c>
      <c r="P8" s="11">
        <v>2.3753509742121082E-2</v>
      </c>
      <c r="Q8" s="5">
        <f t="shared" si="1"/>
        <v>0.11201170918090531</v>
      </c>
      <c r="R8" s="5">
        <f t="shared" si="1"/>
        <v>-2.2415389147044718E-2</v>
      </c>
      <c r="S8" s="5">
        <f t="shared" si="1"/>
        <v>1.2889135864695644E-2</v>
      </c>
      <c r="T8" s="5">
        <f t="shared" si="2"/>
        <v>0.11201170918090531</v>
      </c>
      <c r="U8" s="5">
        <f t="shared" si="0"/>
        <v>2.2415389147044718E-2</v>
      </c>
      <c r="V8" s="5">
        <f t="shared" si="0"/>
        <v>1.2889135864695644E-2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>
        <v>0.63861944140637905</v>
      </c>
      <c r="N9" s="5">
        <v>0.16064875761773398</v>
      </c>
      <c r="O9" s="5">
        <v>1.5794604693861756</v>
      </c>
      <c r="P9" s="11">
        <v>2.4814225789448929E-2</v>
      </c>
      <c r="Q9" s="5">
        <f t="shared" si="1"/>
        <v>3.8619441406379074E-2</v>
      </c>
      <c r="R9" s="5">
        <f t="shared" si="1"/>
        <v>6.4875761773397489E-4</v>
      </c>
      <c r="S9" s="5">
        <f t="shared" si="1"/>
        <v>8.6641425912790115E-3</v>
      </c>
      <c r="T9" s="5">
        <f t="shared" si="2"/>
        <v>3.8619441406379074E-2</v>
      </c>
      <c r="U9" s="5">
        <f t="shared" si="0"/>
        <v>6.4875761773397489E-4</v>
      </c>
      <c r="V9" s="5">
        <f t="shared" si="0"/>
        <v>8.6641425912790115E-3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>
        <v>0.80509763204284068</v>
      </c>
      <c r="N10" s="5">
        <v>0.18463605534635863</v>
      </c>
      <c r="O10" s="5">
        <v>1.5841617982713447</v>
      </c>
      <c r="P10" s="11">
        <v>2.6225649853001075E-3</v>
      </c>
      <c r="Q10" s="5">
        <f t="shared" si="1"/>
        <v>5.0976320428406385E-3</v>
      </c>
      <c r="R10" s="5">
        <f t="shared" si="1"/>
        <v>4.6360553463586363E-3</v>
      </c>
      <c r="S10" s="5">
        <f t="shared" si="1"/>
        <v>1.3365471476448176E-2</v>
      </c>
      <c r="T10" s="5">
        <f t="shared" si="2"/>
        <v>5.0976320428406385E-3</v>
      </c>
      <c r="U10" s="5">
        <f t="shared" si="0"/>
        <v>4.6360553463586363E-3</v>
      </c>
      <c r="V10" s="5">
        <f t="shared" si="0"/>
        <v>1.3365471476448176E-2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>
        <v>0.32040703415587396</v>
      </c>
      <c r="N11" s="5">
        <v>0.1999961495656345</v>
      </c>
      <c r="O11" s="5">
        <v>1.5800046564561681</v>
      </c>
      <c r="P11" s="11">
        <v>4.4421447363002256E-2</v>
      </c>
      <c r="Q11" s="5">
        <f t="shared" si="1"/>
        <v>2.0407034155873971E-2</v>
      </c>
      <c r="R11" s="5">
        <f t="shared" si="1"/>
        <v>-3.8504343655154649E-6</v>
      </c>
      <c r="S11" s="5">
        <f t="shared" si="1"/>
        <v>9.2083296612714971E-3</v>
      </c>
      <c r="T11" s="5">
        <f t="shared" si="2"/>
        <v>2.0407034155873971E-2</v>
      </c>
      <c r="U11" s="5">
        <f t="shared" si="0"/>
        <v>3.8504343655154649E-6</v>
      </c>
      <c r="V11" s="5">
        <f t="shared" si="0"/>
        <v>9.2083296612714971E-3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>
        <v>0.7824184700928789</v>
      </c>
      <c r="N12" s="5">
        <v>0.17318614191373466</v>
      </c>
      <c r="O12" s="5">
        <v>1.5805896675332478</v>
      </c>
      <c r="P12" s="11">
        <v>7.1493408222710452E-3</v>
      </c>
      <c r="Q12" s="5">
        <f t="shared" si="1"/>
        <v>8.2418470092878948E-2</v>
      </c>
      <c r="R12" s="5">
        <f t="shared" si="1"/>
        <v>-2.6813858086265352E-2</v>
      </c>
      <c r="S12" s="5">
        <f t="shared" si="1"/>
        <v>9.7933407383512527E-3</v>
      </c>
      <c r="T12" s="5">
        <f t="shared" si="2"/>
        <v>8.2418470092878948E-2</v>
      </c>
      <c r="U12" s="5">
        <f t="shared" si="0"/>
        <v>2.6813858086265352E-2</v>
      </c>
      <c r="V12" s="5">
        <f t="shared" si="0"/>
        <v>9.7933407383512527E-3</v>
      </c>
    </row>
    <row r="13" spans="1:25" ht="15.75" x14ac:dyDescent="0.25">
      <c r="M13" s="25" t="s">
        <v>45</v>
      </c>
      <c r="N13" s="26"/>
      <c r="O13" s="26"/>
      <c r="P13" s="26"/>
      <c r="Q13" s="27" t="s">
        <v>13</v>
      </c>
      <c r="R13" s="27"/>
      <c r="S13" s="27"/>
      <c r="T13" s="30" t="s">
        <v>40</v>
      </c>
      <c r="U13" s="30"/>
      <c r="V13" s="30"/>
      <c r="W13" s="28"/>
      <c r="X13" s="28"/>
      <c r="Y13" s="28"/>
    </row>
    <row r="14" spans="1:25" ht="15.75" x14ac:dyDescent="0.25">
      <c r="A14" s="31" t="s">
        <v>31</v>
      </c>
      <c r="B14" s="32"/>
      <c r="C14" s="33"/>
      <c r="M14" s="3" t="s">
        <v>34</v>
      </c>
      <c r="N14" s="1" t="s">
        <v>35</v>
      </c>
      <c r="O14" s="1" t="s">
        <v>36</v>
      </c>
      <c r="P14" s="2" t="s">
        <v>27</v>
      </c>
      <c r="Q14" s="3" t="s">
        <v>34</v>
      </c>
      <c r="R14" s="1" t="s">
        <v>35</v>
      </c>
      <c r="S14" s="1" t="s">
        <v>36</v>
      </c>
      <c r="T14" s="3" t="s">
        <v>34</v>
      </c>
      <c r="U14" s="1" t="s">
        <v>35</v>
      </c>
      <c r="V14" s="1" t="s">
        <v>36</v>
      </c>
      <c r="W14" s="29" t="s">
        <v>26</v>
      </c>
      <c r="X14" s="29"/>
      <c r="Y14" s="29"/>
    </row>
    <row r="15" spans="1:25" ht="15.75" x14ac:dyDescent="0.25">
      <c r="A15">
        <v>1.5</v>
      </c>
      <c r="B15">
        <v>0</v>
      </c>
      <c r="C15">
        <v>0</v>
      </c>
      <c r="M15" s="5"/>
      <c r="N15" s="5"/>
      <c r="O15" s="5"/>
      <c r="P15" s="11"/>
      <c r="Q15" s="5">
        <f>M15-A3</f>
        <v>-0.4</v>
      </c>
      <c r="R15" s="5">
        <f t="shared" ref="R15:S15" si="3">N15-B3</f>
        <v>-0.06</v>
      </c>
      <c r="S15" s="5">
        <f t="shared" si="3"/>
        <v>-1.5707963267948966</v>
      </c>
      <c r="T15" s="5">
        <f>ABS(Q15)</f>
        <v>0.4</v>
      </c>
      <c r="U15" s="5">
        <f t="shared" ref="U15:U24" si="4">ABS(R15)</f>
        <v>0.06</v>
      </c>
      <c r="V15" s="5">
        <f t="shared" ref="V15:V24" si="5">ABS(S15)</f>
        <v>1.5707963267948966</v>
      </c>
      <c r="W15" s="1" t="s">
        <v>23</v>
      </c>
      <c r="X15" s="1" t="s">
        <v>24</v>
      </c>
      <c r="Y15" s="1" t="s">
        <v>25</v>
      </c>
    </row>
    <row r="16" spans="1:25" x14ac:dyDescent="0.25">
      <c r="A16">
        <v>0</v>
      </c>
      <c r="B16">
        <v>1.5</v>
      </c>
      <c r="C16">
        <v>0</v>
      </c>
      <c r="M16" s="8"/>
      <c r="N16" s="8"/>
      <c r="O16" s="8"/>
      <c r="P16" s="12"/>
      <c r="Q16" s="5">
        <f t="shared" ref="Q16:Q24" si="6">M16-A4</f>
        <v>-0.8</v>
      </c>
      <c r="R16" s="5">
        <f t="shared" ref="R16:R24" si="7">N16-B4</f>
        <v>-0.06</v>
      </c>
      <c r="S16" s="5">
        <f t="shared" ref="S16:S24" si="8">O16-C4</f>
        <v>-1.5707963267948966</v>
      </c>
      <c r="T16" s="5">
        <f t="shared" ref="T16:T24" si="9">ABS(Q16)</f>
        <v>0.8</v>
      </c>
      <c r="U16" s="5">
        <f t="shared" si="4"/>
        <v>0.06</v>
      </c>
      <c r="V16" s="5">
        <f t="shared" si="5"/>
        <v>1.5707963267948966</v>
      </c>
      <c r="W16" s="6" cm="1">
        <f t="array" ref="W16">AVERAGE(ABS(Q19:Q24))</f>
        <v>6.8903238977231121E-2</v>
      </c>
      <c r="X16" s="6" cm="1">
        <f t="array" ref="X16">AVERAGE(ABS(R19:R24))</f>
        <v>1.2003750170200613E-2</v>
      </c>
      <c r="Y16" s="6" cm="1">
        <f t="array" ref="Y16">AVERAGE(ABS(S19:S24))</f>
        <v>2.723727209581232E-2</v>
      </c>
    </row>
    <row r="17" spans="1:25" x14ac:dyDescent="0.25">
      <c r="A17">
        <v>0</v>
      </c>
      <c r="B17">
        <v>0</v>
      </c>
      <c r="C17">
        <v>1.5</v>
      </c>
      <c r="M17" s="5"/>
      <c r="N17" s="5"/>
      <c r="O17" s="5"/>
      <c r="P17" s="11"/>
      <c r="Q17" s="5">
        <f t="shared" si="6"/>
        <v>-0.3</v>
      </c>
      <c r="R17" s="5">
        <f t="shared" si="7"/>
        <v>-0.08</v>
      </c>
      <c r="S17" s="5">
        <f t="shared" si="8"/>
        <v>-1.5707963267948966</v>
      </c>
      <c r="T17" s="5">
        <f t="shared" si="9"/>
        <v>0.3</v>
      </c>
      <c r="U17" s="5">
        <f t="shared" si="4"/>
        <v>0.08</v>
      </c>
      <c r="V17" s="5">
        <f t="shared" si="5"/>
        <v>1.5707963267948966</v>
      </c>
      <c r="W17" s="24"/>
      <c r="X17" s="24"/>
      <c r="Y17" s="24"/>
    </row>
    <row r="18" spans="1:25" x14ac:dyDescent="0.25">
      <c r="M18" s="5"/>
      <c r="N18" s="5"/>
      <c r="O18" s="5"/>
      <c r="P18" s="11"/>
      <c r="Q18" s="5">
        <f t="shared" si="6"/>
        <v>-0.5</v>
      </c>
      <c r="R18" s="5">
        <f t="shared" si="7"/>
        <v>-0.1</v>
      </c>
      <c r="S18" s="5">
        <f t="shared" si="8"/>
        <v>-1.5707963267948966</v>
      </c>
      <c r="T18" s="5">
        <f t="shared" si="9"/>
        <v>0.5</v>
      </c>
      <c r="U18" s="5">
        <f t="shared" si="4"/>
        <v>0.1</v>
      </c>
      <c r="V18" s="5">
        <f t="shared" si="5"/>
        <v>1.5707963267948966</v>
      </c>
    </row>
    <row r="19" spans="1:25" ht="15.75" thickBot="1" x14ac:dyDescent="0.3">
      <c r="M19" s="5">
        <v>0.64689638992439769</v>
      </c>
      <c r="N19" s="5">
        <v>0.11746668809596479</v>
      </c>
      <c r="O19" s="5">
        <v>1.6043990970981421</v>
      </c>
      <c r="P19" s="11">
        <v>2.8122989366596621E-3</v>
      </c>
      <c r="Q19" s="5">
        <f t="shared" si="6"/>
        <v>-5.310361007560227E-2</v>
      </c>
      <c r="R19" s="5">
        <f t="shared" si="7"/>
        <v>1.7466688095964786E-2</v>
      </c>
      <c r="S19" s="5">
        <f t="shared" si="8"/>
        <v>3.3602770303245544E-2</v>
      </c>
      <c r="T19" s="5">
        <f t="shared" si="9"/>
        <v>5.310361007560227E-2</v>
      </c>
      <c r="U19" s="5">
        <f t="shared" si="4"/>
        <v>1.7466688095964786E-2</v>
      </c>
      <c r="V19" s="5">
        <f t="shared" si="5"/>
        <v>3.3602770303245544E-2</v>
      </c>
    </row>
    <row r="20" spans="1:25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  <c r="M20" s="5">
        <v>0.43690578520692841</v>
      </c>
      <c r="N20" s="5">
        <v>0.15432279590939299</v>
      </c>
      <c r="O20" s="5">
        <v>1.5941794764398824</v>
      </c>
      <c r="P20" s="11">
        <v>2.316401141279547E-2</v>
      </c>
      <c r="Q20" s="5">
        <f t="shared" si="6"/>
        <v>3.6905785206928388E-2</v>
      </c>
      <c r="R20" s="5">
        <f t="shared" si="7"/>
        <v>-5.6772040906070131E-3</v>
      </c>
      <c r="S20" s="5">
        <f t="shared" si="8"/>
        <v>2.338314964498589E-2</v>
      </c>
      <c r="T20" s="5">
        <f t="shared" si="9"/>
        <v>3.6905785206928388E-2</v>
      </c>
      <c r="U20" s="5">
        <f t="shared" si="4"/>
        <v>5.6772040906070131E-3</v>
      </c>
      <c r="V20" s="5">
        <f t="shared" si="5"/>
        <v>2.338314964498589E-2</v>
      </c>
    </row>
    <row r="21" spans="1:25" x14ac:dyDescent="0.25">
      <c r="C21" s="10">
        <v>1</v>
      </c>
      <c r="D21" s="5">
        <f t="shared" ref="D21:L21" si="10">D3</f>
        <v>0</v>
      </c>
      <c r="E21" s="5">
        <f t="shared" si="10"/>
        <v>0</v>
      </c>
      <c r="F21" s="5">
        <f t="shared" si="10"/>
        <v>0</v>
      </c>
      <c r="G21" s="5">
        <f t="shared" si="10"/>
        <v>-4.37921960838139E-4</v>
      </c>
      <c r="H21" s="5">
        <f t="shared" si="10"/>
        <v>-5.4464954882860198E-2</v>
      </c>
      <c r="I21" s="5">
        <f t="shared" si="10"/>
        <v>-2.8745096642523999E-4</v>
      </c>
      <c r="J21" s="5">
        <f t="shared" si="10"/>
        <v>-2.13129706680775E-2</v>
      </c>
      <c r="K21" s="5">
        <f t="shared" si="10"/>
        <v>1.85158103704453E-4</v>
      </c>
      <c r="L21" s="5">
        <f t="shared" si="10"/>
        <v>0.34822303056716902</v>
      </c>
      <c r="M21" s="5">
        <v>0.63574976428953611</v>
      </c>
      <c r="N21" s="5">
        <v>0.16115678485654764</v>
      </c>
      <c r="O21" s="5">
        <v>1.5891343698790081</v>
      </c>
      <c r="P21" s="11">
        <v>2.4396182971127174E-2</v>
      </c>
      <c r="Q21" s="5">
        <f t="shared" si="6"/>
        <v>3.5749764289536134E-2</v>
      </c>
      <c r="R21" s="5">
        <f t="shared" si="7"/>
        <v>1.1567848565476324E-3</v>
      </c>
      <c r="S21" s="5">
        <f t="shared" si="8"/>
        <v>1.8338043084111577E-2</v>
      </c>
      <c r="T21" s="5">
        <f t="shared" si="9"/>
        <v>3.5749764289536134E-2</v>
      </c>
      <c r="U21" s="5">
        <f t="shared" si="4"/>
        <v>1.1567848565476324E-3</v>
      </c>
      <c r="V21" s="5">
        <f t="shared" si="5"/>
        <v>1.8338043084111577E-2</v>
      </c>
      <c r="W21" s="7"/>
      <c r="X21" s="7"/>
      <c r="Y21" s="7"/>
    </row>
    <row r="22" spans="1:25" x14ac:dyDescent="0.25">
      <c r="C22" s="10">
        <v>1</v>
      </c>
      <c r="D22" s="5">
        <v>1.5</v>
      </c>
      <c r="E22" s="5">
        <v>0</v>
      </c>
      <c r="F22" s="5">
        <v>0</v>
      </c>
      <c r="G22" s="5">
        <v>6.4009008929133404E-4</v>
      </c>
      <c r="H22" s="5">
        <v>-3.9186380803585101E-2</v>
      </c>
      <c r="I22" s="5">
        <v>-2.0346988458186399E-4</v>
      </c>
      <c r="J22" s="5">
        <v>-8.7062008678913099E-3</v>
      </c>
      <c r="K22" s="5">
        <v>-2.6137903332710301E-3</v>
      </c>
      <c r="L22" s="5">
        <v>0.25637444853782698</v>
      </c>
      <c r="M22" s="5">
        <v>0.9999999978725217</v>
      </c>
      <c r="N22" s="5">
        <v>0.15559907018035021</v>
      </c>
      <c r="O22" s="5">
        <v>1.6056566890294823</v>
      </c>
      <c r="P22" s="11">
        <v>2.2135648315431807E-4</v>
      </c>
      <c r="Q22" s="5">
        <f t="shared" si="6"/>
        <v>0.19999999787252165</v>
      </c>
      <c r="R22" s="5">
        <f t="shared" si="7"/>
        <v>-2.440092981964978E-2</v>
      </c>
      <c r="S22" s="5">
        <f t="shared" si="8"/>
        <v>3.4860362234585773E-2</v>
      </c>
      <c r="T22" s="5">
        <f t="shared" si="9"/>
        <v>0.19999999787252165</v>
      </c>
      <c r="U22" s="5">
        <f t="shared" si="4"/>
        <v>2.440092981964978E-2</v>
      </c>
      <c r="V22" s="5">
        <f t="shared" si="5"/>
        <v>3.4860362234585773E-2</v>
      </c>
    </row>
    <row r="23" spans="1:25" x14ac:dyDescent="0.25">
      <c r="C23" s="10">
        <v>1</v>
      </c>
      <c r="D23" s="5">
        <v>0</v>
      </c>
      <c r="E23" s="5">
        <v>1.5</v>
      </c>
      <c r="F23" s="5">
        <v>0</v>
      </c>
      <c r="G23" s="5">
        <v>-4.4407683890312899E-4</v>
      </c>
      <c r="H23" s="5">
        <v>-3.7313751876354197E-2</v>
      </c>
      <c r="I23" s="5">
        <v>-3.41761275194585E-4</v>
      </c>
      <c r="J23" s="5">
        <v>-7.1340319700539103E-3</v>
      </c>
      <c r="K23" s="5">
        <v>4.2913071811199197E-3</v>
      </c>
      <c r="L23" s="5">
        <v>0.24494989216327701</v>
      </c>
      <c r="M23" s="5">
        <v>0.32061444702957659</v>
      </c>
      <c r="N23" s="5">
        <v>0.19999999997439072</v>
      </c>
      <c r="O23" s="5">
        <v>1.5962639170006037</v>
      </c>
      <c r="P23" s="11">
        <v>4.3153616360907587E-2</v>
      </c>
      <c r="Q23" s="5">
        <f t="shared" si="6"/>
        <v>2.0614447029576599E-2</v>
      </c>
      <c r="R23" s="5">
        <f t="shared" si="7"/>
        <v>-2.5609292464423561E-11</v>
      </c>
      <c r="S23" s="5">
        <f t="shared" si="8"/>
        <v>2.5467590205707102E-2</v>
      </c>
      <c r="T23" s="5">
        <f t="shared" si="9"/>
        <v>2.0614447029576599E-2</v>
      </c>
      <c r="U23" s="5">
        <f t="shared" si="4"/>
        <v>2.5609292464423561E-11</v>
      </c>
      <c r="V23" s="5">
        <f t="shared" si="5"/>
        <v>2.5467590205707102E-2</v>
      </c>
      <c r="W23" s="7"/>
      <c r="X23" s="7"/>
      <c r="Y23" s="7"/>
    </row>
    <row r="24" spans="1:25" x14ac:dyDescent="0.25">
      <c r="C24" s="10">
        <v>1</v>
      </c>
      <c r="D24" s="5">
        <v>0</v>
      </c>
      <c r="E24" s="5">
        <v>0</v>
      </c>
      <c r="F24" s="5">
        <v>1.5</v>
      </c>
      <c r="G24" s="5">
        <v>-2.1057412959635301E-4</v>
      </c>
      <c r="H24" s="5">
        <v>-6.8292371928691906E-2</v>
      </c>
      <c r="I24" s="5">
        <v>-4.8863200936466499E-4</v>
      </c>
      <c r="J24" s="5">
        <v>-2.33149789273739E-2</v>
      </c>
      <c r="K24" s="5">
        <v>1.18973851203918E-3</v>
      </c>
      <c r="L24" s="5">
        <v>0.44520068168640098</v>
      </c>
      <c r="M24" s="5">
        <v>0.76704582938922161</v>
      </c>
      <c r="N24" s="5">
        <v>0.17667910586717483</v>
      </c>
      <c r="O24" s="5">
        <v>1.5985680438971346</v>
      </c>
      <c r="P24" s="11">
        <v>5.8782115741874228E-3</v>
      </c>
      <c r="Q24" s="5">
        <f t="shared" si="6"/>
        <v>6.7045829389221656E-2</v>
      </c>
      <c r="R24" s="5">
        <f t="shared" si="7"/>
        <v>-2.3320894132825176E-2</v>
      </c>
      <c r="S24" s="5">
        <f t="shared" si="8"/>
        <v>2.7771717102238025E-2</v>
      </c>
      <c r="T24" s="5">
        <f t="shared" si="9"/>
        <v>6.7045829389221656E-2</v>
      </c>
      <c r="U24" s="5">
        <f t="shared" si="4"/>
        <v>2.3320894132825176E-2</v>
      </c>
      <c r="V24" s="5">
        <f t="shared" si="5"/>
        <v>2.7771717102238025E-2</v>
      </c>
    </row>
    <row r="25" spans="1:25" ht="15.75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-1.2904058676213E-3</v>
      </c>
      <c r="H25" s="5">
        <f t="shared" ref="H25:L25" si="11">H4</f>
        <v>-0.130890563130379</v>
      </c>
      <c r="I25" s="5">
        <f t="shared" si="11"/>
        <v>-5.0724833272397496E-4</v>
      </c>
      <c r="J25" s="5">
        <f t="shared" si="11"/>
        <v>-0.12710034847259499</v>
      </c>
      <c r="K25" s="5">
        <f t="shared" si="11"/>
        <v>3.3702701330184902E-3</v>
      </c>
      <c r="L25" s="5">
        <f t="shared" si="11"/>
        <v>0.83409011363983199</v>
      </c>
      <c r="M25" s="25" t="s">
        <v>46</v>
      </c>
      <c r="N25" s="26"/>
      <c r="O25" s="26"/>
      <c r="P25" s="26"/>
      <c r="Q25" s="27" t="s">
        <v>13</v>
      </c>
      <c r="R25" s="27"/>
      <c r="S25" s="27"/>
      <c r="T25" s="30" t="s">
        <v>40</v>
      </c>
      <c r="U25" s="30"/>
      <c r="V25" s="30"/>
      <c r="W25" s="28"/>
      <c r="X25" s="28"/>
      <c r="Y25" s="28"/>
    </row>
    <row r="26" spans="1:25" ht="15.75" x14ac:dyDescent="0.25">
      <c r="C26" s="10">
        <v>2</v>
      </c>
      <c r="D26" s="5">
        <v>1.5</v>
      </c>
      <c r="E26" s="5">
        <v>0</v>
      </c>
      <c r="F26" s="5">
        <v>0</v>
      </c>
      <c r="G26" s="5">
        <v>3.0013942159712298E-4</v>
      </c>
      <c r="H26" s="5">
        <v>-0.117159731686115</v>
      </c>
      <c r="I26" s="5">
        <v>-9.5811707433313099E-4</v>
      </c>
      <c r="J26" s="5">
        <v>-0.109190218150616</v>
      </c>
      <c r="K26" s="5">
        <v>-4.2116492986679103E-3</v>
      </c>
      <c r="L26" s="5">
        <v>0.75616359710693404</v>
      </c>
      <c r="M26" s="3" t="s">
        <v>34</v>
      </c>
      <c r="N26" s="1" t="s">
        <v>35</v>
      </c>
      <c r="O26" s="1" t="s">
        <v>36</v>
      </c>
      <c r="P26" s="2" t="s">
        <v>27</v>
      </c>
      <c r="Q26" s="3" t="s">
        <v>34</v>
      </c>
      <c r="R26" s="1" t="s">
        <v>35</v>
      </c>
      <c r="S26" s="1" t="s">
        <v>36</v>
      </c>
      <c r="T26" s="3" t="s">
        <v>34</v>
      </c>
      <c r="U26" s="1" t="s">
        <v>35</v>
      </c>
      <c r="V26" s="1" t="s">
        <v>36</v>
      </c>
      <c r="W26" s="29" t="s">
        <v>26</v>
      </c>
      <c r="X26" s="29"/>
      <c r="Y26" s="29"/>
    </row>
    <row r="27" spans="1:25" ht="15.75" x14ac:dyDescent="0.25">
      <c r="C27" s="10">
        <v>2</v>
      </c>
      <c r="D27" s="5">
        <v>0</v>
      </c>
      <c r="E27" s="5">
        <v>1.5</v>
      </c>
      <c r="F27" s="5">
        <v>0</v>
      </c>
      <c r="G27" s="5">
        <v>-2.4068739730864798E-3</v>
      </c>
      <c r="H27" s="5">
        <v>-0.115269728004932</v>
      </c>
      <c r="I27" s="5">
        <v>1.7146649770438701E-4</v>
      </c>
      <c r="J27" s="5">
        <v>-0.10486201196908999</v>
      </c>
      <c r="K27" s="5">
        <v>1.2097604572773001E-2</v>
      </c>
      <c r="L27" s="5">
        <v>0.74502885341644298</v>
      </c>
      <c r="M27" s="5"/>
      <c r="N27" s="5"/>
      <c r="O27" s="5"/>
      <c r="P27" s="11"/>
      <c r="Q27" s="5">
        <f>M27-A3</f>
        <v>-0.4</v>
      </c>
      <c r="R27" s="5">
        <f t="shared" ref="R27:S27" si="12">N27-B3</f>
        <v>-0.06</v>
      </c>
      <c r="S27" s="5">
        <f t="shared" si="12"/>
        <v>-1.5707963267948966</v>
      </c>
      <c r="T27" s="5">
        <f>ABS(Q27)</f>
        <v>0.4</v>
      </c>
      <c r="U27" s="5">
        <f t="shared" ref="U27:U36" si="13">ABS(R27)</f>
        <v>0.06</v>
      </c>
      <c r="V27" s="5">
        <f t="shared" ref="V27:V36" si="14">ABS(S27)</f>
        <v>1.5707963267948966</v>
      </c>
      <c r="W27" s="1" t="s">
        <v>23</v>
      </c>
      <c r="X27" s="1" t="s">
        <v>24</v>
      </c>
      <c r="Y27" s="1" t="s">
        <v>25</v>
      </c>
    </row>
    <row r="28" spans="1:25" x14ac:dyDescent="0.25">
      <c r="C28" s="10">
        <v>2</v>
      </c>
      <c r="D28" s="5">
        <v>0</v>
      </c>
      <c r="E28" s="5">
        <v>0</v>
      </c>
      <c r="F28" s="5">
        <v>1.5</v>
      </c>
      <c r="G28" s="5">
        <v>-1.29362940788269E-3</v>
      </c>
      <c r="H28" s="5">
        <v>-0.14033697545528401</v>
      </c>
      <c r="I28" s="5">
        <v>-5.2493752446025599E-4</v>
      </c>
      <c r="J28" s="5">
        <v>-0.136385843157768</v>
      </c>
      <c r="K28" s="5">
        <v>5.4708421230316197E-3</v>
      </c>
      <c r="L28" s="5">
        <v>0.90219867229461703</v>
      </c>
      <c r="M28" s="8"/>
      <c r="N28" s="8"/>
      <c r="O28" s="8"/>
      <c r="P28" s="12"/>
      <c r="Q28" s="5">
        <f t="shared" ref="Q28:Q36" si="15">M28-A4</f>
        <v>-0.8</v>
      </c>
      <c r="R28" s="5">
        <f t="shared" ref="R28:R36" si="16">N28-B4</f>
        <v>-0.06</v>
      </c>
      <c r="S28" s="5">
        <f t="shared" ref="S28:S36" si="17">O28-C4</f>
        <v>-1.5707963267948966</v>
      </c>
      <c r="T28" s="5">
        <f t="shared" ref="T28:T36" si="18">ABS(Q28)</f>
        <v>0.8</v>
      </c>
      <c r="U28" s="5">
        <f t="shared" si="13"/>
        <v>0.06</v>
      </c>
      <c r="V28" s="5">
        <f t="shared" si="14"/>
        <v>1.5707963267948966</v>
      </c>
      <c r="W28" s="6" cm="1">
        <f t="array" ref="W28">AVERAGE(ABS(Q31:Q36))</f>
        <v>0.11062792862557298</v>
      </c>
      <c r="X28" s="6" cm="1">
        <f t="array" ref="X28">AVERAGE(ABS(R31:R36))</f>
        <v>2.8492892761701843E-2</v>
      </c>
      <c r="Y28" s="6" cm="1">
        <f t="array" ref="Y28">AVERAGE(ABS(S31:S36))</f>
        <v>9.7190398398940947E-2</v>
      </c>
    </row>
    <row r="29" spans="1:25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-4.4532003812491899E-4</v>
      </c>
      <c r="H29" s="5">
        <f t="shared" ref="H29:L29" si="19">H5</f>
        <v>-4.79050725698471E-2</v>
      </c>
      <c r="I29" s="5">
        <f t="shared" si="19"/>
        <v>-1.45487196277827E-4</v>
      </c>
      <c r="J29" s="5">
        <f t="shared" si="19"/>
        <v>-1.52218556031585E-2</v>
      </c>
      <c r="K29" s="5">
        <f t="shared" si="19"/>
        <v>-1.61819159984589E-4</v>
      </c>
      <c r="L29" s="5">
        <f t="shared" si="19"/>
        <v>0.269099742174149</v>
      </c>
      <c r="M29" s="5"/>
      <c r="N29" s="5"/>
      <c r="O29" s="5"/>
      <c r="P29" s="11"/>
      <c r="Q29" s="5">
        <f t="shared" si="15"/>
        <v>-0.3</v>
      </c>
      <c r="R29" s="5">
        <f t="shared" si="16"/>
        <v>-0.08</v>
      </c>
      <c r="S29" s="5">
        <f t="shared" si="17"/>
        <v>-1.5707963267948966</v>
      </c>
      <c r="T29" s="5">
        <f t="shared" si="18"/>
        <v>0.3</v>
      </c>
      <c r="U29" s="5">
        <f t="shared" si="13"/>
        <v>0.08</v>
      </c>
      <c r="V29" s="5">
        <f t="shared" si="14"/>
        <v>1.5707963267948966</v>
      </c>
      <c r="W29" s="24"/>
      <c r="X29" s="24"/>
      <c r="Y29" s="24"/>
    </row>
    <row r="30" spans="1:25" x14ac:dyDescent="0.25">
      <c r="C30" s="10">
        <v>3</v>
      </c>
      <c r="D30" s="5">
        <v>1.5</v>
      </c>
      <c r="E30" s="5">
        <v>0</v>
      </c>
      <c r="F30" s="5">
        <v>0</v>
      </c>
      <c r="G30" s="5">
        <v>3.60673118848354E-4</v>
      </c>
      <c r="H30" s="5">
        <v>-2.5460945442318899E-2</v>
      </c>
      <c r="I30" s="5">
        <v>-6.9049012381583506E-5</v>
      </c>
      <c r="J30" s="5">
        <v>-3.9108381606638397E-3</v>
      </c>
      <c r="K30" s="5">
        <v>-3.6880876868963198E-3</v>
      </c>
      <c r="L30" s="5">
        <v>0.14487913250923201</v>
      </c>
      <c r="M30" s="5"/>
      <c r="N30" s="5"/>
      <c r="O30" s="5"/>
      <c r="P30" s="11"/>
      <c r="Q30" s="5">
        <f t="shared" si="15"/>
        <v>-0.5</v>
      </c>
      <c r="R30" s="5">
        <f t="shared" si="16"/>
        <v>-0.1</v>
      </c>
      <c r="S30" s="5">
        <f t="shared" si="17"/>
        <v>-1.5707963267948966</v>
      </c>
      <c r="T30" s="5">
        <f t="shared" si="18"/>
        <v>0.5</v>
      </c>
      <c r="U30" s="5">
        <f t="shared" si="13"/>
        <v>0.1</v>
      </c>
      <c r="V30" s="5">
        <f t="shared" si="14"/>
        <v>1.5707963267948966</v>
      </c>
    </row>
    <row r="31" spans="1:25" x14ac:dyDescent="0.25">
      <c r="C31" s="10">
        <v>3</v>
      </c>
      <c r="D31" s="5">
        <v>0</v>
      </c>
      <c r="E31" s="5">
        <v>1.5</v>
      </c>
      <c r="F31" s="5">
        <v>0</v>
      </c>
      <c r="G31" s="5">
        <v>-5.8282527606934298E-4</v>
      </c>
      <c r="H31" s="5">
        <v>-2.22843755036592E-2</v>
      </c>
      <c r="I31" s="5">
        <v>-2.36762833083048E-4</v>
      </c>
      <c r="J31" s="5">
        <v>-2.9866774566471598E-3</v>
      </c>
      <c r="K31" s="5">
        <v>2.3172870278358499E-3</v>
      </c>
      <c r="L31" s="5">
        <v>0.126792147755623</v>
      </c>
      <c r="M31" s="5">
        <v>0.59737948536634056</v>
      </c>
      <c r="N31" s="5">
        <v>0.12607915580399745</v>
      </c>
      <c r="O31" s="5">
        <v>1.5518258052738867</v>
      </c>
      <c r="P31" s="11">
        <v>2.0462628661399925E-24</v>
      </c>
      <c r="Q31" s="5">
        <f t="shared" si="15"/>
        <v>-0.1026205146336594</v>
      </c>
      <c r="R31" s="5">
        <f t="shared" si="16"/>
        <v>2.6079155803997445E-2</v>
      </c>
      <c r="S31" s="5">
        <f t="shared" si="17"/>
        <v>-1.8970521521009864E-2</v>
      </c>
      <c r="T31" s="5">
        <f t="shared" si="18"/>
        <v>0.1026205146336594</v>
      </c>
      <c r="U31" s="5">
        <f t="shared" si="13"/>
        <v>2.6079155803997445E-2</v>
      </c>
      <c r="V31" s="5">
        <f t="shared" si="14"/>
        <v>1.8970521521009864E-2</v>
      </c>
    </row>
    <row r="32" spans="1:25" x14ac:dyDescent="0.25">
      <c r="C32" s="10">
        <v>3</v>
      </c>
      <c r="D32" s="5">
        <v>0</v>
      </c>
      <c r="E32" s="5">
        <v>0</v>
      </c>
      <c r="F32" s="5">
        <v>1.5</v>
      </c>
      <c r="G32" s="5">
        <v>-7.4072519782930602E-4</v>
      </c>
      <c r="H32" s="5">
        <v>-6.9483138620853396E-2</v>
      </c>
      <c r="I32" s="5">
        <v>-1.4320143964141599E-4</v>
      </c>
      <c r="J32" s="5">
        <v>-2.0069636404514299E-2</v>
      </c>
      <c r="K32" s="5">
        <v>1.51973590254784E-3</v>
      </c>
      <c r="L32" s="5">
        <v>0.394207954406738</v>
      </c>
      <c r="M32" s="5">
        <v>0.59920052760901488</v>
      </c>
      <c r="N32" s="5">
        <v>0.11745250764333384</v>
      </c>
      <c r="O32" s="5">
        <v>1.475641878280294</v>
      </c>
      <c r="P32" s="11">
        <v>4.7535702011840262E-18</v>
      </c>
      <c r="Q32" s="5">
        <f t="shared" si="15"/>
        <v>0.19920052760901485</v>
      </c>
      <c r="R32" s="5">
        <f t="shared" si="16"/>
        <v>-4.2547492356666161E-2</v>
      </c>
      <c r="S32" s="5">
        <f t="shared" si="17"/>
        <v>-9.515444851460253E-2</v>
      </c>
      <c r="T32" s="5">
        <f t="shared" si="18"/>
        <v>0.19920052760901485</v>
      </c>
      <c r="U32" s="5">
        <f t="shared" si="13"/>
        <v>4.2547492356666161E-2</v>
      </c>
      <c r="V32" s="5">
        <f t="shared" si="14"/>
        <v>9.515444851460253E-2</v>
      </c>
    </row>
    <row r="33" spans="3:25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-1.1705639772117101E-3</v>
      </c>
      <c r="H33" s="5">
        <f t="shared" ref="H33:L33" si="20">H6</f>
        <v>-9.4456188380718203E-2</v>
      </c>
      <c r="I33" s="5">
        <f t="shared" si="20"/>
        <v>-1.20323454029858E-3</v>
      </c>
      <c r="J33" s="5">
        <f t="shared" si="20"/>
        <v>-0.111187651753426</v>
      </c>
      <c r="K33" s="5">
        <f t="shared" si="20"/>
        <v>-3.2553412020206499E-3</v>
      </c>
      <c r="L33" s="5">
        <f t="shared" si="20"/>
        <v>0.47075057029724099</v>
      </c>
      <c r="M33" s="5">
        <v>0.68097057704943564</v>
      </c>
      <c r="N33" s="5">
        <v>0.15168074074843899</v>
      </c>
      <c r="O33" s="5">
        <v>1.4403670186927306</v>
      </c>
      <c r="P33" s="11">
        <v>2.7651277007210815E-19</v>
      </c>
      <c r="Q33" s="5">
        <f t="shared" si="15"/>
        <v>8.0970577049435666E-2</v>
      </c>
      <c r="R33" s="5">
        <f t="shared" si="16"/>
        <v>-8.3192592515610175E-3</v>
      </c>
      <c r="S33" s="5">
        <f t="shared" si="17"/>
        <v>-0.13042930810216591</v>
      </c>
      <c r="T33" s="5">
        <f t="shared" si="18"/>
        <v>8.0970577049435666E-2</v>
      </c>
      <c r="U33" s="5">
        <f t="shared" si="13"/>
        <v>8.3192592515610175E-3</v>
      </c>
      <c r="V33" s="5">
        <f t="shared" si="14"/>
        <v>0.13042930810216591</v>
      </c>
      <c r="W33" s="7"/>
      <c r="X33" s="7"/>
      <c r="Y33" s="7"/>
    </row>
    <row r="34" spans="3:25" x14ac:dyDescent="0.25">
      <c r="C34" s="10">
        <v>4</v>
      </c>
      <c r="D34" s="5">
        <v>1.5</v>
      </c>
      <c r="E34" s="5">
        <v>0</v>
      </c>
      <c r="F34" s="5">
        <v>0</v>
      </c>
      <c r="G34" s="5">
        <v>5.3222989663481701E-4</v>
      </c>
      <c r="H34" s="5">
        <v>-7.4818015098571805E-2</v>
      </c>
      <c r="I34" s="5">
        <v>-1.9516762113198599E-3</v>
      </c>
      <c r="J34" s="5">
        <v>-8.6167961359024006E-2</v>
      </c>
      <c r="K34" s="5">
        <v>-1.24474763870239E-2</v>
      </c>
      <c r="L34" s="5">
        <v>0.376007050275803</v>
      </c>
      <c r="M34" s="5">
        <v>0.85136647867739701</v>
      </c>
      <c r="N34" s="5">
        <v>0.19091596837568098</v>
      </c>
      <c r="O34" s="5">
        <v>1.4678007810114051</v>
      </c>
      <c r="P34" s="11">
        <v>3.3374478539756067E-19</v>
      </c>
      <c r="Q34" s="5">
        <f t="shared" si="15"/>
        <v>5.1366478677396965E-2</v>
      </c>
      <c r="R34" s="5">
        <f t="shared" si="16"/>
        <v>1.0915968375680984E-2</v>
      </c>
      <c r="S34" s="5">
        <f t="shared" si="17"/>
        <v>-0.10299554578349146</v>
      </c>
      <c r="T34" s="5">
        <f t="shared" si="18"/>
        <v>5.1366478677396965E-2</v>
      </c>
      <c r="U34" s="5">
        <f t="shared" si="13"/>
        <v>1.0915968375680984E-2</v>
      </c>
      <c r="V34" s="5">
        <f t="shared" si="14"/>
        <v>0.10299554578349146</v>
      </c>
    </row>
    <row r="35" spans="3:25" x14ac:dyDescent="0.25">
      <c r="C35" s="10">
        <v>4</v>
      </c>
      <c r="D35" s="5">
        <v>0</v>
      </c>
      <c r="E35" s="5">
        <v>1.5</v>
      </c>
      <c r="F35" s="5">
        <v>0</v>
      </c>
      <c r="G35" s="5">
        <v>-3.3548073843121498E-3</v>
      </c>
      <c r="H35" s="5">
        <v>-7.1954973042011303E-2</v>
      </c>
      <c r="I35" s="5">
        <v>5.6110380683094296E-4</v>
      </c>
      <c r="J35" s="5">
        <v>-8.2473382353782695E-2</v>
      </c>
      <c r="K35" s="5">
        <v>9.0126022696495108E-3</v>
      </c>
      <c r="L35" s="5">
        <v>0.36251398921012901</v>
      </c>
      <c r="M35" s="5">
        <v>0.46372241953120669</v>
      </c>
      <c r="N35" s="5">
        <v>0.13979485870596078</v>
      </c>
      <c r="O35" s="5">
        <v>1.4405983853726132</v>
      </c>
      <c r="P35" s="11">
        <v>2.1132132176362104E-5</v>
      </c>
      <c r="Q35" s="5">
        <f t="shared" si="15"/>
        <v>0.1637224195312067</v>
      </c>
      <c r="R35" s="5">
        <f t="shared" si="16"/>
        <v>-6.0205141294039227E-2</v>
      </c>
      <c r="S35" s="5">
        <f t="shared" si="17"/>
        <v>-0.13019794142228336</v>
      </c>
      <c r="T35" s="5">
        <f t="shared" si="18"/>
        <v>0.1637224195312067</v>
      </c>
      <c r="U35" s="5">
        <f t="shared" si="13"/>
        <v>6.0205141294039227E-2</v>
      </c>
      <c r="V35" s="5">
        <f t="shared" si="14"/>
        <v>0.13019794142228336</v>
      </c>
      <c r="W35" s="7"/>
      <c r="X35" s="7"/>
      <c r="Y35" s="7"/>
    </row>
    <row r="36" spans="3:25" x14ac:dyDescent="0.25">
      <c r="C36" s="10">
        <v>4</v>
      </c>
      <c r="D36" s="5">
        <v>0</v>
      </c>
      <c r="E36" s="5">
        <v>0</v>
      </c>
      <c r="F36" s="5">
        <v>1.5</v>
      </c>
      <c r="G36" s="5">
        <v>-2.2535349708050498E-3</v>
      </c>
      <c r="H36" s="5">
        <v>-0.11417751759290699</v>
      </c>
      <c r="I36" s="5">
        <v>-8.9904951164498904E-4</v>
      </c>
      <c r="J36" s="5">
        <v>-0.13532365858554801</v>
      </c>
      <c r="K36" s="5">
        <v>-1.81801617145538E-4</v>
      </c>
      <c r="L36" s="5">
        <v>0.57029646635055498</v>
      </c>
      <c r="M36" s="5">
        <v>0.7658870542527243</v>
      </c>
      <c r="N36" s="5">
        <v>0.1771096605117338</v>
      </c>
      <c r="O36" s="5">
        <v>1.465401701744804</v>
      </c>
      <c r="P36" s="11">
        <v>1.9021868830536531E-21</v>
      </c>
      <c r="Q36" s="5">
        <f t="shared" si="15"/>
        <v>6.5887054252724342E-2</v>
      </c>
      <c r="R36" s="5">
        <f t="shared" si="16"/>
        <v>-2.2890339488266215E-2</v>
      </c>
      <c r="S36" s="5">
        <f t="shared" si="17"/>
        <v>-0.10539462505009256</v>
      </c>
      <c r="T36" s="5">
        <f t="shared" si="18"/>
        <v>6.5887054252724342E-2</v>
      </c>
      <c r="U36" s="5">
        <f t="shared" si="13"/>
        <v>2.2890339488266215E-2</v>
      </c>
      <c r="V36" s="5">
        <f t="shared" si="14"/>
        <v>0.10539462505009256</v>
      </c>
    </row>
    <row r="37" spans="3:25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-1.5179968904703901E-3</v>
      </c>
      <c r="H37" s="5">
        <f t="shared" ref="H37:L37" si="21">H7</f>
        <v>-0.13914526998996701</v>
      </c>
      <c r="I37" s="5">
        <f t="shared" si="21"/>
        <v>-1.6895274166017799E-3</v>
      </c>
      <c r="J37" s="5">
        <f t="shared" si="21"/>
        <v>-0.208347618579865</v>
      </c>
      <c r="K37" s="5">
        <f t="shared" si="21"/>
        <v>-2.6145353913307199E-3</v>
      </c>
      <c r="L37" s="5">
        <f t="shared" si="21"/>
        <v>0.69233715534210205</v>
      </c>
    </row>
    <row r="38" spans="3:25" x14ac:dyDescent="0.25">
      <c r="C38" s="10">
        <v>5</v>
      </c>
      <c r="D38" s="5">
        <v>1.5</v>
      </c>
      <c r="E38" s="5">
        <v>0</v>
      </c>
      <c r="F38" s="5">
        <v>0</v>
      </c>
      <c r="G38" s="5">
        <v>9.75845963694155E-4</v>
      </c>
      <c r="H38" s="5">
        <v>-0.120146997272968</v>
      </c>
      <c r="I38" s="5">
        <v>-2.9710826929658699E-3</v>
      </c>
      <c r="J38" s="5">
        <v>-0.17620675265788999</v>
      </c>
      <c r="K38" s="5">
        <v>-1.6194812953472099E-2</v>
      </c>
      <c r="L38" s="5">
        <v>0.60103619098663297</v>
      </c>
    </row>
    <row r="39" spans="3:25" x14ac:dyDescent="0.25">
      <c r="C39" s="10">
        <v>5</v>
      </c>
      <c r="D39" s="5">
        <v>0</v>
      </c>
      <c r="E39" s="5">
        <v>1.5</v>
      </c>
      <c r="F39" s="5">
        <v>0</v>
      </c>
      <c r="G39" s="5">
        <v>-4.5309728011488897E-3</v>
      </c>
      <c r="H39" s="5">
        <v>-0.11663211882114401</v>
      </c>
      <c r="I39" s="5">
        <v>8.69839917868376E-4</v>
      </c>
      <c r="J39" s="5">
        <v>-0.16939029097557101</v>
      </c>
      <c r="K39" s="5">
        <v>1.54237076640129E-2</v>
      </c>
      <c r="L39" s="5">
        <v>0.58477991819381703</v>
      </c>
    </row>
    <row r="40" spans="3:25" x14ac:dyDescent="0.25">
      <c r="C40" s="10">
        <v>5</v>
      </c>
      <c r="D40" s="5">
        <v>0</v>
      </c>
      <c r="E40" s="5">
        <v>0</v>
      </c>
      <c r="F40" s="5">
        <v>1.5</v>
      </c>
      <c r="G40" s="5">
        <v>-2.2463256027549501E-3</v>
      </c>
      <c r="H40" s="5">
        <v>-0.15449988842010501</v>
      </c>
      <c r="I40" s="5">
        <v>-1.45124655682594E-3</v>
      </c>
      <c r="J40" s="5">
        <v>-0.23389320075511899</v>
      </c>
      <c r="K40" s="5">
        <v>-9.2186033725738498E-5</v>
      </c>
      <c r="L40" s="5">
        <v>0.76777732372283902</v>
      </c>
    </row>
    <row r="41" spans="3:25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-6.0909817693754998E-4</v>
      </c>
      <c r="H41" s="5">
        <f t="shared" ref="H41:L41" si="22">H8</f>
        <v>-9.3464262783527402E-2</v>
      </c>
      <c r="I41" s="5">
        <f t="shared" si="22"/>
        <v>-1.42273562960327E-3</v>
      </c>
      <c r="J41" s="5">
        <f t="shared" si="22"/>
        <v>-0.183252438902855</v>
      </c>
      <c r="K41" s="5">
        <f t="shared" si="22"/>
        <v>-1.30194798111916E-3</v>
      </c>
      <c r="L41" s="5">
        <f t="shared" si="22"/>
        <v>0.33158546686172502</v>
      </c>
    </row>
    <row r="42" spans="3:25" x14ac:dyDescent="0.25">
      <c r="C42" s="10">
        <v>6</v>
      </c>
      <c r="D42" s="5">
        <v>1.5</v>
      </c>
      <c r="E42" s="5">
        <v>0</v>
      </c>
      <c r="F42" s="5">
        <v>0</v>
      </c>
      <c r="G42" s="5">
        <v>3.2155159860849398E-3</v>
      </c>
      <c r="H42" s="5">
        <v>-7.4254631996154799E-2</v>
      </c>
      <c r="I42" s="5">
        <v>-4.4117178767919497E-3</v>
      </c>
      <c r="J42" s="5">
        <v>-0.14466325938701599</v>
      </c>
      <c r="K42" s="5">
        <v>-2.1403677761554701E-2</v>
      </c>
      <c r="L42" s="5">
        <v>0.26543587446212802</v>
      </c>
    </row>
    <row r="43" spans="3:25" x14ac:dyDescent="0.25">
      <c r="C43" s="10">
        <v>6</v>
      </c>
      <c r="D43" s="5">
        <v>0</v>
      </c>
      <c r="E43" s="5">
        <v>1.5</v>
      </c>
      <c r="F43" s="5">
        <v>0</v>
      </c>
      <c r="G43" s="5">
        <v>-4.7775120474398101E-3</v>
      </c>
      <c r="H43" s="5">
        <v>-7.22348988056183E-2</v>
      </c>
      <c r="I43" s="5">
        <v>2.66069592908025E-3</v>
      </c>
      <c r="J43" s="5">
        <v>-0.14038173854350999</v>
      </c>
      <c r="K43" s="5">
        <v>2.1760944277048101E-2</v>
      </c>
      <c r="L43" s="5">
        <v>0.25937113165855402</v>
      </c>
    </row>
    <row r="44" spans="3:25" x14ac:dyDescent="0.25">
      <c r="C44" s="10">
        <v>6</v>
      </c>
      <c r="D44" s="5">
        <v>0</v>
      </c>
      <c r="E44" s="5">
        <v>0</v>
      </c>
      <c r="F44" s="5">
        <v>1.5</v>
      </c>
      <c r="G44" s="5">
        <v>-1.76639016717672E-3</v>
      </c>
      <c r="H44" s="5">
        <v>-0.116034410893917</v>
      </c>
      <c r="I44" s="5">
        <v>-8.5316138574853496E-4</v>
      </c>
      <c r="J44" s="5">
        <v>-0.231781601905823</v>
      </c>
      <c r="K44" s="5">
        <v>3.8114227354526498E-3</v>
      </c>
      <c r="L44" s="5">
        <v>0.41029143333435097</v>
      </c>
    </row>
    <row r="45" spans="3:25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-8.4166455781087301E-4</v>
      </c>
      <c r="H45" s="5">
        <f t="shared" ref="H45:L45" si="23">H9</f>
        <v>-0.141347721219063</v>
      </c>
      <c r="I45" s="5">
        <f t="shared" si="23"/>
        <v>-2.4875707458704701E-3</v>
      </c>
      <c r="J45" s="5">
        <f t="shared" si="23"/>
        <v>-0.39468729496002197</v>
      </c>
      <c r="K45" s="5">
        <f t="shared" si="23"/>
        <v>-9.2538818717002901E-4</v>
      </c>
      <c r="L45" s="5">
        <f t="shared" si="23"/>
        <v>0.469948559999466</v>
      </c>
    </row>
    <row r="46" spans="3:25" x14ac:dyDescent="0.25">
      <c r="C46" s="10">
        <v>7</v>
      </c>
      <c r="D46" s="5">
        <v>1.5</v>
      </c>
      <c r="E46" s="5">
        <v>0</v>
      </c>
      <c r="F46" s="5">
        <v>0</v>
      </c>
      <c r="G46" s="5">
        <v>5.3682345896959296E-3</v>
      </c>
      <c r="H46" s="5">
        <v>-0.12192277610302001</v>
      </c>
      <c r="I46" s="5">
        <v>-6.9089080207049803E-3</v>
      </c>
      <c r="J46" s="5">
        <v>-0.33468896150589</v>
      </c>
      <c r="K46" s="5">
        <v>-3.42880934476852E-2</v>
      </c>
      <c r="L46" s="5">
        <v>0.40802216529846203</v>
      </c>
    </row>
    <row r="47" spans="3:25" x14ac:dyDescent="0.25">
      <c r="C47" s="10">
        <v>7</v>
      </c>
      <c r="D47" s="5">
        <v>0</v>
      </c>
      <c r="E47" s="5">
        <v>1.5</v>
      </c>
      <c r="F47" s="5">
        <v>0</v>
      </c>
      <c r="G47" s="5">
        <v>-6.8397428840398797E-3</v>
      </c>
      <c r="H47" s="5">
        <v>-0.119494326412678</v>
      </c>
      <c r="I47" s="5">
        <v>2.7260044589638701E-3</v>
      </c>
      <c r="J47" s="5">
        <v>-0.32702517509460399</v>
      </c>
      <c r="K47" s="5">
        <v>3.2800346612930298E-2</v>
      </c>
      <c r="L47" s="5">
        <v>0.40057820081710799</v>
      </c>
    </row>
    <row r="48" spans="3:25" x14ac:dyDescent="0.25">
      <c r="C48" s="10">
        <v>7</v>
      </c>
      <c r="D48" s="5">
        <v>0</v>
      </c>
      <c r="E48" s="5">
        <v>0</v>
      </c>
      <c r="F48" s="5">
        <v>1.5</v>
      </c>
      <c r="G48" s="5">
        <v>-1.9232693593949099E-3</v>
      </c>
      <c r="H48" s="5">
        <v>-0.15593844652175901</v>
      </c>
      <c r="I48" s="5">
        <v>-1.91514089237899E-3</v>
      </c>
      <c r="J48" s="5">
        <v>-0.44053018093109098</v>
      </c>
      <c r="K48" s="5">
        <v>4.4719297438859896E-3</v>
      </c>
      <c r="L48" s="5">
        <v>0.51426047086715698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-2.5411224924027898E-3</v>
      </c>
      <c r="H49" s="5">
        <f t="shared" ref="H49:L49" si="24">H10</f>
        <v>-0.16168536245822901</v>
      </c>
      <c r="I49" s="5">
        <f t="shared" si="24"/>
        <v>-2.0260578021407101E-3</v>
      </c>
      <c r="J49" s="5">
        <f t="shared" si="24"/>
        <v>-0.81751561164856001</v>
      </c>
      <c r="K49" s="5">
        <f t="shared" si="24"/>
        <v>1.46271400153637E-2</v>
      </c>
      <c r="L49" s="5">
        <f t="shared" si="24"/>
        <v>0.27560678124427801</v>
      </c>
    </row>
    <row r="50" spans="3:12" x14ac:dyDescent="0.25">
      <c r="C50" s="10">
        <v>8</v>
      </c>
      <c r="D50" s="5">
        <v>1.5</v>
      </c>
      <c r="E50" s="5">
        <v>0</v>
      </c>
      <c r="F50" s="5">
        <v>0</v>
      </c>
      <c r="G50" s="5">
        <v>6.6501293331384702E-3</v>
      </c>
      <c r="H50" s="5">
        <v>-0.141125082969666</v>
      </c>
      <c r="I50" s="5">
        <v>-6.8023344501852998E-3</v>
      </c>
      <c r="J50" s="5">
        <v>-0.70799440145492598</v>
      </c>
      <c r="K50" s="5">
        <v>-4.2970441281795502E-2</v>
      </c>
      <c r="L50" s="5">
        <v>0.246537074446678</v>
      </c>
    </row>
    <row r="51" spans="3:12" x14ac:dyDescent="0.25">
      <c r="C51" s="10">
        <v>8</v>
      </c>
      <c r="D51" s="5">
        <v>0</v>
      </c>
      <c r="E51" s="5">
        <v>1.5</v>
      </c>
      <c r="F51" s="5">
        <v>0</v>
      </c>
      <c r="G51" s="5">
        <v>-1.07948435470462E-2</v>
      </c>
      <c r="H51" s="5">
        <v>-0.13919100165367099</v>
      </c>
      <c r="I51" s="5">
        <v>3.1904897186905098E-3</v>
      </c>
      <c r="J51" s="5">
        <v>-0.69485867023467995</v>
      </c>
      <c r="K51" s="5">
        <v>6.2184780836105298E-2</v>
      </c>
      <c r="L51" s="5">
        <v>0.246484830975533</v>
      </c>
    </row>
    <row r="52" spans="3:12" x14ac:dyDescent="0.25">
      <c r="C52" s="10">
        <v>8</v>
      </c>
      <c r="D52" s="5">
        <v>0</v>
      </c>
      <c r="E52" s="5">
        <v>0</v>
      </c>
      <c r="F52" s="5">
        <v>1.5</v>
      </c>
      <c r="G52" s="5">
        <v>-4.4925482943654104E-3</v>
      </c>
      <c r="H52" s="5">
        <v>-0.16697183251380901</v>
      </c>
      <c r="I52" s="5">
        <v>-1.00167351774871E-3</v>
      </c>
      <c r="J52" s="5">
        <v>-0.85121542215347301</v>
      </c>
      <c r="K52" s="5">
        <v>2.4824842810630798E-2</v>
      </c>
      <c r="L52" s="5">
        <v>0.27595856785774198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-7.7232124749571096E-4</v>
      </c>
      <c r="H53" s="5">
        <f t="shared" ref="H53:L53" si="25">H11</f>
        <v>-7.1722365915775299E-2</v>
      </c>
      <c r="I53" s="5">
        <f t="shared" si="25"/>
        <v>-7.8877643682062604E-4</v>
      </c>
      <c r="J53" s="5">
        <f t="shared" si="25"/>
        <v>-0.14824971556663499</v>
      </c>
      <c r="K53" s="5">
        <f t="shared" si="25"/>
        <v>-2.5316514074802399E-4</v>
      </c>
      <c r="L53" s="5">
        <f t="shared" si="25"/>
        <v>0.21111465990543399</v>
      </c>
    </row>
    <row r="54" spans="3:12" x14ac:dyDescent="0.25">
      <c r="C54" s="10">
        <v>9</v>
      </c>
      <c r="D54" s="5">
        <v>1.5</v>
      </c>
      <c r="E54" s="5">
        <v>0</v>
      </c>
      <c r="F54" s="5">
        <v>0</v>
      </c>
      <c r="G54" s="5">
        <v>3.17871524021029E-3</v>
      </c>
      <c r="H54" s="5">
        <v>-5.1783792674541501E-2</v>
      </c>
      <c r="I54" s="5">
        <v>-4.5780707150697699E-3</v>
      </c>
      <c r="J54" s="5">
        <v>-0.10228918492793999</v>
      </c>
      <c r="K54" s="5">
        <v>-2.1232035011053099E-2</v>
      </c>
      <c r="L54" s="5">
        <v>0.152965068817139</v>
      </c>
    </row>
    <row r="55" spans="3:12" x14ac:dyDescent="0.25">
      <c r="C55" s="10">
        <v>9</v>
      </c>
      <c r="D55" s="5">
        <v>0</v>
      </c>
      <c r="E55" s="5">
        <v>1.5</v>
      </c>
      <c r="F55" s="5">
        <v>0</v>
      </c>
      <c r="G55" s="5">
        <v>-5.4861800745129603E-3</v>
      </c>
      <c r="H55" s="5">
        <v>-4.85849529504776E-2</v>
      </c>
      <c r="I55" s="5">
        <v>4.6538817696273301E-3</v>
      </c>
      <c r="J55" s="5">
        <v>-9.3798331916332203E-2</v>
      </c>
      <c r="K55" s="5">
        <v>2.5386225432157499E-2</v>
      </c>
      <c r="L55" s="5">
        <v>0.145915746688843</v>
      </c>
    </row>
    <row r="56" spans="3:12" x14ac:dyDescent="0.25">
      <c r="C56" s="10">
        <v>9</v>
      </c>
      <c r="D56" s="5">
        <v>0</v>
      </c>
      <c r="E56" s="5">
        <v>0</v>
      </c>
      <c r="F56" s="5">
        <v>1.5</v>
      </c>
      <c r="G56" s="5">
        <v>-1.8705746624618799E-3</v>
      </c>
      <c r="H56" s="5">
        <v>-9.3108184635639205E-2</v>
      </c>
      <c r="I56" s="5">
        <v>-4.7786666982574402E-5</v>
      </c>
      <c r="J56" s="5">
        <v>-0.19535920023918199</v>
      </c>
      <c r="K56" s="5">
        <v>4.5425584539771097E-3</v>
      </c>
      <c r="L56" s="5">
        <v>0.27073013782501198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-1.37498124968261E-3</v>
      </c>
      <c r="H57" s="5">
        <f t="shared" ref="H57:L57" si="26">H12</f>
        <v>-0.13238599896431</v>
      </c>
      <c r="I57" s="5">
        <f t="shared" si="26"/>
        <v>-1.95983843877912E-3</v>
      </c>
      <c r="J57" s="5">
        <f t="shared" si="26"/>
        <v>-0.64118611812591597</v>
      </c>
      <c r="K57" s="5">
        <f t="shared" si="26"/>
        <v>9.5805265009403194E-3</v>
      </c>
      <c r="L57" s="5">
        <f t="shared" si="26"/>
        <v>0.17886316776275599</v>
      </c>
    </row>
    <row r="58" spans="3:12" x14ac:dyDescent="0.25">
      <c r="C58" s="10">
        <v>10</v>
      </c>
      <c r="D58" s="5">
        <v>1.5</v>
      </c>
      <c r="E58" s="5">
        <v>0</v>
      </c>
      <c r="F58" s="5">
        <v>0</v>
      </c>
      <c r="G58" s="5">
        <v>7.9446360468864406E-3</v>
      </c>
      <c r="H58" s="5">
        <v>-0.113316208124161</v>
      </c>
      <c r="I58" s="5">
        <v>-7.4667437002062798E-3</v>
      </c>
      <c r="J58" s="5">
        <v>-0.542594313621521</v>
      </c>
      <c r="K58" s="5">
        <v>-4.4946841895580299E-2</v>
      </c>
      <c r="L58" s="5">
        <v>0.15858340263366699</v>
      </c>
    </row>
    <row r="59" spans="3:12" x14ac:dyDescent="0.25">
      <c r="C59" s="10">
        <v>10</v>
      </c>
      <c r="D59" s="5">
        <v>0</v>
      </c>
      <c r="E59" s="5">
        <v>1.5</v>
      </c>
      <c r="F59" s="5">
        <v>0</v>
      </c>
      <c r="G59" s="5">
        <v>-1.1559015139937401E-2</v>
      </c>
      <c r="H59" s="5">
        <v>-0.109470695257187</v>
      </c>
      <c r="I59" s="5">
        <v>5.0527956336736696E-3</v>
      </c>
      <c r="J59" s="5">
        <v>-0.52169811725616499</v>
      </c>
      <c r="K59" s="5">
        <v>6.6477552056312603E-2</v>
      </c>
      <c r="L59" s="5">
        <v>0.15672400593757599</v>
      </c>
    </row>
    <row r="60" spans="3:12" x14ac:dyDescent="0.25">
      <c r="C60" s="10">
        <v>10</v>
      </c>
      <c r="D60" s="5">
        <v>0</v>
      </c>
      <c r="E60" s="5">
        <v>0</v>
      </c>
      <c r="F60" s="5">
        <v>1.5</v>
      </c>
      <c r="G60" s="5">
        <v>-3.5072604659944799E-3</v>
      </c>
      <c r="H60" s="5">
        <v>-0.14035674929618799</v>
      </c>
      <c r="I60" s="5">
        <v>-7.3918880661949505E-4</v>
      </c>
      <c r="J60" s="5">
        <v>-0.69194203615188599</v>
      </c>
      <c r="K60" s="5">
        <v>2.1200090646743799E-2</v>
      </c>
      <c r="L60" s="5">
        <v>0.17866499722003901</v>
      </c>
    </row>
  </sheetData>
  <mergeCells count="22">
    <mergeCell ref="W29:Y29"/>
    <mergeCell ref="M25:P25"/>
    <mergeCell ref="Q25:S25"/>
    <mergeCell ref="T25:V25"/>
    <mergeCell ref="W25:Y25"/>
    <mergeCell ref="W26:Y26"/>
    <mergeCell ref="A14:C14"/>
    <mergeCell ref="G20:L20"/>
    <mergeCell ref="A1:F1"/>
    <mergeCell ref="G1:L1"/>
    <mergeCell ref="M1:P1"/>
    <mergeCell ref="M13:P13"/>
    <mergeCell ref="W17:Y17"/>
    <mergeCell ref="Q1:S1"/>
    <mergeCell ref="W1:Y1"/>
    <mergeCell ref="W2:Y2"/>
    <mergeCell ref="T1:V1"/>
    <mergeCell ref="W14:Y14"/>
    <mergeCell ref="Q13:S13"/>
    <mergeCell ref="T13:V13"/>
    <mergeCell ref="W13:Y13"/>
    <mergeCell ref="W5:Y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62"/>
  <sheetViews>
    <sheetView topLeftCell="A21" workbookViewId="0">
      <selection activeCell="R39" sqref="R39"/>
    </sheetView>
  </sheetViews>
  <sheetFormatPr defaultRowHeight="15" x14ac:dyDescent="0.25"/>
  <sheetData>
    <row r="1" spans="1:13" ht="15.75" x14ac:dyDescent="0.25">
      <c r="A1" s="35" t="s">
        <v>21</v>
      </c>
      <c r="B1" s="32"/>
      <c r="C1" s="32"/>
      <c r="D1" s="32"/>
      <c r="E1" s="32"/>
      <c r="F1" s="33"/>
      <c r="H1" s="35" t="s">
        <v>22</v>
      </c>
      <c r="I1" s="32"/>
      <c r="J1" s="32"/>
      <c r="K1" s="32"/>
      <c r="L1" s="32"/>
      <c r="M1" s="33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0.33158546686172502</v>
      </c>
      <c r="B3">
        <v>1.30194798111916E-3</v>
      </c>
      <c r="C3">
        <v>-0.183252438902855</v>
      </c>
      <c r="D3">
        <v>-1.42273562960327E-3</v>
      </c>
      <c r="E3">
        <v>9.3464262783527402E-2</v>
      </c>
      <c r="F3" s="4">
        <v>-6.0909817693754998E-4</v>
      </c>
      <c r="H3">
        <f>$F3</f>
        <v>-6.0909817693754998E-4</v>
      </c>
      <c r="I3">
        <f>-1*$E3</f>
        <v>-9.3464262783527402E-2</v>
      </c>
      <c r="J3">
        <f>$D3</f>
        <v>-1.42273562960327E-3</v>
      </c>
      <c r="K3">
        <f>$C3</f>
        <v>-0.183252438902855</v>
      </c>
      <c r="L3">
        <f>-1*$B3</f>
        <v>-1.30194798111916E-3</v>
      </c>
      <c r="M3">
        <f>$A3</f>
        <v>0.33158546686172502</v>
      </c>
    </row>
    <row r="4" spans="1:13" x14ac:dyDescent="0.25">
      <c r="A4">
        <v>0.30808722972869901</v>
      </c>
      <c r="B4">
        <v>1.1143077164888399E-2</v>
      </c>
      <c r="C4">
        <v>-0.17014570534229301</v>
      </c>
      <c r="D4">
        <v>-2.93074361979961E-3</v>
      </c>
      <c r="E4">
        <v>8.6668573319911998E-2</v>
      </c>
      <c r="F4">
        <v>1.2037090491503501E-3</v>
      </c>
      <c r="H4">
        <f t="shared" ref="H4:H62" si="0">$F4</f>
        <v>1.2037090491503501E-3</v>
      </c>
      <c r="I4">
        <f t="shared" ref="I4:I62" si="1">-1*$E4</f>
        <v>-8.6668573319911998E-2</v>
      </c>
      <c r="J4">
        <f t="shared" ref="J4:J62" si="2">$D4</f>
        <v>-2.93074361979961E-3</v>
      </c>
      <c r="K4">
        <f t="shared" ref="K4:K62" si="3">$C4</f>
        <v>-0.17014570534229301</v>
      </c>
      <c r="L4">
        <f t="shared" ref="L4:L62" si="4">-1*$B4</f>
        <v>-1.1143077164888399E-2</v>
      </c>
      <c r="M4">
        <f t="shared" ref="M4:M62" si="5">$A4</f>
        <v>0.30808722972869901</v>
      </c>
    </row>
    <row r="5" spans="1:13" x14ac:dyDescent="0.25">
      <c r="A5">
        <v>0.30530530214309698</v>
      </c>
      <c r="B5">
        <v>-5.0233425572514499E-3</v>
      </c>
      <c r="C5">
        <v>-0.167198911309242</v>
      </c>
      <c r="D5">
        <v>-1.6621639952063601E-4</v>
      </c>
      <c r="E5">
        <v>8.5605740547180204E-2</v>
      </c>
      <c r="F5">
        <v>-1.83276447933167E-3</v>
      </c>
      <c r="H5">
        <f t="shared" si="0"/>
        <v>-1.83276447933167E-3</v>
      </c>
      <c r="I5">
        <f t="shared" si="1"/>
        <v>-8.5605740547180204E-2</v>
      </c>
      <c r="J5">
        <f t="shared" si="2"/>
        <v>-1.6621639952063601E-4</v>
      </c>
      <c r="K5">
        <f t="shared" si="3"/>
        <v>-0.167198911309242</v>
      </c>
      <c r="L5">
        <f t="shared" si="4"/>
        <v>5.0233425572514499E-3</v>
      </c>
      <c r="M5">
        <f t="shared" si="5"/>
        <v>0.30530530214309698</v>
      </c>
    </row>
    <row r="6" spans="1:13" x14ac:dyDescent="0.25">
      <c r="A6">
        <v>0.35029289126396201</v>
      </c>
      <c r="B6">
        <v>-4.1933543980121602E-4</v>
      </c>
      <c r="C6">
        <v>-0.19415593147277799</v>
      </c>
      <c r="D6">
        <v>-1.1529807234182999E-3</v>
      </c>
      <c r="E6">
        <v>9.8617747426033006E-2</v>
      </c>
      <c r="F6">
        <v>-1.0226408485323199E-3</v>
      </c>
      <c r="H6">
        <f t="shared" si="0"/>
        <v>-1.0226408485323199E-3</v>
      </c>
      <c r="I6">
        <f t="shared" si="1"/>
        <v>-9.8617747426033006E-2</v>
      </c>
      <c r="J6">
        <f t="shared" si="2"/>
        <v>-1.1529807234182999E-3</v>
      </c>
      <c r="K6">
        <f t="shared" si="3"/>
        <v>-0.19415593147277799</v>
      </c>
      <c r="L6">
        <f t="shared" si="4"/>
        <v>4.1933543980121602E-4</v>
      </c>
      <c r="M6">
        <f t="shared" si="5"/>
        <v>0.35029289126396201</v>
      </c>
    </row>
    <row r="7" spans="1:13" x14ac:dyDescent="0.25">
      <c r="A7">
        <v>0.29118153452873202</v>
      </c>
      <c r="B7">
        <v>1.5761572867631898E-2</v>
      </c>
      <c r="C7">
        <v>-0.15839047729969</v>
      </c>
      <c r="D7">
        <v>-3.6365091800689702E-3</v>
      </c>
      <c r="E7">
        <v>8.1501223146915394E-2</v>
      </c>
      <c r="F7">
        <v>2.1256739273667301E-3</v>
      </c>
      <c r="H7">
        <f t="shared" si="0"/>
        <v>2.1256739273667301E-3</v>
      </c>
      <c r="I7">
        <f t="shared" si="1"/>
        <v>-8.1501223146915394E-2</v>
      </c>
      <c r="J7">
        <f t="shared" si="2"/>
        <v>-3.6365091800689702E-3</v>
      </c>
      <c r="K7">
        <f t="shared" si="3"/>
        <v>-0.15839047729969</v>
      </c>
      <c r="L7">
        <f t="shared" si="4"/>
        <v>-1.5761572867631898E-2</v>
      </c>
      <c r="M7">
        <f t="shared" si="5"/>
        <v>0.29118153452873202</v>
      </c>
    </row>
    <row r="8" spans="1:13" x14ac:dyDescent="0.25">
      <c r="A8">
        <v>0.28343707323074302</v>
      </c>
      <c r="B8">
        <v>-1.42920073121786E-2</v>
      </c>
      <c r="C8">
        <v>-0.15318381786346399</v>
      </c>
      <c r="D8">
        <v>1.4140863204374901E-3</v>
      </c>
      <c r="E8">
        <v>7.9126335680484799E-2</v>
      </c>
      <c r="F8">
        <v>-3.4697111696004898E-3</v>
      </c>
      <c r="H8">
        <f t="shared" si="0"/>
        <v>-3.4697111696004898E-3</v>
      </c>
      <c r="I8">
        <f t="shared" si="1"/>
        <v>-7.9126335680484799E-2</v>
      </c>
      <c r="J8">
        <f t="shared" si="2"/>
        <v>1.4140863204374901E-3</v>
      </c>
      <c r="K8">
        <f t="shared" si="3"/>
        <v>-0.15318381786346399</v>
      </c>
      <c r="L8">
        <f t="shared" si="4"/>
        <v>1.42920073121786E-2</v>
      </c>
      <c r="M8">
        <f t="shared" si="5"/>
        <v>0.28343707323074302</v>
      </c>
    </row>
    <row r="9" spans="1:13" x14ac:dyDescent="0.25">
      <c r="A9">
        <v>0.38628801703453097</v>
      </c>
      <c r="B9">
        <v>-2.0247809588909101E-3</v>
      </c>
      <c r="C9">
        <v>-0.21598881483078</v>
      </c>
      <c r="D9">
        <v>-1.0244118748232701E-3</v>
      </c>
      <c r="E9">
        <v>0.10893576592206999</v>
      </c>
      <c r="F9">
        <v>-1.4034989289939399E-3</v>
      </c>
      <c r="H9">
        <f t="shared" si="0"/>
        <v>-1.4034989289939399E-3</v>
      </c>
      <c r="I9">
        <f t="shared" si="1"/>
        <v>-0.10893576592206999</v>
      </c>
      <c r="J9">
        <f t="shared" si="2"/>
        <v>-1.0244118748232701E-3</v>
      </c>
      <c r="K9">
        <f t="shared" si="3"/>
        <v>-0.21598881483078</v>
      </c>
      <c r="L9">
        <f t="shared" si="4"/>
        <v>2.0247809588909101E-3</v>
      </c>
      <c r="M9">
        <f t="shared" si="5"/>
        <v>0.38628801703453097</v>
      </c>
    </row>
    <row r="10" spans="1:13" x14ac:dyDescent="0.25">
      <c r="A10">
        <v>0.26543587446212802</v>
      </c>
      <c r="B10">
        <v>2.1403677761554701E-2</v>
      </c>
      <c r="C10">
        <v>-0.14466325938701599</v>
      </c>
      <c r="D10">
        <v>-4.4117178767919497E-3</v>
      </c>
      <c r="E10">
        <v>7.4254631996154799E-2</v>
      </c>
      <c r="F10">
        <v>3.2155159860849398E-3</v>
      </c>
      <c r="H10">
        <f t="shared" si="0"/>
        <v>3.2155159860849398E-3</v>
      </c>
      <c r="I10">
        <f t="shared" si="1"/>
        <v>-7.4254631996154799E-2</v>
      </c>
      <c r="J10">
        <f t="shared" si="2"/>
        <v>-4.4117178767919497E-3</v>
      </c>
      <c r="K10">
        <f t="shared" si="3"/>
        <v>-0.14466325938701599</v>
      </c>
      <c r="L10">
        <f t="shared" si="4"/>
        <v>-2.1403677761554701E-2</v>
      </c>
      <c r="M10">
        <f t="shared" si="5"/>
        <v>0.26543587446212802</v>
      </c>
    </row>
    <row r="11" spans="1:13" x14ac:dyDescent="0.25">
      <c r="A11">
        <v>0.25937113165855402</v>
      </c>
      <c r="B11">
        <v>-2.1760944277048101E-2</v>
      </c>
      <c r="C11">
        <v>-0.14038173854350999</v>
      </c>
      <c r="D11">
        <v>2.66069592908025E-3</v>
      </c>
      <c r="E11">
        <v>7.22348988056183E-2</v>
      </c>
      <c r="F11">
        <v>-4.7775120474398101E-3</v>
      </c>
      <c r="H11">
        <f t="shared" si="0"/>
        <v>-4.7775120474398101E-3</v>
      </c>
      <c r="I11">
        <f t="shared" si="1"/>
        <v>-7.22348988056183E-2</v>
      </c>
      <c r="J11">
        <f t="shared" si="2"/>
        <v>2.66069592908025E-3</v>
      </c>
      <c r="K11">
        <f t="shared" si="3"/>
        <v>-0.14038173854350999</v>
      </c>
      <c r="L11">
        <f t="shared" si="4"/>
        <v>2.1760944277048101E-2</v>
      </c>
      <c r="M11">
        <f t="shared" si="5"/>
        <v>0.25937113165855402</v>
      </c>
    </row>
    <row r="12" spans="1:13" x14ac:dyDescent="0.25">
      <c r="A12">
        <v>0.41029143333435097</v>
      </c>
      <c r="B12">
        <v>-3.8114227354526498E-3</v>
      </c>
      <c r="C12">
        <v>-0.231781601905823</v>
      </c>
      <c r="D12">
        <v>-8.5316138574853496E-4</v>
      </c>
      <c r="E12">
        <v>0.116034410893917</v>
      </c>
      <c r="F12">
        <v>-1.76639016717672E-3</v>
      </c>
      <c r="H12">
        <f t="shared" si="0"/>
        <v>-1.76639016717672E-3</v>
      </c>
      <c r="I12">
        <f t="shared" si="1"/>
        <v>-0.116034410893917</v>
      </c>
      <c r="J12">
        <f t="shared" si="2"/>
        <v>-8.5316138574853496E-4</v>
      </c>
      <c r="K12">
        <f t="shared" si="3"/>
        <v>-0.231781601905823</v>
      </c>
      <c r="L12">
        <f t="shared" si="4"/>
        <v>3.8114227354526498E-3</v>
      </c>
      <c r="M12">
        <f t="shared" si="5"/>
        <v>0.41029143333435097</v>
      </c>
    </row>
    <row r="13" spans="1:13" x14ac:dyDescent="0.25">
      <c r="A13">
        <v>0.469948559999466</v>
      </c>
      <c r="B13">
        <v>9.2538818717002901E-4</v>
      </c>
      <c r="C13">
        <v>-0.39468729496002197</v>
      </c>
      <c r="D13">
        <v>-2.4875707458704701E-3</v>
      </c>
      <c r="E13">
        <v>0.141347721219063</v>
      </c>
      <c r="F13">
        <v>-8.4166455781087301E-4</v>
      </c>
      <c r="H13">
        <f t="shared" si="0"/>
        <v>-8.4166455781087301E-4</v>
      </c>
      <c r="I13">
        <f t="shared" si="1"/>
        <v>-0.141347721219063</v>
      </c>
      <c r="J13">
        <f t="shared" si="2"/>
        <v>-2.4875707458704701E-3</v>
      </c>
      <c r="K13">
        <f t="shared" si="3"/>
        <v>-0.39468729496002197</v>
      </c>
      <c r="L13">
        <f t="shared" si="4"/>
        <v>-9.2538818717002901E-4</v>
      </c>
      <c r="M13">
        <f t="shared" si="5"/>
        <v>0.469948559999466</v>
      </c>
    </row>
    <row r="14" spans="1:13" x14ac:dyDescent="0.25">
      <c r="A14">
        <v>0.44931906461715698</v>
      </c>
      <c r="B14">
        <v>1.50443464517593E-2</v>
      </c>
      <c r="C14">
        <v>-0.37507843971252403</v>
      </c>
      <c r="D14">
        <v>-4.3936967849731402E-3</v>
      </c>
      <c r="E14">
        <v>0.13492897152900701</v>
      </c>
      <c r="F14">
        <v>1.73850648570806E-3</v>
      </c>
      <c r="H14">
        <f t="shared" si="0"/>
        <v>1.73850648570806E-3</v>
      </c>
      <c r="I14">
        <f t="shared" si="1"/>
        <v>-0.13492897152900701</v>
      </c>
      <c r="J14">
        <f t="shared" si="2"/>
        <v>-4.3936967849731402E-3</v>
      </c>
      <c r="K14">
        <f t="shared" si="3"/>
        <v>-0.37507843971252403</v>
      </c>
      <c r="L14">
        <f t="shared" si="4"/>
        <v>-1.50443464517593E-2</v>
      </c>
      <c r="M14">
        <f t="shared" si="5"/>
        <v>0.44931906461715698</v>
      </c>
    </row>
    <row r="15" spans="1:13" x14ac:dyDescent="0.25">
      <c r="A15">
        <v>0.44731330871581998</v>
      </c>
      <c r="B15">
        <v>-7.2776749730110203E-3</v>
      </c>
      <c r="C15">
        <v>-0.37078517675399802</v>
      </c>
      <c r="D15">
        <v>-1.0936050675809401E-3</v>
      </c>
      <c r="E15">
        <v>0.134032398462296</v>
      </c>
      <c r="F15">
        <v>-2.3572284262627398E-3</v>
      </c>
      <c r="H15">
        <f t="shared" si="0"/>
        <v>-2.3572284262627398E-3</v>
      </c>
      <c r="I15">
        <f t="shared" si="1"/>
        <v>-0.134032398462296</v>
      </c>
      <c r="J15">
        <f t="shared" si="2"/>
        <v>-1.0936050675809401E-3</v>
      </c>
      <c r="K15">
        <f t="shared" si="3"/>
        <v>-0.37078517675399802</v>
      </c>
      <c r="L15">
        <f t="shared" si="4"/>
        <v>7.2776749730110203E-3</v>
      </c>
      <c r="M15">
        <f t="shared" si="5"/>
        <v>0.44731330871581998</v>
      </c>
    </row>
    <row r="16" spans="1:13" x14ac:dyDescent="0.25">
      <c r="A16">
        <v>0.47848188877105702</v>
      </c>
      <c r="B16">
        <v>-4.0146335959434498E-4</v>
      </c>
      <c r="C16">
        <v>-0.403363257646561</v>
      </c>
      <c r="D16">
        <v>-2.3165070451796098E-3</v>
      </c>
      <c r="E16">
        <v>0.14394843578338601</v>
      </c>
      <c r="F16">
        <v>-1.1145805474370701E-3</v>
      </c>
      <c r="H16">
        <f t="shared" si="0"/>
        <v>-1.1145805474370701E-3</v>
      </c>
      <c r="I16">
        <f t="shared" si="1"/>
        <v>-0.14394843578338601</v>
      </c>
      <c r="J16">
        <f t="shared" si="2"/>
        <v>-2.3165070451796098E-3</v>
      </c>
      <c r="K16">
        <f t="shared" si="3"/>
        <v>-0.403363257646561</v>
      </c>
      <c r="L16">
        <f t="shared" si="4"/>
        <v>4.0146335959434498E-4</v>
      </c>
      <c r="M16">
        <f t="shared" si="5"/>
        <v>0.47848188877105702</v>
      </c>
    </row>
    <row r="17" spans="1:13" x14ac:dyDescent="0.25">
      <c r="A17">
        <v>0.426019728183746</v>
      </c>
      <c r="B17">
        <v>2.6046320796012899E-2</v>
      </c>
      <c r="C17">
        <v>-0.35098621249198902</v>
      </c>
      <c r="D17">
        <v>-5.8701047673821397E-3</v>
      </c>
      <c r="E17">
        <v>0.12736497819423701</v>
      </c>
      <c r="F17">
        <v>3.8443636149168002E-3</v>
      </c>
      <c r="H17">
        <f t="shared" si="0"/>
        <v>3.8443636149168002E-3</v>
      </c>
      <c r="I17">
        <f t="shared" si="1"/>
        <v>-0.12736497819423701</v>
      </c>
      <c r="J17">
        <f t="shared" si="2"/>
        <v>-5.8701047673821397E-3</v>
      </c>
      <c r="K17">
        <f t="shared" si="3"/>
        <v>-0.35098621249198902</v>
      </c>
      <c r="L17">
        <f t="shared" si="4"/>
        <v>-2.6046320796012899E-2</v>
      </c>
      <c r="M17">
        <f t="shared" si="5"/>
        <v>0.426019728183746</v>
      </c>
    </row>
    <row r="18" spans="1:13" x14ac:dyDescent="0.25">
      <c r="A18">
        <v>0.42136827111244202</v>
      </c>
      <c r="B18">
        <v>-2.07273736596107E-2</v>
      </c>
      <c r="C18">
        <v>-0.346735060214996</v>
      </c>
      <c r="D18">
        <v>9.4564992468804099E-4</v>
      </c>
      <c r="E18">
        <v>0.12588208913803101</v>
      </c>
      <c r="F18">
        <v>-4.7293268144130698E-3</v>
      </c>
      <c r="H18">
        <f t="shared" si="0"/>
        <v>-4.7293268144130698E-3</v>
      </c>
      <c r="I18">
        <f t="shared" si="1"/>
        <v>-0.12588208913803101</v>
      </c>
      <c r="J18">
        <f t="shared" si="2"/>
        <v>9.4564992468804099E-4</v>
      </c>
      <c r="K18">
        <f t="shared" si="3"/>
        <v>-0.346735060214996</v>
      </c>
      <c r="L18">
        <f t="shared" si="4"/>
        <v>2.07273736596107E-2</v>
      </c>
      <c r="M18">
        <f t="shared" si="5"/>
        <v>0.42136827111244202</v>
      </c>
    </row>
    <row r="19" spans="1:13" x14ac:dyDescent="0.25">
      <c r="A19">
        <v>0.50341123342514005</v>
      </c>
      <c r="B19">
        <v>-2.95922160148621E-3</v>
      </c>
      <c r="C19">
        <v>-0.42657080292701699</v>
      </c>
      <c r="D19">
        <v>-2.0947058219462598E-3</v>
      </c>
      <c r="E19">
        <v>0.15216569602489499</v>
      </c>
      <c r="F19">
        <v>-1.6190472524613101E-3</v>
      </c>
      <c r="H19">
        <f t="shared" si="0"/>
        <v>-1.6190472524613101E-3</v>
      </c>
      <c r="I19">
        <f t="shared" si="1"/>
        <v>-0.15216569602489499</v>
      </c>
      <c r="J19">
        <f t="shared" si="2"/>
        <v>-2.0947058219462598E-3</v>
      </c>
      <c r="K19">
        <f t="shared" si="3"/>
        <v>-0.42657080292701699</v>
      </c>
      <c r="L19">
        <f t="shared" si="4"/>
        <v>2.95922160148621E-3</v>
      </c>
      <c r="M19">
        <f t="shared" si="5"/>
        <v>0.50341123342514005</v>
      </c>
    </row>
    <row r="20" spans="1:13" x14ac:dyDescent="0.25">
      <c r="A20">
        <v>0.40802216529846203</v>
      </c>
      <c r="B20">
        <v>3.42880934476852E-2</v>
      </c>
      <c r="C20">
        <v>-0.33468896150589</v>
      </c>
      <c r="D20">
        <v>-6.9089080207049803E-3</v>
      </c>
      <c r="E20">
        <v>0.12192277610302001</v>
      </c>
      <c r="F20">
        <v>5.3682345896959296E-3</v>
      </c>
      <c r="H20">
        <f t="shared" si="0"/>
        <v>5.3682345896959296E-3</v>
      </c>
      <c r="I20">
        <f t="shared" si="1"/>
        <v>-0.12192277610302001</v>
      </c>
      <c r="J20">
        <f t="shared" si="2"/>
        <v>-6.9089080207049803E-3</v>
      </c>
      <c r="K20">
        <f t="shared" si="3"/>
        <v>-0.33468896150589</v>
      </c>
      <c r="L20">
        <f t="shared" si="4"/>
        <v>-3.42880934476852E-2</v>
      </c>
      <c r="M20">
        <f t="shared" si="5"/>
        <v>0.40802216529846203</v>
      </c>
    </row>
    <row r="21" spans="1:13" x14ac:dyDescent="0.25">
      <c r="A21">
        <v>0.40057820081710799</v>
      </c>
      <c r="B21">
        <v>-3.2800346612930298E-2</v>
      </c>
      <c r="C21">
        <v>-0.32702517509460399</v>
      </c>
      <c r="D21">
        <v>2.7260044589638701E-3</v>
      </c>
      <c r="E21">
        <v>0.119494326412678</v>
      </c>
      <c r="F21">
        <v>-6.8397428840398797E-3</v>
      </c>
      <c r="H21">
        <f t="shared" si="0"/>
        <v>-6.8397428840398797E-3</v>
      </c>
      <c r="I21">
        <f t="shared" si="1"/>
        <v>-0.119494326412678</v>
      </c>
      <c r="J21">
        <f t="shared" si="2"/>
        <v>2.7260044589638701E-3</v>
      </c>
      <c r="K21">
        <f t="shared" si="3"/>
        <v>-0.32702517509460399</v>
      </c>
      <c r="L21">
        <f t="shared" si="4"/>
        <v>3.2800346612930298E-2</v>
      </c>
      <c r="M21">
        <f t="shared" si="5"/>
        <v>0.40057820081710799</v>
      </c>
    </row>
    <row r="22" spans="1:13" x14ac:dyDescent="0.25">
      <c r="A22">
        <v>0.51426047086715698</v>
      </c>
      <c r="B22">
        <v>-4.4719297438859896E-3</v>
      </c>
      <c r="C22">
        <v>-0.44053018093109098</v>
      </c>
      <c r="D22">
        <v>-1.91514089237899E-3</v>
      </c>
      <c r="E22">
        <v>0.15593844652175901</v>
      </c>
      <c r="F22">
        <v>-1.9232693593949099E-3</v>
      </c>
      <c r="H22">
        <f t="shared" si="0"/>
        <v>-1.9232693593949099E-3</v>
      </c>
      <c r="I22">
        <f t="shared" si="1"/>
        <v>-0.15593844652175901</v>
      </c>
      <c r="J22">
        <f t="shared" si="2"/>
        <v>-1.91514089237899E-3</v>
      </c>
      <c r="K22">
        <f t="shared" si="3"/>
        <v>-0.44053018093109098</v>
      </c>
      <c r="L22">
        <f t="shared" si="4"/>
        <v>4.4719297438859896E-3</v>
      </c>
      <c r="M22">
        <f t="shared" si="5"/>
        <v>0.51426047086715698</v>
      </c>
    </row>
    <row r="23" spans="1:13" x14ac:dyDescent="0.25">
      <c r="A23">
        <v>0.27560678124427801</v>
      </c>
      <c r="B23">
        <v>-1.46271400153637E-2</v>
      </c>
      <c r="C23">
        <v>-0.81751561164856001</v>
      </c>
      <c r="D23">
        <v>-2.0260578021407101E-3</v>
      </c>
      <c r="E23">
        <v>0.16168536245822901</v>
      </c>
      <c r="F23">
        <v>-2.5411224924027898E-3</v>
      </c>
      <c r="H23">
        <f t="shared" si="0"/>
        <v>-2.5411224924027898E-3</v>
      </c>
      <c r="I23">
        <f t="shared" si="1"/>
        <v>-0.16168536245822901</v>
      </c>
      <c r="J23">
        <f t="shared" si="2"/>
        <v>-2.0260578021407101E-3</v>
      </c>
      <c r="K23">
        <f t="shared" si="3"/>
        <v>-0.81751561164856001</v>
      </c>
      <c r="L23">
        <f t="shared" si="4"/>
        <v>1.46271400153637E-2</v>
      </c>
      <c r="M23">
        <f t="shared" si="5"/>
        <v>0.27560678124427801</v>
      </c>
    </row>
    <row r="24" spans="1:13" x14ac:dyDescent="0.25">
      <c r="A24">
        <v>0.26781278848648099</v>
      </c>
      <c r="B24">
        <v>1.03112626820803E-2</v>
      </c>
      <c r="C24">
        <v>-0.78456133604049705</v>
      </c>
      <c r="D24">
        <v>-4.2329323478043097E-3</v>
      </c>
      <c r="E24">
        <v>0.15536318719387099</v>
      </c>
      <c r="F24">
        <v>1.46241171751171E-3</v>
      </c>
      <c r="H24">
        <f t="shared" si="0"/>
        <v>1.46241171751171E-3</v>
      </c>
      <c r="I24">
        <f t="shared" si="1"/>
        <v>-0.15536318719387099</v>
      </c>
      <c r="J24">
        <f t="shared" si="2"/>
        <v>-4.2329323478043097E-3</v>
      </c>
      <c r="K24">
        <f t="shared" si="3"/>
        <v>-0.78456133604049705</v>
      </c>
      <c r="L24">
        <f t="shared" si="4"/>
        <v>-1.03112626820803E-2</v>
      </c>
      <c r="M24">
        <f t="shared" si="5"/>
        <v>0.26781278848648099</v>
      </c>
    </row>
    <row r="25" spans="1:13" x14ac:dyDescent="0.25">
      <c r="A25">
        <v>0.26559501886367798</v>
      </c>
      <c r="B25">
        <v>-3.0860535800457001E-2</v>
      </c>
      <c r="C25">
        <v>-0.76911365985870395</v>
      </c>
      <c r="D25">
        <v>-1.5825626906007501E-4</v>
      </c>
      <c r="E25">
        <v>0.15256731212139099</v>
      </c>
      <c r="F25">
        <v>-5.4136812686920201E-3</v>
      </c>
      <c r="H25">
        <f t="shared" si="0"/>
        <v>-5.4136812686920201E-3</v>
      </c>
      <c r="I25">
        <f t="shared" si="1"/>
        <v>-0.15256731212139099</v>
      </c>
      <c r="J25">
        <f t="shared" si="2"/>
        <v>-1.5825626906007501E-4</v>
      </c>
      <c r="K25">
        <f t="shared" si="3"/>
        <v>-0.76911365985870395</v>
      </c>
      <c r="L25">
        <f t="shared" si="4"/>
        <v>3.0860535800457001E-2</v>
      </c>
      <c r="M25">
        <f t="shared" si="5"/>
        <v>0.26559501886367798</v>
      </c>
    </row>
    <row r="26" spans="1:13" x14ac:dyDescent="0.25">
      <c r="A26">
        <v>0.27209404110908503</v>
      </c>
      <c r="B26">
        <v>-1.7601598054170602E-2</v>
      </c>
      <c r="C26">
        <v>-0.80537450313568104</v>
      </c>
      <c r="D26">
        <v>-1.5717856585979501E-3</v>
      </c>
      <c r="E26">
        <v>0.159011796116829</v>
      </c>
      <c r="F26">
        <v>-3.1977551989257301E-3</v>
      </c>
      <c r="H26">
        <f t="shared" si="0"/>
        <v>-3.1977551989257301E-3</v>
      </c>
      <c r="I26">
        <f t="shared" si="1"/>
        <v>-0.159011796116829</v>
      </c>
      <c r="J26">
        <f t="shared" si="2"/>
        <v>-1.5717856585979501E-3</v>
      </c>
      <c r="K26">
        <f t="shared" si="3"/>
        <v>-0.80537450313568104</v>
      </c>
      <c r="L26">
        <f t="shared" si="4"/>
        <v>1.7601598054170602E-2</v>
      </c>
      <c r="M26">
        <f t="shared" si="5"/>
        <v>0.27209404110908503</v>
      </c>
    </row>
    <row r="27" spans="1:13" x14ac:dyDescent="0.25">
      <c r="A27">
        <v>0.25869399309158297</v>
      </c>
      <c r="B27">
        <v>1.84046011418104E-2</v>
      </c>
      <c r="C27">
        <v>-0.74681681394577004</v>
      </c>
      <c r="D27">
        <v>-4.7276630066335201E-3</v>
      </c>
      <c r="E27">
        <v>0.148533850908279</v>
      </c>
      <c r="F27">
        <v>2.7138160075992298E-3</v>
      </c>
      <c r="H27">
        <f t="shared" si="0"/>
        <v>2.7138160075992298E-3</v>
      </c>
      <c r="I27">
        <f t="shared" si="1"/>
        <v>-0.148533850908279</v>
      </c>
      <c r="J27">
        <f t="shared" si="2"/>
        <v>-4.7276630066335201E-3</v>
      </c>
      <c r="K27">
        <f t="shared" si="3"/>
        <v>-0.74681681394577004</v>
      </c>
      <c r="L27">
        <f t="shared" si="4"/>
        <v>-1.84046011418104E-2</v>
      </c>
      <c r="M27">
        <f t="shared" si="5"/>
        <v>0.25869399309158297</v>
      </c>
    </row>
    <row r="28" spans="1:13" x14ac:dyDescent="0.25">
      <c r="A28">
        <v>0.255448818206787</v>
      </c>
      <c r="B28">
        <v>-4.7625131905078902E-2</v>
      </c>
      <c r="C28">
        <v>-0.72912079095840499</v>
      </c>
      <c r="D28">
        <v>1.6626357100904001E-3</v>
      </c>
      <c r="E28">
        <v>0.14515875279903401</v>
      </c>
      <c r="F28">
        <v>-8.3056669682264293E-3</v>
      </c>
      <c r="H28">
        <f t="shared" si="0"/>
        <v>-8.3056669682264293E-3</v>
      </c>
      <c r="I28">
        <f t="shared" si="1"/>
        <v>-0.14515875279903401</v>
      </c>
      <c r="J28">
        <f t="shared" si="2"/>
        <v>1.6626357100904001E-3</v>
      </c>
      <c r="K28">
        <f t="shared" si="3"/>
        <v>-0.72912079095840499</v>
      </c>
      <c r="L28">
        <f t="shared" si="4"/>
        <v>4.7625131905078902E-2</v>
      </c>
      <c r="M28">
        <f t="shared" si="5"/>
        <v>0.255448818206787</v>
      </c>
    </row>
    <row r="29" spans="1:13" x14ac:dyDescent="0.25">
      <c r="A29">
        <v>0.275511234998703</v>
      </c>
      <c r="B29">
        <v>-2.1142318844795199E-2</v>
      </c>
      <c r="C29">
        <v>-0.83642917871475198</v>
      </c>
      <c r="D29">
        <v>-1.33302470203489E-3</v>
      </c>
      <c r="E29">
        <v>0.16439875960350001</v>
      </c>
      <c r="F29">
        <v>-3.82994743995368E-3</v>
      </c>
      <c r="H29">
        <f t="shared" si="0"/>
        <v>-3.82994743995368E-3</v>
      </c>
      <c r="I29">
        <f t="shared" si="1"/>
        <v>-0.16439875960350001</v>
      </c>
      <c r="J29">
        <f t="shared" si="2"/>
        <v>-1.33302470203489E-3</v>
      </c>
      <c r="K29">
        <f t="shared" si="3"/>
        <v>-0.83642917871475198</v>
      </c>
      <c r="L29">
        <f t="shared" si="4"/>
        <v>2.1142318844795199E-2</v>
      </c>
      <c r="M29">
        <f t="shared" si="5"/>
        <v>0.275511234998703</v>
      </c>
    </row>
    <row r="30" spans="1:13" x14ac:dyDescent="0.25">
      <c r="A30">
        <v>0.246537074446678</v>
      </c>
      <c r="B30">
        <v>4.2970441281795502E-2</v>
      </c>
      <c r="C30">
        <v>-0.70799440145492598</v>
      </c>
      <c r="D30">
        <v>-6.8023344501852998E-3</v>
      </c>
      <c r="E30">
        <v>0.141125082969666</v>
      </c>
      <c r="F30">
        <v>6.6501293331384702E-3</v>
      </c>
      <c r="H30">
        <f t="shared" si="0"/>
        <v>6.6501293331384702E-3</v>
      </c>
      <c r="I30">
        <f t="shared" si="1"/>
        <v>-0.141125082969666</v>
      </c>
      <c r="J30">
        <f t="shared" si="2"/>
        <v>-6.8023344501852998E-3</v>
      </c>
      <c r="K30">
        <f t="shared" si="3"/>
        <v>-0.70799440145492598</v>
      </c>
      <c r="L30">
        <f t="shared" si="4"/>
        <v>-4.2970441281795502E-2</v>
      </c>
      <c r="M30">
        <f t="shared" si="5"/>
        <v>0.246537074446678</v>
      </c>
    </row>
    <row r="31" spans="1:13" x14ac:dyDescent="0.25">
      <c r="A31">
        <v>0.246484830975533</v>
      </c>
      <c r="B31">
        <v>-6.2184780836105298E-2</v>
      </c>
      <c r="C31">
        <v>-0.69485867023467995</v>
      </c>
      <c r="D31">
        <v>3.1904897186905098E-3</v>
      </c>
      <c r="E31">
        <v>0.13919100165367099</v>
      </c>
      <c r="F31">
        <v>-1.07948435470462E-2</v>
      </c>
      <c r="H31">
        <f t="shared" si="0"/>
        <v>-1.07948435470462E-2</v>
      </c>
      <c r="I31">
        <f t="shared" si="1"/>
        <v>-0.13919100165367099</v>
      </c>
      <c r="J31">
        <f t="shared" si="2"/>
        <v>3.1904897186905098E-3</v>
      </c>
      <c r="K31">
        <f t="shared" si="3"/>
        <v>-0.69485867023467995</v>
      </c>
      <c r="L31">
        <f t="shared" si="4"/>
        <v>6.2184780836105298E-2</v>
      </c>
      <c r="M31">
        <f t="shared" si="5"/>
        <v>0.246484830975533</v>
      </c>
    </row>
    <row r="32" spans="1:13" x14ac:dyDescent="0.25">
      <c r="A32">
        <v>0.27595856785774198</v>
      </c>
      <c r="B32">
        <v>-2.4824842810630798E-2</v>
      </c>
      <c r="C32">
        <v>-0.85121542215347301</v>
      </c>
      <c r="D32">
        <v>-1.00167351774871E-3</v>
      </c>
      <c r="E32">
        <v>0.16697183251380901</v>
      </c>
      <c r="F32">
        <v>-4.4925482943654104E-3</v>
      </c>
      <c r="H32">
        <f t="shared" si="0"/>
        <v>-4.4925482943654104E-3</v>
      </c>
      <c r="I32">
        <f t="shared" si="1"/>
        <v>-0.16697183251380901</v>
      </c>
      <c r="J32">
        <f t="shared" si="2"/>
        <v>-1.00167351774871E-3</v>
      </c>
      <c r="K32">
        <f t="shared" si="3"/>
        <v>-0.85121542215347301</v>
      </c>
      <c r="L32">
        <f t="shared" si="4"/>
        <v>2.4824842810630798E-2</v>
      </c>
      <c r="M32">
        <f t="shared" si="5"/>
        <v>0.27595856785774198</v>
      </c>
    </row>
    <row r="33" spans="1:13" x14ac:dyDescent="0.25">
      <c r="A33">
        <v>0.21111465990543399</v>
      </c>
      <c r="B33">
        <v>2.5316514074802399E-4</v>
      </c>
      <c r="C33">
        <v>-0.14824971556663499</v>
      </c>
      <c r="D33">
        <v>-7.8877643682062604E-4</v>
      </c>
      <c r="E33">
        <v>7.1722365915775299E-2</v>
      </c>
      <c r="F33">
        <v>-7.7232124749571096E-4</v>
      </c>
      <c r="H33">
        <f t="shared" si="0"/>
        <v>-7.7232124749571096E-4</v>
      </c>
      <c r="I33">
        <f t="shared" si="1"/>
        <v>-7.1722365915775299E-2</v>
      </c>
      <c r="J33">
        <f t="shared" si="2"/>
        <v>-7.8877643682062604E-4</v>
      </c>
      <c r="K33">
        <f t="shared" si="3"/>
        <v>-0.14824971556663499</v>
      </c>
      <c r="L33">
        <f t="shared" si="4"/>
        <v>-2.5316514074802399E-4</v>
      </c>
      <c r="M33">
        <f t="shared" si="5"/>
        <v>0.21111465990543399</v>
      </c>
    </row>
    <row r="34" spans="1:13" x14ac:dyDescent="0.25">
      <c r="A34">
        <v>0.19304402172565499</v>
      </c>
      <c r="B34">
        <v>1.00293178111315E-2</v>
      </c>
      <c r="C34">
        <v>-0.13425213098526001</v>
      </c>
      <c r="D34">
        <v>-2.6580682024359699E-3</v>
      </c>
      <c r="E34">
        <v>6.5536044538021102E-2</v>
      </c>
      <c r="F34">
        <v>1.05093140155077E-3</v>
      </c>
      <c r="H34">
        <f t="shared" si="0"/>
        <v>1.05093140155077E-3</v>
      </c>
      <c r="I34">
        <f t="shared" si="1"/>
        <v>-6.5536044538021102E-2</v>
      </c>
      <c r="J34">
        <f t="shared" si="2"/>
        <v>-2.6580682024359699E-3</v>
      </c>
      <c r="K34">
        <f t="shared" si="3"/>
        <v>-0.13425213098526001</v>
      </c>
      <c r="L34">
        <f t="shared" si="4"/>
        <v>-1.00293178111315E-2</v>
      </c>
      <c r="M34">
        <f t="shared" si="5"/>
        <v>0.19304402172565499</v>
      </c>
    </row>
    <row r="35" spans="1:13" x14ac:dyDescent="0.25">
      <c r="A35">
        <v>0.18866416811943101</v>
      </c>
      <c r="B35">
        <v>-8.9522618800401705E-3</v>
      </c>
      <c r="C35">
        <v>-0.13072858750820199</v>
      </c>
      <c r="D35">
        <v>1.2721515959128701E-3</v>
      </c>
      <c r="E35">
        <v>6.3641197979450198E-2</v>
      </c>
      <c r="F35">
        <v>-2.48786807060242E-3</v>
      </c>
      <c r="H35">
        <f t="shared" si="0"/>
        <v>-2.48786807060242E-3</v>
      </c>
      <c r="I35">
        <f t="shared" si="1"/>
        <v>-6.3641197979450198E-2</v>
      </c>
      <c r="J35">
        <f t="shared" si="2"/>
        <v>1.2721515959128701E-3</v>
      </c>
      <c r="K35">
        <f t="shared" si="3"/>
        <v>-0.13072858750820199</v>
      </c>
      <c r="L35">
        <f t="shared" si="4"/>
        <v>8.9522618800401705E-3</v>
      </c>
      <c r="M35">
        <f t="shared" si="5"/>
        <v>0.18866416811943101</v>
      </c>
    </row>
    <row r="36" spans="1:13" x14ac:dyDescent="0.25">
      <c r="A36">
        <v>0.22141568362712899</v>
      </c>
      <c r="B36">
        <v>-2.5443397462367998E-3</v>
      </c>
      <c r="C36">
        <v>-0.15775524079799699</v>
      </c>
      <c r="D36">
        <v>-2.6658832211978701E-4</v>
      </c>
      <c r="E36">
        <v>7.5712852180004106E-2</v>
      </c>
      <c r="F36">
        <v>-1.32597866468132E-3</v>
      </c>
      <c r="H36">
        <f t="shared" si="0"/>
        <v>-1.32597866468132E-3</v>
      </c>
      <c r="I36">
        <f t="shared" si="1"/>
        <v>-7.5712852180004106E-2</v>
      </c>
      <c r="J36">
        <f t="shared" si="2"/>
        <v>-2.6658832211978701E-4</v>
      </c>
      <c r="K36">
        <f t="shared" si="3"/>
        <v>-0.15775524079799699</v>
      </c>
      <c r="L36">
        <f t="shared" si="4"/>
        <v>2.5443397462367998E-3</v>
      </c>
      <c r="M36">
        <f t="shared" si="5"/>
        <v>0.22141568362712899</v>
      </c>
    </row>
    <row r="37" spans="1:13" x14ac:dyDescent="0.25">
      <c r="A37">
        <v>0.169412106275558</v>
      </c>
      <c r="B37">
        <v>1.6218468546867398E-2</v>
      </c>
      <c r="C37">
        <v>-0.115169636905193</v>
      </c>
      <c r="D37">
        <v>-3.6934348754584798E-3</v>
      </c>
      <c r="E37">
        <v>5.7274989783763899E-2</v>
      </c>
      <c r="F37">
        <v>2.1917819976806602E-3</v>
      </c>
      <c r="H37">
        <f t="shared" si="0"/>
        <v>2.1917819976806602E-3</v>
      </c>
      <c r="I37">
        <f t="shared" si="1"/>
        <v>-5.7274989783763899E-2</v>
      </c>
      <c r="J37">
        <f t="shared" si="2"/>
        <v>-3.6934348754584798E-3</v>
      </c>
      <c r="K37">
        <f t="shared" si="3"/>
        <v>-0.115169636905193</v>
      </c>
      <c r="L37">
        <f t="shared" si="4"/>
        <v>-1.6218468546867398E-2</v>
      </c>
      <c r="M37">
        <f t="shared" si="5"/>
        <v>0.169412106275558</v>
      </c>
    </row>
    <row r="38" spans="1:13" x14ac:dyDescent="0.25">
      <c r="A38">
        <v>0.16463512182235701</v>
      </c>
      <c r="B38">
        <v>-1.7719671130180401E-2</v>
      </c>
      <c r="C38">
        <v>-0.111157171428204</v>
      </c>
      <c r="D38">
        <v>3.15179536119103E-3</v>
      </c>
      <c r="E38">
        <v>5.5268872529268299E-2</v>
      </c>
      <c r="F38">
        <v>-4.1306661441922196E-3</v>
      </c>
      <c r="H38">
        <f t="shared" si="0"/>
        <v>-4.1306661441922196E-3</v>
      </c>
      <c r="I38">
        <f t="shared" si="1"/>
        <v>-5.5268872529268299E-2</v>
      </c>
      <c r="J38">
        <f t="shared" si="2"/>
        <v>3.15179536119103E-3</v>
      </c>
      <c r="K38">
        <f t="shared" si="3"/>
        <v>-0.111157171428204</v>
      </c>
      <c r="L38">
        <f t="shared" si="4"/>
        <v>1.7719671130180401E-2</v>
      </c>
      <c r="M38">
        <f t="shared" si="5"/>
        <v>0.16463512182235701</v>
      </c>
    </row>
    <row r="39" spans="1:13" x14ac:dyDescent="0.25">
      <c r="A39">
        <v>0.24911113083362599</v>
      </c>
      <c r="B39">
        <v>-4.4441134668886696E-3</v>
      </c>
      <c r="C39">
        <v>-0.18053941428661299</v>
      </c>
      <c r="D39">
        <v>-4.7984158300096203E-5</v>
      </c>
      <c r="E39">
        <v>8.5631921887397794E-2</v>
      </c>
      <c r="F39">
        <v>-1.69308739714324E-3</v>
      </c>
      <c r="H39">
        <f t="shared" si="0"/>
        <v>-1.69308739714324E-3</v>
      </c>
      <c r="I39">
        <f t="shared" si="1"/>
        <v>-8.5631921887397794E-2</v>
      </c>
      <c r="J39">
        <f t="shared" si="2"/>
        <v>-4.7984158300096203E-5</v>
      </c>
      <c r="K39">
        <f t="shared" si="3"/>
        <v>-0.18053941428661299</v>
      </c>
      <c r="L39">
        <f t="shared" si="4"/>
        <v>4.4441134668886696E-3</v>
      </c>
      <c r="M39">
        <f t="shared" si="5"/>
        <v>0.24911113083362599</v>
      </c>
    </row>
    <row r="40" spans="1:13" x14ac:dyDescent="0.25">
      <c r="A40">
        <v>0.152965068817139</v>
      </c>
      <c r="B40">
        <v>2.1232035011053099E-2</v>
      </c>
      <c r="C40">
        <v>-0.10228918492793999</v>
      </c>
      <c r="D40">
        <v>-4.5780707150697699E-3</v>
      </c>
      <c r="E40">
        <v>5.1783792674541501E-2</v>
      </c>
      <c r="F40">
        <v>3.17871524021029E-3</v>
      </c>
      <c r="H40">
        <f t="shared" si="0"/>
        <v>3.17871524021029E-3</v>
      </c>
      <c r="I40">
        <f t="shared" si="1"/>
        <v>-5.1783792674541501E-2</v>
      </c>
      <c r="J40">
        <f t="shared" si="2"/>
        <v>-4.5780707150697699E-3</v>
      </c>
      <c r="K40">
        <f t="shared" si="3"/>
        <v>-0.10228918492793999</v>
      </c>
      <c r="L40">
        <f t="shared" si="4"/>
        <v>-2.1232035011053099E-2</v>
      </c>
      <c r="M40">
        <f t="shared" si="5"/>
        <v>0.152965068817139</v>
      </c>
    </row>
    <row r="41" spans="1:13" x14ac:dyDescent="0.25">
      <c r="A41">
        <v>0.145915746688843</v>
      </c>
      <c r="B41">
        <v>-2.5386225432157499E-2</v>
      </c>
      <c r="C41">
        <v>-9.3798331916332203E-2</v>
      </c>
      <c r="D41">
        <v>4.6538817696273301E-3</v>
      </c>
      <c r="E41">
        <v>4.85849529504776E-2</v>
      </c>
      <c r="F41">
        <v>-5.4861800745129603E-3</v>
      </c>
      <c r="H41">
        <f t="shared" si="0"/>
        <v>-5.4861800745129603E-3</v>
      </c>
      <c r="I41">
        <f t="shared" si="1"/>
        <v>-4.85849529504776E-2</v>
      </c>
      <c r="J41">
        <f t="shared" si="2"/>
        <v>4.6538817696273301E-3</v>
      </c>
      <c r="K41">
        <f t="shared" si="3"/>
        <v>-9.3798331916332203E-2</v>
      </c>
      <c r="L41">
        <f t="shared" si="4"/>
        <v>2.5386225432157499E-2</v>
      </c>
      <c r="M41">
        <f t="shared" si="5"/>
        <v>0.145915746688843</v>
      </c>
    </row>
    <row r="42" spans="1:13" x14ac:dyDescent="0.25">
      <c r="A42">
        <v>0.27073013782501198</v>
      </c>
      <c r="B42">
        <v>-4.5425584539771097E-3</v>
      </c>
      <c r="C42">
        <v>-0.19535920023918199</v>
      </c>
      <c r="D42">
        <v>-4.7786666982574402E-5</v>
      </c>
      <c r="E42">
        <v>9.3108184635639205E-2</v>
      </c>
      <c r="F42">
        <v>-1.8705746624618799E-3</v>
      </c>
      <c r="H42">
        <f t="shared" si="0"/>
        <v>-1.8705746624618799E-3</v>
      </c>
      <c r="I42">
        <f t="shared" si="1"/>
        <v>-9.3108184635639205E-2</v>
      </c>
      <c r="J42">
        <f t="shared" si="2"/>
        <v>-4.7786666982574402E-5</v>
      </c>
      <c r="K42">
        <f t="shared" si="3"/>
        <v>-0.19535920023918199</v>
      </c>
      <c r="L42">
        <f t="shared" si="4"/>
        <v>4.5425584539771097E-3</v>
      </c>
      <c r="M42">
        <f t="shared" si="5"/>
        <v>0.27073013782501198</v>
      </c>
    </row>
    <row r="43" spans="1:13" x14ac:dyDescent="0.25">
      <c r="A43">
        <v>0.17886316776275599</v>
      </c>
      <c r="B43">
        <v>-9.5805265009403194E-3</v>
      </c>
      <c r="C43">
        <v>-0.64118611812591597</v>
      </c>
      <c r="D43">
        <v>-1.95983843877912E-3</v>
      </c>
      <c r="E43">
        <v>0.13238599896431</v>
      </c>
      <c r="F43">
        <v>-1.37498124968261E-3</v>
      </c>
      <c r="H43">
        <f t="shared" si="0"/>
        <v>-1.37498124968261E-3</v>
      </c>
      <c r="I43">
        <f t="shared" si="1"/>
        <v>-0.13238599896431</v>
      </c>
      <c r="J43">
        <f t="shared" si="2"/>
        <v>-1.95983843877912E-3</v>
      </c>
      <c r="K43">
        <f t="shared" si="3"/>
        <v>-0.64118611812591597</v>
      </c>
      <c r="L43">
        <f t="shared" si="4"/>
        <v>9.5805265009403194E-3</v>
      </c>
      <c r="M43">
        <f t="shared" si="5"/>
        <v>0.17886316776275599</v>
      </c>
    </row>
    <row r="44" spans="1:13" x14ac:dyDescent="0.25">
      <c r="A44">
        <v>0.17358303070068401</v>
      </c>
      <c r="B44">
        <v>1.3764277100563001E-2</v>
      </c>
      <c r="C44">
        <v>-0.611619472503662</v>
      </c>
      <c r="D44">
        <v>-4.4926148839294902E-3</v>
      </c>
      <c r="E44">
        <v>0.12640069425105999</v>
      </c>
      <c r="F44">
        <v>2.7742243837565201E-3</v>
      </c>
      <c r="H44">
        <f t="shared" si="0"/>
        <v>2.7742243837565201E-3</v>
      </c>
      <c r="I44">
        <f t="shared" si="1"/>
        <v>-0.12640069425105999</v>
      </c>
      <c r="J44">
        <f t="shared" si="2"/>
        <v>-4.4926148839294902E-3</v>
      </c>
      <c r="K44">
        <f t="shared" si="3"/>
        <v>-0.611619472503662</v>
      </c>
      <c r="L44">
        <f t="shared" si="4"/>
        <v>-1.3764277100563001E-2</v>
      </c>
      <c r="M44">
        <f t="shared" si="5"/>
        <v>0.17358303070068401</v>
      </c>
    </row>
    <row r="45" spans="1:13" x14ac:dyDescent="0.25">
      <c r="A45">
        <v>0.170791536569595</v>
      </c>
      <c r="B45">
        <v>-2.8639040887355801E-2</v>
      </c>
      <c r="C45">
        <v>-0.59595751762390103</v>
      </c>
      <c r="D45">
        <v>4.5674253487959499E-4</v>
      </c>
      <c r="E45">
        <v>0.123556599020958</v>
      </c>
      <c r="F45">
        <v>-4.7706048935651797E-3</v>
      </c>
      <c r="H45">
        <f t="shared" si="0"/>
        <v>-4.7706048935651797E-3</v>
      </c>
      <c r="I45">
        <f t="shared" si="1"/>
        <v>-0.123556599020958</v>
      </c>
      <c r="J45">
        <f t="shared" si="2"/>
        <v>4.5674253487959499E-4</v>
      </c>
      <c r="K45">
        <f t="shared" si="3"/>
        <v>-0.59595751762390103</v>
      </c>
      <c r="L45">
        <f t="shared" si="4"/>
        <v>2.8639040887355801E-2</v>
      </c>
      <c r="M45">
        <f t="shared" si="5"/>
        <v>0.170791536569595</v>
      </c>
    </row>
    <row r="46" spans="1:13" x14ac:dyDescent="0.25">
      <c r="A46">
        <v>0.175496116280556</v>
      </c>
      <c r="B46">
        <v>-1.65862292051315E-2</v>
      </c>
      <c r="C46">
        <v>-0.63895452022552501</v>
      </c>
      <c r="D46">
        <v>-1.0825206991285101E-3</v>
      </c>
      <c r="E46">
        <v>0.13127295672893499</v>
      </c>
      <c r="F46">
        <v>-2.6656663976609698E-3</v>
      </c>
      <c r="H46">
        <f t="shared" si="0"/>
        <v>-2.6656663976609698E-3</v>
      </c>
      <c r="I46">
        <f t="shared" si="1"/>
        <v>-0.13127295672893499</v>
      </c>
      <c r="J46">
        <f t="shared" si="2"/>
        <v>-1.0825206991285101E-3</v>
      </c>
      <c r="K46">
        <f t="shared" si="3"/>
        <v>-0.63895452022552501</v>
      </c>
      <c r="L46">
        <f t="shared" si="4"/>
        <v>1.65862292051315E-2</v>
      </c>
      <c r="M46">
        <f t="shared" si="5"/>
        <v>0.175496116280556</v>
      </c>
    </row>
    <row r="47" spans="1:13" x14ac:dyDescent="0.25">
      <c r="A47">
        <v>0.16460032761096999</v>
      </c>
      <c r="B47">
        <v>2.49174889177084E-2</v>
      </c>
      <c r="C47">
        <v>-0.57230144739151001</v>
      </c>
      <c r="D47">
        <v>-5.4197912104427797E-3</v>
      </c>
      <c r="E47">
        <v>0.11865180730819699</v>
      </c>
      <c r="F47">
        <v>4.5564956963062304E-3</v>
      </c>
      <c r="H47">
        <f t="shared" si="0"/>
        <v>4.5564956963062304E-3</v>
      </c>
      <c r="I47">
        <f t="shared" si="1"/>
        <v>-0.11865180730819699</v>
      </c>
      <c r="J47">
        <f t="shared" si="2"/>
        <v>-5.4197912104427797E-3</v>
      </c>
      <c r="K47">
        <f t="shared" si="3"/>
        <v>-0.57230144739151001</v>
      </c>
      <c r="L47">
        <f t="shared" si="4"/>
        <v>-2.49174889177084E-2</v>
      </c>
      <c r="M47">
        <f t="shared" si="5"/>
        <v>0.16460032761096999</v>
      </c>
    </row>
    <row r="48" spans="1:13" x14ac:dyDescent="0.25">
      <c r="A48">
        <v>0.16345152258873</v>
      </c>
      <c r="B48">
        <v>-4.7850877046585097E-2</v>
      </c>
      <c r="C48">
        <v>-0.55895280838012695</v>
      </c>
      <c r="D48">
        <v>2.8010047972202301E-3</v>
      </c>
      <c r="E48">
        <v>0.116225816309452</v>
      </c>
      <c r="F48">
        <v>-8.2255862653255497E-3</v>
      </c>
      <c r="H48">
        <f t="shared" si="0"/>
        <v>-8.2255862653255497E-3</v>
      </c>
      <c r="I48">
        <f t="shared" si="1"/>
        <v>-0.116225816309452</v>
      </c>
      <c r="J48">
        <f t="shared" si="2"/>
        <v>2.8010047972202301E-3</v>
      </c>
      <c r="K48">
        <f t="shared" si="3"/>
        <v>-0.55895280838012695</v>
      </c>
      <c r="L48">
        <f t="shared" si="4"/>
        <v>4.7850877046585097E-2</v>
      </c>
      <c r="M48">
        <f t="shared" si="5"/>
        <v>0.16345152258873</v>
      </c>
    </row>
    <row r="49" spans="1:13" x14ac:dyDescent="0.25">
      <c r="A49">
        <v>0.17770855128765101</v>
      </c>
      <c r="B49">
        <v>-1.8216177821159401E-2</v>
      </c>
      <c r="C49">
        <v>-0.67123001813888605</v>
      </c>
      <c r="D49">
        <v>-1.02491653524339E-3</v>
      </c>
      <c r="E49">
        <v>0.13688300549984</v>
      </c>
      <c r="F49">
        <v>-2.96032964251935E-3</v>
      </c>
      <c r="H49">
        <f t="shared" si="0"/>
        <v>-2.96032964251935E-3</v>
      </c>
      <c r="I49">
        <f t="shared" si="1"/>
        <v>-0.13688300549984</v>
      </c>
      <c r="J49">
        <f t="shared" si="2"/>
        <v>-1.02491653524339E-3</v>
      </c>
      <c r="K49">
        <f t="shared" si="3"/>
        <v>-0.67123001813888605</v>
      </c>
      <c r="L49">
        <f t="shared" si="4"/>
        <v>1.8216177821159401E-2</v>
      </c>
      <c r="M49">
        <f t="shared" si="5"/>
        <v>0.17770855128765101</v>
      </c>
    </row>
    <row r="50" spans="1:13" x14ac:dyDescent="0.25">
      <c r="A50">
        <v>0.15858340263366699</v>
      </c>
      <c r="B50">
        <v>4.4946841895580299E-2</v>
      </c>
      <c r="C50">
        <v>-0.542594313621521</v>
      </c>
      <c r="D50">
        <v>-7.4667437002062798E-3</v>
      </c>
      <c r="E50">
        <v>0.113316208124161</v>
      </c>
      <c r="F50">
        <v>7.9446360468864406E-3</v>
      </c>
      <c r="H50">
        <f t="shared" si="0"/>
        <v>7.9446360468864406E-3</v>
      </c>
      <c r="I50">
        <f t="shared" si="1"/>
        <v>-0.113316208124161</v>
      </c>
      <c r="J50">
        <f t="shared" si="2"/>
        <v>-7.4667437002062798E-3</v>
      </c>
      <c r="K50">
        <f t="shared" si="3"/>
        <v>-0.542594313621521</v>
      </c>
      <c r="L50">
        <f t="shared" si="4"/>
        <v>-4.4946841895580299E-2</v>
      </c>
      <c r="M50">
        <f t="shared" si="5"/>
        <v>0.15858340263366699</v>
      </c>
    </row>
    <row r="51" spans="1:13" x14ac:dyDescent="0.25">
      <c r="A51">
        <v>0.15672400593757599</v>
      </c>
      <c r="B51">
        <v>-6.6477552056312603E-2</v>
      </c>
      <c r="C51">
        <v>-0.52169811725616499</v>
      </c>
      <c r="D51">
        <v>5.0527956336736696E-3</v>
      </c>
      <c r="E51">
        <v>0.109470695257187</v>
      </c>
      <c r="F51">
        <v>-1.1559015139937401E-2</v>
      </c>
      <c r="H51">
        <f t="shared" si="0"/>
        <v>-1.1559015139937401E-2</v>
      </c>
      <c r="I51">
        <f t="shared" si="1"/>
        <v>-0.109470695257187</v>
      </c>
      <c r="J51">
        <f t="shared" si="2"/>
        <v>5.0527956336736696E-3</v>
      </c>
      <c r="K51">
        <f t="shared" si="3"/>
        <v>-0.52169811725616499</v>
      </c>
      <c r="L51">
        <f t="shared" si="4"/>
        <v>6.6477552056312603E-2</v>
      </c>
      <c r="M51">
        <f t="shared" si="5"/>
        <v>0.15672400593757599</v>
      </c>
    </row>
    <row r="52" spans="1:13" x14ac:dyDescent="0.25">
      <c r="A52">
        <v>0.17866499722003901</v>
      </c>
      <c r="B52">
        <v>-2.1200090646743799E-2</v>
      </c>
      <c r="C52">
        <v>-0.69194203615188599</v>
      </c>
      <c r="D52">
        <v>-7.3918880661949505E-4</v>
      </c>
      <c r="E52">
        <v>0.14035674929618799</v>
      </c>
      <c r="F52">
        <v>-3.5072604659944799E-3</v>
      </c>
      <c r="H52">
        <f t="shared" si="0"/>
        <v>-3.5072604659944799E-3</v>
      </c>
      <c r="I52">
        <f t="shared" si="1"/>
        <v>-0.14035674929618799</v>
      </c>
      <c r="J52">
        <f t="shared" si="2"/>
        <v>-7.3918880661949505E-4</v>
      </c>
      <c r="K52">
        <f t="shared" si="3"/>
        <v>-0.69194203615188599</v>
      </c>
      <c r="L52">
        <f t="shared" si="4"/>
        <v>2.1200090646743799E-2</v>
      </c>
      <c r="M52">
        <f t="shared" si="5"/>
        <v>0.17866499722003901</v>
      </c>
    </row>
    <row r="53" spans="1:13" x14ac:dyDescent="0.25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1:13" x14ac:dyDescent="0.25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  <row r="55" spans="1:13" x14ac:dyDescent="0.25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>
        <f t="shared" si="5"/>
        <v>0</v>
      </c>
    </row>
    <row r="56" spans="1:13" x14ac:dyDescent="0.25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>
        <f t="shared" si="5"/>
        <v>0</v>
      </c>
    </row>
    <row r="57" spans="1:13" x14ac:dyDescent="0.25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>
        <f t="shared" si="5"/>
        <v>0</v>
      </c>
    </row>
    <row r="58" spans="1:13" x14ac:dyDescent="0.25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>
        <f t="shared" si="5"/>
        <v>0</v>
      </c>
    </row>
    <row r="59" spans="1:13" x14ac:dyDescent="0.25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>
        <f t="shared" si="5"/>
        <v>0</v>
      </c>
    </row>
    <row r="60" spans="1:13" x14ac:dyDescent="0.25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>
        <f t="shared" si="5"/>
        <v>0</v>
      </c>
    </row>
    <row r="61" spans="1:13" x14ac:dyDescent="0.25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>
        <f t="shared" si="5"/>
        <v>0</v>
      </c>
    </row>
    <row r="62" spans="1:13" x14ac:dyDescent="0.25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D39:AU91"/>
  <sheetViews>
    <sheetView topLeftCell="S67" workbookViewId="0">
      <selection activeCell="T82" sqref="T82:AF91"/>
    </sheetView>
  </sheetViews>
  <sheetFormatPr defaultRowHeight="15" x14ac:dyDescent="0.25"/>
  <sheetData>
    <row r="39" spans="4:46" x14ac:dyDescent="0.25">
      <c r="D39" t="s">
        <v>37</v>
      </c>
      <c r="E39" t="s">
        <v>29</v>
      </c>
      <c r="F39">
        <v>-4.37921960838139E-4</v>
      </c>
      <c r="G39">
        <v>-5.4464954882860198E-2</v>
      </c>
      <c r="H39">
        <v>-2.8745096642523999E-4</v>
      </c>
      <c r="I39">
        <v>-2.13129706680775E-2</v>
      </c>
      <c r="J39">
        <v>1.85158103704453E-4</v>
      </c>
      <c r="K39">
        <v>0.34822303056716902</v>
      </c>
      <c r="L39">
        <v>0</v>
      </c>
      <c r="M39">
        <v>0</v>
      </c>
      <c r="N39">
        <v>0</v>
      </c>
      <c r="O39" t="s">
        <v>28</v>
      </c>
      <c r="T39" t="s">
        <v>37</v>
      </c>
      <c r="U39" t="s">
        <v>29</v>
      </c>
      <c r="V39">
        <v>-4.37921960838139E-4</v>
      </c>
      <c r="W39">
        <v>-5.4464954882860198E-2</v>
      </c>
      <c r="X39">
        <v>-2.8745096642523999E-4</v>
      </c>
      <c r="Y39">
        <v>-2.13129706680775E-2</v>
      </c>
      <c r="Z39">
        <v>1.85158103704453E-4</v>
      </c>
      <c r="AA39">
        <v>0.34822303056716902</v>
      </c>
      <c r="AB39">
        <v>0</v>
      </c>
      <c r="AC39">
        <v>0</v>
      </c>
      <c r="AD39">
        <v>0</v>
      </c>
      <c r="AE39" t="s">
        <v>28</v>
      </c>
      <c r="AI39" t="s">
        <v>37</v>
      </c>
      <c r="AJ39" t="s">
        <v>29</v>
      </c>
      <c r="AK39">
        <v>-4.37921960838139E-4</v>
      </c>
      <c r="AL39">
        <v>-5.4464954882860198E-2</v>
      </c>
      <c r="AM39">
        <v>-2.8745096642523999E-4</v>
      </c>
      <c r="AN39">
        <v>-2.13129706680775E-2</v>
      </c>
      <c r="AO39">
        <v>1.85158103704453E-4</v>
      </c>
      <c r="AP39">
        <v>0.34822303056716902</v>
      </c>
      <c r="AQ39">
        <v>0</v>
      </c>
      <c r="AR39">
        <v>0</v>
      </c>
      <c r="AS39">
        <v>0</v>
      </c>
      <c r="AT39" t="s">
        <v>28</v>
      </c>
    </row>
    <row r="40" spans="4:46" x14ac:dyDescent="0.25">
      <c r="F40">
        <v>3.1034613493829998E-4</v>
      </c>
      <c r="G40">
        <v>-4.40637990832329E-2</v>
      </c>
      <c r="H40">
        <v>-2.6626966428011699E-4</v>
      </c>
      <c r="I40">
        <v>-1.2337492778897299E-2</v>
      </c>
      <c r="J40">
        <v>-2.0012184977531398E-3</v>
      </c>
      <c r="K40">
        <v>0.28711792826652499</v>
      </c>
      <c r="L40">
        <v>1</v>
      </c>
      <c r="M40">
        <v>0</v>
      </c>
      <c r="N40">
        <v>0</v>
      </c>
      <c r="O40" t="s">
        <v>28</v>
      </c>
      <c r="V40">
        <v>-1.02264108136296E-4</v>
      </c>
      <c r="W40">
        <v>-4.9233462661504697E-2</v>
      </c>
      <c r="X40">
        <v>-2.99476378131658E-4</v>
      </c>
      <c r="Y40">
        <v>-1.65714882314205E-2</v>
      </c>
      <c r="Z40">
        <v>-1.33924931287766E-3</v>
      </c>
      <c r="AA40">
        <v>0.31748384237289401</v>
      </c>
      <c r="AB40">
        <v>0.5</v>
      </c>
      <c r="AC40">
        <v>0</v>
      </c>
      <c r="AD40">
        <v>0</v>
      </c>
      <c r="AE40" t="s">
        <v>28</v>
      </c>
      <c r="AK40">
        <v>6.4009008929133404E-4</v>
      </c>
      <c r="AL40">
        <v>-3.9186380803585101E-2</v>
      </c>
      <c r="AM40">
        <v>-2.0346988458186399E-4</v>
      </c>
      <c r="AN40">
        <v>-8.7062008678913099E-3</v>
      </c>
      <c r="AO40">
        <v>-2.6137903332710301E-3</v>
      </c>
      <c r="AP40">
        <v>0.25637444853782698</v>
      </c>
      <c r="AQ40">
        <v>1.5</v>
      </c>
      <c r="AR40">
        <v>0</v>
      </c>
      <c r="AS40">
        <v>0</v>
      </c>
      <c r="AT40" t="s">
        <v>28</v>
      </c>
    </row>
    <row r="41" spans="4:46" x14ac:dyDescent="0.25">
      <c r="F41">
        <v>-4.5217655133456003E-4</v>
      </c>
      <c r="G41">
        <v>-4.2780064046382897E-2</v>
      </c>
      <c r="H41">
        <v>-2.9174645897001001E-4</v>
      </c>
      <c r="I41">
        <v>-1.0398513637483099E-2</v>
      </c>
      <c r="J41">
        <v>2.8434172272682199E-3</v>
      </c>
      <c r="K41">
        <v>0.27934211492538502</v>
      </c>
      <c r="L41">
        <v>0</v>
      </c>
      <c r="M41">
        <v>1</v>
      </c>
      <c r="N41">
        <v>0</v>
      </c>
      <c r="O41" t="s">
        <v>28</v>
      </c>
      <c r="V41">
        <v>-4.2643712367862501E-4</v>
      </c>
      <c r="W41">
        <v>-4.8638276755809798E-2</v>
      </c>
      <c r="X41">
        <v>-2.7974933618679599E-4</v>
      </c>
      <c r="Y41">
        <v>-1.6359336674213399E-2</v>
      </c>
      <c r="Z41">
        <v>1.32400169968605E-3</v>
      </c>
      <c r="AA41">
        <v>0.31480351090431202</v>
      </c>
      <c r="AB41">
        <v>0</v>
      </c>
      <c r="AC41">
        <v>0.5</v>
      </c>
      <c r="AD41">
        <v>0</v>
      </c>
      <c r="AE41" t="s">
        <v>28</v>
      </c>
      <c r="AK41">
        <v>-4.4407683890312899E-4</v>
      </c>
      <c r="AL41">
        <v>-3.7313751876354197E-2</v>
      </c>
      <c r="AM41">
        <v>-3.41761275194585E-4</v>
      </c>
      <c r="AN41">
        <v>-7.1340319700539103E-3</v>
      </c>
      <c r="AO41">
        <v>4.2913071811199197E-3</v>
      </c>
      <c r="AP41">
        <v>0.24494989216327701</v>
      </c>
      <c r="AQ41">
        <v>0</v>
      </c>
      <c r="AR41">
        <v>1.5</v>
      </c>
      <c r="AS41">
        <v>0</v>
      </c>
      <c r="AT41" t="s">
        <v>28</v>
      </c>
    </row>
    <row r="42" spans="4:46" x14ac:dyDescent="0.25">
      <c r="F42">
        <v>-2.58053187280893E-4</v>
      </c>
      <c r="G42">
        <v>-6.3121601939201397E-2</v>
      </c>
      <c r="H42">
        <v>-4.25372389145195E-4</v>
      </c>
      <c r="I42">
        <v>-2.1438803523778902E-2</v>
      </c>
      <c r="J42">
        <v>8.5363537073135398E-4</v>
      </c>
      <c r="K42">
        <v>0.41041621565818798</v>
      </c>
      <c r="L42">
        <v>0</v>
      </c>
      <c r="M42">
        <v>0</v>
      </c>
      <c r="N42">
        <v>1</v>
      </c>
      <c r="O42" t="s">
        <v>30</v>
      </c>
      <c r="V42">
        <v>-2.88879848085344E-4</v>
      </c>
      <c r="W42">
        <v>-5.7832427322864498E-2</v>
      </c>
      <c r="X42">
        <v>-3.4862931352108701E-4</v>
      </c>
      <c r="Y42">
        <v>-1.9577505066990901E-2</v>
      </c>
      <c r="Z42">
        <v>5.4720044136047396E-4</v>
      </c>
      <c r="AA42">
        <v>0.37469360232353199</v>
      </c>
      <c r="AB42">
        <v>0</v>
      </c>
      <c r="AC42">
        <v>0</v>
      </c>
      <c r="AD42">
        <v>0.5</v>
      </c>
      <c r="AE42" t="s">
        <v>30</v>
      </c>
      <c r="AK42">
        <v>-2.1057412959635301E-4</v>
      </c>
      <c r="AL42">
        <v>-6.8292371928691906E-2</v>
      </c>
      <c r="AM42">
        <v>-4.8863200936466499E-4</v>
      </c>
      <c r="AN42">
        <v>-2.33149789273739E-2</v>
      </c>
      <c r="AO42">
        <v>1.18973851203918E-3</v>
      </c>
      <c r="AP42">
        <v>0.44520068168640098</v>
      </c>
      <c r="AQ42">
        <v>0</v>
      </c>
      <c r="AR42">
        <v>0</v>
      </c>
      <c r="AS42">
        <v>1.5</v>
      </c>
      <c r="AT42" t="s">
        <v>30</v>
      </c>
    </row>
    <row r="43" spans="4:46" x14ac:dyDescent="0.25">
      <c r="E43" t="s">
        <v>29</v>
      </c>
      <c r="F43">
        <v>-1.2904058676213E-3</v>
      </c>
      <c r="G43">
        <v>-0.130890563130379</v>
      </c>
      <c r="H43">
        <v>-5.0724833272397496E-4</v>
      </c>
      <c r="I43">
        <v>-0.12710034847259499</v>
      </c>
      <c r="J43">
        <v>3.3702701330184902E-3</v>
      </c>
      <c r="K43">
        <v>0.83409011363983199</v>
      </c>
      <c r="L43">
        <v>0</v>
      </c>
      <c r="M43">
        <v>0</v>
      </c>
      <c r="N43">
        <v>0</v>
      </c>
      <c r="O43" t="s">
        <v>28</v>
      </c>
      <c r="U43" t="s">
        <v>29</v>
      </c>
      <c r="V43">
        <v>-1.2904058676213E-3</v>
      </c>
      <c r="W43">
        <v>-0.130890563130379</v>
      </c>
      <c r="X43">
        <v>-5.0724833272397496E-4</v>
      </c>
      <c r="Y43">
        <v>-0.12710034847259499</v>
      </c>
      <c r="Z43">
        <v>3.3702701330184902E-3</v>
      </c>
      <c r="AA43">
        <v>0.83409011363983199</v>
      </c>
      <c r="AB43">
        <v>0</v>
      </c>
      <c r="AC43">
        <v>0</v>
      </c>
      <c r="AD43">
        <v>0</v>
      </c>
      <c r="AE43" t="s">
        <v>28</v>
      </c>
      <c r="AJ43" t="s">
        <v>29</v>
      </c>
      <c r="AK43">
        <v>-1.2904058676213E-3</v>
      </c>
      <c r="AL43">
        <v>-0.130890563130379</v>
      </c>
      <c r="AM43">
        <v>-5.0724833272397496E-4</v>
      </c>
      <c r="AN43">
        <v>-0.12710034847259499</v>
      </c>
      <c r="AO43">
        <v>3.3702701330184902E-3</v>
      </c>
      <c r="AP43">
        <v>0.83409011363983199</v>
      </c>
      <c r="AQ43">
        <v>0</v>
      </c>
      <c r="AR43">
        <v>0</v>
      </c>
      <c r="AS43">
        <v>0</v>
      </c>
      <c r="AT43" t="s">
        <v>28</v>
      </c>
    </row>
    <row r="44" spans="4:46" x14ac:dyDescent="0.25">
      <c r="F44">
        <v>-1.5963241457939099E-4</v>
      </c>
      <c r="G44">
        <v>-0.121562890708447</v>
      </c>
      <c r="H44">
        <v>-8.2839734386652697E-4</v>
      </c>
      <c r="I44">
        <v>-0.11515100300312001</v>
      </c>
      <c r="J44">
        <v>-2.1543055772781398E-3</v>
      </c>
      <c r="K44">
        <v>0.782032251358032</v>
      </c>
      <c r="L44">
        <v>1</v>
      </c>
      <c r="M44">
        <v>0</v>
      </c>
      <c r="N44">
        <v>0</v>
      </c>
      <c r="O44" t="s">
        <v>28</v>
      </c>
      <c r="V44">
        <v>-7.5655849650502205E-4</v>
      </c>
      <c r="W44">
        <v>-0.127172365784645</v>
      </c>
      <c r="X44">
        <v>-6.8982422817498402E-4</v>
      </c>
      <c r="Y44">
        <v>-0.121893465518951</v>
      </c>
      <c r="Z44">
        <v>5.4381787776947E-4</v>
      </c>
      <c r="AA44">
        <v>0.81394112110137895</v>
      </c>
      <c r="AB44">
        <v>0.5</v>
      </c>
      <c r="AC44">
        <v>0</v>
      </c>
      <c r="AD44">
        <v>0</v>
      </c>
      <c r="AE44" t="s">
        <v>28</v>
      </c>
      <c r="AK44">
        <v>3.0013942159712298E-4</v>
      </c>
      <c r="AL44">
        <v>-0.117159731686115</v>
      </c>
      <c r="AM44">
        <v>-9.5811707433313099E-4</v>
      </c>
      <c r="AN44">
        <v>-0.109190218150616</v>
      </c>
      <c r="AO44">
        <v>-4.2116492986679103E-3</v>
      </c>
      <c r="AP44">
        <v>0.75616359710693404</v>
      </c>
      <c r="AQ44">
        <v>1.5</v>
      </c>
      <c r="AR44">
        <v>0</v>
      </c>
      <c r="AS44">
        <v>0</v>
      </c>
      <c r="AT44" t="s">
        <v>28</v>
      </c>
    </row>
    <row r="45" spans="4:46" x14ac:dyDescent="0.25">
      <c r="F45">
        <v>-1.9617278594523699E-3</v>
      </c>
      <c r="G45">
        <v>-0.121123254299164</v>
      </c>
      <c r="H45">
        <v>-6.2098959460854503E-5</v>
      </c>
      <c r="I45">
        <v>-0.11508367210626599</v>
      </c>
      <c r="J45">
        <v>8.6164399981498701E-3</v>
      </c>
      <c r="K45">
        <v>0.77998018264770497</v>
      </c>
      <c r="L45">
        <v>0</v>
      </c>
      <c r="M45">
        <v>1</v>
      </c>
      <c r="N45">
        <v>0</v>
      </c>
      <c r="O45" t="s">
        <v>28</v>
      </c>
      <c r="V45">
        <v>-1.61869125440717E-3</v>
      </c>
      <c r="W45">
        <v>-0.12622460722923301</v>
      </c>
      <c r="X45">
        <v>-2.72841076366603E-4</v>
      </c>
      <c r="Y45">
        <v>-0.12119073420763</v>
      </c>
      <c r="Z45">
        <v>5.9388875961303702E-3</v>
      </c>
      <c r="AA45">
        <v>0.81022828817367598</v>
      </c>
      <c r="AB45">
        <v>0</v>
      </c>
      <c r="AC45">
        <v>0.5</v>
      </c>
      <c r="AD45">
        <v>0</v>
      </c>
      <c r="AE45" t="s">
        <v>28</v>
      </c>
      <c r="AK45">
        <v>-2.4068739730864798E-3</v>
      </c>
      <c r="AL45">
        <v>-0.115269728004932</v>
      </c>
      <c r="AM45">
        <v>1.7146649770438701E-4</v>
      </c>
      <c r="AN45">
        <v>-0.10486201196908999</v>
      </c>
      <c r="AO45">
        <v>1.2097604572773001E-2</v>
      </c>
      <c r="AP45">
        <v>0.74502885341644298</v>
      </c>
      <c r="AQ45">
        <v>0</v>
      </c>
      <c r="AR45">
        <v>1.5</v>
      </c>
      <c r="AS45">
        <v>0</v>
      </c>
      <c r="AT45" t="s">
        <v>28</v>
      </c>
    </row>
    <row r="46" spans="4:46" x14ac:dyDescent="0.25">
      <c r="F46">
        <v>-1.25816813670099E-3</v>
      </c>
      <c r="G46">
        <v>-0.13559269905090299</v>
      </c>
      <c r="H46">
        <v>-5.3044769447296901E-4</v>
      </c>
      <c r="I46">
        <v>-0.134366035461426</v>
      </c>
      <c r="J46">
        <v>4.1586309671402004E-3</v>
      </c>
      <c r="K46">
        <v>0.87226921319961503</v>
      </c>
      <c r="L46">
        <v>0</v>
      </c>
      <c r="M46">
        <v>0</v>
      </c>
      <c r="N46">
        <v>1</v>
      </c>
      <c r="O46" t="s">
        <v>30</v>
      </c>
      <c r="V46">
        <v>-1.28623517230153E-3</v>
      </c>
      <c r="W46">
        <v>-0.13277906179428101</v>
      </c>
      <c r="X46">
        <v>-4.8934319056570497E-4</v>
      </c>
      <c r="Y46">
        <v>-0.12763684988021901</v>
      </c>
      <c r="Z46">
        <v>4.0640681982040397E-3</v>
      </c>
      <c r="AA46">
        <v>0.852378129959106</v>
      </c>
      <c r="AB46">
        <v>0</v>
      </c>
      <c r="AC46">
        <v>0</v>
      </c>
      <c r="AD46">
        <v>0.5</v>
      </c>
      <c r="AE46" t="s">
        <v>30</v>
      </c>
      <c r="AK46">
        <v>-1.29362940788269E-3</v>
      </c>
      <c r="AL46">
        <v>-0.14033697545528401</v>
      </c>
      <c r="AM46">
        <v>-5.2493752446025599E-4</v>
      </c>
      <c r="AN46">
        <v>-0.136385843157768</v>
      </c>
      <c r="AO46">
        <v>5.4708421230316197E-3</v>
      </c>
      <c r="AP46">
        <v>0.90219867229461703</v>
      </c>
      <c r="AQ46">
        <v>0</v>
      </c>
      <c r="AR46">
        <v>0</v>
      </c>
      <c r="AS46">
        <v>1.5</v>
      </c>
      <c r="AT46" t="s">
        <v>30</v>
      </c>
    </row>
    <row r="47" spans="4:46" x14ac:dyDescent="0.25">
      <c r="E47" t="s">
        <v>29</v>
      </c>
      <c r="F47">
        <v>-4.4532003812491899E-4</v>
      </c>
      <c r="G47">
        <v>-4.79050725698471E-2</v>
      </c>
      <c r="H47">
        <v>-1.45487196277827E-4</v>
      </c>
      <c r="I47">
        <v>-1.52218556031585E-2</v>
      </c>
      <c r="J47">
        <v>-1.61819159984589E-4</v>
      </c>
      <c r="K47">
        <v>0.269099742174149</v>
      </c>
      <c r="L47">
        <v>0</v>
      </c>
      <c r="M47">
        <v>0</v>
      </c>
      <c r="N47">
        <v>0</v>
      </c>
      <c r="O47" t="s">
        <v>28</v>
      </c>
      <c r="U47" t="s">
        <v>29</v>
      </c>
      <c r="V47">
        <v>-4.4532003812491899E-4</v>
      </c>
      <c r="W47">
        <v>-4.79050725698471E-2</v>
      </c>
      <c r="X47">
        <v>-1.45487196277827E-4</v>
      </c>
      <c r="Y47">
        <v>-1.52218556031585E-2</v>
      </c>
      <c r="Z47">
        <v>-1.61819159984589E-4</v>
      </c>
      <c r="AA47">
        <v>0.269099742174149</v>
      </c>
      <c r="AB47">
        <v>0</v>
      </c>
      <c r="AC47">
        <v>0</v>
      </c>
      <c r="AD47">
        <v>0</v>
      </c>
      <c r="AE47" t="s">
        <v>28</v>
      </c>
      <c r="AJ47" t="s">
        <v>29</v>
      </c>
      <c r="AK47">
        <v>-4.4532003812491899E-4</v>
      </c>
      <c r="AL47">
        <v>-4.79050725698471E-2</v>
      </c>
      <c r="AM47">
        <v>-1.45487196277827E-4</v>
      </c>
      <c r="AN47">
        <v>-1.52218556031585E-2</v>
      </c>
      <c r="AO47">
        <v>-1.61819159984589E-4</v>
      </c>
      <c r="AP47">
        <v>0.269099742174149</v>
      </c>
      <c r="AQ47">
        <v>0</v>
      </c>
      <c r="AR47">
        <v>0</v>
      </c>
      <c r="AS47">
        <v>0</v>
      </c>
      <c r="AT47" t="s">
        <v>28</v>
      </c>
    </row>
    <row r="48" spans="4:46" x14ac:dyDescent="0.25">
      <c r="F48">
        <v>1.9974156748503401E-4</v>
      </c>
      <c r="G48">
        <v>-3.2512675970792798E-2</v>
      </c>
      <c r="H48">
        <v>-1.71057123225182E-4</v>
      </c>
      <c r="I48">
        <v>-8.0844657495617901E-3</v>
      </c>
      <c r="J48">
        <v>-3.18075716495514E-3</v>
      </c>
      <c r="K48">
        <v>0.18479597568511999</v>
      </c>
      <c r="L48">
        <v>1</v>
      </c>
      <c r="M48">
        <v>0</v>
      </c>
      <c r="N48">
        <v>0</v>
      </c>
      <c r="O48" t="s">
        <v>28</v>
      </c>
      <c r="V48">
        <v>-1.02916732430458E-4</v>
      </c>
      <c r="W48">
        <v>-4.0455386042594903E-2</v>
      </c>
      <c r="X48">
        <v>-1.97469926206395E-4</v>
      </c>
      <c r="Y48">
        <v>-1.3778557069599601E-2</v>
      </c>
      <c r="Z48">
        <v>-1.9923076033592198E-3</v>
      </c>
      <c r="AA48">
        <v>0.22861605882644701</v>
      </c>
      <c r="AB48">
        <v>0.5</v>
      </c>
      <c r="AC48">
        <v>0</v>
      </c>
      <c r="AD48">
        <v>0</v>
      </c>
      <c r="AE48" t="s">
        <v>28</v>
      </c>
      <c r="AK48">
        <v>3.60673118848354E-4</v>
      </c>
      <c r="AL48">
        <v>-2.5460945442318899E-2</v>
      </c>
      <c r="AM48">
        <v>-6.9049012381583506E-5</v>
      </c>
      <c r="AN48">
        <v>-3.9108381606638397E-3</v>
      </c>
      <c r="AO48">
        <v>-3.6880876868963198E-3</v>
      </c>
      <c r="AP48">
        <v>0.14487913250923201</v>
      </c>
      <c r="AQ48">
        <v>1.5</v>
      </c>
      <c r="AR48">
        <v>0</v>
      </c>
      <c r="AS48">
        <v>0</v>
      </c>
      <c r="AT48" t="s">
        <v>28</v>
      </c>
    </row>
    <row r="49" spans="5:46" x14ac:dyDescent="0.25">
      <c r="F49">
        <v>-5.7576800463721199E-4</v>
      </c>
      <c r="G49">
        <v>-3.0636494979262401E-2</v>
      </c>
      <c r="H49">
        <v>-9.7063733846880496E-5</v>
      </c>
      <c r="I49">
        <v>-7.2050262242555601E-3</v>
      </c>
      <c r="J49">
        <v>1.8094088882207901E-3</v>
      </c>
      <c r="K49">
        <v>0.17424859106540699</v>
      </c>
      <c r="L49">
        <v>0</v>
      </c>
      <c r="M49">
        <v>1</v>
      </c>
      <c r="N49">
        <v>0</v>
      </c>
      <c r="O49" t="s">
        <v>28</v>
      </c>
      <c r="V49">
        <v>-5.2102975314483003E-4</v>
      </c>
      <c r="W49">
        <v>-3.9230644702911398E-2</v>
      </c>
      <c r="X49">
        <v>-5.4417731007561101E-5</v>
      </c>
      <c r="Y49">
        <v>-1.0256470181047901E-2</v>
      </c>
      <c r="Z49">
        <v>8.0219656229019198E-4</v>
      </c>
      <c r="AA49">
        <v>0.22224035859107999</v>
      </c>
      <c r="AB49">
        <v>0</v>
      </c>
      <c r="AC49">
        <v>0.5</v>
      </c>
      <c r="AD49">
        <v>0</v>
      </c>
      <c r="AE49" t="s">
        <v>28</v>
      </c>
      <c r="AK49">
        <v>-5.8282527606934298E-4</v>
      </c>
      <c r="AL49">
        <v>-2.22843755036592E-2</v>
      </c>
      <c r="AM49">
        <v>-2.36762833083048E-4</v>
      </c>
      <c r="AN49">
        <v>-2.9866774566471598E-3</v>
      </c>
      <c r="AO49">
        <v>2.3172870278358499E-3</v>
      </c>
      <c r="AP49">
        <v>0.126792147755623</v>
      </c>
      <c r="AQ49">
        <v>0</v>
      </c>
      <c r="AR49">
        <v>1.5</v>
      </c>
      <c r="AS49">
        <v>0</v>
      </c>
      <c r="AT49" t="s">
        <v>28</v>
      </c>
    </row>
    <row r="50" spans="5:46" x14ac:dyDescent="0.25">
      <c r="F50">
        <v>-5.8534357231110302E-4</v>
      </c>
      <c r="G50">
        <v>-6.0917992144823102E-2</v>
      </c>
      <c r="H50">
        <v>-1.45592755870894E-4</v>
      </c>
      <c r="I50">
        <v>-1.8382957205176399E-2</v>
      </c>
      <c r="J50">
        <v>9.1800466179847696E-4</v>
      </c>
      <c r="K50">
        <v>0.34572017192840598</v>
      </c>
      <c r="L50">
        <v>0</v>
      </c>
      <c r="M50">
        <v>0</v>
      </c>
      <c r="N50">
        <v>1</v>
      </c>
      <c r="O50" t="s">
        <v>30</v>
      </c>
      <c r="V50">
        <v>-4.9925746861845298E-4</v>
      </c>
      <c r="W50">
        <v>-5.1998797804117203E-2</v>
      </c>
      <c r="X50">
        <v>-1.3459764886647501E-4</v>
      </c>
      <c r="Y50">
        <v>-1.56884230673313E-2</v>
      </c>
      <c r="Z50">
        <v>5.8252364397048998E-5</v>
      </c>
      <c r="AA50">
        <v>0.29535105824470498</v>
      </c>
      <c r="AB50">
        <v>0</v>
      </c>
      <c r="AC50">
        <v>0</v>
      </c>
      <c r="AD50">
        <v>0.5</v>
      </c>
      <c r="AE50" t="s">
        <v>30</v>
      </c>
      <c r="AK50">
        <v>-7.4072519782930602E-4</v>
      </c>
      <c r="AL50">
        <v>-6.9483138620853396E-2</v>
      </c>
      <c r="AM50">
        <v>-1.4320143964141599E-4</v>
      </c>
      <c r="AN50">
        <v>-2.0069636404514299E-2</v>
      </c>
      <c r="AO50">
        <v>1.51973590254784E-3</v>
      </c>
      <c r="AP50">
        <v>0.394207954406738</v>
      </c>
      <c r="AQ50">
        <v>0</v>
      </c>
      <c r="AR50">
        <v>0</v>
      </c>
      <c r="AS50">
        <v>1.5</v>
      </c>
      <c r="AT50" t="s">
        <v>30</v>
      </c>
    </row>
    <row r="51" spans="5:46" x14ac:dyDescent="0.25">
      <c r="E51" t="s">
        <v>29</v>
      </c>
      <c r="F51">
        <v>-1.1705639772117101E-3</v>
      </c>
      <c r="G51">
        <v>-9.4456188380718203E-2</v>
      </c>
      <c r="H51">
        <v>-1.20323454029858E-3</v>
      </c>
      <c r="I51">
        <v>-0.111187651753426</v>
      </c>
      <c r="J51">
        <v>-3.2553412020206499E-3</v>
      </c>
      <c r="K51">
        <v>0.47075057029724099</v>
      </c>
      <c r="L51">
        <v>0</v>
      </c>
      <c r="M51">
        <v>0</v>
      </c>
      <c r="N51">
        <v>0</v>
      </c>
      <c r="O51" t="s">
        <v>28</v>
      </c>
      <c r="U51" t="s">
        <v>29</v>
      </c>
      <c r="V51">
        <v>-1.1705639772117101E-3</v>
      </c>
      <c r="W51">
        <v>-9.4456188380718203E-2</v>
      </c>
      <c r="X51">
        <v>-1.20323454029858E-3</v>
      </c>
      <c r="Y51">
        <v>-0.111187651753426</v>
      </c>
      <c r="Z51">
        <v>-3.2553412020206499E-3</v>
      </c>
      <c r="AA51">
        <v>0.47075057029724099</v>
      </c>
      <c r="AB51">
        <v>0</v>
      </c>
      <c r="AC51">
        <v>0</v>
      </c>
      <c r="AD51">
        <v>0</v>
      </c>
      <c r="AE51" t="s">
        <v>28</v>
      </c>
      <c r="AJ51" t="s">
        <v>29</v>
      </c>
      <c r="AK51">
        <v>-1.1705639772117101E-3</v>
      </c>
      <c r="AL51">
        <v>-9.4456188380718203E-2</v>
      </c>
      <c r="AM51">
        <v>-1.20323454029858E-3</v>
      </c>
      <c r="AN51">
        <v>-0.111187651753426</v>
      </c>
      <c r="AO51">
        <v>-3.2553412020206499E-3</v>
      </c>
      <c r="AP51">
        <v>0.47075057029724099</v>
      </c>
      <c r="AQ51">
        <v>0</v>
      </c>
      <c r="AR51">
        <v>0</v>
      </c>
      <c r="AS51">
        <v>0</v>
      </c>
      <c r="AT51" t="s">
        <v>28</v>
      </c>
    </row>
    <row r="52" spans="5:46" x14ac:dyDescent="0.25">
      <c r="F52">
        <v>8.7243388406932395E-5</v>
      </c>
      <c r="G52">
        <v>-8.1967003643512698E-2</v>
      </c>
      <c r="H52">
        <v>-1.8417512765154199E-3</v>
      </c>
      <c r="I52">
        <v>-9.5461010932922405E-2</v>
      </c>
      <c r="J52">
        <v>-1.02448388934135E-2</v>
      </c>
      <c r="K52">
        <v>0.411044031381607</v>
      </c>
      <c r="L52">
        <v>1</v>
      </c>
      <c r="M52">
        <v>0</v>
      </c>
      <c r="N52">
        <v>0</v>
      </c>
      <c r="O52" t="s">
        <v>28</v>
      </c>
      <c r="V52">
        <v>-4.3118372559547403E-4</v>
      </c>
      <c r="W52">
        <v>-8.9639507234096499E-2</v>
      </c>
      <c r="X52">
        <v>-1.64168886840343E-3</v>
      </c>
      <c r="Y52">
        <v>-0.10492410510778399</v>
      </c>
      <c r="Z52">
        <v>-7.3592811822891201E-3</v>
      </c>
      <c r="AA52">
        <v>0.44790044426918002</v>
      </c>
      <c r="AB52">
        <v>0.5</v>
      </c>
      <c r="AC52">
        <v>0</v>
      </c>
      <c r="AD52">
        <v>0</v>
      </c>
      <c r="AE52" t="s">
        <v>28</v>
      </c>
      <c r="AK52">
        <v>5.3222989663481701E-4</v>
      </c>
      <c r="AL52">
        <v>-7.4818015098571805E-2</v>
      </c>
      <c r="AM52">
        <v>-1.9516762113198599E-3</v>
      </c>
      <c r="AN52">
        <v>-8.6167961359024006E-2</v>
      </c>
      <c r="AO52">
        <v>-1.24474763870239E-2</v>
      </c>
      <c r="AP52">
        <v>0.376007050275803</v>
      </c>
      <c r="AQ52">
        <v>1.5</v>
      </c>
      <c r="AR52">
        <v>0</v>
      </c>
      <c r="AS52">
        <v>0</v>
      </c>
      <c r="AT52" t="s">
        <v>28</v>
      </c>
    </row>
    <row r="53" spans="5:46" x14ac:dyDescent="0.25">
      <c r="F53">
        <v>-2.6281357277184699E-3</v>
      </c>
      <c r="G53">
        <v>-7.9778142273426098E-2</v>
      </c>
      <c r="H53">
        <v>8.1456964835524593E-6</v>
      </c>
      <c r="I53">
        <v>-9.1968797147274003E-2</v>
      </c>
      <c r="J53">
        <v>4.9324836581945402E-3</v>
      </c>
      <c r="K53">
        <v>0.401186943054199</v>
      </c>
      <c r="L53">
        <v>0</v>
      </c>
      <c r="M53">
        <v>1</v>
      </c>
      <c r="N53">
        <v>0</v>
      </c>
      <c r="O53" t="s">
        <v>28</v>
      </c>
      <c r="V53">
        <v>-1.80297694168985E-3</v>
      </c>
      <c r="W53">
        <v>-8.7559677660465199E-2</v>
      </c>
      <c r="X53">
        <v>-6.7153916461393205E-4</v>
      </c>
      <c r="Y53">
        <v>-0.10215356200933499</v>
      </c>
      <c r="Z53">
        <v>-2.1431595087051398E-5</v>
      </c>
      <c r="AA53">
        <v>0.43895807862281799</v>
      </c>
      <c r="AB53">
        <v>0</v>
      </c>
      <c r="AC53">
        <v>0.5</v>
      </c>
      <c r="AD53">
        <v>0</v>
      </c>
      <c r="AE53" t="s">
        <v>28</v>
      </c>
      <c r="AK53">
        <v>-3.3548073843121498E-3</v>
      </c>
      <c r="AL53">
        <v>-7.1954973042011303E-2</v>
      </c>
      <c r="AM53">
        <v>5.6110380683094296E-4</v>
      </c>
      <c r="AN53">
        <v>-8.2473382353782695E-2</v>
      </c>
      <c r="AO53">
        <v>9.0126022696495108E-3</v>
      </c>
      <c r="AP53">
        <v>0.36251398921012901</v>
      </c>
      <c r="AQ53">
        <v>0</v>
      </c>
      <c r="AR53">
        <v>1.5</v>
      </c>
      <c r="AS53">
        <v>0</v>
      </c>
      <c r="AT53" t="s">
        <v>28</v>
      </c>
    </row>
    <row r="54" spans="5:46" x14ac:dyDescent="0.25">
      <c r="F54">
        <v>-1.7928605666384101E-3</v>
      </c>
      <c r="G54">
        <v>-0.106283381581306</v>
      </c>
      <c r="H54">
        <v>-1.05142686516047E-3</v>
      </c>
      <c r="I54">
        <v>-0.124293893575668</v>
      </c>
      <c r="J54">
        <v>-1.8899887800216701E-3</v>
      </c>
      <c r="K54">
        <v>0.53177243471145597</v>
      </c>
      <c r="L54">
        <v>0</v>
      </c>
      <c r="M54">
        <v>0</v>
      </c>
      <c r="N54">
        <v>1</v>
      </c>
      <c r="O54" t="s">
        <v>30</v>
      </c>
      <c r="V54">
        <v>-1.4795206952840101E-3</v>
      </c>
      <c r="W54">
        <v>-9.9117159843444796E-2</v>
      </c>
      <c r="X54">
        <v>-1.11160473898053E-3</v>
      </c>
      <c r="Y54">
        <v>-0.115873411297798</v>
      </c>
      <c r="Z54">
        <v>-2.3469403386116002E-3</v>
      </c>
      <c r="AA54">
        <v>0.49583637714385997</v>
      </c>
      <c r="AB54">
        <v>0</v>
      </c>
      <c r="AC54">
        <v>0</v>
      </c>
      <c r="AD54">
        <v>0.5</v>
      </c>
      <c r="AE54" t="s">
        <v>30</v>
      </c>
      <c r="AK54">
        <v>-2.2535349708050498E-3</v>
      </c>
      <c r="AL54">
        <v>-0.11417751759290699</v>
      </c>
      <c r="AM54">
        <v>-8.9904951164498904E-4</v>
      </c>
      <c r="AN54">
        <v>-0.13532365858554801</v>
      </c>
      <c r="AO54">
        <v>-1.81801617145538E-4</v>
      </c>
      <c r="AP54">
        <v>0.57029646635055498</v>
      </c>
      <c r="AQ54">
        <v>0</v>
      </c>
      <c r="AR54">
        <v>0</v>
      </c>
      <c r="AS54">
        <v>1.5</v>
      </c>
      <c r="AT54" t="s">
        <v>30</v>
      </c>
    </row>
    <row r="55" spans="5:46" x14ac:dyDescent="0.25">
      <c r="E55" t="s">
        <v>29</v>
      </c>
      <c r="F55">
        <v>-1.5179968904703901E-3</v>
      </c>
      <c r="G55">
        <v>-0.13914526998996701</v>
      </c>
      <c r="H55">
        <v>-1.6895274166017799E-3</v>
      </c>
      <c r="I55">
        <v>-0.208347618579865</v>
      </c>
      <c r="J55">
        <v>-2.6145353913307199E-3</v>
      </c>
      <c r="K55">
        <v>0.69233715534210205</v>
      </c>
      <c r="L55">
        <v>0</v>
      </c>
      <c r="M55">
        <v>0</v>
      </c>
      <c r="N55">
        <v>0</v>
      </c>
      <c r="O55" t="s">
        <v>28</v>
      </c>
      <c r="U55" t="s">
        <v>29</v>
      </c>
      <c r="V55">
        <v>-1.5179968904703901E-3</v>
      </c>
      <c r="W55">
        <v>-0.13914526998996701</v>
      </c>
      <c r="X55">
        <v>-1.6895274166017799E-3</v>
      </c>
      <c r="Y55">
        <v>-0.208347618579865</v>
      </c>
      <c r="Z55">
        <v>-2.6145353913307199E-3</v>
      </c>
      <c r="AA55">
        <v>0.69233715534210205</v>
      </c>
      <c r="AB55">
        <v>0</v>
      </c>
      <c r="AC55">
        <v>0</v>
      </c>
      <c r="AD55">
        <v>0</v>
      </c>
      <c r="AE55" t="s">
        <v>28</v>
      </c>
      <c r="AJ55" t="s">
        <v>29</v>
      </c>
      <c r="AK55">
        <v>-1.5179968904703901E-3</v>
      </c>
      <c r="AL55">
        <v>-0.13914526998996701</v>
      </c>
      <c r="AM55">
        <v>-1.6895274166017799E-3</v>
      </c>
      <c r="AN55">
        <v>-0.208347618579865</v>
      </c>
      <c r="AO55">
        <v>-2.6145353913307199E-3</v>
      </c>
      <c r="AP55">
        <v>0.69233715534210205</v>
      </c>
      <c r="AQ55">
        <v>0</v>
      </c>
      <c r="AR55">
        <v>0</v>
      </c>
      <c r="AS55">
        <v>0</v>
      </c>
      <c r="AT55" t="s">
        <v>28</v>
      </c>
    </row>
    <row r="56" spans="5:46" x14ac:dyDescent="0.25">
      <c r="F56">
        <v>4.0320260450243999E-4</v>
      </c>
      <c r="G56">
        <v>-0.12612909078598</v>
      </c>
      <c r="H56">
        <v>-2.7437012176960698E-3</v>
      </c>
      <c r="I56">
        <v>-0.18591290712356601</v>
      </c>
      <c r="J56">
        <v>-1.28864273428917E-2</v>
      </c>
      <c r="K56">
        <v>0.63056266307830799</v>
      </c>
      <c r="L56">
        <v>1</v>
      </c>
      <c r="M56">
        <v>0</v>
      </c>
      <c r="N56">
        <v>0</v>
      </c>
      <c r="O56" t="s">
        <v>28</v>
      </c>
      <c r="V56">
        <v>-3.51023161783814E-4</v>
      </c>
      <c r="W56">
        <v>-0.133042126893997</v>
      </c>
      <c r="X56">
        <v>-2.4027160834521099E-3</v>
      </c>
      <c r="Y56">
        <v>-0.196183532476425</v>
      </c>
      <c r="Z56">
        <v>-9.0570524334907497E-3</v>
      </c>
      <c r="AA56">
        <v>0.66389405727386497</v>
      </c>
      <c r="AB56">
        <v>0.5</v>
      </c>
      <c r="AC56">
        <v>0</v>
      </c>
      <c r="AD56">
        <v>0</v>
      </c>
      <c r="AE56" t="s">
        <v>28</v>
      </c>
      <c r="AK56">
        <v>9.75845963694155E-4</v>
      </c>
      <c r="AL56">
        <v>-0.120146997272968</v>
      </c>
      <c r="AM56">
        <v>-2.9710826929658699E-3</v>
      </c>
      <c r="AN56">
        <v>-0.17620675265788999</v>
      </c>
      <c r="AO56">
        <v>-1.6194812953472099E-2</v>
      </c>
      <c r="AP56">
        <v>0.60103619098663297</v>
      </c>
      <c r="AQ56">
        <v>1.5</v>
      </c>
      <c r="AR56">
        <v>0</v>
      </c>
      <c r="AS56">
        <v>0</v>
      </c>
      <c r="AT56" t="s">
        <v>28</v>
      </c>
    </row>
    <row r="57" spans="5:46" x14ac:dyDescent="0.25">
      <c r="F57">
        <v>-3.60359740443528E-3</v>
      </c>
      <c r="G57">
        <v>-0.123284801840782</v>
      </c>
      <c r="H57">
        <v>1.3838161248713699E-4</v>
      </c>
      <c r="I57">
        <v>-0.18036614358425099</v>
      </c>
      <c r="J57">
        <v>9.5373615622520395E-3</v>
      </c>
      <c r="K57">
        <v>0.61717545986175504</v>
      </c>
      <c r="L57">
        <v>0</v>
      </c>
      <c r="M57">
        <v>1</v>
      </c>
      <c r="N57">
        <v>0</v>
      </c>
      <c r="O57" t="s">
        <v>28</v>
      </c>
      <c r="V57">
        <v>-2.4652022402733599E-3</v>
      </c>
      <c r="W57">
        <v>-0.13107772171497301</v>
      </c>
      <c r="X57">
        <v>-8.2595617277547695E-4</v>
      </c>
      <c r="Y57">
        <v>-0.19345121085643799</v>
      </c>
      <c r="Z57">
        <v>3.0057281255721998E-3</v>
      </c>
      <c r="AA57">
        <v>0.65493339300155595</v>
      </c>
      <c r="AB57">
        <v>0</v>
      </c>
      <c r="AC57">
        <v>0.5</v>
      </c>
      <c r="AD57">
        <v>0</v>
      </c>
      <c r="AE57" t="s">
        <v>28</v>
      </c>
      <c r="AK57">
        <v>-4.5309728011488897E-3</v>
      </c>
      <c r="AL57">
        <v>-0.11663211882114401</v>
      </c>
      <c r="AM57">
        <v>8.69839917868376E-4</v>
      </c>
      <c r="AN57">
        <v>-0.16939029097557101</v>
      </c>
      <c r="AO57">
        <v>1.54237076640129E-2</v>
      </c>
      <c r="AP57">
        <v>0.58477991819381703</v>
      </c>
      <c r="AQ57">
        <v>0</v>
      </c>
      <c r="AR57">
        <v>1.5</v>
      </c>
      <c r="AS57">
        <v>0</v>
      </c>
      <c r="AT57" t="s">
        <v>28</v>
      </c>
    </row>
    <row r="58" spans="5:46" x14ac:dyDescent="0.25">
      <c r="F58">
        <v>-2.0965661387890599E-3</v>
      </c>
      <c r="G58">
        <v>-0.147491469979286</v>
      </c>
      <c r="H58">
        <v>-1.3944744132459201E-3</v>
      </c>
      <c r="I58">
        <v>-0.22115431725978901</v>
      </c>
      <c r="J58">
        <v>-3.3147633075714098E-5</v>
      </c>
      <c r="K58">
        <v>0.73367011547088601</v>
      </c>
      <c r="L58">
        <v>0</v>
      </c>
      <c r="M58">
        <v>0</v>
      </c>
      <c r="N58">
        <v>1</v>
      </c>
      <c r="O58" t="s">
        <v>30</v>
      </c>
      <c r="V58">
        <v>-1.9036105368286399E-3</v>
      </c>
      <c r="W58">
        <v>-0.14096364378929099</v>
      </c>
      <c r="X58">
        <v>-1.41268083825707E-3</v>
      </c>
      <c r="Y58">
        <v>-0.21145741641521501</v>
      </c>
      <c r="Z58">
        <v>-8.4137171506881703E-4</v>
      </c>
      <c r="AA58">
        <v>0.70331704616546598</v>
      </c>
      <c r="AB58">
        <v>0</v>
      </c>
      <c r="AC58">
        <v>0</v>
      </c>
      <c r="AD58">
        <v>0.5</v>
      </c>
      <c r="AE58" t="s">
        <v>30</v>
      </c>
      <c r="AK58">
        <v>-2.2463256027549501E-3</v>
      </c>
      <c r="AL58">
        <v>-0.15449988842010501</v>
      </c>
      <c r="AM58">
        <v>-1.45124655682594E-3</v>
      </c>
      <c r="AN58">
        <v>-0.23389320075511899</v>
      </c>
      <c r="AO58">
        <v>-9.2186033725738498E-5</v>
      </c>
      <c r="AP58">
        <v>0.76777732372283902</v>
      </c>
      <c r="AQ58">
        <v>0</v>
      </c>
      <c r="AR58">
        <v>0</v>
      </c>
      <c r="AS58">
        <v>1.5</v>
      </c>
      <c r="AT58" t="s">
        <v>30</v>
      </c>
    </row>
    <row r="59" spans="5:46" x14ac:dyDescent="0.25">
      <c r="E59" t="s">
        <v>29</v>
      </c>
      <c r="F59">
        <v>-6.0909817693754998E-4</v>
      </c>
      <c r="G59">
        <v>-9.3464262783527402E-2</v>
      </c>
      <c r="H59">
        <v>-1.42273562960327E-3</v>
      </c>
      <c r="I59">
        <v>-0.183252438902855</v>
      </c>
      <c r="J59">
        <v>-1.30194798111916E-3</v>
      </c>
      <c r="K59">
        <v>0.33158546686172502</v>
      </c>
      <c r="L59">
        <v>0</v>
      </c>
      <c r="M59">
        <v>0</v>
      </c>
      <c r="N59">
        <v>0</v>
      </c>
      <c r="O59" t="s">
        <v>28</v>
      </c>
      <c r="U59" t="s">
        <v>29</v>
      </c>
      <c r="V59">
        <v>-6.0909817693754998E-4</v>
      </c>
      <c r="W59">
        <v>-9.3464262783527402E-2</v>
      </c>
      <c r="X59">
        <v>-1.42273562960327E-3</v>
      </c>
      <c r="Y59">
        <v>-0.183252438902855</v>
      </c>
      <c r="Z59">
        <v>-1.30194798111916E-3</v>
      </c>
      <c r="AA59">
        <v>0.33158546686172502</v>
      </c>
      <c r="AB59">
        <v>0</v>
      </c>
      <c r="AC59">
        <v>0</v>
      </c>
      <c r="AD59">
        <v>0</v>
      </c>
      <c r="AE59" t="s">
        <v>28</v>
      </c>
      <c r="AJ59" t="s">
        <v>29</v>
      </c>
      <c r="AK59">
        <v>-6.0909817693754998E-4</v>
      </c>
      <c r="AL59">
        <v>-9.3464262783527402E-2</v>
      </c>
      <c r="AM59">
        <v>-1.42273562960327E-3</v>
      </c>
      <c r="AN59">
        <v>-0.183252438902855</v>
      </c>
      <c r="AO59">
        <v>-1.30194798111916E-3</v>
      </c>
      <c r="AP59">
        <v>0.33158546686172502</v>
      </c>
      <c r="AQ59">
        <v>0</v>
      </c>
      <c r="AR59">
        <v>0</v>
      </c>
      <c r="AS59">
        <v>0</v>
      </c>
      <c r="AT59" t="s">
        <v>28</v>
      </c>
    </row>
    <row r="60" spans="5:46" x14ac:dyDescent="0.25">
      <c r="F60">
        <v>2.1256739273667301E-3</v>
      </c>
      <c r="G60">
        <v>-8.1501223146915394E-2</v>
      </c>
      <c r="H60">
        <v>-3.6365091800689702E-3</v>
      </c>
      <c r="I60">
        <v>-0.15839047729969</v>
      </c>
      <c r="J60">
        <v>-1.5761572867631898E-2</v>
      </c>
      <c r="K60">
        <v>0.29118153452873202</v>
      </c>
      <c r="L60">
        <v>1</v>
      </c>
      <c r="M60">
        <v>0</v>
      </c>
      <c r="N60">
        <v>0</v>
      </c>
      <c r="O60" t="s">
        <v>28</v>
      </c>
      <c r="V60">
        <v>1.2037090491503501E-3</v>
      </c>
      <c r="W60">
        <v>-8.6668573319911998E-2</v>
      </c>
      <c r="X60">
        <v>-2.93074361979961E-3</v>
      </c>
      <c r="Y60">
        <v>-0.17014570534229301</v>
      </c>
      <c r="Z60">
        <v>-1.1143077164888399E-2</v>
      </c>
      <c r="AA60">
        <v>0.30808722972869901</v>
      </c>
      <c r="AB60">
        <v>0.5</v>
      </c>
      <c r="AC60">
        <v>0</v>
      </c>
      <c r="AD60">
        <v>0</v>
      </c>
      <c r="AE60" t="s">
        <v>28</v>
      </c>
      <c r="AK60">
        <v>3.2155159860849398E-3</v>
      </c>
      <c r="AL60">
        <v>-7.4254631996154799E-2</v>
      </c>
      <c r="AM60">
        <v>-4.4117178767919497E-3</v>
      </c>
      <c r="AN60">
        <v>-0.14466325938701599</v>
      </c>
      <c r="AO60">
        <v>-2.1403677761554701E-2</v>
      </c>
      <c r="AP60">
        <v>0.26543587446212802</v>
      </c>
      <c r="AQ60">
        <v>1.5</v>
      </c>
      <c r="AR60">
        <v>0</v>
      </c>
      <c r="AS60">
        <v>0</v>
      </c>
      <c r="AT60" t="s">
        <v>28</v>
      </c>
    </row>
    <row r="61" spans="5:46" x14ac:dyDescent="0.25">
      <c r="F61">
        <v>-3.4697111696004898E-3</v>
      </c>
      <c r="G61">
        <v>-7.9126335680484799E-2</v>
      </c>
      <c r="H61">
        <v>1.4140863204374901E-3</v>
      </c>
      <c r="I61">
        <v>-0.15318381786346399</v>
      </c>
      <c r="J61">
        <v>1.42920073121786E-2</v>
      </c>
      <c r="K61">
        <v>0.28343707323074302</v>
      </c>
      <c r="L61">
        <v>0</v>
      </c>
      <c r="M61">
        <v>1</v>
      </c>
      <c r="N61">
        <v>0</v>
      </c>
      <c r="O61" t="s">
        <v>28</v>
      </c>
      <c r="V61">
        <v>-1.83276447933167E-3</v>
      </c>
      <c r="W61">
        <v>-8.5605740547180204E-2</v>
      </c>
      <c r="X61">
        <v>-1.6621639952063601E-4</v>
      </c>
      <c r="Y61">
        <v>-0.167198911309242</v>
      </c>
      <c r="Z61">
        <v>5.0233425572514499E-3</v>
      </c>
      <c r="AA61">
        <v>0.30530530214309698</v>
      </c>
      <c r="AB61">
        <v>0</v>
      </c>
      <c r="AC61">
        <v>0.5</v>
      </c>
      <c r="AD61">
        <v>0</v>
      </c>
      <c r="AE61" t="s">
        <v>28</v>
      </c>
      <c r="AK61">
        <v>-4.7775120474398101E-3</v>
      </c>
      <c r="AL61">
        <v>-7.22348988056183E-2</v>
      </c>
      <c r="AM61">
        <v>2.66069592908025E-3</v>
      </c>
      <c r="AN61">
        <v>-0.14038173854350999</v>
      </c>
      <c r="AO61">
        <v>2.1760944277048101E-2</v>
      </c>
      <c r="AP61">
        <v>0.25937113165855402</v>
      </c>
      <c r="AQ61">
        <v>0</v>
      </c>
      <c r="AR61">
        <v>1.5</v>
      </c>
      <c r="AS61">
        <v>0</v>
      </c>
      <c r="AT61" t="s">
        <v>28</v>
      </c>
    </row>
    <row r="62" spans="5:46" x14ac:dyDescent="0.25">
      <c r="F62">
        <v>-1.4034989289939399E-3</v>
      </c>
      <c r="G62">
        <v>-0.10893576592206999</v>
      </c>
      <c r="H62">
        <v>-1.0244118748232701E-3</v>
      </c>
      <c r="I62">
        <v>-0.21598881483078</v>
      </c>
      <c r="J62">
        <v>2.0247809588909101E-3</v>
      </c>
      <c r="K62">
        <v>0.38628801703453097</v>
      </c>
      <c r="L62">
        <v>0</v>
      </c>
      <c r="M62">
        <v>0</v>
      </c>
      <c r="N62">
        <v>1</v>
      </c>
      <c r="O62" t="s">
        <v>30</v>
      </c>
      <c r="V62">
        <v>-1.0226408485323199E-3</v>
      </c>
      <c r="W62">
        <v>-9.8617747426033006E-2</v>
      </c>
      <c r="X62">
        <v>-1.1529807234182999E-3</v>
      </c>
      <c r="Y62">
        <v>-0.19415593147277799</v>
      </c>
      <c r="Z62">
        <v>4.1933543980121602E-4</v>
      </c>
      <c r="AA62">
        <v>0.35029289126396201</v>
      </c>
      <c r="AB62">
        <v>0</v>
      </c>
      <c r="AC62">
        <v>0</v>
      </c>
      <c r="AD62">
        <v>0.5</v>
      </c>
      <c r="AE62" t="s">
        <v>30</v>
      </c>
      <c r="AK62">
        <v>-1.76639016717672E-3</v>
      </c>
      <c r="AL62">
        <v>-0.116034410893917</v>
      </c>
      <c r="AM62">
        <v>-8.5316138574853496E-4</v>
      </c>
      <c r="AN62">
        <v>-0.231781601905823</v>
      </c>
      <c r="AO62">
        <v>3.8114227354526498E-3</v>
      </c>
      <c r="AP62">
        <v>0.41029143333435097</v>
      </c>
      <c r="AQ62">
        <v>0</v>
      </c>
      <c r="AR62">
        <v>0</v>
      </c>
      <c r="AS62">
        <v>1.5</v>
      </c>
      <c r="AT62" t="s">
        <v>30</v>
      </c>
    </row>
    <row r="63" spans="5:46" x14ac:dyDescent="0.25">
      <c r="E63" t="s">
        <v>29</v>
      </c>
      <c r="F63">
        <v>-8.4166455781087301E-4</v>
      </c>
      <c r="G63">
        <v>-0.141347721219063</v>
      </c>
      <c r="H63">
        <v>-2.4875707458704701E-3</v>
      </c>
      <c r="I63">
        <v>-0.39468729496002197</v>
      </c>
      <c r="J63">
        <v>-9.2538818717002901E-4</v>
      </c>
      <c r="K63">
        <v>0.469948559999466</v>
      </c>
      <c r="L63">
        <v>0</v>
      </c>
      <c r="M63">
        <v>0</v>
      </c>
      <c r="N63">
        <v>0</v>
      </c>
      <c r="O63" t="s">
        <v>28</v>
      </c>
      <c r="U63" t="s">
        <v>29</v>
      </c>
      <c r="V63">
        <v>-8.4166455781087301E-4</v>
      </c>
      <c r="W63">
        <v>-0.141347721219063</v>
      </c>
      <c r="X63">
        <v>-2.4875707458704701E-3</v>
      </c>
      <c r="Y63">
        <v>-0.39468729496002197</v>
      </c>
      <c r="Z63">
        <v>-9.2538818717002901E-4</v>
      </c>
      <c r="AA63">
        <v>0.469948559999466</v>
      </c>
      <c r="AB63">
        <v>0</v>
      </c>
      <c r="AC63">
        <v>0</v>
      </c>
      <c r="AD63">
        <v>0</v>
      </c>
      <c r="AE63" t="s">
        <v>28</v>
      </c>
      <c r="AJ63" t="s">
        <v>29</v>
      </c>
      <c r="AK63">
        <v>-8.4166455781087301E-4</v>
      </c>
      <c r="AL63">
        <v>-0.141347721219063</v>
      </c>
      <c r="AM63">
        <v>-2.4875707458704701E-3</v>
      </c>
      <c r="AN63">
        <v>-0.39468729496002197</v>
      </c>
      <c r="AO63">
        <v>-9.2538818717002901E-4</v>
      </c>
      <c r="AP63">
        <v>0.469948559999466</v>
      </c>
      <c r="AQ63">
        <v>0</v>
      </c>
      <c r="AR63">
        <v>0</v>
      </c>
      <c r="AS63">
        <v>0</v>
      </c>
      <c r="AT63" t="s">
        <v>28</v>
      </c>
    </row>
    <row r="64" spans="5:46" x14ac:dyDescent="0.25">
      <c r="F64">
        <v>3.8443636149168002E-3</v>
      </c>
      <c r="G64">
        <v>-0.12736497819423701</v>
      </c>
      <c r="H64">
        <v>-5.8701047673821397E-3</v>
      </c>
      <c r="I64">
        <v>-0.35098621249198902</v>
      </c>
      <c r="J64">
        <v>-2.6046320796012899E-2</v>
      </c>
      <c r="K64">
        <v>0.426019728183746</v>
      </c>
      <c r="L64">
        <v>1</v>
      </c>
      <c r="M64">
        <v>0</v>
      </c>
      <c r="N64">
        <v>0</v>
      </c>
      <c r="O64" t="s">
        <v>28</v>
      </c>
      <c r="V64">
        <v>1.73850648570806E-3</v>
      </c>
      <c r="W64">
        <v>-0.13492897152900701</v>
      </c>
      <c r="X64">
        <v>-4.3936967849731402E-3</v>
      </c>
      <c r="Y64">
        <v>-0.37507843971252403</v>
      </c>
      <c r="Z64">
        <v>-1.50443464517593E-2</v>
      </c>
      <c r="AA64">
        <v>0.44931906461715698</v>
      </c>
      <c r="AB64">
        <v>0.5</v>
      </c>
      <c r="AC64">
        <v>0</v>
      </c>
      <c r="AD64">
        <v>0</v>
      </c>
      <c r="AE64" t="s">
        <v>28</v>
      </c>
      <c r="AK64">
        <v>5.3682345896959296E-3</v>
      </c>
      <c r="AL64">
        <v>-0.12192277610302001</v>
      </c>
      <c r="AM64">
        <v>-6.9089080207049803E-3</v>
      </c>
      <c r="AN64">
        <v>-0.33468896150589</v>
      </c>
      <c r="AO64">
        <v>-3.42880934476852E-2</v>
      </c>
      <c r="AP64">
        <v>0.40802216529846203</v>
      </c>
      <c r="AQ64">
        <v>1.5</v>
      </c>
      <c r="AR64">
        <v>0</v>
      </c>
      <c r="AS64">
        <v>0</v>
      </c>
      <c r="AT64" t="s">
        <v>28</v>
      </c>
    </row>
    <row r="65" spans="5:47" x14ac:dyDescent="0.25">
      <c r="F65">
        <v>-4.7293268144130698E-3</v>
      </c>
      <c r="G65">
        <v>-0.12588208913803101</v>
      </c>
      <c r="H65">
        <v>9.4564992468804099E-4</v>
      </c>
      <c r="I65">
        <v>-0.346735060214996</v>
      </c>
      <c r="J65">
        <v>2.07273736596107E-2</v>
      </c>
      <c r="K65">
        <v>0.42136827111244202</v>
      </c>
      <c r="L65">
        <v>0</v>
      </c>
      <c r="M65">
        <v>1</v>
      </c>
      <c r="N65">
        <v>0</v>
      </c>
      <c r="O65" t="s">
        <v>28</v>
      </c>
      <c r="V65">
        <v>-2.3572284262627398E-3</v>
      </c>
      <c r="W65">
        <v>-0.134032398462296</v>
      </c>
      <c r="X65">
        <v>-1.0936050675809401E-3</v>
      </c>
      <c r="Y65">
        <v>-0.37078517675399802</v>
      </c>
      <c r="Z65">
        <v>7.2776749730110203E-3</v>
      </c>
      <c r="AA65">
        <v>0.44731330871581998</v>
      </c>
      <c r="AB65">
        <v>0</v>
      </c>
      <c r="AC65">
        <v>0.5</v>
      </c>
      <c r="AD65">
        <v>0</v>
      </c>
      <c r="AE65" t="s">
        <v>28</v>
      </c>
      <c r="AK65">
        <v>-6.8397428840398797E-3</v>
      </c>
      <c r="AL65">
        <v>-0.119494326412678</v>
      </c>
      <c r="AM65">
        <v>2.7260044589638701E-3</v>
      </c>
      <c r="AN65">
        <v>-0.32702517509460399</v>
      </c>
      <c r="AO65">
        <v>3.2800346612930298E-2</v>
      </c>
      <c r="AP65">
        <v>0.40057820081710799</v>
      </c>
      <c r="AQ65">
        <v>0</v>
      </c>
      <c r="AR65">
        <v>1.5</v>
      </c>
      <c r="AS65">
        <v>0</v>
      </c>
      <c r="AT65" t="s">
        <v>28</v>
      </c>
    </row>
    <row r="66" spans="5:47" x14ac:dyDescent="0.25">
      <c r="F66">
        <v>-1.6190472524613101E-3</v>
      </c>
      <c r="G66">
        <v>-0.15216569602489499</v>
      </c>
      <c r="H66">
        <v>-2.0947058219462598E-3</v>
      </c>
      <c r="I66">
        <v>-0.42657080292701699</v>
      </c>
      <c r="J66">
        <v>2.95922160148621E-3</v>
      </c>
      <c r="K66">
        <v>0.50341123342514005</v>
      </c>
      <c r="L66">
        <v>0</v>
      </c>
      <c r="M66">
        <v>0</v>
      </c>
      <c r="N66">
        <v>1</v>
      </c>
      <c r="O66" t="s">
        <v>30</v>
      </c>
      <c r="V66">
        <v>-1.1145805474370701E-3</v>
      </c>
      <c r="W66">
        <v>-0.14394843578338601</v>
      </c>
      <c r="X66">
        <v>-2.3165070451796098E-3</v>
      </c>
      <c r="Y66">
        <v>-0.403363257646561</v>
      </c>
      <c r="Z66">
        <v>4.0146335959434498E-4</v>
      </c>
      <c r="AA66">
        <v>0.47848188877105702</v>
      </c>
      <c r="AB66">
        <v>0</v>
      </c>
      <c r="AC66">
        <v>0</v>
      </c>
      <c r="AD66">
        <v>0.5</v>
      </c>
      <c r="AE66" t="s">
        <v>30</v>
      </c>
      <c r="AK66">
        <v>-1.9232693593949099E-3</v>
      </c>
      <c r="AL66">
        <v>-0.15593844652175901</v>
      </c>
      <c r="AM66">
        <v>-1.91514089237899E-3</v>
      </c>
      <c r="AN66">
        <v>-0.44053018093109098</v>
      </c>
      <c r="AO66">
        <v>4.4719297438859896E-3</v>
      </c>
      <c r="AP66">
        <v>0.51426047086715698</v>
      </c>
      <c r="AQ66">
        <v>0</v>
      </c>
      <c r="AR66">
        <v>0</v>
      </c>
      <c r="AS66">
        <v>1.5</v>
      </c>
      <c r="AT66" t="s">
        <v>30</v>
      </c>
    </row>
    <row r="67" spans="5:47" x14ac:dyDescent="0.25">
      <c r="E67" t="s">
        <v>29</v>
      </c>
      <c r="F67">
        <v>-2.5411224924027898E-3</v>
      </c>
      <c r="G67">
        <v>-0.16168536245822901</v>
      </c>
      <c r="H67">
        <v>-2.0260578021407101E-3</v>
      </c>
      <c r="I67">
        <v>-0.81751561164856001</v>
      </c>
      <c r="J67">
        <v>1.46271400153637E-2</v>
      </c>
      <c r="K67">
        <v>0.27560678124427801</v>
      </c>
      <c r="L67">
        <v>0</v>
      </c>
      <c r="M67">
        <v>0</v>
      </c>
      <c r="N67">
        <v>0</v>
      </c>
      <c r="O67" t="s">
        <v>28</v>
      </c>
      <c r="U67" t="s">
        <v>29</v>
      </c>
      <c r="V67">
        <v>-2.5411224924027898E-3</v>
      </c>
      <c r="W67">
        <v>-0.16168536245822901</v>
      </c>
      <c r="X67">
        <v>-2.0260578021407101E-3</v>
      </c>
      <c r="Y67">
        <v>-0.81751561164856001</v>
      </c>
      <c r="Z67">
        <v>1.46271400153637E-2</v>
      </c>
      <c r="AA67">
        <v>0.27560678124427801</v>
      </c>
      <c r="AB67">
        <v>0</v>
      </c>
      <c r="AC67">
        <v>0</v>
      </c>
      <c r="AD67">
        <v>0</v>
      </c>
      <c r="AE67" t="s">
        <v>28</v>
      </c>
      <c r="AJ67" t="s">
        <v>29</v>
      </c>
      <c r="AK67">
        <v>-2.5411224924027898E-3</v>
      </c>
      <c r="AL67">
        <v>-0.16168536245822901</v>
      </c>
      <c r="AM67">
        <v>-2.0260578021407101E-3</v>
      </c>
      <c r="AN67">
        <v>-0.81751561164856001</v>
      </c>
      <c r="AO67">
        <v>1.46271400153637E-2</v>
      </c>
      <c r="AP67">
        <v>0.27560678124427801</v>
      </c>
      <c r="AQ67">
        <v>0</v>
      </c>
      <c r="AR67">
        <v>0</v>
      </c>
      <c r="AS67">
        <v>0</v>
      </c>
      <c r="AT67" t="s">
        <v>28</v>
      </c>
    </row>
    <row r="68" spans="5:47" x14ac:dyDescent="0.25">
      <c r="F68">
        <v>2.7138160075992298E-3</v>
      </c>
      <c r="G68">
        <v>-0.148533850908279</v>
      </c>
      <c r="H68">
        <v>-4.7276630066335201E-3</v>
      </c>
      <c r="I68">
        <v>-0.74681681394577004</v>
      </c>
      <c r="J68">
        <v>-1.84046011418104E-2</v>
      </c>
      <c r="K68">
        <v>0.25869399309158297</v>
      </c>
      <c r="L68">
        <v>1</v>
      </c>
      <c r="M68">
        <v>0</v>
      </c>
      <c r="N68">
        <v>0</v>
      </c>
      <c r="O68" t="s">
        <v>28</v>
      </c>
      <c r="V68">
        <v>1.46241171751171E-3</v>
      </c>
      <c r="W68">
        <v>-0.15536318719387099</v>
      </c>
      <c r="X68">
        <v>-4.2329323478043097E-3</v>
      </c>
      <c r="Y68">
        <v>-0.78456133604049705</v>
      </c>
      <c r="Z68">
        <v>-1.03112626820803E-2</v>
      </c>
      <c r="AA68">
        <v>0.26781278848648099</v>
      </c>
      <c r="AB68">
        <v>0.5</v>
      </c>
      <c r="AC68">
        <v>0</v>
      </c>
      <c r="AD68">
        <v>0</v>
      </c>
      <c r="AE68" t="s">
        <v>28</v>
      </c>
      <c r="AK68">
        <v>6.6501293331384702E-3</v>
      </c>
      <c r="AL68">
        <v>-0.141125082969666</v>
      </c>
      <c r="AM68">
        <v>-6.8023344501852998E-3</v>
      </c>
      <c r="AN68">
        <v>-0.70799440145492598</v>
      </c>
      <c r="AO68">
        <v>-4.2970441281795502E-2</v>
      </c>
      <c r="AP68">
        <v>0.246537074446678</v>
      </c>
      <c r="AQ68">
        <v>1.5</v>
      </c>
      <c r="AR68">
        <v>0</v>
      </c>
      <c r="AS68">
        <v>0</v>
      </c>
      <c r="AT68" t="s">
        <v>28</v>
      </c>
    </row>
    <row r="69" spans="5:47" x14ac:dyDescent="0.25">
      <c r="F69">
        <v>-8.3056669682264293E-3</v>
      </c>
      <c r="G69">
        <v>-0.14515875279903401</v>
      </c>
      <c r="H69">
        <v>1.6626357100904001E-3</v>
      </c>
      <c r="I69">
        <v>-0.72912079095840499</v>
      </c>
      <c r="J69">
        <v>4.7625131905078902E-2</v>
      </c>
      <c r="K69">
        <v>0.255448818206787</v>
      </c>
      <c r="L69">
        <v>0</v>
      </c>
      <c r="M69">
        <v>1</v>
      </c>
      <c r="N69">
        <v>0</v>
      </c>
      <c r="O69" t="s">
        <v>28</v>
      </c>
      <c r="V69">
        <v>-5.4136812686920201E-3</v>
      </c>
      <c r="W69">
        <v>-0.15256731212139099</v>
      </c>
      <c r="X69">
        <v>-1.5825626906007501E-4</v>
      </c>
      <c r="Y69">
        <v>-0.76911365985870395</v>
      </c>
      <c r="Z69">
        <v>3.0860535800457001E-2</v>
      </c>
      <c r="AA69">
        <v>0.26559501886367798</v>
      </c>
      <c r="AB69">
        <v>0</v>
      </c>
      <c r="AC69">
        <v>0.5</v>
      </c>
      <c r="AD69">
        <v>0</v>
      </c>
      <c r="AE69" t="s">
        <v>28</v>
      </c>
      <c r="AK69">
        <v>-1.07948435470462E-2</v>
      </c>
      <c r="AL69">
        <v>-0.13919100165367099</v>
      </c>
      <c r="AM69">
        <v>3.1904897186905098E-3</v>
      </c>
      <c r="AN69">
        <v>-0.69485867023467995</v>
      </c>
      <c r="AO69">
        <v>6.2184780836105298E-2</v>
      </c>
      <c r="AP69">
        <v>0.246484830975533</v>
      </c>
      <c r="AQ69">
        <v>0</v>
      </c>
      <c r="AR69">
        <v>1.5</v>
      </c>
      <c r="AS69">
        <v>0</v>
      </c>
      <c r="AT69" t="s">
        <v>28</v>
      </c>
    </row>
    <row r="70" spans="5:47" x14ac:dyDescent="0.25">
      <c r="F70">
        <v>-3.82994743995368E-3</v>
      </c>
      <c r="G70">
        <v>-0.16439875960350001</v>
      </c>
      <c r="H70">
        <v>-1.33302470203489E-3</v>
      </c>
      <c r="I70">
        <v>-0.83642917871475198</v>
      </c>
      <c r="J70">
        <v>2.1142318844795199E-2</v>
      </c>
      <c r="K70">
        <v>0.275511234998703</v>
      </c>
      <c r="L70">
        <v>0</v>
      </c>
      <c r="M70">
        <v>0</v>
      </c>
      <c r="N70">
        <v>1</v>
      </c>
      <c r="O70" t="s">
        <v>30</v>
      </c>
      <c r="V70">
        <v>-3.1977551989257301E-3</v>
      </c>
      <c r="W70">
        <v>-0.159011796116829</v>
      </c>
      <c r="X70">
        <v>-1.5717856585979501E-3</v>
      </c>
      <c r="Y70">
        <v>-0.80537450313568104</v>
      </c>
      <c r="Z70">
        <v>1.7601598054170602E-2</v>
      </c>
      <c r="AA70">
        <v>0.27209404110908503</v>
      </c>
      <c r="AB70">
        <v>0</v>
      </c>
      <c r="AC70">
        <v>0</v>
      </c>
      <c r="AD70">
        <v>0.5</v>
      </c>
      <c r="AE70" t="s">
        <v>30</v>
      </c>
      <c r="AK70">
        <v>-4.4925482943654104E-3</v>
      </c>
      <c r="AL70">
        <v>-0.16697183251380901</v>
      </c>
      <c r="AM70">
        <v>-1.00167351774871E-3</v>
      </c>
      <c r="AN70">
        <v>-0.85121542215347301</v>
      </c>
      <c r="AO70">
        <v>2.4824842810630798E-2</v>
      </c>
      <c r="AP70">
        <v>0.27595856785774198</v>
      </c>
      <c r="AQ70">
        <v>0</v>
      </c>
      <c r="AR70">
        <v>0</v>
      </c>
      <c r="AS70">
        <v>1.5</v>
      </c>
      <c r="AT70" t="s">
        <v>30</v>
      </c>
    </row>
    <row r="71" spans="5:47" x14ac:dyDescent="0.25">
      <c r="E71" t="s">
        <v>29</v>
      </c>
      <c r="F71">
        <v>-7.7232124749571096E-4</v>
      </c>
      <c r="G71">
        <v>-7.1722365915775299E-2</v>
      </c>
      <c r="H71">
        <v>-7.8877643682062604E-4</v>
      </c>
      <c r="I71">
        <v>-0.14824971556663499</v>
      </c>
      <c r="J71">
        <v>-2.5316514074802399E-4</v>
      </c>
      <c r="K71">
        <v>0.21111465990543399</v>
      </c>
      <c r="L71">
        <v>0</v>
      </c>
      <c r="M71">
        <v>0</v>
      </c>
      <c r="N71">
        <v>0</v>
      </c>
      <c r="O71" t="s">
        <v>28</v>
      </c>
      <c r="U71" t="s">
        <v>29</v>
      </c>
      <c r="V71">
        <v>-7.7232124749571096E-4</v>
      </c>
      <c r="W71">
        <v>-7.1722365915775299E-2</v>
      </c>
      <c r="X71">
        <v>-7.8877643682062604E-4</v>
      </c>
      <c r="Y71">
        <v>-0.14824971556663499</v>
      </c>
      <c r="Z71">
        <v>-2.5316514074802399E-4</v>
      </c>
      <c r="AA71">
        <v>0.21111465990543399</v>
      </c>
      <c r="AB71">
        <v>0</v>
      </c>
      <c r="AC71">
        <v>0</v>
      </c>
      <c r="AD71">
        <v>0</v>
      </c>
      <c r="AE71" t="s">
        <v>28</v>
      </c>
      <c r="AJ71" t="s">
        <v>29</v>
      </c>
      <c r="AK71">
        <v>-7.7232124749571096E-4</v>
      </c>
      <c r="AL71">
        <v>-7.1722365915775299E-2</v>
      </c>
      <c r="AM71">
        <v>-7.8877643682062604E-4</v>
      </c>
      <c r="AN71">
        <v>-0.14824971556663499</v>
      </c>
      <c r="AO71">
        <v>-2.5316514074802399E-4</v>
      </c>
      <c r="AP71">
        <v>0.21111465990543399</v>
      </c>
      <c r="AQ71">
        <v>0</v>
      </c>
      <c r="AR71">
        <v>0</v>
      </c>
      <c r="AS71">
        <v>0</v>
      </c>
      <c r="AT71" t="s">
        <v>28</v>
      </c>
    </row>
    <row r="72" spans="5:47" x14ac:dyDescent="0.25">
      <c r="F72">
        <v>2.1917819976806602E-3</v>
      </c>
      <c r="G72">
        <v>-5.7274989783763899E-2</v>
      </c>
      <c r="H72">
        <v>-3.6934348754584798E-3</v>
      </c>
      <c r="I72">
        <v>-0.115169636905193</v>
      </c>
      <c r="J72">
        <v>-1.6218468546867398E-2</v>
      </c>
      <c r="K72">
        <v>0.169412106275558</v>
      </c>
      <c r="L72">
        <v>1</v>
      </c>
      <c r="M72">
        <v>0</v>
      </c>
      <c r="N72">
        <v>0</v>
      </c>
      <c r="O72" t="s">
        <v>28</v>
      </c>
      <c r="V72">
        <v>1.05093140155077E-3</v>
      </c>
      <c r="W72">
        <v>-6.5536044538021102E-2</v>
      </c>
      <c r="X72">
        <v>-2.6580682024359699E-3</v>
      </c>
      <c r="Y72">
        <v>-0.13425213098526001</v>
      </c>
      <c r="Z72">
        <v>-1.00293178111315E-2</v>
      </c>
      <c r="AA72">
        <v>0.19304402172565499</v>
      </c>
      <c r="AB72">
        <v>0.5</v>
      </c>
      <c r="AC72">
        <v>0</v>
      </c>
      <c r="AD72">
        <v>0</v>
      </c>
      <c r="AE72" t="s">
        <v>28</v>
      </c>
      <c r="AK72">
        <v>3.17871524021029E-3</v>
      </c>
      <c r="AL72">
        <v>-5.1783792674541501E-2</v>
      </c>
      <c r="AM72">
        <v>-4.5780707150697699E-3</v>
      </c>
      <c r="AN72">
        <v>-0.10228918492793999</v>
      </c>
      <c r="AO72">
        <v>-2.1232035011053099E-2</v>
      </c>
      <c r="AP72">
        <v>0.152965068817139</v>
      </c>
      <c r="AQ72">
        <v>1.5</v>
      </c>
      <c r="AR72">
        <v>0</v>
      </c>
      <c r="AS72">
        <v>0</v>
      </c>
      <c r="AT72" t="s">
        <v>28</v>
      </c>
    </row>
    <row r="73" spans="5:47" x14ac:dyDescent="0.25">
      <c r="F73">
        <v>-4.1306661441922196E-3</v>
      </c>
      <c r="G73">
        <v>-5.5268872529268299E-2</v>
      </c>
      <c r="H73">
        <v>3.15179536119103E-3</v>
      </c>
      <c r="I73">
        <v>-0.111157171428204</v>
      </c>
      <c r="J73">
        <v>1.7719671130180401E-2</v>
      </c>
      <c r="K73">
        <v>0.16463512182235701</v>
      </c>
      <c r="L73">
        <v>0</v>
      </c>
      <c r="M73">
        <v>1</v>
      </c>
      <c r="N73">
        <v>0</v>
      </c>
      <c r="O73" t="s">
        <v>28</v>
      </c>
      <c r="V73">
        <v>-2.48786807060242E-3</v>
      </c>
      <c r="W73">
        <v>-6.3641197979450198E-2</v>
      </c>
      <c r="X73">
        <v>1.2721515959128701E-3</v>
      </c>
      <c r="Y73">
        <v>-0.13072858750820199</v>
      </c>
      <c r="Z73">
        <v>8.9522618800401705E-3</v>
      </c>
      <c r="AA73">
        <v>0.18866416811943101</v>
      </c>
      <c r="AB73">
        <v>0</v>
      </c>
      <c r="AC73">
        <v>0.5</v>
      </c>
      <c r="AD73">
        <v>0</v>
      </c>
      <c r="AE73" t="s">
        <v>28</v>
      </c>
      <c r="AK73">
        <v>-5.4861800745129603E-3</v>
      </c>
      <c r="AL73">
        <v>-4.85849529504776E-2</v>
      </c>
      <c r="AM73">
        <v>4.6538817696273301E-3</v>
      </c>
      <c r="AN73">
        <v>-9.3798331916332203E-2</v>
      </c>
      <c r="AO73">
        <v>2.5386225432157499E-2</v>
      </c>
      <c r="AP73">
        <v>0.145915746688843</v>
      </c>
      <c r="AQ73">
        <v>0</v>
      </c>
      <c r="AR73">
        <v>1.5</v>
      </c>
      <c r="AS73">
        <v>0</v>
      </c>
      <c r="AT73" t="s">
        <v>28</v>
      </c>
    </row>
    <row r="74" spans="5:47" x14ac:dyDescent="0.25">
      <c r="F74">
        <v>-1.69308739714324E-3</v>
      </c>
      <c r="G74">
        <v>-8.5631921887397794E-2</v>
      </c>
      <c r="H74">
        <v>-4.7984158300096203E-5</v>
      </c>
      <c r="I74">
        <v>-0.18053941428661299</v>
      </c>
      <c r="J74">
        <v>4.4441134668886696E-3</v>
      </c>
      <c r="K74">
        <v>0.24911113083362599</v>
      </c>
      <c r="L74">
        <v>0</v>
      </c>
      <c r="M74">
        <v>0</v>
      </c>
      <c r="N74">
        <v>1</v>
      </c>
      <c r="O74" t="s">
        <v>30</v>
      </c>
      <c r="V74">
        <v>-1.32597866468132E-3</v>
      </c>
      <c r="W74">
        <v>-7.5712852180004106E-2</v>
      </c>
      <c r="X74">
        <v>-2.6658832211978701E-4</v>
      </c>
      <c r="Y74">
        <v>-0.15775524079799699</v>
      </c>
      <c r="Z74">
        <v>2.5443397462367998E-3</v>
      </c>
      <c r="AA74">
        <v>0.22141568362712899</v>
      </c>
      <c r="AB74">
        <v>0</v>
      </c>
      <c r="AC74">
        <v>0</v>
      </c>
      <c r="AD74">
        <v>0.5</v>
      </c>
      <c r="AE74" t="s">
        <v>30</v>
      </c>
      <c r="AK74">
        <v>-1.8705746624618799E-3</v>
      </c>
      <c r="AL74">
        <v>-9.3108184635639205E-2</v>
      </c>
      <c r="AM74">
        <v>-4.7786666982574402E-5</v>
      </c>
      <c r="AN74">
        <v>-0.19535920023918199</v>
      </c>
      <c r="AO74">
        <v>4.5425584539771097E-3</v>
      </c>
      <c r="AP74">
        <v>0.27073013782501198</v>
      </c>
      <c r="AQ74">
        <v>0</v>
      </c>
      <c r="AR74">
        <v>0</v>
      </c>
      <c r="AS74">
        <v>1.5</v>
      </c>
      <c r="AT74" t="s">
        <v>30</v>
      </c>
    </row>
    <row r="75" spans="5:47" x14ac:dyDescent="0.25">
      <c r="E75" t="s">
        <v>29</v>
      </c>
      <c r="F75">
        <v>-1.37498124968261E-3</v>
      </c>
      <c r="G75">
        <v>-0.13238599896431</v>
      </c>
      <c r="H75">
        <v>-1.95983843877912E-3</v>
      </c>
      <c r="I75">
        <v>-0.64118611812591597</v>
      </c>
      <c r="J75">
        <v>9.5805265009403194E-3</v>
      </c>
      <c r="K75">
        <v>0.17886316776275599</v>
      </c>
      <c r="L75">
        <v>0</v>
      </c>
      <c r="M75">
        <v>0</v>
      </c>
      <c r="N75">
        <v>0</v>
      </c>
      <c r="O75" t="s">
        <v>28</v>
      </c>
      <c r="U75" t="s">
        <v>29</v>
      </c>
      <c r="V75">
        <v>-1.37498124968261E-3</v>
      </c>
      <c r="W75">
        <v>-0.13238599896431</v>
      </c>
      <c r="X75">
        <v>-1.95983843877912E-3</v>
      </c>
      <c r="Y75">
        <v>-0.64118611812591597</v>
      </c>
      <c r="Z75">
        <v>9.5805265009403194E-3</v>
      </c>
      <c r="AA75">
        <v>0.17886316776275599</v>
      </c>
      <c r="AB75">
        <v>0</v>
      </c>
      <c r="AC75">
        <v>0</v>
      </c>
      <c r="AD75">
        <v>0</v>
      </c>
      <c r="AE75" t="s">
        <v>28</v>
      </c>
      <c r="AJ75" t="s">
        <v>29</v>
      </c>
      <c r="AK75">
        <v>-1.37498124968261E-3</v>
      </c>
      <c r="AL75">
        <v>-0.13238599896431</v>
      </c>
      <c r="AM75">
        <v>-1.95983843877912E-3</v>
      </c>
      <c r="AN75">
        <v>-0.64118611812591597</v>
      </c>
      <c r="AO75">
        <v>9.5805265009403194E-3</v>
      </c>
      <c r="AP75">
        <v>0.17886316776275599</v>
      </c>
      <c r="AQ75">
        <v>0</v>
      </c>
      <c r="AR75">
        <v>0</v>
      </c>
      <c r="AS75">
        <v>0</v>
      </c>
      <c r="AT75" t="s">
        <v>28</v>
      </c>
    </row>
    <row r="76" spans="5:47" x14ac:dyDescent="0.25">
      <c r="F76">
        <v>4.5564956963062304E-3</v>
      </c>
      <c r="G76">
        <v>-0.11865180730819699</v>
      </c>
      <c r="H76">
        <v>-5.4197912104427797E-3</v>
      </c>
      <c r="I76">
        <v>-0.57230144739151001</v>
      </c>
      <c r="J76">
        <v>-2.49174889177084E-2</v>
      </c>
      <c r="K76">
        <v>0.16460032761096999</v>
      </c>
      <c r="L76">
        <v>1</v>
      </c>
      <c r="M76">
        <v>0</v>
      </c>
      <c r="N76">
        <v>0</v>
      </c>
      <c r="O76" t="s">
        <v>28</v>
      </c>
      <c r="V76">
        <v>2.7742243837565201E-3</v>
      </c>
      <c r="W76">
        <v>-0.12640069425105999</v>
      </c>
      <c r="X76">
        <v>-4.4926148839294902E-3</v>
      </c>
      <c r="Y76">
        <v>-0.611619472503662</v>
      </c>
      <c r="Z76">
        <v>-1.3764277100563001E-2</v>
      </c>
      <c r="AA76">
        <v>0.17358303070068401</v>
      </c>
      <c r="AB76">
        <v>0.5</v>
      </c>
      <c r="AC76">
        <v>0</v>
      </c>
      <c r="AD76">
        <v>0</v>
      </c>
      <c r="AE76" t="s">
        <v>28</v>
      </c>
      <c r="AK76">
        <v>7.9446360468864406E-3</v>
      </c>
      <c r="AL76">
        <v>-0.113316208124161</v>
      </c>
      <c r="AM76">
        <v>-7.4667437002062798E-3</v>
      </c>
      <c r="AN76">
        <v>-0.542594313621521</v>
      </c>
      <c r="AO76">
        <v>-4.4946841895580299E-2</v>
      </c>
      <c r="AP76">
        <v>0.15858340263366699</v>
      </c>
      <c r="AQ76">
        <v>1.5</v>
      </c>
      <c r="AR76">
        <v>0</v>
      </c>
      <c r="AS76">
        <v>0</v>
      </c>
      <c r="AT76" t="s">
        <v>28</v>
      </c>
    </row>
    <row r="77" spans="5:47" x14ac:dyDescent="0.25">
      <c r="F77">
        <v>-8.2255862653255497E-3</v>
      </c>
      <c r="G77">
        <v>-0.116225816309452</v>
      </c>
      <c r="H77">
        <v>2.8010047972202301E-3</v>
      </c>
      <c r="I77">
        <v>-0.55895280838012695</v>
      </c>
      <c r="J77">
        <v>4.7850877046585097E-2</v>
      </c>
      <c r="K77">
        <v>0.16345152258873</v>
      </c>
      <c r="L77">
        <v>0</v>
      </c>
      <c r="M77">
        <v>1</v>
      </c>
      <c r="N77">
        <v>0</v>
      </c>
      <c r="O77" t="s">
        <v>28</v>
      </c>
      <c r="V77">
        <v>-4.7706048935651797E-3</v>
      </c>
      <c r="W77">
        <v>-0.123556599020958</v>
      </c>
      <c r="X77">
        <v>4.5674253487959499E-4</v>
      </c>
      <c r="Y77">
        <v>-0.59595751762390103</v>
      </c>
      <c r="Z77">
        <v>2.8639040887355801E-2</v>
      </c>
      <c r="AA77">
        <v>0.170791536569595</v>
      </c>
      <c r="AB77">
        <v>0</v>
      </c>
      <c r="AC77">
        <v>0.5</v>
      </c>
      <c r="AD77">
        <v>0</v>
      </c>
      <c r="AE77" t="s">
        <v>28</v>
      </c>
      <c r="AK77">
        <v>-1.1559015139937401E-2</v>
      </c>
      <c r="AL77">
        <v>-0.109470695257187</v>
      </c>
      <c r="AM77">
        <v>5.0527956336736696E-3</v>
      </c>
      <c r="AN77">
        <v>-0.52169811725616499</v>
      </c>
      <c r="AO77">
        <v>6.6477552056312603E-2</v>
      </c>
      <c r="AP77">
        <v>0.15672400593757599</v>
      </c>
      <c r="AQ77">
        <v>0</v>
      </c>
      <c r="AR77">
        <v>1.5</v>
      </c>
      <c r="AS77">
        <v>0</v>
      </c>
      <c r="AT77" t="s">
        <v>28</v>
      </c>
    </row>
    <row r="78" spans="5:47" x14ac:dyDescent="0.25">
      <c r="F78">
        <v>-2.96032964251935E-3</v>
      </c>
      <c r="G78">
        <v>-0.13688300549984</v>
      </c>
      <c r="H78">
        <v>-1.02491653524339E-3</v>
      </c>
      <c r="I78">
        <v>-0.67123001813888605</v>
      </c>
      <c r="J78">
        <v>1.8216177821159401E-2</v>
      </c>
      <c r="K78">
        <v>0.17770855128765101</v>
      </c>
      <c r="L78">
        <v>0</v>
      </c>
      <c r="M78">
        <v>0</v>
      </c>
      <c r="N78">
        <v>1</v>
      </c>
      <c r="O78" t="s">
        <v>30</v>
      </c>
      <c r="P78" t="s">
        <v>38</v>
      </c>
      <c r="V78">
        <v>-2.6656663976609698E-3</v>
      </c>
      <c r="W78">
        <v>-0.13127295672893499</v>
      </c>
      <c r="X78">
        <v>-1.0825206991285101E-3</v>
      </c>
      <c r="Y78">
        <v>-0.63895452022552501</v>
      </c>
      <c r="Z78">
        <v>1.65862292051315E-2</v>
      </c>
      <c r="AA78">
        <v>0.175496116280556</v>
      </c>
      <c r="AB78">
        <v>0</v>
      </c>
      <c r="AC78">
        <v>0</v>
      </c>
      <c r="AD78">
        <v>0.5</v>
      </c>
      <c r="AE78" t="s">
        <v>30</v>
      </c>
      <c r="AF78" t="s">
        <v>38</v>
      </c>
      <c r="AK78">
        <v>-3.5072604659944799E-3</v>
      </c>
      <c r="AL78">
        <v>-0.14035674929618799</v>
      </c>
      <c r="AM78">
        <v>-7.3918880661949505E-4</v>
      </c>
      <c r="AN78">
        <v>-0.69194203615188599</v>
      </c>
      <c r="AO78">
        <v>2.1200090646743799E-2</v>
      </c>
      <c r="AP78">
        <v>0.17866499722003901</v>
      </c>
      <c r="AQ78">
        <v>0</v>
      </c>
      <c r="AR78">
        <v>0</v>
      </c>
      <c r="AS78">
        <v>1.5</v>
      </c>
      <c r="AT78" t="s">
        <v>30</v>
      </c>
      <c r="AU78" t="s">
        <v>38</v>
      </c>
    </row>
    <row r="82" spans="20:32" x14ac:dyDescent="0.25">
      <c r="T82" t="s">
        <v>37</v>
      </c>
      <c r="U82" t="s">
        <v>29</v>
      </c>
      <c r="V82">
        <v>-4.37921960838139E-4</v>
      </c>
      <c r="W82">
        <v>-5.4464954882860198E-2</v>
      </c>
      <c r="X82">
        <v>-2.8745096642523999E-4</v>
      </c>
      <c r="Y82">
        <v>-2.13129706680775E-2</v>
      </c>
      <c r="Z82">
        <v>1.85158103704453E-4</v>
      </c>
      <c r="AA82">
        <v>0.34822303056716902</v>
      </c>
      <c r="AB82">
        <v>0</v>
      </c>
      <c r="AC82">
        <v>0</v>
      </c>
      <c r="AD82">
        <v>0</v>
      </c>
      <c r="AE82" t="s">
        <v>30</v>
      </c>
    </row>
    <row r="83" spans="20:32" x14ac:dyDescent="0.25">
      <c r="U83" t="s">
        <v>29</v>
      </c>
      <c r="V83">
        <v>-1.2904058676213E-3</v>
      </c>
      <c r="W83">
        <v>-0.130890563130379</v>
      </c>
      <c r="X83">
        <v>-5.0724833272397496E-4</v>
      </c>
      <c r="Y83">
        <v>-0.12710034847259499</v>
      </c>
      <c r="Z83">
        <v>3.3702701330184902E-3</v>
      </c>
      <c r="AA83">
        <v>0.83409011363983199</v>
      </c>
      <c r="AB83">
        <v>0</v>
      </c>
      <c r="AC83">
        <v>0</v>
      </c>
      <c r="AD83">
        <v>0</v>
      </c>
      <c r="AE83" t="s">
        <v>30</v>
      </c>
    </row>
    <row r="84" spans="20:32" x14ac:dyDescent="0.25">
      <c r="U84" t="s">
        <v>29</v>
      </c>
      <c r="V84">
        <v>-4.4532003812491899E-4</v>
      </c>
      <c r="W84">
        <v>-4.79050725698471E-2</v>
      </c>
      <c r="X84">
        <v>-1.45487196277827E-4</v>
      </c>
      <c r="Y84">
        <v>-1.52218556031585E-2</v>
      </c>
      <c r="Z84">
        <v>-1.61819159984589E-4</v>
      </c>
      <c r="AA84">
        <v>0.269099742174149</v>
      </c>
      <c r="AB84">
        <v>0</v>
      </c>
      <c r="AC84">
        <v>0</v>
      </c>
      <c r="AD84">
        <v>0</v>
      </c>
      <c r="AE84" t="s">
        <v>30</v>
      </c>
    </row>
    <row r="85" spans="20:32" x14ac:dyDescent="0.25">
      <c r="U85" t="s">
        <v>29</v>
      </c>
      <c r="V85">
        <v>-1.1705639772117101E-3</v>
      </c>
      <c r="W85">
        <v>-9.4456188380718203E-2</v>
      </c>
      <c r="X85">
        <v>-1.20323454029858E-3</v>
      </c>
      <c r="Y85">
        <v>-0.111187651753426</v>
      </c>
      <c r="Z85">
        <v>-3.2553412020206499E-3</v>
      </c>
      <c r="AA85">
        <v>0.47075057029724099</v>
      </c>
      <c r="AB85">
        <v>0</v>
      </c>
      <c r="AC85">
        <v>0</v>
      </c>
      <c r="AD85">
        <v>0</v>
      </c>
      <c r="AE85" t="s">
        <v>30</v>
      </c>
    </row>
    <row r="86" spans="20:32" x14ac:dyDescent="0.25">
      <c r="U86" t="s">
        <v>29</v>
      </c>
      <c r="V86">
        <v>-1.5179968904703901E-3</v>
      </c>
      <c r="W86">
        <v>-0.13914526998996701</v>
      </c>
      <c r="X86">
        <v>-1.6895274166017799E-3</v>
      </c>
      <c r="Y86">
        <v>-0.208347618579865</v>
      </c>
      <c r="Z86">
        <v>-2.6145353913307199E-3</v>
      </c>
      <c r="AA86">
        <v>0.69233715534210205</v>
      </c>
      <c r="AB86">
        <v>0</v>
      </c>
      <c r="AC86">
        <v>0</v>
      </c>
      <c r="AD86">
        <v>0</v>
      </c>
      <c r="AE86" t="s">
        <v>30</v>
      </c>
    </row>
    <row r="87" spans="20:32" x14ac:dyDescent="0.25">
      <c r="U87" t="s">
        <v>29</v>
      </c>
      <c r="V87">
        <v>-6.0909817693754998E-4</v>
      </c>
      <c r="W87">
        <v>-9.3464262783527402E-2</v>
      </c>
      <c r="X87">
        <v>-1.42273562960327E-3</v>
      </c>
      <c r="Y87">
        <v>-0.183252438902855</v>
      </c>
      <c r="Z87">
        <v>-1.30194798111916E-3</v>
      </c>
      <c r="AA87">
        <v>0.33158546686172502</v>
      </c>
      <c r="AB87">
        <v>0</v>
      </c>
      <c r="AC87">
        <v>0</v>
      </c>
      <c r="AD87">
        <v>0</v>
      </c>
      <c r="AE87" t="s">
        <v>30</v>
      </c>
    </row>
    <row r="88" spans="20:32" x14ac:dyDescent="0.25">
      <c r="U88" t="s">
        <v>29</v>
      </c>
      <c r="V88">
        <v>-8.4166455781087301E-4</v>
      </c>
      <c r="W88">
        <v>-0.141347721219063</v>
      </c>
      <c r="X88">
        <v>-2.4875707458704701E-3</v>
      </c>
      <c r="Y88">
        <v>-0.39468729496002197</v>
      </c>
      <c r="Z88">
        <v>-9.2538818717002901E-4</v>
      </c>
      <c r="AA88">
        <v>0.469948559999466</v>
      </c>
      <c r="AB88">
        <v>0</v>
      </c>
      <c r="AC88">
        <v>0</v>
      </c>
      <c r="AD88">
        <v>0</v>
      </c>
      <c r="AE88" t="s">
        <v>30</v>
      </c>
    </row>
    <row r="89" spans="20:32" x14ac:dyDescent="0.25">
      <c r="U89" t="s">
        <v>29</v>
      </c>
      <c r="V89">
        <v>-2.5411224924027898E-3</v>
      </c>
      <c r="W89">
        <v>-0.16168536245822901</v>
      </c>
      <c r="X89">
        <v>-2.0260578021407101E-3</v>
      </c>
      <c r="Y89">
        <v>-0.81751561164856001</v>
      </c>
      <c r="Z89">
        <v>1.46271400153637E-2</v>
      </c>
      <c r="AA89">
        <v>0.27560678124427801</v>
      </c>
      <c r="AB89">
        <v>0</v>
      </c>
      <c r="AC89">
        <v>0</v>
      </c>
      <c r="AD89">
        <v>0</v>
      </c>
      <c r="AE89" t="s">
        <v>30</v>
      </c>
    </row>
    <row r="90" spans="20:32" x14ac:dyDescent="0.25">
      <c r="U90" t="s">
        <v>29</v>
      </c>
      <c r="V90">
        <v>-7.7232124749571096E-4</v>
      </c>
      <c r="W90">
        <v>-7.1722365915775299E-2</v>
      </c>
      <c r="X90">
        <v>-7.8877643682062604E-4</v>
      </c>
      <c r="Y90">
        <v>-0.14824971556663499</v>
      </c>
      <c r="Z90">
        <v>-2.5316514074802399E-4</v>
      </c>
      <c r="AA90">
        <v>0.21111465990543399</v>
      </c>
      <c r="AB90">
        <v>0</v>
      </c>
      <c r="AC90">
        <v>0</v>
      </c>
      <c r="AD90">
        <v>0</v>
      </c>
      <c r="AE90" t="s">
        <v>30</v>
      </c>
    </row>
    <row r="91" spans="20:32" x14ac:dyDescent="0.25">
      <c r="U91" t="s">
        <v>29</v>
      </c>
      <c r="V91">
        <v>-1.37498124968261E-3</v>
      </c>
      <c r="W91">
        <v>-0.13238599896431</v>
      </c>
      <c r="X91">
        <v>-1.95983843877912E-3</v>
      </c>
      <c r="Y91">
        <v>-0.64118611812591597</v>
      </c>
      <c r="Z91">
        <v>9.5805265009403194E-3</v>
      </c>
      <c r="AA91">
        <v>0.17886316776275599</v>
      </c>
      <c r="AB91">
        <v>0</v>
      </c>
      <c r="AC91">
        <v>0</v>
      </c>
      <c r="AD91">
        <v>0</v>
      </c>
      <c r="AE91" t="s">
        <v>30</v>
      </c>
      <c r="AF91" t="s">
        <v>38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08a9f8ec-165a-4165-a8e9-ed45c2de7bcb"/>
    <ds:schemaRef ds:uri="c2b20bf0-79f3-4559-a8ab-bcb74dcd8cd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Proximal Validation</vt:lpstr>
      <vt:lpstr>Distal Vali (0N perturb)</vt:lpstr>
      <vt:lpstr>Distal Vali (0N pert 6prox)</vt:lpstr>
      <vt:lpstr>Distal Vali (0.5N perturb)</vt:lpstr>
      <vt:lpstr>Distal Vali (1N perturb)</vt:lpstr>
      <vt:lpstr>Distal Vali (1.5N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2025-11-10T03:57:38Z</cp:lastPrinted>
  <dcterms:created xsi:type="dcterms:W3CDTF">2025-08-20T18:12:27Z</dcterms:created>
  <dcterms:modified xsi:type="dcterms:W3CDTF">2025-11-20T19:32:47Z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