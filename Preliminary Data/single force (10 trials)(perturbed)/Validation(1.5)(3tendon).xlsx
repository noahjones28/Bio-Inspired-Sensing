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Raw Data/single force (10 trials)(perturbed)/"/>
    </mc:Choice>
  </mc:AlternateContent>
  <xr:revisionPtr revIDLastSave="4428" documentId="8_{DFFD6B0C-681F-42C8-B2E4-5D4B90AAE966}" xr6:coauthVersionLast="47" xr6:coauthVersionMax="47" xr10:uidLastSave="{B12FD8B5-FF71-4148-BC86-6916C5D9D8B7}"/>
  <bookViews>
    <workbookView xWindow="-120" yWindow="-120" windowWidth="29040" windowHeight="15720" firstSheet="2" activeTab="2" xr2:uid="{3D16C37F-3C74-4527-A308-796C339DFE9F}"/>
  </bookViews>
  <sheets>
    <sheet name="Proximal Validation" sheetId="12" r:id="rId1"/>
    <sheet name="Distal Vali (0N perturb)" sheetId="37" r:id="rId2"/>
    <sheet name="Distal Vali (0N pert 6 prox)" sheetId="40" r:id="rId3"/>
    <sheet name="Distal Vali (0.5N perturb)" sheetId="19" r:id="rId4"/>
    <sheet name="Distal Vali (1N perturb)" sheetId="38" r:id="rId5"/>
    <sheet name="Distal Vali (1.5N perturb)" sheetId="39" r:id="rId6"/>
    <sheet name="Conversion" sheetId="4" r:id="rId7"/>
    <sheet name="Sheet5" sheetId="3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40" l="1" a="1"/>
  <c r="X4" i="40"/>
  <c r="Y4" i="40" a="1"/>
  <c r="Y4" i="40"/>
  <c r="W4" i="40" a="1"/>
  <c r="W4" i="40" s="1"/>
  <c r="L12" i="40"/>
  <c r="K12" i="40"/>
  <c r="J12" i="40"/>
  <c r="I12" i="40"/>
  <c r="H12" i="40"/>
  <c r="G12" i="40"/>
  <c r="F12" i="40"/>
  <c r="E12" i="40"/>
  <c r="D12" i="40"/>
  <c r="C12" i="40"/>
  <c r="S12" i="40" s="1"/>
  <c r="V12" i="40" s="1"/>
  <c r="B12" i="40"/>
  <c r="R12" i="40" s="1"/>
  <c r="U12" i="40" s="1"/>
  <c r="A12" i="40"/>
  <c r="Q12" i="40" s="1"/>
  <c r="T12" i="40" s="1"/>
  <c r="Q11" i="40"/>
  <c r="T11" i="40" s="1"/>
  <c r="L11" i="40"/>
  <c r="K11" i="40"/>
  <c r="J11" i="40"/>
  <c r="I11" i="40"/>
  <c r="H11" i="40"/>
  <c r="G11" i="40"/>
  <c r="F11" i="40"/>
  <c r="E11" i="40"/>
  <c r="D11" i="40"/>
  <c r="C11" i="40"/>
  <c r="S11" i="40" s="1"/>
  <c r="V11" i="40" s="1"/>
  <c r="B11" i="40"/>
  <c r="R11" i="40" s="1"/>
  <c r="U11" i="40" s="1"/>
  <c r="A11" i="40"/>
  <c r="L10" i="40"/>
  <c r="K10" i="40"/>
  <c r="J10" i="40"/>
  <c r="I10" i="40"/>
  <c r="H10" i="40"/>
  <c r="G10" i="40"/>
  <c r="F10" i="40"/>
  <c r="E10" i="40"/>
  <c r="D10" i="40"/>
  <c r="C10" i="40"/>
  <c r="S10" i="40" s="1"/>
  <c r="V10" i="40" s="1"/>
  <c r="B10" i="40"/>
  <c r="R10" i="40" s="1"/>
  <c r="U10" i="40" s="1"/>
  <c r="A10" i="40"/>
  <c r="Q10" i="40" s="1"/>
  <c r="T10" i="40" s="1"/>
  <c r="L9" i="40"/>
  <c r="K9" i="40"/>
  <c r="J9" i="40"/>
  <c r="I9" i="40"/>
  <c r="H9" i="40"/>
  <c r="G9" i="40"/>
  <c r="F9" i="40"/>
  <c r="E9" i="40"/>
  <c r="D9" i="40"/>
  <c r="C9" i="40"/>
  <c r="S9" i="40" s="1"/>
  <c r="V9" i="40" s="1"/>
  <c r="B9" i="40"/>
  <c r="R9" i="40" s="1"/>
  <c r="U9" i="40" s="1"/>
  <c r="A9" i="40"/>
  <c r="Q9" i="40" s="1"/>
  <c r="T9" i="40" s="1"/>
  <c r="L8" i="40"/>
  <c r="K8" i="40"/>
  <c r="J8" i="40"/>
  <c r="I8" i="40"/>
  <c r="H8" i="40"/>
  <c r="G8" i="40"/>
  <c r="F8" i="40"/>
  <c r="E8" i="40"/>
  <c r="D8" i="40"/>
  <c r="C8" i="40"/>
  <c r="S8" i="40" s="1"/>
  <c r="V8" i="40" s="1"/>
  <c r="B8" i="40"/>
  <c r="R8" i="40" s="1"/>
  <c r="U8" i="40" s="1"/>
  <c r="A8" i="40"/>
  <c r="Q8" i="40" s="1"/>
  <c r="T8" i="40" s="1"/>
  <c r="L7" i="40"/>
  <c r="K7" i="40"/>
  <c r="J7" i="40"/>
  <c r="I7" i="40"/>
  <c r="H7" i="40"/>
  <c r="G7" i="40"/>
  <c r="F7" i="40"/>
  <c r="E7" i="40"/>
  <c r="D7" i="40"/>
  <c r="C7" i="40"/>
  <c r="S7" i="40" s="1"/>
  <c r="V7" i="40" s="1"/>
  <c r="B7" i="40"/>
  <c r="R7" i="40" s="1"/>
  <c r="U7" i="40" s="1"/>
  <c r="A7" i="40"/>
  <c r="Q7" i="40" s="1"/>
  <c r="T7" i="40" s="1"/>
  <c r="L6" i="40"/>
  <c r="K6" i="40"/>
  <c r="J6" i="40"/>
  <c r="I6" i="40"/>
  <c r="H6" i="40"/>
  <c r="G6" i="40"/>
  <c r="F6" i="40"/>
  <c r="E6" i="40"/>
  <c r="D6" i="40"/>
  <c r="C6" i="40"/>
  <c r="S6" i="40" s="1"/>
  <c r="V6" i="40" s="1"/>
  <c r="B6" i="40"/>
  <c r="R6" i="40" s="1"/>
  <c r="U6" i="40" s="1"/>
  <c r="A6" i="40"/>
  <c r="Q6" i="40" s="1"/>
  <c r="T6" i="40" s="1"/>
  <c r="Q5" i="40"/>
  <c r="T5" i="40" s="1"/>
  <c r="L5" i="40"/>
  <c r="K5" i="40"/>
  <c r="J5" i="40"/>
  <c r="I5" i="40"/>
  <c r="H5" i="40"/>
  <c r="G5" i="40"/>
  <c r="F5" i="40"/>
  <c r="E5" i="40"/>
  <c r="D5" i="40"/>
  <c r="C5" i="40"/>
  <c r="S5" i="40" s="1"/>
  <c r="V5" i="40" s="1"/>
  <c r="B5" i="40"/>
  <c r="R5" i="40" s="1"/>
  <c r="U5" i="40" s="1"/>
  <c r="A5" i="40"/>
  <c r="R4" i="40"/>
  <c r="U4" i="40" s="1"/>
  <c r="L4" i="40"/>
  <c r="K4" i="40"/>
  <c r="J4" i="40"/>
  <c r="I4" i="40"/>
  <c r="H4" i="40"/>
  <c r="G4" i="40"/>
  <c r="F4" i="40"/>
  <c r="E4" i="40"/>
  <c r="D4" i="40"/>
  <c r="C4" i="40"/>
  <c r="S4" i="40" s="1"/>
  <c r="V4" i="40" s="1"/>
  <c r="B4" i="40"/>
  <c r="A4" i="40"/>
  <c r="Q4" i="40" s="1"/>
  <c r="T4" i="40" s="1"/>
  <c r="L3" i="40"/>
  <c r="K3" i="40"/>
  <c r="J3" i="40"/>
  <c r="I3" i="40"/>
  <c r="H3" i="40"/>
  <c r="G3" i="40"/>
  <c r="F3" i="40"/>
  <c r="E3" i="40"/>
  <c r="D3" i="40"/>
  <c r="C3" i="40"/>
  <c r="S3" i="40" s="1"/>
  <c r="B3" i="40"/>
  <c r="R3" i="40" s="1"/>
  <c r="A3" i="40"/>
  <c r="Q3" i="40" s="1"/>
  <c r="Q28" i="39"/>
  <c r="R28" i="39"/>
  <c r="S28" i="39"/>
  <c r="V28" i="39" s="1"/>
  <c r="Q29" i="39"/>
  <c r="T29" i="39" s="1"/>
  <c r="R29" i="39"/>
  <c r="U29" i="39" s="1"/>
  <c r="S29" i="39"/>
  <c r="V29" i="39" s="1"/>
  <c r="Q30" i="39"/>
  <c r="R30" i="39"/>
  <c r="S30" i="39"/>
  <c r="Q31" i="39"/>
  <c r="R31" i="39"/>
  <c r="U31" i="39" s="1"/>
  <c r="S31" i="39"/>
  <c r="Q32" i="39"/>
  <c r="T32" i="39" s="1"/>
  <c r="R32" i="39"/>
  <c r="S32" i="39"/>
  <c r="V32" i="39" s="1"/>
  <c r="Q33" i="39"/>
  <c r="R33" i="39"/>
  <c r="U33" i="39" s="1"/>
  <c r="S33" i="39"/>
  <c r="V33" i="39" s="1"/>
  <c r="Q34" i="39"/>
  <c r="T34" i="39" s="1"/>
  <c r="R34" i="39"/>
  <c r="U34" i="39" s="1"/>
  <c r="S34" i="39"/>
  <c r="V34" i="39" s="1"/>
  <c r="Q35" i="39"/>
  <c r="T35" i="39" s="1"/>
  <c r="R35" i="39"/>
  <c r="U35" i="39" s="1"/>
  <c r="S35" i="39"/>
  <c r="V35" i="39" s="1"/>
  <c r="Q36" i="39"/>
  <c r="T36" i="39" s="1"/>
  <c r="R36" i="39"/>
  <c r="S36" i="39"/>
  <c r="V36" i="39" s="1"/>
  <c r="R27" i="39"/>
  <c r="U27" i="39" s="1"/>
  <c r="S27" i="39"/>
  <c r="V27" i="39" s="1"/>
  <c r="Q27" i="39"/>
  <c r="T27" i="39" s="1"/>
  <c r="Q16" i="39"/>
  <c r="T16" i="39" s="1"/>
  <c r="R16" i="39"/>
  <c r="S16" i="39"/>
  <c r="Q17" i="39"/>
  <c r="T17" i="39" s="1"/>
  <c r="R17" i="39"/>
  <c r="S17" i="39"/>
  <c r="Q18" i="39"/>
  <c r="T18" i="39" s="1"/>
  <c r="R18" i="39"/>
  <c r="U18" i="39" s="1"/>
  <c r="S18" i="39"/>
  <c r="Q19" i="39"/>
  <c r="R19" i="39"/>
  <c r="S19" i="39"/>
  <c r="V19" i="39" s="1"/>
  <c r="Q20" i="39"/>
  <c r="T20" i="39" s="1"/>
  <c r="R20" i="39"/>
  <c r="U20" i="39" s="1"/>
  <c r="S20" i="39"/>
  <c r="Q21" i="39"/>
  <c r="T21" i="39" s="1"/>
  <c r="R21" i="39"/>
  <c r="U21" i="39" s="1"/>
  <c r="S21" i="39"/>
  <c r="V21" i="39" s="1"/>
  <c r="Q22" i="39"/>
  <c r="T22" i="39" s="1"/>
  <c r="R22" i="39"/>
  <c r="U22" i="39" s="1"/>
  <c r="S22" i="39"/>
  <c r="Q23" i="39"/>
  <c r="R23" i="39"/>
  <c r="U23" i="39" s="1"/>
  <c r="S23" i="39"/>
  <c r="V23" i="39" s="1"/>
  <c r="Q24" i="39"/>
  <c r="T24" i="39" s="1"/>
  <c r="R24" i="39"/>
  <c r="S24" i="39"/>
  <c r="V24" i="39" s="1"/>
  <c r="R15" i="39"/>
  <c r="U15" i="39" s="1"/>
  <c r="S15" i="39"/>
  <c r="V15" i="39" s="1"/>
  <c r="Q15" i="39"/>
  <c r="T15" i="39" s="1"/>
  <c r="U36" i="39"/>
  <c r="T33" i="39"/>
  <c r="U32" i="39"/>
  <c r="V30" i="39"/>
  <c r="T30" i="39"/>
  <c r="U30" i="39"/>
  <c r="U28" i="39"/>
  <c r="T28" i="39"/>
  <c r="U24" i="39"/>
  <c r="T23" i="39"/>
  <c r="V22" i="39"/>
  <c r="V20" i="39"/>
  <c r="T19" i="39"/>
  <c r="U19" i="39"/>
  <c r="V18" i="39"/>
  <c r="V17" i="39"/>
  <c r="U17" i="39"/>
  <c r="V16" i="39"/>
  <c r="U16" i="39"/>
  <c r="AA4" i="38"/>
  <c r="AQ4" i="38" s="1"/>
  <c r="AB4" i="38"/>
  <c r="AR4" i="38" s="1"/>
  <c r="AC4" i="38"/>
  <c r="AD4" i="38"/>
  <c r="AE4" i="38"/>
  <c r="AF4" i="38"/>
  <c r="AG4" i="38"/>
  <c r="AH4" i="38"/>
  <c r="AI4" i="38"/>
  <c r="AJ4" i="38"/>
  <c r="AK4" i="38"/>
  <c r="AL4" i="38"/>
  <c r="AA5" i="38"/>
  <c r="AQ5" i="38" s="1"/>
  <c r="AT5" i="38" s="1"/>
  <c r="AB5" i="38"/>
  <c r="AC5" i="38"/>
  <c r="AD5" i="38"/>
  <c r="AE5" i="38"/>
  <c r="AF5" i="38"/>
  <c r="AG5" i="38"/>
  <c r="AH5" i="38"/>
  <c r="AI5" i="38"/>
  <c r="AJ5" i="38"/>
  <c r="AK5" i="38"/>
  <c r="AL5" i="38"/>
  <c r="AA6" i="38"/>
  <c r="AB6" i="38"/>
  <c r="AR6" i="38" s="1"/>
  <c r="AU6" i="38" s="1"/>
  <c r="AC6" i="38"/>
  <c r="AD6" i="38"/>
  <c r="AE6" i="38"/>
  <c r="AF6" i="38"/>
  <c r="AG6" i="38"/>
  <c r="AH6" i="38"/>
  <c r="AI6" i="38"/>
  <c r="AJ6" i="38"/>
  <c r="AK6" i="38"/>
  <c r="AL6" i="38"/>
  <c r="AA7" i="38"/>
  <c r="AB7" i="38"/>
  <c r="AR7" i="38" s="1"/>
  <c r="AU7" i="38" s="1"/>
  <c r="AC7" i="38"/>
  <c r="AD7" i="38"/>
  <c r="AE7" i="38"/>
  <c r="AF7" i="38"/>
  <c r="AG7" i="38"/>
  <c r="AH7" i="38"/>
  <c r="AI7" i="38"/>
  <c r="AJ7" i="38"/>
  <c r="AK7" i="38"/>
  <c r="AL7" i="38"/>
  <c r="AA8" i="38"/>
  <c r="AQ8" i="38" s="1"/>
  <c r="AT8" i="38" s="1"/>
  <c r="AB8" i="38"/>
  <c r="AR8" i="38" s="1"/>
  <c r="AU8" i="38" s="1"/>
  <c r="AC8" i="38"/>
  <c r="AD8" i="38"/>
  <c r="AE8" i="38"/>
  <c r="AF8" i="38"/>
  <c r="AG8" i="38"/>
  <c r="AH8" i="38"/>
  <c r="AI8" i="38"/>
  <c r="AJ8" i="38"/>
  <c r="AK8" i="38"/>
  <c r="AL8" i="38"/>
  <c r="AA9" i="38"/>
  <c r="AQ9" i="38" s="1"/>
  <c r="AT9" i="38" s="1"/>
  <c r="AB9" i="38"/>
  <c r="AC9" i="38"/>
  <c r="AD9" i="38"/>
  <c r="AE9" i="38"/>
  <c r="AF9" i="38"/>
  <c r="AG9" i="38"/>
  <c r="AH9" i="38"/>
  <c r="AI9" i="38"/>
  <c r="AJ9" i="38"/>
  <c r="AK9" i="38"/>
  <c r="AL9" i="38"/>
  <c r="AA10" i="38"/>
  <c r="AB10" i="38"/>
  <c r="AR10" i="38" s="1"/>
  <c r="AU10" i="38" s="1"/>
  <c r="AC10" i="38"/>
  <c r="AD10" i="38"/>
  <c r="AE10" i="38"/>
  <c r="AF10" i="38"/>
  <c r="AG10" i="38"/>
  <c r="AH10" i="38"/>
  <c r="AI10" i="38"/>
  <c r="AJ10" i="38"/>
  <c r="AK10" i="38"/>
  <c r="AL10" i="38"/>
  <c r="AA11" i="38"/>
  <c r="AB11" i="38"/>
  <c r="AR11" i="38" s="1"/>
  <c r="AU11" i="38" s="1"/>
  <c r="AC11" i="38"/>
  <c r="AD11" i="38"/>
  <c r="AE11" i="38"/>
  <c r="AF11" i="38"/>
  <c r="AG11" i="38"/>
  <c r="AH11" i="38"/>
  <c r="AI11" i="38"/>
  <c r="AJ11" i="38"/>
  <c r="AK11" i="38"/>
  <c r="AL11" i="38"/>
  <c r="AA12" i="38"/>
  <c r="AQ12" i="38" s="1"/>
  <c r="AT12" i="38" s="1"/>
  <c r="AB12" i="38"/>
  <c r="AR12" i="38" s="1"/>
  <c r="AU12" i="38" s="1"/>
  <c r="AC12" i="38"/>
  <c r="AD12" i="38"/>
  <c r="AE12" i="38"/>
  <c r="AF12" i="38"/>
  <c r="AG12" i="38"/>
  <c r="AH12" i="38"/>
  <c r="AI12" i="38"/>
  <c r="AJ12" i="38"/>
  <c r="AK12" i="38"/>
  <c r="AL12" i="38"/>
  <c r="AA13" i="38"/>
  <c r="AQ13" i="38" s="1"/>
  <c r="AT13" i="38" s="1"/>
  <c r="AB13" i="38"/>
  <c r="AC13" i="38"/>
  <c r="AD13" i="38"/>
  <c r="AE13" i="38"/>
  <c r="AF13" i="38"/>
  <c r="AG13" i="38"/>
  <c r="AH13" i="38"/>
  <c r="AI13" i="38"/>
  <c r="AJ13" i="38"/>
  <c r="AK13" i="38"/>
  <c r="AL13" i="38"/>
  <c r="AS13" i="38"/>
  <c r="AV13" i="38" s="1"/>
  <c r="AR13" i="38"/>
  <c r="AU13" i="38" s="1"/>
  <c r="AS12" i="38"/>
  <c r="AV12" i="38" s="1"/>
  <c r="AS11" i="38"/>
  <c r="AV11" i="38" s="1"/>
  <c r="AQ11" i="38"/>
  <c r="AT11" i="38" s="1"/>
  <c r="AS10" i="38"/>
  <c r="AV10" i="38" s="1"/>
  <c r="AQ10" i="38"/>
  <c r="AT10" i="38" s="1"/>
  <c r="AS9" i="38"/>
  <c r="AV9" i="38" s="1"/>
  <c r="AR9" i="38"/>
  <c r="AU9" i="38" s="1"/>
  <c r="AS8" i="38"/>
  <c r="AV8" i="38" s="1"/>
  <c r="AS7" i="38"/>
  <c r="AV7" i="38" s="1"/>
  <c r="AQ7" i="38"/>
  <c r="AT7" i="38" s="1"/>
  <c r="AS6" i="38"/>
  <c r="AV6" i="38" s="1"/>
  <c r="AQ6" i="38"/>
  <c r="AT6" i="38" s="1"/>
  <c r="AS5" i="38"/>
  <c r="AV5" i="38" s="1"/>
  <c r="AR5" i="38"/>
  <c r="AU5" i="38" s="1"/>
  <c r="AS4" i="38"/>
  <c r="V3" i="40" l="1"/>
  <c r="T3" i="40"/>
  <c r="U3" i="40"/>
  <c r="X16" i="39" a="1"/>
  <c r="X16" i="39" s="1"/>
  <c r="W16" i="39" a="1"/>
  <c r="W16" i="39" s="1"/>
  <c r="W28" i="39" a="1"/>
  <c r="W28" i="39" s="1"/>
  <c r="Y28" i="39" a="1"/>
  <c r="Y28" i="39" s="1"/>
  <c r="T31" i="39"/>
  <c r="Y16" i="39" a="1"/>
  <c r="Y16" i="39" s="1"/>
  <c r="V31" i="39"/>
  <c r="X28" i="39" a="1"/>
  <c r="X28" i="39" s="1"/>
  <c r="AT4" i="38"/>
  <c r="AW5" i="38" a="1"/>
  <c r="AW5" i="38" s="1"/>
  <c r="AU4" i="38"/>
  <c r="AX5" i="38" a="1"/>
  <c r="AX5" i="38" s="1"/>
  <c r="AY5" i="38" a="1"/>
  <c r="AY5" i="38" s="1"/>
  <c r="AV4" i="38"/>
  <c r="H55" i="4" l="1"/>
  <c r="I55" i="4"/>
  <c r="J55" i="4"/>
  <c r="K55" i="4"/>
  <c r="L55" i="4"/>
  <c r="M55" i="4"/>
  <c r="H56" i="4"/>
  <c r="I56" i="4"/>
  <c r="J56" i="4"/>
  <c r="K56" i="4"/>
  <c r="L56" i="4"/>
  <c r="M56" i="4"/>
  <c r="H57" i="4"/>
  <c r="I57" i="4"/>
  <c r="J57" i="4"/>
  <c r="K57" i="4"/>
  <c r="L57" i="4"/>
  <c r="M57" i="4"/>
  <c r="H58" i="4"/>
  <c r="I58" i="4"/>
  <c r="J58" i="4"/>
  <c r="K58" i="4"/>
  <c r="L58" i="4"/>
  <c r="M58" i="4"/>
  <c r="H59" i="4"/>
  <c r="I59" i="4"/>
  <c r="J59" i="4"/>
  <c r="K59" i="4"/>
  <c r="L59" i="4"/>
  <c r="M59" i="4"/>
  <c r="H60" i="4"/>
  <c r="I60" i="4"/>
  <c r="J60" i="4"/>
  <c r="K60" i="4"/>
  <c r="L60" i="4"/>
  <c r="M60" i="4"/>
  <c r="H61" i="4"/>
  <c r="I61" i="4"/>
  <c r="J61" i="4"/>
  <c r="K61" i="4"/>
  <c r="L61" i="4"/>
  <c r="M61" i="4"/>
  <c r="H62" i="4"/>
  <c r="I62" i="4"/>
  <c r="J62" i="4"/>
  <c r="K62" i="4"/>
  <c r="L62" i="4"/>
  <c r="M62" i="4"/>
  <c r="H21" i="39"/>
  <c r="L12" i="39"/>
  <c r="L57" i="39" s="1"/>
  <c r="K12" i="39"/>
  <c r="K57" i="39" s="1"/>
  <c r="J12" i="39"/>
  <c r="J57" i="39" s="1"/>
  <c r="I12" i="39"/>
  <c r="I57" i="39" s="1"/>
  <c r="H12" i="39"/>
  <c r="H57" i="39" s="1"/>
  <c r="G12" i="39"/>
  <c r="G57" i="39" s="1"/>
  <c r="F12" i="39"/>
  <c r="E12" i="39"/>
  <c r="D12" i="39"/>
  <c r="C12" i="39"/>
  <c r="S12" i="39" s="1"/>
  <c r="V12" i="39" s="1"/>
  <c r="B12" i="39"/>
  <c r="R12" i="39" s="1"/>
  <c r="U12" i="39" s="1"/>
  <c r="A12" i="39"/>
  <c r="Q12" i="39" s="1"/>
  <c r="T12" i="39" s="1"/>
  <c r="L11" i="39"/>
  <c r="L53" i="39" s="1"/>
  <c r="K11" i="39"/>
  <c r="K53" i="39" s="1"/>
  <c r="J11" i="39"/>
  <c r="J53" i="39" s="1"/>
  <c r="I11" i="39"/>
  <c r="I53" i="39" s="1"/>
  <c r="H11" i="39"/>
  <c r="H53" i="39" s="1"/>
  <c r="G11" i="39"/>
  <c r="G53" i="39" s="1"/>
  <c r="F11" i="39"/>
  <c r="E11" i="39"/>
  <c r="D11" i="39"/>
  <c r="C11" i="39"/>
  <c r="S11" i="39" s="1"/>
  <c r="V11" i="39" s="1"/>
  <c r="B11" i="39"/>
  <c r="R11" i="39" s="1"/>
  <c r="U11" i="39" s="1"/>
  <c r="A11" i="39"/>
  <c r="Q11" i="39" s="1"/>
  <c r="T11" i="39" s="1"/>
  <c r="L10" i="39"/>
  <c r="L49" i="39" s="1"/>
  <c r="K10" i="39"/>
  <c r="K49" i="39" s="1"/>
  <c r="J10" i="39"/>
  <c r="J49" i="39" s="1"/>
  <c r="I10" i="39"/>
  <c r="I49" i="39" s="1"/>
  <c r="H10" i="39"/>
  <c r="H49" i="39" s="1"/>
  <c r="G10" i="39"/>
  <c r="G49" i="39" s="1"/>
  <c r="F10" i="39"/>
  <c r="E10" i="39"/>
  <c r="D10" i="39"/>
  <c r="C10" i="39"/>
  <c r="S10" i="39" s="1"/>
  <c r="V10" i="39" s="1"/>
  <c r="B10" i="39"/>
  <c r="R10" i="39" s="1"/>
  <c r="U10" i="39" s="1"/>
  <c r="A10" i="39"/>
  <c r="Q10" i="39" s="1"/>
  <c r="T10" i="39" s="1"/>
  <c r="L9" i="39"/>
  <c r="L45" i="39" s="1"/>
  <c r="K9" i="39"/>
  <c r="K45" i="39" s="1"/>
  <c r="J9" i="39"/>
  <c r="J45" i="39" s="1"/>
  <c r="I9" i="39"/>
  <c r="I45" i="39" s="1"/>
  <c r="H9" i="39"/>
  <c r="H45" i="39" s="1"/>
  <c r="G9" i="39"/>
  <c r="G45" i="39" s="1"/>
  <c r="F9" i="39"/>
  <c r="E9" i="39"/>
  <c r="D9" i="39"/>
  <c r="C9" i="39"/>
  <c r="S9" i="39" s="1"/>
  <c r="V9" i="39" s="1"/>
  <c r="B9" i="39"/>
  <c r="R9" i="39" s="1"/>
  <c r="U9" i="39" s="1"/>
  <c r="A9" i="39"/>
  <c r="Q9" i="39" s="1"/>
  <c r="T9" i="39" s="1"/>
  <c r="L8" i="39"/>
  <c r="L41" i="39" s="1"/>
  <c r="K8" i="39"/>
  <c r="K41" i="39" s="1"/>
  <c r="J8" i="39"/>
  <c r="J41" i="39" s="1"/>
  <c r="I8" i="39"/>
  <c r="I41" i="39" s="1"/>
  <c r="H8" i="39"/>
  <c r="H41" i="39" s="1"/>
  <c r="G8" i="39"/>
  <c r="G41" i="39" s="1"/>
  <c r="F8" i="39"/>
  <c r="E8" i="39"/>
  <c r="D8" i="39"/>
  <c r="C8" i="39"/>
  <c r="S8" i="39" s="1"/>
  <c r="V8" i="39" s="1"/>
  <c r="B8" i="39"/>
  <c r="R8" i="39" s="1"/>
  <c r="U8" i="39" s="1"/>
  <c r="A8" i="39"/>
  <c r="Q8" i="39" s="1"/>
  <c r="T8" i="39" s="1"/>
  <c r="L7" i="39"/>
  <c r="L37" i="39" s="1"/>
  <c r="K7" i="39"/>
  <c r="K37" i="39" s="1"/>
  <c r="J7" i="39"/>
  <c r="J37" i="39" s="1"/>
  <c r="I7" i="39"/>
  <c r="I37" i="39" s="1"/>
  <c r="H7" i="39"/>
  <c r="H37" i="39" s="1"/>
  <c r="G7" i="39"/>
  <c r="G37" i="39" s="1"/>
  <c r="F7" i="39"/>
  <c r="E7" i="39"/>
  <c r="D7" i="39"/>
  <c r="C7" i="39"/>
  <c r="S7" i="39" s="1"/>
  <c r="B7" i="39"/>
  <c r="R7" i="39" s="1"/>
  <c r="A7" i="39"/>
  <c r="Q7" i="39" s="1"/>
  <c r="L6" i="39"/>
  <c r="L33" i="39" s="1"/>
  <c r="K6" i="39"/>
  <c r="K33" i="39" s="1"/>
  <c r="J6" i="39"/>
  <c r="J33" i="39" s="1"/>
  <c r="I6" i="39"/>
  <c r="I33" i="39" s="1"/>
  <c r="H6" i="39"/>
  <c r="H33" i="39" s="1"/>
  <c r="G6" i="39"/>
  <c r="G33" i="39" s="1"/>
  <c r="F6" i="39"/>
  <c r="E6" i="39"/>
  <c r="D6" i="39"/>
  <c r="C6" i="39"/>
  <c r="S6" i="39" s="1"/>
  <c r="V6" i="39" s="1"/>
  <c r="B6" i="39"/>
  <c r="R6" i="39" s="1"/>
  <c r="U6" i="39" s="1"/>
  <c r="A6" i="39"/>
  <c r="Q6" i="39" s="1"/>
  <c r="T6" i="39" s="1"/>
  <c r="L5" i="39"/>
  <c r="L29" i="39" s="1"/>
  <c r="K5" i="39"/>
  <c r="K29" i="39" s="1"/>
  <c r="J5" i="39"/>
  <c r="J29" i="39" s="1"/>
  <c r="I5" i="39"/>
  <c r="I29" i="39" s="1"/>
  <c r="H5" i="39"/>
  <c r="H29" i="39" s="1"/>
  <c r="G5" i="39"/>
  <c r="G29" i="39" s="1"/>
  <c r="F5" i="39"/>
  <c r="E5" i="39"/>
  <c r="D5" i="39"/>
  <c r="C5" i="39"/>
  <c r="S5" i="39" s="1"/>
  <c r="V5" i="39" s="1"/>
  <c r="B5" i="39"/>
  <c r="R5" i="39" s="1"/>
  <c r="U5" i="39" s="1"/>
  <c r="A5" i="39"/>
  <c r="Q5" i="39" s="1"/>
  <c r="T5" i="39" s="1"/>
  <c r="L4" i="39"/>
  <c r="L25" i="39" s="1"/>
  <c r="K4" i="39"/>
  <c r="K25" i="39" s="1"/>
  <c r="J4" i="39"/>
  <c r="J25" i="39" s="1"/>
  <c r="I4" i="39"/>
  <c r="I25" i="39" s="1"/>
  <c r="H4" i="39"/>
  <c r="H25" i="39" s="1"/>
  <c r="G4" i="39"/>
  <c r="G25" i="39" s="1"/>
  <c r="F4" i="39"/>
  <c r="E4" i="39"/>
  <c r="D4" i="39"/>
  <c r="C4" i="39"/>
  <c r="S4" i="39" s="1"/>
  <c r="V4" i="39" s="1"/>
  <c r="B4" i="39"/>
  <c r="R4" i="39" s="1"/>
  <c r="U4" i="39" s="1"/>
  <c r="A4" i="39"/>
  <c r="Q4" i="39" s="1"/>
  <c r="T4" i="39" s="1"/>
  <c r="L3" i="39"/>
  <c r="L21" i="39" s="1"/>
  <c r="K3" i="39"/>
  <c r="K21" i="39" s="1"/>
  <c r="J3" i="39"/>
  <c r="J21" i="39" s="1"/>
  <c r="I3" i="39"/>
  <c r="I21" i="39" s="1"/>
  <c r="H3" i="39"/>
  <c r="G3" i="39"/>
  <c r="G21" i="39" s="1"/>
  <c r="F3" i="39"/>
  <c r="F21" i="39" s="1"/>
  <c r="E3" i="39"/>
  <c r="E21" i="39" s="1"/>
  <c r="D3" i="39"/>
  <c r="D21" i="39" s="1"/>
  <c r="C3" i="39"/>
  <c r="S3" i="39" s="1"/>
  <c r="B3" i="39"/>
  <c r="R3" i="39" s="1"/>
  <c r="U3" i="39" s="1"/>
  <c r="A3" i="39"/>
  <c r="Q3" i="39" s="1"/>
  <c r="L13" i="38"/>
  <c r="L58" i="38" s="1"/>
  <c r="K13" i="38"/>
  <c r="K58" i="38" s="1"/>
  <c r="J13" i="38"/>
  <c r="J58" i="38" s="1"/>
  <c r="I13" i="38"/>
  <c r="I58" i="38" s="1"/>
  <c r="H13" i="38"/>
  <c r="H58" i="38" s="1"/>
  <c r="G13" i="38"/>
  <c r="G58" i="38" s="1"/>
  <c r="F13" i="38"/>
  <c r="E13" i="38"/>
  <c r="D13" i="38"/>
  <c r="C13" i="38"/>
  <c r="S13" i="38" s="1"/>
  <c r="V13" i="38" s="1"/>
  <c r="B13" i="38"/>
  <c r="R13" i="38" s="1"/>
  <c r="U13" i="38" s="1"/>
  <c r="A13" i="38"/>
  <c r="Q13" i="38" s="1"/>
  <c r="T13" i="38" s="1"/>
  <c r="L12" i="38"/>
  <c r="L54" i="38" s="1"/>
  <c r="K12" i="38"/>
  <c r="K54" i="38" s="1"/>
  <c r="J12" i="38"/>
  <c r="J54" i="38" s="1"/>
  <c r="I12" i="38"/>
  <c r="I54" i="38" s="1"/>
  <c r="H12" i="38"/>
  <c r="H54" i="38" s="1"/>
  <c r="G12" i="38"/>
  <c r="G54" i="38" s="1"/>
  <c r="F12" i="38"/>
  <c r="E12" i="38"/>
  <c r="D12" i="38"/>
  <c r="C12" i="38"/>
  <c r="S12" i="38" s="1"/>
  <c r="V12" i="38" s="1"/>
  <c r="B12" i="38"/>
  <c r="R12" i="38" s="1"/>
  <c r="U12" i="38" s="1"/>
  <c r="A12" i="38"/>
  <c r="Q12" i="38" s="1"/>
  <c r="T12" i="38" s="1"/>
  <c r="L11" i="38"/>
  <c r="L50" i="38" s="1"/>
  <c r="K11" i="38"/>
  <c r="K50" i="38" s="1"/>
  <c r="J11" i="38"/>
  <c r="J50" i="38" s="1"/>
  <c r="I11" i="38"/>
  <c r="I50" i="38" s="1"/>
  <c r="H11" i="38"/>
  <c r="H50" i="38" s="1"/>
  <c r="G11" i="38"/>
  <c r="G50" i="38" s="1"/>
  <c r="F11" i="38"/>
  <c r="E11" i="38"/>
  <c r="D11" i="38"/>
  <c r="C11" i="38"/>
  <c r="S11" i="38" s="1"/>
  <c r="V11" i="38" s="1"/>
  <c r="B11" i="38"/>
  <c r="R11" i="38" s="1"/>
  <c r="U11" i="38" s="1"/>
  <c r="A11" i="38"/>
  <c r="Q11" i="38" s="1"/>
  <c r="T11" i="38" s="1"/>
  <c r="L10" i="38"/>
  <c r="L46" i="38" s="1"/>
  <c r="K10" i="38"/>
  <c r="K46" i="38" s="1"/>
  <c r="J10" i="38"/>
  <c r="J46" i="38" s="1"/>
  <c r="I10" i="38"/>
  <c r="I46" i="38" s="1"/>
  <c r="H10" i="38"/>
  <c r="H46" i="38" s="1"/>
  <c r="G10" i="38"/>
  <c r="G46" i="38" s="1"/>
  <c r="F10" i="38"/>
  <c r="E10" i="38"/>
  <c r="D10" i="38"/>
  <c r="C10" i="38"/>
  <c r="S10" i="38" s="1"/>
  <c r="V10" i="38" s="1"/>
  <c r="B10" i="38"/>
  <c r="R10" i="38" s="1"/>
  <c r="U10" i="38" s="1"/>
  <c r="A10" i="38"/>
  <c r="Q10" i="38" s="1"/>
  <c r="T10" i="38" s="1"/>
  <c r="L9" i="38"/>
  <c r="L42" i="38" s="1"/>
  <c r="K9" i="38"/>
  <c r="K42" i="38" s="1"/>
  <c r="J9" i="38"/>
  <c r="J42" i="38" s="1"/>
  <c r="I9" i="38"/>
  <c r="I42" i="38" s="1"/>
  <c r="H9" i="38"/>
  <c r="H42" i="38" s="1"/>
  <c r="G9" i="38"/>
  <c r="G42" i="38" s="1"/>
  <c r="F9" i="38"/>
  <c r="E9" i="38"/>
  <c r="D9" i="38"/>
  <c r="C9" i="38"/>
  <c r="S9" i="38" s="1"/>
  <c r="V9" i="38" s="1"/>
  <c r="B9" i="38"/>
  <c r="R9" i="38" s="1"/>
  <c r="U9" i="38" s="1"/>
  <c r="A9" i="38"/>
  <c r="Q9" i="38" s="1"/>
  <c r="T9" i="38" s="1"/>
  <c r="L8" i="38"/>
  <c r="L38" i="38" s="1"/>
  <c r="K8" i="38"/>
  <c r="K38" i="38" s="1"/>
  <c r="J8" i="38"/>
  <c r="J38" i="38" s="1"/>
  <c r="I8" i="38"/>
  <c r="I38" i="38" s="1"/>
  <c r="H8" i="38"/>
  <c r="H38" i="38" s="1"/>
  <c r="G8" i="38"/>
  <c r="G38" i="38" s="1"/>
  <c r="F8" i="38"/>
  <c r="E8" i="38"/>
  <c r="D8" i="38"/>
  <c r="C8" i="38"/>
  <c r="S8" i="38" s="1"/>
  <c r="V8" i="38" s="1"/>
  <c r="B8" i="38"/>
  <c r="R8" i="38" s="1"/>
  <c r="U8" i="38" s="1"/>
  <c r="A8" i="38"/>
  <c r="Q8" i="38" s="1"/>
  <c r="T8" i="38" s="1"/>
  <c r="L7" i="38"/>
  <c r="L34" i="38" s="1"/>
  <c r="K7" i="38"/>
  <c r="K34" i="38" s="1"/>
  <c r="J7" i="38"/>
  <c r="J34" i="38" s="1"/>
  <c r="I7" i="38"/>
  <c r="I34" i="38" s="1"/>
  <c r="H7" i="38"/>
  <c r="H34" i="38" s="1"/>
  <c r="G7" i="38"/>
  <c r="G34" i="38" s="1"/>
  <c r="F7" i="38"/>
  <c r="E7" i="38"/>
  <c r="D7" i="38"/>
  <c r="C7" i="38"/>
  <c r="S7" i="38" s="1"/>
  <c r="V7" i="38" s="1"/>
  <c r="B7" i="38"/>
  <c r="R7" i="38" s="1"/>
  <c r="U7" i="38" s="1"/>
  <c r="A7" i="38"/>
  <c r="Q7" i="38" s="1"/>
  <c r="T7" i="38" s="1"/>
  <c r="L6" i="38"/>
  <c r="L30" i="38" s="1"/>
  <c r="K6" i="38"/>
  <c r="K30" i="38" s="1"/>
  <c r="J6" i="38"/>
  <c r="J30" i="38" s="1"/>
  <c r="I6" i="38"/>
  <c r="I30" i="38" s="1"/>
  <c r="H6" i="38"/>
  <c r="H30" i="38" s="1"/>
  <c r="G6" i="38"/>
  <c r="G30" i="38" s="1"/>
  <c r="F6" i="38"/>
  <c r="E6" i="38"/>
  <c r="D6" i="38"/>
  <c r="C6" i="38"/>
  <c r="S6" i="38" s="1"/>
  <c r="V6" i="38" s="1"/>
  <c r="B6" i="38"/>
  <c r="R6" i="38" s="1"/>
  <c r="U6" i="38" s="1"/>
  <c r="A6" i="38"/>
  <c r="Q6" i="38" s="1"/>
  <c r="T6" i="38" s="1"/>
  <c r="L5" i="38"/>
  <c r="L26" i="38" s="1"/>
  <c r="K5" i="38"/>
  <c r="K26" i="38" s="1"/>
  <c r="J5" i="38"/>
  <c r="J26" i="38" s="1"/>
  <c r="I5" i="38"/>
  <c r="I26" i="38" s="1"/>
  <c r="H5" i="38"/>
  <c r="H26" i="38" s="1"/>
  <c r="G5" i="38"/>
  <c r="G26" i="38" s="1"/>
  <c r="F5" i="38"/>
  <c r="E5" i="38"/>
  <c r="D5" i="38"/>
  <c r="C5" i="38"/>
  <c r="S5" i="38" s="1"/>
  <c r="V5" i="38" s="1"/>
  <c r="B5" i="38"/>
  <c r="R5" i="38" s="1"/>
  <c r="U5" i="38" s="1"/>
  <c r="A5" i="38"/>
  <c r="Q5" i="38" s="1"/>
  <c r="T5" i="38" s="1"/>
  <c r="L4" i="38"/>
  <c r="L22" i="38" s="1"/>
  <c r="K4" i="38"/>
  <c r="K22" i="38" s="1"/>
  <c r="J4" i="38"/>
  <c r="J22" i="38" s="1"/>
  <c r="I4" i="38"/>
  <c r="I22" i="38" s="1"/>
  <c r="H4" i="38"/>
  <c r="H22" i="38" s="1"/>
  <c r="G4" i="38"/>
  <c r="G22" i="38" s="1"/>
  <c r="F4" i="38"/>
  <c r="F22" i="38" s="1"/>
  <c r="E4" i="38"/>
  <c r="E22" i="38" s="1"/>
  <c r="D4" i="38"/>
  <c r="D22" i="38" s="1"/>
  <c r="C4" i="38"/>
  <c r="S4" i="38" s="1"/>
  <c r="V4" i="38" s="1"/>
  <c r="B4" i="38"/>
  <c r="R4" i="38" s="1"/>
  <c r="U4" i="38" s="1"/>
  <c r="A4" i="38"/>
  <c r="Q4" i="38" s="1"/>
  <c r="T4" i="38" s="1"/>
  <c r="J57" i="19"/>
  <c r="I41" i="19"/>
  <c r="J41" i="19"/>
  <c r="K41" i="19"/>
  <c r="L12" i="37"/>
  <c r="K12" i="37"/>
  <c r="J12" i="37"/>
  <c r="I12" i="37"/>
  <c r="H12" i="37"/>
  <c r="G12" i="37"/>
  <c r="F12" i="37"/>
  <c r="E12" i="37"/>
  <c r="D12" i="37"/>
  <c r="C12" i="37"/>
  <c r="S12" i="37" s="1"/>
  <c r="V12" i="37" s="1"/>
  <c r="B12" i="37"/>
  <c r="R12" i="37" s="1"/>
  <c r="U12" i="37" s="1"/>
  <c r="A12" i="37"/>
  <c r="Q12" i="37" s="1"/>
  <c r="T12" i="37" s="1"/>
  <c r="L11" i="37"/>
  <c r="K11" i="37"/>
  <c r="J11" i="37"/>
  <c r="I11" i="37"/>
  <c r="H11" i="37"/>
  <c r="G11" i="37"/>
  <c r="F11" i="37"/>
  <c r="E11" i="37"/>
  <c r="D11" i="37"/>
  <c r="C11" i="37"/>
  <c r="S11" i="37" s="1"/>
  <c r="V11" i="37" s="1"/>
  <c r="B11" i="37"/>
  <c r="R11" i="37" s="1"/>
  <c r="U11" i="37" s="1"/>
  <c r="A11" i="37"/>
  <c r="Q11" i="37" s="1"/>
  <c r="T11" i="37" s="1"/>
  <c r="L10" i="37"/>
  <c r="K10" i="37"/>
  <c r="J10" i="37"/>
  <c r="I10" i="37"/>
  <c r="H10" i="37"/>
  <c r="G10" i="37"/>
  <c r="F10" i="37"/>
  <c r="E10" i="37"/>
  <c r="D10" i="37"/>
  <c r="C10" i="37"/>
  <c r="S10" i="37" s="1"/>
  <c r="V10" i="37" s="1"/>
  <c r="B10" i="37"/>
  <c r="R10" i="37" s="1"/>
  <c r="U10" i="37" s="1"/>
  <c r="A10" i="37"/>
  <c r="Q10" i="37" s="1"/>
  <c r="T10" i="37" s="1"/>
  <c r="L9" i="37"/>
  <c r="K9" i="37"/>
  <c r="J9" i="37"/>
  <c r="I9" i="37"/>
  <c r="H9" i="37"/>
  <c r="G9" i="37"/>
  <c r="F9" i="37"/>
  <c r="E9" i="37"/>
  <c r="D9" i="37"/>
  <c r="C9" i="37"/>
  <c r="S9" i="37" s="1"/>
  <c r="V9" i="37" s="1"/>
  <c r="B9" i="37"/>
  <c r="R9" i="37" s="1"/>
  <c r="U9" i="37" s="1"/>
  <c r="A9" i="37"/>
  <c r="Q9" i="37" s="1"/>
  <c r="T9" i="37" s="1"/>
  <c r="L8" i="37"/>
  <c r="K8" i="37"/>
  <c r="J8" i="37"/>
  <c r="I8" i="37"/>
  <c r="H8" i="37"/>
  <c r="G8" i="37"/>
  <c r="F8" i="37"/>
  <c r="E8" i="37"/>
  <c r="D8" i="37"/>
  <c r="C8" i="37"/>
  <c r="S8" i="37" s="1"/>
  <c r="V8" i="37" s="1"/>
  <c r="B8" i="37"/>
  <c r="R8" i="37" s="1"/>
  <c r="U8" i="37" s="1"/>
  <c r="A8" i="37"/>
  <c r="Q8" i="37" s="1"/>
  <c r="T8" i="37" s="1"/>
  <c r="L7" i="37"/>
  <c r="K7" i="37"/>
  <c r="J7" i="37"/>
  <c r="I7" i="37"/>
  <c r="H7" i="37"/>
  <c r="G7" i="37"/>
  <c r="F7" i="37"/>
  <c r="E7" i="37"/>
  <c r="D7" i="37"/>
  <c r="C7" i="37"/>
  <c r="S7" i="37" s="1"/>
  <c r="V7" i="37" s="1"/>
  <c r="B7" i="37"/>
  <c r="R7" i="37" s="1"/>
  <c r="U7" i="37" s="1"/>
  <c r="A7" i="37"/>
  <c r="Q7" i="37" s="1"/>
  <c r="T7" i="37" s="1"/>
  <c r="L6" i="37"/>
  <c r="K6" i="37"/>
  <c r="J6" i="37"/>
  <c r="I6" i="37"/>
  <c r="H6" i="37"/>
  <c r="G6" i="37"/>
  <c r="F6" i="37"/>
  <c r="E6" i="37"/>
  <c r="D6" i="37"/>
  <c r="C6" i="37"/>
  <c r="S6" i="37" s="1"/>
  <c r="V6" i="37" s="1"/>
  <c r="B6" i="37"/>
  <c r="R6" i="37" s="1"/>
  <c r="U6" i="37" s="1"/>
  <c r="A6" i="37"/>
  <c r="Q6" i="37" s="1"/>
  <c r="T6" i="37" s="1"/>
  <c r="L5" i="37"/>
  <c r="K5" i="37"/>
  <c r="J5" i="37"/>
  <c r="I5" i="37"/>
  <c r="H5" i="37"/>
  <c r="G5" i="37"/>
  <c r="F5" i="37"/>
  <c r="E5" i="37"/>
  <c r="D5" i="37"/>
  <c r="C5" i="37"/>
  <c r="S5" i="37" s="1"/>
  <c r="V5" i="37" s="1"/>
  <c r="B5" i="37"/>
  <c r="R5" i="37" s="1"/>
  <c r="U5" i="37" s="1"/>
  <c r="A5" i="37"/>
  <c r="Q5" i="37" s="1"/>
  <c r="T5" i="37" s="1"/>
  <c r="L4" i="37"/>
  <c r="K4" i="37"/>
  <c r="J4" i="37"/>
  <c r="I4" i="37"/>
  <c r="H4" i="37"/>
  <c r="G4" i="37"/>
  <c r="F4" i="37"/>
  <c r="E4" i="37"/>
  <c r="D4" i="37"/>
  <c r="C4" i="37"/>
  <c r="S4" i="37" s="1"/>
  <c r="V4" i="37" s="1"/>
  <c r="B4" i="37"/>
  <c r="R4" i="37" s="1"/>
  <c r="U4" i="37" s="1"/>
  <c r="A4" i="37"/>
  <c r="Q4" i="37" s="1"/>
  <c r="T4" i="37" s="1"/>
  <c r="L3" i="37"/>
  <c r="K3" i="37"/>
  <c r="J3" i="37"/>
  <c r="I3" i="37"/>
  <c r="H3" i="37"/>
  <c r="G3" i="37"/>
  <c r="F3" i="37"/>
  <c r="E3" i="37"/>
  <c r="D3" i="37"/>
  <c r="C3" i="37"/>
  <c r="S3" i="37" s="1"/>
  <c r="V3" i="37" s="1"/>
  <c r="B3" i="37"/>
  <c r="R3" i="37" s="1"/>
  <c r="A3" i="37"/>
  <c r="Q3" i="37" s="1"/>
  <c r="T3" i="37" s="1"/>
  <c r="A3" i="19"/>
  <c r="B3" i="19"/>
  <c r="C3" i="19"/>
  <c r="D3" i="19"/>
  <c r="D21" i="19" s="1"/>
  <c r="D23" i="19" s="1"/>
  <c r="E3" i="19"/>
  <c r="E21" i="19" s="1"/>
  <c r="E24" i="19" s="1"/>
  <c r="F3" i="19"/>
  <c r="F21" i="19" s="1"/>
  <c r="F24" i="19" s="1"/>
  <c r="G3" i="19"/>
  <c r="G21" i="19" s="1"/>
  <c r="H3" i="19"/>
  <c r="H21" i="19" s="1"/>
  <c r="I3" i="19"/>
  <c r="I21" i="19" s="1"/>
  <c r="J3" i="19"/>
  <c r="J21" i="19" s="1"/>
  <c r="K3" i="19"/>
  <c r="K21" i="19" s="1"/>
  <c r="L3" i="19"/>
  <c r="L21" i="19" s="1"/>
  <c r="A4" i="19"/>
  <c r="B4" i="19"/>
  <c r="C4" i="19"/>
  <c r="D4" i="19"/>
  <c r="E4" i="19"/>
  <c r="F4" i="19"/>
  <c r="G4" i="19"/>
  <c r="G25" i="19" s="1"/>
  <c r="H4" i="19"/>
  <c r="H25" i="19" s="1"/>
  <c r="I4" i="19"/>
  <c r="I25" i="19" s="1"/>
  <c r="J4" i="19"/>
  <c r="J25" i="19" s="1"/>
  <c r="K4" i="19"/>
  <c r="K25" i="19" s="1"/>
  <c r="L4" i="19"/>
  <c r="L25" i="19" s="1"/>
  <c r="A5" i="19"/>
  <c r="B5" i="19"/>
  <c r="C5" i="19"/>
  <c r="D5" i="19"/>
  <c r="E5" i="19"/>
  <c r="F5" i="19"/>
  <c r="G5" i="19"/>
  <c r="G29" i="19" s="1"/>
  <c r="H5" i="19"/>
  <c r="H29" i="19" s="1"/>
  <c r="I5" i="19"/>
  <c r="I29" i="19" s="1"/>
  <c r="J5" i="19"/>
  <c r="J29" i="19" s="1"/>
  <c r="K5" i="19"/>
  <c r="K29" i="19" s="1"/>
  <c r="L5" i="19"/>
  <c r="L29" i="19" s="1"/>
  <c r="A6" i="19"/>
  <c r="B6" i="19"/>
  <c r="C6" i="19"/>
  <c r="D6" i="19"/>
  <c r="E6" i="19"/>
  <c r="F6" i="19"/>
  <c r="G6" i="19"/>
  <c r="G33" i="19" s="1"/>
  <c r="H6" i="19"/>
  <c r="H33" i="19" s="1"/>
  <c r="I6" i="19"/>
  <c r="I33" i="19" s="1"/>
  <c r="J6" i="19"/>
  <c r="J33" i="19" s="1"/>
  <c r="K6" i="19"/>
  <c r="K33" i="19" s="1"/>
  <c r="L6" i="19"/>
  <c r="L33" i="19" s="1"/>
  <c r="A7" i="19"/>
  <c r="B7" i="19"/>
  <c r="C7" i="19"/>
  <c r="D7" i="19"/>
  <c r="E7" i="19"/>
  <c r="F7" i="19"/>
  <c r="G7" i="19"/>
  <c r="G37" i="19" s="1"/>
  <c r="H7" i="19"/>
  <c r="H37" i="19" s="1"/>
  <c r="I7" i="19"/>
  <c r="I37" i="19" s="1"/>
  <c r="J7" i="19"/>
  <c r="J37" i="19" s="1"/>
  <c r="K7" i="19"/>
  <c r="K37" i="19" s="1"/>
  <c r="L7" i="19"/>
  <c r="L37" i="19" s="1"/>
  <c r="A8" i="19"/>
  <c r="B8" i="19"/>
  <c r="C8" i="19"/>
  <c r="D8" i="19"/>
  <c r="E8" i="19"/>
  <c r="F8" i="19"/>
  <c r="G8" i="19"/>
  <c r="G41" i="19" s="1"/>
  <c r="H8" i="19"/>
  <c r="H41" i="19" s="1"/>
  <c r="I8" i="19"/>
  <c r="J8" i="19"/>
  <c r="K8" i="19"/>
  <c r="L8" i="19"/>
  <c r="L41" i="19" s="1"/>
  <c r="A9" i="19"/>
  <c r="B9" i="19"/>
  <c r="C9" i="19"/>
  <c r="D9" i="19"/>
  <c r="E9" i="19"/>
  <c r="F9" i="19"/>
  <c r="G9" i="19"/>
  <c r="G45" i="19" s="1"/>
  <c r="H9" i="19"/>
  <c r="H45" i="19" s="1"/>
  <c r="I9" i="19"/>
  <c r="I45" i="19" s="1"/>
  <c r="J9" i="19"/>
  <c r="J45" i="19" s="1"/>
  <c r="K9" i="19"/>
  <c r="K45" i="19" s="1"/>
  <c r="L9" i="19"/>
  <c r="L45" i="19" s="1"/>
  <c r="A10" i="19"/>
  <c r="B10" i="19"/>
  <c r="C10" i="19"/>
  <c r="D10" i="19"/>
  <c r="E10" i="19"/>
  <c r="F10" i="19"/>
  <c r="G10" i="19"/>
  <c r="G49" i="19" s="1"/>
  <c r="H10" i="19"/>
  <c r="H49" i="19" s="1"/>
  <c r="I10" i="19"/>
  <c r="I49" i="19" s="1"/>
  <c r="J10" i="19"/>
  <c r="J49" i="19" s="1"/>
  <c r="K10" i="19"/>
  <c r="K49" i="19" s="1"/>
  <c r="L10" i="19"/>
  <c r="L49" i="19" s="1"/>
  <c r="A11" i="19"/>
  <c r="B11" i="19"/>
  <c r="C11" i="19"/>
  <c r="D11" i="19"/>
  <c r="E11" i="19"/>
  <c r="F11" i="19"/>
  <c r="G11" i="19"/>
  <c r="G53" i="19" s="1"/>
  <c r="H11" i="19"/>
  <c r="H53" i="19" s="1"/>
  <c r="I11" i="19"/>
  <c r="I53" i="19" s="1"/>
  <c r="J11" i="19"/>
  <c r="J53" i="19" s="1"/>
  <c r="K11" i="19"/>
  <c r="K53" i="19" s="1"/>
  <c r="L11" i="19"/>
  <c r="L53" i="19" s="1"/>
  <c r="A12" i="19"/>
  <c r="B12" i="19"/>
  <c r="C12" i="19"/>
  <c r="D12" i="19"/>
  <c r="E12" i="19"/>
  <c r="F12" i="19"/>
  <c r="G12" i="19"/>
  <c r="G57" i="19" s="1"/>
  <c r="H12" i="19"/>
  <c r="H57" i="19" s="1"/>
  <c r="I12" i="19"/>
  <c r="I57" i="19" s="1"/>
  <c r="J12" i="19"/>
  <c r="K12" i="19"/>
  <c r="K57" i="19" s="1"/>
  <c r="L12" i="19"/>
  <c r="L57" i="19" s="1"/>
  <c r="C4" i="12"/>
  <c r="C5" i="12"/>
  <c r="C6" i="12"/>
  <c r="C7" i="12"/>
  <c r="C8" i="12"/>
  <c r="C9" i="12"/>
  <c r="C10" i="12"/>
  <c r="C11" i="12"/>
  <c r="C12" i="12"/>
  <c r="C3" i="12"/>
  <c r="V7" i="39" l="1"/>
  <c r="Y4" i="39" a="1"/>
  <c r="Y4" i="39" s="1"/>
  <c r="T7" i="39"/>
  <c r="W4" i="39" a="1"/>
  <c r="W4" i="39" s="1"/>
  <c r="U7" i="39"/>
  <c r="X4" i="39" a="1"/>
  <c r="X4" i="39" s="1"/>
  <c r="T3" i="39"/>
  <c r="V3" i="39"/>
  <c r="X4" i="37" a="1"/>
  <c r="X4" i="37" s="1"/>
  <c r="U3" i="37"/>
  <c r="E22" i="19"/>
  <c r="E23" i="19"/>
  <c r="D24" i="19"/>
  <c r="F23" i="19"/>
  <c r="D22" i="19"/>
  <c r="F22" i="19"/>
  <c r="W4" i="37" a="1"/>
  <c r="W4" i="37" s="1"/>
  <c r="Y4" i="37" a="1"/>
  <c r="Y4" i="37" s="1"/>
  <c r="W5" i="38" a="1"/>
  <c r="W5" i="38" s="1"/>
  <c r="X5" i="38" a="1"/>
  <c r="X5" i="38" s="1"/>
  <c r="Y5" i="38" a="1"/>
  <c r="Y5" i="38" s="1"/>
  <c r="H51" i="4"/>
  <c r="I51" i="4"/>
  <c r="J51" i="4"/>
  <c r="K51" i="4"/>
  <c r="L51" i="4"/>
  <c r="M51" i="4"/>
  <c r="H52" i="4"/>
  <c r="I52" i="4"/>
  <c r="J52" i="4"/>
  <c r="K52" i="4"/>
  <c r="L52" i="4"/>
  <c r="M52" i="4"/>
  <c r="H53" i="4"/>
  <c r="I53" i="4"/>
  <c r="J53" i="4"/>
  <c r="K53" i="4"/>
  <c r="L53" i="4"/>
  <c r="M53" i="4"/>
  <c r="H54" i="4"/>
  <c r="I54" i="4"/>
  <c r="J54" i="4"/>
  <c r="K54" i="4"/>
  <c r="L54" i="4"/>
  <c r="M54" i="4"/>
  <c r="H47" i="4"/>
  <c r="I47" i="4"/>
  <c r="J47" i="4"/>
  <c r="K47" i="4"/>
  <c r="L47" i="4"/>
  <c r="M47" i="4"/>
  <c r="H48" i="4"/>
  <c r="I48" i="4"/>
  <c r="J48" i="4"/>
  <c r="K48" i="4"/>
  <c r="L48" i="4"/>
  <c r="M48" i="4"/>
  <c r="H49" i="4"/>
  <c r="I49" i="4"/>
  <c r="J49" i="4"/>
  <c r="K49" i="4"/>
  <c r="L49" i="4"/>
  <c r="M49" i="4"/>
  <c r="H50" i="4"/>
  <c r="I50" i="4"/>
  <c r="J50" i="4"/>
  <c r="K50" i="4"/>
  <c r="L50" i="4"/>
  <c r="M50" i="4"/>
  <c r="H43" i="4"/>
  <c r="I43" i="4"/>
  <c r="J43" i="4"/>
  <c r="K43" i="4"/>
  <c r="L43" i="4"/>
  <c r="M43" i="4"/>
  <c r="H44" i="4"/>
  <c r="I44" i="4"/>
  <c r="J44" i="4"/>
  <c r="K44" i="4"/>
  <c r="L44" i="4"/>
  <c r="M44" i="4"/>
  <c r="H45" i="4"/>
  <c r="I45" i="4"/>
  <c r="J45" i="4"/>
  <c r="K45" i="4"/>
  <c r="L45" i="4"/>
  <c r="M45" i="4"/>
  <c r="H46" i="4"/>
  <c r="I46" i="4"/>
  <c r="J46" i="4"/>
  <c r="K46" i="4"/>
  <c r="L46" i="4"/>
  <c r="M46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35" i="4"/>
  <c r="I35" i="4"/>
  <c r="J35" i="4"/>
  <c r="K35" i="4"/>
  <c r="L35" i="4"/>
  <c r="M35" i="4"/>
  <c r="H36" i="4"/>
  <c r="I36" i="4"/>
  <c r="J36" i="4"/>
  <c r="K36" i="4"/>
  <c r="L36" i="4"/>
  <c r="M36" i="4"/>
  <c r="H37" i="4"/>
  <c r="I37" i="4"/>
  <c r="J37" i="4"/>
  <c r="K37" i="4"/>
  <c r="L37" i="4"/>
  <c r="M37" i="4"/>
  <c r="H38" i="4"/>
  <c r="I38" i="4"/>
  <c r="J38" i="4"/>
  <c r="K38" i="4"/>
  <c r="L38" i="4"/>
  <c r="M38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K30" i="4"/>
  <c r="L30" i="4"/>
  <c r="M30" i="4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H22" i="4"/>
  <c r="I22" i="4"/>
  <c r="J22" i="4"/>
  <c r="K22" i="4"/>
  <c r="L22" i="4"/>
  <c r="M22" i="4"/>
  <c r="H23" i="4"/>
  <c r="I23" i="4"/>
  <c r="J23" i="4"/>
  <c r="K23" i="4"/>
  <c r="L23" i="4"/>
  <c r="M23" i="4"/>
  <c r="X12" i="12" l="1"/>
  <c r="W12" i="12"/>
  <c r="V12" i="12"/>
  <c r="U12" i="12"/>
  <c r="T12" i="12"/>
  <c r="S12" i="12"/>
  <c r="X11" i="12"/>
  <c r="W11" i="12"/>
  <c r="V11" i="12"/>
  <c r="U11" i="12"/>
  <c r="T11" i="12"/>
  <c r="S11" i="12"/>
  <c r="X10" i="12"/>
  <c r="W10" i="12"/>
  <c r="V10" i="12"/>
  <c r="U10" i="12"/>
  <c r="T10" i="12"/>
  <c r="S10" i="12"/>
  <c r="X9" i="12"/>
  <c r="W9" i="12"/>
  <c r="V9" i="12"/>
  <c r="U9" i="12"/>
  <c r="T9" i="12"/>
  <c r="S9" i="12"/>
  <c r="X8" i="12"/>
  <c r="W8" i="12"/>
  <c r="V8" i="12"/>
  <c r="U8" i="12"/>
  <c r="T8" i="12"/>
  <c r="S8" i="12"/>
  <c r="X7" i="12"/>
  <c r="W7" i="12"/>
  <c r="V7" i="12"/>
  <c r="U7" i="12"/>
  <c r="T7" i="12"/>
  <c r="S7" i="12"/>
  <c r="X6" i="12"/>
  <c r="W6" i="12"/>
  <c r="V6" i="12"/>
  <c r="U6" i="12"/>
  <c r="T6" i="12"/>
  <c r="S6" i="12"/>
  <c r="X5" i="12"/>
  <c r="W5" i="12"/>
  <c r="V5" i="12"/>
  <c r="U5" i="12"/>
  <c r="T5" i="12"/>
  <c r="S5" i="12"/>
  <c r="X4" i="12"/>
  <c r="W4" i="12"/>
  <c r="V4" i="12"/>
  <c r="U4" i="12"/>
  <c r="T4" i="12"/>
  <c r="S4" i="12"/>
  <c r="X3" i="12"/>
  <c r="W3" i="12"/>
  <c r="V3" i="12"/>
  <c r="U3" i="12"/>
  <c r="T3" i="12"/>
  <c r="S3" i="12"/>
  <c r="Q4" i="19" l="1"/>
  <c r="T4" i="19" s="1"/>
  <c r="R4" i="19"/>
  <c r="U4" i="19" s="1"/>
  <c r="S4" i="19"/>
  <c r="V4" i="19" s="1"/>
  <c r="Q5" i="19"/>
  <c r="T5" i="19" s="1"/>
  <c r="R5" i="19"/>
  <c r="U5" i="19" s="1"/>
  <c r="S5" i="19"/>
  <c r="V5" i="19" s="1"/>
  <c r="Q6" i="19"/>
  <c r="T6" i="19" s="1"/>
  <c r="R6" i="19"/>
  <c r="U6" i="19" s="1"/>
  <c r="S6" i="19"/>
  <c r="V6" i="19" s="1"/>
  <c r="Q7" i="19"/>
  <c r="T7" i="19" s="1"/>
  <c r="R7" i="19"/>
  <c r="U7" i="19" s="1"/>
  <c r="S7" i="19"/>
  <c r="V7" i="19" s="1"/>
  <c r="Q8" i="19"/>
  <c r="T8" i="19" s="1"/>
  <c r="R8" i="19"/>
  <c r="U8" i="19" s="1"/>
  <c r="S8" i="19"/>
  <c r="V8" i="19" s="1"/>
  <c r="Q9" i="19"/>
  <c r="T9" i="19" s="1"/>
  <c r="R9" i="19"/>
  <c r="U9" i="19" s="1"/>
  <c r="S9" i="19"/>
  <c r="V9" i="19" s="1"/>
  <c r="Q10" i="19"/>
  <c r="T10" i="19" s="1"/>
  <c r="R10" i="19"/>
  <c r="U10" i="19" s="1"/>
  <c r="S10" i="19"/>
  <c r="V10" i="19" s="1"/>
  <c r="Q11" i="19"/>
  <c r="T11" i="19" s="1"/>
  <c r="R11" i="19"/>
  <c r="U11" i="19" s="1"/>
  <c r="S11" i="19"/>
  <c r="V11" i="19" s="1"/>
  <c r="Q12" i="19"/>
  <c r="T12" i="19" s="1"/>
  <c r="R12" i="19"/>
  <c r="U12" i="19" s="1"/>
  <c r="S12" i="19"/>
  <c r="V12" i="19" s="1"/>
  <c r="S3" i="19" l="1"/>
  <c r="V3" i="19" s="1"/>
  <c r="R3" i="19"/>
  <c r="U3" i="19" s="1"/>
  <c r="X4" i="19" l="1" a="1"/>
  <c r="X4" i="19" s="1"/>
  <c r="Y4" i="19" a="1"/>
  <c r="Y4" i="19" s="1"/>
  <c r="Q3" i="19"/>
  <c r="T3" i="19" s="1"/>
  <c r="W4" i="19" l="1" a="1"/>
  <c r="W4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<sst xmlns="http://schemas.openxmlformats.org/spreadsheetml/2006/main" count="481" uniqueCount="46">
  <si>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</si>
  <si>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</si>
  <si>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</si>
  <si>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</si>
  <si>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</si>
  <si>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</si>
  <si>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</si>
  <si>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</si>
  <si>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</si>
  <si>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</si>
  <si>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</si>
  <si>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</si>
  <si>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</si>
  <si>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</si>
  <si>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</si>
  <si>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</si>
  <si>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</si>
  <si>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</si>
  <si>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</si>
  <si>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</si>
  <si>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</si>
  <si>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</si>
  <si>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</si>
  <si>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</si>
  <si>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</si>
  <si>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</si>
  <si>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Absolute Mean Error</t>
  </si>
  <si>
    <t>f_final</t>
  </si>
  <si>
    <t>;</t>
  </si>
  <si>
    <t>[</t>
  </si>
  <si>
    <t>]</t>
  </si>
  <si>
    <t>Perturbation</t>
  </si>
  <si>
    <t>Supporting Measurments w Perturbation</t>
  </si>
  <si>
    <t>Trial #</t>
  </si>
  <si>
    <t>F (N)</t>
  </si>
  <si>
    <t>s (m)</t>
  </si>
  <si>
    <t>theta (rad)</t>
  </si>
  <si>
    <t>{</t>
  </si>
  <si>
    <t>}</t>
  </si>
  <si>
    <t>SoRoSim get_distal_value (lambda = 0.5)</t>
  </si>
  <si>
    <t>ABS Distal Errors</t>
  </si>
  <si>
    <t>3 Perturbations</t>
  </si>
  <si>
    <t>3 Perturbations (relative only)</t>
  </si>
  <si>
    <t>SoRoSim get_distal_value (3 perturbations)</t>
  </si>
  <si>
    <t>SoRoSim get_distal_value (2 perturbations)</t>
  </si>
  <si>
    <t>SoRoSim get_distal_value (1 perturbations)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</si>
</sst>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10" borderId="0" applyNumberFormat="0" applyBorder="0" applyAlignment="0" applyProtection="0"/>
  </cellStyleXfs>
  <cellXfs count="36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3" fillId="8" borderId="1" xfId="0" applyNumberFormat="1" applyFont="1" applyFill="1" applyBorder="1"/>
    <xf numFmtId="0" fontId="0" fillId="0" borderId="1" xfId="0" applyBorder="1"/>
    <xf numFmtId="165" fontId="0" fillId="0" borderId="0" xfId="0" applyNumberFormat="1"/>
    <xf numFmtId="164" fontId="3" fillId="0" borderId="1" xfId="0" applyNumberFormat="1" applyFont="1" applyBorder="1"/>
    <xf numFmtId="164" fontId="0" fillId="0" borderId="0" xfId="0" applyNumberFormat="1"/>
    <xf numFmtId="1" fontId="3" fillId="8" borderId="1" xfId="0" applyNumberFormat="1" applyFont="1" applyFill="1" applyBorder="1"/>
    <xf numFmtId="11" fontId="3" fillId="8" borderId="1" xfId="0" applyNumberFormat="1" applyFont="1" applyFill="1" applyBorder="1"/>
    <xf numFmtId="11" fontId="3" fillId="0" borderId="1" xfId="0" applyNumberFormat="1" applyFont="1" applyBorder="1"/>
    <xf numFmtId="166" fontId="0" fillId="0" borderId="0" xfId="0" applyNumberFormat="1" applyAlignment="1">
      <alignment horizontal="left"/>
    </xf>
    <xf numFmtId="164" fontId="4" fillId="10" borderId="1" xfId="1" applyNumberForma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0" borderId="0" xfId="0"/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6" borderId="11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X14"/>
  <sheetViews>
    <sheetView workbookViewId="0">
      <selection activeCell="A3" sqref="A3:L12"/>
    </sheetView>
  </sheetViews>
  <sheetFormatPr defaultRowHeight="16.5" customHeight="1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9.5703125" bestFit="1" customWidth="1"/>
    <col min="14" max="14" width="8.5703125" bestFit="1" customWidth="1"/>
    <col min="15" max="18" width="9.28515625" bestFit="1" customWidth="1"/>
    <col min="19" max="20" width="8.140625" bestFit="1" customWidth="1"/>
    <col min="21" max="21" width="7.7109375" bestFit="1" customWidth="1"/>
    <col min="22" max="24" width="7.28515625" bestFit="1" customWidth="1"/>
  </cols>
  <sheetData>
    <row r="1" spans="1:24" ht="16.5" customHeight="1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19" t="s">
        <v>12</v>
      </c>
      <c r="N1" s="20"/>
      <c r="O1" s="20"/>
      <c r="P1" s="20"/>
      <c r="Q1" s="20"/>
      <c r="R1" s="20"/>
      <c r="S1" s="21" t="s">
        <v>14</v>
      </c>
      <c r="T1" s="22"/>
      <c r="U1" s="22"/>
      <c r="V1" s="22"/>
      <c r="W1" s="22"/>
      <c r="X1" s="23"/>
    </row>
    <row r="2" spans="1:24" ht="16.5" customHeight="1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</v>
      </c>
      <c r="N2" s="1" t="s">
        <v>4</v>
      </c>
      <c r="O2" s="1" t="s">
        <v>5</v>
      </c>
      <c r="P2" s="1" t="s">
        <v>0</v>
      </c>
      <c r="Q2" s="1" t="s">
        <v>1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0</v>
      </c>
      <c r="W2" s="1" t="s">
        <v>1</v>
      </c>
      <c r="X2" s="1" t="s">
        <v>2</v>
      </c>
    </row>
    <row r="3" spans="1:24" s="5" customFormat="1" ht="16.5" customHeight="1" x14ac:dyDescent="0.25">
      <c r="A3" s="14">
        <v>0.4</v>
      </c>
      <c r="B3" s="14">
        <v>0.06</v>
      </c>
      <c r="C3" s="14">
        <f>PI()/2</f>
        <v>1.5707963267948966</v>
      </c>
      <c r="D3" s="14">
        <v>0</v>
      </c>
      <c r="E3" s="14">
        <v>0</v>
      </c>
      <c r="F3" s="14">
        <v>0</v>
      </c>
      <c r="G3" s="5">
        <v>-2.8477585874497901E-4</v>
      </c>
      <c r="H3" s="5">
        <v>-5.8327373117208502E-2</v>
      </c>
      <c r="I3" s="5">
        <v>-1.50670297443867E-4</v>
      </c>
      <c r="J3" s="5">
        <v>6.01342367008328E-3</v>
      </c>
      <c r="K3" s="5">
        <v>2.2609531879425001E-3</v>
      </c>
      <c r="L3" s="5">
        <v>0.37637501955032299</v>
      </c>
      <c r="M3" s="5">
        <v>1.2756062731088114E-29</v>
      </c>
      <c r="N3" s="5">
        <v>-2.393874501134606E-2</v>
      </c>
      <c r="O3" s="5">
        <v>-4.9099186761813575E-12</v>
      </c>
      <c r="P3" s="5">
        <v>-2.7810769021428292E-2</v>
      </c>
      <c r="Q3" s="5">
        <v>-8.1842761874231004E-11</v>
      </c>
      <c r="R3" s="5">
        <v>0.39903166157026654</v>
      </c>
      <c r="S3" s="5">
        <f>G3-M3</f>
        <v>-2.8477585874497901E-4</v>
      </c>
      <c r="T3" s="5">
        <f t="shared" ref="T3:X3" si="0">H3-N3</f>
        <v>-3.4388628105862441E-2</v>
      </c>
      <c r="U3" s="5">
        <f t="shared" si="0"/>
        <v>-1.5067029253394834E-4</v>
      </c>
      <c r="V3" s="5">
        <f t="shared" si="0"/>
        <v>3.3824192691511573E-2</v>
      </c>
      <c r="W3" s="5">
        <f t="shared" si="0"/>
        <v>2.2609532697852618E-3</v>
      </c>
      <c r="X3" s="5">
        <f t="shared" si="0"/>
        <v>-2.2656642019943551E-2</v>
      </c>
    </row>
    <row r="4" spans="1:24" s="5" customFormat="1" ht="16.5" customHeight="1" x14ac:dyDescent="0.25">
      <c r="A4" s="14">
        <v>0.8</v>
      </c>
      <c r="B4" s="14">
        <v>0.06</v>
      </c>
      <c r="C4" s="14">
        <f t="shared" ref="C4:C12" si="1">PI()/2</f>
        <v>1.5707963267948966</v>
      </c>
      <c r="D4" s="14">
        <v>0</v>
      </c>
      <c r="E4" s="14">
        <v>0</v>
      </c>
      <c r="F4" s="14">
        <v>0</v>
      </c>
      <c r="G4" s="5">
        <v>-1.3759520370513201E-3</v>
      </c>
      <c r="H4" s="5">
        <v>-0.12723180651664701</v>
      </c>
      <c r="I4" s="5">
        <v>-1.5217980835586799E-3</v>
      </c>
      <c r="J4" s="5">
        <v>-8.26666504144669E-2</v>
      </c>
      <c r="K4" s="5">
        <v>-4.7411769628524798E-3</v>
      </c>
      <c r="L4" s="5">
        <v>0.81632339954376198</v>
      </c>
      <c r="M4" s="5">
        <v>8.6570498249679418E-29</v>
      </c>
      <c r="N4" s="5">
        <v>-4.7808942741925542E-2</v>
      </c>
      <c r="O4" s="5">
        <v>-9.8057780700620835E-12</v>
      </c>
      <c r="P4" s="5">
        <v>-0.11091139056343506</v>
      </c>
      <c r="Q4" s="5">
        <v>-1.6249757807823321E-10</v>
      </c>
      <c r="R4" s="5">
        <v>0.79227138841361089</v>
      </c>
      <c r="S4" s="5">
        <f t="shared" ref="S4:S12" si="2">G4-M4</f>
        <v>-1.3759520370513201E-3</v>
      </c>
      <c r="T4" s="5">
        <f t="shared" ref="T4:T12" si="3">H4-N4</f>
        <v>-7.9422863774721464E-2</v>
      </c>
      <c r="U4" s="5">
        <f t="shared" ref="U4:U12" si="4">I4-O4</f>
        <v>-1.5217980737529018E-3</v>
      </c>
      <c r="V4" s="5">
        <f t="shared" ref="V4:V12" si="5">J4-P4</f>
        <v>2.8244740148968162E-2</v>
      </c>
      <c r="W4" s="5">
        <f t="shared" ref="W4:W12" si="6">K4-Q4</f>
        <v>-4.7411768003549019E-3</v>
      </c>
      <c r="X4" s="5">
        <f t="shared" ref="X4:X12" si="7">L4-R4</f>
        <v>2.4052011130151096E-2</v>
      </c>
    </row>
    <row r="5" spans="1:24" s="5" customFormat="1" ht="16.5" customHeight="1" x14ac:dyDescent="0.25">
      <c r="A5" s="14">
        <v>0.3</v>
      </c>
      <c r="B5" s="14">
        <v>0.08</v>
      </c>
      <c r="C5" s="14">
        <f t="shared" si="1"/>
        <v>1.5707963267948966</v>
      </c>
      <c r="D5" s="14">
        <v>0</v>
      </c>
      <c r="E5" s="14">
        <v>0</v>
      </c>
      <c r="F5" s="14">
        <v>0</v>
      </c>
      <c r="G5" s="5">
        <v>-2.8428673977032298E-4</v>
      </c>
      <c r="H5" s="5">
        <v>-4.3962169438600499E-2</v>
      </c>
      <c r="I5" s="5">
        <v>-1.9410930690355599E-4</v>
      </c>
      <c r="J5" s="5">
        <v>-1.4232989400625199E-2</v>
      </c>
      <c r="K5" s="5">
        <v>8.0315023660659801E-4</v>
      </c>
      <c r="L5" s="5">
        <v>0.24872186779975899</v>
      </c>
      <c r="M5" s="5">
        <v>7.8837026108584179E-29</v>
      </c>
      <c r="N5" s="5">
        <v>-2.3964777682736683E-2</v>
      </c>
      <c r="O5" s="5">
        <v>-4.9152580663369886E-12</v>
      </c>
      <c r="P5" s="5">
        <v>-2.7727407098367116E-2</v>
      </c>
      <c r="Q5" s="5">
        <v>-6.1267608101018438E-11</v>
      </c>
      <c r="R5" s="5">
        <v>0.29871567015974465</v>
      </c>
      <c r="S5" s="5">
        <f t="shared" si="2"/>
        <v>-2.8428673977032298E-4</v>
      </c>
      <c r="T5" s="5">
        <f t="shared" si="3"/>
        <v>-1.9997391755863816E-2</v>
      </c>
      <c r="U5" s="5">
        <f t="shared" si="4"/>
        <v>-1.9410930198829793E-4</v>
      </c>
      <c r="V5" s="5">
        <f t="shared" si="5"/>
        <v>1.3494417697741916E-2</v>
      </c>
      <c r="W5" s="5">
        <f t="shared" si="6"/>
        <v>8.0315029787420607E-4</v>
      </c>
      <c r="X5" s="5">
        <f t="shared" si="7"/>
        <v>-4.9993802359985656E-2</v>
      </c>
    </row>
    <row r="6" spans="1:24" s="5" customFormat="1" ht="16.5" customHeight="1" x14ac:dyDescent="0.25">
      <c r="A6" s="14">
        <v>0.5</v>
      </c>
      <c r="B6" s="14">
        <v>0.1</v>
      </c>
      <c r="C6" s="14">
        <f t="shared" si="1"/>
        <v>1.5707963267948966</v>
      </c>
      <c r="D6" s="14">
        <v>0</v>
      </c>
      <c r="E6" s="14">
        <v>0</v>
      </c>
      <c r="F6" s="14">
        <v>0</v>
      </c>
      <c r="G6" s="5">
        <v>-9.02065541595221E-4</v>
      </c>
      <c r="H6" s="5">
        <v>-9.5010705292224898E-2</v>
      </c>
      <c r="I6" s="5">
        <v>-3.1485431827604798E-4</v>
      </c>
      <c r="J6" s="5">
        <v>-0.14170777797699</v>
      </c>
      <c r="K6" s="5">
        <v>3.2724365592002899E-3</v>
      </c>
      <c r="L6" s="5">
        <v>0.46851912140846302</v>
      </c>
      <c r="M6" s="5">
        <v>-3.9218389338903141E-28</v>
      </c>
      <c r="N6" s="5">
        <v>-4.9707039910064546E-2</v>
      </c>
      <c r="O6" s="5">
        <v>-1.0195084306902635E-11</v>
      </c>
      <c r="P6" s="5">
        <v>-0.12041809782859637</v>
      </c>
      <c r="Q6" s="5">
        <v>-9.953288736015715E-11</v>
      </c>
      <c r="R6" s="5">
        <v>0.48528144107896909</v>
      </c>
      <c r="S6" s="5">
        <f t="shared" si="2"/>
        <v>-9.02065541595221E-4</v>
      </c>
      <c r="T6" s="5">
        <f t="shared" si="3"/>
        <v>-4.5303665382160352E-2</v>
      </c>
      <c r="U6" s="5">
        <f t="shared" si="4"/>
        <v>-3.1485430808096367E-4</v>
      </c>
      <c r="V6" s="5">
        <f t="shared" si="5"/>
        <v>-2.1289680148393622E-2</v>
      </c>
      <c r="W6" s="5">
        <f t="shared" si="6"/>
        <v>3.2724366587331775E-3</v>
      </c>
      <c r="X6" s="5">
        <f t="shared" si="7"/>
        <v>-1.6762319670506065E-2</v>
      </c>
    </row>
    <row r="7" spans="1:24" s="5" customFormat="1" ht="16.5" customHeight="1" x14ac:dyDescent="0.25">
      <c r="A7" s="14">
        <v>0.7</v>
      </c>
      <c r="B7" s="14">
        <v>0.1</v>
      </c>
      <c r="C7" s="14">
        <f t="shared" si="1"/>
        <v>1.5707963267948966</v>
      </c>
      <c r="D7" s="14">
        <v>0</v>
      </c>
      <c r="E7" s="14">
        <v>0</v>
      </c>
      <c r="F7" s="14">
        <v>0</v>
      </c>
      <c r="G7" s="5">
        <v>-1.3697715476155301E-3</v>
      </c>
      <c r="H7" s="5">
        <v>-0.129899337887764</v>
      </c>
      <c r="I7" s="5">
        <v>-1.1154995299875699E-3</v>
      </c>
      <c r="J7" s="5">
        <v>-0.27736902236938499</v>
      </c>
      <c r="K7" s="5">
        <v>2.9984340071678201E-3</v>
      </c>
      <c r="L7" s="5">
        <v>0.62586665153503396</v>
      </c>
      <c r="M7" s="5">
        <v>-1.4743272816311119E-29</v>
      </c>
      <c r="N7" s="5">
        <v>-6.9199881007455472E-2</v>
      </c>
      <c r="O7" s="5">
        <v>-1.4193132847482058E-11</v>
      </c>
      <c r="P7" s="5">
        <v>-0.23336075227439265</v>
      </c>
      <c r="Q7" s="5">
        <v>-1.3535852554798392E-10</v>
      </c>
      <c r="R7" s="5">
        <v>0.6599525250640369</v>
      </c>
      <c r="S7" s="5">
        <f t="shared" si="2"/>
        <v>-1.3697715476155301E-3</v>
      </c>
      <c r="T7" s="5">
        <f t="shared" si="3"/>
        <v>-6.0699456880308533E-2</v>
      </c>
      <c r="U7" s="5">
        <f t="shared" si="4"/>
        <v>-1.1154995157944372E-3</v>
      </c>
      <c r="V7" s="5">
        <f t="shared" si="5"/>
        <v>-4.4008270094992336E-2</v>
      </c>
      <c r="W7" s="5">
        <f t="shared" si="6"/>
        <v>2.9984341425263457E-3</v>
      </c>
      <c r="X7" s="5">
        <f t="shared" si="7"/>
        <v>-3.4085873529002941E-2</v>
      </c>
    </row>
    <row r="8" spans="1:24" s="5" customFormat="1" ht="16.5" customHeight="1" x14ac:dyDescent="0.25">
      <c r="A8" s="14">
        <v>0.4</v>
      </c>
      <c r="B8" s="14">
        <v>0.16</v>
      </c>
      <c r="C8" s="14">
        <f t="shared" si="1"/>
        <v>1.5707963267948966</v>
      </c>
      <c r="D8" s="14">
        <v>0</v>
      </c>
      <c r="E8" s="14">
        <v>0</v>
      </c>
      <c r="F8" s="14">
        <v>0</v>
      </c>
      <c r="G8" s="5">
        <v>-1.30162085406482E-3</v>
      </c>
      <c r="H8" s="5">
        <v>-9.1771319508552607E-2</v>
      </c>
      <c r="I8" s="5">
        <v>-6.8558257771655895E-4</v>
      </c>
      <c r="J8" s="5">
        <v>-0.188138782978058</v>
      </c>
      <c r="K8" s="5">
        <v>3.5599116235971499E-3</v>
      </c>
      <c r="L8" s="5">
        <v>0.316497713327408</v>
      </c>
      <c r="M8" s="5">
        <v>1.228843973044815E-27</v>
      </c>
      <c r="N8" s="5">
        <v>-6.252332921339844E-2</v>
      </c>
      <c r="O8" s="5">
        <v>-1.2823749183860777E-11</v>
      </c>
      <c r="P8" s="5">
        <v>-0.19044523814794714</v>
      </c>
      <c r="Q8" s="5">
        <v>-7.2145776575708306E-11</v>
      </c>
      <c r="R8" s="5">
        <v>0.35175314765796617</v>
      </c>
      <c r="S8" s="5">
        <f t="shared" si="2"/>
        <v>-1.30162085406482E-3</v>
      </c>
      <c r="T8" s="5">
        <f t="shared" si="3"/>
        <v>-2.9247990295154166E-2</v>
      </c>
      <c r="U8" s="5">
        <f t="shared" si="4"/>
        <v>-6.8558256489280973E-4</v>
      </c>
      <c r="V8" s="5">
        <f t="shared" si="5"/>
        <v>2.3064551698891433E-3</v>
      </c>
      <c r="W8" s="5">
        <f t="shared" si="6"/>
        <v>3.5599116957429266E-3</v>
      </c>
      <c r="X8" s="5">
        <f t="shared" si="7"/>
        <v>-3.5255434330558166E-2</v>
      </c>
    </row>
    <row r="9" spans="1:24" s="5" customFormat="1" ht="16.5" customHeight="1" x14ac:dyDescent="0.25">
      <c r="A9" s="14">
        <v>0.6</v>
      </c>
      <c r="B9" s="14">
        <v>0.16</v>
      </c>
      <c r="C9" s="14">
        <f t="shared" si="1"/>
        <v>1.5707963267948966</v>
      </c>
      <c r="D9" s="14">
        <v>0</v>
      </c>
      <c r="E9" s="14">
        <v>0</v>
      </c>
      <c r="F9" s="14">
        <v>0</v>
      </c>
      <c r="G9" s="5">
        <v>-2.1819151006638999E-3</v>
      </c>
      <c r="H9" s="5">
        <v>-0.134275212883949</v>
      </c>
      <c r="I9" s="5">
        <v>-2.8121363720856602E-4</v>
      </c>
      <c r="J9" s="5">
        <v>-0.47822567820549</v>
      </c>
      <c r="K9" s="5">
        <v>1.2040870264172601E-2</v>
      </c>
      <c r="L9" s="5">
        <v>0.39143002033233598</v>
      </c>
      <c r="M9" s="5">
        <v>-1.1392874992027733E-27</v>
      </c>
      <c r="N9" s="5">
        <v>-9.0970655886540464E-2</v>
      </c>
      <c r="O9" s="5">
        <v>-1.8658393416617819E-11</v>
      </c>
      <c r="P9" s="5">
        <v>-0.4031865935085473</v>
      </c>
      <c r="Q9" s="5">
        <v>-9.1135864002492604E-11</v>
      </c>
      <c r="R9" s="5">
        <v>0.44434100717960628</v>
      </c>
      <c r="S9" s="5">
        <f t="shared" si="2"/>
        <v>-2.1819151006638999E-3</v>
      </c>
      <c r="T9" s="5">
        <f t="shared" si="3"/>
        <v>-4.3304556997408539E-2</v>
      </c>
      <c r="U9" s="5">
        <f t="shared" si="4"/>
        <v>-2.8121361855017261E-4</v>
      </c>
      <c r="V9" s="5">
        <f t="shared" si="5"/>
        <v>-7.5039084696942704E-2</v>
      </c>
      <c r="W9" s="5">
        <f t="shared" si="6"/>
        <v>1.2040870355308465E-2</v>
      </c>
      <c r="X9" s="5">
        <f t="shared" si="7"/>
        <v>-5.2910986847270303E-2</v>
      </c>
    </row>
    <row r="10" spans="1:24" s="5" customFormat="1" ht="16.5" customHeight="1" x14ac:dyDescent="0.25">
      <c r="A10" s="14">
        <v>0.8</v>
      </c>
      <c r="B10" s="14">
        <v>0.18</v>
      </c>
      <c r="C10" s="14">
        <f t="shared" si="1"/>
        <v>1.5707963267948966</v>
      </c>
      <c r="D10" s="14">
        <v>0</v>
      </c>
      <c r="E10" s="14">
        <v>0</v>
      </c>
      <c r="F10" s="14">
        <v>0</v>
      </c>
      <c r="G10" s="5">
        <v>-1.05854228604585E-3</v>
      </c>
      <c r="H10" s="5">
        <v>-0.13548035919666301</v>
      </c>
      <c r="I10" s="5">
        <v>-1.24974839854985E-3</v>
      </c>
      <c r="J10" s="5">
        <v>-0.72550737857818604</v>
      </c>
      <c r="K10" s="5">
        <v>2.9684353619813902E-2</v>
      </c>
      <c r="L10" s="5">
        <v>0.13168570399284399</v>
      </c>
      <c r="M10" s="5">
        <v>-9.0492831493179659E-27</v>
      </c>
      <c r="N10" s="5">
        <v>-0.12381201516093293</v>
      </c>
      <c r="O10" s="5">
        <v>-2.5394268800899528E-11</v>
      </c>
      <c r="P10" s="5">
        <v>-0.74838044308149954</v>
      </c>
      <c r="Q10" s="5">
        <v>-5.7984119989962981E-11</v>
      </c>
      <c r="R10" s="5">
        <v>0.2827067319629365</v>
      </c>
      <c r="S10" s="5">
        <f t="shared" si="2"/>
        <v>-1.05854228604585E-3</v>
      </c>
      <c r="T10" s="5">
        <f t="shared" si="3"/>
        <v>-1.1668344035730083E-2</v>
      </c>
      <c r="U10" s="5">
        <f t="shared" si="4"/>
        <v>-1.2497483731555813E-3</v>
      </c>
      <c r="V10" s="5">
        <f t="shared" si="5"/>
        <v>2.28730645033135E-2</v>
      </c>
      <c r="W10" s="5">
        <f t="shared" si="6"/>
        <v>2.9684353677798023E-2</v>
      </c>
      <c r="X10" s="5">
        <f t="shared" si="7"/>
        <v>-0.15102102797009251</v>
      </c>
    </row>
    <row r="11" spans="1:24" s="5" customFormat="1" ht="16.5" customHeight="1" x14ac:dyDescent="0.25">
      <c r="A11" s="14">
        <v>0.3</v>
      </c>
      <c r="B11" s="14">
        <v>0.2</v>
      </c>
      <c r="C11" s="14">
        <f t="shared" si="1"/>
        <v>1.5707963267948966</v>
      </c>
      <c r="D11" s="14">
        <v>0</v>
      </c>
      <c r="E11" s="14">
        <v>0</v>
      </c>
      <c r="F11" s="14">
        <v>0</v>
      </c>
      <c r="G11" s="5">
        <v>-8.8630802929401398E-4</v>
      </c>
      <c r="H11" s="5">
        <v>-6.7533724009990706E-2</v>
      </c>
      <c r="I11" s="5">
        <v>-4.7554963384754999E-4</v>
      </c>
      <c r="J11" s="5">
        <v>-0.16650235652923601</v>
      </c>
      <c r="K11" s="5">
        <v>2.7373749762773501E-3</v>
      </c>
      <c r="L11" s="5">
        <v>0.18086977303028101</v>
      </c>
      <c r="M11" s="5">
        <v>-5.1505969389771678E-29</v>
      </c>
      <c r="N11" s="5">
        <v>-5.7439839371903403E-2</v>
      </c>
      <c r="O11" s="5">
        <v>-1.1781107988547287E-11</v>
      </c>
      <c r="P11" s="5">
        <v>-0.16082530718092822</v>
      </c>
      <c r="Q11" s="5">
        <v>-5.1942302689455552E-11</v>
      </c>
      <c r="R11" s="5">
        <v>0.25324931457970701</v>
      </c>
      <c r="S11" s="5">
        <f t="shared" si="2"/>
        <v>-8.8630802929401398E-4</v>
      </c>
      <c r="T11" s="5">
        <f t="shared" si="3"/>
        <v>-1.0093884638087303E-2</v>
      </c>
      <c r="U11" s="5">
        <f t="shared" si="4"/>
        <v>-4.75549622066442E-4</v>
      </c>
      <c r="V11" s="5">
        <f t="shared" si="5"/>
        <v>-5.6770493483077888E-3</v>
      </c>
      <c r="W11" s="5">
        <f t="shared" si="6"/>
        <v>2.737375028219653E-3</v>
      </c>
      <c r="X11" s="5">
        <f t="shared" si="7"/>
        <v>-7.2379541549425996E-2</v>
      </c>
    </row>
    <row r="12" spans="1:24" s="5" customFormat="1" ht="16.5" customHeight="1" x14ac:dyDescent="0.25">
      <c r="A12" s="14">
        <v>0.7</v>
      </c>
      <c r="B12" s="14">
        <v>0.2</v>
      </c>
      <c r="C12" s="14">
        <f t="shared" si="1"/>
        <v>1.5707963267948966</v>
      </c>
      <c r="D12" s="14">
        <v>0</v>
      </c>
      <c r="E12" s="14">
        <v>0</v>
      </c>
      <c r="F12" s="14">
        <v>0</v>
      </c>
      <c r="G12" s="5">
        <v>-2.7598871383815999E-3</v>
      </c>
      <c r="H12" s="5">
        <v>-0.127221524715424</v>
      </c>
      <c r="I12" s="5">
        <v>-8.8058260735124404E-4</v>
      </c>
      <c r="J12" s="5">
        <v>-0.67187190055847201</v>
      </c>
      <c r="K12" s="5">
        <v>1.79205909371376E-2</v>
      </c>
      <c r="L12" s="5">
        <v>6.6542282700538594E-2</v>
      </c>
      <c r="M12" s="5">
        <v>-7.8162421420922927E-27</v>
      </c>
      <c r="N12" s="5">
        <v>-0.11696093296346213</v>
      </c>
      <c r="O12" s="5">
        <v>-2.3989088353157883E-11</v>
      </c>
      <c r="P12" s="5">
        <v>-0.66679932886931181</v>
      </c>
      <c r="Q12" s="5">
        <v>-4.3691603932772364E-11</v>
      </c>
      <c r="R12" s="5">
        <v>0.21302229928109873</v>
      </c>
      <c r="S12" s="5">
        <f t="shared" si="2"/>
        <v>-2.7598871383815999E-3</v>
      </c>
      <c r="T12" s="5">
        <f t="shared" si="3"/>
        <v>-1.0260591751961867E-2</v>
      </c>
      <c r="U12" s="5">
        <f t="shared" si="4"/>
        <v>-8.8058258336215565E-4</v>
      </c>
      <c r="V12" s="5">
        <f t="shared" si="5"/>
        <v>-5.0725716891601991E-3</v>
      </c>
      <c r="W12" s="5">
        <f t="shared" si="6"/>
        <v>1.7920590980829203E-2</v>
      </c>
      <c r="X12" s="5">
        <f t="shared" si="7"/>
        <v>-0.14648001658056015</v>
      </c>
    </row>
    <row r="13" spans="1:24" ht="16.5" customHeight="1" x14ac:dyDescent="0.25">
      <c r="S13" s="9"/>
      <c r="T13" s="9"/>
      <c r="U13" s="9"/>
      <c r="V13" s="9"/>
      <c r="W13" s="9"/>
      <c r="X13" s="9"/>
    </row>
    <row r="14" spans="1:24" ht="16.5" customHeight="1" x14ac:dyDescent="0.25">
      <c r="G14" s="7"/>
      <c r="M14" s="13"/>
      <c r="N14" s="13"/>
      <c r="O14" s="13"/>
      <c r="P14" s="13"/>
      <c r="Q14" s="13"/>
      <c r="R14" s="13"/>
    </row>
  </sheetData>
  <mergeCells count="4">
    <mergeCell ref="A1:F1"/>
    <mergeCell ref="G1:L1"/>
    <mergeCell ref="M1:R1"/>
    <mergeCell ref="S1:X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E692-1589-4E2A-898E-0D9349F16FCD}">
  <dimension ref="A1:Y12"/>
  <sheetViews>
    <sheetView workbookViewId="0">
      <pane ySplit="2" topLeftCell="A3" activePane="bottomLeft" state="frozen"/>
      <selection activeCell="K1" sqref="K1"/>
      <selection pane="bottomLeft" activeCell="W6" sqref="W6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8" bestFit="1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7</v>
      </c>
      <c r="N1" s="26"/>
      <c r="O1" s="26"/>
      <c r="P1" s="26"/>
      <c r="Q1" s="27" t="s">
        <v>13</v>
      </c>
      <c r="R1" s="27"/>
      <c r="S1" s="27"/>
      <c r="T1" s="30" t="s">
        <v>40</v>
      </c>
      <c r="U1" s="30"/>
      <c r="V1" s="30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-2.8477585874497901E-4</v>
      </c>
      <c r="H3" s="5">
        <f>'Proximal Validation'!H3</f>
        <v>-5.8327373117208502E-2</v>
      </c>
      <c r="I3" s="5">
        <f>'Proximal Validation'!I3</f>
        <v>-1.50670297443867E-4</v>
      </c>
      <c r="J3" s="5">
        <f>'Proximal Validation'!J3</f>
        <v>6.01342367008328E-3</v>
      </c>
      <c r="K3" s="5">
        <f>'Proximal Validation'!K3</f>
        <v>2.2609531879425001E-3</v>
      </c>
      <c r="L3" s="5">
        <f>'Proximal Validation'!L3</f>
        <v>0.37637501955032299</v>
      </c>
      <c r="M3" s="5">
        <v>0.32075782814524645</v>
      </c>
      <c r="N3" s="5">
        <v>7.4003821461399819E-2</v>
      </c>
      <c r="O3" s="5">
        <v>1.5853023231065195</v>
      </c>
      <c r="P3" s="11">
        <v>2.6149565217337974E-6</v>
      </c>
      <c r="Q3" s="5">
        <f>M3-A3</f>
        <v>-7.9242171854753574E-2</v>
      </c>
      <c r="R3" s="5">
        <f>N3-B3</f>
        <v>1.4003821461399821E-2</v>
      </c>
      <c r="S3" s="5">
        <f>O3-C3</f>
        <v>1.4505996311622971E-2</v>
      </c>
      <c r="T3" s="5">
        <f>ABS(Q3)</f>
        <v>7.9242171854753574E-2</v>
      </c>
      <c r="U3" s="5">
        <f t="shared" ref="U3:V12" si="0">ABS(R3)</f>
        <v>1.4003821461399821E-2</v>
      </c>
      <c r="V3" s="5">
        <f t="shared" si="0"/>
        <v>1.4505996311622971E-2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-1.3759520370513201E-3</v>
      </c>
      <c r="H4" s="8">
        <f>'Proximal Validation'!H4</f>
        <v>-0.12723180651664701</v>
      </c>
      <c r="I4" s="8">
        <f>'Proximal Validation'!I4</f>
        <v>-1.5217980835586799E-3</v>
      </c>
      <c r="J4" s="8">
        <f>'Proximal Validation'!J4</f>
        <v>-8.26666504144669E-2</v>
      </c>
      <c r="K4" s="8">
        <f>'Proximal Validation'!K4</f>
        <v>-4.7411769628524798E-3</v>
      </c>
      <c r="L4" s="8">
        <f>'Proximal Validation'!L4</f>
        <v>0.81632339954376198</v>
      </c>
      <c r="M4" s="8">
        <v>0.69921487566029394</v>
      </c>
      <c r="N4" s="8">
        <v>7.3995548260789301E-2</v>
      </c>
      <c r="O4" s="8">
        <v>1.5911625880769449</v>
      </c>
      <c r="P4" s="12">
        <v>5.8117385846313961E-6</v>
      </c>
      <c r="Q4" s="5">
        <f t="shared" ref="Q4:S12" si="1">M4-A4</f>
        <v>-0.1007851243397061</v>
      </c>
      <c r="R4" s="5">
        <f t="shared" si="1"/>
        <v>1.3995548260789303E-2</v>
      </c>
      <c r="S4" s="5">
        <f t="shared" si="1"/>
        <v>2.0366261282048326E-2</v>
      </c>
      <c r="T4" s="5">
        <f t="shared" ref="T4:T12" si="2">ABS(Q4)</f>
        <v>0.1007851243397061</v>
      </c>
      <c r="U4" s="5">
        <f t="shared" si="0"/>
        <v>1.3995548260789303E-2</v>
      </c>
      <c r="V4" s="5">
        <f t="shared" si="0"/>
        <v>2.0366261282048326E-2</v>
      </c>
      <c r="W4" s="6" cm="1">
        <f t="array" ref="W4">AVERAGE(ABS(Q3:Q12))</f>
        <v>0.12164730960593353</v>
      </c>
      <c r="X4" s="6" cm="1">
        <f t="array" ref="X4">AVERAGE(ABS(R3:R12))</f>
        <v>3.1777695508818003E-2</v>
      </c>
      <c r="Y4" s="6" cm="1">
        <f t="array" ref="Y4">AVERAGE(ABS(S3:S12))</f>
        <v>1.7360682989122678E-2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-2.8428673977032298E-4</v>
      </c>
      <c r="H5" s="5">
        <f>'Proximal Validation'!H5</f>
        <v>-4.3962169438600499E-2</v>
      </c>
      <c r="I5" s="5">
        <f>'Proximal Validation'!I5</f>
        <v>-1.9410930690355599E-4</v>
      </c>
      <c r="J5" s="5">
        <f>'Proximal Validation'!J5</f>
        <v>-1.4232989400625199E-2</v>
      </c>
      <c r="K5" s="5">
        <f>'Proximal Validation'!K5</f>
        <v>8.0315023660659801E-4</v>
      </c>
      <c r="L5" s="5">
        <f>'Proximal Validation'!L5</f>
        <v>0.24872186779975899</v>
      </c>
      <c r="M5" s="5">
        <v>0.28895388073080225</v>
      </c>
      <c r="N5" s="5">
        <v>7.42178397549874E-2</v>
      </c>
      <c r="O5" s="5">
        <v>1.5831417167977364</v>
      </c>
      <c r="P5" s="11">
        <v>1.4716480697429027E-7</v>
      </c>
      <c r="Q5" s="5">
        <f t="shared" si="1"/>
        <v>-1.1046119269197741E-2</v>
      </c>
      <c r="R5" s="5">
        <f t="shared" si="1"/>
        <v>-5.782160245012602E-3</v>
      </c>
      <c r="S5" s="5">
        <f t="shared" si="1"/>
        <v>1.2345390002839851E-2</v>
      </c>
      <c r="T5" s="5">
        <f t="shared" si="2"/>
        <v>1.1046119269197741E-2</v>
      </c>
      <c r="U5" s="5">
        <f t="shared" si="0"/>
        <v>5.782160245012602E-3</v>
      </c>
      <c r="V5" s="5">
        <f t="shared" si="0"/>
        <v>1.2345390002839851E-2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-9.02065541595221E-4</v>
      </c>
      <c r="H6" s="5">
        <f>'Proximal Validation'!H6</f>
        <v>-9.5010705292224898E-2</v>
      </c>
      <c r="I6" s="5">
        <f>'Proximal Validation'!I6</f>
        <v>-3.1485431827604798E-4</v>
      </c>
      <c r="J6" s="5">
        <f>'Proximal Validation'!J6</f>
        <v>-0.14170777797699</v>
      </c>
      <c r="K6" s="5">
        <f>'Proximal Validation'!K6</f>
        <v>3.2724365592002899E-3</v>
      </c>
      <c r="L6" s="5">
        <f>'Proximal Validation'!L6</f>
        <v>0.46851912140846302</v>
      </c>
      <c r="M6" s="5">
        <v>0.45239181112799459</v>
      </c>
      <c r="N6" s="5">
        <v>0.11835714043821086</v>
      </c>
      <c r="O6" s="5">
        <v>1.5823273711878392</v>
      </c>
      <c r="P6" s="11">
        <v>4.4460841505104192E-8</v>
      </c>
      <c r="Q6" s="5">
        <f t="shared" si="1"/>
        <v>-4.7608188872005408E-2</v>
      </c>
      <c r="R6" s="5">
        <f t="shared" si="1"/>
        <v>1.8357140438210851E-2</v>
      </c>
      <c r="S6" s="5">
        <f t="shared" si="1"/>
        <v>1.1531044392942613E-2</v>
      </c>
      <c r="T6" s="5">
        <f t="shared" si="2"/>
        <v>4.7608188872005408E-2</v>
      </c>
      <c r="U6" s="5">
        <f t="shared" si="0"/>
        <v>1.8357140438210851E-2</v>
      </c>
      <c r="V6" s="5">
        <f t="shared" si="0"/>
        <v>1.1531044392942613E-2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-1.3697715476155301E-3</v>
      </c>
      <c r="H7" s="5">
        <f>'Proximal Validation'!H7</f>
        <v>-0.129899337887764</v>
      </c>
      <c r="I7" s="5">
        <f>'Proximal Validation'!I7</f>
        <v>-1.1154995299875699E-3</v>
      </c>
      <c r="J7" s="5">
        <f>'Proximal Validation'!J7</f>
        <v>-0.27736902236938499</v>
      </c>
      <c r="K7" s="5">
        <f>'Proximal Validation'!K7</f>
        <v>2.9984340071678201E-3</v>
      </c>
      <c r="L7" s="5">
        <f>'Proximal Validation'!L7</f>
        <v>0.62586665153503396</v>
      </c>
      <c r="M7" s="5">
        <v>0.63538728943542566</v>
      </c>
      <c r="N7" s="5">
        <v>0.11895320824093356</v>
      </c>
      <c r="O7" s="5">
        <v>1.5896242439450536</v>
      </c>
      <c r="P7" s="11">
        <v>2.239848024433164E-7</v>
      </c>
      <c r="Q7" s="5">
        <f t="shared" si="1"/>
        <v>-6.4612710564574294E-2</v>
      </c>
      <c r="R7" s="5">
        <f t="shared" si="1"/>
        <v>1.895320824093355E-2</v>
      </c>
      <c r="S7" s="5">
        <f t="shared" si="1"/>
        <v>1.8827917150157081E-2</v>
      </c>
      <c r="T7" s="5">
        <f t="shared" si="2"/>
        <v>6.4612710564574294E-2</v>
      </c>
      <c r="U7" s="5">
        <f t="shared" si="0"/>
        <v>1.895320824093355E-2</v>
      </c>
      <c r="V7" s="5">
        <f t="shared" si="0"/>
        <v>1.8827917150157081E-2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-1.30162085406482E-3</v>
      </c>
      <c r="H8" s="5">
        <f>'Proximal Validation'!H8</f>
        <v>-9.1771319508552607E-2</v>
      </c>
      <c r="I8" s="5">
        <f>'Proximal Validation'!I8</f>
        <v>-6.8558257771655895E-4</v>
      </c>
      <c r="J8" s="5">
        <f>'Proximal Validation'!J8</f>
        <v>-0.188138782978058</v>
      </c>
      <c r="K8" s="5">
        <f>'Proximal Validation'!K8</f>
        <v>3.5599116235971499E-3</v>
      </c>
      <c r="L8" s="5">
        <f>'Proximal Validation'!L8</f>
        <v>0.316497713327408</v>
      </c>
      <c r="M8" s="5">
        <v>0.84373582880360964</v>
      </c>
      <c r="N8" s="5">
        <v>7.5210384964515486E-2</v>
      </c>
      <c r="O8" s="5">
        <v>1.5866905529363664</v>
      </c>
      <c r="P8" s="11">
        <v>4.1836825054186623E-8</v>
      </c>
      <c r="Q8" s="5">
        <f t="shared" si="1"/>
        <v>0.44373582880360962</v>
      </c>
      <c r="R8" s="5">
        <f t="shared" si="1"/>
        <v>-8.4789615035484517E-2</v>
      </c>
      <c r="S8" s="5">
        <f t="shared" si="1"/>
        <v>1.5894226141469847E-2</v>
      </c>
      <c r="T8" s="5">
        <f t="shared" si="2"/>
        <v>0.44373582880360962</v>
      </c>
      <c r="U8" s="5">
        <f t="shared" si="0"/>
        <v>8.4789615035484517E-2</v>
      </c>
      <c r="V8" s="5">
        <f t="shared" si="0"/>
        <v>1.5894226141469847E-2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-2.1819151006638999E-3</v>
      </c>
      <c r="H9" s="5">
        <f>'Proximal Validation'!H9</f>
        <v>-0.134275212883949</v>
      </c>
      <c r="I9" s="5">
        <f>'Proximal Validation'!I9</f>
        <v>-2.8121363720856602E-4</v>
      </c>
      <c r="J9" s="5">
        <f>'Proximal Validation'!J9</f>
        <v>-0.47822567820549</v>
      </c>
      <c r="K9" s="5">
        <f>'Proximal Validation'!K9</f>
        <v>1.2040870264172601E-2</v>
      </c>
      <c r="L9" s="5">
        <f>'Proximal Validation'!L9</f>
        <v>0.39143002033233598</v>
      </c>
      <c r="M9" s="5">
        <v>0.71228991536580089</v>
      </c>
      <c r="N9" s="5">
        <v>0.14679797709367529</v>
      </c>
      <c r="O9" s="5">
        <v>1.5845757713540167</v>
      </c>
      <c r="P9" s="11">
        <v>7.1171167032728378E-12</v>
      </c>
      <c r="Q9" s="5">
        <f t="shared" si="1"/>
        <v>0.11228991536580091</v>
      </c>
      <c r="R9" s="5">
        <f t="shared" si="1"/>
        <v>-1.3202022906324717E-2</v>
      </c>
      <c r="S9" s="5">
        <f t="shared" si="1"/>
        <v>1.3779444559120169E-2</v>
      </c>
      <c r="T9" s="5">
        <f t="shared" si="2"/>
        <v>0.11228991536580091</v>
      </c>
      <c r="U9" s="5">
        <f t="shared" si="0"/>
        <v>1.3202022906324717E-2</v>
      </c>
      <c r="V9" s="5">
        <f t="shared" si="0"/>
        <v>1.3779444559120169E-2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-1.05854228604585E-3</v>
      </c>
      <c r="H10" s="5">
        <f>'Proximal Validation'!H10</f>
        <v>-0.13548035919666301</v>
      </c>
      <c r="I10" s="5">
        <f>'Proximal Validation'!I10</f>
        <v>-1.24974839854985E-3</v>
      </c>
      <c r="J10" s="5">
        <f>'Proximal Validation'!J10</f>
        <v>-0.72550737857818604</v>
      </c>
      <c r="K10" s="5">
        <f>'Proximal Validation'!K10</f>
        <v>2.9684353619813902E-2</v>
      </c>
      <c r="L10" s="5">
        <f>'Proximal Validation'!L10</f>
        <v>0.13168570399284399</v>
      </c>
      <c r="M10" s="5">
        <v>0.86927639088459607</v>
      </c>
      <c r="N10" s="5">
        <v>0.15651368335008145</v>
      </c>
      <c r="O10" s="5">
        <v>1.6025043966658039</v>
      </c>
      <c r="P10" s="11">
        <v>3.6548770322275363E-7</v>
      </c>
      <c r="Q10" s="5">
        <f t="shared" si="1"/>
        <v>6.9276390884596029E-2</v>
      </c>
      <c r="R10" s="5">
        <f t="shared" si="1"/>
        <v>-2.3486316649918543E-2</v>
      </c>
      <c r="S10" s="5">
        <f t="shared" si="1"/>
        <v>3.1708069870907352E-2</v>
      </c>
      <c r="T10" s="5">
        <f t="shared" si="2"/>
        <v>6.9276390884596029E-2</v>
      </c>
      <c r="U10" s="5">
        <f t="shared" si="0"/>
        <v>2.3486316649918543E-2</v>
      </c>
      <c r="V10" s="5">
        <f t="shared" si="0"/>
        <v>3.1708069870907352E-2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-8.8630802929401398E-4</v>
      </c>
      <c r="H11" s="5">
        <f>'Proximal Validation'!H11</f>
        <v>-6.7533724009990706E-2</v>
      </c>
      <c r="I11" s="5">
        <f>'Proximal Validation'!I11</f>
        <v>-4.7554963384754999E-4</v>
      </c>
      <c r="J11" s="5">
        <f>'Proximal Validation'!J11</f>
        <v>-0.16650235652923601</v>
      </c>
      <c r="K11" s="5">
        <f>'Proximal Validation'!K11</f>
        <v>2.7373749762773501E-3</v>
      </c>
      <c r="L11" s="5">
        <f>'Proximal Validation'!L11</f>
        <v>0.18086977303028101</v>
      </c>
      <c r="M11" s="5">
        <v>0.45012259222037515</v>
      </c>
      <c r="N11" s="5">
        <v>0.11838761637842996</v>
      </c>
      <c r="O11" s="5">
        <v>1.5848803534284217</v>
      </c>
      <c r="P11" s="11">
        <v>2.5820283031320087E-6</v>
      </c>
      <c r="Q11" s="5">
        <f t="shared" si="1"/>
        <v>0.15012259222037516</v>
      </c>
      <c r="R11" s="5">
        <f t="shared" si="1"/>
        <v>-8.1612383621570056E-2</v>
      </c>
      <c r="S11" s="5">
        <f t="shared" si="1"/>
        <v>1.4084026633525148E-2</v>
      </c>
      <c r="T11" s="5">
        <f t="shared" si="2"/>
        <v>0.15012259222037516</v>
      </c>
      <c r="U11" s="5">
        <f t="shared" si="0"/>
        <v>8.1612383621570056E-2</v>
      </c>
      <c r="V11" s="5">
        <f t="shared" si="0"/>
        <v>1.4084026633525148E-2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-2.7598871383815999E-3</v>
      </c>
      <c r="H12" s="5">
        <f>'Proximal Validation'!H12</f>
        <v>-0.127221524715424</v>
      </c>
      <c r="I12" s="5">
        <f>'Proximal Validation'!I12</f>
        <v>-8.8058260735124404E-4</v>
      </c>
      <c r="J12" s="5">
        <f>'Proximal Validation'!J12</f>
        <v>-0.67187190055847201</v>
      </c>
      <c r="K12" s="5">
        <f>'Proximal Validation'!K12</f>
        <v>1.79205909371376E-2</v>
      </c>
      <c r="L12" s="5">
        <f>'Proximal Validation'!L12</f>
        <v>6.6542282700538594E-2</v>
      </c>
      <c r="M12" s="5">
        <v>0.83775405388471647</v>
      </c>
      <c r="N12" s="5">
        <v>0.15640526177146394</v>
      </c>
      <c r="O12" s="5">
        <v>1.59136078034149</v>
      </c>
      <c r="P12" s="11">
        <v>1.8885842966200743E-6</v>
      </c>
      <c r="Q12" s="5">
        <f t="shared" si="1"/>
        <v>0.13775405388471651</v>
      </c>
      <c r="R12" s="5">
        <f t="shared" si="1"/>
        <v>-4.3594738228536073E-2</v>
      </c>
      <c r="S12" s="5">
        <f t="shared" si="1"/>
        <v>2.056445354659342E-2</v>
      </c>
      <c r="T12" s="5">
        <f t="shared" si="2"/>
        <v>0.13775405388471651</v>
      </c>
      <c r="U12" s="5">
        <f t="shared" si="0"/>
        <v>4.3594738228536073E-2</v>
      </c>
      <c r="V12" s="5">
        <f t="shared" si="0"/>
        <v>2.056445354659342E-2</v>
      </c>
    </row>
  </sheetData>
  <mergeCells count="8">
    <mergeCell ref="W5:Y5"/>
    <mergeCell ref="A1:F1"/>
    <mergeCell ref="G1:L1"/>
    <mergeCell ref="M1:P1"/>
    <mergeCell ref="Q1:S1"/>
    <mergeCell ref="W1:Y1"/>
    <mergeCell ref="W2:Y2"/>
    <mergeCell ref="T1:V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D563-8DBD-45DC-BF52-C964ADBADB98}">
  <dimension ref="A1:Y12"/>
  <sheetViews>
    <sheetView tabSelected="1" workbookViewId="0">
      <pane ySplit="2" topLeftCell="A3" activePane="bottomLeft" state="frozen"/>
      <selection activeCell="K1" sqref="K1"/>
      <selection pane="bottomLeft" activeCell="T7" sqref="T7:V12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8" bestFit="1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7</v>
      </c>
      <c r="N1" s="26"/>
      <c r="O1" s="26"/>
      <c r="P1" s="26"/>
      <c r="Q1" s="27" t="s">
        <v>13</v>
      </c>
      <c r="R1" s="27"/>
      <c r="S1" s="27"/>
      <c r="T1" s="30" t="s">
        <v>40</v>
      </c>
      <c r="U1" s="30"/>
      <c r="V1" s="30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-2.8477585874497901E-4</v>
      </c>
      <c r="H3" s="5">
        <f>'Proximal Validation'!H3</f>
        <v>-5.8327373117208502E-2</v>
      </c>
      <c r="I3" s="5">
        <f>'Proximal Validation'!I3</f>
        <v>-1.50670297443867E-4</v>
      </c>
      <c r="J3" s="5">
        <f>'Proximal Validation'!J3</f>
        <v>6.01342367008328E-3</v>
      </c>
      <c r="K3" s="5">
        <f>'Proximal Validation'!K3</f>
        <v>2.2609531879425001E-3</v>
      </c>
      <c r="L3" s="5">
        <f>'Proximal Validation'!L3</f>
        <v>0.37637501955032299</v>
      </c>
      <c r="M3" s="5"/>
      <c r="N3" s="5"/>
      <c r="O3" s="5"/>
      <c r="P3" s="11"/>
      <c r="Q3" s="5">
        <f>M3-A3</f>
        <v>-0.4</v>
      </c>
      <c r="R3" s="5">
        <f>N3-B3</f>
        <v>-0.06</v>
      </c>
      <c r="S3" s="5">
        <f>O3-C3</f>
        <v>-1.5707963267948966</v>
      </c>
      <c r="T3" s="5">
        <f>ABS(Q3)</f>
        <v>0.4</v>
      </c>
      <c r="U3" s="5">
        <f t="shared" ref="U3:V12" si="0">ABS(R3)</f>
        <v>0.06</v>
      </c>
      <c r="V3" s="5">
        <f t="shared" si="0"/>
        <v>1.5707963267948966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-1.3759520370513201E-3</v>
      </c>
      <c r="H4" s="8">
        <f>'Proximal Validation'!H4</f>
        <v>-0.12723180651664701</v>
      </c>
      <c r="I4" s="8">
        <f>'Proximal Validation'!I4</f>
        <v>-1.5217980835586799E-3</v>
      </c>
      <c r="J4" s="8">
        <f>'Proximal Validation'!J4</f>
        <v>-8.26666504144669E-2</v>
      </c>
      <c r="K4" s="8">
        <f>'Proximal Validation'!K4</f>
        <v>-4.7411769628524798E-3</v>
      </c>
      <c r="L4" s="8">
        <f>'Proximal Validation'!L4</f>
        <v>0.81632339954376198</v>
      </c>
      <c r="M4" s="8"/>
      <c r="N4" s="8"/>
      <c r="O4" s="8"/>
      <c r="P4" s="12"/>
      <c r="Q4" s="5">
        <f t="shared" ref="Q4:S12" si="1">M4-A4</f>
        <v>-0.8</v>
      </c>
      <c r="R4" s="5">
        <f t="shared" si="1"/>
        <v>-0.06</v>
      </c>
      <c r="S4" s="5">
        <f t="shared" si="1"/>
        <v>-1.5707963267948966</v>
      </c>
      <c r="T4" s="5">
        <f t="shared" ref="T4:T12" si="2">ABS(Q4)</f>
        <v>0.8</v>
      </c>
      <c r="U4" s="5">
        <f t="shared" si="0"/>
        <v>0.06</v>
      </c>
      <c r="V4" s="5">
        <f t="shared" si="0"/>
        <v>1.5707963267948966</v>
      </c>
      <c r="W4" s="6" cm="1">
        <f t="array" ref="W4">AVERAGE(ABS(Q7:Q12))</f>
        <v>3.1730969846375578E-2</v>
      </c>
      <c r="X4" s="6" cm="1">
        <f t="array" ref="X4">AVERAGE(ABS(R7:R12))</f>
        <v>9.7509644761511281E-3</v>
      </c>
      <c r="Y4" s="6" cm="1">
        <f t="array" ref="Y4">AVERAGE(ABS(S7:S12))</f>
        <v>1.3980338325821351E-2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-2.8428673977032298E-4</v>
      </c>
      <c r="H5" s="5">
        <f>'Proximal Validation'!H5</f>
        <v>-4.3962169438600499E-2</v>
      </c>
      <c r="I5" s="5">
        <f>'Proximal Validation'!I5</f>
        <v>-1.9410930690355599E-4</v>
      </c>
      <c r="J5" s="5">
        <f>'Proximal Validation'!J5</f>
        <v>-1.4232989400625199E-2</v>
      </c>
      <c r="K5" s="5">
        <f>'Proximal Validation'!K5</f>
        <v>8.0315023660659801E-4</v>
      </c>
      <c r="L5" s="5">
        <f>'Proximal Validation'!L5</f>
        <v>0.24872186779975899</v>
      </c>
      <c r="M5" s="5"/>
      <c r="N5" s="5"/>
      <c r="O5" s="5"/>
      <c r="P5" s="11"/>
      <c r="Q5" s="5">
        <f t="shared" si="1"/>
        <v>-0.3</v>
      </c>
      <c r="R5" s="5">
        <f t="shared" si="1"/>
        <v>-0.08</v>
      </c>
      <c r="S5" s="5">
        <f t="shared" si="1"/>
        <v>-1.5707963267948966</v>
      </c>
      <c r="T5" s="5">
        <f t="shared" si="2"/>
        <v>0.3</v>
      </c>
      <c r="U5" s="5">
        <f t="shared" si="0"/>
        <v>0.08</v>
      </c>
      <c r="V5" s="5">
        <f t="shared" si="0"/>
        <v>1.5707963267948966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-9.02065541595221E-4</v>
      </c>
      <c r="H6" s="5">
        <f>'Proximal Validation'!H6</f>
        <v>-9.5010705292224898E-2</v>
      </c>
      <c r="I6" s="5">
        <f>'Proximal Validation'!I6</f>
        <v>-3.1485431827604798E-4</v>
      </c>
      <c r="J6" s="5">
        <f>'Proximal Validation'!J6</f>
        <v>-0.14170777797699</v>
      </c>
      <c r="K6" s="5">
        <f>'Proximal Validation'!K6</f>
        <v>3.2724365592002899E-3</v>
      </c>
      <c r="L6" s="5">
        <f>'Proximal Validation'!L6</f>
        <v>0.46851912140846302</v>
      </c>
      <c r="M6" s="5"/>
      <c r="N6" s="5"/>
      <c r="O6" s="5"/>
      <c r="P6" s="11"/>
      <c r="Q6" s="5">
        <f t="shared" si="1"/>
        <v>-0.5</v>
      </c>
      <c r="R6" s="5">
        <f t="shared" si="1"/>
        <v>-0.1</v>
      </c>
      <c r="S6" s="5">
        <f t="shared" si="1"/>
        <v>-1.5707963267948966</v>
      </c>
      <c r="T6" s="5">
        <f t="shared" si="2"/>
        <v>0.5</v>
      </c>
      <c r="U6" s="5">
        <f t="shared" si="0"/>
        <v>0.1</v>
      </c>
      <c r="V6" s="5">
        <f t="shared" si="0"/>
        <v>1.5707963267948966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-1.3697715476155301E-3</v>
      </c>
      <c r="H7" s="5">
        <f>'Proximal Validation'!H7</f>
        <v>-0.129899337887764</v>
      </c>
      <c r="I7" s="5">
        <f>'Proximal Validation'!I7</f>
        <v>-1.1154995299875699E-3</v>
      </c>
      <c r="J7" s="5">
        <f>'Proximal Validation'!J7</f>
        <v>-0.27736902236938499</v>
      </c>
      <c r="K7" s="5">
        <f>'Proximal Validation'!K7</f>
        <v>2.9984340071678201E-3</v>
      </c>
      <c r="L7" s="5">
        <f>'Proximal Validation'!L7</f>
        <v>0.62586665153503396</v>
      </c>
      <c r="M7" s="5">
        <v>0.68118702694274647</v>
      </c>
      <c r="N7" s="5">
        <v>0.11069439685610816</v>
      </c>
      <c r="O7" s="5">
        <v>1.5797576119086036</v>
      </c>
      <c r="P7" s="11">
        <v>4.1736092682460039E-4</v>
      </c>
      <c r="Q7" s="5">
        <f t="shared" si="1"/>
        <v>-1.881297305725349E-2</v>
      </c>
      <c r="R7" s="5">
        <f t="shared" si="1"/>
        <v>1.0694396856108151E-2</v>
      </c>
      <c r="S7" s="5">
        <f t="shared" si="1"/>
        <v>8.9612851137070848E-3</v>
      </c>
      <c r="T7" s="5">
        <f t="shared" si="2"/>
        <v>1.881297305725349E-2</v>
      </c>
      <c r="U7" s="5">
        <f t="shared" si="0"/>
        <v>1.0694396856108151E-2</v>
      </c>
      <c r="V7" s="5">
        <f t="shared" si="0"/>
        <v>8.9612851137070848E-3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-1.30162085406482E-3</v>
      </c>
      <c r="H8" s="5">
        <f>'Proximal Validation'!H8</f>
        <v>-9.1771319508552607E-2</v>
      </c>
      <c r="I8" s="5">
        <f>'Proximal Validation'!I8</f>
        <v>-6.8558257771655895E-4</v>
      </c>
      <c r="J8" s="5">
        <f>'Proximal Validation'!J8</f>
        <v>-0.188138782978058</v>
      </c>
      <c r="K8" s="5">
        <f>'Proximal Validation'!K8</f>
        <v>3.5599116235971499E-3</v>
      </c>
      <c r="L8" s="5">
        <f>'Proximal Validation'!L8</f>
        <v>0.316497713327408</v>
      </c>
      <c r="M8" s="5">
        <v>0.37093282497834851</v>
      </c>
      <c r="N8" s="5">
        <v>0.17455942719844422</v>
      </c>
      <c r="O8" s="5">
        <v>1.5812390407904158</v>
      </c>
      <c r="P8" s="11">
        <v>2.6759736791444582E-4</v>
      </c>
      <c r="Q8" s="5">
        <f t="shared" si="1"/>
        <v>-2.9067175021651515E-2</v>
      </c>
      <c r="R8" s="5">
        <f t="shared" si="1"/>
        <v>1.4559427198444219E-2</v>
      </c>
      <c r="S8" s="5">
        <f t="shared" si="1"/>
        <v>1.0442713995519215E-2</v>
      </c>
      <c r="T8" s="5">
        <f t="shared" si="2"/>
        <v>2.9067175021651515E-2</v>
      </c>
      <c r="U8" s="5">
        <f t="shared" si="0"/>
        <v>1.4559427198444219E-2</v>
      </c>
      <c r="V8" s="5">
        <f t="shared" si="0"/>
        <v>1.0442713995519215E-2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-2.1819151006638999E-3</v>
      </c>
      <c r="H9" s="5">
        <f>'Proximal Validation'!H9</f>
        <v>-0.134275212883949</v>
      </c>
      <c r="I9" s="5">
        <f>'Proximal Validation'!I9</f>
        <v>-2.8121363720856602E-4</v>
      </c>
      <c r="J9" s="5">
        <f>'Proximal Validation'!J9</f>
        <v>-0.47822567820549</v>
      </c>
      <c r="K9" s="5">
        <f>'Proximal Validation'!K9</f>
        <v>1.2040870264172601E-2</v>
      </c>
      <c r="L9" s="5">
        <f>'Proximal Validation'!L9</f>
        <v>0.39143002033233598</v>
      </c>
      <c r="M9" s="5">
        <v>0.61813795433225582</v>
      </c>
      <c r="N9" s="5">
        <v>0.17325196279387556</v>
      </c>
      <c r="O9" s="5">
        <v>1.5785590974767594</v>
      </c>
      <c r="P9" s="11">
        <v>7.3911050691437958E-4</v>
      </c>
      <c r="Q9" s="5">
        <f t="shared" si="1"/>
        <v>1.8137954332255846E-2</v>
      </c>
      <c r="R9" s="5">
        <f t="shared" si="1"/>
        <v>1.3251962793875555E-2</v>
      </c>
      <c r="S9" s="5">
        <f t="shared" si="1"/>
        <v>7.7627706818628184E-3</v>
      </c>
      <c r="T9" s="5">
        <f t="shared" si="2"/>
        <v>1.8137954332255846E-2</v>
      </c>
      <c r="U9" s="5">
        <f t="shared" si="0"/>
        <v>1.3251962793875555E-2</v>
      </c>
      <c r="V9" s="5">
        <f t="shared" si="0"/>
        <v>7.7627706818628184E-3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-1.05854228604585E-3</v>
      </c>
      <c r="H10" s="5">
        <f>'Proximal Validation'!H10</f>
        <v>-0.13548035919666301</v>
      </c>
      <c r="I10" s="5">
        <f>'Proximal Validation'!I10</f>
        <v>-1.24974839854985E-3</v>
      </c>
      <c r="J10" s="5">
        <f>'Proximal Validation'!J10</f>
        <v>-0.72550737857818604</v>
      </c>
      <c r="K10" s="5">
        <f>'Proximal Validation'!K10</f>
        <v>2.9684353619813902E-2</v>
      </c>
      <c r="L10" s="5">
        <f>'Proximal Validation'!L10</f>
        <v>0.13168570399284399</v>
      </c>
      <c r="M10" s="5">
        <v>0.76314101264820078</v>
      </c>
      <c r="N10" s="5">
        <v>0.1999999999999775</v>
      </c>
      <c r="O10" s="5">
        <v>1.5990499161137131</v>
      </c>
      <c r="P10" s="11">
        <v>2.4474851507129106E-3</v>
      </c>
      <c r="Q10" s="5">
        <f t="shared" si="1"/>
        <v>-3.6858987351799266E-2</v>
      </c>
      <c r="R10" s="5">
        <f t="shared" si="1"/>
        <v>1.9999999999977508E-2</v>
      </c>
      <c r="S10" s="5">
        <f t="shared" si="1"/>
        <v>2.8253589318816497E-2</v>
      </c>
      <c r="T10" s="5">
        <f t="shared" si="2"/>
        <v>3.6858987351799266E-2</v>
      </c>
      <c r="U10" s="5">
        <f t="shared" si="0"/>
        <v>1.9999999999977508E-2</v>
      </c>
      <c r="V10" s="5">
        <f t="shared" si="0"/>
        <v>2.8253589318816497E-2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-8.8630802929401398E-4</v>
      </c>
      <c r="H11" s="5">
        <f>'Proximal Validation'!H11</f>
        <v>-6.7533724009990706E-2</v>
      </c>
      <c r="I11" s="5">
        <f>'Proximal Validation'!I11</f>
        <v>-4.7554963384754999E-4</v>
      </c>
      <c r="J11" s="5">
        <f>'Proximal Validation'!J11</f>
        <v>-0.16650235652923601</v>
      </c>
      <c r="K11" s="5">
        <f>'Proximal Validation'!K11</f>
        <v>2.7373749762773501E-3</v>
      </c>
      <c r="L11" s="5">
        <f>'Proximal Validation'!L11</f>
        <v>0.18086977303028101</v>
      </c>
      <c r="M11" s="5">
        <v>0.26631059051539396</v>
      </c>
      <c r="N11" s="5">
        <v>0.19999999999170265</v>
      </c>
      <c r="O11" s="5">
        <v>1.5808428498536367</v>
      </c>
      <c r="P11" s="11">
        <v>4.3007979121243338E-3</v>
      </c>
      <c r="Q11" s="5">
        <f t="shared" si="1"/>
        <v>-3.3689409484606025E-2</v>
      </c>
      <c r="R11" s="5">
        <f t="shared" si="1"/>
        <v>-8.2973627968385699E-12</v>
      </c>
      <c r="S11" s="5">
        <f t="shared" si="1"/>
        <v>1.0046523058740098E-2</v>
      </c>
      <c r="T11" s="5">
        <f t="shared" si="2"/>
        <v>3.3689409484606025E-2</v>
      </c>
      <c r="U11" s="5">
        <f t="shared" si="0"/>
        <v>8.2973627968385699E-12</v>
      </c>
      <c r="V11" s="5">
        <f t="shared" si="0"/>
        <v>1.0046523058740098E-2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-2.7598871383815999E-3</v>
      </c>
      <c r="H12" s="5">
        <f>'Proximal Validation'!H12</f>
        <v>-0.127221524715424</v>
      </c>
      <c r="I12" s="5">
        <f>'Proximal Validation'!I12</f>
        <v>-8.8058260735124404E-4</v>
      </c>
      <c r="J12" s="5">
        <f>'Proximal Validation'!J12</f>
        <v>-0.67187190055847201</v>
      </c>
      <c r="K12" s="5">
        <f>'Proximal Validation'!K12</f>
        <v>1.79205909371376E-2</v>
      </c>
      <c r="L12" s="5">
        <f>'Proximal Validation'!L12</f>
        <v>6.6542282700538594E-2</v>
      </c>
      <c r="M12" s="5">
        <v>0.75381931983068728</v>
      </c>
      <c r="N12" s="5">
        <v>0.19999999999979604</v>
      </c>
      <c r="O12" s="5">
        <v>1.589211474581179</v>
      </c>
      <c r="P12" s="11">
        <v>1.5559916060650748E-2</v>
      </c>
      <c r="Q12" s="5">
        <f t="shared" si="1"/>
        <v>5.3819319830687329E-2</v>
      </c>
      <c r="R12" s="5">
        <f t="shared" si="1"/>
        <v>-2.0397572519925689E-13</v>
      </c>
      <c r="S12" s="5">
        <f t="shared" si="1"/>
        <v>1.8415147786282393E-2</v>
      </c>
      <c r="T12" s="5">
        <f t="shared" si="2"/>
        <v>5.3819319830687329E-2</v>
      </c>
      <c r="U12" s="5">
        <f t="shared" si="0"/>
        <v>2.0397572519925689E-13</v>
      </c>
      <c r="V12" s="5">
        <f t="shared" si="0"/>
        <v>1.8415147786282393E-2</v>
      </c>
    </row>
  </sheetData>
  <mergeCells count="8">
    <mergeCell ref="W2:Y2"/>
    <mergeCell ref="W5:Y5"/>
    <mergeCell ref="A1:F1"/>
    <mergeCell ref="G1:L1"/>
    <mergeCell ref="M1:P1"/>
    <mergeCell ref="Q1:S1"/>
    <mergeCell ref="T1:V1"/>
    <mergeCell ref="W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Y60"/>
  <sheetViews>
    <sheetView workbookViewId="0">
      <pane ySplit="2" topLeftCell="A3" activePane="bottomLeft" state="frozen"/>
      <selection activeCell="K1" sqref="K1"/>
      <selection pane="bottomLeft" activeCell="G3" sqref="G3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15.28515625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39</v>
      </c>
      <c r="N1" s="26"/>
      <c r="O1" s="26"/>
      <c r="P1" s="26"/>
      <c r="Q1" s="27" t="s">
        <v>13</v>
      </c>
      <c r="R1" s="27"/>
      <c r="S1" s="27"/>
      <c r="T1" s="30" t="s">
        <v>40</v>
      </c>
      <c r="U1" s="30"/>
      <c r="V1" s="30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-2.8477585874497901E-4</v>
      </c>
      <c r="H3" s="5">
        <f>'Proximal Validation'!H3</f>
        <v>-5.8327373117208502E-2</v>
      </c>
      <c r="I3" s="5">
        <f>'Proximal Validation'!I3</f>
        <v>-1.50670297443867E-4</v>
      </c>
      <c r="J3" s="5">
        <f>'Proximal Validation'!J3</f>
        <v>6.01342367008328E-3</v>
      </c>
      <c r="K3" s="5">
        <f>'Proximal Validation'!K3</f>
        <v>2.2609531879425001E-3</v>
      </c>
      <c r="L3" s="5">
        <f>'Proximal Validation'!L3</f>
        <v>0.37637501955032299</v>
      </c>
      <c r="M3" s="5">
        <v>0.41842605547502415</v>
      </c>
      <c r="N3" s="5">
        <v>7.2239826660410636E-2</v>
      </c>
      <c r="O3" s="5">
        <v>1.5755253492704424</v>
      </c>
      <c r="P3" s="11">
        <v>2.310517408478807E-4</v>
      </c>
      <c r="Q3" s="5">
        <f>M3-A3</f>
        <v>1.8426055475024128E-2</v>
      </c>
      <c r="R3" s="5">
        <f>N3-B3</f>
        <v>1.2239826660410638E-2</v>
      </c>
      <c r="S3" s="5">
        <f>O3-C3</f>
        <v>4.7290224755458521E-3</v>
      </c>
      <c r="T3" s="5">
        <f>ABS(Q3)</f>
        <v>1.8426055475024128E-2</v>
      </c>
      <c r="U3" s="5">
        <f t="shared" ref="U3:V12" si="0">ABS(R3)</f>
        <v>1.2239826660410638E-2</v>
      </c>
      <c r="V3" s="5">
        <f t="shared" si="0"/>
        <v>4.7290224755458521E-3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-1.3759520370513201E-3</v>
      </c>
      <c r="H4" s="8">
        <f>'Proximal Validation'!H4</f>
        <v>-0.12723180651664701</v>
      </c>
      <c r="I4" s="8">
        <f>'Proximal Validation'!I4</f>
        <v>-1.5217980835586799E-3</v>
      </c>
      <c r="J4" s="8">
        <f>'Proximal Validation'!J4</f>
        <v>-8.26666504144669E-2</v>
      </c>
      <c r="K4" s="8">
        <f>'Proximal Validation'!K4</f>
        <v>-4.7411769628524798E-3</v>
      </c>
      <c r="L4" s="8">
        <f>'Proximal Validation'!L4</f>
        <v>0.81632339954376198</v>
      </c>
      <c r="M4" s="8">
        <v>0.75391514132687054</v>
      </c>
      <c r="N4" s="8">
        <v>7.3114233075238164E-2</v>
      </c>
      <c r="O4" s="8">
        <v>1.5947576526931535</v>
      </c>
      <c r="P4" s="12">
        <v>6.0886896719607815E-4</v>
      </c>
      <c r="Q4" s="5">
        <f t="shared" ref="Q4:Q12" si="1">M4-A4</f>
        <v>-4.6084858673129503E-2</v>
      </c>
      <c r="R4" s="5">
        <f t="shared" ref="R4:R12" si="2">N4-B4</f>
        <v>1.3114233075238166E-2</v>
      </c>
      <c r="S4" s="5">
        <f t="shared" ref="S4:S12" si="3">O4-C4</f>
        <v>2.3961325898256947E-2</v>
      </c>
      <c r="T4" s="5">
        <f t="shared" ref="T4:T12" si="4">ABS(Q4)</f>
        <v>4.6084858673129503E-2</v>
      </c>
      <c r="U4" s="5">
        <f t="shared" si="0"/>
        <v>1.3114233075238166E-2</v>
      </c>
      <c r="V4" s="5">
        <f t="shared" si="0"/>
        <v>2.3961325898256947E-2</v>
      </c>
      <c r="W4" s="6" cm="1">
        <f t="array" ref="W4">AVERAGE(ABS(Q3:Q12))</f>
        <v>4.5169067287390799E-2</v>
      </c>
      <c r="X4" s="6" cm="1">
        <f t="array" ref="X4">AVERAGE(ABS(R3:R12))</f>
        <v>1.592443351299563E-2</v>
      </c>
      <c r="Y4" s="6" cm="1">
        <f t="array" ref="Y4">AVERAGE(ABS(S3:S12))</f>
        <v>2.4517618809561759E-2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-2.8428673977032298E-4</v>
      </c>
      <c r="H5" s="5">
        <f>'Proximal Validation'!H5</f>
        <v>-4.3962169438600499E-2</v>
      </c>
      <c r="I5" s="5">
        <f>'Proximal Validation'!I5</f>
        <v>-1.9410930690355599E-4</v>
      </c>
      <c r="J5" s="5">
        <f>'Proximal Validation'!J5</f>
        <v>-1.4232989400625199E-2</v>
      </c>
      <c r="K5" s="5">
        <f>'Proximal Validation'!K5</f>
        <v>8.0315023660659801E-4</v>
      </c>
      <c r="L5" s="5">
        <f>'Proximal Validation'!L5</f>
        <v>0.24872186779975899</v>
      </c>
      <c r="M5" s="5">
        <v>0.29191363684574867</v>
      </c>
      <c r="N5" s="5">
        <v>8.7335290853829614E-2</v>
      </c>
      <c r="O5" s="5">
        <v>1.5874002175974913</v>
      </c>
      <c r="P5" s="11">
        <v>4.9943127456156075E-5</v>
      </c>
      <c r="Q5" s="5">
        <f t="shared" si="1"/>
        <v>-8.0863631542513192E-3</v>
      </c>
      <c r="R5" s="5">
        <f t="shared" si="2"/>
        <v>7.3352908538296124E-3</v>
      </c>
      <c r="S5" s="5">
        <f t="shared" si="3"/>
        <v>1.6603890802594723E-2</v>
      </c>
      <c r="T5" s="5">
        <f t="shared" si="4"/>
        <v>8.0863631542513192E-3</v>
      </c>
      <c r="U5" s="5">
        <f t="shared" si="0"/>
        <v>7.3352908538296124E-3</v>
      </c>
      <c r="V5" s="5">
        <f t="shared" si="0"/>
        <v>1.6603890802594723E-2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-9.02065541595221E-4</v>
      </c>
      <c r="H6" s="5">
        <f>'Proximal Validation'!H6</f>
        <v>-9.5010705292224898E-2</v>
      </c>
      <c r="I6" s="5">
        <f>'Proximal Validation'!I6</f>
        <v>-3.1485431827604798E-4</v>
      </c>
      <c r="J6" s="5">
        <f>'Proximal Validation'!J6</f>
        <v>-0.14170777797699</v>
      </c>
      <c r="K6" s="5">
        <f>'Proximal Validation'!K6</f>
        <v>3.2724365592002899E-3</v>
      </c>
      <c r="L6" s="5">
        <f>'Proximal Validation'!L6</f>
        <v>0.46851912140846302</v>
      </c>
      <c r="M6" s="5">
        <v>0.50454258482216741</v>
      </c>
      <c r="N6" s="5">
        <v>0.10805125225655324</v>
      </c>
      <c r="O6" s="5">
        <v>1.5698912177279192</v>
      </c>
      <c r="P6" s="11">
        <v>1.2594866902726018E-4</v>
      </c>
      <c r="Q6" s="5">
        <f t="shared" si="1"/>
        <v>4.5425848221674059E-3</v>
      </c>
      <c r="R6" s="5">
        <f t="shared" si="2"/>
        <v>8.0512522565532318E-3</v>
      </c>
      <c r="S6" s="5">
        <f t="shared" si="3"/>
        <v>-9.0510906697738314E-4</v>
      </c>
      <c r="T6" s="5">
        <f t="shared" si="4"/>
        <v>4.5425848221674059E-3</v>
      </c>
      <c r="U6" s="5">
        <f t="shared" si="0"/>
        <v>8.0512522565532318E-3</v>
      </c>
      <c r="V6" s="5">
        <f t="shared" si="0"/>
        <v>9.0510906697738314E-4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-1.3697715476155301E-3</v>
      </c>
      <c r="H7" s="5">
        <f>'Proximal Validation'!H7</f>
        <v>-0.129899337887764</v>
      </c>
      <c r="I7" s="5">
        <f>'Proximal Validation'!I7</f>
        <v>-1.1154995299875699E-3</v>
      </c>
      <c r="J7" s="5">
        <f>'Proximal Validation'!J7</f>
        <v>-0.27736902236938499</v>
      </c>
      <c r="K7" s="5">
        <f>'Proximal Validation'!K7</f>
        <v>2.9984340071678201E-3</v>
      </c>
      <c r="L7" s="5">
        <f>'Proximal Validation'!L7</f>
        <v>0.62586665153503396</v>
      </c>
      <c r="M7" s="5">
        <v>0.74900663153694746</v>
      </c>
      <c r="N7" s="5">
        <v>0.10419114600637572</v>
      </c>
      <c r="O7" s="5">
        <v>1.5883946707431085</v>
      </c>
      <c r="P7" s="11">
        <v>2.2753188201586066E-4</v>
      </c>
      <c r="Q7" s="5">
        <f t="shared" si="1"/>
        <v>4.9006631536947509E-2</v>
      </c>
      <c r="R7" s="5">
        <f t="shared" si="2"/>
        <v>4.1911460063757122E-3</v>
      </c>
      <c r="S7" s="5">
        <f t="shared" si="3"/>
        <v>1.7598343948211914E-2</v>
      </c>
      <c r="T7" s="5">
        <f t="shared" si="4"/>
        <v>4.9006631536947509E-2</v>
      </c>
      <c r="U7" s="5">
        <f t="shared" si="0"/>
        <v>4.1911460063757122E-3</v>
      </c>
      <c r="V7" s="5">
        <f t="shared" si="0"/>
        <v>1.7598343948211914E-2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-1.30162085406482E-3</v>
      </c>
      <c r="H8" s="5">
        <f>'Proximal Validation'!H8</f>
        <v>-9.1771319508552607E-2</v>
      </c>
      <c r="I8" s="5">
        <f>'Proximal Validation'!I8</f>
        <v>-6.8558257771655895E-4</v>
      </c>
      <c r="J8" s="5">
        <f>'Proximal Validation'!J8</f>
        <v>-0.188138782978058</v>
      </c>
      <c r="K8" s="5">
        <f>'Proximal Validation'!K8</f>
        <v>3.5599116235971499E-3</v>
      </c>
      <c r="L8" s="5">
        <f>'Proximal Validation'!L8</f>
        <v>0.316497713327408</v>
      </c>
      <c r="M8" s="5">
        <v>0.34959328798688843</v>
      </c>
      <c r="N8" s="5">
        <v>0.15969011930872445</v>
      </c>
      <c r="O8" s="5">
        <v>1.5457720217980624</v>
      </c>
      <c r="P8" s="11">
        <v>5.4004468020721439E-4</v>
      </c>
      <c r="Q8" s="5">
        <f t="shared" si="1"/>
        <v>-5.0406712013111588E-2</v>
      </c>
      <c r="R8" s="5">
        <f t="shared" si="2"/>
        <v>-3.0988069127554918E-4</v>
      </c>
      <c r="S8" s="5">
        <f t="shared" si="3"/>
        <v>-2.5024304996834168E-2</v>
      </c>
      <c r="T8" s="5">
        <f t="shared" si="4"/>
        <v>5.0406712013111588E-2</v>
      </c>
      <c r="U8" s="5">
        <f t="shared" si="0"/>
        <v>3.0988069127554918E-4</v>
      </c>
      <c r="V8" s="5">
        <f t="shared" si="0"/>
        <v>2.5024304996834168E-2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-2.1819151006638999E-3</v>
      </c>
      <c r="H9" s="5">
        <f>'Proximal Validation'!H9</f>
        <v>-0.134275212883949</v>
      </c>
      <c r="I9" s="5">
        <f>'Proximal Validation'!I9</f>
        <v>-2.8121363720856602E-4</v>
      </c>
      <c r="J9" s="5">
        <f>'Proximal Validation'!J9</f>
        <v>-0.47822567820549</v>
      </c>
      <c r="K9" s="5">
        <f>'Proximal Validation'!K9</f>
        <v>1.2040870264172601E-2</v>
      </c>
      <c r="L9" s="5">
        <f>'Proximal Validation'!L9</f>
        <v>0.39143002033233598</v>
      </c>
      <c r="M9" s="5">
        <v>0.71265372507349656</v>
      </c>
      <c r="N9" s="5">
        <v>0.13362845348804642</v>
      </c>
      <c r="O9" s="5">
        <v>1.564418464218599</v>
      </c>
      <c r="P9" s="11">
        <v>3.1582003402976015E-4</v>
      </c>
      <c r="Q9" s="5">
        <f t="shared" si="1"/>
        <v>0.11265372507349658</v>
      </c>
      <c r="R9" s="5">
        <f t="shared" si="2"/>
        <v>-2.6371546511953586E-2</v>
      </c>
      <c r="S9" s="5">
        <f t="shared" si="3"/>
        <v>-6.3778625762975771E-3</v>
      </c>
      <c r="T9" s="5">
        <f t="shared" si="4"/>
        <v>0.11265372507349658</v>
      </c>
      <c r="U9" s="5">
        <f t="shared" si="0"/>
        <v>2.6371546511953586E-2</v>
      </c>
      <c r="V9" s="5">
        <f t="shared" si="0"/>
        <v>6.3778625762975771E-3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-1.05854228604585E-3</v>
      </c>
      <c r="H10" s="5">
        <f>'Proximal Validation'!H10</f>
        <v>-0.13548035919666301</v>
      </c>
      <c r="I10" s="5">
        <f>'Proximal Validation'!I10</f>
        <v>-1.24974839854985E-3</v>
      </c>
      <c r="J10" s="5">
        <f>'Proximal Validation'!J10</f>
        <v>-0.72550737857818604</v>
      </c>
      <c r="K10" s="5">
        <f>'Proximal Validation'!K10</f>
        <v>2.9684353619813902E-2</v>
      </c>
      <c r="L10" s="5">
        <f>'Proximal Validation'!L10</f>
        <v>0.13168570399284399</v>
      </c>
      <c r="M10" s="5">
        <v>0.8038340682610956</v>
      </c>
      <c r="N10" s="5">
        <v>0.14965332296161285</v>
      </c>
      <c r="O10" s="5">
        <v>1.6227511680571338</v>
      </c>
      <c r="P10" s="11">
        <v>3.3327361829210467E-4</v>
      </c>
      <c r="Q10" s="5">
        <f t="shared" si="1"/>
        <v>3.8340682610955579E-3</v>
      </c>
      <c r="R10" s="5">
        <f t="shared" si="2"/>
        <v>-3.0346677038387143E-2</v>
      </c>
      <c r="S10" s="5">
        <f t="shared" si="3"/>
        <v>5.1954841262237261E-2</v>
      </c>
      <c r="T10" s="5">
        <f t="shared" si="4"/>
        <v>3.8340682610955579E-3</v>
      </c>
      <c r="U10" s="5">
        <f t="shared" si="0"/>
        <v>3.0346677038387143E-2</v>
      </c>
      <c r="V10" s="5">
        <f t="shared" si="0"/>
        <v>5.1954841262237261E-2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-8.8630802929401398E-4</v>
      </c>
      <c r="H11" s="5">
        <f>'Proximal Validation'!H11</f>
        <v>-6.7533724009990706E-2</v>
      </c>
      <c r="I11" s="5">
        <f>'Proximal Validation'!I11</f>
        <v>-4.7554963384754999E-4</v>
      </c>
      <c r="J11" s="5">
        <f>'Proximal Validation'!J11</f>
        <v>-0.16650235652923601</v>
      </c>
      <c r="K11" s="5">
        <f>'Proximal Validation'!K11</f>
        <v>2.7373749762773501E-3</v>
      </c>
      <c r="L11" s="5">
        <f>'Proximal Validation'!L11</f>
        <v>0.18086977303028101</v>
      </c>
      <c r="M11" s="5">
        <v>0.28964087448800452</v>
      </c>
      <c r="N11" s="5">
        <v>0.19999999999988483</v>
      </c>
      <c r="O11" s="5">
        <v>1.5720494323891605</v>
      </c>
      <c r="P11" s="11">
        <v>8.0054398910298162E-4</v>
      </c>
      <c r="Q11" s="5">
        <f t="shared" si="1"/>
        <v>-1.0359125511995471E-2</v>
      </c>
      <c r="R11" s="5">
        <f t="shared" si="2"/>
        <v>-1.1518563880485999E-13</v>
      </c>
      <c r="S11" s="5">
        <f t="shared" si="3"/>
        <v>1.253105594263948E-3</v>
      </c>
      <c r="T11" s="5">
        <f t="shared" si="4"/>
        <v>1.0359125511995471E-2</v>
      </c>
      <c r="U11" s="5">
        <f t="shared" si="0"/>
        <v>1.1518563880485999E-13</v>
      </c>
      <c r="V11" s="5">
        <f t="shared" si="0"/>
        <v>1.253105594263948E-3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-2.7598871383815999E-3</v>
      </c>
      <c r="H12" s="5">
        <f>'Proximal Validation'!H12</f>
        <v>-0.127221524715424</v>
      </c>
      <c r="I12" s="5">
        <f>'Proximal Validation'!I12</f>
        <v>-8.8058260735124404E-4</v>
      </c>
      <c r="J12" s="5">
        <f>'Proximal Validation'!J12</f>
        <v>-0.67187190055847201</v>
      </c>
      <c r="K12" s="5">
        <f>'Proximal Validation'!K12</f>
        <v>1.79205909371376E-2</v>
      </c>
      <c r="L12" s="5">
        <f>'Proximal Validation'!L12</f>
        <v>6.6542282700538594E-2</v>
      </c>
      <c r="M12" s="5">
        <v>0.84829054835268891</v>
      </c>
      <c r="N12" s="5">
        <v>0.14271551796418253</v>
      </c>
      <c r="O12" s="5">
        <v>1.6675647082692944</v>
      </c>
      <c r="P12" s="11">
        <v>4.7704038006776792E-4</v>
      </c>
      <c r="Q12" s="5">
        <f t="shared" si="1"/>
        <v>0.14829054835268896</v>
      </c>
      <c r="R12" s="5">
        <f t="shared" si="2"/>
        <v>-5.7284482035817486E-2</v>
      </c>
      <c r="S12" s="5">
        <f t="shared" si="3"/>
        <v>9.6768381474397813E-2</v>
      </c>
      <c r="T12" s="5">
        <f t="shared" si="4"/>
        <v>0.14829054835268896</v>
      </c>
      <c r="U12" s="5">
        <f t="shared" si="0"/>
        <v>5.7284482035817486E-2</v>
      </c>
      <c r="V12" s="5">
        <f t="shared" si="0"/>
        <v>9.6768381474397813E-2</v>
      </c>
    </row>
    <row r="14" spans="1:25" ht="15.75" x14ac:dyDescent="0.25">
      <c r="A14" s="31" t="s">
        <v>31</v>
      </c>
      <c r="B14" s="32"/>
      <c r="C14" s="33"/>
    </row>
    <row r="15" spans="1:25" x14ac:dyDescent="0.25">
      <c r="A15">
        <v>0.5</v>
      </c>
      <c r="B15">
        <v>0</v>
      </c>
      <c r="C15">
        <v>0</v>
      </c>
    </row>
    <row r="16" spans="1:25" x14ac:dyDescent="0.25">
      <c r="A16">
        <v>0</v>
      </c>
      <c r="B16">
        <v>0.5</v>
      </c>
      <c r="C16">
        <v>0</v>
      </c>
    </row>
    <row r="17" spans="1:12" x14ac:dyDescent="0.25">
      <c r="A17">
        <v>0</v>
      </c>
      <c r="B17">
        <v>0</v>
      </c>
      <c r="C17">
        <v>0.5</v>
      </c>
    </row>
    <row r="19" spans="1:12" ht="15.75" thickBot="1" x14ac:dyDescent="0.3"/>
    <row r="20" spans="1:12" ht="15.75" x14ac:dyDescent="0.25">
      <c r="C20" s="1" t="s">
        <v>33</v>
      </c>
      <c r="D20" s="1" t="s">
        <v>8</v>
      </c>
      <c r="E20" s="1" t="s">
        <v>9</v>
      </c>
      <c r="F20" s="1" t="s">
        <v>10</v>
      </c>
      <c r="G20" s="17" t="s">
        <v>32</v>
      </c>
      <c r="H20" s="18"/>
      <c r="I20" s="18"/>
      <c r="J20" s="18"/>
      <c r="K20" s="18"/>
      <c r="L20" s="18"/>
    </row>
    <row r="21" spans="1:12" x14ac:dyDescent="0.25">
      <c r="C21" s="10">
        <v>1</v>
      </c>
      <c r="D21" s="5">
        <f t="shared" ref="D21:L21" si="5">D3</f>
        <v>0</v>
      </c>
      <c r="E21" s="5">
        <f t="shared" si="5"/>
        <v>0</v>
      </c>
      <c r="F21" s="5">
        <f t="shared" si="5"/>
        <v>0</v>
      </c>
      <c r="G21" s="5">
        <f t="shared" si="5"/>
        <v>-2.8477585874497901E-4</v>
      </c>
      <c r="H21" s="5">
        <f t="shared" si="5"/>
        <v>-5.8327373117208502E-2</v>
      </c>
      <c r="I21" s="5">
        <f t="shared" si="5"/>
        <v>-1.50670297443867E-4</v>
      </c>
      <c r="J21" s="5">
        <f t="shared" si="5"/>
        <v>6.01342367008328E-3</v>
      </c>
      <c r="K21" s="5">
        <f t="shared" si="5"/>
        <v>2.2609531879425001E-3</v>
      </c>
      <c r="L21" s="5">
        <f t="shared" si="5"/>
        <v>0.37637501955032299</v>
      </c>
    </row>
    <row r="22" spans="1:12" x14ac:dyDescent="0.25">
      <c r="C22" s="10">
        <v>1</v>
      </c>
      <c r="D22" s="5">
        <f>A15+D$21</f>
        <v>0.5</v>
      </c>
      <c r="E22" s="5">
        <f t="shared" ref="E22:F22" si="6">B15+E$21</f>
        <v>0</v>
      </c>
      <c r="F22" s="5">
        <f t="shared" si="6"/>
        <v>0</v>
      </c>
      <c r="G22" s="5">
        <v>2.3011874873191099E-4</v>
      </c>
      <c r="H22" s="5">
        <v>-5.3271986544132198E-2</v>
      </c>
      <c r="I22" s="5">
        <v>-2.0681828027591101E-4</v>
      </c>
      <c r="J22" s="5">
        <v>9.8919300362467801E-3</v>
      </c>
      <c r="K22" s="5">
        <v>8.6640566587448098E-4</v>
      </c>
      <c r="L22" s="5">
        <v>0.34659576416015597</v>
      </c>
    </row>
    <row r="23" spans="1:12" x14ac:dyDescent="0.25">
      <c r="C23" s="10">
        <v>1</v>
      </c>
      <c r="D23" s="5">
        <f t="shared" ref="D23:D24" si="7">A16+D$21</f>
        <v>0</v>
      </c>
      <c r="E23" s="5">
        <f t="shared" ref="E23:E24" si="8">B16+E$21</f>
        <v>0.5</v>
      </c>
      <c r="F23" s="5">
        <f t="shared" ref="F23:F24" si="9">C16+F$21</f>
        <v>0</v>
      </c>
      <c r="G23" s="5">
        <v>-4.2876659426838198E-4</v>
      </c>
      <c r="H23" s="5">
        <v>-5.2273325622081798E-2</v>
      </c>
      <c r="I23" s="5">
        <v>-1.9059516489505798E-5</v>
      </c>
      <c r="J23" s="5">
        <v>1.4312150888144999E-2</v>
      </c>
      <c r="K23" s="5">
        <v>5.74775412678719E-3</v>
      </c>
      <c r="L23" s="5">
        <v>0.342221409082413</v>
      </c>
    </row>
    <row r="24" spans="1:12" x14ac:dyDescent="0.25">
      <c r="C24" s="10">
        <v>1</v>
      </c>
      <c r="D24" s="5">
        <f t="shared" si="7"/>
        <v>0</v>
      </c>
      <c r="E24" s="5">
        <f t="shared" si="8"/>
        <v>0</v>
      </c>
      <c r="F24" s="5">
        <f t="shared" si="9"/>
        <v>0.5</v>
      </c>
      <c r="G24" s="5">
        <v>-2.02067312784493E-4</v>
      </c>
      <c r="H24" s="5">
        <v>-6.3044883310794803E-2</v>
      </c>
      <c r="I24" s="5">
        <v>-1.4381617074832301E-4</v>
      </c>
      <c r="J24" s="5">
        <v>1.6669280827045399E-2</v>
      </c>
      <c r="K24" s="5">
        <v>4.2362064123153704E-3</v>
      </c>
      <c r="L24" s="5">
        <v>0.41187611222267201</v>
      </c>
    </row>
    <row r="25" spans="1:12" x14ac:dyDescent="0.25">
      <c r="C25" s="10">
        <v>2</v>
      </c>
      <c r="D25" s="5">
        <v>0</v>
      </c>
      <c r="E25" s="5">
        <v>0</v>
      </c>
      <c r="F25" s="5">
        <v>0</v>
      </c>
      <c r="G25" s="5">
        <f>G4</f>
        <v>-1.3759520370513201E-3</v>
      </c>
      <c r="H25" s="5">
        <f t="shared" ref="H25:L25" si="10">H4</f>
        <v>-0.12723180651664701</v>
      </c>
      <c r="I25" s="5">
        <f t="shared" si="10"/>
        <v>-1.5217980835586799E-3</v>
      </c>
      <c r="J25" s="5">
        <f t="shared" si="10"/>
        <v>-8.26666504144669E-2</v>
      </c>
      <c r="K25" s="5">
        <f t="shared" si="10"/>
        <v>-4.7411769628524798E-3</v>
      </c>
      <c r="L25" s="5">
        <f t="shared" si="10"/>
        <v>0.81632339954376198</v>
      </c>
    </row>
    <row r="26" spans="1:12" x14ac:dyDescent="0.25">
      <c r="C26" s="10">
        <v>2</v>
      </c>
      <c r="D26" s="5">
        <v>0.5</v>
      </c>
      <c r="E26" s="5">
        <v>0</v>
      </c>
      <c r="F26" s="5">
        <v>0</v>
      </c>
      <c r="G26" s="5">
        <v>-6.4265867695212397E-4</v>
      </c>
      <c r="H26" s="5">
        <v>-0.12265828996896699</v>
      </c>
      <c r="I26" s="5">
        <v>-1.7822725931182499E-3</v>
      </c>
      <c r="J26" s="5">
        <v>-7.7889576554298401E-2</v>
      </c>
      <c r="K26" s="5">
        <v>-8.3601623773574794E-3</v>
      </c>
      <c r="L26" s="5">
        <v>0.791279196739197</v>
      </c>
    </row>
    <row r="27" spans="1:12" x14ac:dyDescent="0.25">
      <c r="C27" s="10">
        <v>2</v>
      </c>
      <c r="D27" s="5">
        <v>0</v>
      </c>
      <c r="E27" s="5">
        <v>0.5</v>
      </c>
      <c r="F27" s="5">
        <v>0</v>
      </c>
      <c r="G27" s="5">
        <v>-2.05089594237506E-3</v>
      </c>
      <c r="H27" s="5">
        <v>-0.121704913675785</v>
      </c>
      <c r="I27" s="5">
        <v>-1.00779521744698E-3</v>
      </c>
      <c r="J27" s="5">
        <v>-7.2200365364551503E-2</v>
      </c>
      <c r="K27" s="5">
        <v>4.7361105680465698E-4</v>
      </c>
      <c r="L27" s="5">
        <v>0.78733724355697599</v>
      </c>
    </row>
    <row r="28" spans="1:12" x14ac:dyDescent="0.25">
      <c r="C28" s="10">
        <v>2</v>
      </c>
      <c r="D28" s="5">
        <v>0</v>
      </c>
      <c r="E28" s="5">
        <v>0</v>
      </c>
      <c r="F28" s="5">
        <v>0.5</v>
      </c>
      <c r="G28" s="5">
        <v>-1.59276742488146E-3</v>
      </c>
      <c r="H28" s="5">
        <v>-0.13021458685398099</v>
      </c>
      <c r="I28" s="5">
        <v>-1.4390036230906801E-3</v>
      </c>
      <c r="J28" s="5">
        <v>-8.1000238656997695E-2</v>
      </c>
      <c r="K28" s="5">
        <v>-3.1956732273101798E-3</v>
      </c>
      <c r="L28" s="5">
        <v>0.841796815395355</v>
      </c>
    </row>
    <row r="29" spans="1:12" x14ac:dyDescent="0.25">
      <c r="C29" s="10">
        <v>3</v>
      </c>
      <c r="D29" s="5">
        <v>0</v>
      </c>
      <c r="E29" s="5">
        <v>0</v>
      </c>
      <c r="F29" s="5">
        <v>0</v>
      </c>
      <c r="G29" s="5">
        <f>G5</f>
        <v>-2.8428673977032298E-4</v>
      </c>
      <c r="H29" s="5">
        <f t="shared" ref="H29:L29" si="11">H5</f>
        <v>-4.3962169438600499E-2</v>
      </c>
      <c r="I29" s="5">
        <f t="shared" si="11"/>
        <v>-1.9410930690355599E-4</v>
      </c>
      <c r="J29" s="5">
        <f t="shared" si="11"/>
        <v>-1.4232989400625199E-2</v>
      </c>
      <c r="K29" s="5">
        <f t="shared" si="11"/>
        <v>8.0315023660659801E-4</v>
      </c>
      <c r="L29" s="5">
        <f t="shared" si="11"/>
        <v>0.24872186779975899</v>
      </c>
    </row>
    <row r="30" spans="1:12" x14ac:dyDescent="0.25">
      <c r="C30" s="10">
        <v>3</v>
      </c>
      <c r="D30" s="5">
        <v>0.5</v>
      </c>
      <c r="E30" s="5">
        <v>0</v>
      </c>
      <c r="F30" s="5">
        <v>0</v>
      </c>
      <c r="G30" s="5">
        <v>1.4990486670285501E-4</v>
      </c>
      <c r="H30" s="5">
        <v>-3.7795465439558001E-2</v>
      </c>
      <c r="I30" s="5">
        <v>-2.7046183822676501E-4</v>
      </c>
      <c r="J30" s="5">
        <v>-9.1095464304089494E-3</v>
      </c>
      <c r="K30" s="5">
        <v>-1.3357587158679999E-3</v>
      </c>
      <c r="L30" s="5">
        <v>0.21453136205673201</v>
      </c>
    </row>
    <row r="31" spans="1:12" x14ac:dyDescent="0.25">
      <c r="C31" s="10">
        <v>3</v>
      </c>
      <c r="D31" s="5">
        <v>0</v>
      </c>
      <c r="E31" s="5">
        <v>0.5</v>
      </c>
      <c r="F31" s="5">
        <v>0</v>
      </c>
      <c r="G31" s="5">
        <v>-5.3684256272390496E-4</v>
      </c>
      <c r="H31" s="5">
        <v>-3.6707274615764597E-2</v>
      </c>
      <c r="I31" s="5">
        <v>1.2792006600648201E-6</v>
      </c>
      <c r="J31" s="5">
        <v>-6.1279572546482104E-3</v>
      </c>
      <c r="K31" s="5">
        <v>2.9950030148029301E-3</v>
      </c>
      <c r="L31" s="5">
        <v>0.209823608398438</v>
      </c>
    </row>
    <row r="32" spans="1:12" x14ac:dyDescent="0.25">
      <c r="C32" s="10">
        <v>3</v>
      </c>
      <c r="D32" s="5">
        <v>0</v>
      </c>
      <c r="E32" s="5">
        <v>0</v>
      </c>
      <c r="F32" s="5">
        <v>0.5</v>
      </c>
      <c r="G32" s="5">
        <v>-3.34222451783717E-4</v>
      </c>
      <c r="H32" s="5">
        <v>-5.1604051142930998E-2</v>
      </c>
      <c r="I32" s="5">
        <v>-1.6764804604463301E-4</v>
      </c>
      <c r="J32" s="5">
        <v>-1.53888110071421E-2</v>
      </c>
      <c r="K32" s="5">
        <v>1.76630169153214E-3</v>
      </c>
      <c r="L32" s="5">
        <v>0.29455760121345498</v>
      </c>
    </row>
    <row r="33" spans="3:12" x14ac:dyDescent="0.25">
      <c r="C33" s="10">
        <v>4</v>
      </c>
      <c r="D33" s="5">
        <v>0</v>
      </c>
      <c r="E33" s="5">
        <v>0</v>
      </c>
      <c r="F33" s="5">
        <v>0</v>
      </c>
      <c r="G33" s="5">
        <f>G6</f>
        <v>-9.02065541595221E-4</v>
      </c>
      <c r="H33" s="5">
        <f t="shared" ref="H33:L33" si="12">H6</f>
        <v>-9.5010705292224898E-2</v>
      </c>
      <c r="I33" s="5">
        <f t="shared" si="12"/>
        <v>-3.1485431827604798E-4</v>
      </c>
      <c r="J33" s="5">
        <f t="shared" si="12"/>
        <v>-0.14170777797699</v>
      </c>
      <c r="K33" s="5">
        <f t="shared" si="12"/>
        <v>3.2724365592002899E-3</v>
      </c>
      <c r="L33" s="5">
        <f t="shared" si="12"/>
        <v>0.46851912140846302</v>
      </c>
    </row>
    <row r="34" spans="3:12" x14ac:dyDescent="0.25">
      <c r="C34" s="10">
        <v>4</v>
      </c>
      <c r="D34" s="5">
        <v>0.5</v>
      </c>
      <c r="E34" s="5">
        <v>0</v>
      </c>
      <c r="F34" s="5">
        <v>0</v>
      </c>
      <c r="G34" s="5">
        <v>2.4599349126219701E-4</v>
      </c>
      <c r="H34" s="5">
        <v>-9.0344101190567003E-2</v>
      </c>
      <c r="I34" s="5">
        <v>-9.9040195345878601E-4</v>
      </c>
      <c r="J34" s="5">
        <v>-0.133248835802078</v>
      </c>
      <c r="K34" s="5">
        <v>-2.8831809759140002E-3</v>
      </c>
      <c r="L34" s="5">
        <v>0.446842432022095</v>
      </c>
    </row>
    <row r="35" spans="3:12" x14ac:dyDescent="0.25">
      <c r="C35" s="10">
        <v>4</v>
      </c>
      <c r="D35" s="5">
        <v>0</v>
      </c>
      <c r="E35" s="5">
        <v>0.5</v>
      </c>
      <c r="F35" s="5">
        <v>0</v>
      </c>
      <c r="G35" s="5">
        <v>-1.8506367923691899E-3</v>
      </c>
      <c r="H35" s="5">
        <v>-8.8594555854797405E-2</v>
      </c>
      <c r="I35" s="5">
        <v>4.1975238127633902E-4</v>
      </c>
      <c r="J35" s="5">
        <v>-0.12672121822834001</v>
      </c>
      <c r="K35" s="5">
        <v>9.3478858470916696E-3</v>
      </c>
      <c r="L35" s="5">
        <v>0.43988659977912897</v>
      </c>
    </row>
    <row r="36" spans="3:12" x14ac:dyDescent="0.25">
      <c r="C36" s="10">
        <v>4</v>
      </c>
      <c r="D36" s="5">
        <v>0</v>
      </c>
      <c r="E36" s="5">
        <v>0</v>
      </c>
      <c r="F36" s="5">
        <v>0.5</v>
      </c>
      <c r="G36" s="5">
        <v>-1.1307185050100099E-3</v>
      </c>
      <c r="H36" s="5">
        <v>-0.100342579185963</v>
      </c>
      <c r="I36" s="5">
        <v>-1.6161840176209799E-4</v>
      </c>
      <c r="J36" s="5">
        <v>-0.14653116464614899</v>
      </c>
      <c r="K36" s="5">
        <v>4.9810111522674604E-3</v>
      </c>
      <c r="L36" s="5">
        <v>0.49788346886634799</v>
      </c>
    </row>
    <row r="37" spans="3:12" x14ac:dyDescent="0.25">
      <c r="C37" s="10">
        <v>5</v>
      </c>
      <c r="D37" s="5">
        <v>0</v>
      </c>
      <c r="E37" s="5">
        <v>0</v>
      </c>
      <c r="F37" s="5">
        <v>0</v>
      </c>
      <c r="G37" s="5">
        <f>G7</f>
        <v>-1.3697715476155301E-3</v>
      </c>
      <c r="H37" s="5">
        <f t="shared" ref="H37:L37" si="13">H7</f>
        <v>-0.129899337887764</v>
      </c>
      <c r="I37" s="5">
        <f t="shared" si="13"/>
        <v>-1.1154995299875699E-3</v>
      </c>
      <c r="J37" s="5">
        <f t="shared" si="13"/>
        <v>-0.27736902236938499</v>
      </c>
      <c r="K37" s="5">
        <f t="shared" si="13"/>
        <v>2.9984340071678201E-3</v>
      </c>
      <c r="L37" s="5">
        <f t="shared" si="13"/>
        <v>0.62586665153503396</v>
      </c>
    </row>
    <row r="38" spans="3:12" x14ac:dyDescent="0.25">
      <c r="C38" s="10">
        <v>5</v>
      </c>
      <c r="D38" s="5">
        <v>0.5</v>
      </c>
      <c r="E38" s="5">
        <v>0</v>
      </c>
      <c r="F38" s="5">
        <v>0</v>
      </c>
      <c r="G38" s="5">
        <v>3.2646046020090602E-4</v>
      </c>
      <c r="H38" s="5">
        <v>-0.12403129786253</v>
      </c>
      <c r="I38" s="5">
        <v>-2.0632715895772002E-3</v>
      </c>
      <c r="J38" s="5">
        <v>-0.2605299949646</v>
      </c>
      <c r="K38" s="5">
        <v>-6.2308013439178501E-3</v>
      </c>
      <c r="L38" s="5">
        <v>0.59941601753234897</v>
      </c>
    </row>
    <row r="39" spans="3:12" x14ac:dyDescent="0.25">
      <c r="C39" s="10">
        <v>5</v>
      </c>
      <c r="D39" s="5">
        <v>0</v>
      </c>
      <c r="E39" s="5">
        <v>0.5</v>
      </c>
      <c r="F39" s="5">
        <v>0</v>
      </c>
      <c r="G39" s="5">
        <v>-2.7219806797802401E-3</v>
      </c>
      <c r="H39" s="5">
        <v>-0.122637674212456</v>
      </c>
      <c r="I39" s="5">
        <v>-1.34723843075335E-4</v>
      </c>
      <c r="J39" s="5">
        <v>-0.25649419426918002</v>
      </c>
      <c r="K39" s="5">
        <v>1.1550098657607999E-2</v>
      </c>
      <c r="L39" s="5">
        <v>0.59437549114227295</v>
      </c>
    </row>
    <row r="40" spans="3:12" x14ac:dyDescent="0.25">
      <c r="C40" s="10">
        <v>5</v>
      </c>
      <c r="D40" s="5">
        <v>0</v>
      </c>
      <c r="E40" s="5">
        <v>0</v>
      </c>
      <c r="F40" s="5">
        <v>0.5</v>
      </c>
      <c r="G40" s="5">
        <v>-1.64759205654263E-3</v>
      </c>
      <c r="H40" s="5">
        <v>-0.13209010660648299</v>
      </c>
      <c r="I40" s="5">
        <v>-9.5238280482590199E-4</v>
      </c>
      <c r="J40" s="5">
        <v>-0.27622804045677202</v>
      </c>
      <c r="K40" s="5">
        <v>5.3521543741226196E-3</v>
      </c>
      <c r="L40" s="5">
        <v>0.63961708545684803</v>
      </c>
    </row>
    <row r="41" spans="3:12" x14ac:dyDescent="0.25">
      <c r="C41" s="10">
        <v>6</v>
      </c>
      <c r="D41" s="5">
        <v>0</v>
      </c>
      <c r="E41" s="5">
        <v>0</v>
      </c>
      <c r="F41" s="5">
        <v>0</v>
      </c>
      <c r="G41" s="5">
        <f>G8</f>
        <v>-1.30162085406482E-3</v>
      </c>
      <c r="H41" s="5">
        <f t="shared" ref="H41:L41" si="14">H8</f>
        <v>-9.1771319508552607E-2</v>
      </c>
      <c r="I41" s="5">
        <f t="shared" si="14"/>
        <v>-6.8558257771655895E-4</v>
      </c>
      <c r="J41" s="5">
        <f t="shared" si="14"/>
        <v>-0.188138782978058</v>
      </c>
      <c r="K41" s="5">
        <f t="shared" si="14"/>
        <v>3.5599116235971499E-3</v>
      </c>
      <c r="L41" s="5">
        <f t="shared" si="14"/>
        <v>0.316497713327408</v>
      </c>
    </row>
    <row r="42" spans="3:12" x14ac:dyDescent="0.25">
      <c r="C42" s="10">
        <v>6</v>
      </c>
      <c r="D42" s="5">
        <v>0.5</v>
      </c>
      <c r="E42" s="5">
        <v>0</v>
      </c>
      <c r="F42" s="5">
        <v>0</v>
      </c>
      <c r="G42" s="5">
        <v>9.6381898038089297E-4</v>
      </c>
      <c r="H42" s="5">
        <v>-8.5903972387313801E-2</v>
      </c>
      <c r="I42" s="5">
        <v>-2.5404219049960401E-3</v>
      </c>
      <c r="J42" s="5">
        <v>-0.17557142674922899</v>
      </c>
      <c r="K42" s="5">
        <v>-8.3203129470348393E-3</v>
      </c>
      <c r="L42" s="5">
        <v>0.29679262638092002</v>
      </c>
    </row>
    <row r="43" spans="3:12" x14ac:dyDescent="0.25">
      <c r="C43" s="10">
        <v>6</v>
      </c>
      <c r="D43" s="5">
        <v>0</v>
      </c>
      <c r="E43" s="5">
        <v>0.5</v>
      </c>
      <c r="F43" s="5">
        <v>0</v>
      </c>
      <c r="G43" s="5">
        <v>-3.1982432119548299E-3</v>
      </c>
      <c r="H43" s="5">
        <v>-8.5218042135238606E-2</v>
      </c>
      <c r="I43" s="5">
        <v>1.1406430276110801E-3</v>
      </c>
      <c r="J43" s="5">
        <v>-0.17052030563354501</v>
      </c>
      <c r="K43" s="5">
        <v>1.40790585428476E-2</v>
      </c>
      <c r="L43" s="5">
        <v>0.29610446095466603</v>
      </c>
    </row>
    <row r="44" spans="3:12" x14ac:dyDescent="0.25">
      <c r="C44" s="10">
        <v>6</v>
      </c>
      <c r="D44" s="5">
        <v>0</v>
      </c>
      <c r="E44" s="5">
        <v>0</v>
      </c>
      <c r="F44" s="5">
        <v>0.5</v>
      </c>
      <c r="G44" s="5">
        <v>-1.7902635736390901E-3</v>
      </c>
      <c r="H44" s="5">
        <v>-9.6448004245758098E-2</v>
      </c>
      <c r="I44" s="5">
        <v>-3.2140285475179602E-4</v>
      </c>
      <c r="J44" s="5">
        <v>-0.19694747030734999</v>
      </c>
      <c r="K44" s="5">
        <v>6.0314210131764403E-3</v>
      </c>
      <c r="L44" s="5">
        <v>0.334655702114105</v>
      </c>
    </row>
    <row r="45" spans="3:12" x14ac:dyDescent="0.25">
      <c r="C45" s="10">
        <v>7</v>
      </c>
      <c r="D45" s="5">
        <v>0</v>
      </c>
      <c r="E45" s="5">
        <v>0</v>
      </c>
      <c r="F45" s="5">
        <v>0</v>
      </c>
      <c r="G45" s="5">
        <f>G9</f>
        <v>-2.1819151006638999E-3</v>
      </c>
      <c r="H45" s="5">
        <f t="shared" ref="H45:L45" si="15">H9</f>
        <v>-0.134275212883949</v>
      </c>
      <c r="I45" s="5">
        <f t="shared" si="15"/>
        <v>-2.8121363720856602E-4</v>
      </c>
      <c r="J45" s="5">
        <f t="shared" si="15"/>
        <v>-0.47822567820549</v>
      </c>
      <c r="K45" s="5">
        <f t="shared" si="15"/>
        <v>1.2040870264172601E-2</v>
      </c>
      <c r="L45" s="5">
        <f t="shared" si="15"/>
        <v>0.39143002033233598</v>
      </c>
    </row>
    <row r="46" spans="3:12" x14ac:dyDescent="0.25">
      <c r="C46" s="10">
        <v>7</v>
      </c>
      <c r="D46" s="5">
        <v>0.5</v>
      </c>
      <c r="E46" s="5">
        <v>0</v>
      </c>
      <c r="F46" s="5">
        <v>0</v>
      </c>
      <c r="G46" s="5">
        <v>1.28366739954799E-3</v>
      </c>
      <c r="H46" s="5">
        <v>-0.128777965903282</v>
      </c>
      <c r="I46" s="5">
        <v>-2.5125290267169502E-3</v>
      </c>
      <c r="J46" s="5">
        <v>-0.45400995016098</v>
      </c>
      <c r="K46" s="5">
        <v>-7.2321929037570997E-3</v>
      </c>
      <c r="L46" s="5">
        <v>0.37721437215805098</v>
      </c>
    </row>
    <row r="47" spans="3:12" x14ac:dyDescent="0.25">
      <c r="C47" s="10">
        <v>7</v>
      </c>
      <c r="D47" s="5">
        <v>0</v>
      </c>
      <c r="E47" s="5">
        <v>0.5</v>
      </c>
      <c r="F47" s="5">
        <v>0</v>
      </c>
      <c r="G47" s="5">
        <v>-5.4718861356377602E-3</v>
      </c>
      <c r="H47" s="5">
        <v>-0.12728570401668499</v>
      </c>
      <c r="I47" s="5">
        <v>2.10938439704478E-3</v>
      </c>
      <c r="J47" s="5">
        <v>-0.44874367117881803</v>
      </c>
      <c r="K47" s="5">
        <v>3.1951960176229498E-2</v>
      </c>
      <c r="L47" s="5">
        <v>0.374636590480804</v>
      </c>
    </row>
    <row r="48" spans="3:12" x14ac:dyDescent="0.25">
      <c r="C48" s="10">
        <v>7</v>
      </c>
      <c r="D48" s="5">
        <v>0</v>
      </c>
      <c r="E48" s="5">
        <v>0</v>
      </c>
      <c r="F48" s="5">
        <v>0.5</v>
      </c>
      <c r="G48" s="5">
        <v>-3.5660644061863401E-3</v>
      </c>
      <c r="H48" s="5">
        <v>-0.13650599122047399</v>
      </c>
      <c r="I48" s="5">
        <v>6.8410328822210399E-4</v>
      </c>
      <c r="J48" s="5">
        <v>-0.48008558154106101</v>
      </c>
      <c r="K48" s="5">
        <v>2.16469299048185E-2</v>
      </c>
      <c r="L48" s="5">
        <v>0.39944189786911</v>
      </c>
    </row>
    <row r="49" spans="3:12" x14ac:dyDescent="0.25">
      <c r="C49" s="10">
        <v>8</v>
      </c>
      <c r="D49" s="5">
        <v>0</v>
      </c>
      <c r="E49" s="5">
        <v>0</v>
      </c>
      <c r="F49" s="5">
        <v>0</v>
      </c>
      <c r="G49" s="5">
        <f>G10</f>
        <v>-1.05854228604585E-3</v>
      </c>
      <c r="H49" s="5">
        <f t="shared" ref="H49:L49" si="16">H10</f>
        <v>-0.13548035919666301</v>
      </c>
      <c r="I49" s="5">
        <f t="shared" si="16"/>
        <v>-1.24974839854985E-3</v>
      </c>
      <c r="J49" s="5">
        <f t="shared" si="16"/>
        <v>-0.72550737857818604</v>
      </c>
      <c r="K49" s="5">
        <f t="shared" si="16"/>
        <v>2.9684353619813902E-2</v>
      </c>
      <c r="L49" s="5">
        <f t="shared" si="16"/>
        <v>0.13168570399284399</v>
      </c>
    </row>
    <row r="50" spans="3:12" x14ac:dyDescent="0.25">
      <c r="C50" s="10">
        <v>8</v>
      </c>
      <c r="D50" s="5">
        <v>0.5</v>
      </c>
      <c r="E50" s="5">
        <v>0</v>
      </c>
      <c r="F50" s="5">
        <v>0</v>
      </c>
      <c r="G50" s="5">
        <v>3.4768960904329998E-3</v>
      </c>
      <c r="H50" s="5">
        <v>-0.12835875153541601</v>
      </c>
      <c r="I50" s="5">
        <v>-3.73718934133649E-3</v>
      </c>
      <c r="J50" s="5">
        <v>-0.68468731641769398</v>
      </c>
      <c r="K50" s="5">
        <v>1.3471883721649599E-3</v>
      </c>
      <c r="L50" s="5">
        <v>0.124703593552113</v>
      </c>
    </row>
    <row r="51" spans="3:12" x14ac:dyDescent="0.25">
      <c r="C51" s="10">
        <v>8</v>
      </c>
      <c r="D51" s="5">
        <v>0</v>
      </c>
      <c r="E51" s="5">
        <v>0.5</v>
      </c>
      <c r="F51" s="5">
        <v>0</v>
      </c>
      <c r="G51" s="5">
        <v>-4.7603473067283596E-3</v>
      </c>
      <c r="H51" s="5">
        <v>-0.12630911171436299</v>
      </c>
      <c r="I51" s="5">
        <v>1.03824585676193E-3</v>
      </c>
      <c r="J51" s="5">
        <v>-0.67384463548660301</v>
      </c>
      <c r="K51" s="5">
        <v>5.04110977053642E-2</v>
      </c>
      <c r="L51" s="5">
        <v>0.122622385621071</v>
      </c>
    </row>
    <row r="52" spans="3:12" x14ac:dyDescent="0.25">
      <c r="C52" s="10">
        <v>8</v>
      </c>
      <c r="D52" s="5">
        <v>0</v>
      </c>
      <c r="E52" s="5">
        <v>0</v>
      </c>
      <c r="F52" s="5">
        <v>0.5</v>
      </c>
      <c r="G52" s="5">
        <v>-2.8795241378247699E-3</v>
      </c>
      <c r="H52" s="5">
        <v>-0.13191950321197499</v>
      </c>
      <c r="I52" s="5">
        <v>-1.74118322320282E-4</v>
      </c>
      <c r="J52" s="5">
        <v>-0.70657479763030995</v>
      </c>
      <c r="K52" s="5">
        <v>3.94001975655556E-2</v>
      </c>
      <c r="L52" s="5">
        <v>0.12372924387455</v>
      </c>
    </row>
    <row r="53" spans="3:12" x14ac:dyDescent="0.25">
      <c r="C53" s="10">
        <v>9</v>
      </c>
      <c r="D53" s="5">
        <v>0</v>
      </c>
      <c r="E53" s="5">
        <v>0</v>
      </c>
      <c r="F53" s="5">
        <v>0</v>
      </c>
      <c r="G53" s="5">
        <f>G11</f>
        <v>-8.8630802929401398E-4</v>
      </c>
      <c r="H53" s="5">
        <f t="shared" ref="H53:L53" si="17">H11</f>
        <v>-6.7533724009990706E-2</v>
      </c>
      <c r="I53" s="5">
        <f t="shared" si="17"/>
        <v>-4.7554963384754999E-4</v>
      </c>
      <c r="J53" s="5">
        <f t="shared" si="17"/>
        <v>-0.16650235652923601</v>
      </c>
      <c r="K53" s="5">
        <f t="shared" si="17"/>
        <v>2.7373749762773501E-3</v>
      </c>
      <c r="L53" s="5">
        <f t="shared" si="17"/>
        <v>0.18086977303028101</v>
      </c>
    </row>
    <row r="54" spans="3:12" x14ac:dyDescent="0.25">
      <c r="C54" s="10">
        <v>9</v>
      </c>
      <c r="D54" s="5">
        <v>0.5</v>
      </c>
      <c r="E54" s="5">
        <v>0</v>
      </c>
      <c r="F54" s="5">
        <v>0</v>
      </c>
      <c r="G54" s="5">
        <v>9.2477654106914997E-4</v>
      </c>
      <c r="H54" s="5">
        <v>-6.2701836228370694E-2</v>
      </c>
      <c r="I54" s="5">
        <v>-2.10359273478389E-3</v>
      </c>
      <c r="J54" s="5">
        <v>-0.15299555659294101</v>
      </c>
      <c r="K54" s="5">
        <v>-7.1542356163263304E-3</v>
      </c>
      <c r="L54" s="5">
        <v>0.16794395446777299</v>
      </c>
    </row>
    <row r="55" spans="3:12" x14ac:dyDescent="0.25">
      <c r="C55" s="10">
        <v>9</v>
      </c>
      <c r="D55" s="5">
        <v>0</v>
      </c>
      <c r="E55" s="5">
        <v>0.5</v>
      </c>
      <c r="F55" s="5">
        <v>0</v>
      </c>
      <c r="G55" s="5">
        <v>-2.5075855664908899E-3</v>
      </c>
      <c r="H55" s="5">
        <v>-6.1950247734785101E-2</v>
      </c>
      <c r="I55" s="5">
        <v>1.2004108866676699E-3</v>
      </c>
      <c r="J55" s="5">
        <v>-0.15164965391159099</v>
      </c>
      <c r="K55" s="5">
        <v>1.0659743100404699E-2</v>
      </c>
      <c r="L55" s="5">
        <v>0.16722565889358501</v>
      </c>
    </row>
    <row r="56" spans="3:12" x14ac:dyDescent="0.25">
      <c r="C56" s="10">
        <v>9</v>
      </c>
      <c r="D56" s="5">
        <v>0</v>
      </c>
      <c r="E56" s="5">
        <v>0</v>
      </c>
      <c r="F56" s="5">
        <v>0.5</v>
      </c>
      <c r="G56" s="5">
        <v>-1.3516106409951999E-3</v>
      </c>
      <c r="H56" s="5">
        <v>-7.2512239217758206E-2</v>
      </c>
      <c r="I56" s="5">
        <v>-9.7901422122958993E-5</v>
      </c>
      <c r="J56" s="5">
        <v>-0.17993175983428999</v>
      </c>
      <c r="K56" s="5">
        <v>4.8201540485024504E-3</v>
      </c>
      <c r="L56" s="5">
        <v>0.19574348628520999</v>
      </c>
    </row>
    <row r="57" spans="3:12" x14ac:dyDescent="0.25">
      <c r="C57" s="10">
        <v>10</v>
      </c>
      <c r="D57" s="5">
        <v>0</v>
      </c>
      <c r="E57" s="5">
        <v>0</v>
      </c>
      <c r="F57" s="5">
        <v>0</v>
      </c>
      <c r="G57" s="5">
        <f>G12</f>
        <v>-2.7598871383815999E-3</v>
      </c>
      <c r="H57" s="5">
        <f t="shared" ref="H57:L57" si="18">H12</f>
        <v>-0.127221524715424</v>
      </c>
      <c r="I57" s="5">
        <f t="shared" si="18"/>
        <v>-8.8058260735124404E-4</v>
      </c>
      <c r="J57" s="5">
        <f t="shared" si="18"/>
        <v>-0.67187190055847201</v>
      </c>
      <c r="K57" s="5">
        <f t="shared" si="18"/>
        <v>1.79205909371376E-2</v>
      </c>
      <c r="L57" s="5">
        <f t="shared" si="18"/>
        <v>6.6542282700538594E-2</v>
      </c>
    </row>
    <row r="58" spans="3:12" x14ac:dyDescent="0.25">
      <c r="C58" s="10">
        <v>10</v>
      </c>
      <c r="D58" s="5">
        <v>0.5</v>
      </c>
      <c r="E58" s="5">
        <v>0</v>
      </c>
      <c r="F58" s="5">
        <v>0</v>
      </c>
      <c r="G58" s="5">
        <v>1.9532591104507399E-3</v>
      </c>
      <c r="H58" s="5">
        <v>-0.121398247778416</v>
      </c>
      <c r="I58" s="5">
        <v>-3.9110821671783898E-3</v>
      </c>
      <c r="J58" s="5">
        <v>-0.63814979791641202</v>
      </c>
      <c r="K58" s="5">
        <v>-8.2101486623287201E-3</v>
      </c>
      <c r="L58" s="5">
        <v>6.5069712698459597E-2</v>
      </c>
    </row>
    <row r="59" spans="3:12" x14ac:dyDescent="0.25">
      <c r="C59" s="10">
        <v>10</v>
      </c>
      <c r="D59" s="5">
        <v>0</v>
      </c>
      <c r="E59" s="5">
        <v>0.5</v>
      </c>
      <c r="F59" s="5">
        <v>0</v>
      </c>
      <c r="G59" s="5">
        <v>-7.1243802085518802E-3</v>
      </c>
      <c r="H59" s="5">
        <v>-0.11870384216308601</v>
      </c>
      <c r="I59" s="5">
        <v>2.3287548683583702E-3</v>
      </c>
      <c r="J59" s="5">
        <v>-0.62453347444534302</v>
      </c>
      <c r="K59" s="5">
        <v>4.2728334665298497E-2</v>
      </c>
      <c r="L59" s="5">
        <v>6.0788005590438801E-2</v>
      </c>
    </row>
    <row r="60" spans="3:12" x14ac:dyDescent="0.25">
      <c r="C60" s="10">
        <v>10</v>
      </c>
      <c r="D60" s="5">
        <v>0</v>
      </c>
      <c r="E60" s="5">
        <v>0</v>
      </c>
      <c r="F60" s="5">
        <v>0.5</v>
      </c>
      <c r="G60" s="5">
        <v>-4.5787622220814202E-3</v>
      </c>
      <c r="H60" s="5">
        <v>-0.12431108951568599</v>
      </c>
      <c r="I60" s="5">
        <v>4.74036554805934E-4</v>
      </c>
      <c r="J60" s="5">
        <v>-0.659143507480621</v>
      </c>
      <c r="K60" s="5">
        <v>2.8539292514324199E-2</v>
      </c>
      <c r="L60" s="5">
        <v>5.8112755417823798E-2</v>
      </c>
    </row>
  </sheetData>
  <mergeCells count="10">
    <mergeCell ref="A14:C14"/>
    <mergeCell ref="G20:L20"/>
    <mergeCell ref="W5:Y5"/>
    <mergeCell ref="A1:F1"/>
    <mergeCell ref="G1:L1"/>
    <mergeCell ref="Q1:S1"/>
    <mergeCell ref="W1:Y1"/>
    <mergeCell ref="W2:Y2"/>
    <mergeCell ref="M1:P1"/>
    <mergeCell ref="T1:V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0736-1722-4350-9DE0-8A911956EF0F}">
  <dimension ref="A1:AY61"/>
  <sheetViews>
    <sheetView workbookViewId="0">
      <pane ySplit="3" topLeftCell="A4" activePane="bottomLeft" state="frozen"/>
      <selection activeCell="K1" sqref="K1"/>
      <selection pane="bottomLeft" activeCell="T22" sqref="T22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13.85546875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51" ht="15.75" thickBot="1" x14ac:dyDescent="0.3">
      <c r="A1" s="34" t="s">
        <v>41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AA1" s="34" t="s">
        <v>42</v>
      </c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</row>
    <row r="2" spans="1:51" ht="15.75" x14ac:dyDescent="0.25">
      <c r="A2" s="15" t="s">
        <v>11</v>
      </c>
      <c r="B2" s="15"/>
      <c r="C2" s="15"/>
      <c r="D2" s="15"/>
      <c r="E2" s="15"/>
      <c r="F2" s="16"/>
      <c r="G2" s="17" t="s">
        <v>6</v>
      </c>
      <c r="H2" s="18"/>
      <c r="I2" s="18"/>
      <c r="J2" s="18"/>
      <c r="K2" s="18"/>
      <c r="L2" s="18"/>
      <c r="M2" s="25" t="s">
        <v>7</v>
      </c>
      <c r="N2" s="26"/>
      <c r="O2" s="26"/>
      <c r="P2" s="26"/>
      <c r="Q2" s="27" t="s">
        <v>13</v>
      </c>
      <c r="R2" s="27"/>
      <c r="S2" s="27"/>
      <c r="T2" s="30" t="s">
        <v>40</v>
      </c>
      <c r="U2" s="30"/>
      <c r="V2" s="30"/>
      <c r="W2" s="28"/>
      <c r="X2" s="28"/>
      <c r="Y2" s="28"/>
      <c r="AA2" s="15" t="s">
        <v>11</v>
      </c>
      <c r="AB2" s="15"/>
      <c r="AC2" s="15"/>
      <c r="AD2" s="15"/>
      <c r="AE2" s="15"/>
      <c r="AF2" s="16"/>
      <c r="AG2" s="17" t="s">
        <v>6</v>
      </c>
      <c r="AH2" s="18"/>
      <c r="AI2" s="18"/>
      <c r="AJ2" s="18"/>
      <c r="AK2" s="18"/>
      <c r="AL2" s="18"/>
      <c r="AM2" s="25" t="s">
        <v>7</v>
      </c>
      <c r="AN2" s="26"/>
      <c r="AO2" s="26"/>
      <c r="AP2" s="26"/>
      <c r="AQ2" s="27" t="s">
        <v>13</v>
      </c>
      <c r="AR2" s="27"/>
      <c r="AS2" s="27"/>
      <c r="AT2" s="30" t="s">
        <v>40</v>
      </c>
      <c r="AU2" s="30"/>
      <c r="AV2" s="30"/>
      <c r="AW2" s="28"/>
      <c r="AX2" s="28"/>
      <c r="AY2" s="28"/>
    </row>
    <row r="3" spans="1:51" ht="15.75" x14ac:dyDescent="0.25">
      <c r="A3" s="1" t="s">
        <v>34</v>
      </c>
      <c r="B3" s="1" t="s">
        <v>35</v>
      </c>
      <c r="C3" s="1" t="s">
        <v>36</v>
      </c>
      <c r="D3" s="1" t="s">
        <v>8</v>
      </c>
      <c r="E3" s="1" t="s">
        <v>9</v>
      </c>
      <c r="F3" s="1" t="s">
        <v>10</v>
      </c>
      <c r="G3" s="2" t="s">
        <v>3</v>
      </c>
      <c r="H3" s="1" t="s">
        <v>4</v>
      </c>
      <c r="I3" s="1" t="s">
        <v>5</v>
      </c>
      <c r="J3" s="1" t="s">
        <v>0</v>
      </c>
      <c r="K3" s="1" t="s">
        <v>1</v>
      </c>
      <c r="L3" s="1" t="s">
        <v>2</v>
      </c>
      <c r="M3" s="3" t="s">
        <v>34</v>
      </c>
      <c r="N3" s="1" t="s">
        <v>35</v>
      </c>
      <c r="O3" s="1" t="s">
        <v>36</v>
      </c>
      <c r="P3" s="2" t="s">
        <v>27</v>
      </c>
      <c r="Q3" s="3" t="s">
        <v>34</v>
      </c>
      <c r="R3" s="1" t="s">
        <v>35</v>
      </c>
      <c r="S3" s="1" t="s">
        <v>36</v>
      </c>
      <c r="T3" s="3" t="s">
        <v>34</v>
      </c>
      <c r="U3" s="1" t="s">
        <v>35</v>
      </c>
      <c r="V3" s="1" t="s">
        <v>36</v>
      </c>
      <c r="W3" s="29" t="s">
        <v>26</v>
      </c>
      <c r="X3" s="29"/>
      <c r="Y3" s="29"/>
      <c r="AA3" s="1" t="s">
        <v>34</v>
      </c>
      <c r="AB3" s="1" t="s">
        <v>35</v>
      </c>
      <c r="AC3" s="1" t="s">
        <v>36</v>
      </c>
      <c r="AD3" s="1" t="s">
        <v>8</v>
      </c>
      <c r="AE3" s="1" t="s">
        <v>9</v>
      </c>
      <c r="AF3" s="1" t="s">
        <v>10</v>
      </c>
      <c r="AG3" s="2" t="s">
        <v>3</v>
      </c>
      <c r="AH3" s="1" t="s">
        <v>4</v>
      </c>
      <c r="AI3" s="1" t="s">
        <v>5</v>
      </c>
      <c r="AJ3" s="1" t="s">
        <v>0</v>
      </c>
      <c r="AK3" s="1" t="s">
        <v>1</v>
      </c>
      <c r="AL3" s="1" t="s">
        <v>2</v>
      </c>
      <c r="AM3" s="3" t="s">
        <v>34</v>
      </c>
      <c r="AN3" s="1" t="s">
        <v>35</v>
      </c>
      <c r="AO3" s="1" t="s">
        <v>36</v>
      </c>
      <c r="AP3" s="2" t="s">
        <v>27</v>
      </c>
      <c r="AQ3" s="3" t="s">
        <v>34</v>
      </c>
      <c r="AR3" s="1" t="s">
        <v>35</v>
      </c>
      <c r="AS3" s="1" t="s">
        <v>36</v>
      </c>
      <c r="AT3" s="3" t="s">
        <v>34</v>
      </c>
      <c r="AU3" s="1" t="s">
        <v>35</v>
      </c>
      <c r="AV3" s="1" t="s">
        <v>36</v>
      </c>
      <c r="AW3" s="29" t="s">
        <v>26</v>
      </c>
      <c r="AX3" s="29"/>
      <c r="AY3" s="29"/>
    </row>
    <row r="4" spans="1:51" ht="15.75" x14ac:dyDescent="0.25">
      <c r="A4" s="5">
        <f>'Proximal Validation'!A3</f>
        <v>0.4</v>
      </c>
      <c r="B4" s="5">
        <f>'Proximal Validation'!B3</f>
        <v>0.06</v>
      </c>
      <c r="C4" s="5">
        <f>'Proximal Validation'!C3</f>
        <v>1.5707963267948966</v>
      </c>
      <c r="D4" s="5">
        <f>'Proximal Validation'!D3</f>
        <v>0</v>
      </c>
      <c r="E4" s="5">
        <f>'Proximal Validation'!E3</f>
        <v>0</v>
      </c>
      <c r="F4" s="5">
        <f>'Proximal Validation'!F3</f>
        <v>0</v>
      </c>
      <c r="G4" s="5">
        <f>'Proximal Validation'!G3</f>
        <v>-2.8477585874497901E-4</v>
      </c>
      <c r="H4" s="5">
        <f>'Proximal Validation'!H3</f>
        <v>-5.8327373117208502E-2</v>
      </c>
      <c r="I4" s="5">
        <f>'Proximal Validation'!I3</f>
        <v>-1.50670297443867E-4</v>
      </c>
      <c r="J4" s="5">
        <f>'Proximal Validation'!J3</f>
        <v>6.01342367008328E-3</v>
      </c>
      <c r="K4" s="5">
        <f>'Proximal Validation'!K3</f>
        <v>2.2609531879425001E-3</v>
      </c>
      <c r="L4" s="5">
        <f>'Proximal Validation'!L3</f>
        <v>0.37637501955032299</v>
      </c>
      <c r="M4" s="5">
        <v>0.44724256908776044</v>
      </c>
      <c r="N4" s="5">
        <v>7.1236217769058335E-2</v>
      </c>
      <c r="O4" s="5">
        <v>1.5725247256626125</v>
      </c>
      <c r="P4" s="11">
        <v>1.8044117511545598E-4</v>
      </c>
      <c r="Q4" s="5">
        <f>M4-A4</f>
        <v>4.7242569087760422E-2</v>
      </c>
      <c r="R4" s="5">
        <f>N4-B4</f>
        <v>1.1236217769058338E-2</v>
      </c>
      <c r="S4" s="5">
        <f>O4-C4</f>
        <v>1.728398867715919E-3</v>
      </c>
      <c r="T4" s="5">
        <f>ABS(Q4)</f>
        <v>4.7242569087760422E-2</v>
      </c>
      <c r="U4" s="5">
        <f t="shared" ref="U4:V13" si="0">ABS(R4)</f>
        <v>1.1236217769058338E-2</v>
      </c>
      <c r="V4" s="5">
        <f t="shared" si="0"/>
        <v>1.728398867715919E-3</v>
      </c>
      <c r="W4" s="1" t="s">
        <v>23</v>
      </c>
      <c r="X4" s="1" t="s">
        <v>24</v>
      </c>
      <c r="Y4" s="1" t="s">
        <v>25</v>
      </c>
      <c r="AA4" s="5">
        <f>'Proximal Validation'!A3</f>
        <v>0.4</v>
      </c>
      <c r="AB4" s="5">
        <f>'Proximal Validation'!B3</f>
        <v>0.06</v>
      </c>
      <c r="AC4" s="5">
        <f>'Proximal Validation'!C3</f>
        <v>1.5707963267948966</v>
      </c>
      <c r="AD4" s="5">
        <f>'Proximal Validation'!D3</f>
        <v>0</v>
      </c>
      <c r="AE4" s="5">
        <f>'Proximal Validation'!E3</f>
        <v>0</v>
      </c>
      <c r="AF4" s="5">
        <f>'Proximal Validation'!F3</f>
        <v>0</v>
      </c>
      <c r="AG4" s="5">
        <f>'Proximal Validation'!G3</f>
        <v>-2.8477585874497901E-4</v>
      </c>
      <c r="AH4" s="5">
        <f>'Proximal Validation'!H3</f>
        <v>-5.8327373117208502E-2</v>
      </c>
      <c r="AI4" s="5">
        <f>'Proximal Validation'!I3</f>
        <v>-1.50670297443867E-4</v>
      </c>
      <c r="AJ4" s="5">
        <f>'Proximal Validation'!J3</f>
        <v>6.01342367008328E-3</v>
      </c>
      <c r="AK4" s="5">
        <f>'Proximal Validation'!K3</f>
        <v>2.2609531879425001E-3</v>
      </c>
      <c r="AL4" s="5">
        <f>'Proximal Validation'!L3</f>
        <v>0.37637501955032299</v>
      </c>
      <c r="AM4" s="5">
        <v>0.93080923022377193</v>
      </c>
      <c r="AN4" s="5">
        <v>7.4280472363654759E-2</v>
      </c>
      <c r="AO4" s="5">
        <v>1.5698072215661012</v>
      </c>
      <c r="AP4" s="11">
        <v>1.150785826051848E-4</v>
      </c>
      <c r="AQ4" s="5">
        <f>AM4-AA4</f>
        <v>0.53080923022377191</v>
      </c>
      <c r="AR4" s="5">
        <f>AN4-AB4</f>
        <v>1.4280472363654761E-2</v>
      </c>
      <c r="AS4" s="5">
        <f>AO4-AC4</f>
        <v>-9.8910522879536167E-4</v>
      </c>
      <c r="AT4" s="5">
        <f>ABS(AQ4)</f>
        <v>0.53080923022377191</v>
      </c>
      <c r="AU4" s="5">
        <f t="shared" ref="AU4:AU13" si="1">ABS(AR4)</f>
        <v>1.4280472363654761E-2</v>
      </c>
      <c r="AV4" s="5">
        <f t="shared" ref="AV4:AV13" si="2">ABS(AS4)</f>
        <v>9.8910522879536167E-4</v>
      </c>
      <c r="AW4" s="1" t="s">
        <v>23</v>
      </c>
      <c r="AX4" s="1" t="s">
        <v>24</v>
      </c>
      <c r="AY4" s="1" t="s">
        <v>25</v>
      </c>
    </row>
    <row r="5" spans="1:51" x14ac:dyDescent="0.25">
      <c r="A5" s="8">
        <f>'Proximal Validation'!A4</f>
        <v>0.8</v>
      </c>
      <c r="B5" s="8">
        <f>'Proximal Validation'!B4</f>
        <v>0.06</v>
      </c>
      <c r="C5" s="8">
        <f>'Proximal Validation'!C4</f>
        <v>1.5707963267948966</v>
      </c>
      <c r="D5" s="8">
        <f>'Proximal Validation'!D4</f>
        <v>0</v>
      </c>
      <c r="E5" s="8">
        <f>'Proximal Validation'!E4</f>
        <v>0</v>
      </c>
      <c r="F5" s="8">
        <f>'Proximal Validation'!F4</f>
        <v>0</v>
      </c>
      <c r="G5" s="8">
        <f>'Proximal Validation'!G4</f>
        <v>-1.3759520370513201E-3</v>
      </c>
      <c r="H5" s="8">
        <f>'Proximal Validation'!H4</f>
        <v>-0.12723180651664701</v>
      </c>
      <c r="I5" s="8">
        <f>'Proximal Validation'!I4</f>
        <v>-1.5217980835586799E-3</v>
      </c>
      <c r="J5" s="8">
        <f>'Proximal Validation'!J4</f>
        <v>-8.26666504144669E-2</v>
      </c>
      <c r="K5" s="8">
        <f>'Proximal Validation'!K4</f>
        <v>-4.7411769628524798E-3</v>
      </c>
      <c r="L5" s="8">
        <f>'Proximal Validation'!L4</f>
        <v>0.81632339954376198</v>
      </c>
      <c r="M5" s="8">
        <v>0.72482627445411119</v>
      </c>
      <c r="N5" s="8">
        <v>7.4627258714440189E-2</v>
      </c>
      <c r="O5" s="8">
        <v>1.595856178375745</v>
      </c>
      <c r="P5" s="12">
        <v>1.9585030527773247E-4</v>
      </c>
      <c r="Q5" s="5">
        <f t="shared" ref="Q5:S13" si="3">M5-A5</f>
        <v>-7.5173725545888859E-2</v>
      </c>
      <c r="R5" s="5">
        <f t="shared" si="3"/>
        <v>1.4627258714440192E-2</v>
      </c>
      <c r="S5" s="5">
        <f t="shared" si="3"/>
        <v>2.5059851580848447E-2</v>
      </c>
      <c r="T5" s="5">
        <f t="shared" ref="T5:T13" si="4">ABS(Q5)</f>
        <v>7.5173725545888859E-2</v>
      </c>
      <c r="U5" s="5">
        <f t="shared" si="0"/>
        <v>1.4627258714440192E-2</v>
      </c>
      <c r="V5" s="5">
        <f t="shared" si="0"/>
        <v>2.5059851580848447E-2</v>
      </c>
      <c r="W5" s="6" cm="1">
        <f t="array" ref="W5">AVERAGE(ABS(Q4:Q13))</f>
        <v>3.8162384263215735E-2</v>
      </c>
      <c r="X5" s="6" cm="1">
        <f t="array" ref="X5">AVERAGE(ABS(R4:R13))</f>
        <v>1.3003252954498617E-2</v>
      </c>
      <c r="Y5" s="6" cm="1">
        <f t="array" ref="Y5">AVERAGE(ABS(S4:S13))</f>
        <v>1.6045352321544228E-2</v>
      </c>
      <c r="AA5" s="8">
        <f>'Proximal Validation'!A4</f>
        <v>0.8</v>
      </c>
      <c r="AB5" s="8">
        <f>'Proximal Validation'!B4</f>
        <v>0.06</v>
      </c>
      <c r="AC5" s="8">
        <f>'Proximal Validation'!C4</f>
        <v>1.5707963267948966</v>
      </c>
      <c r="AD5" s="8">
        <f>'Proximal Validation'!D4</f>
        <v>0</v>
      </c>
      <c r="AE5" s="8">
        <f>'Proximal Validation'!E4</f>
        <v>0</v>
      </c>
      <c r="AF5" s="8">
        <f>'Proximal Validation'!F4</f>
        <v>0</v>
      </c>
      <c r="AG5" s="8">
        <f>'Proximal Validation'!G4</f>
        <v>-1.3759520370513201E-3</v>
      </c>
      <c r="AH5" s="8">
        <f>'Proximal Validation'!H4</f>
        <v>-0.12723180651664701</v>
      </c>
      <c r="AI5" s="8">
        <f>'Proximal Validation'!I4</f>
        <v>-1.5217980835586799E-3</v>
      </c>
      <c r="AJ5" s="8">
        <f>'Proximal Validation'!J4</f>
        <v>-8.26666504144669E-2</v>
      </c>
      <c r="AK5" s="8">
        <f>'Proximal Validation'!K4</f>
        <v>-4.7411769628524798E-3</v>
      </c>
      <c r="AL5" s="8">
        <f>'Proximal Validation'!L4</f>
        <v>0.81632339954376198</v>
      </c>
      <c r="AM5" s="8">
        <v>0.91833498490248799</v>
      </c>
      <c r="AN5" s="8">
        <v>8.040059852944742E-2</v>
      </c>
      <c r="AO5" s="8">
        <v>1.5960797470783472</v>
      </c>
      <c r="AP5" s="12">
        <v>2.3695018871766488E-4</v>
      </c>
      <c r="AQ5" s="5">
        <f t="shared" ref="AQ5:AQ13" si="5">AM5-AA5</f>
        <v>0.11833498490248795</v>
      </c>
      <c r="AR5" s="5">
        <f t="shared" ref="AR5:AR13" si="6">AN5-AB5</f>
        <v>2.0400598529447422E-2</v>
      </c>
      <c r="AS5" s="5">
        <f t="shared" ref="AS5:AS13" si="7">AO5-AC5</f>
        <v>2.5283420283450653E-2</v>
      </c>
      <c r="AT5" s="5">
        <f t="shared" ref="AT5:AT13" si="8">ABS(AQ5)</f>
        <v>0.11833498490248795</v>
      </c>
      <c r="AU5" s="5">
        <f t="shared" si="1"/>
        <v>2.0400598529447422E-2</v>
      </c>
      <c r="AV5" s="5">
        <f t="shared" si="2"/>
        <v>2.5283420283450653E-2</v>
      </c>
      <c r="AW5" s="6" cm="1">
        <f t="array" ref="AW5">AVERAGE(ABS(AQ4:AQ13))</f>
        <v>0.18453175682454409</v>
      </c>
      <c r="AX5" s="6" cm="1">
        <f t="array" ref="AX5">AVERAGE(ABS(AR4:AR13))</f>
        <v>1.3022282717788505E-2</v>
      </c>
      <c r="AY5" s="6" cm="1">
        <f t="array" ref="AY5">AVERAGE(ABS(AS4:AS13))</f>
        <v>1.5310297539590168E-2</v>
      </c>
    </row>
    <row r="6" spans="1:51" x14ac:dyDescent="0.25">
      <c r="A6" s="5">
        <f>'Proximal Validation'!A5</f>
        <v>0.3</v>
      </c>
      <c r="B6" s="5">
        <f>'Proximal Validation'!B5</f>
        <v>0.08</v>
      </c>
      <c r="C6" s="5">
        <f>'Proximal Validation'!C5</f>
        <v>1.5707963267948966</v>
      </c>
      <c r="D6" s="5">
        <f>'Proximal Validation'!D5</f>
        <v>0</v>
      </c>
      <c r="E6" s="5">
        <f>'Proximal Validation'!E5</f>
        <v>0</v>
      </c>
      <c r="F6" s="5">
        <f>'Proximal Validation'!F5</f>
        <v>0</v>
      </c>
      <c r="G6" s="5">
        <f>'Proximal Validation'!G5</f>
        <v>-2.8428673977032298E-4</v>
      </c>
      <c r="H6" s="5">
        <f>'Proximal Validation'!H5</f>
        <v>-4.3962169438600499E-2</v>
      </c>
      <c r="I6" s="5">
        <f>'Proximal Validation'!I5</f>
        <v>-1.9410930690355599E-4</v>
      </c>
      <c r="J6" s="5">
        <f>'Proximal Validation'!J5</f>
        <v>-1.4232989400625199E-2</v>
      </c>
      <c r="K6" s="5">
        <f>'Proximal Validation'!K5</f>
        <v>8.0315023660659801E-4</v>
      </c>
      <c r="L6" s="5">
        <f>'Proximal Validation'!L5</f>
        <v>0.24872186779975899</v>
      </c>
      <c r="M6" s="5">
        <v>0.30067881278286518</v>
      </c>
      <c r="N6" s="5">
        <v>8.8419965347717039E-2</v>
      </c>
      <c r="O6" s="5">
        <v>1.5781920946365151</v>
      </c>
      <c r="P6" s="11">
        <v>3.1521521810203471E-5</v>
      </c>
      <c r="Q6" s="5">
        <f t="shared" si="3"/>
        <v>6.788127828651902E-4</v>
      </c>
      <c r="R6" s="5">
        <f t="shared" si="3"/>
        <v>8.4199653477170372E-3</v>
      </c>
      <c r="S6" s="5">
        <f t="shared" si="3"/>
        <v>7.3957678416185502E-3</v>
      </c>
      <c r="T6" s="5">
        <f t="shared" si="4"/>
        <v>6.788127828651902E-4</v>
      </c>
      <c r="U6" s="5">
        <f t="shared" si="0"/>
        <v>8.4199653477170372E-3</v>
      </c>
      <c r="V6" s="5">
        <f t="shared" si="0"/>
        <v>7.3957678416185502E-3</v>
      </c>
      <c r="W6" s="24"/>
      <c r="X6" s="24"/>
      <c r="Y6" s="24"/>
      <c r="AA6" s="5">
        <f>'Proximal Validation'!A5</f>
        <v>0.3</v>
      </c>
      <c r="AB6" s="5">
        <f>'Proximal Validation'!B5</f>
        <v>0.08</v>
      </c>
      <c r="AC6" s="5">
        <f>'Proximal Validation'!C5</f>
        <v>1.5707963267948966</v>
      </c>
      <c r="AD6" s="5">
        <f>'Proximal Validation'!D5</f>
        <v>0</v>
      </c>
      <c r="AE6" s="5">
        <f>'Proximal Validation'!E5</f>
        <v>0</v>
      </c>
      <c r="AF6" s="5">
        <f>'Proximal Validation'!F5</f>
        <v>0</v>
      </c>
      <c r="AG6" s="5">
        <f>'Proximal Validation'!G5</f>
        <v>-2.8428673977032298E-4</v>
      </c>
      <c r="AH6" s="5">
        <f>'Proximal Validation'!H5</f>
        <v>-4.3962169438600499E-2</v>
      </c>
      <c r="AI6" s="5">
        <f>'Proximal Validation'!I5</f>
        <v>-1.9410930690355599E-4</v>
      </c>
      <c r="AJ6" s="5">
        <f>'Proximal Validation'!J5</f>
        <v>-1.4232989400625199E-2</v>
      </c>
      <c r="AK6" s="5">
        <f>'Proximal Validation'!K5</f>
        <v>8.0315023660659801E-4</v>
      </c>
      <c r="AL6" s="5">
        <f>'Proximal Validation'!L5</f>
        <v>0.24872186779975899</v>
      </c>
      <c r="AM6" s="5">
        <v>0.49728631181273564</v>
      </c>
      <c r="AN6" s="5">
        <v>8.7942568172972774E-2</v>
      </c>
      <c r="AO6" s="5">
        <v>1.5781110314585332</v>
      </c>
      <c r="AP6" s="11">
        <v>1.0945855357198722E-5</v>
      </c>
      <c r="AQ6" s="5">
        <f t="shared" si="5"/>
        <v>0.19728631181273565</v>
      </c>
      <c r="AR6" s="5">
        <f t="shared" si="6"/>
        <v>7.9425681729727721E-3</v>
      </c>
      <c r="AS6" s="5">
        <f t="shared" si="7"/>
        <v>7.3147046636365953E-3</v>
      </c>
      <c r="AT6" s="5">
        <f t="shared" si="8"/>
        <v>0.19728631181273565</v>
      </c>
      <c r="AU6" s="5">
        <f t="shared" si="1"/>
        <v>7.9425681729727721E-3</v>
      </c>
      <c r="AV6" s="5">
        <f t="shared" si="2"/>
        <v>7.3147046636365953E-3</v>
      </c>
      <c r="AW6" s="24"/>
      <c r="AX6" s="24"/>
      <c r="AY6" s="24"/>
    </row>
    <row r="7" spans="1:51" x14ac:dyDescent="0.25">
      <c r="A7" s="5">
        <f>'Proximal Validation'!A6</f>
        <v>0.5</v>
      </c>
      <c r="B7" s="5">
        <f>'Proximal Validation'!B6</f>
        <v>0.1</v>
      </c>
      <c r="C7" s="5">
        <f>'Proximal Validation'!C6</f>
        <v>1.5707963267948966</v>
      </c>
      <c r="D7" s="5">
        <f>'Proximal Validation'!D6</f>
        <v>0</v>
      </c>
      <c r="E7" s="5">
        <f>'Proximal Validation'!E6</f>
        <v>0</v>
      </c>
      <c r="F7" s="5">
        <f>'Proximal Validation'!F6</f>
        <v>0</v>
      </c>
      <c r="G7" s="5">
        <f>'Proximal Validation'!G6</f>
        <v>-9.02065541595221E-4</v>
      </c>
      <c r="H7" s="5">
        <f>'Proximal Validation'!H6</f>
        <v>-9.5010705292224898E-2</v>
      </c>
      <c r="I7" s="5">
        <f>'Proximal Validation'!I6</f>
        <v>-3.1485431827604798E-4</v>
      </c>
      <c r="J7" s="5">
        <f>'Proximal Validation'!J6</f>
        <v>-0.14170777797699</v>
      </c>
      <c r="K7" s="5">
        <f>'Proximal Validation'!K6</f>
        <v>3.2724365592002899E-3</v>
      </c>
      <c r="L7" s="5">
        <f>'Proximal Validation'!L6</f>
        <v>0.46851912140846302</v>
      </c>
      <c r="M7" s="5">
        <v>0.50010643412132028</v>
      </c>
      <c r="N7" s="5">
        <v>0.11069487751659678</v>
      </c>
      <c r="O7" s="5">
        <v>1.5808506255606938</v>
      </c>
      <c r="P7" s="11">
        <v>8.7772175198983751E-5</v>
      </c>
      <c r="Q7" s="5">
        <f t="shared" si="3"/>
        <v>1.0643412132027574E-4</v>
      </c>
      <c r="R7" s="5">
        <f t="shared" si="3"/>
        <v>1.0694877516596771E-2</v>
      </c>
      <c r="S7" s="5">
        <f t="shared" si="3"/>
        <v>1.005429876579722E-2</v>
      </c>
      <c r="T7" s="5">
        <f t="shared" si="4"/>
        <v>1.0643412132027574E-4</v>
      </c>
      <c r="U7" s="5">
        <f t="shared" si="0"/>
        <v>1.0694877516596771E-2</v>
      </c>
      <c r="V7" s="5">
        <f t="shared" si="0"/>
        <v>1.005429876579722E-2</v>
      </c>
      <c r="AA7" s="5">
        <f>'Proximal Validation'!A6</f>
        <v>0.5</v>
      </c>
      <c r="AB7" s="5">
        <f>'Proximal Validation'!B6</f>
        <v>0.1</v>
      </c>
      <c r="AC7" s="5">
        <f>'Proximal Validation'!C6</f>
        <v>1.5707963267948966</v>
      </c>
      <c r="AD7" s="5">
        <f>'Proximal Validation'!D6</f>
        <v>0</v>
      </c>
      <c r="AE7" s="5">
        <f>'Proximal Validation'!E6</f>
        <v>0</v>
      </c>
      <c r="AF7" s="5">
        <f>'Proximal Validation'!F6</f>
        <v>0</v>
      </c>
      <c r="AG7" s="5">
        <f>'Proximal Validation'!G6</f>
        <v>-9.02065541595221E-4</v>
      </c>
      <c r="AH7" s="5">
        <f>'Proximal Validation'!H6</f>
        <v>-9.5010705292224898E-2</v>
      </c>
      <c r="AI7" s="5">
        <f>'Proximal Validation'!I6</f>
        <v>-3.1485431827604798E-4</v>
      </c>
      <c r="AJ7" s="5">
        <f>'Proximal Validation'!J6</f>
        <v>-0.14170777797699</v>
      </c>
      <c r="AK7" s="5">
        <f>'Proximal Validation'!K6</f>
        <v>3.2724365592002899E-3</v>
      </c>
      <c r="AL7" s="5">
        <f>'Proximal Validation'!L6</f>
        <v>0.46851912140846302</v>
      </c>
      <c r="AM7" s="5">
        <v>0.7276062255889908</v>
      </c>
      <c r="AN7" s="5">
        <v>0.11093944883306532</v>
      </c>
      <c r="AO7" s="5">
        <v>1.5798657137560832</v>
      </c>
      <c r="AP7" s="11">
        <v>1.0518135936770494E-4</v>
      </c>
      <c r="AQ7" s="5">
        <f t="shared" si="5"/>
        <v>0.2276062255889908</v>
      </c>
      <c r="AR7" s="5">
        <f t="shared" si="6"/>
        <v>1.0939448833065316E-2</v>
      </c>
      <c r="AS7" s="5">
        <f t="shared" si="7"/>
        <v>9.0693869611866429E-3</v>
      </c>
      <c r="AT7" s="5">
        <f t="shared" si="8"/>
        <v>0.2276062255889908</v>
      </c>
      <c r="AU7" s="5">
        <f t="shared" si="1"/>
        <v>1.0939448833065316E-2</v>
      </c>
      <c r="AV7" s="5">
        <f t="shared" si="2"/>
        <v>9.0693869611866429E-3</v>
      </c>
    </row>
    <row r="8" spans="1:51" x14ac:dyDescent="0.25">
      <c r="A8" s="5">
        <f>'Proximal Validation'!A7</f>
        <v>0.7</v>
      </c>
      <c r="B8" s="5">
        <f>'Proximal Validation'!B7</f>
        <v>0.1</v>
      </c>
      <c r="C8" s="5">
        <f>'Proximal Validation'!C7</f>
        <v>1.5707963267948966</v>
      </c>
      <c r="D8" s="5">
        <f>'Proximal Validation'!D7</f>
        <v>0</v>
      </c>
      <c r="E8" s="5">
        <f>'Proximal Validation'!E7</f>
        <v>0</v>
      </c>
      <c r="F8" s="5">
        <f>'Proximal Validation'!F7</f>
        <v>0</v>
      </c>
      <c r="G8" s="5">
        <f>'Proximal Validation'!G7</f>
        <v>-1.3697715476155301E-3</v>
      </c>
      <c r="H8" s="5">
        <f>'Proximal Validation'!H7</f>
        <v>-0.129899337887764</v>
      </c>
      <c r="I8" s="5">
        <f>'Proximal Validation'!I7</f>
        <v>-1.1154995299875699E-3</v>
      </c>
      <c r="J8" s="5">
        <f>'Proximal Validation'!J7</f>
        <v>-0.27736902236938499</v>
      </c>
      <c r="K8" s="5">
        <f>'Proximal Validation'!K7</f>
        <v>2.9984340071678201E-3</v>
      </c>
      <c r="L8" s="5">
        <f>'Proximal Validation'!L7</f>
        <v>0.62586665153503396</v>
      </c>
      <c r="M8" s="5">
        <v>0.69555108323175452</v>
      </c>
      <c r="N8" s="5">
        <v>0.10817761612007287</v>
      </c>
      <c r="O8" s="5">
        <v>1.5877814041874156</v>
      </c>
      <c r="P8" s="11">
        <v>5.8431032249773554E-5</v>
      </c>
      <c r="Q8" s="5">
        <f t="shared" si="3"/>
        <v>-4.4489167682454367E-3</v>
      </c>
      <c r="R8" s="5">
        <f t="shared" si="3"/>
        <v>8.177616120072867E-3</v>
      </c>
      <c r="S8" s="5">
        <f t="shared" si="3"/>
        <v>1.6985077392519088E-2</v>
      </c>
      <c r="T8" s="5">
        <f t="shared" si="4"/>
        <v>4.4489167682454367E-3</v>
      </c>
      <c r="U8" s="5">
        <f t="shared" si="0"/>
        <v>8.177616120072867E-3</v>
      </c>
      <c r="V8" s="5">
        <f t="shared" si="0"/>
        <v>1.6985077392519088E-2</v>
      </c>
      <c r="AA8" s="5">
        <f>'Proximal Validation'!A7</f>
        <v>0.7</v>
      </c>
      <c r="AB8" s="5">
        <f>'Proximal Validation'!B7</f>
        <v>0.1</v>
      </c>
      <c r="AC8" s="5">
        <f>'Proximal Validation'!C7</f>
        <v>1.5707963267948966</v>
      </c>
      <c r="AD8" s="5">
        <f>'Proximal Validation'!D7</f>
        <v>0</v>
      </c>
      <c r="AE8" s="5">
        <f>'Proximal Validation'!E7</f>
        <v>0</v>
      </c>
      <c r="AF8" s="5">
        <f>'Proximal Validation'!F7</f>
        <v>0</v>
      </c>
      <c r="AG8" s="5">
        <f>'Proximal Validation'!G7</f>
        <v>-1.3697715476155301E-3</v>
      </c>
      <c r="AH8" s="5">
        <f>'Proximal Validation'!H7</f>
        <v>-0.129899337887764</v>
      </c>
      <c r="AI8" s="5">
        <f>'Proximal Validation'!I7</f>
        <v>-1.1154995299875699E-3</v>
      </c>
      <c r="AJ8" s="5">
        <f>'Proximal Validation'!J7</f>
        <v>-0.27736902236938499</v>
      </c>
      <c r="AK8" s="5">
        <f>'Proximal Validation'!K7</f>
        <v>2.9984340071678201E-3</v>
      </c>
      <c r="AL8" s="5">
        <f>'Proximal Validation'!L7</f>
        <v>0.62586665153503396</v>
      </c>
      <c r="AM8" s="5">
        <v>0.89351580808552333</v>
      </c>
      <c r="AN8" s="5">
        <v>0.10862710095052713</v>
      </c>
      <c r="AO8" s="5">
        <v>1.5864782205146963</v>
      </c>
      <c r="AP8" s="11">
        <v>9.8187916179511055E-5</v>
      </c>
      <c r="AQ8" s="5">
        <f t="shared" si="5"/>
        <v>0.19351580808552338</v>
      </c>
      <c r="AR8" s="5">
        <f t="shared" si="6"/>
        <v>8.6271009505271279E-3</v>
      </c>
      <c r="AS8" s="5">
        <f t="shared" si="7"/>
        <v>1.5681893719799778E-2</v>
      </c>
      <c r="AT8" s="5">
        <f t="shared" si="8"/>
        <v>0.19351580808552338</v>
      </c>
      <c r="AU8" s="5">
        <f t="shared" si="1"/>
        <v>8.6271009505271279E-3</v>
      </c>
      <c r="AV8" s="5">
        <f t="shared" si="2"/>
        <v>1.5681893719799778E-2</v>
      </c>
    </row>
    <row r="9" spans="1:51" x14ac:dyDescent="0.25">
      <c r="A9" s="5">
        <f>'Proximal Validation'!A8</f>
        <v>0.4</v>
      </c>
      <c r="B9" s="5">
        <f>'Proximal Validation'!B8</f>
        <v>0.16</v>
      </c>
      <c r="C9" s="5">
        <f>'Proximal Validation'!C8</f>
        <v>1.5707963267948966</v>
      </c>
      <c r="D9" s="5">
        <f>'Proximal Validation'!D8</f>
        <v>0</v>
      </c>
      <c r="E9" s="5">
        <f>'Proximal Validation'!E8</f>
        <v>0</v>
      </c>
      <c r="F9" s="5">
        <f>'Proximal Validation'!F8</f>
        <v>0</v>
      </c>
      <c r="G9" s="5">
        <f>'Proximal Validation'!G8</f>
        <v>-1.30162085406482E-3</v>
      </c>
      <c r="H9" s="5">
        <f>'Proximal Validation'!H8</f>
        <v>-9.1771319508552607E-2</v>
      </c>
      <c r="I9" s="5">
        <f>'Proximal Validation'!I8</f>
        <v>-6.8558257771655895E-4</v>
      </c>
      <c r="J9" s="5">
        <f>'Proximal Validation'!J8</f>
        <v>-0.188138782978058</v>
      </c>
      <c r="K9" s="5">
        <f>'Proximal Validation'!K8</f>
        <v>3.5599116235971499E-3</v>
      </c>
      <c r="L9" s="5">
        <f>'Proximal Validation'!L8</f>
        <v>0.316497713327408</v>
      </c>
      <c r="M9" s="5">
        <v>0.37708508200985424</v>
      </c>
      <c r="N9" s="5">
        <v>0.16990423837519988</v>
      </c>
      <c r="O9" s="5">
        <v>1.5783103974769122</v>
      </c>
      <c r="P9" s="11">
        <v>2.9633396187254003E-4</v>
      </c>
      <c r="Q9" s="5">
        <f t="shared" si="3"/>
        <v>-2.2914917990145778E-2</v>
      </c>
      <c r="R9" s="5">
        <f t="shared" si="3"/>
        <v>9.9042383751998808E-3</v>
      </c>
      <c r="S9" s="5">
        <f t="shared" si="3"/>
        <v>7.5140706820155945E-3</v>
      </c>
      <c r="T9" s="5">
        <f t="shared" si="4"/>
        <v>2.2914917990145778E-2</v>
      </c>
      <c r="U9" s="5">
        <f t="shared" si="0"/>
        <v>9.9042383751998808E-3</v>
      </c>
      <c r="V9" s="5">
        <f t="shared" si="0"/>
        <v>7.5140706820155945E-3</v>
      </c>
      <c r="AA9" s="5">
        <f>'Proximal Validation'!A8</f>
        <v>0.4</v>
      </c>
      <c r="AB9" s="5">
        <f>'Proximal Validation'!B8</f>
        <v>0.16</v>
      </c>
      <c r="AC9" s="5">
        <f>'Proximal Validation'!C8</f>
        <v>1.5707963267948966</v>
      </c>
      <c r="AD9" s="5">
        <f>'Proximal Validation'!D8</f>
        <v>0</v>
      </c>
      <c r="AE9" s="5">
        <f>'Proximal Validation'!E8</f>
        <v>0</v>
      </c>
      <c r="AF9" s="5">
        <f>'Proximal Validation'!F8</f>
        <v>0</v>
      </c>
      <c r="AG9" s="5">
        <f>'Proximal Validation'!G8</f>
        <v>-1.30162085406482E-3</v>
      </c>
      <c r="AH9" s="5">
        <f>'Proximal Validation'!H8</f>
        <v>-9.1771319508552607E-2</v>
      </c>
      <c r="AI9" s="5">
        <f>'Proximal Validation'!I8</f>
        <v>-6.8558257771655895E-4</v>
      </c>
      <c r="AJ9" s="5">
        <f>'Proximal Validation'!J8</f>
        <v>-0.188138782978058</v>
      </c>
      <c r="AK9" s="5">
        <f>'Proximal Validation'!K8</f>
        <v>3.5599116235971499E-3</v>
      </c>
      <c r="AL9" s="5">
        <f>'Proximal Validation'!L8</f>
        <v>0.316497713327408</v>
      </c>
      <c r="AM9" s="5">
        <v>0.32723128078591002</v>
      </c>
      <c r="AN9" s="5">
        <v>0.16889019177444919</v>
      </c>
      <c r="AO9" s="5">
        <v>1.5727231209828236</v>
      </c>
      <c r="AP9" s="11">
        <v>4.2686043312899446E-4</v>
      </c>
      <c r="AQ9" s="5">
        <f t="shared" si="5"/>
        <v>-7.2768719214090005E-2</v>
      </c>
      <c r="AR9" s="5">
        <f t="shared" si="6"/>
        <v>8.890191774449191E-3</v>
      </c>
      <c r="AS9" s="5">
        <f t="shared" si="7"/>
        <v>1.9267941879270722E-3</v>
      </c>
      <c r="AT9" s="5">
        <f t="shared" si="8"/>
        <v>7.2768719214090005E-2</v>
      </c>
      <c r="AU9" s="5">
        <f t="shared" si="1"/>
        <v>8.890191774449191E-3</v>
      </c>
      <c r="AV9" s="5">
        <f t="shared" si="2"/>
        <v>1.9267941879270722E-3</v>
      </c>
    </row>
    <row r="10" spans="1:51" x14ac:dyDescent="0.25">
      <c r="A10" s="5">
        <f>'Proximal Validation'!A9</f>
        <v>0.6</v>
      </c>
      <c r="B10" s="5">
        <f>'Proximal Validation'!B9</f>
        <v>0.16</v>
      </c>
      <c r="C10" s="5">
        <f>'Proximal Validation'!C9</f>
        <v>1.5707963267948966</v>
      </c>
      <c r="D10" s="5">
        <f>'Proximal Validation'!D9</f>
        <v>0</v>
      </c>
      <c r="E10" s="5">
        <f>'Proximal Validation'!E9</f>
        <v>0</v>
      </c>
      <c r="F10" s="5">
        <f>'Proximal Validation'!F9</f>
        <v>0</v>
      </c>
      <c r="G10" s="5">
        <f>'Proximal Validation'!G9</f>
        <v>-2.1819151006638999E-3</v>
      </c>
      <c r="H10" s="5">
        <f>'Proximal Validation'!H9</f>
        <v>-0.134275212883949</v>
      </c>
      <c r="I10" s="5">
        <f>'Proximal Validation'!I9</f>
        <v>-2.8121363720856602E-4</v>
      </c>
      <c r="J10" s="5">
        <f>'Proximal Validation'!J9</f>
        <v>-0.47822567820549</v>
      </c>
      <c r="K10" s="5">
        <f>'Proximal Validation'!K9</f>
        <v>1.2040870264172601E-2</v>
      </c>
      <c r="L10" s="5">
        <f>'Proximal Validation'!L9</f>
        <v>0.39143002033233598</v>
      </c>
      <c r="M10" s="5">
        <v>0.66507098493429329</v>
      </c>
      <c r="N10" s="5">
        <v>0.15884717317673197</v>
      </c>
      <c r="O10" s="5">
        <v>1.5774823942649623</v>
      </c>
      <c r="P10" s="11">
        <v>7.8056946302724385E-5</v>
      </c>
      <c r="Q10" s="5">
        <f t="shared" si="3"/>
        <v>6.5070984934293308E-2</v>
      </c>
      <c r="R10" s="5">
        <f t="shared" si="3"/>
        <v>-1.1528268232680328E-3</v>
      </c>
      <c r="S10" s="5">
        <f t="shared" si="3"/>
        <v>6.6860674700657263E-3</v>
      </c>
      <c r="T10" s="5">
        <f t="shared" si="4"/>
        <v>6.5070984934293308E-2</v>
      </c>
      <c r="U10" s="5">
        <f t="shared" si="0"/>
        <v>1.1528268232680328E-3</v>
      </c>
      <c r="V10" s="5">
        <f t="shared" si="0"/>
        <v>6.6860674700657263E-3</v>
      </c>
      <c r="W10" s="7"/>
      <c r="X10" s="7"/>
      <c r="Y10" s="7"/>
      <c r="AA10" s="5">
        <f>'Proximal Validation'!A9</f>
        <v>0.6</v>
      </c>
      <c r="AB10" s="5">
        <f>'Proximal Validation'!B9</f>
        <v>0.16</v>
      </c>
      <c r="AC10" s="5">
        <f>'Proximal Validation'!C9</f>
        <v>1.5707963267948966</v>
      </c>
      <c r="AD10" s="5">
        <f>'Proximal Validation'!D9</f>
        <v>0</v>
      </c>
      <c r="AE10" s="5">
        <f>'Proximal Validation'!E9</f>
        <v>0</v>
      </c>
      <c r="AF10" s="5">
        <f>'Proximal Validation'!F9</f>
        <v>0</v>
      </c>
      <c r="AG10" s="5">
        <f>'Proximal Validation'!G9</f>
        <v>-2.1819151006638999E-3</v>
      </c>
      <c r="AH10" s="5">
        <f>'Proximal Validation'!H9</f>
        <v>-0.134275212883949</v>
      </c>
      <c r="AI10" s="5">
        <f>'Proximal Validation'!I9</f>
        <v>-2.8121363720856602E-4</v>
      </c>
      <c r="AJ10" s="5">
        <f>'Proximal Validation'!J9</f>
        <v>-0.47822567820549</v>
      </c>
      <c r="AK10" s="5">
        <f>'Proximal Validation'!K9</f>
        <v>1.2040870264172601E-2</v>
      </c>
      <c r="AL10" s="5">
        <f>'Proximal Validation'!L9</f>
        <v>0.39143002033233598</v>
      </c>
      <c r="AM10" s="5">
        <v>0.57262647284169976</v>
      </c>
      <c r="AN10" s="5">
        <v>0.15712241098479002</v>
      </c>
      <c r="AO10" s="5">
        <v>1.5745722592756153</v>
      </c>
      <c r="AP10" s="11">
        <v>3.0106499277766225E-4</v>
      </c>
      <c r="AQ10" s="5">
        <f t="shared" si="5"/>
        <v>-2.7373527158300215E-2</v>
      </c>
      <c r="AR10" s="5">
        <f t="shared" si="6"/>
        <v>-2.8775890152099859E-3</v>
      </c>
      <c r="AS10" s="5">
        <f t="shared" si="7"/>
        <v>3.7759324807187244E-3</v>
      </c>
      <c r="AT10" s="5">
        <f t="shared" si="8"/>
        <v>2.7373527158300215E-2</v>
      </c>
      <c r="AU10" s="5">
        <f t="shared" si="1"/>
        <v>2.8775890152099859E-3</v>
      </c>
      <c r="AV10" s="5">
        <f t="shared" si="2"/>
        <v>3.7759324807187244E-3</v>
      </c>
      <c r="AW10" s="7"/>
      <c r="AX10" s="7"/>
      <c r="AY10" s="7"/>
    </row>
    <row r="11" spans="1:51" x14ac:dyDescent="0.25">
      <c r="A11" s="5">
        <f>'Proximal Validation'!A10</f>
        <v>0.8</v>
      </c>
      <c r="B11" s="5">
        <f>'Proximal Validation'!B10</f>
        <v>0.18</v>
      </c>
      <c r="C11" s="5">
        <f>'Proximal Validation'!C10</f>
        <v>1.5707963267948966</v>
      </c>
      <c r="D11" s="5">
        <f>'Proximal Validation'!D10</f>
        <v>0</v>
      </c>
      <c r="E11" s="5">
        <f>'Proximal Validation'!E10</f>
        <v>0</v>
      </c>
      <c r="F11" s="5">
        <f>'Proximal Validation'!F10</f>
        <v>0</v>
      </c>
      <c r="G11" s="5">
        <f>'Proximal Validation'!G10</f>
        <v>-1.05854228604585E-3</v>
      </c>
      <c r="H11" s="5">
        <f>'Proximal Validation'!H10</f>
        <v>-0.13548035919666301</v>
      </c>
      <c r="I11" s="5">
        <f>'Proximal Validation'!I10</f>
        <v>-1.24974839854985E-3</v>
      </c>
      <c r="J11" s="5">
        <f>'Proximal Validation'!J10</f>
        <v>-0.72550737857818604</v>
      </c>
      <c r="K11" s="5">
        <f>'Proximal Validation'!K10</f>
        <v>2.9684353619813902E-2</v>
      </c>
      <c r="L11" s="5">
        <f>'Proximal Validation'!L10</f>
        <v>0.13168570399284399</v>
      </c>
      <c r="M11" s="5">
        <v>0.66551650736094825</v>
      </c>
      <c r="N11" s="5">
        <v>0.19999999999997781</v>
      </c>
      <c r="O11" s="5">
        <v>1.5825969070776229</v>
      </c>
      <c r="P11" s="11">
        <v>1.1596894895439893E-3</v>
      </c>
      <c r="Q11" s="5">
        <f t="shared" si="3"/>
        <v>-0.13448349263905179</v>
      </c>
      <c r="R11" s="5">
        <f t="shared" si="3"/>
        <v>1.9999999999977813E-2</v>
      </c>
      <c r="S11" s="5">
        <f t="shared" si="3"/>
        <v>1.1800580282726347E-2</v>
      </c>
      <c r="T11" s="5">
        <f t="shared" si="4"/>
        <v>0.13448349263905179</v>
      </c>
      <c r="U11" s="5">
        <f t="shared" si="0"/>
        <v>1.9999999999977813E-2</v>
      </c>
      <c r="V11" s="5">
        <f t="shared" si="0"/>
        <v>1.1800580282726347E-2</v>
      </c>
      <c r="AA11" s="5">
        <f>'Proximal Validation'!A10</f>
        <v>0.8</v>
      </c>
      <c r="AB11" s="5">
        <f>'Proximal Validation'!B10</f>
        <v>0.18</v>
      </c>
      <c r="AC11" s="5">
        <f>'Proximal Validation'!C10</f>
        <v>1.5707963267948966</v>
      </c>
      <c r="AD11" s="5">
        <f>'Proximal Validation'!D10</f>
        <v>0</v>
      </c>
      <c r="AE11" s="5">
        <f>'Proximal Validation'!E10</f>
        <v>0</v>
      </c>
      <c r="AF11" s="5">
        <f>'Proximal Validation'!F10</f>
        <v>0</v>
      </c>
      <c r="AG11" s="5">
        <f>'Proximal Validation'!G10</f>
        <v>-1.05854228604585E-3</v>
      </c>
      <c r="AH11" s="5">
        <f>'Proximal Validation'!H10</f>
        <v>-0.13548035919666301</v>
      </c>
      <c r="AI11" s="5">
        <f>'Proximal Validation'!I10</f>
        <v>-1.24974839854985E-3</v>
      </c>
      <c r="AJ11" s="5">
        <f>'Proximal Validation'!J10</f>
        <v>-0.72550737857818604</v>
      </c>
      <c r="AK11" s="5">
        <f>'Proximal Validation'!K10</f>
        <v>2.9684353619813902E-2</v>
      </c>
      <c r="AL11" s="5">
        <f>'Proximal Validation'!L10</f>
        <v>0.13168570399284399</v>
      </c>
      <c r="AM11" s="5">
        <v>0.6137662179915454</v>
      </c>
      <c r="AN11" s="5">
        <v>0.19999999999997781</v>
      </c>
      <c r="AO11" s="5">
        <v>1.5863923086009721</v>
      </c>
      <c r="AP11" s="11">
        <v>1.2011069005304861E-3</v>
      </c>
      <c r="AQ11" s="5">
        <f t="shared" si="5"/>
        <v>-0.18623378200845464</v>
      </c>
      <c r="AR11" s="5">
        <f t="shared" si="6"/>
        <v>1.9999999999977813E-2</v>
      </c>
      <c r="AS11" s="5">
        <f t="shared" si="7"/>
        <v>1.5595981806075576E-2</v>
      </c>
      <c r="AT11" s="5">
        <f t="shared" si="8"/>
        <v>0.18623378200845464</v>
      </c>
      <c r="AU11" s="5">
        <f t="shared" si="1"/>
        <v>1.9999999999977813E-2</v>
      </c>
      <c r="AV11" s="5">
        <f t="shared" si="2"/>
        <v>1.5595981806075576E-2</v>
      </c>
    </row>
    <row r="12" spans="1:51" x14ac:dyDescent="0.25">
      <c r="A12" s="5">
        <f>'Proximal Validation'!A11</f>
        <v>0.3</v>
      </c>
      <c r="B12" s="5">
        <f>'Proximal Validation'!B11</f>
        <v>0.2</v>
      </c>
      <c r="C12" s="5">
        <f>'Proximal Validation'!C11</f>
        <v>1.5707963267948966</v>
      </c>
      <c r="D12" s="5">
        <f>'Proximal Validation'!D11</f>
        <v>0</v>
      </c>
      <c r="E12" s="5">
        <f>'Proximal Validation'!E11</f>
        <v>0</v>
      </c>
      <c r="F12" s="5">
        <f>'Proximal Validation'!F11</f>
        <v>0</v>
      </c>
      <c r="G12" s="5">
        <f>'Proximal Validation'!G11</f>
        <v>-8.8630802929401398E-4</v>
      </c>
      <c r="H12" s="5">
        <f>'Proximal Validation'!H11</f>
        <v>-6.7533724009990706E-2</v>
      </c>
      <c r="I12" s="5">
        <f>'Proximal Validation'!I11</f>
        <v>-4.7554963384754999E-4</v>
      </c>
      <c r="J12" s="5">
        <f>'Proximal Validation'!J11</f>
        <v>-0.16650235652923601</v>
      </c>
      <c r="K12" s="5">
        <f>'Proximal Validation'!K11</f>
        <v>2.7373749762773501E-3</v>
      </c>
      <c r="L12" s="5">
        <f>'Proximal Validation'!L11</f>
        <v>0.18086977303028101</v>
      </c>
      <c r="M12" s="5">
        <v>0.30864665682971698</v>
      </c>
      <c r="N12" s="5">
        <v>0.19999999940303573</v>
      </c>
      <c r="O12" s="5">
        <v>1.588784373862187</v>
      </c>
      <c r="P12" s="11">
        <v>5.6320515319711688E-4</v>
      </c>
      <c r="Q12" s="5">
        <f t="shared" si="3"/>
        <v>8.6466568297169921E-3</v>
      </c>
      <c r="R12" s="5">
        <f t="shared" si="3"/>
        <v>-5.9696428356126319E-10</v>
      </c>
      <c r="S12" s="5">
        <f t="shared" si="3"/>
        <v>1.7988047067290402E-2</v>
      </c>
      <c r="T12" s="5">
        <f t="shared" si="4"/>
        <v>8.6466568297169921E-3</v>
      </c>
      <c r="U12" s="5">
        <f t="shared" si="0"/>
        <v>5.9696428356126319E-10</v>
      </c>
      <c r="V12" s="5">
        <f t="shared" si="0"/>
        <v>1.7988047067290402E-2</v>
      </c>
      <c r="W12" s="7"/>
      <c r="X12" s="7"/>
      <c r="Y12" s="7"/>
      <c r="AA12" s="5">
        <f>'Proximal Validation'!A11</f>
        <v>0.3</v>
      </c>
      <c r="AB12" s="5">
        <f>'Proximal Validation'!B11</f>
        <v>0.2</v>
      </c>
      <c r="AC12" s="5">
        <f>'Proximal Validation'!C11</f>
        <v>1.5707963267948966</v>
      </c>
      <c r="AD12" s="5">
        <f>'Proximal Validation'!D11</f>
        <v>0</v>
      </c>
      <c r="AE12" s="5">
        <f>'Proximal Validation'!E11</f>
        <v>0</v>
      </c>
      <c r="AF12" s="5">
        <f>'Proximal Validation'!F11</f>
        <v>0</v>
      </c>
      <c r="AG12" s="5">
        <f>'Proximal Validation'!G11</f>
        <v>-8.8630802929401398E-4</v>
      </c>
      <c r="AH12" s="5">
        <f>'Proximal Validation'!H11</f>
        <v>-6.7533724009990706E-2</v>
      </c>
      <c r="AI12" s="5">
        <f>'Proximal Validation'!I11</f>
        <v>-4.7554963384754999E-4</v>
      </c>
      <c r="AJ12" s="5">
        <f>'Proximal Validation'!J11</f>
        <v>-0.16650235652923601</v>
      </c>
      <c r="AK12" s="5">
        <f>'Proximal Validation'!K11</f>
        <v>2.7373749762773501E-3</v>
      </c>
      <c r="AL12" s="5">
        <f>'Proximal Validation'!L11</f>
        <v>0.18086977303028101</v>
      </c>
      <c r="AM12" s="5">
        <v>0.29308730264969246</v>
      </c>
      <c r="AN12" s="5">
        <v>0.19681112961075553</v>
      </c>
      <c r="AO12" s="5">
        <v>1.5860176181752843</v>
      </c>
      <c r="AP12" s="11">
        <v>7.8804648806462597E-4</v>
      </c>
      <c r="AQ12" s="5">
        <f t="shared" si="5"/>
        <v>-6.9126973503075284E-3</v>
      </c>
      <c r="AR12" s="5">
        <f t="shared" si="6"/>
        <v>-3.1888703892444803E-3</v>
      </c>
      <c r="AS12" s="5">
        <f t="shared" si="7"/>
        <v>1.5221291380387747E-2</v>
      </c>
      <c r="AT12" s="5">
        <f t="shared" si="8"/>
        <v>6.9126973503075284E-3</v>
      </c>
      <c r="AU12" s="5">
        <f t="shared" si="1"/>
        <v>3.1888703892444803E-3</v>
      </c>
      <c r="AV12" s="5">
        <f t="shared" si="2"/>
        <v>1.5221291380387747E-2</v>
      </c>
      <c r="AW12" s="7"/>
      <c r="AX12" s="7"/>
      <c r="AY12" s="7"/>
    </row>
    <row r="13" spans="1:51" x14ac:dyDescent="0.25">
      <c r="A13" s="5">
        <f>'Proximal Validation'!A12</f>
        <v>0.7</v>
      </c>
      <c r="B13" s="5">
        <f>'Proximal Validation'!B12</f>
        <v>0.2</v>
      </c>
      <c r="C13" s="5">
        <f>'Proximal Validation'!C12</f>
        <v>1.5707963267948966</v>
      </c>
      <c r="D13" s="5">
        <f>'Proximal Validation'!D12</f>
        <v>0</v>
      </c>
      <c r="E13" s="5">
        <f>'Proximal Validation'!E12</f>
        <v>0</v>
      </c>
      <c r="F13" s="5">
        <f>'Proximal Validation'!F12</f>
        <v>0</v>
      </c>
      <c r="G13" s="5">
        <f>'Proximal Validation'!G12</f>
        <v>-2.7598871383815999E-3</v>
      </c>
      <c r="H13" s="5">
        <f>'Proximal Validation'!H12</f>
        <v>-0.127221524715424</v>
      </c>
      <c r="I13" s="5">
        <f>'Proximal Validation'!I12</f>
        <v>-8.8058260735124404E-4</v>
      </c>
      <c r="J13" s="5">
        <f>'Proximal Validation'!J12</f>
        <v>-0.67187190055847201</v>
      </c>
      <c r="K13" s="5">
        <f>'Proximal Validation'!K12</f>
        <v>1.79205909371376E-2</v>
      </c>
      <c r="L13" s="5">
        <f>'Proximal Validation'!L12</f>
        <v>6.6542282700538594E-2</v>
      </c>
      <c r="M13" s="5">
        <v>0.72285733193286927</v>
      </c>
      <c r="N13" s="5">
        <v>0.15418047171830906</v>
      </c>
      <c r="O13" s="5">
        <v>1.6260376900597415</v>
      </c>
      <c r="P13" s="11">
        <v>5.1373893583374309E-4</v>
      </c>
      <c r="Q13" s="5">
        <f t="shared" si="3"/>
        <v>2.2857331932869318E-2</v>
      </c>
      <c r="R13" s="5">
        <f t="shared" si="3"/>
        <v>-4.5819528281690947E-2</v>
      </c>
      <c r="S13" s="5">
        <f t="shared" si="3"/>
        <v>5.5241363264844967E-2</v>
      </c>
      <c r="T13" s="5">
        <f t="shared" si="4"/>
        <v>2.2857331932869318E-2</v>
      </c>
      <c r="U13" s="5">
        <f t="shared" si="0"/>
        <v>4.5819528281690947E-2</v>
      </c>
      <c r="V13" s="5">
        <f t="shared" si="0"/>
        <v>5.5241363264844967E-2</v>
      </c>
      <c r="AA13" s="5">
        <f>'Proximal Validation'!A12</f>
        <v>0.7</v>
      </c>
      <c r="AB13" s="5">
        <f>'Proximal Validation'!B12</f>
        <v>0.2</v>
      </c>
      <c r="AC13" s="5">
        <f>'Proximal Validation'!C12</f>
        <v>1.5707963267948966</v>
      </c>
      <c r="AD13" s="5">
        <f>'Proximal Validation'!D12</f>
        <v>0</v>
      </c>
      <c r="AE13" s="5">
        <f>'Proximal Validation'!E12</f>
        <v>0</v>
      </c>
      <c r="AF13" s="5">
        <f>'Proximal Validation'!F12</f>
        <v>0</v>
      </c>
      <c r="AG13" s="5">
        <f>'Proximal Validation'!G12</f>
        <v>-2.7598871383815999E-3</v>
      </c>
      <c r="AH13" s="5">
        <f>'Proximal Validation'!H12</f>
        <v>-0.127221524715424</v>
      </c>
      <c r="AI13" s="5">
        <f>'Proximal Validation'!I12</f>
        <v>-8.8058260735124404E-4</v>
      </c>
      <c r="AJ13" s="5">
        <f>'Proximal Validation'!J12</f>
        <v>-0.67187190055847201</v>
      </c>
      <c r="AK13" s="5">
        <f>'Proximal Validation'!K12</f>
        <v>1.79205909371376E-2</v>
      </c>
      <c r="AL13" s="5">
        <f>'Proximal Validation'!L12</f>
        <v>6.6542282700538594E-2</v>
      </c>
      <c r="AM13" s="5">
        <v>0.41552371809922101</v>
      </c>
      <c r="AN13" s="5">
        <v>0.16692401285066383</v>
      </c>
      <c r="AO13" s="5">
        <v>1.6290407914788201</v>
      </c>
      <c r="AP13" s="11">
        <v>6.3500510394708066E-4</v>
      </c>
      <c r="AQ13" s="5">
        <f t="shared" si="5"/>
        <v>-0.28447628190077895</v>
      </c>
      <c r="AR13" s="5">
        <f t="shared" si="6"/>
        <v>-3.3075987149336183E-2</v>
      </c>
      <c r="AS13" s="5">
        <f t="shared" si="7"/>
        <v>5.8244464683923525E-2</v>
      </c>
      <c r="AT13" s="5">
        <f t="shared" si="8"/>
        <v>0.28447628190077895</v>
      </c>
      <c r="AU13" s="5">
        <f t="shared" si="1"/>
        <v>3.3075987149336183E-2</v>
      </c>
      <c r="AV13" s="5">
        <f t="shared" si="2"/>
        <v>5.8244464683923525E-2</v>
      </c>
    </row>
    <row r="15" spans="1:51" ht="15.75" x14ac:dyDescent="0.25">
      <c r="A15" s="31" t="s">
        <v>31</v>
      </c>
      <c r="B15" s="32"/>
      <c r="C15" s="33"/>
    </row>
    <row r="16" spans="1:51" x14ac:dyDescent="0.25">
      <c r="A16">
        <v>1</v>
      </c>
      <c r="B16">
        <v>0</v>
      </c>
      <c r="C16">
        <v>0</v>
      </c>
    </row>
    <row r="17" spans="1:12" x14ac:dyDescent="0.25">
      <c r="A17">
        <v>0</v>
      </c>
      <c r="B17">
        <v>1</v>
      </c>
      <c r="C17">
        <v>0</v>
      </c>
    </row>
    <row r="18" spans="1:12" x14ac:dyDescent="0.25">
      <c r="A18">
        <v>0</v>
      </c>
      <c r="B18">
        <v>0</v>
      </c>
      <c r="C18">
        <v>1</v>
      </c>
    </row>
    <row r="20" spans="1:12" ht="15.75" thickBot="1" x14ac:dyDescent="0.3"/>
    <row r="21" spans="1:12" ht="15.75" x14ac:dyDescent="0.25">
      <c r="C21" s="1" t="s">
        <v>33</v>
      </c>
      <c r="D21" s="1" t="s">
        <v>8</v>
      </c>
      <c r="E21" s="1" t="s">
        <v>9</v>
      </c>
      <c r="F21" s="1" t="s">
        <v>10</v>
      </c>
      <c r="G21" s="17" t="s">
        <v>32</v>
      </c>
      <c r="H21" s="18"/>
      <c r="I21" s="18"/>
      <c r="J21" s="18"/>
      <c r="K21" s="18"/>
      <c r="L21" s="18"/>
    </row>
    <row r="22" spans="1:12" x14ac:dyDescent="0.25">
      <c r="C22" s="10">
        <v>1</v>
      </c>
      <c r="D22" s="5">
        <f t="shared" ref="D22:L22" si="9">D4</f>
        <v>0</v>
      </c>
      <c r="E22" s="5">
        <f t="shared" si="9"/>
        <v>0</v>
      </c>
      <c r="F22" s="5">
        <f t="shared" si="9"/>
        <v>0</v>
      </c>
      <c r="G22" s="5">
        <f t="shared" si="9"/>
        <v>-2.8477585874497901E-4</v>
      </c>
      <c r="H22" s="5">
        <f t="shared" si="9"/>
        <v>-5.8327373117208502E-2</v>
      </c>
      <c r="I22" s="5">
        <f t="shared" si="9"/>
        <v>-1.50670297443867E-4</v>
      </c>
      <c r="J22" s="5">
        <f t="shared" si="9"/>
        <v>6.01342367008328E-3</v>
      </c>
      <c r="K22" s="5">
        <f t="shared" si="9"/>
        <v>2.2609531879425001E-3</v>
      </c>
      <c r="L22" s="5">
        <f t="shared" si="9"/>
        <v>0.37637501955032299</v>
      </c>
    </row>
    <row r="23" spans="1:12" x14ac:dyDescent="0.25">
      <c r="C23" s="10">
        <v>1</v>
      </c>
      <c r="D23" s="5">
        <v>1</v>
      </c>
      <c r="E23" s="5">
        <v>0</v>
      </c>
      <c r="F23" s="5">
        <v>0</v>
      </c>
      <c r="G23" s="5">
        <v>6.7423289874568603E-4</v>
      </c>
      <c r="H23" s="5">
        <v>-4.6691335737705203E-2</v>
      </c>
      <c r="I23" s="5">
        <v>-1.9840942695736901E-4</v>
      </c>
      <c r="J23" s="5">
        <v>1.92548986524343E-2</v>
      </c>
      <c r="K23" s="5">
        <v>-2.2761523723602298E-5</v>
      </c>
      <c r="L23" s="5">
        <v>0.30847230553626998</v>
      </c>
    </row>
    <row r="24" spans="1:12" x14ac:dyDescent="0.25">
      <c r="C24" s="10">
        <v>1</v>
      </c>
      <c r="D24" s="5">
        <v>0</v>
      </c>
      <c r="E24" s="5">
        <v>1</v>
      </c>
      <c r="F24" s="5">
        <v>0</v>
      </c>
      <c r="G24" s="5">
        <v>-6.0618203133344704E-4</v>
      </c>
      <c r="H24" s="5">
        <v>-4.5500006526708603E-2</v>
      </c>
      <c r="I24" s="5">
        <v>6.9612462539225803E-5</v>
      </c>
      <c r="J24" s="5">
        <v>2.4782635271549201E-2</v>
      </c>
      <c r="K24" s="5">
        <v>9.4752311706543003E-3</v>
      </c>
      <c r="L24" s="5">
        <v>0.30106654763221702</v>
      </c>
    </row>
    <row r="25" spans="1:12" x14ac:dyDescent="0.25">
      <c r="C25" s="10">
        <v>1</v>
      </c>
      <c r="D25" s="5">
        <v>0</v>
      </c>
      <c r="E25" s="5">
        <v>0</v>
      </c>
      <c r="F25" s="5">
        <v>1</v>
      </c>
      <c r="G25" s="5">
        <v>-1.3268133625388099E-4</v>
      </c>
      <c r="H25" s="5">
        <v>-7.0247285068035098E-2</v>
      </c>
      <c r="I25" s="5">
        <v>-1.3355066766962401E-4</v>
      </c>
      <c r="J25" s="5">
        <v>2.3433083668351201E-2</v>
      </c>
      <c r="K25" s="5">
        <v>6.2583163380622898E-3</v>
      </c>
      <c r="L25" s="5">
        <v>0.46214234828949002</v>
      </c>
    </row>
    <row r="26" spans="1:12" x14ac:dyDescent="0.25">
      <c r="C26" s="10">
        <v>2</v>
      </c>
      <c r="D26" s="5">
        <v>0</v>
      </c>
      <c r="E26" s="5">
        <v>0</v>
      </c>
      <c r="F26" s="5">
        <v>0</v>
      </c>
      <c r="G26" s="5">
        <f>G5</f>
        <v>-1.3759520370513201E-3</v>
      </c>
      <c r="H26" s="5">
        <f t="shared" ref="H26:L26" si="10">H5</f>
        <v>-0.12723180651664701</v>
      </c>
      <c r="I26" s="5">
        <f t="shared" si="10"/>
        <v>-1.5217980835586799E-3</v>
      </c>
      <c r="J26" s="5">
        <f t="shared" si="10"/>
        <v>-8.26666504144669E-2</v>
      </c>
      <c r="K26" s="5">
        <f t="shared" si="10"/>
        <v>-4.7411769628524798E-3</v>
      </c>
      <c r="L26" s="5">
        <f t="shared" si="10"/>
        <v>0.81632339954376198</v>
      </c>
    </row>
    <row r="27" spans="1:12" x14ac:dyDescent="0.25">
      <c r="C27" s="10">
        <v>2</v>
      </c>
      <c r="D27" s="5">
        <v>1</v>
      </c>
      <c r="E27" s="5">
        <v>0</v>
      </c>
      <c r="F27" s="5">
        <v>0</v>
      </c>
      <c r="G27" s="5">
        <v>-1.7096614465117501E-4</v>
      </c>
      <c r="H27" s="5">
        <v>-0.117183104157448</v>
      </c>
      <c r="I27" s="5">
        <v>-1.8990500830113901E-3</v>
      </c>
      <c r="J27" s="5">
        <v>-6.6881448030471802E-2</v>
      </c>
      <c r="K27" s="5">
        <v>-1.0641232132911699E-2</v>
      </c>
      <c r="L27" s="5">
        <v>0.760015308856964</v>
      </c>
    </row>
    <row r="28" spans="1:12" x14ac:dyDescent="0.25">
      <c r="C28" s="10">
        <v>2</v>
      </c>
      <c r="D28" s="5">
        <v>0</v>
      </c>
      <c r="E28" s="5">
        <v>1</v>
      </c>
      <c r="F28" s="5">
        <v>0</v>
      </c>
      <c r="G28" s="5">
        <v>-3.11067164875567E-3</v>
      </c>
      <c r="H28" s="5">
        <v>-0.115753546357155</v>
      </c>
      <c r="I28" s="5">
        <v>-3.8996658986434303E-4</v>
      </c>
      <c r="J28" s="5">
        <v>-6.27723783254623E-2</v>
      </c>
      <c r="K28" s="5">
        <v>6.8403780460357701E-3</v>
      </c>
      <c r="L28" s="5">
        <v>0.75269460678100597</v>
      </c>
    </row>
    <row r="29" spans="1:12" x14ac:dyDescent="0.25">
      <c r="C29" s="10">
        <v>2</v>
      </c>
      <c r="D29" s="5">
        <v>0</v>
      </c>
      <c r="E29" s="5">
        <v>0</v>
      </c>
      <c r="F29" s="5">
        <v>1</v>
      </c>
      <c r="G29" s="5">
        <v>-1.96084030903876E-3</v>
      </c>
      <c r="H29" s="5">
        <v>-0.137257635593414</v>
      </c>
      <c r="I29" s="5">
        <v>-1.4088806929066801E-3</v>
      </c>
      <c r="J29" s="5">
        <v>-7.98484832048416E-2</v>
      </c>
      <c r="K29" s="5">
        <v>-1.8499046564102201E-3</v>
      </c>
      <c r="L29" s="5">
        <v>0.88854026794433605</v>
      </c>
    </row>
    <row r="30" spans="1:12" x14ac:dyDescent="0.25">
      <c r="C30" s="10">
        <v>3</v>
      </c>
      <c r="D30" s="5">
        <v>0</v>
      </c>
      <c r="E30" s="5">
        <v>0</v>
      </c>
      <c r="F30" s="5">
        <v>0</v>
      </c>
      <c r="G30" s="5">
        <f>G6</f>
        <v>-2.8428673977032298E-4</v>
      </c>
      <c r="H30" s="5">
        <f t="shared" ref="H30:L30" si="11">H6</f>
        <v>-4.3962169438600499E-2</v>
      </c>
      <c r="I30" s="5">
        <f t="shared" si="11"/>
        <v>-1.9410930690355599E-4</v>
      </c>
      <c r="J30" s="5">
        <f t="shared" si="11"/>
        <v>-1.4232989400625199E-2</v>
      </c>
      <c r="K30" s="5">
        <f t="shared" si="11"/>
        <v>8.0315023660659801E-4</v>
      </c>
      <c r="L30" s="5">
        <f t="shared" si="11"/>
        <v>0.24872186779975899</v>
      </c>
    </row>
    <row r="31" spans="1:12" x14ac:dyDescent="0.25">
      <c r="C31" s="10">
        <v>3</v>
      </c>
      <c r="D31" s="5">
        <v>1</v>
      </c>
      <c r="E31" s="5">
        <v>0</v>
      </c>
      <c r="F31" s="5">
        <v>0</v>
      </c>
      <c r="G31" s="5">
        <v>4.6094937715679402E-4</v>
      </c>
      <c r="H31" s="5">
        <v>-2.8747312724590302E-2</v>
      </c>
      <c r="I31" s="5">
        <v>-1.7448040307499501E-4</v>
      </c>
      <c r="J31" s="5">
        <v>-7.4924039654433695E-4</v>
      </c>
      <c r="K31" s="5">
        <v>-1.9123740494251299E-3</v>
      </c>
      <c r="L31" s="5">
        <v>0.16522677242755901</v>
      </c>
    </row>
    <row r="32" spans="1:12" x14ac:dyDescent="0.25">
      <c r="C32" s="10">
        <v>3</v>
      </c>
      <c r="D32" s="5">
        <v>0</v>
      </c>
      <c r="E32" s="5">
        <v>1</v>
      </c>
      <c r="F32" s="5">
        <v>0</v>
      </c>
      <c r="G32" s="5">
        <v>-7.6827022712677696E-4</v>
      </c>
      <c r="H32" s="5">
        <v>-2.7165766805410399E-2</v>
      </c>
      <c r="I32" s="5">
        <v>2.1368774469010501E-5</v>
      </c>
      <c r="J32" s="5">
        <v>4.7830417752265904E-3</v>
      </c>
      <c r="K32" s="5">
        <v>5.7868864387273797E-3</v>
      </c>
      <c r="L32" s="5">
        <v>0.15646727383136699</v>
      </c>
    </row>
    <row r="33" spans="3:12" x14ac:dyDescent="0.25">
      <c r="C33" s="10">
        <v>3</v>
      </c>
      <c r="D33" s="5">
        <v>0</v>
      </c>
      <c r="E33" s="5">
        <v>0</v>
      </c>
      <c r="F33" s="5">
        <v>1</v>
      </c>
      <c r="G33" s="5">
        <v>-5.3039402700960604E-4</v>
      </c>
      <c r="H33" s="5">
        <v>-6.1754897236824001E-2</v>
      </c>
      <c r="I33" s="5">
        <v>-1.3558880891650899E-4</v>
      </c>
      <c r="J33" s="5">
        <v>-1.08502134680748E-2</v>
      </c>
      <c r="K33" s="5">
        <v>3.17833945155144E-3</v>
      </c>
      <c r="L33" s="5">
        <v>0.35227984189987199</v>
      </c>
    </row>
    <row r="34" spans="3:12" x14ac:dyDescent="0.25">
      <c r="C34" s="10">
        <v>4</v>
      </c>
      <c r="D34" s="5">
        <v>0</v>
      </c>
      <c r="E34" s="5">
        <v>0</v>
      </c>
      <c r="F34" s="5">
        <v>0</v>
      </c>
      <c r="G34" s="5">
        <f>G7</f>
        <v>-9.02065541595221E-4</v>
      </c>
      <c r="H34" s="5">
        <f t="shared" ref="H34:L34" si="12">H7</f>
        <v>-9.5010705292224898E-2</v>
      </c>
      <c r="I34" s="5">
        <f t="shared" si="12"/>
        <v>-3.1485431827604798E-4</v>
      </c>
      <c r="J34" s="5">
        <f t="shared" si="12"/>
        <v>-0.14170777797699</v>
      </c>
      <c r="K34" s="5">
        <f t="shared" si="12"/>
        <v>3.2724365592002899E-3</v>
      </c>
      <c r="L34" s="5">
        <f t="shared" si="12"/>
        <v>0.46851912140846302</v>
      </c>
    </row>
    <row r="35" spans="3:12" x14ac:dyDescent="0.25">
      <c r="C35" s="10">
        <v>4</v>
      </c>
      <c r="D35" s="5">
        <v>1</v>
      </c>
      <c r="E35" s="5">
        <v>0</v>
      </c>
      <c r="F35" s="5">
        <v>0</v>
      </c>
      <c r="G35" s="5">
        <v>1.11998070497066E-3</v>
      </c>
      <c r="H35" s="5">
        <v>-8.2509450614452404E-2</v>
      </c>
      <c r="I35" s="5">
        <v>-1.41473882831633E-3</v>
      </c>
      <c r="J35" s="5">
        <v>-0.115338027477264</v>
      </c>
      <c r="K35" s="5">
        <v>-6.8659633398056004E-3</v>
      </c>
      <c r="L35" s="5">
        <v>0.41186845302581798</v>
      </c>
    </row>
    <row r="36" spans="3:12" x14ac:dyDescent="0.25">
      <c r="C36" s="10">
        <v>4</v>
      </c>
      <c r="D36" s="5">
        <v>0</v>
      </c>
      <c r="E36" s="5">
        <v>1</v>
      </c>
      <c r="F36" s="5">
        <v>0</v>
      </c>
      <c r="G36" s="5">
        <v>-3.0216267332434702E-3</v>
      </c>
      <c r="H36" s="5">
        <v>-8.1563368439674405E-2</v>
      </c>
      <c r="I36" s="5">
        <v>1.24832289293408E-3</v>
      </c>
      <c r="J36" s="5">
        <v>-0.112349167466164</v>
      </c>
      <c r="K36" s="5">
        <v>1.6722420230507899E-2</v>
      </c>
      <c r="L36" s="5">
        <v>0.407246112823486</v>
      </c>
    </row>
    <row r="37" spans="3:12" x14ac:dyDescent="0.25">
      <c r="C37" s="10">
        <v>4</v>
      </c>
      <c r="D37" s="5">
        <v>0</v>
      </c>
      <c r="E37" s="5">
        <v>0</v>
      </c>
      <c r="F37" s="5">
        <v>1</v>
      </c>
      <c r="G37" s="5">
        <v>-1.32783397566527E-3</v>
      </c>
      <c r="H37" s="5">
        <v>-0.106191068887711</v>
      </c>
      <c r="I37" s="5">
        <v>-5.5953569244593402E-5</v>
      </c>
      <c r="J37" s="5">
        <v>-0.15105041861534099</v>
      </c>
      <c r="K37" s="5">
        <v>7.1365274488925899E-3</v>
      </c>
      <c r="L37" s="5">
        <v>0.52852129936218295</v>
      </c>
    </row>
    <row r="38" spans="3:12" x14ac:dyDescent="0.25">
      <c r="C38" s="10">
        <v>5</v>
      </c>
      <c r="D38" s="5">
        <v>0</v>
      </c>
      <c r="E38" s="5">
        <v>0</v>
      </c>
      <c r="F38" s="5">
        <v>0</v>
      </c>
      <c r="G38" s="5">
        <f>G8</f>
        <v>-1.3697715476155301E-3</v>
      </c>
      <c r="H38" s="5">
        <f t="shared" ref="H38:L38" si="13">H8</f>
        <v>-0.129899337887764</v>
      </c>
      <c r="I38" s="5">
        <f t="shared" si="13"/>
        <v>-1.1154995299875699E-3</v>
      </c>
      <c r="J38" s="5">
        <f t="shared" si="13"/>
        <v>-0.27736902236938499</v>
      </c>
      <c r="K38" s="5">
        <f t="shared" si="13"/>
        <v>2.9984340071678201E-3</v>
      </c>
      <c r="L38" s="5">
        <f t="shared" si="13"/>
        <v>0.62586665153503396</v>
      </c>
    </row>
    <row r="39" spans="3:12" x14ac:dyDescent="0.25">
      <c r="C39" s="10">
        <v>5</v>
      </c>
      <c r="D39" s="5">
        <v>1</v>
      </c>
      <c r="E39" s="5">
        <v>0</v>
      </c>
      <c r="F39" s="5">
        <v>0</v>
      </c>
      <c r="G39" s="5">
        <v>1.0789594380184999E-3</v>
      </c>
      <c r="H39" s="5">
        <v>-0.11674865335226101</v>
      </c>
      <c r="I39" s="5">
        <v>-2.3895120248198501E-3</v>
      </c>
      <c r="J39" s="5">
        <v>-0.239661380648613</v>
      </c>
      <c r="K39" s="5">
        <v>-9.9661052227020298E-3</v>
      </c>
      <c r="L39" s="5">
        <v>0.56697064638137795</v>
      </c>
    </row>
    <row r="40" spans="3:12" x14ac:dyDescent="0.25">
      <c r="C40" s="10">
        <v>5</v>
      </c>
      <c r="D40" s="5">
        <v>0</v>
      </c>
      <c r="E40" s="5">
        <v>1</v>
      </c>
      <c r="F40" s="5">
        <v>0</v>
      </c>
      <c r="G40" s="5">
        <v>-4.3625882826745501E-3</v>
      </c>
      <c r="H40" s="5">
        <v>-0.114450730383396</v>
      </c>
      <c r="I40" s="5">
        <v>9.970135288313029E-4</v>
      </c>
      <c r="J40" s="5">
        <v>-0.23323938250541701</v>
      </c>
      <c r="K40" s="5">
        <v>2.1434955298900601E-2</v>
      </c>
      <c r="L40" s="5">
        <v>0.55733346939086903</v>
      </c>
    </row>
    <row r="41" spans="3:12" x14ac:dyDescent="0.25">
      <c r="C41" s="10">
        <v>5</v>
      </c>
      <c r="D41" s="5">
        <v>0</v>
      </c>
      <c r="E41" s="5">
        <v>0</v>
      </c>
      <c r="F41" s="5">
        <v>1</v>
      </c>
      <c r="G41" s="5">
        <v>-2.1919934079051E-3</v>
      </c>
      <c r="H41" s="5">
        <v>-0.14200709760189101</v>
      </c>
      <c r="I41" s="5">
        <v>-7.6931557850912202E-4</v>
      </c>
      <c r="J41" s="5">
        <v>-0.29801037907600397</v>
      </c>
      <c r="K41" s="5">
        <v>8.01820307970047E-3</v>
      </c>
      <c r="L41" s="5">
        <v>0.68905413150787398</v>
      </c>
    </row>
    <row r="42" spans="3:12" x14ac:dyDescent="0.25">
      <c r="C42" s="10">
        <v>6</v>
      </c>
      <c r="D42" s="5">
        <v>0</v>
      </c>
      <c r="E42" s="5">
        <v>0</v>
      </c>
      <c r="F42" s="5">
        <v>0</v>
      </c>
      <c r="G42" s="5">
        <f>G9</f>
        <v>-1.30162085406482E-3</v>
      </c>
      <c r="H42" s="5">
        <f t="shared" ref="H42:L42" si="14">H9</f>
        <v>-9.1771319508552607E-2</v>
      </c>
      <c r="I42" s="5">
        <f t="shared" si="14"/>
        <v>-6.8558257771655895E-4</v>
      </c>
      <c r="J42" s="5">
        <f t="shared" si="14"/>
        <v>-0.188138782978058</v>
      </c>
      <c r="K42" s="5">
        <f t="shared" si="14"/>
        <v>3.5599116235971499E-3</v>
      </c>
      <c r="L42" s="5">
        <f t="shared" si="14"/>
        <v>0.316497713327408</v>
      </c>
    </row>
    <row r="43" spans="3:12" x14ac:dyDescent="0.25">
      <c r="C43" s="10">
        <v>6</v>
      </c>
      <c r="D43" s="5">
        <v>1</v>
      </c>
      <c r="E43" s="5">
        <v>0</v>
      </c>
      <c r="F43" s="5">
        <v>0</v>
      </c>
      <c r="G43" s="5">
        <v>2.1334765478968599E-3</v>
      </c>
      <c r="H43" s="5">
        <v>-7.8673288226127597E-2</v>
      </c>
      <c r="I43" s="5">
        <v>-3.3856690861284698E-3</v>
      </c>
      <c r="J43" s="5">
        <v>-0.15782742202281999</v>
      </c>
      <c r="K43" s="5">
        <v>-1.3936560600996E-2</v>
      </c>
      <c r="L43" s="5">
        <v>0.27476710081100503</v>
      </c>
    </row>
    <row r="44" spans="3:12" x14ac:dyDescent="0.25">
      <c r="C44" s="10">
        <v>6</v>
      </c>
      <c r="D44" s="5">
        <v>0</v>
      </c>
      <c r="E44" s="5">
        <v>1</v>
      </c>
      <c r="F44" s="5">
        <v>0</v>
      </c>
      <c r="G44" s="5">
        <v>-5.3475773893296701E-3</v>
      </c>
      <c r="H44" s="5">
        <v>-7.7887043356895405E-2</v>
      </c>
      <c r="I44" s="5">
        <v>3.1169473659247199E-3</v>
      </c>
      <c r="J44" s="5">
        <v>-0.15005394816398601</v>
      </c>
      <c r="K44" s="5">
        <v>2.6179488748312E-2</v>
      </c>
      <c r="L44" s="5">
        <v>0.272424846887589</v>
      </c>
    </row>
    <row r="45" spans="3:12" x14ac:dyDescent="0.25">
      <c r="C45" s="10">
        <v>6</v>
      </c>
      <c r="D45" s="5">
        <v>0</v>
      </c>
      <c r="E45" s="5">
        <v>0</v>
      </c>
      <c r="F45" s="5">
        <v>1</v>
      </c>
      <c r="G45" s="5">
        <v>-2.4072818923741601E-3</v>
      </c>
      <c r="H45" s="5">
        <v>-0.10561495274305301</v>
      </c>
      <c r="I45" s="5">
        <v>5.1816481573041501E-5</v>
      </c>
      <c r="J45" s="5">
        <v>-0.21281039714813199</v>
      </c>
      <c r="K45" s="5">
        <v>9.7759189084172197E-3</v>
      </c>
      <c r="L45" s="5">
        <v>0.36723855137825001</v>
      </c>
    </row>
    <row r="46" spans="3:12" x14ac:dyDescent="0.25">
      <c r="C46" s="10">
        <v>7</v>
      </c>
      <c r="D46" s="5">
        <v>0</v>
      </c>
      <c r="E46" s="5">
        <v>0</v>
      </c>
      <c r="F46" s="5">
        <v>0</v>
      </c>
      <c r="G46" s="5">
        <f>G10</f>
        <v>-2.1819151006638999E-3</v>
      </c>
      <c r="H46" s="5">
        <f t="shared" ref="H46:L46" si="15">H10</f>
        <v>-0.134275212883949</v>
      </c>
      <c r="I46" s="5">
        <f t="shared" si="15"/>
        <v>-2.8121363720856602E-4</v>
      </c>
      <c r="J46" s="5">
        <f t="shared" si="15"/>
        <v>-0.47822567820549</v>
      </c>
      <c r="K46" s="5">
        <f t="shared" si="15"/>
        <v>1.2040870264172601E-2</v>
      </c>
      <c r="L46" s="5">
        <f t="shared" si="15"/>
        <v>0.39143002033233598</v>
      </c>
    </row>
    <row r="47" spans="3:12" x14ac:dyDescent="0.25">
      <c r="C47" s="10">
        <v>7</v>
      </c>
      <c r="D47" s="5">
        <v>1</v>
      </c>
      <c r="E47" s="5">
        <v>0</v>
      </c>
      <c r="F47" s="5">
        <v>0</v>
      </c>
      <c r="G47" s="5">
        <v>2.81068682670593E-3</v>
      </c>
      <c r="H47" s="5">
        <v>-0.121507167816162</v>
      </c>
      <c r="I47" s="5">
        <v>-3.3819505479186799E-3</v>
      </c>
      <c r="J47" s="5">
        <v>-0.42114067077636702</v>
      </c>
      <c r="K47" s="5">
        <v>-1.4590077102184301E-2</v>
      </c>
      <c r="L47" s="5">
        <v>0.35988470911979697</v>
      </c>
    </row>
    <row r="48" spans="3:12" x14ac:dyDescent="0.25">
      <c r="C48" s="10">
        <v>7</v>
      </c>
      <c r="D48" s="5">
        <v>0</v>
      </c>
      <c r="E48" s="5">
        <v>1</v>
      </c>
      <c r="F48" s="5">
        <v>0</v>
      </c>
      <c r="G48" s="5">
        <v>-8.4775444120168703E-3</v>
      </c>
      <c r="H48" s="5">
        <v>-0.120613545179367</v>
      </c>
      <c r="I48" s="5">
        <v>4.2216349393129297E-3</v>
      </c>
      <c r="J48" s="5">
        <v>-0.41639053821563698</v>
      </c>
      <c r="K48" s="5">
        <v>4.9453981220722198E-2</v>
      </c>
      <c r="L48" s="5">
        <v>0.358586966991425</v>
      </c>
    </row>
    <row r="49" spans="3:12" x14ac:dyDescent="0.25">
      <c r="C49" s="10">
        <v>7</v>
      </c>
      <c r="D49" s="5">
        <v>0</v>
      </c>
      <c r="E49" s="5">
        <v>0</v>
      </c>
      <c r="F49" s="5">
        <v>1</v>
      </c>
      <c r="G49" s="5">
        <v>-3.8649328052997602E-3</v>
      </c>
      <c r="H49" s="5">
        <v>-0.14329923689365401</v>
      </c>
      <c r="I49" s="5">
        <v>8.1204215530306101E-4</v>
      </c>
      <c r="J49" s="5">
        <v>-0.50669300556182895</v>
      </c>
      <c r="K49" s="5">
        <v>2.37305648624897E-2</v>
      </c>
      <c r="L49" s="5">
        <v>0.41881522536277799</v>
      </c>
    </row>
    <row r="50" spans="3:12" x14ac:dyDescent="0.25">
      <c r="C50" s="10">
        <v>8</v>
      </c>
      <c r="D50" s="5">
        <v>0</v>
      </c>
      <c r="E50" s="5">
        <v>0</v>
      </c>
      <c r="F50" s="5">
        <v>0</v>
      </c>
      <c r="G50" s="5">
        <f>G11</f>
        <v>-1.05854228604585E-3</v>
      </c>
      <c r="H50" s="5">
        <f t="shared" ref="H50:L50" si="16">H11</f>
        <v>-0.13548035919666301</v>
      </c>
      <c r="I50" s="5">
        <f t="shared" si="16"/>
        <v>-1.24974839854985E-3</v>
      </c>
      <c r="J50" s="5">
        <f t="shared" si="16"/>
        <v>-0.72550737857818604</v>
      </c>
      <c r="K50" s="5">
        <f t="shared" si="16"/>
        <v>2.9684353619813902E-2</v>
      </c>
      <c r="L50" s="5">
        <f t="shared" si="16"/>
        <v>0.13168570399284399</v>
      </c>
    </row>
    <row r="51" spans="3:12" x14ac:dyDescent="0.25">
      <c r="C51" s="10">
        <v>8</v>
      </c>
      <c r="D51" s="5">
        <v>1</v>
      </c>
      <c r="E51" s="5">
        <v>0</v>
      </c>
      <c r="F51" s="5">
        <v>0</v>
      </c>
      <c r="G51" s="5">
        <v>4.3551013804972198E-3</v>
      </c>
      <c r="H51" s="5">
        <v>-0.12111333012580899</v>
      </c>
      <c r="I51" s="5">
        <v>-4.0987683460116404E-3</v>
      </c>
      <c r="J51" s="5">
        <v>-0.64230233430862405</v>
      </c>
      <c r="K51" s="5">
        <v>-4.7432221472263301E-3</v>
      </c>
      <c r="L51" s="5">
        <v>0.117863103747368</v>
      </c>
    </row>
    <row r="52" spans="3:12" x14ac:dyDescent="0.25">
      <c r="C52" s="10">
        <v>8</v>
      </c>
      <c r="D52" s="5">
        <v>0</v>
      </c>
      <c r="E52" s="5">
        <v>1</v>
      </c>
      <c r="F52" s="5">
        <v>0</v>
      </c>
      <c r="G52" s="5">
        <v>-8.6691416800022108E-3</v>
      </c>
      <c r="H52" s="5">
        <v>-0.11911778151989</v>
      </c>
      <c r="I52" s="5">
        <v>3.4015933051705399E-3</v>
      </c>
      <c r="J52" s="5">
        <v>-0.631633281707764</v>
      </c>
      <c r="K52" s="5">
        <v>7.2991877794265705E-2</v>
      </c>
      <c r="L52" s="5">
        <v>0.116507813334465</v>
      </c>
    </row>
    <row r="53" spans="3:12" x14ac:dyDescent="0.25">
      <c r="C53" s="10">
        <v>8</v>
      </c>
      <c r="D53" s="5">
        <v>0</v>
      </c>
      <c r="E53" s="5">
        <v>0</v>
      </c>
      <c r="F53" s="5">
        <v>1</v>
      </c>
      <c r="G53" s="5">
        <v>-3.5518379881978E-3</v>
      </c>
      <c r="H53" s="5">
        <v>-0.13410493731498699</v>
      </c>
      <c r="I53" s="5">
        <v>9.7808660939335796E-5</v>
      </c>
      <c r="J53" s="5">
        <v>-0.72411191463470503</v>
      </c>
      <c r="K53" s="5">
        <v>4.3264478445053101E-2</v>
      </c>
      <c r="L53" s="5">
        <v>0.117512196302414</v>
      </c>
    </row>
    <row r="54" spans="3:12" x14ac:dyDescent="0.25">
      <c r="C54" s="10">
        <v>9</v>
      </c>
      <c r="D54" s="5">
        <v>0</v>
      </c>
      <c r="E54" s="5">
        <v>0</v>
      </c>
      <c r="F54" s="5">
        <v>0</v>
      </c>
      <c r="G54" s="5">
        <f>G12</f>
        <v>-8.8630802929401398E-4</v>
      </c>
      <c r="H54" s="5">
        <f t="shared" ref="H54:L54" si="17">H12</f>
        <v>-6.7533724009990706E-2</v>
      </c>
      <c r="I54" s="5">
        <f t="shared" si="17"/>
        <v>-4.7554963384754999E-4</v>
      </c>
      <c r="J54" s="5">
        <f t="shared" si="17"/>
        <v>-0.16650235652923601</v>
      </c>
      <c r="K54" s="5">
        <f t="shared" si="17"/>
        <v>2.7373749762773501E-3</v>
      </c>
      <c r="L54" s="5">
        <f t="shared" si="17"/>
        <v>0.18086977303028101</v>
      </c>
    </row>
    <row r="55" spans="3:12" x14ac:dyDescent="0.25">
      <c r="C55" s="10">
        <v>9</v>
      </c>
      <c r="D55" s="5">
        <v>1</v>
      </c>
      <c r="E55" s="5">
        <v>0</v>
      </c>
      <c r="F55" s="5">
        <v>0</v>
      </c>
      <c r="G55" s="5">
        <v>2.5487027596682301E-3</v>
      </c>
      <c r="H55" s="5">
        <v>-5.5173795670270899E-2</v>
      </c>
      <c r="I55" s="5">
        <v>-3.4908521920442599E-3</v>
      </c>
      <c r="J55" s="5">
        <v>-0.130110248923302</v>
      </c>
      <c r="K55" s="5">
        <v>-1.5624847263097799E-2</v>
      </c>
      <c r="L55" s="5">
        <v>0.14968892931938199</v>
      </c>
    </row>
    <row r="56" spans="3:12" x14ac:dyDescent="0.25">
      <c r="C56" s="10">
        <v>9</v>
      </c>
      <c r="D56" s="5">
        <v>0</v>
      </c>
      <c r="E56" s="5">
        <v>1</v>
      </c>
      <c r="F56" s="5">
        <v>0</v>
      </c>
      <c r="G56" s="5">
        <v>-4.73329424858093E-3</v>
      </c>
      <c r="H56" s="5">
        <v>-5.60480542480946E-2</v>
      </c>
      <c r="I56" s="5">
        <v>3.4013029653579001E-3</v>
      </c>
      <c r="J56" s="5">
        <v>-0.13074302673339799</v>
      </c>
      <c r="K56" s="5">
        <v>2.2813741117715801E-2</v>
      </c>
      <c r="L56" s="5">
        <v>0.152383208274841</v>
      </c>
    </row>
    <row r="57" spans="3:12" x14ac:dyDescent="0.25">
      <c r="C57" s="10">
        <v>9</v>
      </c>
      <c r="D57" s="5">
        <v>0</v>
      </c>
      <c r="E57" s="5">
        <v>0</v>
      </c>
      <c r="F57" s="5">
        <v>1</v>
      </c>
      <c r="G57" s="5">
        <v>-1.7024042317643801E-3</v>
      </c>
      <c r="H57" s="5">
        <v>-8.0940060317516299E-2</v>
      </c>
      <c r="I57" s="5">
        <v>1.9386454368941499E-5</v>
      </c>
      <c r="J57" s="5">
        <v>-0.19877098500728599</v>
      </c>
      <c r="K57" s="5">
        <v>6.3251033425331098E-3</v>
      </c>
      <c r="L57" s="5">
        <v>0.22032138705253601</v>
      </c>
    </row>
    <row r="58" spans="3:12" x14ac:dyDescent="0.25">
      <c r="C58" s="10">
        <v>10</v>
      </c>
      <c r="D58" s="5">
        <v>0</v>
      </c>
      <c r="E58" s="5">
        <v>0</v>
      </c>
      <c r="F58" s="5">
        <v>0</v>
      </c>
      <c r="G58" s="5">
        <f>G13</f>
        <v>-2.7598871383815999E-3</v>
      </c>
      <c r="H58" s="5">
        <f t="shared" ref="H58:L58" si="18">H13</f>
        <v>-0.127221524715424</v>
      </c>
      <c r="I58" s="5">
        <f t="shared" si="18"/>
        <v>-8.8058260735124404E-4</v>
      </c>
      <c r="J58" s="5">
        <f t="shared" si="18"/>
        <v>-0.67187190055847201</v>
      </c>
      <c r="K58" s="5">
        <f t="shared" si="18"/>
        <v>1.79205909371376E-2</v>
      </c>
      <c r="L58" s="5">
        <f t="shared" si="18"/>
        <v>6.6542282700538594E-2</v>
      </c>
    </row>
    <row r="59" spans="3:12" x14ac:dyDescent="0.25">
      <c r="C59" s="10">
        <v>10</v>
      </c>
      <c r="D59" s="5">
        <v>1</v>
      </c>
      <c r="E59" s="5">
        <v>0</v>
      </c>
      <c r="F59" s="5">
        <v>0</v>
      </c>
      <c r="G59" s="5">
        <v>3.9539658464491402E-3</v>
      </c>
      <c r="H59" s="5">
        <v>-0.113986387848854</v>
      </c>
      <c r="I59" s="5">
        <v>-5.0774128176271898E-3</v>
      </c>
      <c r="J59" s="5">
        <v>-0.59424072504043601</v>
      </c>
      <c r="K59" s="5">
        <v>-2.05840114504099E-2</v>
      </c>
      <c r="L59" s="5">
        <v>6.1202116310596501E-2</v>
      </c>
    </row>
    <row r="60" spans="3:12" x14ac:dyDescent="0.25">
      <c r="C60" s="10">
        <v>10</v>
      </c>
      <c r="D60" s="5">
        <v>0</v>
      </c>
      <c r="E60" s="5">
        <v>1</v>
      </c>
      <c r="F60" s="5">
        <v>0</v>
      </c>
      <c r="G60" s="5">
        <v>-1.15294195711613E-2</v>
      </c>
      <c r="H60" s="5">
        <v>-0.112579241394997</v>
      </c>
      <c r="I60" s="5">
        <v>5.4107047617435499E-3</v>
      </c>
      <c r="J60" s="5">
        <v>-0.589094638824463</v>
      </c>
      <c r="K60" s="5">
        <v>6.7401126027107197E-2</v>
      </c>
      <c r="L60" s="5">
        <v>5.8719873428344699E-2</v>
      </c>
    </row>
    <row r="61" spans="3:12" x14ac:dyDescent="0.25">
      <c r="C61" s="10">
        <v>10</v>
      </c>
      <c r="D61" s="5">
        <v>0</v>
      </c>
      <c r="E61" s="5">
        <v>0</v>
      </c>
      <c r="F61" s="5">
        <v>1</v>
      </c>
      <c r="G61" s="5">
        <v>-4.62295254692435E-3</v>
      </c>
      <c r="H61" s="5">
        <v>-0.12288958579301799</v>
      </c>
      <c r="I61" s="5">
        <v>4.8266863450407998E-4</v>
      </c>
      <c r="J61" s="5">
        <v>-0.65276098251342796</v>
      </c>
      <c r="K61" s="5">
        <v>2.8584428131580401E-2</v>
      </c>
      <c r="L61" s="5">
        <v>5.4238036274910001E-2</v>
      </c>
    </row>
  </sheetData>
  <mergeCells count="20">
    <mergeCell ref="AW3:AY3"/>
    <mergeCell ref="AW6:AY6"/>
    <mergeCell ref="AA1:AY1"/>
    <mergeCell ref="AA2:AF2"/>
    <mergeCell ref="AG2:AL2"/>
    <mergeCell ref="AM2:AP2"/>
    <mergeCell ref="AQ2:AS2"/>
    <mergeCell ref="AT2:AV2"/>
    <mergeCell ref="AW2:AY2"/>
    <mergeCell ref="A1:Y1"/>
    <mergeCell ref="W6:Y6"/>
    <mergeCell ref="A15:C15"/>
    <mergeCell ref="G21:L21"/>
    <mergeCell ref="A2:F2"/>
    <mergeCell ref="G2:L2"/>
    <mergeCell ref="M2:P2"/>
    <mergeCell ref="Q2:S2"/>
    <mergeCell ref="W2:Y2"/>
    <mergeCell ref="W3:Y3"/>
    <mergeCell ref="T2:V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55DD-E413-4EEB-B18C-66E0D2A3A5AE}">
  <dimension ref="A1:Y60"/>
  <sheetViews>
    <sheetView workbookViewId="0">
      <pane ySplit="2" topLeftCell="A3" activePane="bottomLeft" state="frozen"/>
      <selection activeCell="K1" sqref="K1"/>
      <selection pane="bottomLeft" activeCell="Y32" sqref="Y32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17.140625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43</v>
      </c>
      <c r="N1" s="26"/>
      <c r="O1" s="26"/>
      <c r="P1" s="26"/>
      <c r="Q1" s="27" t="s">
        <v>13</v>
      </c>
      <c r="R1" s="27"/>
      <c r="S1" s="27"/>
      <c r="T1" s="30" t="s">
        <v>40</v>
      </c>
      <c r="U1" s="30"/>
      <c r="V1" s="30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-2.8477585874497901E-4</v>
      </c>
      <c r="H3" s="5">
        <f>'Proximal Validation'!H3</f>
        <v>-5.8327373117208502E-2</v>
      </c>
      <c r="I3" s="5">
        <f>'Proximal Validation'!I3</f>
        <v>-1.50670297443867E-4</v>
      </c>
      <c r="J3" s="5">
        <f>'Proximal Validation'!J3</f>
        <v>6.01342367008328E-3</v>
      </c>
      <c r="K3" s="5">
        <f>'Proximal Validation'!K3</f>
        <v>2.2609531879425001E-3</v>
      </c>
      <c r="L3" s="5">
        <f>'Proximal Validation'!L3</f>
        <v>0.37637501955032299</v>
      </c>
      <c r="M3" s="5"/>
      <c r="N3" s="5"/>
      <c r="O3" s="5"/>
      <c r="P3" s="11"/>
      <c r="Q3" s="5">
        <f>M3-A3</f>
        <v>-0.4</v>
      </c>
      <c r="R3" s="5">
        <f>N3-B3</f>
        <v>-0.06</v>
      </c>
      <c r="S3" s="5">
        <f>O3-C3</f>
        <v>-1.5707963267948966</v>
      </c>
      <c r="T3" s="5">
        <f>ABS(Q3)</f>
        <v>0.4</v>
      </c>
      <c r="U3" s="5">
        <f t="shared" ref="U3:V12" si="0">ABS(R3)</f>
        <v>0.06</v>
      </c>
      <c r="V3" s="5">
        <f t="shared" si="0"/>
        <v>1.5707963267948966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-1.3759520370513201E-3</v>
      </c>
      <c r="H4" s="8">
        <f>'Proximal Validation'!H4</f>
        <v>-0.12723180651664701</v>
      </c>
      <c r="I4" s="8">
        <f>'Proximal Validation'!I4</f>
        <v>-1.5217980835586799E-3</v>
      </c>
      <c r="J4" s="8">
        <f>'Proximal Validation'!J4</f>
        <v>-8.26666504144669E-2</v>
      </c>
      <c r="K4" s="8">
        <f>'Proximal Validation'!K4</f>
        <v>-4.7411769628524798E-3</v>
      </c>
      <c r="L4" s="8">
        <f>'Proximal Validation'!L4</f>
        <v>0.81632339954376198</v>
      </c>
      <c r="M4" s="8"/>
      <c r="N4" s="8"/>
      <c r="O4" s="8"/>
      <c r="P4" s="12"/>
      <c r="Q4" s="5">
        <f t="shared" ref="Q4:S12" si="1">M4-A4</f>
        <v>-0.8</v>
      </c>
      <c r="R4" s="5">
        <f t="shared" si="1"/>
        <v>-0.06</v>
      </c>
      <c r="S4" s="5">
        <f t="shared" si="1"/>
        <v>-1.5707963267948966</v>
      </c>
      <c r="T4" s="5">
        <f t="shared" ref="T4:T12" si="2">ABS(Q4)</f>
        <v>0.8</v>
      </c>
      <c r="U4" s="5">
        <f t="shared" si="0"/>
        <v>0.06</v>
      </c>
      <c r="V4" s="5">
        <f t="shared" si="0"/>
        <v>1.5707963267948966</v>
      </c>
      <c r="W4" s="6" cm="1">
        <f t="array" ref="W4">AVERAGE(ABS(Q7:Q12))</f>
        <v>0.22261180692711868</v>
      </c>
      <c r="X4" s="6" cm="1">
        <f t="array" ref="X4">AVERAGE(ABS(R7:R12))</f>
        <v>4.9827157306768989E-2</v>
      </c>
      <c r="Y4" s="6" cm="1">
        <f t="array" ref="Y4">AVERAGE(ABS(S7:S12))</f>
        <v>1.8926135578701597E-2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-2.8428673977032298E-4</v>
      </c>
      <c r="H5" s="5">
        <f>'Proximal Validation'!H5</f>
        <v>-4.3962169438600499E-2</v>
      </c>
      <c r="I5" s="5">
        <f>'Proximal Validation'!I5</f>
        <v>-1.9410930690355599E-4</v>
      </c>
      <c r="J5" s="5">
        <f>'Proximal Validation'!J5</f>
        <v>-1.4232989400625199E-2</v>
      </c>
      <c r="K5" s="5">
        <f>'Proximal Validation'!K5</f>
        <v>8.0315023660659801E-4</v>
      </c>
      <c r="L5" s="5">
        <f>'Proximal Validation'!L5</f>
        <v>0.24872186779975899</v>
      </c>
      <c r="M5" s="5"/>
      <c r="N5" s="5"/>
      <c r="O5" s="5"/>
      <c r="P5" s="11"/>
      <c r="Q5" s="5">
        <f t="shared" si="1"/>
        <v>-0.3</v>
      </c>
      <c r="R5" s="5">
        <f t="shared" si="1"/>
        <v>-0.08</v>
      </c>
      <c r="S5" s="5">
        <f t="shared" si="1"/>
        <v>-1.5707963267948966</v>
      </c>
      <c r="T5" s="5">
        <f t="shared" si="2"/>
        <v>0.3</v>
      </c>
      <c r="U5" s="5">
        <f t="shared" si="0"/>
        <v>0.08</v>
      </c>
      <c r="V5" s="5">
        <f t="shared" si="0"/>
        <v>1.5707963267948966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-9.02065541595221E-4</v>
      </c>
      <c r="H6" s="5">
        <f>'Proximal Validation'!H6</f>
        <v>-9.5010705292224898E-2</v>
      </c>
      <c r="I6" s="5">
        <f>'Proximal Validation'!I6</f>
        <v>-3.1485431827604798E-4</v>
      </c>
      <c r="J6" s="5">
        <f>'Proximal Validation'!J6</f>
        <v>-0.14170777797699</v>
      </c>
      <c r="K6" s="5">
        <f>'Proximal Validation'!K6</f>
        <v>3.2724365592002899E-3</v>
      </c>
      <c r="L6" s="5">
        <f>'Proximal Validation'!L6</f>
        <v>0.46851912140846302</v>
      </c>
      <c r="M6" s="5"/>
      <c r="N6" s="5"/>
      <c r="O6" s="5"/>
      <c r="P6" s="11"/>
      <c r="Q6" s="5">
        <f t="shared" si="1"/>
        <v>-0.5</v>
      </c>
      <c r="R6" s="5">
        <f t="shared" si="1"/>
        <v>-0.1</v>
      </c>
      <c r="S6" s="5">
        <f t="shared" si="1"/>
        <v>-1.5707963267948966</v>
      </c>
      <c r="T6" s="5">
        <f t="shared" si="2"/>
        <v>0.5</v>
      </c>
      <c r="U6" s="5">
        <f t="shared" si="0"/>
        <v>0.1</v>
      </c>
      <c r="V6" s="5">
        <f t="shared" si="0"/>
        <v>1.5707963267948966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-1.3697715476155301E-3</v>
      </c>
      <c r="H7" s="5">
        <f>'Proximal Validation'!H7</f>
        <v>-0.129899337887764</v>
      </c>
      <c r="I7" s="5">
        <f>'Proximal Validation'!I7</f>
        <v>-1.1154995299875699E-3</v>
      </c>
      <c r="J7" s="5">
        <f>'Proximal Validation'!J7</f>
        <v>-0.27736902236938499</v>
      </c>
      <c r="K7" s="5">
        <f>'Proximal Validation'!K7</f>
        <v>2.9984340071678201E-3</v>
      </c>
      <c r="L7" s="5">
        <f>'Proximal Validation'!L7</f>
        <v>0.62586665153503396</v>
      </c>
      <c r="M7" s="5">
        <v>0.78976850420307076</v>
      </c>
      <c r="N7" s="5">
        <v>9.9547185959334442E-2</v>
      </c>
      <c r="O7" s="5">
        <v>1.5872341940579229</v>
      </c>
      <c r="P7" s="11">
        <v>1.6459389963341053E-3</v>
      </c>
      <c r="Q7" s="5">
        <f t="shared" si="1"/>
        <v>8.9768504203070809E-2</v>
      </c>
      <c r="R7" s="5">
        <f t="shared" si="1"/>
        <v>-4.5281404066556397E-4</v>
      </c>
      <c r="S7" s="5">
        <f t="shared" si="1"/>
        <v>1.6437867263026318E-2</v>
      </c>
      <c r="T7" s="5">
        <f t="shared" si="2"/>
        <v>8.9768504203070809E-2</v>
      </c>
      <c r="U7" s="5">
        <f t="shared" si="0"/>
        <v>4.5281404066556397E-4</v>
      </c>
      <c r="V7" s="5">
        <f t="shared" si="0"/>
        <v>1.6437867263026318E-2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-1.30162085406482E-3</v>
      </c>
      <c r="H8" s="5">
        <f>'Proximal Validation'!H8</f>
        <v>-9.1771319508552607E-2</v>
      </c>
      <c r="I8" s="5">
        <f>'Proximal Validation'!I8</f>
        <v>-6.8558257771655895E-4</v>
      </c>
      <c r="J8" s="5">
        <f>'Proximal Validation'!J8</f>
        <v>-0.188138782978058</v>
      </c>
      <c r="K8" s="5">
        <f>'Proximal Validation'!K8</f>
        <v>3.5599116235971499E-3</v>
      </c>
      <c r="L8" s="5">
        <f>'Proximal Validation'!L8</f>
        <v>0.316497713327408</v>
      </c>
      <c r="M8" s="5">
        <v>0.78111143307034248</v>
      </c>
      <c r="N8" s="5">
        <v>9.1808431359136008E-2</v>
      </c>
      <c r="O8" s="5">
        <v>1.5835866638447427</v>
      </c>
      <c r="P8" s="11">
        <v>3.3037298469856015E-2</v>
      </c>
      <c r="Q8" s="5">
        <f t="shared" si="1"/>
        <v>0.38111143307034245</v>
      </c>
      <c r="R8" s="5">
        <f t="shared" si="1"/>
        <v>-6.8191568640863995E-2</v>
      </c>
      <c r="S8" s="5">
        <f t="shared" si="1"/>
        <v>1.2790337049846112E-2</v>
      </c>
      <c r="T8" s="5">
        <f t="shared" si="2"/>
        <v>0.38111143307034245</v>
      </c>
      <c r="U8" s="5">
        <f t="shared" si="0"/>
        <v>6.8191568640863995E-2</v>
      </c>
      <c r="V8" s="5">
        <f t="shared" si="0"/>
        <v>1.2790337049846112E-2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-2.1819151006638999E-3</v>
      </c>
      <c r="H9" s="5">
        <f>'Proximal Validation'!H9</f>
        <v>-0.134275212883949</v>
      </c>
      <c r="I9" s="5">
        <f>'Proximal Validation'!I9</f>
        <v>-2.8121363720856602E-4</v>
      </c>
      <c r="J9" s="5">
        <f>'Proximal Validation'!J9</f>
        <v>-0.47822567820549</v>
      </c>
      <c r="K9" s="5">
        <f>'Proximal Validation'!K9</f>
        <v>1.2040870264172601E-2</v>
      </c>
      <c r="L9" s="5">
        <f>'Proximal Validation'!L9</f>
        <v>0.39143002033233598</v>
      </c>
      <c r="M9" s="5">
        <v>0.83001903226354135</v>
      </c>
      <c r="N9" s="5">
        <v>0.12533089634460573</v>
      </c>
      <c r="O9" s="5">
        <v>1.5805607763395348</v>
      </c>
      <c r="P9" s="11">
        <v>1.0687608834281478E-2</v>
      </c>
      <c r="Q9" s="5">
        <f t="shared" si="1"/>
        <v>0.23001903226354137</v>
      </c>
      <c r="R9" s="5">
        <f t="shared" si="1"/>
        <v>-3.4669103655394273E-2</v>
      </c>
      <c r="S9" s="5">
        <f t="shared" si="1"/>
        <v>9.7644495446382873E-3</v>
      </c>
      <c r="T9" s="5">
        <f t="shared" si="2"/>
        <v>0.23001903226354137</v>
      </c>
      <c r="U9" s="5">
        <f t="shared" si="0"/>
        <v>3.4669103655394273E-2</v>
      </c>
      <c r="V9" s="5">
        <f t="shared" si="0"/>
        <v>9.7644495446382873E-3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-1.05854228604585E-3</v>
      </c>
      <c r="H10" s="5">
        <f>'Proximal Validation'!H10</f>
        <v>-0.13548035919666301</v>
      </c>
      <c r="I10" s="5">
        <f>'Proximal Validation'!I10</f>
        <v>-1.24974839854985E-3</v>
      </c>
      <c r="J10" s="5">
        <f>'Proximal Validation'!J10</f>
        <v>-0.72550737857818604</v>
      </c>
      <c r="K10" s="5">
        <f>'Proximal Validation'!K10</f>
        <v>2.9684353619813902E-2</v>
      </c>
      <c r="L10" s="5">
        <f>'Proximal Validation'!L10</f>
        <v>0.13168570399284399</v>
      </c>
      <c r="M10" s="5">
        <v>0.85564646845875614</v>
      </c>
      <c r="N10" s="5">
        <v>0.13988919191860472</v>
      </c>
      <c r="O10" s="5">
        <v>1.5321318374178001</v>
      </c>
      <c r="P10" s="11">
        <v>8.2963146605440231E-3</v>
      </c>
      <c r="Q10" s="5">
        <f t="shared" si="1"/>
        <v>5.5646468458756093E-2</v>
      </c>
      <c r="R10" s="5">
        <f t="shared" si="1"/>
        <v>-4.0110808081395277E-2</v>
      </c>
      <c r="S10" s="5">
        <f t="shared" si="1"/>
        <v>-3.8664489377096434E-2</v>
      </c>
      <c r="T10" s="5">
        <f t="shared" si="2"/>
        <v>5.5646468458756093E-2</v>
      </c>
      <c r="U10" s="5">
        <f t="shared" si="0"/>
        <v>4.0110808081395277E-2</v>
      </c>
      <c r="V10" s="5">
        <f t="shared" si="0"/>
        <v>3.8664489377096434E-2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-8.8630802929401398E-4</v>
      </c>
      <c r="H11" s="5">
        <f>'Proximal Validation'!H11</f>
        <v>-6.7533724009990706E-2</v>
      </c>
      <c r="I11" s="5">
        <f>'Proximal Validation'!I11</f>
        <v>-4.7554963384754999E-4</v>
      </c>
      <c r="J11" s="5">
        <f>'Proximal Validation'!J11</f>
        <v>-0.16650235652923601</v>
      </c>
      <c r="K11" s="5">
        <f>'Proximal Validation'!K11</f>
        <v>2.7373749762773501E-3</v>
      </c>
      <c r="L11" s="5">
        <f>'Proximal Validation'!L11</f>
        <v>0.18086977303028101</v>
      </c>
      <c r="M11" s="5">
        <v>0.74008865040570559</v>
      </c>
      <c r="N11" s="5">
        <v>9.1741523107677331E-2</v>
      </c>
      <c r="O11" s="5">
        <v>1.5926037418228494</v>
      </c>
      <c r="P11" s="11">
        <v>5.0844863544484871E-2</v>
      </c>
      <c r="Q11" s="5">
        <f t="shared" si="1"/>
        <v>0.44008865040570561</v>
      </c>
      <c r="R11" s="5">
        <f t="shared" si="1"/>
        <v>-0.10825847689232268</v>
      </c>
      <c r="S11" s="5">
        <f t="shared" si="1"/>
        <v>2.1807415027952803E-2</v>
      </c>
      <c r="T11" s="5">
        <f t="shared" si="2"/>
        <v>0.44008865040570561</v>
      </c>
      <c r="U11" s="5">
        <f t="shared" si="0"/>
        <v>0.10825847689232268</v>
      </c>
      <c r="V11" s="5">
        <f t="shared" si="0"/>
        <v>2.1807415027952803E-2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-2.7598871383815999E-3</v>
      </c>
      <c r="H12" s="5">
        <f>'Proximal Validation'!H12</f>
        <v>-0.127221524715424</v>
      </c>
      <c r="I12" s="5">
        <f>'Proximal Validation'!I12</f>
        <v>-8.8058260735124404E-4</v>
      </c>
      <c r="J12" s="5">
        <f>'Proximal Validation'!J12</f>
        <v>-0.67187190055847201</v>
      </c>
      <c r="K12" s="5">
        <f>'Proximal Validation'!K12</f>
        <v>1.79205909371376E-2</v>
      </c>
      <c r="L12" s="5">
        <f>'Proximal Validation'!L12</f>
        <v>6.6542282700538594E-2</v>
      </c>
      <c r="M12" s="5">
        <v>0.83903675316129567</v>
      </c>
      <c r="N12" s="5">
        <v>0.15271982747002785</v>
      </c>
      <c r="O12" s="5">
        <v>1.5848885820045462</v>
      </c>
      <c r="P12" s="11">
        <v>1.620397466615673E-2</v>
      </c>
      <c r="Q12" s="5">
        <f t="shared" si="1"/>
        <v>0.13903675316129571</v>
      </c>
      <c r="R12" s="5">
        <f t="shared" si="1"/>
        <v>-4.7280172529972159E-2</v>
      </c>
      <c r="S12" s="5">
        <f t="shared" si="1"/>
        <v>1.4092255209649629E-2</v>
      </c>
      <c r="T12" s="5">
        <f t="shared" si="2"/>
        <v>0.13903675316129571</v>
      </c>
      <c r="U12" s="5">
        <f t="shared" si="0"/>
        <v>4.7280172529972159E-2</v>
      </c>
      <c r="V12" s="5">
        <f t="shared" si="0"/>
        <v>1.4092255209649629E-2</v>
      </c>
    </row>
    <row r="13" spans="1:25" ht="15.75" x14ac:dyDescent="0.25">
      <c r="M13" s="25" t="s">
        <v>44</v>
      </c>
      <c r="N13" s="26"/>
      <c r="O13" s="26"/>
      <c r="P13" s="26"/>
      <c r="Q13" s="27" t="s">
        <v>13</v>
      </c>
      <c r="R13" s="27"/>
      <c r="S13" s="27"/>
      <c r="T13" s="30" t="s">
        <v>40</v>
      </c>
      <c r="U13" s="30"/>
      <c r="V13" s="30"/>
      <c r="W13" s="28"/>
      <c r="X13" s="28"/>
      <c r="Y13" s="28"/>
    </row>
    <row r="14" spans="1:25" ht="15.75" x14ac:dyDescent="0.25">
      <c r="A14" s="31" t="s">
        <v>31</v>
      </c>
      <c r="B14" s="32"/>
      <c r="C14" s="33"/>
      <c r="M14" s="3" t="s">
        <v>34</v>
      </c>
      <c r="N14" s="1" t="s">
        <v>35</v>
      </c>
      <c r="O14" s="1" t="s">
        <v>36</v>
      </c>
      <c r="P14" s="2" t="s">
        <v>27</v>
      </c>
      <c r="Q14" s="3" t="s">
        <v>34</v>
      </c>
      <c r="R14" s="1" t="s">
        <v>35</v>
      </c>
      <c r="S14" s="1" t="s">
        <v>36</v>
      </c>
      <c r="T14" s="3" t="s">
        <v>34</v>
      </c>
      <c r="U14" s="1" t="s">
        <v>35</v>
      </c>
      <c r="V14" s="1" t="s">
        <v>36</v>
      </c>
      <c r="W14" s="29" t="s">
        <v>26</v>
      </c>
      <c r="X14" s="29"/>
      <c r="Y14" s="29"/>
    </row>
    <row r="15" spans="1:25" ht="15.75" x14ac:dyDescent="0.25">
      <c r="A15">
        <v>1.5</v>
      </c>
      <c r="B15">
        <v>0</v>
      </c>
      <c r="C15">
        <v>0</v>
      </c>
      <c r="M15" s="5"/>
      <c r="N15" s="5"/>
      <c r="O15" s="5"/>
      <c r="P15" s="11"/>
      <c r="Q15" s="5">
        <f>M15-A3</f>
        <v>-0.4</v>
      </c>
      <c r="R15" s="5">
        <f t="shared" ref="R15:S15" si="3">N15-B3</f>
        <v>-0.06</v>
      </c>
      <c r="S15" s="5">
        <f t="shared" si="3"/>
        <v>-1.5707963267948966</v>
      </c>
      <c r="T15" s="5">
        <f>ABS(Q15)</f>
        <v>0.4</v>
      </c>
      <c r="U15" s="5">
        <f t="shared" ref="U15:U24" si="4">ABS(R15)</f>
        <v>0.06</v>
      </c>
      <c r="V15" s="5">
        <f t="shared" ref="V15:V24" si="5">ABS(S15)</f>
        <v>1.5707963267948966</v>
      </c>
      <c r="W15" s="1" t="s">
        <v>23</v>
      </c>
      <c r="X15" s="1" t="s">
        <v>24</v>
      </c>
      <c r="Y15" s="1" t="s">
        <v>25</v>
      </c>
    </row>
    <row r="16" spans="1:25" x14ac:dyDescent="0.25">
      <c r="A16">
        <v>0</v>
      </c>
      <c r="B16">
        <v>1.5</v>
      </c>
      <c r="C16">
        <v>0</v>
      </c>
      <c r="M16" s="8"/>
      <c r="N16" s="8"/>
      <c r="O16" s="8"/>
      <c r="P16" s="12"/>
      <c r="Q16" s="5">
        <f t="shared" ref="Q16:Q24" si="6">M16-A4</f>
        <v>-0.8</v>
      </c>
      <c r="R16" s="5">
        <f t="shared" ref="R16:R24" si="7">N16-B4</f>
        <v>-0.06</v>
      </c>
      <c r="S16" s="5">
        <f t="shared" ref="S16:S24" si="8">O16-C4</f>
        <v>-1.5707963267948966</v>
      </c>
      <c r="T16" s="5">
        <f t="shared" ref="T16:T24" si="9">ABS(Q16)</f>
        <v>0.8</v>
      </c>
      <c r="U16" s="5">
        <f t="shared" si="4"/>
        <v>0.06</v>
      </c>
      <c r="V16" s="5">
        <f t="shared" si="5"/>
        <v>1.5707963267948966</v>
      </c>
      <c r="W16" s="6" cm="1">
        <f t="array" ref="W16">AVERAGE(ABS(Q19:Q24))</f>
        <v>0.41453415637793611</v>
      </c>
      <c r="X16" s="6" cm="1">
        <f t="array" ref="X16">AVERAGE(ABS(R19:R24))</f>
        <v>7.099191217124208E-2</v>
      </c>
      <c r="Y16" s="6" cm="1">
        <f t="array" ref="Y16">AVERAGE(ABS(S19:S24))</f>
        <v>2.8823511231169847E-2</v>
      </c>
    </row>
    <row r="17" spans="1:25" x14ac:dyDescent="0.25">
      <c r="A17">
        <v>0</v>
      </c>
      <c r="B17">
        <v>0</v>
      </c>
      <c r="C17">
        <v>1.5</v>
      </c>
      <c r="M17" s="5"/>
      <c r="N17" s="5"/>
      <c r="O17" s="5"/>
      <c r="P17" s="11"/>
      <c r="Q17" s="5">
        <f t="shared" si="6"/>
        <v>-0.3</v>
      </c>
      <c r="R17" s="5">
        <f t="shared" si="7"/>
        <v>-0.08</v>
      </c>
      <c r="S17" s="5">
        <f t="shared" si="8"/>
        <v>-1.5707963267948966</v>
      </c>
      <c r="T17" s="5">
        <f t="shared" si="9"/>
        <v>0.3</v>
      </c>
      <c r="U17" s="5">
        <f t="shared" si="4"/>
        <v>0.08</v>
      </c>
      <c r="V17" s="5">
        <f t="shared" si="5"/>
        <v>1.5707963267948966</v>
      </c>
      <c r="W17" s="24"/>
      <c r="X17" s="24"/>
      <c r="Y17" s="24"/>
    </row>
    <row r="18" spans="1:25" x14ac:dyDescent="0.25">
      <c r="M18" s="5"/>
      <c r="N18" s="5"/>
      <c r="O18" s="5"/>
      <c r="P18" s="11"/>
      <c r="Q18" s="5">
        <f t="shared" si="6"/>
        <v>-0.5</v>
      </c>
      <c r="R18" s="5">
        <f t="shared" si="7"/>
        <v>-0.1</v>
      </c>
      <c r="S18" s="5">
        <f t="shared" si="8"/>
        <v>-1.5707963267948966</v>
      </c>
      <c r="T18" s="5">
        <f t="shared" si="9"/>
        <v>0.5</v>
      </c>
      <c r="U18" s="5">
        <f t="shared" si="4"/>
        <v>0.1</v>
      </c>
      <c r="V18" s="5">
        <f t="shared" si="5"/>
        <v>1.5707963267948966</v>
      </c>
    </row>
    <row r="19" spans="1:25" ht="15.75" thickBot="1" x14ac:dyDescent="0.3">
      <c r="M19" s="5">
        <v>0.99999999999043832</v>
      </c>
      <c r="N19" s="5">
        <v>7.808914400058907E-2</v>
      </c>
      <c r="O19" s="5">
        <v>1.5877229610591919</v>
      </c>
      <c r="P19" s="11">
        <v>1.605636373842141E-3</v>
      </c>
      <c r="Q19" s="5">
        <f t="shared" si="6"/>
        <v>0.29999999999043836</v>
      </c>
      <c r="R19" s="5">
        <f t="shared" si="7"/>
        <v>-2.1910855999410936E-2</v>
      </c>
      <c r="S19" s="5">
        <f t="shared" si="8"/>
        <v>1.6926634264295304E-2</v>
      </c>
      <c r="T19" s="5">
        <f t="shared" si="9"/>
        <v>0.29999999999043836</v>
      </c>
      <c r="U19" s="5">
        <f t="shared" si="4"/>
        <v>2.1910855999410936E-2</v>
      </c>
      <c r="V19" s="5">
        <f t="shared" si="5"/>
        <v>1.6926634264295304E-2</v>
      </c>
    </row>
    <row r="20" spans="1:25" ht="15.75" x14ac:dyDescent="0.25">
      <c r="C20" s="1" t="s">
        <v>33</v>
      </c>
      <c r="D20" s="1" t="s">
        <v>8</v>
      </c>
      <c r="E20" s="1" t="s">
        <v>9</v>
      </c>
      <c r="F20" s="1" t="s">
        <v>10</v>
      </c>
      <c r="G20" s="17" t="s">
        <v>32</v>
      </c>
      <c r="H20" s="18"/>
      <c r="I20" s="18"/>
      <c r="J20" s="18"/>
      <c r="K20" s="18"/>
      <c r="L20" s="18"/>
      <c r="M20" s="5">
        <v>0.9999999999915965</v>
      </c>
      <c r="N20" s="5">
        <v>7.077919699991761E-2</v>
      </c>
      <c r="O20" s="5">
        <v>1.6012212024620862</v>
      </c>
      <c r="P20" s="11">
        <v>3.1529306909527648E-2</v>
      </c>
      <c r="Q20" s="5">
        <f t="shared" si="6"/>
        <v>0.59999999999159648</v>
      </c>
      <c r="R20" s="5">
        <f t="shared" si="7"/>
        <v>-8.9220803000082394E-2</v>
      </c>
      <c r="S20" s="5">
        <f t="shared" si="8"/>
        <v>3.0424875667189655E-2</v>
      </c>
      <c r="T20" s="5">
        <f t="shared" si="9"/>
        <v>0.59999999999159648</v>
      </c>
      <c r="U20" s="5">
        <f t="shared" si="4"/>
        <v>8.9220803000082394E-2</v>
      </c>
      <c r="V20" s="5">
        <f t="shared" si="5"/>
        <v>3.0424875667189655E-2</v>
      </c>
    </row>
    <row r="21" spans="1:25" x14ac:dyDescent="0.25">
      <c r="C21" s="10">
        <v>1</v>
      </c>
      <c r="D21" s="5">
        <f t="shared" ref="D21:L21" si="10">D3</f>
        <v>0</v>
      </c>
      <c r="E21" s="5">
        <f t="shared" si="10"/>
        <v>0</v>
      </c>
      <c r="F21" s="5">
        <f t="shared" si="10"/>
        <v>0</v>
      </c>
      <c r="G21" s="5">
        <f t="shared" si="10"/>
        <v>-2.8477585874497901E-4</v>
      </c>
      <c r="H21" s="5">
        <f t="shared" si="10"/>
        <v>-5.8327373117208502E-2</v>
      </c>
      <c r="I21" s="5">
        <f t="shared" si="10"/>
        <v>-1.50670297443867E-4</v>
      </c>
      <c r="J21" s="5">
        <f t="shared" si="10"/>
        <v>6.01342367008328E-3</v>
      </c>
      <c r="K21" s="5">
        <f t="shared" si="10"/>
        <v>2.2609531879425001E-3</v>
      </c>
      <c r="L21" s="5">
        <f t="shared" si="10"/>
        <v>0.37637501955032299</v>
      </c>
      <c r="M21" s="5">
        <v>0.99999998964751557</v>
      </c>
      <c r="N21" s="5">
        <v>0.10245949158597613</v>
      </c>
      <c r="O21" s="5">
        <v>1.5874469651591985</v>
      </c>
      <c r="P21" s="11">
        <v>1.0466521040588268E-2</v>
      </c>
      <c r="Q21" s="5">
        <f t="shared" si="6"/>
        <v>0.3999999896475156</v>
      </c>
      <c r="R21" s="5">
        <f t="shared" si="7"/>
        <v>-5.7540508414023875E-2</v>
      </c>
      <c r="S21" s="5">
        <f t="shared" si="8"/>
        <v>1.6650638364301917E-2</v>
      </c>
      <c r="T21" s="5">
        <f t="shared" si="9"/>
        <v>0.3999999896475156</v>
      </c>
      <c r="U21" s="5">
        <f t="shared" si="4"/>
        <v>5.7540508414023875E-2</v>
      </c>
      <c r="V21" s="5">
        <f t="shared" si="5"/>
        <v>1.6650638364301917E-2</v>
      </c>
      <c r="W21" s="7"/>
      <c r="X21" s="7"/>
      <c r="Y21" s="7"/>
    </row>
    <row r="22" spans="1:25" x14ac:dyDescent="0.25">
      <c r="C22" s="10">
        <v>1</v>
      </c>
      <c r="D22" s="5">
        <v>1.5</v>
      </c>
      <c r="E22" s="5">
        <v>0</v>
      </c>
      <c r="F22" s="5">
        <v>0</v>
      </c>
      <c r="G22" s="5">
        <v>1.08359626028687E-3</v>
      </c>
      <c r="H22" s="5">
        <v>-3.8952093571424498E-2</v>
      </c>
      <c r="I22" s="5">
        <v>-8.8399392552673803E-5</v>
      </c>
      <c r="J22" s="5">
        <v>2.6931611821055398E-2</v>
      </c>
      <c r="K22" s="5">
        <v>1.2965276837348899E-3</v>
      </c>
      <c r="L22" s="5">
        <v>0.25999218225479098</v>
      </c>
      <c r="M22" s="5">
        <v>0.98720495998754387</v>
      </c>
      <c r="N22" s="5">
        <v>0.13232949639335892</v>
      </c>
      <c r="O22" s="5">
        <v>1.6046347577244562</v>
      </c>
      <c r="P22" s="11">
        <v>2.5904098685380905E-4</v>
      </c>
      <c r="Q22" s="5">
        <f t="shared" si="6"/>
        <v>0.18720495998754383</v>
      </c>
      <c r="R22" s="5">
        <f t="shared" si="7"/>
        <v>-4.7670503606641074E-2</v>
      </c>
      <c r="S22" s="5">
        <f t="shared" si="8"/>
        <v>3.3838430929559626E-2</v>
      </c>
      <c r="T22" s="5">
        <f t="shared" si="9"/>
        <v>0.18720495998754383</v>
      </c>
      <c r="U22" s="5">
        <f t="shared" si="4"/>
        <v>4.7670503606641074E-2</v>
      </c>
      <c r="V22" s="5">
        <f t="shared" si="5"/>
        <v>3.3838430929559626E-2</v>
      </c>
    </row>
    <row r="23" spans="1:25" x14ac:dyDescent="0.25">
      <c r="C23" s="10">
        <v>1</v>
      </c>
      <c r="D23" s="5">
        <v>0</v>
      </c>
      <c r="E23" s="5">
        <v>1.5</v>
      </c>
      <c r="F23" s="5">
        <v>0</v>
      </c>
      <c r="G23" s="5">
        <v>-6.0350575949996699E-4</v>
      </c>
      <c r="H23" s="5">
        <v>-3.9121877402067198E-2</v>
      </c>
      <c r="I23" s="5">
        <v>3.6299577914178399E-5</v>
      </c>
      <c r="J23" s="5">
        <v>3.1976170837879202E-2</v>
      </c>
      <c r="K23" s="5">
        <v>1.1962704360485099E-2</v>
      </c>
      <c r="L23" s="5">
        <v>0.26262807846069303</v>
      </c>
      <c r="M23" s="5">
        <v>0.99999999894731717</v>
      </c>
      <c r="N23" s="5">
        <v>6.6227538893402368E-2</v>
      </c>
      <c r="O23" s="5">
        <v>1.6100460948610689</v>
      </c>
      <c r="P23" s="11">
        <v>4.9255432098804036E-2</v>
      </c>
      <c r="Q23" s="5">
        <f t="shared" si="6"/>
        <v>0.69999999894731713</v>
      </c>
      <c r="R23" s="5">
        <f t="shared" si="7"/>
        <v>-0.13377246110659763</v>
      </c>
      <c r="S23" s="5">
        <f t="shared" si="8"/>
        <v>3.9249768066172308E-2</v>
      </c>
      <c r="T23" s="5">
        <f t="shared" si="9"/>
        <v>0.69999999894731713</v>
      </c>
      <c r="U23" s="5">
        <f t="shared" si="4"/>
        <v>0.13377246110659763</v>
      </c>
      <c r="V23" s="5">
        <f t="shared" si="5"/>
        <v>3.9249768066172308E-2</v>
      </c>
      <c r="W23" s="7"/>
      <c r="X23" s="7"/>
      <c r="Y23" s="7"/>
    </row>
    <row r="24" spans="1:25" x14ac:dyDescent="0.25">
      <c r="C24" s="10">
        <v>1</v>
      </c>
      <c r="D24" s="5">
        <v>0</v>
      </c>
      <c r="E24" s="5">
        <v>0</v>
      </c>
      <c r="F24" s="5">
        <v>1.5</v>
      </c>
      <c r="G24" s="5">
        <v>-1.6045989468693699E-5</v>
      </c>
      <c r="H24" s="5">
        <v>-7.6417177915573106E-2</v>
      </c>
      <c r="I24" s="5">
        <v>-1.8321670359000599E-4</v>
      </c>
      <c r="J24" s="5">
        <v>3.05892862379551E-2</v>
      </c>
      <c r="K24" s="5">
        <v>8.0633684992790205E-3</v>
      </c>
      <c r="L24" s="5">
        <v>0.50434404611587502</v>
      </c>
      <c r="M24" s="5">
        <v>0.99999998970320547</v>
      </c>
      <c r="N24" s="5">
        <v>0.12416365909930344</v>
      </c>
      <c r="O24" s="5">
        <v>1.6066470468903968</v>
      </c>
      <c r="P24" s="11">
        <v>1.4596612597414639E-2</v>
      </c>
      <c r="Q24" s="5">
        <f t="shared" si="6"/>
        <v>0.29999998970320552</v>
      </c>
      <c r="R24" s="5">
        <f t="shared" si="7"/>
        <v>-7.5836340900696575E-2</v>
      </c>
      <c r="S24" s="5">
        <f t="shared" si="8"/>
        <v>3.5850720095500277E-2</v>
      </c>
      <c r="T24" s="5">
        <f t="shared" si="9"/>
        <v>0.29999998970320552</v>
      </c>
      <c r="U24" s="5">
        <f t="shared" si="4"/>
        <v>7.5836340900696575E-2</v>
      </c>
      <c r="V24" s="5">
        <f t="shared" si="5"/>
        <v>3.5850720095500277E-2</v>
      </c>
    </row>
    <row r="25" spans="1:25" ht="15.75" x14ac:dyDescent="0.25">
      <c r="C25" s="10">
        <v>2</v>
      </c>
      <c r="D25" s="5">
        <v>0</v>
      </c>
      <c r="E25" s="5">
        <v>0</v>
      </c>
      <c r="F25" s="5">
        <v>0</v>
      </c>
      <c r="G25" s="5">
        <f>G4</f>
        <v>-1.3759520370513201E-3</v>
      </c>
      <c r="H25" s="5">
        <f t="shared" ref="H25:L25" si="11">H4</f>
        <v>-0.12723180651664701</v>
      </c>
      <c r="I25" s="5">
        <f t="shared" si="11"/>
        <v>-1.5217980835586799E-3</v>
      </c>
      <c r="J25" s="5">
        <f t="shared" si="11"/>
        <v>-8.26666504144669E-2</v>
      </c>
      <c r="K25" s="5">
        <f t="shared" si="11"/>
        <v>-4.7411769628524798E-3</v>
      </c>
      <c r="L25" s="5">
        <f t="shared" si="11"/>
        <v>0.81632339954376198</v>
      </c>
      <c r="M25" s="25" t="s">
        <v>45</v>
      </c>
      <c r="N25" s="26"/>
      <c r="O25" s="26"/>
      <c r="P25" s="26"/>
      <c r="Q25" s="27" t="s">
        <v>13</v>
      </c>
      <c r="R25" s="27"/>
      <c r="S25" s="27"/>
      <c r="T25" s="30" t="s">
        <v>40</v>
      </c>
      <c r="U25" s="30"/>
      <c r="V25" s="30"/>
      <c r="W25" s="28"/>
      <c r="X25" s="28"/>
      <c r="Y25" s="28"/>
    </row>
    <row r="26" spans="1:25" ht="15.75" x14ac:dyDescent="0.25">
      <c r="C26" s="10">
        <v>2</v>
      </c>
      <c r="D26" s="5">
        <v>1.5</v>
      </c>
      <c r="E26" s="5">
        <v>0</v>
      </c>
      <c r="F26" s="5">
        <v>0</v>
      </c>
      <c r="G26" s="5">
        <v>2.72861216217279E-4</v>
      </c>
      <c r="H26" s="5">
        <v>-0.11211783438921</v>
      </c>
      <c r="I26" s="5">
        <v>-2.0007756538689102E-3</v>
      </c>
      <c r="J26" s="5">
        <v>-5.763990432024E-2</v>
      </c>
      <c r="K26" s="5">
        <v>-1.2371033430099499E-2</v>
      </c>
      <c r="L26" s="5">
        <v>0.72908455133438099</v>
      </c>
      <c r="M26" s="3" t="s">
        <v>34</v>
      </c>
      <c r="N26" s="1" t="s">
        <v>35</v>
      </c>
      <c r="O26" s="1" t="s">
        <v>36</v>
      </c>
      <c r="P26" s="2" t="s">
        <v>27</v>
      </c>
      <c r="Q26" s="3" t="s">
        <v>34</v>
      </c>
      <c r="R26" s="1" t="s">
        <v>35</v>
      </c>
      <c r="S26" s="1" t="s">
        <v>36</v>
      </c>
      <c r="T26" s="3" t="s">
        <v>34</v>
      </c>
      <c r="U26" s="1" t="s">
        <v>35</v>
      </c>
      <c r="V26" s="1" t="s">
        <v>36</v>
      </c>
      <c r="W26" s="29" t="s">
        <v>26</v>
      </c>
      <c r="X26" s="29"/>
      <c r="Y26" s="29"/>
    </row>
    <row r="27" spans="1:25" ht="15.75" x14ac:dyDescent="0.25">
      <c r="C27" s="10">
        <v>2</v>
      </c>
      <c r="D27" s="5">
        <v>0</v>
      </c>
      <c r="E27" s="5">
        <v>1.5</v>
      </c>
      <c r="F27" s="5">
        <v>0</v>
      </c>
      <c r="G27" s="5">
        <v>-3.91761772334576E-3</v>
      </c>
      <c r="H27" s="5">
        <v>-0.110453277826309</v>
      </c>
      <c r="I27" s="5">
        <v>9.8139455076307099E-5</v>
      </c>
      <c r="J27" s="5">
        <v>-5.3478844463825198E-2</v>
      </c>
      <c r="K27" s="5">
        <v>1.21740996837616E-2</v>
      </c>
      <c r="L27" s="5">
        <v>0.72120183706283603</v>
      </c>
      <c r="M27" s="5"/>
      <c r="N27" s="5"/>
      <c r="O27" s="5"/>
      <c r="P27" s="11"/>
      <c r="Q27" s="5">
        <f>M27-A3</f>
        <v>-0.4</v>
      </c>
      <c r="R27" s="5">
        <f t="shared" ref="R27:S27" si="12">N27-B3</f>
        <v>-0.06</v>
      </c>
      <c r="S27" s="5">
        <f t="shared" si="12"/>
        <v>-1.5707963267948966</v>
      </c>
      <c r="T27" s="5">
        <f>ABS(Q27)</f>
        <v>0.4</v>
      </c>
      <c r="U27" s="5">
        <f t="shared" ref="U27:U36" si="13">ABS(R27)</f>
        <v>0.06</v>
      </c>
      <c r="V27" s="5">
        <f t="shared" ref="V27:V36" si="14">ABS(S27)</f>
        <v>1.5707963267948966</v>
      </c>
      <c r="W27" s="1" t="s">
        <v>23</v>
      </c>
      <c r="X27" s="1" t="s">
        <v>24</v>
      </c>
      <c r="Y27" s="1" t="s">
        <v>25</v>
      </c>
    </row>
    <row r="28" spans="1:25" x14ac:dyDescent="0.25">
      <c r="C28" s="10">
        <v>2</v>
      </c>
      <c r="D28" s="5">
        <v>0</v>
      </c>
      <c r="E28" s="5">
        <v>0</v>
      </c>
      <c r="F28" s="5">
        <v>1.5</v>
      </c>
      <c r="G28" s="5">
        <v>-2.2002500481903601E-3</v>
      </c>
      <c r="H28" s="5">
        <v>-0.14334920048713701</v>
      </c>
      <c r="I28" s="5">
        <v>-1.37328403070569E-3</v>
      </c>
      <c r="J28" s="5">
        <v>-8.1474617123603807E-2</v>
      </c>
      <c r="K28" s="5">
        <v>-5.5378675460815397E-4</v>
      </c>
      <c r="L28" s="5">
        <v>0.92903923988342296</v>
      </c>
      <c r="M28" s="8"/>
      <c r="N28" s="8"/>
      <c r="O28" s="8"/>
      <c r="P28" s="12"/>
      <c r="Q28" s="5">
        <f t="shared" ref="Q28:Q36" si="15">M28-A4</f>
        <v>-0.8</v>
      </c>
      <c r="R28" s="5">
        <f t="shared" ref="R28:R36" si="16">N28-B4</f>
        <v>-0.06</v>
      </c>
      <c r="S28" s="5">
        <f t="shared" ref="S28:S36" si="17">O28-C4</f>
        <v>-1.5707963267948966</v>
      </c>
      <c r="T28" s="5">
        <f t="shared" ref="T28:T36" si="18">ABS(Q28)</f>
        <v>0.8</v>
      </c>
      <c r="U28" s="5">
        <f t="shared" si="13"/>
        <v>0.06</v>
      </c>
      <c r="V28" s="5">
        <f t="shared" si="14"/>
        <v>1.5707963267948966</v>
      </c>
      <c r="W28" s="6" cm="1">
        <f t="array" ref="W28">AVERAGE(ABS(Q31:Q36))</f>
        <v>0.12115048439583324</v>
      </c>
      <c r="X28" s="6" cm="1">
        <f t="array" ref="X28">AVERAGE(ABS(R31:R36))</f>
        <v>3.1747039777984751E-2</v>
      </c>
      <c r="Y28" s="6" cm="1">
        <f t="array" ref="Y28">AVERAGE(ABS(S31:S36))</f>
        <v>0.12689221492525818</v>
      </c>
    </row>
    <row r="29" spans="1:25" x14ac:dyDescent="0.25">
      <c r="C29" s="10">
        <v>3</v>
      </c>
      <c r="D29" s="5">
        <v>0</v>
      </c>
      <c r="E29" s="5">
        <v>0</v>
      </c>
      <c r="F29" s="5">
        <v>0</v>
      </c>
      <c r="G29" s="5">
        <f>G5</f>
        <v>-2.8428673977032298E-4</v>
      </c>
      <c r="H29" s="5">
        <f t="shared" ref="H29:L29" si="19">H5</f>
        <v>-4.3962169438600499E-2</v>
      </c>
      <c r="I29" s="5">
        <f t="shared" si="19"/>
        <v>-1.9410930690355599E-4</v>
      </c>
      <c r="J29" s="5">
        <f t="shared" si="19"/>
        <v>-1.4232989400625199E-2</v>
      </c>
      <c r="K29" s="5">
        <f t="shared" si="19"/>
        <v>8.0315023660659801E-4</v>
      </c>
      <c r="L29" s="5">
        <f t="shared" si="19"/>
        <v>0.24872186779975899</v>
      </c>
      <c r="M29" s="5"/>
      <c r="N29" s="5"/>
      <c r="O29" s="5"/>
      <c r="P29" s="11"/>
      <c r="Q29" s="5">
        <f t="shared" si="15"/>
        <v>-0.3</v>
      </c>
      <c r="R29" s="5">
        <f t="shared" si="16"/>
        <v>-0.08</v>
      </c>
      <c r="S29" s="5">
        <f t="shared" si="17"/>
        <v>-1.5707963267948966</v>
      </c>
      <c r="T29" s="5">
        <f t="shared" si="18"/>
        <v>0.3</v>
      </c>
      <c r="U29" s="5">
        <f t="shared" si="13"/>
        <v>0.08</v>
      </c>
      <c r="V29" s="5">
        <f t="shared" si="14"/>
        <v>1.5707963267948966</v>
      </c>
      <c r="W29" s="24"/>
      <c r="X29" s="24"/>
      <c r="Y29" s="24"/>
    </row>
    <row r="30" spans="1:25" x14ac:dyDescent="0.25">
      <c r="C30" s="10">
        <v>3</v>
      </c>
      <c r="D30" s="5">
        <v>1.5</v>
      </c>
      <c r="E30" s="5">
        <v>0</v>
      </c>
      <c r="F30" s="5">
        <v>0</v>
      </c>
      <c r="G30" s="5">
        <v>6.3757481984794096E-4</v>
      </c>
      <c r="H30" s="5">
        <v>-1.9085668027401002E-2</v>
      </c>
      <c r="I30" s="5">
        <v>2.9602058930322501E-5</v>
      </c>
      <c r="J30" s="5">
        <v>9.1695403680205293E-3</v>
      </c>
      <c r="K30" s="5">
        <v>-1.93817168474197E-3</v>
      </c>
      <c r="L30" s="5">
        <v>0.111019782721996</v>
      </c>
      <c r="M30" s="5"/>
      <c r="N30" s="5"/>
      <c r="O30" s="5"/>
      <c r="P30" s="11"/>
      <c r="Q30" s="5">
        <f t="shared" si="15"/>
        <v>-0.5</v>
      </c>
      <c r="R30" s="5">
        <f t="shared" si="16"/>
        <v>-0.1</v>
      </c>
      <c r="S30" s="5">
        <f t="shared" si="17"/>
        <v>-1.5707963267948966</v>
      </c>
      <c r="T30" s="5">
        <f t="shared" si="18"/>
        <v>0.5</v>
      </c>
      <c r="U30" s="5">
        <f t="shared" si="13"/>
        <v>0.1</v>
      </c>
      <c r="V30" s="5">
        <f t="shared" si="14"/>
        <v>1.5707963267948966</v>
      </c>
    </row>
    <row r="31" spans="1:25" x14ac:dyDescent="0.25">
      <c r="C31" s="10">
        <v>3</v>
      </c>
      <c r="D31" s="5">
        <v>0</v>
      </c>
      <c r="E31" s="5">
        <v>1.5</v>
      </c>
      <c r="F31" s="5">
        <v>0</v>
      </c>
      <c r="G31" s="5">
        <v>-7.3290034197270903E-4</v>
      </c>
      <c r="H31" s="5">
        <v>-1.88013631850481E-2</v>
      </c>
      <c r="I31" s="5">
        <v>-1.5106817591004101E-4</v>
      </c>
      <c r="J31" s="5">
        <v>1.15277264267206E-2</v>
      </c>
      <c r="K31" s="5">
        <v>6.8578585051000101E-3</v>
      </c>
      <c r="L31" s="5">
        <v>0.110123753547668</v>
      </c>
      <c r="M31" s="5">
        <v>0.61585568404864499</v>
      </c>
      <c r="N31" s="5">
        <v>0.12478348829765686</v>
      </c>
      <c r="O31" s="5">
        <v>1.5402166469505407</v>
      </c>
      <c r="P31" s="11">
        <v>4.6140866627988299E-17</v>
      </c>
      <c r="Q31" s="5">
        <f t="shared" si="15"/>
        <v>-8.4144315951354964E-2</v>
      </c>
      <c r="R31" s="5">
        <f t="shared" si="16"/>
        <v>2.478348829765685E-2</v>
      </c>
      <c r="S31" s="5">
        <f t="shared" si="17"/>
        <v>-3.0579679844355834E-2</v>
      </c>
      <c r="T31" s="5">
        <f t="shared" si="18"/>
        <v>8.4144315951354964E-2</v>
      </c>
      <c r="U31" s="5">
        <f t="shared" si="13"/>
        <v>2.478348829765685E-2</v>
      </c>
      <c r="V31" s="5">
        <f t="shared" si="14"/>
        <v>3.0579679844355834E-2</v>
      </c>
    </row>
    <row r="32" spans="1:25" x14ac:dyDescent="0.25">
      <c r="C32" s="10">
        <v>3</v>
      </c>
      <c r="D32" s="5">
        <v>0</v>
      </c>
      <c r="E32" s="5">
        <v>0</v>
      </c>
      <c r="F32" s="5">
        <v>1.5</v>
      </c>
      <c r="G32" s="5">
        <v>-7.0107413921505202E-4</v>
      </c>
      <c r="H32" s="5">
        <v>-7.1857079863548307E-2</v>
      </c>
      <c r="I32" s="5">
        <v>-9.1600581072270897E-5</v>
      </c>
      <c r="J32" s="5">
        <v>-1.1773915961384799E-2</v>
      </c>
      <c r="K32" s="5">
        <v>4.9866326153278403E-3</v>
      </c>
      <c r="L32" s="5">
        <v>0.41071912646293601</v>
      </c>
      <c r="M32" s="5">
        <v>0.62009833355690314</v>
      </c>
      <c r="N32" s="5">
        <v>0.11348388530537551</v>
      </c>
      <c r="O32" s="5">
        <v>1.4600004623528557</v>
      </c>
      <c r="P32" s="11">
        <v>2.1703295963737887E-4</v>
      </c>
      <c r="Q32" s="5">
        <f t="shared" si="15"/>
        <v>0.22009833355690311</v>
      </c>
      <c r="R32" s="5">
        <f t="shared" si="16"/>
        <v>-4.6516114694624494E-2</v>
      </c>
      <c r="S32" s="5">
        <f t="shared" si="17"/>
        <v>-0.11079586444204081</v>
      </c>
      <c r="T32" s="5">
        <f t="shared" si="18"/>
        <v>0.22009833355690311</v>
      </c>
      <c r="U32" s="5">
        <f t="shared" si="13"/>
        <v>4.6516114694624494E-2</v>
      </c>
      <c r="V32" s="5">
        <f t="shared" si="14"/>
        <v>0.11079586444204081</v>
      </c>
    </row>
    <row r="33" spans="3:25" x14ac:dyDescent="0.25">
      <c r="C33" s="10">
        <v>4</v>
      </c>
      <c r="D33" s="5">
        <v>0</v>
      </c>
      <c r="E33" s="5">
        <v>0</v>
      </c>
      <c r="F33" s="5">
        <v>0</v>
      </c>
      <c r="G33" s="5">
        <f>G6</f>
        <v>-9.02065541595221E-4</v>
      </c>
      <c r="H33" s="5">
        <f t="shared" ref="H33:L33" si="20">H6</f>
        <v>-9.5010705292224898E-2</v>
      </c>
      <c r="I33" s="5">
        <f t="shared" si="20"/>
        <v>-3.1485431827604798E-4</v>
      </c>
      <c r="J33" s="5">
        <f t="shared" si="20"/>
        <v>-0.14170777797699</v>
      </c>
      <c r="K33" s="5">
        <f t="shared" si="20"/>
        <v>3.2724365592002899E-3</v>
      </c>
      <c r="L33" s="5">
        <f t="shared" si="20"/>
        <v>0.46851912140846302</v>
      </c>
      <c r="M33" s="5">
        <v>0.68391317473059643</v>
      </c>
      <c r="N33" s="5">
        <v>0.15381951418329837</v>
      </c>
      <c r="O33" s="5">
        <v>1.439265940382809</v>
      </c>
      <c r="P33" s="11">
        <v>7.9730603476053955E-18</v>
      </c>
      <c r="Q33" s="5">
        <f t="shared" si="15"/>
        <v>8.3913174730596451E-2</v>
      </c>
      <c r="R33" s="5">
        <f t="shared" si="16"/>
        <v>-6.1804858167016363E-3</v>
      </c>
      <c r="S33" s="5">
        <f t="shared" si="17"/>
        <v>-0.13153038641208759</v>
      </c>
      <c r="T33" s="5">
        <f t="shared" si="18"/>
        <v>8.3913174730596451E-2</v>
      </c>
      <c r="U33" s="5">
        <f t="shared" si="13"/>
        <v>6.1804858167016363E-3</v>
      </c>
      <c r="V33" s="5">
        <f t="shared" si="14"/>
        <v>0.13153038641208759</v>
      </c>
      <c r="W33" s="7"/>
      <c r="X33" s="7"/>
      <c r="Y33" s="7"/>
    </row>
    <row r="34" spans="3:25" x14ac:dyDescent="0.25">
      <c r="C34" s="10">
        <v>4</v>
      </c>
      <c r="D34" s="5">
        <v>1.5</v>
      </c>
      <c r="E34" s="5">
        <v>0</v>
      </c>
      <c r="F34" s="5">
        <v>0</v>
      </c>
      <c r="G34" s="5">
        <v>1.9676187075674499E-3</v>
      </c>
      <c r="H34" s="5">
        <v>-7.4565351009368896E-2</v>
      </c>
      <c r="I34" s="5">
        <v>-1.7849723808467399E-3</v>
      </c>
      <c r="J34" s="5">
        <v>-9.6416868269443498E-2</v>
      </c>
      <c r="K34" s="5">
        <v>-1.09421387314796E-2</v>
      </c>
      <c r="L34" s="5">
        <v>0.37433075904846203</v>
      </c>
      <c r="M34" s="5">
        <v>0.77607030962302415</v>
      </c>
      <c r="N34" s="5">
        <v>0.18257272688618925</v>
      </c>
      <c r="O34" s="5">
        <v>1.4140274483039532</v>
      </c>
      <c r="P34" s="11">
        <v>5.2205527619378083E-25</v>
      </c>
      <c r="Q34" s="5">
        <f t="shared" si="15"/>
        <v>-2.3929690376975898E-2</v>
      </c>
      <c r="R34" s="5">
        <f t="shared" si="16"/>
        <v>2.5727268861892583E-3</v>
      </c>
      <c r="S34" s="5">
        <f t="shared" si="17"/>
        <v>-0.15676887849094334</v>
      </c>
      <c r="T34" s="5">
        <f t="shared" si="18"/>
        <v>2.3929690376975898E-2</v>
      </c>
      <c r="U34" s="5">
        <f t="shared" si="13"/>
        <v>2.5727268861892583E-3</v>
      </c>
      <c r="V34" s="5">
        <f t="shared" si="14"/>
        <v>0.15676887849094334</v>
      </c>
    </row>
    <row r="35" spans="3:25" x14ac:dyDescent="0.25">
      <c r="C35" s="10">
        <v>4</v>
      </c>
      <c r="D35" s="5">
        <v>0</v>
      </c>
      <c r="E35" s="5">
        <v>1.5</v>
      </c>
      <c r="F35" s="5">
        <v>0</v>
      </c>
      <c r="G35" s="5">
        <v>-4.0576285682618601E-3</v>
      </c>
      <c r="H35" s="5">
        <v>-7.3690921068191501E-2</v>
      </c>
      <c r="I35" s="5">
        <v>1.9469512626528701E-3</v>
      </c>
      <c r="J35" s="5">
        <v>-9.1172099113464397E-2</v>
      </c>
      <c r="K35" s="5">
        <v>2.3470446467399601E-2</v>
      </c>
      <c r="L35" s="5">
        <v>0.37116280198097201</v>
      </c>
      <c r="M35" s="5">
        <v>0.56013196807389265</v>
      </c>
      <c r="N35" s="5">
        <v>0.11354057192350756</v>
      </c>
      <c r="O35" s="5">
        <v>1.4388737273319911</v>
      </c>
      <c r="P35" s="11">
        <v>8.156006566467007E-5</v>
      </c>
      <c r="Q35" s="5">
        <f t="shared" si="15"/>
        <v>0.26013196807389266</v>
      </c>
      <c r="R35" s="5">
        <f t="shared" si="16"/>
        <v>-8.6459428076492456E-2</v>
      </c>
      <c r="S35" s="5">
        <f t="shared" si="17"/>
        <v>-0.13192259946290541</v>
      </c>
      <c r="T35" s="5">
        <f t="shared" si="18"/>
        <v>0.26013196807389266</v>
      </c>
      <c r="U35" s="5">
        <f t="shared" si="13"/>
        <v>8.6459428076492456E-2</v>
      </c>
      <c r="V35" s="5">
        <f t="shared" si="14"/>
        <v>0.13192259946290541</v>
      </c>
      <c r="W35" s="7"/>
      <c r="X35" s="7"/>
      <c r="Y35" s="7"/>
    </row>
    <row r="36" spans="3:25" x14ac:dyDescent="0.25">
      <c r="C36" s="10">
        <v>4</v>
      </c>
      <c r="D36" s="5">
        <v>0</v>
      </c>
      <c r="E36" s="5">
        <v>0</v>
      </c>
      <c r="F36" s="5">
        <v>1.5</v>
      </c>
      <c r="G36" s="5">
        <v>-1.7205990152433499E-3</v>
      </c>
      <c r="H36" s="5">
        <v>-0.117403469979763</v>
      </c>
      <c r="I36" s="5">
        <v>1.1818628991022701E-4</v>
      </c>
      <c r="J36" s="5">
        <v>-0.161251455545425</v>
      </c>
      <c r="K36" s="5">
        <v>9.8144263029098493E-3</v>
      </c>
      <c r="L36" s="5">
        <v>0.58599090576171897</v>
      </c>
      <c r="M36" s="5">
        <v>0.75468542368527625</v>
      </c>
      <c r="N36" s="5">
        <v>0.17603000510375619</v>
      </c>
      <c r="O36" s="5">
        <v>1.3710404458956804</v>
      </c>
      <c r="P36" s="11">
        <v>4.1298489952310973E-21</v>
      </c>
      <c r="Q36" s="5">
        <f t="shared" si="15"/>
        <v>5.4685423685276291E-2</v>
      </c>
      <c r="R36" s="5">
        <f t="shared" si="16"/>
        <v>-2.3969994896243824E-2</v>
      </c>
      <c r="S36" s="5">
        <f t="shared" si="17"/>
        <v>-0.19975588089921614</v>
      </c>
      <c r="T36" s="5">
        <f t="shared" si="18"/>
        <v>5.4685423685276291E-2</v>
      </c>
      <c r="U36" s="5">
        <f t="shared" si="13"/>
        <v>2.3969994896243824E-2</v>
      </c>
      <c r="V36" s="5">
        <f t="shared" si="14"/>
        <v>0.19975588089921614</v>
      </c>
    </row>
    <row r="37" spans="3:25" x14ac:dyDescent="0.25">
      <c r="C37" s="10">
        <v>5</v>
      </c>
      <c r="D37" s="5">
        <v>0</v>
      </c>
      <c r="E37" s="5">
        <v>0</v>
      </c>
      <c r="F37" s="5">
        <v>0</v>
      </c>
      <c r="G37" s="5">
        <f>G7</f>
        <v>-1.3697715476155301E-3</v>
      </c>
      <c r="H37" s="5">
        <f t="shared" ref="H37:L37" si="21">H7</f>
        <v>-0.129899337887764</v>
      </c>
      <c r="I37" s="5">
        <f t="shared" si="21"/>
        <v>-1.1154995299875699E-3</v>
      </c>
      <c r="J37" s="5">
        <f t="shared" si="21"/>
        <v>-0.27736902236938499</v>
      </c>
      <c r="K37" s="5">
        <f t="shared" si="21"/>
        <v>2.9984340071678201E-3</v>
      </c>
      <c r="L37" s="5">
        <f t="shared" si="21"/>
        <v>0.62586665153503396</v>
      </c>
    </row>
    <row r="38" spans="3:25" x14ac:dyDescent="0.25">
      <c r="C38" s="10">
        <v>5</v>
      </c>
      <c r="D38" s="5">
        <v>1.5</v>
      </c>
      <c r="E38" s="5">
        <v>0</v>
      </c>
      <c r="F38" s="5">
        <v>0</v>
      </c>
      <c r="G38" s="5">
        <v>2.7323425747454201E-3</v>
      </c>
      <c r="H38" s="5">
        <v>-0.10860975831747099</v>
      </c>
      <c r="I38" s="5">
        <v>-3.2638874836266002E-3</v>
      </c>
      <c r="J38" s="5">
        <v>-0.21757072210311901</v>
      </c>
      <c r="K38" s="5">
        <v>-1.8986932933330501E-2</v>
      </c>
      <c r="L38" s="5">
        <v>0.52928400039672896</v>
      </c>
    </row>
    <row r="39" spans="3:25" x14ac:dyDescent="0.25">
      <c r="C39" s="10">
        <v>5</v>
      </c>
      <c r="D39" s="5">
        <v>0</v>
      </c>
      <c r="E39" s="5">
        <v>1.5</v>
      </c>
      <c r="F39" s="5">
        <v>0</v>
      </c>
      <c r="G39" s="5">
        <v>-5.8991224505007302E-3</v>
      </c>
      <c r="H39" s="5">
        <v>-0.10732630640268299</v>
      </c>
      <c r="I39" s="5">
        <v>1.9926719833165399E-3</v>
      </c>
      <c r="J39" s="5">
        <v>-0.212300300598145</v>
      </c>
      <c r="K39" s="5">
        <v>3.0471928417682599E-2</v>
      </c>
      <c r="L39" s="5">
        <v>0.52430135011672996</v>
      </c>
    </row>
    <row r="40" spans="3:25" x14ac:dyDescent="0.25">
      <c r="C40" s="10">
        <v>5</v>
      </c>
      <c r="D40" s="5">
        <v>0</v>
      </c>
      <c r="E40" s="5">
        <v>0</v>
      </c>
      <c r="F40" s="5">
        <v>1.5</v>
      </c>
      <c r="G40" s="5">
        <v>-2.5776759721338701E-3</v>
      </c>
      <c r="H40" s="5">
        <v>-0.14990681409835799</v>
      </c>
      <c r="I40" s="5">
        <v>-6.4788857707753799E-4</v>
      </c>
      <c r="J40" s="5">
        <v>-0.31052434444427501</v>
      </c>
      <c r="K40" s="5">
        <v>1.01436153054237E-2</v>
      </c>
      <c r="L40" s="5">
        <v>0.72825366258621205</v>
      </c>
    </row>
    <row r="41" spans="3:25" x14ac:dyDescent="0.25">
      <c r="C41" s="10">
        <v>6</v>
      </c>
      <c r="D41" s="5">
        <v>0</v>
      </c>
      <c r="E41" s="5">
        <v>0</v>
      </c>
      <c r="F41" s="5">
        <v>0</v>
      </c>
      <c r="G41" s="5">
        <f>G8</f>
        <v>-1.30162085406482E-3</v>
      </c>
      <c r="H41" s="5">
        <f t="shared" ref="H41:L41" si="22">H8</f>
        <v>-9.1771319508552607E-2</v>
      </c>
      <c r="I41" s="5">
        <f t="shared" si="22"/>
        <v>-6.8558257771655895E-4</v>
      </c>
      <c r="J41" s="5">
        <f t="shared" si="22"/>
        <v>-0.188138782978058</v>
      </c>
      <c r="K41" s="5">
        <f t="shared" si="22"/>
        <v>3.5599116235971499E-3</v>
      </c>
      <c r="L41" s="5">
        <f t="shared" si="22"/>
        <v>0.316497713327408</v>
      </c>
    </row>
    <row r="42" spans="3:25" x14ac:dyDescent="0.25">
      <c r="C42" s="10">
        <v>6</v>
      </c>
      <c r="D42" s="5">
        <v>1.5</v>
      </c>
      <c r="E42" s="5">
        <v>0</v>
      </c>
      <c r="F42" s="5">
        <v>0</v>
      </c>
      <c r="G42" s="5">
        <v>3.6144303157925601E-3</v>
      </c>
      <c r="H42" s="5">
        <v>-7.2152756154537201E-2</v>
      </c>
      <c r="I42" s="5">
        <v>-4.4338414445519404E-3</v>
      </c>
      <c r="J42" s="5">
        <v>-0.125853091478348</v>
      </c>
      <c r="K42" s="5">
        <v>-2.1538056433200801E-2</v>
      </c>
      <c r="L42" s="5">
        <v>0.25275784730911299</v>
      </c>
    </row>
    <row r="43" spans="3:25" x14ac:dyDescent="0.25">
      <c r="C43" s="10">
        <v>6</v>
      </c>
      <c r="D43" s="5">
        <v>0</v>
      </c>
      <c r="E43" s="5">
        <v>1.5</v>
      </c>
      <c r="F43" s="5">
        <v>0</v>
      </c>
      <c r="G43" s="5">
        <v>-7.0790741592645602E-3</v>
      </c>
      <c r="H43" s="5">
        <v>-7.1189694106578799E-2</v>
      </c>
      <c r="I43" s="5">
        <v>4.6558286994695698E-3</v>
      </c>
      <c r="J43" s="5">
        <v>-0.12878109514713301</v>
      </c>
      <c r="K43" s="5">
        <v>3.5958077758550602E-2</v>
      </c>
      <c r="L43" s="5">
        <v>0.25089681148529103</v>
      </c>
    </row>
    <row r="44" spans="3:25" x14ac:dyDescent="0.25">
      <c r="C44" s="10">
        <v>6</v>
      </c>
      <c r="D44" s="5">
        <v>0</v>
      </c>
      <c r="E44" s="5">
        <v>0</v>
      </c>
      <c r="F44" s="5">
        <v>1.5</v>
      </c>
      <c r="G44" s="5">
        <v>-2.76509672403336E-3</v>
      </c>
      <c r="H44" s="5">
        <v>-0.11132932454347599</v>
      </c>
      <c r="I44" s="5">
        <v>2.25328607484698E-4</v>
      </c>
      <c r="J44" s="5">
        <v>-0.22193863987922699</v>
      </c>
      <c r="K44" s="5">
        <v>1.1183009482920199E-2</v>
      </c>
      <c r="L44" s="5">
        <v>0.38772404193878202</v>
      </c>
    </row>
    <row r="45" spans="3:25" x14ac:dyDescent="0.25">
      <c r="C45" s="10">
        <v>7</v>
      </c>
      <c r="D45" s="5">
        <v>0</v>
      </c>
      <c r="E45" s="5">
        <v>0</v>
      </c>
      <c r="F45" s="5">
        <v>0</v>
      </c>
      <c r="G45" s="5">
        <f>G9</f>
        <v>-2.1819151006638999E-3</v>
      </c>
      <c r="H45" s="5">
        <f t="shared" ref="H45:L45" si="23">H9</f>
        <v>-0.134275212883949</v>
      </c>
      <c r="I45" s="5">
        <f t="shared" si="23"/>
        <v>-2.8121363720856602E-4</v>
      </c>
      <c r="J45" s="5">
        <f t="shared" si="23"/>
        <v>-0.47822567820549</v>
      </c>
      <c r="K45" s="5">
        <f t="shared" si="23"/>
        <v>1.2040870264172601E-2</v>
      </c>
      <c r="L45" s="5">
        <f t="shared" si="23"/>
        <v>0.39143002033233598</v>
      </c>
    </row>
    <row r="46" spans="3:25" x14ac:dyDescent="0.25">
      <c r="C46" s="10">
        <v>7</v>
      </c>
      <c r="D46" s="5">
        <v>1.5</v>
      </c>
      <c r="E46" s="5">
        <v>0</v>
      </c>
      <c r="F46" s="5">
        <v>0</v>
      </c>
      <c r="G46" s="5">
        <v>5.7934392243623699E-3</v>
      </c>
      <c r="H46" s="5">
        <v>-0.114684946835041</v>
      </c>
      <c r="I46" s="5">
        <v>-5.1649995148181898E-3</v>
      </c>
      <c r="J46" s="5">
        <v>-0.39321956038474998</v>
      </c>
      <c r="K46" s="5">
        <v>-3.1115166842937501E-2</v>
      </c>
      <c r="L46" s="5">
        <v>0.342921882867813</v>
      </c>
    </row>
    <row r="47" spans="3:25" x14ac:dyDescent="0.25">
      <c r="C47" s="10">
        <v>7</v>
      </c>
      <c r="D47" s="5">
        <v>0</v>
      </c>
      <c r="E47" s="5">
        <v>1.5</v>
      </c>
      <c r="F47" s="5">
        <v>0</v>
      </c>
      <c r="G47" s="5">
        <v>-1.0975661687552899E-2</v>
      </c>
      <c r="H47" s="5">
        <v>-0.11342978477478</v>
      </c>
      <c r="I47" s="5">
        <v>5.99190220236778E-3</v>
      </c>
      <c r="J47" s="5">
        <v>-0.38463625311851501</v>
      </c>
      <c r="K47" s="5">
        <v>6.3686281442642198E-2</v>
      </c>
      <c r="L47" s="5">
        <v>0.33994320034980802</v>
      </c>
    </row>
    <row r="48" spans="3:25" x14ac:dyDescent="0.25">
      <c r="C48" s="10">
        <v>7</v>
      </c>
      <c r="D48" s="5">
        <v>0</v>
      </c>
      <c r="E48" s="5">
        <v>0</v>
      </c>
      <c r="F48" s="5">
        <v>1.5</v>
      </c>
      <c r="G48" s="5">
        <v>-4.1735381819307804E-3</v>
      </c>
      <c r="H48" s="5">
        <v>-0.14866587519645699</v>
      </c>
      <c r="I48" s="5">
        <v>9.3002978246658997E-4</v>
      </c>
      <c r="J48" s="5">
        <v>-0.52159506082534801</v>
      </c>
      <c r="K48" s="5">
        <v>2.5465684011578602E-2</v>
      </c>
      <c r="L48" s="5">
        <v>0.43503433465957603</v>
      </c>
    </row>
    <row r="49" spans="3:12" x14ac:dyDescent="0.25">
      <c r="C49" s="10">
        <v>8</v>
      </c>
      <c r="D49" s="5">
        <v>0</v>
      </c>
      <c r="E49" s="5">
        <v>0</v>
      </c>
      <c r="F49" s="5">
        <v>0</v>
      </c>
      <c r="G49" s="5">
        <f>G10</f>
        <v>-1.05854228604585E-3</v>
      </c>
      <c r="H49" s="5">
        <f t="shared" ref="H49:L49" si="24">H10</f>
        <v>-0.13548035919666301</v>
      </c>
      <c r="I49" s="5">
        <f t="shared" si="24"/>
        <v>-1.24974839854985E-3</v>
      </c>
      <c r="J49" s="5">
        <f t="shared" si="24"/>
        <v>-0.72550737857818604</v>
      </c>
      <c r="K49" s="5">
        <f t="shared" si="24"/>
        <v>2.9684353619813902E-2</v>
      </c>
      <c r="L49" s="5">
        <f t="shared" si="24"/>
        <v>0.13168570399284399</v>
      </c>
    </row>
    <row r="50" spans="3:12" x14ac:dyDescent="0.25">
      <c r="C50" s="10">
        <v>8</v>
      </c>
      <c r="D50" s="5">
        <v>1.5</v>
      </c>
      <c r="E50" s="5">
        <v>0</v>
      </c>
      <c r="F50" s="5">
        <v>0</v>
      </c>
      <c r="G50" s="5">
        <v>7.96904414892197E-3</v>
      </c>
      <c r="H50" s="5">
        <v>-0.11474589258432399</v>
      </c>
      <c r="I50" s="5">
        <v>-6.0131093487143499E-3</v>
      </c>
      <c r="J50" s="5">
        <v>-0.60557293891906705</v>
      </c>
      <c r="K50" s="5">
        <v>-2.7572307735681499E-2</v>
      </c>
      <c r="L50" s="5">
        <v>0.11280394345521901</v>
      </c>
    </row>
    <row r="51" spans="3:12" x14ac:dyDescent="0.25">
      <c r="C51" s="10">
        <v>8</v>
      </c>
      <c r="D51" s="5">
        <v>0</v>
      </c>
      <c r="E51" s="5">
        <v>1.5</v>
      </c>
      <c r="F51" s="5">
        <v>0</v>
      </c>
      <c r="G51" s="5">
        <v>-1.2933341786265399E-2</v>
      </c>
      <c r="H51" s="5">
        <v>-0.1122762337327</v>
      </c>
      <c r="I51" s="5">
        <v>5.9222737327218099E-3</v>
      </c>
      <c r="J51" s="5">
        <v>-0.59010398387908902</v>
      </c>
      <c r="K51" s="5">
        <v>9.8144292831420898E-2</v>
      </c>
      <c r="L51" s="5">
        <v>0.111469298601151</v>
      </c>
    </row>
    <row r="52" spans="3:12" x14ac:dyDescent="0.25">
      <c r="C52" s="10">
        <v>8</v>
      </c>
      <c r="D52" s="5">
        <v>0</v>
      </c>
      <c r="E52" s="5">
        <v>0</v>
      </c>
      <c r="F52" s="5">
        <v>1.5</v>
      </c>
      <c r="G52" s="5">
        <v>-4.6712057664990399E-3</v>
      </c>
      <c r="H52" s="5">
        <v>-0.135463431477547</v>
      </c>
      <c r="I52" s="5">
        <v>6.5623031696304701E-4</v>
      </c>
      <c r="J52" s="5">
        <v>-0.73237782716751099</v>
      </c>
      <c r="K52" s="5">
        <v>4.9444705247879001E-2</v>
      </c>
      <c r="L52" s="5">
        <v>0.11383667588233901</v>
      </c>
    </row>
    <row r="53" spans="3:12" x14ac:dyDescent="0.25">
      <c r="C53" s="10">
        <v>9</v>
      </c>
      <c r="D53" s="5">
        <v>0</v>
      </c>
      <c r="E53" s="5">
        <v>0</v>
      </c>
      <c r="F53" s="5">
        <v>0</v>
      </c>
      <c r="G53" s="5">
        <f>G11</f>
        <v>-8.8630802929401398E-4</v>
      </c>
      <c r="H53" s="5">
        <f t="shared" ref="H53:L53" si="25">H11</f>
        <v>-6.7533724009990706E-2</v>
      </c>
      <c r="I53" s="5">
        <f t="shared" si="25"/>
        <v>-4.7554963384754999E-4</v>
      </c>
      <c r="J53" s="5">
        <f t="shared" si="25"/>
        <v>-0.16650235652923601</v>
      </c>
      <c r="K53" s="5">
        <f t="shared" si="25"/>
        <v>2.7373749762773501E-3</v>
      </c>
      <c r="L53" s="5">
        <f t="shared" si="25"/>
        <v>0.18086977303028101</v>
      </c>
    </row>
    <row r="54" spans="3:12" x14ac:dyDescent="0.25">
      <c r="C54" s="10">
        <v>9</v>
      </c>
      <c r="D54" s="5">
        <v>1.5</v>
      </c>
      <c r="E54" s="5">
        <v>0</v>
      </c>
      <c r="F54" s="5">
        <v>0</v>
      </c>
      <c r="G54" s="5">
        <v>3.9485236629843703E-3</v>
      </c>
      <c r="H54" s="5">
        <v>-4.9224551767110797E-2</v>
      </c>
      <c r="I54" s="5">
        <v>-4.6761655248701598E-3</v>
      </c>
      <c r="J54" s="5">
        <v>-0.11018792539835</v>
      </c>
      <c r="K54" s="5">
        <v>-2.3462433367967599E-2</v>
      </c>
      <c r="L54" s="5">
        <v>0.135466068983078</v>
      </c>
    </row>
    <row r="55" spans="3:12" x14ac:dyDescent="0.25">
      <c r="C55" s="10">
        <v>9</v>
      </c>
      <c r="D55" s="5">
        <v>0</v>
      </c>
      <c r="E55" s="5">
        <v>1.5</v>
      </c>
      <c r="F55" s="5">
        <v>0</v>
      </c>
      <c r="G55" s="5">
        <v>-6.4850030466914203E-3</v>
      </c>
      <c r="H55" s="5">
        <v>-5.0244841724634198E-2</v>
      </c>
      <c r="I55" s="5">
        <v>4.9826484173536301E-3</v>
      </c>
      <c r="J55" s="5">
        <v>-0.112171947956085</v>
      </c>
      <c r="K55" s="5">
        <v>3.1894080340862302E-2</v>
      </c>
      <c r="L55" s="5">
        <v>0.13833102583885201</v>
      </c>
    </row>
    <row r="56" spans="3:12" x14ac:dyDescent="0.25">
      <c r="C56" s="10">
        <v>9</v>
      </c>
      <c r="D56" s="5">
        <v>0</v>
      </c>
      <c r="E56" s="5">
        <v>0</v>
      </c>
      <c r="F56" s="5">
        <v>1.5</v>
      </c>
      <c r="G56" s="5">
        <v>-1.9612838514149202E-3</v>
      </c>
      <c r="H56" s="5">
        <v>-8.8079810142517104E-2</v>
      </c>
      <c r="I56" s="5">
        <v>7.9460623965132995E-5</v>
      </c>
      <c r="J56" s="5">
        <v>-0.215265572071075</v>
      </c>
      <c r="K56" s="5">
        <v>7.3076328262686703E-3</v>
      </c>
      <c r="L56" s="5">
        <v>0.23997113108634899</v>
      </c>
    </row>
    <row r="57" spans="3:12" x14ac:dyDescent="0.25">
      <c r="C57" s="10">
        <v>10</v>
      </c>
      <c r="D57" s="5">
        <v>0</v>
      </c>
      <c r="E57" s="5">
        <v>0</v>
      </c>
      <c r="F57" s="5">
        <v>0</v>
      </c>
      <c r="G57" s="5">
        <f>G12</f>
        <v>-2.7598871383815999E-3</v>
      </c>
      <c r="H57" s="5">
        <f t="shared" ref="H57:L57" si="26">H12</f>
        <v>-0.127221524715424</v>
      </c>
      <c r="I57" s="5">
        <f t="shared" si="26"/>
        <v>-8.8058260735124404E-4</v>
      </c>
      <c r="J57" s="5">
        <f t="shared" si="26"/>
        <v>-0.67187190055847201</v>
      </c>
      <c r="K57" s="5">
        <f t="shared" si="26"/>
        <v>1.79205909371376E-2</v>
      </c>
      <c r="L57" s="5">
        <f t="shared" si="26"/>
        <v>6.6542282700538594E-2</v>
      </c>
    </row>
    <row r="58" spans="3:12" x14ac:dyDescent="0.25">
      <c r="C58" s="10">
        <v>10</v>
      </c>
      <c r="D58" s="5">
        <v>1.5</v>
      </c>
      <c r="E58" s="5">
        <v>0</v>
      </c>
      <c r="F58" s="5">
        <v>0</v>
      </c>
      <c r="G58" s="5">
        <v>8.2810381427407299E-3</v>
      </c>
      <c r="H58" s="5">
        <v>-0.108442112803459</v>
      </c>
      <c r="I58" s="5">
        <v>-7.8462939709425007E-3</v>
      </c>
      <c r="J58" s="5">
        <v>-0.55936807394027699</v>
      </c>
      <c r="K58" s="5">
        <v>-4.6268455684185E-2</v>
      </c>
      <c r="L58" s="5">
        <v>6.2992833554744707E-2</v>
      </c>
    </row>
    <row r="59" spans="3:12" x14ac:dyDescent="0.25">
      <c r="C59" s="10">
        <v>10</v>
      </c>
      <c r="D59" s="5">
        <v>0</v>
      </c>
      <c r="E59" s="5">
        <v>1.5</v>
      </c>
      <c r="F59" s="5">
        <v>0</v>
      </c>
      <c r="G59" s="5">
        <v>-1.55509859323502E-2</v>
      </c>
      <c r="H59" s="5">
        <v>-0.107135199010372</v>
      </c>
      <c r="I59" s="5">
        <v>8.1710051745176298E-3</v>
      </c>
      <c r="J59" s="5">
        <v>-0.55525368452072099</v>
      </c>
      <c r="K59" s="5">
        <v>8.9374899864196805E-2</v>
      </c>
      <c r="L59" s="5">
        <v>5.7175278663635302E-2</v>
      </c>
    </row>
    <row r="60" spans="3:12" x14ac:dyDescent="0.25">
      <c r="C60" s="10">
        <v>10</v>
      </c>
      <c r="D60" s="5">
        <v>0</v>
      </c>
      <c r="E60" s="5">
        <v>0</v>
      </c>
      <c r="F60" s="5">
        <v>1.5</v>
      </c>
      <c r="G60" s="5">
        <v>-5.7001723907887901E-3</v>
      </c>
      <c r="H60" s="5">
        <v>-0.13684800267219499</v>
      </c>
      <c r="I60" s="5">
        <v>8.7988527957350005E-4</v>
      </c>
      <c r="J60" s="5">
        <v>-0.73760038614273105</v>
      </c>
      <c r="K60" s="5">
        <v>3.5193815827369697E-2</v>
      </c>
      <c r="L60" s="5">
        <v>4.2752042412757901E-2</v>
      </c>
    </row>
  </sheetData>
  <mergeCells count="22">
    <mergeCell ref="W5:Y5"/>
    <mergeCell ref="A14:C14"/>
    <mergeCell ref="G20:L20"/>
    <mergeCell ref="A1:F1"/>
    <mergeCell ref="G1:L1"/>
    <mergeCell ref="M1:P1"/>
    <mergeCell ref="Q1:S1"/>
    <mergeCell ref="W1:Y1"/>
    <mergeCell ref="W2:Y2"/>
    <mergeCell ref="T1:V1"/>
    <mergeCell ref="M13:P13"/>
    <mergeCell ref="Q13:S13"/>
    <mergeCell ref="T13:V13"/>
    <mergeCell ref="W13:Y13"/>
    <mergeCell ref="W14:Y14"/>
    <mergeCell ref="W17:Y17"/>
    <mergeCell ref="W29:Y29"/>
    <mergeCell ref="M25:P25"/>
    <mergeCell ref="Q25:S25"/>
    <mergeCell ref="T25:V25"/>
    <mergeCell ref="W25:Y25"/>
    <mergeCell ref="W26:Y2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62"/>
  <sheetViews>
    <sheetView topLeftCell="A18" workbookViewId="0">
      <selection activeCell="H48" sqref="H48:M50"/>
    </sheetView>
  </sheetViews>
  <sheetFormatPr defaultRowHeight="15" x14ac:dyDescent="0.25"/>
  <sheetData>
    <row r="1" spans="1:13" ht="15.75" x14ac:dyDescent="0.25">
      <c r="A1" s="35" t="s">
        <v>21</v>
      </c>
      <c r="B1" s="32"/>
      <c r="C1" s="32"/>
      <c r="D1" s="32"/>
      <c r="E1" s="32"/>
      <c r="F1" s="33"/>
      <c r="H1" s="35" t="s">
        <v>22</v>
      </c>
      <c r="I1" s="32"/>
      <c r="J1" s="32"/>
      <c r="K1" s="32"/>
      <c r="L1" s="32"/>
      <c r="M1" s="33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0.39143002033233598</v>
      </c>
      <c r="B3">
        <v>-1.2040870264172601E-2</v>
      </c>
      <c r="C3">
        <v>-0.47822567820549</v>
      </c>
      <c r="D3">
        <v>-2.8121363720856602E-4</v>
      </c>
      <c r="E3">
        <v>0.134275212883949</v>
      </c>
      <c r="F3" s="4">
        <v>-2.1819151006638999E-3</v>
      </c>
      <c r="H3">
        <f>$F3</f>
        <v>-2.1819151006638999E-3</v>
      </c>
      <c r="I3">
        <f>-1*$E3</f>
        <v>-0.134275212883949</v>
      </c>
      <c r="J3">
        <f>$D3</f>
        <v>-2.8121363720856602E-4</v>
      </c>
      <c r="K3">
        <f>$C3</f>
        <v>-0.47822567820549</v>
      </c>
      <c r="L3">
        <f>-1*$B3</f>
        <v>1.2040870264172601E-2</v>
      </c>
      <c r="M3">
        <f>$A3</f>
        <v>0.39143002033233598</v>
      </c>
    </row>
    <row r="4" spans="1:13" x14ac:dyDescent="0.25">
      <c r="A4">
        <v>0.37721437215805098</v>
      </c>
      <c r="B4">
        <v>7.2321929037570997E-3</v>
      </c>
      <c r="C4">
        <v>-0.45400995016098</v>
      </c>
      <c r="D4">
        <v>-2.5125290267169502E-3</v>
      </c>
      <c r="E4">
        <v>0.128777965903282</v>
      </c>
      <c r="F4">
        <v>1.28366739954799E-3</v>
      </c>
      <c r="H4">
        <f t="shared" ref="H4:H62" si="0">$F4</f>
        <v>1.28366739954799E-3</v>
      </c>
      <c r="I4">
        <f t="shared" ref="I4:I62" si="1">-1*$E4</f>
        <v>-0.128777965903282</v>
      </c>
      <c r="J4">
        <f t="shared" ref="J4:J62" si="2">$D4</f>
        <v>-2.5125290267169502E-3</v>
      </c>
      <c r="K4">
        <f t="shared" ref="K4:K62" si="3">$C4</f>
        <v>-0.45400995016098</v>
      </c>
      <c r="L4">
        <f t="shared" ref="L4:L62" si="4">-1*$B4</f>
        <v>-7.2321929037570997E-3</v>
      </c>
      <c r="M4">
        <f t="shared" ref="M4:M62" si="5">$A4</f>
        <v>0.37721437215805098</v>
      </c>
    </row>
    <row r="5" spans="1:13" x14ac:dyDescent="0.25">
      <c r="A5">
        <v>0.374636590480804</v>
      </c>
      <c r="B5">
        <v>-3.1951960176229498E-2</v>
      </c>
      <c r="C5">
        <v>-0.44874367117881803</v>
      </c>
      <c r="D5">
        <v>2.10938439704478E-3</v>
      </c>
      <c r="E5">
        <v>0.12728570401668499</v>
      </c>
      <c r="F5">
        <v>-5.4718861356377602E-3</v>
      </c>
      <c r="H5">
        <f t="shared" si="0"/>
        <v>-5.4718861356377602E-3</v>
      </c>
      <c r="I5">
        <f t="shared" si="1"/>
        <v>-0.12728570401668499</v>
      </c>
      <c r="J5">
        <f t="shared" si="2"/>
        <v>2.10938439704478E-3</v>
      </c>
      <c r="K5">
        <f t="shared" si="3"/>
        <v>-0.44874367117881803</v>
      </c>
      <c r="L5">
        <f t="shared" si="4"/>
        <v>3.1951960176229498E-2</v>
      </c>
      <c r="M5">
        <f t="shared" si="5"/>
        <v>0.374636590480804</v>
      </c>
    </row>
    <row r="6" spans="1:13" x14ac:dyDescent="0.25">
      <c r="A6">
        <v>0.39944189786911</v>
      </c>
      <c r="B6">
        <v>-2.16469299048185E-2</v>
      </c>
      <c r="C6">
        <v>-0.48008558154106101</v>
      </c>
      <c r="D6">
        <v>6.8410328822210399E-4</v>
      </c>
      <c r="E6">
        <v>0.13650599122047399</v>
      </c>
      <c r="F6">
        <v>-3.5660644061863401E-3</v>
      </c>
      <c r="H6">
        <f t="shared" si="0"/>
        <v>-3.5660644061863401E-3</v>
      </c>
      <c r="I6">
        <f t="shared" si="1"/>
        <v>-0.13650599122047399</v>
      </c>
      <c r="J6">
        <f t="shared" si="2"/>
        <v>6.8410328822210399E-4</v>
      </c>
      <c r="K6">
        <f t="shared" si="3"/>
        <v>-0.48008558154106101</v>
      </c>
      <c r="L6">
        <f t="shared" si="4"/>
        <v>2.16469299048185E-2</v>
      </c>
      <c r="M6">
        <f t="shared" si="5"/>
        <v>0.39944189786911</v>
      </c>
    </row>
    <row r="7" spans="1:13" x14ac:dyDescent="0.25">
      <c r="A7">
        <v>0.35988470911979697</v>
      </c>
      <c r="B7">
        <v>1.4590077102184301E-2</v>
      </c>
      <c r="C7">
        <v>-0.42114067077636702</v>
      </c>
      <c r="D7">
        <v>-3.3819505479186799E-3</v>
      </c>
      <c r="E7">
        <v>0.121507167816162</v>
      </c>
      <c r="F7">
        <v>2.81068682670593E-3</v>
      </c>
      <c r="H7">
        <f t="shared" si="0"/>
        <v>2.81068682670593E-3</v>
      </c>
      <c r="I7">
        <f t="shared" si="1"/>
        <v>-0.121507167816162</v>
      </c>
      <c r="J7">
        <f t="shared" si="2"/>
        <v>-3.3819505479186799E-3</v>
      </c>
      <c r="K7">
        <f t="shared" si="3"/>
        <v>-0.42114067077636702</v>
      </c>
      <c r="L7">
        <f t="shared" si="4"/>
        <v>-1.4590077102184301E-2</v>
      </c>
      <c r="M7">
        <f t="shared" si="5"/>
        <v>0.35988470911979697</v>
      </c>
    </row>
    <row r="8" spans="1:13" x14ac:dyDescent="0.25">
      <c r="A8">
        <v>0.358586966991425</v>
      </c>
      <c r="B8">
        <v>-4.9453981220722198E-2</v>
      </c>
      <c r="C8">
        <v>-0.41639053821563698</v>
      </c>
      <c r="D8">
        <v>4.2216349393129297E-3</v>
      </c>
      <c r="E8">
        <v>0.120613545179367</v>
      </c>
      <c r="F8">
        <v>-8.4775444120168703E-3</v>
      </c>
      <c r="H8">
        <f t="shared" si="0"/>
        <v>-8.4775444120168703E-3</v>
      </c>
      <c r="I8">
        <f t="shared" si="1"/>
        <v>-0.120613545179367</v>
      </c>
      <c r="J8">
        <f t="shared" si="2"/>
        <v>4.2216349393129297E-3</v>
      </c>
      <c r="K8">
        <f t="shared" si="3"/>
        <v>-0.41639053821563698</v>
      </c>
      <c r="L8">
        <f t="shared" si="4"/>
        <v>4.9453981220722198E-2</v>
      </c>
      <c r="M8">
        <f t="shared" si="5"/>
        <v>0.358586966991425</v>
      </c>
    </row>
    <row r="9" spans="1:13" x14ac:dyDescent="0.25">
      <c r="A9">
        <v>0.41881522536277799</v>
      </c>
      <c r="B9">
        <v>-2.37305648624897E-2</v>
      </c>
      <c r="C9">
        <v>-0.50669300556182895</v>
      </c>
      <c r="D9">
        <v>8.1204215530306101E-4</v>
      </c>
      <c r="E9">
        <v>0.14329923689365401</v>
      </c>
      <c r="F9">
        <v>-3.8649328052997602E-3</v>
      </c>
      <c r="H9">
        <f t="shared" si="0"/>
        <v>-3.8649328052997602E-3</v>
      </c>
      <c r="I9">
        <f t="shared" si="1"/>
        <v>-0.14329923689365401</v>
      </c>
      <c r="J9">
        <f t="shared" si="2"/>
        <v>8.1204215530306101E-4</v>
      </c>
      <c r="K9">
        <f t="shared" si="3"/>
        <v>-0.50669300556182895</v>
      </c>
      <c r="L9">
        <f t="shared" si="4"/>
        <v>2.37305648624897E-2</v>
      </c>
      <c r="M9">
        <f t="shared" si="5"/>
        <v>0.41881522536277799</v>
      </c>
    </row>
    <row r="10" spans="1:13" x14ac:dyDescent="0.25">
      <c r="A10">
        <v>0.342921882867813</v>
      </c>
      <c r="B10">
        <v>3.1115166842937501E-2</v>
      </c>
      <c r="C10">
        <v>-0.39321956038474998</v>
      </c>
      <c r="D10">
        <v>-5.1649995148181898E-3</v>
      </c>
      <c r="E10">
        <v>0.114684946835041</v>
      </c>
      <c r="F10">
        <v>5.7934392243623699E-3</v>
      </c>
      <c r="H10">
        <f t="shared" si="0"/>
        <v>5.7934392243623699E-3</v>
      </c>
      <c r="I10">
        <f t="shared" si="1"/>
        <v>-0.114684946835041</v>
      </c>
      <c r="J10">
        <f t="shared" si="2"/>
        <v>-5.1649995148181898E-3</v>
      </c>
      <c r="K10">
        <f t="shared" si="3"/>
        <v>-0.39321956038474998</v>
      </c>
      <c r="L10">
        <f t="shared" si="4"/>
        <v>-3.1115166842937501E-2</v>
      </c>
      <c r="M10">
        <f t="shared" si="5"/>
        <v>0.342921882867813</v>
      </c>
    </row>
    <row r="11" spans="1:13" x14ac:dyDescent="0.25">
      <c r="A11">
        <v>0.33994320034980802</v>
      </c>
      <c r="B11">
        <v>-6.3686281442642198E-2</v>
      </c>
      <c r="C11">
        <v>-0.38463625311851501</v>
      </c>
      <c r="D11">
        <v>5.99190220236778E-3</v>
      </c>
      <c r="E11">
        <v>0.11342978477478</v>
      </c>
      <c r="F11">
        <v>-1.0975661687552899E-2</v>
      </c>
      <c r="H11">
        <f t="shared" si="0"/>
        <v>-1.0975661687552899E-2</v>
      </c>
      <c r="I11">
        <f t="shared" si="1"/>
        <v>-0.11342978477478</v>
      </c>
      <c r="J11">
        <f t="shared" si="2"/>
        <v>5.99190220236778E-3</v>
      </c>
      <c r="K11">
        <f t="shared" si="3"/>
        <v>-0.38463625311851501</v>
      </c>
      <c r="L11">
        <f t="shared" si="4"/>
        <v>6.3686281442642198E-2</v>
      </c>
      <c r="M11">
        <f t="shared" si="5"/>
        <v>0.33994320034980802</v>
      </c>
    </row>
    <row r="12" spans="1:13" x14ac:dyDescent="0.25">
      <c r="A12">
        <v>0.43503433465957603</v>
      </c>
      <c r="B12">
        <v>-2.5465684011578602E-2</v>
      </c>
      <c r="C12">
        <v>-0.52159506082534801</v>
      </c>
      <c r="D12">
        <v>9.3002978246658997E-4</v>
      </c>
      <c r="E12">
        <v>0.14866587519645699</v>
      </c>
      <c r="F12">
        <v>-4.1735381819307804E-3</v>
      </c>
      <c r="H12">
        <f t="shared" si="0"/>
        <v>-4.1735381819307804E-3</v>
      </c>
      <c r="I12">
        <f t="shared" si="1"/>
        <v>-0.14866587519645699</v>
      </c>
      <c r="J12">
        <f t="shared" si="2"/>
        <v>9.3002978246658997E-4</v>
      </c>
      <c r="K12">
        <f t="shared" si="3"/>
        <v>-0.52159506082534801</v>
      </c>
      <c r="L12">
        <f t="shared" si="4"/>
        <v>2.5465684011578602E-2</v>
      </c>
      <c r="M12">
        <f t="shared" si="5"/>
        <v>0.43503433465957603</v>
      </c>
    </row>
    <row r="13" spans="1:13" x14ac:dyDescent="0.25">
      <c r="A13">
        <v>0.20403537154197701</v>
      </c>
      <c r="B13">
        <v>-2.1164499223232301E-2</v>
      </c>
      <c r="C13">
        <v>-0.77282470464706399</v>
      </c>
      <c r="D13">
        <v>-8.65216599777341E-4</v>
      </c>
      <c r="E13">
        <v>0.15262086689472201</v>
      </c>
      <c r="F13">
        <v>-3.24759725481272E-3</v>
      </c>
      <c r="H13">
        <f t="shared" si="0"/>
        <v>-3.24759725481272E-3</v>
      </c>
      <c r="I13">
        <f t="shared" si="1"/>
        <v>-0.15262086689472201</v>
      </c>
      <c r="J13">
        <f t="shared" si="2"/>
        <v>-8.65216599777341E-4</v>
      </c>
      <c r="K13">
        <f t="shared" si="3"/>
        <v>-0.77282470464706399</v>
      </c>
      <c r="L13">
        <f t="shared" si="4"/>
        <v>2.1164499223232301E-2</v>
      </c>
      <c r="M13">
        <f t="shared" si="5"/>
        <v>0.20403537154197701</v>
      </c>
    </row>
    <row r="14" spans="1:13" x14ac:dyDescent="0.25">
      <c r="A14">
        <v>0.19668245315551799</v>
      </c>
      <c r="B14">
        <v>3.9244256913662E-3</v>
      </c>
      <c r="C14">
        <v>-0.737312972545624</v>
      </c>
      <c r="D14">
        <v>-3.3871904015541098E-3</v>
      </c>
      <c r="E14">
        <v>0.146220773458481</v>
      </c>
      <c r="F14">
        <v>1.0686451569199599E-3</v>
      </c>
      <c r="H14">
        <f t="shared" si="0"/>
        <v>1.0686451569199599E-3</v>
      </c>
      <c r="I14">
        <f t="shared" si="1"/>
        <v>-0.146220773458481</v>
      </c>
      <c r="J14">
        <f t="shared" si="2"/>
        <v>-3.3871904015541098E-3</v>
      </c>
      <c r="K14">
        <f t="shared" si="3"/>
        <v>-0.737312972545624</v>
      </c>
      <c r="L14">
        <f t="shared" si="4"/>
        <v>-3.9244256913662E-3</v>
      </c>
      <c r="M14">
        <f t="shared" si="5"/>
        <v>0.19668245315551799</v>
      </c>
    </row>
    <row r="15" spans="1:13" x14ac:dyDescent="0.25">
      <c r="A15">
        <v>0.193138733506203</v>
      </c>
      <c r="B15">
        <v>-4.1118584573268897E-2</v>
      </c>
      <c r="C15">
        <v>-0.72373282909393299</v>
      </c>
      <c r="D15">
        <v>1.41011795494705E-3</v>
      </c>
      <c r="E15">
        <v>0.14349412918090801</v>
      </c>
      <c r="F15">
        <v>-6.6462410613894497E-3</v>
      </c>
      <c r="H15">
        <f t="shared" si="0"/>
        <v>-6.6462410613894497E-3</v>
      </c>
      <c r="I15">
        <f t="shared" si="1"/>
        <v>-0.14349412918090801</v>
      </c>
      <c r="J15">
        <f t="shared" si="2"/>
        <v>1.41011795494705E-3</v>
      </c>
      <c r="K15">
        <f t="shared" si="3"/>
        <v>-0.72373282909393299</v>
      </c>
      <c r="L15">
        <f t="shared" si="4"/>
        <v>4.1118584573268897E-2</v>
      </c>
      <c r="M15">
        <f t="shared" si="5"/>
        <v>0.193138733506203</v>
      </c>
    </row>
    <row r="16" spans="1:13" x14ac:dyDescent="0.25">
      <c r="A16">
        <v>0.195323646068573</v>
      </c>
      <c r="B16">
        <v>-3.0743055045604699E-2</v>
      </c>
      <c r="C16">
        <v>-0.74724155664444003</v>
      </c>
      <c r="D16">
        <v>1.9784149480983599E-4</v>
      </c>
      <c r="E16">
        <v>0.14784133434295699</v>
      </c>
      <c r="F16">
        <v>-4.8491787165403401E-3</v>
      </c>
      <c r="H16">
        <f t="shared" si="0"/>
        <v>-4.8491787165403401E-3</v>
      </c>
      <c r="I16">
        <f t="shared" si="1"/>
        <v>-0.14784133434295699</v>
      </c>
      <c r="J16">
        <f t="shared" si="2"/>
        <v>1.9784149480983599E-4</v>
      </c>
      <c r="K16">
        <f t="shared" si="3"/>
        <v>-0.74724155664444003</v>
      </c>
      <c r="L16">
        <f t="shared" si="4"/>
        <v>3.0743055045604699E-2</v>
      </c>
      <c r="M16">
        <f t="shared" si="5"/>
        <v>0.195323646068573</v>
      </c>
    </row>
    <row r="17" spans="1:13" x14ac:dyDescent="0.25">
      <c r="A17">
        <v>0.186273157596588</v>
      </c>
      <c r="B17">
        <v>1.67919583618641E-2</v>
      </c>
      <c r="C17">
        <v>-0.68728405237197898</v>
      </c>
      <c r="D17">
        <v>-4.4198632240295401E-3</v>
      </c>
      <c r="E17">
        <v>0.13725174963474299</v>
      </c>
      <c r="F17">
        <v>3.14291450195014E-3</v>
      </c>
      <c r="H17">
        <f t="shared" si="0"/>
        <v>3.14291450195014E-3</v>
      </c>
      <c r="I17">
        <f t="shared" si="1"/>
        <v>-0.13725174963474299</v>
      </c>
      <c r="J17">
        <f t="shared" si="2"/>
        <v>-4.4198632240295401E-3</v>
      </c>
      <c r="K17">
        <f t="shared" si="3"/>
        <v>-0.68728405237197898</v>
      </c>
      <c r="L17">
        <f t="shared" si="4"/>
        <v>-1.67919583618641E-2</v>
      </c>
      <c r="M17">
        <f t="shared" si="5"/>
        <v>0.186273157596588</v>
      </c>
    </row>
    <row r="18" spans="1:13" x14ac:dyDescent="0.25">
      <c r="A18">
        <v>0.18184545636177099</v>
      </c>
      <c r="B18">
        <v>-6.6842272877693204E-2</v>
      </c>
      <c r="C18">
        <v>-0.67550408840179399</v>
      </c>
      <c r="D18">
        <v>4.2385193519294297E-3</v>
      </c>
      <c r="E18">
        <v>0.134857818484306</v>
      </c>
      <c r="F18">
        <v>-1.1088101193308801E-2</v>
      </c>
      <c r="H18">
        <f t="shared" si="0"/>
        <v>-1.1088101193308801E-2</v>
      </c>
      <c r="I18">
        <f t="shared" si="1"/>
        <v>-0.134857818484306</v>
      </c>
      <c r="J18">
        <f t="shared" si="2"/>
        <v>4.2385193519294297E-3</v>
      </c>
      <c r="K18">
        <f t="shared" si="3"/>
        <v>-0.67550408840179399</v>
      </c>
      <c r="L18">
        <f t="shared" si="4"/>
        <v>6.6842272877693204E-2</v>
      </c>
      <c r="M18">
        <f t="shared" si="5"/>
        <v>0.18184545636177099</v>
      </c>
    </row>
    <row r="19" spans="1:13" x14ac:dyDescent="0.25">
      <c r="A19">
        <v>0.18646089732646901</v>
      </c>
      <c r="B19">
        <v>-3.4505538642406498E-2</v>
      </c>
      <c r="C19">
        <v>-0.75541490316391002</v>
      </c>
      <c r="D19">
        <v>4.9946788931265495E-4</v>
      </c>
      <c r="E19">
        <v>0.14854867756366699</v>
      </c>
      <c r="F19">
        <v>-5.45415934175253E-3</v>
      </c>
      <c r="H19">
        <f t="shared" si="0"/>
        <v>-5.45415934175253E-3</v>
      </c>
      <c r="I19">
        <f t="shared" si="1"/>
        <v>-0.14854867756366699</v>
      </c>
      <c r="J19">
        <f t="shared" si="2"/>
        <v>4.9946788931265495E-4</v>
      </c>
      <c r="K19">
        <f t="shared" si="3"/>
        <v>-0.75541490316391002</v>
      </c>
      <c r="L19">
        <f t="shared" si="4"/>
        <v>3.4505538642406498E-2</v>
      </c>
      <c r="M19">
        <f t="shared" si="5"/>
        <v>0.18646089732646901</v>
      </c>
    </row>
    <row r="20" spans="1:13" x14ac:dyDescent="0.25">
      <c r="A20">
        <v>0.130955770611763</v>
      </c>
      <c r="B20">
        <v>3.3611070364713697E-2</v>
      </c>
      <c r="C20">
        <v>-0.458577960729599</v>
      </c>
      <c r="D20">
        <v>-4.8095313832163802E-3</v>
      </c>
      <c r="E20">
        <v>9.2873342335224193E-2</v>
      </c>
      <c r="F20">
        <v>5.5149504914879799E-3</v>
      </c>
      <c r="H20">
        <f t="shared" si="0"/>
        <v>5.5149504914879799E-3</v>
      </c>
      <c r="I20">
        <f t="shared" si="1"/>
        <v>-9.2873342335224193E-2</v>
      </c>
      <c r="J20">
        <f t="shared" si="2"/>
        <v>-4.8095313832163802E-3</v>
      </c>
      <c r="K20">
        <f t="shared" si="3"/>
        <v>-0.458577960729599</v>
      </c>
      <c r="L20">
        <f t="shared" si="4"/>
        <v>-3.3611070364713697E-2</v>
      </c>
      <c r="M20">
        <f t="shared" si="5"/>
        <v>0.130955770611763</v>
      </c>
    </row>
    <row r="21" spans="1:13" x14ac:dyDescent="0.25">
      <c r="A21">
        <v>0.18086977303028101</v>
      </c>
      <c r="B21">
        <v>-2.7373749762773501E-3</v>
      </c>
      <c r="C21">
        <v>-0.16650235652923601</v>
      </c>
      <c r="D21">
        <v>-4.7554963384754999E-4</v>
      </c>
      <c r="E21">
        <v>6.7533724009990706E-2</v>
      </c>
      <c r="F21">
        <v>-8.8630802929401398E-4</v>
      </c>
      <c r="H21">
        <f t="shared" si="0"/>
        <v>-8.8630802929401398E-4</v>
      </c>
      <c r="I21">
        <f t="shared" si="1"/>
        <v>-6.7533724009990706E-2</v>
      </c>
      <c r="J21">
        <f t="shared" si="2"/>
        <v>-4.7554963384754999E-4</v>
      </c>
      <c r="K21">
        <f t="shared" si="3"/>
        <v>-0.16650235652923601</v>
      </c>
      <c r="L21">
        <f t="shared" si="4"/>
        <v>2.7373749762773501E-3</v>
      </c>
      <c r="M21">
        <f t="shared" si="5"/>
        <v>0.18086977303028101</v>
      </c>
    </row>
    <row r="22" spans="1:13" x14ac:dyDescent="0.25">
      <c r="A22">
        <v>0.16794395446777299</v>
      </c>
      <c r="B22">
        <v>7.1542356163263304E-3</v>
      </c>
      <c r="C22">
        <v>-0.15299555659294101</v>
      </c>
      <c r="D22">
        <v>-2.10359273478389E-3</v>
      </c>
      <c r="E22">
        <v>6.2701836228370694E-2</v>
      </c>
      <c r="F22">
        <v>9.2477654106914997E-4</v>
      </c>
      <c r="H22">
        <f t="shared" si="0"/>
        <v>9.2477654106914997E-4</v>
      </c>
      <c r="I22">
        <f t="shared" si="1"/>
        <v>-6.2701836228370694E-2</v>
      </c>
      <c r="J22">
        <f t="shared" si="2"/>
        <v>-2.10359273478389E-3</v>
      </c>
      <c r="K22">
        <f t="shared" si="3"/>
        <v>-0.15299555659294101</v>
      </c>
      <c r="L22">
        <f t="shared" si="4"/>
        <v>-7.1542356163263304E-3</v>
      </c>
      <c r="M22">
        <f t="shared" si="5"/>
        <v>0.16794395446777299</v>
      </c>
    </row>
    <row r="23" spans="1:13" x14ac:dyDescent="0.25">
      <c r="A23">
        <v>0.16722565889358501</v>
      </c>
      <c r="B23">
        <v>-1.0659743100404699E-2</v>
      </c>
      <c r="C23">
        <v>-0.15164965391159099</v>
      </c>
      <c r="D23">
        <v>1.2004108866676699E-3</v>
      </c>
      <c r="E23">
        <v>6.1950247734785101E-2</v>
      </c>
      <c r="F23">
        <v>-2.5075855664908899E-3</v>
      </c>
      <c r="H23">
        <f t="shared" si="0"/>
        <v>-2.5075855664908899E-3</v>
      </c>
      <c r="I23">
        <f t="shared" si="1"/>
        <v>-6.1950247734785101E-2</v>
      </c>
      <c r="J23">
        <f t="shared" si="2"/>
        <v>1.2004108866676699E-3</v>
      </c>
      <c r="K23">
        <f t="shared" si="3"/>
        <v>-0.15164965391159099</v>
      </c>
      <c r="L23">
        <f t="shared" si="4"/>
        <v>1.0659743100404699E-2</v>
      </c>
      <c r="M23">
        <f t="shared" si="5"/>
        <v>0.16722565889358501</v>
      </c>
    </row>
    <row r="24" spans="1:13" x14ac:dyDescent="0.25">
      <c r="A24">
        <v>0.19574348628520999</v>
      </c>
      <c r="B24">
        <v>-4.8201540485024504E-3</v>
      </c>
      <c r="C24">
        <v>-0.17993175983428999</v>
      </c>
      <c r="D24">
        <v>-9.7901422122958993E-5</v>
      </c>
      <c r="E24">
        <v>7.2512239217758206E-2</v>
      </c>
      <c r="F24">
        <v>-1.3516106409951999E-3</v>
      </c>
      <c r="H24">
        <f t="shared" si="0"/>
        <v>-1.3516106409951999E-3</v>
      </c>
      <c r="I24">
        <f t="shared" si="1"/>
        <v>-7.2512239217758206E-2</v>
      </c>
      <c r="J24">
        <f t="shared" si="2"/>
        <v>-9.7901422122958993E-5</v>
      </c>
      <c r="K24">
        <f t="shared" si="3"/>
        <v>-0.17993175983428999</v>
      </c>
      <c r="L24">
        <f t="shared" si="4"/>
        <v>4.8201540485024504E-3</v>
      </c>
      <c r="M24">
        <f t="shared" si="5"/>
        <v>0.19574348628520999</v>
      </c>
    </row>
    <row r="25" spans="1:13" x14ac:dyDescent="0.25">
      <c r="A25">
        <v>0.14968892931938199</v>
      </c>
      <c r="B25">
        <v>1.5624847263097799E-2</v>
      </c>
      <c r="C25">
        <v>-0.130110248923302</v>
      </c>
      <c r="D25">
        <v>-3.4908521920442599E-3</v>
      </c>
      <c r="E25">
        <v>5.5173795670270899E-2</v>
      </c>
      <c r="F25">
        <v>2.5487027596682301E-3</v>
      </c>
      <c r="H25">
        <f t="shared" si="0"/>
        <v>2.5487027596682301E-3</v>
      </c>
      <c r="I25">
        <f t="shared" si="1"/>
        <v>-5.5173795670270899E-2</v>
      </c>
      <c r="J25">
        <f t="shared" si="2"/>
        <v>-3.4908521920442599E-3</v>
      </c>
      <c r="K25">
        <f t="shared" si="3"/>
        <v>-0.130110248923302</v>
      </c>
      <c r="L25">
        <f t="shared" si="4"/>
        <v>-1.5624847263097799E-2</v>
      </c>
      <c r="M25">
        <f t="shared" si="5"/>
        <v>0.14968892931938199</v>
      </c>
    </row>
    <row r="26" spans="1:13" x14ac:dyDescent="0.25">
      <c r="A26">
        <v>0.152383208274841</v>
      </c>
      <c r="B26">
        <v>-2.2813741117715801E-2</v>
      </c>
      <c r="C26">
        <v>-0.13074302673339799</v>
      </c>
      <c r="D26">
        <v>3.4013029653579001E-3</v>
      </c>
      <c r="E26">
        <v>5.60480542480946E-2</v>
      </c>
      <c r="F26">
        <v>-4.73329424858093E-3</v>
      </c>
      <c r="H26">
        <f t="shared" si="0"/>
        <v>-4.73329424858093E-3</v>
      </c>
      <c r="I26">
        <f t="shared" si="1"/>
        <v>-5.60480542480946E-2</v>
      </c>
      <c r="J26">
        <f t="shared" si="2"/>
        <v>3.4013029653579001E-3</v>
      </c>
      <c r="K26">
        <f t="shared" si="3"/>
        <v>-0.13074302673339799</v>
      </c>
      <c r="L26">
        <f t="shared" si="4"/>
        <v>2.2813741117715801E-2</v>
      </c>
      <c r="M26">
        <f t="shared" si="5"/>
        <v>0.152383208274841</v>
      </c>
    </row>
    <row r="27" spans="1:13" x14ac:dyDescent="0.25">
      <c r="A27">
        <v>0.22032138705253601</v>
      </c>
      <c r="B27">
        <v>-6.3251033425331098E-3</v>
      </c>
      <c r="C27">
        <v>-0.19877098500728599</v>
      </c>
      <c r="D27">
        <v>1.9386454368941499E-5</v>
      </c>
      <c r="E27">
        <v>8.0940060317516299E-2</v>
      </c>
      <c r="F27">
        <v>-1.7024042317643801E-3</v>
      </c>
      <c r="H27">
        <f t="shared" si="0"/>
        <v>-1.7024042317643801E-3</v>
      </c>
      <c r="I27">
        <f t="shared" si="1"/>
        <v>-8.0940060317516299E-2</v>
      </c>
      <c r="J27">
        <f t="shared" si="2"/>
        <v>1.9386454368941499E-5</v>
      </c>
      <c r="K27">
        <f t="shared" si="3"/>
        <v>-0.19877098500728599</v>
      </c>
      <c r="L27">
        <f t="shared" si="4"/>
        <v>6.3251033425331098E-3</v>
      </c>
      <c r="M27">
        <f t="shared" si="5"/>
        <v>0.22032138705253601</v>
      </c>
    </row>
    <row r="28" spans="1:13" x14ac:dyDescent="0.25">
      <c r="A28">
        <v>0.135466068983078</v>
      </c>
      <c r="B28">
        <v>2.3462433367967599E-2</v>
      </c>
      <c r="C28">
        <v>-0.11018792539835</v>
      </c>
      <c r="D28">
        <v>-4.6761655248701598E-3</v>
      </c>
      <c r="E28">
        <v>4.9224551767110797E-2</v>
      </c>
      <c r="F28">
        <v>3.9485236629843703E-3</v>
      </c>
      <c r="H28">
        <f t="shared" si="0"/>
        <v>3.9485236629843703E-3</v>
      </c>
      <c r="I28">
        <f t="shared" si="1"/>
        <v>-4.9224551767110797E-2</v>
      </c>
      <c r="J28">
        <f t="shared" si="2"/>
        <v>-4.6761655248701598E-3</v>
      </c>
      <c r="K28">
        <f t="shared" si="3"/>
        <v>-0.11018792539835</v>
      </c>
      <c r="L28">
        <f t="shared" si="4"/>
        <v>-2.3462433367967599E-2</v>
      </c>
      <c r="M28">
        <f t="shared" si="5"/>
        <v>0.135466068983078</v>
      </c>
    </row>
    <row r="29" spans="1:13" x14ac:dyDescent="0.25">
      <c r="A29">
        <v>0.13833102583885201</v>
      </c>
      <c r="B29">
        <v>-3.1894080340862302E-2</v>
      </c>
      <c r="C29">
        <v>-0.112171947956085</v>
      </c>
      <c r="D29">
        <v>4.9826484173536301E-3</v>
      </c>
      <c r="E29">
        <v>5.0244841724634198E-2</v>
      </c>
      <c r="F29">
        <v>-6.4850030466914203E-3</v>
      </c>
      <c r="H29">
        <f t="shared" si="0"/>
        <v>-6.4850030466914203E-3</v>
      </c>
      <c r="I29">
        <f t="shared" si="1"/>
        <v>-5.0244841724634198E-2</v>
      </c>
      <c r="J29">
        <f t="shared" si="2"/>
        <v>4.9826484173536301E-3</v>
      </c>
      <c r="K29">
        <f t="shared" si="3"/>
        <v>-0.112171947956085</v>
      </c>
      <c r="L29">
        <f t="shared" si="4"/>
        <v>3.1894080340862302E-2</v>
      </c>
      <c r="M29">
        <f t="shared" si="5"/>
        <v>0.13833102583885201</v>
      </c>
    </row>
    <row r="30" spans="1:13" x14ac:dyDescent="0.25">
      <c r="A30">
        <v>0.23997113108634899</v>
      </c>
      <c r="B30">
        <v>-7.3076328262686703E-3</v>
      </c>
      <c r="C30">
        <v>-0.215265572071075</v>
      </c>
      <c r="D30">
        <v>7.9460623965132995E-5</v>
      </c>
      <c r="E30">
        <v>8.8079810142517104E-2</v>
      </c>
      <c r="F30">
        <v>-1.9612838514149202E-3</v>
      </c>
      <c r="H30">
        <f t="shared" si="0"/>
        <v>-1.9612838514149202E-3</v>
      </c>
      <c r="I30">
        <f t="shared" si="1"/>
        <v>-8.8079810142517104E-2</v>
      </c>
      <c r="J30">
        <f t="shared" si="2"/>
        <v>7.9460623965132995E-5</v>
      </c>
      <c r="K30">
        <f t="shared" si="3"/>
        <v>-0.215265572071075</v>
      </c>
      <c r="L30">
        <f t="shared" si="4"/>
        <v>7.3076328262686703E-3</v>
      </c>
      <c r="M30">
        <f t="shared" si="5"/>
        <v>0.23997113108634899</v>
      </c>
    </row>
    <row r="31" spans="1:13" x14ac:dyDescent="0.25">
      <c r="A31">
        <v>6.6542282700538594E-2</v>
      </c>
      <c r="B31">
        <v>-1.79205909371376E-2</v>
      </c>
      <c r="C31">
        <v>-0.67187190055847201</v>
      </c>
      <c r="D31">
        <v>-8.8058260735124404E-4</v>
      </c>
      <c r="E31">
        <v>0.127221524715424</v>
      </c>
      <c r="F31">
        <v>-2.7598871383815999E-3</v>
      </c>
      <c r="H31">
        <f t="shared" si="0"/>
        <v>-2.7598871383815999E-3</v>
      </c>
      <c r="I31">
        <f t="shared" si="1"/>
        <v>-0.127221524715424</v>
      </c>
      <c r="J31">
        <f t="shared" si="2"/>
        <v>-8.8058260735124404E-4</v>
      </c>
      <c r="K31">
        <f t="shared" si="3"/>
        <v>-0.67187190055847201</v>
      </c>
      <c r="L31">
        <f t="shared" si="4"/>
        <v>1.79205909371376E-2</v>
      </c>
      <c r="M31">
        <f t="shared" si="5"/>
        <v>6.6542282700538594E-2</v>
      </c>
    </row>
    <row r="32" spans="1:13" x14ac:dyDescent="0.25">
      <c r="A32">
        <v>6.5069712698459597E-2</v>
      </c>
      <c r="B32">
        <v>8.2101486623287201E-3</v>
      </c>
      <c r="C32">
        <v>-0.63814979791641202</v>
      </c>
      <c r="D32">
        <v>-3.9110821671783898E-3</v>
      </c>
      <c r="E32">
        <v>0.121398247778416</v>
      </c>
      <c r="F32">
        <v>1.9532591104507399E-3</v>
      </c>
      <c r="H32">
        <f t="shared" si="0"/>
        <v>1.9532591104507399E-3</v>
      </c>
      <c r="I32">
        <f t="shared" si="1"/>
        <v>-0.121398247778416</v>
      </c>
      <c r="J32">
        <f t="shared" si="2"/>
        <v>-3.9110821671783898E-3</v>
      </c>
      <c r="K32">
        <f t="shared" si="3"/>
        <v>-0.63814979791641202</v>
      </c>
      <c r="L32">
        <f t="shared" si="4"/>
        <v>-8.2101486623287201E-3</v>
      </c>
      <c r="M32">
        <f t="shared" si="5"/>
        <v>6.5069712698459597E-2</v>
      </c>
    </row>
    <row r="33" spans="1:13" x14ac:dyDescent="0.25">
      <c r="A33">
        <v>6.0788005590438801E-2</v>
      </c>
      <c r="B33">
        <v>-4.2728334665298497E-2</v>
      </c>
      <c r="C33">
        <v>-0.62453347444534302</v>
      </c>
      <c r="D33">
        <v>2.3287548683583702E-3</v>
      </c>
      <c r="E33">
        <v>0.11870384216308601</v>
      </c>
      <c r="F33">
        <v>-7.1243802085518802E-3</v>
      </c>
      <c r="H33">
        <f t="shared" si="0"/>
        <v>-7.1243802085518802E-3</v>
      </c>
      <c r="I33">
        <f t="shared" si="1"/>
        <v>-0.11870384216308601</v>
      </c>
      <c r="J33">
        <f t="shared" si="2"/>
        <v>2.3287548683583702E-3</v>
      </c>
      <c r="K33">
        <f t="shared" si="3"/>
        <v>-0.62453347444534302</v>
      </c>
      <c r="L33">
        <f t="shared" si="4"/>
        <v>4.2728334665298497E-2</v>
      </c>
      <c r="M33">
        <f t="shared" si="5"/>
        <v>6.0788005590438801E-2</v>
      </c>
    </row>
    <row r="34" spans="1:13" x14ac:dyDescent="0.25">
      <c r="A34">
        <v>5.8112755417823798E-2</v>
      </c>
      <c r="B34">
        <v>-2.8539292514324199E-2</v>
      </c>
      <c r="C34">
        <v>-0.659143507480621</v>
      </c>
      <c r="D34">
        <v>4.74036554805934E-4</v>
      </c>
      <c r="E34">
        <v>0.12431108951568599</v>
      </c>
      <c r="F34">
        <v>-4.5787622220814202E-3</v>
      </c>
      <c r="H34">
        <f t="shared" si="0"/>
        <v>-4.5787622220814202E-3</v>
      </c>
      <c r="I34">
        <f t="shared" si="1"/>
        <v>-0.12431108951568599</v>
      </c>
      <c r="J34">
        <f t="shared" si="2"/>
        <v>4.74036554805934E-4</v>
      </c>
      <c r="K34">
        <f t="shared" si="3"/>
        <v>-0.659143507480621</v>
      </c>
      <c r="L34">
        <f t="shared" si="4"/>
        <v>2.8539292514324199E-2</v>
      </c>
      <c r="M34">
        <f t="shared" si="5"/>
        <v>5.8112755417823798E-2</v>
      </c>
    </row>
    <row r="35" spans="1:13" x14ac:dyDescent="0.25">
      <c r="A35">
        <v>6.1202116310596501E-2</v>
      </c>
      <c r="B35">
        <v>2.05840114504099E-2</v>
      </c>
      <c r="C35">
        <v>-0.59424072504043601</v>
      </c>
      <c r="D35">
        <v>-5.0774128176271898E-3</v>
      </c>
      <c r="E35">
        <v>0.113986387848854</v>
      </c>
      <c r="F35">
        <v>3.9539658464491402E-3</v>
      </c>
      <c r="H35">
        <f t="shared" si="0"/>
        <v>3.9539658464491402E-3</v>
      </c>
      <c r="I35">
        <f t="shared" si="1"/>
        <v>-0.113986387848854</v>
      </c>
      <c r="J35">
        <f t="shared" si="2"/>
        <v>-5.0774128176271898E-3</v>
      </c>
      <c r="K35">
        <f t="shared" si="3"/>
        <v>-0.59424072504043601</v>
      </c>
      <c r="L35">
        <f t="shared" si="4"/>
        <v>-2.05840114504099E-2</v>
      </c>
      <c r="M35">
        <f t="shared" si="5"/>
        <v>6.1202116310596501E-2</v>
      </c>
    </row>
    <row r="36" spans="1:13" x14ac:dyDescent="0.25">
      <c r="A36">
        <v>5.8719873428344699E-2</v>
      </c>
      <c r="B36">
        <v>-6.7401126027107197E-2</v>
      </c>
      <c r="C36">
        <v>-0.589094638824463</v>
      </c>
      <c r="D36">
        <v>5.4107047617435499E-3</v>
      </c>
      <c r="E36">
        <v>0.112579241394997</v>
      </c>
      <c r="F36">
        <v>-1.15294195711613E-2</v>
      </c>
      <c r="H36">
        <f t="shared" si="0"/>
        <v>-1.15294195711613E-2</v>
      </c>
      <c r="I36">
        <f t="shared" si="1"/>
        <v>-0.112579241394997</v>
      </c>
      <c r="J36">
        <f t="shared" si="2"/>
        <v>5.4107047617435499E-3</v>
      </c>
      <c r="K36">
        <f t="shared" si="3"/>
        <v>-0.589094638824463</v>
      </c>
      <c r="L36">
        <f t="shared" si="4"/>
        <v>6.7401126027107197E-2</v>
      </c>
      <c r="M36">
        <f t="shared" si="5"/>
        <v>5.8719873428344699E-2</v>
      </c>
    </row>
    <row r="37" spans="1:13" x14ac:dyDescent="0.25">
      <c r="A37">
        <v>5.4238036274910001E-2</v>
      </c>
      <c r="B37">
        <v>-2.8584428131580401E-2</v>
      </c>
      <c r="C37">
        <v>-0.65276098251342796</v>
      </c>
      <c r="D37">
        <v>4.8266863450407998E-4</v>
      </c>
      <c r="E37">
        <v>0.12288958579301799</v>
      </c>
      <c r="F37">
        <v>-4.62295254692435E-3</v>
      </c>
      <c r="H37">
        <f t="shared" si="0"/>
        <v>-4.62295254692435E-3</v>
      </c>
      <c r="I37">
        <f t="shared" si="1"/>
        <v>-0.12288958579301799</v>
      </c>
      <c r="J37">
        <f t="shared" si="2"/>
        <v>4.8266863450407998E-4</v>
      </c>
      <c r="K37">
        <f t="shared" si="3"/>
        <v>-0.65276098251342796</v>
      </c>
      <c r="L37">
        <f t="shared" si="4"/>
        <v>2.8584428131580401E-2</v>
      </c>
      <c r="M37">
        <f t="shared" si="5"/>
        <v>5.4238036274910001E-2</v>
      </c>
    </row>
    <row r="38" spans="1:13" x14ac:dyDescent="0.25">
      <c r="A38">
        <v>6.2992833554744707E-2</v>
      </c>
      <c r="B38">
        <v>4.6268455684185E-2</v>
      </c>
      <c r="C38">
        <v>-0.55936807394027699</v>
      </c>
      <c r="D38">
        <v>-7.8462939709425007E-3</v>
      </c>
      <c r="E38">
        <v>0.108442112803459</v>
      </c>
      <c r="F38">
        <v>8.2810381427407299E-3</v>
      </c>
      <c r="H38">
        <f t="shared" si="0"/>
        <v>8.2810381427407299E-3</v>
      </c>
      <c r="I38">
        <f t="shared" si="1"/>
        <v>-0.108442112803459</v>
      </c>
      <c r="J38">
        <f t="shared" si="2"/>
        <v>-7.8462939709425007E-3</v>
      </c>
      <c r="K38">
        <f t="shared" si="3"/>
        <v>-0.55936807394027699</v>
      </c>
      <c r="L38">
        <f t="shared" si="4"/>
        <v>-4.6268455684185E-2</v>
      </c>
      <c r="M38">
        <f t="shared" si="5"/>
        <v>6.2992833554744707E-2</v>
      </c>
    </row>
    <row r="39" spans="1:13" x14ac:dyDescent="0.25">
      <c r="A39">
        <v>5.7175278663635302E-2</v>
      </c>
      <c r="B39">
        <v>-8.9374899864196805E-2</v>
      </c>
      <c r="C39">
        <v>-0.55525368452072099</v>
      </c>
      <c r="D39">
        <v>8.1710051745176298E-3</v>
      </c>
      <c r="E39">
        <v>0.107135199010372</v>
      </c>
      <c r="F39">
        <v>-1.55509859323502E-2</v>
      </c>
      <c r="H39">
        <f t="shared" si="0"/>
        <v>-1.55509859323502E-2</v>
      </c>
      <c r="I39">
        <f t="shared" si="1"/>
        <v>-0.107135199010372</v>
      </c>
      <c r="J39">
        <f t="shared" si="2"/>
        <v>8.1710051745176298E-3</v>
      </c>
      <c r="K39">
        <f t="shared" si="3"/>
        <v>-0.55525368452072099</v>
      </c>
      <c r="L39">
        <f t="shared" si="4"/>
        <v>8.9374899864196805E-2</v>
      </c>
      <c r="M39">
        <f t="shared" si="5"/>
        <v>5.7175278663635302E-2</v>
      </c>
    </row>
    <row r="40" spans="1:13" x14ac:dyDescent="0.25">
      <c r="A40">
        <v>4.2752042412757901E-2</v>
      </c>
      <c r="B40">
        <v>-3.5193815827369697E-2</v>
      </c>
      <c r="C40">
        <v>-0.73760038614273105</v>
      </c>
      <c r="D40">
        <v>8.7988527957350005E-4</v>
      </c>
      <c r="E40">
        <v>0.13684800267219499</v>
      </c>
      <c r="F40">
        <v>-5.7001723907887901E-3</v>
      </c>
      <c r="H40">
        <f t="shared" si="0"/>
        <v>-5.7001723907887901E-3</v>
      </c>
      <c r="I40">
        <f t="shared" si="1"/>
        <v>-0.13684800267219499</v>
      </c>
      <c r="J40">
        <f t="shared" si="2"/>
        <v>8.7988527957350005E-4</v>
      </c>
      <c r="K40">
        <f t="shared" si="3"/>
        <v>-0.73760038614273105</v>
      </c>
      <c r="L40">
        <f t="shared" si="4"/>
        <v>3.5193815827369697E-2</v>
      </c>
      <c r="M40">
        <f t="shared" si="5"/>
        <v>4.2752042412757901E-2</v>
      </c>
    </row>
    <row r="41" spans="1:13" x14ac:dyDescent="0.25">
      <c r="A41">
        <v>0.13168570399284399</v>
      </c>
      <c r="B41">
        <v>-2.9684353619813902E-2</v>
      </c>
      <c r="C41">
        <v>-0.72550737857818604</v>
      </c>
      <c r="D41">
        <v>-1.24974839854985E-3</v>
      </c>
      <c r="E41">
        <v>0.13548035919666301</v>
      </c>
      <c r="F41">
        <v>-1.05854228604585E-3</v>
      </c>
      <c r="H41">
        <f t="shared" si="0"/>
        <v>-1.05854228604585E-3</v>
      </c>
      <c r="I41">
        <f t="shared" si="1"/>
        <v>-0.13548035919666301</v>
      </c>
      <c r="J41">
        <f t="shared" si="2"/>
        <v>-1.24974839854985E-3</v>
      </c>
      <c r="K41">
        <f t="shared" si="3"/>
        <v>-0.72550737857818604</v>
      </c>
      <c r="L41">
        <f t="shared" si="4"/>
        <v>2.9684353619813902E-2</v>
      </c>
      <c r="M41">
        <f t="shared" si="5"/>
        <v>0.13168570399284399</v>
      </c>
    </row>
    <row r="42" spans="1:13" x14ac:dyDescent="0.25">
      <c r="A42">
        <v>0.124703593552113</v>
      </c>
      <c r="B42">
        <v>-1.3471883721649599E-3</v>
      </c>
      <c r="C42">
        <v>-0.68468731641769398</v>
      </c>
      <c r="D42">
        <v>-3.73718934133649E-3</v>
      </c>
      <c r="E42">
        <v>0.12835875153541601</v>
      </c>
      <c r="F42">
        <v>3.4768960904329998E-3</v>
      </c>
      <c r="H42">
        <f t="shared" si="0"/>
        <v>3.4768960904329998E-3</v>
      </c>
      <c r="I42">
        <f t="shared" si="1"/>
        <v>-0.12835875153541601</v>
      </c>
      <c r="J42">
        <f t="shared" si="2"/>
        <v>-3.73718934133649E-3</v>
      </c>
      <c r="K42">
        <f t="shared" si="3"/>
        <v>-0.68468731641769398</v>
      </c>
      <c r="L42">
        <f t="shared" si="4"/>
        <v>1.3471883721649599E-3</v>
      </c>
      <c r="M42">
        <f t="shared" si="5"/>
        <v>0.124703593552113</v>
      </c>
    </row>
    <row r="43" spans="1:13" x14ac:dyDescent="0.25">
      <c r="A43">
        <v>0.122622385621071</v>
      </c>
      <c r="B43">
        <v>-5.04110977053642E-2</v>
      </c>
      <c r="C43">
        <v>-0.67384463548660301</v>
      </c>
      <c r="D43">
        <v>1.03824585676193E-3</v>
      </c>
      <c r="E43">
        <v>0.12630911171436299</v>
      </c>
      <c r="F43">
        <v>-4.7603473067283596E-3</v>
      </c>
      <c r="H43">
        <f t="shared" si="0"/>
        <v>-4.7603473067283596E-3</v>
      </c>
      <c r="I43">
        <f t="shared" si="1"/>
        <v>-0.12630911171436299</v>
      </c>
      <c r="J43">
        <f t="shared" si="2"/>
        <v>1.03824585676193E-3</v>
      </c>
      <c r="K43">
        <f t="shared" si="3"/>
        <v>-0.67384463548660301</v>
      </c>
      <c r="L43">
        <f t="shared" si="4"/>
        <v>5.04110977053642E-2</v>
      </c>
      <c r="M43">
        <f t="shared" si="5"/>
        <v>0.122622385621071</v>
      </c>
    </row>
    <row r="44" spans="1:13" x14ac:dyDescent="0.25">
      <c r="A44">
        <v>0.12372924387455</v>
      </c>
      <c r="B44">
        <v>-3.94001975655556E-2</v>
      </c>
      <c r="C44">
        <v>-0.70657479763030995</v>
      </c>
      <c r="D44">
        <v>-1.74118322320282E-4</v>
      </c>
      <c r="E44">
        <v>0.13191950321197499</v>
      </c>
      <c r="F44">
        <v>-2.8795241378247699E-3</v>
      </c>
      <c r="H44">
        <f t="shared" si="0"/>
        <v>-2.8795241378247699E-3</v>
      </c>
      <c r="I44">
        <f t="shared" si="1"/>
        <v>-0.13191950321197499</v>
      </c>
      <c r="J44">
        <f t="shared" si="2"/>
        <v>-1.74118322320282E-4</v>
      </c>
      <c r="K44">
        <f t="shared" si="3"/>
        <v>-0.70657479763030995</v>
      </c>
      <c r="L44">
        <f t="shared" si="4"/>
        <v>3.94001975655556E-2</v>
      </c>
      <c r="M44">
        <f t="shared" si="5"/>
        <v>0.12372924387455</v>
      </c>
    </row>
    <row r="45" spans="1:13" x14ac:dyDescent="0.25">
      <c r="A45">
        <v>0.117863103747368</v>
      </c>
      <c r="B45">
        <v>4.7432221472263301E-3</v>
      </c>
      <c r="C45">
        <v>-0.64230233430862405</v>
      </c>
      <c r="D45">
        <v>-4.0987683460116404E-3</v>
      </c>
      <c r="E45">
        <v>0.12111333012580899</v>
      </c>
      <c r="F45">
        <v>4.3551013804972198E-3</v>
      </c>
      <c r="H45">
        <f t="shared" si="0"/>
        <v>4.3551013804972198E-3</v>
      </c>
      <c r="I45">
        <f t="shared" si="1"/>
        <v>-0.12111333012580899</v>
      </c>
      <c r="J45">
        <f t="shared" si="2"/>
        <v>-4.0987683460116404E-3</v>
      </c>
      <c r="K45">
        <f t="shared" si="3"/>
        <v>-0.64230233430862405</v>
      </c>
      <c r="L45">
        <f t="shared" si="4"/>
        <v>-4.7432221472263301E-3</v>
      </c>
      <c r="M45">
        <f t="shared" si="5"/>
        <v>0.117863103747368</v>
      </c>
    </row>
    <row r="46" spans="1:13" x14ac:dyDescent="0.25">
      <c r="A46">
        <v>0.116507813334465</v>
      </c>
      <c r="B46">
        <v>-7.2991877794265705E-2</v>
      </c>
      <c r="C46">
        <v>-0.631633281707764</v>
      </c>
      <c r="D46">
        <v>3.4015933051705399E-3</v>
      </c>
      <c r="E46">
        <v>0.11911778151989</v>
      </c>
      <c r="F46">
        <v>-8.6691416800022108E-3</v>
      </c>
      <c r="H46">
        <f t="shared" si="0"/>
        <v>-8.6691416800022108E-3</v>
      </c>
      <c r="I46">
        <f t="shared" si="1"/>
        <v>-0.11911778151989</v>
      </c>
      <c r="J46">
        <f t="shared" si="2"/>
        <v>3.4015933051705399E-3</v>
      </c>
      <c r="K46">
        <f t="shared" si="3"/>
        <v>-0.631633281707764</v>
      </c>
      <c r="L46">
        <f t="shared" si="4"/>
        <v>7.2991877794265705E-2</v>
      </c>
      <c r="M46">
        <f t="shared" si="5"/>
        <v>0.116507813334465</v>
      </c>
    </row>
    <row r="47" spans="1:13" x14ac:dyDescent="0.25">
      <c r="A47">
        <v>0.117512196302414</v>
      </c>
      <c r="B47">
        <v>-4.3264478445053101E-2</v>
      </c>
      <c r="C47">
        <v>-0.72411191463470503</v>
      </c>
      <c r="D47">
        <v>9.7808660939335796E-5</v>
      </c>
      <c r="E47">
        <v>0.13410493731498699</v>
      </c>
      <c r="F47">
        <v>-3.5518379881978E-3</v>
      </c>
      <c r="H47">
        <f t="shared" si="0"/>
        <v>-3.5518379881978E-3</v>
      </c>
      <c r="I47">
        <f t="shared" si="1"/>
        <v>-0.13410493731498699</v>
      </c>
      <c r="J47">
        <f t="shared" si="2"/>
        <v>9.7808660939335796E-5</v>
      </c>
      <c r="K47">
        <f t="shared" si="3"/>
        <v>-0.72411191463470503</v>
      </c>
      <c r="L47">
        <f t="shared" si="4"/>
        <v>4.3264478445053101E-2</v>
      </c>
      <c r="M47">
        <f t="shared" si="5"/>
        <v>0.117512196302414</v>
      </c>
    </row>
    <row r="48" spans="1:13" x14ac:dyDescent="0.25">
      <c r="A48">
        <v>0.11280394345521901</v>
      </c>
      <c r="B48">
        <v>2.7572307735681499E-2</v>
      </c>
      <c r="C48">
        <v>-0.60557293891906705</v>
      </c>
      <c r="D48">
        <v>-6.0131093487143499E-3</v>
      </c>
      <c r="E48">
        <v>0.11474589258432399</v>
      </c>
      <c r="F48">
        <v>7.96904414892197E-3</v>
      </c>
      <c r="H48">
        <f t="shared" si="0"/>
        <v>7.96904414892197E-3</v>
      </c>
      <c r="I48">
        <f t="shared" si="1"/>
        <v>-0.11474589258432399</v>
      </c>
      <c r="J48">
        <f t="shared" si="2"/>
        <v>-6.0131093487143499E-3</v>
      </c>
      <c r="K48">
        <f t="shared" si="3"/>
        <v>-0.60557293891906705</v>
      </c>
      <c r="L48">
        <f t="shared" si="4"/>
        <v>-2.7572307735681499E-2</v>
      </c>
      <c r="M48">
        <f t="shared" si="5"/>
        <v>0.11280394345521901</v>
      </c>
    </row>
    <row r="49" spans="1:13" x14ac:dyDescent="0.25">
      <c r="A49">
        <v>0.111469298601151</v>
      </c>
      <c r="B49">
        <v>-9.8144292831420898E-2</v>
      </c>
      <c r="C49">
        <v>-0.59010398387908902</v>
      </c>
      <c r="D49">
        <v>5.9222737327218099E-3</v>
      </c>
      <c r="E49">
        <v>0.1122762337327</v>
      </c>
      <c r="F49">
        <v>-1.2933341786265399E-2</v>
      </c>
      <c r="H49">
        <f t="shared" si="0"/>
        <v>-1.2933341786265399E-2</v>
      </c>
      <c r="I49">
        <f t="shared" si="1"/>
        <v>-0.1122762337327</v>
      </c>
      <c r="J49">
        <f t="shared" si="2"/>
        <v>5.9222737327218099E-3</v>
      </c>
      <c r="K49">
        <f t="shared" si="3"/>
        <v>-0.59010398387908902</v>
      </c>
      <c r="L49">
        <f t="shared" si="4"/>
        <v>9.8144292831420898E-2</v>
      </c>
      <c r="M49">
        <f t="shared" si="5"/>
        <v>0.111469298601151</v>
      </c>
    </row>
    <row r="50" spans="1:13" x14ac:dyDescent="0.25">
      <c r="A50">
        <v>0.11383667588233901</v>
      </c>
      <c r="B50">
        <v>-4.9444705247879001E-2</v>
      </c>
      <c r="C50">
        <v>-0.73237782716751099</v>
      </c>
      <c r="D50">
        <v>6.5623031696304701E-4</v>
      </c>
      <c r="E50">
        <v>0.135463431477547</v>
      </c>
      <c r="F50">
        <v>-4.6712057664990399E-3</v>
      </c>
      <c r="H50">
        <f t="shared" si="0"/>
        <v>-4.6712057664990399E-3</v>
      </c>
      <c r="I50">
        <f t="shared" si="1"/>
        <v>-0.135463431477547</v>
      </c>
      <c r="J50">
        <f t="shared" si="2"/>
        <v>6.5623031696304701E-4</v>
      </c>
      <c r="K50">
        <f t="shared" si="3"/>
        <v>-0.73237782716751099</v>
      </c>
      <c r="L50">
        <f t="shared" si="4"/>
        <v>4.9444705247879001E-2</v>
      </c>
      <c r="M50">
        <f t="shared" si="5"/>
        <v>0.11383667588233901</v>
      </c>
    </row>
    <row r="51" spans="1:13" x14ac:dyDescent="0.25">
      <c r="H51">
        <f t="shared" si="0"/>
        <v>0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4"/>
        <v>0</v>
      </c>
      <c r="M51">
        <f t="shared" si="5"/>
        <v>0</v>
      </c>
    </row>
    <row r="52" spans="1:13" x14ac:dyDescent="0.25">
      <c r="H52">
        <f t="shared" si="0"/>
        <v>0</v>
      </c>
      <c r="I52">
        <f t="shared" si="1"/>
        <v>0</v>
      </c>
      <c r="J52">
        <f t="shared" si="2"/>
        <v>0</v>
      </c>
      <c r="K52">
        <f t="shared" si="3"/>
        <v>0</v>
      </c>
      <c r="L52">
        <f t="shared" si="4"/>
        <v>0</v>
      </c>
      <c r="M52">
        <f t="shared" si="5"/>
        <v>0</v>
      </c>
    </row>
    <row r="53" spans="1:13" x14ac:dyDescent="0.25">
      <c r="H53">
        <f t="shared" si="0"/>
        <v>0</v>
      </c>
      <c r="I53">
        <f t="shared" si="1"/>
        <v>0</v>
      </c>
      <c r="J53">
        <f t="shared" si="2"/>
        <v>0</v>
      </c>
      <c r="K53">
        <f t="shared" si="3"/>
        <v>0</v>
      </c>
      <c r="L53">
        <f t="shared" si="4"/>
        <v>0</v>
      </c>
      <c r="M53">
        <f t="shared" si="5"/>
        <v>0</v>
      </c>
    </row>
    <row r="54" spans="1:13" x14ac:dyDescent="0.25"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0</v>
      </c>
      <c r="L54">
        <f t="shared" si="4"/>
        <v>0</v>
      </c>
      <c r="M54">
        <f t="shared" si="5"/>
        <v>0</v>
      </c>
    </row>
    <row r="55" spans="1:13" x14ac:dyDescent="0.25">
      <c r="H55">
        <f t="shared" si="0"/>
        <v>0</v>
      </c>
      <c r="I55">
        <f t="shared" si="1"/>
        <v>0</v>
      </c>
      <c r="J55">
        <f t="shared" si="2"/>
        <v>0</v>
      </c>
      <c r="K55">
        <f t="shared" si="3"/>
        <v>0</v>
      </c>
      <c r="L55">
        <f t="shared" si="4"/>
        <v>0</v>
      </c>
      <c r="M55">
        <f t="shared" si="5"/>
        <v>0</v>
      </c>
    </row>
    <row r="56" spans="1:13" x14ac:dyDescent="0.25">
      <c r="H56">
        <f t="shared" si="0"/>
        <v>0</v>
      </c>
      <c r="I56">
        <f t="shared" si="1"/>
        <v>0</v>
      </c>
      <c r="J56">
        <f t="shared" si="2"/>
        <v>0</v>
      </c>
      <c r="K56">
        <f t="shared" si="3"/>
        <v>0</v>
      </c>
      <c r="L56">
        <f t="shared" si="4"/>
        <v>0</v>
      </c>
      <c r="M56">
        <f t="shared" si="5"/>
        <v>0</v>
      </c>
    </row>
    <row r="57" spans="1:13" x14ac:dyDescent="0.25">
      <c r="H57">
        <f t="shared" si="0"/>
        <v>0</v>
      </c>
      <c r="I57">
        <f t="shared" si="1"/>
        <v>0</v>
      </c>
      <c r="J57">
        <f t="shared" si="2"/>
        <v>0</v>
      </c>
      <c r="K57">
        <f t="shared" si="3"/>
        <v>0</v>
      </c>
      <c r="L57">
        <f t="shared" si="4"/>
        <v>0</v>
      </c>
      <c r="M57">
        <f t="shared" si="5"/>
        <v>0</v>
      </c>
    </row>
    <row r="58" spans="1:13" x14ac:dyDescent="0.25">
      <c r="H58">
        <f t="shared" si="0"/>
        <v>0</v>
      </c>
      <c r="I58">
        <f t="shared" si="1"/>
        <v>0</v>
      </c>
      <c r="J58">
        <f t="shared" si="2"/>
        <v>0</v>
      </c>
      <c r="K58">
        <f t="shared" si="3"/>
        <v>0</v>
      </c>
      <c r="L58">
        <f t="shared" si="4"/>
        <v>0</v>
      </c>
      <c r="M58">
        <f t="shared" si="5"/>
        <v>0</v>
      </c>
    </row>
    <row r="59" spans="1:13" x14ac:dyDescent="0.25">
      <c r="H59">
        <f t="shared" si="0"/>
        <v>0</v>
      </c>
      <c r="I59">
        <f t="shared" si="1"/>
        <v>0</v>
      </c>
      <c r="J59">
        <f t="shared" si="2"/>
        <v>0</v>
      </c>
      <c r="K59">
        <f t="shared" si="3"/>
        <v>0</v>
      </c>
      <c r="L59">
        <f t="shared" si="4"/>
        <v>0</v>
      </c>
      <c r="M59">
        <f t="shared" si="5"/>
        <v>0</v>
      </c>
    </row>
    <row r="60" spans="1:13" x14ac:dyDescent="0.25">
      <c r="H60">
        <f t="shared" si="0"/>
        <v>0</v>
      </c>
      <c r="I60">
        <f t="shared" si="1"/>
        <v>0</v>
      </c>
      <c r="J60">
        <f t="shared" si="2"/>
        <v>0</v>
      </c>
      <c r="K60">
        <f t="shared" si="3"/>
        <v>0</v>
      </c>
      <c r="L60">
        <f t="shared" si="4"/>
        <v>0</v>
      </c>
      <c r="M60">
        <f t="shared" si="5"/>
        <v>0</v>
      </c>
    </row>
    <row r="61" spans="1:13" x14ac:dyDescent="0.25">
      <c r="H61">
        <f t="shared" si="0"/>
        <v>0</v>
      </c>
      <c r="I61">
        <f t="shared" si="1"/>
        <v>0</v>
      </c>
      <c r="J61">
        <f t="shared" si="2"/>
        <v>0</v>
      </c>
      <c r="K61">
        <f t="shared" si="3"/>
        <v>0</v>
      </c>
      <c r="L61">
        <f t="shared" si="4"/>
        <v>0</v>
      </c>
      <c r="M61">
        <f t="shared" si="5"/>
        <v>0</v>
      </c>
    </row>
    <row r="62" spans="1:13" x14ac:dyDescent="0.25">
      <c r="H62">
        <f t="shared" si="0"/>
        <v>0</v>
      </c>
      <c r="I62">
        <f t="shared" si="1"/>
        <v>0</v>
      </c>
      <c r="J62">
        <f t="shared" si="2"/>
        <v>0</v>
      </c>
      <c r="K62">
        <f t="shared" si="3"/>
        <v>0</v>
      </c>
      <c r="L62">
        <f t="shared" si="4"/>
        <v>0</v>
      </c>
      <c r="M62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273E-DEC3-4584-9987-9255339758ED}">
  <dimension ref="A3:AW80"/>
  <sheetViews>
    <sheetView topLeftCell="U37" workbookViewId="0">
      <selection activeCell="AK61" sqref="AK61"/>
    </sheetView>
  </sheetViews>
  <sheetFormatPr defaultRowHeight="15" x14ac:dyDescent="0.25"/>
  <sheetData>
    <row r="3" spans="7:48" x14ac:dyDescent="0.25">
      <c r="G3" t="s">
        <v>37</v>
      </c>
      <c r="H3" t="s">
        <v>29</v>
      </c>
      <c r="I3">
        <v>-2.8477585874497901E-4</v>
      </c>
      <c r="J3">
        <v>-5.8327373117208502E-2</v>
      </c>
      <c r="K3">
        <v>-1.50670297443867E-4</v>
      </c>
      <c r="L3">
        <v>6.01342367008328E-3</v>
      </c>
      <c r="M3">
        <v>2.2609531879425001E-3</v>
      </c>
      <c r="N3">
        <v>0.37637501955032299</v>
      </c>
      <c r="O3">
        <v>0</v>
      </c>
      <c r="P3">
        <v>0</v>
      </c>
      <c r="Q3">
        <v>0</v>
      </c>
      <c r="R3" t="s">
        <v>28</v>
      </c>
      <c r="V3" t="s">
        <v>37</v>
      </c>
      <c r="W3" t="s">
        <v>29</v>
      </c>
      <c r="X3">
        <v>-2.8477585874497901E-4</v>
      </c>
      <c r="Y3">
        <v>-5.8327373117208502E-2</v>
      </c>
      <c r="Z3">
        <v>-1.50670297443867E-4</v>
      </c>
      <c r="AA3">
        <v>6.01342367008328E-3</v>
      </c>
      <c r="AB3">
        <v>2.2609531879425001E-3</v>
      </c>
      <c r="AC3">
        <v>0.37637501955032299</v>
      </c>
      <c r="AD3">
        <v>0</v>
      </c>
      <c r="AE3">
        <v>0</v>
      </c>
      <c r="AF3">
        <v>0</v>
      </c>
      <c r="AG3" t="s">
        <v>28</v>
      </c>
      <c r="AK3" t="s">
        <v>37</v>
      </c>
      <c r="AL3" t="s">
        <v>29</v>
      </c>
      <c r="AM3">
        <v>-2.8477585874497901E-4</v>
      </c>
      <c r="AN3">
        <v>-5.8327373117208502E-2</v>
      </c>
      <c r="AO3">
        <v>-1.50670297443867E-4</v>
      </c>
      <c r="AP3">
        <v>6.01342367008328E-3</v>
      </c>
      <c r="AQ3">
        <v>2.2609531879425001E-3</v>
      </c>
      <c r="AR3">
        <v>0.37637501955032299</v>
      </c>
      <c r="AS3">
        <v>0</v>
      </c>
      <c r="AT3">
        <v>0</v>
      </c>
      <c r="AU3">
        <v>0</v>
      </c>
      <c r="AV3" t="s">
        <v>28</v>
      </c>
    </row>
    <row r="4" spans="7:48" x14ac:dyDescent="0.25">
      <c r="I4">
        <v>2.3011874873191099E-4</v>
      </c>
      <c r="J4">
        <v>-5.3271986544132198E-2</v>
      </c>
      <c r="K4">
        <v>-2.0681828027591101E-4</v>
      </c>
      <c r="L4">
        <v>9.8919300362467801E-3</v>
      </c>
      <c r="M4">
        <v>8.6640566587448098E-4</v>
      </c>
      <c r="N4">
        <v>0.34659576416015597</v>
      </c>
      <c r="O4">
        <v>0.5</v>
      </c>
      <c r="P4">
        <v>0</v>
      </c>
      <c r="Q4">
        <v>0</v>
      </c>
      <c r="R4" t="s">
        <v>28</v>
      </c>
      <c r="X4">
        <v>6.7423289874568603E-4</v>
      </c>
      <c r="Y4">
        <v>-4.6691335737705203E-2</v>
      </c>
      <c r="Z4">
        <v>-1.9840942695736901E-4</v>
      </c>
      <c r="AA4">
        <v>1.92548986524343E-2</v>
      </c>
      <c r="AB4">
        <v>-2.2761523723602298E-5</v>
      </c>
      <c r="AC4">
        <v>0.30847230553626998</v>
      </c>
      <c r="AD4">
        <v>1</v>
      </c>
      <c r="AE4">
        <v>0</v>
      </c>
      <c r="AF4">
        <v>0</v>
      </c>
      <c r="AG4" t="s">
        <v>28</v>
      </c>
      <c r="AM4">
        <v>1.08359626028687E-3</v>
      </c>
      <c r="AN4">
        <v>-3.8952093571424498E-2</v>
      </c>
      <c r="AO4">
        <v>-8.8399392552673803E-5</v>
      </c>
      <c r="AP4">
        <v>2.6931611821055398E-2</v>
      </c>
      <c r="AQ4">
        <v>1.2965276837348899E-3</v>
      </c>
      <c r="AR4">
        <v>0.25999218225479098</v>
      </c>
      <c r="AS4">
        <v>1.5</v>
      </c>
      <c r="AT4">
        <v>0</v>
      </c>
      <c r="AU4">
        <v>0</v>
      </c>
      <c r="AV4" t="s">
        <v>28</v>
      </c>
    </row>
    <row r="5" spans="7:48" x14ac:dyDescent="0.25">
      <c r="I5">
        <v>-4.2876659426838198E-4</v>
      </c>
      <c r="J5">
        <v>-5.2273325622081798E-2</v>
      </c>
      <c r="K5">
        <v>-1.9059516489505798E-5</v>
      </c>
      <c r="L5">
        <v>1.4312150888144999E-2</v>
      </c>
      <c r="M5">
        <v>5.74775412678719E-3</v>
      </c>
      <c r="N5">
        <v>0.342221409082413</v>
      </c>
      <c r="O5">
        <v>0</v>
      </c>
      <c r="P5">
        <v>0.5</v>
      </c>
      <c r="Q5">
        <v>0</v>
      </c>
      <c r="R5" t="s">
        <v>28</v>
      </c>
      <c r="X5">
        <v>-6.0618203133344704E-4</v>
      </c>
      <c r="Y5">
        <v>-4.5500006526708603E-2</v>
      </c>
      <c r="Z5">
        <v>6.9612462539225803E-5</v>
      </c>
      <c r="AA5">
        <v>2.4782635271549201E-2</v>
      </c>
      <c r="AB5">
        <v>9.4752311706543003E-3</v>
      </c>
      <c r="AC5">
        <v>0.30106654763221702</v>
      </c>
      <c r="AD5">
        <v>0</v>
      </c>
      <c r="AE5">
        <v>1</v>
      </c>
      <c r="AF5">
        <v>0</v>
      </c>
      <c r="AG5" t="s">
        <v>28</v>
      </c>
      <c r="AM5">
        <v>-6.0350575949996699E-4</v>
      </c>
      <c r="AN5">
        <v>-3.9121877402067198E-2</v>
      </c>
      <c r="AO5">
        <v>3.6299577914178399E-5</v>
      </c>
      <c r="AP5">
        <v>3.1976170837879202E-2</v>
      </c>
      <c r="AQ5">
        <v>1.1962704360485099E-2</v>
      </c>
      <c r="AR5">
        <v>0.26262807846069303</v>
      </c>
      <c r="AS5">
        <v>0</v>
      </c>
      <c r="AT5">
        <v>1.5</v>
      </c>
      <c r="AU5">
        <v>0</v>
      </c>
      <c r="AV5" t="s">
        <v>28</v>
      </c>
    </row>
    <row r="6" spans="7:48" x14ac:dyDescent="0.25">
      <c r="I6">
        <v>-2.02067312784493E-4</v>
      </c>
      <c r="J6">
        <v>-6.3044883310794803E-2</v>
      </c>
      <c r="K6">
        <v>-1.4381617074832301E-4</v>
      </c>
      <c r="L6">
        <v>1.6669280827045399E-2</v>
      </c>
      <c r="M6">
        <v>4.2362064123153704E-3</v>
      </c>
      <c r="N6">
        <v>0.41187611222267201</v>
      </c>
      <c r="O6">
        <v>0</v>
      </c>
      <c r="P6">
        <v>0</v>
      </c>
      <c r="Q6">
        <v>0.5</v>
      </c>
      <c r="R6" t="s">
        <v>30</v>
      </c>
      <c r="X6">
        <v>-1.3268133625388099E-4</v>
      </c>
      <c r="Y6">
        <v>-7.0247285068035098E-2</v>
      </c>
      <c r="Z6">
        <v>-1.3355066766962401E-4</v>
      </c>
      <c r="AA6">
        <v>2.3433083668351201E-2</v>
      </c>
      <c r="AB6">
        <v>6.2583163380622898E-3</v>
      </c>
      <c r="AC6">
        <v>0.46214234828949002</v>
      </c>
      <c r="AD6">
        <v>0</v>
      </c>
      <c r="AE6">
        <v>0</v>
      </c>
      <c r="AF6">
        <v>1</v>
      </c>
      <c r="AG6" t="s">
        <v>30</v>
      </c>
      <c r="AM6">
        <v>-1.6045989468693699E-5</v>
      </c>
      <c r="AN6">
        <v>-7.6417177915573106E-2</v>
      </c>
      <c r="AO6">
        <v>-1.8321670359000599E-4</v>
      </c>
      <c r="AP6">
        <v>3.05892862379551E-2</v>
      </c>
      <c r="AQ6">
        <v>8.0633684992790205E-3</v>
      </c>
      <c r="AR6">
        <v>0.50434404611587502</v>
      </c>
      <c r="AS6">
        <v>0</v>
      </c>
      <c r="AT6">
        <v>0</v>
      </c>
      <c r="AU6">
        <v>1.5</v>
      </c>
      <c r="AV6" t="s">
        <v>30</v>
      </c>
    </row>
    <row r="7" spans="7:48" x14ac:dyDescent="0.25">
      <c r="H7" t="s">
        <v>29</v>
      </c>
      <c r="I7">
        <v>-1.3759520370513201E-3</v>
      </c>
      <c r="J7">
        <v>-0.12723180651664701</v>
      </c>
      <c r="K7">
        <v>-1.5217980835586799E-3</v>
      </c>
      <c r="L7">
        <v>-8.26666504144669E-2</v>
      </c>
      <c r="M7">
        <v>-4.7411769628524798E-3</v>
      </c>
      <c r="N7">
        <v>0.81632339954376198</v>
      </c>
      <c r="O7">
        <v>0</v>
      </c>
      <c r="P7">
        <v>0</v>
      </c>
      <c r="Q7">
        <v>0</v>
      </c>
      <c r="R7" t="s">
        <v>28</v>
      </c>
      <c r="W7" t="s">
        <v>29</v>
      </c>
      <c r="X7">
        <v>-1.3759520370513201E-3</v>
      </c>
      <c r="Y7">
        <v>-0.12723180651664701</v>
      </c>
      <c r="Z7">
        <v>-1.5217980835586799E-3</v>
      </c>
      <c r="AA7">
        <v>-8.26666504144669E-2</v>
      </c>
      <c r="AB7">
        <v>-4.7411769628524798E-3</v>
      </c>
      <c r="AC7">
        <v>0.81632339954376198</v>
      </c>
      <c r="AD7">
        <v>0</v>
      </c>
      <c r="AE7">
        <v>0</v>
      </c>
      <c r="AF7">
        <v>0</v>
      </c>
      <c r="AG7" t="s">
        <v>28</v>
      </c>
      <c r="AL7" t="s">
        <v>29</v>
      </c>
      <c r="AM7">
        <v>-1.3759520370513201E-3</v>
      </c>
      <c r="AN7">
        <v>-0.12723180651664701</v>
      </c>
      <c r="AO7">
        <v>-1.5217980835586799E-3</v>
      </c>
      <c r="AP7">
        <v>-8.26666504144669E-2</v>
      </c>
      <c r="AQ7">
        <v>-4.7411769628524798E-3</v>
      </c>
      <c r="AR7">
        <v>0.81632339954376198</v>
      </c>
      <c r="AS7">
        <v>0</v>
      </c>
      <c r="AT7">
        <v>0</v>
      </c>
      <c r="AU7">
        <v>0</v>
      </c>
      <c r="AV7" t="s">
        <v>28</v>
      </c>
    </row>
    <row r="8" spans="7:48" x14ac:dyDescent="0.25">
      <c r="I8">
        <v>-6.4265867695212397E-4</v>
      </c>
      <c r="J8">
        <v>-0.12265828996896699</v>
      </c>
      <c r="K8">
        <v>-1.7822725931182499E-3</v>
      </c>
      <c r="L8">
        <v>-7.7889576554298401E-2</v>
      </c>
      <c r="M8">
        <v>-8.3601623773574794E-3</v>
      </c>
      <c r="N8">
        <v>0.791279196739197</v>
      </c>
      <c r="O8">
        <v>0.5</v>
      </c>
      <c r="P8">
        <v>0</v>
      </c>
      <c r="Q8">
        <v>0</v>
      </c>
      <c r="R8" t="s">
        <v>28</v>
      </c>
      <c r="X8">
        <v>-1.7096614465117501E-4</v>
      </c>
      <c r="Y8">
        <v>-0.117183104157448</v>
      </c>
      <c r="Z8">
        <v>-1.8990500830113901E-3</v>
      </c>
      <c r="AA8">
        <v>-6.6881448030471802E-2</v>
      </c>
      <c r="AB8">
        <v>-1.0641232132911699E-2</v>
      </c>
      <c r="AC8">
        <v>0.760015308856964</v>
      </c>
      <c r="AD8">
        <v>1</v>
      </c>
      <c r="AE8">
        <v>0</v>
      </c>
      <c r="AF8">
        <v>0</v>
      </c>
      <c r="AG8" t="s">
        <v>28</v>
      </c>
      <c r="AM8">
        <v>2.72861216217279E-4</v>
      </c>
      <c r="AN8">
        <v>-0.11211783438921</v>
      </c>
      <c r="AO8">
        <v>-2.0007756538689102E-3</v>
      </c>
      <c r="AP8">
        <v>-5.763990432024E-2</v>
      </c>
      <c r="AQ8">
        <v>-1.2371033430099499E-2</v>
      </c>
      <c r="AR8">
        <v>0.72908455133438099</v>
      </c>
      <c r="AS8">
        <v>1.5</v>
      </c>
      <c r="AT8">
        <v>0</v>
      </c>
      <c r="AU8">
        <v>0</v>
      </c>
      <c r="AV8" t="s">
        <v>28</v>
      </c>
    </row>
    <row r="9" spans="7:48" x14ac:dyDescent="0.25">
      <c r="I9">
        <v>-2.05089594237506E-3</v>
      </c>
      <c r="J9">
        <v>-0.121704913675785</v>
      </c>
      <c r="K9">
        <v>-1.00779521744698E-3</v>
      </c>
      <c r="L9">
        <v>-7.2200365364551503E-2</v>
      </c>
      <c r="M9">
        <v>4.7361105680465698E-4</v>
      </c>
      <c r="N9">
        <v>0.78733724355697599</v>
      </c>
      <c r="O9">
        <v>0</v>
      </c>
      <c r="P9">
        <v>0.5</v>
      </c>
      <c r="Q9">
        <v>0</v>
      </c>
      <c r="R9" t="s">
        <v>28</v>
      </c>
      <c r="X9">
        <v>-3.11067164875567E-3</v>
      </c>
      <c r="Y9">
        <v>-0.115753546357155</v>
      </c>
      <c r="Z9">
        <v>-3.8996658986434303E-4</v>
      </c>
      <c r="AA9">
        <v>-6.27723783254623E-2</v>
      </c>
      <c r="AB9">
        <v>6.8403780460357701E-3</v>
      </c>
      <c r="AC9">
        <v>0.75269460678100597</v>
      </c>
      <c r="AD9">
        <v>0</v>
      </c>
      <c r="AE9">
        <v>1</v>
      </c>
      <c r="AF9">
        <v>0</v>
      </c>
      <c r="AG9" t="s">
        <v>28</v>
      </c>
      <c r="AM9">
        <v>-3.91761772334576E-3</v>
      </c>
      <c r="AN9">
        <v>-0.110453277826309</v>
      </c>
      <c r="AO9">
        <v>9.8139455076307099E-5</v>
      </c>
      <c r="AP9">
        <v>-5.3478844463825198E-2</v>
      </c>
      <c r="AQ9">
        <v>1.21740996837616E-2</v>
      </c>
      <c r="AR9">
        <v>0.72120183706283603</v>
      </c>
      <c r="AS9">
        <v>0</v>
      </c>
      <c r="AT9">
        <v>1.5</v>
      </c>
      <c r="AU9">
        <v>0</v>
      </c>
      <c r="AV9" t="s">
        <v>28</v>
      </c>
    </row>
    <row r="10" spans="7:48" x14ac:dyDescent="0.25">
      <c r="I10">
        <v>-1.59276742488146E-3</v>
      </c>
      <c r="J10">
        <v>-0.13021458685398099</v>
      </c>
      <c r="K10">
        <v>-1.4390036230906801E-3</v>
      </c>
      <c r="L10">
        <v>-8.1000238656997695E-2</v>
      </c>
      <c r="M10">
        <v>-3.1956732273101798E-3</v>
      </c>
      <c r="N10">
        <v>0.841796815395355</v>
      </c>
      <c r="O10">
        <v>0</v>
      </c>
      <c r="P10">
        <v>0</v>
      </c>
      <c r="Q10">
        <v>0.5</v>
      </c>
      <c r="R10" t="s">
        <v>30</v>
      </c>
      <c r="X10">
        <v>-1.96084030903876E-3</v>
      </c>
      <c r="Y10">
        <v>-0.137257635593414</v>
      </c>
      <c r="Z10">
        <v>-1.4088806929066801E-3</v>
      </c>
      <c r="AA10">
        <v>-7.98484832048416E-2</v>
      </c>
      <c r="AB10">
        <v>-1.8499046564102201E-3</v>
      </c>
      <c r="AC10">
        <v>0.88854026794433605</v>
      </c>
      <c r="AD10">
        <v>0</v>
      </c>
      <c r="AE10">
        <v>0</v>
      </c>
      <c r="AF10">
        <v>1</v>
      </c>
      <c r="AG10" t="s">
        <v>30</v>
      </c>
      <c r="AM10">
        <v>-2.2002500481903601E-3</v>
      </c>
      <c r="AN10">
        <v>-0.14334920048713701</v>
      </c>
      <c r="AO10">
        <v>-1.37328403070569E-3</v>
      </c>
      <c r="AP10">
        <v>-8.1474617123603807E-2</v>
      </c>
      <c r="AQ10">
        <v>-5.5378675460815397E-4</v>
      </c>
      <c r="AR10">
        <v>0.92903923988342296</v>
      </c>
      <c r="AS10">
        <v>0</v>
      </c>
      <c r="AT10">
        <v>0</v>
      </c>
      <c r="AU10">
        <v>1.5</v>
      </c>
      <c r="AV10" t="s">
        <v>30</v>
      </c>
    </row>
    <row r="11" spans="7:48" x14ac:dyDescent="0.25">
      <c r="H11" t="s">
        <v>29</v>
      </c>
      <c r="I11">
        <v>-2.8428673977032298E-4</v>
      </c>
      <c r="J11">
        <v>-4.3962169438600499E-2</v>
      </c>
      <c r="K11">
        <v>-1.9410930690355599E-4</v>
      </c>
      <c r="L11">
        <v>-1.4232989400625199E-2</v>
      </c>
      <c r="M11">
        <v>8.0315023660659801E-4</v>
      </c>
      <c r="N11">
        <v>0.24872186779975899</v>
      </c>
      <c r="O11">
        <v>0</v>
      </c>
      <c r="P11">
        <v>0</v>
      </c>
      <c r="Q11">
        <v>0</v>
      </c>
      <c r="R11" t="s">
        <v>28</v>
      </c>
      <c r="W11" t="s">
        <v>29</v>
      </c>
      <c r="X11">
        <v>-2.8428673977032298E-4</v>
      </c>
      <c r="Y11">
        <v>-4.3962169438600499E-2</v>
      </c>
      <c r="Z11">
        <v>-1.9410930690355599E-4</v>
      </c>
      <c r="AA11">
        <v>-1.4232989400625199E-2</v>
      </c>
      <c r="AB11">
        <v>8.0315023660659801E-4</v>
      </c>
      <c r="AC11">
        <v>0.24872186779975899</v>
      </c>
      <c r="AD11">
        <v>0</v>
      </c>
      <c r="AE11">
        <v>0</v>
      </c>
      <c r="AF11">
        <v>0</v>
      </c>
      <c r="AG11" t="s">
        <v>28</v>
      </c>
      <c r="AL11" t="s">
        <v>29</v>
      </c>
      <c r="AM11">
        <v>-2.8428673977032298E-4</v>
      </c>
      <c r="AN11">
        <v>-4.3962169438600499E-2</v>
      </c>
      <c r="AO11">
        <v>-1.9410930690355599E-4</v>
      </c>
      <c r="AP11">
        <v>-1.4232989400625199E-2</v>
      </c>
      <c r="AQ11">
        <v>8.0315023660659801E-4</v>
      </c>
      <c r="AR11">
        <v>0.24872186779975899</v>
      </c>
      <c r="AS11">
        <v>0</v>
      </c>
      <c r="AT11">
        <v>0</v>
      </c>
      <c r="AU11">
        <v>0</v>
      </c>
      <c r="AV11" t="s">
        <v>28</v>
      </c>
    </row>
    <row r="12" spans="7:48" x14ac:dyDescent="0.25">
      <c r="I12">
        <v>1.4990486670285501E-4</v>
      </c>
      <c r="J12">
        <v>-3.7795465439558001E-2</v>
      </c>
      <c r="K12">
        <v>-2.7046183822676501E-4</v>
      </c>
      <c r="L12">
        <v>-9.1095464304089494E-3</v>
      </c>
      <c r="M12">
        <v>-1.3357587158679999E-3</v>
      </c>
      <c r="N12">
        <v>0.21453136205673201</v>
      </c>
      <c r="O12">
        <v>0.5</v>
      </c>
      <c r="P12">
        <v>0</v>
      </c>
      <c r="Q12">
        <v>0</v>
      </c>
      <c r="R12" t="s">
        <v>28</v>
      </c>
      <c r="X12">
        <v>4.6094937715679402E-4</v>
      </c>
      <c r="Y12">
        <v>-2.8747312724590302E-2</v>
      </c>
      <c r="Z12">
        <v>-1.7448040307499501E-4</v>
      </c>
      <c r="AA12">
        <v>-7.4924039654433695E-4</v>
      </c>
      <c r="AB12">
        <v>-1.9123740494251299E-3</v>
      </c>
      <c r="AC12">
        <v>0.16522677242755901</v>
      </c>
      <c r="AD12">
        <v>1</v>
      </c>
      <c r="AE12">
        <v>0</v>
      </c>
      <c r="AF12">
        <v>0</v>
      </c>
      <c r="AG12" t="s">
        <v>28</v>
      </c>
      <c r="AM12">
        <v>6.3757481984794096E-4</v>
      </c>
      <c r="AN12">
        <v>-1.9085668027401002E-2</v>
      </c>
      <c r="AO12">
        <v>2.9602058930322501E-5</v>
      </c>
      <c r="AP12">
        <v>9.1695403680205293E-3</v>
      </c>
      <c r="AQ12">
        <v>-1.93817168474197E-3</v>
      </c>
      <c r="AR12">
        <v>0.111019782721996</v>
      </c>
      <c r="AS12">
        <v>1.5</v>
      </c>
      <c r="AT12">
        <v>0</v>
      </c>
      <c r="AU12">
        <v>0</v>
      </c>
      <c r="AV12" t="s">
        <v>28</v>
      </c>
    </row>
    <row r="13" spans="7:48" x14ac:dyDescent="0.25">
      <c r="I13">
        <v>-5.3684256272390496E-4</v>
      </c>
      <c r="J13">
        <v>-3.6707274615764597E-2</v>
      </c>
      <c r="K13">
        <v>1.2792006600648201E-6</v>
      </c>
      <c r="L13">
        <v>-6.1279572546482104E-3</v>
      </c>
      <c r="M13">
        <v>2.9950030148029301E-3</v>
      </c>
      <c r="N13">
        <v>0.209823608398438</v>
      </c>
      <c r="O13">
        <v>0</v>
      </c>
      <c r="P13">
        <v>0.5</v>
      </c>
      <c r="Q13">
        <v>0</v>
      </c>
      <c r="R13" t="s">
        <v>28</v>
      </c>
      <c r="X13">
        <v>-7.6827022712677696E-4</v>
      </c>
      <c r="Y13">
        <v>-2.7165766805410399E-2</v>
      </c>
      <c r="Z13">
        <v>2.1368774469010501E-5</v>
      </c>
      <c r="AA13">
        <v>4.7830417752265904E-3</v>
      </c>
      <c r="AB13">
        <v>5.7868864387273797E-3</v>
      </c>
      <c r="AC13">
        <v>0.15646727383136699</v>
      </c>
      <c r="AD13">
        <v>0</v>
      </c>
      <c r="AE13">
        <v>1</v>
      </c>
      <c r="AF13">
        <v>0</v>
      </c>
      <c r="AG13" t="s">
        <v>28</v>
      </c>
      <c r="AM13">
        <v>-7.3290034197270903E-4</v>
      </c>
      <c r="AN13">
        <v>-1.88013631850481E-2</v>
      </c>
      <c r="AO13">
        <v>-1.5106817591004101E-4</v>
      </c>
      <c r="AP13">
        <v>1.15277264267206E-2</v>
      </c>
      <c r="AQ13">
        <v>6.8578585051000101E-3</v>
      </c>
      <c r="AR13">
        <v>0.110123753547668</v>
      </c>
      <c r="AS13">
        <v>0</v>
      </c>
      <c r="AT13">
        <v>1.5</v>
      </c>
      <c r="AU13">
        <v>0</v>
      </c>
      <c r="AV13" t="s">
        <v>28</v>
      </c>
    </row>
    <row r="14" spans="7:48" x14ac:dyDescent="0.25">
      <c r="I14">
        <v>-3.34222451783717E-4</v>
      </c>
      <c r="J14">
        <v>-5.1604051142930998E-2</v>
      </c>
      <c r="K14">
        <v>-1.6764804604463301E-4</v>
      </c>
      <c r="L14">
        <v>-1.53888110071421E-2</v>
      </c>
      <c r="M14">
        <v>1.76630169153214E-3</v>
      </c>
      <c r="N14">
        <v>0.29455760121345498</v>
      </c>
      <c r="O14">
        <v>0</v>
      </c>
      <c r="P14">
        <v>0</v>
      </c>
      <c r="Q14">
        <v>0.5</v>
      </c>
      <c r="R14" t="s">
        <v>30</v>
      </c>
      <c r="X14">
        <v>-5.3039402700960604E-4</v>
      </c>
      <c r="Y14">
        <v>-6.1754897236824001E-2</v>
      </c>
      <c r="Z14">
        <v>-1.3558880891650899E-4</v>
      </c>
      <c r="AA14">
        <v>-1.08502134680748E-2</v>
      </c>
      <c r="AB14">
        <v>3.17833945155144E-3</v>
      </c>
      <c r="AC14">
        <v>0.35227984189987199</v>
      </c>
      <c r="AD14">
        <v>0</v>
      </c>
      <c r="AE14">
        <v>0</v>
      </c>
      <c r="AF14">
        <v>1</v>
      </c>
      <c r="AG14" t="s">
        <v>30</v>
      </c>
      <c r="AM14">
        <v>-7.0107413921505202E-4</v>
      </c>
      <c r="AN14">
        <v>-7.1857079863548307E-2</v>
      </c>
      <c r="AO14">
        <v>-9.1600581072270897E-5</v>
      </c>
      <c r="AP14">
        <v>-1.1773915961384799E-2</v>
      </c>
      <c r="AQ14">
        <v>4.9866326153278403E-3</v>
      </c>
      <c r="AR14">
        <v>0.41071912646293601</v>
      </c>
      <c r="AS14">
        <v>0</v>
      </c>
      <c r="AT14">
        <v>0</v>
      </c>
      <c r="AU14">
        <v>1.5</v>
      </c>
      <c r="AV14" t="s">
        <v>30</v>
      </c>
    </row>
    <row r="15" spans="7:48" x14ac:dyDescent="0.25">
      <c r="H15" t="s">
        <v>29</v>
      </c>
      <c r="I15">
        <v>-9.02065541595221E-4</v>
      </c>
      <c r="J15">
        <v>-9.5010705292224898E-2</v>
      </c>
      <c r="K15">
        <v>-3.1485431827604798E-4</v>
      </c>
      <c r="L15">
        <v>-0.14170777797699</v>
      </c>
      <c r="M15">
        <v>3.2724365592002899E-3</v>
      </c>
      <c r="N15">
        <v>0.46851912140846302</v>
      </c>
      <c r="O15">
        <v>0</v>
      </c>
      <c r="P15">
        <v>0</v>
      </c>
      <c r="Q15">
        <v>0</v>
      </c>
      <c r="R15" t="s">
        <v>28</v>
      </c>
      <c r="W15" t="s">
        <v>29</v>
      </c>
      <c r="X15">
        <v>-9.02065541595221E-4</v>
      </c>
      <c r="Y15">
        <v>-9.5010705292224898E-2</v>
      </c>
      <c r="Z15">
        <v>-3.1485431827604798E-4</v>
      </c>
      <c r="AA15">
        <v>-0.14170777797699</v>
      </c>
      <c r="AB15">
        <v>3.2724365592002899E-3</v>
      </c>
      <c r="AC15">
        <v>0.46851912140846302</v>
      </c>
      <c r="AD15">
        <v>0</v>
      </c>
      <c r="AE15">
        <v>0</v>
      </c>
      <c r="AF15">
        <v>0</v>
      </c>
      <c r="AG15" t="s">
        <v>28</v>
      </c>
      <c r="AL15" t="s">
        <v>29</v>
      </c>
      <c r="AM15">
        <v>-9.02065541595221E-4</v>
      </c>
      <c r="AN15">
        <v>-9.5010705292224898E-2</v>
      </c>
      <c r="AO15">
        <v>-3.1485431827604798E-4</v>
      </c>
      <c r="AP15">
        <v>-0.14170777797699</v>
      </c>
      <c r="AQ15">
        <v>3.2724365592002899E-3</v>
      </c>
      <c r="AR15">
        <v>0.46851912140846302</v>
      </c>
      <c r="AS15">
        <v>0</v>
      </c>
      <c r="AT15">
        <v>0</v>
      </c>
      <c r="AU15">
        <v>0</v>
      </c>
      <c r="AV15" t="s">
        <v>28</v>
      </c>
    </row>
    <row r="16" spans="7:48" x14ac:dyDescent="0.25">
      <c r="I16">
        <v>2.4599349126219701E-4</v>
      </c>
      <c r="J16">
        <v>-9.0344101190567003E-2</v>
      </c>
      <c r="K16">
        <v>-9.9040195345878601E-4</v>
      </c>
      <c r="L16">
        <v>-0.133248835802078</v>
      </c>
      <c r="M16">
        <v>-2.8831809759140002E-3</v>
      </c>
      <c r="N16">
        <v>0.446842432022095</v>
      </c>
      <c r="O16">
        <v>0.5</v>
      </c>
      <c r="P16">
        <v>0</v>
      </c>
      <c r="Q16">
        <v>0</v>
      </c>
      <c r="R16" t="s">
        <v>28</v>
      </c>
      <c r="X16">
        <v>1.11998070497066E-3</v>
      </c>
      <c r="Y16">
        <v>-8.2509450614452404E-2</v>
      </c>
      <c r="Z16">
        <v>-1.41473882831633E-3</v>
      </c>
      <c r="AA16">
        <v>-0.115338027477264</v>
      </c>
      <c r="AB16">
        <v>-6.8659633398056004E-3</v>
      </c>
      <c r="AC16">
        <v>0.41186845302581798</v>
      </c>
      <c r="AD16">
        <v>1</v>
      </c>
      <c r="AE16">
        <v>0</v>
      </c>
      <c r="AF16">
        <v>0</v>
      </c>
      <c r="AG16" t="s">
        <v>28</v>
      </c>
      <c r="AM16">
        <v>1.9676187075674499E-3</v>
      </c>
      <c r="AN16">
        <v>-7.4565351009368896E-2</v>
      </c>
      <c r="AO16">
        <v>-1.7849723808467399E-3</v>
      </c>
      <c r="AP16">
        <v>-9.6416868269443498E-2</v>
      </c>
      <c r="AQ16">
        <v>-1.09421387314796E-2</v>
      </c>
      <c r="AR16">
        <v>0.37433075904846203</v>
      </c>
      <c r="AS16">
        <v>1.5</v>
      </c>
      <c r="AT16">
        <v>0</v>
      </c>
      <c r="AU16">
        <v>0</v>
      </c>
      <c r="AV16" t="s">
        <v>28</v>
      </c>
    </row>
    <row r="17" spans="8:48" x14ac:dyDescent="0.25">
      <c r="I17">
        <v>-1.8506367923691899E-3</v>
      </c>
      <c r="J17">
        <v>-8.8594555854797405E-2</v>
      </c>
      <c r="K17">
        <v>4.1975238127633902E-4</v>
      </c>
      <c r="L17">
        <v>-0.12672121822834001</v>
      </c>
      <c r="M17">
        <v>9.3478858470916696E-3</v>
      </c>
      <c r="N17">
        <v>0.43988659977912897</v>
      </c>
      <c r="O17">
        <v>0</v>
      </c>
      <c r="P17">
        <v>0.5</v>
      </c>
      <c r="Q17">
        <v>0</v>
      </c>
      <c r="R17" t="s">
        <v>28</v>
      </c>
      <c r="X17">
        <v>-3.0216267332434702E-3</v>
      </c>
      <c r="Y17">
        <v>-8.1563368439674405E-2</v>
      </c>
      <c r="Z17">
        <v>1.24832289293408E-3</v>
      </c>
      <c r="AA17">
        <v>-0.112349167466164</v>
      </c>
      <c r="AB17">
        <v>1.6722420230507899E-2</v>
      </c>
      <c r="AC17">
        <v>0.407246112823486</v>
      </c>
      <c r="AD17">
        <v>0</v>
      </c>
      <c r="AE17">
        <v>1</v>
      </c>
      <c r="AF17">
        <v>0</v>
      </c>
      <c r="AG17" t="s">
        <v>28</v>
      </c>
      <c r="AM17">
        <v>-4.0576285682618601E-3</v>
      </c>
      <c r="AN17">
        <v>-7.3690921068191501E-2</v>
      </c>
      <c r="AO17">
        <v>1.9469512626528701E-3</v>
      </c>
      <c r="AP17">
        <v>-9.1172099113464397E-2</v>
      </c>
      <c r="AQ17">
        <v>2.3470446467399601E-2</v>
      </c>
      <c r="AR17">
        <v>0.37116280198097201</v>
      </c>
      <c r="AS17">
        <v>0</v>
      </c>
      <c r="AT17">
        <v>1.5</v>
      </c>
      <c r="AU17">
        <v>0</v>
      </c>
      <c r="AV17" t="s">
        <v>28</v>
      </c>
    </row>
    <row r="18" spans="8:48" x14ac:dyDescent="0.25">
      <c r="I18">
        <v>-1.1307185050100099E-3</v>
      </c>
      <c r="J18">
        <v>-0.100342579185963</v>
      </c>
      <c r="K18">
        <v>-1.6161840176209799E-4</v>
      </c>
      <c r="L18">
        <v>-0.14653116464614899</v>
      </c>
      <c r="M18">
        <v>4.9810111522674604E-3</v>
      </c>
      <c r="N18">
        <v>0.49788346886634799</v>
      </c>
      <c r="O18">
        <v>0</v>
      </c>
      <c r="P18">
        <v>0</v>
      </c>
      <c r="Q18">
        <v>0.5</v>
      </c>
      <c r="R18" t="s">
        <v>30</v>
      </c>
      <c r="X18">
        <v>-1.32783397566527E-3</v>
      </c>
      <c r="Y18">
        <v>-0.106191068887711</v>
      </c>
      <c r="Z18">
        <v>-5.5953569244593402E-5</v>
      </c>
      <c r="AA18">
        <v>-0.15105041861534099</v>
      </c>
      <c r="AB18">
        <v>7.1365274488925899E-3</v>
      </c>
      <c r="AC18">
        <v>0.52852129936218295</v>
      </c>
      <c r="AD18">
        <v>0</v>
      </c>
      <c r="AE18">
        <v>0</v>
      </c>
      <c r="AF18">
        <v>1</v>
      </c>
      <c r="AG18" t="s">
        <v>30</v>
      </c>
      <c r="AM18">
        <v>-1.7205990152433499E-3</v>
      </c>
      <c r="AN18">
        <v>-0.117403469979763</v>
      </c>
      <c r="AO18">
        <v>1.1818628991022701E-4</v>
      </c>
      <c r="AP18">
        <v>-0.161251455545425</v>
      </c>
      <c r="AQ18">
        <v>9.8144263029098493E-3</v>
      </c>
      <c r="AR18">
        <v>0.58599090576171897</v>
      </c>
      <c r="AS18">
        <v>0</v>
      </c>
      <c r="AT18">
        <v>0</v>
      </c>
      <c r="AU18">
        <v>1.5</v>
      </c>
      <c r="AV18" t="s">
        <v>30</v>
      </c>
    </row>
    <row r="19" spans="8:48" x14ac:dyDescent="0.25">
      <c r="H19" t="s">
        <v>29</v>
      </c>
      <c r="I19">
        <v>-1.3697715476155301E-3</v>
      </c>
      <c r="J19">
        <v>-0.129899337887764</v>
      </c>
      <c r="K19">
        <v>-1.1154995299875699E-3</v>
      </c>
      <c r="L19">
        <v>-0.27736902236938499</v>
      </c>
      <c r="M19">
        <v>2.9984340071678201E-3</v>
      </c>
      <c r="N19">
        <v>0.62586665153503396</v>
      </c>
      <c r="O19">
        <v>0</v>
      </c>
      <c r="P19">
        <v>0</v>
      </c>
      <c r="Q19">
        <v>0</v>
      </c>
      <c r="R19" t="s">
        <v>28</v>
      </c>
      <c r="W19" t="s">
        <v>29</v>
      </c>
      <c r="X19">
        <v>-1.3697715476155301E-3</v>
      </c>
      <c r="Y19">
        <v>-0.129899337887764</v>
      </c>
      <c r="Z19">
        <v>-1.1154995299875699E-3</v>
      </c>
      <c r="AA19">
        <v>-0.27736902236938499</v>
      </c>
      <c r="AB19">
        <v>2.9984340071678201E-3</v>
      </c>
      <c r="AC19">
        <v>0.62586665153503396</v>
      </c>
      <c r="AD19">
        <v>0</v>
      </c>
      <c r="AE19">
        <v>0</v>
      </c>
      <c r="AF19">
        <v>0</v>
      </c>
      <c r="AG19" t="s">
        <v>28</v>
      </c>
      <c r="AL19" t="s">
        <v>29</v>
      </c>
      <c r="AM19">
        <v>-1.3697715476155301E-3</v>
      </c>
      <c r="AN19">
        <v>-0.129899337887764</v>
      </c>
      <c r="AO19">
        <v>-1.1154995299875699E-3</v>
      </c>
      <c r="AP19">
        <v>-0.27736902236938499</v>
      </c>
      <c r="AQ19">
        <v>2.9984340071678201E-3</v>
      </c>
      <c r="AR19">
        <v>0.62586665153503396</v>
      </c>
      <c r="AS19">
        <v>0</v>
      </c>
      <c r="AT19">
        <v>0</v>
      </c>
      <c r="AU19">
        <v>0</v>
      </c>
      <c r="AV19" t="s">
        <v>28</v>
      </c>
    </row>
    <row r="20" spans="8:48" x14ac:dyDescent="0.25">
      <c r="I20">
        <v>3.2646046020090602E-4</v>
      </c>
      <c r="J20">
        <v>-0.12403129786253</v>
      </c>
      <c r="K20">
        <v>-2.0632715895772002E-3</v>
      </c>
      <c r="L20">
        <v>-0.2605299949646</v>
      </c>
      <c r="M20">
        <v>-6.2308013439178501E-3</v>
      </c>
      <c r="N20">
        <v>0.59941601753234897</v>
      </c>
      <c r="O20">
        <v>0.5</v>
      </c>
      <c r="P20">
        <v>0</v>
      </c>
      <c r="Q20">
        <v>0</v>
      </c>
      <c r="R20" t="s">
        <v>28</v>
      </c>
      <c r="X20">
        <v>1.0789594380184999E-3</v>
      </c>
      <c r="Y20">
        <v>-0.11674865335226101</v>
      </c>
      <c r="Z20">
        <v>-2.3895120248198501E-3</v>
      </c>
      <c r="AA20">
        <v>-0.239661380648613</v>
      </c>
      <c r="AB20">
        <v>-9.9661052227020298E-3</v>
      </c>
      <c r="AC20">
        <v>0.56697064638137795</v>
      </c>
      <c r="AD20">
        <v>1</v>
      </c>
      <c r="AE20">
        <v>0</v>
      </c>
      <c r="AF20">
        <v>0</v>
      </c>
      <c r="AG20" t="s">
        <v>28</v>
      </c>
      <c r="AM20">
        <v>2.7323425747454201E-3</v>
      </c>
      <c r="AN20">
        <v>-0.10860975831747099</v>
      </c>
      <c r="AO20">
        <v>-3.2638874836266002E-3</v>
      </c>
      <c r="AP20">
        <v>-0.21757072210311901</v>
      </c>
      <c r="AQ20">
        <v>-1.8986932933330501E-2</v>
      </c>
      <c r="AR20">
        <v>0.52928400039672896</v>
      </c>
      <c r="AS20">
        <v>1.5</v>
      </c>
      <c r="AT20">
        <v>0</v>
      </c>
      <c r="AU20">
        <v>0</v>
      </c>
      <c r="AV20" t="s">
        <v>28</v>
      </c>
    </row>
    <row r="21" spans="8:48" x14ac:dyDescent="0.25">
      <c r="I21">
        <v>-2.7219806797802401E-3</v>
      </c>
      <c r="J21">
        <v>-0.122637674212456</v>
      </c>
      <c r="K21">
        <v>-1.34723843075335E-4</v>
      </c>
      <c r="L21">
        <v>-0.25649419426918002</v>
      </c>
      <c r="M21">
        <v>1.1550098657607999E-2</v>
      </c>
      <c r="N21">
        <v>0.59437549114227295</v>
      </c>
      <c r="O21">
        <v>0</v>
      </c>
      <c r="P21">
        <v>0.5</v>
      </c>
      <c r="Q21">
        <v>0</v>
      </c>
      <c r="R21" t="s">
        <v>28</v>
      </c>
      <c r="X21">
        <v>-4.3625882826745501E-3</v>
      </c>
      <c r="Y21">
        <v>-0.114450730383396</v>
      </c>
      <c r="Z21">
        <v>9.970135288313029E-4</v>
      </c>
      <c r="AA21">
        <v>-0.23323938250541701</v>
      </c>
      <c r="AB21">
        <v>2.1434955298900601E-2</v>
      </c>
      <c r="AC21">
        <v>0.55733346939086903</v>
      </c>
      <c r="AD21">
        <v>0</v>
      </c>
      <c r="AE21">
        <v>1</v>
      </c>
      <c r="AF21">
        <v>0</v>
      </c>
      <c r="AG21" t="s">
        <v>28</v>
      </c>
      <c r="AM21">
        <v>-5.8991224505007302E-3</v>
      </c>
      <c r="AN21">
        <v>-0.10732630640268299</v>
      </c>
      <c r="AO21">
        <v>1.9926719833165399E-3</v>
      </c>
      <c r="AP21">
        <v>-0.212300300598145</v>
      </c>
      <c r="AQ21">
        <v>3.0471928417682599E-2</v>
      </c>
      <c r="AR21">
        <v>0.52430135011672996</v>
      </c>
      <c r="AS21">
        <v>0</v>
      </c>
      <c r="AT21">
        <v>1.5</v>
      </c>
      <c r="AU21">
        <v>0</v>
      </c>
      <c r="AV21" t="s">
        <v>28</v>
      </c>
    </row>
    <row r="22" spans="8:48" x14ac:dyDescent="0.25">
      <c r="I22">
        <v>-1.64759205654263E-3</v>
      </c>
      <c r="J22">
        <v>-0.13209010660648299</v>
      </c>
      <c r="K22">
        <v>-9.5238280482590199E-4</v>
      </c>
      <c r="L22">
        <v>-0.27622804045677202</v>
      </c>
      <c r="M22">
        <v>5.3521543741226196E-3</v>
      </c>
      <c r="N22">
        <v>0.63961708545684803</v>
      </c>
      <c r="O22">
        <v>0</v>
      </c>
      <c r="P22">
        <v>0</v>
      </c>
      <c r="Q22">
        <v>0.5</v>
      </c>
      <c r="R22" t="s">
        <v>30</v>
      </c>
      <c r="X22">
        <v>-2.1919934079051E-3</v>
      </c>
      <c r="Y22">
        <v>-0.14200709760189101</v>
      </c>
      <c r="Z22">
        <v>-7.6931557850912202E-4</v>
      </c>
      <c r="AA22">
        <v>-0.29801037907600397</v>
      </c>
      <c r="AB22">
        <v>8.01820307970047E-3</v>
      </c>
      <c r="AC22">
        <v>0.68905413150787398</v>
      </c>
      <c r="AD22">
        <v>0</v>
      </c>
      <c r="AE22">
        <v>0</v>
      </c>
      <c r="AF22">
        <v>1</v>
      </c>
      <c r="AG22" t="s">
        <v>30</v>
      </c>
      <c r="AM22">
        <v>-2.5776759721338701E-3</v>
      </c>
      <c r="AN22">
        <v>-0.14990681409835799</v>
      </c>
      <c r="AO22">
        <v>-6.4788857707753799E-4</v>
      </c>
      <c r="AP22">
        <v>-0.31052434444427501</v>
      </c>
      <c r="AQ22">
        <v>1.01436153054237E-2</v>
      </c>
      <c r="AR22">
        <v>0.72825366258621205</v>
      </c>
      <c r="AS22">
        <v>0</v>
      </c>
      <c r="AT22">
        <v>0</v>
      </c>
      <c r="AU22">
        <v>1.5</v>
      </c>
      <c r="AV22" t="s">
        <v>30</v>
      </c>
    </row>
    <row r="23" spans="8:48" x14ac:dyDescent="0.25">
      <c r="H23" t="s">
        <v>29</v>
      </c>
      <c r="I23">
        <v>-1.30162085406482E-3</v>
      </c>
      <c r="J23">
        <v>-9.1771319508552607E-2</v>
      </c>
      <c r="K23">
        <v>-6.8558257771655895E-4</v>
      </c>
      <c r="L23">
        <v>-0.188138782978058</v>
      </c>
      <c r="M23">
        <v>3.5599116235971499E-3</v>
      </c>
      <c r="N23">
        <v>0.316497713327408</v>
      </c>
      <c r="O23">
        <v>0</v>
      </c>
      <c r="P23">
        <v>0</v>
      </c>
      <c r="Q23">
        <v>0</v>
      </c>
      <c r="R23" t="s">
        <v>28</v>
      </c>
      <c r="W23" t="s">
        <v>29</v>
      </c>
      <c r="X23">
        <v>-1.30162085406482E-3</v>
      </c>
      <c r="Y23">
        <v>-9.1771319508552607E-2</v>
      </c>
      <c r="Z23">
        <v>-6.8558257771655895E-4</v>
      </c>
      <c r="AA23">
        <v>-0.188138782978058</v>
      </c>
      <c r="AB23">
        <v>3.5599116235971499E-3</v>
      </c>
      <c r="AC23">
        <v>0.316497713327408</v>
      </c>
      <c r="AD23">
        <v>0</v>
      </c>
      <c r="AE23">
        <v>0</v>
      </c>
      <c r="AF23">
        <v>0</v>
      </c>
      <c r="AG23" t="s">
        <v>28</v>
      </c>
      <c r="AL23" t="s">
        <v>29</v>
      </c>
      <c r="AM23">
        <v>-1.30162085406482E-3</v>
      </c>
      <c r="AN23">
        <v>-9.1771319508552607E-2</v>
      </c>
      <c r="AO23">
        <v>-6.8558257771655895E-4</v>
      </c>
      <c r="AP23">
        <v>-0.188138782978058</v>
      </c>
      <c r="AQ23">
        <v>3.5599116235971499E-3</v>
      </c>
      <c r="AR23">
        <v>0.316497713327408</v>
      </c>
      <c r="AS23">
        <v>0</v>
      </c>
      <c r="AT23">
        <v>0</v>
      </c>
      <c r="AU23">
        <v>0</v>
      </c>
      <c r="AV23" t="s">
        <v>28</v>
      </c>
    </row>
    <row r="24" spans="8:48" x14ac:dyDescent="0.25">
      <c r="I24">
        <v>9.6381898038089297E-4</v>
      </c>
      <c r="J24">
        <v>-8.5903972387313801E-2</v>
      </c>
      <c r="K24">
        <v>-2.5404219049960401E-3</v>
      </c>
      <c r="L24">
        <v>-0.17557142674922899</v>
      </c>
      <c r="M24">
        <v>-8.3203129470348393E-3</v>
      </c>
      <c r="N24">
        <v>0.29679262638092002</v>
      </c>
      <c r="O24">
        <v>0.5</v>
      </c>
      <c r="P24">
        <v>0</v>
      </c>
      <c r="Q24">
        <v>0</v>
      </c>
      <c r="R24" t="s">
        <v>28</v>
      </c>
      <c r="X24">
        <v>2.1334765478968599E-3</v>
      </c>
      <c r="Y24">
        <v>-7.8673288226127597E-2</v>
      </c>
      <c r="Z24">
        <v>-3.3856690861284698E-3</v>
      </c>
      <c r="AA24">
        <v>-0.15782742202281999</v>
      </c>
      <c r="AB24">
        <v>-1.3936560600996E-2</v>
      </c>
      <c r="AC24">
        <v>0.27476710081100503</v>
      </c>
      <c r="AD24">
        <v>1</v>
      </c>
      <c r="AE24">
        <v>0</v>
      </c>
      <c r="AF24">
        <v>0</v>
      </c>
      <c r="AG24" t="s">
        <v>28</v>
      </c>
      <c r="AM24">
        <v>3.6144303157925601E-3</v>
      </c>
      <c r="AN24">
        <v>-7.2152756154537201E-2</v>
      </c>
      <c r="AO24">
        <v>-4.4338414445519404E-3</v>
      </c>
      <c r="AP24">
        <v>-0.125853091478348</v>
      </c>
      <c r="AQ24">
        <v>-2.1538056433200801E-2</v>
      </c>
      <c r="AR24">
        <v>0.25275784730911299</v>
      </c>
      <c r="AS24">
        <v>1.5</v>
      </c>
      <c r="AT24">
        <v>0</v>
      </c>
      <c r="AU24">
        <v>0</v>
      </c>
      <c r="AV24" t="s">
        <v>28</v>
      </c>
    </row>
    <row r="25" spans="8:48" x14ac:dyDescent="0.25">
      <c r="I25">
        <v>-3.1982432119548299E-3</v>
      </c>
      <c r="J25">
        <v>-8.5218042135238606E-2</v>
      </c>
      <c r="K25">
        <v>1.1406430276110801E-3</v>
      </c>
      <c r="L25">
        <v>-0.17052030563354501</v>
      </c>
      <c r="M25">
        <v>1.40790585428476E-2</v>
      </c>
      <c r="N25">
        <v>0.29610446095466603</v>
      </c>
      <c r="O25">
        <v>0</v>
      </c>
      <c r="P25">
        <v>0.5</v>
      </c>
      <c r="Q25">
        <v>0</v>
      </c>
      <c r="R25" t="s">
        <v>28</v>
      </c>
      <c r="X25">
        <v>-5.3475773893296701E-3</v>
      </c>
      <c r="Y25">
        <v>-7.7887043356895405E-2</v>
      </c>
      <c r="Z25">
        <v>3.1169473659247199E-3</v>
      </c>
      <c r="AA25">
        <v>-0.15005394816398601</v>
      </c>
      <c r="AB25">
        <v>2.6179488748312E-2</v>
      </c>
      <c r="AC25">
        <v>0.272424846887589</v>
      </c>
      <c r="AD25">
        <v>0</v>
      </c>
      <c r="AE25">
        <v>1</v>
      </c>
      <c r="AF25">
        <v>0</v>
      </c>
      <c r="AG25" t="s">
        <v>28</v>
      </c>
      <c r="AM25">
        <v>-7.0790741592645602E-3</v>
      </c>
      <c r="AN25">
        <v>-7.1189694106578799E-2</v>
      </c>
      <c r="AO25">
        <v>4.6558286994695698E-3</v>
      </c>
      <c r="AP25">
        <v>-0.12878109514713301</v>
      </c>
      <c r="AQ25">
        <v>3.5958077758550602E-2</v>
      </c>
      <c r="AR25">
        <v>0.25089681148529103</v>
      </c>
      <c r="AS25">
        <v>0</v>
      </c>
      <c r="AT25">
        <v>1.5</v>
      </c>
      <c r="AU25">
        <v>0</v>
      </c>
      <c r="AV25" t="s">
        <v>28</v>
      </c>
    </row>
    <row r="26" spans="8:48" x14ac:dyDescent="0.25">
      <c r="I26">
        <v>-1.7902635736390901E-3</v>
      </c>
      <c r="J26">
        <v>-9.6448004245758098E-2</v>
      </c>
      <c r="K26">
        <v>-3.2140285475179602E-4</v>
      </c>
      <c r="L26">
        <v>-0.19694747030734999</v>
      </c>
      <c r="M26">
        <v>6.0314210131764403E-3</v>
      </c>
      <c r="N26">
        <v>0.334655702114105</v>
      </c>
      <c r="O26">
        <v>0</v>
      </c>
      <c r="P26">
        <v>0</v>
      </c>
      <c r="Q26">
        <v>0.5</v>
      </c>
      <c r="R26" t="s">
        <v>30</v>
      </c>
      <c r="X26">
        <v>-2.4072818923741601E-3</v>
      </c>
      <c r="Y26">
        <v>-0.10561495274305301</v>
      </c>
      <c r="Z26">
        <v>5.1816481573041501E-5</v>
      </c>
      <c r="AA26">
        <v>-0.21281039714813199</v>
      </c>
      <c r="AB26">
        <v>9.7759189084172197E-3</v>
      </c>
      <c r="AC26">
        <v>0.36723855137825001</v>
      </c>
      <c r="AD26">
        <v>0</v>
      </c>
      <c r="AE26">
        <v>0</v>
      </c>
      <c r="AF26">
        <v>1</v>
      </c>
      <c r="AG26" t="s">
        <v>30</v>
      </c>
      <c r="AM26">
        <v>-2.76509672403336E-3</v>
      </c>
      <c r="AN26">
        <v>-0.11132932454347599</v>
      </c>
      <c r="AO26">
        <v>2.25328607484698E-4</v>
      </c>
      <c r="AP26">
        <v>-0.22193863987922699</v>
      </c>
      <c r="AQ26">
        <v>1.1183009482920199E-2</v>
      </c>
      <c r="AR26">
        <v>0.38772404193878202</v>
      </c>
      <c r="AS26">
        <v>0</v>
      </c>
      <c r="AT26">
        <v>0</v>
      </c>
      <c r="AU26">
        <v>1.5</v>
      </c>
      <c r="AV26" t="s">
        <v>30</v>
      </c>
    </row>
    <row r="27" spans="8:48" x14ac:dyDescent="0.25">
      <c r="H27" t="s">
        <v>29</v>
      </c>
      <c r="I27">
        <v>-2.1819151006638999E-3</v>
      </c>
      <c r="J27">
        <v>-0.134275212883949</v>
      </c>
      <c r="K27">
        <v>-2.8121363720856602E-4</v>
      </c>
      <c r="L27">
        <v>-0.47822567820549</v>
      </c>
      <c r="M27">
        <v>1.2040870264172601E-2</v>
      </c>
      <c r="N27">
        <v>0.39143002033233598</v>
      </c>
      <c r="O27">
        <v>0</v>
      </c>
      <c r="P27">
        <v>0</v>
      </c>
      <c r="Q27">
        <v>0</v>
      </c>
      <c r="R27" t="s">
        <v>28</v>
      </c>
      <c r="W27" t="s">
        <v>29</v>
      </c>
      <c r="X27">
        <v>-2.1819151006638999E-3</v>
      </c>
      <c r="Y27">
        <v>-0.134275212883949</v>
      </c>
      <c r="Z27">
        <v>-2.8121363720856602E-4</v>
      </c>
      <c r="AA27">
        <v>-0.47822567820549</v>
      </c>
      <c r="AB27">
        <v>1.2040870264172601E-2</v>
      </c>
      <c r="AC27">
        <v>0.39143002033233598</v>
      </c>
      <c r="AD27">
        <v>0</v>
      </c>
      <c r="AE27">
        <v>0</v>
      </c>
      <c r="AF27">
        <v>0</v>
      </c>
      <c r="AG27" t="s">
        <v>28</v>
      </c>
      <c r="AL27" t="s">
        <v>29</v>
      </c>
      <c r="AM27">
        <v>-2.1819151006638999E-3</v>
      </c>
      <c r="AN27">
        <v>-0.134275212883949</v>
      </c>
      <c r="AO27">
        <v>-2.8121363720856602E-4</v>
      </c>
      <c r="AP27">
        <v>-0.47822567820549</v>
      </c>
      <c r="AQ27">
        <v>1.2040870264172601E-2</v>
      </c>
      <c r="AR27">
        <v>0.39143002033233598</v>
      </c>
      <c r="AS27">
        <v>0</v>
      </c>
      <c r="AT27">
        <v>0</v>
      </c>
      <c r="AU27">
        <v>0</v>
      </c>
      <c r="AV27" t="s">
        <v>28</v>
      </c>
    </row>
    <row r="28" spans="8:48" x14ac:dyDescent="0.25">
      <c r="I28">
        <v>1.28366739954799E-3</v>
      </c>
      <c r="J28">
        <v>-0.128777965903282</v>
      </c>
      <c r="K28">
        <v>-2.5125290267169502E-3</v>
      </c>
      <c r="L28">
        <v>-0.45400995016098</v>
      </c>
      <c r="M28">
        <v>-7.2321929037570997E-3</v>
      </c>
      <c r="N28">
        <v>0.37721437215805098</v>
      </c>
      <c r="O28">
        <v>0.5</v>
      </c>
      <c r="P28">
        <v>0</v>
      </c>
      <c r="Q28">
        <v>0</v>
      </c>
      <c r="R28" t="s">
        <v>28</v>
      </c>
      <c r="X28">
        <v>2.81068682670593E-3</v>
      </c>
      <c r="Y28">
        <v>-0.121507167816162</v>
      </c>
      <c r="Z28">
        <v>-3.3819505479186799E-3</v>
      </c>
      <c r="AA28">
        <v>-0.42114067077636702</v>
      </c>
      <c r="AB28">
        <v>-1.4590077102184301E-2</v>
      </c>
      <c r="AC28">
        <v>0.35988470911979697</v>
      </c>
      <c r="AD28">
        <v>1</v>
      </c>
      <c r="AE28">
        <v>0</v>
      </c>
      <c r="AF28">
        <v>0</v>
      </c>
      <c r="AG28" t="s">
        <v>28</v>
      </c>
      <c r="AM28">
        <v>5.7934392243623699E-3</v>
      </c>
      <c r="AN28">
        <v>-0.114684946835041</v>
      </c>
      <c r="AO28">
        <v>-5.1649995148181898E-3</v>
      </c>
      <c r="AP28">
        <v>-0.39321956038474998</v>
      </c>
      <c r="AQ28">
        <v>-3.1115166842937501E-2</v>
      </c>
      <c r="AR28">
        <v>0.342921882867813</v>
      </c>
      <c r="AS28">
        <v>1.5</v>
      </c>
      <c r="AT28">
        <v>0</v>
      </c>
      <c r="AU28">
        <v>0</v>
      </c>
      <c r="AV28" t="s">
        <v>28</v>
      </c>
    </row>
    <row r="29" spans="8:48" x14ac:dyDescent="0.25">
      <c r="I29">
        <v>-5.4718861356377602E-3</v>
      </c>
      <c r="J29">
        <v>-0.12728570401668499</v>
      </c>
      <c r="K29">
        <v>2.10938439704478E-3</v>
      </c>
      <c r="L29">
        <v>-0.44874367117881803</v>
      </c>
      <c r="M29">
        <v>3.1951960176229498E-2</v>
      </c>
      <c r="N29">
        <v>0.374636590480804</v>
      </c>
      <c r="O29">
        <v>0</v>
      </c>
      <c r="P29">
        <v>0.5</v>
      </c>
      <c r="Q29">
        <v>0</v>
      </c>
      <c r="R29" t="s">
        <v>28</v>
      </c>
      <c r="X29">
        <v>-8.4775444120168703E-3</v>
      </c>
      <c r="Y29">
        <v>-0.120613545179367</v>
      </c>
      <c r="Z29">
        <v>4.2216349393129297E-3</v>
      </c>
      <c r="AA29">
        <v>-0.41639053821563698</v>
      </c>
      <c r="AB29">
        <v>4.9453981220722198E-2</v>
      </c>
      <c r="AC29">
        <v>0.358586966991425</v>
      </c>
      <c r="AD29">
        <v>0</v>
      </c>
      <c r="AE29">
        <v>1</v>
      </c>
      <c r="AF29">
        <v>0</v>
      </c>
      <c r="AG29" t="s">
        <v>28</v>
      </c>
      <c r="AM29">
        <v>-1.0975661687552899E-2</v>
      </c>
      <c r="AN29">
        <v>-0.11342978477478</v>
      </c>
      <c r="AO29">
        <v>5.99190220236778E-3</v>
      </c>
      <c r="AP29">
        <v>-0.38463625311851501</v>
      </c>
      <c r="AQ29">
        <v>6.3686281442642198E-2</v>
      </c>
      <c r="AR29">
        <v>0.33994320034980802</v>
      </c>
      <c r="AS29">
        <v>0</v>
      </c>
      <c r="AT29">
        <v>1.5</v>
      </c>
      <c r="AU29">
        <v>0</v>
      </c>
      <c r="AV29" t="s">
        <v>28</v>
      </c>
    </row>
    <row r="30" spans="8:48" x14ac:dyDescent="0.25">
      <c r="I30">
        <v>-3.5660644061863401E-3</v>
      </c>
      <c r="J30">
        <v>-0.13650599122047399</v>
      </c>
      <c r="K30">
        <v>6.8410328822210399E-4</v>
      </c>
      <c r="L30">
        <v>-0.48008558154106101</v>
      </c>
      <c r="M30">
        <v>2.16469299048185E-2</v>
      </c>
      <c r="N30">
        <v>0.39944189786911</v>
      </c>
      <c r="O30">
        <v>0</v>
      </c>
      <c r="P30">
        <v>0</v>
      </c>
      <c r="Q30">
        <v>0.5</v>
      </c>
      <c r="R30" t="s">
        <v>30</v>
      </c>
      <c r="X30">
        <v>-3.8649328052997602E-3</v>
      </c>
      <c r="Y30">
        <v>-0.14329923689365401</v>
      </c>
      <c r="Z30">
        <v>8.1204215530306101E-4</v>
      </c>
      <c r="AA30">
        <v>-0.50669300556182895</v>
      </c>
      <c r="AB30">
        <v>2.37305648624897E-2</v>
      </c>
      <c r="AC30">
        <v>0.41881522536277799</v>
      </c>
      <c r="AD30">
        <v>0</v>
      </c>
      <c r="AE30">
        <v>0</v>
      </c>
      <c r="AF30">
        <v>1</v>
      </c>
      <c r="AG30" t="s">
        <v>30</v>
      </c>
      <c r="AM30">
        <v>-4.1735381819307804E-3</v>
      </c>
      <c r="AN30">
        <v>-0.14866587519645699</v>
      </c>
      <c r="AO30">
        <v>9.3002978246658997E-4</v>
      </c>
      <c r="AP30">
        <v>-0.52159506082534801</v>
      </c>
      <c r="AQ30">
        <v>2.5465684011578602E-2</v>
      </c>
      <c r="AR30">
        <v>0.43503433465957603</v>
      </c>
      <c r="AS30">
        <v>0</v>
      </c>
      <c r="AT30">
        <v>0</v>
      </c>
      <c r="AU30">
        <v>1.5</v>
      </c>
      <c r="AV30" t="s">
        <v>30</v>
      </c>
    </row>
    <row r="31" spans="8:48" x14ac:dyDescent="0.25">
      <c r="H31" t="s">
        <v>29</v>
      </c>
      <c r="I31">
        <v>-1.05854228604585E-3</v>
      </c>
      <c r="J31">
        <v>-0.13548035919666301</v>
      </c>
      <c r="K31">
        <v>-1.24974839854985E-3</v>
      </c>
      <c r="L31">
        <v>-0.72550737857818604</v>
      </c>
      <c r="M31">
        <v>2.9684353619813902E-2</v>
      </c>
      <c r="N31">
        <v>0.13168570399284399</v>
      </c>
      <c r="O31">
        <v>0</v>
      </c>
      <c r="P31">
        <v>0</v>
      </c>
      <c r="Q31">
        <v>0</v>
      </c>
      <c r="R31" t="s">
        <v>28</v>
      </c>
      <c r="W31" t="s">
        <v>29</v>
      </c>
      <c r="X31">
        <v>-1.05854228604585E-3</v>
      </c>
      <c r="Y31">
        <v>-0.13548035919666301</v>
      </c>
      <c r="Z31">
        <v>-1.24974839854985E-3</v>
      </c>
      <c r="AA31">
        <v>-0.72550737857818604</v>
      </c>
      <c r="AB31">
        <v>2.9684353619813902E-2</v>
      </c>
      <c r="AC31">
        <v>0.13168570399284399</v>
      </c>
      <c r="AD31">
        <v>0</v>
      </c>
      <c r="AE31">
        <v>0</v>
      </c>
      <c r="AF31">
        <v>0</v>
      </c>
      <c r="AG31" t="s">
        <v>28</v>
      </c>
      <c r="AL31" t="s">
        <v>29</v>
      </c>
      <c r="AM31">
        <v>-1.05854228604585E-3</v>
      </c>
      <c r="AN31">
        <v>-0.13548035919666301</v>
      </c>
      <c r="AO31">
        <v>-1.24974839854985E-3</v>
      </c>
      <c r="AP31">
        <v>-0.72550737857818604</v>
      </c>
      <c r="AQ31">
        <v>2.9684353619813902E-2</v>
      </c>
      <c r="AR31">
        <v>0.13168570399284399</v>
      </c>
      <c r="AS31">
        <v>0</v>
      </c>
      <c r="AT31">
        <v>0</v>
      </c>
      <c r="AU31">
        <v>0</v>
      </c>
      <c r="AV31" t="s">
        <v>28</v>
      </c>
    </row>
    <row r="32" spans="8:48" x14ac:dyDescent="0.25">
      <c r="I32">
        <v>3.4768960904329998E-3</v>
      </c>
      <c r="J32">
        <v>-0.12835875153541601</v>
      </c>
      <c r="K32">
        <v>-3.73718934133649E-3</v>
      </c>
      <c r="L32">
        <v>-0.68468731641769398</v>
      </c>
      <c r="M32">
        <v>1.3471883721649599E-3</v>
      </c>
      <c r="N32">
        <v>0.124703593552113</v>
      </c>
      <c r="O32">
        <v>0.5</v>
      </c>
      <c r="P32">
        <v>0</v>
      </c>
      <c r="Q32">
        <v>0</v>
      </c>
      <c r="R32" t="s">
        <v>28</v>
      </c>
      <c r="X32">
        <v>4.3551013804972198E-3</v>
      </c>
      <c r="Y32">
        <v>-0.12111333012580899</v>
      </c>
      <c r="Z32">
        <v>-4.0987683460116404E-3</v>
      </c>
      <c r="AA32">
        <v>-0.64230233430862405</v>
      </c>
      <c r="AB32">
        <v>-4.7432221472263301E-3</v>
      </c>
      <c r="AC32">
        <v>0.117863103747368</v>
      </c>
      <c r="AD32">
        <v>1</v>
      </c>
      <c r="AE32">
        <v>0</v>
      </c>
      <c r="AF32">
        <v>0</v>
      </c>
      <c r="AG32" t="s">
        <v>28</v>
      </c>
      <c r="AM32">
        <v>7.96904414892197E-3</v>
      </c>
      <c r="AN32">
        <v>-0.11474589258432399</v>
      </c>
      <c r="AO32">
        <v>-6.0131093487143499E-3</v>
      </c>
      <c r="AP32">
        <v>-0.60557293891906705</v>
      </c>
      <c r="AQ32">
        <v>-2.7572307735681499E-2</v>
      </c>
      <c r="AR32">
        <v>0.11280394345521901</v>
      </c>
      <c r="AS32">
        <v>1.5</v>
      </c>
      <c r="AT32">
        <v>0</v>
      </c>
      <c r="AU32">
        <v>0</v>
      </c>
      <c r="AV32" t="s">
        <v>28</v>
      </c>
    </row>
    <row r="33" spans="8:49" x14ac:dyDescent="0.25">
      <c r="I33">
        <v>-4.7603473067283596E-3</v>
      </c>
      <c r="J33">
        <v>-0.12630911171436299</v>
      </c>
      <c r="K33">
        <v>1.03824585676193E-3</v>
      </c>
      <c r="L33">
        <v>-0.67384463548660301</v>
      </c>
      <c r="M33">
        <v>5.04110977053642E-2</v>
      </c>
      <c r="N33">
        <v>0.122622385621071</v>
      </c>
      <c r="O33">
        <v>0</v>
      </c>
      <c r="P33">
        <v>0.5</v>
      </c>
      <c r="Q33">
        <v>0</v>
      </c>
      <c r="R33" t="s">
        <v>28</v>
      </c>
      <c r="X33">
        <v>-8.6691416800022108E-3</v>
      </c>
      <c r="Y33">
        <v>-0.11911778151989</v>
      </c>
      <c r="Z33">
        <v>3.4015933051705399E-3</v>
      </c>
      <c r="AA33">
        <v>-0.631633281707764</v>
      </c>
      <c r="AB33">
        <v>7.2991877794265705E-2</v>
      </c>
      <c r="AC33">
        <v>0.116507813334465</v>
      </c>
      <c r="AD33">
        <v>0</v>
      </c>
      <c r="AE33">
        <v>1</v>
      </c>
      <c r="AF33">
        <v>0</v>
      </c>
      <c r="AG33" t="s">
        <v>28</v>
      </c>
      <c r="AM33">
        <v>-1.2933341786265399E-2</v>
      </c>
      <c r="AN33">
        <v>-0.1122762337327</v>
      </c>
      <c r="AO33">
        <v>5.9222737327218099E-3</v>
      </c>
      <c r="AP33">
        <v>-0.59010398387908902</v>
      </c>
      <c r="AQ33">
        <v>9.8144292831420898E-2</v>
      </c>
      <c r="AR33">
        <v>0.111469298601151</v>
      </c>
      <c r="AS33">
        <v>0</v>
      </c>
      <c r="AT33">
        <v>1.5</v>
      </c>
      <c r="AU33">
        <v>0</v>
      </c>
      <c r="AV33" t="s">
        <v>28</v>
      </c>
    </row>
    <row r="34" spans="8:49" x14ac:dyDescent="0.25">
      <c r="I34">
        <v>-2.8795241378247699E-3</v>
      </c>
      <c r="J34">
        <v>-0.13191950321197499</v>
      </c>
      <c r="K34">
        <v>-1.74118322320282E-4</v>
      </c>
      <c r="L34">
        <v>-0.70657479763030995</v>
      </c>
      <c r="M34">
        <v>3.94001975655556E-2</v>
      </c>
      <c r="N34">
        <v>0.12372924387455</v>
      </c>
      <c r="O34">
        <v>0</v>
      </c>
      <c r="P34">
        <v>0</v>
      </c>
      <c r="Q34">
        <v>0.5</v>
      </c>
      <c r="R34" t="s">
        <v>30</v>
      </c>
      <c r="X34">
        <v>-3.5518379881978E-3</v>
      </c>
      <c r="Y34">
        <v>-0.13410493731498699</v>
      </c>
      <c r="Z34">
        <v>9.7808660939335796E-5</v>
      </c>
      <c r="AA34">
        <v>-0.72411191463470503</v>
      </c>
      <c r="AB34">
        <v>4.3264478445053101E-2</v>
      </c>
      <c r="AC34">
        <v>0.117512196302414</v>
      </c>
      <c r="AD34">
        <v>0</v>
      </c>
      <c r="AE34">
        <v>0</v>
      </c>
      <c r="AF34">
        <v>1</v>
      </c>
      <c r="AG34" t="s">
        <v>30</v>
      </c>
      <c r="AM34">
        <v>-4.6712057664990399E-3</v>
      </c>
      <c r="AN34">
        <v>-0.135463431477547</v>
      </c>
      <c r="AO34">
        <v>6.5623031696304701E-4</v>
      </c>
      <c r="AP34">
        <v>-0.73237782716751099</v>
      </c>
      <c r="AQ34">
        <v>4.9444705247879001E-2</v>
      </c>
      <c r="AR34">
        <v>0.11383667588233901</v>
      </c>
      <c r="AS34">
        <v>0</v>
      </c>
      <c r="AT34">
        <v>0</v>
      </c>
      <c r="AU34">
        <v>1.5</v>
      </c>
      <c r="AV34" t="s">
        <v>30</v>
      </c>
    </row>
    <row r="35" spans="8:49" x14ac:dyDescent="0.25">
      <c r="H35" t="s">
        <v>29</v>
      </c>
      <c r="I35">
        <v>-8.8630802929401398E-4</v>
      </c>
      <c r="J35">
        <v>-6.7533724009990706E-2</v>
      </c>
      <c r="K35">
        <v>-4.7554963384754999E-4</v>
      </c>
      <c r="L35">
        <v>-0.16650235652923601</v>
      </c>
      <c r="M35">
        <v>2.7373749762773501E-3</v>
      </c>
      <c r="N35">
        <v>0.18086977303028101</v>
      </c>
      <c r="O35">
        <v>0</v>
      </c>
      <c r="P35">
        <v>0</v>
      </c>
      <c r="Q35">
        <v>0</v>
      </c>
      <c r="R35" t="s">
        <v>28</v>
      </c>
      <c r="W35" t="s">
        <v>29</v>
      </c>
      <c r="X35">
        <v>-8.8630802929401398E-4</v>
      </c>
      <c r="Y35">
        <v>-6.7533724009990706E-2</v>
      </c>
      <c r="Z35">
        <v>-4.7554963384754999E-4</v>
      </c>
      <c r="AA35">
        <v>-0.16650235652923601</v>
      </c>
      <c r="AB35">
        <v>2.7373749762773501E-3</v>
      </c>
      <c r="AC35">
        <v>0.18086977303028101</v>
      </c>
      <c r="AD35">
        <v>0</v>
      </c>
      <c r="AE35">
        <v>0</v>
      </c>
      <c r="AF35">
        <v>0</v>
      </c>
      <c r="AG35" t="s">
        <v>28</v>
      </c>
      <c r="AL35" t="s">
        <v>29</v>
      </c>
      <c r="AM35">
        <v>-8.8630802929401398E-4</v>
      </c>
      <c r="AN35">
        <v>-6.7533724009990706E-2</v>
      </c>
      <c r="AO35">
        <v>-4.7554963384754999E-4</v>
      </c>
      <c r="AP35">
        <v>-0.16650235652923601</v>
      </c>
      <c r="AQ35">
        <v>2.7373749762773501E-3</v>
      </c>
      <c r="AR35">
        <v>0.18086977303028101</v>
      </c>
      <c r="AS35">
        <v>0</v>
      </c>
      <c r="AT35">
        <v>0</v>
      </c>
      <c r="AU35">
        <v>0</v>
      </c>
      <c r="AV35" t="s">
        <v>28</v>
      </c>
    </row>
    <row r="36" spans="8:49" x14ac:dyDescent="0.25">
      <c r="I36">
        <v>9.2477654106914997E-4</v>
      </c>
      <c r="J36">
        <v>-6.2701836228370694E-2</v>
      </c>
      <c r="K36">
        <v>-2.10359273478389E-3</v>
      </c>
      <c r="L36">
        <v>-0.15299555659294101</v>
      </c>
      <c r="M36">
        <v>-7.1542356163263304E-3</v>
      </c>
      <c r="N36">
        <v>0.16794395446777299</v>
      </c>
      <c r="O36">
        <v>0.5</v>
      </c>
      <c r="P36">
        <v>0</v>
      </c>
      <c r="Q36">
        <v>0</v>
      </c>
      <c r="R36" t="s">
        <v>28</v>
      </c>
      <c r="X36">
        <v>2.5487027596682301E-3</v>
      </c>
      <c r="Y36">
        <v>-5.5173795670270899E-2</v>
      </c>
      <c r="Z36">
        <v>-3.4908521920442599E-3</v>
      </c>
      <c r="AA36">
        <v>-0.130110248923302</v>
      </c>
      <c r="AB36">
        <v>-1.5624847263097799E-2</v>
      </c>
      <c r="AC36">
        <v>0.14968892931938199</v>
      </c>
      <c r="AD36">
        <v>1</v>
      </c>
      <c r="AE36">
        <v>0</v>
      </c>
      <c r="AF36">
        <v>0</v>
      </c>
      <c r="AG36" t="s">
        <v>28</v>
      </c>
      <c r="AM36">
        <v>3.9485236629843703E-3</v>
      </c>
      <c r="AN36">
        <v>-4.9224551767110797E-2</v>
      </c>
      <c r="AO36">
        <v>-4.6761655248701598E-3</v>
      </c>
      <c r="AP36">
        <v>-0.11018792539835</v>
      </c>
      <c r="AQ36">
        <v>-2.3462433367967599E-2</v>
      </c>
      <c r="AR36">
        <v>0.135466068983078</v>
      </c>
      <c r="AS36">
        <v>1.5</v>
      </c>
      <c r="AT36">
        <v>0</v>
      </c>
      <c r="AU36">
        <v>0</v>
      </c>
      <c r="AV36" t="s">
        <v>28</v>
      </c>
    </row>
    <row r="37" spans="8:49" x14ac:dyDescent="0.25">
      <c r="I37">
        <v>-2.5075855664908899E-3</v>
      </c>
      <c r="J37">
        <v>-6.1950247734785101E-2</v>
      </c>
      <c r="K37">
        <v>1.2004108866676699E-3</v>
      </c>
      <c r="L37">
        <v>-0.15164965391159099</v>
      </c>
      <c r="M37">
        <v>1.0659743100404699E-2</v>
      </c>
      <c r="N37">
        <v>0.16722565889358501</v>
      </c>
      <c r="O37">
        <v>0</v>
      </c>
      <c r="P37">
        <v>0.5</v>
      </c>
      <c r="Q37">
        <v>0</v>
      </c>
      <c r="R37" t="s">
        <v>28</v>
      </c>
      <c r="X37">
        <v>-4.73329424858093E-3</v>
      </c>
      <c r="Y37">
        <v>-5.60480542480946E-2</v>
      </c>
      <c r="Z37">
        <v>3.4013029653579001E-3</v>
      </c>
      <c r="AA37">
        <v>-0.13074302673339799</v>
      </c>
      <c r="AB37">
        <v>2.2813741117715801E-2</v>
      </c>
      <c r="AC37">
        <v>0.152383208274841</v>
      </c>
      <c r="AD37">
        <v>0</v>
      </c>
      <c r="AE37">
        <v>1</v>
      </c>
      <c r="AF37">
        <v>0</v>
      </c>
      <c r="AG37" t="s">
        <v>28</v>
      </c>
      <c r="AM37">
        <v>-6.4850030466914203E-3</v>
      </c>
      <c r="AN37">
        <v>-5.0244841724634198E-2</v>
      </c>
      <c r="AO37">
        <v>4.9826484173536301E-3</v>
      </c>
      <c r="AP37">
        <v>-0.112171947956085</v>
      </c>
      <c r="AQ37">
        <v>3.1894080340862302E-2</v>
      </c>
      <c r="AR37">
        <v>0.13833102583885201</v>
      </c>
      <c r="AS37">
        <v>0</v>
      </c>
      <c r="AT37">
        <v>1.5</v>
      </c>
      <c r="AU37">
        <v>0</v>
      </c>
      <c r="AV37" t="s">
        <v>28</v>
      </c>
    </row>
    <row r="38" spans="8:49" x14ac:dyDescent="0.25">
      <c r="I38">
        <v>-1.3516106409951999E-3</v>
      </c>
      <c r="J38">
        <v>-7.2512239217758206E-2</v>
      </c>
      <c r="K38">
        <v>-9.7901422122958993E-5</v>
      </c>
      <c r="L38">
        <v>-0.17993175983428999</v>
      </c>
      <c r="M38">
        <v>4.8201540485024504E-3</v>
      </c>
      <c r="N38">
        <v>0.19574348628520999</v>
      </c>
      <c r="O38">
        <v>0</v>
      </c>
      <c r="P38">
        <v>0</v>
      </c>
      <c r="Q38">
        <v>0.5</v>
      </c>
      <c r="R38" t="s">
        <v>30</v>
      </c>
      <c r="X38">
        <v>-1.7024042317643801E-3</v>
      </c>
      <c r="Y38">
        <v>-8.0940060317516299E-2</v>
      </c>
      <c r="Z38">
        <v>1.9386454368941499E-5</v>
      </c>
      <c r="AA38">
        <v>-0.19877098500728599</v>
      </c>
      <c r="AB38">
        <v>6.3251033425331098E-3</v>
      </c>
      <c r="AC38">
        <v>0.22032138705253601</v>
      </c>
      <c r="AD38">
        <v>0</v>
      </c>
      <c r="AE38">
        <v>0</v>
      </c>
      <c r="AF38">
        <v>1</v>
      </c>
      <c r="AG38" t="s">
        <v>30</v>
      </c>
      <c r="AM38">
        <v>-1.9612838514149202E-3</v>
      </c>
      <c r="AN38">
        <v>-8.8079810142517104E-2</v>
      </c>
      <c r="AO38">
        <v>7.9460623965132995E-5</v>
      </c>
      <c r="AP38">
        <v>-0.215265572071075</v>
      </c>
      <c r="AQ38">
        <v>7.3076328262686703E-3</v>
      </c>
      <c r="AR38">
        <v>0.23997113108634899</v>
      </c>
      <c r="AS38">
        <v>0</v>
      </c>
      <c r="AT38">
        <v>0</v>
      </c>
      <c r="AU38">
        <v>1.5</v>
      </c>
      <c r="AV38" t="s">
        <v>30</v>
      </c>
    </row>
    <row r="39" spans="8:49" x14ac:dyDescent="0.25">
      <c r="H39" t="s">
        <v>29</v>
      </c>
      <c r="I39">
        <v>-2.7598871383815999E-3</v>
      </c>
      <c r="J39">
        <v>-0.127221524715424</v>
      </c>
      <c r="K39">
        <v>-8.8058260735124404E-4</v>
      </c>
      <c r="L39">
        <v>-0.67187190055847201</v>
      </c>
      <c r="M39">
        <v>1.79205909371376E-2</v>
      </c>
      <c r="N39">
        <v>6.6542282700538594E-2</v>
      </c>
      <c r="O39">
        <v>0</v>
      </c>
      <c r="P39">
        <v>0</v>
      </c>
      <c r="Q39">
        <v>0</v>
      </c>
      <c r="R39" t="s">
        <v>28</v>
      </c>
      <c r="W39" t="s">
        <v>29</v>
      </c>
      <c r="X39">
        <v>-2.7598871383815999E-3</v>
      </c>
      <c r="Y39">
        <v>-0.127221524715424</v>
      </c>
      <c r="Z39">
        <v>-8.8058260735124404E-4</v>
      </c>
      <c r="AA39">
        <v>-0.67187190055847201</v>
      </c>
      <c r="AB39">
        <v>1.79205909371376E-2</v>
      </c>
      <c r="AC39">
        <v>6.6542282700538594E-2</v>
      </c>
      <c r="AD39">
        <v>0</v>
      </c>
      <c r="AE39">
        <v>0</v>
      </c>
      <c r="AF39">
        <v>0</v>
      </c>
      <c r="AG39" t="s">
        <v>28</v>
      </c>
      <c r="AL39" t="s">
        <v>29</v>
      </c>
      <c r="AM39">
        <v>-2.7598871383815999E-3</v>
      </c>
      <c r="AN39">
        <v>-0.127221524715424</v>
      </c>
      <c r="AO39">
        <v>-8.8058260735124404E-4</v>
      </c>
      <c r="AP39">
        <v>-0.67187190055847201</v>
      </c>
      <c r="AQ39">
        <v>1.79205909371376E-2</v>
      </c>
      <c r="AR39">
        <v>6.6542282700538594E-2</v>
      </c>
      <c r="AS39">
        <v>0</v>
      </c>
      <c r="AT39">
        <v>0</v>
      </c>
      <c r="AU39">
        <v>0</v>
      </c>
      <c r="AV39" t="s">
        <v>28</v>
      </c>
    </row>
    <row r="40" spans="8:49" x14ac:dyDescent="0.25">
      <c r="I40">
        <v>1.9532591104507399E-3</v>
      </c>
      <c r="J40">
        <v>-0.121398247778416</v>
      </c>
      <c r="K40">
        <v>-3.9110821671783898E-3</v>
      </c>
      <c r="L40">
        <v>-0.63814979791641202</v>
      </c>
      <c r="M40">
        <v>-8.2101486623287201E-3</v>
      </c>
      <c r="N40">
        <v>6.5069712698459597E-2</v>
      </c>
      <c r="O40">
        <v>0.5</v>
      </c>
      <c r="P40">
        <v>0</v>
      </c>
      <c r="Q40">
        <v>0</v>
      </c>
      <c r="R40" t="s">
        <v>28</v>
      </c>
      <c r="X40">
        <v>3.9539658464491402E-3</v>
      </c>
      <c r="Y40">
        <v>-0.113986387848854</v>
      </c>
      <c r="Z40">
        <v>-5.0774128176271898E-3</v>
      </c>
      <c r="AA40">
        <v>-0.59424072504043601</v>
      </c>
      <c r="AB40">
        <v>-2.05840114504099E-2</v>
      </c>
      <c r="AC40">
        <v>6.1202116310596501E-2</v>
      </c>
      <c r="AD40">
        <v>1</v>
      </c>
      <c r="AE40">
        <v>0</v>
      </c>
      <c r="AF40">
        <v>0</v>
      </c>
      <c r="AG40" t="s">
        <v>28</v>
      </c>
      <c r="AM40">
        <v>8.2810381427407299E-3</v>
      </c>
      <c r="AN40">
        <v>-0.108442112803459</v>
      </c>
      <c r="AO40">
        <v>-7.8462939709425007E-3</v>
      </c>
      <c r="AP40">
        <v>-0.55936807394027699</v>
      </c>
      <c r="AQ40">
        <v>-4.6268455684185E-2</v>
      </c>
      <c r="AR40">
        <v>6.2992833554744707E-2</v>
      </c>
      <c r="AS40">
        <v>1.5</v>
      </c>
      <c r="AT40">
        <v>0</v>
      </c>
      <c r="AU40">
        <v>0</v>
      </c>
      <c r="AV40" t="s">
        <v>28</v>
      </c>
    </row>
    <row r="41" spans="8:49" x14ac:dyDescent="0.25">
      <c r="I41">
        <v>-7.1243802085518802E-3</v>
      </c>
      <c r="J41">
        <v>-0.11870384216308601</v>
      </c>
      <c r="K41">
        <v>2.3287548683583702E-3</v>
      </c>
      <c r="L41">
        <v>-0.62453347444534302</v>
      </c>
      <c r="M41">
        <v>4.2728334665298497E-2</v>
      </c>
      <c r="N41">
        <v>6.0788005590438801E-2</v>
      </c>
      <c r="O41">
        <v>0</v>
      </c>
      <c r="P41">
        <v>0.5</v>
      </c>
      <c r="Q41">
        <v>0</v>
      </c>
      <c r="R41" t="s">
        <v>28</v>
      </c>
      <c r="X41">
        <v>-1.15294195711613E-2</v>
      </c>
      <c r="Y41">
        <v>-0.112579241394997</v>
      </c>
      <c r="Z41">
        <v>5.4107047617435499E-3</v>
      </c>
      <c r="AA41">
        <v>-0.589094638824463</v>
      </c>
      <c r="AB41">
        <v>6.7401126027107197E-2</v>
      </c>
      <c r="AC41">
        <v>5.8719873428344699E-2</v>
      </c>
      <c r="AD41">
        <v>0</v>
      </c>
      <c r="AE41">
        <v>1</v>
      </c>
      <c r="AF41">
        <v>0</v>
      </c>
      <c r="AG41" t="s">
        <v>28</v>
      </c>
      <c r="AM41">
        <v>-1.55509859323502E-2</v>
      </c>
      <c r="AN41">
        <v>-0.107135199010372</v>
      </c>
      <c r="AO41">
        <v>8.1710051745176298E-3</v>
      </c>
      <c r="AP41">
        <v>-0.55525368452072099</v>
      </c>
      <c r="AQ41">
        <v>8.9374899864196805E-2</v>
      </c>
      <c r="AR41">
        <v>5.7175278663635302E-2</v>
      </c>
      <c r="AS41">
        <v>0</v>
      </c>
      <c r="AT41">
        <v>1.5</v>
      </c>
      <c r="AU41">
        <v>0</v>
      </c>
      <c r="AV41" t="s">
        <v>28</v>
      </c>
    </row>
    <row r="42" spans="8:49" x14ac:dyDescent="0.25">
      <c r="I42">
        <v>-4.5787622220814202E-3</v>
      </c>
      <c r="J42">
        <v>-0.12431108951568599</v>
      </c>
      <c r="K42">
        <v>4.74036554805934E-4</v>
      </c>
      <c r="L42">
        <v>-0.659143507480621</v>
      </c>
      <c r="M42">
        <v>2.8539292514324199E-2</v>
      </c>
      <c r="N42">
        <v>5.8112755417823798E-2</v>
      </c>
      <c r="O42">
        <v>0</v>
      </c>
      <c r="P42">
        <v>0</v>
      </c>
      <c r="Q42">
        <v>0.5</v>
      </c>
      <c r="R42" t="s">
        <v>30</v>
      </c>
      <c r="S42" t="s">
        <v>38</v>
      </c>
      <c r="X42">
        <v>-4.62295254692435E-3</v>
      </c>
      <c r="Y42">
        <v>-0.12288958579301799</v>
      </c>
      <c r="Z42">
        <v>4.8266863450407998E-4</v>
      </c>
      <c r="AA42">
        <v>-0.65276098251342796</v>
      </c>
      <c r="AB42">
        <v>2.8584428131580401E-2</v>
      </c>
      <c r="AC42">
        <v>5.4238036274910001E-2</v>
      </c>
      <c r="AD42">
        <v>0</v>
      </c>
      <c r="AE42">
        <v>0</v>
      </c>
      <c r="AF42">
        <v>1</v>
      </c>
      <c r="AG42" t="s">
        <v>30</v>
      </c>
      <c r="AH42" t="s">
        <v>38</v>
      </c>
      <c r="AM42">
        <v>-5.7001723907887901E-3</v>
      </c>
      <c r="AN42">
        <v>-0.13684800267219499</v>
      </c>
      <c r="AO42">
        <v>8.7988527957350005E-4</v>
      </c>
      <c r="AP42">
        <v>-0.73760038614273105</v>
      </c>
      <c r="AQ42">
        <v>3.5193815827369697E-2</v>
      </c>
      <c r="AR42">
        <v>4.2752042412757901E-2</v>
      </c>
      <c r="AS42">
        <v>0</v>
      </c>
      <c r="AT42">
        <v>0</v>
      </c>
      <c r="AU42">
        <v>1.5</v>
      </c>
      <c r="AV42" t="s">
        <v>30</v>
      </c>
      <c r="AW42" t="s">
        <v>38</v>
      </c>
    </row>
    <row r="47" spans="8:49" x14ac:dyDescent="0.25">
      <c r="Y47" t="s">
        <v>37</v>
      </c>
      <c r="Z47" t="s">
        <v>29</v>
      </c>
      <c r="AA47">
        <v>-2.8477585874497901E-4</v>
      </c>
      <c r="AB47">
        <v>-5.8327373117208502E-2</v>
      </c>
      <c r="AC47">
        <v>-1.50670297443867E-4</v>
      </c>
      <c r="AD47">
        <v>6.01342367008328E-3</v>
      </c>
      <c r="AE47">
        <v>2.2609531879425001E-3</v>
      </c>
      <c r="AF47">
        <v>0.37637501955032299</v>
      </c>
      <c r="AG47">
        <v>0</v>
      </c>
      <c r="AH47">
        <v>0</v>
      </c>
      <c r="AI47">
        <v>0</v>
      </c>
      <c r="AJ47" t="s">
        <v>30</v>
      </c>
    </row>
    <row r="48" spans="8:49" x14ac:dyDescent="0.25">
      <c r="Z48" t="s">
        <v>29</v>
      </c>
      <c r="AA48">
        <v>-1.3759520370513201E-3</v>
      </c>
      <c r="AB48">
        <v>-0.12723180651664701</v>
      </c>
      <c r="AC48">
        <v>-1.5217980835586799E-3</v>
      </c>
      <c r="AD48">
        <v>-8.26666504144669E-2</v>
      </c>
      <c r="AE48">
        <v>-4.7411769628524798E-3</v>
      </c>
      <c r="AF48">
        <v>0.81632339954376198</v>
      </c>
      <c r="AG48">
        <v>0</v>
      </c>
      <c r="AH48">
        <v>0</v>
      </c>
      <c r="AI48">
        <v>0</v>
      </c>
      <c r="AJ48" t="s">
        <v>30</v>
      </c>
    </row>
    <row r="49" spans="26:48" x14ac:dyDescent="0.25">
      <c r="Z49" t="s">
        <v>29</v>
      </c>
      <c r="AA49">
        <v>-2.8428673977032298E-4</v>
      </c>
      <c r="AB49">
        <v>-4.3962169438600499E-2</v>
      </c>
      <c r="AC49">
        <v>-1.9410930690355599E-4</v>
      </c>
      <c r="AD49">
        <v>-1.4232989400625199E-2</v>
      </c>
      <c r="AE49">
        <v>8.0315023660659801E-4</v>
      </c>
      <c r="AF49">
        <v>0.24872186779975899</v>
      </c>
      <c r="AG49">
        <v>0</v>
      </c>
      <c r="AH49">
        <v>0</v>
      </c>
      <c r="AI49">
        <v>0</v>
      </c>
      <c r="AJ49" t="s">
        <v>30</v>
      </c>
      <c r="AO49" t="s">
        <v>29</v>
      </c>
      <c r="AP49">
        <v>0.4</v>
      </c>
      <c r="AQ49">
        <v>0.06</v>
      </c>
      <c r="AR49">
        <v>1.5707963267948966</v>
      </c>
      <c r="AS49">
        <v>0</v>
      </c>
      <c r="AT49">
        <v>0</v>
      </c>
      <c r="AU49">
        <v>0</v>
      </c>
      <c r="AV49" t="s">
        <v>28</v>
      </c>
    </row>
    <row r="50" spans="26:48" x14ac:dyDescent="0.25">
      <c r="Z50" t="s">
        <v>29</v>
      </c>
      <c r="AA50">
        <v>-9.02065541595221E-4</v>
      </c>
      <c r="AB50">
        <v>-9.5010705292224898E-2</v>
      </c>
      <c r="AC50">
        <v>-3.1485431827604798E-4</v>
      </c>
      <c r="AD50">
        <v>-0.14170777797699</v>
      </c>
      <c r="AE50">
        <v>3.2724365592002899E-3</v>
      </c>
      <c r="AF50">
        <v>0.46851912140846302</v>
      </c>
      <c r="AG50">
        <v>0</v>
      </c>
      <c r="AH50">
        <v>0</v>
      </c>
      <c r="AI50">
        <v>0</v>
      </c>
      <c r="AJ50" t="s">
        <v>30</v>
      </c>
      <c r="AP50">
        <v>0.8</v>
      </c>
      <c r="AQ50">
        <v>0.06</v>
      </c>
      <c r="AR50">
        <v>1.5707963267948966</v>
      </c>
      <c r="AS50">
        <v>0</v>
      </c>
      <c r="AT50">
        <v>0</v>
      </c>
      <c r="AU50">
        <v>0</v>
      </c>
      <c r="AV50" t="s">
        <v>28</v>
      </c>
    </row>
    <row r="51" spans="26:48" x14ac:dyDescent="0.25">
      <c r="Z51" t="s">
        <v>29</v>
      </c>
      <c r="AA51">
        <v>-1.3697715476155301E-3</v>
      </c>
      <c r="AB51">
        <v>-0.129899337887764</v>
      </c>
      <c r="AC51">
        <v>-1.1154995299875699E-3</v>
      </c>
      <c r="AD51">
        <v>-0.27736902236938499</v>
      </c>
      <c r="AE51">
        <v>2.9984340071678201E-3</v>
      </c>
      <c r="AF51">
        <v>0.62586665153503396</v>
      </c>
      <c r="AG51">
        <v>0</v>
      </c>
      <c r="AH51">
        <v>0</v>
      </c>
      <c r="AI51">
        <v>0</v>
      </c>
      <c r="AJ51" t="s">
        <v>30</v>
      </c>
      <c r="AP51">
        <v>0.3</v>
      </c>
      <c r="AQ51">
        <v>0.08</v>
      </c>
      <c r="AR51">
        <v>1.5707963267948966</v>
      </c>
      <c r="AS51">
        <v>0</v>
      </c>
      <c r="AT51">
        <v>0</v>
      </c>
      <c r="AU51">
        <v>0</v>
      </c>
      <c r="AV51" t="s">
        <v>28</v>
      </c>
    </row>
    <row r="52" spans="26:48" x14ac:dyDescent="0.25">
      <c r="Z52" t="s">
        <v>29</v>
      </c>
      <c r="AA52">
        <v>-1.30162085406482E-3</v>
      </c>
      <c r="AB52">
        <v>-9.1771319508552607E-2</v>
      </c>
      <c r="AC52">
        <v>-6.8558257771655895E-4</v>
      </c>
      <c r="AD52">
        <v>-0.188138782978058</v>
      </c>
      <c r="AE52">
        <v>3.5599116235971499E-3</v>
      </c>
      <c r="AF52">
        <v>0.316497713327408</v>
      </c>
      <c r="AG52">
        <v>0</v>
      </c>
      <c r="AH52">
        <v>0</v>
      </c>
      <c r="AI52">
        <v>0</v>
      </c>
      <c r="AJ52" t="s">
        <v>30</v>
      </c>
      <c r="AP52">
        <v>0.5</v>
      </c>
      <c r="AQ52">
        <v>0.1</v>
      </c>
      <c r="AR52">
        <v>1.5707963267948966</v>
      </c>
      <c r="AS52">
        <v>0</v>
      </c>
      <c r="AT52">
        <v>0</v>
      </c>
      <c r="AU52">
        <v>0</v>
      </c>
    </row>
    <row r="53" spans="26:48" x14ac:dyDescent="0.25">
      <c r="Z53" t="s">
        <v>29</v>
      </c>
      <c r="AA53">
        <v>-2.1819151006638999E-3</v>
      </c>
      <c r="AB53">
        <v>-0.134275212883949</v>
      </c>
      <c r="AC53">
        <v>-2.8121363720856602E-4</v>
      </c>
      <c r="AD53">
        <v>-0.47822567820549</v>
      </c>
      <c r="AE53">
        <v>1.2040870264172601E-2</v>
      </c>
      <c r="AF53">
        <v>0.39143002033233598</v>
      </c>
      <c r="AG53">
        <v>0</v>
      </c>
      <c r="AH53">
        <v>0</v>
      </c>
      <c r="AI53">
        <v>0</v>
      </c>
      <c r="AJ53" t="s">
        <v>30</v>
      </c>
      <c r="AP53">
        <v>0.7</v>
      </c>
      <c r="AQ53">
        <v>0.1</v>
      </c>
      <c r="AR53">
        <v>1.5707963267948966</v>
      </c>
      <c r="AS53">
        <v>0</v>
      </c>
      <c r="AT53">
        <v>0</v>
      </c>
      <c r="AU53">
        <v>0</v>
      </c>
      <c r="AV53" t="s">
        <v>28</v>
      </c>
    </row>
    <row r="54" spans="26:48" x14ac:dyDescent="0.25">
      <c r="Z54" t="s">
        <v>29</v>
      </c>
      <c r="AA54">
        <v>-1.05854228604585E-3</v>
      </c>
      <c r="AB54">
        <v>-0.13548035919666301</v>
      </c>
      <c r="AC54">
        <v>-1.24974839854985E-3</v>
      </c>
      <c r="AD54">
        <v>-0.72550737857818604</v>
      </c>
      <c r="AE54">
        <v>2.9684353619813902E-2</v>
      </c>
      <c r="AF54">
        <v>0.13168570399284399</v>
      </c>
      <c r="AG54">
        <v>0</v>
      </c>
      <c r="AH54">
        <v>0</v>
      </c>
      <c r="AI54">
        <v>0</v>
      </c>
      <c r="AJ54" t="s">
        <v>30</v>
      </c>
      <c r="AP54">
        <v>0.4</v>
      </c>
      <c r="AQ54">
        <v>0.16</v>
      </c>
      <c r="AR54">
        <v>1.5707963267948966</v>
      </c>
      <c r="AS54">
        <v>0</v>
      </c>
      <c r="AT54">
        <v>0</v>
      </c>
      <c r="AU54">
        <v>0</v>
      </c>
      <c r="AV54" t="s">
        <v>28</v>
      </c>
    </row>
    <row r="55" spans="26:48" x14ac:dyDescent="0.25">
      <c r="Z55" t="s">
        <v>29</v>
      </c>
      <c r="AA55">
        <v>-8.8630802929401398E-4</v>
      </c>
      <c r="AB55">
        <v>-6.7533724009990706E-2</v>
      </c>
      <c r="AC55">
        <v>-4.7554963384754999E-4</v>
      </c>
      <c r="AD55">
        <v>-0.16650235652923601</v>
      </c>
      <c r="AE55">
        <v>2.7373749762773501E-3</v>
      </c>
      <c r="AF55">
        <v>0.18086977303028101</v>
      </c>
      <c r="AG55">
        <v>0</v>
      </c>
      <c r="AH55">
        <v>0</v>
      </c>
      <c r="AI55">
        <v>0</v>
      </c>
      <c r="AJ55" t="s">
        <v>30</v>
      </c>
      <c r="AP55">
        <v>0.6</v>
      </c>
      <c r="AQ55">
        <v>0.16</v>
      </c>
      <c r="AR55">
        <v>1.5707963267948966</v>
      </c>
      <c r="AS55">
        <v>0</v>
      </c>
      <c r="AT55">
        <v>0</v>
      </c>
      <c r="AU55">
        <v>0</v>
      </c>
      <c r="AV55" t="s">
        <v>28</v>
      </c>
    </row>
    <row r="56" spans="26:48" x14ac:dyDescent="0.25">
      <c r="Z56" t="s">
        <v>29</v>
      </c>
      <c r="AA56">
        <v>-2.7598871383815999E-3</v>
      </c>
      <c r="AB56">
        <v>-0.127221524715424</v>
      </c>
      <c r="AC56">
        <v>-8.8058260735124404E-4</v>
      </c>
      <c r="AD56">
        <v>-0.67187190055847201</v>
      </c>
      <c r="AE56">
        <v>1.79205909371376E-2</v>
      </c>
      <c r="AF56">
        <v>6.6542282700538594E-2</v>
      </c>
      <c r="AG56">
        <v>0</v>
      </c>
      <c r="AH56">
        <v>0</v>
      </c>
      <c r="AI56">
        <v>0</v>
      </c>
      <c r="AJ56" t="s">
        <v>30</v>
      </c>
      <c r="AK56" t="s">
        <v>38</v>
      </c>
      <c r="AP56">
        <v>0.8</v>
      </c>
      <c r="AQ56">
        <v>0.18</v>
      </c>
      <c r="AR56">
        <v>1.5707963267948966</v>
      </c>
      <c r="AS56">
        <v>0</v>
      </c>
      <c r="AT56">
        <v>0</v>
      </c>
      <c r="AU56">
        <v>0</v>
      </c>
      <c r="AV56" t="s">
        <v>28</v>
      </c>
    </row>
    <row r="57" spans="26:48" x14ac:dyDescent="0.25">
      <c r="AP57">
        <v>0.3</v>
      </c>
      <c r="AQ57">
        <v>0.2</v>
      </c>
      <c r="AR57">
        <v>1.5707963267948966</v>
      </c>
      <c r="AS57">
        <v>0</v>
      </c>
      <c r="AT57">
        <v>0</v>
      </c>
      <c r="AU57">
        <v>0</v>
      </c>
      <c r="AV57" t="s">
        <v>28</v>
      </c>
    </row>
    <row r="58" spans="26:48" x14ac:dyDescent="0.25">
      <c r="AP58">
        <v>0.7</v>
      </c>
      <c r="AQ58">
        <v>0.2</v>
      </c>
      <c r="AR58">
        <v>1.5707963267948966</v>
      </c>
      <c r="AS58">
        <v>0</v>
      </c>
      <c r="AT58">
        <v>0</v>
      </c>
      <c r="AU58">
        <v>0</v>
      </c>
      <c r="AV58" t="s">
        <v>30</v>
      </c>
    </row>
    <row r="71" spans="1:8" x14ac:dyDescent="0.25">
      <c r="A71" t="s">
        <v>29</v>
      </c>
      <c r="B71">
        <v>0.4</v>
      </c>
      <c r="C71">
        <v>0.06</v>
      </c>
      <c r="D71">
        <v>1.5707963267948966</v>
      </c>
      <c r="E71">
        <v>0</v>
      </c>
      <c r="F71">
        <v>0</v>
      </c>
      <c r="G71">
        <v>0</v>
      </c>
      <c r="H71" t="s">
        <v>28</v>
      </c>
    </row>
    <row r="72" spans="1:8" x14ac:dyDescent="0.25">
      <c r="B72">
        <v>0.8</v>
      </c>
      <c r="C72">
        <v>0.06</v>
      </c>
      <c r="D72">
        <v>1.5707963267948966</v>
      </c>
      <c r="E72">
        <v>0</v>
      </c>
      <c r="F72">
        <v>0</v>
      </c>
      <c r="G72">
        <v>0</v>
      </c>
      <c r="H72" t="s">
        <v>28</v>
      </c>
    </row>
    <row r="73" spans="1:8" x14ac:dyDescent="0.25">
      <c r="B73">
        <v>0.3</v>
      </c>
      <c r="C73">
        <v>0.08</v>
      </c>
      <c r="D73">
        <v>1.5707963267948966</v>
      </c>
      <c r="E73">
        <v>0</v>
      </c>
      <c r="F73">
        <v>0</v>
      </c>
      <c r="G73">
        <v>0</v>
      </c>
      <c r="H73" t="s">
        <v>28</v>
      </c>
    </row>
    <row r="74" spans="1:8" x14ac:dyDescent="0.25">
      <c r="B74">
        <v>0.5</v>
      </c>
      <c r="C74">
        <v>0.1</v>
      </c>
      <c r="D74">
        <v>1.5707963267948966</v>
      </c>
      <c r="E74">
        <v>0</v>
      </c>
      <c r="F74">
        <v>0</v>
      </c>
      <c r="G74">
        <v>0</v>
      </c>
      <c r="H74" t="s">
        <v>28</v>
      </c>
    </row>
    <row r="75" spans="1:8" x14ac:dyDescent="0.25">
      <c r="B75">
        <v>0.7</v>
      </c>
      <c r="C75">
        <v>0.1</v>
      </c>
      <c r="D75">
        <v>1.5707963267948966</v>
      </c>
      <c r="E75">
        <v>0</v>
      </c>
      <c r="F75">
        <v>0</v>
      </c>
      <c r="G75">
        <v>0</v>
      </c>
      <c r="H75" t="s">
        <v>28</v>
      </c>
    </row>
    <row r="76" spans="1:8" x14ac:dyDescent="0.25">
      <c r="B76">
        <v>0.4</v>
      </c>
      <c r="C76">
        <v>0.16</v>
      </c>
      <c r="D76">
        <v>1.5707963267948966</v>
      </c>
      <c r="E76">
        <v>0</v>
      </c>
      <c r="F76">
        <v>0</v>
      </c>
      <c r="G76">
        <v>0</v>
      </c>
      <c r="H76" t="s">
        <v>28</v>
      </c>
    </row>
    <row r="77" spans="1:8" x14ac:dyDescent="0.25">
      <c r="B77">
        <v>0.6</v>
      </c>
      <c r="C77">
        <v>0.16</v>
      </c>
      <c r="D77">
        <v>1.5707963267948966</v>
      </c>
      <c r="E77">
        <v>0</v>
      </c>
      <c r="F77">
        <v>0</v>
      </c>
      <c r="G77">
        <v>0</v>
      </c>
      <c r="H77" t="s">
        <v>28</v>
      </c>
    </row>
    <row r="78" spans="1:8" x14ac:dyDescent="0.25">
      <c r="B78">
        <v>0.8</v>
      </c>
      <c r="C78">
        <v>0.18</v>
      </c>
      <c r="D78">
        <v>1.5707963267948966</v>
      </c>
      <c r="E78">
        <v>0</v>
      </c>
      <c r="F78">
        <v>0</v>
      </c>
      <c r="G78">
        <v>0</v>
      </c>
      <c r="H78" t="s">
        <v>28</v>
      </c>
    </row>
    <row r="79" spans="1:8" x14ac:dyDescent="0.25">
      <c r="B79">
        <v>0.3</v>
      </c>
      <c r="C79">
        <v>0.2</v>
      </c>
      <c r="D79">
        <v>1.5707963267948966</v>
      </c>
      <c r="E79">
        <v>0</v>
      </c>
      <c r="F79">
        <v>0</v>
      </c>
      <c r="G79">
        <v>0</v>
      </c>
      <c r="H79" t="s">
        <v>28</v>
      </c>
    </row>
    <row r="80" spans="1:8" x14ac:dyDescent="0.25">
      <c r="B80">
        <v>0.7</v>
      </c>
      <c r="C80">
        <v>0.2</v>
      </c>
      <c r="D80">
        <v>1.5707963267948966</v>
      </c>
      <c r="E80">
        <v>0</v>
      </c>
      <c r="F80">
        <v>0</v>
      </c>
      <c r="G80">
        <v>0</v>
      </c>
      <c r="H80" t="s">
        <v>30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208467-E14A-4CB9-9FC8-72DFB8E94FF2}">
  <ds:schemaRefs>
    <ds:schemaRef ds:uri="08a9f8ec-165a-4165-a8e9-ed45c2de7bcb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2b20bf0-79f3-4559-a8ab-bcb74dcd8cd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Proximal Validation</vt:lpstr>
      <vt:lpstr>Distal Vali (0N perturb)</vt:lpstr>
      <vt:lpstr>Distal Vali (0N pert 6 prox)</vt:lpstr>
      <vt:lpstr>Distal Vali (0.5N perturb)</vt:lpstr>
      <vt:lpstr>Distal Vali (1N perturb)</vt:lpstr>
      <vt:lpstr>Distal Vali (1.5N perturb)</vt:lpstr>
      <vt:lpstr>Conversion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2025-11-10T03:57:38Z</cp:lastPrinted>
  <dcterms:created xsi:type="dcterms:W3CDTF">2025-08-20T18:12:27Z</dcterms:created>
  <dcterms:modified xsi:type="dcterms:W3CDTF">2025-11-20T19:37:02Z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