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3 prox (8 trials)/"/>
    </mc:Choice>
  </mc:AlternateContent>
  <xr:revisionPtr revIDLastSave="2267" documentId="8_{DFFD6B0C-681F-42C8-B2E4-5D4B90AAE966}" xr6:coauthVersionLast="47" xr6:coauthVersionMax="47" xr10:uidLastSave="{08857093-F69E-4A48-98BA-ABF9760946FC}"/>
  <bookViews>
    <workbookView xWindow="28680" yWindow="-120" windowWidth="29040" windowHeight="15720" activeTab="1" xr2:uid="{3D16C37F-3C74-4527-A308-796C339DFE9F}"/>
  </bookViews>
  <sheets>
    <sheet name="Proximal Validation (single)" sheetId="8" r:id="rId1"/>
    <sheet name="Distal Validation (single)" sheetId="9" r:id="rId2"/>
    <sheet name="Sheet1" sheetId="12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B3" i="9"/>
  <c r="C3" i="9"/>
  <c r="D3" i="9"/>
  <c r="E3" i="9"/>
  <c r="F3" i="9"/>
  <c r="G3" i="9"/>
  <c r="H3" i="9"/>
  <c r="I3" i="9"/>
  <c r="J3" i="9"/>
  <c r="K3" i="9"/>
  <c r="L3" i="9"/>
  <c r="M3" i="9"/>
  <c r="A4" i="9"/>
  <c r="B4" i="9"/>
  <c r="C4" i="9"/>
  <c r="D4" i="9"/>
  <c r="E4" i="9"/>
  <c r="F4" i="9"/>
  <c r="G4" i="9"/>
  <c r="H4" i="9"/>
  <c r="I4" i="9"/>
  <c r="J4" i="9"/>
  <c r="K4" i="9"/>
  <c r="L4" i="9"/>
  <c r="M4" i="9"/>
  <c r="A5" i="9"/>
  <c r="B5" i="9"/>
  <c r="C5" i="9"/>
  <c r="D5" i="9"/>
  <c r="E5" i="9"/>
  <c r="F5" i="9"/>
  <c r="G5" i="9"/>
  <c r="H5" i="9"/>
  <c r="I5" i="9"/>
  <c r="J5" i="9"/>
  <c r="K5" i="9"/>
  <c r="L5" i="9"/>
  <c r="M5" i="9"/>
  <c r="A6" i="9"/>
  <c r="B6" i="9"/>
  <c r="C6" i="9"/>
  <c r="D6" i="9"/>
  <c r="E6" i="9"/>
  <c r="F6" i="9"/>
  <c r="G6" i="9"/>
  <c r="H6" i="9"/>
  <c r="I6" i="9"/>
  <c r="J6" i="9"/>
  <c r="K6" i="9"/>
  <c r="L6" i="9"/>
  <c r="M6" i="9"/>
  <c r="A7" i="9"/>
  <c r="B7" i="9"/>
  <c r="C7" i="9"/>
  <c r="D7" i="9"/>
  <c r="E7" i="9"/>
  <c r="F7" i="9"/>
  <c r="G7" i="9"/>
  <c r="H7" i="9"/>
  <c r="I7" i="9"/>
  <c r="J7" i="9"/>
  <c r="K7" i="9"/>
  <c r="L7" i="9"/>
  <c r="M7" i="9"/>
  <c r="A8" i="9"/>
  <c r="B8" i="9"/>
  <c r="C8" i="9"/>
  <c r="D8" i="9"/>
  <c r="E8" i="9"/>
  <c r="F8" i="9"/>
  <c r="G8" i="9"/>
  <c r="H8" i="9"/>
  <c r="I8" i="9"/>
  <c r="J8" i="9"/>
  <c r="K8" i="9"/>
  <c r="L8" i="9"/>
  <c r="M8" i="9"/>
  <c r="A9" i="9"/>
  <c r="B9" i="9"/>
  <c r="C9" i="9"/>
  <c r="D9" i="9"/>
  <c r="E9" i="9"/>
  <c r="F9" i="9"/>
  <c r="G9" i="9"/>
  <c r="H9" i="9"/>
  <c r="I9" i="9"/>
  <c r="J9" i="9"/>
  <c r="K9" i="9"/>
  <c r="L9" i="9"/>
  <c r="M9" i="9"/>
  <c r="A10" i="9"/>
  <c r="B10" i="9"/>
  <c r="C10" i="9"/>
  <c r="D10" i="9"/>
  <c r="E10" i="9"/>
  <c r="F10" i="9"/>
  <c r="G10" i="9"/>
  <c r="H10" i="9"/>
  <c r="I10" i="9"/>
  <c r="J10" i="9"/>
  <c r="K10" i="9"/>
  <c r="L10" i="9"/>
  <c r="M10" i="9"/>
  <c r="R3" i="9" l="1"/>
  <c r="S3" i="9"/>
  <c r="T3" i="9"/>
  <c r="R4" i="9"/>
  <c r="S4" i="9"/>
  <c r="T4" i="9"/>
  <c r="R5" i="9"/>
  <c r="S5" i="9"/>
  <c r="T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U3" i="9" l="1"/>
  <c r="W3" i="9"/>
  <c r="W4" i="9" s="1"/>
  <c r="V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0" i="8"/>
  <c r="X9" i="8"/>
  <c r="W9" i="8"/>
  <c r="V9" i="8"/>
  <c r="U9" i="8"/>
  <c r="T9" i="8"/>
  <c r="W8" i="8"/>
  <c r="V8" i="8"/>
  <c r="Y10" i="8"/>
  <c r="X10" i="8"/>
  <c r="V10" i="8"/>
  <c r="U10" i="8"/>
  <c r="T10" i="8"/>
  <c r="Y9" i="8"/>
  <c r="Y8" i="8"/>
  <c r="X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<sst xmlns="http://schemas.openxmlformats.org/spreadsheetml/2006/main" count="98" uniqueCount="35">
  <si>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</si>
  <si>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</si>
  <si>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</si>
  <si>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</si>
  <si>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</si>
  <si>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</si>
  <si>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</si>
  <si>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</si>
  <si>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</si>
  <si>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</si>
  <si>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</si>
  <si>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</si>
  <si>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</si>
  <si>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</si>
  <si>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</si>
  <si>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</si>
  <si>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</si>
  <si>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</si>
  <si>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</si>
  <si>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</si>
  <si>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</si>
  <si>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</si>
  <si>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</si>
  <si>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</si>
  <si>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</si>
  <si>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</si>
  <si>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</si>
  <si>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</si>
  <si>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</si>
  <si>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</si>
  <si>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</si>
  <si>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</si>
  <si>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[</t>
  </si>
  <si>
    <t>]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</si>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</sst>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29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4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29"/>
  <sheetViews>
    <sheetView workbookViewId="0">
      <selection activeCell="A3" sqref="A3:M10"/>
    </sheetView>
  </sheetViews>
  <sheetFormatPr defaultRowHeight="15" x14ac:dyDescent="0.25"/>
  <cols>
    <col min="4" max="4" width="10.85546875" bestFit="1" customWidth="1"/>
  </cols>
  <sheetData>
    <row r="1" spans="1:25" ht="15.75" x14ac:dyDescent="0.25">
      <c r="A1" s="12" t="s">
        <v>13</v>
      </c>
      <c r="B1" s="12"/>
      <c r="C1" s="12"/>
      <c r="D1" s="12"/>
      <c r="E1" s="12"/>
      <c r="F1" s="12"/>
      <c r="G1" s="13"/>
      <c r="H1" s="14" t="s">
        <v>6</v>
      </c>
      <c r="I1" s="15"/>
      <c r="J1" s="15"/>
      <c r="K1" s="15"/>
      <c r="L1" s="15"/>
      <c r="M1" s="15"/>
      <c r="N1" s="16" t="s">
        <v>14</v>
      </c>
      <c r="O1" s="17"/>
      <c r="P1" s="17"/>
      <c r="Q1" s="17"/>
      <c r="R1" s="17"/>
      <c r="S1" s="17"/>
      <c r="T1" s="18" t="s">
        <v>16</v>
      </c>
      <c r="U1" s="19"/>
      <c r="V1" s="19"/>
      <c r="W1" s="19"/>
      <c r="X1" s="19"/>
      <c r="Y1" s="20"/>
    </row>
    <row r="2" spans="1:25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25">
      <c r="A3" s="10">
        <v>0.4</v>
      </c>
      <c r="B3" s="10">
        <v>0.06</v>
      </c>
      <c r="C3" s="10">
        <v>1.571</v>
      </c>
      <c r="D3" s="10">
        <v>1.571</v>
      </c>
      <c r="E3" s="10">
        <v>1.4</v>
      </c>
      <c r="F3" s="10">
        <v>0</v>
      </c>
      <c r="G3" s="10">
        <v>0</v>
      </c>
      <c r="H3" s="8">
        <v>1.1252735275775201E-3</v>
      </c>
      <c r="I3" s="8">
        <v>-5.59809319674969E-2</v>
      </c>
      <c r="J3" s="8">
        <v>-7.4938102625310399E-4</v>
      </c>
      <c r="K3" s="8">
        <v>-3.5423979163169902E-2</v>
      </c>
      <c r="L3" s="8">
        <v>-1.04948431253433E-2</v>
      </c>
      <c r="M3" s="8">
        <v>0.35301661491393999</v>
      </c>
      <c r="N3" s="8">
        <v>6.8201095839045861E-4</v>
      </c>
      <c r="O3" s="8">
        <v>-5.9716798748166919E-2</v>
      </c>
      <c r="P3" s="8">
        <v>-7.8735273971794386E-5</v>
      </c>
      <c r="Q3" s="8">
        <v>-4.0876345904461077E-2</v>
      </c>
      <c r="R3" s="8">
        <v>-9.914633187196268E-4</v>
      </c>
      <c r="S3" s="8">
        <v>0.39790140046488587</v>
      </c>
      <c r="T3" s="6">
        <f t="shared" ref="T3:Y10" si="0">ABS(H3-N3)</f>
        <v>4.4326256918706146E-4</v>
      </c>
      <c r="U3" s="6">
        <f t="shared" si="0"/>
        <v>3.7358667806700191E-3</v>
      </c>
      <c r="V3" s="6">
        <f t="shared" si="0"/>
        <v>6.7064575228130961E-4</v>
      </c>
      <c r="W3" s="6">
        <f t="shared" si="0"/>
        <v>5.4523667412911744E-3</v>
      </c>
      <c r="X3" s="6">
        <f t="shared" si="0"/>
        <v>9.5033798066236734E-3</v>
      </c>
      <c r="Y3" s="6">
        <f t="shared" si="0"/>
        <v>4.4884785550945883E-2</v>
      </c>
    </row>
    <row r="4" spans="1:25" x14ac:dyDescent="0.25">
      <c r="A4" s="10">
        <v>0.8</v>
      </c>
      <c r="B4" s="10">
        <v>0.08</v>
      </c>
      <c r="C4" s="10">
        <v>1.571</v>
      </c>
      <c r="D4" s="10">
        <v>1.571</v>
      </c>
      <c r="E4" s="10">
        <v>0</v>
      </c>
      <c r="F4" s="10">
        <v>0</v>
      </c>
      <c r="G4" s="10">
        <v>0</v>
      </c>
      <c r="H4" s="8">
        <v>-5.5839424021542105E-4</v>
      </c>
      <c r="I4" s="8">
        <v>-0.11975701153278399</v>
      </c>
      <c r="J4" s="8">
        <v>-9.9074037279933691E-4</v>
      </c>
      <c r="K4" s="8">
        <v>-0.19020733237266499</v>
      </c>
      <c r="L4" s="8">
        <v>-2.60122120380402E-3</v>
      </c>
      <c r="M4" s="8">
        <v>0.66739636659622203</v>
      </c>
      <c r="N4" s="8">
        <v>-3.6558238181758091E-22</v>
      </c>
      <c r="O4" s="8">
        <v>-0.13340417150290032</v>
      </c>
      <c r="P4" s="8">
        <v>-2.7170855559857866E-5</v>
      </c>
      <c r="Q4" s="8">
        <v>-0.19526641839411424</v>
      </c>
      <c r="R4" s="8">
        <v>-1.580094483947608E-4</v>
      </c>
      <c r="S4" s="8">
        <v>0.77579888886073778</v>
      </c>
      <c r="T4" s="6">
        <f t="shared" si="0"/>
        <v>5.5839424021542105E-4</v>
      </c>
      <c r="U4" s="6">
        <f t="shared" si="0"/>
        <v>1.3647159970116327E-2</v>
      </c>
      <c r="V4" s="6">
        <f t="shared" si="0"/>
        <v>9.6356951723947906E-4</v>
      </c>
      <c r="W4" s="6">
        <f t="shared" si="0"/>
        <v>5.0590860214492495E-3</v>
      </c>
      <c r="X4" s="6">
        <f t="shared" si="0"/>
        <v>2.4432117554092593E-3</v>
      </c>
      <c r="Y4" s="6">
        <f t="shared" si="0"/>
        <v>0.10840252226451574</v>
      </c>
    </row>
    <row r="5" spans="1:25" x14ac:dyDescent="0.25">
      <c r="A5" s="10">
        <v>0.7</v>
      </c>
      <c r="B5" s="10">
        <v>0.16</v>
      </c>
      <c r="C5" s="10">
        <v>1.571</v>
      </c>
      <c r="D5" s="10">
        <v>1.571</v>
      </c>
      <c r="E5" s="10">
        <v>1.4</v>
      </c>
      <c r="F5" s="10">
        <v>0</v>
      </c>
      <c r="G5" s="10">
        <v>0</v>
      </c>
      <c r="H5" s="8">
        <v>1.04370433837175E-2</v>
      </c>
      <c r="I5" s="8">
        <v>-0.129757210612297</v>
      </c>
      <c r="J5" s="8">
        <v>-7.3771281167864799E-3</v>
      </c>
      <c r="K5" s="8">
        <v>-0.55726921558380105</v>
      </c>
      <c r="L5" s="8">
        <v>-6.0898363590240499E-2</v>
      </c>
      <c r="M5" s="8">
        <v>0.32599642872810403</v>
      </c>
      <c r="N5" s="8">
        <v>8.1742887197970102E-3</v>
      </c>
      <c r="O5" s="8">
        <v>-0.13915055668366916</v>
      </c>
      <c r="P5" s="8">
        <v>-1.0658797430286927E-3</v>
      </c>
      <c r="Q5" s="8">
        <v>-0.5610053796184401</v>
      </c>
      <c r="R5" s="8">
        <v>-3.615060424031849E-2</v>
      </c>
      <c r="S5" s="8">
        <v>0.41707689487013627</v>
      </c>
      <c r="T5" s="6">
        <f t="shared" si="0"/>
        <v>2.2627546639204903E-3</v>
      </c>
      <c r="U5" s="6">
        <f t="shared" si="0"/>
        <v>9.393346071372155E-3</v>
      </c>
      <c r="V5" s="6">
        <f t="shared" si="0"/>
        <v>6.3112483737577871E-3</v>
      </c>
      <c r="W5" s="6">
        <f t="shared" si="0"/>
        <v>3.7361640346390557E-3</v>
      </c>
      <c r="X5" s="6">
        <f t="shared" si="0"/>
        <v>2.4747759349922009E-2</v>
      </c>
      <c r="Y5" s="6">
        <f t="shared" si="0"/>
        <v>9.1080466142032246E-2</v>
      </c>
    </row>
    <row r="6" spans="1:25" x14ac:dyDescent="0.25">
      <c r="A6" s="10">
        <v>0.7</v>
      </c>
      <c r="B6" s="10">
        <v>0.2</v>
      </c>
      <c r="C6" s="10">
        <v>1.571</v>
      </c>
      <c r="D6" s="10">
        <v>1.571</v>
      </c>
      <c r="E6" s="10">
        <v>0</v>
      </c>
      <c r="F6" s="10">
        <v>0</v>
      </c>
      <c r="G6" s="10">
        <v>0</v>
      </c>
      <c r="H6" s="8">
        <v>-5.38935419172049E-4</v>
      </c>
      <c r="I6" s="8">
        <v>-0.118809439241886</v>
      </c>
      <c r="J6" s="8">
        <v>3.4749228507280402E-3</v>
      </c>
      <c r="K6" s="8">
        <v>-0.621493339538574</v>
      </c>
      <c r="L6" s="8">
        <v>1.56053192913532E-2</v>
      </c>
      <c r="M6" s="8">
        <v>0.10576334595680199</v>
      </c>
      <c r="N6" s="8">
        <v>7.3177614929371502E-21</v>
      </c>
      <c r="O6" s="8">
        <v>-0.13611420659338222</v>
      </c>
      <c r="P6" s="8">
        <v>-2.7722817100311156E-5</v>
      </c>
      <c r="Q6" s="8">
        <v>-0.66683139601733965</v>
      </c>
      <c r="R6" s="8">
        <v>-4.3366484921137266E-5</v>
      </c>
      <c r="S6" s="8">
        <v>0.21292189269315726</v>
      </c>
      <c r="T6" s="6">
        <f t="shared" si="0"/>
        <v>5.38935419172049E-4</v>
      </c>
      <c r="U6" s="6">
        <f t="shared" si="0"/>
        <v>1.730476735149622E-2</v>
      </c>
      <c r="V6" s="6">
        <f t="shared" si="0"/>
        <v>3.5026456678283512E-3</v>
      </c>
      <c r="W6" s="6">
        <f t="shared" si="0"/>
        <v>4.5338056478765654E-2</v>
      </c>
      <c r="X6" s="6">
        <f t="shared" si="0"/>
        <v>1.5648685776274335E-2</v>
      </c>
      <c r="Y6" s="6">
        <f t="shared" si="0"/>
        <v>0.10715854673635526</v>
      </c>
    </row>
    <row r="7" spans="1:25" x14ac:dyDescent="0.25">
      <c r="A7" s="10">
        <v>0.4</v>
      </c>
      <c r="B7" s="10">
        <v>0.1</v>
      </c>
      <c r="C7" s="10">
        <v>3.665</v>
      </c>
      <c r="D7" s="10">
        <v>1.571</v>
      </c>
      <c r="E7" s="10">
        <v>1.4</v>
      </c>
      <c r="F7" s="10">
        <v>0</v>
      </c>
      <c r="G7" s="10">
        <v>0</v>
      </c>
      <c r="H7" s="8">
        <v>-4.8927497118711504E-4</v>
      </c>
      <c r="I7" s="8">
        <v>3.26927192509174E-2</v>
      </c>
      <c r="J7" s="8">
        <v>-5.8575917035341298E-2</v>
      </c>
      <c r="K7" s="8">
        <v>-1.28835095092654E-2</v>
      </c>
      <c r="L7" s="8">
        <v>-0.29204529523849498</v>
      </c>
      <c r="M7" s="8">
        <v>-0.16083618998527499</v>
      </c>
      <c r="N7" s="8">
        <v>4.4731453236950502E-7</v>
      </c>
      <c r="O7" s="8">
        <v>3.7910529330259499E-2</v>
      </c>
      <c r="P7" s="8">
        <v>-6.5692039111055353E-2</v>
      </c>
      <c r="Q7" s="8">
        <v>-3.4339529763514752E-2</v>
      </c>
      <c r="R7" s="8">
        <v>-0.34516714598695269</v>
      </c>
      <c r="S7" s="8">
        <v>-0.19919437346520763</v>
      </c>
      <c r="T7" s="6">
        <f t="shared" si="0"/>
        <v>4.8972228571948458E-4</v>
      </c>
      <c r="U7" s="6">
        <f t="shared" si="0"/>
        <v>5.2178100793420987E-3</v>
      </c>
      <c r="V7" s="6">
        <f t="shared" si="0"/>
        <v>7.1161220757140556E-3</v>
      </c>
      <c r="W7" s="6">
        <f t="shared" si="0"/>
        <v>2.145602025424935E-2</v>
      </c>
      <c r="X7" s="6">
        <f t="shared" si="0"/>
        <v>5.3121850748457711E-2</v>
      </c>
      <c r="Y7" s="6">
        <f t="shared" si="0"/>
        <v>3.8358183479932639E-2</v>
      </c>
    </row>
    <row r="8" spans="1:25" x14ac:dyDescent="0.25">
      <c r="A8" s="10">
        <v>0.7</v>
      </c>
      <c r="B8" s="10">
        <v>0.1</v>
      </c>
      <c r="C8" s="10">
        <v>3.665</v>
      </c>
      <c r="D8" s="10">
        <v>1.571</v>
      </c>
      <c r="E8" s="10">
        <v>1.4</v>
      </c>
      <c r="F8" s="10">
        <v>0</v>
      </c>
      <c r="G8" s="10">
        <v>0</v>
      </c>
      <c r="H8" s="8">
        <v>-1.61128584295511E-4</v>
      </c>
      <c r="I8" s="8">
        <v>6.6224433481693296E-2</v>
      </c>
      <c r="J8" s="8">
        <v>-0.118051804602146</v>
      </c>
      <c r="K8" s="8">
        <v>-0.18827667832374601</v>
      </c>
      <c r="L8" s="8">
        <v>-0.57758575677871704</v>
      </c>
      <c r="M8" s="8">
        <v>-0.318100035190582</v>
      </c>
      <c r="N8" s="8">
        <v>7.8275549040786961E-7</v>
      </c>
      <c r="O8" s="8">
        <v>6.5485799436450429E-2</v>
      </c>
      <c r="P8" s="8">
        <v>-0.11347489079493984</v>
      </c>
      <c r="Q8" s="8">
        <v>-0.16082361766027395</v>
      </c>
      <c r="R8" s="8">
        <v>-0.59006471211239453</v>
      </c>
      <c r="S8" s="8">
        <v>-0.34052454254295622</v>
      </c>
      <c r="T8" s="6">
        <f t="shared" si="0"/>
        <v>1.6191133978591887E-4</v>
      </c>
      <c r="U8" s="6">
        <f t="shared" si="0"/>
        <v>7.3863404524286691E-4</v>
      </c>
      <c r="V8" s="6">
        <f t="shared" si="0"/>
        <v>4.576913807206151E-3</v>
      </c>
      <c r="W8" s="6">
        <f t="shared" si="0"/>
        <v>2.7453060663472056E-2</v>
      </c>
      <c r="X8" s="6">
        <f t="shared" si="0"/>
        <v>1.2478955333677488E-2</v>
      </c>
      <c r="Y8" s="6">
        <f t="shared" si="0"/>
        <v>2.2424507352374223E-2</v>
      </c>
    </row>
    <row r="9" spans="1:25" x14ac:dyDescent="0.25">
      <c r="A9" s="10">
        <v>0.4</v>
      </c>
      <c r="B9" s="10">
        <v>0.16</v>
      </c>
      <c r="C9" s="10">
        <v>3.665</v>
      </c>
      <c r="D9" s="10">
        <v>1.571</v>
      </c>
      <c r="E9" s="10">
        <v>0</v>
      </c>
      <c r="F9" s="10">
        <v>0</v>
      </c>
      <c r="G9" s="10">
        <v>0</v>
      </c>
      <c r="H9" s="8">
        <v>3.27638350427151E-4</v>
      </c>
      <c r="I9" s="8">
        <v>4.1303895413875601E-2</v>
      </c>
      <c r="J9" s="8">
        <v>-7.1706265211105305E-2</v>
      </c>
      <c r="K9" s="8">
        <v>-0.16764184832572901</v>
      </c>
      <c r="L9" s="8">
        <v>-0.24127176403999301</v>
      </c>
      <c r="M9" s="8">
        <v>-0.13795974850654599</v>
      </c>
      <c r="N9" s="8">
        <v>1.367592483114211E-18</v>
      </c>
      <c r="O9" s="8">
        <v>4.7072220555871E-2</v>
      </c>
      <c r="P9" s="8">
        <v>-8.1567533571039533E-2</v>
      </c>
      <c r="Q9" s="8">
        <v>-0.19051392909413226</v>
      </c>
      <c r="R9" s="8">
        <v>-0.30462860510100198</v>
      </c>
      <c r="S9" s="8">
        <v>-0.17579966267403405</v>
      </c>
      <c r="T9" s="6">
        <f t="shared" si="0"/>
        <v>3.2763835042714964E-4</v>
      </c>
      <c r="U9" s="6">
        <f t="shared" si="0"/>
        <v>5.7683251419953993E-3</v>
      </c>
      <c r="V9" s="6">
        <f t="shared" si="0"/>
        <v>9.8612683599342277E-3</v>
      </c>
      <c r="W9" s="6">
        <f t="shared" si="0"/>
        <v>2.2872080768403247E-2</v>
      </c>
      <c r="X9" s="6">
        <f t="shared" si="0"/>
        <v>6.3356841061008973E-2</v>
      </c>
      <c r="Y9" s="6">
        <f t="shared" si="0"/>
        <v>3.7839914167488053E-2</v>
      </c>
    </row>
    <row r="10" spans="1:25" x14ac:dyDescent="0.25">
      <c r="A10" s="10">
        <v>0.3</v>
      </c>
      <c r="B10" s="10">
        <v>0.18</v>
      </c>
      <c r="C10" s="10">
        <v>3.665</v>
      </c>
      <c r="D10" s="10">
        <v>1.571</v>
      </c>
      <c r="E10" s="10">
        <v>0</v>
      </c>
      <c r="F10" s="10">
        <v>0</v>
      </c>
      <c r="G10" s="10">
        <v>0</v>
      </c>
      <c r="H10" s="8">
        <v>3.5051628947258001E-4</v>
      </c>
      <c r="I10" s="8">
        <v>3.2155215740203899E-2</v>
      </c>
      <c r="J10" s="8">
        <v>-5.4656162858009297E-2</v>
      </c>
      <c r="K10" s="8">
        <v>-0.106987468898296</v>
      </c>
      <c r="L10" s="8">
        <v>-0.16471621394157401</v>
      </c>
      <c r="M10" s="8">
        <v>-9.7047880291938796E-2</v>
      </c>
      <c r="N10" s="8">
        <v>2.4885534982546837E-19</v>
      </c>
      <c r="O10" s="8">
        <v>3.848032813826683E-2</v>
      </c>
      <c r="P10" s="8">
        <v>-6.6679358232468691E-2</v>
      </c>
      <c r="Q10" s="8">
        <v>-0.13700255611111528</v>
      </c>
      <c r="R10" s="8">
        <v>-0.23115898155849329</v>
      </c>
      <c r="S10" s="8">
        <v>-0.13340070597960632</v>
      </c>
      <c r="T10" s="6">
        <f t="shared" si="0"/>
        <v>3.5051628947257974E-4</v>
      </c>
      <c r="U10" s="6">
        <f t="shared" si="0"/>
        <v>6.3251123980629306E-3</v>
      </c>
      <c r="V10" s="6">
        <f t="shared" si="0"/>
        <v>1.2023195374459394E-2</v>
      </c>
      <c r="W10" s="6">
        <f t="shared" si="0"/>
        <v>3.0015087212819286E-2</v>
      </c>
      <c r="X10" s="6">
        <f t="shared" si="0"/>
        <v>6.6442767616919279E-2</v>
      </c>
      <c r="Y10" s="6">
        <f t="shared" si="0"/>
        <v>3.6352825687667525E-2</v>
      </c>
    </row>
    <row r="12" spans="1:25" x14ac:dyDescent="0.25">
      <c r="T12" s="11"/>
      <c r="U12" s="11"/>
      <c r="V12" s="11"/>
      <c r="W12" s="11"/>
      <c r="X12" s="11"/>
      <c r="Y12" s="11"/>
    </row>
    <row r="13" spans="1:25" x14ac:dyDescent="0.25">
      <c r="T13" s="11"/>
      <c r="U13" s="11"/>
      <c r="V13" s="11"/>
      <c r="W13" s="11"/>
      <c r="X13" s="11"/>
      <c r="Y13" s="11"/>
    </row>
    <row r="14" spans="1:25" x14ac:dyDescent="0.25">
      <c r="T14" s="11"/>
      <c r="U14" s="11"/>
      <c r="V14" s="11"/>
      <c r="W14" s="11"/>
      <c r="X14" s="11"/>
      <c r="Y14" s="11"/>
    </row>
    <row r="15" spans="1:25" x14ac:dyDescent="0.25">
      <c r="T15" s="11"/>
      <c r="U15" s="11"/>
      <c r="V15" s="11"/>
      <c r="W15" s="11"/>
      <c r="X15" s="11"/>
      <c r="Y15" s="11"/>
    </row>
    <row r="16" spans="1:25" x14ac:dyDescent="0.25">
      <c r="T16" s="11"/>
      <c r="U16" s="11"/>
      <c r="V16" s="11"/>
      <c r="W16" s="11"/>
      <c r="X16" s="11"/>
      <c r="Y16" s="11"/>
    </row>
    <row r="17" spans="20:25" x14ac:dyDescent="0.25">
      <c r="T17" s="11"/>
      <c r="U17" s="11"/>
      <c r="V17" s="11"/>
      <c r="W17" s="11"/>
      <c r="X17" s="11"/>
      <c r="Y17" s="11"/>
    </row>
    <row r="18" spans="20:25" x14ac:dyDescent="0.25">
      <c r="T18" s="11"/>
      <c r="U18" s="11"/>
      <c r="V18" s="11"/>
      <c r="W18" s="11"/>
      <c r="X18" s="11"/>
      <c r="Y18" s="11"/>
    </row>
    <row r="19" spans="20:25" x14ac:dyDescent="0.25">
      <c r="T19" s="11"/>
      <c r="U19" s="11"/>
      <c r="V19" s="11"/>
      <c r="W19" s="11"/>
      <c r="X19" s="11"/>
      <c r="Y19" s="11"/>
    </row>
    <row r="20" spans="20:25" x14ac:dyDescent="0.25">
      <c r="T20" s="11"/>
      <c r="U20" s="11"/>
      <c r="V20" s="11"/>
      <c r="W20" s="11"/>
      <c r="X20" s="11"/>
      <c r="Y20" s="11"/>
    </row>
    <row r="21" spans="20:25" x14ac:dyDescent="0.25">
      <c r="T21" s="11"/>
      <c r="U21" s="11"/>
      <c r="V21" s="11"/>
      <c r="W21" s="11"/>
      <c r="X21" s="11"/>
      <c r="Y21" s="11"/>
    </row>
    <row r="22" spans="20:25" x14ac:dyDescent="0.25">
      <c r="T22" s="11"/>
      <c r="U22" s="11"/>
      <c r="V22" s="11"/>
      <c r="W22" s="11"/>
      <c r="X22" s="11"/>
      <c r="Y22" s="11"/>
    </row>
    <row r="23" spans="20:25" x14ac:dyDescent="0.25">
      <c r="T23" s="11"/>
      <c r="U23" s="11"/>
      <c r="V23" s="11"/>
      <c r="W23" s="11"/>
      <c r="X23" s="11"/>
      <c r="Y23" s="11"/>
    </row>
    <row r="24" spans="20:25" x14ac:dyDescent="0.25">
      <c r="T24" s="11"/>
      <c r="U24" s="11"/>
      <c r="V24" s="11"/>
      <c r="W24" s="11"/>
      <c r="X24" s="11"/>
      <c r="Y24" s="11"/>
    </row>
    <row r="25" spans="20:25" x14ac:dyDescent="0.25">
      <c r="T25" s="11"/>
      <c r="U25" s="11"/>
      <c r="V25" s="11"/>
      <c r="W25" s="11"/>
      <c r="X25" s="11"/>
      <c r="Y25" s="11"/>
    </row>
    <row r="26" spans="20:25" x14ac:dyDescent="0.25">
      <c r="T26" s="11"/>
      <c r="U26" s="11"/>
      <c r="V26" s="11"/>
      <c r="W26" s="11"/>
      <c r="X26" s="11"/>
      <c r="Y26" s="11"/>
    </row>
    <row r="27" spans="20:25" x14ac:dyDescent="0.25">
      <c r="T27" s="11"/>
      <c r="U27" s="11"/>
      <c r="V27" s="11"/>
      <c r="W27" s="11"/>
      <c r="X27" s="11"/>
      <c r="Y27" s="11"/>
    </row>
    <row r="28" spans="20:25" x14ac:dyDescent="0.25">
      <c r="T28" s="11"/>
      <c r="U28" s="11"/>
      <c r="V28" s="11"/>
      <c r="W28" s="11"/>
      <c r="X28" s="11"/>
      <c r="Y28" s="11"/>
    </row>
    <row r="29" spans="20:25" x14ac:dyDescent="0.25">
      <c r="T29" s="11"/>
      <c r="U29" s="11"/>
      <c r="V29" s="11"/>
      <c r="W29" s="11"/>
      <c r="X29" s="11"/>
      <c r="Y29" s="11"/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W10"/>
  <sheetViews>
    <sheetView tabSelected="1" workbookViewId="0">
      <selection activeCell="Q23" sqref="Q23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5" customWidth="1"/>
    <col min="18" max="18" width="11.140625" bestFit="1" customWidth="1"/>
    <col min="19" max="19" width="13.42578125" bestFit="1" customWidth="1"/>
    <col min="20" max="20" width="11.7109375" bestFit="1" customWidth="1"/>
    <col min="21" max="21" width="11.140625" bestFit="1" customWidth="1"/>
    <col min="22" max="22" width="13.5703125" bestFit="1" customWidth="1"/>
    <col min="23" max="23" width="11.7109375" bestFit="1" customWidth="1"/>
  </cols>
  <sheetData>
    <row r="1" spans="1:23" ht="15.75" x14ac:dyDescent="0.25">
      <c r="A1" s="22" t="s">
        <v>13</v>
      </c>
      <c r="B1" s="22"/>
      <c r="C1" s="22"/>
      <c r="D1" s="22"/>
      <c r="E1" s="22"/>
      <c r="F1" s="22"/>
      <c r="G1" s="22"/>
      <c r="H1" s="23" t="s">
        <v>6</v>
      </c>
      <c r="I1" s="23"/>
      <c r="J1" s="23"/>
      <c r="K1" s="23"/>
      <c r="L1" s="23"/>
      <c r="M1" s="23"/>
      <c r="N1" s="25" t="s">
        <v>9</v>
      </c>
      <c r="O1" s="25"/>
      <c r="P1" s="25"/>
      <c r="Q1" s="25"/>
      <c r="R1" s="24" t="s">
        <v>15</v>
      </c>
      <c r="S1" s="24"/>
      <c r="T1" s="24"/>
      <c r="U1" s="21" t="s">
        <v>30</v>
      </c>
      <c r="V1" s="21"/>
      <c r="W1" s="21"/>
    </row>
    <row r="2" spans="1:23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27</v>
      </c>
      <c r="R2" s="1" t="s">
        <v>28</v>
      </c>
      <c r="S2" s="1" t="s">
        <v>29</v>
      </c>
      <c r="T2" s="4" t="s">
        <v>31</v>
      </c>
      <c r="U2" s="1" t="s">
        <v>28</v>
      </c>
      <c r="V2" s="1" t="s">
        <v>29</v>
      </c>
      <c r="W2" s="4" t="s">
        <v>31</v>
      </c>
    </row>
    <row r="3" spans="1:23" x14ac:dyDescent="0.25">
      <c r="A3" s="8">
        <f>'Proximal Validation (single)'!A3</f>
        <v>0.4</v>
      </c>
      <c r="B3" s="8">
        <f>'Proximal Validation (single)'!B3</f>
        <v>0.06</v>
      </c>
      <c r="C3" s="8">
        <f>'Proximal Validation (single)'!C3</f>
        <v>1.571</v>
      </c>
      <c r="D3" s="8">
        <f>'Proximal Validation (single)'!D3</f>
        <v>1.571</v>
      </c>
      <c r="E3" s="8">
        <f>'Proximal Validation (single)'!E3</f>
        <v>1.4</v>
      </c>
      <c r="F3" s="8">
        <f>'Proximal Validation (single)'!F3</f>
        <v>0</v>
      </c>
      <c r="G3" s="8">
        <f>'Proximal Validation (single)'!G3</f>
        <v>0</v>
      </c>
      <c r="H3" s="8">
        <f>'Proximal Validation (single)'!H3</f>
        <v>1.1252735275775201E-3</v>
      </c>
      <c r="I3" s="8">
        <f>'Proximal Validation (single)'!I3</f>
        <v>-5.59809319674969E-2</v>
      </c>
      <c r="J3" s="8">
        <f>'Proximal Validation (single)'!J3</f>
        <v>-7.4938102625310399E-4</v>
      </c>
      <c r="K3" s="8">
        <f>'Proximal Validation (single)'!K3</f>
        <v>-3.5423979163169902E-2</v>
      </c>
      <c r="L3" s="8">
        <f>'Proximal Validation (single)'!L3</f>
        <v>-1.04948431253433E-2</v>
      </c>
      <c r="M3" s="8">
        <f>'Proximal Validation (single)'!M3</f>
        <v>0.35301661491393999</v>
      </c>
      <c r="N3" s="8">
        <v>0.32533828751769245</v>
      </c>
      <c r="O3" s="8">
        <v>7.4183697231583259E-2</v>
      </c>
      <c r="P3" s="8">
        <v>1.5659782479041073</v>
      </c>
      <c r="Q3" s="9">
        <v>8.1076384588633285E-8</v>
      </c>
      <c r="R3" s="7">
        <f>ABS(N3-A3)</f>
        <v>7.4661712482307574E-2</v>
      </c>
      <c r="S3" s="7">
        <f>ABS(O3-B3)</f>
        <v>1.4183697231583262E-2</v>
      </c>
      <c r="T3" s="7">
        <f>ABS(P3-C3)</f>
        <v>5.0217520958926176E-3</v>
      </c>
      <c r="U3" s="8">
        <f>AVERAGE(R3:R10)</f>
        <v>0.16383849879047574</v>
      </c>
      <c r="V3" s="8">
        <f>AVERAGE(S3:S10)</f>
        <v>4.4786563957032233E-2</v>
      </c>
      <c r="W3" s="8">
        <f>AVERAGE(T3:T10)</f>
        <v>1.1363714814556641E-2</v>
      </c>
    </row>
    <row r="4" spans="1:23" x14ac:dyDescent="0.25">
      <c r="A4" s="8">
        <f>'Proximal Validation (single)'!A4</f>
        <v>0.8</v>
      </c>
      <c r="B4" s="8">
        <f>'Proximal Validation (single)'!B4</f>
        <v>0.08</v>
      </c>
      <c r="C4" s="8">
        <f>'Proximal Validation (single)'!C4</f>
        <v>1.571</v>
      </c>
      <c r="D4" s="8">
        <f>'Proximal Validation (single)'!D4</f>
        <v>1.571</v>
      </c>
      <c r="E4" s="8">
        <f>'Proximal Validation (single)'!E4</f>
        <v>0</v>
      </c>
      <c r="F4" s="8">
        <f>'Proximal Validation (single)'!F4</f>
        <v>0</v>
      </c>
      <c r="G4" s="8">
        <f>'Proximal Validation (single)'!G4</f>
        <v>0</v>
      </c>
      <c r="H4" s="8">
        <f>'Proximal Validation (single)'!H4</f>
        <v>-5.5839424021542105E-4</v>
      </c>
      <c r="I4" s="8">
        <f>'Proximal Validation (single)'!I4</f>
        <v>-0.11975701153278399</v>
      </c>
      <c r="J4" s="8">
        <f>'Proximal Validation (single)'!J4</f>
        <v>-9.9074037279933691E-4</v>
      </c>
      <c r="K4" s="8">
        <f>'Proximal Validation (single)'!K4</f>
        <v>-0.19020733237266499</v>
      </c>
      <c r="L4" s="8">
        <f>'Proximal Validation (single)'!L4</f>
        <v>-2.60122120380402E-3</v>
      </c>
      <c r="M4" s="8">
        <f>'Proximal Validation (single)'!M4</f>
        <v>0.66739636659622203</v>
      </c>
      <c r="N4" s="8">
        <v>0.51572500442393188</v>
      </c>
      <c r="O4" s="8">
        <v>0.11853069632675313</v>
      </c>
      <c r="P4" s="8">
        <v>1.5834716161639286</v>
      </c>
      <c r="Q4" s="9">
        <v>4.1792539582373198E-7</v>
      </c>
      <c r="R4" s="7">
        <f>ABS(N4-A4)</f>
        <v>0.28427499557606817</v>
      </c>
      <c r="S4" s="7">
        <f>ABS(O4-B4)</f>
        <v>3.8530696326753128E-2</v>
      </c>
      <c r="T4" s="7">
        <f>ABS(P4-C4)</f>
        <v>1.2471616163928667E-2</v>
      </c>
      <c r="W4">
        <f>DEGREES(W3)</f>
        <v>0.65109289846438445</v>
      </c>
    </row>
    <row r="5" spans="1:23" x14ac:dyDescent="0.25">
      <c r="A5" s="8">
        <f>'Proximal Validation (single)'!A5</f>
        <v>0.7</v>
      </c>
      <c r="B5" s="8">
        <f>'Proximal Validation (single)'!B5</f>
        <v>0.16</v>
      </c>
      <c r="C5" s="8">
        <f>'Proximal Validation (single)'!C5</f>
        <v>1.571</v>
      </c>
      <c r="D5" s="8">
        <f>'Proximal Validation (single)'!D5</f>
        <v>1.571</v>
      </c>
      <c r="E5" s="8">
        <f>'Proximal Validation (single)'!E5</f>
        <v>1.4</v>
      </c>
      <c r="F5" s="8">
        <f>'Proximal Validation (single)'!F5</f>
        <v>0</v>
      </c>
      <c r="G5" s="8">
        <f>'Proximal Validation (single)'!G5</f>
        <v>0</v>
      </c>
      <c r="H5" s="8">
        <f>'Proximal Validation (single)'!H5</f>
        <v>1.04370433837175E-2</v>
      </c>
      <c r="I5" s="8">
        <f>'Proximal Validation (single)'!I5</f>
        <v>-0.129757210612297</v>
      </c>
      <c r="J5" s="8">
        <f>'Proximal Validation (single)'!J5</f>
        <v>-7.3771281167864799E-3</v>
      </c>
      <c r="K5" s="8">
        <f>'Proximal Validation (single)'!K5</f>
        <v>-0.55726921558380105</v>
      </c>
      <c r="L5" s="8">
        <f>'Proximal Validation (single)'!L5</f>
        <v>-6.0898363590240499E-2</v>
      </c>
      <c r="M5" s="8">
        <f>'Proximal Validation (single)'!M5</f>
        <v>0.32599642872810403</v>
      </c>
      <c r="N5" s="8">
        <v>0.88186276571854383</v>
      </c>
      <c r="O5" s="8">
        <v>0.12047930768897837</v>
      </c>
      <c r="P5" s="8">
        <v>1.6008949990400596</v>
      </c>
      <c r="Q5" s="9">
        <v>1.1075001134510277E-7</v>
      </c>
      <c r="R5" s="7">
        <f>ABS(N5-A5)</f>
        <v>0.18186276571854387</v>
      </c>
      <c r="S5" s="7">
        <f>ABS(O5-B5)</f>
        <v>3.9520692311021635E-2</v>
      </c>
      <c r="T5" s="7">
        <f>ABS(P5-C5)</f>
        <v>2.9894999040059655E-2</v>
      </c>
    </row>
    <row r="6" spans="1:23" x14ac:dyDescent="0.25">
      <c r="A6" s="8">
        <f>'Proximal Validation (single)'!A6</f>
        <v>0.7</v>
      </c>
      <c r="B6" s="8">
        <f>'Proximal Validation (single)'!B6</f>
        <v>0.2</v>
      </c>
      <c r="C6" s="8">
        <f>'Proximal Validation (single)'!C6</f>
        <v>1.571</v>
      </c>
      <c r="D6" s="8">
        <f>'Proximal Validation (single)'!D6</f>
        <v>1.571</v>
      </c>
      <c r="E6" s="8">
        <f>'Proximal Validation (single)'!E6</f>
        <v>0</v>
      </c>
      <c r="F6" s="8">
        <f>'Proximal Validation (single)'!F6</f>
        <v>0</v>
      </c>
      <c r="G6" s="8">
        <f>'Proximal Validation (single)'!G6</f>
        <v>0</v>
      </c>
      <c r="H6" s="8">
        <f>'Proximal Validation (single)'!H6</f>
        <v>-5.38935419172049E-4</v>
      </c>
      <c r="I6" s="8">
        <f>'Proximal Validation (single)'!I6</f>
        <v>-0.118809439241886</v>
      </c>
      <c r="J6" s="8">
        <f>'Proximal Validation (single)'!J6</f>
        <v>3.4749228507280402E-3</v>
      </c>
      <c r="K6" s="8">
        <f>'Proximal Validation (single)'!K6</f>
        <v>-0.621493339538574</v>
      </c>
      <c r="L6" s="8">
        <f>'Proximal Validation (single)'!L6</f>
        <v>1.56053192913532E-2</v>
      </c>
      <c r="M6" s="8">
        <f>'Proximal Validation (single)'!M6</f>
        <v>0.10576334595680199</v>
      </c>
      <c r="N6" s="8">
        <v>0.97212132019468855</v>
      </c>
      <c r="O6" s="8">
        <v>0.1196392430997292</v>
      </c>
      <c r="P6" s="8">
        <v>1.5518542222098874</v>
      </c>
      <c r="Q6" s="9">
        <v>1.3759005590958848E-6</v>
      </c>
      <c r="R6" s="7">
        <f>ABS(N6-A6)</f>
        <v>0.2721213201946886</v>
      </c>
      <c r="S6" s="7">
        <f>ABS(O6-B6)</f>
        <v>8.0360756900270808E-2</v>
      </c>
      <c r="T6" s="7">
        <f>ABS(P6-C6)</f>
        <v>1.9145777790112506E-2</v>
      </c>
    </row>
    <row r="7" spans="1:23" x14ac:dyDescent="0.25">
      <c r="A7" s="8">
        <f>'Proximal Validation (single)'!A7</f>
        <v>0.4</v>
      </c>
      <c r="B7" s="8">
        <f>'Proximal Validation (single)'!B7</f>
        <v>0.1</v>
      </c>
      <c r="C7" s="8">
        <f>'Proximal Validation (single)'!C7</f>
        <v>3.665</v>
      </c>
      <c r="D7" s="8">
        <f>'Proximal Validation (single)'!D7</f>
        <v>1.571</v>
      </c>
      <c r="E7" s="8">
        <f>'Proximal Validation (single)'!E7</f>
        <v>1.4</v>
      </c>
      <c r="F7" s="8">
        <f>'Proximal Validation (single)'!F7</f>
        <v>0</v>
      </c>
      <c r="G7" s="8">
        <f>'Proximal Validation (single)'!G7</f>
        <v>0</v>
      </c>
      <c r="H7" s="8">
        <f>'Proximal Validation (single)'!H7</f>
        <v>-4.8927497118711504E-4</v>
      </c>
      <c r="I7" s="8">
        <f>'Proximal Validation (single)'!I7</f>
        <v>3.26927192509174E-2</v>
      </c>
      <c r="J7" s="8">
        <f>'Proximal Validation (single)'!J7</f>
        <v>-5.8575917035341298E-2</v>
      </c>
      <c r="K7" s="8">
        <f>'Proximal Validation (single)'!K7</f>
        <v>-1.28835095092654E-2</v>
      </c>
      <c r="L7" s="8">
        <f>'Proximal Validation (single)'!L7</f>
        <v>-0.29204529523849498</v>
      </c>
      <c r="M7" s="8">
        <f>'Proximal Validation (single)'!M7</f>
        <v>-0.16083618998527499</v>
      </c>
      <c r="N7" s="8">
        <v>0.49762743169409202</v>
      </c>
      <c r="O7" s="8">
        <v>7.3987747035121149E-2</v>
      </c>
      <c r="P7" s="8">
        <v>3.6552884081335155</v>
      </c>
      <c r="Q7" s="9">
        <v>3.5835768489104764E-7</v>
      </c>
      <c r="R7" s="7">
        <f>ABS(N7-A7)</f>
        <v>9.7627431694091993E-2</v>
      </c>
      <c r="S7" s="7">
        <f>ABS(O7-B7)</f>
        <v>2.6012252964878857E-2</v>
      </c>
      <c r="T7" s="7">
        <f>ABS(P7-C7)</f>
        <v>9.7115918664845147E-3</v>
      </c>
    </row>
    <row r="8" spans="1:23" x14ac:dyDescent="0.25">
      <c r="A8" s="8">
        <f>'Proximal Validation (single)'!A8</f>
        <v>0.7</v>
      </c>
      <c r="B8" s="8">
        <f>'Proximal Validation (single)'!B8</f>
        <v>0.1</v>
      </c>
      <c r="C8" s="8">
        <f>'Proximal Validation (single)'!C8</f>
        <v>3.665</v>
      </c>
      <c r="D8" s="8">
        <f>'Proximal Validation (single)'!D8</f>
        <v>1.571</v>
      </c>
      <c r="E8" s="8">
        <f>'Proximal Validation (single)'!E8</f>
        <v>1.4</v>
      </c>
      <c r="F8" s="8">
        <f>'Proximal Validation (single)'!F8</f>
        <v>0</v>
      </c>
      <c r="G8" s="8">
        <f>'Proximal Validation (single)'!G8</f>
        <v>0</v>
      </c>
      <c r="H8" s="8">
        <f>'Proximal Validation (single)'!H8</f>
        <v>-1.61128584295511E-4</v>
      </c>
      <c r="I8" s="8">
        <f>'Proximal Validation (single)'!I8</f>
        <v>6.6224433481693296E-2</v>
      </c>
      <c r="J8" s="8">
        <f>'Proximal Validation (single)'!J8</f>
        <v>-0.118051804602146</v>
      </c>
      <c r="K8" s="8">
        <f>'Proximal Validation (single)'!K8</f>
        <v>-0.18827667832374601</v>
      </c>
      <c r="L8" s="8">
        <f>'Proximal Validation (single)'!L8</f>
        <v>-0.57758575677871704</v>
      </c>
      <c r="M8" s="8">
        <f>'Proximal Validation (single)'!M8</f>
        <v>-0.318100035190582</v>
      </c>
      <c r="N8" s="8">
        <v>0.49445283117023164</v>
      </c>
      <c r="O8" s="8">
        <v>0.15472154748031458</v>
      </c>
      <c r="P8" s="8">
        <v>3.6590378292440677</v>
      </c>
      <c r="Q8" s="9">
        <v>1.6944979075636297E-7</v>
      </c>
      <c r="R8" s="7">
        <f>ABS(N8-A8)</f>
        <v>0.20554716882976831</v>
      </c>
      <c r="S8" s="7">
        <f>ABS(O8-B8)</f>
        <v>5.4721547480314575E-2</v>
      </c>
      <c r="T8" s="7">
        <f>ABS(P8-C8)</f>
        <v>5.9621707559323056E-3</v>
      </c>
    </row>
    <row r="9" spans="1:23" x14ac:dyDescent="0.25">
      <c r="A9" s="8">
        <f>'Proximal Validation (single)'!A9</f>
        <v>0.4</v>
      </c>
      <c r="B9" s="8">
        <f>'Proximal Validation (single)'!B9</f>
        <v>0.16</v>
      </c>
      <c r="C9" s="8">
        <f>'Proximal Validation (single)'!C9</f>
        <v>3.665</v>
      </c>
      <c r="D9" s="8">
        <f>'Proximal Validation (single)'!D9</f>
        <v>1.571</v>
      </c>
      <c r="E9" s="8">
        <f>'Proximal Validation (single)'!E9</f>
        <v>0</v>
      </c>
      <c r="F9" s="8">
        <f>'Proximal Validation (single)'!F9</f>
        <v>0</v>
      </c>
      <c r="G9" s="8">
        <f>'Proximal Validation (single)'!G9</f>
        <v>0</v>
      </c>
      <c r="H9" s="8">
        <f>'Proximal Validation (single)'!H9</f>
        <v>3.27638350427151E-4</v>
      </c>
      <c r="I9" s="8">
        <f>'Proximal Validation (single)'!I9</f>
        <v>4.1303895413875601E-2</v>
      </c>
      <c r="J9" s="8">
        <f>'Proximal Validation (single)'!J9</f>
        <v>-7.1706265211105305E-2</v>
      </c>
      <c r="K9" s="8">
        <f>'Proximal Validation (single)'!K9</f>
        <v>-0.16764184832572901</v>
      </c>
      <c r="L9" s="8">
        <f>'Proximal Validation (single)'!L9</f>
        <v>-0.24127176403999301</v>
      </c>
      <c r="M9" s="8">
        <f>'Proximal Validation (single)'!M9</f>
        <v>-0.13795974850654599</v>
      </c>
      <c r="N9" s="8">
        <v>0.49588753377898009</v>
      </c>
      <c r="O9" s="8">
        <v>0.11813214174490635</v>
      </c>
      <c r="P9" s="8">
        <v>3.665562433196496</v>
      </c>
      <c r="Q9" s="9">
        <v>3.3897359954566216E-8</v>
      </c>
      <c r="R9" s="7">
        <f>ABS(N9-A9)</f>
        <v>9.5887533778980072E-2</v>
      </c>
      <c r="S9" s="7">
        <f>ABS(O9-B9)</f>
        <v>4.1867858255093648E-2</v>
      </c>
      <c r="T9" s="7">
        <f>ABS(P9-C9)</f>
        <v>5.6243319649595946E-4</v>
      </c>
    </row>
    <row r="10" spans="1:23" x14ac:dyDescent="0.25">
      <c r="A10" s="8">
        <f>'Proximal Validation (single)'!A10</f>
        <v>0.3</v>
      </c>
      <c r="B10" s="8">
        <f>'Proximal Validation (single)'!B10</f>
        <v>0.18</v>
      </c>
      <c r="C10" s="8">
        <f>'Proximal Validation (single)'!C10</f>
        <v>3.665</v>
      </c>
      <c r="D10" s="8">
        <f>'Proximal Validation (single)'!D10</f>
        <v>1.571</v>
      </c>
      <c r="E10" s="8">
        <f>'Proximal Validation (single)'!E10</f>
        <v>0</v>
      </c>
      <c r="F10" s="8">
        <f>'Proximal Validation (single)'!F10</f>
        <v>0</v>
      </c>
      <c r="G10" s="8">
        <f>'Proximal Validation (single)'!G10</f>
        <v>0</v>
      </c>
      <c r="H10" s="8">
        <f>'Proximal Validation (single)'!H10</f>
        <v>3.5051628947258001E-4</v>
      </c>
      <c r="I10" s="8">
        <f>'Proximal Validation (single)'!I10</f>
        <v>3.2155215740203899E-2</v>
      </c>
      <c r="J10" s="8">
        <f>'Proximal Validation (single)'!J10</f>
        <v>-5.4656162858009297E-2</v>
      </c>
      <c r="K10" s="8">
        <f>'Proximal Validation (single)'!K10</f>
        <v>-0.106987468898296</v>
      </c>
      <c r="L10" s="8">
        <f>'Proximal Validation (single)'!L10</f>
        <v>-0.16471621394157401</v>
      </c>
      <c r="M10" s="8">
        <f>'Proximal Validation (single)'!M10</f>
        <v>-9.7047880291938796E-2</v>
      </c>
      <c r="N10" s="8">
        <v>0.39872506204935704</v>
      </c>
      <c r="O10" s="8">
        <v>0.11690498981365803</v>
      </c>
      <c r="P10" s="8">
        <v>3.6731393776075469</v>
      </c>
      <c r="Q10" s="9">
        <v>1.1507961508610767E-8</v>
      </c>
      <c r="R10" s="7">
        <f>ABS(N10-A10)</f>
        <v>9.8725062049357049E-2</v>
      </c>
      <c r="S10" s="7">
        <f>ABS(O10-B10)</f>
        <v>6.3095010186341963E-2</v>
      </c>
      <c r="T10" s="7">
        <f>ABS(P10-C10)</f>
        <v>8.1393776075469049E-3</v>
      </c>
    </row>
  </sheetData>
  <mergeCells count="5">
    <mergeCell ref="U1:W1"/>
    <mergeCell ref="A1:G1"/>
    <mergeCell ref="H1:M1"/>
    <mergeCell ref="R1:T1"/>
    <mergeCell ref="N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F744-A857-4A50-B613-5F1D0A4C6D83}">
  <dimension ref="J3:U29"/>
  <sheetViews>
    <sheetView workbookViewId="0">
      <selection activeCell="J22" sqref="J22:T29"/>
    </sheetView>
  </sheetViews>
  <sheetFormatPr defaultRowHeight="15" x14ac:dyDescent="0.25"/>
  <sheetData>
    <row r="3" spans="10:20" x14ac:dyDescent="0.25">
      <c r="J3" t="s">
        <v>32</v>
      </c>
      <c r="K3">
        <v>8.3457410801202102E-4</v>
      </c>
      <c r="L3">
        <v>-3.4524299204349497E-2</v>
      </c>
      <c r="M3">
        <v>-1.46811630111188E-3</v>
      </c>
      <c r="N3">
        <v>0.179403036832809</v>
      </c>
      <c r="O3">
        <v>-7.5630694627761797E-3</v>
      </c>
      <c r="P3">
        <v>0.203822165727615</v>
      </c>
      <c r="Q3">
        <v>1.4</v>
      </c>
      <c r="R3">
        <v>0</v>
      </c>
      <c r="S3">
        <v>0</v>
      </c>
      <c r="T3" t="s">
        <v>34</v>
      </c>
    </row>
    <row r="4" spans="10:20" x14ac:dyDescent="0.25">
      <c r="K4">
        <v>-8.0810196232050701E-4</v>
      </c>
      <c r="L4">
        <v>-6.6743046045303303E-2</v>
      </c>
      <c r="M4">
        <v>4.4342974433675398E-4</v>
      </c>
      <c r="N4">
        <v>0.21195751428604101</v>
      </c>
      <c r="O4">
        <v>1.1818818747997299E-3</v>
      </c>
      <c r="P4">
        <v>0.30656093358993503</v>
      </c>
      <c r="Q4">
        <v>0</v>
      </c>
      <c r="R4">
        <v>0</v>
      </c>
      <c r="S4">
        <v>0</v>
      </c>
      <c r="T4" t="s">
        <v>34</v>
      </c>
    </row>
    <row r="5" spans="10:20" x14ac:dyDescent="0.25">
      <c r="K5">
        <v>7.8557301312684995E-3</v>
      </c>
      <c r="L5">
        <v>-0.127810284495354</v>
      </c>
      <c r="M5">
        <v>-1.16112818941474E-2</v>
      </c>
      <c r="N5">
        <v>2.8561159968376201E-2</v>
      </c>
      <c r="O5">
        <v>-4.7612398862838697E-2</v>
      </c>
      <c r="P5">
        <v>0.55316102504730202</v>
      </c>
      <c r="Q5">
        <v>1.4</v>
      </c>
      <c r="R5">
        <v>0</v>
      </c>
      <c r="S5">
        <v>0</v>
      </c>
      <c r="T5" t="s">
        <v>34</v>
      </c>
    </row>
    <row r="6" spans="10:20" x14ac:dyDescent="0.25">
      <c r="K6">
        <v>1.1252735275775201E-3</v>
      </c>
      <c r="L6">
        <v>-5.59809319674969E-2</v>
      </c>
      <c r="M6">
        <v>-7.4938102625310399E-4</v>
      </c>
      <c r="N6">
        <v>-3.5423979163169902E-2</v>
      </c>
      <c r="O6">
        <v>-1.04948431253433E-2</v>
      </c>
      <c r="P6">
        <v>0.35301661491393999</v>
      </c>
      <c r="Q6">
        <v>1.4</v>
      </c>
      <c r="R6">
        <v>0</v>
      </c>
      <c r="S6">
        <v>0</v>
      </c>
      <c r="T6" t="s">
        <v>34</v>
      </c>
    </row>
    <row r="7" spans="10:20" x14ac:dyDescent="0.25">
      <c r="K7">
        <v>-5.5839424021542105E-4</v>
      </c>
      <c r="L7">
        <v>-0.11975701153278399</v>
      </c>
      <c r="M7">
        <v>-9.9074037279933691E-4</v>
      </c>
      <c r="N7">
        <v>-0.19020733237266499</v>
      </c>
      <c r="O7">
        <v>-2.60122120380402E-3</v>
      </c>
      <c r="P7">
        <v>0.66739636659622203</v>
      </c>
      <c r="Q7">
        <v>0</v>
      </c>
      <c r="R7">
        <v>0</v>
      </c>
      <c r="S7">
        <v>0</v>
      </c>
      <c r="T7" t="s">
        <v>34</v>
      </c>
    </row>
    <row r="8" spans="10:20" x14ac:dyDescent="0.25">
      <c r="K8">
        <v>1.04370433837175E-2</v>
      </c>
      <c r="L8">
        <v>-0.129757210612297</v>
      </c>
      <c r="M8">
        <v>-7.3771281167864799E-3</v>
      </c>
      <c r="N8">
        <v>-0.55726921558380105</v>
      </c>
      <c r="O8">
        <v>-6.0898363590240499E-2</v>
      </c>
      <c r="P8">
        <v>0.32599642872810403</v>
      </c>
      <c r="Q8">
        <v>1.4</v>
      </c>
      <c r="R8">
        <v>0</v>
      </c>
      <c r="S8">
        <v>0</v>
      </c>
      <c r="T8" t="s">
        <v>34</v>
      </c>
    </row>
    <row r="9" spans="10:20" x14ac:dyDescent="0.25">
      <c r="K9">
        <v>-5.38935419172049E-4</v>
      </c>
      <c r="L9">
        <v>-0.118809439241886</v>
      </c>
      <c r="M9">
        <v>3.4749228507280402E-3</v>
      </c>
      <c r="N9">
        <v>-0.621493339538574</v>
      </c>
      <c r="O9">
        <v>1.56053192913532E-2</v>
      </c>
      <c r="P9">
        <v>0.10576334595680199</v>
      </c>
      <c r="Q9">
        <v>0</v>
      </c>
      <c r="R9">
        <v>0</v>
      </c>
      <c r="S9">
        <v>0</v>
      </c>
      <c r="T9" t="s">
        <v>34</v>
      </c>
    </row>
    <row r="10" spans="10:20" x14ac:dyDescent="0.25">
      <c r="K10">
        <v>-7.8150304034352303E-4</v>
      </c>
      <c r="L10">
        <v>4.4897478073835401E-2</v>
      </c>
      <c r="M10">
        <v>-8.2051888108253507E-2</v>
      </c>
      <c r="N10">
        <v>0.48326423764228799</v>
      </c>
      <c r="O10">
        <v>-0.55701375007629395</v>
      </c>
      <c r="P10">
        <v>-0.30146327614784202</v>
      </c>
      <c r="Q10">
        <v>0</v>
      </c>
      <c r="R10">
        <v>0</v>
      </c>
      <c r="S10">
        <v>0</v>
      </c>
      <c r="T10" t="s">
        <v>34</v>
      </c>
    </row>
    <row r="11" spans="10:20" x14ac:dyDescent="0.25">
      <c r="K11">
        <v>-4.8895599320530902E-4</v>
      </c>
      <c r="L11">
        <v>4.6247739344835302E-2</v>
      </c>
      <c r="M11">
        <v>-8.3231396973133101E-2</v>
      </c>
      <c r="N11">
        <v>0.33926415443420399</v>
      </c>
      <c r="O11">
        <v>-0.45690825581550598</v>
      </c>
      <c r="P11">
        <v>-0.25065129995346103</v>
      </c>
      <c r="Q11">
        <v>0</v>
      </c>
      <c r="R11">
        <v>0</v>
      </c>
      <c r="S11">
        <v>0</v>
      </c>
      <c r="T11" t="s">
        <v>34</v>
      </c>
    </row>
    <row r="12" spans="10:20" x14ac:dyDescent="0.25">
      <c r="K12">
        <v>1.7005717381834999E-3</v>
      </c>
      <c r="L12">
        <v>8.4788650274276706E-2</v>
      </c>
      <c r="M12">
        <v>-0.143600359559059</v>
      </c>
      <c r="N12">
        <v>0.28701612353324901</v>
      </c>
      <c r="O12">
        <v>-0.64443814754486095</v>
      </c>
      <c r="P12">
        <v>-0.37070235610008201</v>
      </c>
      <c r="Q12">
        <v>1.4</v>
      </c>
      <c r="R12">
        <v>0</v>
      </c>
      <c r="S12">
        <v>0</v>
      </c>
      <c r="T12" t="s">
        <v>34</v>
      </c>
    </row>
    <row r="13" spans="10:20" x14ac:dyDescent="0.25">
      <c r="K13">
        <v>1.0739560239017001E-3</v>
      </c>
      <c r="L13">
        <v>4.1172292083501802E-2</v>
      </c>
      <c r="M13">
        <v>-6.7707680165767697E-2</v>
      </c>
      <c r="N13">
        <v>0.187965422868729</v>
      </c>
      <c r="O13">
        <v>-0.244067072868347</v>
      </c>
      <c r="P13">
        <v>-0.14198835194110901</v>
      </c>
      <c r="Q13">
        <v>1.4</v>
      </c>
      <c r="R13">
        <v>0</v>
      </c>
      <c r="S13">
        <v>0</v>
      </c>
      <c r="T13" t="s">
        <v>34</v>
      </c>
    </row>
    <row r="14" spans="10:20" x14ac:dyDescent="0.25">
      <c r="K14">
        <v>-4.8927497118711504E-4</v>
      </c>
      <c r="L14">
        <v>3.26927192509174E-2</v>
      </c>
      <c r="M14">
        <v>-5.8575917035341298E-2</v>
      </c>
      <c r="N14">
        <v>-1.28835095092654E-2</v>
      </c>
      <c r="O14">
        <v>-0.29204529523849498</v>
      </c>
      <c r="P14">
        <v>-0.16083618998527499</v>
      </c>
      <c r="Q14">
        <v>1.4</v>
      </c>
      <c r="R14">
        <v>0</v>
      </c>
      <c r="S14">
        <v>0</v>
      </c>
      <c r="T14" t="s">
        <v>34</v>
      </c>
    </row>
    <row r="15" spans="10:20" x14ac:dyDescent="0.25">
      <c r="K15">
        <v>-1.61128584295511E-4</v>
      </c>
      <c r="L15">
        <v>6.6224433481693296E-2</v>
      </c>
      <c r="M15">
        <v>-0.118051804602146</v>
      </c>
      <c r="N15">
        <v>-0.18827667832374601</v>
      </c>
      <c r="O15">
        <v>-0.57758575677871704</v>
      </c>
      <c r="P15">
        <v>-0.318100035190582</v>
      </c>
      <c r="Q15">
        <v>1.4</v>
      </c>
      <c r="R15">
        <v>0</v>
      </c>
      <c r="S15">
        <v>0</v>
      </c>
      <c r="T15" t="s">
        <v>34</v>
      </c>
    </row>
    <row r="16" spans="10:20" x14ac:dyDescent="0.25">
      <c r="K16">
        <v>3.27638350427151E-4</v>
      </c>
      <c r="L16">
        <v>4.1303895413875601E-2</v>
      </c>
      <c r="M16">
        <v>-7.1706265211105305E-2</v>
      </c>
      <c r="N16">
        <v>-0.16764184832572901</v>
      </c>
      <c r="O16">
        <v>-0.24127176403999301</v>
      </c>
      <c r="P16">
        <v>-0.13795974850654599</v>
      </c>
      <c r="Q16">
        <v>0</v>
      </c>
      <c r="R16">
        <v>0</v>
      </c>
      <c r="S16">
        <v>0</v>
      </c>
      <c r="T16" t="s">
        <v>34</v>
      </c>
    </row>
    <row r="17" spans="10:21" x14ac:dyDescent="0.25">
      <c r="K17">
        <v>3.5051628947258001E-4</v>
      </c>
      <c r="L17">
        <v>3.2155215740203899E-2</v>
      </c>
      <c r="M17">
        <v>-5.4656162858009297E-2</v>
      </c>
      <c r="N17">
        <v>-0.106987468898296</v>
      </c>
      <c r="O17">
        <v>-0.16471621394157401</v>
      </c>
      <c r="P17">
        <v>-9.7047880291938796E-2</v>
      </c>
      <c r="Q17">
        <v>0</v>
      </c>
      <c r="R17">
        <v>0</v>
      </c>
      <c r="S17">
        <v>0</v>
      </c>
      <c r="T17" t="s">
        <v>33</v>
      </c>
      <c r="U17" t="s">
        <v>34</v>
      </c>
    </row>
    <row r="22" spans="10:21" x14ac:dyDescent="0.25">
      <c r="J22" t="s">
        <v>32</v>
      </c>
      <c r="K22">
        <v>1.1252735275775201E-3</v>
      </c>
      <c r="L22">
        <v>-5.59809319674969E-2</v>
      </c>
      <c r="M22">
        <v>-7.4938102625310399E-4</v>
      </c>
      <c r="N22">
        <v>-3.5423979163169902E-2</v>
      </c>
      <c r="O22">
        <v>-1.04948431253433E-2</v>
      </c>
      <c r="P22">
        <v>0.35301661491393999</v>
      </c>
      <c r="Q22">
        <v>1.4</v>
      </c>
      <c r="R22">
        <v>0</v>
      </c>
      <c r="S22">
        <v>0</v>
      </c>
      <c r="T22" t="s">
        <v>34</v>
      </c>
    </row>
    <row r="23" spans="10:21" x14ac:dyDescent="0.25">
      <c r="K23">
        <v>-5.5839424021542105E-4</v>
      </c>
      <c r="L23">
        <v>-0.11975701153278399</v>
      </c>
      <c r="M23">
        <v>-9.9074037279933691E-4</v>
      </c>
      <c r="N23">
        <v>-0.19020733237266499</v>
      </c>
      <c r="O23">
        <v>-2.60122120380402E-3</v>
      </c>
      <c r="P23">
        <v>0.66739636659622203</v>
      </c>
      <c r="Q23">
        <v>0</v>
      </c>
      <c r="R23">
        <v>0</v>
      </c>
      <c r="S23">
        <v>0</v>
      </c>
      <c r="T23" t="s">
        <v>34</v>
      </c>
    </row>
    <row r="24" spans="10:21" x14ac:dyDescent="0.25">
      <c r="K24">
        <v>1.04370433837175E-2</v>
      </c>
      <c r="L24">
        <v>-0.129757210612297</v>
      </c>
      <c r="M24">
        <v>-7.3771281167864799E-3</v>
      </c>
      <c r="N24">
        <v>-0.55726921558380105</v>
      </c>
      <c r="O24">
        <v>-6.0898363590240499E-2</v>
      </c>
      <c r="P24">
        <v>0.32599642872810403</v>
      </c>
      <c r="Q24">
        <v>1.4</v>
      </c>
      <c r="R24">
        <v>0</v>
      </c>
      <c r="S24">
        <v>0</v>
      </c>
      <c r="T24" t="s">
        <v>34</v>
      </c>
    </row>
    <row r="25" spans="10:21" x14ac:dyDescent="0.25">
      <c r="K25">
        <v>-5.38935419172049E-4</v>
      </c>
      <c r="L25">
        <v>-0.118809439241886</v>
      </c>
      <c r="M25">
        <v>3.4749228507280402E-3</v>
      </c>
      <c r="N25">
        <v>-0.621493339538574</v>
      </c>
      <c r="O25">
        <v>1.56053192913532E-2</v>
      </c>
      <c r="P25">
        <v>0.10576334595680199</v>
      </c>
      <c r="Q25">
        <v>0</v>
      </c>
      <c r="R25">
        <v>0</v>
      </c>
      <c r="S25">
        <v>0</v>
      </c>
      <c r="T25" t="s">
        <v>34</v>
      </c>
    </row>
    <row r="26" spans="10:21" x14ac:dyDescent="0.25">
      <c r="K26">
        <v>-4.8927497118711504E-4</v>
      </c>
      <c r="L26">
        <v>3.26927192509174E-2</v>
      </c>
      <c r="M26">
        <v>-5.8575917035341298E-2</v>
      </c>
      <c r="N26">
        <v>-1.28835095092654E-2</v>
      </c>
      <c r="O26">
        <v>-0.29204529523849498</v>
      </c>
      <c r="P26">
        <v>-0.16083618998527499</v>
      </c>
      <c r="Q26">
        <v>1.4</v>
      </c>
      <c r="R26">
        <v>0</v>
      </c>
      <c r="S26">
        <v>0</v>
      </c>
      <c r="T26" t="s">
        <v>34</v>
      </c>
    </row>
    <row r="27" spans="10:21" x14ac:dyDescent="0.25">
      <c r="K27">
        <v>-1.61128584295511E-4</v>
      </c>
      <c r="L27">
        <v>6.6224433481693296E-2</v>
      </c>
      <c r="M27">
        <v>-0.118051804602146</v>
      </c>
      <c r="N27">
        <v>-0.18827667832374601</v>
      </c>
      <c r="O27">
        <v>-0.57758575677871704</v>
      </c>
      <c r="P27">
        <v>-0.318100035190582</v>
      </c>
      <c r="Q27">
        <v>1.4</v>
      </c>
      <c r="R27">
        <v>0</v>
      </c>
      <c r="S27">
        <v>0</v>
      </c>
      <c r="T27" t="s">
        <v>34</v>
      </c>
    </row>
    <row r="28" spans="10:21" x14ac:dyDescent="0.25">
      <c r="K28">
        <v>3.27638350427151E-4</v>
      </c>
      <c r="L28">
        <v>4.1303895413875601E-2</v>
      </c>
      <c r="M28">
        <v>-7.1706265211105305E-2</v>
      </c>
      <c r="N28">
        <v>-0.16764184832572901</v>
      </c>
      <c r="O28">
        <v>-0.24127176403999301</v>
      </c>
      <c r="P28">
        <v>-0.13795974850654599</v>
      </c>
      <c r="Q28">
        <v>0</v>
      </c>
      <c r="R28">
        <v>0</v>
      </c>
      <c r="S28">
        <v>0</v>
      </c>
      <c r="T28" t="s">
        <v>34</v>
      </c>
    </row>
    <row r="29" spans="10:21" x14ac:dyDescent="0.25">
      <c r="K29">
        <v>3.5051628947258001E-4</v>
      </c>
      <c r="L29">
        <v>3.2155215740203899E-2</v>
      </c>
      <c r="M29">
        <v>-5.4656162858009297E-2</v>
      </c>
      <c r="N29">
        <v>-0.106987468898296</v>
      </c>
      <c r="O29">
        <v>-0.16471621394157401</v>
      </c>
      <c r="P29">
        <v>-9.7047880291938796E-2</v>
      </c>
      <c r="Q29">
        <v>0</v>
      </c>
      <c r="R29">
        <v>0</v>
      </c>
      <c r="S29">
        <v>0</v>
      </c>
      <c r="T29" t="s">
        <v>33</v>
      </c>
      <c r="U29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O24" sqref="O24"/>
    </sheetView>
  </sheetViews>
  <sheetFormatPr defaultRowHeight="15" x14ac:dyDescent="0.25"/>
  <sheetData>
    <row r="1" spans="1:13" ht="15.75" x14ac:dyDescent="0.25">
      <c r="A1" s="26" t="s">
        <v>23</v>
      </c>
      <c r="B1" s="27"/>
      <c r="C1" s="27"/>
      <c r="D1" s="27"/>
      <c r="E1" s="27"/>
      <c r="F1" s="28"/>
      <c r="H1" s="26" t="s">
        <v>24</v>
      </c>
      <c r="I1" s="27"/>
      <c r="J1" s="27"/>
      <c r="K1" s="27"/>
      <c r="L1" s="27"/>
      <c r="M1" s="28"/>
    </row>
    <row r="2" spans="1:13" ht="15.7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25">
      <c r="A3">
        <v>0.203822165727615</v>
      </c>
      <c r="B3">
        <v>7.5630694627761797E-3</v>
      </c>
      <c r="C3">
        <v>0.179403036832809</v>
      </c>
      <c r="D3">
        <v>-1.46811630111188E-3</v>
      </c>
      <c r="E3">
        <v>3.4524299204349497E-2</v>
      </c>
      <c r="F3" s="5">
        <v>8.3457410801202102E-4</v>
      </c>
      <c r="H3">
        <f>$F3</f>
        <v>8.3457410801202102E-4</v>
      </c>
      <c r="I3">
        <f>-1*$E3</f>
        <v>-3.4524299204349497E-2</v>
      </c>
      <c r="J3">
        <f>$D3</f>
        <v>-1.46811630111188E-3</v>
      </c>
      <c r="K3">
        <f>$C3</f>
        <v>0.179403036832809</v>
      </c>
      <c r="L3">
        <f>-1*$B3</f>
        <v>-7.5630694627761797E-3</v>
      </c>
      <c r="M3">
        <f>$A3</f>
        <v>0.203822165727615</v>
      </c>
    </row>
    <row r="4" spans="1:13" x14ac:dyDescent="0.25">
      <c r="A4">
        <v>0.30656093358993503</v>
      </c>
      <c r="B4">
        <v>-1.1818818747997299E-3</v>
      </c>
      <c r="C4">
        <v>0.21195751428604101</v>
      </c>
      <c r="D4">
        <v>4.4342974433675398E-4</v>
      </c>
      <c r="E4">
        <v>6.6743046045303303E-2</v>
      </c>
      <c r="F4">
        <v>-8.0810196232050701E-4</v>
      </c>
      <c r="H4">
        <f t="shared" ref="H4:H28" si="0">$F4</f>
        <v>-8.0810196232050701E-4</v>
      </c>
      <c r="I4">
        <f t="shared" ref="I4:I28" si="1">-1*$E4</f>
        <v>-6.6743046045303303E-2</v>
      </c>
      <c r="J4">
        <f t="shared" ref="J4:J28" si="2">$D4</f>
        <v>4.4342974433675398E-4</v>
      </c>
      <c r="K4">
        <f t="shared" ref="K4:K28" si="3">$C4</f>
        <v>0.21195751428604101</v>
      </c>
      <c r="L4">
        <f t="shared" ref="L4:L28" si="4">-1*$B4</f>
        <v>1.1818818747997299E-3</v>
      </c>
      <c r="M4">
        <f t="shared" ref="M4:M28" si="5">$A4</f>
        <v>0.30656093358993503</v>
      </c>
    </row>
    <row r="5" spans="1:13" x14ac:dyDescent="0.25">
      <c r="A5">
        <v>0.55316102504730202</v>
      </c>
      <c r="B5">
        <v>4.7612398862838697E-2</v>
      </c>
      <c r="C5">
        <v>2.8561159968376201E-2</v>
      </c>
      <c r="D5">
        <v>-1.16112818941474E-2</v>
      </c>
      <c r="E5">
        <v>0.127810284495354</v>
      </c>
      <c r="F5">
        <v>7.8557301312684995E-3</v>
      </c>
      <c r="H5">
        <f t="shared" si="0"/>
        <v>7.8557301312684995E-3</v>
      </c>
      <c r="I5">
        <f t="shared" si="1"/>
        <v>-0.127810284495354</v>
      </c>
      <c r="J5">
        <f t="shared" si="2"/>
        <v>-1.16112818941474E-2</v>
      </c>
      <c r="K5">
        <f t="shared" si="3"/>
        <v>2.8561159968376201E-2</v>
      </c>
      <c r="L5">
        <f t="shared" si="4"/>
        <v>-4.7612398862838697E-2</v>
      </c>
      <c r="M5">
        <f t="shared" si="5"/>
        <v>0.55316102504730202</v>
      </c>
    </row>
    <row r="6" spans="1:13" x14ac:dyDescent="0.25">
      <c r="A6">
        <v>0.35301661491393999</v>
      </c>
      <c r="B6">
        <v>1.04948431253433E-2</v>
      </c>
      <c r="C6">
        <v>-3.5423979163169902E-2</v>
      </c>
      <c r="D6">
        <v>-7.4938102625310399E-4</v>
      </c>
      <c r="E6">
        <v>5.59809319674969E-2</v>
      </c>
      <c r="F6">
        <v>1.1252735275775201E-3</v>
      </c>
      <c r="H6">
        <f t="shared" si="0"/>
        <v>1.1252735275775201E-3</v>
      </c>
      <c r="I6">
        <f t="shared" si="1"/>
        <v>-5.59809319674969E-2</v>
      </c>
      <c r="J6">
        <f t="shared" si="2"/>
        <v>-7.4938102625310399E-4</v>
      </c>
      <c r="K6">
        <f t="shared" si="3"/>
        <v>-3.5423979163169902E-2</v>
      </c>
      <c r="L6">
        <f t="shared" si="4"/>
        <v>-1.04948431253433E-2</v>
      </c>
      <c r="M6">
        <f t="shared" si="5"/>
        <v>0.35301661491393999</v>
      </c>
    </row>
    <row r="7" spans="1:13" x14ac:dyDescent="0.25">
      <c r="A7">
        <v>0.66739636659622203</v>
      </c>
      <c r="B7">
        <v>2.60122120380402E-3</v>
      </c>
      <c r="C7">
        <v>-0.19020733237266499</v>
      </c>
      <c r="D7">
        <v>-9.9074037279933691E-4</v>
      </c>
      <c r="E7">
        <v>0.11975701153278399</v>
      </c>
      <c r="F7">
        <v>-5.5839424021542105E-4</v>
      </c>
      <c r="H7">
        <f t="shared" si="0"/>
        <v>-5.5839424021542105E-4</v>
      </c>
      <c r="I7">
        <f t="shared" si="1"/>
        <v>-0.11975701153278399</v>
      </c>
      <c r="J7">
        <f t="shared" si="2"/>
        <v>-9.9074037279933691E-4</v>
      </c>
      <c r="K7">
        <f t="shared" si="3"/>
        <v>-0.19020733237266499</v>
      </c>
      <c r="L7">
        <f t="shared" si="4"/>
        <v>-2.60122120380402E-3</v>
      </c>
      <c r="M7">
        <f t="shared" si="5"/>
        <v>0.66739636659622203</v>
      </c>
    </row>
    <row r="8" spans="1:13" x14ac:dyDescent="0.25">
      <c r="A8">
        <v>0.32599642872810403</v>
      </c>
      <c r="B8">
        <v>6.0898363590240499E-2</v>
      </c>
      <c r="C8">
        <v>-0.55726921558380105</v>
      </c>
      <c r="D8">
        <v>-7.3771281167864799E-3</v>
      </c>
      <c r="E8">
        <v>0.129757210612297</v>
      </c>
      <c r="F8">
        <v>1.04370433837175E-2</v>
      </c>
      <c r="H8">
        <f t="shared" si="0"/>
        <v>1.04370433837175E-2</v>
      </c>
      <c r="I8">
        <f t="shared" si="1"/>
        <v>-0.129757210612297</v>
      </c>
      <c r="J8">
        <f t="shared" si="2"/>
        <v>-7.3771281167864799E-3</v>
      </c>
      <c r="K8">
        <f t="shared" si="3"/>
        <v>-0.55726921558380105</v>
      </c>
      <c r="L8">
        <f t="shared" si="4"/>
        <v>-6.0898363590240499E-2</v>
      </c>
      <c r="M8">
        <f t="shared" si="5"/>
        <v>0.32599642872810403</v>
      </c>
    </row>
    <row r="9" spans="1:13" x14ac:dyDescent="0.25">
      <c r="A9">
        <v>-0.30146327614784202</v>
      </c>
      <c r="B9">
        <v>0.55701375007629395</v>
      </c>
      <c r="C9">
        <v>0.48326423764228799</v>
      </c>
      <c r="D9">
        <v>-8.2051888108253507E-2</v>
      </c>
      <c r="E9">
        <v>-4.4897478073835401E-2</v>
      </c>
      <c r="F9">
        <v>-7.8150304034352303E-4</v>
      </c>
      <c r="H9">
        <f t="shared" si="0"/>
        <v>-7.8150304034352303E-4</v>
      </c>
      <c r="I9">
        <f t="shared" si="1"/>
        <v>4.4897478073835401E-2</v>
      </c>
      <c r="J9">
        <f t="shared" si="2"/>
        <v>-8.2051888108253507E-2</v>
      </c>
      <c r="K9">
        <f t="shared" si="3"/>
        <v>0.48326423764228799</v>
      </c>
      <c r="L9">
        <f t="shared" si="4"/>
        <v>-0.55701375007629395</v>
      </c>
      <c r="M9">
        <f t="shared" si="5"/>
        <v>-0.30146327614784202</v>
      </c>
    </row>
    <row r="10" spans="1:13" x14ac:dyDescent="0.25">
      <c r="A10">
        <v>-0.25065129995346103</v>
      </c>
      <c r="B10">
        <v>0.45690825581550598</v>
      </c>
      <c r="C10">
        <v>0.33926415443420399</v>
      </c>
      <c r="D10">
        <v>-8.3231396973133101E-2</v>
      </c>
      <c r="E10">
        <v>-4.6247739344835302E-2</v>
      </c>
      <c r="F10">
        <v>-4.8895599320530902E-4</v>
      </c>
      <c r="H10">
        <f t="shared" si="0"/>
        <v>-4.8895599320530902E-4</v>
      </c>
      <c r="I10">
        <f t="shared" si="1"/>
        <v>4.6247739344835302E-2</v>
      </c>
      <c r="J10">
        <f t="shared" si="2"/>
        <v>-8.3231396973133101E-2</v>
      </c>
      <c r="K10">
        <f t="shared" si="3"/>
        <v>0.33926415443420399</v>
      </c>
      <c r="L10">
        <f t="shared" si="4"/>
        <v>-0.45690825581550598</v>
      </c>
      <c r="M10">
        <f t="shared" si="5"/>
        <v>-0.25065129995346103</v>
      </c>
    </row>
    <row r="11" spans="1:13" x14ac:dyDescent="0.25">
      <c r="A11">
        <v>-0.37070235610008201</v>
      </c>
      <c r="B11">
        <v>0.64443814754486095</v>
      </c>
      <c r="C11">
        <v>0.28701612353324901</v>
      </c>
      <c r="D11">
        <v>-0.143600359559059</v>
      </c>
      <c r="E11">
        <v>-8.4788650274276706E-2</v>
      </c>
      <c r="F11">
        <v>1.7005717381834999E-3</v>
      </c>
      <c r="H11">
        <f t="shared" si="0"/>
        <v>1.7005717381834999E-3</v>
      </c>
      <c r="I11">
        <f t="shared" si="1"/>
        <v>8.4788650274276706E-2</v>
      </c>
      <c r="J11">
        <f t="shared" si="2"/>
        <v>-0.143600359559059</v>
      </c>
      <c r="K11">
        <f t="shared" si="3"/>
        <v>0.28701612353324901</v>
      </c>
      <c r="L11">
        <f t="shared" si="4"/>
        <v>-0.64443814754486095</v>
      </c>
      <c r="M11">
        <f t="shared" si="5"/>
        <v>-0.37070235610008201</v>
      </c>
    </row>
    <row r="12" spans="1:13" x14ac:dyDescent="0.25">
      <c r="A12">
        <v>-0.14198835194110901</v>
      </c>
      <c r="B12">
        <v>0.244067072868347</v>
      </c>
      <c r="C12">
        <v>0.187965422868729</v>
      </c>
      <c r="D12">
        <v>-6.7707680165767697E-2</v>
      </c>
      <c r="E12">
        <v>-4.1172292083501802E-2</v>
      </c>
      <c r="F12">
        <v>1.0739560239017001E-3</v>
      </c>
      <c r="H12">
        <f t="shared" si="0"/>
        <v>1.0739560239017001E-3</v>
      </c>
      <c r="I12">
        <f t="shared" si="1"/>
        <v>4.1172292083501802E-2</v>
      </c>
      <c r="J12">
        <f t="shared" si="2"/>
        <v>-6.7707680165767697E-2</v>
      </c>
      <c r="K12">
        <f t="shared" si="3"/>
        <v>0.187965422868729</v>
      </c>
      <c r="L12">
        <f t="shared" si="4"/>
        <v>-0.244067072868347</v>
      </c>
      <c r="M12">
        <f t="shared" si="5"/>
        <v>-0.14198835194110901</v>
      </c>
    </row>
    <row r="13" spans="1:13" x14ac:dyDescent="0.25">
      <c r="A13">
        <v>-0.16083618998527499</v>
      </c>
      <c r="B13">
        <v>0.29204529523849498</v>
      </c>
      <c r="C13">
        <v>-1.28835095092654E-2</v>
      </c>
      <c r="D13">
        <v>-5.8575917035341298E-2</v>
      </c>
      <c r="E13">
        <v>-3.26927192509174E-2</v>
      </c>
      <c r="F13">
        <v>-4.8927497118711504E-4</v>
      </c>
      <c r="H13">
        <f t="shared" si="0"/>
        <v>-4.8927497118711504E-4</v>
      </c>
      <c r="I13">
        <f t="shared" si="1"/>
        <v>3.26927192509174E-2</v>
      </c>
      <c r="J13">
        <f t="shared" si="2"/>
        <v>-5.8575917035341298E-2</v>
      </c>
      <c r="K13">
        <f t="shared" si="3"/>
        <v>-1.28835095092654E-2</v>
      </c>
      <c r="L13">
        <f t="shared" si="4"/>
        <v>-0.29204529523849498</v>
      </c>
      <c r="M13">
        <f t="shared" si="5"/>
        <v>-0.16083618998527499</v>
      </c>
    </row>
    <row r="14" spans="1:13" x14ac:dyDescent="0.25">
      <c r="A14">
        <v>-0.318100035190582</v>
      </c>
      <c r="B14">
        <v>0.57758575677871704</v>
      </c>
      <c r="C14">
        <v>-0.18827667832374601</v>
      </c>
      <c r="D14">
        <v>-0.118051804602146</v>
      </c>
      <c r="E14">
        <v>-6.6224433481693296E-2</v>
      </c>
      <c r="F14">
        <v>-1.61128584295511E-4</v>
      </c>
      <c r="H14">
        <f t="shared" si="0"/>
        <v>-1.61128584295511E-4</v>
      </c>
      <c r="I14">
        <f t="shared" si="1"/>
        <v>6.6224433481693296E-2</v>
      </c>
      <c r="J14">
        <f t="shared" si="2"/>
        <v>-0.118051804602146</v>
      </c>
      <c r="K14">
        <f t="shared" si="3"/>
        <v>-0.18827667832374601</v>
      </c>
      <c r="L14">
        <f t="shared" si="4"/>
        <v>-0.57758575677871704</v>
      </c>
      <c r="M14">
        <f t="shared" si="5"/>
        <v>-0.318100035190582</v>
      </c>
    </row>
    <row r="15" spans="1:13" x14ac:dyDescent="0.25">
      <c r="A15">
        <v>-0.13795974850654599</v>
      </c>
      <c r="B15">
        <v>0.24127176403999301</v>
      </c>
      <c r="C15">
        <v>-0.16764184832572901</v>
      </c>
      <c r="D15">
        <v>-7.1706265211105305E-2</v>
      </c>
      <c r="E15">
        <v>-4.1303895413875601E-2</v>
      </c>
      <c r="F15">
        <v>3.27638350427151E-4</v>
      </c>
      <c r="H15">
        <f t="shared" si="0"/>
        <v>3.27638350427151E-4</v>
      </c>
      <c r="I15">
        <f t="shared" si="1"/>
        <v>4.1303895413875601E-2</v>
      </c>
      <c r="J15">
        <f t="shared" si="2"/>
        <v>-7.1706265211105305E-2</v>
      </c>
      <c r="K15">
        <f t="shared" si="3"/>
        <v>-0.16764184832572901</v>
      </c>
      <c r="L15">
        <f t="shared" si="4"/>
        <v>-0.24127176403999301</v>
      </c>
      <c r="M15">
        <f t="shared" si="5"/>
        <v>-0.13795974850654599</v>
      </c>
    </row>
    <row r="16" spans="1:13" x14ac:dyDescent="0.25">
      <c r="A16">
        <v>-9.7047880291938796E-2</v>
      </c>
      <c r="B16">
        <v>0.16471621394157401</v>
      </c>
      <c r="C16">
        <v>-0.106987468898296</v>
      </c>
      <c r="D16">
        <v>-5.4656162858009297E-2</v>
      </c>
      <c r="E16">
        <v>-3.2155215740203899E-2</v>
      </c>
      <c r="F16">
        <v>3.5051628947258001E-4</v>
      </c>
      <c r="H16">
        <f t="shared" si="0"/>
        <v>3.5051628947258001E-4</v>
      </c>
      <c r="I16">
        <f t="shared" si="1"/>
        <v>3.2155215740203899E-2</v>
      </c>
      <c r="J16">
        <f t="shared" si="2"/>
        <v>-5.4656162858009297E-2</v>
      </c>
      <c r="K16">
        <f t="shared" si="3"/>
        <v>-0.106987468898296</v>
      </c>
      <c r="L16">
        <f t="shared" si="4"/>
        <v>-0.16471621394157401</v>
      </c>
      <c r="M16">
        <f t="shared" si="5"/>
        <v>-9.7047880291938796E-2</v>
      </c>
    </row>
    <row r="17" spans="1:13" x14ac:dyDescent="0.25">
      <c r="A17">
        <v>0.10576334595680199</v>
      </c>
      <c r="B17">
        <v>-1.56053192913532E-2</v>
      </c>
      <c r="C17">
        <v>-0.621493339538574</v>
      </c>
      <c r="D17">
        <v>3.4749228507280402E-3</v>
      </c>
      <c r="E17">
        <v>0.118809439241886</v>
      </c>
      <c r="F17">
        <v>-5.38935419172049E-4</v>
      </c>
      <c r="H17">
        <f t="shared" si="0"/>
        <v>-5.38935419172049E-4</v>
      </c>
      <c r="I17">
        <f t="shared" si="1"/>
        <v>-0.118809439241886</v>
      </c>
      <c r="J17">
        <f t="shared" si="2"/>
        <v>3.4749228507280402E-3</v>
      </c>
      <c r="K17">
        <f t="shared" si="3"/>
        <v>-0.621493339538574</v>
      </c>
      <c r="L17">
        <f t="shared" si="4"/>
        <v>1.56053192913532E-2</v>
      </c>
      <c r="M17">
        <f t="shared" si="5"/>
        <v>0.10576334595680199</v>
      </c>
    </row>
    <row r="18" spans="1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(single)</vt:lpstr>
      <vt:lpstr>Distal Validation (single)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2025-11-06T00:50:35Z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