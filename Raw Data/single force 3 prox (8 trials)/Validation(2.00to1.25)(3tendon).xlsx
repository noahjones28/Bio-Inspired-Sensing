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Raw Data/single force 3 prox (8 trials)/"/>
    </mc:Choice>
  </mc:AlternateContent>
  <xr:revisionPtr revIDLastSave="2159" documentId="8_{DFFD6B0C-681F-42C8-B2E4-5D4B90AAE966}" xr6:coauthVersionLast="47" xr6:coauthVersionMax="47" xr10:uidLastSave="{C09CCE47-FC24-4D6C-878A-1749CBCE181B}"/>
  <bookViews>
    <workbookView xWindow="28680" yWindow="-120" windowWidth="29040" windowHeight="15720" xr2:uid="{3D16C37F-3C74-4527-A308-796C339DFE9F}"/>
  </bookViews>
  <sheets>
    <sheet name="Proximal Validation (single)" sheetId="8" r:id="rId1"/>
    <sheet name="Distal Validation (single)" sheetId="9" r:id="rId2"/>
    <sheet name="Conversion" sheetId="4" r:id="rId3"/>
    <sheet name="Sheet1" sheetId="1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9" l="1"/>
  <c r="A3" i="9"/>
  <c r="B3" i="9"/>
  <c r="C3" i="9"/>
  <c r="D3" i="9"/>
  <c r="E3" i="9"/>
  <c r="F3" i="9"/>
  <c r="G3" i="9"/>
  <c r="H3" i="9"/>
  <c r="I3" i="9"/>
  <c r="J3" i="9"/>
  <c r="K3" i="9"/>
  <c r="L3" i="9"/>
  <c r="M3" i="9"/>
  <c r="A4" i="9"/>
  <c r="B4" i="9"/>
  <c r="C4" i="9"/>
  <c r="D4" i="9"/>
  <c r="E4" i="9"/>
  <c r="F4" i="9"/>
  <c r="G4" i="9"/>
  <c r="H4" i="9"/>
  <c r="I4" i="9"/>
  <c r="J4" i="9"/>
  <c r="K4" i="9"/>
  <c r="L4" i="9"/>
  <c r="M4" i="9"/>
  <c r="A5" i="9"/>
  <c r="B5" i="9"/>
  <c r="C5" i="9"/>
  <c r="D5" i="9"/>
  <c r="E5" i="9"/>
  <c r="F5" i="9"/>
  <c r="G5" i="9"/>
  <c r="H5" i="9"/>
  <c r="I5" i="9"/>
  <c r="J5" i="9"/>
  <c r="K5" i="9"/>
  <c r="L5" i="9"/>
  <c r="M5" i="9"/>
  <c r="A6" i="9"/>
  <c r="B6" i="9"/>
  <c r="C6" i="9"/>
  <c r="D6" i="9"/>
  <c r="E6" i="9"/>
  <c r="F6" i="9"/>
  <c r="G6" i="9"/>
  <c r="H6" i="9"/>
  <c r="I6" i="9"/>
  <c r="J6" i="9"/>
  <c r="K6" i="9"/>
  <c r="L6" i="9"/>
  <c r="M6" i="9"/>
  <c r="A7" i="9"/>
  <c r="B7" i="9"/>
  <c r="C7" i="9"/>
  <c r="D7" i="9"/>
  <c r="E7" i="9"/>
  <c r="F7" i="9"/>
  <c r="G7" i="9"/>
  <c r="H7" i="9"/>
  <c r="I7" i="9"/>
  <c r="J7" i="9"/>
  <c r="K7" i="9"/>
  <c r="L7" i="9"/>
  <c r="M7" i="9"/>
  <c r="A8" i="9"/>
  <c r="B8" i="9"/>
  <c r="C8" i="9"/>
  <c r="D8" i="9"/>
  <c r="E8" i="9"/>
  <c r="F8" i="9"/>
  <c r="G8" i="9"/>
  <c r="H8" i="9"/>
  <c r="I8" i="9"/>
  <c r="J8" i="9"/>
  <c r="K8" i="9"/>
  <c r="L8" i="9"/>
  <c r="M8" i="9"/>
  <c r="A9" i="9"/>
  <c r="B9" i="9"/>
  <c r="C9" i="9"/>
  <c r="D9" i="9"/>
  <c r="E9" i="9"/>
  <c r="F9" i="9"/>
  <c r="G9" i="9"/>
  <c r="H9" i="9"/>
  <c r="I9" i="9"/>
  <c r="J9" i="9"/>
  <c r="K9" i="9"/>
  <c r="L9" i="9"/>
  <c r="M9" i="9"/>
  <c r="A10" i="9"/>
  <c r="B10" i="9"/>
  <c r="C10" i="9"/>
  <c r="D10" i="9"/>
  <c r="E10" i="9"/>
  <c r="F10" i="9"/>
  <c r="G10" i="9"/>
  <c r="H10" i="9"/>
  <c r="I10" i="9"/>
  <c r="J10" i="9"/>
  <c r="K10" i="9"/>
  <c r="L10" i="9"/>
  <c r="M10" i="9"/>
  <c r="S3" i="9" l="1"/>
  <c r="T3" i="9"/>
  <c r="R4" i="9"/>
  <c r="S4" i="9"/>
  <c r="T4" i="9"/>
  <c r="R5" i="9"/>
  <c r="S5" i="9"/>
  <c r="T5" i="9"/>
  <c r="R6" i="9"/>
  <c r="S6" i="9"/>
  <c r="T6" i="9"/>
  <c r="R7" i="9"/>
  <c r="S7" i="9"/>
  <c r="T7" i="9"/>
  <c r="R8" i="9"/>
  <c r="S8" i="9"/>
  <c r="T8" i="9"/>
  <c r="R9" i="9"/>
  <c r="S9" i="9"/>
  <c r="T9" i="9"/>
  <c r="R10" i="9"/>
  <c r="S10" i="9"/>
  <c r="T10" i="9"/>
  <c r="W3" i="9" l="1"/>
  <c r="V3" i="9"/>
  <c r="U3" i="9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7" i="4"/>
  <c r="I27" i="4"/>
  <c r="J27" i="4"/>
  <c r="K27" i="4"/>
  <c r="L27" i="4"/>
  <c r="M27" i="4"/>
  <c r="H28" i="4"/>
  <c r="I28" i="4"/>
  <c r="J28" i="4"/>
  <c r="K28" i="4"/>
  <c r="L28" i="4"/>
  <c r="M28" i="4"/>
  <c r="H22" i="4"/>
  <c r="I22" i="4"/>
  <c r="J22" i="4"/>
  <c r="K22" i="4"/>
  <c r="L22" i="4"/>
  <c r="M22" i="4"/>
  <c r="H23" i="4"/>
  <c r="I23" i="4"/>
  <c r="J23" i="4"/>
  <c r="K23" i="4"/>
  <c r="L23" i="4"/>
  <c r="M23" i="4"/>
  <c r="W10" i="8"/>
  <c r="X9" i="8"/>
  <c r="W9" i="8"/>
  <c r="V9" i="8"/>
  <c r="U9" i="8"/>
  <c r="T9" i="8"/>
  <c r="W8" i="8"/>
  <c r="V8" i="8"/>
  <c r="Y10" i="8"/>
  <c r="X10" i="8"/>
  <c r="V10" i="8"/>
  <c r="U10" i="8"/>
  <c r="T10" i="8"/>
  <c r="Y9" i="8"/>
  <c r="Y8" i="8"/>
  <c r="X8" i="8"/>
  <c r="U8" i="8"/>
  <c r="T8" i="8"/>
  <c r="Y7" i="8"/>
  <c r="X7" i="8"/>
  <c r="W7" i="8"/>
  <c r="V7" i="8"/>
  <c r="U7" i="8"/>
  <c r="T7" i="8"/>
  <c r="Y6" i="8"/>
  <c r="X6" i="8"/>
  <c r="W6" i="8"/>
  <c r="V6" i="8"/>
  <c r="U6" i="8"/>
  <c r="T6" i="8"/>
  <c r="Y5" i="8"/>
  <c r="X5" i="8"/>
  <c r="W5" i="8"/>
  <c r="V5" i="8"/>
  <c r="U5" i="8"/>
  <c r="T5" i="8"/>
  <c r="Y4" i="8"/>
  <c r="X4" i="8"/>
  <c r="W4" i="8"/>
  <c r="V4" i="8"/>
  <c r="U4" i="8"/>
  <c r="T4" i="8"/>
  <c r="Y3" i="8"/>
  <c r="X3" i="8"/>
  <c r="W3" i="8"/>
  <c r="V3" i="8"/>
  <c r="U3" i="8"/>
  <c r="T3" i="8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M3" i="4"/>
  <c r="L3" i="4"/>
  <c r="K3" i="4"/>
  <c r="J3" i="4"/>
  <c r="I3" i="4"/>
  <c r="H3" i="4"/>
</calcChain>
</file>

<file path=xl/sharedStrings.xml><?xml version="1.0" encoding="utf-8"?>
<sst xmlns="http://schemas.openxmlformats.org/spreadsheetml/2006/main" count="96" uniqueCount="35">
  <si>
    <t>Fx (N)</t>
  </si>
  <si>
    <t>Fy (N)</t>
  </si>
  <si>
    <t>Fz (N)</t>
  </si>
  <si>
    <t>Tx (Nm)</t>
  </si>
  <si>
    <t>Ty (Nm)</t>
  </si>
  <si>
    <t>Tz(Nm)</t>
  </si>
  <si>
    <t>6-Axis FT Sensor</t>
  </si>
  <si>
    <t>F (N)</t>
  </si>
  <si>
    <t>s (m)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</si>
  <si>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</si>
  <si>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</si>
  <si>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</si>
  <si>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</si>
  <si>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</si>
  <si>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</si>
  <si>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</si>
  <si>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</si>
  <si>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</si>
  <si>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</si>
  <si>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</si>
  <si>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</si>
  <si>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</si>
  <si>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</si>
  <si>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</si>
  <si>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</si>
  <si>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roll (rad)</t>
  </si>
  <si>
    <t>pitch (deg)</t>
  </si>
  <si>
    <t>f_final</t>
  </si>
  <si>
    <t>Force Error</t>
  </si>
  <si>
    <t>Position Error</t>
  </si>
  <si>
    <t>Mean Average Error</t>
  </si>
  <si>
    <t>Roll Error</t>
  </si>
  <si>
    <t>[</t>
  </si>
  <si>
    <t>;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</si>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</sst>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28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1" fillId="6" borderId="1" xfId="0" applyFont="1" applyFill="1" applyBorder="1" applyAlignment="1">
      <alignment wrapText="1"/>
    </xf>
    <xf numFmtId="11" fontId="0" fillId="0" borderId="0" xfId="0" applyNumberFormat="1"/>
    <xf numFmtId="166" fontId="2" fillId="8" borderId="1" xfId="0" applyNumberFormat="1" applyFont="1" applyFill="1" applyBorder="1"/>
    <xf numFmtId="165" fontId="2" fillId="8" borderId="1" xfId="0" applyNumberFormat="1" applyFont="1" applyFill="1" applyBorder="1"/>
    <xf numFmtId="164" fontId="2" fillId="8" borderId="1" xfId="0" applyNumberFormat="1" applyFont="1" applyFill="1" applyBorder="1"/>
    <xf numFmtId="11" fontId="2" fillId="8" borderId="1" xfId="0" applyNumberFormat="1" applyFont="1" applyFill="1" applyBorder="1"/>
    <xf numFmtId="164" fontId="3" fillId="9" borderId="1" xfId="1" applyNumberForma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4A24-01F9-43FA-AE7F-5A1710EEAA53}">
  <dimension ref="A1:Y10"/>
  <sheetViews>
    <sheetView tabSelected="1" workbookViewId="0">
      <selection activeCell="N3" sqref="N3"/>
    </sheetView>
  </sheetViews>
  <sheetFormatPr defaultRowHeight="15" x14ac:dyDescent="0.25"/>
  <cols>
    <col min="4" max="4" width="10.85546875" bestFit="1" customWidth="1"/>
  </cols>
  <sheetData>
    <row r="1" spans="1:25" ht="15.75" x14ac:dyDescent="0.25">
      <c r="A1" s="11" t="s">
        <v>13</v>
      </c>
      <c r="B1" s="11"/>
      <c r="C1" s="11"/>
      <c r="D1" s="11"/>
      <c r="E1" s="11"/>
      <c r="F1" s="11"/>
      <c r="G1" s="12"/>
      <c r="H1" s="13" t="s">
        <v>6</v>
      </c>
      <c r="I1" s="14"/>
      <c r="J1" s="14"/>
      <c r="K1" s="14"/>
      <c r="L1" s="14"/>
      <c r="M1" s="14"/>
      <c r="N1" s="15" t="s">
        <v>14</v>
      </c>
      <c r="O1" s="16"/>
      <c r="P1" s="16"/>
      <c r="Q1" s="16"/>
      <c r="R1" s="16"/>
      <c r="S1" s="16"/>
      <c r="T1" s="17" t="s">
        <v>16</v>
      </c>
      <c r="U1" s="18"/>
      <c r="V1" s="18"/>
      <c r="W1" s="18"/>
      <c r="X1" s="18"/>
      <c r="Y1" s="19"/>
    </row>
    <row r="2" spans="1:25" ht="15.75" x14ac:dyDescent="0.25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2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3" t="s">
        <v>3</v>
      </c>
      <c r="O2" s="1" t="s">
        <v>4</v>
      </c>
      <c r="P2" s="1" t="s">
        <v>5</v>
      </c>
      <c r="Q2" s="1" t="s">
        <v>0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5</v>
      </c>
      <c r="W2" s="1" t="s">
        <v>0</v>
      </c>
      <c r="X2" s="1" t="s">
        <v>1</v>
      </c>
      <c r="Y2" s="1" t="s">
        <v>2</v>
      </c>
    </row>
    <row r="3" spans="1:25" x14ac:dyDescent="0.25">
      <c r="A3" s="10">
        <v>0.4</v>
      </c>
      <c r="B3" s="10">
        <v>0.06</v>
      </c>
      <c r="C3" s="10">
        <v>1.571</v>
      </c>
      <c r="D3" s="10">
        <v>1.571</v>
      </c>
      <c r="E3" s="10">
        <v>1.4</v>
      </c>
      <c r="F3" s="10">
        <v>0</v>
      </c>
      <c r="G3" s="10">
        <v>0</v>
      </c>
      <c r="H3" s="8">
        <v>6.7002582363784302E-4</v>
      </c>
      <c r="I3" s="8">
        <v>-6.6750191152095795E-2</v>
      </c>
      <c r="J3" s="8">
        <v>1.6002767952158999E-3</v>
      </c>
      <c r="K3" s="8">
        <v>-3.97013984620571E-2</v>
      </c>
      <c r="L3" s="8">
        <v>7.3561742901802098E-3</v>
      </c>
      <c r="M3" s="8">
        <v>0.423814177513123</v>
      </c>
      <c r="N3" s="8"/>
      <c r="O3" s="8"/>
      <c r="P3" s="8"/>
      <c r="Q3" s="8"/>
      <c r="R3" s="8"/>
      <c r="S3" s="8"/>
      <c r="T3" s="6">
        <f t="shared" ref="T3:Y10" si="0">ABS(H3-N3)</f>
        <v>6.7002582363784302E-4</v>
      </c>
      <c r="U3" s="6">
        <f t="shared" si="0"/>
        <v>6.6750191152095795E-2</v>
      </c>
      <c r="V3" s="6">
        <f t="shared" si="0"/>
        <v>1.6002767952158999E-3</v>
      </c>
      <c r="W3" s="6">
        <f t="shared" si="0"/>
        <v>3.97013984620571E-2</v>
      </c>
      <c r="X3" s="6">
        <f t="shared" si="0"/>
        <v>7.3561742901802098E-3</v>
      </c>
      <c r="Y3" s="6">
        <f t="shared" si="0"/>
        <v>0.423814177513123</v>
      </c>
    </row>
    <row r="4" spans="1:25" x14ac:dyDescent="0.25">
      <c r="A4" s="10">
        <v>0.8</v>
      </c>
      <c r="B4" s="10">
        <v>0.08</v>
      </c>
      <c r="C4" s="10">
        <v>1.571</v>
      </c>
      <c r="D4" s="10">
        <v>1.571</v>
      </c>
      <c r="E4" s="10">
        <v>0</v>
      </c>
      <c r="F4" s="10">
        <v>0</v>
      </c>
      <c r="G4" s="10">
        <v>0</v>
      </c>
      <c r="H4" s="8">
        <v>7.4092089198529699E-4</v>
      </c>
      <c r="I4" s="8">
        <v>-0.14775538444519001</v>
      </c>
      <c r="J4" s="8">
        <v>3.4220633096993E-3</v>
      </c>
      <c r="K4" s="8">
        <v>-0.161362335085869</v>
      </c>
      <c r="L4" s="8">
        <v>2.0262047648429898E-2</v>
      </c>
      <c r="M4" s="8">
        <v>0.82944488525390603</v>
      </c>
      <c r="N4" s="8"/>
      <c r="O4" s="8"/>
      <c r="P4" s="8"/>
      <c r="Q4" s="8"/>
      <c r="R4" s="8"/>
      <c r="S4" s="8"/>
      <c r="T4" s="6">
        <f t="shared" si="0"/>
        <v>7.4092089198529699E-4</v>
      </c>
      <c r="U4" s="6">
        <f t="shared" si="0"/>
        <v>0.14775538444519001</v>
      </c>
      <c r="V4" s="6">
        <f t="shared" si="0"/>
        <v>3.4220633096993E-3</v>
      </c>
      <c r="W4" s="6">
        <f t="shared" si="0"/>
        <v>0.161362335085869</v>
      </c>
      <c r="X4" s="6">
        <f t="shared" si="0"/>
        <v>2.0262047648429898E-2</v>
      </c>
      <c r="Y4" s="6">
        <f t="shared" si="0"/>
        <v>0.82944488525390603</v>
      </c>
    </row>
    <row r="5" spans="1:25" x14ac:dyDescent="0.25">
      <c r="A5" s="10">
        <v>0.7</v>
      </c>
      <c r="B5" s="10">
        <v>0.16</v>
      </c>
      <c r="C5" s="10">
        <v>1.571</v>
      </c>
      <c r="D5" s="10">
        <v>1.571</v>
      </c>
      <c r="E5" s="10">
        <v>1.4</v>
      </c>
      <c r="F5" s="10">
        <v>0</v>
      </c>
      <c r="G5" s="10">
        <v>0</v>
      </c>
      <c r="H5" s="8">
        <v>6.6551081836223602E-3</v>
      </c>
      <c r="I5" s="8">
        <v>-0.148307904601097</v>
      </c>
      <c r="J5" s="8">
        <v>-1.0527462000027299E-3</v>
      </c>
      <c r="K5" s="8">
        <v>-0.444706320762634</v>
      </c>
      <c r="L5" s="8">
        <v>-2.19946205615997E-2</v>
      </c>
      <c r="M5" s="8">
        <v>0.489793181419373</v>
      </c>
      <c r="N5" s="8"/>
      <c r="O5" s="8"/>
      <c r="P5" s="8"/>
      <c r="Q5" s="8"/>
      <c r="R5" s="8"/>
      <c r="S5" s="8"/>
      <c r="T5" s="6">
        <f t="shared" si="0"/>
        <v>6.6551081836223602E-3</v>
      </c>
      <c r="U5" s="6">
        <f t="shared" si="0"/>
        <v>0.148307904601097</v>
      </c>
      <c r="V5" s="6">
        <f t="shared" si="0"/>
        <v>1.0527462000027299E-3</v>
      </c>
      <c r="W5" s="6">
        <f t="shared" si="0"/>
        <v>0.444706320762634</v>
      </c>
      <c r="X5" s="6">
        <f t="shared" si="0"/>
        <v>2.19946205615997E-2</v>
      </c>
      <c r="Y5" s="6">
        <f t="shared" si="0"/>
        <v>0.489793181419373</v>
      </c>
    </row>
    <row r="6" spans="1:25" x14ac:dyDescent="0.25">
      <c r="A6" s="10">
        <v>0.7</v>
      </c>
      <c r="B6" s="10">
        <v>0.2</v>
      </c>
      <c r="C6" s="10">
        <v>1.571</v>
      </c>
      <c r="D6" s="10">
        <v>1.571</v>
      </c>
      <c r="E6" s="10">
        <v>0</v>
      </c>
      <c r="F6" s="10">
        <v>0</v>
      </c>
      <c r="G6" s="10">
        <v>0</v>
      </c>
      <c r="H6" s="8">
        <v>8.7637116666883198E-4</v>
      </c>
      <c r="I6" s="8">
        <v>-0.164488449692726</v>
      </c>
      <c r="J6" s="8">
        <v>3.7763002328574701E-3</v>
      </c>
      <c r="K6" s="8">
        <v>-0.58729076385498002</v>
      </c>
      <c r="L6" s="8">
        <v>7.8071318566799199E-3</v>
      </c>
      <c r="M6" s="8">
        <v>0.38755592703819303</v>
      </c>
      <c r="N6" s="8"/>
      <c r="O6" s="8"/>
      <c r="P6" s="8"/>
      <c r="Q6" s="8"/>
      <c r="R6" s="8"/>
      <c r="S6" s="8"/>
      <c r="T6" s="6">
        <f t="shared" si="0"/>
        <v>8.7637116666883198E-4</v>
      </c>
      <c r="U6" s="6">
        <f t="shared" si="0"/>
        <v>0.164488449692726</v>
      </c>
      <c r="V6" s="6">
        <f t="shared" si="0"/>
        <v>3.7763002328574701E-3</v>
      </c>
      <c r="W6" s="6">
        <f t="shared" si="0"/>
        <v>0.58729076385498002</v>
      </c>
      <c r="X6" s="6">
        <f t="shared" si="0"/>
        <v>7.8071318566799199E-3</v>
      </c>
      <c r="Y6" s="6">
        <f t="shared" si="0"/>
        <v>0.38755592703819303</v>
      </c>
    </row>
    <row r="7" spans="1:25" x14ac:dyDescent="0.25">
      <c r="A7" s="10">
        <v>0.4</v>
      </c>
      <c r="B7" s="10">
        <v>0.1</v>
      </c>
      <c r="C7" s="10">
        <v>3.665</v>
      </c>
      <c r="D7" s="10">
        <v>1.571</v>
      </c>
      <c r="E7" s="10">
        <v>1.4</v>
      </c>
      <c r="F7" s="10">
        <v>0</v>
      </c>
      <c r="G7" s="10">
        <v>0</v>
      </c>
      <c r="H7" s="8">
        <v>-3.7108035758137698E-4</v>
      </c>
      <c r="I7" s="8">
        <v>3.7644270807504703E-2</v>
      </c>
      <c r="J7" s="8">
        <v>-6.73996657133102E-2</v>
      </c>
      <c r="K7" s="8">
        <v>1.67829748243093E-2</v>
      </c>
      <c r="L7" s="8">
        <v>-0.33880779147148099</v>
      </c>
      <c r="M7" s="8">
        <v>-0.185297966003418</v>
      </c>
      <c r="N7" s="8"/>
      <c r="O7" s="8"/>
      <c r="P7" s="8"/>
      <c r="Q7" s="8"/>
      <c r="R7" s="8"/>
      <c r="S7" s="8"/>
      <c r="T7" s="6">
        <f t="shared" si="0"/>
        <v>3.7108035758137698E-4</v>
      </c>
      <c r="U7" s="6">
        <f t="shared" si="0"/>
        <v>3.7644270807504703E-2</v>
      </c>
      <c r="V7" s="6">
        <f t="shared" si="0"/>
        <v>6.73996657133102E-2</v>
      </c>
      <c r="W7" s="6">
        <f t="shared" si="0"/>
        <v>1.67829748243093E-2</v>
      </c>
      <c r="X7" s="6">
        <f t="shared" si="0"/>
        <v>0.33880779147148099</v>
      </c>
      <c r="Y7" s="6">
        <f t="shared" si="0"/>
        <v>0.185297966003418</v>
      </c>
    </row>
    <row r="8" spans="1:25" x14ac:dyDescent="0.25">
      <c r="A8" s="10">
        <v>0.7</v>
      </c>
      <c r="B8" s="10">
        <v>0.1</v>
      </c>
      <c r="C8" s="10">
        <v>3.665</v>
      </c>
      <c r="D8" s="10">
        <v>1.571</v>
      </c>
      <c r="E8" s="10">
        <v>1.4</v>
      </c>
      <c r="F8" s="10">
        <v>0</v>
      </c>
      <c r="G8" s="10">
        <v>0</v>
      </c>
      <c r="H8" s="8">
        <v>-1.02429185062647E-3</v>
      </c>
      <c r="I8" s="8">
        <v>7.0613205432891804E-2</v>
      </c>
      <c r="J8" s="8">
        <v>-0.12678831815719599</v>
      </c>
      <c r="K8" s="8">
        <v>-2.9671346768736801E-2</v>
      </c>
      <c r="L8" s="8">
        <v>-0.63574087619781505</v>
      </c>
      <c r="M8" s="8">
        <v>-0.34651768207549999</v>
      </c>
      <c r="N8" s="8"/>
      <c r="O8" s="8"/>
      <c r="P8" s="8"/>
      <c r="Q8" s="8"/>
      <c r="R8" s="8"/>
      <c r="S8" s="8"/>
      <c r="T8" s="6">
        <f t="shared" si="0"/>
        <v>1.02429185062647E-3</v>
      </c>
      <c r="U8" s="6">
        <f t="shared" si="0"/>
        <v>7.0613205432891804E-2</v>
      </c>
      <c r="V8" s="6">
        <f t="shared" si="0"/>
        <v>0.12678831815719599</v>
      </c>
      <c r="W8" s="6">
        <f t="shared" si="0"/>
        <v>2.9671346768736801E-2</v>
      </c>
      <c r="X8" s="6">
        <f t="shared" si="0"/>
        <v>0.63574087619781505</v>
      </c>
      <c r="Y8" s="6">
        <f t="shared" si="0"/>
        <v>0.34651768207549999</v>
      </c>
    </row>
    <row r="9" spans="1:25" x14ac:dyDescent="0.25">
      <c r="A9" s="10">
        <v>0.4</v>
      </c>
      <c r="B9" s="10">
        <v>0.16</v>
      </c>
      <c r="C9" s="10">
        <v>3.665</v>
      </c>
      <c r="D9" s="10">
        <v>1.571</v>
      </c>
      <c r="E9" s="10">
        <v>0</v>
      </c>
      <c r="F9" s="10">
        <v>0</v>
      </c>
      <c r="G9" s="10">
        <v>0</v>
      </c>
      <c r="H9" s="8">
        <v>-6.0879066586494402E-4</v>
      </c>
      <c r="I9" s="8">
        <v>4.7145899385213901E-2</v>
      </c>
      <c r="J9" s="8">
        <v>-8.5028916597366305E-2</v>
      </c>
      <c r="K9" s="8">
        <v>-7.4065491557121305E-2</v>
      </c>
      <c r="L9" s="8">
        <v>-0.31546109914779702</v>
      </c>
      <c r="M9" s="8">
        <v>-0.17043319344520599</v>
      </c>
      <c r="N9" s="8"/>
      <c r="O9" s="8"/>
      <c r="P9" s="8"/>
      <c r="Q9" s="8"/>
      <c r="R9" s="8"/>
      <c r="S9" s="8"/>
      <c r="T9" s="6">
        <f t="shared" si="0"/>
        <v>6.0879066586494402E-4</v>
      </c>
      <c r="U9" s="6">
        <f t="shared" si="0"/>
        <v>4.7145899385213901E-2</v>
      </c>
      <c r="V9" s="6">
        <f t="shared" si="0"/>
        <v>8.5028916597366305E-2</v>
      </c>
      <c r="W9" s="6">
        <f t="shared" si="0"/>
        <v>7.4065491557121305E-2</v>
      </c>
      <c r="X9" s="6">
        <f t="shared" si="0"/>
        <v>0.31546109914779702</v>
      </c>
      <c r="Y9" s="6">
        <f t="shared" si="0"/>
        <v>0.17043319344520599</v>
      </c>
    </row>
    <row r="10" spans="1:25" x14ac:dyDescent="0.25">
      <c r="A10" s="10">
        <v>0.3</v>
      </c>
      <c r="B10" s="10">
        <v>0.18</v>
      </c>
      <c r="C10" s="10">
        <v>3.665</v>
      </c>
      <c r="D10" s="10">
        <v>1.571</v>
      </c>
      <c r="E10" s="10">
        <v>0</v>
      </c>
      <c r="F10" s="10">
        <v>0</v>
      </c>
      <c r="G10" s="10">
        <v>0</v>
      </c>
      <c r="H10" s="8">
        <v>3.8368394598364803E-5</v>
      </c>
      <c r="I10" s="8">
        <v>3.2897148281335803E-2</v>
      </c>
      <c r="J10" s="8">
        <v>-5.8571800589561497E-2</v>
      </c>
      <c r="K10" s="8">
        <v>-6.3505612313747406E-2</v>
      </c>
      <c r="L10" s="8">
        <v>-0.19738522171974199</v>
      </c>
      <c r="M10" s="8">
        <v>-0.108248926699162</v>
      </c>
      <c r="N10" s="8"/>
      <c r="O10" s="8"/>
      <c r="P10" s="8"/>
      <c r="Q10" s="8"/>
      <c r="R10" s="8"/>
      <c r="S10" s="8"/>
      <c r="T10" s="6">
        <f t="shared" si="0"/>
        <v>3.8368394598364803E-5</v>
      </c>
      <c r="U10" s="6">
        <f t="shared" si="0"/>
        <v>3.2897148281335803E-2</v>
      </c>
      <c r="V10" s="6">
        <f t="shared" si="0"/>
        <v>5.8571800589561497E-2</v>
      </c>
      <c r="W10" s="6">
        <f t="shared" si="0"/>
        <v>6.3505612313747406E-2</v>
      </c>
      <c r="X10" s="6">
        <f t="shared" si="0"/>
        <v>0.19738522171974199</v>
      </c>
      <c r="Y10" s="6">
        <f t="shared" si="0"/>
        <v>0.108248926699162</v>
      </c>
    </row>
  </sheetData>
  <mergeCells count="4">
    <mergeCell ref="A1:G1"/>
    <mergeCell ref="H1:M1"/>
    <mergeCell ref="N1:S1"/>
    <mergeCell ref="T1:Y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F75F-00D5-499A-8B94-C01DFDD9DEC2}">
  <dimension ref="A1:W19"/>
  <sheetViews>
    <sheetView workbookViewId="0">
      <selection activeCell="R3" sqref="R3"/>
    </sheetView>
  </sheetViews>
  <sheetFormatPr defaultRowHeight="15" x14ac:dyDescent="0.25"/>
  <cols>
    <col min="1" max="2" width="6.140625" bestFit="1" customWidth="1"/>
    <col min="3" max="3" width="8.85546875" bestFit="1" customWidth="1"/>
    <col min="4" max="4" width="10.85546875" bestFit="1" customWidth="1"/>
    <col min="5" max="7" width="8.42578125" bestFit="1" customWidth="1"/>
    <col min="8" max="9" width="8.140625" bestFit="1" customWidth="1"/>
    <col min="10" max="13" width="8" bestFit="1" customWidth="1"/>
    <col min="14" max="15" width="7.28515625" bestFit="1" customWidth="1"/>
    <col min="16" max="16" width="8.85546875" bestFit="1" customWidth="1"/>
    <col min="17" max="17" width="15" customWidth="1"/>
    <col min="18" max="18" width="11.140625" bestFit="1" customWidth="1"/>
    <col min="19" max="19" width="13.42578125" bestFit="1" customWidth="1"/>
    <col min="20" max="20" width="11.7109375" bestFit="1" customWidth="1"/>
    <col min="21" max="21" width="11.140625" bestFit="1" customWidth="1"/>
    <col min="22" max="22" width="13.5703125" bestFit="1" customWidth="1"/>
    <col min="23" max="23" width="11.7109375" bestFit="1" customWidth="1"/>
  </cols>
  <sheetData>
    <row r="1" spans="1:23" ht="15.75" x14ac:dyDescent="0.25">
      <c r="A1" s="21" t="s">
        <v>13</v>
      </c>
      <c r="B1" s="21"/>
      <c r="C1" s="21"/>
      <c r="D1" s="21"/>
      <c r="E1" s="21"/>
      <c r="F1" s="21"/>
      <c r="G1" s="21"/>
      <c r="H1" s="22" t="s">
        <v>6</v>
      </c>
      <c r="I1" s="22"/>
      <c r="J1" s="22"/>
      <c r="K1" s="22"/>
      <c r="L1" s="22"/>
      <c r="M1" s="22"/>
      <c r="N1" s="24" t="s">
        <v>9</v>
      </c>
      <c r="O1" s="24"/>
      <c r="P1" s="24"/>
      <c r="Q1" s="24"/>
      <c r="R1" s="23" t="s">
        <v>15</v>
      </c>
      <c r="S1" s="23"/>
      <c r="T1" s="23"/>
      <c r="U1" s="20" t="s">
        <v>30</v>
      </c>
      <c r="V1" s="20"/>
      <c r="W1" s="20"/>
    </row>
    <row r="2" spans="1:23" ht="15.75" x14ac:dyDescent="0.25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27</v>
      </c>
      <c r="R2" s="1" t="s">
        <v>28</v>
      </c>
      <c r="S2" s="1" t="s">
        <v>29</v>
      </c>
      <c r="T2" s="4" t="s">
        <v>31</v>
      </c>
      <c r="U2" s="1" t="s">
        <v>28</v>
      </c>
      <c r="V2" s="1" t="s">
        <v>29</v>
      </c>
      <c r="W2" s="4" t="s">
        <v>31</v>
      </c>
    </row>
    <row r="3" spans="1:23" x14ac:dyDescent="0.25">
      <c r="A3" s="8">
        <f>'Proximal Validation (single)'!A3</f>
        <v>0.4</v>
      </c>
      <c r="B3" s="8">
        <f>'Proximal Validation (single)'!B3</f>
        <v>0.06</v>
      </c>
      <c r="C3" s="8">
        <f>'Proximal Validation (single)'!C3</f>
        <v>1.571</v>
      </c>
      <c r="D3" s="8">
        <f>'Proximal Validation (single)'!D3</f>
        <v>1.571</v>
      </c>
      <c r="E3" s="8">
        <f>'Proximal Validation (single)'!E3</f>
        <v>1.4</v>
      </c>
      <c r="F3" s="8">
        <f>'Proximal Validation (single)'!F3</f>
        <v>0</v>
      </c>
      <c r="G3" s="8">
        <f>'Proximal Validation (single)'!G3</f>
        <v>0</v>
      </c>
      <c r="H3" s="8">
        <f>'Proximal Validation (single)'!H3</f>
        <v>6.7002582363784302E-4</v>
      </c>
      <c r="I3" s="8">
        <f>'Proximal Validation (single)'!I3</f>
        <v>-6.6750191152095795E-2</v>
      </c>
      <c r="J3" s="8">
        <f>'Proximal Validation (single)'!J3</f>
        <v>1.6002767952158999E-3</v>
      </c>
      <c r="K3" s="8">
        <f>'Proximal Validation (single)'!K3</f>
        <v>-3.97013984620571E-2</v>
      </c>
      <c r="L3" s="8">
        <f>'Proximal Validation (single)'!L3</f>
        <v>7.3561742901802098E-3</v>
      </c>
      <c r="M3" s="8">
        <f>'Proximal Validation (single)'!M3</f>
        <v>0.423814177513123</v>
      </c>
      <c r="N3" s="8">
        <v>0.14709841760985293</v>
      </c>
      <c r="O3" s="8">
        <v>0.1999673519567147</v>
      </c>
      <c r="P3" s="8">
        <v>1.5370839005112213</v>
      </c>
      <c r="Q3" s="9">
        <v>3.4718516203233994E-9</v>
      </c>
      <c r="R3" s="7">
        <f>ABS(N3-A3)</f>
        <v>0.25290158239014709</v>
      </c>
      <c r="S3" s="7">
        <f>ABS(O3-B3)</f>
        <v>0.1399673519567147</v>
      </c>
      <c r="T3" s="7">
        <f>ABS(P3-C3)</f>
        <v>3.3916099488778606E-2</v>
      </c>
      <c r="U3" s="8">
        <f>AVERAGE(R3:R10)</f>
        <v>0.26362785590499466</v>
      </c>
      <c r="V3" s="8">
        <f>AVERAGE(S3:S10)</f>
        <v>5.8690511818551679E-2</v>
      </c>
      <c r="W3" s="8">
        <f>AVERAGE(T3:T10)</f>
        <v>1.519838255780756E-2</v>
      </c>
    </row>
    <row r="4" spans="1:23" x14ac:dyDescent="0.25">
      <c r="A4" s="8">
        <f>'Proximal Validation (single)'!A4</f>
        <v>0.8</v>
      </c>
      <c r="B4" s="8">
        <f>'Proximal Validation (single)'!B4</f>
        <v>0.08</v>
      </c>
      <c r="C4" s="8">
        <f>'Proximal Validation (single)'!C4</f>
        <v>1.571</v>
      </c>
      <c r="D4" s="8">
        <f>'Proximal Validation (single)'!D4</f>
        <v>1.571</v>
      </c>
      <c r="E4" s="8">
        <f>'Proximal Validation (single)'!E4</f>
        <v>0</v>
      </c>
      <c r="F4" s="8">
        <f>'Proximal Validation (single)'!F4</f>
        <v>0</v>
      </c>
      <c r="G4" s="8">
        <f>'Proximal Validation (single)'!G4</f>
        <v>0</v>
      </c>
      <c r="H4" s="8">
        <f>'Proximal Validation (single)'!H4</f>
        <v>7.4092089198529699E-4</v>
      </c>
      <c r="I4" s="8">
        <f>'Proximal Validation (single)'!I4</f>
        <v>-0.14775538444519001</v>
      </c>
      <c r="J4" s="8">
        <f>'Proximal Validation (single)'!J4</f>
        <v>3.4220633096993E-3</v>
      </c>
      <c r="K4" s="8">
        <f>'Proximal Validation (single)'!K4</f>
        <v>-0.161362335085869</v>
      </c>
      <c r="L4" s="8">
        <f>'Proximal Validation (single)'!L4</f>
        <v>2.0262047648429898E-2</v>
      </c>
      <c r="M4" s="8">
        <f>'Proximal Validation (single)'!M4</f>
        <v>0.82944488525390603</v>
      </c>
      <c r="N4" s="8">
        <v>0.38061737444239413</v>
      </c>
      <c r="O4" s="8">
        <v>0.19999999999565859</v>
      </c>
      <c r="P4" s="8">
        <v>1.5489343957225052</v>
      </c>
      <c r="Q4" s="9">
        <v>8.6508147423413817E-9</v>
      </c>
      <c r="R4" s="7">
        <f>ABS(N4-A4)</f>
        <v>0.41938262555760591</v>
      </c>
      <c r="S4" s="7">
        <f>ABS(O4-B4)</f>
        <v>0.11999999999565859</v>
      </c>
      <c r="T4" s="7">
        <f>ABS(P4-C4)</f>
        <v>2.206560427749471E-2</v>
      </c>
    </row>
    <row r="5" spans="1:23" x14ac:dyDescent="0.25">
      <c r="A5" s="8">
        <f>'Proximal Validation (single)'!A5</f>
        <v>0.7</v>
      </c>
      <c r="B5" s="8">
        <f>'Proximal Validation (single)'!B5</f>
        <v>0.16</v>
      </c>
      <c r="C5" s="8">
        <f>'Proximal Validation (single)'!C5</f>
        <v>1.571</v>
      </c>
      <c r="D5" s="8">
        <f>'Proximal Validation (single)'!D5</f>
        <v>1.571</v>
      </c>
      <c r="E5" s="8">
        <f>'Proximal Validation (single)'!E5</f>
        <v>1.4</v>
      </c>
      <c r="F5" s="8">
        <f>'Proximal Validation (single)'!F5</f>
        <v>0</v>
      </c>
      <c r="G5" s="8">
        <f>'Proximal Validation (single)'!G5</f>
        <v>0</v>
      </c>
      <c r="H5" s="8">
        <f>'Proximal Validation (single)'!H5</f>
        <v>6.6551081836223602E-3</v>
      </c>
      <c r="I5" s="8">
        <f>'Proximal Validation (single)'!I5</f>
        <v>-0.148307904601097</v>
      </c>
      <c r="J5" s="8">
        <f>'Proximal Validation (single)'!J5</f>
        <v>-1.0527462000027299E-3</v>
      </c>
      <c r="K5" s="8">
        <f>'Proximal Validation (single)'!K5</f>
        <v>-0.444706320762634</v>
      </c>
      <c r="L5" s="8">
        <f>'Proximal Validation (single)'!L5</f>
        <v>-2.19946205615997E-2</v>
      </c>
      <c r="M5" s="8">
        <f>'Proximal Validation (single)'!M5</f>
        <v>0.489793181419373</v>
      </c>
      <c r="N5" s="8">
        <v>0.59565967342169812</v>
      </c>
      <c r="O5" s="8">
        <v>0.19999999999997781</v>
      </c>
      <c r="P5" s="8">
        <v>1.562847809462198</v>
      </c>
      <c r="Q5" s="9">
        <v>5.0027017445899296E-6</v>
      </c>
      <c r="R5" s="7">
        <f>ABS(N5-A5)</f>
        <v>0.10434032657830183</v>
      </c>
      <c r="S5" s="7">
        <f>ABS(O5-B5)</f>
        <v>3.9999999999977803E-2</v>
      </c>
      <c r="T5" s="7">
        <f>ABS(P5-C5)</f>
        <v>8.1521905378019177E-3</v>
      </c>
    </row>
    <row r="6" spans="1:23" x14ac:dyDescent="0.25">
      <c r="A6" s="8">
        <f>'Proximal Validation (single)'!A6</f>
        <v>0.7</v>
      </c>
      <c r="B6" s="8">
        <f>'Proximal Validation (single)'!B6</f>
        <v>0.2</v>
      </c>
      <c r="C6" s="8">
        <f>'Proximal Validation (single)'!C6</f>
        <v>1.571</v>
      </c>
      <c r="D6" s="8">
        <f>'Proximal Validation (single)'!D6</f>
        <v>1.571</v>
      </c>
      <c r="E6" s="8">
        <f>'Proximal Validation (single)'!E6</f>
        <v>0</v>
      </c>
      <c r="F6" s="8">
        <f>'Proximal Validation (single)'!F6</f>
        <v>0</v>
      </c>
      <c r="G6" s="8">
        <f>'Proximal Validation (single)'!G6</f>
        <v>0</v>
      </c>
      <c r="H6" s="8">
        <f>'Proximal Validation (single)'!H6</f>
        <v>8.7637116666883198E-4</v>
      </c>
      <c r="I6" s="8">
        <f>'Proximal Validation (single)'!I6</f>
        <v>-0.164488449692726</v>
      </c>
      <c r="J6" s="8">
        <f>'Proximal Validation (single)'!J6</f>
        <v>3.7763002328574701E-3</v>
      </c>
      <c r="K6" s="8">
        <f>'Proximal Validation (single)'!K6</f>
        <v>-0.58729076385498002</v>
      </c>
      <c r="L6" s="8">
        <f>'Proximal Validation (single)'!L6</f>
        <v>7.8071318566799199E-3</v>
      </c>
      <c r="M6" s="8">
        <f>'Proximal Validation (single)'!M6</f>
        <v>0.38755592703819303</v>
      </c>
      <c r="N6" s="8">
        <v>0.7470712861703761</v>
      </c>
      <c r="O6" s="8">
        <v>0.19999999994052123</v>
      </c>
      <c r="P6" s="8">
        <v>1.5470858128145832</v>
      </c>
      <c r="Q6" s="9">
        <v>5.4365960898878187E-6</v>
      </c>
      <c r="R6" s="7">
        <f>ABS(N6-A6)</f>
        <v>4.7071286170376148E-2</v>
      </c>
      <c r="S6" s="7">
        <f>ABS(O6-B6)</f>
        <v>5.9478783009936365E-11</v>
      </c>
      <c r="T6" s="7">
        <f>ABS(P6-C6)</f>
        <v>2.3914187185416713E-2</v>
      </c>
    </row>
    <row r="7" spans="1:23" x14ac:dyDescent="0.25">
      <c r="A7" s="8">
        <f>'Proximal Validation (single)'!A7</f>
        <v>0.4</v>
      </c>
      <c r="B7" s="8">
        <f>'Proximal Validation (single)'!B7</f>
        <v>0.1</v>
      </c>
      <c r="C7" s="8">
        <f>'Proximal Validation (single)'!C7</f>
        <v>3.665</v>
      </c>
      <c r="D7" s="8">
        <f>'Proximal Validation (single)'!D7</f>
        <v>1.571</v>
      </c>
      <c r="E7" s="8">
        <f>'Proximal Validation (single)'!E7</f>
        <v>1.4</v>
      </c>
      <c r="F7" s="8">
        <f>'Proximal Validation (single)'!F7</f>
        <v>0</v>
      </c>
      <c r="G7" s="8">
        <f>'Proximal Validation (single)'!G7</f>
        <v>0</v>
      </c>
      <c r="H7" s="8">
        <f>'Proximal Validation (single)'!H7</f>
        <v>-3.7108035758137698E-4</v>
      </c>
      <c r="I7" s="8">
        <f>'Proximal Validation (single)'!I7</f>
        <v>3.7644270807504703E-2</v>
      </c>
      <c r="J7" s="8">
        <f>'Proximal Validation (single)'!J7</f>
        <v>-6.73996657133102E-2</v>
      </c>
      <c r="K7" s="8">
        <f>'Proximal Validation (single)'!K7</f>
        <v>1.67829748243093E-2</v>
      </c>
      <c r="L7" s="8">
        <f>'Proximal Validation (single)'!L7</f>
        <v>-0.33880779147148099</v>
      </c>
      <c r="M7" s="8">
        <f>'Proximal Validation (single)'!M7</f>
        <v>-0.185297966003418</v>
      </c>
      <c r="N7" s="8">
        <v>0.73147181694484997</v>
      </c>
      <c r="O7" s="8">
        <v>5.7735020524424023E-2</v>
      </c>
      <c r="P7" s="8">
        <v>3.6582608827597372</v>
      </c>
      <c r="Q7" s="9">
        <v>2.0035379757687376E-6</v>
      </c>
      <c r="R7" s="7">
        <f>ABS(N7-A7)</f>
        <v>0.33147181694484995</v>
      </c>
      <c r="S7" s="7">
        <f>ABS(O7-B7)</f>
        <v>4.2264979475575983E-2</v>
      </c>
      <c r="T7" s="7">
        <f>ABS(P7-C7)</f>
        <v>6.7391172402628818E-3</v>
      </c>
    </row>
    <row r="8" spans="1:23" x14ac:dyDescent="0.25">
      <c r="A8" s="8">
        <f>'Proximal Validation (single)'!A8</f>
        <v>0.7</v>
      </c>
      <c r="B8" s="8">
        <f>'Proximal Validation (single)'!B8</f>
        <v>0.1</v>
      </c>
      <c r="C8" s="8">
        <f>'Proximal Validation (single)'!C8</f>
        <v>3.665</v>
      </c>
      <c r="D8" s="8">
        <f>'Proximal Validation (single)'!D8</f>
        <v>1.571</v>
      </c>
      <c r="E8" s="8">
        <f>'Proximal Validation (single)'!E8</f>
        <v>1.4</v>
      </c>
      <c r="F8" s="8">
        <f>'Proximal Validation (single)'!F8</f>
        <v>0</v>
      </c>
      <c r="G8" s="8">
        <f>'Proximal Validation (single)'!G8</f>
        <v>0</v>
      </c>
      <c r="H8" s="8">
        <f>'Proximal Validation (single)'!H8</f>
        <v>-1.02429185062647E-3</v>
      </c>
      <c r="I8" s="8">
        <f>'Proximal Validation (single)'!I8</f>
        <v>7.0613205432891804E-2</v>
      </c>
      <c r="J8" s="8">
        <f>'Proximal Validation (single)'!J8</f>
        <v>-0.12678831815719599</v>
      </c>
      <c r="K8" s="8">
        <f>'Proximal Validation (single)'!K8</f>
        <v>-2.9671346768736801E-2</v>
      </c>
      <c r="L8" s="8">
        <f>'Proximal Validation (single)'!L8</f>
        <v>-0.63574087619781505</v>
      </c>
      <c r="M8" s="8">
        <f>'Proximal Validation (single)'!M8</f>
        <v>-0.34651768207549999</v>
      </c>
      <c r="N8" s="8">
        <v>0.9999999999999778</v>
      </c>
      <c r="O8" s="8">
        <v>7.8685051970876108E-2</v>
      </c>
      <c r="P8" s="8">
        <v>3.6571998528946779</v>
      </c>
      <c r="Q8" s="9">
        <v>6.0050783935912673E-6</v>
      </c>
      <c r="R8" s="7">
        <f>ABS(N8-A8)</f>
        <v>0.29999999999997784</v>
      </c>
      <c r="S8" s="7">
        <f>ABS(O8-B8)</f>
        <v>2.1314948029123898E-2</v>
      </c>
      <c r="T8" s="7">
        <f>ABS(P8-C8)</f>
        <v>7.8001471053221749E-3</v>
      </c>
    </row>
    <row r="9" spans="1:23" x14ac:dyDescent="0.25">
      <c r="A9" s="8">
        <f>'Proximal Validation (single)'!A9</f>
        <v>0.4</v>
      </c>
      <c r="B9" s="8">
        <f>'Proximal Validation (single)'!B9</f>
        <v>0.16</v>
      </c>
      <c r="C9" s="8">
        <f>'Proximal Validation (single)'!C9</f>
        <v>3.665</v>
      </c>
      <c r="D9" s="8">
        <f>'Proximal Validation (single)'!D9</f>
        <v>1.571</v>
      </c>
      <c r="E9" s="8">
        <f>'Proximal Validation (single)'!E9</f>
        <v>0</v>
      </c>
      <c r="F9" s="8">
        <f>'Proximal Validation (single)'!F9</f>
        <v>0</v>
      </c>
      <c r="G9" s="8">
        <f>'Proximal Validation (single)'!G9</f>
        <v>0</v>
      </c>
      <c r="H9" s="8">
        <f>'Proximal Validation (single)'!H9</f>
        <v>-6.0879066586494402E-4</v>
      </c>
      <c r="I9" s="8">
        <f>'Proximal Validation (single)'!I9</f>
        <v>4.7145899385213901E-2</v>
      </c>
      <c r="J9" s="8">
        <f>'Proximal Validation (single)'!J9</f>
        <v>-8.5028916597366305E-2</v>
      </c>
      <c r="K9" s="8">
        <f>'Proximal Validation (single)'!K9</f>
        <v>-7.4065491557121305E-2</v>
      </c>
      <c r="L9" s="8">
        <f>'Proximal Validation (single)'!L9</f>
        <v>-0.31546109914779702</v>
      </c>
      <c r="M9" s="8">
        <f>'Proximal Validation (single)'!M9</f>
        <v>-0.17043319344520599</v>
      </c>
      <c r="N9" s="8">
        <v>0.99999975162958954</v>
      </c>
      <c r="O9" s="8">
        <v>6.5046663991926879E-2</v>
      </c>
      <c r="P9" s="8">
        <v>3.6532892806012693</v>
      </c>
      <c r="Q9" s="9">
        <v>7.6566208398184086E-9</v>
      </c>
      <c r="R9" s="7">
        <f>ABS(N9-A9)</f>
        <v>0.59999975162958952</v>
      </c>
      <c r="S9" s="7">
        <f>ABS(O9-B9)</f>
        <v>9.4953336008073125E-2</v>
      </c>
      <c r="T9" s="7">
        <f>ABS(P9-C9)</f>
        <v>1.1710719398730696E-2</v>
      </c>
    </row>
    <row r="10" spans="1:23" x14ac:dyDescent="0.25">
      <c r="A10" s="8">
        <f>'Proximal Validation (single)'!A10</f>
        <v>0.3</v>
      </c>
      <c r="B10" s="8">
        <f>'Proximal Validation (single)'!B10</f>
        <v>0.18</v>
      </c>
      <c r="C10" s="8">
        <f>'Proximal Validation (single)'!C10</f>
        <v>3.665</v>
      </c>
      <c r="D10" s="8">
        <f>'Proximal Validation (single)'!D10</f>
        <v>1.571</v>
      </c>
      <c r="E10" s="8">
        <f>'Proximal Validation (single)'!E10</f>
        <v>0</v>
      </c>
      <c r="F10" s="8">
        <f>'Proximal Validation (single)'!F10</f>
        <v>0</v>
      </c>
      <c r="G10" s="8">
        <f>'Proximal Validation (single)'!G10</f>
        <v>0</v>
      </c>
      <c r="H10" s="8">
        <f>'Proximal Validation (single)'!H10</f>
        <v>3.8368394598364803E-5</v>
      </c>
      <c r="I10" s="8">
        <f>'Proximal Validation (single)'!I10</f>
        <v>3.2897148281335803E-2</v>
      </c>
      <c r="J10" s="8">
        <f>'Proximal Validation (single)'!J10</f>
        <v>-5.8571800589561497E-2</v>
      </c>
      <c r="K10" s="8">
        <f>'Proximal Validation (single)'!K10</f>
        <v>-6.3505612313747406E-2</v>
      </c>
      <c r="L10" s="8">
        <f>'Proximal Validation (single)'!L10</f>
        <v>-0.19738522171974199</v>
      </c>
      <c r="M10" s="8">
        <f>'Proximal Validation (single)'!M10</f>
        <v>-0.108248926699162</v>
      </c>
      <c r="N10" s="8">
        <v>0.24614454203089106</v>
      </c>
      <c r="O10" s="8">
        <v>0.19102347902381056</v>
      </c>
      <c r="P10" s="8">
        <v>3.6577110047713473</v>
      </c>
      <c r="Q10" s="9">
        <v>1.7833339552959711E-12</v>
      </c>
      <c r="R10" s="7">
        <f>ABS(N10-A10)</f>
        <v>5.3855457969108927E-2</v>
      </c>
      <c r="S10" s="7">
        <f>ABS(O10-B10)</f>
        <v>1.1023479023810567E-2</v>
      </c>
      <c r="T10" s="7">
        <f>ABS(P10-C10)</f>
        <v>7.2889952286527837E-3</v>
      </c>
    </row>
    <row r="19" spans="9:14" x14ac:dyDescent="0.25">
      <c r="I19">
        <v>1E-3</v>
      </c>
      <c r="J19">
        <v>-7.3389999999999997E-2</v>
      </c>
      <c r="K19">
        <v>1.1999999999999999E-3</v>
      </c>
      <c r="L19">
        <v>-0.161</v>
      </c>
      <c r="M19">
        <v>0.02</v>
      </c>
      <c r="N19">
        <v>0.82899999999999996</v>
      </c>
    </row>
  </sheetData>
  <mergeCells count="5">
    <mergeCell ref="U1:W1"/>
    <mergeCell ref="A1:G1"/>
    <mergeCell ref="H1:M1"/>
    <mergeCell ref="R1:T1"/>
    <mergeCell ref="N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28"/>
  <sheetViews>
    <sheetView workbookViewId="0">
      <selection activeCell="Q11" sqref="Q11"/>
    </sheetView>
  </sheetViews>
  <sheetFormatPr defaultRowHeight="15" x14ac:dyDescent="0.25"/>
  <sheetData>
    <row r="1" spans="1:13" ht="15.75" x14ac:dyDescent="0.25">
      <c r="A1" s="25" t="s">
        <v>23</v>
      </c>
      <c r="B1" s="26"/>
      <c r="C1" s="26"/>
      <c r="D1" s="26"/>
      <c r="E1" s="26"/>
      <c r="F1" s="27"/>
      <c r="H1" s="25" t="s">
        <v>24</v>
      </c>
      <c r="I1" s="26"/>
      <c r="J1" s="26"/>
      <c r="K1" s="26"/>
      <c r="L1" s="26"/>
      <c r="M1" s="27"/>
    </row>
    <row r="2" spans="1:13" ht="15.75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H2" s="3" t="s">
        <v>20</v>
      </c>
      <c r="I2" s="3" t="s">
        <v>21</v>
      </c>
      <c r="J2" s="3" t="s">
        <v>22</v>
      </c>
      <c r="K2" s="3" t="s">
        <v>17</v>
      </c>
      <c r="L2" s="3" t="s">
        <v>18</v>
      </c>
      <c r="M2" s="3" t="s">
        <v>19</v>
      </c>
    </row>
    <row r="3" spans="1:13" x14ac:dyDescent="0.25">
      <c r="A3">
        <v>0.19288232922553999</v>
      </c>
      <c r="B3">
        <v>-1.13257020711899E-3</v>
      </c>
      <c r="C3">
        <v>0.185834720730782</v>
      </c>
      <c r="D3">
        <v>5.6162860710173802E-4</v>
      </c>
      <c r="E3">
        <v>3.2978262752294499E-2</v>
      </c>
      <c r="F3" s="5">
        <v>2.6342464843764901E-4</v>
      </c>
      <c r="H3">
        <f>$F3</f>
        <v>2.6342464843764901E-4</v>
      </c>
      <c r="I3">
        <f>-1*$E3</f>
        <v>-3.2978262752294499E-2</v>
      </c>
      <c r="J3">
        <f>$D3</f>
        <v>5.6162860710173802E-4</v>
      </c>
      <c r="K3">
        <f>$C3</f>
        <v>0.185834720730782</v>
      </c>
      <c r="L3">
        <f>-1*$B3</f>
        <v>1.13257020711899E-3</v>
      </c>
      <c r="M3">
        <f>$A3</f>
        <v>0.19288232922553999</v>
      </c>
    </row>
    <row r="4" spans="1:13" x14ac:dyDescent="0.25">
      <c r="A4">
        <v>0.27653545141220098</v>
      </c>
      <c r="B4">
        <v>-1.07369087636471E-2</v>
      </c>
      <c r="C4">
        <v>0.25303724408149703</v>
      </c>
      <c r="D4">
        <v>2.5845002382993698E-3</v>
      </c>
      <c r="E4">
        <v>6.2425632029771798E-2</v>
      </c>
      <c r="F4">
        <v>-4.3474312406033299E-4</v>
      </c>
      <c r="H4">
        <f t="shared" ref="H4:H28" si="0">$F4</f>
        <v>-4.3474312406033299E-4</v>
      </c>
      <c r="I4">
        <f t="shared" ref="I4:I28" si="1">-1*$E4</f>
        <v>-6.2425632029771798E-2</v>
      </c>
      <c r="J4">
        <f t="shared" ref="J4:J28" si="2">$D4</f>
        <v>2.5845002382993698E-3</v>
      </c>
      <c r="K4">
        <f t="shared" ref="K4:K28" si="3">$C4</f>
        <v>0.25303724408149703</v>
      </c>
      <c r="L4">
        <f t="shared" ref="L4:L28" si="4">-1*$B4</f>
        <v>1.07369087636471E-2</v>
      </c>
      <c r="M4">
        <f t="shared" ref="M4:M28" si="5">$A4</f>
        <v>0.27653545141220098</v>
      </c>
    </row>
    <row r="5" spans="1:13" x14ac:dyDescent="0.25">
      <c r="A5">
        <v>0.52633810043335005</v>
      </c>
      <c r="B5">
        <v>2.4467468261718799E-2</v>
      </c>
      <c r="C5">
        <v>0.26806160807609603</v>
      </c>
      <c r="D5">
        <v>-8.3989212289452605E-3</v>
      </c>
      <c r="E5">
        <v>0.12275674194097499</v>
      </c>
      <c r="F5">
        <v>5.3234044462442398E-3</v>
      </c>
      <c r="H5">
        <f t="shared" si="0"/>
        <v>5.3234044462442398E-3</v>
      </c>
      <c r="I5">
        <f t="shared" si="1"/>
        <v>-0.12275674194097499</v>
      </c>
      <c r="J5">
        <f t="shared" si="2"/>
        <v>-8.3989212289452605E-3</v>
      </c>
      <c r="K5">
        <f t="shared" si="3"/>
        <v>0.26806160807609603</v>
      </c>
      <c r="L5">
        <f t="shared" si="4"/>
        <v>-2.4467468261718799E-2</v>
      </c>
      <c r="M5">
        <f t="shared" si="5"/>
        <v>0.52633810043335005</v>
      </c>
    </row>
    <row r="6" spans="1:13" x14ac:dyDescent="0.25">
      <c r="A6">
        <v>0.423814177513123</v>
      </c>
      <c r="B6">
        <v>-7.3561742901802098E-3</v>
      </c>
      <c r="C6">
        <v>-3.97013984620571E-2</v>
      </c>
      <c r="D6">
        <v>1.6002767952158999E-3</v>
      </c>
      <c r="E6">
        <v>6.6750191152095795E-2</v>
      </c>
      <c r="F6">
        <v>6.7002582363784302E-4</v>
      </c>
      <c r="H6">
        <f t="shared" si="0"/>
        <v>6.7002582363784302E-4</v>
      </c>
      <c r="I6">
        <f t="shared" si="1"/>
        <v>-6.6750191152095795E-2</v>
      </c>
      <c r="J6">
        <f t="shared" si="2"/>
        <v>1.6002767952158999E-3</v>
      </c>
      <c r="K6">
        <f t="shared" si="3"/>
        <v>-3.97013984620571E-2</v>
      </c>
      <c r="L6">
        <f t="shared" si="4"/>
        <v>7.3561742901802098E-3</v>
      </c>
      <c r="M6">
        <f t="shared" si="5"/>
        <v>0.423814177513123</v>
      </c>
    </row>
    <row r="7" spans="1:13" x14ac:dyDescent="0.25">
      <c r="A7">
        <v>0.82944488525390603</v>
      </c>
      <c r="B7">
        <v>-2.0262047648429898E-2</v>
      </c>
      <c r="C7">
        <v>-0.161362335085869</v>
      </c>
      <c r="D7">
        <v>3.4220633096993E-3</v>
      </c>
      <c r="E7">
        <v>0.14775538444519001</v>
      </c>
      <c r="F7">
        <v>7.4092089198529699E-4</v>
      </c>
      <c r="H7">
        <f t="shared" si="0"/>
        <v>7.4092089198529699E-4</v>
      </c>
      <c r="I7">
        <f t="shared" si="1"/>
        <v>-0.14775538444519001</v>
      </c>
      <c r="J7">
        <f t="shared" si="2"/>
        <v>3.4220633096993E-3</v>
      </c>
      <c r="K7">
        <f t="shared" si="3"/>
        <v>-0.161362335085869</v>
      </c>
      <c r="L7">
        <f t="shared" si="4"/>
        <v>2.0262047648429898E-2</v>
      </c>
      <c r="M7">
        <f t="shared" si="5"/>
        <v>0.82944488525390603</v>
      </c>
    </row>
    <row r="8" spans="1:13" x14ac:dyDescent="0.25">
      <c r="A8">
        <v>0.489793181419373</v>
      </c>
      <c r="B8">
        <v>2.19946205615997E-2</v>
      </c>
      <c r="C8">
        <v>-0.444706320762634</v>
      </c>
      <c r="D8">
        <v>-1.0527462000027299E-3</v>
      </c>
      <c r="E8">
        <v>0.148307904601097</v>
      </c>
      <c r="F8">
        <v>6.6551081836223602E-3</v>
      </c>
      <c r="H8">
        <f t="shared" si="0"/>
        <v>6.6551081836223602E-3</v>
      </c>
      <c r="I8">
        <f t="shared" si="1"/>
        <v>-0.148307904601097</v>
      </c>
      <c r="J8">
        <f t="shared" si="2"/>
        <v>-1.0527462000027299E-3</v>
      </c>
      <c r="K8">
        <f t="shared" si="3"/>
        <v>-0.444706320762634</v>
      </c>
      <c r="L8">
        <f t="shared" si="4"/>
        <v>-2.19946205615997E-2</v>
      </c>
      <c r="M8">
        <f t="shared" si="5"/>
        <v>0.489793181419373</v>
      </c>
    </row>
    <row r="9" spans="1:13" x14ac:dyDescent="0.25">
      <c r="A9">
        <v>0.38755592703819303</v>
      </c>
      <c r="B9">
        <v>-7.8071318566799199E-3</v>
      </c>
      <c r="C9">
        <v>-0.58729076385498002</v>
      </c>
      <c r="D9">
        <v>3.7763002328574701E-3</v>
      </c>
      <c r="E9">
        <v>0.164488449692726</v>
      </c>
      <c r="F9">
        <v>8.7637116666883198E-4</v>
      </c>
      <c r="H9">
        <f t="shared" si="0"/>
        <v>8.7637116666883198E-4</v>
      </c>
      <c r="I9">
        <f t="shared" si="1"/>
        <v>-0.164488449692726</v>
      </c>
      <c r="J9">
        <f t="shared" si="2"/>
        <v>3.7763002328574701E-3</v>
      </c>
      <c r="K9">
        <f t="shared" si="3"/>
        <v>-0.58729076385498002</v>
      </c>
      <c r="L9">
        <f t="shared" si="4"/>
        <v>7.8071318566799199E-3</v>
      </c>
      <c r="M9">
        <f t="shared" si="5"/>
        <v>0.38755592703819303</v>
      </c>
    </row>
    <row r="10" spans="1:13" x14ac:dyDescent="0.25">
      <c r="A10">
        <v>-0.28817486763000499</v>
      </c>
      <c r="B10">
        <v>0.54026973247528098</v>
      </c>
      <c r="C10">
        <v>0.61245459318161</v>
      </c>
      <c r="D10">
        <v>-8.0319754779338795E-2</v>
      </c>
      <c r="E10">
        <v>-4.2902048677205998E-2</v>
      </c>
      <c r="F10">
        <v>-8.6323916912078901E-4</v>
      </c>
      <c r="H10">
        <f t="shared" si="0"/>
        <v>-8.6323916912078901E-4</v>
      </c>
      <c r="I10">
        <f t="shared" si="1"/>
        <v>4.2902048677205998E-2</v>
      </c>
      <c r="J10">
        <f t="shared" si="2"/>
        <v>-8.0319754779338795E-2</v>
      </c>
      <c r="K10">
        <f t="shared" si="3"/>
        <v>0.61245459318161</v>
      </c>
      <c r="L10">
        <f t="shared" si="4"/>
        <v>-0.54026973247528098</v>
      </c>
      <c r="M10">
        <f t="shared" si="5"/>
        <v>-0.28817486763000499</v>
      </c>
    </row>
    <row r="11" spans="1:13" x14ac:dyDescent="0.25">
      <c r="A11">
        <v>-0.22529536485672</v>
      </c>
      <c r="B11">
        <v>0.42717015743255599</v>
      </c>
      <c r="C11">
        <v>0.443310797214508</v>
      </c>
      <c r="D11">
        <v>-8.0293677747249603E-2</v>
      </c>
      <c r="E11">
        <v>-4.2666438966989503E-2</v>
      </c>
      <c r="F11">
        <v>-8.0120982602238698E-4</v>
      </c>
      <c r="H11">
        <f t="shared" si="0"/>
        <v>-8.0120982602238698E-4</v>
      </c>
      <c r="I11">
        <f t="shared" si="1"/>
        <v>4.2666438966989503E-2</v>
      </c>
      <c r="J11">
        <f t="shared" si="2"/>
        <v>-8.0293677747249603E-2</v>
      </c>
      <c r="K11">
        <f t="shared" si="3"/>
        <v>0.443310797214508</v>
      </c>
      <c r="L11">
        <f t="shared" si="4"/>
        <v>-0.42717015743255599</v>
      </c>
      <c r="M11">
        <f t="shared" si="5"/>
        <v>-0.22529536485672</v>
      </c>
    </row>
    <row r="12" spans="1:13" x14ac:dyDescent="0.25">
      <c r="A12">
        <v>-0.30630308389663702</v>
      </c>
      <c r="B12">
        <v>0.55125319957733199</v>
      </c>
      <c r="C12">
        <v>0.41918036341667197</v>
      </c>
      <c r="D12">
        <v>-0.13737398386001601</v>
      </c>
      <c r="E12">
        <v>-7.7956624329090105E-2</v>
      </c>
      <c r="F12">
        <v>-5.5334065109491301E-5</v>
      </c>
      <c r="H12">
        <f t="shared" si="0"/>
        <v>-5.5334065109491301E-5</v>
      </c>
      <c r="I12">
        <f t="shared" si="1"/>
        <v>7.7956624329090105E-2</v>
      </c>
      <c r="J12">
        <f t="shared" si="2"/>
        <v>-0.13737398386001601</v>
      </c>
      <c r="K12">
        <f t="shared" si="3"/>
        <v>0.41918036341667197</v>
      </c>
      <c r="L12">
        <f t="shared" si="4"/>
        <v>-0.55125319957733199</v>
      </c>
      <c r="M12">
        <f t="shared" si="5"/>
        <v>-0.30630308389663702</v>
      </c>
    </row>
    <row r="13" spans="1:13" x14ac:dyDescent="0.25">
      <c r="A13">
        <v>-0.115060687065125</v>
      </c>
      <c r="B13">
        <v>0.21448078751564001</v>
      </c>
      <c r="C13">
        <v>0.267098218202591</v>
      </c>
      <c r="D13">
        <v>-6.16564750671387E-2</v>
      </c>
      <c r="E13">
        <v>-3.4424368292093298E-2</v>
      </c>
      <c r="F13">
        <v>-9.6024014055728899E-5</v>
      </c>
      <c r="H13">
        <f t="shared" si="0"/>
        <v>-9.6024014055728899E-5</v>
      </c>
      <c r="I13">
        <f t="shared" si="1"/>
        <v>3.4424368292093298E-2</v>
      </c>
      <c r="J13">
        <f t="shared" si="2"/>
        <v>-6.16564750671387E-2</v>
      </c>
      <c r="K13">
        <f t="shared" si="3"/>
        <v>0.267098218202591</v>
      </c>
      <c r="L13">
        <f t="shared" si="4"/>
        <v>-0.21448078751564001</v>
      </c>
      <c r="M13">
        <f t="shared" si="5"/>
        <v>-0.115060687065125</v>
      </c>
    </row>
    <row r="14" spans="1:13" x14ac:dyDescent="0.25">
      <c r="A14">
        <v>-0.185297966003418</v>
      </c>
      <c r="B14">
        <v>0.33880779147148099</v>
      </c>
      <c r="C14">
        <v>1.67829748243093E-2</v>
      </c>
      <c r="D14">
        <v>-6.73996657133102E-2</v>
      </c>
      <c r="E14">
        <v>-3.7644270807504703E-2</v>
      </c>
      <c r="F14">
        <v>-3.7108035758137698E-4</v>
      </c>
      <c r="H14">
        <f t="shared" si="0"/>
        <v>-3.7108035758137698E-4</v>
      </c>
      <c r="I14">
        <f t="shared" si="1"/>
        <v>3.7644270807504703E-2</v>
      </c>
      <c r="J14">
        <f t="shared" si="2"/>
        <v>-6.73996657133102E-2</v>
      </c>
      <c r="K14">
        <f t="shared" si="3"/>
        <v>1.67829748243093E-2</v>
      </c>
      <c r="L14">
        <f t="shared" si="4"/>
        <v>-0.33880779147148099</v>
      </c>
      <c r="M14">
        <f t="shared" si="5"/>
        <v>-0.185297966003418</v>
      </c>
    </row>
    <row r="15" spans="1:13" x14ac:dyDescent="0.25">
      <c r="A15">
        <v>-0.34651768207549999</v>
      </c>
      <c r="B15">
        <v>0.63574087619781505</v>
      </c>
      <c r="C15">
        <v>-2.9671346768736801E-2</v>
      </c>
      <c r="D15">
        <v>-0.12678831815719599</v>
      </c>
      <c r="E15">
        <v>-7.0613205432891804E-2</v>
      </c>
      <c r="F15">
        <v>-1.02429185062647E-3</v>
      </c>
      <c r="H15">
        <f t="shared" si="0"/>
        <v>-1.02429185062647E-3</v>
      </c>
      <c r="I15">
        <f t="shared" si="1"/>
        <v>7.0613205432891804E-2</v>
      </c>
      <c r="J15">
        <f t="shared" si="2"/>
        <v>-0.12678831815719599</v>
      </c>
      <c r="K15">
        <f t="shared" si="3"/>
        <v>-2.9671346768736801E-2</v>
      </c>
      <c r="L15">
        <f t="shared" si="4"/>
        <v>-0.63574087619781505</v>
      </c>
      <c r="M15">
        <f t="shared" si="5"/>
        <v>-0.34651768207549999</v>
      </c>
    </row>
    <row r="16" spans="1:13" x14ac:dyDescent="0.25">
      <c r="A16">
        <v>-0.17043319344520599</v>
      </c>
      <c r="B16">
        <v>0.31546109914779702</v>
      </c>
      <c r="C16">
        <v>-7.4065491557121305E-2</v>
      </c>
      <c r="D16">
        <v>-8.5028916597366305E-2</v>
      </c>
      <c r="E16">
        <v>-4.7145899385213901E-2</v>
      </c>
      <c r="F16">
        <v>-6.0879066586494402E-4</v>
      </c>
      <c r="H16">
        <f t="shared" si="0"/>
        <v>-6.0879066586494402E-4</v>
      </c>
      <c r="I16">
        <f t="shared" si="1"/>
        <v>4.7145899385213901E-2</v>
      </c>
      <c r="J16">
        <f t="shared" si="2"/>
        <v>-8.5028916597366305E-2</v>
      </c>
      <c r="K16">
        <f t="shared" si="3"/>
        <v>-7.4065491557121305E-2</v>
      </c>
      <c r="L16">
        <f t="shared" si="4"/>
        <v>-0.31546109914779702</v>
      </c>
      <c r="M16">
        <f t="shared" si="5"/>
        <v>-0.17043319344520599</v>
      </c>
    </row>
    <row r="17" spans="1:13" x14ac:dyDescent="0.25">
      <c r="A17">
        <v>-0.108248926699162</v>
      </c>
      <c r="B17">
        <v>0.19738522171974199</v>
      </c>
      <c r="C17">
        <v>-6.3505612313747406E-2</v>
      </c>
      <c r="D17">
        <v>-5.8571800589561497E-2</v>
      </c>
      <c r="E17">
        <v>-3.2897148281335803E-2</v>
      </c>
      <c r="F17">
        <v>3.8368394598364803E-5</v>
      </c>
      <c r="H17">
        <f t="shared" si="0"/>
        <v>3.8368394598364803E-5</v>
      </c>
      <c r="I17">
        <f t="shared" si="1"/>
        <v>3.2897148281335803E-2</v>
      </c>
      <c r="J17">
        <f t="shared" si="2"/>
        <v>-5.8571800589561497E-2</v>
      </c>
      <c r="K17">
        <f t="shared" si="3"/>
        <v>-6.3505612313747406E-2</v>
      </c>
      <c r="L17">
        <f t="shared" si="4"/>
        <v>-0.19738522171974199</v>
      </c>
      <c r="M17">
        <f t="shared" si="5"/>
        <v>-0.108248926699162</v>
      </c>
    </row>
    <row r="18" spans="1:13" x14ac:dyDescent="0.2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  <row r="19" spans="1:13" x14ac:dyDescent="0.25"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>
        <f t="shared" si="5"/>
        <v>0</v>
      </c>
    </row>
    <row r="20" spans="1:13" x14ac:dyDescent="0.25"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4"/>
        <v>0</v>
      </c>
      <c r="M20">
        <f t="shared" si="5"/>
        <v>0</v>
      </c>
    </row>
    <row r="21" spans="1:13" x14ac:dyDescent="0.25"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>
        <f t="shared" si="5"/>
        <v>0</v>
      </c>
    </row>
    <row r="22" spans="1:13" x14ac:dyDescent="0.25"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0</v>
      </c>
      <c r="M22">
        <f t="shared" si="5"/>
        <v>0</v>
      </c>
    </row>
    <row r="23" spans="1:13" x14ac:dyDescent="0.25"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4"/>
        <v>0</v>
      </c>
      <c r="M23">
        <f t="shared" si="5"/>
        <v>0</v>
      </c>
    </row>
    <row r="24" spans="1:13" x14ac:dyDescent="0.25"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4"/>
        <v>0</v>
      </c>
      <c r="M24">
        <f t="shared" si="5"/>
        <v>0</v>
      </c>
    </row>
    <row r="25" spans="1:13" x14ac:dyDescent="0.25"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>
        <f t="shared" si="5"/>
        <v>0</v>
      </c>
    </row>
    <row r="26" spans="1:13" x14ac:dyDescent="0.25"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>
        <f t="shared" si="5"/>
        <v>0</v>
      </c>
    </row>
    <row r="27" spans="1:13" x14ac:dyDescent="0.25"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4"/>
        <v>0</v>
      </c>
      <c r="M27">
        <f t="shared" si="5"/>
        <v>0</v>
      </c>
    </row>
    <row r="28" spans="1:13" x14ac:dyDescent="0.25"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0</v>
      </c>
      <c r="M28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690C-8097-4FB5-A9E3-5EAFC6B1E284}">
  <dimension ref="J2:W26"/>
  <sheetViews>
    <sheetView workbookViewId="0">
      <selection activeCell="M19" sqref="M19:W26"/>
    </sheetView>
  </sheetViews>
  <sheetFormatPr defaultRowHeight="15" x14ac:dyDescent="0.25"/>
  <sheetData>
    <row r="2" spans="10:20" x14ac:dyDescent="0.25">
      <c r="J2" t="s">
        <v>32</v>
      </c>
      <c r="K2">
        <v>2.6342464843764901E-4</v>
      </c>
      <c r="L2">
        <v>-3.2978262752294499E-2</v>
      </c>
      <c r="M2">
        <v>5.6162860710173802E-4</v>
      </c>
      <c r="N2">
        <v>0.185834720730782</v>
      </c>
      <c r="O2">
        <v>1.13257020711899E-3</v>
      </c>
      <c r="P2">
        <v>0.19288232922553999</v>
      </c>
      <c r="Q2">
        <v>1.4</v>
      </c>
      <c r="R2">
        <v>0</v>
      </c>
      <c r="S2">
        <v>0</v>
      </c>
      <c r="T2" t="s">
        <v>33</v>
      </c>
    </row>
    <row r="3" spans="10:20" x14ac:dyDescent="0.25">
      <c r="K3">
        <v>-4.3474312406033299E-4</v>
      </c>
      <c r="L3">
        <v>-6.2425632029771798E-2</v>
      </c>
      <c r="M3">
        <v>2.5845002382993698E-3</v>
      </c>
      <c r="N3">
        <v>0.25303724408149703</v>
      </c>
      <c r="O3">
        <v>1.07369087636471E-2</v>
      </c>
      <c r="P3">
        <v>0.27653545141220098</v>
      </c>
      <c r="Q3">
        <v>0</v>
      </c>
      <c r="R3">
        <v>0</v>
      </c>
      <c r="S3">
        <v>0</v>
      </c>
      <c r="T3" t="s">
        <v>33</v>
      </c>
    </row>
    <row r="4" spans="10:20" x14ac:dyDescent="0.25">
      <c r="K4">
        <v>5.3234044462442398E-3</v>
      </c>
      <c r="L4">
        <v>-0.12275674194097499</v>
      </c>
      <c r="M4">
        <v>-8.3989212289452605E-3</v>
      </c>
      <c r="N4">
        <v>0.26806160807609603</v>
      </c>
      <c r="O4">
        <v>-2.4467468261718799E-2</v>
      </c>
      <c r="P4">
        <v>0.52633810043335005</v>
      </c>
      <c r="Q4">
        <v>1.4</v>
      </c>
      <c r="R4">
        <v>0</v>
      </c>
      <c r="S4">
        <v>0</v>
      </c>
      <c r="T4" t="s">
        <v>33</v>
      </c>
    </row>
    <row r="5" spans="10:20" x14ac:dyDescent="0.25">
      <c r="K5">
        <v>6.7002582363784302E-4</v>
      </c>
      <c r="L5">
        <v>-6.6750191152095795E-2</v>
      </c>
      <c r="M5">
        <v>1.6002767952158999E-3</v>
      </c>
      <c r="N5">
        <v>-3.97013984620571E-2</v>
      </c>
      <c r="O5">
        <v>7.3561742901802098E-3</v>
      </c>
      <c r="P5">
        <v>0.423814177513123</v>
      </c>
      <c r="Q5">
        <v>1.4</v>
      </c>
      <c r="R5">
        <v>0</v>
      </c>
      <c r="S5">
        <v>0</v>
      </c>
      <c r="T5" t="s">
        <v>33</v>
      </c>
    </row>
    <row r="6" spans="10:20" x14ac:dyDescent="0.25">
      <c r="K6">
        <v>7.4092089198529699E-4</v>
      </c>
      <c r="L6">
        <v>-0.14775538444519001</v>
      </c>
      <c r="M6">
        <v>3.4220633096993E-3</v>
      </c>
      <c r="N6">
        <v>-0.161362335085869</v>
      </c>
      <c r="O6">
        <v>2.0262047648429898E-2</v>
      </c>
      <c r="P6">
        <v>0.82944488525390603</v>
      </c>
      <c r="Q6">
        <v>0</v>
      </c>
      <c r="R6">
        <v>0</v>
      </c>
      <c r="S6">
        <v>0</v>
      </c>
      <c r="T6" t="s">
        <v>33</v>
      </c>
    </row>
    <row r="7" spans="10:20" x14ac:dyDescent="0.25">
      <c r="K7">
        <v>6.6551081836223602E-3</v>
      </c>
      <c r="L7">
        <v>-0.148307904601097</v>
      </c>
      <c r="M7">
        <v>-1.0527462000027299E-3</v>
      </c>
      <c r="N7">
        <v>-0.444706320762634</v>
      </c>
      <c r="O7">
        <v>-2.19946205615997E-2</v>
      </c>
      <c r="P7">
        <v>0.489793181419373</v>
      </c>
      <c r="Q7">
        <v>1.4</v>
      </c>
      <c r="R7">
        <v>0</v>
      </c>
      <c r="S7">
        <v>0</v>
      </c>
      <c r="T7" t="s">
        <v>33</v>
      </c>
    </row>
    <row r="8" spans="10:20" x14ac:dyDescent="0.25">
      <c r="K8">
        <v>8.7637116666883198E-4</v>
      </c>
      <c r="L8">
        <v>-0.164488449692726</v>
      </c>
      <c r="M8">
        <v>3.7763002328574701E-3</v>
      </c>
      <c r="N8">
        <v>-0.58729076385498002</v>
      </c>
      <c r="O8">
        <v>7.8071318566799199E-3</v>
      </c>
      <c r="P8">
        <v>0.38755592703819303</v>
      </c>
      <c r="Q8">
        <v>0</v>
      </c>
      <c r="R8">
        <v>0</v>
      </c>
      <c r="S8">
        <v>0</v>
      </c>
      <c r="T8" t="s">
        <v>33</v>
      </c>
    </row>
    <row r="9" spans="10:20" x14ac:dyDescent="0.25">
      <c r="K9">
        <v>-8.6323916912078901E-4</v>
      </c>
      <c r="L9">
        <v>4.2902048677205998E-2</v>
      </c>
      <c r="M9">
        <v>-8.0319754779338795E-2</v>
      </c>
      <c r="N9">
        <v>0.61245459318161</v>
      </c>
      <c r="O9">
        <v>-0.54026973247528098</v>
      </c>
      <c r="P9">
        <v>-0.28817486763000499</v>
      </c>
      <c r="Q9">
        <v>0</v>
      </c>
      <c r="R9">
        <v>0</v>
      </c>
      <c r="S9">
        <v>0</v>
      </c>
      <c r="T9" t="s">
        <v>33</v>
      </c>
    </row>
    <row r="10" spans="10:20" x14ac:dyDescent="0.25">
      <c r="K10">
        <v>-8.0120982602238698E-4</v>
      </c>
      <c r="L10">
        <v>4.2666438966989503E-2</v>
      </c>
      <c r="M10">
        <v>-8.0293677747249603E-2</v>
      </c>
      <c r="N10">
        <v>0.443310797214508</v>
      </c>
      <c r="O10">
        <v>-0.42717015743255599</v>
      </c>
      <c r="P10">
        <v>-0.22529536485672</v>
      </c>
      <c r="Q10">
        <v>0</v>
      </c>
      <c r="R10">
        <v>0</v>
      </c>
      <c r="S10">
        <v>0</v>
      </c>
      <c r="T10" t="s">
        <v>33</v>
      </c>
    </row>
    <row r="11" spans="10:20" x14ac:dyDescent="0.25">
      <c r="K11">
        <v>-5.5334065109491301E-5</v>
      </c>
      <c r="L11">
        <v>7.7956624329090105E-2</v>
      </c>
      <c r="M11">
        <v>-0.13737398386001601</v>
      </c>
      <c r="N11">
        <v>0.41918036341667197</v>
      </c>
      <c r="O11">
        <v>-0.55125319957733199</v>
      </c>
      <c r="P11">
        <v>-0.30630308389663702</v>
      </c>
      <c r="Q11">
        <v>1.4</v>
      </c>
      <c r="R11">
        <v>0</v>
      </c>
      <c r="S11">
        <v>0</v>
      </c>
      <c r="T11" t="s">
        <v>33</v>
      </c>
    </row>
    <row r="12" spans="10:20" x14ac:dyDescent="0.25">
      <c r="K12">
        <v>-9.6024014055728899E-5</v>
      </c>
      <c r="L12">
        <v>3.4424368292093298E-2</v>
      </c>
      <c r="M12">
        <v>-6.16564750671387E-2</v>
      </c>
      <c r="N12">
        <v>0.267098218202591</v>
      </c>
      <c r="O12">
        <v>-0.21448078751564001</v>
      </c>
      <c r="P12">
        <v>-0.115060687065125</v>
      </c>
      <c r="Q12">
        <v>1.4</v>
      </c>
      <c r="R12">
        <v>0</v>
      </c>
      <c r="S12">
        <v>0</v>
      </c>
      <c r="T12" t="s">
        <v>33</v>
      </c>
    </row>
    <row r="13" spans="10:20" x14ac:dyDescent="0.25">
      <c r="K13">
        <v>-3.7108035758137698E-4</v>
      </c>
      <c r="L13">
        <v>3.7644270807504703E-2</v>
      </c>
      <c r="M13">
        <v>-6.73996657133102E-2</v>
      </c>
      <c r="N13">
        <v>1.67829748243093E-2</v>
      </c>
      <c r="O13">
        <v>-0.33880779147148099</v>
      </c>
      <c r="P13">
        <v>-0.185297966003418</v>
      </c>
      <c r="Q13">
        <v>1.4</v>
      </c>
      <c r="R13">
        <v>0</v>
      </c>
      <c r="S13">
        <v>0</v>
      </c>
      <c r="T13" t="s">
        <v>33</v>
      </c>
    </row>
    <row r="14" spans="10:20" x14ac:dyDescent="0.25">
      <c r="K14">
        <v>-1.02429185062647E-3</v>
      </c>
      <c r="L14">
        <v>7.0613205432891804E-2</v>
      </c>
      <c r="M14">
        <v>-0.12678831815719599</v>
      </c>
      <c r="N14">
        <v>-2.9671346768736801E-2</v>
      </c>
      <c r="O14">
        <v>-0.63574087619781505</v>
      </c>
      <c r="P14">
        <v>-0.34651768207549999</v>
      </c>
      <c r="Q14">
        <v>1.4</v>
      </c>
      <c r="R14">
        <v>0</v>
      </c>
      <c r="S14">
        <v>0</v>
      </c>
      <c r="T14" t="s">
        <v>33</v>
      </c>
    </row>
    <row r="15" spans="10:20" x14ac:dyDescent="0.25">
      <c r="K15">
        <v>-6.0879066586494402E-4</v>
      </c>
      <c r="L15">
        <v>4.7145899385213901E-2</v>
      </c>
      <c r="M15">
        <v>-8.5028916597366305E-2</v>
      </c>
      <c r="N15">
        <v>-7.4065491557121305E-2</v>
      </c>
      <c r="O15">
        <v>-0.31546109914779702</v>
      </c>
      <c r="P15">
        <v>-0.17043319344520599</v>
      </c>
      <c r="Q15">
        <v>0</v>
      </c>
      <c r="R15">
        <v>0</v>
      </c>
      <c r="S15">
        <v>0</v>
      </c>
      <c r="T15" t="s">
        <v>33</v>
      </c>
    </row>
    <row r="16" spans="10:20" x14ac:dyDescent="0.25">
      <c r="K16">
        <v>3.8368394598364803E-5</v>
      </c>
      <c r="L16">
        <v>3.2897148281335803E-2</v>
      </c>
      <c r="M16">
        <v>-5.8571800589561497E-2</v>
      </c>
      <c r="N16">
        <v>-6.3505612313747406E-2</v>
      </c>
      <c r="O16">
        <v>-0.19738522171974199</v>
      </c>
      <c r="P16">
        <v>-0.108248926699162</v>
      </c>
      <c r="Q16">
        <v>0</v>
      </c>
      <c r="R16">
        <v>0</v>
      </c>
      <c r="S16">
        <v>0</v>
      </c>
      <c r="T16" t="s">
        <v>34</v>
      </c>
    </row>
    <row r="19" spans="13:23" x14ac:dyDescent="0.25">
      <c r="M19" t="s">
        <v>32</v>
      </c>
      <c r="N19">
        <v>6.7002582363784302E-4</v>
      </c>
      <c r="O19">
        <v>-6.6750191152095795E-2</v>
      </c>
      <c r="P19">
        <v>1.6002767952158999E-3</v>
      </c>
      <c r="Q19">
        <v>-3.97013984620571E-2</v>
      </c>
      <c r="R19">
        <v>7.3561742901802098E-3</v>
      </c>
      <c r="S19">
        <v>0.423814177513123</v>
      </c>
      <c r="T19">
        <v>1.4</v>
      </c>
      <c r="U19">
        <v>0</v>
      </c>
      <c r="V19">
        <v>0</v>
      </c>
      <c r="W19" t="s">
        <v>33</v>
      </c>
    </row>
    <row r="20" spans="13:23" x14ac:dyDescent="0.25">
      <c r="N20">
        <v>7.4092089198529699E-4</v>
      </c>
      <c r="O20">
        <v>-0.14775538444519001</v>
      </c>
      <c r="P20">
        <v>3.4220633096993E-3</v>
      </c>
      <c r="Q20">
        <v>-0.161362335085869</v>
      </c>
      <c r="R20">
        <v>2.0262047648429898E-2</v>
      </c>
      <c r="S20">
        <v>0.82944488525390603</v>
      </c>
      <c r="T20">
        <v>0</v>
      </c>
      <c r="U20">
        <v>0</v>
      </c>
      <c r="V20">
        <v>0</v>
      </c>
      <c r="W20" t="s">
        <v>33</v>
      </c>
    </row>
    <row r="21" spans="13:23" x14ac:dyDescent="0.25">
      <c r="N21">
        <v>6.6551081836223602E-3</v>
      </c>
      <c r="O21">
        <v>-0.148307904601097</v>
      </c>
      <c r="P21">
        <v>-1.0527462000027299E-3</v>
      </c>
      <c r="Q21">
        <v>-0.444706320762634</v>
      </c>
      <c r="R21">
        <v>-2.19946205615997E-2</v>
      </c>
      <c r="S21">
        <v>0.489793181419373</v>
      </c>
      <c r="T21">
        <v>1.4</v>
      </c>
      <c r="U21">
        <v>0</v>
      </c>
      <c r="V21">
        <v>0</v>
      </c>
      <c r="W21" t="s">
        <v>33</v>
      </c>
    </row>
    <row r="22" spans="13:23" x14ac:dyDescent="0.25">
      <c r="N22">
        <v>8.7637116666883198E-4</v>
      </c>
      <c r="O22">
        <v>-0.164488449692726</v>
      </c>
      <c r="P22">
        <v>3.7763002328574701E-3</v>
      </c>
      <c r="Q22">
        <v>-0.58729076385498002</v>
      </c>
      <c r="R22">
        <v>7.8071318566799199E-3</v>
      </c>
      <c r="S22">
        <v>0.38755592703819303</v>
      </c>
      <c r="T22">
        <v>0</v>
      </c>
      <c r="U22">
        <v>0</v>
      </c>
      <c r="V22">
        <v>0</v>
      </c>
      <c r="W22" t="s">
        <v>33</v>
      </c>
    </row>
    <row r="23" spans="13:23" x14ac:dyDescent="0.25">
      <c r="N23">
        <v>-3.7108035758137698E-4</v>
      </c>
      <c r="O23">
        <v>3.7644270807504703E-2</v>
      </c>
      <c r="P23">
        <v>-6.73996657133102E-2</v>
      </c>
      <c r="Q23">
        <v>1.67829748243093E-2</v>
      </c>
      <c r="R23">
        <v>-0.33880779147148099</v>
      </c>
      <c r="S23">
        <v>-0.185297966003418</v>
      </c>
      <c r="T23">
        <v>1.4</v>
      </c>
      <c r="U23">
        <v>0</v>
      </c>
      <c r="V23">
        <v>0</v>
      </c>
      <c r="W23" t="s">
        <v>33</v>
      </c>
    </row>
    <row r="24" spans="13:23" x14ac:dyDescent="0.25">
      <c r="N24">
        <v>-1.02429185062647E-3</v>
      </c>
      <c r="O24">
        <v>7.0613205432891804E-2</v>
      </c>
      <c r="P24">
        <v>-0.12678831815719599</v>
      </c>
      <c r="Q24">
        <v>-2.9671346768736801E-2</v>
      </c>
      <c r="R24">
        <v>-0.63574087619781505</v>
      </c>
      <c r="S24">
        <v>-0.34651768207549999</v>
      </c>
      <c r="T24">
        <v>1.4</v>
      </c>
      <c r="U24">
        <v>0</v>
      </c>
      <c r="V24">
        <v>0</v>
      </c>
      <c r="W24" t="s">
        <v>33</v>
      </c>
    </row>
    <row r="25" spans="13:23" x14ac:dyDescent="0.25">
      <c r="N25">
        <v>-6.0879066586494402E-4</v>
      </c>
      <c r="O25">
        <v>4.7145899385213901E-2</v>
      </c>
      <c r="P25">
        <v>-8.5028916597366305E-2</v>
      </c>
      <c r="Q25">
        <v>-7.4065491557121305E-2</v>
      </c>
      <c r="R25">
        <v>-0.31546109914779702</v>
      </c>
      <c r="S25">
        <v>-0.17043319344520599</v>
      </c>
      <c r="T25">
        <v>0</v>
      </c>
      <c r="U25">
        <v>0</v>
      </c>
      <c r="V25">
        <v>0</v>
      </c>
      <c r="W25" t="s">
        <v>33</v>
      </c>
    </row>
    <row r="26" spans="13:23" x14ac:dyDescent="0.25">
      <c r="N26">
        <v>3.8368394598364803E-5</v>
      </c>
      <c r="O26">
        <v>3.2897148281335803E-2</v>
      </c>
      <c r="P26">
        <v>-5.8571800589561497E-2</v>
      </c>
      <c r="Q26">
        <v>-6.3505612313747406E-2</v>
      </c>
      <c r="R26">
        <v>-0.19738522171974199</v>
      </c>
      <c r="S26">
        <v>-0.108248926699162</v>
      </c>
      <c r="T26">
        <v>0</v>
      </c>
      <c r="U26">
        <v>0</v>
      </c>
      <c r="V26">
        <v>0</v>
      </c>
      <c r="W26" t="s">
        <v>34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208467-E14A-4CB9-9FC8-72DFB8E94FF2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c2b20bf0-79f3-4559-a8ab-bcb74dcd8cd8"/>
    <ds:schemaRef ds:uri="http://schemas.microsoft.com/office/infopath/2007/PartnerControls"/>
    <ds:schemaRef ds:uri="08a9f8ec-165a-4165-a8e9-ed45c2de7bcb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Proximal Validation (single)</vt:lpstr>
      <vt:lpstr>Distal Validation (single)</vt:lpstr>
      <vt:lpstr>Conversion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2025-09-25T19:44:46Z</cp:lastPrinted>
  <dcterms:created xsi:type="dcterms:W3CDTF">2025-08-20T18:12:27Z</dcterms:created>
  <dcterms:modified xsi:type="dcterms:W3CDTF">2025-11-06T01:16:51Z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