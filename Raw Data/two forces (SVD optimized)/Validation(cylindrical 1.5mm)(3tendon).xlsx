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two forces (SVD optimized)/"/>
    </mc:Choice>
  </mc:AlternateContent>
  <xr:revisionPtr revIDLastSave="3551" documentId="8_{DFFD6B0C-681F-42C8-B2E4-5D4B90AAE966}" xr6:coauthVersionLast="47" xr6:coauthVersionMax="47" xr10:uidLastSave="{18AD4329-776F-4A99-8092-FB00B70E91A7}"/>
  <bookViews>
    <workbookView xWindow="-120" yWindow="-120" windowWidth="29040" windowHeight="15720" activeTab="2" xr2:uid="{3D16C37F-3C74-4527-A308-796C339DFE9F}"/>
  </bookViews>
  <sheets>
    <sheet name="Proximal Validation (empirical)" sheetId="12" r:id="rId1"/>
    <sheet name="Distal Validati (empirical)" sheetId="19" r:id="rId2"/>
    <sheet name="Distal Validati (sim)" sheetId="36" r:id="rId3"/>
    <sheet name="Conversion" sheetId="4" r:id="rId4"/>
    <sheet name="Sheet2" sheetId="3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9" l="1"/>
  <c r="E3" i="19"/>
  <c r="F3" i="19"/>
  <c r="G3" i="19"/>
  <c r="H3" i="19"/>
  <c r="I3" i="19"/>
  <c r="J3" i="19"/>
  <c r="K3" i="19"/>
  <c r="L3" i="19"/>
  <c r="M3" i="19"/>
  <c r="N3" i="19"/>
  <c r="O3" i="19"/>
  <c r="D4" i="19"/>
  <c r="E4" i="19"/>
  <c r="F4" i="19"/>
  <c r="G4" i="19"/>
  <c r="H4" i="19"/>
  <c r="I4" i="19"/>
  <c r="J4" i="19"/>
  <c r="K4" i="19"/>
  <c r="L4" i="19"/>
  <c r="M4" i="19"/>
  <c r="N4" i="19"/>
  <c r="O4" i="19"/>
  <c r="D5" i="19"/>
  <c r="E5" i="19"/>
  <c r="F5" i="19"/>
  <c r="G5" i="19"/>
  <c r="H5" i="19"/>
  <c r="I5" i="19"/>
  <c r="J5" i="19"/>
  <c r="K5" i="19"/>
  <c r="L5" i="19"/>
  <c r="M5" i="19"/>
  <c r="N5" i="19"/>
  <c r="O5" i="19"/>
  <c r="D6" i="19"/>
  <c r="E6" i="19"/>
  <c r="F6" i="19"/>
  <c r="G6" i="19"/>
  <c r="H6" i="19"/>
  <c r="I6" i="19"/>
  <c r="J6" i="19"/>
  <c r="K6" i="19"/>
  <c r="L6" i="19"/>
  <c r="M6" i="19"/>
  <c r="N6" i="19"/>
  <c r="O6" i="19"/>
  <c r="D7" i="19"/>
  <c r="E7" i="19"/>
  <c r="F7" i="19"/>
  <c r="G7" i="19"/>
  <c r="H7" i="19"/>
  <c r="I7" i="19"/>
  <c r="J7" i="19"/>
  <c r="K7" i="19"/>
  <c r="L7" i="19"/>
  <c r="M7" i="19"/>
  <c r="N7" i="19"/>
  <c r="O7" i="19"/>
  <c r="D8" i="19"/>
  <c r="E8" i="19"/>
  <c r="F8" i="19"/>
  <c r="G8" i="19"/>
  <c r="H8" i="19"/>
  <c r="I8" i="19"/>
  <c r="J8" i="19"/>
  <c r="K8" i="19"/>
  <c r="L8" i="19"/>
  <c r="M8" i="19"/>
  <c r="N8" i="19"/>
  <c r="O8" i="19"/>
  <c r="D9" i="19"/>
  <c r="E9" i="19"/>
  <c r="F9" i="19"/>
  <c r="G9" i="19"/>
  <c r="H9" i="19"/>
  <c r="I9" i="19"/>
  <c r="J9" i="19"/>
  <c r="K9" i="19"/>
  <c r="L9" i="19"/>
  <c r="M9" i="19"/>
  <c r="N9" i="19"/>
  <c r="O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O17" i="36" l="1"/>
  <c r="N17" i="36"/>
  <c r="M17" i="36"/>
  <c r="L17" i="36"/>
  <c r="K17" i="36"/>
  <c r="J17" i="36"/>
  <c r="I17" i="36"/>
  <c r="H17" i="36"/>
  <c r="G17" i="36"/>
  <c r="F17" i="36"/>
  <c r="AB17" i="36" s="1"/>
  <c r="E17" i="36"/>
  <c r="AA17" i="36" s="1"/>
  <c r="D17" i="36"/>
  <c r="Z17" i="36" s="1"/>
  <c r="C17" i="36"/>
  <c r="Y17" i="36" s="1"/>
  <c r="AE17" i="36" s="1"/>
  <c r="B17" i="36"/>
  <c r="X17" i="36" s="1"/>
  <c r="A17" i="36"/>
  <c r="W17" i="36" s="1"/>
  <c r="Y16" i="36"/>
  <c r="X16" i="36"/>
  <c r="W16" i="36"/>
  <c r="O16" i="36"/>
  <c r="N16" i="36"/>
  <c r="M16" i="36"/>
  <c r="L16" i="36"/>
  <c r="K16" i="36"/>
  <c r="J16" i="36"/>
  <c r="I16" i="36"/>
  <c r="H16" i="36"/>
  <c r="G16" i="36"/>
  <c r="F16" i="36"/>
  <c r="AB16" i="36" s="1"/>
  <c r="E16" i="36"/>
  <c r="AA16" i="36" s="1"/>
  <c r="D16" i="36"/>
  <c r="Z16" i="36" s="1"/>
  <c r="C16" i="36"/>
  <c r="B16" i="36"/>
  <c r="A16" i="36"/>
  <c r="Y15" i="36"/>
  <c r="X15" i="36"/>
  <c r="W15" i="36"/>
  <c r="O15" i="36"/>
  <c r="N15" i="36"/>
  <c r="M15" i="36"/>
  <c r="L15" i="36"/>
  <c r="K15" i="36"/>
  <c r="J15" i="36"/>
  <c r="I15" i="36"/>
  <c r="H15" i="36"/>
  <c r="G15" i="36"/>
  <c r="F15" i="36"/>
  <c r="AB15" i="36" s="1"/>
  <c r="E15" i="36"/>
  <c r="AA15" i="36" s="1"/>
  <c r="D15" i="36"/>
  <c r="Z15" i="36" s="1"/>
  <c r="C15" i="36"/>
  <c r="B15" i="36"/>
  <c r="A15" i="36"/>
  <c r="Y14" i="36"/>
  <c r="X14" i="36"/>
  <c r="W14" i="36"/>
  <c r="O14" i="36"/>
  <c r="N14" i="36"/>
  <c r="M14" i="36"/>
  <c r="L14" i="36"/>
  <c r="K14" i="36"/>
  <c r="J14" i="36"/>
  <c r="I14" i="36"/>
  <c r="H14" i="36"/>
  <c r="G14" i="36"/>
  <c r="F14" i="36"/>
  <c r="AB14" i="36" s="1"/>
  <c r="E14" i="36"/>
  <c r="AA14" i="36" s="1"/>
  <c r="D14" i="36"/>
  <c r="Z14" i="36" s="1"/>
  <c r="C14" i="36"/>
  <c r="B14" i="36"/>
  <c r="A14" i="36"/>
  <c r="Y13" i="36"/>
  <c r="X13" i="36"/>
  <c r="W13" i="36"/>
  <c r="O13" i="36"/>
  <c r="N13" i="36"/>
  <c r="M13" i="36"/>
  <c r="L13" i="36"/>
  <c r="K13" i="36"/>
  <c r="J13" i="36"/>
  <c r="I13" i="36"/>
  <c r="H13" i="36"/>
  <c r="G13" i="36"/>
  <c r="F13" i="36"/>
  <c r="AB13" i="36" s="1"/>
  <c r="E13" i="36"/>
  <c r="AA13" i="36" s="1"/>
  <c r="D13" i="36"/>
  <c r="Z13" i="36" s="1"/>
  <c r="C13" i="36"/>
  <c r="B13" i="36"/>
  <c r="A13" i="36"/>
  <c r="Y12" i="36"/>
  <c r="X12" i="36"/>
  <c r="W12" i="36"/>
  <c r="O12" i="36"/>
  <c r="N12" i="36"/>
  <c r="M12" i="36"/>
  <c r="L12" i="36"/>
  <c r="K12" i="36"/>
  <c r="J12" i="36"/>
  <c r="I12" i="36"/>
  <c r="H12" i="36"/>
  <c r="G12" i="36"/>
  <c r="F12" i="36"/>
  <c r="AB12" i="36" s="1"/>
  <c r="E12" i="36"/>
  <c r="AA12" i="36" s="1"/>
  <c r="D12" i="36"/>
  <c r="Z12" i="36" s="1"/>
  <c r="C12" i="36"/>
  <c r="B12" i="36"/>
  <c r="A12" i="36"/>
  <c r="Y11" i="36"/>
  <c r="X11" i="36"/>
  <c r="W11" i="36"/>
  <c r="O11" i="36"/>
  <c r="N11" i="36"/>
  <c r="M11" i="36"/>
  <c r="L11" i="36"/>
  <c r="K11" i="36"/>
  <c r="J11" i="36"/>
  <c r="I11" i="36"/>
  <c r="H11" i="36"/>
  <c r="G11" i="36"/>
  <c r="F11" i="36"/>
  <c r="AB11" i="36" s="1"/>
  <c r="E11" i="36"/>
  <c r="AA11" i="36" s="1"/>
  <c r="D11" i="36"/>
  <c r="Z11" i="36" s="1"/>
  <c r="C11" i="36"/>
  <c r="B11" i="36"/>
  <c r="A11" i="36"/>
  <c r="Y10" i="36"/>
  <c r="X10" i="36"/>
  <c r="W10" i="36"/>
  <c r="O10" i="36"/>
  <c r="N10" i="36"/>
  <c r="M10" i="36"/>
  <c r="L10" i="36"/>
  <c r="K10" i="36"/>
  <c r="J10" i="36"/>
  <c r="I10" i="36"/>
  <c r="H10" i="36"/>
  <c r="G10" i="36"/>
  <c r="F10" i="36"/>
  <c r="AB10" i="36" s="1"/>
  <c r="E10" i="36"/>
  <c r="AA10" i="36" s="1"/>
  <c r="D10" i="36"/>
  <c r="Z10" i="36" s="1"/>
  <c r="C10" i="36"/>
  <c r="B10" i="36"/>
  <c r="A10" i="36"/>
  <c r="Y9" i="36"/>
  <c r="X9" i="36"/>
  <c r="W9" i="36"/>
  <c r="O9" i="36"/>
  <c r="N9" i="36"/>
  <c r="M9" i="36"/>
  <c r="L9" i="36"/>
  <c r="K9" i="36"/>
  <c r="J9" i="36"/>
  <c r="I9" i="36"/>
  <c r="H9" i="36"/>
  <c r="G9" i="36"/>
  <c r="F9" i="36"/>
  <c r="AB9" i="36" s="1"/>
  <c r="E9" i="36"/>
  <c r="AA9" i="36" s="1"/>
  <c r="D9" i="36"/>
  <c r="Z9" i="36" s="1"/>
  <c r="C9" i="36"/>
  <c r="B9" i="36"/>
  <c r="A9" i="36"/>
  <c r="Y8" i="36"/>
  <c r="X8" i="36"/>
  <c r="W8" i="36"/>
  <c r="O8" i="36"/>
  <c r="N8" i="36"/>
  <c r="M8" i="36"/>
  <c r="L8" i="36"/>
  <c r="K8" i="36"/>
  <c r="J8" i="36"/>
  <c r="I8" i="36"/>
  <c r="H8" i="36"/>
  <c r="G8" i="36"/>
  <c r="F8" i="36"/>
  <c r="AB8" i="36" s="1"/>
  <c r="E8" i="36"/>
  <c r="AA8" i="36" s="1"/>
  <c r="D8" i="36"/>
  <c r="Z8" i="36" s="1"/>
  <c r="C8" i="36"/>
  <c r="B8" i="36"/>
  <c r="A8" i="36"/>
  <c r="AB7" i="36"/>
  <c r="AA7" i="36"/>
  <c r="Z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Y7" i="36" s="1"/>
  <c r="B7" i="36"/>
  <c r="X7" i="36" s="1"/>
  <c r="A7" i="36"/>
  <c r="W7" i="36" s="1"/>
  <c r="AB6" i="36"/>
  <c r="AA6" i="36"/>
  <c r="Z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Y6" i="36" s="1"/>
  <c r="AE6" i="36" s="1"/>
  <c r="B6" i="36"/>
  <c r="X6" i="36" s="1"/>
  <c r="AD6" i="36" s="1"/>
  <c r="A6" i="36"/>
  <c r="W6" i="36" s="1"/>
  <c r="AC6" i="36" s="1"/>
  <c r="AB5" i="36"/>
  <c r="AA5" i="36"/>
  <c r="Z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Y5" i="36" s="1"/>
  <c r="B5" i="36"/>
  <c r="X5" i="36" s="1"/>
  <c r="A5" i="36"/>
  <c r="W5" i="36" s="1"/>
  <c r="AA4" i="36"/>
  <c r="Z4" i="36"/>
  <c r="Y4" i="36"/>
  <c r="W4" i="36"/>
  <c r="AC4" i="36" s="1"/>
  <c r="O4" i="36"/>
  <c r="N4" i="36"/>
  <c r="M4" i="36"/>
  <c r="L4" i="36"/>
  <c r="K4" i="36"/>
  <c r="J4" i="36"/>
  <c r="I4" i="36"/>
  <c r="H4" i="36"/>
  <c r="G4" i="36"/>
  <c r="F4" i="36"/>
  <c r="AB4" i="36" s="1"/>
  <c r="E4" i="36"/>
  <c r="D4" i="36"/>
  <c r="C4" i="36"/>
  <c r="B4" i="36"/>
  <c r="X4" i="36" s="1"/>
  <c r="AD4" i="36" s="1"/>
  <c r="A4" i="36"/>
  <c r="AA3" i="36"/>
  <c r="Z3" i="36"/>
  <c r="AJ4" i="36" s="1" a="1"/>
  <c r="AJ4" i="36" s="1"/>
  <c r="Y3" i="36"/>
  <c r="X3" i="36"/>
  <c r="W3" i="36"/>
  <c r="O3" i="36"/>
  <c r="N3" i="36"/>
  <c r="M3" i="36"/>
  <c r="L3" i="36"/>
  <c r="K3" i="36"/>
  <c r="J3" i="36"/>
  <c r="I3" i="36"/>
  <c r="H3" i="36"/>
  <c r="G3" i="36"/>
  <c r="F3" i="36"/>
  <c r="AB3" i="36" s="1"/>
  <c r="E3" i="36"/>
  <c r="D3" i="36"/>
  <c r="C3" i="36"/>
  <c r="B3" i="36"/>
  <c r="A3" i="36"/>
  <c r="A3" i="19"/>
  <c r="B3" i="19"/>
  <c r="C3" i="19"/>
  <c r="A4" i="19"/>
  <c r="B4" i="19"/>
  <c r="C4" i="19"/>
  <c r="A5" i="19"/>
  <c r="B5" i="19"/>
  <c r="C5" i="19"/>
  <c r="A6" i="19"/>
  <c r="B6" i="19"/>
  <c r="C6" i="19"/>
  <c r="A7" i="19"/>
  <c r="B7" i="19"/>
  <c r="C7" i="19"/>
  <c r="A8" i="19"/>
  <c r="B8" i="19"/>
  <c r="C8" i="19"/>
  <c r="A9" i="19"/>
  <c r="B9" i="19"/>
  <c r="C9" i="19"/>
  <c r="A10" i="19"/>
  <c r="B10" i="19"/>
  <c r="C10" i="19"/>
  <c r="A11" i="19"/>
  <c r="W11" i="19" s="1"/>
  <c r="B11" i="19"/>
  <c r="C11" i="19"/>
  <c r="Y11" i="19" s="1"/>
  <c r="Z11" i="19"/>
  <c r="AA11" i="19"/>
  <c r="A12" i="19"/>
  <c r="B12" i="19"/>
  <c r="C12" i="19"/>
  <c r="AB12" i="19"/>
  <c r="A13" i="19"/>
  <c r="B13" i="19"/>
  <c r="C13" i="19"/>
  <c r="Z13" i="19"/>
  <c r="AA13" i="19"/>
  <c r="AB13" i="19"/>
  <c r="A14" i="19"/>
  <c r="W14" i="19" s="1"/>
  <c r="B14" i="19"/>
  <c r="X14" i="19" s="1"/>
  <c r="C14" i="19"/>
  <c r="Y14" i="19" s="1"/>
  <c r="Z14" i="19"/>
  <c r="A15" i="19"/>
  <c r="W15" i="19" s="1"/>
  <c r="B15" i="19"/>
  <c r="C15" i="19"/>
  <c r="Y15" i="19" s="1"/>
  <c r="AA15" i="19"/>
  <c r="A16" i="19"/>
  <c r="B16" i="19"/>
  <c r="X16" i="19" s="1"/>
  <c r="C16" i="19"/>
  <c r="A17" i="19"/>
  <c r="B17" i="19"/>
  <c r="C17" i="19"/>
  <c r="Z17" i="19"/>
  <c r="AA17" i="19"/>
  <c r="AB17" i="19"/>
  <c r="V5" i="12"/>
  <c r="W5" i="12"/>
  <c r="X5" i="12"/>
  <c r="Y5" i="12"/>
  <c r="Z5" i="12"/>
  <c r="AA5" i="12"/>
  <c r="X11" i="19"/>
  <c r="AB11" i="19"/>
  <c r="W12" i="19"/>
  <c r="X12" i="19"/>
  <c r="Y12" i="19"/>
  <c r="AA12" i="19"/>
  <c r="Y13" i="19"/>
  <c r="AA14" i="19"/>
  <c r="AB14" i="19"/>
  <c r="X15" i="19"/>
  <c r="Z15" i="19"/>
  <c r="AB15" i="19"/>
  <c r="Y16" i="19"/>
  <c r="Z16" i="19"/>
  <c r="AA16" i="19"/>
  <c r="AB16" i="19"/>
  <c r="W17" i="19"/>
  <c r="X17" i="19"/>
  <c r="Y17" i="19"/>
  <c r="Z12" i="19"/>
  <c r="W16" i="19"/>
  <c r="W13" i="19"/>
  <c r="X13" i="19"/>
  <c r="V11" i="12"/>
  <c r="W11" i="12"/>
  <c r="X11" i="12"/>
  <c r="Y11" i="12"/>
  <c r="Z11" i="12"/>
  <c r="AA11" i="12"/>
  <c r="V12" i="12"/>
  <c r="W12" i="12"/>
  <c r="X12" i="12"/>
  <c r="Y12" i="12"/>
  <c r="Z12" i="12"/>
  <c r="AA12" i="12"/>
  <c r="V13" i="12"/>
  <c r="W13" i="12"/>
  <c r="X13" i="12"/>
  <c r="Y13" i="12"/>
  <c r="Z13" i="12"/>
  <c r="AA13" i="12"/>
  <c r="V14" i="12"/>
  <c r="W14" i="12"/>
  <c r="X14" i="12"/>
  <c r="Y14" i="12"/>
  <c r="Z14" i="12"/>
  <c r="AA14" i="12"/>
  <c r="V15" i="12"/>
  <c r="W15" i="12"/>
  <c r="X15" i="12"/>
  <c r="Y15" i="12"/>
  <c r="Z15" i="12"/>
  <c r="AA15" i="12"/>
  <c r="V16" i="12"/>
  <c r="W16" i="12"/>
  <c r="X16" i="12"/>
  <c r="Y16" i="12"/>
  <c r="Z16" i="12"/>
  <c r="AA16" i="12"/>
  <c r="V17" i="12"/>
  <c r="W17" i="12"/>
  <c r="X17" i="12"/>
  <c r="Y17" i="12"/>
  <c r="Z17" i="12"/>
  <c r="AA17" i="12"/>
  <c r="AK4" i="36" l="1" a="1"/>
  <c r="AK4" i="36" s="1"/>
  <c r="AG4" i="36" a="1"/>
  <c r="AG4" i="36" s="1"/>
  <c r="AG7" i="36" s="1"/>
  <c r="AC5" i="36"/>
  <c r="AC7" i="36"/>
  <c r="AH4" i="36" a="1"/>
  <c r="AH4" i="36" s="1"/>
  <c r="AH7" i="36" s="1"/>
  <c r="AD5" i="36"/>
  <c r="AD7" i="36"/>
  <c r="AL4" i="36" a="1"/>
  <c r="AL4" i="36" s="1"/>
  <c r="AE5" i="36"/>
  <c r="AE7" i="36"/>
  <c r="AC9" i="36"/>
  <c r="AC11" i="36"/>
  <c r="AC13" i="36"/>
  <c r="AC15" i="36"/>
  <c r="AD9" i="36"/>
  <c r="AD11" i="36"/>
  <c r="AD13" i="36"/>
  <c r="AD15" i="36"/>
  <c r="AE9" i="36"/>
  <c r="AE11" i="36"/>
  <c r="AE13" i="36"/>
  <c r="AE15" i="36"/>
  <c r="AE3" i="36"/>
  <c r="AE4" i="36"/>
  <c r="AC8" i="36"/>
  <c r="AC10" i="36"/>
  <c r="AC12" i="36"/>
  <c r="AC14" i="36"/>
  <c r="AC16" i="36"/>
  <c r="AD14" i="36"/>
  <c r="AD16" i="36"/>
  <c r="AD8" i="36"/>
  <c r="AD10" i="36"/>
  <c r="AD12" i="36"/>
  <c r="AE8" i="36"/>
  <c r="AE10" i="36"/>
  <c r="AE12" i="36"/>
  <c r="AE14" i="36"/>
  <c r="AE16" i="36"/>
  <c r="AC17" i="36"/>
  <c r="AD17" i="36"/>
  <c r="AI4" i="36" a="1"/>
  <c r="AI4" i="36" s="1"/>
  <c r="AD3" i="36"/>
  <c r="AC3" i="36"/>
  <c r="AC17" i="19"/>
  <c r="AE16" i="19"/>
  <c r="AD15" i="19"/>
  <c r="AD16" i="19"/>
  <c r="AE11" i="19"/>
  <c r="AE15" i="19"/>
  <c r="AD14" i="19"/>
  <c r="AC13" i="19"/>
  <c r="AE14" i="19"/>
  <c r="AC14" i="19"/>
  <c r="AE17" i="19"/>
  <c r="AE13" i="19"/>
  <c r="AD17" i="19"/>
  <c r="AD13" i="19"/>
  <c r="AD12" i="19"/>
  <c r="AC16" i="19"/>
  <c r="AC12" i="19"/>
  <c r="AD11" i="19"/>
  <c r="AE12" i="19"/>
  <c r="AC15" i="19"/>
  <c r="AC11" i="19"/>
  <c r="V3" i="12"/>
  <c r="V4" i="12"/>
  <c r="V6" i="12"/>
  <c r="V7" i="12"/>
  <c r="V8" i="12"/>
  <c r="V9" i="12"/>
  <c r="V10" i="12"/>
  <c r="AI7" i="36" l="1"/>
  <c r="V22" i="12"/>
  <c r="AA10" i="12"/>
  <c r="Z10" i="12"/>
  <c r="Y10" i="12"/>
  <c r="X10" i="12"/>
  <c r="W10" i="12"/>
  <c r="AA9" i="12"/>
  <c r="Z9" i="12"/>
  <c r="Y9" i="12"/>
  <c r="X9" i="12"/>
  <c r="W9" i="12"/>
  <c r="AA8" i="12"/>
  <c r="Z8" i="12"/>
  <c r="Y8" i="12"/>
  <c r="X8" i="12"/>
  <c r="W8" i="12"/>
  <c r="AA7" i="12"/>
  <c r="Z7" i="12"/>
  <c r="Y7" i="12"/>
  <c r="X7" i="12"/>
  <c r="W7" i="12"/>
  <c r="AA6" i="12"/>
  <c r="Z6" i="12"/>
  <c r="Y6" i="12"/>
  <c r="X6" i="12"/>
  <c r="W6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B10" i="19" l="1"/>
  <c r="AA10" i="19"/>
  <c r="Z10" i="19"/>
  <c r="Y10" i="19"/>
  <c r="X10" i="19"/>
  <c r="AB9" i="19"/>
  <c r="AA9" i="19"/>
  <c r="Z9" i="19"/>
  <c r="Y9" i="19"/>
  <c r="X9" i="19"/>
  <c r="AB8" i="19"/>
  <c r="AA8" i="19"/>
  <c r="Z8" i="19"/>
  <c r="Y8" i="19"/>
  <c r="X8" i="19"/>
  <c r="AB7" i="19"/>
  <c r="AA7" i="19"/>
  <c r="Z7" i="19"/>
  <c r="Y7" i="19"/>
  <c r="X7" i="19"/>
  <c r="AB6" i="19"/>
  <c r="AA6" i="19"/>
  <c r="Z6" i="19"/>
  <c r="Y6" i="19"/>
  <c r="X6" i="19"/>
  <c r="AB5" i="19"/>
  <c r="AA5" i="19"/>
  <c r="Z5" i="19"/>
  <c r="Y5" i="19"/>
  <c r="X5" i="19"/>
  <c r="AB4" i="19"/>
  <c r="AA4" i="19"/>
  <c r="Z4" i="19"/>
  <c r="Y4" i="19"/>
  <c r="X4" i="19"/>
  <c r="AB3" i="19"/>
  <c r="AA3" i="19"/>
  <c r="Z3" i="19"/>
  <c r="AJ4" i="19" s="1" a="1"/>
  <c r="AJ4" i="19" s="1"/>
  <c r="Y3" i="19"/>
  <c r="X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I4" i="19" l="1" a="1"/>
  <c r="AI4" i="19" s="1"/>
  <c r="AL4" i="19" a="1"/>
  <c r="AL4" i="19" s="1"/>
  <c r="AH4" i="19" a="1"/>
  <c r="AH4" i="19" s="1"/>
  <c r="AK4" i="19" a="1"/>
  <c r="AK4" i="19" s="1"/>
  <c r="W8" i="19"/>
  <c r="AC8" i="19" s="1"/>
  <c r="W6" i="19"/>
  <c r="AC6" i="19" s="1"/>
  <c r="W9" i="19"/>
  <c r="AC9" i="19" s="1"/>
  <c r="W3" i="19"/>
  <c r="W4" i="19"/>
  <c r="W7" i="19"/>
  <c r="AC7" i="19" s="1"/>
  <c r="W5" i="19"/>
  <c r="W10" i="19"/>
  <c r="AC10" i="19" s="1"/>
  <c r="AD7" i="19"/>
  <c r="AE7" i="19"/>
  <c r="AE9" i="19"/>
  <c r="AD4" i="19"/>
  <c r="AE4" i="19"/>
  <c r="AE6" i="19"/>
  <c r="AE10" i="19"/>
  <c r="AE3" i="19"/>
  <c r="AD8" i="19"/>
  <c r="AE5" i="19"/>
  <c r="AE8" i="19"/>
  <c r="AD10" i="19"/>
  <c r="AD6" i="19"/>
  <c r="AD3" i="19"/>
  <c r="AD5" i="19"/>
  <c r="AD9" i="19"/>
  <c r="AG4" i="19" l="1" a="1"/>
  <c r="AG4" i="19" s="1"/>
  <c r="AG7" i="19" s="1"/>
  <c r="AC5" i="19"/>
  <c r="AC4" i="19"/>
  <c r="AC3" i="19"/>
  <c r="AH7" i="19"/>
  <c r="AI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<sst xmlns="http://schemas.openxmlformats.org/spreadsheetml/2006/main" count="202" uniqueCount="42">
  <si>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</si>
  <si>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</si>
  <si>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</si>
  <si>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</si>
  <si>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</si>
  <si>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</si>
  <si>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</si>
  <si>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</si>
  <si>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</si>
  <si>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</si>
  <si>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</si>
  <si>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</si>
  <si>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</si>
  <si>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</si>
  <si>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</si>
  <si>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</si>
  <si>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</si>
  <si>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</si>
  <si>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</si>
  <si>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</si>
  <si>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</si>
  <si>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</si>
  <si>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</si>
  <si>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</si>
  <si>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</si>
  <si>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</si>
  <si>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</si>
  <si>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</si>
  <si>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</si>
  <si>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</si>
  <si>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</si>
  <si>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</si>
  <si>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</si>
  <si>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</si>
  <si>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</si>
  <si>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</si>
  <si>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</si>
  <si>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theta1 (rad)</t>
  </si>
  <si>
    <t>theta2 (rad)</t>
  </si>
  <si>
    <t>{</t>
  </si>
  <si>
    <t>}</t>
  </si>
  <si>
    <t>singular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</si>
</sst>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8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1" fontId="4" fillId="8" borderId="1" xfId="0" applyNumberFormat="1" applyFont="1" applyFill="1" applyBorder="1"/>
    <xf numFmtId="11" fontId="4" fillId="8" borderId="13" xfId="0" applyNumberFormat="1" applyFont="1" applyFill="1" applyBorder="1"/>
    <xf numFmtId="11" fontId="4" fillId="8" borderId="0" xfId="0" applyNumberFormat="1" applyFont="1" applyFill="1"/>
    <xf numFmtId="0" fontId="3" fillId="0" borderId="0" xfId="0" applyFont="1"/>
    <xf numFmtId="164" fontId="2" fillId="9" borderId="14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B22"/>
  <sheetViews>
    <sheetView workbookViewId="0">
      <selection activeCell="A3" sqref="A3:O17"/>
    </sheetView>
  </sheetViews>
  <sheetFormatPr defaultRowHeight="16.5" customHeight="1" x14ac:dyDescent="0.25"/>
  <cols>
    <col min="1" max="2" width="7.42578125" bestFit="1" customWidth="1"/>
    <col min="3" max="3" width="11.85546875" bestFit="1" customWidth="1"/>
    <col min="4" max="5" width="7.42578125" bestFit="1" customWidth="1"/>
    <col min="6" max="6" width="11.85546875" bestFit="1" customWidth="1"/>
    <col min="7" max="9" width="8.5703125" bestFit="1" customWidth="1"/>
    <col min="10" max="11" width="8.42578125" bestFit="1" customWidth="1"/>
    <col min="12" max="15" width="8" bestFit="1" customWidth="1"/>
    <col min="16" max="17" width="8.140625" bestFit="1" customWidth="1"/>
    <col min="18" max="18" width="7.7109375" bestFit="1" customWidth="1"/>
    <col min="19" max="21" width="7" bestFit="1" customWidth="1"/>
    <col min="22" max="22" width="11.85546875" bestFit="1" customWidth="1"/>
    <col min="23" max="23" width="8.140625" bestFit="1" customWidth="1"/>
    <col min="24" max="24" width="7.7109375" bestFit="1" customWidth="1"/>
    <col min="25" max="27" width="7.28515625" bestFit="1" customWidth="1"/>
    <col min="28" max="28" width="14.5703125" bestFit="1" customWidth="1"/>
  </cols>
  <sheetData>
    <row r="1" spans="1:28" ht="16.5" customHeight="1" x14ac:dyDescent="0.25">
      <c r="A1" s="19" t="s">
        <v>11</v>
      </c>
      <c r="B1" s="19"/>
      <c r="C1" s="19"/>
      <c r="D1" s="19"/>
      <c r="E1" s="19"/>
      <c r="F1" s="19"/>
      <c r="G1" s="19"/>
      <c r="H1" s="19"/>
      <c r="I1" s="20"/>
      <c r="J1" s="21" t="s">
        <v>6</v>
      </c>
      <c r="K1" s="22"/>
      <c r="L1" s="22"/>
      <c r="M1" s="22"/>
      <c r="N1" s="22"/>
      <c r="O1" s="22"/>
      <c r="P1" s="23" t="s">
        <v>12</v>
      </c>
      <c r="Q1" s="24"/>
      <c r="R1" s="24"/>
      <c r="S1" s="24"/>
      <c r="T1" s="24"/>
      <c r="U1" s="24"/>
      <c r="V1" s="25" t="s">
        <v>14</v>
      </c>
      <c r="W1" s="26"/>
      <c r="X1" s="26"/>
      <c r="Y1" s="26"/>
      <c r="Z1" s="26"/>
      <c r="AA1" s="27"/>
    </row>
    <row r="2" spans="1:28" ht="16.5" customHeight="1" x14ac:dyDescent="0.25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  <c r="AB2" s="7" t="s">
        <v>41</v>
      </c>
    </row>
    <row r="3" spans="1:28" s="5" customFormat="1" ht="16.5" customHeight="1" x14ac:dyDescent="0.25">
      <c r="A3" s="18">
        <v>0.8</v>
      </c>
      <c r="B3" s="6">
        <v>0.16</v>
      </c>
      <c r="C3" s="6">
        <v>3.927</v>
      </c>
      <c r="D3" s="6">
        <v>0.8</v>
      </c>
      <c r="E3" s="6">
        <v>0.02</v>
      </c>
      <c r="F3" s="6">
        <v>3.665</v>
      </c>
      <c r="G3" s="6">
        <v>0</v>
      </c>
      <c r="H3" s="6">
        <v>0</v>
      </c>
      <c r="I3" s="6">
        <v>0</v>
      </c>
      <c r="J3" s="9">
        <v>3.26242484152317E-3</v>
      </c>
      <c r="K3" s="9">
        <v>0.180712014436722</v>
      </c>
      <c r="L3" s="9">
        <v>-0.20451097190380099</v>
      </c>
      <c r="M3" s="9">
        <v>-0.73947352170944203</v>
      </c>
      <c r="N3" s="9">
        <v>-1.0104261636734</v>
      </c>
      <c r="O3" s="9">
        <v>-0.82137411832809404</v>
      </c>
      <c r="P3" s="12">
        <v>0</v>
      </c>
      <c r="Q3" s="12">
        <v>0.153</v>
      </c>
      <c r="R3" s="12">
        <v>-0.18459999999999999</v>
      </c>
      <c r="S3" s="12">
        <v>-0.83579999999999999</v>
      </c>
      <c r="T3" s="12">
        <v>-0.9899</v>
      </c>
      <c r="U3" s="12">
        <v>-0.70089999999999997</v>
      </c>
      <c r="V3" s="5">
        <f t="shared" ref="V3:AA3" si="0">J3-P3</f>
        <v>3.26242484152317E-3</v>
      </c>
      <c r="W3" s="5">
        <f t="shared" si="0"/>
        <v>2.7712014436721999E-2</v>
      </c>
      <c r="X3" s="5">
        <f t="shared" si="0"/>
        <v>-1.9910971903801006E-2</v>
      </c>
      <c r="Y3" s="5">
        <f t="shared" si="0"/>
        <v>9.632647829055796E-2</v>
      </c>
      <c r="Z3" s="5">
        <f t="shared" si="0"/>
        <v>-2.0526163673399989E-2</v>
      </c>
      <c r="AA3" s="5">
        <f t="shared" si="0"/>
        <v>-0.12047411832809407</v>
      </c>
      <c r="AB3" s="14">
        <v>2.42</v>
      </c>
    </row>
    <row r="4" spans="1:28" s="5" customFormat="1" ht="16.5" customHeight="1" x14ac:dyDescent="0.25">
      <c r="A4" s="5">
        <v>0.8</v>
      </c>
      <c r="B4" s="5">
        <v>0.2</v>
      </c>
      <c r="C4" s="5">
        <v>3.927</v>
      </c>
      <c r="D4" s="5">
        <v>0.4</v>
      </c>
      <c r="E4" s="5">
        <v>0.04</v>
      </c>
      <c r="F4" s="5">
        <v>1.0469999999999999</v>
      </c>
      <c r="G4" s="5">
        <v>0</v>
      </c>
      <c r="H4" s="5">
        <v>0</v>
      </c>
      <c r="I4" s="5">
        <v>0</v>
      </c>
      <c r="J4" s="9"/>
      <c r="K4" s="9"/>
      <c r="L4" s="9"/>
      <c r="M4" s="9"/>
      <c r="N4" s="9"/>
      <c r="O4" s="9"/>
      <c r="P4" s="12"/>
      <c r="Q4" s="12"/>
      <c r="R4" s="12"/>
      <c r="S4" s="12"/>
      <c r="T4" s="12"/>
      <c r="U4" s="12"/>
      <c r="V4" s="5">
        <f t="shared" ref="V4:V10" si="1">J4-P4</f>
        <v>0</v>
      </c>
      <c r="W4" s="5">
        <f t="shared" ref="W4:W10" si="2">K4-Q4</f>
        <v>0</v>
      </c>
      <c r="X4" s="5">
        <f t="shared" ref="X4:X10" si="3">L4-R4</f>
        <v>0</v>
      </c>
      <c r="Y4" s="5">
        <f t="shared" ref="Y4:Y10" si="4">M4-S4</f>
        <v>0</v>
      </c>
      <c r="Z4" s="5">
        <f t="shared" ref="Z4:Z10" si="5">N4-T4</f>
        <v>0</v>
      </c>
      <c r="AA4" s="5">
        <f t="shared" ref="AA4:AA10" si="6">O4-U4</f>
        <v>0</v>
      </c>
      <c r="AB4" s="15">
        <v>2.2799999999999998</v>
      </c>
    </row>
    <row r="5" spans="1:28" s="5" customFormat="1" ht="16.5" customHeight="1" x14ac:dyDescent="0.25">
      <c r="A5" s="5">
        <v>0.6</v>
      </c>
      <c r="B5" s="5">
        <v>0.2</v>
      </c>
      <c r="C5" s="5">
        <v>2.6179999999999999</v>
      </c>
      <c r="D5" s="5">
        <v>0.8</v>
      </c>
      <c r="E5" s="5">
        <v>0.02</v>
      </c>
      <c r="F5" s="5">
        <v>2.3559999999999999</v>
      </c>
      <c r="G5" s="5">
        <v>0</v>
      </c>
      <c r="H5" s="5">
        <v>0</v>
      </c>
      <c r="I5" s="5">
        <v>0</v>
      </c>
      <c r="J5" s="9"/>
      <c r="K5" s="9"/>
      <c r="L5" s="9"/>
      <c r="M5" s="9"/>
      <c r="N5" s="9"/>
      <c r="O5" s="9"/>
      <c r="P5" s="12"/>
      <c r="Q5" s="12"/>
      <c r="R5" s="12"/>
      <c r="S5" s="12"/>
      <c r="T5" s="12"/>
      <c r="U5" s="12"/>
      <c r="V5" s="5">
        <f t="shared" ref="V5" si="7">J5-P5</f>
        <v>0</v>
      </c>
      <c r="W5" s="5">
        <f t="shared" ref="W5" si="8">K5-Q5</f>
        <v>0</v>
      </c>
      <c r="X5" s="5">
        <f t="shared" ref="X5" si="9">L5-R5</f>
        <v>0</v>
      </c>
      <c r="Y5" s="5">
        <f t="shared" ref="Y5" si="10">M5-S5</f>
        <v>0</v>
      </c>
      <c r="Z5" s="5">
        <f t="shared" ref="Z5" si="11">N5-T5</f>
        <v>0</v>
      </c>
      <c r="AA5" s="5">
        <f t="shared" ref="AA5" si="12">O5-U5</f>
        <v>0</v>
      </c>
      <c r="AB5" s="15">
        <v>2.2132070000000001</v>
      </c>
    </row>
    <row r="6" spans="1:28" s="5" customFormat="1" ht="16.5" customHeight="1" x14ac:dyDescent="0.25">
      <c r="A6" s="5">
        <v>0.8</v>
      </c>
      <c r="B6" s="5">
        <v>0.18</v>
      </c>
      <c r="C6" s="5">
        <v>2.6179999999999999</v>
      </c>
      <c r="D6" s="5">
        <v>0.7</v>
      </c>
      <c r="E6" s="5">
        <v>0.06</v>
      </c>
      <c r="F6" s="5">
        <v>2.3559999999999999</v>
      </c>
      <c r="G6" s="5">
        <v>0</v>
      </c>
      <c r="H6" s="5">
        <v>0</v>
      </c>
      <c r="I6" s="5">
        <v>0</v>
      </c>
      <c r="J6" s="9"/>
      <c r="K6" s="9"/>
      <c r="L6" s="9"/>
      <c r="M6" s="9"/>
      <c r="N6" s="9"/>
      <c r="O6" s="9"/>
      <c r="P6" s="12"/>
      <c r="Q6" s="12"/>
      <c r="R6" s="12"/>
      <c r="S6" s="12"/>
      <c r="T6" s="12"/>
      <c r="U6" s="12"/>
      <c r="V6" s="5">
        <f t="shared" ref="V6:AA7" si="13">J6-P6</f>
        <v>0</v>
      </c>
      <c r="W6" s="5">
        <f t="shared" si="13"/>
        <v>0</v>
      </c>
      <c r="X6" s="5">
        <f t="shared" si="13"/>
        <v>0</v>
      </c>
      <c r="Y6" s="5">
        <f t="shared" si="13"/>
        <v>0</v>
      </c>
      <c r="Z6" s="5">
        <f t="shared" si="13"/>
        <v>0</v>
      </c>
      <c r="AA6" s="5">
        <f t="shared" si="13"/>
        <v>0</v>
      </c>
      <c r="AB6" s="14">
        <v>1.89</v>
      </c>
    </row>
    <row r="7" spans="1:28" s="5" customFormat="1" ht="16.5" customHeight="1" x14ac:dyDescent="0.25">
      <c r="A7" s="18">
        <v>0.7</v>
      </c>
      <c r="B7" s="6">
        <v>0.16</v>
      </c>
      <c r="C7" s="6">
        <v>0.78500000000000003</v>
      </c>
      <c r="D7" s="6">
        <v>0.3</v>
      </c>
      <c r="E7" s="6">
        <v>0.06</v>
      </c>
      <c r="F7" s="6">
        <v>3.665</v>
      </c>
      <c r="G7" s="6">
        <v>0</v>
      </c>
      <c r="H7" s="6">
        <v>0</v>
      </c>
      <c r="I7" s="6">
        <v>0</v>
      </c>
      <c r="J7" s="9">
        <v>3.9956606924533801E-3</v>
      </c>
      <c r="K7" s="9">
        <v>-4.9326874315738699E-2</v>
      </c>
      <c r="L7" s="9">
        <v>4.4241491705179201E-2</v>
      </c>
      <c r="M7" s="9">
        <v>-4.1402954608202001E-2</v>
      </c>
      <c r="N7" s="9">
        <v>-3.81719022989273E-2</v>
      </c>
      <c r="O7" s="9">
        <v>4.2206846177578E-2</v>
      </c>
      <c r="P7" s="12">
        <v>0</v>
      </c>
      <c r="Q7" s="12">
        <v>-8.43E-2</v>
      </c>
      <c r="R7" s="12">
        <v>6.8599999999999994E-2</v>
      </c>
      <c r="S7" s="12">
        <v>-0.37569999999999998</v>
      </c>
      <c r="T7" s="12">
        <v>0.10829999999999999</v>
      </c>
      <c r="U7" s="12">
        <v>0.21149999999999999</v>
      </c>
      <c r="V7" s="5">
        <f t="shared" si="13"/>
        <v>3.9956606924533801E-3</v>
      </c>
      <c r="W7" s="5">
        <f t="shared" si="13"/>
        <v>3.4973125684261301E-2</v>
      </c>
      <c r="X7" s="5">
        <f t="shared" si="13"/>
        <v>-2.4358508294820794E-2</v>
      </c>
      <c r="Y7" s="5">
        <f t="shared" si="13"/>
        <v>0.334297045391798</v>
      </c>
      <c r="Z7" s="5">
        <f t="shared" si="13"/>
        <v>-0.14647190229892729</v>
      </c>
      <c r="AA7" s="5">
        <f t="shared" si="13"/>
        <v>-0.16929315382242199</v>
      </c>
      <c r="AB7" s="14">
        <v>1.1000000000000001</v>
      </c>
    </row>
    <row r="8" spans="1:28" s="5" customFormat="1" ht="16.5" customHeight="1" x14ac:dyDescent="0.25">
      <c r="A8" s="18">
        <v>0.4</v>
      </c>
      <c r="B8" s="6">
        <v>0.2</v>
      </c>
      <c r="C8" s="6">
        <v>3.927</v>
      </c>
      <c r="D8" s="6">
        <v>0.8</v>
      </c>
      <c r="E8" s="6">
        <v>0.06</v>
      </c>
      <c r="F8" s="6">
        <v>3.665</v>
      </c>
      <c r="G8" s="6">
        <v>0</v>
      </c>
      <c r="H8" s="6">
        <v>0</v>
      </c>
      <c r="I8" s="6">
        <v>0</v>
      </c>
      <c r="J8" s="9">
        <v>3.2644039019942301E-3</v>
      </c>
      <c r="K8" s="9">
        <v>0.13254639506339999</v>
      </c>
      <c r="L8" s="9">
        <v>-0.17731730639934501</v>
      </c>
      <c r="M8" s="9">
        <v>-0.544597268104553</v>
      </c>
      <c r="N8" s="9">
        <v>-0.82167768478393599</v>
      </c>
      <c r="O8" s="9">
        <v>-0.53309702873230003</v>
      </c>
      <c r="P8" s="12">
        <v>0</v>
      </c>
      <c r="Q8" s="12">
        <v>0.1222</v>
      </c>
      <c r="R8" s="12">
        <v>-0.16350000000000001</v>
      </c>
      <c r="S8" s="12">
        <v>-0.69230000000000003</v>
      </c>
      <c r="T8" s="12">
        <v>-0.78990000000000005</v>
      </c>
      <c r="U8" s="12">
        <v>-0.52139999999999997</v>
      </c>
      <c r="V8" s="5">
        <f t="shared" si="1"/>
        <v>3.2644039019942301E-3</v>
      </c>
      <c r="W8" s="5">
        <f t="shared" si="2"/>
        <v>1.0346395063399988E-2</v>
      </c>
      <c r="X8" s="5">
        <f t="shared" si="3"/>
        <v>-1.3817306399345003E-2</v>
      </c>
      <c r="Y8" s="5">
        <f t="shared" si="4"/>
        <v>0.14770273189544703</v>
      </c>
      <c r="Z8" s="5">
        <f t="shared" si="5"/>
        <v>-3.1777684783935944E-2</v>
      </c>
      <c r="AA8" s="5">
        <f t="shared" si="6"/>
        <v>-1.1697028732300052E-2</v>
      </c>
      <c r="AB8" s="16">
        <v>0.91600000000000004</v>
      </c>
    </row>
    <row r="9" spans="1:28" s="5" customFormat="1" ht="16.5" customHeight="1" x14ac:dyDescent="0.25">
      <c r="A9" s="6">
        <v>0.3</v>
      </c>
      <c r="B9" s="6">
        <v>0.2</v>
      </c>
      <c r="C9" s="6">
        <v>0.78500000000000003</v>
      </c>
      <c r="D9" s="6">
        <v>0.7</v>
      </c>
      <c r="E9" s="6">
        <v>0.02</v>
      </c>
      <c r="F9" s="6">
        <v>3.665</v>
      </c>
      <c r="G9" s="6">
        <v>0</v>
      </c>
      <c r="H9" s="6">
        <v>0</v>
      </c>
      <c r="I9" s="6">
        <v>0</v>
      </c>
      <c r="J9" s="9">
        <v>1.42172514460981E-3</v>
      </c>
      <c r="K9" s="9">
        <v>-4.7906758263707204E-3</v>
      </c>
      <c r="L9" s="9">
        <v>-1.8082346767187101E-2</v>
      </c>
      <c r="M9" s="9">
        <v>-6.6438041627407102E-2</v>
      </c>
      <c r="N9" s="9">
        <v>-0.44638109207153298</v>
      </c>
      <c r="O9" s="9">
        <v>-0.24197338521480599</v>
      </c>
      <c r="P9" s="12">
        <v>0</v>
      </c>
      <c r="Q9" s="12">
        <v>-1.8800000000000001E-2</v>
      </c>
      <c r="R9" s="12">
        <v>-9.1999999999999998E-3</v>
      </c>
      <c r="S9" s="12">
        <v>-9.5299999999999996E-2</v>
      </c>
      <c r="T9" s="12">
        <v>-0.42320000000000002</v>
      </c>
      <c r="U9" s="12">
        <v>-0.16750000000000001</v>
      </c>
      <c r="V9" s="5">
        <f t="shared" si="1"/>
        <v>1.42172514460981E-3</v>
      </c>
      <c r="W9" s="5">
        <f t="shared" si="2"/>
        <v>1.4009324173629281E-2</v>
      </c>
      <c r="X9" s="5">
        <f t="shared" si="3"/>
        <v>-8.8823467671871013E-3</v>
      </c>
      <c r="Y9" s="5">
        <f t="shared" si="4"/>
        <v>2.8861958372592894E-2</v>
      </c>
      <c r="Z9" s="5">
        <f t="shared" si="5"/>
        <v>-2.318109207153296E-2</v>
      </c>
      <c r="AA9" s="5">
        <f t="shared" si="6"/>
        <v>-7.4473385214805982E-2</v>
      </c>
      <c r="AB9" s="16">
        <v>0.68600000000000005</v>
      </c>
    </row>
    <row r="10" spans="1:28" s="5" customFormat="1" ht="16.5" customHeight="1" x14ac:dyDescent="0.25">
      <c r="A10" s="18">
        <v>0.7</v>
      </c>
      <c r="B10" s="6">
        <v>0.12</v>
      </c>
      <c r="C10" s="6">
        <v>3.927</v>
      </c>
      <c r="D10" s="6">
        <v>0.7</v>
      </c>
      <c r="E10" s="6">
        <v>0.02</v>
      </c>
      <c r="F10" s="6">
        <v>1.0469999999999999</v>
      </c>
      <c r="G10" s="6">
        <v>0</v>
      </c>
      <c r="H10" s="6">
        <v>0</v>
      </c>
      <c r="I10" s="6">
        <v>0</v>
      </c>
      <c r="J10" s="9">
        <v>1.25221628695726E-3</v>
      </c>
      <c r="K10" s="9">
        <v>5.0968579947948497E-2</v>
      </c>
      <c r="L10" s="9">
        <v>-7.8846827149391202E-2</v>
      </c>
      <c r="M10" s="9">
        <v>-0.325775057077408</v>
      </c>
      <c r="N10" s="9">
        <v>-0.132277145981789</v>
      </c>
      <c r="O10" s="9">
        <v>8.6106233298778506E-2</v>
      </c>
      <c r="P10" s="12">
        <v>0</v>
      </c>
      <c r="Q10" s="12">
        <v>3.1699999999999999E-2</v>
      </c>
      <c r="R10" s="12">
        <v>-5.96E-2</v>
      </c>
      <c r="S10" s="12">
        <v>-0.2329</v>
      </c>
      <c r="T10" s="12">
        <v>-9.3100000000000002E-2</v>
      </c>
      <c r="U10" s="12">
        <v>0.16159999999999999</v>
      </c>
      <c r="V10" s="5">
        <f t="shared" si="1"/>
        <v>1.25221628695726E-3</v>
      </c>
      <c r="W10" s="5">
        <f t="shared" si="2"/>
        <v>1.9268579947948498E-2</v>
      </c>
      <c r="X10" s="5">
        <f t="shared" si="3"/>
        <v>-1.9246827149391202E-2</v>
      </c>
      <c r="Y10" s="5">
        <f t="shared" si="4"/>
        <v>-9.2875057077408008E-2</v>
      </c>
      <c r="Z10" s="5">
        <f t="shared" si="5"/>
        <v>-3.9177145981788994E-2</v>
      </c>
      <c r="AA10" s="5">
        <f t="shared" si="6"/>
        <v>-7.5493766701221487E-2</v>
      </c>
      <c r="AB10" s="16">
        <v>0.61099999999999999</v>
      </c>
    </row>
    <row r="11" spans="1:28" ht="16.5" customHeight="1" x14ac:dyDescent="0.25">
      <c r="A11" s="5">
        <v>0.8</v>
      </c>
      <c r="B11" s="5">
        <v>0.12</v>
      </c>
      <c r="C11" s="5">
        <v>2.6179999999999999</v>
      </c>
      <c r="D11" s="5">
        <v>0.3</v>
      </c>
      <c r="E11" s="5">
        <v>0.02</v>
      </c>
      <c r="F11" s="5">
        <v>3.665</v>
      </c>
      <c r="G11" s="5">
        <v>0</v>
      </c>
      <c r="H11" s="5">
        <v>0</v>
      </c>
      <c r="I11" s="5">
        <v>0</v>
      </c>
      <c r="J11" s="9"/>
      <c r="K11" s="9"/>
      <c r="L11" s="9"/>
      <c r="M11" s="9"/>
      <c r="N11" s="9"/>
      <c r="O11" s="9"/>
      <c r="P11" s="12"/>
      <c r="Q11" s="12"/>
      <c r="R11" s="12"/>
      <c r="S11" s="12"/>
      <c r="T11" s="12"/>
      <c r="U11" s="12"/>
      <c r="V11" s="5">
        <f t="shared" ref="V11:V17" si="14">J11-P11</f>
        <v>0</v>
      </c>
      <c r="W11" s="5">
        <f t="shared" ref="W11:W17" si="15">K11-Q11</f>
        <v>0</v>
      </c>
      <c r="X11" s="5">
        <f t="shared" ref="X11:X17" si="16">L11-R11</f>
        <v>0</v>
      </c>
      <c r="Y11" s="5">
        <f t="shared" ref="Y11:Y17" si="17">M11-S11</f>
        <v>0</v>
      </c>
      <c r="Z11" s="5">
        <f t="shared" ref="Z11:Z17" si="18">N11-T11</f>
        <v>0</v>
      </c>
      <c r="AA11" s="5">
        <f t="shared" ref="AA11:AA17" si="19">O11-U11</f>
        <v>0</v>
      </c>
      <c r="AB11" s="16">
        <v>0.58299999999999996</v>
      </c>
    </row>
    <row r="12" spans="1:28" ht="16.5" customHeight="1" x14ac:dyDescent="0.25">
      <c r="A12" s="5">
        <v>0.4</v>
      </c>
      <c r="B12" s="5">
        <v>0.18</v>
      </c>
      <c r="C12" s="5">
        <v>2.6179999999999999</v>
      </c>
      <c r="D12" s="5">
        <v>0.3</v>
      </c>
      <c r="E12" s="5">
        <v>0.02</v>
      </c>
      <c r="F12" s="5">
        <v>1.0469999999999999</v>
      </c>
      <c r="G12" s="5">
        <v>0</v>
      </c>
      <c r="H12" s="5">
        <v>0</v>
      </c>
      <c r="I12" s="5">
        <v>0</v>
      </c>
      <c r="J12" s="9"/>
      <c r="K12" s="9"/>
      <c r="L12" s="9"/>
      <c r="M12" s="9"/>
      <c r="N12" s="9"/>
      <c r="O12" s="9"/>
      <c r="P12" s="12"/>
      <c r="Q12" s="12"/>
      <c r="R12" s="12"/>
      <c r="S12" s="12"/>
      <c r="T12" s="12"/>
      <c r="U12" s="12"/>
      <c r="V12" s="5">
        <f t="shared" si="14"/>
        <v>0</v>
      </c>
      <c r="W12" s="5">
        <f t="shared" si="15"/>
        <v>0</v>
      </c>
      <c r="X12" s="5">
        <f t="shared" si="16"/>
        <v>0</v>
      </c>
      <c r="Y12" s="5">
        <f t="shared" si="17"/>
        <v>0</v>
      </c>
      <c r="Z12" s="5">
        <f t="shared" si="18"/>
        <v>0</v>
      </c>
      <c r="AA12" s="5">
        <f t="shared" si="19"/>
        <v>0</v>
      </c>
      <c r="AB12" s="16">
        <v>0.54100000000000004</v>
      </c>
    </row>
    <row r="13" spans="1:28" ht="16.5" customHeight="1" x14ac:dyDescent="0.25">
      <c r="A13" s="5">
        <v>0.6</v>
      </c>
      <c r="B13" s="5">
        <v>0.2</v>
      </c>
      <c r="C13" s="5">
        <v>2.6179999999999999</v>
      </c>
      <c r="D13" s="5">
        <v>0.5</v>
      </c>
      <c r="E13" s="5">
        <v>0.1</v>
      </c>
      <c r="F13" s="5">
        <v>3.665</v>
      </c>
      <c r="G13" s="5">
        <v>0</v>
      </c>
      <c r="H13" s="5">
        <v>0</v>
      </c>
      <c r="I13" s="5">
        <v>0</v>
      </c>
      <c r="J13" s="9"/>
      <c r="K13" s="9"/>
      <c r="L13" s="9"/>
      <c r="M13" s="9"/>
      <c r="N13" s="9"/>
      <c r="O13" s="9"/>
      <c r="P13" s="12"/>
      <c r="Q13" s="12"/>
      <c r="R13" s="12"/>
      <c r="S13" s="12"/>
      <c r="T13" s="12"/>
      <c r="U13" s="12"/>
      <c r="V13" s="5">
        <f t="shared" si="14"/>
        <v>0</v>
      </c>
      <c r="W13" s="5">
        <f t="shared" si="15"/>
        <v>0</v>
      </c>
      <c r="X13" s="5">
        <f t="shared" si="16"/>
        <v>0</v>
      </c>
      <c r="Y13" s="5">
        <f t="shared" si="17"/>
        <v>0</v>
      </c>
      <c r="Z13" s="5">
        <f t="shared" si="18"/>
        <v>0</v>
      </c>
      <c r="AA13" s="5">
        <f t="shared" si="19"/>
        <v>0</v>
      </c>
      <c r="AB13" s="16">
        <v>0.254</v>
      </c>
    </row>
    <row r="14" spans="1:28" ht="16.5" customHeight="1" x14ac:dyDescent="0.25">
      <c r="A14" s="5">
        <v>0.3</v>
      </c>
      <c r="B14" s="5">
        <v>0.2</v>
      </c>
      <c r="C14" s="5">
        <v>3.927</v>
      </c>
      <c r="D14" s="5">
        <v>0.3</v>
      </c>
      <c r="E14" s="5">
        <v>0.1</v>
      </c>
      <c r="F14" s="5">
        <v>2.3559999999999999</v>
      </c>
      <c r="G14" s="5">
        <v>0</v>
      </c>
      <c r="H14" s="5">
        <v>0</v>
      </c>
      <c r="I14" s="5">
        <v>0</v>
      </c>
      <c r="J14" s="9"/>
      <c r="K14" s="9"/>
      <c r="L14" s="9"/>
      <c r="M14" s="9"/>
      <c r="N14" s="9"/>
      <c r="O14" s="9"/>
      <c r="P14" s="12"/>
      <c r="Q14" s="12"/>
      <c r="R14" s="12"/>
      <c r="S14" s="12"/>
      <c r="T14" s="12"/>
      <c r="U14" s="12"/>
      <c r="V14" s="5">
        <f t="shared" si="14"/>
        <v>0</v>
      </c>
      <c r="W14" s="5">
        <f t="shared" si="15"/>
        <v>0</v>
      </c>
      <c r="X14" s="5">
        <f t="shared" si="16"/>
        <v>0</v>
      </c>
      <c r="Y14" s="5">
        <f t="shared" si="17"/>
        <v>0</v>
      </c>
      <c r="Z14" s="5">
        <f t="shared" si="18"/>
        <v>0</v>
      </c>
      <c r="AA14" s="5">
        <f t="shared" si="19"/>
        <v>0</v>
      </c>
      <c r="AB14" s="16">
        <v>0.191</v>
      </c>
    </row>
    <row r="15" spans="1:28" ht="16.5" customHeight="1" x14ac:dyDescent="0.25">
      <c r="A15" s="5">
        <v>0.3</v>
      </c>
      <c r="B15" s="5">
        <v>0.14000000000000001</v>
      </c>
      <c r="C15" s="5">
        <v>2.6179999999999999</v>
      </c>
      <c r="D15" s="5">
        <v>0.8</v>
      </c>
      <c r="E15" s="5">
        <v>0.04</v>
      </c>
      <c r="F15" s="5">
        <v>1.0469999999999999</v>
      </c>
      <c r="G15" s="5">
        <v>0</v>
      </c>
      <c r="H15" s="5">
        <v>0</v>
      </c>
      <c r="I15" s="5">
        <v>0</v>
      </c>
      <c r="J15" s="9"/>
      <c r="K15" s="9"/>
      <c r="L15" s="9"/>
      <c r="M15" s="9"/>
      <c r="N15" s="9"/>
      <c r="O15" s="9"/>
      <c r="P15" s="12"/>
      <c r="Q15" s="12"/>
      <c r="R15" s="12"/>
      <c r="S15" s="12"/>
      <c r="T15" s="12"/>
      <c r="U15" s="12"/>
      <c r="V15" s="5">
        <f t="shared" si="14"/>
        <v>0</v>
      </c>
      <c r="W15" s="5">
        <f t="shared" si="15"/>
        <v>0</v>
      </c>
      <c r="X15" s="5">
        <f t="shared" si="16"/>
        <v>0</v>
      </c>
      <c r="Y15" s="5">
        <f t="shared" si="17"/>
        <v>0</v>
      </c>
      <c r="Z15" s="5">
        <f t="shared" si="18"/>
        <v>0</v>
      </c>
      <c r="AA15" s="5">
        <f t="shared" si="19"/>
        <v>0</v>
      </c>
      <c r="AB15" s="16">
        <v>0.17499999999999999</v>
      </c>
    </row>
    <row r="16" spans="1:28" ht="16.5" customHeight="1" x14ac:dyDescent="0.25">
      <c r="A16" s="5">
        <v>0.8</v>
      </c>
      <c r="B16" s="5">
        <v>0.2</v>
      </c>
      <c r="C16" s="5">
        <v>0.78500000000000003</v>
      </c>
      <c r="D16" s="5">
        <v>0.8</v>
      </c>
      <c r="E16" s="5">
        <v>0.1</v>
      </c>
      <c r="F16" s="5">
        <v>1.0469999999999999</v>
      </c>
      <c r="G16" s="5">
        <v>0</v>
      </c>
      <c r="H16" s="5">
        <v>0</v>
      </c>
      <c r="I16" s="5">
        <v>0</v>
      </c>
      <c r="J16" s="9"/>
      <c r="K16" s="9"/>
      <c r="L16" s="9"/>
      <c r="M16" s="9"/>
      <c r="N16" s="9"/>
      <c r="O16" s="9"/>
      <c r="P16" s="12"/>
      <c r="Q16" s="12"/>
      <c r="R16" s="12"/>
      <c r="S16" s="12"/>
      <c r="T16" s="12"/>
      <c r="U16" s="12"/>
      <c r="V16" s="5">
        <f t="shared" si="14"/>
        <v>0</v>
      </c>
      <c r="W16" s="5">
        <f t="shared" si="15"/>
        <v>0</v>
      </c>
      <c r="X16" s="5">
        <f t="shared" si="16"/>
        <v>0</v>
      </c>
      <c r="Y16" s="5">
        <f t="shared" si="17"/>
        <v>0</v>
      </c>
      <c r="Z16" s="5">
        <f t="shared" si="18"/>
        <v>0</v>
      </c>
      <c r="AA16" s="5">
        <f t="shared" si="19"/>
        <v>0</v>
      </c>
      <c r="AB16" s="16">
        <v>0.159</v>
      </c>
    </row>
    <row r="17" spans="1:28" ht="16.5" customHeight="1" x14ac:dyDescent="0.25">
      <c r="A17" s="5">
        <v>0.4</v>
      </c>
      <c r="B17" s="5">
        <v>0.12</v>
      </c>
      <c r="C17" s="5">
        <v>0.78500000000000003</v>
      </c>
      <c r="D17" s="5">
        <v>0.4</v>
      </c>
      <c r="E17" s="5">
        <v>0.02</v>
      </c>
      <c r="F17" s="5">
        <v>2.3559999999999999</v>
      </c>
      <c r="G17" s="5">
        <v>0</v>
      </c>
      <c r="H17" s="5">
        <v>0</v>
      </c>
      <c r="I17" s="5">
        <v>0</v>
      </c>
      <c r="J17" s="9"/>
      <c r="K17" s="9"/>
      <c r="L17" s="9"/>
      <c r="M17" s="9"/>
      <c r="N17" s="9"/>
      <c r="O17" s="9"/>
      <c r="P17" s="12"/>
      <c r="Q17" s="12"/>
      <c r="R17" s="12"/>
      <c r="S17" s="12"/>
      <c r="T17" s="12"/>
      <c r="U17" s="12"/>
      <c r="V17" s="5">
        <f t="shared" si="14"/>
        <v>0</v>
      </c>
      <c r="W17" s="5">
        <f t="shared" si="15"/>
        <v>0</v>
      </c>
      <c r="X17" s="5">
        <f t="shared" si="16"/>
        <v>0</v>
      </c>
      <c r="Y17" s="5">
        <f t="shared" si="17"/>
        <v>0</v>
      </c>
      <c r="Z17" s="5">
        <f t="shared" si="18"/>
        <v>0</v>
      </c>
      <c r="AA17" s="5">
        <f t="shared" si="19"/>
        <v>0</v>
      </c>
      <c r="AB17" s="16">
        <v>5.8900000000000001E-2</v>
      </c>
    </row>
    <row r="19" spans="1:28" ht="16.5" customHeight="1" x14ac:dyDescent="0.25">
      <c r="V19" s="17">
        <v>1.73E-3</v>
      </c>
      <c r="W19" s="17">
        <v>1.5980000000000001E-2</v>
      </c>
      <c r="X19" s="17">
        <v>1.2149999999999999E-2</v>
      </c>
      <c r="Y19" s="17">
        <v>6.8379999999999996E-2</v>
      </c>
      <c r="Z19" s="17">
        <v>6.9379999999999997E-2</v>
      </c>
      <c r="AA19" s="17">
        <v>9.1469999999999996E-2</v>
      </c>
    </row>
    <row r="20" spans="1:28" ht="16.5" customHeight="1" x14ac:dyDescent="0.25">
      <c r="C20">
        <v>0.78500000000000003</v>
      </c>
      <c r="D20">
        <v>45</v>
      </c>
      <c r="F20">
        <v>1.0469999999999999</v>
      </c>
      <c r="G20">
        <v>60</v>
      </c>
    </row>
    <row r="21" spans="1:28" ht="16.5" customHeight="1" x14ac:dyDescent="0.25">
      <c r="C21">
        <v>2.6179999999999999</v>
      </c>
      <c r="D21">
        <v>150</v>
      </c>
      <c r="F21">
        <v>2.3559999999999999</v>
      </c>
      <c r="G21">
        <v>135</v>
      </c>
    </row>
    <row r="22" spans="1:28" ht="16.5" customHeight="1" x14ac:dyDescent="0.25">
      <c r="C22">
        <v>3.927</v>
      </c>
      <c r="D22">
        <v>225</v>
      </c>
      <c r="F22">
        <v>3.665</v>
      </c>
      <c r="G22">
        <v>210</v>
      </c>
      <c r="V22">
        <f>_xlfn.STDEV.S(V3,V7,V8,V9,V10)</f>
        <v>1.2273185750809892E-3</v>
      </c>
    </row>
  </sheetData>
  <mergeCells count="4">
    <mergeCell ref="A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L17"/>
  <sheetViews>
    <sheetView topLeftCell="K1" workbookViewId="0">
      <pane ySplit="2" topLeftCell="A3" activePane="bottomLeft" state="frozen"/>
      <selection activeCell="K1" sqref="K1"/>
      <selection pane="bottomLeft" activeCell="V37" sqref="V3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6.7109375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5.140625" bestFit="1" customWidth="1"/>
    <col min="33" max="33" width="12" bestFit="1" customWidth="1"/>
    <col min="34" max="34" width="13.85546875" bestFit="1" customWidth="1"/>
    <col min="35" max="35" width="11.85546875" bestFit="1" customWidth="1"/>
    <col min="38" max="38" width="11.85546875" bestFit="1" customWidth="1"/>
  </cols>
  <sheetData>
    <row r="1" spans="1:38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20"/>
      <c r="J1" s="21" t="s">
        <v>6</v>
      </c>
      <c r="K1" s="22"/>
      <c r="L1" s="22"/>
      <c r="M1" s="22"/>
      <c r="N1" s="22"/>
      <c r="O1" s="22"/>
      <c r="P1" s="33" t="s">
        <v>7</v>
      </c>
      <c r="Q1" s="34"/>
      <c r="R1" s="34"/>
      <c r="S1" s="34"/>
      <c r="T1" s="34"/>
      <c r="U1" s="34"/>
      <c r="V1" s="34"/>
      <c r="W1" s="30" t="s">
        <v>13</v>
      </c>
      <c r="X1" s="30"/>
      <c r="Y1" s="30"/>
      <c r="Z1" s="30"/>
      <c r="AA1" s="30"/>
      <c r="AB1" s="30"/>
      <c r="AC1" s="31" t="s">
        <v>32</v>
      </c>
      <c r="AD1" s="31"/>
      <c r="AE1" s="31"/>
      <c r="AF1" s="31"/>
      <c r="AG1" s="31"/>
      <c r="AH1" s="31"/>
      <c r="AI1" s="31"/>
      <c r="AJ1" s="31"/>
      <c r="AK1" s="31"/>
      <c r="AL1" s="31"/>
    </row>
    <row r="2" spans="1:38" ht="15.75" x14ac:dyDescent="0.25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23</v>
      </c>
      <c r="Q2" s="1" t="s">
        <v>24</v>
      </c>
      <c r="R2" s="1" t="s">
        <v>37</v>
      </c>
      <c r="S2" s="1" t="s">
        <v>25</v>
      </c>
      <c r="T2" s="1" t="s">
        <v>26</v>
      </c>
      <c r="U2" s="1" t="s">
        <v>38</v>
      </c>
      <c r="V2" s="2" t="s">
        <v>33</v>
      </c>
      <c r="W2" s="3" t="s">
        <v>23</v>
      </c>
      <c r="X2" s="1" t="s">
        <v>24</v>
      </c>
      <c r="Y2" s="1" t="s">
        <v>37</v>
      </c>
      <c r="Z2" s="1" t="s">
        <v>25</v>
      </c>
      <c r="AA2" s="1" t="s">
        <v>26</v>
      </c>
      <c r="AB2" s="1" t="s">
        <v>38</v>
      </c>
      <c r="AC2" s="7" t="s">
        <v>29</v>
      </c>
      <c r="AD2" s="7" t="s">
        <v>30</v>
      </c>
      <c r="AE2" s="7" t="s">
        <v>31</v>
      </c>
      <c r="AF2" s="7" t="s">
        <v>41</v>
      </c>
      <c r="AG2" s="32" t="s">
        <v>27</v>
      </c>
      <c r="AH2" s="32"/>
      <c r="AI2" s="32"/>
      <c r="AJ2" s="32"/>
      <c r="AK2" s="32"/>
      <c r="AL2" s="32"/>
    </row>
    <row r="3" spans="1:38" ht="15.75" x14ac:dyDescent="0.25">
      <c r="A3" s="5">
        <f>'Proximal Validation (empirical)'!A3</f>
        <v>0.8</v>
      </c>
      <c r="B3" s="5">
        <f>'Proximal Validation (empirical)'!B3</f>
        <v>0.16</v>
      </c>
      <c r="C3" s="5">
        <f>'Proximal Validation (empirical)'!C3</f>
        <v>3.927</v>
      </c>
      <c r="D3" s="5">
        <f>'Proximal Validation (empirical)'!D3</f>
        <v>0.8</v>
      </c>
      <c r="E3" s="5">
        <f>'Proximal Validation (empirical)'!E3</f>
        <v>0.02</v>
      </c>
      <c r="F3" s="5">
        <f>'Proximal Validation (empirical)'!F3</f>
        <v>3.665</v>
      </c>
      <c r="G3" s="5">
        <f>'Proximal Validation (empirical)'!G3</f>
        <v>0</v>
      </c>
      <c r="H3" s="5">
        <f>'Proximal Validation (empirical)'!H3</f>
        <v>0</v>
      </c>
      <c r="I3" s="5">
        <f>'Proximal Validation (empirical)'!I3</f>
        <v>0</v>
      </c>
      <c r="J3" s="5">
        <f>'Proximal Validation (empirical)'!J3</f>
        <v>3.26242484152317E-3</v>
      </c>
      <c r="K3" s="5">
        <f>'Proximal Validation (empirical)'!K3</f>
        <v>0.180712014436722</v>
      </c>
      <c r="L3" s="5">
        <f>'Proximal Validation (empirical)'!L3</f>
        <v>-0.20451097190380099</v>
      </c>
      <c r="M3" s="5">
        <f>'Proximal Validation (empirical)'!M3</f>
        <v>-0.73947352170944203</v>
      </c>
      <c r="N3" s="5">
        <f>'Proximal Validation (empirical)'!N3</f>
        <v>-1.0104261636734</v>
      </c>
      <c r="O3" s="5">
        <f>'Proximal Validation (empirical)'!O3</f>
        <v>-0.82137411832809404</v>
      </c>
      <c r="P3" s="5">
        <v>0.97931428865624837</v>
      </c>
      <c r="Q3" s="5">
        <v>8.8410602888180131E-2</v>
      </c>
      <c r="R3" s="5">
        <v>4.5280590501046785</v>
      </c>
      <c r="S3" s="5">
        <v>0.99999090802663193</v>
      </c>
      <c r="T3" s="5">
        <v>8.4580315120657668E-2</v>
      </c>
      <c r="U3" s="5">
        <v>3.1470813488874096</v>
      </c>
      <c r="V3" s="12">
        <v>4.9879678255059181</v>
      </c>
      <c r="W3" s="5">
        <f t="shared" ref="W3:AB10" si="0">P3-A3</f>
        <v>0.17931428865624832</v>
      </c>
      <c r="X3" s="5">
        <f t="shared" si="0"/>
        <v>-7.1589397111819872E-2</v>
      </c>
      <c r="Y3" s="5">
        <f t="shared" si="0"/>
        <v>0.60105905010467842</v>
      </c>
      <c r="Z3" s="5">
        <f t="shared" si="0"/>
        <v>0.19999090802663189</v>
      </c>
      <c r="AA3" s="5">
        <f t="shared" si="0"/>
        <v>6.4580315120657664E-2</v>
      </c>
      <c r="AB3" s="5">
        <f t="shared" si="0"/>
        <v>-0.51791865111259039</v>
      </c>
      <c r="AC3" s="9">
        <f t="shared" ref="AC3:AC10" si="1">AVERAGE(ABS(W3),ABS(Z3))</f>
        <v>0.1896525983414401</v>
      </c>
      <c r="AD3" s="9">
        <f t="shared" ref="AD3:AD10" si="2">AVERAGE(ABS(X3),ABS(AA3))</f>
        <v>6.8084856116238768E-2</v>
      </c>
      <c r="AE3" s="9">
        <f t="shared" ref="AE3:AE10" si="3">AVERAGE(ABS(Y3),ABS(AB3))</f>
        <v>0.5594888506086344</v>
      </c>
      <c r="AF3" s="14">
        <v>2.42</v>
      </c>
      <c r="AG3" s="1" t="s">
        <v>23</v>
      </c>
      <c r="AH3" s="1" t="s">
        <v>24</v>
      </c>
      <c r="AI3" s="1" t="s">
        <v>37</v>
      </c>
      <c r="AJ3" s="1" t="s">
        <v>25</v>
      </c>
      <c r="AK3" s="1" t="s">
        <v>26</v>
      </c>
      <c r="AL3" s="1" t="s">
        <v>38</v>
      </c>
    </row>
    <row r="4" spans="1:38" x14ac:dyDescent="0.25">
      <c r="A4" s="5">
        <f>'Proximal Validation (empirical)'!A4</f>
        <v>0.8</v>
      </c>
      <c r="B4" s="5">
        <f>'Proximal Validation (empirical)'!B4</f>
        <v>0.2</v>
      </c>
      <c r="C4" s="5">
        <f>'Proximal Validation (empirical)'!C4</f>
        <v>3.927</v>
      </c>
      <c r="D4" s="5">
        <f>'Proximal Validation (empirical)'!D4</f>
        <v>0.4</v>
      </c>
      <c r="E4" s="5">
        <f>'Proximal Validation (empirical)'!E4</f>
        <v>0.04</v>
      </c>
      <c r="F4" s="5">
        <f>'Proximal Validation (empirical)'!F4</f>
        <v>1.0469999999999999</v>
      </c>
      <c r="G4" s="5">
        <f>'Proximal Validation (empirical)'!G4</f>
        <v>0</v>
      </c>
      <c r="H4" s="5">
        <f>'Proximal Validation (empirical)'!H4</f>
        <v>0</v>
      </c>
      <c r="I4" s="5">
        <f>'Proximal Validation (empirical)'!I4</f>
        <v>0</v>
      </c>
      <c r="J4" s="5">
        <f>'Proximal Validation (empirical)'!J4</f>
        <v>0</v>
      </c>
      <c r="K4" s="5">
        <f>'Proximal Validation (empirical)'!K4</f>
        <v>0</v>
      </c>
      <c r="L4" s="5">
        <f>'Proximal Validation (empirical)'!L4</f>
        <v>0</v>
      </c>
      <c r="M4" s="5">
        <f>'Proximal Validation (empirical)'!M4</f>
        <v>0</v>
      </c>
      <c r="N4" s="5">
        <f>'Proximal Validation (empirical)'!N4</f>
        <v>0</v>
      </c>
      <c r="O4" s="5">
        <f>'Proximal Validation (empirical)'!O4</f>
        <v>0</v>
      </c>
      <c r="P4" s="5"/>
      <c r="Q4" s="5"/>
      <c r="R4" s="5"/>
      <c r="S4" s="5"/>
      <c r="T4" s="5"/>
      <c r="U4" s="5"/>
      <c r="V4" s="12"/>
      <c r="W4" s="5">
        <f t="shared" si="0"/>
        <v>-0.8</v>
      </c>
      <c r="X4" s="5">
        <f t="shared" si="0"/>
        <v>-0.2</v>
      </c>
      <c r="Y4" s="5">
        <f t="shared" si="0"/>
        <v>-3.927</v>
      </c>
      <c r="Z4" s="5">
        <f t="shared" si="0"/>
        <v>-0.4</v>
      </c>
      <c r="AA4" s="5">
        <f t="shared" si="0"/>
        <v>-0.04</v>
      </c>
      <c r="AB4" s="5">
        <f t="shared" si="0"/>
        <v>-1.0469999999999999</v>
      </c>
      <c r="AC4" s="9">
        <f t="shared" si="1"/>
        <v>0.60000000000000009</v>
      </c>
      <c r="AD4" s="9">
        <f t="shared" si="2"/>
        <v>0.12000000000000001</v>
      </c>
      <c r="AE4" s="9">
        <f t="shared" si="3"/>
        <v>2.4870000000000001</v>
      </c>
      <c r="AF4" s="14">
        <v>2.2799999999999998</v>
      </c>
      <c r="AG4" s="8" cm="1">
        <f t="array" ref="AG4">AVERAGE(ABS(W3),ABS(W7:W10))</f>
        <v>0.20117075249391117</v>
      </c>
      <c r="AH4" s="8" cm="1">
        <f t="array" ref="AH4">AVERAGE(ABS(X3),ABS(X7:X10))</f>
        <v>6.1322384512577086E-2</v>
      </c>
      <c r="AI4" s="8" cm="1">
        <f t="array" ref="AI4">AVERAGE(ABS(Y3),ABS(Y7:Y10))</f>
        <v>0.18387391965628314</v>
      </c>
      <c r="AJ4" s="8" cm="1">
        <f t="array" ref="AJ4">AVERAGE(ABS(Z3),ABS(Z7:Z10))</f>
        <v>0.33262700550550883</v>
      </c>
      <c r="AK4" s="8" cm="1">
        <f t="array" ref="AK4">AVERAGE(ABS(AA3),ABS(AA7:AA10))</f>
        <v>4.0140690879337915E-2</v>
      </c>
      <c r="AL4" s="8" cm="1">
        <f t="array" ref="AL4">AVERAGE(ABS(AB3),ABS(AB7:AB10))</f>
        <v>0.19661282302407304</v>
      </c>
    </row>
    <row r="5" spans="1:38" x14ac:dyDescent="0.25">
      <c r="A5" s="5">
        <f>'Proximal Validation (empirical)'!A5</f>
        <v>0.6</v>
      </c>
      <c r="B5" s="5">
        <f>'Proximal Validation (empirical)'!B5</f>
        <v>0.2</v>
      </c>
      <c r="C5" s="5">
        <f>'Proximal Validation (empirical)'!C5</f>
        <v>2.6179999999999999</v>
      </c>
      <c r="D5" s="5">
        <f>'Proximal Validation (empirical)'!D5</f>
        <v>0.8</v>
      </c>
      <c r="E5" s="5">
        <f>'Proximal Validation (empirical)'!E5</f>
        <v>0.02</v>
      </c>
      <c r="F5" s="5">
        <f>'Proximal Validation (empirical)'!F5</f>
        <v>2.3559999999999999</v>
      </c>
      <c r="G5" s="5">
        <f>'Proximal Validation (empirical)'!G5</f>
        <v>0</v>
      </c>
      <c r="H5" s="5">
        <f>'Proximal Validation (empirical)'!H5</f>
        <v>0</v>
      </c>
      <c r="I5" s="5">
        <f>'Proximal Validation (empirical)'!I5</f>
        <v>0</v>
      </c>
      <c r="J5" s="5">
        <f>'Proximal Validation (empirical)'!J5</f>
        <v>0</v>
      </c>
      <c r="K5" s="5">
        <f>'Proximal Validation (empirical)'!K5</f>
        <v>0</v>
      </c>
      <c r="L5" s="5">
        <f>'Proximal Validation (empirical)'!L5</f>
        <v>0</v>
      </c>
      <c r="M5" s="5">
        <f>'Proximal Validation (empirical)'!M5</f>
        <v>0</v>
      </c>
      <c r="N5" s="5">
        <f>'Proximal Validation (empirical)'!N5</f>
        <v>0</v>
      </c>
      <c r="O5" s="5">
        <f>'Proximal Validation (empirical)'!O5</f>
        <v>0</v>
      </c>
      <c r="P5" s="5"/>
      <c r="Q5" s="5"/>
      <c r="R5" s="5"/>
      <c r="S5" s="5"/>
      <c r="T5" s="5"/>
      <c r="U5" s="5"/>
      <c r="V5" s="12"/>
      <c r="W5" s="5">
        <f t="shared" si="0"/>
        <v>-0.6</v>
      </c>
      <c r="X5" s="5">
        <f t="shared" si="0"/>
        <v>-0.2</v>
      </c>
      <c r="Y5" s="5">
        <f t="shared" si="0"/>
        <v>-2.6179999999999999</v>
      </c>
      <c r="Z5" s="5">
        <f t="shared" si="0"/>
        <v>-0.8</v>
      </c>
      <c r="AA5" s="5">
        <f t="shared" si="0"/>
        <v>-0.02</v>
      </c>
      <c r="AB5" s="5">
        <f t="shared" si="0"/>
        <v>-2.3559999999999999</v>
      </c>
      <c r="AC5" s="10">
        <f t="shared" si="1"/>
        <v>0.7</v>
      </c>
      <c r="AD5" s="10">
        <f t="shared" si="2"/>
        <v>0.11</v>
      </c>
      <c r="AE5" s="10">
        <f t="shared" si="3"/>
        <v>2.4870000000000001</v>
      </c>
      <c r="AF5" s="15">
        <v>2.2132070000000001</v>
      </c>
      <c r="AG5" s="28" t="s">
        <v>28</v>
      </c>
      <c r="AH5" s="29"/>
      <c r="AI5" s="29"/>
      <c r="AJ5" s="29"/>
      <c r="AK5" s="29"/>
      <c r="AL5" s="29"/>
    </row>
    <row r="6" spans="1:38" x14ac:dyDescent="0.25">
      <c r="A6" s="5">
        <f>'Proximal Validation (empirical)'!A6</f>
        <v>0.8</v>
      </c>
      <c r="B6" s="5">
        <f>'Proximal Validation (empirical)'!B6</f>
        <v>0.18</v>
      </c>
      <c r="C6" s="5">
        <f>'Proximal Validation (empirical)'!C6</f>
        <v>2.6179999999999999</v>
      </c>
      <c r="D6" s="5">
        <f>'Proximal Validation (empirical)'!D6</f>
        <v>0.7</v>
      </c>
      <c r="E6" s="5">
        <f>'Proximal Validation (empirical)'!E6</f>
        <v>0.06</v>
      </c>
      <c r="F6" s="5">
        <f>'Proximal Validation (empirical)'!F6</f>
        <v>2.3559999999999999</v>
      </c>
      <c r="G6" s="5">
        <f>'Proximal Validation (empirical)'!G6</f>
        <v>0</v>
      </c>
      <c r="H6" s="5">
        <f>'Proximal Validation (empirical)'!H6</f>
        <v>0</v>
      </c>
      <c r="I6" s="5">
        <f>'Proximal Validation (empirical)'!I6</f>
        <v>0</v>
      </c>
      <c r="J6" s="5">
        <f>'Proximal Validation (empirical)'!J6</f>
        <v>0</v>
      </c>
      <c r="K6" s="5">
        <f>'Proximal Validation (empirical)'!K6</f>
        <v>0</v>
      </c>
      <c r="L6" s="5">
        <f>'Proximal Validation (empirical)'!L6</f>
        <v>0</v>
      </c>
      <c r="M6" s="5">
        <f>'Proximal Validation (empirical)'!M6</f>
        <v>0</v>
      </c>
      <c r="N6" s="5">
        <f>'Proximal Validation (empirical)'!N6</f>
        <v>0</v>
      </c>
      <c r="O6" s="5">
        <f>'Proximal Validation (empirical)'!O6</f>
        <v>0</v>
      </c>
      <c r="P6" s="5"/>
      <c r="Q6" s="5"/>
      <c r="R6" s="5"/>
      <c r="S6" s="5"/>
      <c r="T6" s="5"/>
      <c r="U6" s="5"/>
      <c r="V6" s="12"/>
      <c r="W6" s="5">
        <f t="shared" si="0"/>
        <v>-0.8</v>
      </c>
      <c r="X6" s="5">
        <f t="shared" si="0"/>
        <v>-0.18</v>
      </c>
      <c r="Y6" s="5">
        <f t="shared" si="0"/>
        <v>-2.6179999999999999</v>
      </c>
      <c r="Z6" s="5">
        <f t="shared" si="0"/>
        <v>-0.7</v>
      </c>
      <c r="AA6" s="5">
        <f t="shared" si="0"/>
        <v>-0.06</v>
      </c>
      <c r="AB6" s="5">
        <f t="shared" si="0"/>
        <v>-2.3559999999999999</v>
      </c>
      <c r="AC6" s="9">
        <f t="shared" si="1"/>
        <v>0.75</v>
      </c>
      <c r="AD6" s="9">
        <f t="shared" si="2"/>
        <v>0.12</v>
      </c>
      <c r="AE6" s="9">
        <f t="shared" si="3"/>
        <v>2.4870000000000001</v>
      </c>
      <c r="AF6" s="14">
        <v>1.89</v>
      </c>
      <c r="AG6" s="7" t="s">
        <v>29</v>
      </c>
      <c r="AH6" s="7" t="s">
        <v>30</v>
      </c>
      <c r="AI6" s="7" t="s">
        <v>31</v>
      </c>
      <c r="AJ6" s="8"/>
      <c r="AK6" s="8"/>
      <c r="AL6" s="8"/>
    </row>
    <row r="7" spans="1:38" x14ac:dyDescent="0.25">
      <c r="A7" s="5">
        <f>'Proximal Validation (empirical)'!A7</f>
        <v>0.7</v>
      </c>
      <c r="B7" s="5">
        <f>'Proximal Validation (empirical)'!B7</f>
        <v>0.16</v>
      </c>
      <c r="C7" s="5">
        <f>'Proximal Validation (empirical)'!C7</f>
        <v>0.78500000000000003</v>
      </c>
      <c r="D7" s="5">
        <f>'Proximal Validation (empirical)'!D7</f>
        <v>0.3</v>
      </c>
      <c r="E7" s="5">
        <f>'Proximal Validation (empirical)'!E7</f>
        <v>0.06</v>
      </c>
      <c r="F7" s="5">
        <f>'Proximal Validation (empirical)'!F7</f>
        <v>3.665</v>
      </c>
      <c r="G7" s="5">
        <f>'Proximal Validation (empirical)'!G7</f>
        <v>0</v>
      </c>
      <c r="H7" s="5">
        <f>'Proximal Validation (empirical)'!H7</f>
        <v>0</v>
      </c>
      <c r="I7" s="5">
        <f>'Proximal Validation (empirical)'!I7</f>
        <v>0</v>
      </c>
      <c r="J7" s="5">
        <f>'Proximal Validation (empirical)'!J7</f>
        <v>3.9956606924533801E-3</v>
      </c>
      <c r="K7" s="5">
        <f>'Proximal Validation (empirical)'!K7</f>
        <v>-4.9326874315738699E-2</v>
      </c>
      <c r="L7" s="5">
        <f>'Proximal Validation (empirical)'!L7</f>
        <v>4.4241491705179201E-2</v>
      </c>
      <c r="M7" s="5">
        <f>'Proximal Validation (empirical)'!M7</f>
        <v>-4.1402954608202001E-2</v>
      </c>
      <c r="N7" s="5">
        <f>'Proximal Validation (empirical)'!N7</f>
        <v>-3.81719022989273E-2</v>
      </c>
      <c r="O7" s="5">
        <f>'Proximal Validation (empirical)'!O7</f>
        <v>4.2206846177578E-2</v>
      </c>
      <c r="P7" s="5">
        <v>0.9980563706231369</v>
      </c>
      <c r="Q7" s="5">
        <v>7.1979275160349424E-2</v>
      </c>
      <c r="R7" s="5">
        <v>0.67619113787268614</v>
      </c>
      <c r="S7" s="5">
        <v>0.98480519581892789</v>
      </c>
      <c r="T7" s="5">
        <v>2.1432467731927186E-2</v>
      </c>
      <c r="U7" s="5">
        <v>3.7601129682171779</v>
      </c>
      <c r="V7" s="12">
        <v>2.9952910592941087</v>
      </c>
      <c r="W7" s="5">
        <f t="shared" si="0"/>
        <v>0.29805637062313695</v>
      </c>
      <c r="X7" s="5">
        <f t="shared" si="0"/>
        <v>-8.802072483965058E-2</v>
      </c>
      <c r="Y7" s="5">
        <f t="shared" si="0"/>
        <v>-0.10880886212731389</v>
      </c>
      <c r="Z7" s="5">
        <f t="shared" si="0"/>
        <v>0.68480519581892785</v>
      </c>
      <c r="AA7" s="5">
        <f t="shared" si="0"/>
        <v>-3.8567532268072816E-2</v>
      </c>
      <c r="AB7" s="5">
        <f t="shared" si="0"/>
        <v>9.5112968217177851E-2</v>
      </c>
      <c r="AC7" s="9">
        <f t="shared" si="1"/>
        <v>0.4914307832210324</v>
      </c>
      <c r="AD7" s="9">
        <f t="shared" si="2"/>
        <v>6.3294128553861698E-2</v>
      </c>
      <c r="AE7" s="9">
        <f t="shared" si="3"/>
        <v>0.10196091517224587</v>
      </c>
      <c r="AF7" s="14">
        <v>1.1000000000000001</v>
      </c>
      <c r="AG7" s="11">
        <f>AVERAGE(AG4,AJ4)</f>
        <v>0.26689887899970999</v>
      </c>
      <c r="AH7" s="11">
        <f>AVERAGE(AH4,AK4)</f>
        <v>5.07315376959575E-2</v>
      </c>
      <c r="AI7" s="11">
        <f>AVERAGE(AI4,AL4)</f>
        <v>0.1902433713401781</v>
      </c>
      <c r="AJ7" s="8"/>
      <c r="AK7" s="8"/>
      <c r="AL7" s="8"/>
    </row>
    <row r="8" spans="1:38" x14ac:dyDescent="0.25">
      <c r="A8" s="5">
        <f>'Proximal Validation (empirical)'!A8</f>
        <v>0.4</v>
      </c>
      <c r="B8" s="5">
        <f>'Proximal Validation (empirical)'!B8</f>
        <v>0.2</v>
      </c>
      <c r="C8" s="5">
        <f>'Proximal Validation (empirical)'!C8</f>
        <v>3.927</v>
      </c>
      <c r="D8" s="5">
        <f>'Proximal Validation (empirical)'!D8</f>
        <v>0.8</v>
      </c>
      <c r="E8" s="5">
        <f>'Proximal Validation (empirical)'!E8</f>
        <v>0.06</v>
      </c>
      <c r="F8" s="5">
        <f>'Proximal Validation (empirical)'!F8</f>
        <v>3.665</v>
      </c>
      <c r="G8" s="5">
        <f>'Proximal Validation (empirical)'!G8</f>
        <v>0</v>
      </c>
      <c r="H8" s="5">
        <f>'Proximal Validation (empirical)'!H8</f>
        <v>0</v>
      </c>
      <c r="I8" s="5">
        <f>'Proximal Validation (empirical)'!I8</f>
        <v>0</v>
      </c>
      <c r="J8" s="5">
        <f>'Proximal Validation (empirical)'!J8</f>
        <v>3.2644039019942301E-3</v>
      </c>
      <c r="K8" s="5">
        <f>'Proximal Validation (empirical)'!K8</f>
        <v>0.13254639506339999</v>
      </c>
      <c r="L8" s="5">
        <f>'Proximal Validation (empirical)'!L8</f>
        <v>-0.17731730639934501</v>
      </c>
      <c r="M8" s="5">
        <f>'Proximal Validation (empirical)'!M8</f>
        <v>-0.544597268104553</v>
      </c>
      <c r="N8" s="5">
        <f>'Proximal Validation (empirical)'!N8</f>
        <v>-0.82167768478393599</v>
      </c>
      <c r="O8" s="5">
        <f>'Proximal Validation (empirical)'!O8</f>
        <v>-0.53309702873230003</v>
      </c>
      <c r="P8" s="5">
        <v>0.18090286609395534</v>
      </c>
      <c r="Q8" s="5">
        <v>0.19672429142767101</v>
      </c>
      <c r="R8" s="5">
        <v>4.0245831803698717</v>
      </c>
      <c r="S8" s="5">
        <v>0.97694270125357163</v>
      </c>
      <c r="T8" s="5">
        <v>8.2332852165859158E-2</v>
      </c>
      <c r="U8" s="5">
        <v>3.6757125228555574</v>
      </c>
      <c r="V8" s="12">
        <v>3.7194667666639307</v>
      </c>
      <c r="W8" s="5">
        <f t="shared" si="0"/>
        <v>-0.21909713390604468</v>
      </c>
      <c r="X8" s="5">
        <f t="shared" si="0"/>
        <v>-3.2757085723290058E-3</v>
      </c>
      <c r="Y8" s="5">
        <f t="shared" si="0"/>
        <v>9.758318036987168E-2</v>
      </c>
      <c r="Z8" s="5">
        <f t="shared" si="0"/>
        <v>0.17694270125357159</v>
      </c>
      <c r="AA8" s="5">
        <f t="shared" si="0"/>
        <v>2.233285216585916E-2</v>
      </c>
      <c r="AB8" s="5">
        <f t="shared" si="0"/>
        <v>1.0712522855557349E-2</v>
      </c>
      <c r="AC8" s="9">
        <f t="shared" si="1"/>
        <v>0.19801991757980814</v>
      </c>
      <c r="AD8" s="9">
        <f t="shared" si="2"/>
        <v>1.2804280369094083E-2</v>
      </c>
      <c r="AE8" s="9">
        <f t="shared" si="3"/>
        <v>5.4147851612714515E-2</v>
      </c>
      <c r="AF8" s="14">
        <v>0.91600000000000004</v>
      </c>
    </row>
    <row r="9" spans="1:38" x14ac:dyDescent="0.25">
      <c r="A9" s="5">
        <f>'Proximal Validation (empirical)'!A9</f>
        <v>0.3</v>
      </c>
      <c r="B9" s="5">
        <f>'Proximal Validation (empirical)'!B9</f>
        <v>0.2</v>
      </c>
      <c r="C9" s="5">
        <f>'Proximal Validation (empirical)'!C9</f>
        <v>0.78500000000000003</v>
      </c>
      <c r="D9" s="5">
        <f>'Proximal Validation (empirical)'!D9</f>
        <v>0.7</v>
      </c>
      <c r="E9" s="5">
        <f>'Proximal Validation (empirical)'!E9</f>
        <v>0.02</v>
      </c>
      <c r="F9" s="5">
        <f>'Proximal Validation (empirical)'!F9</f>
        <v>3.665</v>
      </c>
      <c r="G9" s="5">
        <f>'Proximal Validation (empirical)'!G9</f>
        <v>0</v>
      </c>
      <c r="H9" s="5">
        <f>'Proximal Validation (empirical)'!H9</f>
        <v>0</v>
      </c>
      <c r="I9" s="5">
        <f>'Proximal Validation (empirical)'!I9</f>
        <v>0</v>
      </c>
      <c r="J9" s="5">
        <f>'Proximal Validation (empirical)'!J9</f>
        <v>1.42172514460981E-3</v>
      </c>
      <c r="K9" s="5">
        <f>'Proximal Validation (empirical)'!K9</f>
        <v>-4.7906758263707204E-3</v>
      </c>
      <c r="L9" s="5">
        <f>'Proximal Validation (empirical)'!L9</f>
        <v>-1.8082346767187101E-2</v>
      </c>
      <c r="M9" s="5">
        <f>'Proximal Validation (empirical)'!M9</f>
        <v>-6.6438041627407102E-2</v>
      </c>
      <c r="N9" s="5">
        <f>'Proximal Validation (empirical)'!N9</f>
        <v>-0.44638109207153298</v>
      </c>
      <c r="O9" s="5">
        <f>'Proximal Validation (empirical)'!O9</f>
        <v>-0.24197338521480599</v>
      </c>
      <c r="P9" s="5">
        <v>0.53372165978898534</v>
      </c>
      <c r="Q9" s="5">
        <v>0.13621900158369571</v>
      </c>
      <c r="R9" s="5">
        <v>0.7481132524282148</v>
      </c>
      <c r="S9" s="5">
        <v>0.99999708580691637</v>
      </c>
      <c r="T9" s="5">
        <v>3.7121536052126397E-2</v>
      </c>
      <c r="U9" s="5">
        <v>3.7622351619689693</v>
      </c>
      <c r="V9" s="12">
        <v>8.5504357061185046E-2</v>
      </c>
      <c r="W9" s="5">
        <f t="shared" si="0"/>
        <v>0.23372165978898535</v>
      </c>
      <c r="X9" s="5">
        <f t="shared" si="0"/>
        <v>-6.3780998416304302E-2</v>
      </c>
      <c r="Y9" s="5">
        <f t="shared" si="0"/>
        <v>-3.6886747571785228E-2</v>
      </c>
      <c r="Z9" s="5">
        <f t="shared" si="0"/>
        <v>0.29999708580691642</v>
      </c>
      <c r="AA9" s="5">
        <f t="shared" si="0"/>
        <v>1.7121536052126397E-2</v>
      </c>
      <c r="AB9" s="5">
        <f t="shared" si="0"/>
        <v>9.7235161968969308E-2</v>
      </c>
      <c r="AC9" s="9">
        <f t="shared" si="1"/>
        <v>0.26685937279795091</v>
      </c>
      <c r="AD9" s="9">
        <f t="shared" si="2"/>
        <v>4.0451267234215348E-2</v>
      </c>
      <c r="AE9" s="9">
        <f t="shared" si="3"/>
        <v>6.7060954770377268E-2</v>
      </c>
      <c r="AF9" s="14">
        <v>0.68600000000000005</v>
      </c>
      <c r="AG9" s="13"/>
      <c r="AH9" s="13"/>
      <c r="AI9" s="13"/>
    </row>
    <row r="10" spans="1:38" x14ac:dyDescent="0.25">
      <c r="A10" s="5">
        <f>'Proximal Validation (empirical)'!A10</f>
        <v>0.7</v>
      </c>
      <c r="B10" s="5">
        <f>'Proximal Validation (empirical)'!B10</f>
        <v>0.12</v>
      </c>
      <c r="C10" s="5">
        <f>'Proximal Validation (empirical)'!C10</f>
        <v>3.927</v>
      </c>
      <c r="D10" s="5">
        <f>'Proximal Validation (empirical)'!D10</f>
        <v>0.7</v>
      </c>
      <c r="E10" s="5">
        <f>'Proximal Validation (empirical)'!E10</f>
        <v>0.02</v>
      </c>
      <c r="F10" s="5">
        <f>'Proximal Validation (empirical)'!F10</f>
        <v>1.0469999999999999</v>
      </c>
      <c r="G10" s="5">
        <f>'Proximal Validation (empirical)'!G10</f>
        <v>0</v>
      </c>
      <c r="H10" s="5">
        <f>'Proximal Validation (empirical)'!H10</f>
        <v>0</v>
      </c>
      <c r="I10" s="5">
        <f>'Proximal Validation (empirical)'!I10</f>
        <v>0</v>
      </c>
      <c r="J10" s="5">
        <f>'Proximal Validation (empirical)'!J10</f>
        <v>1.25221628695726E-3</v>
      </c>
      <c r="K10" s="5">
        <f>'Proximal Validation (empirical)'!K10</f>
        <v>5.0968579947948497E-2</v>
      </c>
      <c r="L10" s="5">
        <f>'Proximal Validation (empirical)'!L10</f>
        <v>-7.8846827149391202E-2</v>
      </c>
      <c r="M10" s="5">
        <f>'Proximal Validation (empirical)'!M10</f>
        <v>-0.325775057077408</v>
      </c>
      <c r="N10" s="5">
        <f>'Proximal Validation (empirical)'!N10</f>
        <v>-0.132277145981789</v>
      </c>
      <c r="O10" s="5">
        <f>'Proximal Validation (empirical)'!O10</f>
        <v>8.6106233298778506E-2</v>
      </c>
      <c r="P10" s="5">
        <v>0.62433569050485938</v>
      </c>
      <c r="Q10" s="5">
        <v>0.19994509362278168</v>
      </c>
      <c r="R10" s="5">
        <v>4.0020317581077665</v>
      </c>
      <c r="S10" s="5">
        <v>0.39860086337850376</v>
      </c>
      <c r="T10" s="5">
        <v>7.8101218789973531E-2</v>
      </c>
      <c r="U10" s="5">
        <v>1.3090848109660702</v>
      </c>
      <c r="V10" s="12">
        <v>0.26008711346901398</v>
      </c>
      <c r="W10" s="5">
        <f t="shared" si="0"/>
        <v>-7.566430949514058E-2</v>
      </c>
      <c r="X10" s="5">
        <f t="shared" si="0"/>
        <v>7.9945093622781682E-2</v>
      </c>
      <c r="Y10" s="5">
        <f t="shared" si="0"/>
        <v>7.5031758107766411E-2</v>
      </c>
      <c r="Z10" s="5">
        <f t="shared" si="0"/>
        <v>-0.3013991366214962</v>
      </c>
      <c r="AA10" s="5">
        <f t="shared" si="0"/>
        <v>5.8101218789973527E-2</v>
      </c>
      <c r="AB10" s="5">
        <f t="shared" si="0"/>
        <v>0.26208481096607028</v>
      </c>
      <c r="AC10" s="9">
        <f t="shared" si="1"/>
        <v>0.18853172305831839</v>
      </c>
      <c r="AD10" s="9">
        <f t="shared" si="2"/>
        <v>6.9023156206377612E-2</v>
      </c>
      <c r="AE10" s="9">
        <f t="shared" si="3"/>
        <v>0.16855828453691835</v>
      </c>
      <c r="AF10" s="14">
        <v>0.61099999999999999</v>
      </c>
    </row>
    <row r="11" spans="1:38" x14ac:dyDescent="0.25">
      <c r="A11" s="5">
        <f>'Proximal Validation (empirical)'!A11</f>
        <v>0.8</v>
      </c>
      <c r="B11" s="5">
        <f>'Proximal Validation (empirical)'!B11</f>
        <v>0.12</v>
      </c>
      <c r="C11" s="5">
        <f>'Proximal Validation (empirical)'!C11</f>
        <v>2.6179999999999999</v>
      </c>
      <c r="D11" s="5">
        <f>'Proximal Validation (empirical)'!D11</f>
        <v>0.3</v>
      </c>
      <c r="E11" s="5">
        <f>'Proximal Validation (empirical)'!E11</f>
        <v>0.02</v>
      </c>
      <c r="F11" s="5">
        <f>'Proximal Validation (empirical)'!F11</f>
        <v>3.665</v>
      </c>
      <c r="G11" s="5">
        <f>'Proximal Validation (empirical)'!G11</f>
        <v>0</v>
      </c>
      <c r="H11" s="5">
        <f>'Proximal Validation (empirical)'!H11</f>
        <v>0</v>
      </c>
      <c r="I11" s="5">
        <f>'Proximal Validation (empirical)'!I11</f>
        <v>0</v>
      </c>
      <c r="J11" s="5">
        <f>'Proximal Validation (empirical)'!J11</f>
        <v>0</v>
      </c>
      <c r="K11" s="5">
        <f>'Proximal Validation (empirical)'!K11</f>
        <v>0</v>
      </c>
      <c r="L11" s="5">
        <f>'Proximal Validation (empirical)'!L11</f>
        <v>0</v>
      </c>
      <c r="M11" s="5">
        <f>'Proximal Validation (empirical)'!M11</f>
        <v>0</v>
      </c>
      <c r="N11" s="5">
        <f>'Proximal Validation (empirical)'!N11</f>
        <v>0</v>
      </c>
      <c r="O11" s="5">
        <f>'Proximal Validation (empirical)'!O11</f>
        <v>0</v>
      </c>
      <c r="P11" s="5"/>
      <c r="Q11" s="5"/>
      <c r="R11" s="5"/>
      <c r="S11" s="5"/>
      <c r="T11" s="5"/>
      <c r="U11" s="5"/>
      <c r="V11" s="12"/>
      <c r="W11" s="5">
        <f t="shared" ref="W11:W17" si="4">P11-A11</f>
        <v>-0.8</v>
      </c>
      <c r="X11" s="5">
        <f t="shared" ref="X11:X17" si="5">Q11-B11</f>
        <v>-0.12</v>
      </c>
      <c r="Y11" s="5">
        <f t="shared" ref="Y11:Y17" si="6">R11-C11</f>
        <v>-2.6179999999999999</v>
      </c>
      <c r="Z11" s="5">
        <f t="shared" ref="Z11:Z17" si="7">S11-D11</f>
        <v>-0.3</v>
      </c>
      <c r="AA11" s="5">
        <f t="shared" ref="AA11:AA17" si="8">T11-E11</f>
        <v>-0.02</v>
      </c>
      <c r="AB11" s="5">
        <f t="shared" ref="AB11:AB17" si="9">U11-F11</f>
        <v>-3.665</v>
      </c>
      <c r="AC11" s="9">
        <f t="shared" ref="AC11:AC17" si="10">AVERAGE(ABS(W11),ABS(Z11))</f>
        <v>0.55000000000000004</v>
      </c>
      <c r="AD11" s="9">
        <f t="shared" ref="AD11:AD17" si="11">AVERAGE(ABS(X11),ABS(AA11))</f>
        <v>6.9999999999999993E-2</v>
      </c>
      <c r="AE11" s="9">
        <f t="shared" ref="AE11:AE17" si="12">AVERAGE(ABS(Y11),ABS(AB11))</f>
        <v>3.1414999999999997</v>
      </c>
      <c r="AF11" s="14">
        <v>0.58299999999999996</v>
      </c>
    </row>
    <row r="12" spans="1:38" x14ac:dyDescent="0.25">
      <c r="A12" s="5">
        <f>'Proximal Validation (empirical)'!A12</f>
        <v>0.4</v>
      </c>
      <c r="B12" s="5">
        <f>'Proximal Validation (empirical)'!B12</f>
        <v>0.18</v>
      </c>
      <c r="C12" s="5">
        <f>'Proximal Validation (empirical)'!C12</f>
        <v>2.6179999999999999</v>
      </c>
      <c r="D12" s="5">
        <f>'Proximal Validation (empirical)'!D12</f>
        <v>0.3</v>
      </c>
      <c r="E12" s="5">
        <f>'Proximal Validation (empirical)'!E12</f>
        <v>0.02</v>
      </c>
      <c r="F12" s="5">
        <f>'Proximal Validation (empirical)'!F12</f>
        <v>1.0469999999999999</v>
      </c>
      <c r="G12" s="5">
        <f>'Proximal Validation (empirical)'!G12</f>
        <v>0</v>
      </c>
      <c r="H12" s="5">
        <f>'Proximal Validation (empirical)'!H12</f>
        <v>0</v>
      </c>
      <c r="I12" s="5">
        <f>'Proximal Validation (empirical)'!I12</f>
        <v>0</v>
      </c>
      <c r="J12" s="5">
        <f>'Proximal Validation (empirical)'!J12</f>
        <v>0</v>
      </c>
      <c r="K12" s="5">
        <f>'Proximal Validation (empirical)'!K12</f>
        <v>0</v>
      </c>
      <c r="L12" s="5">
        <f>'Proximal Validation (empirical)'!L12</f>
        <v>0</v>
      </c>
      <c r="M12" s="5">
        <f>'Proximal Validation (empirical)'!M12</f>
        <v>0</v>
      </c>
      <c r="N12" s="5">
        <f>'Proximal Validation (empirical)'!N12</f>
        <v>0</v>
      </c>
      <c r="O12" s="5">
        <f>'Proximal Validation (empirical)'!O12</f>
        <v>0</v>
      </c>
      <c r="P12" s="5"/>
      <c r="Q12" s="5"/>
      <c r="R12" s="5"/>
      <c r="S12" s="5"/>
      <c r="T12" s="5"/>
      <c r="U12" s="5"/>
      <c r="V12" s="12"/>
      <c r="W12" s="5">
        <f t="shared" si="4"/>
        <v>-0.4</v>
      </c>
      <c r="X12" s="5">
        <f t="shared" si="5"/>
        <v>-0.18</v>
      </c>
      <c r="Y12" s="5">
        <f t="shared" si="6"/>
        <v>-2.6179999999999999</v>
      </c>
      <c r="Z12" s="5">
        <f t="shared" si="7"/>
        <v>-0.3</v>
      </c>
      <c r="AA12" s="5">
        <f t="shared" si="8"/>
        <v>-0.02</v>
      </c>
      <c r="AB12" s="5">
        <f t="shared" si="9"/>
        <v>-1.0469999999999999</v>
      </c>
      <c r="AC12" s="9">
        <f t="shared" si="10"/>
        <v>0.35</v>
      </c>
      <c r="AD12" s="9">
        <f t="shared" si="11"/>
        <v>9.9999999999999992E-2</v>
      </c>
      <c r="AE12" s="9">
        <f t="shared" si="12"/>
        <v>1.8325</v>
      </c>
      <c r="AF12" s="14">
        <v>0.54100000000000004</v>
      </c>
      <c r="AG12" s="13"/>
      <c r="AH12" s="13"/>
      <c r="AI12" s="13"/>
    </row>
    <row r="13" spans="1:38" x14ac:dyDescent="0.25">
      <c r="A13" s="5">
        <f>'Proximal Validation (empirical)'!A13</f>
        <v>0.6</v>
      </c>
      <c r="B13" s="5">
        <f>'Proximal Validation (empirical)'!B13</f>
        <v>0.2</v>
      </c>
      <c r="C13" s="5">
        <f>'Proximal Validation (empirical)'!C13</f>
        <v>2.6179999999999999</v>
      </c>
      <c r="D13" s="5">
        <f>'Proximal Validation (empirical)'!D13</f>
        <v>0.5</v>
      </c>
      <c r="E13" s="5">
        <f>'Proximal Validation (empirical)'!E13</f>
        <v>0.1</v>
      </c>
      <c r="F13" s="5">
        <f>'Proximal Validation (empirical)'!F13</f>
        <v>3.665</v>
      </c>
      <c r="G13" s="5">
        <f>'Proximal Validation (empirical)'!G13</f>
        <v>0</v>
      </c>
      <c r="H13" s="5">
        <f>'Proximal Validation (empirical)'!H13</f>
        <v>0</v>
      </c>
      <c r="I13" s="5">
        <f>'Proximal Validation (empirical)'!I13</f>
        <v>0</v>
      </c>
      <c r="J13" s="5">
        <f>'Proximal Validation (empirical)'!J13</f>
        <v>0</v>
      </c>
      <c r="K13" s="5">
        <f>'Proximal Validation (empirical)'!K13</f>
        <v>0</v>
      </c>
      <c r="L13" s="5">
        <f>'Proximal Validation (empirical)'!L13</f>
        <v>0</v>
      </c>
      <c r="M13" s="5">
        <f>'Proximal Validation (empirical)'!M13</f>
        <v>0</v>
      </c>
      <c r="N13" s="5">
        <f>'Proximal Validation (empirical)'!N13</f>
        <v>0</v>
      </c>
      <c r="O13" s="5">
        <f>'Proximal Validation (empirical)'!O13</f>
        <v>0</v>
      </c>
      <c r="P13" s="5"/>
      <c r="Q13" s="5"/>
      <c r="R13" s="5"/>
      <c r="S13" s="5"/>
      <c r="T13" s="5"/>
      <c r="U13" s="5"/>
      <c r="V13" s="12"/>
      <c r="W13" s="5">
        <f t="shared" si="4"/>
        <v>-0.6</v>
      </c>
      <c r="X13" s="5">
        <f t="shared" si="5"/>
        <v>-0.2</v>
      </c>
      <c r="Y13" s="5">
        <f t="shared" si="6"/>
        <v>-2.6179999999999999</v>
      </c>
      <c r="Z13" s="5">
        <f t="shared" si="7"/>
        <v>-0.5</v>
      </c>
      <c r="AA13" s="5">
        <f t="shared" si="8"/>
        <v>-0.1</v>
      </c>
      <c r="AB13" s="5">
        <f t="shared" si="9"/>
        <v>-3.665</v>
      </c>
      <c r="AC13" s="9">
        <f t="shared" si="10"/>
        <v>0.55000000000000004</v>
      </c>
      <c r="AD13" s="9">
        <f t="shared" si="11"/>
        <v>0.15000000000000002</v>
      </c>
      <c r="AE13" s="9">
        <f t="shared" si="12"/>
        <v>3.1414999999999997</v>
      </c>
      <c r="AF13" s="14">
        <v>0.254</v>
      </c>
    </row>
    <row r="14" spans="1:38" x14ac:dyDescent="0.25">
      <c r="A14" s="5">
        <f>'Proximal Validation (empirical)'!A14</f>
        <v>0.3</v>
      </c>
      <c r="B14" s="5">
        <f>'Proximal Validation (empirical)'!B14</f>
        <v>0.2</v>
      </c>
      <c r="C14" s="5">
        <f>'Proximal Validation (empirical)'!C14</f>
        <v>3.927</v>
      </c>
      <c r="D14" s="5">
        <f>'Proximal Validation (empirical)'!D14</f>
        <v>0.3</v>
      </c>
      <c r="E14" s="5">
        <f>'Proximal Validation (empirical)'!E14</f>
        <v>0.1</v>
      </c>
      <c r="F14" s="5">
        <f>'Proximal Validation (empirical)'!F14</f>
        <v>2.3559999999999999</v>
      </c>
      <c r="G14" s="5">
        <f>'Proximal Validation (empirical)'!G14</f>
        <v>0</v>
      </c>
      <c r="H14" s="5">
        <f>'Proximal Validation (empirical)'!H14</f>
        <v>0</v>
      </c>
      <c r="I14" s="5">
        <f>'Proximal Validation (empirical)'!I14</f>
        <v>0</v>
      </c>
      <c r="J14" s="5">
        <f>'Proximal Validation (empirical)'!J14</f>
        <v>0</v>
      </c>
      <c r="K14" s="5">
        <f>'Proximal Validation (empirical)'!K14</f>
        <v>0</v>
      </c>
      <c r="L14" s="5">
        <f>'Proximal Validation (empirical)'!L14</f>
        <v>0</v>
      </c>
      <c r="M14" s="5">
        <f>'Proximal Validation (empirical)'!M14</f>
        <v>0</v>
      </c>
      <c r="N14" s="5">
        <f>'Proximal Validation (empirical)'!N14</f>
        <v>0</v>
      </c>
      <c r="O14" s="5">
        <f>'Proximal Validation (empirical)'!O14</f>
        <v>0</v>
      </c>
      <c r="P14" s="5"/>
      <c r="Q14" s="5"/>
      <c r="R14" s="5"/>
      <c r="S14" s="5"/>
      <c r="T14" s="5"/>
      <c r="U14" s="5"/>
      <c r="V14" s="12"/>
      <c r="W14" s="5">
        <f t="shared" si="4"/>
        <v>-0.3</v>
      </c>
      <c r="X14" s="5">
        <f t="shared" si="5"/>
        <v>-0.2</v>
      </c>
      <c r="Y14" s="5">
        <f t="shared" si="6"/>
        <v>-3.927</v>
      </c>
      <c r="Z14" s="5">
        <f t="shared" si="7"/>
        <v>-0.3</v>
      </c>
      <c r="AA14" s="5">
        <f t="shared" si="8"/>
        <v>-0.1</v>
      </c>
      <c r="AB14" s="5">
        <f t="shared" si="9"/>
        <v>-2.3559999999999999</v>
      </c>
      <c r="AC14" s="9">
        <f t="shared" si="10"/>
        <v>0.3</v>
      </c>
      <c r="AD14" s="9">
        <f t="shared" si="11"/>
        <v>0.15000000000000002</v>
      </c>
      <c r="AE14" s="9">
        <f t="shared" si="12"/>
        <v>3.1414999999999997</v>
      </c>
      <c r="AF14" s="14">
        <v>0.191</v>
      </c>
    </row>
    <row r="15" spans="1:38" x14ac:dyDescent="0.25">
      <c r="A15" s="5">
        <f>'Proximal Validation (empirical)'!A15</f>
        <v>0.3</v>
      </c>
      <c r="B15" s="5">
        <f>'Proximal Validation (empirical)'!B15</f>
        <v>0.14000000000000001</v>
      </c>
      <c r="C15" s="5">
        <f>'Proximal Validation (empirical)'!C15</f>
        <v>2.6179999999999999</v>
      </c>
      <c r="D15" s="5">
        <f>'Proximal Validation (empirical)'!D15</f>
        <v>0.8</v>
      </c>
      <c r="E15" s="5">
        <f>'Proximal Validation (empirical)'!E15</f>
        <v>0.04</v>
      </c>
      <c r="F15" s="5">
        <f>'Proximal Validation (empirical)'!F15</f>
        <v>1.0469999999999999</v>
      </c>
      <c r="G15" s="5">
        <f>'Proximal Validation (empirical)'!G15</f>
        <v>0</v>
      </c>
      <c r="H15" s="5">
        <f>'Proximal Validation (empirical)'!H15</f>
        <v>0</v>
      </c>
      <c r="I15" s="5">
        <f>'Proximal Validation (empirical)'!I15</f>
        <v>0</v>
      </c>
      <c r="J15" s="5">
        <f>'Proximal Validation (empirical)'!J15</f>
        <v>0</v>
      </c>
      <c r="K15" s="5">
        <f>'Proximal Validation (empirical)'!K15</f>
        <v>0</v>
      </c>
      <c r="L15" s="5">
        <f>'Proximal Validation (empirical)'!L15</f>
        <v>0</v>
      </c>
      <c r="M15" s="5">
        <f>'Proximal Validation (empirical)'!M15</f>
        <v>0</v>
      </c>
      <c r="N15" s="5">
        <f>'Proximal Validation (empirical)'!N15</f>
        <v>0</v>
      </c>
      <c r="O15" s="5">
        <f>'Proximal Validation (empirical)'!O15</f>
        <v>0</v>
      </c>
      <c r="P15" s="5"/>
      <c r="Q15" s="5"/>
      <c r="R15" s="5"/>
      <c r="S15" s="5"/>
      <c r="T15" s="5"/>
      <c r="U15" s="5"/>
      <c r="V15" s="12"/>
      <c r="W15" s="5">
        <f t="shared" si="4"/>
        <v>-0.3</v>
      </c>
      <c r="X15" s="5">
        <f t="shared" si="5"/>
        <v>-0.14000000000000001</v>
      </c>
      <c r="Y15" s="5">
        <f t="shared" si="6"/>
        <v>-2.6179999999999999</v>
      </c>
      <c r="Z15" s="5">
        <f t="shared" si="7"/>
        <v>-0.8</v>
      </c>
      <c r="AA15" s="5">
        <f t="shared" si="8"/>
        <v>-0.04</v>
      </c>
      <c r="AB15" s="5">
        <f t="shared" si="9"/>
        <v>-1.0469999999999999</v>
      </c>
      <c r="AC15" s="9">
        <f t="shared" si="10"/>
        <v>0.55000000000000004</v>
      </c>
      <c r="AD15" s="9">
        <f t="shared" si="11"/>
        <v>9.0000000000000011E-2</v>
      </c>
      <c r="AE15" s="9">
        <f t="shared" si="12"/>
        <v>1.8325</v>
      </c>
      <c r="AF15" s="14">
        <v>0.17499999999999999</v>
      </c>
    </row>
    <row r="16" spans="1:38" x14ac:dyDescent="0.25">
      <c r="A16" s="5">
        <f>'Proximal Validation (empirical)'!A16</f>
        <v>0.8</v>
      </c>
      <c r="B16" s="5">
        <f>'Proximal Validation (empirical)'!B16</f>
        <v>0.2</v>
      </c>
      <c r="C16" s="5">
        <f>'Proximal Validation (empirical)'!C16</f>
        <v>0.78500000000000003</v>
      </c>
      <c r="D16" s="5">
        <f>'Proximal Validation (empirical)'!D16</f>
        <v>0.8</v>
      </c>
      <c r="E16" s="5">
        <f>'Proximal Validation (empirical)'!E16</f>
        <v>0.1</v>
      </c>
      <c r="F16" s="5">
        <f>'Proximal Validation (empirical)'!F16</f>
        <v>1.0469999999999999</v>
      </c>
      <c r="G16" s="5">
        <f>'Proximal Validation (empirical)'!G16</f>
        <v>0</v>
      </c>
      <c r="H16" s="5">
        <f>'Proximal Validation (empirical)'!H16</f>
        <v>0</v>
      </c>
      <c r="I16" s="5">
        <f>'Proximal Validation (empirical)'!I16</f>
        <v>0</v>
      </c>
      <c r="J16" s="5">
        <f>'Proximal Validation (empirical)'!J16</f>
        <v>0</v>
      </c>
      <c r="K16" s="5">
        <f>'Proximal Validation (empirical)'!K16</f>
        <v>0</v>
      </c>
      <c r="L16" s="5">
        <f>'Proximal Validation (empirical)'!L16</f>
        <v>0</v>
      </c>
      <c r="M16" s="5">
        <f>'Proximal Validation (empirical)'!M16</f>
        <v>0</v>
      </c>
      <c r="N16" s="5">
        <f>'Proximal Validation (empirical)'!N16</f>
        <v>0</v>
      </c>
      <c r="O16" s="5">
        <f>'Proximal Validation (empirical)'!O16</f>
        <v>0</v>
      </c>
      <c r="P16" s="5"/>
      <c r="Q16" s="5"/>
      <c r="R16" s="5"/>
      <c r="S16" s="5"/>
      <c r="T16" s="5"/>
      <c r="U16" s="5"/>
      <c r="V16" s="12"/>
      <c r="W16" s="5">
        <f t="shared" si="4"/>
        <v>-0.8</v>
      </c>
      <c r="X16" s="5">
        <f t="shared" si="5"/>
        <v>-0.2</v>
      </c>
      <c r="Y16" s="5">
        <f t="shared" si="6"/>
        <v>-0.78500000000000003</v>
      </c>
      <c r="Z16" s="5">
        <f t="shared" si="7"/>
        <v>-0.8</v>
      </c>
      <c r="AA16" s="5">
        <f t="shared" si="8"/>
        <v>-0.1</v>
      </c>
      <c r="AB16" s="5">
        <f t="shared" si="9"/>
        <v>-1.0469999999999999</v>
      </c>
      <c r="AC16" s="9">
        <f t="shared" si="10"/>
        <v>0.8</v>
      </c>
      <c r="AD16" s="9">
        <f t="shared" si="11"/>
        <v>0.15000000000000002</v>
      </c>
      <c r="AE16" s="9">
        <f t="shared" si="12"/>
        <v>0.91599999999999993</v>
      </c>
      <c r="AF16" s="14">
        <v>0.159</v>
      </c>
    </row>
    <row r="17" spans="1:32" x14ac:dyDescent="0.25">
      <c r="A17" s="5">
        <f>'Proximal Validation (empirical)'!A17</f>
        <v>0.4</v>
      </c>
      <c r="B17" s="5">
        <f>'Proximal Validation (empirical)'!B17</f>
        <v>0.12</v>
      </c>
      <c r="C17" s="5">
        <f>'Proximal Validation (empirical)'!C17</f>
        <v>0.78500000000000003</v>
      </c>
      <c r="D17" s="5">
        <f>'Proximal Validation (empirical)'!D17</f>
        <v>0.4</v>
      </c>
      <c r="E17" s="5">
        <f>'Proximal Validation (empirical)'!E17</f>
        <v>0.02</v>
      </c>
      <c r="F17" s="5">
        <f>'Proximal Validation (empirical)'!F17</f>
        <v>2.3559999999999999</v>
      </c>
      <c r="G17" s="5">
        <f>'Proximal Validation (empirical)'!G17</f>
        <v>0</v>
      </c>
      <c r="H17" s="5">
        <f>'Proximal Validation (empirical)'!H17</f>
        <v>0</v>
      </c>
      <c r="I17" s="5">
        <f>'Proximal Validation (empirical)'!I17</f>
        <v>0</v>
      </c>
      <c r="J17" s="5">
        <f>'Proximal Validation (empirical)'!J17</f>
        <v>0</v>
      </c>
      <c r="K17" s="5">
        <f>'Proximal Validation (empirical)'!K17</f>
        <v>0</v>
      </c>
      <c r="L17" s="5">
        <f>'Proximal Validation (empirical)'!L17</f>
        <v>0</v>
      </c>
      <c r="M17" s="5">
        <f>'Proximal Validation (empirical)'!M17</f>
        <v>0</v>
      </c>
      <c r="N17" s="5">
        <f>'Proximal Validation (empirical)'!N17</f>
        <v>0</v>
      </c>
      <c r="O17" s="5">
        <f>'Proximal Validation (empirical)'!O17</f>
        <v>0</v>
      </c>
      <c r="P17" s="5"/>
      <c r="Q17" s="5"/>
      <c r="R17" s="5"/>
      <c r="S17" s="5"/>
      <c r="T17" s="5"/>
      <c r="U17" s="5"/>
      <c r="V17" s="12"/>
      <c r="W17" s="5">
        <f t="shared" si="4"/>
        <v>-0.4</v>
      </c>
      <c r="X17" s="5">
        <f t="shared" si="5"/>
        <v>-0.12</v>
      </c>
      <c r="Y17" s="5">
        <f t="shared" si="6"/>
        <v>-0.78500000000000003</v>
      </c>
      <c r="Z17" s="5">
        <f t="shared" si="7"/>
        <v>-0.4</v>
      </c>
      <c r="AA17" s="5">
        <f t="shared" si="8"/>
        <v>-0.02</v>
      </c>
      <c r="AB17" s="5">
        <f t="shared" si="9"/>
        <v>-2.3559999999999999</v>
      </c>
      <c r="AC17" s="9">
        <f t="shared" si="10"/>
        <v>0.4</v>
      </c>
      <c r="AD17" s="9">
        <f t="shared" si="11"/>
        <v>6.9999999999999993E-2</v>
      </c>
      <c r="AE17" s="9">
        <f t="shared" si="12"/>
        <v>1.5705</v>
      </c>
      <c r="AF17" s="14">
        <v>5.8900000000000001E-2</v>
      </c>
    </row>
  </sheetData>
  <mergeCells count="7">
    <mergeCell ref="AG5:AL5"/>
    <mergeCell ref="A1:I1"/>
    <mergeCell ref="J1:O1"/>
    <mergeCell ref="W1:AB1"/>
    <mergeCell ref="AC1:AL1"/>
    <mergeCell ref="AG2:AL2"/>
    <mergeCell ref="P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B937-A15C-4646-B721-EB6FFE66F72A}">
  <dimension ref="A1:AL17"/>
  <sheetViews>
    <sheetView tabSelected="1" topLeftCell="K1" workbookViewId="0">
      <pane ySplit="2" topLeftCell="A3" activePane="bottomLeft" state="frozen"/>
      <selection activeCell="K1" sqref="K1"/>
      <selection pane="bottomLeft" activeCell="AB27" sqref="AB2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6.7109375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5.140625" bestFit="1" customWidth="1"/>
    <col min="33" max="33" width="12" bestFit="1" customWidth="1"/>
    <col min="34" max="34" width="13.85546875" bestFit="1" customWidth="1"/>
    <col min="35" max="35" width="11.85546875" bestFit="1" customWidth="1"/>
    <col min="38" max="38" width="11.85546875" bestFit="1" customWidth="1"/>
  </cols>
  <sheetData>
    <row r="1" spans="1:38" ht="15.75" x14ac:dyDescent="0.25">
      <c r="A1" s="19" t="s">
        <v>11</v>
      </c>
      <c r="B1" s="19"/>
      <c r="C1" s="19"/>
      <c r="D1" s="19"/>
      <c r="E1" s="19"/>
      <c r="F1" s="19"/>
      <c r="G1" s="19"/>
      <c r="H1" s="19"/>
      <c r="I1" s="20"/>
      <c r="J1" s="21" t="s">
        <v>6</v>
      </c>
      <c r="K1" s="22"/>
      <c r="L1" s="22"/>
      <c r="M1" s="22"/>
      <c r="N1" s="22"/>
      <c r="O1" s="22"/>
      <c r="P1" s="33" t="s">
        <v>7</v>
      </c>
      <c r="Q1" s="34"/>
      <c r="R1" s="34"/>
      <c r="S1" s="34"/>
      <c r="T1" s="34"/>
      <c r="U1" s="34"/>
      <c r="V1" s="34"/>
      <c r="W1" s="30" t="s">
        <v>13</v>
      </c>
      <c r="X1" s="30"/>
      <c r="Y1" s="30"/>
      <c r="Z1" s="30"/>
      <c r="AA1" s="30"/>
      <c r="AB1" s="30"/>
      <c r="AC1" s="31" t="s">
        <v>32</v>
      </c>
      <c r="AD1" s="31"/>
      <c r="AE1" s="31"/>
      <c r="AF1" s="31"/>
      <c r="AG1" s="31"/>
      <c r="AH1" s="31"/>
      <c r="AI1" s="31"/>
      <c r="AJ1" s="31"/>
      <c r="AK1" s="31"/>
      <c r="AL1" s="31"/>
    </row>
    <row r="2" spans="1:38" ht="15.75" x14ac:dyDescent="0.25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23</v>
      </c>
      <c r="Q2" s="1" t="s">
        <v>24</v>
      </c>
      <c r="R2" s="1" t="s">
        <v>37</v>
      </c>
      <c r="S2" s="1" t="s">
        <v>25</v>
      </c>
      <c r="T2" s="1" t="s">
        <v>26</v>
      </c>
      <c r="U2" s="1" t="s">
        <v>38</v>
      </c>
      <c r="V2" s="2" t="s">
        <v>33</v>
      </c>
      <c r="W2" s="3" t="s">
        <v>23</v>
      </c>
      <c r="X2" s="1" t="s">
        <v>24</v>
      </c>
      <c r="Y2" s="1" t="s">
        <v>37</v>
      </c>
      <c r="Z2" s="1" t="s">
        <v>25</v>
      </c>
      <c r="AA2" s="1" t="s">
        <v>26</v>
      </c>
      <c r="AB2" s="1" t="s">
        <v>38</v>
      </c>
      <c r="AC2" s="7" t="s">
        <v>29</v>
      </c>
      <c r="AD2" s="7" t="s">
        <v>30</v>
      </c>
      <c r="AE2" s="7" t="s">
        <v>31</v>
      </c>
      <c r="AF2" s="7" t="s">
        <v>41</v>
      </c>
      <c r="AG2" s="32" t="s">
        <v>27</v>
      </c>
      <c r="AH2" s="32"/>
      <c r="AI2" s="32"/>
      <c r="AJ2" s="32"/>
      <c r="AK2" s="32"/>
      <c r="AL2" s="32"/>
    </row>
    <row r="3" spans="1:38" ht="15.75" x14ac:dyDescent="0.25">
      <c r="A3" s="5">
        <f>'Proximal Validation (empirical)'!A3</f>
        <v>0.8</v>
      </c>
      <c r="B3" s="5">
        <f>'Proximal Validation (empirical)'!B3</f>
        <v>0.16</v>
      </c>
      <c r="C3" s="5">
        <f>'Proximal Validation (empirical)'!C3</f>
        <v>3.927</v>
      </c>
      <c r="D3" s="5">
        <f>'Proximal Validation (empirical)'!D3</f>
        <v>0.8</v>
      </c>
      <c r="E3" s="5">
        <f>'Proximal Validation (empirical)'!E3</f>
        <v>0.02</v>
      </c>
      <c r="F3" s="5">
        <f>'Proximal Validation (empirical)'!F3</f>
        <v>3.665</v>
      </c>
      <c r="G3" s="5">
        <f>'Proximal Validation (empirical)'!G3</f>
        <v>0</v>
      </c>
      <c r="H3" s="5">
        <f>'Proximal Validation (empirical)'!H3</f>
        <v>0</v>
      </c>
      <c r="I3" s="5">
        <f>'Proximal Validation (empirical)'!I3</f>
        <v>0</v>
      </c>
      <c r="J3" s="5">
        <f>'Proximal Validation (empirical)'!J3</f>
        <v>3.26242484152317E-3</v>
      </c>
      <c r="K3" s="5">
        <f>'Proximal Validation (empirical)'!K3</f>
        <v>0.180712014436722</v>
      </c>
      <c r="L3" s="5">
        <f>'Proximal Validation (empirical)'!L3</f>
        <v>-0.20451097190380099</v>
      </c>
      <c r="M3" s="5">
        <f>'Proximal Validation (empirical)'!M3</f>
        <v>-0.73947352170944203</v>
      </c>
      <c r="N3" s="5">
        <f>'Proximal Validation (empirical)'!N3</f>
        <v>-1.0104261636734</v>
      </c>
      <c r="O3" s="5">
        <f>'Proximal Validation (empirical)'!O3</f>
        <v>-0.82137411832809404</v>
      </c>
      <c r="P3" s="5">
        <v>0.79610000000000003</v>
      </c>
      <c r="Q3" s="5">
        <v>0.1091</v>
      </c>
      <c r="R3" s="5">
        <v>4.4775</v>
      </c>
      <c r="S3" s="5">
        <v>0.99570000000000003</v>
      </c>
      <c r="T3" s="5">
        <v>7.9600000000000004E-2</v>
      </c>
      <c r="U3" s="5">
        <v>3.258</v>
      </c>
      <c r="V3" s="12"/>
      <c r="W3" s="5">
        <f t="shared" ref="W3:AB17" si="0">P3-A3</f>
        <v>-3.9000000000000146E-3</v>
      </c>
      <c r="X3" s="5">
        <f t="shared" si="0"/>
        <v>-5.0900000000000001E-2</v>
      </c>
      <c r="Y3" s="5">
        <f t="shared" si="0"/>
        <v>0.55049999999999999</v>
      </c>
      <c r="Z3" s="5">
        <f t="shared" si="0"/>
        <v>0.19569999999999999</v>
      </c>
      <c r="AA3" s="5">
        <f t="shared" si="0"/>
        <v>5.96E-2</v>
      </c>
      <c r="AB3" s="5">
        <f t="shared" si="0"/>
        <v>-0.40700000000000003</v>
      </c>
      <c r="AC3" s="9">
        <f t="shared" ref="AC3:AE17" si="1">AVERAGE(ABS(W3),ABS(Z3))</f>
        <v>9.98E-2</v>
      </c>
      <c r="AD3" s="9">
        <f t="shared" si="1"/>
        <v>5.525E-2</v>
      </c>
      <c r="AE3" s="9">
        <f t="shared" si="1"/>
        <v>0.47875000000000001</v>
      </c>
      <c r="AF3" s="14">
        <v>2.42</v>
      </c>
      <c r="AG3" s="1" t="s">
        <v>23</v>
      </c>
      <c r="AH3" s="1" t="s">
        <v>24</v>
      </c>
      <c r="AI3" s="1" t="s">
        <v>37</v>
      </c>
      <c r="AJ3" s="1" t="s">
        <v>25</v>
      </c>
      <c r="AK3" s="1" t="s">
        <v>26</v>
      </c>
      <c r="AL3" s="1" t="s">
        <v>38</v>
      </c>
    </row>
    <row r="4" spans="1:38" x14ac:dyDescent="0.25">
      <c r="A4" s="5">
        <f>'Proximal Validation (empirical)'!A4</f>
        <v>0.8</v>
      </c>
      <c r="B4" s="5">
        <f>'Proximal Validation (empirical)'!B4</f>
        <v>0.2</v>
      </c>
      <c r="C4" s="5">
        <f>'Proximal Validation (empirical)'!C4</f>
        <v>3.927</v>
      </c>
      <c r="D4" s="5">
        <f>'Proximal Validation (empirical)'!D4</f>
        <v>0.4</v>
      </c>
      <c r="E4" s="5">
        <f>'Proximal Validation (empirical)'!E4</f>
        <v>0.04</v>
      </c>
      <c r="F4" s="5">
        <f>'Proximal Validation (empirical)'!F4</f>
        <v>1.0469999999999999</v>
      </c>
      <c r="G4" s="5">
        <f>'Proximal Validation (empirical)'!G4</f>
        <v>0</v>
      </c>
      <c r="H4" s="5">
        <f>'Proximal Validation (empirical)'!H4</f>
        <v>0</v>
      </c>
      <c r="I4" s="5">
        <f>'Proximal Validation (empirical)'!I4</f>
        <v>0</v>
      </c>
      <c r="J4" s="5">
        <f>'Proximal Validation (empirical)'!J4</f>
        <v>0</v>
      </c>
      <c r="K4" s="5">
        <f>'Proximal Validation (empirical)'!K4</f>
        <v>0</v>
      </c>
      <c r="L4" s="5">
        <f>'Proximal Validation (empirical)'!L4</f>
        <v>0</v>
      </c>
      <c r="M4" s="5">
        <f>'Proximal Validation (empirical)'!M4</f>
        <v>0</v>
      </c>
      <c r="N4" s="5">
        <f>'Proximal Validation (empirical)'!N4</f>
        <v>0</v>
      </c>
      <c r="O4" s="5">
        <f>'Proximal Validation (empirical)'!O4</f>
        <v>0</v>
      </c>
      <c r="P4" s="5"/>
      <c r="Q4" s="5"/>
      <c r="R4" s="5"/>
      <c r="S4" s="5"/>
      <c r="T4" s="5"/>
      <c r="U4" s="5"/>
      <c r="V4" s="12"/>
      <c r="W4" s="5">
        <f t="shared" si="0"/>
        <v>-0.8</v>
      </c>
      <c r="X4" s="5">
        <f t="shared" si="0"/>
        <v>-0.2</v>
      </c>
      <c r="Y4" s="5">
        <f t="shared" si="0"/>
        <v>-3.927</v>
      </c>
      <c r="Z4" s="5">
        <f t="shared" si="0"/>
        <v>-0.4</v>
      </c>
      <c r="AA4" s="5">
        <f t="shared" si="0"/>
        <v>-0.04</v>
      </c>
      <c r="AB4" s="5">
        <f t="shared" si="0"/>
        <v>-1.0469999999999999</v>
      </c>
      <c r="AC4" s="9">
        <f t="shared" si="1"/>
        <v>0.60000000000000009</v>
      </c>
      <c r="AD4" s="9">
        <f t="shared" si="1"/>
        <v>0.12000000000000001</v>
      </c>
      <c r="AE4" s="9">
        <f t="shared" si="1"/>
        <v>2.4870000000000001</v>
      </c>
      <c r="AF4" s="14">
        <v>2.2799999999999998</v>
      </c>
      <c r="AG4" s="8" cm="1">
        <f t="array" ref="AG4">AVERAGE(ABS(W3),ABS(W7:W10))</f>
        <v>0.11748000000000003</v>
      </c>
      <c r="AH4" s="8" cm="1">
        <f t="array" ref="AH4">AVERAGE(ABS(X3),ABS(X7:X10))</f>
        <v>4.4019999999999997E-2</v>
      </c>
      <c r="AI4" s="8" cm="1">
        <f t="array" ref="AI4">AVERAGE(ABS(Y3),ABS(Y7:Y10))</f>
        <v>0.24153999999999995</v>
      </c>
      <c r="AJ4" s="8" cm="1">
        <f t="array" ref="AJ4">AVERAGE(ABS(Z3),ABS(Z7:Z10))</f>
        <v>0.15455999999999998</v>
      </c>
      <c r="AK4" s="8" cm="1">
        <f t="array" ref="AK4">AVERAGE(ABS(AA3),ABS(AA7:AA10))</f>
        <v>5.6640000000000003E-2</v>
      </c>
      <c r="AL4" s="8" cm="1">
        <f t="array" ref="AL4">AVERAGE(ABS(AB3),ABS(AB7:AB10))</f>
        <v>0.23366000000000003</v>
      </c>
    </row>
    <row r="5" spans="1:38" x14ac:dyDescent="0.25">
      <c r="A5" s="5">
        <f>'Proximal Validation (empirical)'!A5</f>
        <v>0.6</v>
      </c>
      <c r="B5" s="5">
        <f>'Proximal Validation (empirical)'!B5</f>
        <v>0.2</v>
      </c>
      <c r="C5" s="5">
        <f>'Proximal Validation (empirical)'!C5</f>
        <v>2.6179999999999999</v>
      </c>
      <c r="D5" s="5">
        <f>'Proximal Validation (empirical)'!D5</f>
        <v>0.8</v>
      </c>
      <c r="E5" s="5">
        <f>'Proximal Validation (empirical)'!E5</f>
        <v>0.02</v>
      </c>
      <c r="F5" s="5">
        <f>'Proximal Validation (empirical)'!F5</f>
        <v>2.3559999999999999</v>
      </c>
      <c r="G5" s="5">
        <f>'Proximal Validation (empirical)'!G5</f>
        <v>0</v>
      </c>
      <c r="H5" s="5">
        <f>'Proximal Validation (empirical)'!H5</f>
        <v>0</v>
      </c>
      <c r="I5" s="5">
        <f>'Proximal Validation (empirical)'!I5</f>
        <v>0</v>
      </c>
      <c r="J5" s="5">
        <f>'Proximal Validation (empirical)'!J5</f>
        <v>0</v>
      </c>
      <c r="K5" s="5">
        <f>'Proximal Validation (empirical)'!K5</f>
        <v>0</v>
      </c>
      <c r="L5" s="5">
        <f>'Proximal Validation (empirical)'!L5</f>
        <v>0</v>
      </c>
      <c r="M5" s="5">
        <f>'Proximal Validation (empirical)'!M5</f>
        <v>0</v>
      </c>
      <c r="N5" s="5">
        <f>'Proximal Validation (empirical)'!N5</f>
        <v>0</v>
      </c>
      <c r="O5" s="5">
        <f>'Proximal Validation (empirical)'!O5</f>
        <v>0</v>
      </c>
      <c r="P5" s="5"/>
      <c r="Q5" s="5"/>
      <c r="R5" s="5"/>
      <c r="S5" s="5"/>
      <c r="T5" s="5"/>
      <c r="U5" s="5"/>
      <c r="V5" s="12"/>
      <c r="W5" s="5">
        <f t="shared" si="0"/>
        <v>-0.6</v>
      </c>
      <c r="X5" s="5">
        <f t="shared" si="0"/>
        <v>-0.2</v>
      </c>
      <c r="Y5" s="5">
        <f t="shared" si="0"/>
        <v>-2.6179999999999999</v>
      </c>
      <c r="Z5" s="5">
        <f t="shared" si="0"/>
        <v>-0.8</v>
      </c>
      <c r="AA5" s="5">
        <f t="shared" si="0"/>
        <v>-0.02</v>
      </c>
      <c r="AB5" s="5">
        <f t="shared" si="0"/>
        <v>-2.3559999999999999</v>
      </c>
      <c r="AC5" s="10">
        <f t="shared" si="1"/>
        <v>0.7</v>
      </c>
      <c r="AD5" s="10">
        <f t="shared" si="1"/>
        <v>0.11</v>
      </c>
      <c r="AE5" s="10">
        <f t="shared" si="1"/>
        <v>2.4870000000000001</v>
      </c>
      <c r="AF5" s="15">
        <v>2.2132070000000001</v>
      </c>
      <c r="AG5" s="28" t="s">
        <v>28</v>
      </c>
      <c r="AH5" s="29"/>
      <c r="AI5" s="29"/>
      <c r="AJ5" s="29"/>
      <c r="AK5" s="29"/>
      <c r="AL5" s="29"/>
    </row>
    <row r="6" spans="1:38" x14ac:dyDescent="0.25">
      <c r="A6" s="5">
        <f>'Proximal Validation (empirical)'!A6</f>
        <v>0.8</v>
      </c>
      <c r="B6" s="5">
        <f>'Proximal Validation (empirical)'!B6</f>
        <v>0.18</v>
      </c>
      <c r="C6" s="5">
        <f>'Proximal Validation (empirical)'!C6</f>
        <v>2.6179999999999999</v>
      </c>
      <c r="D6" s="5">
        <f>'Proximal Validation (empirical)'!D6</f>
        <v>0.7</v>
      </c>
      <c r="E6" s="5">
        <f>'Proximal Validation (empirical)'!E6</f>
        <v>0.06</v>
      </c>
      <c r="F6" s="5">
        <f>'Proximal Validation (empirical)'!F6</f>
        <v>2.3559999999999999</v>
      </c>
      <c r="G6" s="5">
        <f>'Proximal Validation (empirical)'!G6</f>
        <v>0</v>
      </c>
      <c r="H6" s="5">
        <f>'Proximal Validation (empirical)'!H6</f>
        <v>0</v>
      </c>
      <c r="I6" s="5">
        <f>'Proximal Validation (empirical)'!I6</f>
        <v>0</v>
      </c>
      <c r="J6" s="5">
        <f>'Proximal Validation (empirical)'!J6</f>
        <v>0</v>
      </c>
      <c r="K6" s="5">
        <f>'Proximal Validation (empirical)'!K6</f>
        <v>0</v>
      </c>
      <c r="L6" s="5">
        <f>'Proximal Validation (empirical)'!L6</f>
        <v>0</v>
      </c>
      <c r="M6" s="5">
        <f>'Proximal Validation (empirical)'!M6</f>
        <v>0</v>
      </c>
      <c r="N6" s="5">
        <f>'Proximal Validation (empirical)'!N6</f>
        <v>0</v>
      </c>
      <c r="O6" s="5">
        <f>'Proximal Validation (empirical)'!O6</f>
        <v>0</v>
      </c>
      <c r="P6" s="5"/>
      <c r="Q6" s="5"/>
      <c r="R6" s="5"/>
      <c r="S6" s="5"/>
      <c r="T6" s="5"/>
      <c r="U6" s="5"/>
      <c r="V6" s="12"/>
      <c r="W6" s="5">
        <f t="shared" si="0"/>
        <v>-0.8</v>
      </c>
      <c r="X6" s="5">
        <f t="shared" si="0"/>
        <v>-0.18</v>
      </c>
      <c r="Y6" s="5">
        <f t="shared" si="0"/>
        <v>-2.6179999999999999</v>
      </c>
      <c r="Z6" s="5">
        <f t="shared" si="0"/>
        <v>-0.7</v>
      </c>
      <c r="AA6" s="5">
        <f t="shared" si="0"/>
        <v>-0.06</v>
      </c>
      <c r="AB6" s="5">
        <f t="shared" si="0"/>
        <v>-2.3559999999999999</v>
      </c>
      <c r="AC6" s="9">
        <f t="shared" si="1"/>
        <v>0.75</v>
      </c>
      <c r="AD6" s="9">
        <f t="shared" si="1"/>
        <v>0.12</v>
      </c>
      <c r="AE6" s="9">
        <f t="shared" si="1"/>
        <v>2.4870000000000001</v>
      </c>
      <c r="AF6" s="14">
        <v>1.89</v>
      </c>
      <c r="AG6" s="7" t="s">
        <v>29</v>
      </c>
      <c r="AH6" s="7" t="s">
        <v>30</v>
      </c>
      <c r="AI6" s="7" t="s">
        <v>31</v>
      </c>
      <c r="AJ6" s="8"/>
      <c r="AK6" s="8"/>
      <c r="AL6" s="8"/>
    </row>
    <row r="7" spans="1:38" x14ac:dyDescent="0.25">
      <c r="A7" s="5">
        <f>'Proximal Validation (empirical)'!A7</f>
        <v>0.7</v>
      </c>
      <c r="B7" s="5">
        <f>'Proximal Validation (empirical)'!B7</f>
        <v>0.16</v>
      </c>
      <c r="C7" s="5">
        <f>'Proximal Validation (empirical)'!C7</f>
        <v>0.78500000000000003</v>
      </c>
      <c r="D7" s="5">
        <f>'Proximal Validation (empirical)'!D7</f>
        <v>0.3</v>
      </c>
      <c r="E7" s="5">
        <f>'Proximal Validation (empirical)'!E7</f>
        <v>0.06</v>
      </c>
      <c r="F7" s="5">
        <f>'Proximal Validation (empirical)'!F7</f>
        <v>3.665</v>
      </c>
      <c r="G7" s="5">
        <f>'Proximal Validation (empirical)'!G7</f>
        <v>0</v>
      </c>
      <c r="H7" s="5">
        <f>'Proximal Validation (empirical)'!H7</f>
        <v>0</v>
      </c>
      <c r="I7" s="5">
        <f>'Proximal Validation (empirical)'!I7</f>
        <v>0</v>
      </c>
      <c r="J7" s="5">
        <f>'Proximal Validation (empirical)'!J7</f>
        <v>3.9956606924533801E-3</v>
      </c>
      <c r="K7" s="5">
        <f>'Proximal Validation (empirical)'!K7</f>
        <v>-4.9326874315738699E-2</v>
      </c>
      <c r="L7" s="5">
        <f>'Proximal Validation (empirical)'!L7</f>
        <v>4.4241491705179201E-2</v>
      </c>
      <c r="M7" s="5">
        <f>'Proximal Validation (empirical)'!M7</f>
        <v>-4.1402954608202001E-2</v>
      </c>
      <c r="N7" s="5">
        <f>'Proximal Validation (empirical)'!N7</f>
        <v>-3.81719022989273E-2</v>
      </c>
      <c r="O7" s="5">
        <f>'Proximal Validation (empirical)'!O7</f>
        <v>4.2206846177578E-2</v>
      </c>
      <c r="P7" s="5">
        <v>0.86819999999999997</v>
      </c>
      <c r="Q7" s="5">
        <v>0.19539999999999999</v>
      </c>
      <c r="R7" s="5">
        <v>0.48230000000000001</v>
      </c>
      <c r="S7" s="5">
        <v>0.51319999999999999</v>
      </c>
      <c r="T7" s="5">
        <v>0.1648</v>
      </c>
      <c r="U7" s="5">
        <v>3.2214999999999998</v>
      </c>
      <c r="V7" s="12"/>
      <c r="W7" s="5">
        <f t="shared" si="0"/>
        <v>0.16820000000000002</v>
      </c>
      <c r="X7" s="5">
        <f t="shared" si="0"/>
        <v>3.5399999999999987E-2</v>
      </c>
      <c r="Y7" s="5">
        <f t="shared" si="0"/>
        <v>-0.30270000000000002</v>
      </c>
      <c r="Z7" s="5">
        <f t="shared" si="0"/>
        <v>0.2132</v>
      </c>
      <c r="AA7" s="5">
        <f t="shared" si="0"/>
        <v>0.1048</v>
      </c>
      <c r="AB7" s="5">
        <f t="shared" si="0"/>
        <v>-0.44350000000000023</v>
      </c>
      <c r="AC7" s="9">
        <f t="shared" si="1"/>
        <v>0.19070000000000001</v>
      </c>
      <c r="AD7" s="9">
        <f t="shared" si="1"/>
        <v>7.0099999999999996E-2</v>
      </c>
      <c r="AE7" s="9">
        <f t="shared" si="1"/>
        <v>0.3731000000000001</v>
      </c>
      <c r="AF7" s="14">
        <v>1.1000000000000001</v>
      </c>
      <c r="AG7" s="11">
        <f>AVERAGE(AG4,AJ4)</f>
        <v>0.13602</v>
      </c>
      <c r="AH7" s="11">
        <f>AVERAGE(AH4,AK4)</f>
        <v>5.033E-2</v>
      </c>
      <c r="AI7" s="11">
        <f>AVERAGE(AI4,AL4)</f>
        <v>0.23759999999999998</v>
      </c>
      <c r="AJ7" s="8"/>
      <c r="AK7" s="8"/>
      <c r="AL7" s="8"/>
    </row>
    <row r="8" spans="1:38" x14ac:dyDescent="0.25">
      <c r="A8" s="5">
        <f>'Proximal Validation (empirical)'!A8</f>
        <v>0.4</v>
      </c>
      <c r="B8" s="5">
        <f>'Proximal Validation (empirical)'!B8</f>
        <v>0.2</v>
      </c>
      <c r="C8" s="5">
        <f>'Proximal Validation (empirical)'!C8</f>
        <v>3.927</v>
      </c>
      <c r="D8" s="5">
        <f>'Proximal Validation (empirical)'!D8</f>
        <v>0.8</v>
      </c>
      <c r="E8" s="5">
        <f>'Proximal Validation (empirical)'!E8</f>
        <v>0.06</v>
      </c>
      <c r="F8" s="5">
        <f>'Proximal Validation (empirical)'!F8</f>
        <v>3.665</v>
      </c>
      <c r="G8" s="5">
        <f>'Proximal Validation (empirical)'!G8</f>
        <v>0</v>
      </c>
      <c r="H8" s="5">
        <f>'Proximal Validation (empirical)'!H8</f>
        <v>0</v>
      </c>
      <c r="I8" s="5">
        <f>'Proximal Validation (empirical)'!I8</f>
        <v>0</v>
      </c>
      <c r="J8" s="5">
        <f>'Proximal Validation (empirical)'!J8</f>
        <v>3.2644039019942301E-3</v>
      </c>
      <c r="K8" s="5">
        <f>'Proximal Validation (empirical)'!K8</f>
        <v>0.13254639506339999</v>
      </c>
      <c r="L8" s="5">
        <f>'Proximal Validation (empirical)'!L8</f>
        <v>-0.17731730639934501</v>
      </c>
      <c r="M8" s="5">
        <f>'Proximal Validation (empirical)'!M8</f>
        <v>-0.544597268104553</v>
      </c>
      <c r="N8" s="5">
        <f>'Proximal Validation (empirical)'!N8</f>
        <v>-0.82167768478393599</v>
      </c>
      <c r="O8" s="5">
        <f>'Proximal Validation (empirical)'!O8</f>
        <v>-0.53309702873230003</v>
      </c>
      <c r="P8" s="5">
        <v>0.53539999999999999</v>
      </c>
      <c r="Q8" s="5">
        <v>0.14580000000000001</v>
      </c>
      <c r="R8" s="5">
        <v>4.0012999999999996</v>
      </c>
      <c r="S8" s="5">
        <v>0.67020000000000002</v>
      </c>
      <c r="T8" s="5">
        <v>7.3800000000000004E-2</v>
      </c>
      <c r="U8" s="5">
        <v>3.5506000000000002</v>
      </c>
      <c r="V8" s="12"/>
      <c r="W8" s="5">
        <f t="shared" si="0"/>
        <v>0.13539999999999996</v>
      </c>
      <c r="X8" s="5">
        <f t="shared" si="0"/>
        <v>-5.4199999999999998E-2</v>
      </c>
      <c r="Y8" s="5">
        <f t="shared" si="0"/>
        <v>7.4299999999999589E-2</v>
      </c>
      <c r="Z8" s="5">
        <f t="shared" si="0"/>
        <v>-0.12980000000000003</v>
      </c>
      <c r="AA8" s="5">
        <f t="shared" si="0"/>
        <v>1.3800000000000007E-2</v>
      </c>
      <c r="AB8" s="5">
        <f t="shared" si="0"/>
        <v>-0.11439999999999984</v>
      </c>
      <c r="AC8" s="9">
        <f t="shared" si="1"/>
        <v>0.1326</v>
      </c>
      <c r="AD8" s="9">
        <f t="shared" si="1"/>
        <v>3.4000000000000002E-2</v>
      </c>
      <c r="AE8" s="9">
        <f t="shared" si="1"/>
        <v>9.4349999999999712E-2</v>
      </c>
      <c r="AF8" s="14">
        <v>0.91600000000000004</v>
      </c>
    </row>
    <row r="9" spans="1:38" x14ac:dyDescent="0.25">
      <c r="A9" s="5">
        <f>'Proximal Validation (empirical)'!A9</f>
        <v>0.3</v>
      </c>
      <c r="B9" s="5">
        <f>'Proximal Validation (empirical)'!B9</f>
        <v>0.2</v>
      </c>
      <c r="C9" s="5">
        <f>'Proximal Validation (empirical)'!C9</f>
        <v>0.78500000000000003</v>
      </c>
      <c r="D9" s="5">
        <f>'Proximal Validation (empirical)'!D9</f>
        <v>0.7</v>
      </c>
      <c r="E9" s="5">
        <f>'Proximal Validation (empirical)'!E9</f>
        <v>0.02</v>
      </c>
      <c r="F9" s="5">
        <f>'Proximal Validation (empirical)'!F9</f>
        <v>3.665</v>
      </c>
      <c r="G9" s="5">
        <f>'Proximal Validation (empirical)'!G9</f>
        <v>0</v>
      </c>
      <c r="H9" s="5">
        <f>'Proximal Validation (empirical)'!H9</f>
        <v>0</v>
      </c>
      <c r="I9" s="5">
        <f>'Proximal Validation (empirical)'!I9</f>
        <v>0</v>
      </c>
      <c r="J9" s="5">
        <f>'Proximal Validation (empirical)'!J9</f>
        <v>1.42172514460981E-3</v>
      </c>
      <c r="K9" s="5">
        <f>'Proximal Validation (empirical)'!K9</f>
        <v>-4.7906758263707204E-3</v>
      </c>
      <c r="L9" s="5">
        <f>'Proximal Validation (empirical)'!L9</f>
        <v>-1.8082346767187101E-2</v>
      </c>
      <c r="M9" s="5">
        <f>'Proximal Validation (empirical)'!M9</f>
        <v>-6.6438041627407102E-2</v>
      </c>
      <c r="N9" s="5">
        <f>'Proximal Validation (empirical)'!N9</f>
        <v>-0.44638109207153298</v>
      </c>
      <c r="O9" s="5">
        <f>'Proximal Validation (empirical)'!O9</f>
        <v>-0.24197338521480599</v>
      </c>
      <c r="P9" s="5">
        <v>0.54810000000000003</v>
      </c>
      <c r="Q9" s="5">
        <v>0.18160000000000001</v>
      </c>
      <c r="R9" s="5">
        <v>0.68400000000000005</v>
      </c>
      <c r="S9" s="5">
        <v>0.89759999999999995</v>
      </c>
      <c r="T9" s="5">
        <v>5.7200000000000001E-2</v>
      </c>
      <c r="U9" s="5">
        <v>3.6682999999999999</v>
      </c>
      <c r="V9" s="12"/>
      <c r="W9" s="5">
        <f t="shared" si="0"/>
        <v>0.24810000000000004</v>
      </c>
      <c r="X9" s="5">
        <f t="shared" si="0"/>
        <v>-1.84E-2</v>
      </c>
      <c r="Y9" s="5">
        <f t="shared" si="0"/>
        <v>-0.10099999999999998</v>
      </c>
      <c r="Z9" s="5">
        <f t="shared" si="0"/>
        <v>0.1976</v>
      </c>
      <c r="AA9" s="5">
        <f t="shared" si="0"/>
        <v>3.7199999999999997E-2</v>
      </c>
      <c r="AB9" s="5">
        <f t="shared" si="0"/>
        <v>3.2999999999998586E-3</v>
      </c>
      <c r="AC9" s="9">
        <f t="shared" si="1"/>
        <v>0.22285000000000002</v>
      </c>
      <c r="AD9" s="9">
        <f t="shared" si="1"/>
        <v>2.7799999999999998E-2</v>
      </c>
      <c r="AE9" s="9">
        <f t="shared" si="1"/>
        <v>5.2149999999999919E-2</v>
      </c>
      <c r="AF9" s="14">
        <v>0.68600000000000005</v>
      </c>
      <c r="AG9" s="13"/>
      <c r="AH9" s="13"/>
      <c r="AI9" s="13"/>
    </row>
    <row r="10" spans="1:38" x14ac:dyDescent="0.25">
      <c r="A10" s="5">
        <f>'Proximal Validation (empirical)'!A10</f>
        <v>0.7</v>
      </c>
      <c r="B10" s="5">
        <f>'Proximal Validation (empirical)'!B10</f>
        <v>0.12</v>
      </c>
      <c r="C10" s="5">
        <f>'Proximal Validation (empirical)'!C10</f>
        <v>3.927</v>
      </c>
      <c r="D10" s="5">
        <f>'Proximal Validation (empirical)'!D10</f>
        <v>0.7</v>
      </c>
      <c r="E10" s="5">
        <f>'Proximal Validation (empirical)'!E10</f>
        <v>0.02</v>
      </c>
      <c r="F10" s="5">
        <f>'Proximal Validation (empirical)'!F10</f>
        <v>1.0469999999999999</v>
      </c>
      <c r="G10" s="5">
        <f>'Proximal Validation (empirical)'!G10</f>
        <v>0</v>
      </c>
      <c r="H10" s="5">
        <f>'Proximal Validation (empirical)'!H10</f>
        <v>0</v>
      </c>
      <c r="I10" s="5">
        <f>'Proximal Validation (empirical)'!I10</f>
        <v>0</v>
      </c>
      <c r="J10" s="5">
        <f>'Proximal Validation (empirical)'!J10</f>
        <v>1.25221628695726E-3</v>
      </c>
      <c r="K10" s="5">
        <f>'Proximal Validation (empirical)'!K10</f>
        <v>5.0968579947948497E-2</v>
      </c>
      <c r="L10" s="5">
        <f>'Proximal Validation (empirical)'!L10</f>
        <v>-7.8846827149391202E-2</v>
      </c>
      <c r="M10" s="5">
        <f>'Proximal Validation (empirical)'!M10</f>
        <v>-0.325775057077408</v>
      </c>
      <c r="N10" s="5">
        <f>'Proximal Validation (empirical)'!N10</f>
        <v>-0.132277145981789</v>
      </c>
      <c r="O10" s="5">
        <f>'Proximal Validation (empirical)'!O10</f>
        <v>8.6106233298778506E-2</v>
      </c>
      <c r="P10" s="5">
        <v>0.73180000000000001</v>
      </c>
      <c r="Q10" s="5">
        <v>0.1812</v>
      </c>
      <c r="R10" s="5">
        <v>4.1062000000000003</v>
      </c>
      <c r="S10" s="5">
        <v>0.66349999999999998</v>
      </c>
      <c r="T10" s="5">
        <v>8.7800000000000003E-2</v>
      </c>
      <c r="U10" s="5">
        <v>1.2471000000000001</v>
      </c>
      <c r="V10" s="12"/>
      <c r="W10" s="5">
        <f t="shared" si="0"/>
        <v>3.180000000000005E-2</v>
      </c>
      <c r="X10" s="5">
        <f t="shared" si="0"/>
        <v>6.1200000000000004E-2</v>
      </c>
      <c r="Y10" s="5">
        <f t="shared" si="0"/>
        <v>0.17920000000000025</v>
      </c>
      <c r="Z10" s="5">
        <f t="shared" si="0"/>
        <v>-3.6499999999999977E-2</v>
      </c>
      <c r="AA10" s="5">
        <f t="shared" si="0"/>
        <v>6.7799999999999999E-2</v>
      </c>
      <c r="AB10" s="5">
        <f t="shared" si="0"/>
        <v>0.20010000000000017</v>
      </c>
      <c r="AC10" s="9">
        <f t="shared" si="1"/>
        <v>3.4150000000000014E-2</v>
      </c>
      <c r="AD10" s="9">
        <f t="shared" si="1"/>
        <v>6.4500000000000002E-2</v>
      </c>
      <c r="AE10" s="9">
        <f t="shared" si="1"/>
        <v>0.18965000000000021</v>
      </c>
      <c r="AF10" s="14">
        <v>0.61099999999999999</v>
      </c>
    </row>
    <row r="11" spans="1:38" x14ac:dyDescent="0.25">
      <c r="A11" s="5">
        <f>'Proximal Validation (empirical)'!A11</f>
        <v>0.8</v>
      </c>
      <c r="B11" s="5">
        <f>'Proximal Validation (empirical)'!B11</f>
        <v>0.12</v>
      </c>
      <c r="C11" s="5">
        <f>'Proximal Validation (empirical)'!C11</f>
        <v>2.6179999999999999</v>
      </c>
      <c r="D11" s="5">
        <f>'Proximal Validation (empirical)'!D11</f>
        <v>0.3</v>
      </c>
      <c r="E11" s="5">
        <f>'Proximal Validation (empirical)'!E11</f>
        <v>0.02</v>
      </c>
      <c r="F11" s="5">
        <f>'Proximal Validation (empirical)'!F11</f>
        <v>3.665</v>
      </c>
      <c r="G11" s="5">
        <f>'Proximal Validation (empirical)'!G11</f>
        <v>0</v>
      </c>
      <c r="H11" s="5">
        <f>'Proximal Validation (empirical)'!H11</f>
        <v>0</v>
      </c>
      <c r="I11" s="5">
        <f>'Proximal Validation (empirical)'!I11</f>
        <v>0</v>
      </c>
      <c r="J11" s="5">
        <f>'Proximal Validation (empirical)'!J11</f>
        <v>0</v>
      </c>
      <c r="K11" s="5">
        <f>'Proximal Validation (empirical)'!K11</f>
        <v>0</v>
      </c>
      <c r="L11" s="5">
        <f>'Proximal Validation (empirical)'!L11</f>
        <v>0</v>
      </c>
      <c r="M11" s="5">
        <f>'Proximal Validation (empirical)'!M11</f>
        <v>0</v>
      </c>
      <c r="N11" s="5">
        <f>'Proximal Validation (empirical)'!N11</f>
        <v>0</v>
      </c>
      <c r="O11" s="5">
        <f>'Proximal Validation (empirical)'!O11</f>
        <v>0</v>
      </c>
      <c r="P11" s="5"/>
      <c r="Q11" s="5"/>
      <c r="R11" s="5"/>
      <c r="S11" s="5"/>
      <c r="T11" s="5"/>
      <c r="U11" s="5"/>
      <c r="V11" s="12"/>
      <c r="W11" s="5">
        <f t="shared" si="0"/>
        <v>-0.8</v>
      </c>
      <c r="X11" s="5">
        <f t="shared" si="0"/>
        <v>-0.12</v>
      </c>
      <c r="Y11" s="5">
        <f t="shared" si="0"/>
        <v>-2.6179999999999999</v>
      </c>
      <c r="Z11" s="5">
        <f t="shared" si="0"/>
        <v>-0.3</v>
      </c>
      <c r="AA11" s="5">
        <f t="shared" si="0"/>
        <v>-0.02</v>
      </c>
      <c r="AB11" s="5">
        <f t="shared" si="0"/>
        <v>-3.665</v>
      </c>
      <c r="AC11" s="9">
        <f t="shared" si="1"/>
        <v>0.55000000000000004</v>
      </c>
      <c r="AD11" s="9">
        <f t="shared" si="1"/>
        <v>6.9999999999999993E-2</v>
      </c>
      <c r="AE11" s="9">
        <f t="shared" si="1"/>
        <v>3.1414999999999997</v>
      </c>
      <c r="AF11" s="14">
        <v>0.58299999999999996</v>
      </c>
    </row>
    <row r="12" spans="1:38" x14ac:dyDescent="0.25">
      <c r="A12" s="5">
        <f>'Proximal Validation (empirical)'!A12</f>
        <v>0.4</v>
      </c>
      <c r="B12" s="5">
        <f>'Proximal Validation (empirical)'!B12</f>
        <v>0.18</v>
      </c>
      <c r="C12" s="5">
        <f>'Proximal Validation (empirical)'!C12</f>
        <v>2.6179999999999999</v>
      </c>
      <c r="D12" s="5">
        <f>'Proximal Validation (empirical)'!D12</f>
        <v>0.3</v>
      </c>
      <c r="E12" s="5">
        <f>'Proximal Validation (empirical)'!E12</f>
        <v>0.02</v>
      </c>
      <c r="F12" s="5">
        <f>'Proximal Validation (empirical)'!F12</f>
        <v>1.0469999999999999</v>
      </c>
      <c r="G12" s="5">
        <f>'Proximal Validation (empirical)'!G12</f>
        <v>0</v>
      </c>
      <c r="H12" s="5">
        <f>'Proximal Validation (empirical)'!H12</f>
        <v>0</v>
      </c>
      <c r="I12" s="5">
        <f>'Proximal Validation (empirical)'!I12</f>
        <v>0</v>
      </c>
      <c r="J12" s="5">
        <f>'Proximal Validation (empirical)'!J12</f>
        <v>0</v>
      </c>
      <c r="K12" s="5">
        <f>'Proximal Validation (empirical)'!K12</f>
        <v>0</v>
      </c>
      <c r="L12" s="5">
        <f>'Proximal Validation (empirical)'!L12</f>
        <v>0</v>
      </c>
      <c r="M12" s="5">
        <f>'Proximal Validation (empirical)'!M12</f>
        <v>0</v>
      </c>
      <c r="N12" s="5">
        <f>'Proximal Validation (empirical)'!N12</f>
        <v>0</v>
      </c>
      <c r="O12" s="5">
        <f>'Proximal Validation (empirical)'!O12</f>
        <v>0</v>
      </c>
      <c r="P12" s="5"/>
      <c r="Q12" s="5"/>
      <c r="R12" s="5"/>
      <c r="S12" s="5"/>
      <c r="T12" s="5"/>
      <c r="U12" s="5"/>
      <c r="V12" s="12"/>
      <c r="W12" s="5">
        <f t="shared" si="0"/>
        <v>-0.4</v>
      </c>
      <c r="X12" s="5">
        <f t="shared" si="0"/>
        <v>-0.18</v>
      </c>
      <c r="Y12" s="5">
        <f t="shared" si="0"/>
        <v>-2.6179999999999999</v>
      </c>
      <c r="Z12" s="5">
        <f t="shared" si="0"/>
        <v>-0.3</v>
      </c>
      <c r="AA12" s="5">
        <f t="shared" si="0"/>
        <v>-0.02</v>
      </c>
      <c r="AB12" s="5">
        <f t="shared" si="0"/>
        <v>-1.0469999999999999</v>
      </c>
      <c r="AC12" s="9">
        <f t="shared" si="1"/>
        <v>0.35</v>
      </c>
      <c r="AD12" s="9">
        <f t="shared" si="1"/>
        <v>9.9999999999999992E-2</v>
      </c>
      <c r="AE12" s="9">
        <f t="shared" si="1"/>
        <v>1.8325</v>
      </c>
      <c r="AF12" s="14">
        <v>0.54100000000000004</v>
      </c>
      <c r="AG12" s="13"/>
      <c r="AH12" s="13"/>
      <c r="AI12" s="13"/>
    </row>
    <row r="13" spans="1:38" x14ac:dyDescent="0.25">
      <c r="A13" s="5">
        <f>'Proximal Validation (empirical)'!A13</f>
        <v>0.6</v>
      </c>
      <c r="B13" s="5">
        <f>'Proximal Validation (empirical)'!B13</f>
        <v>0.2</v>
      </c>
      <c r="C13" s="5">
        <f>'Proximal Validation (empirical)'!C13</f>
        <v>2.6179999999999999</v>
      </c>
      <c r="D13" s="5">
        <f>'Proximal Validation (empirical)'!D13</f>
        <v>0.5</v>
      </c>
      <c r="E13" s="5">
        <f>'Proximal Validation (empirical)'!E13</f>
        <v>0.1</v>
      </c>
      <c r="F13" s="5">
        <f>'Proximal Validation (empirical)'!F13</f>
        <v>3.665</v>
      </c>
      <c r="G13" s="5">
        <f>'Proximal Validation (empirical)'!G13</f>
        <v>0</v>
      </c>
      <c r="H13" s="5">
        <f>'Proximal Validation (empirical)'!H13</f>
        <v>0</v>
      </c>
      <c r="I13" s="5">
        <f>'Proximal Validation (empirical)'!I13</f>
        <v>0</v>
      </c>
      <c r="J13" s="5">
        <f>'Proximal Validation (empirical)'!J13</f>
        <v>0</v>
      </c>
      <c r="K13" s="5">
        <f>'Proximal Validation (empirical)'!K13</f>
        <v>0</v>
      </c>
      <c r="L13" s="5">
        <f>'Proximal Validation (empirical)'!L13</f>
        <v>0</v>
      </c>
      <c r="M13" s="5">
        <f>'Proximal Validation (empirical)'!M13</f>
        <v>0</v>
      </c>
      <c r="N13" s="5">
        <f>'Proximal Validation (empirical)'!N13</f>
        <v>0</v>
      </c>
      <c r="O13" s="5">
        <f>'Proximal Validation (empirical)'!O13</f>
        <v>0</v>
      </c>
      <c r="P13" s="5"/>
      <c r="Q13" s="5"/>
      <c r="R13" s="5"/>
      <c r="S13" s="5"/>
      <c r="T13" s="5"/>
      <c r="U13" s="5"/>
      <c r="V13" s="12"/>
      <c r="W13" s="5">
        <f t="shared" si="0"/>
        <v>-0.6</v>
      </c>
      <c r="X13" s="5">
        <f t="shared" si="0"/>
        <v>-0.2</v>
      </c>
      <c r="Y13" s="5">
        <f t="shared" si="0"/>
        <v>-2.6179999999999999</v>
      </c>
      <c r="Z13" s="5">
        <f t="shared" si="0"/>
        <v>-0.5</v>
      </c>
      <c r="AA13" s="5">
        <f t="shared" si="0"/>
        <v>-0.1</v>
      </c>
      <c r="AB13" s="5">
        <f t="shared" si="0"/>
        <v>-3.665</v>
      </c>
      <c r="AC13" s="9">
        <f t="shared" si="1"/>
        <v>0.55000000000000004</v>
      </c>
      <c r="AD13" s="9">
        <f t="shared" si="1"/>
        <v>0.15000000000000002</v>
      </c>
      <c r="AE13" s="9">
        <f t="shared" si="1"/>
        <v>3.1414999999999997</v>
      </c>
      <c r="AF13" s="14">
        <v>0.254</v>
      </c>
    </row>
    <row r="14" spans="1:38" x14ac:dyDescent="0.25">
      <c r="A14" s="5">
        <f>'Proximal Validation (empirical)'!A14</f>
        <v>0.3</v>
      </c>
      <c r="B14" s="5">
        <f>'Proximal Validation (empirical)'!B14</f>
        <v>0.2</v>
      </c>
      <c r="C14" s="5">
        <f>'Proximal Validation (empirical)'!C14</f>
        <v>3.927</v>
      </c>
      <c r="D14" s="5">
        <f>'Proximal Validation (empirical)'!D14</f>
        <v>0.3</v>
      </c>
      <c r="E14" s="5">
        <f>'Proximal Validation (empirical)'!E14</f>
        <v>0.1</v>
      </c>
      <c r="F14" s="5">
        <f>'Proximal Validation (empirical)'!F14</f>
        <v>2.3559999999999999</v>
      </c>
      <c r="G14" s="5">
        <f>'Proximal Validation (empirical)'!G14</f>
        <v>0</v>
      </c>
      <c r="H14" s="5">
        <f>'Proximal Validation (empirical)'!H14</f>
        <v>0</v>
      </c>
      <c r="I14" s="5">
        <f>'Proximal Validation (empirical)'!I14</f>
        <v>0</v>
      </c>
      <c r="J14" s="5">
        <f>'Proximal Validation (empirical)'!J14</f>
        <v>0</v>
      </c>
      <c r="K14" s="5">
        <f>'Proximal Validation (empirical)'!K14</f>
        <v>0</v>
      </c>
      <c r="L14" s="5">
        <f>'Proximal Validation (empirical)'!L14</f>
        <v>0</v>
      </c>
      <c r="M14" s="5">
        <f>'Proximal Validation (empirical)'!M14</f>
        <v>0</v>
      </c>
      <c r="N14" s="5">
        <f>'Proximal Validation (empirical)'!N14</f>
        <v>0</v>
      </c>
      <c r="O14" s="5">
        <f>'Proximal Validation (empirical)'!O14</f>
        <v>0</v>
      </c>
      <c r="P14" s="5"/>
      <c r="Q14" s="5"/>
      <c r="R14" s="5"/>
      <c r="S14" s="5"/>
      <c r="T14" s="5"/>
      <c r="U14" s="5"/>
      <c r="V14" s="12"/>
      <c r="W14" s="5">
        <f t="shared" si="0"/>
        <v>-0.3</v>
      </c>
      <c r="X14" s="5">
        <f t="shared" si="0"/>
        <v>-0.2</v>
      </c>
      <c r="Y14" s="5">
        <f t="shared" si="0"/>
        <v>-3.927</v>
      </c>
      <c r="Z14" s="5">
        <f t="shared" si="0"/>
        <v>-0.3</v>
      </c>
      <c r="AA14" s="5">
        <f t="shared" si="0"/>
        <v>-0.1</v>
      </c>
      <c r="AB14" s="5">
        <f t="shared" si="0"/>
        <v>-2.3559999999999999</v>
      </c>
      <c r="AC14" s="9">
        <f t="shared" si="1"/>
        <v>0.3</v>
      </c>
      <c r="AD14" s="9">
        <f t="shared" si="1"/>
        <v>0.15000000000000002</v>
      </c>
      <c r="AE14" s="9">
        <f t="shared" si="1"/>
        <v>3.1414999999999997</v>
      </c>
      <c r="AF14" s="14">
        <v>0.191</v>
      </c>
    </row>
    <row r="15" spans="1:38" x14ac:dyDescent="0.25">
      <c r="A15" s="5">
        <f>'Proximal Validation (empirical)'!A15</f>
        <v>0.3</v>
      </c>
      <c r="B15" s="5">
        <f>'Proximal Validation (empirical)'!B15</f>
        <v>0.14000000000000001</v>
      </c>
      <c r="C15" s="5">
        <f>'Proximal Validation (empirical)'!C15</f>
        <v>2.6179999999999999</v>
      </c>
      <c r="D15" s="5">
        <f>'Proximal Validation (empirical)'!D15</f>
        <v>0.8</v>
      </c>
      <c r="E15" s="5">
        <f>'Proximal Validation (empirical)'!E15</f>
        <v>0.04</v>
      </c>
      <c r="F15" s="5">
        <f>'Proximal Validation (empirical)'!F15</f>
        <v>1.0469999999999999</v>
      </c>
      <c r="G15" s="5">
        <f>'Proximal Validation (empirical)'!G15</f>
        <v>0</v>
      </c>
      <c r="H15" s="5">
        <f>'Proximal Validation (empirical)'!H15</f>
        <v>0</v>
      </c>
      <c r="I15" s="5">
        <f>'Proximal Validation (empirical)'!I15</f>
        <v>0</v>
      </c>
      <c r="J15" s="5">
        <f>'Proximal Validation (empirical)'!J15</f>
        <v>0</v>
      </c>
      <c r="K15" s="5">
        <f>'Proximal Validation (empirical)'!K15</f>
        <v>0</v>
      </c>
      <c r="L15" s="5">
        <f>'Proximal Validation (empirical)'!L15</f>
        <v>0</v>
      </c>
      <c r="M15" s="5">
        <f>'Proximal Validation (empirical)'!M15</f>
        <v>0</v>
      </c>
      <c r="N15" s="5">
        <f>'Proximal Validation (empirical)'!N15</f>
        <v>0</v>
      </c>
      <c r="O15" s="5">
        <f>'Proximal Validation (empirical)'!O15</f>
        <v>0</v>
      </c>
      <c r="P15" s="5"/>
      <c r="Q15" s="5"/>
      <c r="R15" s="5"/>
      <c r="S15" s="5"/>
      <c r="T15" s="5"/>
      <c r="U15" s="5"/>
      <c r="V15" s="12"/>
      <c r="W15" s="5">
        <f t="shared" si="0"/>
        <v>-0.3</v>
      </c>
      <c r="X15" s="5">
        <f t="shared" si="0"/>
        <v>-0.14000000000000001</v>
      </c>
      <c r="Y15" s="5">
        <f t="shared" si="0"/>
        <v>-2.6179999999999999</v>
      </c>
      <c r="Z15" s="5">
        <f t="shared" si="0"/>
        <v>-0.8</v>
      </c>
      <c r="AA15" s="5">
        <f t="shared" si="0"/>
        <v>-0.04</v>
      </c>
      <c r="AB15" s="5">
        <f t="shared" si="0"/>
        <v>-1.0469999999999999</v>
      </c>
      <c r="AC15" s="9">
        <f t="shared" si="1"/>
        <v>0.55000000000000004</v>
      </c>
      <c r="AD15" s="9">
        <f t="shared" si="1"/>
        <v>9.0000000000000011E-2</v>
      </c>
      <c r="AE15" s="9">
        <f t="shared" si="1"/>
        <v>1.8325</v>
      </c>
      <c r="AF15" s="14">
        <v>0.17499999999999999</v>
      </c>
    </row>
    <row r="16" spans="1:38" x14ac:dyDescent="0.25">
      <c r="A16" s="5">
        <f>'Proximal Validation (empirical)'!A16</f>
        <v>0.8</v>
      </c>
      <c r="B16" s="5">
        <f>'Proximal Validation (empirical)'!B16</f>
        <v>0.2</v>
      </c>
      <c r="C16" s="5">
        <f>'Proximal Validation (empirical)'!C16</f>
        <v>0.78500000000000003</v>
      </c>
      <c r="D16" s="5">
        <f>'Proximal Validation (empirical)'!D16</f>
        <v>0.8</v>
      </c>
      <c r="E16" s="5">
        <f>'Proximal Validation (empirical)'!E16</f>
        <v>0.1</v>
      </c>
      <c r="F16" s="5">
        <f>'Proximal Validation (empirical)'!F16</f>
        <v>1.0469999999999999</v>
      </c>
      <c r="G16" s="5">
        <f>'Proximal Validation (empirical)'!G16</f>
        <v>0</v>
      </c>
      <c r="H16" s="5">
        <f>'Proximal Validation (empirical)'!H16</f>
        <v>0</v>
      </c>
      <c r="I16" s="5">
        <f>'Proximal Validation (empirical)'!I16</f>
        <v>0</v>
      </c>
      <c r="J16" s="5">
        <f>'Proximal Validation (empirical)'!J16</f>
        <v>0</v>
      </c>
      <c r="K16" s="5">
        <f>'Proximal Validation (empirical)'!K16</f>
        <v>0</v>
      </c>
      <c r="L16" s="5">
        <f>'Proximal Validation (empirical)'!L16</f>
        <v>0</v>
      </c>
      <c r="M16" s="5">
        <f>'Proximal Validation (empirical)'!M16</f>
        <v>0</v>
      </c>
      <c r="N16" s="5">
        <f>'Proximal Validation (empirical)'!N16</f>
        <v>0</v>
      </c>
      <c r="O16" s="5">
        <f>'Proximal Validation (empirical)'!O16</f>
        <v>0</v>
      </c>
      <c r="P16" s="5"/>
      <c r="Q16" s="5"/>
      <c r="R16" s="5"/>
      <c r="S16" s="5"/>
      <c r="T16" s="5"/>
      <c r="U16" s="5"/>
      <c r="V16" s="12"/>
      <c r="W16" s="5">
        <f t="shared" si="0"/>
        <v>-0.8</v>
      </c>
      <c r="X16" s="5">
        <f t="shared" si="0"/>
        <v>-0.2</v>
      </c>
      <c r="Y16" s="5">
        <f t="shared" si="0"/>
        <v>-0.78500000000000003</v>
      </c>
      <c r="Z16" s="5">
        <f t="shared" si="0"/>
        <v>-0.8</v>
      </c>
      <c r="AA16" s="5">
        <f t="shared" si="0"/>
        <v>-0.1</v>
      </c>
      <c r="AB16" s="5">
        <f t="shared" si="0"/>
        <v>-1.0469999999999999</v>
      </c>
      <c r="AC16" s="9">
        <f t="shared" si="1"/>
        <v>0.8</v>
      </c>
      <c r="AD16" s="9">
        <f t="shared" si="1"/>
        <v>0.15000000000000002</v>
      </c>
      <c r="AE16" s="9">
        <f t="shared" si="1"/>
        <v>0.91599999999999993</v>
      </c>
      <c r="AF16" s="14">
        <v>0.159</v>
      </c>
    </row>
    <row r="17" spans="1:32" x14ac:dyDescent="0.25">
      <c r="A17" s="5">
        <f>'Proximal Validation (empirical)'!A17</f>
        <v>0.4</v>
      </c>
      <c r="B17" s="5">
        <f>'Proximal Validation (empirical)'!B17</f>
        <v>0.12</v>
      </c>
      <c r="C17" s="5">
        <f>'Proximal Validation (empirical)'!C17</f>
        <v>0.78500000000000003</v>
      </c>
      <c r="D17" s="5">
        <f>'Proximal Validation (empirical)'!D17</f>
        <v>0.4</v>
      </c>
      <c r="E17" s="5">
        <f>'Proximal Validation (empirical)'!E17</f>
        <v>0.02</v>
      </c>
      <c r="F17" s="5">
        <f>'Proximal Validation (empirical)'!F17</f>
        <v>2.3559999999999999</v>
      </c>
      <c r="G17" s="5">
        <f>'Proximal Validation (empirical)'!G17</f>
        <v>0</v>
      </c>
      <c r="H17" s="5">
        <f>'Proximal Validation (empirical)'!H17</f>
        <v>0</v>
      </c>
      <c r="I17" s="5">
        <f>'Proximal Validation (empirical)'!I17</f>
        <v>0</v>
      </c>
      <c r="J17" s="5">
        <f>'Proximal Validation (empirical)'!J17</f>
        <v>0</v>
      </c>
      <c r="K17" s="5">
        <f>'Proximal Validation (empirical)'!K17</f>
        <v>0</v>
      </c>
      <c r="L17" s="5">
        <f>'Proximal Validation (empirical)'!L17</f>
        <v>0</v>
      </c>
      <c r="M17" s="5">
        <f>'Proximal Validation (empirical)'!M17</f>
        <v>0</v>
      </c>
      <c r="N17" s="5">
        <f>'Proximal Validation (empirical)'!N17</f>
        <v>0</v>
      </c>
      <c r="O17" s="5">
        <f>'Proximal Validation (empirical)'!O17</f>
        <v>0</v>
      </c>
      <c r="P17" s="5"/>
      <c r="Q17" s="5"/>
      <c r="R17" s="5"/>
      <c r="S17" s="5"/>
      <c r="T17" s="5"/>
      <c r="U17" s="5"/>
      <c r="V17" s="12"/>
      <c r="W17" s="5">
        <f t="shared" si="0"/>
        <v>-0.4</v>
      </c>
      <c r="X17" s="5">
        <f t="shared" si="0"/>
        <v>-0.12</v>
      </c>
      <c r="Y17" s="5">
        <f t="shared" si="0"/>
        <v>-0.78500000000000003</v>
      </c>
      <c r="Z17" s="5">
        <f t="shared" si="0"/>
        <v>-0.4</v>
      </c>
      <c r="AA17" s="5">
        <f t="shared" si="0"/>
        <v>-0.02</v>
      </c>
      <c r="AB17" s="5">
        <f t="shared" si="0"/>
        <v>-2.3559999999999999</v>
      </c>
      <c r="AC17" s="9">
        <f t="shared" si="1"/>
        <v>0.4</v>
      </c>
      <c r="AD17" s="9">
        <f t="shared" si="1"/>
        <v>6.9999999999999993E-2</v>
      </c>
      <c r="AE17" s="9">
        <f t="shared" si="1"/>
        <v>1.5705</v>
      </c>
      <c r="AF17" s="14">
        <v>5.8900000000000001E-2</v>
      </c>
    </row>
  </sheetData>
  <mergeCells count="7">
    <mergeCell ref="AG5:AL5"/>
    <mergeCell ref="A1:I1"/>
    <mergeCell ref="J1:O1"/>
    <mergeCell ref="P1:V1"/>
    <mergeCell ref="W1:AB1"/>
    <mergeCell ref="AC1:AL1"/>
    <mergeCell ref="AG2:A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3" sqref="H13:M13"/>
    </sheetView>
  </sheetViews>
  <sheetFormatPr defaultRowHeight="15" x14ac:dyDescent="0.25"/>
  <sheetData>
    <row r="1" spans="1:13" ht="15.75" x14ac:dyDescent="0.25">
      <c r="A1" s="35" t="s">
        <v>21</v>
      </c>
      <c r="B1" s="36"/>
      <c r="C1" s="36"/>
      <c r="D1" s="36"/>
      <c r="E1" s="36"/>
      <c r="F1" s="37"/>
      <c r="H1" s="35" t="s">
        <v>22</v>
      </c>
      <c r="I1" s="36"/>
      <c r="J1" s="36"/>
      <c r="K1" s="36"/>
      <c r="L1" s="36"/>
      <c r="M1" s="37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-0.89387804269790605</v>
      </c>
      <c r="B3">
        <v>1.22047007083893</v>
      </c>
      <c r="C3">
        <v>-0.40628731250762901</v>
      </c>
      <c r="D3">
        <v>-0.22898079454898801</v>
      </c>
      <c r="E3">
        <v>-0.18633711338043199</v>
      </c>
      <c r="F3" s="4">
        <v>6.9695031270384797E-3</v>
      </c>
      <c r="H3">
        <f>$F3</f>
        <v>6.9695031270384797E-3</v>
      </c>
      <c r="I3">
        <f>-1*$E3</f>
        <v>0.18633711338043199</v>
      </c>
      <c r="J3">
        <f>$D3</f>
        <v>-0.22898079454898801</v>
      </c>
      <c r="K3">
        <f>$C3</f>
        <v>-0.40628731250762901</v>
      </c>
      <c r="L3">
        <f>-1*$B3</f>
        <v>-1.22047007083893</v>
      </c>
      <c r="M3">
        <f>$A3</f>
        <v>-0.89387804269790605</v>
      </c>
    </row>
    <row r="4" spans="1:13" x14ac:dyDescent="0.25">
      <c r="A4">
        <v>0.29466027021408098</v>
      </c>
      <c r="B4">
        <v>-0.217425882816315</v>
      </c>
      <c r="C4">
        <v>-0.28188201785087602</v>
      </c>
      <c r="D4">
        <v>9.0134814381599399E-2</v>
      </c>
      <c r="E4">
        <v>9.6287056803703294E-2</v>
      </c>
      <c r="F4">
        <v>-1.3200249522924399E-3</v>
      </c>
      <c r="H4">
        <f t="shared" ref="H4:H18" si="0">$F4</f>
        <v>-1.3200249522924399E-3</v>
      </c>
      <c r="I4">
        <f t="shared" ref="I4:I18" si="1">-1*$E4</f>
        <v>-9.6287056803703294E-2</v>
      </c>
      <c r="J4">
        <f t="shared" ref="J4:J18" si="2">$D4</f>
        <v>9.0134814381599399E-2</v>
      </c>
      <c r="K4">
        <f t="shared" ref="K4:K18" si="3">$C4</f>
        <v>-0.28188201785087602</v>
      </c>
      <c r="L4">
        <f t="shared" ref="L4:L18" si="4">-1*$B4</f>
        <v>0.217425882816315</v>
      </c>
      <c r="M4">
        <f t="shared" ref="M4:M18" si="5">$A4</f>
        <v>0.29466027021408098</v>
      </c>
    </row>
    <row r="5" spans="1:13" x14ac:dyDescent="0.25">
      <c r="A5">
        <v>-0.61048221588134799</v>
      </c>
      <c r="B5">
        <v>0.88299614191055298</v>
      </c>
      <c r="C5">
        <v>-0.12506151199340801</v>
      </c>
      <c r="D5">
        <v>-0.17296446859836601</v>
      </c>
      <c r="E5">
        <v>-0.13038665056228599</v>
      </c>
      <c r="F5">
        <v>3.0324226245284098E-3</v>
      </c>
      <c r="H5">
        <f t="shared" si="0"/>
        <v>3.0324226245284098E-3</v>
      </c>
      <c r="I5">
        <f t="shared" si="1"/>
        <v>0.13038665056228599</v>
      </c>
      <c r="J5">
        <f t="shared" si="2"/>
        <v>-0.17296446859836601</v>
      </c>
      <c r="K5">
        <f t="shared" si="3"/>
        <v>-0.12506151199340801</v>
      </c>
      <c r="L5">
        <f t="shared" si="4"/>
        <v>-0.88299614191055298</v>
      </c>
      <c r="M5">
        <f t="shared" si="5"/>
        <v>-0.61048221588134799</v>
      </c>
    </row>
    <row r="6" spans="1:13" x14ac:dyDescent="0.25">
      <c r="A6">
        <v>0.98440170288085904</v>
      </c>
      <c r="B6">
        <v>0.72426092624664296</v>
      </c>
      <c r="C6">
        <v>-0.31092065572738598</v>
      </c>
      <c r="D6">
        <v>-0.12917971611022899</v>
      </c>
      <c r="E6">
        <v>0.195207834243774</v>
      </c>
      <c r="F6">
        <v>-3.0779188964515898E-3</v>
      </c>
      <c r="H6">
        <f t="shared" si="0"/>
        <v>-3.0779188964515898E-3</v>
      </c>
      <c r="I6">
        <f t="shared" si="1"/>
        <v>-0.195207834243774</v>
      </c>
      <c r="J6">
        <f t="shared" si="2"/>
        <v>-0.12917971611022899</v>
      </c>
      <c r="K6">
        <f t="shared" si="3"/>
        <v>-0.31092065572738598</v>
      </c>
      <c r="L6">
        <f t="shared" si="4"/>
        <v>-0.72426092624664296</v>
      </c>
      <c r="M6">
        <f t="shared" si="5"/>
        <v>0.98440170288085904</v>
      </c>
    </row>
    <row r="7" spans="1:13" x14ac:dyDescent="0.25">
      <c r="A7">
        <v>-0.18986988067627</v>
      </c>
      <c r="B7">
        <v>0.44398531317710899</v>
      </c>
      <c r="C7">
        <v>-6.15512244403362E-2</v>
      </c>
      <c r="D7">
        <v>-1.7586439847946202E-2</v>
      </c>
      <c r="E7">
        <v>7.9468116164207493E-3</v>
      </c>
      <c r="F7">
        <v>-1.6676099039614201E-4</v>
      </c>
      <c r="H7">
        <f t="shared" si="0"/>
        <v>-1.6676099039614201E-4</v>
      </c>
      <c r="I7">
        <f t="shared" si="1"/>
        <v>-7.9468116164207493E-3</v>
      </c>
      <c r="J7">
        <f t="shared" si="2"/>
        <v>-1.7586439847946202E-2</v>
      </c>
      <c r="K7">
        <f t="shared" si="3"/>
        <v>-6.15512244403362E-2</v>
      </c>
      <c r="L7">
        <f t="shared" si="4"/>
        <v>-0.44398531317710899</v>
      </c>
      <c r="M7">
        <f t="shared" si="5"/>
        <v>-0.18986988067627</v>
      </c>
    </row>
    <row r="8" spans="1:13" x14ac:dyDescent="0.25">
      <c r="A8">
        <v>8.3889193832874298E-2</v>
      </c>
      <c r="B8">
        <v>0.17039117217063901</v>
      </c>
      <c r="C8">
        <v>-0.162799403071404</v>
      </c>
      <c r="D8">
        <v>-7.8928373754024506E-2</v>
      </c>
      <c r="E8">
        <v>-4.7429911792278297E-2</v>
      </c>
      <c r="F8">
        <v>1.7961886478588E-3</v>
      </c>
      <c r="H8">
        <f t="shared" si="0"/>
        <v>1.7961886478588E-3</v>
      </c>
      <c r="I8">
        <f t="shared" si="1"/>
        <v>4.7429911792278297E-2</v>
      </c>
      <c r="J8">
        <f t="shared" si="2"/>
        <v>-7.8928373754024506E-2</v>
      </c>
      <c r="K8">
        <f t="shared" si="3"/>
        <v>-0.162799403071404</v>
      </c>
      <c r="L8">
        <f t="shared" si="4"/>
        <v>-0.17039117217063901</v>
      </c>
      <c r="M8">
        <f t="shared" si="5"/>
        <v>8.3889193832874298E-2</v>
      </c>
    </row>
    <row r="9" spans="1:13" x14ac:dyDescent="0.25">
      <c r="A9">
        <v>8.6106233298778506E-2</v>
      </c>
      <c r="B9">
        <v>0.132277145981789</v>
      </c>
      <c r="C9">
        <v>-0.325775057077408</v>
      </c>
      <c r="D9">
        <v>-7.8846827149391202E-2</v>
      </c>
      <c r="E9">
        <v>-5.0968579947948497E-2</v>
      </c>
      <c r="F9">
        <v>1.25221628695726E-3</v>
      </c>
      <c r="H9">
        <f t="shared" si="0"/>
        <v>1.25221628695726E-3</v>
      </c>
      <c r="I9">
        <f t="shared" si="1"/>
        <v>5.0968579947948497E-2</v>
      </c>
      <c r="J9">
        <f t="shared" si="2"/>
        <v>-7.8846827149391202E-2</v>
      </c>
      <c r="K9">
        <f t="shared" si="3"/>
        <v>-0.325775057077408</v>
      </c>
      <c r="L9">
        <f t="shared" si="4"/>
        <v>-0.132277145981789</v>
      </c>
      <c r="M9">
        <f t="shared" si="5"/>
        <v>8.6106233298778506E-2</v>
      </c>
    </row>
    <row r="10" spans="1:13" x14ac:dyDescent="0.25">
      <c r="A10">
        <v>-0.53309702873230003</v>
      </c>
      <c r="B10">
        <v>0.82167768478393599</v>
      </c>
      <c r="C10">
        <v>-0.544597268104553</v>
      </c>
      <c r="D10">
        <v>-0.17731730639934501</v>
      </c>
      <c r="E10">
        <v>-0.13254639506339999</v>
      </c>
      <c r="F10">
        <v>3.2644039019942301E-3</v>
      </c>
      <c r="H10">
        <f t="shared" si="0"/>
        <v>3.2644039019942301E-3</v>
      </c>
      <c r="I10">
        <f t="shared" si="1"/>
        <v>0.13254639506339999</v>
      </c>
      <c r="J10">
        <f t="shared" si="2"/>
        <v>-0.17731730639934501</v>
      </c>
      <c r="K10">
        <f t="shared" si="3"/>
        <v>-0.544597268104553</v>
      </c>
      <c r="L10">
        <f t="shared" si="4"/>
        <v>-0.82167768478393599</v>
      </c>
      <c r="M10">
        <f t="shared" si="5"/>
        <v>-0.53309702873230003</v>
      </c>
    </row>
    <row r="11" spans="1:13" x14ac:dyDescent="0.25">
      <c r="A11">
        <v>-0.24197338521480599</v>
      </c>
      <c r="B11">
        <v>0.44638109207153298</v>
      </c>
      <c r="C11">
        <v>-6.6438041627407102E-2</v>
      </c>
      <c r="D11">
        <v>-1.8082346767187101E-2</v>
      </c>
      <c r="E11">
        <v>4.7906758263707204E-3</v>
      </c>
      <c r="F11">
        <v>1.42172514460981E-3</v>
      </c>
      <c r="H11">
        <f t="shared" si="0"/>
        <v>1.42172514460981E-3</v>
      </c>
      <c r="I11">
        <f t="shared" si="1"/>
        <v>-4.7906758263707204E-3</v>
      </c>
      <c r="J11">
        <f t="shared" si="2"/>
        <v>-1.8082346767187101E-2</v>
      </c>
      <c r="K11">
        <f t="shared" si="3"/>
        <v>-6.6438041627407102E-2</v>
      </c>
      <c r="L11">
        <f t="shared" si="4"/>
        <v>-0.44638109207153298</v>
      </c>
      <c r="M11">
        <f t="shared" si="5"/>
        <v>-0.24197338521480599</v>
      </c>
    </row>
    <row r="12" spans="1:13" x14ac:dyDescent="0.25">
      <c r="A12">
        <v>4.2206846177578E-2</v>
      </c>
      <c r="B12">
        <v>3.81719022989273E-2</v>
      </c>
      <c r="C12">
        <v>-4.1402954608202001E-2</v>
      </c>
      <c r="D12">
        <v>4.4241491705179201E-2</v>
      </c>
      <c r="E12">
        <v>4.9326874315738699E-2</v>
      </c>
      <c r="F12">
        <v>3.9956606924533801E-3</v>
      </c>
      <c r="H12">
        <f t="shared" si="0"/>
        <v>3.9956606924533801E-3</v>
      </c>
      <c r="I12">
        <f t="shared" si="1"/>
        <v>-4.9326874315738699E-2</v>
      </c>
      <c r="J12">
        <f t="shared" si="2"/>
        <v>4.4241491705179201E-2</v>
      </c>
      <c r="K12">
        <f t="shared" si="3"/>
        <v>-4.1402954608202001E-2</v>
      </c>
      <c r="L12">
        <f t="shared" si="4"/>
        <v>-3.81719022989273E-2</v>
      </c>
      <c r="M12">
        <f t="shared" si="5"/>
        <v>4.2206846177578E-2</v>
      </c>
    </row>
    <row r="13" spans="1:13" x14ac:dyDescent="0.25">
      <c r="A13">
        <v>-0.82137411832809404</v>
      </c>
      <c r="B13">
        <v>1.0104261636734</v>
      </c>
      <c r="C13">
        <v>-0.73947352170944203</v>
      </c>
      <c r="D13">
        <v>-0.20451097190380099</v>
      </c>
      <c r="E13">
        <v>-0.180712014436722</v>
      </c>
      <c r="F13">
        <v>3.26242484152317E-3</v>
      </c>
      <c r="H13">
        <f t="shared" si="0"/>
        <v>3.26242484152317E-3</v>
      </c>
      <c r="I13">
        <f t="shared" si="1"/>
        <v>0.180712014436722</v>
      </c>
      <c r="J13">
        <f t="shared" si="2"/>
        <v>-0.20451097190380099</v>
      </c>
      <c r="K13">
        <f t="shared" si="3"/>
        <v>-0.73947352170944203</v>
      </c>
      <c r="L13">
        <f t="shared" si="4"/>
        <v>-1.0104261636734</v>
      </c>
      <c r="M13">
        <f t="shared" si="5"/>
        <v>-0.82137411832809404</v>
      </c>
    </row>
    <row r="14" spans="1:13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7133-1F40-42FE-857E-F1C32F431B6A}">
  <dimension ref="D2:AI33"/>
  <sheetViews>
    <sheetView topLeftCell="I7" workbookViewId="0">
      <selection activeCell="P33" sqref="P33:U33"/>
    </sheetView>
  </sheetViews>
  <sheetFormatPr defaultRowHeight="15" x14ac:dyDescent="0.25"/>
  <sheetData>
    <row r="2" spans="4:35" x14ac:dyDescent="0.25">
      <c r="D2" t="s">
        <v>35</v>
      </c>
      <c r="E2">
        <v>0.7</v>
      </c>
      <c r="F2">
        <v>0.2</v>
      </c>
      <c r="G2">
        <v>2.6179999999999999</v>
      </c>
      <c r="H2">
        <v>0.8</v>
      </c>
      <c r="I2">
        <v>0.02</v>
      </c>
      <c r="J2">
        <v>2.3559999999999999</v>
      </c>
      <c r="K2">
        <v>0</v>
      </c>
      <c r="L2">
        <v>0</v>
      </c>
      <c r="M2">
        <v>0</v>
      </c>
      <c r="N2" t="s">
        <v>34</v>
      </c>
      <c r="W2" t="s">
        <v>39</v>
      </c>
      <c r="X2" t="s">
        <v>35</v>
      </c>
      <c r="Y2">
        <v>6.9695031270384797E-3</v>
      </c>
      <c r="Z2">
        <v>0.18633711338043199</v>
      </c>
      <c r="AA2">
        <v>-0.22898079454898801</v>
      </c>
      <c r="AB2">
        <v>-0.40628731250762901</v>
      </c>
      <c r="AC2">
        <v>-1.22047007083893</v>
      </c>
      <c r="AD2">
        <v>-0.89387804269790605</v>
      </c>
      <c r="AE2">
        <v>0</v>
      </c>
      <c r="AF2">
        <v>0</v>
      </c>
      <c r="AG2">
        <v>0</v>
      </c>
      <c r="AH2" t="s">
        <v>36</v>
      </c>
      <c r="AI2" t="s">
        <v>34</v>
      </c>
    </row>
    <row r="3" spans="4:35" x14ac:dyDescent="0.25">
      <c r="E3">
        <v>0.8</v>
      </c>
      <c r="F3">
        <v>0.16</v>
      </c>
      <c r="G3">
        <v>3.927</v>
      </c>
      <c r="H3">
        <v>0.8</v>
      </c>
      <c r="I3">
        <v>0.02</v>
      </c>
      <c r="J3">
        <v>3.665</v>
      </c>
      <c r="K3">
        <v>0</v>
      </c>
      <c r="L3">
        <v>0</v>
      </c>
      <c r="M3">
        <v>0</v>
      </c>
      <c r="N3" t="s">
        <v>34</v>
      </c>
      <c r="X3" t="s">
        <v>35</v>
      </c>
      <c r="Y3">
        <v>-1.3200249522924399E-3</v>
      </c>
      <c r="Z3">
        <v>-9.6287056803703294E-2</v>
      </c>
      <c r="AA3">
        <v>9.0134814381599399E-2</v>
      </c>
      <c r="AB3">
        <v>-0.28188201785087602</v>
      </c>
      <c r="AC3">
        <v>0.217425882816315</v>
      </c>
      <c r="AD3">
        <v>0.29466027021408098</v>
      </c>
      <c r="AE3">
        <v>0</v>
      </c>
      <c r="AF3">
        <v>0</v>
      </c>
      <c r="AG3">
        <v>0</v>
      </c>
      <c r="AH3" t="s">
        <v>36</v>
      </c>
      <c r="AI3" t="s">
        <v>34</v>
      </c>
    </row>
    <row r="4" spans="4:35" x14ac:dyDescent="0.25">
      <c r="E4">
        <v>0.8</v>
      </c>
      <c r="F4">
        <v>0.2</v>
      </c>
      <c r="G4">
        <v>3.927</v>
      </c>
      <c r="H4">
        <v>0.4</v>
      </c>
      <c r="I4">
        <v>0.04</v>
      </c>
      <c r="J4">
        <v>1.0469999999999999</v>
      </c>
      <c r="K4">
        <v>0</v>
      </c>
      <c r="L4">
        <v>0</v>
      </c>
      <c r="M4">
        <v>0</v>
      </c>
      <c r="N4" t="s">
        <v>34</v>
      </c>
      <c r="X4" t="s">
        <v>35</v>
      </c>
      <c r="Y4">
        <v>3.0324226245284098E-3</v>
      </c>
      <c r="Z4">
        <v>0.13038665056228599</v>
      </c>
      <c r="AA4">
        <v>-0.17296446859836601</v>
      </c>
      <c r="AB4">
        <v>-0.12506151199340801</v>
      </c>
      <c r="AC4">
        <v>-0.88299614191055298</v>
      </c>
      <c r="AD4">
        <v>-0.61048221588134799</v>
      </c>
      <c r="AE4">
        <v>0</v>
      </c>
      <c r="AF4">
        <v>0</v>
      </c>
      <c r="AG4">
        <v>0</v>
      </c>
      <c r="AH4" t="s">
        <v>36</v>
      </c>
      <c r="AI4" t="s">
        <v>34</v>
      </c>
    </row>
    <row r="5" spans="4:35" x14ac:dyDescent="0.25">
      <c r="E5">
        <v>0.8</v>
      </c>
      <c r="F5">
        <v>0.18</v>
      </c>
      <c r="G5">
        <v>2.6179999999999999</v>
      </c>
      <c r="H5">
        <v>0.7</v>
      </c>
      <c r="I5">
        <v>0.06</v>
      </c>
      <c r="J5">
        <v>2.3559999999999999</v>
      </c>
      <c r="K5">
        <v>0</v>
      </c>
      <c r="L5">
        <v>0</v>
      </c>
      <c r="M5">
        <v>0</v>
      </c>
      <c r="N5" t="s">
        <v>34</v>
      </c>
      <c r="X5" t="s">
        <v>35</v>
      </c>
      <c r="Y5">
        <v>-1.6676099039614201E-4</v>
      </c>
      <c r="Z5">
        <v>-7.9468116164207493E-3</v>
      </c>
      <c r="AA5">
        <v>-1.7586439847946202E-2</v>
      </c>
      <c r="AB5">
        <v>-6.15512244403362E-2</v>
      </c>
      <c r="AC5">
        <v>-0.44398531317710899</v>
      </c>
      <c r="AD5">
        <v>-0.18986988067627</v>
      </c>
      <c r="AE5">
        <v>0</v>
      </c>
      <c r="AF5">
        <v>0</v>
      </c>
      <c r="AG5">
        <v>0</v>
      </c>
      <c r="AH5" t="s">
        <v>36</v>
      </c>
      <c r="AI5" t="s">
        <v>34</v>
      </c>
    </row>
    <row r="6" spans="4:35" x14ac:dyDescent="0.25">
      <c r="E6">
        <v>0.7</v>
      </c>
      <c r="F6">
        <v>0.16</v>
      </c>
      <c r="G6">
        <v>0.78500000000000003</v>
      </c>
      <c r="H6">
        <v>0.3</v>
      </c>
      <c r="I6">
        <v>0.06</v>
      </c>
      <c r="J6">
        <v>3.665</v>
      </c>
      <c r="K6">
        <v>0</v>
      </c>
      <c r="L6">
        <v>0</v>
      </c>
      <c r="M6">
        <v>0</v>
      </c>
      <c r="N6" t="s">
        <v>34</v>
      </c>
      <c r="X6" t="s">
        <v>35</v>
      </c>
      <c r="Y6">
        <v>1.7961886478588E-3</v>
      </c>
      <c r="Z6">
        <v>4.7429911792278297E-2</v>
      </c>
      <c r="AA6">
        <v>-7.8928373754024506E-2</v>
      </c>
      <c r="AB6">
        <v>-0.162799403071404</v>
      </c>
      <c r="AC6">
        <v>-0.17039117217063901</v>
      </c>
      <c r="AD6">
        <v>8.3889193832874298E-2</v>
      </c>
      <c r="AE6">
        <v>0</v>
      </c>
      <c r="AF6">
        <v>0</v>
      </c>
      <c r="AG6">
        <v>0</v>
      </c>
      <c r="AH6" t="s">
        <v>36</v>
      </c>
      <c r="AI6" t="s">
        <v>40</v>
      </c>
    </row>
    <row r="7" spans="4:35" x14ac:dyDescent="0.25">
      <c r="E7">
        <v>0.4</v>
      </c>
      <c r="F7">
        <v>0.2</v>
      </c>
      <c r="G7">
        <v>3.927</v>
      </c>
      <c r="H7">
        <v>0.8</v>
      </c>
      <c r="I7">
        <v>0.06</v>
      </c>
      <c r="J7">
        <v>3.665</v>
      </c>
      <c r="K7">
        <v>0</v>
      </c>
      <c r="L7">
        <v>0</v>
      </c>
      <c r="M7">
        <v>0</v>
      </c>
      <c r="N7" t="s">
        <v>34</v>
      </c>
    </row>
    <row r="8" spans="4:35" x14ac:dyDescent="0.25">
      <c r="E8">
        <v>0.3</v>
      </c>
      <c r="F8">
        <v>0.2</v>
      </c>
      <c r="G8">
        <v>0.78500000000000003</v>
      </c>
      <c r="H8">
        <v>0.7</v>
      </c>
      <c r="I8">
        <v>0.02</v>
      </c>
      <c r="J8">
        <v>3.665</v>
      </c>
      <c r="K8">
        <v>0</v>
      </c>
      <c r="L8">
        <v>0</v>
      </c>
      <c r="M8">
        <v>0</v>
      </c>
      <c r="N8" t="s">
        <v>34</v>
      </c>
    </row>
    <row r="9" spans="4:35" x14ac:dyDescent="0.25">
      <c r="E9">
        <v>0.7</v>
      </c>
      <c r="F9">
        <v>0.12</v>
      </c>
      <c r="G9">
        <v>3.927</v>
      </c>
      <c r="H9">
        <v>0.7</v>
      </c>
      <c r="I9">
        <v>0.02</v>
      </c>
      <c r="J9">
        <v>1.0469999999999999</v>
      </c>
      <c r="K9">
        <v>0</v>
      </c>
      <c r="L9">
        <v>0</v>
      </c>
      <c r="M9">
        <v>0</v>
      </c>
      <c r="N9" t="s">
        <v>34</v>
      </c>
    </row>
    <row r="10" spans="4:35" x14ac:dyDescent="0.25">
      <c r="E10">
        <v>0.8</v>
      </c>
      <c r="F10">
        <v>0.12</v>
      </c>
      <c r="G10">
        <v>2.6179999999999999</v>
      </c>
      <c r="H10">
        <v>0.3</v>
      </c>
      <c r="I10">
        <v>0.02</v>
      </c>
      <c r="J10">
        <v>3.665</v>
      </c>
      <c r="K10">
        <v>0</v>
      </c>
      <c r="L10">
        <v>0</v>
      </c>
      <c r="M10">
        <v>0</v>
      </c>
      <c r="N10" t="s">
        <v>34</v>
      </c>
    </row>
    <row r="11" spans="4:35" x14ac:dyDescent="0.25">
      <c r="E11">
        <v>0.4</v>
      </c>
      <c r="F11">
        <v>0.18</v>
      </c>
      <c r="G11">
        <v>2.6179999999999999</v>
      </c>
      <c r="H11">
        <v>0.3</v>
      </c>
      <c r="I11">
        <v>0.02</v>
      </c>
      <c r="J11">
        <v>1.0469999999999999</v>
      </c>
      <c r="K11">
        <v>0</v>
      </c>
      <c r="L11">
        <v>0</v>
      </c>
      <c r="M11">
        <v>0</v>
      </c>
      <c r="N11" t="s">
        <v>34</v>
      </c>
    </row>
    <row r="12" spans="4:35" x14ac:dyDescent="0.25">
      <c r="E12">
        <v>0.6</v>
      </c>
      <c r="F12">
        <v>0.2</v>
      </c>
      <c r="G12">
        <v>2.6179999999999999</v>
      </c>
      <c r="H12">
        <v>0.5</v>
      </c>
      <c r="I12">
        <v>0.1</v>
      </c>
      <c r="J12">
        <v>3.665</v>
      </c>
      <c r="K12">
        <v>0</v>
      </c>
      <c r="L12">
        <v>0</v>
      </c>
      <c r="M12">
        <v>0</v>
      </c>
      <c r="N12" t="s">
        <v>34</v>
      </c>
    </row>
    <row r="13" spans="4:35" x14ac:dyDescent="0.25">
      <c r="E13">
        <v>0.3</v>
      </c>
      <c r="F13">
        <v>0.2</v>
      </c>
      <c r="G13">
        <v>3.927</v>
      </c>
      <c r="H13">
        <v>0.3</v>
      </c>
      <c r="I13">
        <v>0.1</v>
      </c>
      <c r="J13">
        <v>2.3559999999999999</v>
      </c>
      <c r="K13">
        <v>0</v>
      </c>
      <c r="L13">
        <v>0</v>
      </c>
      <c r="M13">
        <v>0</v>
      </c>
      <c r="N13" t="s">
        <v>34</v>
      </c>
    </row>
    <row r="14" spans="4:35" x14ac:dyDescent="0.25">
      <c r="E14">
        <v>0.3</v>
      </c>
      <c r="F14">
        <v>0.14000000000000001</v>
      </c>
      <c r="G14">
        <v>2.6179999999999999</v>
      </c>
      <c r="H14">
        <v>0.8</v>
      </c>
      <c r="I14">
        <v>0.04</v>
      </c>
      <c r="J14">
        <v>1.0469999999999999</v>
      </c>
      <c r="K14">
        <v>0</v>
      </c>
      <c r="L14">
        <v>0</v>
      </c>
      <c r="M14">
        <v>0</v>
      </c>
      <c r="N14" t="s">
        <v>34</v>
      </c>
      <c r="T14" t="s">
        <v>35</v>
      </c>
      <c r="U14">
        <v>0.8</v>
      </c>
      <c r="V14">
        <v>0.16</v>
      </c>
      <c r="W14">
        <v>3.927</v>
      </c>
      <c r="X14">
        <v>0.8</v>
      </c>
      <c r="Y14">
        <v>0.02</v>
      </c>
      <c r="Z14">
        <v>3.665</v>
      </c>
      <c r="AA14">
        <v>0</v>
      </c>
      <c r="AB14">
        <v>0</v>
      </c>
      <c r="AC14">
        <v>0</v>
      </c>
      <c r="AD14" t="s">
        <v>34</v>
      </c>
    </row>
    <row r="15" spans="4:35" x14ac:dyDescent="0.25">
      <c r="E15">
        <v>0.8</v>
      </c>
      <c r="F15">
        <v>0.2</v>
      </c>
      <c r="G15">
        <v>0.78500000000000003</v>
      </c>
      <c r="H15">
        <v>0.8</v>
      </c>
      <c r="I15">
        <v>0.1</v>
      </c>
      <c r="J15">
        <v>1.0469999999999999</v>
      </c>
      <c r="K15">
        <v>0</v>
      </c>
      <c r="L15">
        <v>0</v>
      </c>
      <c r="M15">
        <v>0</v>
      </c>
      <c r="N15" t="s">
        <v>34</v>
      </c>
      <c r="U15">
        <v>0.7</v>
      </c>
      <c r="V15">
        <v>0.16</v>
      </c>
      <c r="W15">
        <v>0.78500000000000003</v>
      </c>
      <c r="X15">
        <v>0.3</v>
      </c>
      <c r="Y15">
        <v>0.06</v>
      </c>
      <c r="Z15">
        <v>3.665</v>
      </c>
      <c r="AA15">
        <v>0</v>
      </c>
      <c r="AB15">
        <v>0</v>
      </c>
      <c r="AC15">
        <v>0</v>
      </c>
      <c r="AD15" t="s">
        <v>34</v>
      </c>
    </row>
    <row r="16" spans="4:35" x14ac:dyDescent="0.25">
      <c r="E16">
        <v>0.4</v>
      </c>
      <c r="F16">
        <v>0.12</v>
      </c>
      <c r="G16">
        <v>0.78500000000000003</v>
      </c>
      <c r="H16">
        <v>0.4</v>
      </c>
      <c r="I16">
        <v>0.02</v>
      </c>
      <c r="J16">
        <v>2.3559999999999999</v>
      </c>
      <c r="K16">
        <v>0</v>
      </c>
      <c r="L16">
        <v>0</v>
      </c>
      <c r="M16">
        <v>0</v>
      </c>
      <c r="N16" t="s">
        <v>36</v>
      </c>
      <c r="U16">
        <v>0.4</v>
      </c>
      <c r="V16">
        <v>0.2</v>
      </c>
      <c r="W16">
        <v>3.927</v>
      </c>
      <c r="X16">
        <v>0.8</v>
      </c>
      <c r="Y16">
        <v>0.06</v>
      </c>
      <c r="Z16">
        <v>3.665</v>
      </c>
      <c r="AA16">
        <v>0</v>
      </c>
      <c r="AB16">
        <v>0</v>
      </c>
      <c r="AC16">
        <v>0</v>
      </c>
      <c r="AD16" t="s">
        <v>34</v>
      </c>
    </row>
    <row r="17" spans="14:30" x14ac:dyDescent="0.25">
      <c r="U17">
        <v>0.3</v>
      </c>
      <c r="V17">
        <v>0.2</v>
      </c>
      <c r="W17">
        <v>0.78500000000000003</v>
      </c>
      <c r="X17">
        <v>0.7</v>
      </c>
      <c r="Y17">
        <v>0.02</v>
      </c>
      <c r="Z17">
        <v>3.665</v>
      </c>
      <c r="AA17">
        <v>0</v>
      </c>
      <c r="AB17">
        <v>0</v>
      </c>
      <c r="AC17">
        <v>0</v>
      </c>
      <c r="AD17" t="s">
        <v>34</v>
      </c>
    </row>
    <row r="18" spans="14:30" x14ac:dyDescent="0.25">
      <c r="U18">
        <v>0.7</v>
      </c>
      <c r="V18">
        <v>0.12</v>
      </c>
      <c r="W18">
        <v>3.927</v>
      </c>
      <c r="X18">
        <v>0.7</v>
      </c>
      <c r="Y18">
        <v>0.02</v>
      </c>
      <c r="Z18">
        <v>1.0469999999999999</v>
      </c>
      <c r="AA18">
        <v>0</v>
      </c>
      <c r="AB18">
        <v>0</v>
      </c>
      <c r="AC18">
        <v>0</v>
      </c>
      <c r="AD18" t="s">
        <v>36</v>
      </c>
    </row>
    <row r="21" spans="14:30" x14ac:dyDescent="0.25">
      <c r="N21" t="s">
        <v>39</v>
      </c>
      <c r="O21" t="s">
        <v>35</v>
      </c>
      <c r="P21" s="9">
        <v>3.26242484152317E-3</v>
      </c>
      <c r="Q21" s="9">
        <v>0.180712014436722</v>
      </c>
      <c r="R21" s="9">
        <v>-0.20451097190380099</v>
      </c>
      <c r="S21" s="9">
        <v>-0.73947352170944203</v>
      </c>
      <c r="T21" s="9">
        <v>-1.0104261636734</v>
      </c>
      <c r="U21" s="9">
        <v>-0.82137411832809404</v>
      </c>
      <c r="V21" s="6">
        <v>0</v>
      </c>
      <c r="W21" s="6">
        <v>0</v>
      </c>
      <c r="X21" s="6">
        <v>0</v>
      </c>
      <c r="Y21" t="s">
        <v>36</v>
      </c>
      <c r="Z21" t="s">
        <v>34</v>
      </c>
    </row>
    <row r="22" spans="14:30" x14ac:dyDescent="0.25">
      <c r="O22" t="s">
        <v>35</v>
      </c>
      <c r="P22" s="9">
        <v>3.9956606924533801E-3</v>
      </c>
      <c r="Q22" s="9">
        <v>-4.9326874315738699E-2</v>
      </c>
      <c r="R22" s="9">
        <v>4.4241491705179201E-2</v>
      </c>
      <c r="S22" s="9">
        <v>-4.1402954608202001E-2</v>
      </c>
      <c r="T22" s="9">
        <v>-3.81719022989273E-2</v>
      </c>
      <c r="U22" s="9">
        <v>4.2206846177578E-2</v>
      </c>
      <c r="V22" s="6">
        <v>0</v>
      </c>
      <c r="W22" s="6">
        <v>0</v>
      </c>
      <c r="X22" s="6">
        <v>0</v>
      </c>
      <c r="Y22" t="s">
        <v>36</v>
      </c>
      <c r="Z22" t="s">
        <v>34</v>
      </c>
    </row>
    <row r="23" spans="14:30" x14ac:dyDescent="0.25">
      <c r="O23" t="s">
        <v>35</v>
      </c>
      <c r="P23" s="9">
        <v>3.2644039019942301E-3</v>
      </c>
      <c r="Q23" s="9">
        <v>0.13254639506339999</v>
      </c>
      <c r="R23" s="9">
        <v>-0.17731730639934501</v>
      </c>
      <c r="S23" s="9">
        <v>-0.544597268104553</v>
      </c>
      <c r="T23" s="9">
        <v>-0.82167768478393599</v>
      </c>
      <c r="U23" s="9">
        <v>-0.53309702873230003</v>
      </c>
      <c r="V23" s="6">
        <v>0</v>
      </c>
      <c r="W23" s="6">
        <v>0</v>
      </c>
      <c r="X23" s="6">
        <v>0</v>
      </c>
      <c r="Y23" t="s">
        <v>36</v>
      </c>
      <c r="Z23" t="s">
        <v>34</v>
      </c>
    </row>
    <row r="24" spans="14:30" x14ac:dyDescent="0.25">
      <c r="O24" t="s">
        <v>35</v>
      </c>
      <c r="P24" s="9">
        <v>1.42172514460981E-3</v>
      </c>
      <c r="Q24" s="9">
        <v>-4.7906758263707204E-3</v>
      </c>
      <c r="R24" s="9">
        <v>-1.8082346767187101E-2</v>
      </c>
      <c r="S24" s="9">
        <v>-6.6438041627407102E-2</v>
      </c>
      <c r="T24" s="9">
        <v>-0.44638109207153298</v>
      </c>
      <c r="U24" s="9">
        <v>-0.24197338521480599</v>
      </c>
      <c r="V24" s="6">
        <v>0</v>
      </c>
      <c r="W24" s="6">
        <v>0</v>
      </c>
      <c r="X24" s="6">
        <v>0</v>
      </c>
      <c r="Y24" t="s">
        <v>36</v>
      </c>
      <c r="Z24" t="s">
        <v>34</v>
      </c>
    </row>
    <row r="25" spans="14:30" x14ac:dyDescent="0.25">
      <c r="O25" t="s">
        <v>35</v>
      </c>
      <c r="P25" s="9">
        <v>1.25221628695726E-3</v>
      </c>
      <c r="Q25" s="9">
        <v>5.0968579947948497E-2</v>
      </c>
      <c r="R25" s="9">
        <v>-7.8846827149391202E-2</v>
      </c>
      <c r="S25" s="9">
        <v>-0.325775057077408</v>
      </c>
      <c r="T25" s="9">
        <v>-0.132277145981789</v>
      </c>
      <c r="U25" s="9">
        <v>8.6106233298778506E-2</v>
      </c>
      <c r="V25" s="6">
        <v>0</v>
      </c>
      <c r="W25" s="6">
        <v>0</v>
      </c>
      <c r="X25" s="6">
        <v>0</v>
      </c>
      <c r="Y25" t="s">
        <v>36</v>
      </c>
      <c r="Z25" t="s">
        <v>40</v>
      </c>
    </row>
    <row r="29" spans="14:30" x14ac:dyDescent="0.25">
      <c r="O29" t="s">
        <v>35</v>
      </c>
      <c r="P29">
        <v>0.8</v>
      </c>
      <c r="Q29">
        <v>0.16</v>
      </c>
      <c r="R29">
        <v>3.927</v>
      </c>
      <c r="S29">
        <v>0.8</v>
      </c>
      <c r="T29">
        <v>0.02</v>
      </c>
      <c r="U29">
        <v>3.665</v>
      </c>
      <c r="V29" t="s">
        <v>34</v>
      </c>
    </row>
    <row r="30" spans="14:30" x14ac:dyDescent="0.25">
      <c r="P30">
        <v>0.7</v>
      </c>
      <c r="Q30">
        <v>0.16</v>
      </c>
      <c r="R30">
        <v>0.78500000000000003</v>
      </c>
      <c r="S30">
        <v>0.3</v>
      </c>
      <c r="T30">
        <v>0.06</v>
      </c>
      <c r="U30">
        <v>3.665</v>
      </c>
      <c r="V30" t="s">
        <v>34</v>
      </c>
    </row>
    <row r="31" spans="14:30" x14ac:dyDescent="0.25">
      <c r="P31">
        <v>0.4</v>
      </c>
      <c r="Q31">
        <v>0.2</v>
      </c>
      <c r="R31">
        <v>3.927</v>
      </c>
      <c r="S31">
        <v>0.8</v>
      </c>
      <c r="T31">
        <v>0.06</v>
      </c>
      <c r="U31">
        <v>3.665</v>
      </c>
      <c r="V31" t="s">
        <v>34</v>
      </c>
    </row>
    <row r="32" spans="14:30" x14ac:dyDescent="0.25">
      <c r="P32">
        <v>0.3</v>
      </c>
      <c r="Q32">
        <v>0.2</v>
      </c>
      <c r="R32">
        <v>0.78500000000000003</v>
      </c>
      <c r="S32">
        <v>0.7</v>
      </c>
      <c r="T32">
        <v>0.02</v>
      </c>
      <c r="U32">
        <v>3.665</v>
      </c>
      <c r="V32" t="s">
        <v>34</v>
      </c>
    </row>
    <row r="33" spans="16:22" x14ac:dyDescent="0.25">
      <c r="P33">
        <v>0.7</v>
      </c>
      <c r="Q33">
        <v>0.12</v>
      </c>
      <c r="R33">
        <v>3.927</v>
      </c>
      <c r="S33">
        <v>0.7</v>
      </c>
      <c r="T33">
        <v>0.02</v>
      </c>
      <c r="U33">
        <v>1.0469999999999999</v>
      </c>
      <c r="V33" t="s">
        <v>36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 (empirical)</vt:lpstr>
      <vt:lpstr>Distal Validati (empirical)</vt:lpstr>
      <vt:lpstr>Distal Validati (sim)</vt:lpstr>
      <vt:lpstr>Conversion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2025-12-11T20:23:36Z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