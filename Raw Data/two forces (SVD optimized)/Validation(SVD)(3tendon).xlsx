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jpropertycom-my.sharepoint.com/personal/noah_familiajones_org/Documents/Work and Projects/Github/Whisker_Inspired_Sensing_CR/Raw Data/two forces (SVD optimized)/"/>
    </mc:Choice>
  </mc:AlternateContent>
  <xr:revisionPtr revIDLastSave="3328" documentId="8_{DFFD6B0C-681F-42C8-B2E4-5D4B90AAE966}" xr6:coauthVersionLast="47" xr6:coauthVersionMax="47" xr10:uidLastSave="{C8108CF1-9051-4137-81D2-EFADA69126BD}"/>
  <bookViews>
    <workbookView xWindow="-120" yWindow="-120" windowWidth="29040" windowHeight="15720" xr2:uid="{3D16C37F-3C74-4527-A308-796C339DFE9F}"/>
  </bookViews>
  <sheets>
    <sheet name="Proximal Validation (double)" sheetId="12" r:id="rId1"/>
    <sheet name="Proximal Validation (debug)" sheetId="38" r:id="rId2"/>
    <sheet name="Distal Validati (double)" sheetId="19" r:id="rId3"/>
    <sheet name="Distal Validati (sim)" sheetId="37" r:id="rId4"/>
    <sheet name="Conversion" sheetId="4" r:id="rId5"/>
    <sheet name="Sheet2" sheetId="3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7" i="38" l="1"/>
  <c r="Z17" i="38"/>
  <c r="Y17" i="38"/>
  <c r="X17" i="38"/>
  <c r="W17" i="38"/>
  <c r="V17" i="38"/>
  <c r="AA16" i="38"/>
  <c r="Z16" i="38"/>
  <c r="Y16" i="38"/>
  <c r="X16" i="38"/>
  <c r="W16" i="38"/>
  <c r="V16" i="38"/>
  <c r="AA15" i="38"/>
  <c r="Z15" i="38"/>
  <c r="Y15" i="38"/>
  <c r="X15" i="38"/>
  <c r="W15" i="38"/>
  <c r="V15" i="38"/>
  <c r="AA14" i="38"/>
  <c r="Z14" i="38"/>
  <c r="Y14" i="38"/>
  <c r="X14" i="38"/>
  <c r="W14" i="38"/>
  <c r="V14" i="38"/>
  <c r="AA13" i="38"/>
  <c r="Z13" i="38"/>
  <c r="Y13" i="38"/>
  <c r="X13" i="38"/>
  <c r="W13" i="38"/>
  <c r="V13" i="38"/>
  <c r="AA12" i="38"/>
  <c r="Z12" i="38"/>
  <c r="Y12" i="38"/>
  <c r="X12" i="38"/>
  <c r="W12" i="38"/>
  <c r="V12" i="38"/>
  <c r="AA11" i="38"/>
  <c r="Z11" i="38"/>
  <c r="Y11" i="38"/>
  <c r="X11" i="38"/>
  <c r="W11" i="38"/>
  <c r="V11" i="38"/>
  <c r="AA10" i="38"/>
  <c r="Z10" i="38"/>
  <c r="Y10" i="38"/>
  <c r="X10" i="38"/>
  <c r="W10" i="38"/>
  <c r="V10" i="38"/>
  <c r="AA9" i="38"/>
  <c r="Z9" i="38"/>
  <c r="Y9" i="38"/>
  <c r="X9" i="38"/>
  <c r="W9" i="38"/>
  <c r="V9" i="38"/>
  <c r="AA8" i="38"/>
  <c r="Z8" i="38"/>
  <c r="Y8" i="38"/>
  <c r="X8" i="38"/>
  <c r="W8" i="38"/>
  <c r="V8" i="38"/>
  <c r="AA7" i="38"/>
  <c r="Z7" i="38"/>
  <c r="Y7" i="38"/>
  <c r="X7" i="38"/>
  <c r="W7" i="38"/>
  <c r="V7" i="38"/>
  <c r="AA6" i="38"/>
  <c r="Z6" i="38"/>
  <c r="Y6" i="38"/>
  <c r="X6" i="38"/>
  <c r="W6" i="38"/>
  <c r="V6" i="38"/>
  <c r="AA5" i="38"/>
  <c r="Z5" i="38"/>
  <c r="Y5" i="38"/>
  <c r="X5" i="38"/>
  <c r="W5" i="38"/>
  <c r="V5" i="38"/>
  <c r="AA4" i="38"/>
  <c r="Z4" i="38"/>
  <c r="Y4" i="38"/>
  <c r="X4" i="38"/>
  <c r="W4" i="38"/>
  <c r="V4" i="38"/>
  <c r="AA3" i="38"/>
  <c r="Z3" i="38"/>
  <c r="Y3" i="38"/>
  <c r="X3" i="38"/>
  <c r="W3" i="38"/>
  <c r="V3" i="38"/>
  <c r="AH4" i="37" a="1"/>
  <c r="AH4" i="37" s="1"/>
  <c r="AI4" i="37" a="1"/>
  <c r="AI4" i="37" s="1"/>
  <c r="AJ4" i="37" a="1"/>
  <c r="AJ4" i="37"/>
  <c r="AK4" i="37" a="1"/>
  <c r="AK4" i="37"/>
  <c r="AL4" i="37" a="1"/>
  <c r="AL4" i="37"/>
  <c r="AG4" i="37" a="1"/>
  <c r="AG4" i="37"/>
  <c r="O17" i="37"/>
  <c r="N17" i="37"/>
  <c r="M17" i="37"/>
  <c r="L17" i="37"/>
  <c r="K17" i="37"/>
  <c r="J17" i="37"/>
  <c r="I17" i="37"/>
  <c r="H17" i="37"/>
  <c r="G17" i="37"/>
  <c r="F17" i="37"/>
  <c r="AB17" i="37" s="1"/>
  <c r="E17" i="37"/>
  <c r="AA17" i="37" s="1"/>
  <c r="D17" i="37"/>
  <c r="Z17" i="37" s="1"/>
  <c r="C17" i="37"/>
  <c r="Y17" i="37" s="1"/>
  <c r="B17" i="37"/>
  <c r="X17" i="37" s="1"/>
  <c r="A17" i="37"/>
  <c r="W17" i="37" s="1"/>
  <c r="AB16" i="37"/>
  <c r="AA16" i="37"/>
  <c r="W16" i="37"/>
  <c r="O16" i="37"/>
  <c r="N16" i="37"/>
  <c r="M16" i="37"/>
  <c r="L16" i="37"/>
  <c r="K16" i="37"/>
  <c r="J16" i="37"/>
  <c r="I16" i="37"/>
  <c r="H16" i="37"/>
  <c r="G16" i="37"/>
  <c r="F16" i="37"/>
  <c r="E16" i="37"/>
  <c r="D16" i="37"/>
  <c r="Z16" i="37" s="1"/>
  <c r="C16" i="37"/>
  <c r="Y16" i="37" s="1"/>
  <c r="AE16" i="37" s="1"/>
  <c r="B16" i="37"/>
  <c r="X16" i="37" s="1"/>
  <c r="AD16" i="37" s="1"/>
  <c r="A16" i="37"/>
  <c r="AB15" i="37"/>
  <c r="AA15" i="37"/>
  <c r="W15" i="37"/>
  <c r="O15" i="37"/>
  <c r="N15" i="37"/>
  <c r="M15" i="37"/>
  <c r="L15" i="37"/>
  <c r="K15" i="37"/>
  <c r="J15" i="37"/>
  <c r="I15" i="37"/>
  <c r="H15" i="37"/>
  <c r="G15" i="37"/>
  <c r="F15" i="37"/>
  <c r="E15" i="37"/>
  <c r="D15" i="37"/>
  <c r="Z15" i="37" s="1"/>
  <c r="C15" i="37"/>
  <c r="Y15" i="37" s="1"/>
  <c r="B15" i="37"/>
  <c r="X15" i="37" s="1"/>
  <c r="A15" i="37"/>
  <c r="AB14" i="37"/>
  <c r="AA14" i="37"/>
  <c r="W14" i="37"/>
  <c r="O14" i="37"/>
  <c r="N14" i="37"/>
  <c r="M14" i="37"/>
  <c r="L14" i="37"/>
  <c r="K14" i="37"/>
  <c r="J14" i="37"/>
  <c r="I14" i="37"/>
  <c r="H14" i="37"/>
  <c r="G14" i="37"/>
  <c r="F14" i="37"/>
  <c r="E14" i="37"/>
  <c r="D14" i="37"/>
  <c r="Z14" i="37" s="1"/>
  <c r="C14" i="37"/>
  <c r="Y14" i="37" s="1"/>
  <c r="AE14" i="37" s="1"/>
  <c r="B14" i="37"/>
  <c r="X14" i="37" s="1"/>
  <c r="AD14" i="37" s="1"/>
  <c r="A14" i="37"/>
  <c r="AB13" i="37"/>
  <c r="AA13" i="37"/>
  <c r="W13" i="37"/>
  <c r="O13" i="37"/>
  <c r="N13" i="37"/>
  <c r="M13" i="37"/>
  <c r="L13" i="37"/>
  <c r="K13" i="37"/>
  <c r="J13" i="37"/>
  <c r="I13" i="37"/>
  <c r="H13" i="37"/>
  <c r="G13" i="37"/>
  <c r="F13" i="37"/>
  <c r="E13" i="37"/>
  <c r="D13" i="37"/>
  <c r="Z13" i="37" s="1"/>
  <c r="C13" i="37"/>
  <c r="Y13" i="37" s="1"/>
  <c r="B13" i="37"/>
  <c r="X13" i="37" s="1"/>
  <c r="A13" i="37"/>
  <c r="AB12" i="37"/>
  <c r="AA12" i="37"/>
  <c r="W12" i="37"/>
  <c r="O12" i="37"/>
  <c r="N12" i="37"/>
  <c r="M12" i="37"/>
  <c r="L12" i="37"/>
  <c r="K12" i="37"/>
  <c r="J12" i="37"/>
  <c r="I12" i="37"/>
  <c r="H12" i="37"/>
  <c r="G12" i="37"/>
  <c r="F12" i="37"/>
  <c r="E12" i="37"/>
  <c r="D12" i="37"/>
  <c r="Z12" i="37" s="1"/>
  <c r="C12" i="37"/>
  <c r="Y12" i="37" s="1"/>
  <c r="AE12" i="37" s="1"/>
  <c r="B12" i="37"/>
  <c r="X12" i="37" s="1"/>
  <c r="AD12" i="37" s="1"/>
  <c r="A12" i="37"/>
  <c r="AB11" i="37"/>
  <c r="AA11" i="37"/>
  <c r="W11" i="37"/>
  <c r="O11" i="37"/>
  <c r="N11" i="37"/>
  <c r="M11" i="37"/>
  <c r="L11" i="37"/>
  <c r="K11" i="37"/>
  <c r="J11" i="37"/>
  <c r="I11" i="37"/>
  <c r="H11" i="37"/>
  <c r="G11" i="37"/>
  <c r="F11" i="37"/>
  <c r="E11" i="37"/>
  <c r="D11" i="37"/>
  <c r="Z11" i="37" s="1"/>
  <c r="AC11" i="37" s="1"/>
  <c r="C11" i="37"/>
  <c r="Y11" i="37" s="1"/>
  <c r="B11" i="37"/>
  <c r="X11" i="37" s="1"/>
  <c r="A11" i="37"/>
  <c r="AB10" i="37"/>
  <c r="AA10" i="37"/>
  <c r="W10" i="37"/>
  <c r="O10" i="37"/>
  <c r="N10" i="37"/>
  <c r="M10" i="37"/>
  <c r="L10" i="37"/>
  <c r="K10" i="37"/>
  <c r="J10" i="37"/>
  <c r="I10" i="37"/>
  <c r="H10" i="37"/>
  <c r="G10" i="37"/>
  <c r="F10" i="37"/>
  <c r="E10" i="37"/>
  <c r="D10" i="37"/>
  <c r="Z10" i="37" s="1"/>
  <c r="AC10" i="37" s="1"/>
  <c r="C10" i="37"/>
  <c r="Y10" i="37" s="1"/>
  <c r="AE10" i="37" s="1"/>
  <c r="B10" i="37"/>
  <c r="X10" i="37" s="1"/>
  <c r="AD10" i="37" s="1"/>
  <c r="A10" i="37"/>
  <c r="AB9" i="37"/>
  <c r="AA9" i="37"/>
  <c r="W9" i="37"/>
  <c r="O9" i="37"/>
  <c r="N9" i="37"/>
  <c r="M9" i="37"/>
  <c r="L9" i="37"/>
  <c r="K9" i="37"/>
  <c r="J9" i="37"/>
  <c r="I9" i="37"/>
  <c r="H9" i="37"/>
  <c r="G9" i="37"/>
  <c r="F9" i="37"/>
  <c r="E9" i="37"/>
  <c r="D9" i="37"/>
  <c r="Z9" i="37" s="1"/>
  <c r="AC9" i="37" s="1"/>
  <c r="C9" i="37"/>
  <c r="Y9" i="37" s="1"/>
  <c r="B9" i="37"/>
  <c r="X9" i="37" s="1"/>
  <c r="A9" i="37"/>
  <c r="AB8" i="37"/>
  <c r="AA8" i="37"/>
  <c r="W8" i="37"/>
  <c r="O8" i="37"/>
  <c r="N8" i="37"/>
  <c r="M8" i="37"/>
  <c r="L8" i="37"/>
  <c r="K8" i="37"/>
  <c r="J8" i="37"/>
  <c r="I8" i="37"/>
  <c r="H8" i="37"/>
  <c r="G8" i="37"/>
  <c r="F8" i="37"/>
  <c r="E8" i="37"/>
  <c r="D8" i="37"/>
  <c r="Z8" i="37" s="1"/>
  <c r="AC8" i="37" s="1"/>
  <c r="C8" i="37"/>
  <c r="Y8" i="37" s="1"/>
  <c r="AE8" i="37" s="1"/>
  <c r="B8" i="37"/>
  <c r="X8" i="37" s="1"/>
  <c r="AD8" i="37" s="1"/>
  <c r="A8" i="37"/>
  <c r="Z7" i="37"/>
  <c r="Y7" i="37"/>
  <c r="AE7" i="37" s="1"/>
  <c r="X7" i="37"/>
  <c r="O7" i="37"/>
  <c r="N7" i="37"/>
  <c r="M7" i="37"/>
  <c r="L7" i="37"/>
  <c r="K7" i="37"/>
  <c r="J7" i="37"/>
  <c r="I7" i="37"/>
  <c r="H7" i="37"/>
  <c r="G7" i="37"/>
  <c r="F7" i="37"/>
  <c r="AB7" i="37" s="1"/>
  <c r="E7" i="37"/>
  <c r="AA7" i="37" s="1"/>
  <c r="D7" i="37"/>
  <c r="C7" i="37"/>
  <c r="B7" i="37"/>
  <c r="A7" i="37"/>
  <c r="W7" i="37" s="1"/>
  <c r="Z6" i="37"/>
  <c r="Y6" i="37"/>
  <c r="X6" i="37"/>
  <c r="O6" i="37"/>
  <c r="N6" i="37"/>
  <c r="M6" i="37"/>
  <c r="L6" i="37"/>
  <c r="K6" i="37"/>
  <c r="J6" i="37"/>
  <c r="I6" i="37"/>
  <c r="H6" i="37"/>
  <c r="G6" i="37"/>
  <c r="F6" i="37"/>
  <c r="AB6" i="37" s="1"/>
  <c r="E6" i="37"/>
  <c r="AA6" i="37" s="1"/>
  <c r="D6" i="37"/>
  <c r="C6" i="37"/>
  <c r="B6" i="37"/>
  <c r="A6" i="37"/>
  <c r="W6" i="37" s="1"/>
  <c r="AC6" i="37" s="1"/>
  <c r="Z5" i="37"/>
  <c r="Y5" i="37"/>
  <c r="AE5" i="37" s="1"/>
  <c r="X5" i="37"/>
  <c r="O5" i="37"/>
  <c r="N5" i="37"/>
  <c r="M5" i="37"/>
  <c r="L5" i="37"/>
  <c r="K5" i="37"/>
  <c r="J5" i="37"/>
  <c r="I5" i="37"/>
  <c r="H5" i="37"/>
  <c r="G5" i="37"/>
  <c r="F5" i="37"/>
  <c r="AB5" i="37" s="1"/>
  <c r="E5" i="37"/>
  <c r="AA5" i="37" s="1"/>
  <c r="D5" i="37"/>
  <c r="C5" i="37"/>
  <c r="B5" i="37"/>
  <c r="A5" i="37"/>
  <c r="W5" i="37" s="1"/>
  <c r="Z4" i="37"/>
  <c r="Y4" i="37"/>
  <c r="X4" i="37"/>
  <c r="O4" i="37"/>
  <c r="N4" i="37"/>
  <c r="M4" i="37"/>
  <c r="L4" i="37"/>
  <c r="K4" i="37"/>
  <c r="J4" i="37"/>
  <c r="I4" i="37"/>
  <c r="H4" i="37"/>
  <c r="G4" i="37"/>
  <c r="F4" i="37"/>
  <c r="AB4" i="37" s="1"/>
  <c r="E4" i="37"/>
  <c r="AA4" i="37" s="1"/>
  <c r="D4" i="37"/>
  <c r="C4" i="37"/>
  <c r="B4" i="37"/>
  <c r="A4" i="37"/>
  <c r="W4" i="37" s="1"/>
  <c r="Z3" i="37"/>
  <c r="Y3" i="37"/>
  <c r="AE3" i="37" s="1"/>
  <c r="X3" i="37"/>
  <c r="O3" i="37"/>
  <c r="N3" i="37"/>
  <c r="M3" i="37"/>
  <c r="L3" i="37"/>
  <c r="K3" i="37"/>
  <c r="J3" i="37"/>
  <c r="I3" i="37"/>
  <c r="H3" i="37"/>
  <c r="G3" i="37"/>
  <c r="F3" i="37"/>
  <c r="AB3" i="37" s="1"/>
  <c r="E3" i="37"/>
  <c r="AA3" i="37" s="1"/>
  <c r="D3" i="37"/>
  <c r="C3" i="37"/>
  <c r="B3" i="37"/>
  <c r="A3" i="37"/>
  <c r="W3" i="37" s="1"/>
  <c r="A3" i="19"/>
  <c r="B3" i="19"/>
  <c r="C3" i="19"/>
  <c r="D3" i="19"/>
  <c r="E3" i="19"/>
  <c r="F3" i="19"/>
  <c r="G3" i="19"/>
  <c r="H3" i="19"/>
  <c r="I3" i="19"/>
  <c r="J3" i="19"/>
  <c r="K3" i="19"/>
  <c r="L3" i="19"/>
  <c r="M3" i="19"/>
  <c r="N3" i="19"/>
  <c r="O3" i="19"/>
  <c r="A4" i="19"/>
  <c r="B4" i="19"/>
  <c r="C4" i="19"/>
  <c r="D4" i="19"/>
  <c r="E4" i="19"/>
  <c r="F4" i="19"/>
  <c r="G4" i="19"/>
  <c r="H4" i="19"/>
  <c r="I4" i="19"/>
  <c r="J4" i="19"/>
  <c r="K4" i="19"/>
  <c r="L4" i="19"/>
  <c r="M4" i="19"/>
  <c r="N4" i="19"/>
  <c r="O4" i="19"/>
  <c r="A5" i="19"/>
  <c r="B5" i="19"/>
  <c r="C5" i="19"/>
  <c r="D5" i="19"/>
  <c r="E5" i="19"/>
  <c r="F5" i="19"/>
  <c r="G5" i="19"/>
  <c r="H5" i="19"/>
  <c r="I5" i="19"/>
  <c r="J5" i="19"/>
  <c r="K5" i="19"/>
  <c r="L5" i="19"/>
  <c r="M5" i="19"/>
  <c r="N5" i="19"/>
  <c r="O5" i="19"/>
  <c r="A6" i="19"/>
  <c r="B6" i="19"/>
  <c r="C6" i="19"/>
  <c r="D6" i="19"/>
  <c r="E6" i="19"/>
  <c r="F6" i="19"/>
  <c r="G6" i="19"/>
  <c r="H6" i="19"/>
  <c r="I6" i="19"/>
  <c r="J6" i="19"/>
  <c r="K6" i="19"/>
  <c r="L6" i="19"/>
  <c r="M6" i="19"/>
  <c r="N6" i="19"/>
  <c r="O6" i="19"/>
  <c r="A7" i="19"/>
  <c r="B7" i="19"/>
  <c r="C7" i="19"/>
  <c r="D7" i="19"/>
  <c r="E7" i="19"/>
  <c r="F7" i="19"/>
  <c r="G7" i="19"/>
  <c r="H7" i="19"/>
  <c r="I7" i="19"/>
  <c r="J7" i="19"/>
  <c r="K7" i="19"/>
  <c r="L7" i="19"/>
  <c r="M7" i="19"/>
  <c r="N7" i="19"/>
  <c r="O7" i="19"/>
  <c r="A8" i="19"/>
  <c r="B8" i="19"/>
  <c r="C8" i="19"/>
  <c r="D8" i="19"/>
  <c r="E8" i="19"/>
  <c r="F8" i="19"/>
  <c r="G8" i="19"/>
  <c r="H8" i="19"/>
  <c r="I8" i="19"/>
  <c r="J8" i="19"/>
  <c r="K8" i="19"/>
  <c r="L8" i="19"/>
  <c r="M8" i="19"/>
  <c r="N8" i="19"/>
  <c r="O8" i="19"/>
  <c r="A9" i="19"/>
  <c r="B9" i="19"/>
  <c r="C9" i="19"/>
  <c r="D9" i="19"/>
  <c r="E9" i="19"/>
  <c r="F9" i="19"/>
  <c r="G9" i="19"/>
  <c r="H9" i="19"/>
  <c r="I9" i="19"/>
  <c r="J9" i="19"/>
  <c r="K9" i="19"/>
  <c r="L9" i="19"/>
  <c r="M9" i="19"/>
  <c r="N9" i="19"/>
  <c r="O9" i="19"/>
  <c r="A10" i="19"/>
  <c r="B10" i="19"/>
  <c r="C10" i="19"/>
  <c r="D10" i="19"/>
  <c r="E10" i="19"/>
  <c r="F10" i="19"/>
  <c r="G10" i="19"/>
  <c r="H10" i="19"/>
  <c r="I10" i="19"/>
  <c r="J10" i="19"/>
  <c r="K10" i="19"/>
  <c r="L10" i="19"/>
  <c r="M10" i="19"/>
  <c r="N10" i="19"/>
  <c r="O10" i="19"/>
  <c r="A11" i="19"/>
  <c r="W11" i="19" s="1"/>
  <c r="B11" i="19"/>
  <c r="C11" i="19"/>
  <c r="Y11" i="19" s="1"/>
  <c r="D11" i="19"/>
  <c r="Z11" i="19" s="1"/>
  <c r="E11" i="19"/>
  <c r="AA11" i="19" s="1"/>
  <c r="F11" i="19"/>
  <c r="AB11" i="19" s="1"/>
  <c r="G11" i="19"/>
  <c r="H11" i="19"/>
  <c r="I11" i="19"/>
  <c r="J11" i="19"/>
  <c r="K11" i="19"/>
  <c r="L11" i="19"/>
  <c r="M11" i="19"/>
  <c r="N11" i="19"/>
  <c r="O11" i="19"/>
  <c r="A12" i="19"/>
  <c r="W12" i="19" s="1"/>
  <c r="B12" i="19"/>
  <c r="X12" i="19" s="1"/>
  <c r="C12" i="19"/>
  <c r="Y12" i="19" s="1"/>
  <c r="D12" i="19"/>
  <c r="Z12" i="19" s="1"/>
  <c r="E12" i="19"/>
  <c r="AA12" i="19" s="1"/>
  <c r="F12" i="19"/>
  <c r="AB12" i="19" s="1"/>
  <c r="G12" i="19"/>
  <c r="H12" i="19"/>
  <c r="I12" i="19"/>
  <c r="J12" i="19"/>
  <c r="K12" i="19"/>
  <c r="L12" i="19"/>
  <c r="M12" i="19"/>
  <c r="N12" i="19"/>
  <c r="O12" i="19"/>
  <c r="A13" i="19"/>
  <c r="B13" i="19"/>
  <c r="C13" i="19"/>
  <c r="D13" i="19"/>
  <c r="E13" i="19"/>
  <c r="F13" i="19"/>
  <c r="G13" i="19"/>
  <c r="H13" i="19"/>
  <c r="I13" i="19"/>
  <c r="J13" i="19"/>
  <c r="K13" i="19"/>
  <c r="L13" i="19"/>
  <c r="M13" i="19"/>
  <c r="N13" i="19"/>
  <c r="O13" i="19"/>
  <c r="A14" i="19"/>
  <c r="W14" i="19" s="1"/>
  <c r="B14" i="19"/>
  <c r="X14" i="19" s="1"/>
  <c r="C14" i="19"/>
  <c r="Y14" i="19" s="1"/>
  <c r="D14" i="19"/>
  <c r="Z14" i="19" s="1"/>
  <c r="E14" i="19"/>
  <c r="AA14" i="19" s="1"/>
  <c r="F14" i="19"/>
  <c r="AB14" i="19" s="1"/>
  <c r="G14" i="19"/>
  <c r="H14" i="19"/>
  <c r="I14" i="19"/>
  <c r="J14" i="19"/>
  <c r="K14" i="19"/>
  <c r="L14" i="19"/>
  <c r="M14" i="19"/>
  <c r="N14" i="19"/>
  <c r="O14" i="19"/>
  <c r="A15" i="19"/>
  <c r="W15" i="19" s="1"/>
  <c r="B15" i="19"/>
  <c r="X15" i="19" s="1"/>
  <c r="C15" i="19"/>
  <c r="Y15" i="19" s="1"/>
  <c r="D15" i="19"/>
  <c r="Z15" i="19" s="1"/>
  <c r="E15" i="19"/>
  <c r="AA15" i="19" s="1"/>
  <c r="F15" i="19"/>
  <c r="AB15" i="19" s="1"/>
  <c r="G15" i="19"/>
  <c r="H15" i="19"/>
  <c r="I15" i="19"/>
  <c r="J15" i="19"/>
  <c r="K15" i="19"/>
  <c r="L15" i="19"/>
  <c r="M15" i="19"/>
  <c r="N15" i="19"/>
  <c r="O15" i="19"/>
  <c r="A16" i="19"/>
  <c r="W16" i="19" s="1"/>
  <c r="B16" i="19"/>
  <c r="X16" i="19" s="1"/>
  <c r="C16" i="19"/>
  <c r="Y16" i="19" s="1"/>
  <c r="D16" i="19"/>
  <c r="E16" i="19"/>
  <c r="F16" i="19"/>
  <c r="AB16" i="19" s="1"/>
  <c r="G16" i="19"/>
  <c r="H16" i="19"/>
  <c r="I16" i="19"/>
  <c r="J16" i="19"/>
  <c r="K16" i="19"/>
  <c r="L16" i="19"/>
  <c r="M16" i="19"/>
  <c r="N16" i="19"/>
  <c r="O16" i="19"/>
  <c r="A17" i="19"/>
  <c r="W17" i="19" s="1"/>
  <c r="B17" i="19"/>
  <c r="X17" i="19" s="1"/>
  <c r="C17" i="19"/>
  <c r="Y17" i="19" s="1"/>
  <c r="D17" i="19"/>
  <c r="Z17" i="19" s="1"/>
  <c r="E17" i="19"/>
  <c r="AA17" i="19" s="1"/>
  <c r="F17" i="19"/>
  <c r="AB17" i="19" s="1"/>
  <c r="G17" i="19"/>
  <c r="H17" i="19"/>
  <c r="I17" i="19"/>
  <c r="J17" i="19"/>
  <c r="K17" i="19"/>
  <c r="L17" i="19"/>
  <c r="M17" i="19"/>
  <c r="N17" i="19"/>
  <c r="O17" i="19"/>
  <c r="W13" i="19"/>
  <c r="X13" i="19"/>
  <c r="Y13" i="19"/>
  <c r="Z13" i="19"/>
  <c r="AA13" i="19"/>
  <c r="AB13" i="19"/>
  <c r="Z16" i="19"/>
  <c r="AA16" i="19"/>
  <c r="X11" i="19"/>
  <c r="V11" i="12"/>
  <c r="W11" i="12"/>
  <c r="X11" i="12"/>
  <c r="Y11" i="12"/>
  <c r="Z11" i="12"/>
  <c r="AA11" i="12"/>
  <c r="V12" i="12"/>
  <c r="W12" i="12"/>
  <c r="X12" i="12"/>
  <c r="Y12" i="12"/>
  <c r="Z12" i="12"/>
  <c r="AA12" i="12"/>
  <c r="V13" i="12"/>
  <c r="W13" i="12"/>
  <c r="X13" i="12"/>
  <c r="Y13" i="12"/>
  <c r="Z13" i="12"/>
  <c r="AA13" i="12"/>
  <c r="V14" i="12"/>
  <c r="W14" i="12"/>
  <c r="X14" i="12"/>
  <c r="Y14" i="12"/>
  <c r="Z14" i="12"/>
  <c r="AA14" i="12"/>
  <c r="V15" i="12"/>
  <c r="W15" i="12"/>
  <c r="X15" i="12"/>
  <c r="Y15" i="12"/>
  <c r="Z15" i="12"/>
  <c r="AA15" i="12"/>
  <c r="V16" i="12"/>
  <c r="W16" i="12"/>
  <c r="X16" i="12"/>
  <c r="Y16" i="12"/>
  <c r="Z16" i="12"/>
  <c r="AA16" i="12"/>
  <c r="V17" i="12"/>
  <c r="W17" i="12"/>
  <c r="X17" i="12"/>
  <c r="Y17" i="12"/>
  <c r="Z17" i="12"/>
  <c r="AA17" i="12"/>
  <c r="AC12" i="37" l="1"/>
  <c r="AC14" i="37"/>
  <c r="AC16" i="37"/>
  <c r="AD7" i="37"/>
  <c r="AD5" i="37"/>
  <c r="AD13" i="37"/>
  <c r="AD15" i="37"/>
  <c r="AD17" i="37"/>
  <c r="AC15" i="37"/>
  <c r="AD3" i="37"/>
  <c r="AD6" i="37"/>
  <c r="AC3" i="37"/>
  <c r="AC5" i="37"/>
  <c r="AC7" i="37"/>
  <c r="AC17" i="37"/>
  <c r="AD9" i="37"/>
  <c r="AD11" i="37"/>
  <c r="AE9" i="37"/>
  <c r="AE11" i="37"/>
  <c r="AE15" i="37"/>
  <c r="AE17" i="37"/>
  <c r="AC4" i="37"/>
  <c r="AE13" i="37"/>
  <c r="AC13" i="37"/>
  <c r="AD4" i="37"/>
  <c r="AE4" i="37"/>
  <c r="AE6" i="37"/>
  <c r="AC17" i="19"/>
  <c r="AE16" i="19"/>
  <c r="AD15" i="19"/>
  <c r="AD16" i="19"/>
  <c r="AE11" i="19"/>
  <c r="AE15" i="19"/>
  <c r="AD14" i="19"/>
  <c r="AC13" i="19"/>
  <c r="AE14" i="19"/>
  <c r="AC14" i="19"/>
  <c r="AE17" i="19"/>
  <c r="AE13" i="19"/>
  <c r="AD17" i="19"/>
  <c r="AD13" i="19"/>
  <c r="AD12" i="19"/>
  <c r="AC16" i="19"/>
  <c r="AC12" i="19"/>
  <c r="AD11" i="19"/>
  <c r="AE12" i="19"/>
  <c r="AC15" i="19"/>
  <c r="AC11" i="19"/>
  <c r="V3" i="12"/>
  <c r="V4" i="12"/>
  <c r="V5" i="12"/>
  <c r="V6" i="12"/>
  <c r="V7" i="12"/>
  <c r="V8" i="12"/>
  <c r="V9" i="12"/>
  <c r="V10" i="12"/>
  <c r="AI7" i="37" l="1"/>
  <c r="AG7" i="37"/>
  <c r="AH7" i="37"/>
  <c r="AA10" i="12"/>
  <c r="Z10" i="12"/>
  <c r="Y10" i="12"/>
  <c r="X10" i="12"/>
  <c r="W10" i="12"/>
  <c r="AA9" i="12"/>
  <c r="Z9" i="12"/>
  <c r="Y9" i="12"/>
  <c r="X9" i="12"/>
  <c r="W9" i="12"/>
  <c r="AA8" i="12"/>
  <c r="Z8" i="12"/>
  <c r="Y8" i="12"/>
  <c r="X8" i="12"/>
  <c r="W8" i="12"/>
  <c r="AA7" i="12"/>
  <c r="Z7" i="12"/>
  <c r="Y7" i="12"/>
  <c r="X7" i="12"/>
  <c r="W7" i="12"/>
  <c r="AA6" i="12"/>
  <c r="Z6" i="12"/>
  <c r="Y6" i="12"/>
  <c r="X6" i="12"/>
  <c r="W6" i="12"/>
  <c r="AA5" i="12"/>
  <c r="Z5" i="12"/>
  <c r="Y5" i="12"/>
  <c r="X5" i="12"/>
  <c r="W5" i="12"/>
  <c r="AA4" i="12"/>
  <c r="Z4" i="12"/>
  <c r="Y4" i="12"/>
  <c r="X4" i="12"/>
  <c r="W4" i="12"/>
  <c r="AA3" i="12"/>
  <c r="Z3" i="12"/>
  <c r="Y3" i="12"/>
  <c r="X3" i="12"/>
  <c r="W3" i="12"/>
  <c r="H18" i="4" l="1"/>
  <c r="I18" i="4"/>
  <c r="J18" i="4"/>
  <c r="K18" i="4"/>
  <c r="L18" i="4"/>
  <c r="M18" i="4"/>
  <c r="H3" i="4"/>
  <c r="I3" i="4"/>
  <c r="J3" i="4"/>
  <c r="K3" i="4"/>
  <c r="L3" i="4"/>
  <c r="M3" i="4"/>
  <c r="H4" i="4"/>
  <c r="I4" i="4"/>
  <c r="J4" i="4"/>
  <c r="K4" i="4"/>
  <c r="L4" i="4"/>
  <c r="M4" i="4"/>
  <c r="H5" i="4"/>
  <c r="I5" i="4"/>
  <c r="J5" i="4"/>
  <c r="K5" i="4"/>
  <c r="L5" i="4"/>
  <c r="M5" i="4"/>
  <c r="H6" i="4"/>
  <c r="I6" i="4"/>
  <c r="J6" i="4"/>
  <c r="K6" i="4"/>
  <c r="L6" i="4"/>
  <c r="M6" i="4"/>
  <c r="H7" i="4"/>
  <c r="I7" i="4"/>
  <c r="J7" i="4"/>
  <c r="K7" i="4"/>
  <c r="L7" i="4"/>
  <c r="M7" i="4"/>
  <c r="AB10" i="19" l="1"/>
  <c r="AA10" i="19"/>
  <c r="Z10" i="19"/>
  <c r="Y10" i="19"/>
  <c r="X10" i="19"/>
  <c r="AB9" i="19"/>
  <c r="AA9" i="19"/>
  <c r="Z9" i="19"/>
  <c r="Y9" i="19"/>
  <c r="X9" i="19"/>
  <c r="AB8" i="19"/>
  <c r="AA8" i="19"/>
  <c r="Z8" i="19"/>
  <c r="Y8" i="19"/>
  <c r="X8" i="19"/>
  <c r="AB7" i="19"/>
  <c r="AA7" i="19"/>
  <c r="Z7" i="19"/>
  <c r="Y7" i="19"/>
  <c r="X7" i="19"/>
  <c r="AB6" i="19"/>
  <c r="AA6" i="19"/>
  <c r="Z6" i="19"/>
  <c r="Y6" i="19"/>
  <c r="X6" i="19"/>
  <c r="AB5" i="19"/>
  <c r="AA5" i="19"/>
  <c r="Z5" i="19"/>
  <c r="Y5" i="19"/>
  <c r="X5" i="19"/>
  <c r="AB4" i="19"/>
  <c r="AA4" i="19"/>
  <c r="Z4" i="19"/>
  <c r="Y4" i="19"/>
  <c r="X4" i="19"/>
  <c r="AH4" i="19" s="1" a="1"/>
  <c r="AH4" i="19" s="1"/>
  <c r="AB3" i="19"/>
  <c r="AA3" i="19"/>
  <c r="Z3" i="19"/>
  <c r="Y3" i="19"/>
  <c r="X3" i="19"/>
  <c r="H8" i="4"/>
  <c r="I8" i="4"/>
  <c r="J8" i="4"/>
  <c r="K8" i="4"/>
  <c r="L8" i="4"/>
  <c r="M8" i="4"/>
  <c r="H9" i="4"/>
  <c r="I9" i="4"/>
  <c r="J9" i="4"/>
  <c r="K9" i="4"/>
  <c r="L9" i="4"/>
  <c r="M9" i="4"/>
  <c r="H10" i="4"/>
  <c r="I10" i="4"/>
  <c r="J10" i="4"/>
  <c r="K10" i="4"/>
  <c r="L10" i="4"/>
  <c r="M10" i="4"/>
  <c r="H11" i="4"/>
  <c r="I11" i="4"/>
  <c r="J11" i="4"/>
  <c r="K11" i="4"/>
  <c r="L11" i="4"/>
  <c r="M11" i="4"/>
  <c r="H12" i="4"/>
  <c r="I12" i="4"/>
  <c r="J12" i="4"/>
  <c r="K12" i="4"/>
  <c r="L12" i="4"/>
  <c r="M12" i="4"/>
  <c r="H13" i="4"/>
  <c r="I13" i="4"/>
  <c r="J13" i="4"/>
  <c r="K13" i="4"/>
  <c r="L13" i="4"/>
  <c r="M13" i="4"/>
  <c r="H14" i="4"/>
  <c r="I14" i="4"/>
  <c r="J14" i="4"/>
  <c r="K14" i="4"/>
  <c r="L14" i="4"/>
  <c r="M14" i="4"/>
  <c r="H15" i="4"/>
  <c r="I15" i="4"/>
  <c r="J15" i="4"/>
  <c r="K15" i="4"/>
  <c r="L15" i="4"/>
  <c r="M15" i="4"/>
  <c r="H16" i="4"/>
  <c r="I16" i="4"/>
  <c r="J16" i="4"/>
  <c r="K16" i="4"/>
  <c r="L16" i="4"/>
  <c r="M16" i="4"/>
  <c r="H17" i="4"/>
  <c r="I17" i="4"/>
  <c r="J17" i="4"/>
  <c r="K17" i="4"/>
  <c r="L17" i="4"/>
  <c r="M17" i="4"/>
  <c r="AI4" i="19" l="1" a="1"/>
  <c r="AI4" i="19" s="1"/>
  <c r="AJ4" i="19" a="1"/>
  <c r="AJ4" i="19" s="1"/>
  <c r="AL4" i="19" a="1"/>
  <c r="AL4" i="19" s="1"/>
  <c r="AK4" i="19" a="1"/>
  <c r="AK4" i="19" s="1"/>
  <c r="W8" i="19"/>
  <c r="AC8" i="19" s="1"/>
  <c r="W6" i="19"/>
  <c r="AC6" i="19" s="1"/>
  <c r="W9" i="19"/>
  <c r="AC9" i="19" s="1"/>
  <c r="W3" i="19"/>
  <c r="W4" i="19"/>
  <c r="W7" i="19"/>
  <c r="AC7" i="19" s="1"/>
  <c r="W5" i="19"/>
  <c r="W10" i="19"/>
  <c r="AC10" i="19" s="1"/>
  <c r="AD7" i="19"/>
  <c r="AE7" i="19"/>
  <c r="AE9" i="19"/>
  <c r="AD4" i="19"/>
  <c r="AE4" i="19"/>
  <c r="AE6" i="19"/>
  <c r="AE10" i="19"/>
  <c r="AE3" i="19"/>
  <c r="AD8" i="19"/>
  <c r="AE5" i="19"/>
  <c r="AE8" i="19"/>
  <c r="AD10" i="19"/>
  <c r="AD6" i="19"/>
  <c r="AD3" i="19"/>
  <c r="AD5" i="19"/>
  <c r="AD9" i="19"/>
  <c r="AG4" i="19" l="1" a="1"/>
  <c r="AG4" i="19" s="1"/>
  <c r="AG7" i="19" s="1"/>
  <c r="AC5" i="19"/>
  <c r="AC4" i="19"/>
  <c r="AC3" i="19"/>
  <c r="AH7" i="19"/>
  <c r="AI7" i="1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<sst xmlns="http://schemas.openxmlformats.org/spreadsheetml/2006/main" count="237" uniqueCount="42">
  <si>
    <t>Fx (N)</t>
  </si>
  <si>
    <t>Fy (N)</t>
  </si>
  <si>
    <t>Fz (N)</t>
  </si>
  <si>
    <t>Tx (Nm)</t>
  </si>
  <si>
    <t>Ty (Nm)</t>
  </si>
  <si>
    <t>Tz(Nm)</t>
  </si>
  <si>
    <t>6-Axis FT Sensor</t>
  </si>
  <si>
    <t>SoRoSim get_distal_value</t>
  </si>
  <si>
    <t>tau1 (N)</t>
  </si>
  <si>
    <t>tau2 (N)</t>
  </si>
  <si>
    <t>tau3 (N)</t>
  </si>
  <si>
    <t>Ground Truth</t>
  </si>
  <si>
    <t>SoRoSim get_proximal_value</t>
  </si>
  <si>
    <t>Distal Errors</t>
  </si>
  <si>
    <t>Proximal Errors</t>
  </si>
  <si>
    <t>Fx</t>
  </si>
  <si>
    <t>Fy</t>
  </si>
  <si>
    <t>Fz</t>
  </si>
  <si>
    <t>Tx</t>
  </si>
  <si>
    <t>Ty</t>
  </si>
  <si>
    <t>Tz</t>
  </si>
  <si>
    <t>Raw Data</t>
  </si>
  <si>
    <t>Converted</t>
  </si>
  <si>
    <t>F1 (N)</t>
  </si>
  <si>
    <t>s1 (m)</t>
  </si>
  <si>
    <t>F2 (N)</t>
  </si>
  <si>
    <t>s2 (m)</t>
  </si>
  <si>
    <t>Absolute Mean Error</t>
  </si>
  <si>
    <t>Absolute Mean Error (Across Both Forces)</t>
  </si>
  <si>
    <t>force_error</t>
  </si>
  <si>
    <t>position_error</t>
  </si>
  <si>
    <t>angle_error</t>
  </si>
  <si>
    <t>Stats</t>
  </si>
  <si>
    <t>f_final</t>
  </si>
  <si>
    <t>;</t>
  </si>
  <si>
    <t>[</t>
  </si>
  <si>
    <t>]</t>
  </si>
  <si>
    <t>theta1 (rad)</t>
  </si>
  <si>
    <t>theta2 (rad)</t>
  </si>
  <si>
    <t>{</t>
  </si>
  <si>
    <t>}</t>
  </si>
  <si>
    <t>singullar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</si>
</sst>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"/>
  </numFmts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9C0006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B1BD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6D6D"/>
        <bgColor indexed="64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2" fillId="9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</cellStyleXfs>
  <cellXfs count="39">
    <xf numFmtId="0" fontId="0" fillId="0" borderId="0" xfId="0"/>
    <xf numFmtId="0" fontId="1" fillId="6" borderId="1" xfId="0" applyFont="1" applyFill="1" applyBorder="1"/>
    <xf numFmtId="0" fontId="1" fillId="6" borderId="8" xfId="0" applyFont="1" applyFill="1" applyBorder="1"/>
    <xf numFmtId="0" fontId="1" fillId="6" borderId="5" xfId="0" applyFont="1" applyFill="1" applyBorder="1"/>
    <xf numFmtId="11" fontId="0" fillId="0" borderId="0" xfId="0" applyNumberFormat="1"/>
    <xf numFmtId="164" fontId="4" fillId="8" borderId="1" xfId="0" applyNumberFormat="1" applyFont="1" applyFill="1" applyBorder="1"/>
    <xf numFmtId="164" fontId="2" fillId="9" borderId="1" xfId="1" applyNumberFormat="1" applyBorder="1"/>
    <xf numFmtId="0" fontId="3" fillId="6" borderId="1" xfId="0" applyFont="1" applyFill="1" applyBorder="1"/>
    <xf numFmtId="0" fontId="0" fillId="0" borderId="1" xfId="0" applyBorder="1"/>
    <xf numFmtId="166" fontId="4" fillId="8" borderId="1" xfId="0" applyNumberFormat="1" applyFont="1" applyFill="1" applyBorder="1"/>
    <xf numFmtId="166" fontId="4" fillId="8" borderId="12" xfId="0" applyNumberFormat="1" applyFont="1" applyFill="1" applyBorder="1"/>
    <xf numFmtId="166" fontId="0" fillId="0" borderId="1" xfId="0" applyNumberFormat="1" applyBorder="1"/>
    <xf numFmtId="165" fontId="4" fillId="8" borderId="1" xfId="0" applyNumberFormat="1" applyFont="1" applyFill="1" applyBorder="1"/>
    <xf numFmtId="166" fontId="0" fillId="0" borderId="0" xfId="0" applyNumberFormat="1"/>
    <xf numFmtId="164" fontId="5" fillId="11" borderId="1" xfId="2" applyNumberFormat="1" applyBorder="1"/>
    <xf numFmtId="11" fontId="4" fillId="8" borderId="1" xfId="0" applyNumberFormat="1" applyFont="1" applyFill="1" applyBorder="1"/>
    <xf numFmtId="11" fontId="4" fillId="8" borderId="13" xfId="0" applyNumberFormat="1" applyFont="1" applyFill="1" applyBorder="1"/>
    <xf numFmtId="11" fontId="4" fillId="8" borderId="0" xfId="0" applyNumberFormat="1" applyFont="1" applyFill="1"/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6" borderId="9" xfId="0" applyFont="1" applyFill="1" applyBorder="1" applyAlignment="1">
      <alignment horizontal="center"/>
    </xf>
    <xf numFmtId="0" fontId="3" fillId="10" borderId="6" xfId="0" applyFont="1" applyFill="1" applyBorder="1" applyAlignment="1">
      <alignment horizontal="center"/>
    </xf>
    <xf numFmtId="0" fontId="3" fillId="7" borderId="0" xfId="0" applyFont="1" applyFill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0" fontId="3" fillId="0" borderId="0" xfId="0" applyFont="1"/>
    <xf numFmtId="164" fontId="6" fillId="12" borderId="1" xfId="3" applyNumberFormat="1" applyBorder="1"/>
  </cellXfs>
  <cellStyles count="4">
    <cellStyle name="Bad" xfId="3" builtinId="27"/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colors>
    <mruColors>
      <color rgb="FFB1BDF9"/>
      <color rgb="FFFF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63EDC-8536-442D-A8D3-F37978D4DE80}">
  <dimension ref="A1:AA22"/>
  <sheetViews>
    <sheetView tabSelected="1" workbookViewId="0">
      <selection activeCell="P6" sqref="P6:U6"/>
    </sheetView>
  </sheetViews>
  <sheetFormatPr defaultRowHeight="16.5" customHeight="1" x14ac:dyDescent="0.35"/>
  <cols>
    <col min="1" max="2" width="7.453125" bestFit="1" customWidth="1"/>
    <col min="3" max="3" width="11.81640625" bestFit="1" customWidth="1"/>
    <col min="4" max="5" width="7.453125" bestFit="1" customWidth="1"/>
    <col min="6" max="6" width="11.81640625" bestFit="1" customWidth="1"/>
    <col min="7" max="9" width="8.54296875" bestFit="1" customWidth="1"/>
    <col min="10" max="11" width="8.453125" bestFit="1" customWidth="1"/>
    <col min="12" max="15" width="8" bestFit="1" customWidth="1"/>
    <col min="16" max="17" width="8.1796875" bestFit="1" customWidth="1"/>
    <col min="18" max="18" width="7.7265625" bestFit="1" customWidth="1"/>
    <col min="19" max="21" width="6.453125" bestFit="1" customWidth="1"/>
    <col min="22" max="23" width="8.1796875" bestFit="1" customWidth="1"/>
    <col min="24" max="24" width="7.7265625" bestFit="1" customWidth="1"/>
    <col min="25" max="27" width="7.26953125" bestFit="1" customWidth="1"/>
  </cols>
  <sheetData>
    <row r="1" spans="1:27" ht="16.5" customHeight="1" x14ac:dyDescent="0.4">
      <c r="A1" s="18" t="s">
        <v>11</v>
      </c>
      <c r="B1" s="18"/>
      <c r="C1" s="18"/>
      <c r="D1" s="18"/>
      <c r="E1" s="18"/>
      <c r="F1" s="18"/>
      <c r="G1" s="18"/>
      <c r="H1" s="18"/>
      <c r="I1" s="19"/>
      <c r="J1" s="20" t="s">
        <v>6</v>
      </c>
      <c r="K1" s="21"/>
      <c r="L1" s="21"/>
      <c r="M1" s="21"/>
      <c r="N1" s="21"/>
      <c r="O1" s="21"/>
      <c r="P1" s="22" t="s">
        <v>12</v>
      </c>
      <c r="Q1" s="23"/>
      <c r="R1" s="23"/>
      <c r="S1" s="23"/>
      <c r="T1" s="23"/>
      <c r="U1" s="23"/>
      <c r="V1" s="24" t="s">
        <v>14</v>
      </c>
      <c r="W1" s="25"/>
      <c r="X1" s="25"/>
      <c r="Y1" s="25"/>
      <c r="Z1" s="25"/>
      <c r="AA1" s="26"/>
    </row>
    <row r="2" spans="1:27" ht="16.5" customHeight="1" x14ac:dyDescent="0.4">
      <c r="A2" s="1" t="s">
        <v>23</v>
      </c>
      <c r="B2" s="1" t="s">
        <v>24</v>
      </c>
      <c r="C2" s="1" t="s">
        <v>37</v>
      </c>
      <c r="D2" s="1" t="s">
        <v>25</v>
      </c>
      <c r="E2" s="1" t="s">
        <v>26</v>
      </c>
      <c r="F2" s="1" t="s">
        <v>38</v>
      </c>
      <c r="G2" s="1" t="s">
        <v>8</v>
      </c>
      <c r="H2" s="1" t="s">
        <v>9</v>
      </c>
      <c r="I2" s="1" t="s">
        <v>10</v>
      </c>
      <c r="J2" s="2" t="s">
        <v>3</v>
      </c>
      <c r="K2" s="1" t="s">
        <v>4</v>
      </c>
      <c r="L2" s="1" t="s">
        <v>5</v>
      </c>
      <c r="M2" s="1" t="s">
        <v>0</v>
      </c>
      <c r="N2" s="1" t="s">
        <v>1</v>
      </c>
      <c r="O2" s="1" t="s">
        <v>2</v>
      </c>
      <c r="P2" s="3" t="s">
        <v>3</v>
      </c>
      <c r="Q2" s="1" t="s">
        <v>4</v>
      </c>
      <c r="R2" s="1" t="s">
        <v>5</v>
      </c>
      <c r="S2" s="1" t="s">
        <v>0</v>
      </c>
      <c r="T2" s="1" t="s">
        <v>1</v>
      </c>
      <c r="U2" s="1" t="s">
        <v>2</v>
      </c>
      <c r="V2" s="1" t="s">
        <v>3</v>
      </c>
      <c r="W2" s="1" t="s">
        <v>4</v>
      </c>
      <c r="X2" s="1" t="s">
        <v>5</v>
      </c>
      <c r="Y2" s="1" t="s">
        <v>0</v>
      </c>
      <c r="Z2" s="1" t="s">
        <v>1</v>
      </c>
      <c r="AA2" s="1" t="s">
        <v>2</v>
      </c>
    </row>
    <row r="3" spans="1:27" s="5" customFormat="1" ht="16.5" customHeight="1" x14ac:dyDescent="0.35">
      <c r="A3" s="14">
        <v>0.8</v>
      </c>
      <c r="B3" s="14">
        <v>0.2</v>
      </c>
      <c r="C3" s="14">
        <v>0.78500000000000003</v>
      </c>
      <c r="D3" s="14">
        <v>0.8</v>
      </c>
      <c r="E3" s="14">
        <v>0.1</v>
      </c>
      <c r="F3" s="14">
        <v>1.0469999999999999</v>
      </c>
      <c r="G3" s="14">
        <v>0</v>
      </c>
      <c r="H3" s="14">
        <v>0</v>
      </c>
      <c r="I3" s="14">
        <v>0</v>
      </c>
      <c r="J3" s="9"/>
      <c r="K3" s="9"/>
      <c r="L3" s="9"/>
      <c r="M3" s="9"/>
      <c r="N3" s="9"/>
      <c r="O3" s="9"/>
      <c r="P3" s="12">
        <v>3.5118522079836258E-3</v>
      </c>
      <c r="Q3" s="12">
        <v>-0.26364738916947883</v>
      </c>
      <c r="R3" s="12">
        <v>0.21441302984307764</v>
      </c>
      <c r="S3" s="12">
        <v>-0.81913854887411386</v>
      </c>
      <c r="T3" s="12">
        <v>0.79879140693816375</v>
      </c>
      <c r="U3" s="12">
        <v>1.0716537535718262</v>
      </c>
      <c r="V3" s="5">
        <f t="shared" ref="V3:AA4" si="0">J3-P3</f>
        <v>-3.5118522079836258E-3</v>
      </c>
      <c r="W3" s="5">
        <f t="shared" si="0"/>
        <v>0.26364738916947883</v>
      </c>
      <c r="X3" s="5">
        <f t="shared" si="0"/>
        <v>-0.21441302984307764</v>
      </c>
      <c r="Y3" s="5">
        <f t="shared" si="0"/>
        <v>0.81913854887411386</v>
      </c>
      <c r="Z3" s="5">
        <f t="shared" si="0"/>
        <v>-0.79879140693816375</v>
      </c>
      <c r="AA3" s="5">
        <f t="shared" si="0"/>
        <v>-1.0716537535718262</v>
      </c>
    </row>
    <row r="4" spans="1:27" s="5" customFormat="1" ht="16.5" customHeight="1" x14ac:dyDescent="0.35">
      <c r="A4" s="6">
        <v>0.4</v>
      </c>
      <c r="B4" s="6">
        <v>0.12</v>
      </c>
      <c r="C4" s="6">
        <v>0.78500000000000003</v>
      </c>
      <c r="D4" s="6">
        <v>0.4</v>
      </c>
      <c r="E4" s="6">
        <v>0.02</v>
      </c>
      <c r="F4" s="6">
        <v>2.3559999999999999</v>
      </c>
      <c r="G4" s="6">
        <v>0</v>
      </c>
      <c r="H4" s="6">
        <v>0</v>
      </c>
      <c r="I4" s="6">
        <v>0</v>
      </c>
      <c r="J4" s="9">
        <v>-6.56991032883525E-4</v>
      </c>
      <c r="K4" s="9">
        <v>-9.0627849102020305E-2</v>
      </c>
      <c r="L4" s="9">
        <v>2.07312256097794E-2</v>
      </c>
      <c r="M4" s="9">
        <v>-4.5330036431551E-2</v>
      </c>
      <c r="N4" s="9">
        <v>-8.0224335193634005E-2</v>
      </c>
      <c r="O4" s="9">
        <v>0.50792884826660201</v>
      </c>
      <c r="P4" s="12">
        <v>2.846440422784285E-4</v>
      </c>
      <c r="Q4" s="12">
        <v>-9.0391427516701428E-2</v>
      </c>
      <c r="R4" s="12">
        <v>2.8171902151110088E-2</v>
      </c>
      <c r="S4" s="12">
        <v>-3.3404171438953557E-2</v>
      </c>
      <c r="T4" s="12">
        <v>-8.8427322616437172E-4</v>
      </c>
      <c r="U4" s="12">
        <v>0.56490057119743364</v>
      </c>
      <c r="V4" s="5">
        <f t="shared" si="0"/>
        <v>-9.416350751619535E-4</v>
      </c>
      <c r="W4" s="5">
        <f t="shared" si="0"/>
        <v>-2.3642158531887725E-4</v>
      </c>
      <c r="X4" s="5">
        <f t="shared" si="0"/>
        <v>-7.4406765413306888E-3</v>
      </c>
      <c r="Y4" s="5">
        <f t="shared" si="0"/>
        <v>-1.1925864992597443E-2</v>
      </c>
      <c r="Z4" s="5">
        <f t="shared" si="0"/>
        <v>-7.9340061967469636E-2</v>
      </c>
      <c r="AA4" s="5">
        <f t="shared" si="0"/>
        <v>-5.6971722930831636E-2</v>
      </c>
    </row>
    <row r="5" spans="1:27" s="5" customFormat="1" ht="16.5" customHeight="1" x14ac:dyDescent="0.35">
      <c r="A5" s="6">
        <v>0.7</v>
      </c>
      <c r="B5" s="6">
        <v>0.16</v>
      </c>
      <c r="C5" s="6">
        <v>0.78500000000000003</v>
      </c>
      <c r="D5" s="6">
        <v>0.3</v>
      </c>
      <c r="E5" s="6">
        <v>0.06</v>
      </c>
      <c r="F5" s="6">
        <v>3.665</v>
      </c>
      <c r="G5" s="6">
        <v>0</v>
      </c>
      <c r="H5" s="6">
        <v>0</v>
      </c>
      <c r="I5" s="6">
        <v>0</v>
      </c>
      <c r="J5" s="9">
        <v>1.13202398642898E-3</v>
      </c>
      <c r="K5" s="9">
        <v>-0.116873532533646</v>
      </c>
      <c r="L5" s="9">
        <v>8.0217547714710194E-2</v>
      </c>
      <c r="M5" s="9">
        <v>-0.24421182274818401</v>
      </c>
      <c r="N5" s="9">
        <v>0.16285943984985399</v>
      </c>
      <c r="O5" s="9">
        <v>0.34258222579956099</v>
      </c>
      <c r="P5" s="12">
        <v>1.1784079708572954E-3</v>
      </c>
      <c r="Q5" s="12">
        <v>-9.6967487703004465E-2</v>
      </c>
      <c r="R5" s="12">
        <v>8.0905447693478558E-2</v>
      </c>
      <c r="S5" s="12">
        <v>-0.20026254151166967</v>
      </c>
      <c r="T5" s="12">
        <v>0.20921767325828472</v>
      </c>
      <c r="U5" s="12">
        <v>0.31927883928930278</v>
      </c>
      <c r="V5" s="5">
        <f t="shared" ref="V5:V10" si="1">J5-P5</f>
        <v>-4.6383984428315442E-5</v>
      </c>
      <c r="W5" s="5">
        <f t="shared" ref="W5:W10" si="2">K5-Q5</f>
        <v>-1.9906044830641539E-2</v>
      </c>
      <c r="X5" s="5">
        <f t="shared" ref="X5:X10" si="3">L5-R5</f>
        <v>-6.8789997876836373E-4</v>
      </c>
      <c r="Y5" s="5">
        <f t="shared" ref="Y5:Y10" si="4">M5-S5</f>
        <v>-4.3949281236514343E-2</v>
      </c>
      <c r="Z5" s="5">
        <f t="shared" ref="Z5:Z10" si="5">N5-T5</f>
        <v>-4.6358233408430732E-2</v>
      </c>
      <c r="AA5" s="5">
        <f t="shared" ref="AA5:AA10" si="6">O5-U5</f>
        <v>2.3303386510258206E-2</v>
      </c>
    </row>
    <row r="6" spans="1:27" s="5" customFormat="1" ht="16.5" customHeight="1" x14ac:dyDescent="0.35">
      <c r="A6" s="6">
        <v>0.3</v>
      </c>
      <c r="B6" s="6">
        <v>0.2</v>
      </c>
      <c r="C6" s="6">
        <v>0.78500000000000003</v>
      </c>
      <c r="D6" s="6">
        <v>0.7</v>
      </c>
      <c r="E6" s="6">
        <v>0.02</v>
      </c>
      <c r="F6" s="6">
        <v>3.665</v>
      </c>
      <c r="G6" s="6">
        <v>0</v>
      </c>
      <c r="H6" s="6">
        <v>0</v>
      </c>
      <c r="I6" s="6">
        <v>0</v>
      </c>
      <c r="J6" s="9">
        <v>5.0459569320082697E-4</v>
      </c>
      <c r="K6" s="9">
        <v>-1.0949088260531399E-2</v>
      </c>
      <c r="L6" s="9">
        <v>-2.7528360486030599E-2</v>
      </c>
      <c r="M6" s="9">
        <v>-2.5787528604269E-2</v>
      </c>
      <c r="N6" s="9">
        <v>-0.499801754951477</v>
      </c>
      <c r="O6" s="9">
        <v>-0.175722181797028</v>
      </c>
      <c r="P6" s="12">
        <v>6.7562054793991069E-5</v>
      </c>
      <c r="Q6" s="12">
        <v>-2.1225617505164031E-2</v>
      </c>
      <c r="R6" s="12">
        <v>-6.6430209705753635E-3</v>
      </c>
      <c r="S6" s="12">
        <v>-6.5151003023952492E-2</v>
      </c>
      <c r="T6" s="12">
        <v>-0.39947934656861056</v>
      </c>
      <c r="U6" s="12">
        <v>-0.1442213254116223</v>
      </c>
      <c r="V6" s="5">
        <f t="shared" ref="V6:AA7" si="7">J6-P6</f>
        <v>4.3703363840683589E-4</v>
      </c>
      <c r="W6" s="5">
        <f t="shared" si="7"/>
        <v>1.0276529244632631E-2</v>
      </c>
      <c r="X6" s="5">
        <f t="shared" si="7"/>
        <v>-2.0885339515455237E-2</v>
      </c>
      <c r="Y6" s="5">
        <f t="shared" si="7"/>
        <v>3.9363474419683492E-2</v>
      </c>
      <c r="Z6" s="5">
        <f t="shared" si="7"/>
        <v>-0.10032240838286643</v>
      </c>
      <c r="AA6" s="5">
        <f t="shared" si="7"/>
        <v>-3.1500856385405701E-2</v>
      </c>
    </row>
    <row r="7" spans="1:27" s="5" customFormat="1" ht="16.5" customHeight="1" x14ac:dyDescent="0.35">
      <c r="A7" s="6">
        <v>0.3</v>
      </c>
      <c r="B7" s="6">
        <v>0.14000000000000001</v>
      </c>
      <c r="C7" s="6">
        <v>2.6179999999999999</v>
      </c>
      <c r="D7" s="6">
        <v>0.8</v>
      </c>
      <c r="E7" s="6">
        <v>0.04</v>
      </c>
      <c r="F7" s="6">
        <v>1.0469999999999999</v>
      </c>
      <c r="G7" s="6">
        <v>0</v>
      </c>
      <c r="H7" s="6">
        <v>0</v>
      </c>
      <c r="I7" s="6">
        <v>0</v>
      </c>
      <c r="J7" s="9">
        <v>-1.9948105327785002E-3</v>
      </c>
      <c r="K7" s="9">
        <v>-0.16114857792854301</v>
      </c>
      <c r="L7" s="9">
        <v>-8.2256738096475601E-4</v>
      </c>
      <c r="M7" s="9">
        <v>-8.3539940416812897E-2</v>
      </c>
      <c r="N7" s="9">
        <v>0.16338084638118699</v>
      </c>
      <c r="O7" s="9">
        <v>0.98013961315154996</v>
      </c>
      <c r="P7" s="12">
        <v>-1.6663920226609279E-4</v>
      </c>
      <c r="Q7" s="12">
        <v>-0.12442974005206822</v>
      </c>
      <c r="R7" s="12">
        <v>-7.5452205974025537E-3</v>
      </c>
      <c r="S7" s="12">
        <v>-3.6114403607117269E-2</v>
      </c>
      <c r="T7" s="12">
        <v>0.14168065132326829</v>
      </c>
      <c r="U7" s="12">
        <v>0.84183398764537642</v>
      </c>
      <c r="V7" s="5">
        <f t="shared" si="7"/>
        <v>-1.8281713305124073E-3</v>
      </c>
      <c r="W7" s="5">
        <f t="shared" si="7"/>
        <v>-3.6718837876474786E-2</v>
      </c>
      <c r="X7" s="5">
        <f t="shared" si="7"/>
        <v>6.7226532164377977E-3</v>
      </c>
      <c r="Y7" s="5">
        <f t="shared" si="7"/>
        <v>-4.7425536809695627E-2</v>
      </c>
      <c r="Z7" s="5">
        <f t="shared" si="7"/>
        <v>2.1700195057918703E-2</v>
      </c>
      <c r="AA7" s="5">
        <f t="shared" si="7"/>
        <v>0.13830562550617354</v>
      </c>
    </row>
    <row r="8" spans="1:27" s="5" customFormat="1" ht="16.5" customHeight="1" x14ac:dyDescent="0.35">
      <c r="A8" s="6">
        <v>0.4</v>
      </c>
      <c r="B8" s="6">
        <v>0.18</v>
      </c>
      <c r="C8" s="6">
        <v>2.6179999999999999</v>
      </c>
      <c r="D8" s="6">
        <v>0.3</v>
      </c>
      <c r="E8" s="6">
        <v>0.02</v>
      </c>
      <c r="F8" s="6">
        <v>1.0469999999999999</v>
      </c>
      <c r="G8" s="6">
        <v>0</v>
      </c>
      <c r="H8" s="6">
        <v>0</v>
      </c>
      <c r="I8" s="6">
        <v>0</v>
      </c>
      <c r="J8" s="9">
        <v>-6.5418658778071404E-5</v>
      </c>
      <c r="K8" s="9">
        <v>-0.109843894839287</v>
      </c>
      <c r="L8" s="9">
        <v>-4.0013011544942897E-2</v>
      </c>
      <c r="M8" s="9">
        <v>-0.138460397720337</v>
      </c>
      <c r="N8" s="9">
        <v>-3.7903144955635099E-2</v>
      </c>
      <c r="O8" s="9">
        <v>0.53465890884399403</v>
      </c>
      <c r="P8" s="12">
        <v>-2.0867648253041377E-4</v>
      </c>
      <c r="Q8" s="12">
        <v>-8.1437684832294618E-2</v>
      </c>
      <c r="R8" s="12">
        <v>-7.541709118131712E-2</v>
      </c>
      <c r="S8" s="12">
        <v>-0.10180720796497494</v>
      </c>
      <c r="T8" s="12">
        <v>-0.18563589364941549</v>
      </c>
      <c r="U8" s="12">
        <v>0.45301252738324299</v>
      </c>
      <c r="V8" s="5">
        <f t="shared" si="1"/>
        <v>1.4325782375234237E-4</v>
      </c>
      <c r="W8" s="5">
        <f t="shared" si="2"/>
        <v>-2.840621000699238E-2</v>
      </c>
      <c r="X8" s="5">
        <f t="shared" si="3"/>
        <v>3.5404079636374222E-2</v>
      </c>
      <c r="Y8" s="5">
        <f t="shared" si="4"/>
        <v>-3.6653189755362053E-2</v>
      </c>
      <c r="Z8" s="5">
        <f t="shared" si="5"/>
        <v>0.14773274869378039</v>
      </c>
      <c r="AA8" s="5">
        <f t="shared" si="6"/>
        <v>8.1646381460751039E-2</v>
      </c>
    </row>
    <row r="9" spans="1:27" s="5" customFormat="1" ht="16.5" customHeight="1" x14ac:dyDescent="0.35">
      <c r="A9" s="6">
        <v>0.8</v>
      </c>
      <c r="B9" s="6">
        <v>0.18</v>
      </c>
      <c r="C9" s="6">
        <v>2.6179999999999999</v>
      </c>
      <c r="D9" s="6">
        <v>0.7</v>
      </c>
      <c r="E9" s="6">
        <v>0.06</v>
      </c>
      <c r="F9" s="6">
        <v>2.3559999999999999</v>
      </c>
      <c r="G9" s="6">
        <v>0</v>
      </c>
      <c r="H9" s="6">
        <v>0</v>
      </c>
      <c r="I9" s="6">
        <v>0</v>
      </c>
      <c r="J9" s="9">
        <v>-1.86102464795113E-3</v>
      </c>
      <c r="K9" s="9">
        <v>-0.24740616977214799</v>
      </c>
      <c r="L9" s="9">
        <v>-0.195220187306404</v>
      </c>
      <c r="M9" s="9">
        <v>-0.64324039220809903</v>
      </c>
      <c r="N9" s="9">
        <v>-0.84706509113311801</v>
      </c>
      <c r="O9" s="9">
        <v>1.0174024105071999</v>
      </c>
      <c r="P9" s="12">
        <v>-1.0035535676753548E-3</v>
      </c>
      <c r="Q9" s="12">
        <v>-0.17259790459540725</v>
      </c>
      <c r="R9" s="12">
        <v>-0.24724192096891831</v>
      </c>
      <c r="S9" s="12">
        <v>-0.49640737734616558</v>
      </c>
      <c r="T9" s="12">
        <v>-1.0919055222223786</v>
      </c>
      <c r="U9" s="12">
        <v>0.83564662970610848</v>
      </c>
      <c r="V9" s="5">
        <f t="shared" si="1"/>
        <v>-8.5747108027577523E-4</v>
      </c>
      <c r="W9" s="5">
        <f t="shared" si="2"/>
        <v>-7.4808265176740746E-2</v>
      </c>
      <c r="X9" s="5">
        <f t="shared" si="3"/>
        <v>5.2021733662514308E-2</v>
      </c>
      <c r="Y9" s="5">
        <f t="shared" si="4"/>
        <v>-0.14683301486193345</v>
      </c>
      <c r="Z9" s="5">
        <f t="shared" si="5"/>
        <v>0.24484043108926057</v>
      </c>
      <c r="AA9" s="5">
        <f t="shared" si="6"/>
        <v>0.18175578080109145</v>
      </c>
    </row>
    <row r="10" spans="1:27" s="5" customFormat="1" ht="16.5" customHeight="1" x14ac:dyDescent="0.35">
      <c r="A10" s="6">
        <v>0.7</v>
      </c>
      <c r="B10" s="6">
        <v>0.2</v>
      </c>
      <c r="C10" s="6">
        <v>2.6179999999999999</v>
      </c>
      <c r="D10" s="6">
        <v>0.8</v>
      </c>
      <c r="E10" s="6">
        <v>0.02</v>
      </c>
      <c r="F10" s="6">
        <v>2.3559999999999999</v>
      </c>
      <c r="G10" s="6">
        <v>0</v>
      </c>
      <c r="H10" s="6">
        <v>0</v>
      </c>
      <c r="I10" s="6">
        <v>0</v>
      </c>
      <c r="J10" s="9">
        <v>-1.86102464795113E-3</v>
      </c>
      <c r="K10" s="9">
        <v>-0.24740616977214799</v>
      </c>
      <c r="L10" s="9">
        <v>-0.195220187306404</v>
      </c>
      <c r="M10" s="9">
        <v>-0.64324039220809903</v>
      </c>
      <c r="N10" s="9">
        <v>-0.84706509113311801</v>
      </c>
      <c r="O10" s="9">
        <v>1.0174024105071999</v>
      </c>
      <c r="P10" s="12">
        <v>4.0479874773584584E-4</v>
      </c>
      <c r="Q10" s="12">
        <v>-0.15320354257994373</v>
      </c>
      <c r="R10" s="12">
        <v>-0.22405596700629152</v>
      </c>
      <c r="S10" s="12">
        <v>-0.36900039427416226</v>
      </c>
      <c r="T10" s="12">
        <v>-1.0926652893279305</v>
      </c>
      <c r="U10" s="12">
        <v>0.86126912996636595</v>
      </c>
      <c r="V10" s="5">
        <f t="shared" si="1"/>
        <v>-2.2658233956869759E-3</v>
      </c>
      <c r="W10" s="5">
        <f t="shared" si="2"/>
        <v>-9.4202627192204264E-2</v>
      </c>
      <c r="X10" s="5">
        <f t="shared" si="3"/>
        <v>2.8835779699887515E-2</v>
      </c>
      <c r="Y10" s="5">
        <f t="shared" si="4"/>
        <v>-0.27423999793393677</v>
      </c>
      <c r="Z10" s="5">
        <f t="shared" si="5"/>
        <v>0.24560019819481249</v>
      </c>
      <c r="AA10" s="5">
        <f t="shared" si="6"/>
        <v>0.15613328054083397</v>
      </c>
    </row>
    <row r="11" spans="1:27" ht="16.5" customHeight="1" x14ac:dyDescent="0.35">
      <c r="A11" s="6">
        <v>0.8</v>
      </c>
      <c r="B11" s="6">
        <v>0.12</v>
      </c>
      <c r="C11" s="6">
        <v>2.6179999999999999</v>
      </c>
      <c r="D11" s="6">
        <v>0.3</v>
      </c>
      <c r="E11" s="6">
        <v>0.02</v>
      </c>
      <c r="F11" s="6">
        <v>3.665</v>
      </c>
      <c r="G11" s="6">
        <v>0</v>
      </c>
      <c r="H11" s="6">
        <v>0</v>
      </c>
      <c r="I11" s="6">
        <v>0</v>
      </c>
      <c r="J11" s="9">
        <v>-3.4919474273920103E-4</v>
      </c>
      <c r="K11" s="9">
        <v>-0.13894630968570701</v>
      </c>
      <c r="L11" s="9">
        <v>-0.130643606185913</v>
      </c>
      <c r="M11" s="9">
        <v>-0.20672222971916199</v>
      </c>
      <c r="N11" s="9">
        <v>-0.71990585327148404</v>
      </c>
      <c r="O11" s="9">
        <v>0.58108544349670399</v>
      </c>
      <c r="P11" s="12">
        <v>-9.7876421264432622E-4</v>
      </c>
      <c r="Q11" s="12">
        <v>-6.6968525854226316E-2</v>
      </c>
      <c r="R11" s="12">
        <v>-0.17267535330109141</v>
      </c>
      <c r="S11" s="12">
        <v>-0.1307900240596008</v>
      </c>
      <c r="T11" s="12">
        <v>-0.94237807286034037</v>
      </c>
      <c r="U11" s="12">
        <v>0.24634454155090471</v>
      </c>
      <c r="V11" s="5">
        <f t="shared" ref="V11:V17" si="8">J11-P11</f>
        <v>6.2956946990512519E-4</v>
      </c>
      <c r="W11" s="5">
        <f t="shared" ref="W11:W17" si="9">K11-Q11</f>
        <v>-7.1977783831480693E-2</v>
      </c>
      <c r="X11" s="5">
        <f t="shared" ref="X11:X17" si="10">L11-R11</f>
        <v>4.2031747115178403E-2</v>
      </c>
      <c r="Y11" s="5">
        <f t="shared" ref="Y11:Y17" si="11">M11-S11</f>
        <v>-7.5932205659561186E-2</v>
      </c>
      <c r="Z11" s="5">
        <f t="shared" ref="Z11:Z17" si="12">N11-T11</f>
        <v>0.22247221958885632</v>
      </c>
      <c r="AA11" s="5">
        <f t="shared" ref="AA11:AA17" si="13">O11-U11</f>
        <v>0.33474090194579931</v>
      </c>
    </row>
    <row r="12" spans="1:27" ht="16.5" customHeight="1" x14ac:dyDescent="0.35">
      <c r="A12" s="14">
        <v>0.6</v>
      </c>
      <c r="B12" s="14">
        <v>0.2</v>
      </c>
      <c r="C12" s="14">
        <v>2.6179999999999999</v>
      </c>
      <c r="D12" s="14">
        <v>0.5</v>
      </c>
      <c r="E12" s="14">
        <v>0.1</v>
      </c>
      <c r="F12" s="14">
        <v>3.665</v>
      </c>
      <c r="G12" s="14">
        <v>0</v>
      </c>
      <c r="H12" s="14">
        <v>0</v>
      </c>
      <c r="I12" s="14">
        <v>0</v>
      </c>
      <c r="J12" s="9"/>
      <c r="K12" s="9"/>
      <c r="L12" s="9"/>
      <c r="M12" s="9"/>
      <c r="N12" s="9"/>
      <c r="O12" s="9"/>
      <c r="P12" s="12">
        <v>3.1589830116105958E-4</v>
      </c>
      <c r="Q12" s="12">
        <v>-3.2020504384147733E-2</v>
      </c>
      <c r="R12" s="12">
        <v>-0.21945276075604328</v>
      </c>
      <c r="S12" s="12">
        <v>-0.38714038123395006</v>
      </c>
      <c r="T12" s="12">
        <v>-0.87211521781602097</v>
      </c>
      <c r="U12" s="12">
        <v>1.2647173668377544E-2</v>
      </c>
      <c r="V12" s="5">
        <f t="shared" si="8"/>
        <v>-3.1589830116105958E-4</v>
      </c>
      <c r="W12" s="5">
        <f t="shared" si="9"/>
        <v>3.2020504384147733E-2</v>
      </c>
      <c r="X12" s="5">
        <f t="shared" si="10"/>
        <v>0.21945276075604328</v>
      </c>
      <c r="Y12" s="5">
        <f t="shared" si="11"/>
        <v>0.38714038123395006</v>
      </c>
      <c r="Z12" s="5">
        <f t="shared" si="12"/>
        <v>0.87211521781602097</v>
      </c>
      <c r="AA12" s="5">
        <f t="shared" si="13"/>
        <v>-1.2647173668377544E-2</v>
      </c>
    </row>
    <row r="13" spans="1:27" ht="16.5" customHeight="1" x14ac:dyDescent="0.35">
      <c r="A13" s="6">
        <v>0.7</v>
      </c>
      <c r="B13" s="6">
        <v>0.12</v>
      </c>
      <c r="C13" s="6">
        <v>3.927</v>
      </c>
      <c r="D13" s="6">
        <v>0.7</v>
      </c>
      <c r="E13" s="6">
        <v>0.02</v>
      </c>
      <c r="F13" s="6">
        <v>1.0469999999999999</v>
      </c>
      <c r="G13" s="6">
        <v>0</v>
      </c>
      <c r="H13" s="6">
        <v>0</v>
      </c>
      <c r="I13" s="6">
        <v>0</v>
      </c>
      <c r="J13" s="9">
        <v>1.52160471770912E-3</v>
      </c>
      <c r="K13" s="9">
        <v>5.9020079672336599E-2</v>
      </c>
      <c r="L13" s="9">
        <v>-7.2138950228691101E-2</v>
      </c>
      <c r="M13" s="9">
        <v>-0.130099952220917</v>
      </c>
      <c r="N13" s="9">
        <v>-0.15057766437530501</v>
      </c>
      <c r="O13" s="9">
        <v>1.86103023588657E-2</v>
      </c>
      <c r="P13" s="12">
        <v>9.7363161084973947E-4</v>
      </c>
      <c r="Q13" s="12">
        <v>3.6776876902953448E-2</v>
      </c>
      <c r="R13" s="12">
        <v>-6.469422424269676E-2</v>
      </c>
      <c r="S13" s="12">
        <v>-8.4074207736952664E-2</v>
      </c>
      <c r="T13" s="12">
        <v>-0.13946935075329142</v>
      </c>
      <c r="U13" s="12">
        <v>0.11459190775889376</v>
      </c>
      <c r="V13" s="5">
        <f t="shared" si="8"/>
        <v>5.479731068593805E-4</v>
      </c>
      <c r="W13" s="5">
        <f t="shared" si="9"/>
        <v>2.2243202769383151E-2</v>
      </c>
      <c r="X13" s="5">
        <f t="shared" si="10"/>
        <v>-7.444725985994341E-3</v>
      </c>
      <c r="Y13" s="5">
        <f t="shared" si="11"/>
        <v>-4.6025744483964334E-2</v>
      </c>
      <c r="Z13" s="5">
        <f t="shared" si="12"/>
        <v>-1.1108313622013588E-2</v>
      </c>
      <c r="AA13" s="5">
        <f t="shared" si="13"/>
        <v>-9.5981605400028064E-2</v>
      </c>
    </row>
    <row r="14" spans="1:27" ht="16.5" customHeight="1" x14ac:dyDescent="0.35">
      <c r="A14" s="6">
        <v>0.8</v>
      </c>
      <c r="B14" s="6">
        <v>0.2</v>
      </c>
      <c r="C14" s="6">
        <v>3.927</v>
      </c>
      <c r="D14" s="6">
        <v>0.4</v>
      </c>
      <c r="E14" s="6">
        <v>0.04</v>
      </c>
      <c r="F14" s="6">
        <v>1.0469999999999999</v>
      </c>
      <c r="G14" s="6">
        <v>0</v>
      </c>
      <c r="H14" s="6">
        <v>0</v>
      </c>
      <c r="I14" s="6">
        <v>0</v>
      </c>
      <c r="J14" s="9">
        <v>1.0578810470178699E-3</v>
      </c>
      <c r="K14" s="9">
        <v>9.46853533387184E-2</v>
      </c>
      <c r="L14" s="9">
        <v>-9.9762968719005599E-2</v>
      </c>
      <c r="M14" s="9">
        <v>-0.57114285230636597</v>
      </c>
      <c r="N14" s="9">
        <v>-0.11998450011014899</v>
      </c>
      <c r="O14" s="9">
        <v>-2.8004650026559798E-2</v>
      </c>
      <c r="P14" s="12">
        <v>-7.8541408431635022E-5</v>
      </c>
      <c r="Q14" s="12">
        <v>9.7361570999752664E-2</v>
      </c>
      <c r="R14" s="12">
        <v>-0.12146223841005661</v>
      </c>
      <c r="S14" s="12">
        <v>-0.43884428387222035</v>
      </c>
      <c r="T14" s="12">
        <v>-0.26830568365080021</v>
      </c>
      <c r="U14" s="12">
        <v>-0.10567894094544981</v>
      </c>
      <c r="V14" s="5">
        <f t="shared" si="8"/>
        <v>1.1364224554495049E-3</v>
      </c>
      <c r="W14" s="5">
        <f t="shared" si="9"/>
        <v>-2.6762176610342636E-3</v>
      </c>
      <c r="X14" s="5">
        <f t="shared" si="10"/>
        <v>2.1699269691051015E-2</v>
      </c>
      <c r="Y14" s="5">
        <f t="shared" si="11"/>
        <v>-0.13229856843414561</v>
      </c>
      <c r="Z14" s="5">
        <f t="shared" si="12"/>
        <v>0.14832118354065121</v>
      </c>
      <c r="AA14" s="5">
        <f t="shared" si="13"/>
        <v>7.7674290918890013E-2</v>
      </c>
    </row>
    <row r="15" spans="1:27" ht="16.5" customHeight="1" x14ac:dyDescent="0.35">
      <c r="A15" s="5">
        <v>0.3</v>
      </c>
      <c r="B15" s="5">
        <v>0.2</v>
      </c>
      <c r="C15" s="5">
        <v>3.927</v>
      </c>
      <c r="D15" s="5">
        <v>0.3</v>
      </c>
      <c r="E15" s="5">
        <v>0.1</v>
      </c>
      <c r="F15" s="5">
        <v>2.3559999999999999</v>
      </c>
      <c r="G15" s="5">
        <v>0</v>
      </c>
      <c r="H15" s="5">
        <v>0</v>
      </c>
      <c r="I15" s="5">
        <v>0</v>
      </c>
      <c r="J15" s="9"/>
      <c r="K15" s="9"/>
      <c r="L15" s="9"/>
      <c r="M15" s="9"/>
      <c r="N15" s="9"/>
      <c r="O15" s="9"/>
      <c r="P15" s="12">
        <v>-8.8108393518399484E-5</v>
      </c>
      <c r="Q15" s="12">
        <v>1.943886059911621E-2</v>
      </c>
      <c r="R15" s="12">
        <v>-9.9946897680948762E-2</v>
      </c>
      <c r="S15" s="12">
        <v>-8.5532131466541442E-2</v>
      </c>
      <c r="T15" s="12">
        <v>-0.41616923502145198</v>
      </c>
      <c r="U15" s="12">
        <v>6.2100660087833926E-3</v>
      </c>
      <c r="V15" s="5">
        <f t="shared" si="8"/>
        <v>8.8108393518399484E-5</v>
      </c>
      <c r="W15" s="5">
        <f t="shared" si="9"/>
        <v>-1.943886059911621E-2</v>
      </c>
      <c r="X15" s="5">
        <f t="shared" si="10"/>
        <v>9.9946897680948762E-2</v>
      </c>
      <c r="Y15" s="5">
        <f t="shared" si="11"/>
        <v>8.5532131466541442E-2</v>
      </c>
      <c r="Z15" s="5">
        <f t="shared" si="12"/>
        <v>0.41616923502145198</v>
      </c>
      <c r="AA15" s="5">
        <f t="shared" si="13"/>
        <v>-6.2100660087833926E-3</v>
      </c>
    </row>
    <row r="16" spans="1:27" ht="16.5" customHeight="1" x14ac:dyDescent="0.35">
      <c r="A16" s="5">
        <v>0.8</v>
      </c>
      <c r="B16" s="5">
        <v>0.16</v>
      </c>
      <c r="C16" s="5">
        <v>3.927</v>
      </c>
      <c r="D16" s="5">
        <v>0.8</v>
      </c>
      <c r="E16" s="5">
        <v>0.02</v>
      </c>
      <c r="F16" s="5">
        <v>3.665</v>
      </c>
      <c r="G16" s="5">
        <v>0</v>
      </c>
      <c r="H16" s="5">
        <v>0</v>
      </c>
      <c r="I16" s="5">
        <v>0</v>
      </c>
      <c r="J16" s="9"/>
      <c r="K16" s="9"/>
      <c r="L16" s="9"/>
      <c r="M16" s="9"/>
      <c r="N16" s="9"/>
      <c r="O16" s="9"/>
      <c r="P16" s="12">
        <v>1.4225214327873647E-3</v>
      </c>
      <c r="Q16" s="12">
        <v>0.1788480320819168</v>
      </c>
      <c r="R16" s="12">
        <v>-0.21131127581988043</v>
      </c>
      <c r="S16" s="12">
        <v>-0.31597556922372083</v>
      </c>
      <c r="T16" s="12">
        <v>-1.2154841458002614</v>
      </c>
      <c r="U16" s="12">
        <v>-0.92521583270613139</v>
      </c>
      <c r="V16" s="5">
        <f t="shared" si="8"/>
        <v>-1.4225214327873647E-3</v>
      </c>
      <c r="W16" s="5">
        <f t="shared" si="9"/>
        <v>-0.1788480320819168</v>
      </c>
      <c r="X16" s="5">
        <f t="shared" si="10"/>
        <v>0.21131127581988043</v>
      </c>
      <c r="Y16" s="5">
        <f t="shared" si="11"/>
        <v>0.31597556922372083</v>
      </c>
      <c r="Z16" s="5">
        <f t="shared" si="12"/>
        <v>1.2154841458002614</v>
      </c>
      <c r="AA16" s="5">
        <f t="shared" si="13"/>
        <v>0.92521583270613139</v>
      </c>
    </row>
    <row r="17" spans="1:27" ht="16.5" customHeight="1" x14ac:dyDescent="0.35">
      <c r="A17" s="5">
        <v>0.4</v>
      </c>
      <c r="B17" s="5">
        <v>0.2</v>
      </c>
      <c r="C17" s="5">
        <v>3.927</v>
      </c>
      <c r="D17" s="5">
        <v>0.8</v>
      </c>
      <c r="E17" s="5">
        <v>0.06</v>
      </c>
      <c r="F17" s="5">
        <v>3.665</v>
      </c>
      <c r="G17" s="5">
        <v>0</v>
      </c>
      <c r="H17" s="5">
        <v>0</v>
      </c>
      <c r="I17" s="5">
        <v>0</v>
      </c>
      <c r="J17" s="9"/>
      <c r="K17" s="9"/>
      <c r="L17" s="9"/>
      <c r="M17" s="9"/>
      <c r="N17" s="9"/>
      <c r="O17" s="9"/>
      <c r="P17" s="12">
        <v>8.1158405231829657E-5</v>
      </c>
      <c r="Q17" s="12">
        <v>0.13811030731414295</v>
      </c>
      <c r="R17" s="12">
        <v>-0.18246814810281636</v>
      </c>
      <c r="S17" s="12">
        <v>-0.20701396406401426</v>
      </c>
      <c r="T17" s="12">
        <v>-0.95748729881890027</v>
      </c>
      <c r="U17" s="12">
        <v>-0.66415778297496808</v>
      </c>
      <c r="V17" s="5">
        <f t="shared" si="8"/>
        <v>-8.1158405231829657E-5</v>
      </c>
      <c r="W17" s="5">
        <f t="shared" si="9"/>
        <v>-0.13811030731414295</v>
      </c>
      <c r="X17" s="5">
        <f t="shared" si="10"/>
        <v>0.18246814810281636</v>
      </c>
      <c r="Y17" s="5">
        <f t="shared" si="11"/>
        <v>0.20701396406401426</v>
      </c>
      <c r="Z17" s="5">
        <f t="shared" si="12"/>
        <v>0.95748729881890027</v>
      </c>
      <c r="AA17" s="5">
        <f t="shared" si="13"/>
        <v>0.66415778297496808</v>
      </c>
    </row>
    <row r="20" spans="1:27" ht="16.5" customHeight="1" x14ac:dyDescent="0.35">
      <c r="C20">
        <v>0.78500000000000003</v>
      </c>
      <c r="D20">
        <v>45</v>
      </c>
      <c r="F20">
        <v>1.0469999999999999</v>
      </c>
      <c r="G20">
        <v>60</v>
      </c>
    </row>
    <row r="21" spans="1:27" ht="16.5" customHeight="1" x14ac:dyDescent="0.35">
      <c r="C21">
        <v>2.6179999999999999</v>
      </c>
      <c r="D21">
        <v>150</v>
      </c>
      <c r="F21">
        <v>2.3559999999999999</v>
      </c>
      <c r="G21">
        <v>135</v>
      </c>
    </row>
    <row r="22" spans="1:27" ht="16.5" customHeight="1" x14ac:dyDescent="0.35">
      <c r="C22">
        <v>3.927</v>
      </c>
      <c r="D22">
        <v>225</v>
      </c>
      <c r="F22">
        <v>3.665</v>
      </c>
      <c r="G22">
        <v>210</v>
      </c>
    </row>
  </sheetData>
  <mergeCells count="4">
    <mergeCell ref="A1:I1"/>
    <mergeCell ref="J1:O1"/>
    <mergeCell ref="P1:U1"/>
    <mergeCell ref="V1:AA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7740F-7200-4A42-A1DE-098ED230A4EC}">
  <dimension ref="A1:AA22"/>
  <sheetViews>
    <sheetView workbookViewId="0">
      <selection activeCell="L24" sqref="L24"/>
    </sheetView>
  </sheetViews>
  <sheetFormatPr defaultRowHeight="16.5" customHeight="1" x14ac:dyDescent="0.35"/>
  <cols>
    <col min="1" max="2" width="7.453125" bestFit="1" customWidth="1"/>
    <col min="3" max="3" width="11.81640625" bestFit="1" customWidth="1"/>
    <col min="4" max="5" width="7.453125" bestFit="1" customWidth="1"/>
    <col min="6" max="6" width="11.81640625" bestFit="1" customWidth="1"/>
    <col min="7" max="9" width="8.54296875" bestFit="1" customWidth="1"/>
    <col min="10" max="11" width="8.453125" bestFit="1" customWidth="1"/>
    <col min="12" max="15" width="8" bestFit="1" customWidth="1"/>
    <col min="16" max="17" width="8.1796875" bestFit="1" customWidth="1"/>
    <col min="18" max="18" width="7.7265625" bestFit="1" customWidth="1"/>
    <col min="19" max="21" width="6.453125" bestFit="1" customWidth="1"/>
    <col min="22" max="23" width="8.1796875" bestFit="1" customWidth="1"/>
    <col min="24" max="24" width="7.7265625" customWidth="1"/>
    <col min="25" max="27" width="7.26953125" bestFit="1" customWidth="1"/>
  </cols>
  <sheetData>
    <row r="1" spans="1:27" ht="16.5" customHeight="1" x14ac:dyDescent="0.4">
      <c r="A1" s="18" t="s">
        <v>11</v>
      </c>
      <c r="B1" s="18"/>
      <c r="C1" s="18"/>
      <c r="D1" s="18"/>
      <c r="E1" s="18"/>
      <c r="F1" s="18"/>
      <c r="G1" s="18"/>
      <c r="H1" s="18"/>
      <c r="I1" s="19"/>
      <c r="J1" s="20" t="s">
        <v>6</v>
      </c>
      <c r="K1" s="21"/>
      <c r="L1" s="21"/>
      <c r="M1" s="21"/>
      <c r="N1" s="21"/>
      <c r="O1" s="21"/>
      <c r="P1" s="22" t="s">
        <v>12</v>
      </c>
      <c r="Q1" s="23"/>
      <c r="R1" s="23"/>
      <c r="S1" s="23"/>
      <c r="T1" s="23"/>
      <c r="U1" s="23"/>
      <c r="V1" s="24" t="s">
        <v>14</v>
      </c>
      <c r="W1" s="25"/>
      <c r="X1" s="25"/>
      <c r="Y1" s="25"/>
      <c r="Z1" s="25"/>
      <c r="AA1" s="26"/>
    </row>
    <row r="2" spans="1:27" ht="16.5" customHeight="1" x14ac:dyDescent="0.4">
      <c r="A2" s="1" t="s">
        <v>23</v>
      </c>
      <c r="B2" s="1" t="s">
        <v>24</v>
      </c>
      <c r="C2" s="1" t="s">
        <v>37</v>
      </c>
      <c r="D2" s="1" t="s">
        <v>25</v>
      </c>
      <c r="E2" s="1" t="s">
        <v>26</v>
      </c>
      <c r="F2" s="1" t="s">
        <v>38</v>
      </c>
      <c r="G2" s="1" t="s">
        <v>8</v>
      </c>
      <c r="H2" s="1" t="s">
        <v>9</v>
      </c>
      <c r="I2" s="1" t="s">
        <v>10</v>
      </c>
      <c r="J2" s="2" t="s">
        <v>3</v>
      </c>
      <c r="K2" s="1" t="s">
        <v>4</v>
      </c>
      <c r="L2" s="1" t="s">
        <v>5</v>
      </c>
      <c r="M2" s="1" t="s">
        <v>0</v>
      </c>
      <c r="N2" s="1" t="s">
        <v>1</v>
      </c>
      <c r="O2" s="1" t="s">
        <v>2</v>
      </c>
      <c r="P2" s="3" t="s">
        <v>3</v>
      </c>
      <c r="Q2" s="1" t="s">
        <v>4</v>
      </c>
      <c r="R2" s="1" t="s">
        <v>5</v>
      </c>
      <c r="S2" s="1" t="s">
        <v>0</v>
      </c>
      <c r="T2" s="1" t="s">
        <v>1</v>
      </c>
      <c r="U2" s="1" t="s">
        <v>2</v>
      </c>
      <c r="V2" s="1" t="s">
        <v>3</v>
      </c>
      <c r="W2" s="1" t="s">
        <v>4</v>
      </c>
      <c r="X2" s="1" t="s">
        <v>5</v>
      </c>
      <c r="Y2" s="1" t="s">
        <v>0</v>
      </c>
      <c r="Z2" s="1" t="s">
        <v>1</v>
      </c>
      <c r="AA2" s="1" t="s">
        <v>2</v>
      </c>
    </row>
    <row r="3" spans="1:27" s="5" customFormat="1" ht="16.5" customHeight="1" x14ac:dyDescent="0.35">
      <c r="A3" s="14">
        <v>0.8</v>
      </c>
      <c r="B3" s="14">
        <v>0.2</v>
      </c>
      <c r="C3" s="14">
        <v>0.78500000000000003</v>
      </c>
      <c r="D3" s="14">
        <v>0.8</v>
      </c>
      <c r="E3" s="14">
        <v>0.1</v>
      </c>
      <c r="F3" s="14">
        <v>1.0469999999999999</v>
      </c>
      <c r="G3" s="14">
        <v>0</v>
      </c>
      <c r="H3" s="14">
        <v>0</v>
      </c>
      <c r="I3" s="14">
        <v>0</v>
      </c>
      <c r="J3" s="9"/>
      <c r="K3" s="9"/>
      <c r="L3" s="9"/>
      <c r="M3" s="9"/>
      <c r="N3" s="9"/>
      <c r="O3" s="9"/>
      <c r="P3" s="5">
        <v>3.5118522079836258E-3</v>
      </c>
      <c r="Q3" s="5">
        <v>-0.26364738916947883</v>
      </c>
      <c r="R3" s="5">
        <v>0.21441302984307764</v>
      </c>
      <c r="S3" s="5">
        <v>-0.81913854887411386</v>
      </c>
      <c r="T3" s="5">
        <v>0.79879140693816375</v>
      </c>
      <c r="U3" s="5">
        <v>1.0716537535718262</v>
      </c>
      <c r="V3" s="5">
        <f t="shared" ref="V3:AA17" si="0">J3-P3</f>
        <v>-3.5118522079836258E-3</v>
      </c>
      <c r="W3" s="5">
        <f t="shared" si="0"/>
        <v>0.26364738916947883</v>
      </c>
      <c r="X3" s="5">
        <f t="shared" si="0"/>
        <v>-0.21441302984307764</v>
      </c>
      <c r="Y3" s="5">
        <f t="shared" si="0"/>
        <v>0.81913854887411386</v>
      </c>
      <c r="Z3" s="5">
        <f t="shared" si="0"/>
        <v>-0.79879140693816375</v>
      </c>
      <c r="AA3" s="5">
        <f t="shared" si="0"/>
        <v>-1.0716537535718262</v>
      </c>
    </row>
    <row r="4" spans="1:27" s="5" customFormat="1" ht="16.5" customHeight="1" x14ac:dyDescent="0.35">
      <c r="A4" s="6">
        <v>0.4</v>
      </c>
      <c r="B4" s="6">
        <v>0.12</v>
      </c>
      <c r="C4" s="6">
        <v>0.78500000000000003</v>
      </c>
      <c r="D4" s="6">
        <v>0.4</v>
      </c>
      <c r="E4" s="6">
        <v>0.02</v>
      </c>
      <c r="F4" s="6">
        <v>2.3559999999999999</v>
      </c>
      <c r="G4" s="6">
        <v>0</v>
      </c>
      <c r="H4" s="6">
        <v>0</v>
      </c>
      <c r="I4" s="6">
        <v>0</v>
      </c>
      <c r="J4" s="9">
        <v>-6.56991032883525E-4</v>
      </c>
      <c r="K4" s="9">
        <v>-9.0627849102020305E-2</v>
      </c>
      <c r="L4" s="9">
        <v>2.07312256097794E-2</v>
      </c>
      <c r="M4" s="9">
        <v>-4.5330036431551E-2</v>
      </c>
      <c r="N4" s="9">
        <v>-8.0224335193634005E-2</v>
      </c>
      <c r="O4" s="9">
        <v>0.50792884826660201</v>
      </c>
      <c r="P4" s="5">
        <v>2.846440422784285E-4</v>
      </c>
      <c r="Q4" s="5">
        <v>-9.0391427516701428E-2</v>
      </c>
      <c r="R4" s="5">
        <v>2.8171902151110088E-2</v>
      </c>
      <c r="S4" s="5">
        <v>-3.3404171438953557E-2</v>
      </c>
      <c r="T4" s="5">
        <v>-8.8427322616437172E-4</v>
      </c>
      <c r="U4" s="5">
        <v>0.56490057119743364</v>
      </c>
      <c r="V4" s="6">
        <f t="shared" si="0"/>
        <v>-9.416350751619535E-4</v>
      </c>
      <c r="W4" s="6">
        <f t="shared" si="0"/>
        <v>-2.3642158531887725E-4</v>
      </c>
      <c r="X4" s="6">
        <f t="shared" si="0"/>
        <v>-7.4406765413306888E-3</v>
      </c>
      <c r="Y4" s="6">
        <f t="shared" si="0"/>
        <v>-1.1925864992597443E-2</v>
      </c>
      <c r="Z4" s="14">
        <f t="shared" si="0"/>
        <v>-7.9340061967469636E-2</v>
      </c>
      <c r="AA4" s="6">
        <f t="shared" si="0"/>
        <v>-5.6971722930831636E-2</v>
      </c>
    </row>
    <row r="5" spans="1:27" s="5" customFormat="1" ht="16.5" customHeight="1" x14ac:dyDescent="0.35">
      <c r="A5" s="6">
        <v>0.7</v>
      </c>
      <c r="B5" s="6">
        <v>0.16</v>
      </c>
      <c r="C5" s="6">
        <v>0.78500000000000003</v>
      </c>
      <c r="D5" s="6">
        <v>0.3</v>
      </c>
      <c r="E5" s="6">
        <v>0.06</v>
      </c>
      <c r="F5" s="6">
        <v>3.665</v>
      </c>
      <c r="G5" s="6">
        <v>0</v>
      </c>
      <c r="H5" s="6">
        <v>0</v>
      </c>
      <c r="I5" s="6">
        <v>0</v>
      </c>
      <c r="J5" s="9">
        <v>1.13202398642898E-3</v>
      </c>
      <c r="K5" s="9">
        <v>-0.116873532533646</v>
      </c>
      <c r="L5" s="9">
        <v>8.0217547714710194E-2</v>
      </c>
      <c r="M5" s="9">
        <v>-0.24421182274818401</v>
      </c>
      <c r="N5" s="9">
        <v>0.16285943984985399</v>
      </c>
      <c r="O5" s="9">
        <v>0.34258222579956099</v>
      </c>
      <c r="P5" s="5">
        <v>1.1784079708572954E-3</v>
      </c>
      <c r="Q5" s="5">
        <v>-9.6967487703004465E-2</v>
      </c>
      <c r="R5" s="5">
        <v>8.0905447693478558E-2</v>
      </c>
      <c r="S5" s="5">
        <v>-0.20026254151166967</v>
      </c>
      <c r="T5" s="5">
        <v>0.20921767325828472</v>
      </c>
      <c r="U5" s="5">
        <v>0.31927883928930278</v>
      </c>
      <c r="V5" s="6">
        <f t="shared" si="0"/>
        <v>-4.6383984428315442E-5</v>
      </c>
      <c r="W5" s="14">
        <f t="shared" si="0"/>
        <v>-1.9906044830641539E-2</v>
      </c>
      <c r="X5" s="6">
        <f t="shared" si="0"/>
        <v>-6.8789997876836373E-4</v>
      </c>
      <c r="Y5" s="6">
        <f t="shared" si="0"/>
        <v>-4.3949281236514343E-2</v>
      </c>
      <c r="Z5" s="6">
        <f t="shared" si="0"/>
        <v>-4.6358233408430732E-2</v>
      </c>
      <c r="AA5" s="6">
        <f t="shared" si="0"/>
        <v>2.3303386510258206E-2</v>
      </c>
    </row>
    <row r="6" spans="1:27" s="5" customFormat="1" ht="16.5" customHeight="1" x14ac:dyDescent="0.35">
      <c r="A6" s="6">
        <v>0.3</v>
      </c>
      <c r="B6" s="6">
        <v>0.2</v>
      </c>
      <c r="C6" s="6">
        <v>0.78500000000000003</v>
      </c>
      <c r="D6" s="6">
        <v>0.7</v>
      </c>
      <c r="E6" s="6">
        <v>0.02</v>
      </c>
      <c r="F6" s="6">
        <v>3.665</v>
      </c>
      <c r="G6" s="6">
        <v>0</v>
      </c>
      <c r="H6" s="6">
        <v>0</v>
      </c>
      <c r="I6" s="6">
        <v>0</v>
      </c>
      <c r="J6" s="9">
        <v>5.0459569320082697E-4</v>
      </c>
      <c r="K6" s="9">
        <v>-1.0949088260531399E-2</v>
      </c>
      <c r="L6" s="9">
        <v>-2.7528360486030599E-2</v>
      </c>
      <c r="M6" s="9">
        <v>-2.5787528604269E-2</v>
      </c>
      <c r="N6" s="9">
        <v>-0.499801754951477</v>
      </c>
      <c r="O6" s="9">
        <v>-0.175722181797028</v>
      </c>
      <c r="P6" s="5">
        <v>6.7562054793991069E-5</v>
      </c>
      <c r="Q6" s="5">
        <v>-2.1225617505164031E-2</v>
      </c>
      <c r="R6" s="5">
        <v>-6.6430209705753635E-3</v>
      </c>
      <c r="S6" s="5">
        <v>-6.5151003023952492E-2</v>
      </c>
      <c r="T6" s="5">
        <v>-0.39947934656861056</v>
      </c>
      <c r="U6" s="5">
        <v>-0.1442213254116223</v>
      </c>
      <c r="V6" s="6">
        <f t="shared" si="0"/>
        <v>4.3703363840683589E-4</v>
      </c>
      <c r="W6" s="6">
        <f t="shared" si="0"/>
        <v>1.0276529244632631E-2</v>
      </c>
      <c r="X6" s="38">
        <f t="shared" si="0"/>
        <v>-2.0885339515455237E-2</v>
      </c>
      <c r="Y6" s="6">
        <f t="shared" si="0"/>
        <v>3.9363474419683492E-2</v>
      </c>
      <c r="Z6" s="38">
        <f t="shared" si="0"/>
        <v>-0.10032240838286643</v>
      </c>
      <c r="AA6" s="6">
        <f t="shared" si="0"/>
        <v>-3.1500856385405701E-2</v>
      </c>
    </row>
    <row r="7" spans="1:27" s="5" customFormat="1" ht="16.5" customHeight="1" x14ac:dyDescent="0.35">
      <c r="A7" s="6">
        <v>0.3</v>
      </c>
      <c r="B7" s="6">
        <v>0.14000000000000001</v>
      </c>
      <c r="C7" s="6">
        <v>2.6179999999999999</v>
      </c>
      <c r="D7" s="6">
        <v>0.8</v>
      </c>
      <c r="E7" s="6">
        <v>0.04</v>
      </c>
      <c r="F7" s="6">
        <v>1.0469999999999999</v>
      </c>
      <c r="G7" s="6">
        <v>0</v>
      </c>
      <c r="H7" s="6">
        <v>0</v>
      </c>
      <c r="I7" s="6">
        <v>0</v>
      </c>
      <c r="J7" s="9">
        <v>-1.9948105327785002E-3</v>
      </c>
      <c r="K7" s="9">
        <v>-0.16114857792854301</v>
      </c>
      <c r="L7" s="9">
        <v>-8.2256738096475601E-4</v>
      </c>
      <c r="M7" s="9">
        <v>-8.3539940416812897E-2</v>
      </c>
      <c r="N7" s="9">
        <v>0.16338084638118699</v>
      </c>
      <c r="O7" s="9">
        <v>0.98013961315154996</v>
      </c>
      <c r="P7" s="5">
        <v>-1.6663920226609279E-4</v>
      </c>
      <c r="Q7" s="5">
        <v>-0.12442974005206822</v>
      </c>
      <c r="R7" s="5">
        <v>-7.5452205974025537E-3</v>
      </c>
      <c r="S7" s="5">
        <v>-3.6114403607117269E-2</v>
      </c>
      <c r="T7" s="5">
        <v>0.14168065132326829</v>
      </c>
      <c r="U7" s="5">
        <v>0.84183398764537642</v>
      </c>
      <c r="V7" s="14">
        <f t="shared" si="0"/>
        <v>-1.8281713305124073E-3</v>
      </c>
      <c r="W7" s="38">
        <f t="shared" si="0"/>
        <v>-3.6718837876474786E-2</v>
      </c>
      <c r="X7" s="6">
        <f t="shared" si="0"/>
        <v>6.7226532164377977E-3</v>
      </c>
      <c r="Y7" s="6">
        <f t="shared" si="0"/>
        <v>-4.7425536809695627E-2</v>
      </c>
      <c r="Z7" s="6">
        <f t="shared" si="0"/>
        <v>2.1700195057918703E-2</v>
      </c>
      <c r="AA7" s="14">
        <f t="shared" si="0"/>
        <v>0.13830562550617354</v>
      </c>
    </row>
    <row r="8" spans="1:27" s="5" customFormat="1" ht="16.5" customHeight="1" x14ac:dyDescent="0.35">
      <c r="A8" s="6">
        <v>0.4</v>
      </c>
      <c r="B8" s="6">
        <v>0.18</v>
      </c>
      <c r="C8" s="6">
        <v>2.6179999999999999</v>
      </c>
      <c r="D8" s="6">
        <v>0.3</v>
      </c>
      <c r="E8" s="6">
        <v>0.02</v>
      </c>
      <c r="F8" s="6">
        <v>1.0469999999999999</v>
      </c>
      <c r="G8" s="6">
        <v>0</v>
      </c>
      <c r="H8" s="6">
        <v>0</v>
      </c>
      <c r="I8" s="6">
        <v>0</v>
      </c>
      <c r="J8" s="9">
        <v>-6.5418658778071404E-5</v>
      </c>
      <c r="K8" s="9">
        <v>-0.109843894839287</v>
      </c>
      <c r="L8" s="9">
        <v>-4.0013011544942897E-2</v>
      </c>
      <c r="M8" s="9">
        <v>-0.138460397720337</v>
      </c>
      <c r="N8" s="9">
        <v>-3.7903144955635099E-2</v>
      </c>
      <c r="O8" s="9">
        <v>0.53465890884399403</v>
      </c>
      <c r="P8" s="5">
        <v>-2.0867648253041377E-4</v>
      </c>
      <c r="Q8" s="5">
        <v>-8.1437684832294618E-2</v>
      </c>
      <c r="R8" s="5">
        <v>-7.541709118131712E-2</v>
      </c>
      <c r="S8" s="5">
        <v>-0.10180720796497494</v>
      </c>
      <c r="T8" s="5">
        <v>-0.18563589364941549</v>
      </c>
      <c r="U8" s="5">
        <v>0.45301252738324299</v>
      </c>
      <c r="V8" s="5">
        <f t="shared" si="0"/>
        <v>1.4325782375234237E-4</v>
      </c>
      <c r="W8" s="5">
        <f t="shared" si="0"/>
        <v>-2.840621000699238E-2</v>
      </c>
      <c r="X8" s="5">
        <f t="shared" si="0"/>
        <v>3.5404079636374222E-2</v>
      </c>
      <c r="Y8" s="5">
        <f t="shared" si="0"/>
        <v>-3.6653189755362053E-2</v>
      </c>
      <c r="Z8" s="5">
        <f t="shared" si="0"/>
        <v>0.14773274869378039</v>
      </c>
      <c r="AA8" s="5">
        <f t="shared" si="0"/>
        <v>8.1646381460751039E-2</v>
      </c>
    </row>
    <row r="9" spans="1:27" s="5" customFormat="1" ht="16.5" customHeight="1" x14ac:dyDescent="0.35">
      <c r="A9" s="6">
        <v>0.8</v>
      </c>
      <c r="B9" s="6">
        <v>0.18</v>
      </c>
      <c r="C9" s="6">
        <v>2.6179999999999999</v>
      </c>
      <c r="D9" s="6">
        <v>0.7</v>
      </c>
      <c r="E9" s="6">
        <v>0.06</v>
      </c>
      <c r="F9" s="6">
        <v>2.3559999999999999</v>
      </c>
      <c r="G9" s="6">
        <v>0</v>
      </c>
      <c r="H9" s="6">
        <v>0</v>
      </c>
      <c r="I9" s="6">
        <v>0</v>
      </c>
      <c r="J9" s="9">
        <v>-1.86102464795113E-3</v>
      </c>
      <c r="K9" s="9">
        <v>-0.24740616977214799</v>
      </c>
      <c r="L9" s="9">
        <v>-0.195220187306404</v>
      </c>
      <c r="M9" s="9">
        <v>-0.64324039220809903</v>
      </c>
      <c r="N9" s="9">
        <v>-0.84706509113311801</v>
      </c>
      <c r="O9" s="9">
        <v>1.0174024105071999</v>
      </c>
      <c r="P9" s="5">
        <v>-1.0035535676753548E-3</v>
      </c>
      <c r="Q9" s="5">
        <v>-0.17259790459540725</v>
      </c>
      <c r="R9" s="5">
        <v>-0.24724192096891831</v>
      </c>
      <c r="S9" s="5">
        <v>-0.49640737734616558</v>
      </c>
      <c r="T9" s="5">
        <v>-1.0919055222223786</v>
      </c>
      <c r="U9" s="5">
        <v>0.83564662970610848</v>
      </c>
      <c r="V9" s="5">
        <f t="shared" si="0"/>
        <v>-8.5747108027577523E-4</v>
      </c>
      <c r="W9" s="5">
        <f t="shared" si="0"/>
        <v>-7.4808265176740746E-2</v>
      </c>
      <c r="X9" s="5">
        <f t="shared" si="0"/>
        <v>5.2021733662514308E-2</v>
      </c>
      <c r="Y9" s="5">
        <f t="shared" si="0"/>
        <v>-0.14683301486193345</v>
      </c>
      <c r="Z9" s="5">
        <f t="shared" si="0"/>
        <v>0.24484043108926057</v>
      </c>
      <c r="AA9" s="5">
        <f t="shared" si="0"/>
        <v>0.18175578080109145</v>
      </c>
    </row>
    <row r="10" spans="1:27" s="5" customFormat="1" ht="16.5" customHeight="1" x14ac:dyDescent="0.35">
      <c r="A10" s="6">
        <v>0.7</v>
      </c>
      <c r="B10" s="6">
        <v>0.2</v>
      </c>
      <c r="C10" s="6">
        <v>2.6179999999999999</v>
      </c>
      <c r="D10" s="6">
        <v>0.8</v>
      </c>
      <c r="E10" s="6">
        <v>0.02</v>
      </c>
      <c r="F10" s="6">
        <v>2.3559999999999999</v>
      </c>
      <c r="G10" s="6">
        <v>0</v>
      </c>
      <c r="H10" s="6">
        <v>0</v>
      </c>
      <c r="I10" s="6">
        <v>0</v>
      </c>
      <c r="J10" s="9">
        <v>-1.86102464795113E-3</v>
      </c>
      <c r="K10" s="9">
        <v>-0.24740616977214799</v>
      </c>
      <c r="L10" s="9">
        <v>-0.195220187306404</v>
      </c>
      <c r="M10" s="9">
        <v>-0.64324039220809903</v>
      </c>
      <c r="N10" s="9">
        <v>-0.84706509113311801</v>
      </c>
      <c r="O10" s="9">
        <v>1.0174024105071999</v>
      </c>
      <c r="P10" s="5">
        <v>4.0479874773584584E-4</v>
      </c>
      <c r="Q10" s="5">
        <v>-0.15320354257994373</v>
      </c>
      <c r="R10" s="5">
        <v>-0.22405596700629152</v>
      </c>
      <c r="S10" s="5">
        <v>-0.36900039427416226</v>
      </c>
      <c r="T10" s="5">
        <v>-1.0926652893279305</v>
      </c>
      <c r="U10" s="5">
        <v>0.86126912996636595</v>
      </c>
      <c r="V10" s="5">
        <f t="shared" si="0"/>
        <v>-2.2658233956869759E-3</v>
      </c>
      <c r="W10" s="5">
        <f t="shared" si="0"/>
        <v>-9.4202627192204264E-2</v>
      </c>
      <c r="X10" s="5">
        <f t="shared" si="0"/>
        <v>2.8835779699887515E-2</v>
      </c>
      <c r="Y10" s="5">
        <f t="shared" si="0"/>
        <v>-0.27423999793393677</v>
      </c>
      <c r="Z10" s="5">
        <f t="shared" si="0"/>
        <v>0.24560019819481249</v>
      </c>
      <c r="AA10" s="5">
        <f t="shared" si="0"/>
        <v>0.15613328054083397</v>
      </c>
    </row>
    <row r="11" spans="1:27" ht="16.5" customHeight="1" x14ac:dyDescent="0.35">
      <c r="A11" s="6">
        <v>0.8</v>
      </c>
      <c r="B11" s="6">
        <v>0.12</v>
      </c>
      <c r="C11" s="6">
        <v>2.6179999999999999</v>
      </c>
      <c r="D11" s="6">
        <v>0.3</v>
      </c>
      <c r="E11" s="6">
        <v>0.02</v>
      </c>
      <c r="F11" s="6">
        <v>3.665</v>
      </c>
      <c r="G11" s="6">
        <v>0</v>
      </c>
      <c r="H11" s="6">
        <v>0</v>
      </c>
      <c r="I11" s="6">
        <v>0</v>
      </c>
      <c r="J11" s="9">
        <v>-3.4919474273920103E-4</v>
      </c>
      <c r="K11" s="9">
        <v>-0.13894630968570701</v>
      </c>
      <c r="L11" s="9">
        <v>-0.130643606185913</v>
      </c>
      <c r="M11" s="9">
        <v>-0.20672222971916199</v>
      </c>
      <c r="N11" s="9">
        <v>-0.71990585327148404</v>
      </c>
      <c r="O11" s="9">
        <v>0.58108544349670399</v>
      </c>
      <c r="P11" s="5">
        <v>-9.7876421264432622E-4</v>
      </c>
      <c r="Q11" s="5">
        <v>-6.6968525854226316E-2</v>
      </c>
      <c r="R11" s="5">
        <v>-0.17267535330109141</v>
      </c>
      <c r="S11" s="5">
        <v>-0.1307900240596008</v>
      </c>
      <c r="T11" s="5">
        <v>-0.94237807286034037</v>
      </c>
      <c r="U11" s="5">
        <v>0.24634454155090471</v>
      </c>
      <c r="V11" s="5">
        <f t="shared" si="0"/>
        <v>6.2956946990512519E-4</v>
      </c>
      <c r="W11" s="5">
        <f t="shared" si="0"/>
        <v>-7.1977783831480693E-2</v>
      </c>
      <c r="X11" s="5">
        <f t="shared" si="0"/>
        <v>4.2031747115178403E-2</v>
      </c>
      <c r="Y11" s="5">
        <f t="shared" si="0"/>
        <v>-7.5932205659561186E-2</v>
      </c>
      <c r="Z11" s="5">
        <f t="shared" si="0"/>
        <v>0.22247221958885632</v>
      </c>
      <c r="AA11" s="5">
        <f t="shared" si="0"/>
        <v>0.33474090194579931</v>
      </c>
    </row>
    <row r="12" spans="1:27" ht="16.5" customHeight="1" x14ac:dyDescent="0.35">
      <c r="A12" s="14">
        <v>0.6</v>
      </c>
      <c r="B12" s="14">
        <v>0.2</v>
      </c>
      <c r="C12" s="14">
        <v>2.6179999999999999</v>
      </c>
      <c r="D12" s="14">
        <v>0.5</v>
      </c>
      <c r="E12" s="14">
        <v>0.1</v>
      </c>
      <c r="F12" s="14">
        <v>3.665</v>
      </c>
      <c r="G12" s="14">
        <v>0</v>
      </c>
      <c r="H12" s="14">
        <v>0</v>
      </c>
      <c r="I12" s="14">
        <v>0</v>
      </c>
      <c r="J12" s="9"/>
      <c r="K12" s="9"/>
      <c r="L12" s="9"/>
      <c r="M12" s="9"/>
      <c r="N12" s="9"/>
      <c r="O12" s="9"/>
      <c r="P12" s="5">
        <v>3.1589830116105958E-4</v>
      </c>
      <c r="Q12" s="5">
        <v>-3.2020504384147733E-2</v>
      </c>
      <c r="R12" s="5">
        <v>-0.21945276075604328</v>
      </c>
      <c r="S12" s="5">
        <v>-0.38714038123395006</v>
      </c>
      <c r="T12" s="5">
        <v>-0.87211521781602097</v>
      </c>
      <c r="U12" s="5">
        <v>1.2647173668377544E-2</v>
      </c>
      <c r="V12" s="5">
        <f t="shared" si="0"/>
        <v>-3.1589830116105958E-4</v>
      </c>
      <c r="W12" s="5">
        <f t="shared" si="0"/>
        <v>3.2020504384147733E-2</v>
      </c>
      <c r="X12" s="5">
        <f t="shared" si="0"/>
        <v>0.21945276075604328</v>
      </c>
      <c r="Y12" s="5">
        <f t="shared" si="0"/>
        <v>0.38714038123395006</v>
      </c>
      <c r="Z12" s="5">
        <f t="shared" si="0"/>
        <v>0.87211521781602097</v>
      </c>
      <c r="AA12" s="5">
        <f t="shared" si="0"/>
        <v>-1.2647173668377544E-2</v>
      </c>
    </row>
    <row r="13" spans="1:27" ht="16.5" customHeight="1" x14ac:dyDescent="0.35">
      <c r="A13" s="6">
        <v>0.7</v>
      </c>
      <c r="B13" s="6">
        <v>0.12</v>
      </c>
      <c r="C13" s="6">
        <v>3.927</v>
      </c>
      <c r="D13" s="6">
        <v>0.7</v>
      </c>
      <c r="E13" s="6">
        <v>0.02</v>
      </c>
      <c r="F13" s="6">
        <v>1.0469999999999999</v>
      </c>
      <c r="G13" s="6">
        <v>0</v>
      </c>
      <c r="H13" s="6">
        <v>0</v>
      </c>
      <c r="I13" s="6">
        <v>0</v>
      </c>
      <c r="J13" s="9">
        <v>1.52160471770912E-3</v>
      </c>
      <c r="K13" s="9">
        <v>5.9020079672336599E-2</v>
      </c>
      <c r="L13" s="9">
        <v>-7.2138950228691101E-2</v>
      </c>
      <c r="M13" s="9">
        <v>-0.130099952220917</v>
      </c>
      <c r="N13" s="9">
        <v>-0.15057766437530501</v>
      </c>
      <c r="O13" s="9">
        <v>1.86103023588657E-2</v>
      </c>
      <c r="P13" s="5">
        <v>9.7363161084973947E-4</v>
      </c>
      <c r="Q13" s="5">
        <v>3.6776876902953448E-2</v>
      </c>
      <c r="R13" s="5">
        <v>-6.469422424269676E-2</v>
      </c>
      <c r="S13" s="5">
        <v>-8.4074207736952664E-2</v>
      </c>
      <c r="T13" s="5">
        <v>-0.13946935075329142</v>
      </c>
      <c r="U13" s="5">
        <v>0.11459190775889376</v>
      </c>
      <c r="V13" s="5">
        <f t="shared" si="0"/>
        <v>5.479731068593805E-4</v>
      </c>
      <c r="W13" s="5">
        <f t="shared" si="0"/>
        <v>2.2243202769383151E-2</v>
      </c>
      <c r="X13" s="5">
        <f t="shared" si="0"/>
        <v>-7.444725985994341E-3</v>
      </c>
      <c r="Y13" s="5">
        <f t="shared" si="0"/>
        <v>-4.6025744483964334E-2</v>
      </c>
      <c r="Z13" s="5">
        <f t="shared" si="0"/>
        <v>-1.1108313622013588E-2</v>
      </c>
      <c r="AA13" s="5">
        <f t="shared" si="0"/>
        <v>-9.5981605400028064E-2</v>
      </c>
    </row>
    <row r="14" spans="1:27" ht="16.5" customHeight="1" x14ac:dyDescent="0.35">
      <c r="A14" s="6">
        <v>0.8</v>
      </c>
      <c r="B14" s="6">
        <v>0.2</v>
      </c>
      <c r="C14" s="6">
        <v>3.927</v>
      </c>
      <c r="D14" s="6">
        <v>0.4</v>
      </c>
      <c r="E14" s="6">
        <v>0.04</v>
      </c>
      <c r="F14" s="6">
        <v>1.0469999999999999</v>
      </c>
      <c r="G14" s="6">
        <v>0</v>
      </c>
      <c r="H14" s="6">
        <v>0</v>
      </c>
      <c r="I14" s="6">
        <v>0</v>
      </c>
      <c r="J14" s="9">
        <v>1.0578810470178699E-3</v>
      </c>
      <c r="K14" s="9">
        <v>9.46853533387184E-2</v>
      </c>
      <c r="L14" s="9">
        <v>-9.9762968719005599E-2</v>
      </c>
      <c r="M14" s="9">
        <v>-0.57114285230636597</v>
      </c>
      <c r="N14" s="9">
        <v>-0.11998450011014899</v>
      </c>
      <c r="O14" s="9">
        <v>-2.8004650026559798E-2</v>
      </c>
      <c r="P14" s="5">
        <v>-7.8541408431635022E-5</v>
      </c>
      <c r="Q14" s="5">
        <v>9.7361570999752664E-2</v>
      </c>
      <c r="R14" s="5">
        <v>-0.12146223841005661</v>
      </c>
      <c r="S14" s="5">
        <v>-0.43884428387222035</v>
      </c>
      <c r="T14" s="5">
        <v>-0.26830568365080021</v>
      </c>
      <c r="U14" s="5">
        <v>-0.10567894094544981</v>
      </c>
      <c r="V14" s="5">
        <f t="shared" si="0"/>
        <v>1.1364224554495049E-3</v>
      </c>
      <c r="W14" s="5">
        <f t="shared" si="0"/>
        <v>-2.6762176610342636E-3</v>
      </c>
      <c r="X14" s="5">
        <f t="shared" si="0"/>
        <v>2.1699269691051015E-2</v>
      </c>
      <c r="Y14" s="5">
        <f t="shared" si="0"/>
        <v>-0.13229856843414561</v>
      </c>
      <c r="Z14" s="5">
        <f t="shared" si="0"/>
        <v>0.14832118354065121</v>
      </c>
      <c r="AA14" s="5">
        <f t="shared" si="0"/>
        <v>7.7674290918890013E-2</v>
      </c>
    </row>
    <row r="15" spans="1:27" ht="16.5" customHeight="1" x14ac:dyDescent="0.35">
      <c r="A15" s="5">
        <v>0.3</v>
      </c>
      <c r="B15" s="5">
        <v>0.2</v>
      </c>
      <c r="C15" s="5">
        <v>3.927</v>
      </c>
      <c r="D15" s="5">
        <v>0.3</v>
      </c>
      <c r="E15" s="5">
        <v>0.1</v>
      </c>
      <c r="F15" s="5">
        <v>2.3559999999999999</v>
      </c>
      <c r="G15" s="5">
        <v>0</v>
      </c>
      <c r="H15" s="5">
        <v>0</v>
      </c>
      <c r="I15" s="5">
        <v>0</v>
      </c>
      <c r="J15" s="9"/>
      <c r="K15" s="9"/>
      <c r="L15" s="9"/>
      <c r="M15" s="9"/>
      <c r="N15" s="9"/>
      <c r="O15" s="9"/>
      <c r="P15" s="5">
        <v>-8.8108393518399484E-5</v>
      </c>
      <c r="Q15" s="5">
        <v>1.943886059911621E-2</v>
      </c>
      <c r="R15" s="5">
        <v>-9.9946897680948762E-2</v>
      </c>
      <c r="S15" s="5">
        <v>-8.5532131466541442E-2</v>
      </c>
      <c r="T15" s="5">
        <v>-0.41616923502145198</v>
      </c>
      <c r="U15" s="5">
        <v>6.2100660087833926E-3</v>
      </c>
      <c r="V15" s="5">
        <f t="shared" si="0"/>
        <v>8.8108393518399484E-5</v>
      </c>
      <c r="W15" s="5">
        <f t="shared" si="0"/>
        <v>-1.943886059911621E-2</v>
      </c>
      <c r="X15" s="5">
        <f t="shared" si="0"/>
        <v>9.9946897680948762E-2</v>
      </c>
      <c r="Y15" s="5">
        <f t="shared" si="0"/>
        <v>8.5532131466541442E-2</v>
      </c>
      <c r="Z15" s="5">
        <f t="shared" si="0"/>
        <v>0.41616923502145198</v>
      </c>
      <c r="AA15" s="5">
        <f t="shared" si="0"/>
        <v>-6.2100660087833926E-3</v>
      </c>
    </row>
    <row r="16" spans="1:27" ht="16.5" customHeight="1" x14ac:dyDescent="0.35">
      <c r="A16" s="5">
        <v>0.8</v>
      </c>
      <c r="B16" s="5">
        <v>0.16</v>
      </c>
      <c r="C16" s="5">
        <v>3.927</v>
      </c>
      <c r="D16" s="5">
        <v>0.8</v>
      </c>
      <c r="E16" s="5">
        <v>0.02</v>
      </c>
      <c r="F16" s="5">
        <v>3.665</v>
      </c>
      <c r="G16" s="5">
        <v>0</v>
      </c>
      <c r="H16" s="5">
        <v>0</v>
      </c>
      <c r="I16" s="5">
        <v>0</v>
      </c>
      <c r="J16" s="9"/>
      <c r="K16" s="9"/>
      <c r="L16" s="9"/>
      <c r="M16" s="9"/>
      <c r="N16" s="9"/>
      <c r="O16" s="9"/>
      <c r="P16" s="5">
        <v>1.4225214327873647E-3</v>
      </c>
      <c r="Q16" s="5">
        <v>0.1788480320819168</v>
      </c>
      <c r="R16" s="5">
        <v>-0.21131127581988043</v>
      </c>
      <c r="S16" s="5">
        <v>-0.31597556922372083</v>
      </c>
      <c r="T16" s="5">
        <v>-1.2154841458002614</v>
      </c>
      <c r="U16" s="5">
        <v>-0.92521583270613139</v>
      </c>
      <c r="V16" s="5">
        <f t="shared" si="0"/>
        <v>-1.4225214327873647E-3</v>
      </c>
      <c r="W16" s="5">
        <f t="shared" si="0"/>
        <v>-0.1788480320819168</v>
      </c>
      <c r="X16" s="5">
        <f t="shared" si="0"/>
        <v>0.21131127581988043</v>
      </c>
      <c r="Y16" s="5">
        <f t="shared" si="0"/>
        <v>0.31597556922372083</v>
      </c>
      <c r="Z16" s="5">
        <f t="shared" si="0"/>
        <v>1.2154841458002614</v>
      </c>
      <c r="AA16" s="5">
        <f t="shared" si="0"/>
        <v>0.92521583270613139</v>
      </c>
    </row>
    <row r="17" spans="1:27" ht="16.5" customHeight="1" x14ac:dyDescent="0.35">
      <c r="A17" s="5">
        <v>0.4</v>
      </c>
      <c r="B17" s="5">
        <v>0.2</v>
      </c>
      <c r="C17" s="5">
        <v>3.927</v>
      </c>
      <c r="D17" s="5">
        <v>0.8</v>
      </c>
      <c r="E17" s="5">
        <v>0.06</v>
      </c>
      <c r="F17" s="5">
        <v>3.665</v>
      </c>
      <c r="G17" s="5">
        <v>0</v>
      </c>
      <c r="H17" s="5">
        <v>0</v>
      </c>
      <c r="I17" s="5">
        <v>0</v>
      </c>
      <c r="J17" s="9"/>
      <c r="K17" s="9"/>
      <c r="L17" s="9"/>
      <c r="M17" s="9"/>
      <c r="N17" s="9"/>
      <c r="O17" s="9"/>
      <c r="P17" s="5">
        <v>8.1158405231829657E-5</v>
      </c>
      <c r="Q17" s="5">
        <v>0.13811030731414295</v>
      </c>
      <c r="R17" s="5">
        <v>-0.18246814810281636</v>
      </c>
      <c r="S17" s="5">
        <v>-0.20701396406401426</v>
      </c>
      <c r="T17" s="5">
        <v>-0.95748729881890027</v>
      </c>
      <c r="U17" s="5">
        <v>-0.66415778297496808</v>
      </c>
      <c r="V17" s="5">
        <f t="shared" si="0"/>
        <v>-8.1158405231829657E-5</v>
      </c>
      <c r="W17" s="5">
        <f t="shared" si="0"/>
        <v>-0.13811030731414295</v>
      </c>
      <c r="X17" s="5">
        <f t="shared" si="0"/>
        <v>0.18246814810281636</v>
      </c>
      <c r="Y17" s="5">
        <f t="shared" si="0"/>
        <v>0.20701396406401426</v>
      </c>
      <c r="Z17" s="5">
        <f t="shared" si="0"/>
        <v>0.95748729881890027</v>
      </c>
      <c r="AA17" s="5">
        <f t="shared" si="0"/>
        <v>0.66415778297496808</v>
      </c>
    </row>
    <row r="19" spans="1:27" ht="16.5" customHeight="1" x14ac:dyDescent="0.35">
      <c r="V19" s="37">
        <v>1.58E-3</v>
      </c>
      <c r="W19" s="37">
        <v>1.2500000000000001E-2</v>
      </c>
      <c r="X19" s="37">
        <v>9.0600000000000003E-3</v>
      </c>
      <c r="Y19" s="37">
        <v>5.2499999999999998E-2</v>
      </c>
      <c r="Z19" s="37">
        <v>5.6399999999999999E-2</v>
      </c>
      <c r="AA19" s="37">
        <v>8.1299999999999997E-2</v>
      </c>
    </row>
    <row r="20" spans="1:27" ht="16.5" customHeight="1" x14ac:dyDescent="0.35">
      <c r="C20">
        <v>0.78500000000000003</v>
      </c>
      <c r="D20">
        <v>45</v>
      </c>
      <c r="F20">
        <v>1.0469999999999999</v>
      </c>
      <c r="G20">
        <v>60</v>
      </c>
    </row>
    <row r="21" spans="1:27" ht="16.5" customHeight="1" x14ac:dyDescent="0.35">
      <c r="C21">
        <v>2.6179999999999999</v>
      </c>
      <c r="D21">
        <v>150</v>
      </c>
      <c r="F21">
        <v>2.3559999999999999</v>
      </c>
      <c r="G21">
        <v>135</v>
      </c>
    </row>
    <row r="22" spans="1:27" ht="16.5" customHeight="1" x14ac:dyDescent="0.35">
      <c r="C22">
        <v>3.927</v>
      </c>
      <c r="D22">
        <v>225</v>
      </c>
      <c r="F22">
        <v>3.665</v>
      </c>
      <c r="G22">
        <v>210</v>
      </c>
    </row>
  </sheetData>
  <mergeCells count="4">
    <mergeCell ref="A1:I1"/>
    <mergeCell ref="J1:O1"/>
    <mergeCell ref="P1:U1"/>
    <mergeCell ref="V1:AA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BE333-3BAE-4E8D-AF02-67A9E2013036}">
  <dimension ref="A1:AL17"/>
  <sheetViews>
    <sheetView topLeftCell="H1" workbookViewId="0">
      <pane ySplit="2" topLeftCell="A3" activePane="bottomLeft" state="frozen"/>
      <selection activeCell="K1" sqref="K1"/>
      <selection pane="bottomLeft" activeCell="V6" sqref="V6"/>
    </sheetView>
  </sheetViews>
  <sheetFormatPr defaultRowHeight="14.5" x14ac:dyDescent="0.35"/>
  <cols>
    <col min="1" max="1" width="6.54296875" bestFit="1" customWidth="1"/>
    <col min="2" max="2" width="6.81640625" bestFit="1" customWidth="1"/>
    <col min="3" max="3" width="11.81640625" bestFit="1" customWidth="1"/>
    <col min="4" max="4" width="6.54296875" bestFit="1" customWidth="1"/>
    <col min="5" max="5" width="6.81640625" bestFit="1" customWidth="1"/>
    <col min="6" max="6" width="11.81640625" bestFit="1" customWidth="1"/>
    <col min="7" max="9" width="8.453125" bestFit="1" customWidth="1"/>
    <col min="10" max="11" width="8.1796875" bestFit="1" customWidth="1"/>
    <col min="12" max="12" width="7.7265625" bestFit="1" customWidth="1"/>
    <col min="13" max="15" width="6.453125" bestFit="1" customWidth="1"/>
    <col min="16" max="16" width="6.54296875" bestFit="1" customWidth="1"/>
    <col min="17" max="17" width="6.81640625" bestFit="1" customWidth="1"/>
    <col min="18" max="18" width="11.81640625" bestFit="1" customWidth="1"/>
    <col min="19" max="19" width="6.54296875" bestFit="1" customWidth="1"/>
    <col min="20" max="20" width="6.81640625" bestFit="1" customWidth="1"/>
    <col min="21" max="21" width="11.81640625" bestFit="1" customWidth="1"/>
    <col min="22" max="22" width="6.7265625" customWidth="1"/>
    <col min="23" max="23" width="6.54296875" bestFit="1" customWidth="1"/>
    <col min="24" max="24" width="6.81640625" bestFit="1" customWidth="1"/>
    <col min="25" max="25" width="11.81640625" bestFit="1" customWidth="1"/>
    <col min="26" max="26" width="6.54296875" bestFit="1" customWidth="1"/>
    <col min="27" max="27" width="6.81640625" bestFit="1" customWidth="1"/>
    <col min="28" max="28" width="11.81640625" bestFit="1" customWidth="1"/>
    <col min="29" max="29" width="11" bestFit="1" customWidth="1"/>
    <col min="30" max="30" width="13.81640625" bestFit="1" customWidth="1"/>
    <col min="31" max="31" width="11.1796875" bestFit="1" customWidth="1"/>
    <col min="32" max="32" width="15.1796875" bestFit="1" customWidth="1"/>
    <col min="33" max="33" width="12" bestFit="1" customWidth="1"/>
    <col min="34" max="34" width="13.81640625" bestFit="1" customWidth="1"/>
    <col min="35" max="35" width="11.81640625" bestFit="1" customWidth="1"/>
    <col min="38" max="38" width="11.81640625" bestFit="1" customWidth="1"/>
  </cols>
  <sheetData>
    <row r="1" spans="1:38" ht="16" x14ac:dyDescent="0.4">
      <c r="A1" s="18" t="s">
        <v>11</v>
      </c>
      <c r="B1" s="18"/>
      <c r="C1" s="18"/>
      <c r="D1" s="18"/>
      <c r="E1" s="18"/>
      <c r="F1" s="18"/>
      <c r="G1" s="18"/>
      <c r="H1" s="18"/>
      <c r="I1" s="19"/>
      <c r="J1" s="20" t="s">
        <v>6</v>
      </c>
      <c r="K1" s="21"/>
      <c r="L1" s="21"/>
      <c r="M1" s="21"/>
      <c r="N1" s="21"/>
      <c r="O1" s="21"/>
      <c r="P1" s="32" t="s">
        <v>7</v>
      </c>
      <c r="Q1" s="33"/>
      <c r="R1" s="33"/>
      <c r="S1" s="33"/>
      <c r="T1" s="33"/>
      <c r="U1" s="33"/>
      <c r="V1" s="33"/>
      <c r="W1" s="29" t="s">
        <v>13</v>
      </c>
      <c r="X1" s="29"/>
      <c r="Y1" s="29"/>
      <c r="Z1" s="29"/>
      <c r="AA1" s="29"/>
      <c r="AB1" s="29"/>
      <c r="AC1" s="30" t="s">
        <v>32</v>
      </c>
      <c r="AD1" s="30"/>
      <c r="AE1" s="30"/>
      <c r="AF1" s="30"/>
      <c r="AG1" s="30"/>
      <c r="AH1" s="30"/>
      <c r="AI1" s="30"/>
      <c r="AJ1" s="30"/>
      <c r="AK1" s="30"/>
      <c r="AL1" s="30"/>
    </row>
    <row r="2" spans="1:38" ht="16" x14ac:dyDescent="0.4">
      <c r="A2" s="1" t="s">
        <v>23</v>
      </c>
      <c r="B2" s="1" t="s">
        <v>24</v>
      </c>
      <c r="C2" s="1" t="s">
        <v>37</v>
      </c>
      <c r="D2" s="1" t="s">
        <v>25</v>
      </c>
      <c r="E2" s="1" t="s">
        <v>26</v>
      </c>
      <c r="F2" s="1" t="s">
        <v>38</v>
      </c>
      <c r="G2" s="1" t="s">
        <v>8</v>
      </c>
      <c r="H2" s="1" t="s">
        <v>9</v>
      </c>
      <c r="I2" s="1" t="s">
        <v>10</v>
      </c>
      <c r="J2" s="2" t="s">
        <v>3</v>
      </c>
      <c r="K2" s="1" t="s">
        <v>4</v>
      </c>
      <c r="L2" s="1" t="s">
        <v>5</v>
      </c>
      <c r="M2" s="1" t="s">
        <v>0</v>
      </c>
      <c r="N2" s="1" t="s">
        <v>1</v>
      </c>
      <c r="O2" s="1" t="s">
        <v>2</v>
      </c>
      <c r="P2" s="3" t="s">
        <v>23</v>
      </c>
      <c r="Q2" s="1" t="s">
        <v>24</v>
      </c>
      <c r="R2" s="1" t="s">
        <v>37</v>
      </c>
      <c r="S2" s="1" t="s">
        <v>25</v>
      </c>
      <c r="T2" s="1" t="s">
        <v>26</v>
      </c>
      <c r="U2" s="1" t="s">
        <v>38</v>
      </c>
      <c r="V2" s="2" t="s">
        <v>33</v>
      </c>
      <c r="W2" s="3" t="s">
        <v>23</v>
      </c>
      <c r="X2" s="1" t="s">
        <v>24</v>
      </c>
      <c r="Y2" s="1" t="s">
        <v>37</v>
      </c>
      <c r="Z2" s="1" t="s">
        <v>25</v>
      </c>
      <c r="AA2" s="1" t="s">
        <v>26</v>
      </c>
      <c r="AB2" s="1" t="s">
        <v>38</v>
      </c>
      <c r="AC2" s="7" t="s">
        <v>29</v>
      </c>
      <c r="AD2" s="7" t="s">
        <v>30</v>
      </c>
      <c r="AE2" s="7" t="s">
        <v>31</v>
      </c>
      <c r="AF2" s="7" t="s">
        <v>41</v>
      </c>
      <c r="AG2" s="31" t="s">
        <v>27</v>
      </c>
      <c r="AH2" s="31"/>
      <c r="AI2" s="31"/>
      <c r="AJ2" s="31"/>
      <c r="AK2" s="31"/>
      <c r="AL2" s="31"/>
    </row>
    <row r="3" spans="1:38" ht="16" x14ac:dyDescent="0.4">
      <c r="A3" s="5">
        <f>'Proximal Validation (double)'!A3</f>
        <v>0.8</v>
      </c>
      <c r="B3" s="5">
        <f>'Proximal Validation (double)'!B3</f>
        <v>0.2</v>
      </c>
      <c r="C3" s="5">
        <f>'Proximal Validation (double)'!C3</f>
        <v>0.78500000000000003</v>
      </c>
      <c r="D3" s="5">
        <f>'Proximal Validation (double)'!D3</f>
        <v>0.8</v>
      </c>
      <c r="E3" s="5">
        <f>'Proximal Validation (double)'!E3</f>
        <v>0.1</v>
      </c>
      <c r="F3" s="5">
        <f>'Proximal Validation (double)'!F3</f>
        <v>1.0469999999999999</v>
      </c>
      <c r="G3" s="5">
        <f>'Proximal Validation (double)'!G3</f>
        <v>0</v>
      </c>
      <c r="H3" s="5">
        <f>'Proximal Validation (double)'!H3</f>
        <v>0</v>
      </c>
      <c r="I3" s="5">
        <f>'Proximal Validation (double)'!I3</f>
        <v>0</v>
      </c>
      <c r="J3" s="5">
        <f>'Proximal Validation (double)'!J3</f>
        <v>0</v>
      </c>
      <c r="K3" s="5">
        <f>'Proximal Validation (double)'!K3</f>
        <v>0</v>
      </c>
      <c r="L3" s="5">
        <f>'Proximal Validation (double)'!L3</f>
        <v>0</v>
      </c>
      <c r="M3" s="5">
        <f>'Proximal Validation (double)'!M3</f>
        <v>0</v>
      </c>
      <c r="N3" s="5">
        <f>'Proximal Validation (double)'!N3</f>
        <v>0</v>
      </c>
      <c r="O3" s="5">
        <f>'Proximal Validation (double)'!O3</f>
        <v>0</v>
      </c>
      <c r="P3" s="5"/>
      <c r="Q3" s="5"/>
      <c r="R3" s="5"/>
      <c r="S3" s="5"/>
      <c r="T3" s="5"/>
      <c r="U3" s="5"/>
      <c r="V3" s="12"/>
      <c r="W3" s="5">
        <f t="shared" ref="W3:AB10" si="0">P3-A3</f>
        <v>-0.8</v>
      </c>
      <c r="X3" s="5">
        <f t="shared" si="0"/>
        <v>-0.2</v>
      </c>
      <c r="Y3" s="5">
        <f t="shared" si="0"/>
        <v>-0.78500000000000003</v>
      </c>
      <c r="Z3" s="5">
        <f t="shared" si="0"/>
        <v>-0.8</v>
      </c>
      <c r="AA3" s="5">
        <f t="shared" si="0"/>
        <v>-0.1</v>
      </c>
      <c r="AB3" s="5">
        <f t="shared" si="0"/>
        <v>-1.0469999999999999</v>
      </c>
      <c r="AC3" s="9">
        <f t="shared" ref="AC3:AC10" si="1">AVERAGE(ABS(W3),ABS(Z3))</f>
        <v>0.8</v>
      </c>
      <c r="AD3" s="9">
        <f t="shared" ref="AD3:AD10" si="2">AVERAGE(ABS(X3),ABS(AA3))</f>
        <v>0.15000000000000002</v>
      </c>
      <c r="AE3" s="9">
        <f t="shared" ref="AE3:AE10" si="3">AVERAGE(ABS(Y3),ABS(AB3))</f>
        <v>0.91599999999999993</v>
      </c>
      <c r="AF3" s="15">
        <v>0.19745560000000001</v>
      </c>
      <c r="AG3" s="1" t="s">
        <v>23</v>
      </c>
      <c r="AH3" s="1" t="s">
        <v>24</v>
      </c>
      <c r="AI3" s="1" t="s">
        <v>37</v>
      </c>
      <c r="AJ3" s="1" t="s">
        <v>25</v>
      </c>
      <c r="AK3" s="1" t="s">
        <v>26</v>
      </c>
      <c r="AL3" s="1" t="s">
        <v>38</v>
      </c>
    </row>
    <row r="4" spans="1:38" x14ac:dyDescent="0.35">
      <c r="A4" s="5">
        <f>'Proximal Validation (double)'!A4</f>
        <v>0.4</v>
      </c>
      <c r="B4" s="5">
        <f>'Proximal Validation (double)'!B4</f>
        <v>0.12</v>
      </c>
      <c r="C4" s="5">
        <f>'Proximal Validation (double)'!C4</f>
        <v>0.78500000000000003</v>
      </c>
      <c r="D4" s="5">
        <f>'Proximal Validation (double)'!D4</f>
        <v>0.4</v>
      </c>
      <c r="E4" s="5">
        <f>'Proximal Validation (double)'!E4</f>
        <v>0.02</v>
      </c>
      <c r="F4" s="5">
        <f>'Proximal Validation (double)'!F4</f>
        <v>2.3559999999999999</v>
      </c>
      <c r="G4" s="5">
        <f>'Proximal Validation (double)'!G4</f>
        <v>0</v>
      </c>
      <c r="H4" s="5">
        <f>'Proximal Validation (double)'!H4</f>
        <v>0</v>
      </c>
      <c r="I4" s="5">
        <f>'Proximal Validation (double)'!I4</f>
        <v>0</v>
      </c>
      <c r="J4" s="5">
        <f>'Proximal Validation (double)'!J4</f>
        <v>-6.56991032883525E-4</v>
      </c>
      <c r="K4" s="5">
        <f>'Proximal Validation (double)'!K4</f>
        <v>-9.0627849102020305E-2</v>
      </c>
      <c r="L4" s="5">
        <f>'Proximal Validation (double)'!L4</f>
        <v>2.07312256097794E-2</v>
      </c>
      <c r="M4" s="5">
        <f>'Proximal Validation (double)'!M4</f>
        <v>-4.5330036431551E-2</v>
      </c>
      <c r="N4" s="5">
        <f>'Proximal Validation (double)'!N4</f>
        <v>-8.0224335193634005E-2</v>
      </c>
      <c r="O4" s="5">
        <f>'Proximal Validation (double)'!O4</f>
        <v>0.50792884826660201</v>
      </c>
      <c r="P4" s="5">
        <v>0.25567467247278269</v>
      </c>
      <c r="Q4" s="5">
        <v>0.19999999909224236</v>
      </c>
      <c r="R4" s="5">
        <v>0.54661520770319594</v>
      </c>
      <c r="S4" s="5">
        <v>0.47960259998257099</v>
      </c>
      <c r="T4" s="5">
        <v>5.0235193596077622E-2</v>
      </c>
      <c r="U4" s="5">
        <v>2.2334302003847073</v>
      </c>
      <c r="V4" s="12">
        <v>4.5000100270442207E-5</v>
      </c>
      <c r="W4" s="5">
        <f t="shared" si="0"/>
        <v>-0.14432532752721733</v>
      </c>
      <c r="X4" s="5">
        <f t="shared" si="0"/>
        <v>7.9999999092242369E-2</v>
      </c>
      <c r="Y4" s="5">
        <f t="shared" si="0"/>
        <v>-0.23838479229680409</v>
      </c>
      <c r="Z4" s="5">
        <f t="shared" si="0"/>
        <v>7.9602599982570965E-2</v>
      </c>
      <c r="AA4" s="5">
        <f t="shared" si="0"/>
        <v>3.0235193596077622E-2</v>
      </c>
      <c r="AB4" s="5">
        <f t="shared" si="0"/>
        <v>-0.12256979961529257</v>
      </c>
      <c r="AC4" s="9">
        <f t="shared" si="1"/>
        <v>0.11196396375489415</v>
      </c>
      <c r="AD4" s="9">
        <f t="shared" si="2"/>
        <v>5.5117596344159997E-2</v>
      </c>
      <c r="AE4" s="9">
        <f t="shared" si="3"/>
        <v>0.18047729595604833</v>
      </c>
      <c r="AF4" s="15">
        <v>6.470381E-2</v>
      </c>
      <c r="AG4" s="8" cm="1">
        <f t="array" ref="AG4">AVERAGE(ABS(W4:W11),ABS(W13:W14))</f>
        <v>0.14751707771943234</v>
      </c>
      <c r="AH4" s="8" cm="1">
        <f t="array" ref="AH4">AVERAGE(ABS(X4:X11),ABS(X13:X14))</f>
        <v>2.8689765399114858E-2</v>
      </c>
      <c r="AI4" s="8" cm="1">
        <f t="array" ref="AI4">AVERAGE(ABS(Y4:Y11),ABS(Y13:Y14))</f>
        <v>0.30341747229367938</v>
      </c>
      <c r="AJ4" s="8" cm="1">
        <f t="array" ref="AJ4">AVERAGE(ABS(Z4:Z11),ABS(Z13:Z14))</f>
        <v>0.13430703182761966</v>
      </c>
      <c r="AK4" s="8" cm="1">
        <f t="array" ref="AK4">AVERAGE(ABS(AA4:AA11),ABS(AA13:AA14))</f>
        <v>1.9784705988411928E-2</v>
      </c>
      <c r="AL4" s="8" cm="1">
        <f t="array" ref="AL4">AVERAGE(ABS(AB4:AB11),ABS(AB13:AB14))</f>
        <v>0.13700284974102425</v>
      </c>
    </row>
    <row r="5" spans="1:38" x14ac:dyDescent="0.35">
      <c r="A5" s="5">
        <f>'Proximal Validation (double)'!A5</f>
        <v>0.7</v>
      </c>
      <c r="B5" s="5">
        <f>'Proximal Validation (double)'!B5</f>
        <v>0.16</v>
      </c>
      <c r="C5" s="5">
        <f>'Proximal Validation (double)'!C5</f>
        <v>0.78500000000000003</v>
      </c>
      <c r="D5" s="5">
        <f>'Proximal Validation (double)'!D5</f>
        <v>0.3</v>
      </c>
      <c r="E5" s="5">
        <f>'Proximal Validation (double)'!E5</f>
        <v>0.06</v>
      </c>
      <c r="F5" s="5">
        <f>'Proximal Validation (double)'!F5</f>
        <v>3.665</v>
      </c>
      <c r="G5" s="5">
        <f>'Proximal Validation (double)'!G5</f>
        <v>0</v>
      </c>
      <c r="H5" s="5">
        <f>'Proximal Validation (double)'!H5</f>
        <v>0</v>
      </c>
      <c r="I5" s="5">
        <f>'Proximal Validation (double)'!I5</f>
        <v>0</v>
      </c>
      <c r="J5" s="5">
        <f>'Proximal Validation (double)'!J5</f>
        <v>1.13202398642898E-3</v>
      </c>
      <c r="K5" s="5">
        <f>'Proximal Validation (double)'!K5</f>
        <v>-0.116873532533646</v>
      </c>
      <c r="L5" s="5">
        <f>'Proximal Validation (double)'!L5</f>
        <v>8.0217547714710194E-2</v>
      </c>
      <c r="M5" s="5">
        <f>'Proximal Validation (double)'!M5</f>
        <v>-0.24421182274818401</v>
      </c>
      <c r="N5" s="5">
        <f>'Proximal Validation (double)'!N5</f>
        <v>0.16285943984985399</v>
      </c>
      <c r="O5" s="5">
        <f>'Proximal Validation (double)'!O5</f>
        <v>0.34258222579956099</v>
      </c>
      <c r="P5" s="5">
        <v>0.75236037686756829</v>
      </c>
      <c r="Q5" s="5">
        <v>0.15636629216646453</v>
      </c>
      <c r="R5" s="5">
        <v>0.90650187930044546</v>
      </c>
      <c r="S5" s="5">
        <v>0.34837114920205076</v>
      </c>
      <c r="T5" s="5">
        <v>2.0000002326291587E-2</v>
      </c>
      <c r="U5" s="5">
        <v>3.8134118083571478</v>
      </c>
      <c r="V5" s="12">
        <v>1.6624091234659783E-5</v>
      </c>
      <c r="W5" s="5">
        <f t="shared" si="0"/>
        <v>5.2360376867568337E-2</v>
      </c>
      <c r="X5" s="5">
        <f t="shared" si="0"/>
        <v>-3.6337078335354767E-3</v>
      </c>
      <c r="Y5" s="5">
        <f t="shared" si="0"/>
        <v>0.12150187930044543</v>
      </c>
      <c r="Z5" s="5">
        <f t="shared" si="0"/>
        <v>4.8371149202050767E-2</v>
      </c>
      <c r="AA5" s="5">
        <f t="shared" si="0"/>
        <v>-3.9999997673708411E-2</v>
      </c>
      <c r="AB5" s="5">
        <f t="shared" si="0"/>
        <v>0.14841180835714773</v>
      </c>
      <c r="AC5" s="10">
        <f t="shared" si="1"/>
        <v>5.0365763034809552E-2</v>
      </c>
      <c r="AD5" s="10">
        <f t="shared" si="2"/>
        <v>2.1816852753621944E-2</v>
      </c>
      <c r="AE5" s="10">
        <f t="shared" si="3"/>
        <v>0.13495684382879658</v>
      </c>
      <c r="AF5" s="16">
        <v>1.336101</v>
      </c>
      <c r="AG5" s="27" t="s">
        <v>28</v>
      </c>
      <c r="AH5" s="28"/>
      <c r="AI5" s="28"/>
      <c r="AJ5" s="28"/>
      <c r="AK5" s="28"/>
      <c r="AL5" s="28"/>
    </row>
    <row r="6" spans="1:38" x14ac:dyDescent="0.35">
      <c r="A6" s="5">
        <f>'Proximal Validation (double)'!A6</f>
        <v>0.3</v>
      </c>
      <c r="B6" s="5">
        <f>'Proximal Validation (double)'!B6</f>
        <v>0.2</v>
      </c>
      <c r="C6" s="5">
        <f>'Proximal Validation (double)'!C6</f>
        <v>0.78500000000000003</v>
      </c>
      <c r="D6" s="5">
        <f>'Proximal Validation (double)'!D6</f>
        <v>0.7</v>
      </c>
      <c r="E6" s="5">
        <f>'Proximal Validation (double)'!E6</f>
        <v>0.02</v>
      </c>
      <c r="F6" s="5">
        <f>'Proximal Validation (double)'!F6</f>
        <v>3.665</v>
      </c>
      <c r="G6" s="5">
        <f>'Proximal Validation (double)'!G6</f>
        <v>0</v>
      </c>
      <c r="H6" s="5">
        <f>'Proximal Validation (double)'!H6</f>
        <v>0</v>
      </c>
      <c r="I6" s="5">
        <f>'Proximal Validation (double)'!I6</f>
        <v>0</v>
      </c>
      <c r="J6" s="5">
        <f>'Proximal Validation (double)'!J6</f>
        <v>5.0459569320082697E-4</v>
      </c>
      <c r="K6" s="5">
        <f>'Proximal Validation (double)'!K6</f>
        <v>-1.0949088260531399E-2</v>
      </c>
      <c r="L6" s="5">
        <f>'Proximal Validation (double)'!L6</f>
        <v>-2.7528360486030599E-2</v>
      </c>
      <c r="M6" s="5">
        <f>'Proximal Validation (double)'!M6</f>
        <v>-2.5787528604269E-2</v>
      </c>
      <c r="N6" s="5">
        <f>'Proximal Validation (double)'!N6</f>
        <v>-0.499801754951477</v>
      </c>
      <c r="O6" s="5">
        <f>'Proximal Validation (double)'!O6</f>
        <v>-0.175722181797028</v>
      </c>
      <c r="P6" s="5">
        <v>0.49977600880993145</v>
      </c>
      <c r="Q6" s="5">
        <v>0.11010282345167513</v>
      </c>
      <c r="R6" s="5">
        <v>0.80918575619410793</v>
      </c>
      <c r="S6" s="5">
        <v>0.99999956694968339</v>
      </c>
      <c r="T6" s="5">
        <v>2.4343561724048772E-2</v>
      </c>
      <c r="U6" s="5">
        <v>3.7082142619431138</v>
      </c>
      <c r="V6" s="12">
        <v>1.4996205038554208E-7</v>
      </c>
      <c r="W6" s="5">
        <f t="shared" si="0"/>
        <v>0.19977600880993146</v>
      </c>
      <c r="X6" s="5">
        <f t="shared" si="0"/>
        <v>-8.9897176548324881E-2</v>
      </c>
      <c r="Y6" s="5">
        <f t="shared" si="0"/>
        <v>2.4185756194107899E-2</v>
      </c>
      <c r="Z6" s="5">
        <f t="shared" si="0"/>
        <v>0.29999956694968344</v>
      </c>
      <c r="AA6" s="5">
        <f t="shared" si="0"/>
        <v>4.3435617240487716E-3</v>
      </c>
      <c r="AB6" s="5">
        <f t="shared" si="0"/>
        <v>4.321426194311373E-2</v>
      </c>
      <c r="AC6" s="9">
        <f t="shared" si="1"/>
        <v>0.24988778787980745</v>
      </c>
      <c r="AD6" s="9">
        <f t="shared" si="2"/>
        <v>4.7120369136186828E-2</v>
      </c>
      <c r="AE6" s="9">
        <f t="shared" si="3"/>
        <v>3.3700009068610814E-2</v>
      </c>
      <c r="AF6" s="15">
        <v>0.75654290000000002</v>
      </c>
      <c r="AG6" s="7" t="s">
        <v>29</v>
      </c>
      <c r="AH6" s="7" t="s">
        <v>30</v>
      </c>
      <c r="AI6" s="7" t="s">
        <v>31</v>
      </c>
      <c r="AJ6" s="8"/>
      <c r="AK6" s="8"/>
      <c r="AL6" s="8"/>
    </row>
    <row r="7" spans="1:38" x14ac:dyDescent="0.35">
      <c r="A7" s="5">
        <f>'Proximal Validation (double)'!A7</f>
        <v>0.3</v>
      </c>
      <c r="B7" s="5">
        <f>'Proximal Validation (double)'!B7</f>
        <v>0.14000000000000001</v>
      </c>
      <c r="C7" s="5">
        <f>'Proximal Validation (double)'!C7</f>
        <v>2.6179999999999999</v>
      </c>
      <c r="D7" s="5">
        <f>'Proximal Validation (double)'!D7</f>
        <v>0.8</v>
      </c>
      <c r="E7" s="5">
        <f>'Proximal Validation (double)'!E7</f>
        <v>0.04</v>
      </c>
      <c r="F7" s="5">
        <f>'Proximal Validation (double)'!F7</f>
        <v>1.0469999999999999</v>
      </c>
      <c r="G7" s="5">
        <f>'Proximal Validation (double)'!G7</f>
        <v>0</v>
      </c>
      <c r="H7" s="5">
        <f>'Proximal Validation (double)'!H7</f>
        <v>0</v>
      </c>
      <c r="I7" s="5">
        <f>'Proximal Validation (double)'!I7</f>
        <v>0</v>
      </c>
      <c r="J7" s="5">
        <f>'Proximal Validation (double)'!J7</f>
        <v>-1.9948105327785002E-3</v>
      </c>
      <c r="K7" s="5">
        <f>'Proximal Validation (double)'!K7</f>
        <v>-0.16114857792854301</v>
      </c>
      <c r="L7" s="5">
        <f>'Proximal Validation (double)'!L7</f>
        <v>-8.2256738096475601E-4</v>
      </c>
      <c r="M7" s="5">
        <f>'Proximal Validation (double)'!M7</f>
        <v>-8.3539940416812897E-2</v>
      </c>
      <c r="N7" s="5">
        <f>'Proximal Validation (double)'!N7</f>
        <v>0.16338084638118699</v>
      </c>
      <c r="O7" s="5">
        <f>'Proximal Validation (double)'!O7</f>
        <v>0.98013961315154996</v>
      </c>
      <c r="P7" s="5">
        <v>0.44292851115966569</v>
      </c>
      <c r="Q7" s="5">
        <v>0.14487006440567435</v>
      </c>
      <c r="R7" s="5">
        <v>1.9423762900387858</v>
      </c>
      <c r="S7" s="5">
        <v>0.65698828732782644</v>
      </c>
      <c r="T7" s="5">
        <v>2.3725386409710204E-2</v>
      </c>
      <c r="U7" s="5">
        <v>1.0587198012968932</v>
      </c>
      <c r="V7" s="12">
        <v>2.6266080946215855E-4</v>
      </c>
      <c r="W7" s="5">
        <f t="shared" si="0"/>
        <v>0.14292851115966571</v>
      </c>
      <c r="X7" s="5">
        <f t="shared" si="0"/>
        <v>4.8700644056743347E-3</v>
      </c>
      <c r="Y7" s="5">
        <f t="shared" si="0"/>
        <v>-0.67562370996121413</v>
      </c>
      <c r="Z7" s="5">
        <f t="shared" si="0"/>
        <v>-0.14301171267217361</v>
      </c>
      <c r="AA7" s="5">
        <f t="shared" si="0"/>
        <v>-1.6274613590289796E-2</v>
      </c>
      <c r="AB7" s="5">
        <f t="shared" si="0"/>
        <v>1.1719801296893317E-2</v>
      </c>
      <c r="AC7" s="9">
        <f t="shared" si="1"/>
        <v>0.14297011191591966</v>
      </c>
      <c r="AD7" s="9">
        <f t="shared" si="2"/>
        <v>1.0572338997982066E-2</v>
      </c>
      <c r="AE7" s="9">
        <f t="shared" si="3"/>
        <v>0.34367175562905372</v>
      </c>
      <c r="AF7" s="15">
        <v>0.33172699999999999</v>
      </c>
      <c r="AG7" s="11">
        <f>AVERAGE(AG4,AJ4)</f>
        <v>0.140912054773526</v>
      </c>
      <c r="AH7" s="11">
        <f>AVERAGE(AH4,AK4)</f>
        <v>2.4237235693763393E-2</v>
      </c>
      <c r="AI7" s="11">
        <f>AVERAGE(AI4,AL4)</f>
        <v>0.2202101610173518</v>
      </c>
      <c r="AJ7" s="8"/>
      <c r="AK7" s="8"/>
      <c r="AL7" s="8"/>
    </row>
    <row r="8" spans="1:38" x14ac:dyDescent="0.35">
      <c r="A8" s="5">
        <f>'Proximal Validation (double)'!A8</f>
        <v>0.4</v>
      </c>
      <c r="B8" s="5">
        <f>'Proximal Validation (double)'!B8</f>
        <v>0.18</v>
      </c>
      <c r="C8" s="5">
        <f>'Proximal Validation (double)'!C8</f>
        <v>2.6179999999999999</v>
      </c>
      <c r="D8" s="5">
        <f>'Proximal Validation (double)'!D8</f>
        <v>0.3</v>
      </c>
      <c r="E8" s="5">
        <f>'Proximal Validation (double)'!E8</f>
        <v>0.02</v>
      </c>
      <c r="F8" s="5">
        <f>'Proximal Validation (double)'!F8</f>
        <v>1.0469999999999999</v>
      </c>
      <c r="G8" s="5">
        <f>'Proximal Validation (double)'!G8</f>
        <v>0</v>
      </c>
      <c r="H8" s="5">
        <f>'Proximal Validation (double)'!H8</f>
        <v>0</v>
      </c>
      <c r="I8" s="5">
        <f>'Proximal Validation (double)'!I8</f>
        <v>0</v>
      </c>
      <c r="J8" s="5">
        <f>'Proximal Validation (double)'!J8</f>
        <v>-6.5418658778071404E-5</v>
      </c>
      <c r="K8" s="5">
        <f>'Proximal Validation (double)'!K8</f>
        <v>-0.109843894839287</v>
      </c>
      <c r="L8" s="5">
        <f>'Proximal Validation (double)'!L8</f>
        <v>-4.0013011544942897E-2</v>
      </c>
      <c r="M8" s="5">
        <f>'Proximal Validation (double)'!M8</f>
        <v>-0.138460397720337</v>
      </c>
      <c r="N8" s="5">
        <f>'Proximal Validation (double)'!N8</f>
        <v>-3.7903144955635099E-2</v>
      </c>
      <c r="O8" s="5">
        <f>'Proximal Validation (double)'!O8</f>
        <v>0.53465890884399403</v>
      </c>
      <c r="P8" s="5">
        <v>0.36319322435870488</v>
      </c>
      <c r="Q8" s="5">
        <v>0.19999999990894349</v>
      </c>
      <c r="R8" s="5">
        <v>2.1784313485326923</v>
      </c>
      <c r="S8" s="5">
        <v>0.29731696663214269</v>
      </c>
      <c r="T8" s="5">
        <v>2.0000000000022205E-2</v>
      </c>
      <c r="U8" s="5">
        <v>0.99320823575838579</v>
      </c>
      <c r="V8" s="12">
        <v>9.2230925878372075E-4</v>
      </c>
      <c r="W8" s="5">
        <f t="shared" si="0"/>
        <v>-3.6806775641295142E-2</v>
      </c>
      <c r="X8" s="5">
        <f t="shared" si="0"/>
        <v>1.9999999908943494E-2</v>
      </c>
      <c r="Y8" s="5">
        <f t="shared" si="0"/>
        <v>-0.43956865146730761</v>
      </c>
      <c r="Z8" s="5">
        <f t="shared" si="0"/>
        <v>-2.6830333678573015E-3</v>
      </c>
      <c r="AA8" s="5">
        <f t="shared" si="0"/>
        <v>2.2204460492503131E-14</v>
      </c>
      <c r="AB8" s="5">
        <f t="shared" si="0"/>
        <v>-5.3791764241614137E-2</v>
      </c>
      <c r="AC8" s="9">
        <f t="shared" si="1"/>
        <v>1.9744904504576222E-2</v>
      </c>
      <c r="AD8" s="9">
        <f t="shared" si="2"/>
        <v>9.9999999544828494E-3</v>
      </c>
      <c r="AE8" s="9">
        <f t="shared" si="3"/>
        <v>0.24668020785446088</v>
      </c>
      <c r="AF8" s="17">
        <v>0.1906012</v>
      </c>
    </row>
    <row r="9" spans="1:38" x14ac:dyDescent="0.35">
      <c r="A9" s="5">
        <f>'Proximal Validation (double)'!A9</f>
        <v>0.8</v>
      </c>
      <c r="B9" s="5">
        <f>'Proximal Validation (double)'!B9</f>
        <v>0.18</v>
      </c>
      <c r="C9" s="5">
        <f>'Proximal Validation (double)'!C9</f>
        <v>2.6179999999999999</v>
      </c>
      <c r="D9" s="5">
        <f>'Proximal Validation (double)'!D9</f>
        <v>0.7</v>
      </c>
      <c r="E9" s="5">
        <f>'Proximal Validation (double)'!E9</f>
        <v>0.06</v>
      </c>
      <c r="F9" s="5">
        <f>'Proximal Validation (double)'!F9</f>
        <v>2.3559999999999999</v>
      </c>
      <c r="G9" s="5">
        <f>'Proximal Validation (double)'!G9</f>
        <v>0</v>
      </c>
      <c r="H9" s="5">
        <f>'Proximal Validation (double)'!H9</f>
        <v>0</v>
      </c>
      <c r="I9" s="5">
        <f>'Proximal Validation (double)'!I9</f>
        <v>0</v>
      </c>
      <c r="J9" s="5">
        <f>'Proximal Validation (double)'!J9</f>
        <v>-1.86102464795113E-3</v>
      </c>
      <c r="K9" s="5">
        <f>'Proximal Validation (double)'!K9</f>
        <v>-0.24740616977214799</v>
      </c>
      <c r="L9" s="5">
        <f>'Proximal Validation (double)'!L9</f>
        <v>-0.195220187306404</v>
      </c>
      <c r="M9" s="5">
        <f>'Proximal Validation (double)'!M9</f>
        <v>-0.64324039220809903</v>
      </c>
      <c r="N9" s="5">
        <f>'Proximal Validation (double)'!N9</f>
        <v>-0.84706509113311801</v>
      </c>
      <c r="O9" s="5">
        <f>'Proximal Validation (double)'!O9</f>
        <v>1.0174024105071999</v>
      </c>
      <c r="P9" s="5">
        <v>0.92106210767679975</v>
      </c>
      <c r="Q9" s="5">
        <v>0.18159214842507027</v>
      </c>
      <c r="R9" s="5">
        <v>2.1671248196626025</v>
      </c>
      <c r="S9" s="5">
        <v>0.59867222632999573</v>
      </c>
      <c r="T9" s="5">
        <v>7.1128365072845548E-2</v>
      </c>
      <c r="U9" s="5">
        <v>2.3854323513780411</v>
      </c>
      <c r="V9" s="12">
        <v>5.6332175769781144E-17</v>
      </c>
      <c r="W9" s="5">
        <f t="shared" si="0"/>
        <v>0.1210621076767997</v>
      </c>
      <c r="X9" s="5">
        <f t="shared" si="0"/>
        <v>1.5921484250702722E-3</v>
      </c>
      <c r="Y9" s="5">
        <f t="shared" si="0"/>
        <v>-0.45087518033739737</v>
      </c>
      <c r="Z9" s="5">
        <f t="shared" si="0"/>
        <v>-0.10132777367000423</v>
      </c>
      <c r="AA9" s="5">
        <f t="shared" si="0"/>
        <v>1.112836507284555E-2</v>
      </c>
      <c r="AB9" s="5">
        <f t="shared" si="0"/>
        <v>2.9432351378041233E-2</v>
      </c>
      <c r="AC9" s="9">
        <f t="shared" si="1"/>
        <v>0.11119494067340197</v>
      </c>
      <c r="AD9" s="9">
        <f t="shared" si="2"/>
        <v>6.3602567489579112E-3</v>
      </c>
      <c r="AE9" s="9">
        <f t="shared" si="3"/>
        <v>0.2401537658577193</v>
      </c>
      <c r="AF9" s="17">
        <v>2.5859779999999999</v>
      </c>
      <c r="AG9" s="13"/>
      <c r="AH9" s="13"/>
      <c r="AI9" s="13"/>
    </row>
    <row r="10" spans="1:38" x14ac:dyDescent="0.35">
      <c r="A10" s="5">
        <f>'Proximal Validation (double)'!A10</f>
        <v>0.7</v>
      </c>
      <c r="B10" s="5">
        <f>'Proximal Validation (double)'!B10</f>
        <v>0.2</v>
      </c>
      <c r="C10" s="5">
        <f>'Proximal Validation (double)'!C10</f>
        <v>2.6179999999999999</v>
      </c>
      <c r="D10" s="5">
        <f>'Proximal Validation (double)'!D10</f>
        <v>0.8</v>
      </c>
      <c r="E10" s="5">
        <f>'Proximal Validation (double)'!E10</f>
        <v>0.02</v>
      </c>
      <c r="F10" s="5">
        <f>'Proximal Validation (double)'!F10</f>
        <v>2.3559999999999999</v>
      </c>
      <c r="G10" s="5">
        <f>'Proximal Validation (double)'!G10</f>
        <v>0</v>
      </c>
      <c r="H10" s="5">
        <f>'Proximal Validation (double)'!H10</f>
        <v>0</v>
      </c>
      <c r="I10" s="5">
        <f>'Proximal Validation (double)'!I10</f>
        <v>0</v>
      </c>
      <c r="J10" s="5">
        <f>'Proximal Validation (double)'!J10</f>
        <v>-1.86102464795113E-3</v>
      </c>
      <c r="K10" s="5">
        <f>'Proximal Validation (double)'!K10</f>
        <v>-0.24740616977214799</v>
      </c>
      <c r="L10" s="5">
        <f>'Proximal Validation (double)'!L10</f>
        <v>-0.195220187306404</v>
      </c>
      <c r="M10" s="5">
        <f>'Proximal Validation (double)'!M10</f>
        <v>-0.64324039220809903</v>
      </c>
      <c r="N10" s="5">
        <f>'Proximal Validation (double)'!N10</f>
        <v>-0.84706509113311801</v>
      </c>
      <c r="O10" s="5">
        <f>'Proximal Validation (double)'!O10</f>
        <v>1.0174024105071999</v>
      </c>
      <c r="P10" s="5">
        <v>0.92106210767679975</v>
      </c>
      <c r="Q10" s="5">
        <v>0.18159214842507027</v>
      </c>
      <c r="R10" s="5">
        <v>2.1671248196626025</v>
      </c>
      <c r="S10" s="5">
        <v>0.59867222632999573</v>
      </c>
      <c r="T10" s="5">
        <v>7.1128365072845548E-2</v>
      </c>
      <c r="U10" s="5">
        <v>2.3854323513780411</v>
      </c>
      <c r="V10" s="12">
        <v>5.6332175769781144E-17</v>
      </c>
      <c r="W10" s="5">
        <f t="shared" si="0"/>
        <v>0.22106210767679979</v>
      </c>
      <c r="X10" s="5">
        <f t="shared" si="0"/>
        <v>-1.8407851574929746E-2</v>
      </c>
      <c r="Y10" s="5">
        <f t="shared" si="0"/>
        <v>-0.45087518033739737</v>
      </c>
      <c r="Z10" s="5">
        <f t="shared" si="0"/>
        <v>-0.20132777367000432</v>
      </c>
      <c r="AA10" s="5">
        <f t="shared" si="0"/>
        <v>5.1128365072845544E-2</v>
      </c>
      <c r="AB10" s="5">
        <f t="shared" si="0"/>
        <v>2.9432351378041233E-2</v>
      </c>
      <c r="AC10" s="9">
        <f t="shared" si="1"/>
        <v>0.21119494067340205</v>
      </c>
      <c r="AD10" s="9">
        <f t="shared" si="2"/>
        <v>3.4768108323887645E-2</v>
      </c>
      <c r="AE10" s="9">
        <f t="shared" si="3"/>
        <v>0.2401537658577193</v>
      </c>
      <c r="AF10" s="17">
        <v>3.2588819999999998</v>
      </c>
    </row>
    <row r="11" spans="1:38" x14ac:dyDescent="0.35">
      <c r="A11" s="5">
        <f>'Proximal Validation (double)'!A11</f>
        <v>0.8</v>
      </c>
      <c r="B11" s="5">
        <f>'Proximal Validation (double)'!B11</f>
        <v>0.12</v>
      </c>
      <c r="C11" s="5">
        <f>'Proximal Validation (double)'!C11</f>
        <v>2.6179999999999999</v>
      </c>
      <c r="D11" s="5">
        <f>'Proximal Validation (double)'!D11</f>
        <v>0.3</v>
      </c>
      <c r="E11" s="5">
        <f>'Proximal Validation (double)'!E11</f>
        <v>0.02</v>
      </c>
      <c r="F11" s="5">
        <f>'Proximal Validation (double)'!F11</f>
        <v>3.665</v>
      </c>
      <c r="G11" s="5">
        <f>'Proximal Validation (double)'!G11</f>
        <v>0</v>
      </c>
      <c r="H11" s="5">
        <f>'Proximal Validation (double)'!H11</f>
        <v>0</v>
      </c>
      <c r="I11" s="5">
        <f>'Proximal Validation (double)'!I11</f>
        <v>0</v>
      </c>
      <c r="J11" s="5">
        <f>'Proximal Validation (double)'!J11</f>
        <v>-3.4919474273920103E-4</v>
      </c>
      <c r="K11" s="5">
        <f>'Proximal Validation (double)'!K11</f>
        <v>-0.13894630968570701</v>
      </c>
      <c r="L11" s="5">
        <f>'Proximal Validation (double)'!L11</f>
        <v>-0.130643606185913</v>
      </c>
      <c r="M11" s="5">
        <f>'Proximal Validation (double)'!M11</f>
        <v>-0.20672222971916199</v>
      </c>
      <c r="N11" s="5">
        <f>'Proximal Validation (double)'!N11</f>
        <v>-0.71990585327148404</v>
      </c>
      <c r="O11" s="5">
        <f>'Proximal Validation (double)'!O11</f>
        <v>0.58108544349670399</v>
      </c>
      <c r="P11" s="5">
        <v>0.56804916805575267</v>
      </c>
      <c r="Q11" s="5">
        <v>0.17390845696099921</v>
      </c>
      <c r="R11" s="5">
        <v>2.1153608441955356</v>
      </c>
      <c r="S11" s="5">
        <v>0.46023236125499334</v>
      </c>
      <c r="T11" s="5">
        <v>3.5387751150079215E-2</v>
      </c>
      <c r="U11" s="5">
        <v>2.8674295536851111</v>
      </c>
      <c r="V11" s="12">
        <v>2.3408564729455251E-13</v>
      </c>
      <c r="W11" s="5">
        <f t="shared" ref="W11:W17" si="4">P11-A11</f>
        <v>-0.23195083194424737</v>
      </c>
      <c r="X11" s="5">
        <f t="shared" ref="X11:X17" si="5">Q11-B11</f>
        <v>5.3908456960999218E-2</v>
      </c>
      <c r="Y11" s="5">
        <f t="shared" ref="Y11:Y17" si="6">R11-C11</f>
        <v>-0.50263915580446428</v>
      </c>
      <c r="Z11" s="5">
        <f t="shared" ref="Z11:Z17" si="7">S11-D11</f>
        <v>0.16023236125499335</v>
      </c>
      <c r="AA11" s="5">
        <f t="shared" ref="AA11:AA17" si="8">T11-E11</f>
        <v>1.5387751150079215E-2</v>
      </c>
      <c r="AB11" s="5">
        <f t="shared" ref="AB11:AB17" si="9">U11-F11</f>
        <v>-0.79757044631488894</v>
      </c>
      <c r="AC11" s="9">
        <f t="shared" ref="AC11:AC17" si="10">AVERAGE(ABS(W11),ABS(Z11))</f>
        <v>0.19609159659962036</v>
      </c>
      <c r="AD11" s="9">
        <f t="shared" ref="AD11:AD17" si="11">AVERAGE(ABS(X11),ABS(AA11))</f>
        <v>3.4648104055539218E-2</v>
      </c>
      <c r="AE11" s="9">
        <f t="shared" ref="AE11:AE17" si="12">AVERAGE(ABS(Y11),ABS(AB11))</f>
        <v>0.65010480105967661</v>
      </c>
      <c r="AF11" s="17">
        <v>0.15161459999999999</v>
      </c>
    </row>
    <row r="12" spans="1:38" x14ac:dyDescent="0.35">
      <c r="A12" s="5">
        <f>'Proximal Validation (double)'!A12</f>
        <v>0.6</v>
      </c>
      <c r="B12" s="5">
        <f>'Proximal Validation (double)'!B12</f>
        <v>0.2</v>
      </c>
      <c r="C12" s="5">
        <f>'Proximal Validation (double)'!C12</f>
        <v>2.6179999999999999</v>
      </c>
      <c r="D12" s="5">
        <f>'Proximal Validation (double)'!D12</f>
        <v>0.5</v>
      </c>
      <c r="E12" s="5">
        <f>'Proximal Validation (double)'!E12</f>
        <v>0.1</v>
      </c>
      <c r="F12" s="5">
        <f>'Proximal Validation (double)'!F12</f>
        <v>3.665</v>
      </c>
      <c r="G12" s="5">
        <f>'Proximal Validation (double)'!G12</f>
        <v>0</v>
      </c>
      <c r="H12" s="5">
        <f>'Proximal Validation (double)'!H12</f>
        <v>0</v>
      </c>
      <c r="I12" s="5">
        <f>'Proximal Validation (double)'!I12</f>
        <v>0</v>
      </c>
      <c r="J12" s="5">
        <f>'Proximal Validation (double)'!J12</f>
        <v>0</v>
      </c>
      <c r="K12" s="5">
        <f>'Proximal Validation (double)'!K12</f>
        <v>0</v>
      </c>
      <c r="L12" s="5">
        <f>'Proximal Validation (double)'!L12</f>
        <v>0</v>
      </c>
      <c r="M12" s="5">
        <f>'Proximal Validation (double)'!M12</f>
        <v>0</v>
      </c>
      <c r="N12" s="5">
        <f>'Proximal Validation (double)'!N12</f>
        <v>0</v>
      </c>
      <c r="O12" s="5">
        <f>'Proximal Validation (double)'!O12</f>
        <v>0</v>
      </c>
      <c r="P12" s="5"/>
      <c r="Q12" s="5"/>
      <c r="R12" s="5"/>
      <c r="S12" s="5"/>
      <c r="T12" s="5"/>
      <c r="U12" s="5"/>
      <c r="V12" s="12"/>
      <c r="W12" s="5">
        <f t="shared" si="4"/>
        <v>-0.6</v>
      </c>
      <c r="X12" s="5">
        <f t="shared" si="5"/>
        <v>-0.2</v>
      </c>
      <c r="Y12" s="5">
        <f t="shared" si="6"/>
        <v>-2.6179999999999999</v>
      </c>
      <c r="Z12" s="5">
        <f t="shared" si="7"/>
        <v>-0.5</v>
      </c>
      <c r="AA12" s="5">
        <f t="shared" si="8"/>
        <v>-0.1</v>
      </c>
      <c r="AB12" s="5">
        <f t="shared" si="9"/>
        <v>-3.665</v>
      </c>
      <c r="AC12" s="9">
        <f t="shared" si="10"/>
        <v>0.55000000000000004</v>
      </c>
      <c r="AD12" s="9">
        <f t="shared" si="11"/>
        <v>0.15000000000000002</v>
      </c>
      <c r="AE12" s="9">
        <f t="shared" si="12"/>
        <v>3.1414999999999997</v>
      </c>
      <c r="AF12" s="17">
        <v>0.87761929999999999</v>
      </c>
      <c r="AG12" s="13"/>
      <c r="AH12" s="13"/>
      <c r="AI12" s="13"/>
    </row>
    <row r="13" spans="1:38" x14ac:dyDescent="0.35">
      <c r="A13" s="5">
        <f>'Proximal Validation (double)'!A13</f>
        <v>0.7</v>
      </c>
      <c r="B13" s="5">
        <f>'Proximal Validation (double)'!B13</f>
        <v>0.12</v>
      </c>
      <c r="C13" s="5">
        <f>'Proximal Validation (double)'!C13</f>
        <v>3.927</v>
      </c>
      <c r="D13" s="5">
        <f>'Proximal Validation (double)'!D13</f>
        <v>0.7</v>
      </c>
      <c r="E13" s="5">
        <f>'Proximal Validation (double)'!E13</f>
        <v>0.02</v>
      </c>
      <c r="F13" s="5">
        <f>'Proximal Validation (double)'!F13</f>
        <v>1.0469999999999999</v>
      </c>
      <c r="G13" s="5">
        <f>'Proximal Validation (double)'!G13</f>
        <v>0</v>
      </c>
      <c r="H13" s="5">
        <f>'Proximal Validation (double)'!H13</f>
        <v>0</v>
      </c>
      <c r="I13" s="5">
        <f>'Proximal Validation (double)'!I13</f>
        <v>0</v>
      </c>
      <c r="J13" s="5">
        <f>'Proximal Validation (double)'!J13</f>
        <v>1.52160471770912E-3</v>
      </c>
      <c r="K13" s="5">
        <f>'Proximal Validation (double)'!K13</f>
        <v>5.9020079672336599E-2</v>
      </c>
      <c r="L13" s="5">
        <f>'Proximal Validation (double)'!L13</f>
        <v>-7.2138950228691101E-2</v>
      </c>
      <c r="M13" s="5">
        <f>'Proximal Validation (double)'!M13</f>
        <v>-0.130099952220917</v>
      </c>
      <c r="N13" s="5">
        <f>'Proximal Validation (double)'!N13</f>
        <v>-0.15057766437530501</v>
      </c>
      <c r="O13" s="5">
        <f>'Proximal Validation (double)'!O13</f>
        <v>1.86103023588657E-2</v>
      </c>
      <c r="P13" s="5">
        <v>0.8248987303458023</v>
      </c>
      <c r="Q13" s="5">
        <v>0.12449769436206976</v>
      </c>
      <c r="R13" s="5">
        <v>3.9803344650459813</v>
      </c>
      <c r="S13" s="5">
        <v>0.73632437592840561</v>
      </c>
      <c r="T13" s="5">
        <v>2.4421235615323104E-2</v>
      </c>
      <c r="U13" s="5">
        <v>1.0122011731835168</v>
      </c>
      <c r="V13" s="12">
        <v>1.1898792022529724E-8</v>
      </c>
      <c r="W13" s="5">
        <f t="shared" si="4"/>
        <v>0.12489873034580234</v>
      </c>
      <c r="X13" s="5">
        <f t="shared" si="5"/>
        <v>4.4976943620697596E-3</v>
      </c>
      <c r="Y13" s="5">
        <f t="shared" si="6"/>
        <v>5.3334465045981272E-2</v>
      </c>
      <c r="Z13" s="5">
        <f t="shared" si="7"/>
        <v>3.632437592840565E-2</v>
      </c>
      <c r="AA13" s="5">
        <f t="shared" si="8"/>
        <v>4.421235615323104E-3</v>
      </c>
      <c r="AB13" s="5">
        <f t="shared" si="9"/>
        <v>-3.4798826816483164E-2</v>
      </c>
      <c r="AC13" s="9">
        <f t="shared" si="10"/>
        <v>8.0611553137103997E-2</v>
      </c>
      <c r="AD13" s="9">
        <f t="shared" si="11"/>
        <v>4.4594649886964318E-3</v>
      </c>
      <c r="AE13" s="9">
        <f t="shared" si="12"/>
        <v>4.4066645931232218E-2</v>
      </c>
      <c r="AF13" s="17">
        <v>0.70251260000000004</v>
      </c>
    </row>
    <row r="14" spans="1:38" x14ac:dyDescent="0.35">
      <c r="A14" s="5">
        <f>'Proximal Validation (double)'!A14</f>
        <v>0.8</v>
      </c>
      <c r="B14" s="5">
        <f>'Proximal Validation (double)'!B14</f>
        <v>0.2</v>
      </c>
      <c r="C14" s="5">
        <f>'Proximal Validation (double)'!C14</f>
        <v>3.927</v>
      </c>
      <c r="D14" s="5">
        <f>'Proximal Validation (double)'!D14</f>
        <v>0.4</v>
      </c>
      <c r="E14" s="5">
        <f>'Proximal Validation (double)'!E14</f>
        <v>0.04</v>
      </c>
      <c r="F14" s="5">
        <f>'Proximal Validation (double)'!F14</f>
        <v>1.0469999999999999</v>
      </c>
      <c r="G14" s="5">
        <f>'Proximal Validation (double)'!G14</f>
        <v>0</v>
      </c>
      <c r="H14" s="5">
        <f>'Proximal Validation (double)'!H14</f>
        <v>0</v>
      </c>
      <c r="I14" s="5">
        <f>'Proximal Validation (double)'!I14</f>
        <v>0</v>
      </c>
      <c r="J14" s="5">
        <f>'Proximal Validation (double)'!J14</f>
        <v>1.0578810470178699E-3</v>
      </c>
      <c r="K14" s="5">
        <f>'Proximal Validation (double)'!K14</f>
        <v>9.46853533387184E-2</v>
      </c>
      <c r="L14" s="5">
        <f>'Proximal Validation (double)'!L14</f>
        <v>-9.9762968719005599E-2</v>
      </c>
      <c r="M14" s="5">
        <f>'Proximal Validation (double)'!M14</f>
        <v>-0.57114285230636597</v>
      </c>
      <c r="N14" s="5">
        <f>'Proximal Validation (double)'!N14</f>
        <v>-0.11998450011014899</v>
      </c>
      <c r="O14" s="5">
        <f>'Proximal Validation (double)'!O14</f>
        <v>-2.8004650026559798E-2</v>
      </c>
      <c r="P14" s="5">
        <v>0.9999999995449963</v>
      </c>
      <c r="Q14" s="5">
        <v>0.18990944512064095</v>
      </c>
      <c r="R14" s="5">
        <v>4.0041859521916745</v>
      </c>
      <c r="S14" s="5">
        <v>0.67018997157845273</v>
      </c>
      <c r="T14" s="5">
        <v>6.4927976388879094E-2</v>
      </c>
      <c r="U14" s="5">
        <v>0.94791291393127342</v>
      </c>
      <c r="V14" s="12">
        <v>3.0986683642584011E-4</v>
      </c>
      <c r="W14" s="5">
        <f t="shared" si="4"/>
        <v>0.19999999954499625</v>
      </c>
      <c r="X14" s="5">
        <f t="shared" si="5"/>
        <v>-1.0090554879359059E-2</v>
      </c>
      <c r="Y14" s="5">
        <f t="shared" si="6"/>
        <v>7.7185952191674456E-2</v>
      </c>
      <c r="Z14" s="5">
        <f t="shared" si="7"/>
        <v>0.2701899715784527</v>
      </c>
      <c r="AA14" s="5">
        <f t="shared" si="8"/>
        <v>2.4927976388879093E-2</v>
      </c>
      <c r="AB14" s="5">
        <f t="shared" si="9"/>
        <v>-9.9087086068726515E-2</v>
      </c>
      <c r="AC14" s="9">
        <f t="shared" si="10"/>
        <v>0.23509498556172448</v>
      </c>
      <c r="AD14" s="9">
        <f t="shared" si="11"/>
        <v>1.7509265634119076E-2</v>
      </c>
      <c r="AE14" s="9">
        <f t="shared" si="12"/>
        <v>8.8136519130200486E-2</v>
      </c>
      <c r="AF14" s="17">
        <v>2.9425759999999999</v>
      </c>
    </row>
    <row r="15" spans="1:38" x14ac:dyDescent="0.35">
      <c r="A15" s="5">
        <f>'Proximal Validation (double)'!A15</f>
        <v>0.3</v>
      </c>
      <c r="B15" s="5">
        <f>'Proximal Validation (double)'!B15</f>
        <v>0.2</v>
      </c>
      <c r="C15" s="5">
        <f>'Proximal Validation (double)'!C15</f>
        <v>3.927</v>
      </c>
      <c r="D15" s="5">
        <f>'Proximal Validation (double)'!D15</f>
        <v>0.3</v>
      </c>
      <c r="E15" s="5">
        <f>'Proximal Validation (double)'!E15</f>
        <v>0.1</v>
      </c>
      <c r="F15" s="5">
        <f>'Proximal Validation (double)'!F15</f>
        <v>2.3559999999999999</v>
      </c>
      <c r="G15" s="5">
        <f>'Proximal Validation (double)'!G15</f>
        <v>0</v>
      </c>
      <c r="H15" s="5">
        <f>'Proximal Validation (double)'!H15</f>
        <v>0</v>
      </c>
      <c r="I15" s="5">
        <f>'Proximal Validation (double)'!I15</f>
        <v>0</v>
      </c>
      <c r="J15" s="5">
        <f>'Proximal Validation (double)'!J15</f>
        <v>0</v>
      </c>
      <c r="K15" s="5">
        <f>'Proximal Validation (double)'!K15</f>
        <v>0</v>
      </c>
      <c r="L15" s="5">
        <f>'Proximal Validation (double)'!L15</f>
        <v>0</v>
      </c>
      <c r="M15" s="5">
        <f>'Proximal Validation (double)'!M15</f>
        <v>0</v>
      </c>
      <c r="N15" s="5">
        <f>'Proximal Validation (double)'!N15</f>
        <v>0</v>
      </c>
      <c r="O15" s="5">
        <f>'Proximal Validation (double)'!O15</f>
        <v>0</v>
      </c>
      <c r="P15" s="5"/>
      <c r="Q15" s="5"/>
      <c r="R15" s="5"/>
      <c r="S15" s="5"/>
      <c r="T15" s="5"/>
      <c r="U15" s="5"/>
      <c r="V15" s="12"/>
      <c r="W15" s="5">
        <f t="shared" si="4"/>
        <v>-0.3</v>
      </c>
      <c r="X15" s="5">
        <f t="shared" si="5"/>
        <v>-0.2</v>
      </c>
      <c r="Y15" s="5">
        <f t="shared" si="6"/>
        <v>-3.927</v>
      </c>
      <c r="Z15" s="5">
        <f t="shared" si="7"/>
        <v>-0.3</v>
      </c>
      <c r="AA15" s="5">
        <f t="shared" si="8"/>
        <v>-0.1</v>
      </c>
      <c r="AB15" s="5">
        <f t="shared" si="9"/>
        <v>-2.3559999999999999</v>
      </c>
      <c r="AC15" s="9">
        <f t="shared" si="10"/>
        <v>0.3</v>
      </c>
      <c r="AD15" s="9">
        <f t="shared" si="11"/>
        <v>0.15000000000000002</v>
      </c>
      <c r="AE15" s="9">
        <f t="shared" si="12"/>
        <v>3.1414999999999997</v>
      </c>
      <c r="AF15" s="17">
        <v>0.22897590000000001</v>
      </c>
    </row>
    <row r="16" spans="1:38" x14ac:dyDescent="0.35">
      <c r="A16" s="5">
        <f>'Proximal Validation (double)'!A16</f>
        <v>0.8</v>
      </c>
      <c r="B16" s="5">
        <f>'Proximal Validation (double)'!B16</f>
        <v>0.16</v>
      </c>
      <c r="C16" s="5">
        <f>'Proximal Validation (double)'!C16</f>
        <v>3.927</v>
      </c>
      <c r="D16" s="5">
        <f>'Proximal Validation (double)'!D16</f>
        <v>0.8</v>
      </c>
      <c r="E16" s="5">
        <f>'Proximal Validation (double)'!E16</f>
        <v>0.02</v>
      </c>
      <c r="F16" s="5">
        <f>'Proximal Validation (double)'!F16</f>
        <v>3.665</v>
      </c>
      <c r="G16" s="5">
        <f>'Proximal Validation (double)'!G16</f>
        <v>0</v>
      </c>
      <c r="H16" s="5">
        <f>'Proximal Validation (double)'!H16</f>
        <v>0</v>
      </c>
      <c r="I16" s="5">
        <f>'Proximal Validation (double)'!I16</f>
        <v>0</v>
      </c>
      <c r="J16" s="5">
        <f>'Proximal Validation (double)'!J16</f>
        <v>0</v>
      </c>
      <c r="K16" s="5">
        <f>'Proximal Validation (double)'!K16</f>
        <v>0</v>
      </c>
      <c r="L16" s="5">
        <f>'Proximal Validation (double)'!L16</f>
        <v>0</v>
      </c>
      <c r="M16" s="5">
        <f>'Proximal Validation (double)'!M16</f>
        <v>0</v>
      </c>
      <c r="N16" s="5">
        <f>'Proximal Validation (double)'!N16</f>
        <v>0</v>
      </c>
      <c r="O16" s="5">
        <f>'Proximal Validation (double)'!O16</f>
        <v>0</v>
      </c>
      <c r="P16" s="5"/>
      <c r="Q16" s="5"/>
      <c r="R16" s="5"/>
      <c r="S16" s="5"/>
      <c r="T16" s="5"/>
      <c r="U16" s="5"/>
      <c r="V16" s="12"/>
      <c r="W16" s="5">
        <f t="shared" si="4"/>
        <v>-0.8</v>
      </c>
      <c r="X16" s="5">
        <f t="shared" si="5"/>
        <v>-0.16</v>
      </c>
      <c r="Y16" s="5">
        <f t="shared" si="6"/>
        <v>-3.927</v>
      </c>
      <c r="Z16" s="5">
        <f t="shared" si="7"/>
        <v>-0.8</v>
      </c>
      <c r="AA16" s="5">
        <f t="shared" si="8"/>
        <v>-0.02</v>
      </c>
      <c r="AB16" s="5">
        <f t="shared" si="9"/>
        <v>-3.665</v>
      </c>
      <c r="AC16" s="9">
        <f t="shared" si="10"/>
        <v>0.8</v>
      </c>
      <c r="AD16" s="9">
        <f t="shared" si="11"/>
        <v>0.09</v>
      </c>
      <c r="AE16" s="9">
        <f t="shared" si="12"/>
        <v>3.7960000000000003</v>
      </c>
      <c r="AF16" s="17">
        <v>2.6813989999999999</v>
      </c>
    </row>
    <row r="17" spans="1:32" x14ac:dyDescent="0.35">
      <c r="A17" s="5">
        <f>'Proximal Validation (double)'!A17</f>
        <v>0.4</v>
      </c>
      <c r="B17" s="5">
        <f>'Proximal Validation (double)'!B17</f>
        <v>0.2</v>
      </c>
      <c r="C17" s="5">
        <f>'Proximal Validation (double)'!C17</f>
        <v>3.927</v>
      </c>
      <c r="D17" s="5">
        <f>'Proximal Validation (double)'!D17</f>
        <v>0.8</v>
      </c>
      <c r="E17" s="5">
        <f>'Proximal Validation (double)'!E17</f>
        <v>0.06</v>
      </c>
      <c r="F17" s="5">
        <f>'Proximal Validation (double)'!F17</f>
        <v>3.665</v>
      </c>
      <c r="G17" s="5">
        <f>'Proximal Validation (double)'!G17</f>
        <v>0</v>
      </c>
      <c r="H17" s="5">
        <f>'Proximal Validation (double)'!H17</f>
        <v>0</v>
      </c>
      <c r="I17" s="5">
        <f>'Proximal Validation (double)'!I17</f>
        <v>0</v>
      </c>
      <c r="J17" s="5">
        <f>'Proximal Validation (double)'!J17</f>
        <v>0</v>
      </c>
      <c r="K17" s="5">
        <f>'Proximal Validation (double)'!K17</f>
        <v>0</v>
      </c>
      <c r="L17" s="5">
        <f>'Proximal Validation (double)'!L17</f>
        <v>0</v>
      </c>
      <c r="M17" s="5">
        <f>'Proximal Validation (double)'!M17</f>
        <v>0</v>
      </c>
      <c r="N17" s="5">
        <f>'Proximal Validation (double)'!N17</f>
        <v>0</v>
      </c>
      <c r="O17" s="5">
        <f>'Proximal Validation (double)'!O17</f>
        <v>0</v>
      </c>
      <c r="P17" s="5"/>
      <c r="Q17" s="5"/>
      <c r="R17" s="5"/>
      <c r="S17" s="5"/>
      <c r="T17" s="5"/>
      <c r="U17" s="5"/>
      <c r="V17" s="12"/>
      <c r="W17" s="5">
        <f t="shared" si="4"/>
        <v>-0.4</v>
      </c>
      <c r="X17" s="5">
        <f t="shared" si="5"/>
        <v>-0.2</v>
      </c>
      <c r="Y17" s="5">
        <f t="shared" si="6"/>
        <v>-3.927</v>
      </c>
      <c r="Z17" s="5">
        <f t="shared" si="7"/>
        <v>-0.8</v>
      </c>
      <c r="AA17" s="5">
        <f t="shared" si="8"/>
        <v>-0.06</v>
      </c>
      <c r="AB17" s="5">
        <f t="shared" si="9"/>
        <v>-3.665</v>
      </c>
      <c r="AC17" s="9">
        <f t="shared" si="10"/>
        <v>0.60000000000000009</v>
      </c>
      <c r="AD17" s="9">
        <f t="shared" si="11"/>
        <v>0.13</v>
      </c>
      <c r="AE17" s="9">
        <f t="shared" si="12"/>
        <v>3.7960000000000003</v>
      </c>
      <c r="AF17" s="17">
        <v>1.104257</v>
      </c>
    </row>
  </sheetData>
  <mergeCells count="7">
    <mergeCell ref="AG5:AL5"/>
    <mergeCell ref="A1:I1"/>
    <mergeCell ref="J1:O1"/>
    <mergeCell ref="W1:AB1"/>
    <mergeCell ref="AC1:AL1"/>
    <mergeCell ref="AG2:AL2"/>
    <mergeCell ref="P1:V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C7BFC-0726-4661-93AE-477836F7772D}">
  <dimension ref="A1:AL17"/>
  <sheetViews>
    <sheetView topLeftCell="L1" workbookViewId="0">
      <pane ySplit="2" topLeftCell="A3" activePane="bottomLeft" state="frozen"/>
      <selection activeCell="K1" sqref="K1"/>
      <selection pane="bottomLeft" activeCell="W33" sqref="W33"/>
    </sheetView>
  </sheetViews>
  <sheetFormatPr defaultRowHeight="14.5" x14ac:dyDescent="0.35"/>
  <cols>
    <col min="1" max="1" width="6.54296875" bestFit="1" customWidth="1"/>
    <col min="2" max="2" width="6.81640625" bestFit="1" customWidth="1"/>
    <col min="3" max="3" width="11.81640625" bestFit="1" customWidth="1"/>
    <col min="4" max="4" width="6.54296875" bestFit="1" customWidth="1"/>
    <col min="5" max="5" width="6.81640625" bestFit="1" customWidth="1"/>
    <col min="6" max="6" width="11.81640625" bestFit="1" customWidth="1"/>
    <col min="7" max="9" width="8.453125" bestFit="1" customWidth="1"/>
    <col min="10" max="11" width="8.1796875" bestFit="1" customWidth="1"/>
    <col min="12" max="12" width="7.7265625" bestFit="1" customWidth="1"/>
    <col min="13" max="15" width="6.453125" bestFit="1" customWidth="1"/>
    <col min="16" max="16" width="6.54296875" bestFit="1" customWidth="1"/>
    <col min="17" max="17" width="6.81640625" bestFit="1" customWidth="1"/>
    <col min="18" max="18" width="11.81640625" bestFit="1" customWidth="1"/>
    <col min="19" max="19" width="6.54296875" bestFit="1" customWidth="1"/>
    <col min="20" max="20" width="6.81640625" bestFit="1" customWidth="1"/>
    <col min="21" max="21" width="11.81640625" bestFit="1" customWidth="1"/>
    <col min="22" max="22" width="6.7265625" customWidth="1"/>
    <col min="23" max="23" width="6.54296875" bestFit="1" customWidth="1"/>
    <col min="24" max="24" width="6.81640625" bestFit="1" customWidth="1"/>
    <col min="25" max="25" width="11.81640625" bestFit="1" customWidth="1"/>
    <col min="26" max="26" width="6.54296875" bestFit="1" customWidth="1"/>
    <col min="27" max="27" width="6.81640625" bestFit="1" customWidth="1"/>
    <col min="28" max="28" width="11.81640625" bestFit="1" customWidth="1"/>
    <col min="29" max="29" width="11" bestFit="1" customWidth="1"/>
    <col min="30" max="30" width="13.81640625" bestFit="1" customWidth="1"/>
    <col min="31" max="31" width="11.1796875" bestFit="1" customWidth="1"/>
    <col min="32" max="32" width="15.1796875" bestFit="1" customWidth="1"/>
    <col min="33" max="33" width="12" bestFit="1" customWidth="1"/>
    <col min="34" max="34" width="13.81640625" bestFit="1" customWidth="1"/>
    <col min="35" max="35" width="11.81640625" bestFit="1" customWidth="1"/>
    <col min="38" max="38" width="11.81640625" bestFit="1" customWidth="1"/>
  </cols>
  <sheetData>
    <row r="1" spans="1:38" ht="16" x14ac:dyDescent="0.4">
      <c r="A1" s="18" t="s">
        <v>11</v>
      </c>
      <c r="B1" s="18"/>
      <c r="C1" s="18"/>
      <c r="D1" s="18"/>
      <c r="E1" s="18"/>
      <c r="F1" s="18"/>
      <c r="G1" s="18"/>
      <c r="H1" s="18"/>
      <c r="I1" s="19"/>
      <c r="J1" s="20" t="s">
        <v>6</v>
      </c>
      <c r="K1" s="21"/>
      <c r="L1" s="21"/>
      <c r="M1" s="21"/>
      <c r="N1" s="21"/>
      <c r="O1" s="21"/>
      <c r="P1" s="32" t="s">
        <v>7</v>
      </c>
      <c r="Q1" s="33"/>
      <c r="R1" s="33"/>
      <c r="S1" s="33"/>
      <c r="T1" s="33"/>
      <c r="U1" s="33"/>
      <c r="V1" s="33"/>
      <c r="W1" s="29" t="s">
        <v>13</v>
      </c>
      <c r="X1" s="29"/>
      <c r="Y1" s="29"/>
      <c r="Z1" s="29"/>
      <c r="AA1" s="29"/>
      <c r="AB1" s="29"/>
      <c r="AC1" s="30" t="s">
        <v>32</v>
      </c>
      <c r="AD1" s="30"/>
      <c r="AE1" s="30"/>
      <c r="AF1" s="30"/>
      <c r="AG1" s="30"/>
      <c r="AH1" s="30"/>
      <c r="AI1" s="30"/>
      <c r="AJ1" s="30"/>
      <c r="AK1" s="30"/>
      <c r="AL1" s="30"/>
    </row>
    <row r="2" spans="1:38" ht="16" x14ac:dyDescent="0.4">
      <c r="A2" s="1" t="s">
        <v>23</v>
      </c>
      <c r="B2" s="1" t="s">
        <v>24</v>
      </c>
      <c r="C2" s="1" t="s">
        <v>37</v>
      </c>
      <c r="D2" s="1" t="s">
        <v>25</v>
      </c>
      <c r="E2" s="1" t="s">
        <v>26</v>
      </c>
      <c r="F2" s="1" t="s">
        <v>38</v>
      </c>
      <c r="G2" s="1" t="s">
        <v>8</v>
      </c>
      <c r="H2" s="1" t="s">
        <v>9</v>
      </c>
      <c r="I2" s="1" t="s">
        <v>10</v>
      </c>
      <c r="J2" s="2" t="s">
        <v>3</v>
      </c>
      <c r="K2" s="1" t="s">
        <v>4</v>
      </c>
      <c r="L2" s="1" t="s">
        <v>5</v>
      </c>
      <c r="M2" s="1" t="s">
        <v>0</v>
      </c>
      <c r="N2" s="1" t="s">
        <v>1</v>
      </c>
      <c r="O2" s="1" t="s">
        <v>2</v>
      </c>
      <c r="P2" s="3" t="s">
        <v>23</v>
      </c>
      <c r="Q2" s="1" t="s">
        <v>24</v>
      </c>
      <c r="R2" s="1" t="s">
        <v>37</v>
      </c>
      <c r="S2" s="1" t="s">
        <v>25</v>
      </c>
      <c r="T2" s="1" t="s">
        <v>26</v>
      </c>
      <c r="U2" s="1" t="s">
        <v>38</v>
      </c>
      <c r="V2" s="2" t="s">
        <v>33</v>
      </c>
      <c r="W2" s="3" t="s">
        <v>23</v>
      </c>
      <c r="X2" s="1" t="s">
        <v>24</v>
      </c>
      <c r="Y2" s="1" t="s">
        <v>37</v>
      </c>
      <c r="Z2" s="1" t="s">
        <v>25</v>
      </c>
      <c r="AA2" s="1" t="s">
        <v>26</v>
      </c>
      <c r="AB2" s="1" t="s">
        <v>38</v>
      </c>
      <c r="AC2" s="7" t="s">
        <v>29</v>
      </c>
      <c r="AD2" s="7" t="s">
        <v>30</v>
      </c>
      <c r="AE2" s="7" t="s">
        <v>31</v>
      </c>
      <c r="AF2" s="7" t="s">
        <v>41</v>
      </c>
      <c r="AG2" s="31" t="s">
        <v>27</v>
      </c>
      <c r="AH2" s="31"/>
      <c r="AI2" s="31"/>
      <c r="AJ2" s="31"/>
      <c r="AK2" s="31"/>
      <c r="AL2" s="31"/>
    </row>
    <row r="3" spans="1:38" ht="16" x14ac:dyDescent="0.4">
      <c r="A3" s="5">
        <f>'Proximal Validation (double)'!A3</f>
        <v>0.8</v>
      </c>
      <c r="B3" s="5">
        <f>'Proximal Validation (double)'!B3</f>
        <v>0.2</v>
      </c>
      <c r="C3" s="5">
        <f>'Proximal Validation (double)'!C3</f>
        <v>0.78500000000000003</v>
      </c>
      <c r="D3" s="5">
        <f>'Proximal Validation (double)'!D3</f>
        <v>0.8</v>
      </c>
      <c r="E3" s="5">
        <f>'Proximal Validation (double)'!E3</f>
        <v>0.1</v>
      </c>
      <c r="F3" s="5">
        <f>'Proximal Validation (double)'!F3</f>
        <v>1.0469999999999999</v>
      </c>
      <c r="G3" s="5">
        <f>'Proximal Validation (double)'!G3</f>
        <v>0</v>
      </c>
      <c r="H3" s="5">
        <f>'Proximal Validation (double)'!H3</f>
        <v>0</v>
      </c>
      <c r="I3" s="5">
        <f>'Proximal Validation (double)'!I3</f>
        <v>0</v>
      </c>
      <c r="J3" s="5">
        <f>'Proximal Validation (double)'!J3</f>
        <v>0</v>
      </c>
      <c r="K3" s="5">
        <f>'Proximal Validation (double)'!K3</f>
        <v>0</v>
      </c>
      <c r="L3" s="5">
        <f>'Proximal Validation (double)'!L3</f>
        <v>0</v>
      </c>
      <c r="M3" s="5">
        <f>'Proximal Validation (double)'!M3</f>
        <v>0</v>
      </c>
      <c r="N3" s="5">
        <f>'Proximal Validation (double)'!N3</f>
        <v>0</v>
      </c>
      <c r="O3" s="5">
        <f>'Proximal Validation (double)'!O3</f>
        <v>0</v>
      </c>
      <c r="P3" s="5">
        <v>0.80459439661477272</v>
      </c>
      <c r="Q3" s="5">
        <v>0.1992381358025806</v>
      </c>
      <c r="R3" s="5">
        <v>0.7854008032566997</v>
      </c>
      <c r="S3" s="5">
        <v>0.79565762498643433</v>
      </c>
      <c r="T3" s="5">
        <v>9.9847934727331528E-2</v>
      </c>
      <c r="U3" s="5">
        <v>1.0479744329275666</v>
      </c>
      <c r="V3" s="12">
        <v>3.5104149658778439E-9</v>
      </c>
      <c r="W3" s="5">
        <f t="shared" ref="W3:AB17" si="0">P3-A3</f>
        <v>4.5943966147726778E-3</v>
      </c>
      <c r="X3" s="5">
        <f t="shared" si="0"/>
        <v>-7.6186419741941513E-4</v>
      </c>
      <c r="Y3" s="5">
        <f t="shared" si="0"/>
        <v>4.0080325669966665E-4</v>
      </c>
      <c r="Z3" s="5">
        <f t="shared" si="0"/>
        <v>-4.3423750135657135E-3</v>
      </c>
      <c r="AA3" s="5">
        <f t="shared" si="0"/>
        <v>-1.5206527266847791E-4</v>
      </c>
      <c r="AB3" s="5">
        <f t="shared" si="0"/>
        <v>9.7443292756671518E-4</v>
      </c>
      <c r="AC3" s="9">
        <f t="shared" ref="AC3:AE17" si="1">AVERAGE(ABS(W3),ABS(Z3))</f>
        <v>4.4683858141691957E-3</v>
      </c>
      <c r="AD3" s="9">
        <f t="shared" si="1"/>
        <v>4.5696473504394652E-4</v>
      </c>
      <c r="AE3" s="9">
        <f t="shared" si="1"/>
        <v>6.8761809213319092E-4</v>
      </c>
      <c r="AF3" s="15">
        <v>0.19745560000000001</v>
      </c>
      <c r="AG3" s="1" t="s">
        <v>23</v>
      </c>
      <c r="AH3" s="1" t="s">
        <v>24</v>
      </c>
      <c r="AI3" s="1" t="s">
        <v>37</v>
      </c>
      <c r="AJ3" s="1" t="s">
        <v>25</v>
      </c>
      <c r="AK3" s="1" t="s">
        <v>26</v>
      </c>
      <c r="AL3" s="1" t="s">
        <v>38</v>
      </c>
    </row>
    <row r="4" spans="1:38" x14ac:dyDescent="0.35">
      <c r="A4" s="5">
        <f>'Proximal Validation (double)'!A4</f>
        <v>0.4</v>
      </c>
      <c r="B4" s="5">
        <f>'Proximal Validation (double)'!B4</f>
        <v>0.12</v>
      </c>
      <c r="C4" s="5">
        <f>'Proximal Validation (double)'!C4</f>
        <v>0.78500000000000003</v>
      </c>
      <c r="D4" s="5">
        <f>'Proximal Validation (double)'!D4</f>
        <v>0.4</v>
      </c>
      <c r="E4" s="5">
        <f>'Proximal Validation (double)'!E4</f>
        <v>0.02</v>
      </c>
      <c r="F4" s="5">
        <f>'Proximal Validation (double)'!F4</f>
        <v>2.3559999999999999</v>
      </c>
      <c r="G4" s="5">
        <f>'Proximal Validation (double)'!G4</f>
        <v>0</v>
      </c>
      <c r="H4" s="5">
        <f>'Proximal Validation (double)'!H4</f>
        <v>0</v>
      </c>
      <c r="I4" s="5">
        <f>'Proximal Validation (double)'!I4</f>
        <v>0</v>
      </c>
      <c r="J4" s="5">
        <f>'Proximal Validation (double)'!J4</f>
        <v>-6.56991032883525E-4</v>
      </c>
      <c r="K4" s="5">
        <f>'Proximal Validation (double)'!K4</f>
        <v>-9.0627849102020305E-2</v>
      </c>
      <c r="L4" s="5">
        <f>'Proximal Validation (double)'!L4</f>
        <v>2.07312256097794E-2</v>
      </c>
      <c r="M4" s="5">
        <f>'Proximal Validation (double)'!M4</f>
        <v>-4.5330036431551E-2</v>
      </c>
      <c r="N4" s="5">
        <f>'Proximal Validation (double)'!N4</f>
        <v>-8.0224335193634005E-2</v>
      </c>
      <c r="O4" s="5">
        <f>'Proximal Validation (double)'!O4</f>
        <v>0.50792884826660201</v>
      </c>
      <c r="P4" s="5">
        <v>0.42253083674772718</v>
      </c>
      <c r="Q4" s="5">
        <v>0.11530167443591706</v>
      </c>
      <c r="R4" s="5">
        <v>0.70506515162392103</v>
      </c>
      <c r="S4" s="5">
        <v>0.43421226370678284</v>
      </c>
      <c r="T4" s="5">
        <v>2.729316418142598E-2</v>
      </c>
      <c r="U4" s="5">
        <v>2.4050083617676661</v>
      </c>
      <c r="V4" s="12">
        <v>5.9892618416018369E-9</v>
      </c>
      <c r="W4" s="5">
        <f t="shared" si="0"/>
        <v>2.2530836747727156E-2</v>
      </c>
      <c r="X4" s="5">
        <f t="shared" si="0"/>
        <v>-4.6983255640829363E-3</v>
      </c>
      <c r="Y4" s="5">
        <f t="shared" si="0"/>
        <v>-7.9934848376079004E-2</v>
      </c>
      <c r="Z4" s="5">
        <f t="shared" si="0"/>
        <v>3.4212263706782819E-2</v>
      </c>
      <c r="AA4" s="5">
        <f t="shared" si="0"/>
        <v>7.2931641814259797E-3</v>
      </c>
      <c r="AB4" s="5">
        <f t="shared" si="0"/>
        <v>4.9008361767666209E-2</v>
      </c>
      <c r="AC4" s="9">
        <f t="shared" si="1"/>
        <v>2.8371550227254988E-2</v>
      </c>
      <c r="AD4" s="9">
        <f t="shared" si="1"/>
        <v>5.995744872754458E-3</v>
      </c>
      <c r="AE4" s="9">
        <f t="shared" si="1"/>
        <v>6.4471605071872606E-2</v>
      </c>
      <c r="AF4" s="15">
        <v>6.470381E-2</v>
      </c>
      <c r="AG4" s="8" cm="1">
        <f t="array" ref="AG4">AVERAGE(ABS(W3:W17))</f>
        <v>3.1233909275667653E-2</v>
      </c>
      <c r="AH4" s="8" cm="1">
        <f t="array" ref="AH4">AVERAGE(ABS(X3:X17))</f>
        <v>4.4661325966526555E-3</v>
      </c>
      <c r="AI4" s="8" cm="1">
        <f t="array" ref="AI4">AVERAGE(ABS(Y3:Y17))</f>
        <v>0.11241813729927358</v>
      </c>
      <c r="AJ4" s="8" cm="1">
        <f t="array" ref="AJ4">AVERAGE(ABS(Z3:Z17))</f>
        <v>5.5945990717038756E-2</v>
      </c>
      <c r="AK4" s="8" cm="1">
        <f t="array" ref="AK4">AVERAGE(ABS(AA3:AA17))</f>
        <v>7.5345938673049692E-3</v>
      </c>
      <c r="AL4" s="8" cm="1">
        <f t="array" ref="AL4">AVERAGE(ABS(AB3:AB17))</f>
        <v>3.6400097333262549E-2</v>
      </c>
    </row>
    <row r="5" spans="1:38" x14ac:dyDescent="0.35">
      <c r="A5" s="5">
        <f>'Proximal Validation (double)'!A5</f>
        <v>0.7</v>
      </c>
      <c r="B5" s="5">
        <f>'Proximal Validation (double)'!B5</f>
        <v>0.16</v>
      </c>
      <c r="C5" s="5">
        <f>'Proximal Validation (double)'!C5</f>
        <v>0.78500000000000003</v>
      </c>
      <c r="D5" s="5">
        <f>'Proximal Validation (double)'!D5</f>
        <v>0.3</v>
      </c>
      <c r="E5" s="5">
        <f>'Proximal Validation (double)'!E5</f>
        <v>0.06</v>
      </c>
      <c r="F5" s="5">
        <f>'Proximal Validation (double)'!F5</f>
        <v>3.665</v>
      </c>
      <c r="G5" s="5">
        <f>'Proximal Validation (double)'!G5</f>
        <v>0</v>
      </c>
      <c r="H5" s="5">
        <f>'Proximal Validation (double)'!H5</f>
        <v>0</v>
      </c>
      <c r="I5" s="5">
        <f>'Proximal Validation (double)'!I5</f>
        <v>0</v>
      </c>
      <c r="J5" s="5">
        <f>'Proximal Validation (double)'!J5</f>
        <v>1.13202398642898E-3</v>
      </c>
      <c r="K5" s="5">
        <f>'Proximal Validation (double)'!K5</f>
        <v>-0.116873532533646</v>
      </c>
      <c r="L5" s="5">
        <f>'Proximal Validation (double)'!L5</f>
        <v>8.0217547714710194E-2</v>
      </c>
      <c r="M5" s="5">
        <f>'Proximal Validation (double)'!M5</f>
        <v>-0.24421182274818401</v>
      </c>
      <c r="N5" s="5">
        <f>'Proximal Validation (double)'!N5</f>
        <v>0.16285943984985399</v>
      </c>
      <c r="O5" s="5">
        <f>'Proximal Validation (double)'!O5</f>
        <v>0.34258222579956099</v>
      </c>
      <c r="P5" s="5">
        <v>0.69999991151809482</v>
      </c>
      <c r="Q5" s="5">
        <v>0.16000000863655572</v>
      </c>
      <c r="R5" s="5">
        <v>0.78500000252435442</v>
      </c>
      <c r="S5" s="5">
        <v>0.29999991089417194</v>
      </c>
      <c r="T5" s="5">
        <v>5.9999997489929228E-2</v>
      </c>
      <c r="U5" s="5">
        <v>3.6649999751165003</v>
      </c>
      <c r="V5" s="12">
        <v>1.0909824643738951E-15</v>
      </c>
      <c r="W5" s="5">
        <f t="shared" si="0"/>
        <v>-8.848190513610632E-8</v>
      </c>
      <c r="X5" s="5">
        <f t="shared" si="0"/>
        <v>8.6365557205869692E-9</v>
      </c>
      <c r="Y5" s="5">
        <f t="shared" si="0"/>
        <v>2.5243543921860123E-9</v>
      </c>
      <c r="Z5" s="5">
        <f t="shared" si="0"/>
        <v>-8.9105828049440561E-8</v>
      </c>
      <c r="AA5" s="5">
        <f t="shared" si="0"/>
        <v>-2.51007076929044E-9</v>
      </c>
      <c r="AB5" s="5">
        <f t="shared" si="0"/>
        <v>-2.488349970519721E-8</v>
      </c>
      <c r="AC5" s="10">
        <f t="shared" si="1"/>
        <v>8.8793866592773441E-8</v>
      </c>
      <c r="AD5" s="10">
        <f t="shared" si="1"/>
        <v>5.5733132449387046E-9</v>
      </c>
      <c r="AE5" s="10">
        <f t="shared" si="1"/>
        <v>1.3703927048691611E-8</v>
      </c>
      <c r="AF5" s="16">
        <v>1.336101</v>
      </c>
      <c r="AG5" s="27" t="s">
        <v>28</v>
      </c>
      <c r="AH5" s="28"/>
      <c r="AI5" s="28"/>
      <c r="AJ5" s="28"/>
      <c r="AK5" s="28"/>
      <c r="AL5" s="28"/>
    </row>
    <row r="6" spans="1:38" x14ac:dyDescent="0.35">
      <c r="A6" s="5">
        <f>'Proximal Validation (double)'!A6</f>
        <v>0.3</v>
      </c>
      <c r="B6" s="5">
        <f>'Proximal Validation (double)'!B6</f>
        <v>0.2</v>
      </c>
      <c r="C6" s="5">
        <f>'Proximal Validation (double)'!C6</f>
        <v>0.78500000000000003</v>
      </c>
      <c r="D6" s="5">
        <f>'Proximal Validation (double)'!D6</f>
        <v>0.7</v>
      </c>
      <c r="E6" s="5">
        <f>'Proximal Validation (double)'!E6</f>
        <v>0.02</v>
      </c>
      <c r="F6" s="5">
        <f>'Proximal Validation (double)'!F6</f>
        <v>3.665</v>
      </c>
      <c r="G6" s="5">
        <f>'Proximal Validation (double)'!G6</f>
        <v>0</v>
      </c>
      <c r="H6" s="5">
        <f>'Proximal Validation (double)'!H6</f>
        <v>0</v>
      </c>
      <c r="I6" s="5">
        <f>'Proximal Validation (double)'!I6</f>
        <v>0</v>
      </c>
      <c r="J6" s="5">
        <f>'Proximal Validation (double)'!J6</f>
        <v>5.0459569320082697E-4</v>
      </c>
      <c r="K6" s="5">
        <f>'Proximal Validation (double)'!K6</f>
        <v>-1.0949088260531399E-2</v>
      </c>
      <c r="L6" s="5">
        <f>'Proximal Validation (double)'!L6</f>
        <v>-2.7528360486030599E-2</v>
      </c>
      <c r="M6" s="5">
        <f>'Proximal Validation (double)'!M6</f>
        <v>-2.5787528604269E-2</v>
      </c>
      <c r="N6" s="5">
        <f>'Proximal Validation (double)'!N6</f>
        <v>-0.499801754951477</v>
      </c>
      <c r="O6" s="5">
        <f>'Proximal Validation (double)'!O6</f>
        <v>-0.175722181797028</v>
      </c>
      <c r="P6" s="5">
        <v>0.3009611661307921</v>
      </c>
      <c r="Q6" s="5">
        <v>0.19896679420951074</v>
      </c>
      <c r="R6" s="5">
        <v>0.7849745072694736</v>
      </c>
      <c r="S6" s="5">
        <v>0.70094909501649061</v>
      </c>
      <c r="T6" s="5">
        <v>2.0000000863018706E-2</v>
      </c>
      <c r="U6" s="5">
        <v>3.6653714190284772</v>
      </c>
      <c r="V6" s="12">
        <v>4.9101564903490365E-9</v>
      </c>
      <c r="W6" s="5">
        <f t="shared" si="0"/>
        <v>9.6116613079211266E-4</v>
      </c>
      <c r="X6" s="5">
        <f t="shared" si="0"/>
        <v>-1.0332057904892666E-3</v>
      </c>
      <c r="Y6" s="5">
        <f t="shared" si="0"/>
        <v>-2.5492730526432972E-5</v>
      </c>
      <c r="Z6" s="5">
        <f t="shared" si="0"/>
        <v>9.4909501649065309E-4</v>
      </c>
      <c r="AA6" s="5">
        <f t="shared" si="0"/>
        <v>8.6301870511062972E-10</v>
      </c>
      <c r="AB6" s="5">
        <f t="shared" si="0"/>
        <v>3.7141902847714903E-4</v>
      </c>
      <c r="AC6" s="9">
        <f t="shared" si="1"/>
        <v>9.5513057364138287E-4</v>
      </c>
      <c r="AD6" s="9">
        <f t="shared" si="1"/>
        <v>5.1660332675398588E-4</v>
      </c>
      <c r="AE6" s="9">
        <f t="shared" si="1"/>
        <v>1.98455879501791E-4</v>
      </c>
      <c r="AF6" s="15">
        <v>0.75654290000000002</v>
      </c>
      <c r="AG6" s="7" t="s">
        <v>29</v>
      </c>
      <c r="AH6" s="7" t="s">
        <v>30</v>
      </c>
      <c r="AI6" s="7" t="s">
        <v>31</v>
      </c>
      <c r="AJ6" s="8"/>
      <c r="AK6" s="8"/>
      <c r="AL6" s="8"/>
    </row>
    <row r="7" spans="1:38" x14ac:dyDescent="0.35">
      <c r="A7" s="5">
        <f>'Proximal Validation (double)'!A7</f>
        <v>0.3</v>
      </c>
      <c r="B7" s="5">
        <f>'Proximal Validation (double)'!B7</f>
        <v>0.14000000000000001</v>
      </c>
      <c r="C7" s="5">
        <f>'Proximal Validation (double)'!C7</f>
        <v>2.6179999999999999</v>
      </c>
      <c r="D7" s="5">
        <f>'Proximal Validation (double)'!D7</f>
        <v>0.8</v>
      </c>
      <c r="E7" s="5">
        <f>'Proximal Validation (double)'!E7</f>
        <v>0.04</v>
      </c>
      <c r="F7" s="5">
        <f>'Proximal Validation (double)'!F7</f>
        <v>1.0469999999999999</v>
      </c>
      <c r="G7" s="5">
        <f>'Proximal Validation (double)'!G7</f>
        <v>0</v>
      </c>
      <c r="H7" s="5">
        <f>'Proximal Validation (double)'!H7</f>
        <v>0</v>
      </c>
      <c r="I7" s="5">
        <f>'Proximal Validation (double)'!I7</f>
        <v>0</v>
      </c>
      <c r="J7" s="5">
        <f>'Proximal Validation (double)'!J7</f>
        <v>-1.9948105327785002E-3</v>
      </c>
      <c r="K7" s="5">
        <f>'Proximal Validation (double)'!K7</f>
        <v>-0.16114857792854301</v>
      </c>
      <c r="L7" s="5">
        <f>'Proximal Validation (double)'!L7</f>
        <v>-8.2256738096475601E-4</v>
      </c>
      <c r="M7" s="5">
        <f>'Proximal Validation (double)'!M7</f>
        <v>-8.3539940416812897E-2</v>
      </c>
      <c r="N7" s="5">
        <f>'Proximal Validation (double)'!N7</f>
        <v>0.16338084638118699</v>
      </c>
      <c r="O7" s="5">
        <f>'Proximal Validation (double)'!O7</f>
        <v>0.98013961315154996</v>
      </c>
      <c r="P7" s="5">
        <v>0.2815296165003861</v>
      </c>
      <c r="Q7" s="5">
        <v>0.16587803798070824</v>
      </c>
      <c r="R7" s="5">
        <v>3.2615933570026234</v>
      </c>
      <c r="S7" s="5">
        <v>0.97087507013845431</v>
      </c>
      <c r="T7" s="5">
        <v>6.205538372217264E-2</v>
      </c>
      <c r="U7" s="5">
        <v>1.1246669081357583</v>
      </c>
      <c r="V7" s="12">
        <v>2.4768334700847367E-8</v>
      </c>
      <c r="W7" s="5">
        <f t="shared" si="0"/>
        <v>-1.8470383499613885E-2</v>
      </c>
      <c r="X7" s="5">
        <f t="shared" si="0"/>
        <v>2.5878037980708229E-2</v>
      </c>
      <c r="Y7" s="5">
        <f t="shared" si="0"/>
        <v>0.64359335700262355</v>
      </c>
      <c r="Z7" s="5">
        <f t="shared" si="0"/>
        <v>0.17087507013845427</v>
      </c>
      <c r="AA7" s="5">
        <f t="shared" si="0"/>
        <v>2.2055383722172639E-2</v>
      </c>
      <c r="AB7" s="5">
        <f t="shared" si="0"/>
        <v>7.7666908135758383E-2</v>
      </c>
      <c r="AC7" s="9">
        <f t="shared" si="1"/>
        <v>9.4672726819034075E-2</v>
      </c>
      <c r="AD7" s="9">
        <f t="shared" si="1"/>
        <v>2.3966710851440434E-2</v>
      </c>
      <c r="AE7" s="9">
        <f t="shared" si="1"/>
        <v>0.36063013256919096</v>
      </c>
      <c r="AF7" s="15">
        <v>0.33172699999999999</v>
      </c>
      <c r="AG7" s="11">
        <f>AVERAGE(AG4,AJ4)</f>
        <v>4.3589949996353204E-2</v>
      </c>
      <c r="AH7" s="11">
        <f>AVERAGE(AH4,AK4)</f>
        <v>6.0003632319788128E-3</v>
      </c>
      <c r="AI7" s="11">
        <f>AVERAGE(AI4,AL4)</f>
        <v>7.4409117316268064E-2</v>
      </c>
      <c r="AJ7" s="8"/>
      <c r="AK7" s="8"/>
      <c r="AL7" s="8"/>
    </row>
    <row r="8" spans="1:38" x14ac:dyDescent="0.35">
      <c r="A8" s="5">
        <f>'Proximal Validation (double)'!A8</f>
        <v>0.4</v>
      </c>
      <c r="B8" s="5">
        <f>'Proximal Validation (double)'!B8</f>
        <v>0.18</v>
      </c>
      <c r="C8" s="5">
        <f>'Proximal Validation (double)'!C8</f>
        <v>2.6179999999999999</v>
      </c>
      <c r="D8" s="5">
        <f>'Proximal Validation (double)'!D8</f>
        <v>0.3</v>
      </c>
      <c r="E8" s="5">
        <f>'Proximal Validation (double)'!E8</f>
        <v>0.02</v>
      </c>
      <c r="F8" s="5">
        <f>'Proximal Validation (double)'!F8</f>
        <v>1.0469999999999999</v>
      </c>
      <c r="G8" s="5">
        <f>'Proximal Validation (double)'!G8</f>
        <v>0</v>
      </c>
      <c r="H8" s="5">
        <f>'Proximal Validation (double)'!H8</f>
        <v>0</v>
      </c>
      <c r="I8" s="5">
        <f>'Proximal Validation (double)'!I8</f>
        <v>0</v>
      </c>
      <c r="J8" s="5">
        <f>'Proximal Validation (double)'!J8</f>
        <v>-6.5418658778071404E-5</v>
      </c>
      <c r="K8" s="5">
        <f>'Proximal Validation (double)'!K8</f>
        <v>-0.109843894839287</v>
      </c>
      <c r="L8" s="5">
        <f>'Proximal Validation (double)'!L8</f>
        <v>-4.0013011544942897E-2</v>
      </c>
      <c r="M8" s="5">
        <f>'Proximal Validation (double)'!M8</f>
        <v>-0.138460397720337</v>
      </c>
      <c r="N8" s="5">
        <f>'Proximal Validation (double)'!N8</f>
        <v>-3.7903144955635099E-2</v>
      </c>
      <c r="O8" s="5">
        <f>'Proximal Validation (double)'!O8</f>
        <v>0.53465890884399403</v>
      </c>
      <c r="P8" s="5">
        <v>0.41209855599085893</v>
      </c>
      <c r="Q8" s="5">
        <v>0.17585029813770131</v>
      </c>
      <c r="R8" s="5">
        <v>2.683591259674142</v>
      </c>
      <c r="S8" s="5">
        <v>0.32637360623158668</v>
      </c>
      <c r="T8" s="5">
        <v>3.2851432016926946E-2</v>
      </c>
      <c r="U8" s="5">
        <v>1.0118662022021869</v>
      </c>
      <c r="V8" s="12">
        <v>3.5464490562753011E-12</v>
      </c>
      <c r="W8" s="5">
        <f t="shared" si="0"/>
        <v>1.2098555990858906E-2</v>
      </c>
      <c r="X8" s="5">
        <f t="shared" si="0"/>
        <v>-4.1497018622986825E-3</v>
      </c>
      <c r="Y8" s="5">
        <f t="shared" si="0"/>
        <v>6.5591259674142144E-2</v>
      </c>
      <c r="Z8" s="5">
        <f t="shared" si="0"/>
        <v>2.6373606231586688E-2</v>
      </c>
      <c r="AA8" s="5">
        <f t="shared" si="0"/>
        <v>1.2851432016926945E-2</v>
      </c>
      <c r="AB8" s="5">
        <f t="shared" si="0"/>
        <v>-3.5133797797813004E-2</v>
      </c>
      <c r="AC8" s="9">
        <f t="shared" si="1"/>
        <v>1.9236081111222797E-2</v>
      </c>
      <c r="AD8" s="9">
        <f t="shared" si="1"/>
        <v>8.500566939612814E-3</v>
      </c>
      <c r="AE8" s="9">
        <f t="shared" si="1"/>
        <v>5.0362528735977574E-2</v>
      </c>
      <c r="AF8" s="17">
        <v>0.1906012</v>
      </c>
    </row>
    <row r="9" spans="1:38" x14ac:dyDescent="0.35">
      <c r="A9" s="5">
        <f>'Proximal Validation (double)'!A9</f>
        <v>0.8</v>
      </c>
      <c r="B9" s="5">
        <f>'Proximal Validation (double)'!B9</f>
        <v>0.18</v>
      </c>
      <c r="C9" s="5">
        <f>'Proximal Validation (double)'!C9</f>
        <v>2.6179999999999999</v>
      </c>
      <c r="D9" s="5">
        <f>'Proximal Validation (double)'!D9</f>
        <v>0.7</v>
      </c>
      <c r="E9" s="5">
        <f>'Proximal Validation (double)'!E9</f>
        <v>0.06</v>
      </c>
      <c r="F9" s="5">
        <f>'Proximal Validation (double)'!F9</f>
        <v>2.3559999999999999</v>
      </c>
      <c r="G9" s="5">
        <f>'Proximal Validation (double)'!G9</f>
        <v>0</v>
      </c>
      <c r="H9" s="5">
        <f>'Proximal Validation (double)'!H9</f>
        <v>0</v>
      </c>
      <c r="I9" s="5">
        <f>'Proximal Validation (double)'!I9</f>
        <v>0</v>
      </c>
      <c r="J9" s="5">
        <f>'Proximal Validation (double)'!J9</f>
        <v>-1.86102464795113E-3</v>
      </c>
      <c r="K9" s="5">
        <f>'Proximal Validation (double)'!K9</f>
        <v>-0.24740616977214799</v>
      </c>
      <c r="L9" s="5">
        <f>'Proximal Validation (double)'!L9</f>
        <v>-0.195220187306404</v>
      </c>
      <c r="M9" s="5">
        <f>'Proximal Validation (double)'!M9</f>
        <v>-0.64324039220809903</v>
      </c>
      <c r="N9" s="5">
        <f>'Proximal Validation (double)'!N9</f>
        <v>-0.84706509113311801</v>
      </c>
      <c r="O9" s="5">
        <f>'Proximal Validation (double)'!O9</f>
        <v>1.0174024105071999</v>
      </c>
      <c r="P9" s="5">
        <v>0.80001212959278289</v>
      </c>
      <c r="Q9" s="5">
        <v>0.17999758469295529</v>
      </c>
      <c r="R9" s="5">
        <v>2.6180009473505836</v>
      </c>
      <c r="S9" s="5">
        <v>0.69998754364245375</v>
      </c>
      <c r="T9" s="5">
        <v>6.00003462916349E-2</v>
      </c>
      <c r="U9" s="5">
        <v>2.3559954101805096</v>
      </c>
      <c r="V9" s="12">
        <v>2.4943012126454787E-12</v>
      </c>
      <c r="W9" s="5">
        <f t="shared" si="0"/>
        <v>1.2129592782850196E-5</v>
      </c>
      <c r="X9" s="5">
        <f t="shared" si="0"/>
        <v>-2.4153070447008318E-6</v>
      </c>
      <c r="Y9" s="5">
        <f t="shared" si="0"/>
        <v>9.4735058375761128E-7</v>
      </c>
      <c r="Z9" s="5">
        <f t="shared" si="0"/>
        <v>-1.2456357546208885E-5</v>
      </c>
      <c r="AA9" s="5">
        <f t="shared" si="0"/>
        <v>3.4629163490201842E-7</v>
      </c>
      <c r="AB9" s="5">
        <f t="shared" si="0"/>
        <v>-4.5898194902527223E-6</v>
      </c>
      <c r="AC9" s="9">
        <f t="shared" si="1"/>
        <v>1.229297516452954E-5</v>
      </c>
      <c r="AD9" s="9">
        <f t="shared" si="1"/>
        <v>1.3807993398014251E-6</v>
      </c>
      <c r="AE9" s="9">
        <f t="shared" si="1"/>
        <v>2.7685850370051668E-6</v>
      </c>
      <c r="AF9" s="17">
        <v>2.5859779999999999</v>
      </c>
      <c r="AG9" s="13"/>
      <c r="AH9" s="13"/>
      <c r="AI9" s="13"/>
    </row>
    <row r="10" spans="1:38" x14ac:dyDescent="0.35">
      <c r="A10" s="5">
        <f>'Proximal Validation (double)'!A10</f>
        <v>0.7</v>
      </c>
      <c r="B10" s="5">
        <f>'Proximal Validation (double)'!B10</f>
        <v>0.2</v>
      </c>
      <c r="C10" s="5">
        <f>'Proximal Validation (double)'!C10</f>
        <v>2.6179999999999999</v>
      </c>
      <c r="D10" s="5">
        <f>'Proximal Validation (double)'!D10</f>
        <v>0.8</v>
      </c>
      <c r="E10" s="5">
        <f>'Proximal Validation (double)'!E10</f>
        <v>0.02</v>
      </c>
      <c r="F10" s="5">
        <f>'Proximal Validation (double)'!F10</f>
        <v>2.3559999999999999</v>
      </c>
      <c r="G10" s="5">
        <f>'Proximal Validation (double)'!G10</f>
        <v>0</v>
      </c>
      <c r="H10" s="5">
        <f>'Proximal Validation (double)'!H10</f>
        <v>0</v>
      </c>
      <c r="I10" s="5">
        <f>'Proximal Validation (double)'!I10</f>
        <v>0</v>
      </c>
      <c r="J10" s="5">
        <f>'Proximal Validation (double)'!J10</f>
        <v>-1.86102464795113E-3</v>
      </c>
      <c r="K10" s="5">
        <f>'Proximal Validation (double)'!K10</f>
        <v>-0.24740616977214799</v>
      </c>
      <c r="L10" s="5">
        <f>'Proximal Validation (double)'!L10</f>
        <v>-0.195220187306404</v>
      </c>
      <c r="M10" s="5">
        <f>'Proximal Validation (double)'!M10</f>
        <v>-0.64324039220809903</v>
      </c>
      <c r="N10" s="5">
        <f>'Proximal Validation (double)'!N10</f>
        <v>-0.84706509113311801</v>
      </c>
      <c r="O10" s="5">
        <f>'Proximal Validation (double)'!O10</f>
        <v>1.0174024105071999</v>
      </c>
      <c r="P10" s="5">
        <v>0.70021064978444814</v>
      </c>
      <c r="Q10" s="5">
        <v>0.19987824072678015</v>
      </c>
      <c r="R10" s="5">
        <v>2.6180242249506462</v>
      </c>
      <c r="S10" s="5">
        <v>0.79976265071808872</v>
      </c>
      <c r="T10" s="5">
        <v>2.0006221041329139E-2</v>
      </c>
      <c r="U10" s="5">
        <v>2.3559233299927484</v>
      </c>
      <c r="V10" s="12">
        <v>1.3565019698561697E-9</v>
      </c>
      <c r="W10" s="5">
        <f t="shared" si="0"/>
        <v>2.1064978444818028E-4</v>
      </c>
      <c r="X10" s="5">
        <f t="shared" si="0"/>
        <v>-1.2175927321986246E-4</v>
      </c>
      <c r="Y10" s="5">
        <f t="shared" si="0"/>
        <v>2.4224950646356547E-5</v>
      </c>
      <c r="Z10" s="5">
        <f t="shared" si="0"/>
        <v>-2.3734928191132543E-4</v>
      </c>
      <c r="AA10" s="5">
        <f t="shared" si="0"/>
        <v>6.2210413291387268E-6</v>
      </c>
      <c r="AB10" s="5">
        <f t="shared" si="0"/>
        <v>-7.6670007251422589E-5</v>
      </c>
      <c r="AC10" s="9">
        <f t="shared" si="1"/>
        <v>2.2399953317975285E-4</v>
      </c>
      <c r="AD10" s="9">
        <f t="shared" si="1"/>
        <v>6.3990157274500595E-5</v>
      </c>
      <c r="AE10" s="9">
        <f t="shared" si="1"/>
        <v>5.0447478948889568E-5</v>
      </c>
      <c r="AF10" s="17">
        <v>3.2588819999999998</v>
      </c>
    </row>
    <row r="11" spans="1:38" x14ac:dyDescent="0.35">
      <c r="A11" s="5">
        <f>'Proximal Validation (double)'!A11</f>
        <v>0.8</v>
      </c>
      <c r="B11" s="5">
        <f>'Proximal Validation (double)'!B11</f>
        <v>0.12</v>
      </c>
      <c r="C11" s="5">
        <f>'Proximal Validation (double)'!C11</f>
        <v>2.6179999999999999</v>
      </c>
      <c r="D11" s="5">
        <f>'Proximal Validation (double)'!D11</f>
        <v>0.3</v>
      </c>
      <c r="E11" s="5">
        <f>'Proximal Validation (double)'!E11</f>
        <v>0.02</v>
      </c>
      <c r="F11" s="5">
        <f>'Proximal Validation (double)'!F11</f>
        <v>3.665</v>
      </c>
      <c r="G11" s="5">
        <f>'Proximal Validation (double)'!G11</f>
        <v>0</v>
      </c>
      <c r="H11" s="5">
        <f>'Proximal Validation (double)'!H11</f>
        <v>0</v>
      </c>
      <c r="I11" s="5">
        <f>'Proximal Validation (double)'!I11</f>
        <v>0</v>
      </c>
      <c r="J11" s="5">
        <f>'Proximal Validation (double)'!J11</f>
        <v>-3.4919474273920103E-4</v>
      </c>
      <c r="K11" s="5">
        <f>'Proximal Validation (double)'!K11</f>
        <v>-0.13894630968570701</v>
      </c>
      <c r="L11" s="5">
        <f>'Proximal Validation (double)'!L11</f>
        <v>-0.130643606185913</v>
      </c>
      <c r="M11" s="5">
        <f>'Proximal Validation (double)'!M11</f>
        <v>-0.20672222971916199</v>
      </c>
      <c r="N11" s="5">
        <f>'Proximal Validation (double)'!N11</f>
        <v>-0.71990585327148404</v>
      </c>
      <c r="O11" s="5">
        <f>'Proximal Validation (double)'!O11</f>
        <v>0.58108544349670399</v>
      </c>
      <c r="P11" s="5">
        <v>0.39771602234777886</v>
      </c>
      <c r="Q11" s="5">
        <v>0.14683885702047816</v>
      </c>
      <c r="R11" s="5">
        <v>1.7402995903197682</v>
      </c>
      <c r="S11" s="5">
        <v>0.89411116903465016</v>
      </c>
      <c r="T11" s="5">
        <v>8.859639605382813E-2</v>
      </c>
      <c r="U11" s="5">
        <v>3.2997171006605486</v>
      </c>
      <c r="V11" s="12">
        <v>1.8666147665328264E-10</v>
      </c>
      <c r="W11" s="5">
        <f t="shared" si="0"/>
        <v>-0.40228397765222118</v>
      </c>
      <c r="X11" s="5">
        <f t="shared" si="0"/>
        <v>2.6838857020478168E-2</v>
      </c>
      <c r="Y11" s="5">
        <f t="shared" si="0"/>
        <v>-0.87770040968023166</v>
      </c>
      <c r="Z11" s="5">
        <f t="shared" si="0"/>
        <v>0.59411116903465011</v>
      </c>
      <c r="AA11" s="5">
        <f t="shared" si="0"/>
        <v>6.8596396053828126E-2</v>
      </c>
      <c r="AB11" s="5">
        <f t="shared" si="0"/>
        <v>-0.36528289933945146</v>
      </c>
      <c r="AC11" s="9">
        <f t="shared" si="1"/>
        <v>0.49819757334343562</v>
      </c>
      <c r="AD11" s="9">
        <f t="shared" si="1"/>
        <v>4.7717626537153147E-2</v>
      </c>
      <c r="AE11" s="9">
        <f t="shared" si="1"/>
        <v>0.62149165450984156</v>
      </c>
      <c r="AF11" s="17">
        <v>0.15161459999999999</v>
      </c>
    </row>
    <row r="12" spans="1:38" x14ac:dyDescent="0.35">
      <c r="A12" s="5">
        <f>'Proximal Validation (double)'!A12</f>
        <v>0.6</v>
      </c>
      <c r="B12" s="5">
        <f>'Proximal Validation (double)'!B12</f>
        <v>0.2</v>
      </c>
      <c r="C12" s="5">
        <f>'Proximal Validation (double)'!C12</f>
        <v>2.6179999999999999</v>
      </c>
      <c r="D12" s="5">
        <f>'Proximal Validation (double)'!D12</f>
        <v>0.5</v>
      </c>
      <c r="E12" s="5">
        <f>'Proximal Validation (double)'!E12</f>
        <v>0.1</v>
      </c>
      <c r="F12" s="5">
        <f>'Proximal Validation (double)'!F12</f>
        <v>3.665</v>
      </c>
      <c r="G12" s="5">
        <f>'Proximal Validation (double)'!G12</f>
        <v>0</v>
      </c>
      <c r="H12" s="5">
        <f>'Proximal Validation (double)'!H12</f>
        <v>0</v>
      </c>
      <c r="I12" s="5">
        <f>'Proximal Validation (double)'!I12</f>
        <v>0</v>
      </c>
      <c r="J12" s="5">
        <f>'Proximal Validation (double)'!J12</f>
        <v>0</v>
      </c>
      <c r="K12" s="5">
        <f>'Proximal Validation (double)'!K12</f>
        <v>0</v>
      </c>
      <c r="L12" s="5">
        <f>'Proximal Validation (double)'!L12</f>
        <v>0</v>
      </c>
      <c r="M12" s="5">
        <f>'Proximal Validation (double)'!M12</f>
        <v>0</v>
      </c>
      <c r="N12" s="5">
        <f>'Proximal Validation (double)'!N12</f>
        <v>0</v>
      </c>
      <c r="O12" s="5">
        <f>'Proximal Validation (double)'!O12</f>
        <v>0</v>
      </c>
      <c r="P12" s="5">
        <v>0.60238529013818154</v>
      </c>
      <c r="Q12" s="5">
        <v>0.19940246597952568</v>
      </c>
      <c r="R12" s="5">
        <v>2.6190825556101371</v>
      </c>
      <c r="S12" s="5">
        <v>0.49827911476900433</v>
      </c>
      <c r="T12" s="5">
        <v>9.9841994511341986E-2</v>
      </c>
      <c r="U12" s="5">
        <v>3.6685815077410004</v>
      </c>
      <c r="V12" s="12">
        <v>5.3374819543237143E-9</v>
      </c>
      <c r="W12" s="5">
        <f t="shared" si="0"/>
        <v>2.3852901381815617E-3</v>
      </c>
      <c r="X12" s="5">
        <f t="shared" si="0"/>
        <v>-5.9753402047432735E-4</v>
      </c>
      <c r="Y12" s="5">
        <f t="shared" si="0"/>
        <v>1.0825556101372591E-3</v>
      </c>
      <c r="Z12" s="5">
        <f t="shared" si="0"/>
        <v>-1.7208852309956724E-3</v>
      </c>
      <c r="AA12" s="5">
        <f t="shared" si="0"/>
        <v>-1.5800548865801956E-4</v>
      </c>
      <c r="AB12" s="5">
        <f t="shared" si="0"/>
        <v>3.5815077410004115E-3</v>
      </c>
      <c r="AC12" s="9">
        <f t="shared" si="1"/>
        <v>2.053087684588617E-3</v>
      </c>
      <c r="AD12" s="9">
        <f t="shared" si="1"/>
        <v>3.7776975456617345E-4</v>
      </c>
      <c r="AE12" s="9">
        <f t="shared" si="1"/>
        <v>2.3320316755688353E-3</v>
      </c>
      <c r="AF12" s="17">
        <v>0.87761929999999999</v>
      </c>
      <c r="AG12" s="13"/>
      <c r="AH12" s="13"/>
      <c r="AI12" s="13"/>
    </row>
    <row r="13" spans="1:38" x14ac:dyDescent="0.35">
      <c r="A13" s="5">
        <f>'Proximal Validation (double)'!A13</f>
        <v>0.7</v>
      </c>
      <c r="B13" s="5">
        <f>'Proximal Validation (double)'!B13</f>
        <v>0.12</v>
      </c>
      <c r="C13" s="5">
        <f>'Proximal Validation (double)'!C13</f>
        <v>3.927</v>
      </c>
      <c r="D13" s="5">
        <f>'Proximal Validation (double)'!D13</f>
        <v>0.7</v>
      </c>
      <c r="E13" s="5">
        <f>'Proximal Validation (double)'!E13</f>
        <v>0.02</v>
      </c>
      <c r="F13" s="5">
        <f>'Proximal Validation (double)'!F13</f>
        <v>1.0469999999999999</v>
      </c>
      <c r="G13" s="5">
        <f>'Proximal Validation (double)'!G13</f>
        <v>0</v>
      </c>
      <c r="H13" s="5">
        <f>'Proximal Validation (double)'!H13</f>
        <v>0</v>
      </c>
      <c r="I13" s="5">
        <f>'Proximal Validation (double)'!I13</f>
        <v>0</v>
      </c>
      <c r="J13" s="5">
        <f>'Proximal Validation (double)'!J13</f>
        <v>1.52160471770912E-3</v>
      </c>
      <c r="K13" s="5">
        <f>'Proximal Validation (double)'!K13</f>
        <v>5.9020079672336599E-2</v>
      </c>
      <c r="L13" s="5">
        <f>'Proximal Validation (double)'!L13</f>
        <v>-7.2138950228691101E-2</v>
      </c>
      <c r="M13" s="5">
        <f>'Proximal Validation (double)'!M13</f>
        <v>-0.130099952220917</v>
      </c>
      <c r="N13" s="5">
        <f>'Proximal Validation (double)'!N13</f>
        <v>-0.15057766437530501</v>
      </c>
      <c r="O13" s="5">
        <f>'Proximal Validation (double)'!O13</f>
        <v>1.86103023588657E-2</v>
      </c>
      <c r="P13" s="5">
        <v>0.70000027317438063</v>
      </c>
      <c r="Q13" s="5">
        <v>0.11999997954241741</v>
      </c>
      <c r="R13" s="5">
        <v>3.9270000527619575</v>
      </c>
      <c r="S13" s="5">
        <v>0.70000027412587429</v>
      </c>
      <c r="T13" s="5">
        <v>2.0000021719603203E-2</v>
      </c>
      <c r="U13" s="5">
        <v>1.0469999507260488</v>
      </c>
      <c r="V13" s="12">
        <v>1.6781897571098314E-18</v>
      </c>
      <c r="W13" s="5">
        <f t="shared" si="0"/>
        <v>2.7317438067164801E-7</v>
      </c>
      <c r="X13" s="5">
        <f t="shared" si="0"/>
        <v>-2.0457582586286271E-8</v>
      </c>
      <c r="Y13" s="5">
        <f t="shared" si="0"/>
        <v>5.2761957469726894E-8</v>
      </c>
      <c r="Z13" s="5">
        <f t="shared" si="0"/>
        <v>2.7412587433328639E-7</v>
      </c>
      <c r="AA13" s="5">
        <f t="shared" si="0"/>
        <v>2.1719603202768889E-8</v>
      </c>
      <c r="AB13" s="5">
        <f t="shared" si="0"/>
        <v>-4.9273951141515226E-8</v>
      </c>
      <c r="AC13" s="9">
        <f t="shared" si="1"/>
        <v>2.736501275024672E-7</v>
      </c>
      <c r="AD13" s="9">
        <f t="shared" si="1"/>
        <v>2.108859289452758E-8</v>
      </c>
      <c r="AE13" s="9">
        <f t="shared" si="1"/>
        <v>5.101795430562106E-8</v>
      </c>
      <c r="AF13" s="17">
        <v>0.70251260000000004</v>
      </c>
    </row>
    <row r="14" spans="1:38" x14ac:dyDescent="0.35">
      <c r="A14" s="5">
        <f>'Proximal Validation (double)'!A14</f>
        <v>0.8</v>
      </c>
      <c r="B14" s="5">
        <f>'Proximal Validation (double)'!B14</f>
        <v>0.2</v>
      </c>
      <c r="C14" s="5">
        <f>'Proximal Validation (double)'!C14</f>
        <v>3.927</v>
      </c>
      <c r="D14" s="5">
        <f>'Proximal Validation (double)'!D14</f>
        <v>0.4</v>
      </c>
      <c r="E14" s="5">
        <f>'Proximal Validation (double)'!E14</f>
        <v>0.04</v>
      </c>
      <c r="F14" s="5">
        <f>'Proximal Validation (double)'!F14</f>
        <v>1.0469999999999999</v>
      </c>
      <c r="G14" s="5">
        <f>'Proximal Validation (double)'!G14</f>
        <v>0</v>
      </c>
      <c r="H14" s="5">
        <f>'Proximal Validation (double)'!H14</f>
        <v>0</v>
      </c>
      <c r="I14" s="5">
        <f>'Proximal Validation (double)'!I14</f>
        <v>0</v>
      </c>
      <c r="J14" s="5">
        <f>'Proximal Validation (double)'!J14</f>
        <v>1.0578810470178699E-3</v>
      </c>
      <c r="K14" s="5">
        <f>'Proximal Validation (double)'!K14</f>
        <v>9.46853533387184E-2</v>
      </c>
      <c r="L14" s="5">
        <f>'Proximal Validation (double)'!L14</f>
        <v>-9.9762968719005599E-2</v>
      </c>
      <c r="M14" s="5">
        <f>'Proximal Validation (double)'!M14</f>
        <v>-0.57114285230636597</v>
      </c>
      <c r="N14" s="5">
        <f>'Proximal Validation (double)'!N14</f>
        <v>-0.11998450011014899</v>
      </c>
      <c r="O14" s="5">
        <f>'Proximal Validation (double)'!O14</f>
        <v>-2.8004650026559798E-2</v>
      </c>
      <c r="P14" s="5">
        <v>0.80001060841674076</v>
      </c>
      <c r="Q14" s="5">
        <v>0.19999522314881604</v>
      </c>
      <c r="R14" s="5">
        <v>3.9269989193499684</v>
      </c>
      <c r="S14" s="5">
        <v>0.40001214192881018</v>
      </c>
      <c r="T14" s="5">
        <v>3.9999539921724739E-2</v>
      </c>
      <c r="U14" s="5">
        <v>1.0469927314510672</v>
      </c>
      <c r="V14" s="12">
        <v>5.4347264862683872E-12</v>
      </c>
      <c r="W14" s="5">
        <f t="shared" si="0"/>
        <v>1.060841674072055E-5</v>
      </c>
      <c r="X14" s="5">
        <f t="shared" si="0"/>
        <v>-4.7768511839685335E-6</v>
      </c>
      <c r="Y14" s="5">
        <f t="shared" si="0"/>
        <v>-1.0806500316817846E-6</v>
      </c>
      <c r="Z14" s="5">
        <f t="shared" si="0"/>
        <v>1.2141928810160962E-5</v>
      </c>
      <c r="AA14" s="5">
        <f t="shared" si="0"/>
        <v>-4.6007827526201028E-7</v>
      </c>
      <c r="AB14" s="5">
        <f t="shared" si="0"/>
        <v>-7.2685489327373176E-6</v>
      </c>
      <c r="AC14" s="9">
        <f t="shared" si="1"/>
        <v>1.1375172775440756E-5</v>
      </c>
      <c r="AD14" s="9">
        <f t="shared" si="1"/>
        <v>2.6184647296152719E-6</v>
      </c>
      <c r="AE14" s="9">
        <f t="shared" si="1"/>
        <v>4.1745994822095511E-6</v>
      </c>
      <c r="AF14" s="17">
        <v>2.9425759999999999</v>
      </c>
    </row>
    <row r="15" spans="1:38" x14ac:dyDescent="0.35">
      <c r="A15" s="5">
        <f>'Proximal Validation (double)'!A15</f>
        <v>0.3</v>
      </c>
      <c r="B15" s="5">
        <f>'Proximal Validation (double)'!B15</f>
        <v>0.2</v>
      </c>
      <c r="C15" s="5">
        <f>'Proximal Validation (double)'!C15</f>
        <v>3.927</v>
      </c>
      <c r="D15" s="5">
        <f>'Proximal Validation (double)'!D15</f>
        <v>0.3</v>
      </c>
      <c r="E15" s="5">
        <f>'Proximal Validation (double)'!E15</f>
        <v>0.1</v>
      </c>
      <c r="F15" s="5">
        <f>'Proximal Validation (double)'!F15</f>
        <v>2.3559999999999999</v>
      </c>
      <c r="G15" s="5">
        <f>'Proximal Validation (double)'!G15</f>
        <v>0</v>
      </c>
      <c r="H15" s="5">
        <f>'Proximal Validation (double)'!H15</f>
        <v>0</v>
      </c>
      <c r="I15" s="5">
        <f>'Proximal Validation (double)'!I15</f>
        <v>0</v>
      </c>
      <c r="J15" s="5">
        <f>'Proximal Validation (double)'!J15</f>
        <v>0</v>
      </c>
      <c r="K15" s="5">
        <f>'Proximal Validation (double)'!K15</f>
        <v>0</v>
      </c>
      <c r="L15" s="5">
        <f>'Proximal Validation (double)'!L15</f>
        <v>0</v>
      </c>
      <c r="M15" s="5">
        <f>'Proximal Validation (double)'!M15</f>
        <v>0</v>
      </c>
      <c r="N15" s="5">
        <f>'Proximal Validation (double)'!N15</f>
        <v>0</v>
      </c>
      <c r="O15" s="5">
        <f>'Proximal Validation (double)'!O15</f>
        <v>0</v>
      </c>
      <c r="P15" s="5">
        <v>0.30390698606553773</v>
      </c>
      <c r="Q15" s="5">
        <v>0.19790422385616963</v>
      </c>
      <c r="R15" s="5">
        <v>3.9092201032808753</v>
      </c>
      <c r="S15" s="5">
        <v>0.29467310384944195</v>
      </c>
      <c r="T15" s="5">
        <v>9.8139108040604023E-2</v>
      </c>
      <c r="U15" s="5">
        <v>2.3425566440281873</v>
      </c>
      <c r="V15" s="12">
        <v>7.7875052163394106E-9</v>
      </c>
      <c r="W15" s="5">
        <f t="shared" si="0"/>
        <v>3.9069860655377431E-3</v>
      </c>
      <c r="X15" s="5">
        <f t="shared" si="0"/>
        <v>-2.0957761438303857E-3</v>
      </c>
      <c r="Y15" s="5">
        <f t="shared" si="0"/>
        <v>-1.7779896719124721E-2</v>
      </c>
      <c r="Z15" s="5">
        <f t="shared" si="0"/>
        <v>-5.3268961505580359E-3</v>
      </c>
      <c r="AA15" s="5">
        <f t="shared" si="0"/>
        <v>-1.8608919593959827E-3</v>
      </c>
      <c r="AB15" s="5">
        <f t="shared" si="0"/>
        <v>-1.3443355971812565E-2</v>
      </c>
      <c r="AC15" s="9">
        <f t="shared" si="1"/>
        <v>4.6169411080478895E-3</v>
      </c>
      <c r="AD15" s="9">
        <f t="shared" si="1"/>
        <v>1.9783340516131842E-3</v>
      </c>
      <c r="AE15" s="9">
        <f t="shared" si="1"/>
        <v>1.5611626345468643E-2</v>
      </c>
      <c r="AF15" s="17">
        <v>0.22897590000000001</v>
      </c>
    </row>
    <row r="16" spans="1:38" x14ac:dyDescent="0.35">
      <c r="A16" s="5">
        <f>'Proximal Validation (double)'!A16</f>
        <v>0.8</v>
      </c>
      <c r="B16" s="5">
        <f>'Proximal Validation (double)'!B16</f>
        <v>0.16</v>
      </c>
      <c r="C16" s="5">
        <f>'Proximal Validation (double)'!C16</f>
        <v>3.927</v>
      </c>
      <c r="D16" s="5">
        <f>'Proximal Validation (double)'!D16</f>
        <v>0.8</v>
      </c>
      <c r="E16" s="5">
        <f>'Proximal Validation (double)'!E16</f>
        <v>0.02</v>
      </c>
      <c r="F16" s="5">
        <f>'Proximal Validation (double)'!F16</f>
        <v>3.665</v>
      </c>
      <c r="G16" s="5">
        <f>'Proximal Validation (double)'!G16</f>
        <v>0</v>
      </c>
      <c r="H16" s="5">
        <f>'Proximal Validation (double)'!H16</f>
        <v>0</v>
      </c>
      <c r="I16" s="5">
        <f>'Proximal Validation (double)'!I16</f>
        <v>0</v>
      </c>
      <c r="J16" s="5">
        <f>'Proximal Validation (double)'!J16</f>
        <v>0</v>
      </c>
      <c r="K16" s="5">
        <f>'Proximal Validation (double)'!K16</f>
        <v>0</v>
      </c>
      <c r="L16" s="5">
        <f>'Proximal Validation (double)'!L16</f>
        <v>0</v>
      </c>
      <c r="M16" s="5">
        <f>'Proximal Validation (double)'!M16</f>
        <v>0</v>
      </c>
      <c r="N16" s="5">
        <f>'Proximal Validation (double)'!N16</f>
        <v>0</v>
      </c>
      <c r="O16" s="5">
        <f>'Proximal Validation (double)'!O16</f>
        <v>0</v>
      </c>
      <c r="P16" s="5">
        <v>0.79999948266256493</v>
      </c>
      <c r="Q16" s="5">
        <v>0.16000006496401051</v>
      </c>
      <c r="R16" s="5">
        <v>3.9270000564829193</v>
      </c>
      <c r="S16" s="5">
        <v>0.8000005317210741</v>
      </c>
      <c r="T16" s="5">
        <v>2.0000030047118991E-2</v>
      </c>
      <c r="U16" s="5">
        <v>3.6650001540665822</v>
      </c>
      <c r="V16" s="12">
        <v>5.7988210455230476E-15</v>
      </c>
      <c r="W16" s="5">
        <f t="shared" si="0"/>
        <v>-5.1733743511306329E-7</v>
      </c>
      <c r="X16" s="5">
        <f t="shared" si="0"/>
        <v>6.4964010504375835E-8</v>
      </c>
      <c r="Y16" s="5">
        <f t="shared" si="0"/>
        <v>5.64829192306604E-8</v>
      </c>
      <c r="Z16" s="5">
        <f t="shared" si="0"/>
        <v>5.3172107405963231E-7</v>
      </c>
      <c r="AA16" s="5">
        <f t="shared" si="0"/>
        <v>3.0047118990822463E-8</v>
      </c>
      <c r="AB16" s="5">
        <f t="shared" si="0"/>
        <v>1.5406658215866287E-7</v>
      </c>
      <c r="AC16" s="9">
        <f t="shared" si="1"/>
        <v>5.245292545863478E-7</v>
      </c>
      <c r="AD16" s="9">
        <f t="shared" si="1"/>
        <v>4.7505564747599149E-8</v>
      </c>
      <c r="AE16" s="9">
        <f t="shared" si="1"/>
        <v>1.0527475069466163E-7</v>
      </c>
      <c r="AF16" s="17">
        <v>2.6813989999999999</v>
      </c>
    </row>
    <row r="17" spans="1:32" x14ac:dyDescent="0.35">
      <c r="A17" s="5">
        <f>'Proximal Validation (double)'!A17</f>
        <v>0.4</v>
      </c>
      <c r="B17" s="5">
        <f>'Proximal Validation (double)'!B17</f>
        <v>0.2</v>
      </c>
      <c r="C17" s="5">
        <f>'Proximal Validation (double)'!C17</f>
        <v>3.927</v>
      </c>
      <c r="D17" s="5">
        <f>'Proximal Validation (double)'!D17</f>
        <v>0.8</v>
      </c>
      <c r="E17" s="5">
        <f>'Proximal Validation (double)'!E17</f>
        <v>0.06</v>
      </c>
      <c r="F17" s="5">
        <f>'Proximal Validation (double)'!F17</f>
        <v>3.665</v>
      </c>
      <c r="G17" s="5">
        <f>'Proximal Validation (double)'!G17</f>
        <v>0</v>
      </c>
      <c r="H17" s="5">
        <f>'Proximal Validation (double)'!H17</f>
        <v>0</v>
      </c>
      <c r="I17" s="5">
        <f>'Proximal Validation (double)'!I17</f>
        <v>0</v>
      </c>
      <c r="J17" s="5">
        <f>'Proximal Validation (double)'!J17</f>
        <v>0</v>
      </c>
      <c r="K17" s="5">
        <f>'Proximal Validation (double)'!K17</f>
        <v>0</v>
      </c>
      <c r="L17" s="5">
        <f>'Proximal Validation (double)'!L17</f>
        <v>0</v>
      </c>
      <c r="M17" s="5">
        <f>'Proximal Validation (double)'!M17</f>
        <v>0</v>
      </c>
      <c r="N17" s="5">
        <f>'Proximal Validation (double)'!N17</f>
        <v>0</v>
      </c>
      <c r="O17" s="5">
        <f>'Proximal Validation (double)'!O17</f>
        <v>0</v>
      </c>
      <c r="P17" s="5">
        <v>0.40104277950761691</v>
      </c>
      <c r="Q17" s="5">
        <v>0.19919035911958893</v>
      </c>
      <c r="R17" s="5">
        <v>3.9271370717190464</v>
      </c>
      <c r="S17" s="5">
        <v>0.79898434228854676</v>
      </c>
      <c r="T17" s="5">
        <v>6.0044486763447404E-2</v>
      </c>
      <c r="U17" s="5">
        <v>3.6645499793103151</v>
      </c>
      <c r="V17" s="12">
        <v>1.1799087334460409E-8</v>
      </c>
      <c r="W17" s="5">
        <f t="shared" si="0"/>
        <v>1.0427795076168866E-3</v>
      </c>
      <c r="X17" s="5">
        <f t="shared" si="0"/>
        <v>-8.0964088041107773E-4</v>
      </c>
      <c r="Y17" s="5">
        <f t="shared" si="0"/>
        <v>1.370717190463111E-4</v>
      </c>
      <c r="Z17" s="5">
        <f t="shared" si="0"/>
        <v>-1.0156577114532883E-3</v>
      </c>
      <c r="AA17" s="5">
        <f t="shared" si="0"/>
        <v>4.4486763447405819E-5</v>
      </c>
      <c r="AB17" s="5">
        <f t="shared" si="0"/>
        <v>-4.5002068968491571E-4</v>
      </c>
      <c r="AC17" s="9">
        <f t="shared" si="1"/>
        <v>1.0292186095350875E-3</v>
      </c>
      <c r="AD17" s="9">
        <f t="shared" si="1"/>
        <v>4.2706382192924178E-4</v>
      </c>
      <c r="AE17" s="9">
        <f t="shared" si="1"/>
        <v>2.9354620436561341E-4</v>
      </c>
      <c r="AF17" s="17">
        <v>1.104257</v>
      </c>
    </row>
  </sheetData>
  <mergeCells count="7">
    <mergeCell ref="AG5:AL5"/>
    <mergeCell ref="A1:I1"/>
    <mergeCell ref="J1:O1"/>
    <mergeCell ref="P1:V1"/>
    <mergeCell ref="W1:AB1"/>
    <mergeCell ref="AC1:AL1"/>
    <mergeCell ref="AG2:AL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D6981-73D2-4F8C-88D7-D5FA77AC2EB0}">
  <dimension ref="A1:M18"/>
  <sheetViews>
    <sheetView workbookViewId="0">
      <selection activeCell="H12" sqref="H12:M12"/>
    </sheetView>
  </sheetViews>
  <sheetFormatPr defaultRowHeight="14.5" x14ac:dyDescent="0.35"/>
  <sheetData>
    <row r="1" spans="1:13" ht="16" x14ac:dyDescent="0.4">
      <c r="A1" s="34" t="s">
        <v>21</v>
      </c>
      <c r="B1" s="35"/>
      <c r="C1" s="35"/>
      <c r="D1" s="35"/>
      <c r="E1" s="35"/>
      <c r="F1" s="36"/>
      <c r="H1" s="34" t="s">
        <v>22</v>
      </c>
      <c r="I1" s="35"/>
      <c r="J1" s="35"/>
      <c r="K1" s="35"/>
      <c r="L1" s="35"/>
      <c r="M1" s="36"/>
    </row>
    <row r="2" spans="1:13" ht="16" x14ac:dyDescent="0.4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H2" s="3" t="s">
        <v>18</v>
      </c>
      <c r="I2" s="3" t="s">
        <v>19</v>
      </c>
      <c r="J2" s="3" t="s">
        <v>20</v>
      </c>
      <c r="K2" s="3" t="s">
        <v>15</v>
      </c>
      <c r="L2" s="3" t="s">
        <v>16</v>
      </c>
      <c r="M2" s="3" t="s">
        <v>17</v>
      </c>
    </row>
    <row r="3" spans="1:13" x14ac:dyDescent="0.35">
      <c r="A3">
        <v>0.50792884826660201</v>
      </c>
      <c r="B3">
        <v>8.0224335193634005E-2</v>
      </c>
      <c r="C3">
        <v>-4.5330036431551E-2</v>
      </c>
      <c r="D3">
        <v>2.07312256097794E-2</v>
      </c>
      <c r="E3">
        <v>9.0627849102020305E-2</v>
      </c>
      <c r="F3" s="4">
        <v>-6.56991032883525E-4</v>
      </c>
      <c r="H3">
        <f>$F3</f>
        <v>-6.56991032883525E-4</v>
      </c>
      <c r="I3">
        <f>-1*$E3</f>
        <v>-9.0627849102020305E-2</v>
      </c>
      <c r="J3">
        <f>$D3</f>
        <v>2.07312256097794E-2</v>
      </c>
      <c r="K3">
        <f>$C3</f>
        <v>-4.5330036431551E-2</v>
      </c>
      <c r="L3">
        <f>-1*$B3</f>
        <v>-8.0224335193634005E-2</v>
      </c>
      <c r="M3">
        <f>$A3</f>
        <v>0.50792884826660201</v>
      </c>
    </row>
    <row r="4" spans="1:13" x14ac:dyDescent="0.35">
      <c r="A4">
        <v>0.34258222579956099</v>
      </c>
      <c r="B4">
        <v>-0.16285943984985399</v>
      </c>
      <c r="C4">
        <v>-0.24421182274818401</v>
      </c>
      <c r="D4">
        <v>8.0217547714710194E-2</v>
      </c>
      <c r="E4">
        <v>0.116873532533646</v>
      </c>
      <c r="F4">
        <v>1.13202398642898E-3</v>
      </c>
      <c r="H4">
        <f t="shared" ref="H4:H18" si="0">$F4</f>
        <v>1.13202398642898E-3</v>
      </c>
      <c r="I4">
        <f t="shared" ref="I4:I18" si="1">-1*$E4</f>
        <v>-0.116873532533646</v>
      </c>
      <c r="J4">
        <f t="shared" ref="J4:J18" si="2">$D4</f>
        <v>8.0217547714710194E-2</v>
      </c>
      <c r="K4">
        <f t="shared" ref="K4:K18" si="3">$C4</f>
        <v>-0.24421182274818401</v>
      </c>
      <c r="L4">
        <f t="shared" ref="L4:L18" si="4">-1*$B4</f>
        <v>0.16285943984985399</v>
      </c>
      <c r="M4">
        <f t="shared" ref="M4:M18" si="5">$A4</f>
        <v>0.34258222579956099</v>
      </c>
    </row>
    <row r="5" spans="1:13" x14ac:dyDescent="0.35">
      <c r="A5">
        <v>-0.175722181797028</v>
      </c>
      <c r="B5">
        <v>0.499801754951477</v>
      </c>
      <c r="C5">
        <v>-2.5787528604269E-2</v>
      </c>
      <c r="D5">
        <v>-2.7528360486030599E-2</v>
      </c>
      <c r="E5">
        <v>1.0949088260531399E-2</v>
      </c>
      <c r="F5">
        <v>5.0459569320082697E-4</v>
      </c>
      <c r="H5">
        <f t="shared" si="0"/>
        <v>5.0459569320082697E-4</v>
      </c>
      <c r="I5">
        <f t="shared" si="1"/>
        <v>-1.0949088260531399E-2</v>
      </c>
      <c r="J5">
        <f t="shared" si="2"/>
        <v>-2.7528360486030599E-2</v>
      </c>
      <c r="K5">
        <f t="shared" si="3"/>
        <v>-2.5787528604269E-2</v>
      </c>
      <c r="L5">
        <f t="shared" si="4"/>
        <v>-0.499801754951477</v>
      </c>
      <c r="M5">
        <f t="shared" si="5"/>
        <v>-0.175722181797028</v>
      </c>
    </row>
    <row r="6" spans="1:13" x14ac:dyDescent="0.35">
      <c r="A6">
        <v>0.98013961315154996</v>
      </c>
      <c r="B6">
        <v>-0.16338084638118699</v>
      </c>
      <c r="C6">
        <v>-8.3539940416812897E-2</v>
      </c>
      <c r="D6">
        <v>-8.2256738096475601E-4</v>
      </c>
      <c r="E6">
        <v>0.16114857792854301</v>
      </c>
      <c r="F6">
        <v>-1.9948105327785002E-3</v>
      </c>
      <c r="H6">
        <f t="shared" si="0"/>
        <v>-1.9948105327785002E-3</v>
      </c>
      <c r="I6">
        <f t="shared" si="1"/>
        <v>-0.16114857792854301</v>
      </c>
      <c r="J6">
        <f t="shared" si="2"/>
        <v>-8.2256738096475601E-4</v>
      </c>
      <c r="K6">
        <f t="shared" si="3"/>
        <v>-8.3539940416812897E-2</v>
      </c>
      <c r="L6">
        <f t="shared" si="4"/>
        <v>0.16338084638118699</v>
      </c>
      <c r="M6">
        <f t="shared" si="5"/>
        <v>0.98013961315154996</v>
      </c>
    </row>
    <row r="7" spans="1:13" x14ac:dyDescent="0.35">
      <c r="A7">
        <v>0.53465890884399403</v>
      </c>
      <c r="B7">
        <v>3.7903144955635099E-2</v>
      </c>
      <c r="C7">
        <v>-0.138460397720337</v>
      </c>
      <c r="D7">
        <v>-4.0013011544942897E-2</v>
      </c>
      <c r="E7">
        <v>0.109843894839287</v>
      </c>
      <c r="F7">
        <v>-6.5418658778071404E-5</v>
      </c>
      <c r="H7">
        <f t="shared" si="0"/>
        <v>-6.5418658778071404E-5</v>
      </c>
      <c r="I7">
        <f t="shared" si="1"/>
        <v>-0.109843894839287</v>
      </c>
      <c r="J7">
        <f t="shared" si="2"/>
        <v>-4.0013011544942897E-2</v>
      </c>
      <c r="K7">
        <f t="shared" si="3"/>
        <v>-0.138460397720337</v>
      </c>
      <c r="L7">
        <f t="shared" si="4"/>
        <v>-3.7903144955635099E-2</v>
      </c>
      <c r="M7">
        <f t="shared" si="5"/>
        <v>0.53465890884399403</v>
      </c>
    </row>
    <row r="8" spans="1:13" x14ac:dyDescent="0.35">
      <c r="A8">
        <v>1.0174024105071999</v>
      </c>
      <c r="B8">
        <v>0.84706509113311801</v>
      </c>
      <c r="C8">
        <v>-0.64324039220809903</v>
      </c>
      <c r="D8">
        <v>-0.195220187306404</v>
      </c>
      <c r="E8">
        <v>0.24740616977214799</v>
      </c>
      <c r="F8">
        <v>-1.86102464795113E-3</v>
      </c>
      <c r="H8">
        <f t="shared" si="0"/>
        <v>-1.86102464795113E-3</v>
      </c>
      <c r="I8">
        <f t="shared" si="1"/>
        <v>-0.24740616977214799</v>
      </c>
      <c r="J8">
        <f t="shared" si="2"/>
        <v>-0.195220187306404</v>
      </c>
      <c r="K8">
        <f t="shared" si="3"/>
        <v>-0.64324039220809903</v>
      </c>
      <c r="L8">
        <f t="shared" si="4"/>
        <v>-0.84706509113311801</v>
      </c>
      <c r="M8">
        <f t="shared" si="5"/>
        <v>1.0174024105071999</v>
      </c>
    </row>
    <row r="9" spans="1:13" x14ac:dyDescent="0.35">
      <c r="A9">
        <v>1.0174024105071999</v>
      </c>
      <c r="B9">
        <v>0.84706509113311801</v>
      </c>
      <c r="C9">
        <v>-0.64324039220809903</v>
      </c>
      <c r="D9">
        <v>-0.195220187306404</v>
      </c>
      <c r="E9">
        <v>0.24740616977214799</v>
      </c>
      <c r="F9">
        <v>-1.86102464795113E-3</v>
      </c>
      <c r="H9">
        <f t="shared" si="0"/>
        <v>-1.86102464795113E-3</v>
      </c>
      <c r="I9">
        <f t="shared" si="1"/>
        <v>-0.24740616977214799</v>
      </c>
      <c r="J9">
        <f t="shared" si="2"/>
        <v>-0.195220187306404</v>
      </c>
      <c r="K9">
        <f t="shared" si="3"/>
        <v>-0.64324039220809903</v>
      </c>
      <c r="L9">
        <f t="shared" si="4"/>
        <v>-0.84706509113311801</v>
      </c>
      <c r="M9">
        <f t="shared" si="5"/>
        <v>1.0174024105071999</v>
      </c>
    </row>
    <row r="10" spans="1:13" x14ac:dyDescent="0.35">
      <c r="A10">
        <v>0.58108544349670399</v>
      </c>
      <c r="B10">
        <v>0.71990585327148404</v>
      </c>
      <c r="C10">
        <v>-0.20672222971916199</v>
      </c>
      <c r="D10">
        <v>-0.130643606185913</v>
      </c>
      <c r="E10">
        <v>0.13894630968570701</v>
      </c>
      <c r="F10">
        <v>-3.4919474273920103E-4</v>
      </c>
      <c r="H10">
        <f t="shared" si="0"/>
        <v>-3.4919474273920103E-4</v>
      </c>
      <c r="I10">
        <f t="shared" si="1"/>
        <v>-0.13894630968570701</v>
      </c>
      <c r="J10">
        <f t="shared" si="2"/>
        <v>-0.130643606185913</v>
      </c>
      <c r="K10">
        <f t="shared" si="3"/>
        <v>-0.20672222971916199</v>
      </c>
      <c r="L10">
        <f t="shared" si="4"/>
        <v>-0.71990585327148404</v>
      </c>
      <c r="M10">
        <f t="shared" si="5"/>
        <v>0.58108544349670399</v>
      </c>
    </row>
    <row r="11" spans="1:13" x14ac:dyDescent="0.35">
      <c r="A11">
        <v>1.86103023588657E-2</v>
      </c>
      <c r="B11">
        <v>0.15057766437530501</v>
      </c>
      <c r="C11">
        <v>-0.130099952220917</v>
      </c>
      <c r="D11">
        <v>-7.2138950228691101E-2</v>
      </c>
      <c r="E11">
        <v>-5.9020079672336599E-2</v>
      </c>
      <c r="F11">
        <v>1.52160471770912E-3</v>
      </c>
      <c r="H11">
        <f t="shared" si="0"/>
        <v>1.52160471770912E-3</v>
      </c>
      <c r="I11">
        <f t="shared" si="1"/>
        <v>5.9020079672336599E-2</v>
      </c>
      <c r="J11">
        <f t="shared" si="2"/>
        <v>-7.2138950228691101E-2</v>
      </c>
      <c r="K11">
        <f t="shared" si="3"/>
        <v>-0.130099952220917</v>
      </c>
      <c r="L11">
        <f t="shared" si="4"/>
        <v>-0.15057766437530501</v>
      </c>
      <c r="M11">
        <f t="shared" si="5"/>
        <v>1.86103023588657E-2</v>
      </c>
    </row>
    <row r="12" spans="1:13" x14ac:dyDescent="0.35">
      <c r="A12">
        <v>-2.8004650026559798E-2</v>
      </c>
      <c r="B12">
        <v>0.11998450011014899</v>
      </c>
      <c r="C12">
        <v>-0.57114285230636597</v>
      </c>
      <c r="D12">
        <v>-9.9762968719005599E-2</v>
      </c>
      <c r="E12">
        <v>-9.46853533387184E-2</v>
      </c>
      <c r="F12">
        <v>1.0578810470178699E-3</v>
      </c>
      <c r="H12">
        <f t="shared" si="0"/>
        <v>1.0578810470178699E-3</v>
      </c>
      <c r="I12">
        <f t="shared" si="1"/>
        <v>9.46853533387184E-2</v>
      </c>
      <c r="J12">
        <f t="shared" si="2"/>
        <v>-9.9762968719005599E-2</v>
      </c>
      <c r="K12">
        <f t="shared" si="3"/>
        <v>-0.57114285230636597</v>
      </c>
      <c r="L12">
        <f t="shared" si="4"/>
        <v>-0.11998450011014899</v>
      </c>
      <c r="M12">
        <f t="shared" si="5"/>
        <v>-2.8004650026559798E-2</v>
      </c>
    </row>
    <row r="13" spans="1:13" x14ac:dyDescent="0.35">
      <c r="H13">
        <f t="shared" si="0"/>
        <v>0</v>
      </c>
      <c r="I13">
        <f t="shared" si="1"/>
        <v>0</v>
      </c>
      <c r="J13">
        <f t="shared" si="2"/>
        <v>0</v>
      </c>
      <c r="K13">
        <f t="shared" si="3"/>
        <v>0</v>
      </c>
      <c r="L13">
        <f t="shared" si="4"/>
        <v>0</v>
      </c>
      <c r="M13">
        <f t="shared" si="5"/>
        <v>0</v>
      </c>
    </row>
    <row r="14" spans="1:13" x14ac:dyDescent="0.35">
      <c r="H14">
        <f t="shared" si="0"/>
        <v>0</v>
      </c>
      <c r="I14">
        <f t="shared" si="1"/>
        <v>0</v>
      </c>
      <c r="J14">
        <f t="shared" si="2"/>
        <v>0</v>
      </c>
      <c r="K14">
        <f t="shared" si="3"/>
        <v>0</v>
      </c>
      <c r="L14">
        <f t="shared" si="4"/>
        <v>0</v>
      </c>
      <c r="M14">
        <f t="shared" si="5"/>
        <v>0</v>
      </c>
    </row>
    <row r="15" spans="1:13" x14ac:dyDescent="0.35">
      <c r="H15">
        <f t="shared" si="0"/>
        <v>0</v>
      </c>
      <c r="I15">
        <f t="shared" si="1"/>
        <v>0</v>
      </c>
      <c r="J15">
        <f t="shared" si="2"/>
        <v>0</v>
      </c>
      <c r="K15">
        <f t="shared" si="3"/>
        <v>0</v>
      </c>
      <c r="L15">
        <f t="shared" si="4"/>
        <v>0</v>
      </c>
      <c r="M15">
        <f t="shared" si="5"/>
        <v>0</v>
      </c>
    </row>
    <row r="16" spans="1:13" x14ac:dyDescent="0.35">
      <c r="H16">
        <f t="shared" si="0"/>
        <v>0</v>
      </c>
      <c r="I16">
        <f t="shared" si="1"/>
        <v>0</v>
      </c>
      <c r="J16">
        <f t="shared" si="2"/>
        <v>0</v>
      </c>
      <c r="K16">
        <f t="shared" si="3"/>
        <v>0</v>
      </c>
      <c r="L16">
        <f t="shared" si="4"/>
        <v>0</v>
      </c>
      <c r="M16">
        <f t="shared" si="5"/>
        <v>0</v>
      </c>
    </row>
    <row r="17" spans="8:13" x14ac:dyDescent="0.35">
      <c r="H17">
        <f t="shared" si="0"/>
        <v>0</v>
      </c>
      <c r="I17">
        <f t="shared" si="1"/>
        <v>0</v>
      </c>
      <c r="J17">
        <f t="shared" si="2"/>
        <v>0</v>
      </c>
      <c r="K17">
        <f t="shared" si="3"/>
        <v>0</v>
      </c>
      <c r="L17">
        <f t="shared" si="4"/>
        <v>0</v>
      </c>
      <c r="M17">
        <f t="shared" si="5"/>
        <v>0</v>
      </c>
    </row>
    <row r="18" spans="8:13" x14ac:dyDescent="0.35">
      <c r="H18">
        <f t="shared" si="0"/>
        <v>0</v>
      </c>
      <c r="I18">
        <f t="shared" si="1"/>
        <v>0</v>
      </c>
      <c r="J18">
        <f t="shared" si="2"/>
        <v>0</v>
      </c>
      <c r="K18">
        <f t="shared" si="3"/>
        <v>0</v>
      </c>
      <c r="L18">
        <f t="shared" si="4"/>
        <v>0</v>
      </c>
      <c r="M18">
        <f t="shared" si="5"/>
        <v>0</v>
      </c>
    </row>
  </sheetData>
  <mergeCells count="2">
    <mergeCell ref="A1:F1"/>
    <mergeCell ref="H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D7133-1F40-42FE-857E-F1C32F431B6A}">
  <dimension ref="C2:Z33"/>
  <sheetViews>
    <sheetView topLeftCell="C16" workbookViewId="0">
      <selection activeCell="D19" sqref="D19:N33"/>
    </sheetView>
  </sheetViews>
  <sheetFormatPr defaultRowHeight="14.5" x14ac:dyDescent="0.35"/>
  <sheetData>
    <row r="2" spans="3:25" x14ac:dyDescent="0.35">
      <c r="C2" t="s">
        <v>39</v>
      </c>
      <c r="D2" t="s">
        <v>35</v>
      </c>
      <c r="E2" s="9">
        <v>-6.56991032883525E-4</v>
      </c>
      <c r="F2" s="9">
        <v>-9.0627849102020305E-2</v>
      </c>
      <c r="G2" s="9">
        <v>2.07312256097794E-2</v>
      </c>
      <c r="H2" s="9">
        <v>-4.5330036431551E-2</v>
      </c>
      <c r="I2" s="9">
        <v>-8.0224335193634005E-2</v>
      </c>
      <c r="J2" s="9">
        <v>0.50792884826660201</v>
      </c>
      <c r="K2" s="6">
        <v>0</v>
      </c>
      <c r="L2" s="6">
        <v>0</v>
      </c>
      <c r="M2" s="6">
        <v>0</v>
      </c>
      <c r="N2" t="s">
        <v>36</v>
      </c>
      <c r="O2" t="s">
        <v>34</v>
      </c>
      <c r="Q2" t="s">
        <v>35</v>
      </c>
      <c r="R2" s="14">
        <v>0.8</v>
      </c>
      <c r="S2" s="14">
        <v>0.2</v>
      </c>
      <c r="T2" s="14">
        <v>0.78500000000000003</v>
      </c>
      <c r="U2" s="14">
        <v>0.8</v>
      </c>
      <c r="V2" s="14">
        <v>0.1</v>
      </c>
      <c r="W2" s="14">
        <v>1.0469999999999999</v>
      </c>
      <c r="X2" t="s">
        <v>34</v>
      </c>
    </row>
    <row r="3" spans="3:25" x14ac:dyDescent="0.35">
      <c r="D3" t="s">
        <v>35</v>
      </c>
      <c r="E3" s="9">
        <v>1.13202398642898E-3</v>
      </c>
      <c r="F3" s="9">
        <v>-0.116873532533646</v>
      </c>
      <c r="G3" s="9">
        <v>8.0217547714710194E-2</v>
      </c>
      <c r="H3" s="9">
        <v>-0.24421182274818401</v>
      </c>
      <c r="I3" s="9">
        <v>0.16285943984985399</v>
      </c>
      <c r="J3" s="9">
        <v>0.34258222579956099</v>
      </c>
      <c r="K3" s="6">
        <v>0</v>
      </c>
      <c r="L3" s="6">
        <v>0</v>
      </c>
      <c r="M3" s="6">
        <v>0</v>
      </c>
      <c r="N3" t="s">
        <v>36</v>
      </c>
      <c r="O3" t="s">
        <v>34</v>
      </c>
      <c r="R3" s="6">
        <v>0.4</v>
      </c>
      <c r="S3" s="6">
        <v>0.12</v>
      </c>
      <c r="T3" s="6">
        <v>0.78500000000000003</v>
      </c>
      <c r="U3" s="6">
        <v>0.4</v>
      </c>
      <c r="V3" s="6">
        <v>0.02</v>
      </c>
      <c r="W3" s="6">
        <v>2.3559999999999999</v>
      </c>
      <c r="X3" t="s">
        <v>34</v>
      </c>
    </row>
    <row r="4" spans="3:25" x14ac:dyDescent="0.35">
      <c r="D4" t="s">
        <v>35</v>
      </c>
      <c r="E4" s="9">
        <v>5.0459569320082697E-4</v>
      </c>
      <c r="F4" s="9">
        <v>-1.0949088260531399E-2</v>
      </c>
      <c r="G4" s="9">
        <v>-2.7528360486030599E-2</v>
      </c>
      <c r="H4" s="9">
        <v>-2.5787528604269E-2</v>
      </c>
      <c r="I4" s="9">
        <v>-0.499801754951477</v>
      </c>
      <c r="J4" s="9">
        <v>-0.175722181797028</v>
      </c>
      <c r="K4" s="6">
        <v>0</v>
      </c>
      <c r="L4" s="6">
        <v>0</v>
      </c>
      <c r="M4" s="6">
        <v>0</v>
      </c>
      <c r="N4" t="s">
        <v>36</v>
      </c>
      <c r="O4" t="s">
        <v>34</v>
      </c>
      <c r="R4" s="6">
        <v>0.7</v>
      </c>
      <c r="S4" s="6">
        <v>0.16</v>
      </c>
      <c r="T4" s="6">
        <v>0.78500000000000003</v>
      </c>
      <c r="U4" s="6">
        <v>0.3</v>
      </c>
      <c r="V4" s="6">
        <v>0.06</v>
      </c>
      <c r="W4" s="6">
        <v>3.665</v>
      </c>
      <c r="X4" t="s">
        <v>34</v>
      </c>
    </row>
    <row r="5" spans="3:25" x14ac:dyDescent="0.35">
      <c r="D5" t="s">
        <v>35</v>
      </c>
      <c r="E5" s="9">
        <v>-1.9948105327785002E-3</v>
      </c>
      <c r="F5" s="9">
        <v>-0.16114857792854301</v>
      </c>
      <c r="G5" s="9">
        <v>-8.2256738096475601E-4</v>
      </c>
      <c r="H5" s="9">
        <v>-8.3539940416812897E-2</v>
      </c>
      <c r="I5" s="9">
        <v>0.16338084638118699</v>
      </c>
      <c r="J5" s="9">
        <v>0.98013961315154996</v>
      </c>
      <c r="K5" s="6">
        <v>0</v>
      </c>
      <c r="L5" s="6">
        <v>0</v>
      </c>
      <c r="M5" s="6">
        <v>0</v>
      </c>
      <c r="N5" t="s">
        <v>36</v>
      </c>
      <c r="O5" t="s">
        <v>34</v>
      </c>
      <c r="R5" s="6">
        <v>0.3</v>
      </c>
      <c r="S5" s="6">
        <v>0.2</v>
      </c>
      <c r="T5" s="6">
        <v>0.78500000000000003</v>
      </c>
      <c r="U5" s="6">
        <v>0.7</v>
      </c>
      <c r="V5" s="6">
        <v>0.02</v>
      </c>
      <c r="W5" s="6">
        <v>3.665</v>
      </c>
      <c r="X5" t="s">
        <v>34</v>
      </c>
    </row>
    <row r="6" spans="3:25" x14ac:dyDescent="0.35">
      <c r="D6" t="s">
        <v>35</v>
      </c>
      <c r="E6" s="9">
        <v>-6.5418658778071404E-5</v>
      </c>
      <c r="F6" s="9">
        <v>-0.109843894839287</v>
      </c>
      <c r="G6" s="9">
        <v>-4.0013011544942897E-2</v>
      </c>
      <c r="H6" s="9">
        <v>-0.138460397720337</v>
      </c>
      <c r="I6" s="9">
        <v>-3.7903144955635099E-2</v>
      </c>
      <c r="J6" s="9">
        <v>0.53465890884399403</v>
      </c>
      <c r="K6" s="6">
        <v>0</v>
      </c>
      <c r="L6" s="6">
        <v>0</v>
      </c>
      <c r="M6" s="6">
        <v>0</v>
      </c>
      <c r="N6" t="s">
        <v>36</v>
      </c>
      <c r="O6" t="s">
        <v>34</v>
      </c>
      <c r="R6" s="6">
        <v>0.3</v>
      </c>
      <c r="S6" s="6">
        <v>0.14000000000000001</v>
      </c>
      <c r="T6" s="6">
        <v>2.0939999999999999</v>
      </c>
      <c r="U6" s="6">
        <v>0.8</v>
      </c>
      <c r="V6" s="6">
        <v>0.04</v>
      </c>
      <c r="W6" s="6">
        <v>1.0469999999999999</v>
      </c>
      <c r="X6" t="s">
        <v>34</v>
      </c>
    </row>
    <row r="7" spans="3:25" x14ac:dyDescent="0.35">
      <c r="D7" t="s">
        <v>35</v>
      </c>
      <c r="E7" s="9">
        <v>-1.86102464795113E-3</v>
      </c>
      <c r="F7" s="9">
        <v>-0.24740616977214799</v>
      </c>
      <c r="G7" s="9">
        <v>-0.195220187306404</v>
      </c>
      <c r="H7" s="9">
        <v>-0.64324039220809903</v>
      </c>
      <c r="I7" s="9">
        <v>-0.84706509113311801</v>
      </c>
      <c r="J7" s="9">
        <v>1.0174024105071999</v>
      </c>
      <c r="K7" s="6">
        <v>0</v>
      </c>
      <c r="L7" s="6">
        <v>0</v>
      </c>
      <c r="M7" s="6">
        <v>0</v>
      </c>
      <c r="N7" t="s">
        <v>36</v>
      </c>
      <c r="O7" t="s">
        <v>34</v>
      </c>
      <c r="R7" s="6">
        <v>0.4</v>
      </c>
      <c r="S7" s="6">
        <v>0.18</v>
      </c>
      <c r="T7" s="6">
        <v>2.0939999999999999</v>
      </c>
      <c r="U7" s="6">
        <v>0.3</v>
      </c>
      <c r="V7" s="6">
        <v>0.02</v>
      </c>
      <c r="W7" s="6">
        <v>1.0469999999999999</v>
      </c>
      <c r="X7" t="s">
        <v>34</v>
      </c>
    </row>
    <row r="8" spans="3:25" x14ac:dyDescent="0.35">
      <c r="D8" t="s">
        <v>35</v>
      </c>
      <c r="E8" s="9">
        <v>-1.86102464795113E-3</v>
      </c>
      <c r="F8" s="9">
        <v>-0.24740616977214799</v>
      </c>
      <c r="G8" s="9">
        <v>-0.195220187306404</v>
      </c>
      <c r="H8" s="9">
        <v>-0.64324039220809903</v>
      </c>
      <c r="I8" s="9">
        <v>-0.84706509113311801</v>
      </c>
      <c r="J8" s="9">
        <v>1.0174024105071999</v>
      </c>
      <c r="K8" s="6">
        <v>0</v>
      </c>
      <c r="L8" s="6">
        <v>0</v>
      </c>
      <c r="M8" s="6">
        <v>0</v>
      </c>
      <c r="N8" t="s">
        <v>36</v>
      </c>
      <c r="O8" t="s">
        <v>34</v>
      </c>
      <c r="R8" s="6">
        <v>0.8</v>
      </c>
      <c r="S8" s="6">
        <v>0.18</v>
      </c>
      <c r="T8" s="6">
        <v>2.0939999999999999</v>
      </c>
      <c r="U8" s="6">
        <v>0.7</v>
      </c>
      <c r="V8" s="6">
        <v>0.06</v>
      </c>
      <c r="W8" s="6">
        <v>2.3559999999999999</v>
      </c>
      <c r="X8" t="s">
        <v>34</v>
      </c>
    </row>
    <row r="9" spans="3:25" x14ac:dyDescent="0.35">
      <c r="D9" t="s">
        <v>35</v>
      </c>
      <c r="E9" s="9">
        <v>-3.4919474273920103E-4</v>
      </c>
      <c r="F9" s="9">
        <v>-0.13894630968570701</v>
      </c>
      <c r="G9" s="9">
        <v>-0.130643606185913</v>
      </c>
      <c r="H9" s="9">
        <v>-0.20672222971916199</v>
      </c>
      <c r="I9" s="9">
        <v>-0.71990585327148404</v>
      </c>
      <c r="J9" s="9">
        <v>0.58108544349670399</v>
      </c>
      <c r="K9" s="6">
        <v>0</v>
      </c>
      <c r="L9" s="6">
        <v>0</v>
      </c>
      <c r="M9" s="6">
        <v>0</v>
      </c>
      <c r="N9" t="s">
        <v>36</v>
      </c>
      <c r="O9" t="s">
        <v>34</v>
      </c>
      <c r="R9" s="6">
        <v>0.7</v>
      </c>
      <c r="S9" s="6">
        <v>0.2</v>
      </c>
      <c r="T9" s="6">
        <v>2.0939999999999999</v>
      </c>
      <c r="U9" s="6">
        <v>0.8</v>
      </c>
      <c r="V9" s="6">
        <v>0.02</v>
      </c>
      <c r="W9" s="6">
        <v>2.3559999999999999</v>
      </c>
      <c r="X9" t="s">
        <v>34</v>
      </c>
    </row>
    <row r="10" spans="3:25" x14ac:dyDescent="0.35">
      <c r="D10" t="s">
        <v>35</v>
      </c>
      <c r="E10" s="9">
        <v>1.52160471770912E-3</v>
      </c>
      <c r="F10" s="9">
        <v>5.9020079672336599E-2</v>
      </c>
      <c r="G10" s="9">
        <v>-7.2138950228691101E-2</v>
      </c>
      <c r="H10" s="9">
        <v>-0.130099952220917</v>
      </c>
      <c r="I10" s="9">
        <v>-0.15057766437530501</v>
      </c>
      <c r="J10" s="9">
        <v>1.86103023588657E-2</v>
      </c>
      <c r="K10" s="6">
        <v>0</v>
      </c>
      <c r="L10" s="6">
        <v>0</v>
      </c>
      <c r="M10" s="6">
        <v>0</v>
      </c>
      <c r="N10" t="s">
        <v>36</v>
      </c>
      <c r="O10" t="s">
        <v>34</v>
      </c>
      <c r="R10" s="6">
        <v>0.8</v>
      </c>
      <c r="S10" s="6">
        <v>0.12</v>
      </c>
      <c r="T10" s="6">
        <v>2.0939999999999999</v>
      </c>
      <c r="U10" s="6">
        <v>0.3</v>
      </c>
      <c r="V10" s="6">
        <v>0.02</v>
      </c>
      <c r="W10" s="6">
        <v>3.665</v>
      </c>
      <c r="X10" t="s">
        <v>34</v>
      </c>
    </row>
    <row r="11" spans="3:25" x14ac:dyDescent="0.35">
      <c r="D11" t="s">
        <v>35</v>
      </c>
      <c r="E11" s="9">
        <v>1.0578810470178699E-3</v>
      </c>
      <c r="F11" s="9">
        <v>9.46853533387184E-2</v>
      </c>
      <c r="G11" s="9">
        <v>-9.9762968719005599E-2</v>
      </c>
      <c r="H11" s="9">
        <v>-0.57114285230636597</v>
      </c>
      <c r="I11" s="9">
        <v>-0.11998450011014899</v>
      </c>
      <c r="J11" s="9">
        <v>-2.8004650026559798E-2</v>
      </c>
      <c r="K11" s="6">
        <v>0</v>
      </c>
      <c r="L11" s="6">
        <v>0</v>
      </c>
      <c r="M11" s="6">
        <v>0</v>
      </c>
      <c r="N11" t="s">
        <v>36</v>
      </c>
      <c r="O11" t="s">
        <v>40</v>
      </c>
      <c r="R11" s="14">
        <v>0.6</v>
      </c>
      <c r="S11" s="14">
        <v>0.2</v>
      </c>
      <c r="T11" s="6">
        <v>2.0939999999999999</v>
      </c>
      <c r="U11" s="14">
        <v>0.5</v>
      </c>
      <c r="V11" s="14">
        <v>0.1</v>
      </c>
      <c r="W11" s="14">
        <v>3.665</v>
      </c>
      <c r="X11" t="s">
        <v>34</v>
      </c>
    </row>
    <row r="12" spans="3:25" x14ac:dyDescent="0.35">
      <c r="R12" s="6">
        <v>0.7</v>
      </c>
      <c r="S12" s="6">
        <v>0.12</v>
      </c>
      <c r="T12" s="6">
        <v>3.927</v>
      </c>
      <c r="U12" s="6">
        <v>0.7</v>
      </c>
      <c r="V12" s="6">
        <v>0.02</v>
      </c>
      <c r="W12" s="6">
        <v>1.0469999999999999</v>
      </c>
      <c r="X12" t="s">
        <v>34</v>
      </c>
    </row>
    <row r="13" spans="3:25" x14ac:dyDescent="0.35">
      <c r="R13" s="6">
        <v>0.8</v>
      </c>
      <c r="S13" s="6">
        <v>0.2</v>
      </c>
      <c r="T13" s="6">
        <v>3.927</v>
      </c>
      <c r="U13" s="6">
        <v>0.4</v>
      </c>
      <c r="V13" s="6">
        <v>0.04</v>
      </c>
      <c r="W13" s="6">
        <v>1.0469999999999999</v>
      </c>
      <c r="X13" t="s">
        <v>34</v>
      </c>
    </row>
    <row r="14" spans="3:25" x14ac:dyDescent="0.35">
      <c r="R14" s="5">
        <v>0.3</v>
      </c>
      <c r="S14" s="5">
        <v>0.2</v>
      </c>
      <c r="T14" s="5">
        <v>3.927</v>
      </c>
      <c r="U14" s="5">
        <v>0.3</v>
      </c>
      <c r="V14" s="5">
        <v>0.1</v>
      </c>
      <c r="W14" s="5">
        <v>2.3559999999999999</v>
      </c>
      <c r="X14" t="s">
        <v>34</v>
      </c>
    </row>
    <row r="15" spans="3:25" x14ac:dyDescent="0.35">
      <c r="R15" s="5">
        <v>0.8</v>
      </c>
      <c r="S15" s="5">
        <v>0.16</v>
      </c>
      <c r="T15" s="5">
        <v>3.927</v>
      </c>
      <c r="U15" s="5">
        <v>0.8</v>
      </c>
      <c r="V15" s="5">
        <v>0.02</v>
      </c>
      <c r="W15" s="5">
        <v>3.665</v>
      </c>
      <c r="X15" t="s">
        <v>34</v>
      </c>
    </row>
    <row r="16" spans="3:25" x14ac:dyDescent="0.35">
      <c r="R16" s="5">
        <v>0.4</v>
      </c>
      <c r="S16" s="5">
        <v>0.2</v>
      </c>
      <c r="T16" s="5">
        <v>3.927</v>
      </c>
      <c r="U16" s="5">
        <v>0.8</v>
      </c>
      <c r="V16" s="5">
        <v>0.06</v>
      </c>
      <c r="W16" s="5">
        <v>3.665</v>
      </c>
      <c r="X16" t="s">
        <v>34</v>
      </c>
      <c r="Y16" t="s">
        <v>36</v>
      </c>
    </row>
    <row r="19" spans="3:26" x14ac:dyDescent="0.35">
      <c r="C19" t="s">
        <v>39</v>
      </c>
      <c r="D19" t="s">
        <v>35</v>
      </c>
      <c r="E19" s="5">
        <v>0.8</v>
      </c>
      <c r="F19" s="5">
        <v>0.2</v>
      </c>
      <c r="G19" s="5">
        <v>0.78500000000000003</v>
      </c>
      <c r="H19" s="5">
        <v>0.8</v>
      </c>
      <c r="I19" s="5">
        <v>0.1</v>
      </c>
      <c r="J19" s="5">
        <v>1.0469999999999999</v>
      </c>
      <c r="K19" s="5">
        <v>0</v>
      </c>
      <c r="L19" s="5">
        <v>0</v>
      </c>
      <c r="M19" s="5">
        <v>0</v>
      </c>
      <c r="N19" t="s">
        <v>34</v>
      </c>
      <c r="R19" s="14">
        <v>0.8</v>
      </c>
      <c r="S19" s="14">
        <v>0.2</v>
      </c>
      <c r="T19" s="14">
        <v>0.78500000000000003</v>
      </c>
      <c r="U19" s="14">
        <v>0.8</v>
      </c>
      <c r="V19" s="14">
        <v>0.1</v>
      </c>
      <c r="W19" s="14">
        <v>1.0469999999999999</v>
      </c>
      <c r="X19" s="14">
        <v>0</v>
      </c>
      <c r="Y19" s="14">
        <v>0</v>
      </c>
      <c r="Z19" s="14">
        <v>0</v>
      </c>
    </row>
    <row r="20" spans="3:26" x14ac:dyDescent="0.35">
      <c r="E20" s="5">
        <v>0.4</v>
      </c>
      <c r="F20" s="5">
        <v>0.12</v>
      </c>
      <c r="G20" s="5">
        <v>0.78500000000000003</v>
      </c>
      <c r="H20" s="5">
        <v>0.4</v>
      </c>
      <c r="I20" s="5">
        <v>0.02</v>
      </c>
      <c r="J20" s="5">
        <v>2.3559999999999999</v>
      </c>
      <c r="K20" s="5">
        <v>0</v>
      </c>
      <c r="L20" s="5">
        <v>0</v>
      </c>
      <c r="M20" s="5">
        <v>0</v>
      </c>
      <c r="N20" t="s">
        <v>34</v>
      </c>
      <c r="R20" s="6">
        <v>0.4</v>
      </c>
      <c r="S20" s="6">
        <v>0.12</v>
      </c>
      <c r="T20" s="6">
        <v>0.78500000000000003</v>
      </c>
      <c r="U20" s="6">
        <v>0.4</v>
      </c>
      <c r="V20" s="6">
        <v>0.02</v>
      </c>
      <c r="W20" s="6">
        <v>2.3559999999999999</v>
      </c>
      <c r="X20" s="6">
        <v>0</v>
      </c>
      <c r="Y20" s="6">
        <v>0</v>
      </c>
      <c r="Z20" s="6">
        <v>0</v>
      </c>
    </row>
    <row r="21" spans="3:26" x14ac:dyDescent="0.35">
      <c r="E21" s="5">
        <v>0.7</v>
      </c>
      <c r="F21" s="5">
        <v>0.16</v>
      </c>
      <c r="G21" s="5">
        <v>0.78500000000000003</v>
      </c>
      <c r="H21" s="5">
        <v>0.3</v>
      </c>
      <c r="I21" s="5">
        <v>0.06</v>
      </c>
      <c r="J21" s="5">
        <v>3.665</v>
      </c>
      <c r="K21" s="5">
        <v>0</v>
      </c>
      <c r="L21" s="5">
        <v>0</v>
      </c>
      <c r="M21" s="5">
        <v>0</v>
      </c>
      <c r="N21" t="s">
        <v>34</v>
      </c>
      <c r="R21" s="6">
        <v>0.7</v>
      </c>
      <c r="S21" s="6">
        <v>0.16</v>
      </c>
      <c r="T21" s="6">
        <v>0.78500000000000003</v>
      </c>
      <c r="U21" s="6">
        <v>0.3</v>
      </c>
      <c r="V21" s="6">
        <v>0.06</v>
      </c>
      <c r="W21" s="6">
        <v>3.665</v>
      </c>
      <c r="X21" s="6">
        <v>0</v>
      </c>
      <c r="Y21" s="6">
        <v>0</v>
      </c>
      <c r="Z21" s="6">
        <v>0</v>
      </c>
    </row>
    <row r="22" spans="3:26" x14ac:dyDescent="0.35">
      <c r="E22" s="5">
        <v>0.3</v>
      </c>
      <c r="F22" s="5">
        <v>0.2</v>
      </c>
      <c r="G22" s="5">
        <v>0.78500000000000003</v>
      </c>
      <c r="H22" s="5">
        <v>0.7</v>
      </c>
      <c r="I22" s="5">
        <v>0.02</v>
      </c>
      <c r="J22" s="5">
        <v>3.665</v>
      </c>
      <c r="K22" s="5">
        <v>0</v>
      </c>
      <c r="L22" s="5">
        <v>0</v>
      </c>
      <c r="M22" s="5">
        <v>0</v>
      </c>
      <c r="N22" t="s">
        <v>34</v>
      </c>
      <c r="R22" s="6">
        <v>0.3</v>
      </c>
      <c r="S22" s="6">
        <v>0.2</v>
      </c>
      <c r="T22" s="6">
        <v>0.78500000000000003</v>
      </c>
      <c r="U22" s="6">
        <v>0.7</v>
      </c>
      <c r="V22" s="6">
        <v>0.02</v>
      </c>
      <c r="W22" s="6">
        <v>3.665</v>
      </c>
      <c r="X22" s="6">
        <v>0</v>
      </c>
      <c r="Y22" s="6">
        <v>0</v>
      </c>
      <c r="Z22" s="6">
        <v>0</v>
      </c>
    </row>
    <row r="23" spans="3:26" x14ac:dyDescent="0.35">
      <c r="E23" s="5">
        <v>0.3</v>
      </c>
      <c r="F23" s="5">
        <v>0.14000000000000001</v>
      </c>
      <c r="G23" s="5">
        <v>2.6179999999999999</v>
      </c>
      <c r="H23" s="5">
        <v>0.8</v>
      </c>
      <c r="I23" s="5">
        <v>0.04</v>
      </c>
      <c r="J23" s="5">
        <v>1.0469999999999999</v>
      </c>
      <c r="K23" s="5">
        <v>0</v>
      </c>
      <c r="L23" s="5">
        <v>0</v>
      </c>
      <c r="M23" s="5">
        <v>0</v>
      </c>
      <c r="N23" t="s">
        <v>34</v>
      </c>
      <c r="R23" s="6">
        <v>0.3</v>
      </c>
      <c r="S23" s="6">
        <v>0.14000000000000001</v>
      </c>
      <c r="T23" s="6">
        <v>2.6179999999999999</v>
      </c>
      <c r="U23" s="6">
        <v>0.8</v>
      </c>
      <c r="V23" s="6">
        <v>0.04</v>
      </c>
      <c r="W23" s="6">
        <v>1.0469999999999999</v>
      </c>
      <c r="X23" s="6">
        <v>0</v>
      </c>
      <c r="Y23" s="6">
        <v>0</v>
      </c>
      <c r="Z23" s="6">
        <v>0</v>
      </c>
    </row>
    <row r="24" spans="3:26" x14ac:dyDescent="0.35">
      <c r="E24" s="5">
        <v>0.4</v>
      </c>
      <c r="F24" s="5">
        <v>0.18</v>
      </c>
      <c r="G24" s="5">
        <v>2.6179999999999999</v>
      </c>
      <c r="H24" s="5">
        <v>0.3</v>
      </c>
      <c r="I24" s="5">
        <v>0.02</v>
      </c>
      <c r="J24" s="5">
        <v>1.0469999999999999</v>
      </c>
      <c r="K24" s="5">
        <v>0</v>
      </c>
      <c r="L24" s="5">
        <v>0</v>
      </c>
      <c r="M24" s="5">
        <v>0</v>
      </c>
      <c r="N24" t="s">
        <v>34</v>
      </c>
      <c r="R24" s="6">
        <v>0.4</v>
      </c>
      <c r="S24" s="6">
        <v>0.18</v>
      </c>
      <c r="T24" s="6">
        <v>2.6179999999999999</v>
      </c>
      <c r="U24" s="6">
        <v>0.3</v>
      </c>
      <c r="V24" s="6">
        <v>0.02</v>
      </c>
      <c r="W24" s="6">
        <v>1.0469999999999999</v>
      </c>
      <c r="X24" s="6">
        <v>0</v>
      </c>
      <c r="Y24" s="6">
        <v>0</v>
      </c>
      <c r="Z24" s="6">
        <v>0</v>
      </c>
    </row>
    <row r="25" spans="3:26" x14ac:dyDescent="0.35">
      <c r="E25" s="5">
        <v>0.8</v>
      </c>
      <c r="F25" s="5">
        <v>0.18</v>
      </c>
      <c r="G25" s="5">
        <v>2.6179999999999999</v>
      </c>
      <c r="H25" s="5">
        <v>0.7</v>
      </c>
      <c r="I25" s="5">
        <v>0.06</v>
      </c>
      <c r="J25" s="5">
        <v>2.3559999999999999</v>
      </c>
      <c r="K25" s="5">
        <v>0</v>
      </c>
      <c r="L25" s="5">
        <v>0</v>
      </c>
      <c r="M25" s="5">
        <v>0</v>
      </c>
      <c r="N25" t="s">
        <v>34</v>
      </c>
      <c r="R25" s="6">
        <v>0.8</v>
      </c>
      <c r="S25" s="6">
        <v>0.18</v>
      </c>
      <c r="T25" s="6">
        <v>2.6179999999999999</v>
      </c>
      <c r="U25" s="6">
        <v>0.7</v>
      </c>
      <c r="V25" s="6">
        <v>0.06</v>
      </c>
      <c r="W25" s="6">
        <v>2.3559999999999999</v>
      </c>
      <c r="X25" s="6">
        <v>0</v>
      </c>
      <c r="Y25" s="6">
        <v>0</v>
      </c>
      <c r="Z25" s="6">
        <v>0</v>
      </c>
    </row>
    <row r="26" spans="3:26" x14ac:dyDescent="0.35">
      <c r="E26" s="5">
        <v>0.7</v>
      </c>
      <c r="F26" s="5">
        <v>0.2</v>
      </c>
      <c r="G26" s="5">
        <v>2.6179999999999999</v>
      </c>
      <c r="H26" s="5">
        <v>0.8</v>
      </c>
      <c r="I26" s="5">
        <v>0.02</v>
      </c>
      <c r="J26" s="5">
        <v>2.3559999999999999</v>
      </c>
      <c r="K26" s="5">
        <v>0</v>
      </c>
      <c r="L26" s="5">
        <v>0</v>
      </c>
      <c r="M26" s="5">
        <v>0</v>
      </c>
      <c r="N26" t="s">
        <v>34</v>
      </c>
      <c r="R26" s="6">
        <v>0.7</v>
      </c>
      <c r="S26" s="6">
        <v>0.2</v>
      </c>
      <c r="T26" s="6">
        <v>2.6179999999999999</v>
      </c>
      <c r="U26" s="6">
        <v>0.8</v>
      </c>
      <c r="V26" s="6">
        <v>0.02</v>
      </c>
      <c r="W26" s="6">
        <v>2.3559999999999999</v>
      </c>
      <c r="X26" s="6">
        <v>0</v>
      </c>
      <c r="Y26" s="6">
        <v>0</v>
      </c>
      <c r="Z26" s="6">
        <v>0</v>
      </c>
    </row>
    <row r="27" spans="3:26" x14ac:dyDescent="0.35">
      <c r="E27" s="5">
        <v>0.8</v>
      </c>
      <c r="F27" s="5">
        <v>0.12</v>
      </c>
      <c r="G27" s="5">
        <v>2.6179999999999999</v>
      </c>
      <c r="H27" s="5">
        <v>0.3</v>
      </c>
      <c r="I27" s="5">
        <v>0.02</v>
      </c>
      <c r="J27" s="5">
        <v>3.665</v>
      </c>
      <c r="K27" s="5">
        <v>0</v>
      </c>
      <c r="L27" s="5">
        <v>0</v>
      </c>
      <c r="M27" s="5">
        <v>0</v>
      </c>
      <c r="N27" t="s">
        <v>34</v>
      </c>
      <c r="R27" s="6">
        <v>0.8</v>
      </c>
      <c r="S27" s="6">
        <v>0.12</v>
      </c>
      <c r="T27" s="6">
        <v>2.6179999999999999</v>
      </c>
      <c r="U27" s="6">
        <v>0.3</v>
      </c>
      <c r="V27" s="6">
        <v>0.02</v>
      </c>
      <c r="W27" s="6">
        <v>3.665</v>
      </c>
      <c r="X27" s="6">
        <v>0</v>
      </c>
      <c r="Y27" s="6">
        <v>0</v>
      </c>
      <c r="Z27" s="6">
        <v>0</v>
      </c>
    </row>
    <row r="28" spans="3:26" x14ac:dyDescent="0.35">
      <c r="E28" s="5">
        <v>0.6</v>
      </c>
      <c r="F28" s="5">
        <v>0.2</v>
      </c>
      <c r="G28" s="5">
        <v>2.6179999999999999</v>
      </c>
      <c r="H28" s="5">
        <v>0.5</v>
      </c>
      <c r="I28" s="5">
        <v>0.1</v>
      </c>
      <c r="J28" s="5">
        <v>3.665</v>
      </c>
      <c r="K28" s="5">
        <v>0</v>
      </c>
      <c r="L28" s="5">
        <v>0</v>
      </c>
      <c r="M28" s="5">
        <v>0</v>
      </c>
      <c r="N28" t="s">
        <v>34</v>
      </c>
      <c r="R28" s="14">
        <v>0.6</v>
      </c>
      <c r="S28" s="14">
        <v>0.2</v>
      </c>
      <c r="T28" s="14">
        <v>2.6179999999999999</v>
      </c>
      <c r="U28" s="14">
        <v>0.5</v>
      </c>
      <c r="V28" s="14">
        <v>0.1</v>
      </c>
      <c r="W28" s="14">
        <v>3.665</v>
      </c>
      <c r="X28" s="14">
        <v>0</v>
      </c>
      <c r="Y28" s="14">
        <v>0</v>
      </c>
      <c r="Z28" s="14">
        <v>0</v>
      </c>
    </row>
    <row r="29" spans="3:26" x14ac:dyDescent="0.35">
      <c r="E29" s="5">
        <v>0.7</v>
      </c>
      <c r="F29" s="5">
        <v>0.12</v>
      </c>
      <c r="G29" s="5">
        <v>3.927</v>
      </c>
      <c r="H29" s="5">
        <v>0.7</v>
      </c>
      <c r="I29" s="5">
        <v>0.02</v>
      </c>
      <c r="J29" s="5">
        <v>1.0469999999999999</v>
      </c>
      <c r="K29" s="5">
        <v>0</v>
      </c>
      <c r="L29" s="5">
        <v>0</v>
      </c>
      <c r="M29" s="5">
        <v>0</v>
      </c>
      <c r="N29" t="s">
        <v>34</v>
      </c>
      <c r="R29" s="6">
        <v>0.7</v>
      </c>
      <c r="S29" s="6">
        <v>0.12</v>
      </c>
      <c r="T29" s="6">
        <v>3.927</v>
      </c>
      <c r="U29" s="6">
        <v>0.7</v>
      </c>
      <c r="V29" s="6">
        <v>0.02</v>
      </c>
      <c r="W29" s="6">
        <v>1.0469999999999999</v>
      </c>
      <c r="X29" s="6">
        <v>0</v>
      </c>
      <c r="Y29" s="6">
        <v>0</v>
      </c>
      <c r="Z29" s="6">
        <v>0</v>
      </c>
    </row>
    <row r="30" spans="3:26" x14ac:dyDescent="0.35">
      <c r="E30" s="5">
        <v>0.8</v>
      </c>
      <c r="F30" s="5">
        <v>0.2</v>
      </c>
      <c r="G30" s="5">
        <v>3.927</v>
      </c>
      <c r="H30" s="5">
        <v>0.4</v>
      </c>
      <c r="I30" s="5">
        <v>0.04</v>
      </c>
      <c r="J30" s="5">
        <v>1.0469999999999999</v>
      </c>
      <c r="K30" s="5">
        <v>0</v>
      </c>
      <c r="L30" s="5">
        <v>0</v>
      </c>
      <c r="M30" s="5">
        <v>0</v>
      </c>
      <c r="N30" t="s">
        <v>34</v>
      </c>
      <c r="R30" s="6">
        <v>0.8</v>
      </c>
      <c r="S30" s="6">
        <v>0.2</v>
      </c>
      <c r="T30" s="6">
        <v>3.927</v>
      </c>
      <c r="U30" s="6">
        <v>0.4</v>
      </c>
      <c r="V30" s="6">
        <v>0.04</v>
      </c>
      <c r="W30" s="6">
        <v>1.0469999999999999</v>
      </c>
      <c r="X30" s="6">
        <v>0</v>
      </c>
      <c r="Y30" s="6">
        <v>0</v>
      </c>
      <c r="Z30" s="6">
        <v>0</v>
      </c>
    </row>
    <row r="31" spans="3:26" x14ac:dyDescent="0.35">
      <c r="E31" s="5">
        <v>0.3</v>
      </c>
      <c r="F31" s="5">
        <v>0.2</v>
      </c>
      <c r="G31" s="5">
        <v>3.927</v>
      </c>
      <c r="H31" s="5">
        <v>0.3</v>
      </c>
      <c r="I31" s="5">
        <v>0.1</v>
      </c>
      <c r="J31" s="5">
        <v>2.3559999999999999</v>
      </c>
      <c r="K31" s="5">
        <v>0</v>
      </c>
      <c r="L31" s="5">
        <v>0</v>
      </c>
      <c r="M31" s="5">
        <v>0</v>
      </c>
      <c r="N31" t="s">
        <v>34</v>
      </c>
      <c r="R31" s="5">
        <v>0.3</v>
      </c>
      <c r="S31" s="5">
        <v>0.2</v>
      </c>
      <c r="T31" s="5">
        <v>3.927</v>
      </c>
      <c r="U31" s="5">
        <v>0.3</v>
      </c>
      <c r="V31" s="5">
        <v>0.1</v>
      </c>
      <c r="W31" s="5">
        <v>2.3559999999999999</v>
      </c>
      <c r="X31" s="5">
        <v>0</v>
      </c>
      <c r="Y31" s="5">
        <v>0</v>
      </c>
      <c r="Z31" s="5">
        <v>0</v>
      </c>
    </row>
    <row r="32" spans="3:26" x14ac:dyDescent="0.35">
      <c r="E32" s="5">
        <v>0.8</v>
      </c>
      <c r="F32" s="5">
        <v>0.16</v>
      </c>
      <c r="G32" s="5">
        <v>3.927</v>
      </c>
      <c r="H32" s="5">
        <v>0.8</v>
      </c>
      <c r="I32" s="5">
        <v>0.02</v>
      </c>
      <c r="J32" s="5">
        <v>3.665</v>
      </c>
      <c r="K32" s="5">
        <v>0</v>
      </c>
      <c r="L32" s="5">
        <v>0</v>
      </c>
      <c r="M32" s="5">
        <v>0</v>
      </c>
      <c r="N32" t="s">
        <v>34</v>
      </c>
      <c r="R32" s="5">
        <v>0.8</v>
      </c>
      <c r="S32" s="5">
        <v>0.16</v>
      </c>
      <c r="T32" s="5">
        <v>3.927</v>
      </c>
      <c r="U32" s="5">
        <v>0.8</v>
      </c>
      <c r="V32" s="5">
        <v>0.02</v>
      </c>
      <c r="W32" s="5">
        <v>3.665</v>
      </c>
      <c r="X32" s="5">
        <v>0</v>
      </c>
      <c r="Y32" s="5">
        <v>0</v>
      </c>
      <c r="Z32" s="5">
        <v>0</v>
      </c>
    </row>
    <row r="33" spans="5:26" x14ac:dyDescent="0.35">
      <c r="E33" s="5">
        <v>0.4</v>
      </c>
      <c r="F33" s="5">
        <v>0.2</v>
      </c>
      <c r="G33" s="5">
        <v>3.927</v>
      </c>
      <c r="H33" s="5">
        <v>0.8</v>
      </c>
      <c r="I33" s="5">
        <v>0.06</v>
      </c>
      <c r="J33" s="5">
        <v>3.665</v>
      </c>
      <c r="K33" s="5">
        <v>0</v>
      </c>
      <c r="L33" s="5">
        <v>0</v>
      </c>
      <c r="M33" s="5">
        <v>0</v>
      </c>
      <c r="N33" t="s">
        <v>36</v>
      </c>
      <c r="R33" s="5">
        <v>0.4</v>
      </c>
      <c r="S33" s="5">
        <v>0.2</v>
      </c>
      <c r="T33" s="5">
        <v>3.927</v>
      </c>
      <c r="U33" s="5">
        <v>0.8</v>
      </c>
      <c r="V33" s="5">
        <v>0.06</v>
      </c>
      <c r="W33" s="5">
        <v>3.665</v>
      </c>
      <c r="X33" s="5">
        <v>0</v>
      </c>
      <c r="Y33" s="5">
        <v>0</v>
      </c>
      <c r="Z33" s="5">
        <v>0</v>
      </c>
    </row>
  </sheetData>
  <pageMargins left="0.7" right="0.7" top="0.75" bottom="0.7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2580AD17ADB64691A1BA4C2E042DA4" ma:contentTypeVersion="18" ma:contentTypeDescription="Create a new document." ma:contentTypeScope="" ma:versionID="6532fc6a52f3455fe895a4f720bca71c">
  <xsd:schema xmlns:xsd="http://www.w3.org/2001/XMLSchema" xmlns:xs="http://www.w3.org/2001/XMLSchema" xmlns:p="http://schemas.microsoft.com/office/2006/metadata/properties" xmlns:ns3="c2b20bf0-79f3-4559-a8ab-bcb74dcd8cd8" xmlns:ns4="08a9f8ec-165a-4165-a8e9-ed45c2de7bcb" targetNamespace="http://schemas.microsoft.com/office/2006/metadata/properties" ma:root="true" ma:fieldsID="d9a2f75daf18a7097de825f86ff3fec6" ns3:_="" ns4:_="">
    <xsd:import namespace="c2b20bf0-79f3-4559-a8ab-bcb74dcd8cd8"/>
    <xsd:import namespace="08a9f8ec-165a-4165-a8e9-ed45c2de7bc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b20bf0-79f3-4559-a8ab-bcb74dcd8c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5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a9f8ec-165a-4165-a8e9-ed45c2de7bc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2b20bf0-79f3-4559-a8ab-bcb74dcd8cd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923CC5-95C4-4597-AADE-A0DCE38786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b20bf0-79f3-4559-a8ab-bcb74dcd8cd8"/>
    <ds:schemaRef ds:uri="08a9f8ec-165a-4165-a8e9-ed45c2de7b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E208467-E14A-4CB9-9FC8-72DFB8E94FF2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dcmitype/"/>
    <ds:schemaRef ds:uri="08a9f8ec-165a-4165-a8e9-ed45c2de7bcb"/>
    <ds:schemaRef ds:uri="http://schemas.microsoft.com/office/2006/metadata/properties"/>
    <ds:schemaRef ds:uri="http://purl.org/dc/terms/"/>
    <ds:schemaRef ds:uri="c2b20bf0-79f3-4559-a8ab-bcb74dcd8cd8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2D595912-0053-4104-933F-CDA3B3DBC54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Proximal Validation (double)</vt:lpstr>
      <vt:lpstr>Proximal Validation (debug)</vt:lpstr>
      <vt:lpstr>Distal Validati (double)</vt:lpstr>
      <vt:lpstr>Distal Validati (sim)</vt:lpstr>
      <vt:lpstr>Conversion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Jones</dc:creator>
  <cp:lastModifiedBy>Noah Jones</cp:lastModifiedBy>
  <cp:lastPrinted>2025-10-04T05:05:52Z</cp:lastPrinted>
  <dcterms:created xsi:type="dcterms:W3CDTF">2025-08-20T18:12:27Z</dcterms:created>
  <dcterms:modified xsi:type="dcterms:W3CDTF">2025-12-10T21:23:01Z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0x010100E12580AD17ADB64691A1BA4C2E042DA4</vt:lpwstr>
  </property>
</Properties>
</file>